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26180" windowHeight="22600" tabRatio="894" firstSheet="0" activeTab="8" autoFilterDateGrouping="1"/>
  </bookViews>
  <sheets>
    <sheet name="Cover" sheetId="1" state="visible" r:id="rId1"/>
    <sheet name="Prop Info" sheetId="2" state="visible" r:id="rId2"/>
    <sheet name="Scenarios" sheetId="3" state="visible" r:id="rId3"/>
    <sheet name="P&amp;L" sheetId="4" state="visible" r:id="rId4"/>
    <sheet name="T-12 Analysis" sheetId="5" state="visible" r:id="rId5"/>
    <sheet name="Acquisition Costs" sheetId="6" state="visible" r:id="rId6"/>
    <sheet name="Staffing Matrix" sheetId="7" state="visible" r:id="rId7"/>
    <sheet name="Rent Roll Analysis" sheetId="8" state="visible" r:id="rId8"/>
    <sheet name="Rental Comps" sheetId="9" state="visible" r:id="rId9"/>
    <sheet name="Capex" sheetId="10" state="visible" r:id="rId10"/>
    <sheet name="Exit Strategy" sheetId="11" state="visible" r:id="rId11"/>
    <sheet name="Waterfall" sheetId="12" state="visible" r:id="rId12"/>
    <sheet name="LP Return Illustration" sheetId="13" state="visible" r:id="rId13"/>
    <sheet name="Sensitivity" sheetId="14" state="visible" r:id="rId14"/>
    <sheet name="XIRR Analysis" sheetId="15" state="visible" r:id="rId15"/>
    <sheet name="Loans" sheetId="16" state="visible" r:id="rId16"/>
  </sheets>
  <definedNames>
    <definedName name="Beds">'Prop Info'!$B$15</definedName>
    <definedName name="EGI">Scenarios!$F$50</definedName>
    <definedName name="Total_LPA_Equity">Scenarios!$F$33</definedName>
    <definedName name="Total_Payroll">'Staffing Matrix'!$M$67</definedName>
    <definedName name="Units">Scenarios!$B$8</definedName>
  </definedNames>
  <calcPr calcId="191029" fullCalcOnLoad="1" iterate="1" iterateDelta="0.00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41">
    <numFmt numFmtId="164" formatCode="#,##0;\(#,##0\);\-"/>
    <numFmt numFmtId="165" formatCode="0.0%;\(0.0%\);\-"/>
    <numFmt numFmtId="166" formatCode="\$#,##0;&quot;($&quot;#,##0\);\-"/>
    <numFmt numFmtId="167" formatCode="0.00%;\(0.00%\);\-"/>
    <numFmt numFmtId="168" formatCode="0.00\x;\(0.00&quot;x)&quot;;\-"/>
    <numFmt numFmtId="169" formatCode="0.00\x"/>
    <numFmt numFmtId="170" formatCode="0.0%"/>
    <numFmt numFmtId="171" formatCode="\$#,##0.00_);[Red]&quot;($&quot;#,##0.00\)"/>
    <numFmt numFmtId="172" formatCode="_(\$* #,##0.00_);_(\$* \(#,##0.00\);_(\$* \-??_);_(@_)"/>
    <numFmt numFmtId="173" formatCode="#,##0.0;\(#,##0.0\);\-"/>
    <numFmt numFmtId="174" formatCode="\$#,##0_);[Red]&quot;($&quot;#,##0\)"/>
    <numFmt numFmtId="175" formatCode="0.0%;\(0.0%\)"/>
    <numFmt numFmtId="176" formatCode="#,##0.00;\(#,##0.00\);\-"/>
    <numFmt numFmtId="177" formatCode="\$#,##0.00;&quot;($&quot;#,##0.00\);\-"/>
    <numFmt numFmtId="178" formatCode="\$#,##0;&quot;($&quot;#,##0\)"/>
    <numFmt numFmtId="179" formatCode="0.000%"/>
    <numFmt numFmtId="180" formatCode="\$#,##0"/>
    <numFmt numFmtId="181" formatCode="\+0.00\x;\-0.00\x"/>
    <numFmt numFmtId="182" formatCode="0&quot; yrs&quot;"/>
    <numFmt numFmtId="183" formatCode="\+0.00%;\-0.00%"/>
    <numFmt numFmtId="184" formatCode="\$#,##0;\(\$#,##0\)"/>
    <numFmt numFmtId="185" formatCode="&quot;$&quot;#,##0;\(&quot;$&quot;#,##0\);\-"/>
    <numFmt numFmtId="186" formatCode="mm/dd/yyyy"/>
    <numFmt numFmtId="187" formatCode="0.0"/>
    <numFmt numFmtId="188" formatCode="&quot;$&quot;0.00"/>
    <numFmt numFmtId="189" formatCode="&quot;$&quot;#,##0.00"/>
    <numFmt numFmtId="190" formatCode="&quot;$&quot;#,##0.00;\(&quot;$&quot;#,##0.00\);\-"/>
    <numFmt numFmtId="191" formatCode="\$#,##0.00"/>
    <numFmt numFmtId="192" formatCode="&quot;$&quot;#,##0;\(&quot;$&quot;#,##0\);&quot;-&quot;"/>
    <numFmt numFmtId="193" formatCode="#,##0;\(#,##0\);&quot;&quot;"/>
    <numFmt numFmtId="194" formatCode="&quot;$&quot;#,##0;\(&quot;$&quot;#,##0\);&quot;&quot;"/>
    <numFmt numFmtId="195" formatCode="0.0%;\(0.0%\);&quot;&quot;"/>
    <numFmt numFmtId="196" formatCode="\$#,##0;&quot;($&quot;#,##0\);&quot;&quot;"/>
    <numFmt numFmtId="197" formatCode="&quot;$&quot;#,##0.00;\(&quot;$&quot;#,##0.00\);&quot;&quot;"/>
    <numFmt numFmtId="198" formatCode="\$#,##0;\(\$#,##0\);&quot;&quot;"/>
    <numFmt numFmtId="199" formatCode="0.0%;\-0.0%;&quot;&quot;"/>
    <numFmt numFmtId="200" formatCode="#,##0;\-#,##0;&quot;&quot;"/>
    <numFmt numFmtId="201" formatCode="#,##0.0;\(#,##0.0\);&quot;&quot;"/>
    <numFmt numFmtId="202" formatCode="0.00%;\(0.00%\);&quot;&quot;"/>
    <numFmt numFmtId="203" formatCode="0.0&quot; mo&quot;;\-0.0&quot; mo&quot;;&quot;&quot;"/>
    <numFmt numFmtId="204" formatCode="&quot;$&quot;#,###,###,###"/>
  </numFmts>
  <fonts count="119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000000"/>
      <sz val="10"/>
    </font>
    <font>
      <name val="Arial"/>
      <charset val="1"/>
      <family val="2"/>
      <color rgb="FF006100"/>
      <sz val="10"/>
    </font>
    <font>
      <name val="Arial"/>
      <charset val="1"/>
      <family val="2"/>
      <i val="1"/>
      <color rgb="FF595959"/>
      <sz val="10"/>
    </font>
    <font>
      <name val="Arial"/>
      <charset val="1"/>
      <family val="2"/>
      <color rgb="FF595959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i val="1"/>
      <color rgb="FF595959"/>
      <sz val="9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FF"/>
      <sz val="10"/>
    </font>
    <font>
      <name val="Arial"/>
      <charset val="1"/>
      <family val="2"/>
      <b val="1"/>
      <color rgb="FFFFFFFF"/>
      <sz val="12"/>
    </font>
    <font>
      <name val="Arial"/>
      <charset val="1"/>
      <family val="2"/>
      <color theme="1"/>
      <sz val="10"/>
    </font>
    <font>
      <name val="Arial"/>
      <charset val="1"/>
      <family val="2"/>
      <i val="1"/>
      <color rgb="FF006100"/>
      <sz val="9"/>
    </font>
    <font>
      <name val="Arial"/>
      <charset val="1"/>
      <family val="2"/>
      <color rgb="FF7F6000"/>
      <sz val="10"/>
    </font>
    <font>
      <name val="Arial"/>
      <charset val="1"/>
      <family val="2"/>
      <i val="1"/>
      <color rgb="FF0000FF"/>
      <sz val="10"/>
    </font>
    <font>
      <name val="Calibri"/>
      <charset val="1"/>
      <family val="2"/>
      <color rgb="FF7030A0"/>
      <sz val="11"/>
    </font>
    <font>
      <name val="Arial"/>
      <charset val="1"/>
      <family val="2"/>
      <b val="1"/>
      <color theme="0"/>
      <sz val="10"/>
    </font>
    <font>
      <name val="Arial"/>
      <charset val="1"/>
      <family val="2"/>
      <i val="1"/>
      <color theme="0"/>
      <sz val="9"/>
    </font>
    <font>
      <name val="Arial"/>
      <charset val="1"/>
      <family val="2"/>
      <color rgb="FFBFBFBF"/>
      <sz val="10"/>
    </font>
    <font>
      <name val="Arial"/>
      <charset val="1"/>
      <family val="2"/>
      <b val="1"/>
      <color rgb="FF0000FF"/>
      <sz val="10"/>
    </font>
    <font>
      <name val="Arial"/>
      <charset val="1"/>
      <family val="2"/>
      <b val="1"/>
      <color rgb="FF0000FF"/>
      <sz val="9"/>
    </font>
    <font>
      <name val="Arial"/>
      <charset val="1"/>
      <family val="2"/>
      <b val="1"/>
      <color rgb="FF375623"/>
      <sz val="10"/>
    </font>
    <font>
      <name val="Arial"/>
      <charset val="1"/>
      <family val="2"/>
      <i val="1"/>
      <color rgb="FF375623"/>
      <sz val="10"/>
    </font>
    <font>
      <name val="Arial"/>
      <charset val="1"/>
      <family val="2"/>
      <color rgb="FF375623"/>
      <sz val="10"/>
    </font>
    <font>
      <name val="Arial"/>
      <charset val="1"/>
      <family val="2"/>
      <i val="1"/>
      <color rgb="FF000000"/>
      <sz val="10"/>
    </font>
    <font>
      <name val="Arial"/>
      <charset val="1"/>
      <family val="2"/>
      <i val="1"/>
      <color rgb="FF000000"/>
      <sz val="9"/>
    </font>
    <font>
      <name val="Arial"/>
      <charset val="1"/>
      <family val="2"/>
      <color rgb="FF000000"/>
      <sz val="9"/>
    </font>
    <font>
      <name val="Arial"/>
      <charset val="1"/>
      <family val="2"/>
      <i val="1"/>
      <color rgb="FF375623"/>
      <sz val="9"/>
    </font>
    <font>
      <name val="Arial"/>
      <charset val="1"/>
      <family val="2"/>
      <i val="1"/>
      <color rgb="FF7030A0"/>
      <sz val="9"/>
    </font>
    <font>
      <name val="Arial"/>
      <charset val="1"/>
      <family val="2"/>
      <i val="1"/>
      <color rgb="FF7F6000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color theme="0" tint="-0.249977111117893"/>
      <sz val="8"/>
    </font>
    <font>
      <name val="Arial"/>
      <charset val="1"/>
      <family val="2"/>
      <color rgb="FFFF0000"/>
      <sz val="10"/>
    </font>
    <font>
      <name val="Arial"/>
      <charset val="1"/>
      <family val="2"/>
      <b val="1"/>
      <color rgb="FF375623"/>
      <sz val="11"/>
    </font>
    <font>
      <name val="Arial"/>
      <charset val="1"/>
      <family val="2"/>
      <i val="1"/>
      <color rgb="FF7F6000"/>
      <sz val="9"/>
    </font>
    <font>
      <name val="Arial"/>
      <charset val="1"/>
      <family val="2"/>
      <b val="1"/>
      <color rgb="FF7F6000"/>
      <sz val="10"/>
    </font>
    <font>
      <name val="Arial"/>
      <charset val="1"/>
      <family val="2"/>
      <i val="1"/>
      <color rgb="FF595959"/>
      <sz val="8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FFFFFF"/>
      <sz val="6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color rgb="FF000000"/>
      <sz val="9"/>
    </font>
    <font>
      <name val="Arial"/>
      <charset val="1"/>
      <family val="2"/>
      <b val="1"/>
      <color rgb="FFFF0000"/>
      <sz val="10"/>
    </font>
    <font>
      <name val="Calibri"/>
      <charset val="1"/>
      <family val="2"/>
      <sz val="11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2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0B050"/>
      <sz val="10"/>
    </font>
    <font>
      <name val="Calibri"/>
      <family val="2"/>
      <color rgb="FF595959"/>
      <sz val="10"/>
    </font>
    <font>
      <name val="Calibri"/>
      <family val="2"/>
      <i val="1"/>
      <color rgb="FF000000"/>
      <sz val="10"/>
    </font>
    <font>
      <name val="Calibri"/>
      <family val="2"/>
      <i val="1"/>
      <color rgb="FFC00000"/>
      <sz val="10"/>
    </font>
    <font>
      <name val="Calibri"/>
      <family val="2"/>
      <b val="1"/>
      <color rgb="FF595959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0"/>
    </font>
    <font>
      <name val="Calibri"/>
      <family val="2"/>
      <i val="1"/>
      <color rgb="FF595959"/>
      <sz val="9"/>
    </font>
    <font>
      <name val="Calibri"/>
      <family val="2"/>
      <color rgb="FF1F3864"/>
      <sz val="9"/>
    </font>
    <font>
      <name val="Calibri"/>
      <family val="2"/>
      <b val="1"/>
      <color rgb="FF000000"/>
      <sz val="9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1"/>
    </font>
    <font>
      <name val="Arial"/>
      <family val="2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000000"/>
      <sz val="10"/>
    </font>
    <font>
      <name val="Arial"/>
      <family val="2"/>
      <color rgb="FF0061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0"/>
    </font>
    <font>
      <name val="Arial"/>
      <family val="2"/>
      <b val="1"/>
      <i val="1"/>
      <color rgb="FF595959"/>
      <sz val="9"/>
    </font>
    <font>
      <name val="Arial"/>
      <family val="2"/>
      <i val="1"/>
      <color rgb="FF595959"/>
      <sz val="9"/>
    </font>
    <font>
      <name val="Arial"/>
      <family val="2"/>
      <b val="1"/>
      <i val="1"/>
      <color rgb="FF006100"/>
      <sz val="9"/>
    </font>
    <font>
      <name val="Arial"/>
      <family val="2"/>
      <i val="1"/>
      <color rgb="FF006100"/>
      <sz val="9"/>
    </font>
    <font>
      <name val="Arial"/>
      <family val="2"/>
      <b val="1"/>
      <i val="1"/>
      <color rgb="FF000000"/>
      <sz val="9"/>
    </font>
    <font>
      <name val="Arial"/>
      <family val="2"/>
      <i val="1"/>
      <color rgb="FF000000"/>
      <sz val="9"/>
    </font>
    <font>
      <name val="Calibri"/>
      <family val="2"/>
      <color rgb="FF0000FF"/>
      <sz val="10"/>
    </font>
    <font>
      <name val="Calibri"/>
      <charset val="1"/>
      <family val="2"/>
      <b val="1"/>
      <color theme="1"/>
      <sz val="11"/>
    </font>
    <font>
      <name val="Calibri"/>
      <family val="2"/>
      <b val="1"/>
      <color rgb="FF0000FF"/>
      <sz val="9"/>
    </font>
    <font>
      <name val="Calibri"/>
      <charset val="1"/>
      <family val="2"/>
      <color theme="10"/>
      <sz val="11"/>
      <u val="single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Arial"/>
      <family val="2"/>
      <color rgb="FF0000FF"/>
      <sz val="10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9"/>
    </font>
    <font>
      <name val="Arial"/>
      <family val="2"/>
      <b val="1"/>
      <color rgb="FF1F3864"/>
      <sz val="10"/>
    </font>
    <font>
      <name val="Arial"/>
      <family val="2"/>
      <i val="1"/>
      <color rgb="FF000000"/>
      <sz val="10"/>
    </font>
    <font>
      <name val="Arial"/>
      <family val="2"/>
      <b val="1"/>
      <i val="1"/>
      <color rgb="FF000000"/>
      <sz val="10"/>
    </font>
    <font>
      <name val="Arial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i val="1"/>
      <color rgb="FF808080"/>
      <sz val="8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rgb="FF1F3864"/>
      <sz val="9"/>
    </font>
    <font>
      <name val="Calibri"/>
      <family val="2"/>
      <b val="1"/>
      <color rgb="FFFFFFFF"/>
      <sz val="9"/>
    </font>
    <font>
      <name val="Calibri"/>
      <family val="2"/>
      <color rgb="FF0000FF"/>
      <sz val="11"/>
    </font>
    <font>
      <name val="Calibri"/>
      <family val="2"/>
      <b val="1"/>
      <color rgb="FF595959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Calibri"/>
      <family val="2"/>
      <b val="1"/>
      <i val="1"/>
      <color rgb="FF595959"/>
      <sz val="9"/>
    </font>
    <font>
      <name val="Calibri"/>
      <family val="2"/>
      <b val="1"/>
      <i val="1"/>
      <color rgb="FF595959"/>
      <sz val="9"/>
    </font>
    <font>
      <name val="Calibri"/>
      <family val="2"/>
      <b val="1"/>
      <color rgb="FF000000"/>
      <sz val="9"/>
    </font>
    <font>
      <name val="Arial"/>
      <family val="2"/>
      <color rgb="FF595959"/>
      <sz val="9"/>
    </font>
    <font>
      <name val="Arial"/>
      <family val="2"/>
      <color theme="1"/>
      <sz val="9"/>
    </font>
    <font>
      <name val="Calibri"/>
      <family val="2"/>
      <color rgb="FF008000"/>
      <sz val="10"/>
    </font>
    <font>
      <name val="Calibri"/>
      <charset val="1"/>
      <family val="2"/>
      <b val="1"/>
      <color rgb="FFFFFFFF"/>
      <sz val="9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</fonts>
  <fills count="5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1F7A6E"/>
        <bgColor rgb="FF008080"/>
      </patternFill>
    </fill>
    <fill>
      <patternFill patternType="solid">
        <fgColor rgb="FFD6E4F0"/>
        <bgColor rgb="FFDCE6F1"/>
      </patternFill>
    </fill>
    <fill>
      <patternFill patternType="solid">
        <fgColor rgb="FFE2EFDA"/>
        <bgColor rgb="FFDCE6F1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6E4F0"/>
      </patternFill>
    </fill>
    <fill>
      <patternFill patternType="solid">
        <fgColor rgb="FFFFFF99"/>
        <bgColor rgb="FFFFFFC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theme="0" tint="-0.1499984740745262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92D050"/>
        <bgColor rgb="FFBFBFBF"/>
      </patternFill>
    </fill>
    <fill>
      <patternFill patternType="solid">
        <fgColor rgb="FFC9A227"/>
        <bgColor rgb="FFFFCC00"/>
      </patternFill>
    </fill>
    <fill>
      <patternFill patternType="solid">
        <fgColor rgb="FF7F6000"/>
        <bgColor rgb="FF595959"/>
      </patternFill>
    </fill>
    <fill>
      <patternFill patternType="solid">
        <fgColor rgb="FFC6EBD8"/>
        <bgColor rgb="FFD6E4F0"/>
      </patternFill>
    </fill>
    <fill>
      <patternFill patternType="solid">
        <fgColor rgb="FF595959"/>
        <bgColor rgb="FF375623"/>
      </patternFill>
    </fill>
    <fill>
      <patternFill patternType="solid">
        <fgColor rgb="FFFFFFCC"/>
        <bgColor rgb="FFFFF2CC"/>
      </patternFill>
    </fill>
    <fill>
      <patternFill patternType="solid">
        <fgColor rgb="FF1F3864"/>
      </patternFill>
    </fill>
    <fill>
      <patternFill patternType="solid">
        <fgColor rgb="FFD6DCE4"/>
      </patternFill>
    </fill>
    <fill>
      <patternFill patternType="solid">
        <fgColor rgb="FFEBF0F7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7A6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F22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2F5496"/>
      </patternFill>
    </fill>
    <fill>
      <patternFill patternType="solid">
        <fgColor rgb="FFDDEBF7"/>
      </patternFill>
    </fill>
    <fill>
      <patternFill patternType="solid">
        <fgColor rgb="FFBDD7EE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theme="3" tint="-0.249977111117893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/>
      <bottom/>
      <diagonal/>
    </border>
    <border>
      <left style="medium">
        <color rgb="FF1F3864"/>
      </left>
      <right/>
      <top/>
      <bottom/>
      <diagonal/>
    </border>
    <border>
      <left/>
      <right style="thin">
        <color rgb="FF1F3864"/>
      </right>
      <top/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medium">
        <color rgb="FF1F3864"/>
      </right>
      <top style="thin">
        <color rgb="FFD9D9D9"/>
      </top>
      <bottom/>
      <diagonal/>
    </border>
    <border>
      <left style="medium">
        <color rgb="FF1F3864"/>
      </left>
      <right style="thin">
        <color rgb="FFBFBFBF"/>
      </right>
      <top/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>
      <left/>
      <right/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 style="thin">
        <color rgb="FFD9D9D9"/>
      </bottom>
      <diagonal/>
    </border>
    <border>
      <left/>
      <right style="thin">
        <color rgb="FFBFBFBF"/>
      </right>
      <top style="medium">
        <color rgb="FF1F3864"/>
      </top>
      <bottom/>
      <diagonal/>
    </border>
    <border>
      <left/>
      <right style="thin">
        <color rgb="FFBFBFBF"/>
      </right>
      <top/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medium">
        <color rgb="FF1F3864"/>
      </bottom>
      <diagonal/>
    </border>
    <border>
      <left/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D9D9D9"/>
      </top>
      <bottom/>
      <diagonal/>
    </border>
  </borders>
  <cellStyleXfs count="4">
    <xf numFmtId="0" fontId="51" fillId="0" borderId="0"/>
    <xf numFmtId="172" fontId="51" fillId="0" borderId="0"/>
    <xf numFmtId="9" fontId="51" fillId="0" borderId="0"/>
    <xf numFmtId="0" fontId="85" fillId="0" borderId="0"/>
  </cellStyleXfs>
  <cellXfs count="1017">
    <xf numFmtId="0" fontId="0" fillId="0" borderId="0" pivotButton="0" quotePrefix="0" xfId="0"/>
    <xf numFmtId="0" fontId="5" fillId="4" borderId="0" applyAlignment="1" pivotButton="0" quotePrefix="0" xfId="0">
      <alignment horizontal="right" vertical="center"/>
    </xf>
    <xf numFmtId="0" fontId="11" fillId="12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3" fillId="4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49" fontId="5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1"/>
    </xf>
    <xf numFmtId="49" fontId="5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166" fontId="5" fillId="4" borderId="0" applyAlignment="1" pivotButton="0" quotePrefix="0" xfId="0">
      <alignment horizontal="right" vertical="center"/>
    </xf>
    <xf numFmtId="167" fontId="5" fillId="7" borderId="0" applyAlignment="1" pivotButton="0" quotePrefix="0" xfId="0">
      <alignment horizontal="right" vertical="center"/>
    </xf>
    <xf numFmtId="166" fontId="5" fillId="5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8" fontId="5" fillId="7" borderId="0" applyAlignment="1" pivotButton="0" quotePrefix="0" xfId="0">
      <alignment horizontal="right" vertical="center"/>
    </xf>
    <xf numFmtId="0" fontId="10" fillId="4" borderId="0" applyAlignment="1" pivotButton="0" quotePrefix="0" xfId="0">
      <alignment horizontal="left" vertical="center"/>
    </xf>
    <xf numFmtId="167" fontId="5" fillId="4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right" vertical="center"/>
    </xf>
    <xf numFmtId="166" fontId="5" fillId="7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right" vertical="center"/>
    </xf>
    <xf numFmtId="167" fontId="5" fillId="5" borderId="0" applyAlignment="1" pivotButton="0" quotePrefix="0" xfId="0">
      <alignment horizontal="right" vertical="center"/>
    </xf>
    <xf numFmtId="49" fontId="7" fillId="5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right" vertical="center"/>
    </xf>
    <xf numFmtId="165" fontId="12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10" fillId="4" borderId="0" applyAlignment="1" pivotButton="0" quotePrefix="0" xfId="0">
      <alignment horizontal="left" vertical="center" indent="2"/>
    </xf>
    <xf numFmtId="0" fontId="14" fillId="7" borderId="0" applyAlignment="1" pivotButton="0" quotePrefix="0" xfId="0">
      <alignment horizontal="left" vertical="center" indent="2"/>
    </xf>
    <xf numFmtId="169" fontId="12" fillId="7" borderId="0" applyAlignment="1" pivotButton="0" quotePrefix="0" xfId="0">
      <alignment horizontal="right" vertical="center"/>
    </xf>
    <xf numFmtId="167" fontId="12" fillId="7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 indent="2"/>
    </xf>
    <xf numFmtId="0" fontId="6" fillId="7" borderId="0" applyAlignment="1" pivotButton="0" quotePrefix="0" xfId="0">
      <alignment horizontal="left" vertical="center"/>
    </xf>
    <xf numFmtId="0" fontId="15" fillId="7" borderId="1" applyAlignment="1" pivotButton="0" quotePrefix="0" xfId="0">
      <alignment horizontal="left" vertical="center"/>
    </xf>
    <xf numFmtId="170" fontId="15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3" fontId="5" fillId="4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indent="2"/>
    </xf>
    <xf numFmtId="166" fontId="12" fillId="8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right" vertical="center"/>
    </xf>
    <xf numFmtId="0" fontId="13" fillId="8" borderId="0" applyAlignment="1" pivotButton="0" quotePrefix="0" xfId="0">
      <alignment horizontal="left" vertical="center" indent="1"/>
    </xf>
    <xf numFmtId="0" fontId="15" fillId="11" borderId="0" pivotButton="0" quotePrefix="0" xfId="0"/>
    <xf numFmtId="0" fontId="16" fillId="11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 wrapText="1"/>
    </xf>
    <xf numFmtId="0" fontId="8" fillId="1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left" vertical="center" indent="2"/>
    </xf>
    <xf numFmtId="166" fontId="16" fillId="4" borderId="0" applyAlignment="1" pivotButton="0" quotePrefix="0" xfId="0">
      <alignment horizontal="right" vertical="center"/>
    </xf>
    <xf numFmtId="166" fontId="4" fillId="8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2"/>
    </xf>
    <xf numFmtId="166" fontId="16" fillId="5" borderId="0" applyAlignment="1" pivotButton="0" quotePrefix="0" xfId="0">
      <alignment horizontal="right" vertical="center"/>
    </xf>
    <xf numFmtId="0" fontId="13" fillId="5" borderId="0" applyAlignment="1" pivotButton="0" quotePrefix="0" xfId="0">
      <alignment horizontal="left" vertical="center" indent="1"/>
    </xf>
    <xf numFmtId="164" fontId="16" fillId="4" borderId="0" applyAlignment="1" pivotButton="0" quotePrefix="0" xfId="0">
      <alignment horizontal="right" vertical="center"/>
    </xf>
    <xf numFmtId="166" fontId="4" fillId="5" borderId="0" applyAlignment="1" pivotButton="0" quotePrefix="0" xfId="0">
      <alignment horizontal="right" vertical="center"/>
    </xf>
    <xf numFmtId="165" fontId="16" fillId="4" borderId="0" applyAlignment="1" pivotButton="0" quotePrefix="0" xfId="0">
      <alignment horizontal="right" vertical="center"/>
    </xf>
    <xf numFmtId="165" fontId="4" fillId="8" borderId="0" applyAlignment="1" pivotButton="0" quotePrefix="0" xfId="0">
      <alignment horizontal="right" vertical="center"/>
    </xf>
    <xf numFmtId="166" fontId="4" fillId="4" borderId="0" applyAlignment="1" pivotButton="0" quotePrefix="0" xfId="0">
      <alignment horizontal="right" vertical="center"/>
    </xf>
    <xf numFmtId="171" fontId="0" fillId="0" borderId="0" pivotButton="0" quotePrefix="0" xfId="0"/>
    <xf numFmtId="165" fontId="16" fillId="5" borderId="0" applyAlignment="1" pivotButton="0" quotePrefix="0" xfId="0">
      <alignment horizontal="right" vertical="center"/>
    </xf>
    <xf numFmtId="166" fontId="15" fillId="7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165" fontId="4" fillId="5" borderId="0" applyAlignment="1" pivotButton="0" quotePrefix="0" xfId="0">
      <alignment horizontal="right" vertical="center"/>
    </xf>
    <xf numFmtId="165" fontId="16" fillId="4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left" vertical="center" indent="2"/>
    </xf>
    <xf numFmtId="166" fontId="15" fillId="8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19" fillId="5" borderId="0" applyAlignment="1" pivotButton="0" quotePrefix="0" xfId="0">
      <alignment horizontal="left" vertical="center"/>
    </xf>
    <xf numFmtId="165" fontId="16" fillId="5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left" vertical="center" indent="2"/>
    </xf>
    <xf numFmtId="0" fontId="6" fillId="4" borderId="0" applyAlignment="1" pivotButton="0" quotePrefix="0" xfId="0">
      <alignment horizontal="left" vertical="center" indent="1"/>
    </xf>
    <xf numFmtId="172" fontId="51" fillId="0" borderId="0" pivotButton="0" quotePrefix="0" xfId="1"/>
    <xf numFmtId="0" fontId="4" fillId="8" borderId="0" applyAlignment="1" pivotButton="0" quotePrefix="0" xfId="0">
      <alignment horizontal="left" vertical="center" indent="2"/>
    </xf>
    <xf numFmtId="0" fontId="8" fillId="9" borderId="0" applyAlignment="1" pivotButton="0" quotePrefix="0" xfId="0">
      <alignment horizontal="center" vertical="center" wrapText="1"/>
    </xf>
    <xf numFmtId="49" fontId="5" fillId="5" borderId="0" applyAlignment="1" pivotButton="0" quotePrefix="0" xfId="0">
      <alignment horizontal="center" vertical="center"/>
    </xf>
    <xf numFmtId="173" fontId="4" fillId="4" borderId="0" applyAlignment="1" pivotButton="0" quotePrefix="0" xfId="0">
      <alignment horizontal="right" vertical="center"/>
    </xf>
    <xf numFmtId="164" fontId="16" fillId="5" borderId="0" applyAlignment="1" pivotButton="0" quotePrefix="0" xfId="0">
      <alignment horizontal="right" vertical="center"/>
    </xf>
    <xf numFmtId="166" fontId="4" fillId="11" borderId="0" applyAlignment="1" pivotButton="0" quotePrefix="0" xfId="0">
      <alignment horizontal="center" vertical="center"/>
    </xf>
    <xf numFmtId="165" fontId="4" fillId="11" borderId="0" applyAlignment="1" pivotButton="0" quotePrefix="0" xfId="0">
      <alignment horizontal="center" vertical="center"/>
    </xf>
    <xf numFmtId="164" fontId="16" fillId="5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 indent="2"/>
    </xf>
    <xf numFmtId="166" fontId="15" fillId="11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 indent="2"/>
    </xf>
    <xf numFmtId="166" fontId="4" fillId="7" borderId="0" applyAlignment="1" pivotButton="0" quotePrefix="0" xfId="0">
      <alignment horizontal="right" vertical="center"/>
    </xf>
    <xf numFmtId="0" fontId="3" fillId="6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indent="1"/>
    </xf>
    <xf numFmtId="165" fontId="25" fillId="10" borderId="0" applyAlignment="1" pivotButton="0" quotePrefix="0" xfId="0">
      <alignment horizontal="center" vertical="center"/>
    </xf>
    <xf numFmtId="170" fontId="26" fillId="7" borderId="0" applyAlignment="1" pivotButton="0" quotePrefix="0" xfId="0">
      <alignment horizontal="center" vertical="center"/>
    </xf>
    <xf numFmtId="174" fontId="0" fillId="0" borderId="0" applyAlignment="1" pivotButton="0" quotePrefix="0" xfId="0">
      <alignment horizontal="center"/>
    </xf>
    <xf numFmtId="175" fontId="13" fillId="15" borderId="0" applyAlignment="1" pivotButton="0" quotePrefix="0" xfId="0">
      <alignment horizontal="center" vertical="center"/>
    </xf>
    <xf numFmtId="166" fontId="13" fillId="15" borderId="0" applyAlignment="1" pivotButton="0" quotePrefix="0" xfId="0">
      <alignment horizontal="center" vertical="center"/>
    </xf>
    <xf numFmtId="172" fontId="13" fillId="15" borderId="0" applyAlignment="1" pivotButton="0" quotePrefix="0" xfId="1">
      <alignment horizontal="center" vertical="center"/>
    </xf>
    <xf numFmtId="175" fontId="13" fillId="15" borderId="0" applyAlignment="1" pivotButton="0" quotePrefix="0" xfId="0">
      <alignment horizontal="right" vertical="center"/>
    </xf>
    <xf numFmtId="170" fontId="4" fillId="4" borderId="0" applyAlignment="1" pivotButton="0" quotePrefix="0" xfId="0">
      <alignment horizontal="right" vertical="center"/>
    </xf>
    <xf numFmtId="0" fontId="15" fillId="8" borderId="0" applyAlignment="1" pivotButton="0" quotePrefix="0" xfId="0">
      <alignment horizontal="left" vertical="center" indent="1"/>
    </xf>
    <xf numFmtId="165" fontId="15" fillId="7" borderId="0" applyAlignment="1" pivotButton="0" quotePrefix="0" xfId="0">
      <alignment horizontal="right" vertical="center"/>
    </xf>
    <xf numFmtId="0" fontId="15" fillId="14" borderId="0" applyAlignment="1" pivotButton="0" quotePrefix="0" xfId="0">
      <alignment horizontal="left" vertical="center" indent="1"/>
    </xf>
    <xf numFmtId="166" fontId="11" fillId="12" borderId="0" applyAlignment="1" pivotButton="0" quotePrefix="0" xfId="0">
      <alignment horizontal="right" vertical="center"/>
    </xf>
    <xf numFmtId="166" fontId="16" fillId="10" borderId="0" applyAlignment="1" pivotButton="0" quotePrefix="0" xfId="0">
      <alignment horizontal="center" vertical="center"/>
    </xf>
    <xf numFmtId="165" fontId="15" fillId="8" borderId="0" applyAlignment="1" pivotButton="0" quotePrefix="0" xfId="0">
      <alignment horizontal="right" vertical="center"/>
    </xf>
    <xf numFmtId="10" fontId="51" fillId="0" borderId="0" applyAlignment="1" pivotButton="0" quotePrefix="0" xfId="2">
      <alignment horizontal="center"/>
    </xf>
    <xf numFmtId="0" fontId="15" fillId="7" borderId="0" applyAlignment="1" pivotButton="0" quotePrefix="0" xfId="0">
      <alignment horizontal="left" vertical="center" indent="1"/>
    </xf>
    <xf numFmtId="0" fontId="15" fillId="4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176" fontId="5" fillId="4" borderId="0" applyAlignment="1" pivotButton="0" quotePrefix="0" xfId="0">
      <alignment horizontal="right" vertical="center"/>
    </xf>
    <xf numFmtId="176" fontId="4" fillId="4" borderId="0" applyAlignment="1" pivotButton="0" quotePrefix="0" xfId="0">
      <alignment horizontal="right" vertical="center"/>
    </xf>
    <xf numFmtId="0" fontId="15" fillId="11" borderId="0" applyAlignment="1" pivotButton="0" quotePrefix="0" xfId="0">
      <alignment horizontal="left" vertical="center" indent="1"/>
    </xf>
    <xf numFmtId="165" fontId="15" fillId="11" borderId="0" applyAlignment="1" pivotButton="0" quotePrefix="0" xfId="0">
      <alignment horizontal="right" vertical="center"/>
    </xf>
    <xf numFmtId="167" fontId="4" fillId="4" borderId="0" applyAlignment="1" pivotButton="0" quotePrefix="0" xfId="0">
      <alignment horizontal="right" vertical="center"/>
    </xf>
    <xf numFmtId="0" fontId="28" fillId="8" borderId="0" applyAlignment="1" pivotButton="0" quotePrefix="0" xfId="0">
      <alignment horizontal="left" vertical="center" indent="2"/>
    </xf>
    <xf numFmtId="167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3"/>
    </xf>
    <xf numFmtId="167" fontId="30" fillId="8" borderId="0" applyAlignment="1" pivotButton="0" quotePrefix="0" xfId="0">
      <alignment horizontal="right" vertical="center"/>
    </xf>
    <xf numFmtId="167" fontId="15" fillId="7" borderId="0" applyAlignment="1" pivotButton="0" quotePrefix="0" xfId="0">
      <alignment horizontal="right" vertical="center"/>
    </xf>
    <xf numFmtId="0" fontId="31" fillId="7" borderId="0" applyAlignment="1" pivotButton="0" quotePrefix="0" xfId="0">
      <alignment horizontal="left" vertical="center" indent="3"/>
    </xf>
    <xf numFmtId="167" fontId="4" fillId="7" borderId="0" applyAlignment="1" pivotButton="0" quotePrefix="0" xfId="0">
      <alignment horizontal="right" vertical="center"/>
    </xf>
    <xf numFmtId="166" fontId="0" fillId="0" borderId="0" pivotButton="0" quotePrefix="0" xfId="0"/>
    <xf numFmtId="10" fontId="51" fillId="0" borderId="0" pivotButton="0" quotePrefix="0" xfId="2"/>
    <xf numFmtId="0" fontId="0" fillId="5" borderId="0" applyAlignment="1" pivotButton="0" quotePrefix="0" xfId="0">
      <alignment horizontal="right"/>
    </xf>
    <xf numFmtId="0" fontId="0" fillId="4" borderId="0" pivotButton="0" quotePrefix="0" xfId="0"/>
    <xf numFmtId="49" fontId="6" fillId="4" borderId="0" applyAlignment="1" pivotButton="0" quotePrefix="0" xfId="0">
      <alignment horizontal="left" vertical="center" indent="1"/>
    </xf>
    <xf numFmtId="167" fontId="16" fillId="4" borderId="0" applyAlignment="1" pivotButton="0" quotePrefix="0" xfId="0">
      <alignment horizontal="right" vertical="center"/>
    </xf>
    <xf numFmtId="167" fontId="16" fillId="5" borderId="0" applyAlignment="1" pivotButton="0" quotePrefix="0" xfId="0">
      <alignment horizontal="right" vertical="center"/>
    </xf>
    <xf numFmtId="0" fontId="0" fillId="5" borderId="0" pivotButton="0" quotePrefix="0" xfId="0"/>
    <xf numFmtId="166" fontId="11" fillId="2" borderId="0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/>
    </xf>
    <xf numFmtId="164" fontId="12" fillId="11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/>
    </xf>
    <xf numFmtId="164" fontId="16" fillId="11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/>
    </xf>
    <xf numFmtId="164" fontId="5" fillId="8" borderId="0" applyAlignment="1" pivotButton="0" quotePrefix="0" xfId="0">
      <alignment horizontal="center" vertical="center"/>
    </xf>
    <xf numFmtId="0" fontId="29" fillId="8" borderId="0" applyAlignment="1" pivotButton="0" quotePrefix="0" xfId="0">
      <alignment horizontal="left" vertical="center" indent="1"/>
    </xf>
    <xf numFmtId="0" fontId="32" fillId="4" borderId="0" applyAlignment="1" pivotButton="0" quotePrefix="0" xfId="0">
      <alignment horizontal="left" vertical="center" indent="1"/>
    </xf>
    <xf numFmtId="0" fontId="32" fillId="5" borderId="0" applyAlignment="1" pivotButton="0" quotePrefix="0" xfId="0">
      <alignment horizontal="left" vertical="center" indent="1"/>
    </xf>
    <xf numFmtId="177" fontId="16" fillId="4" borderId="0" applyAlignment="1" pivotButton="0" quotePrefix="0" xfId="0">
      <alignment horizontal="center" vertical="center"/>
    </xf>
    <xf numFmtId="177" fontId="16" fillId="5" borderId="0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right" vertical="center"/>
    </xf>
    <xf numFmtId="177" fontId="16" fillId="10" borderId="0" applyAlignment="1" pivotButton="0" quotePrefix="0" xfId="0">
      <alignment horizontal="center" vertical="center"/>
    </xf>
    <xf numFmtId="177" fontId="4" fillId="4" borderId="0" applyAlignment="1" pivotButton="0" quotePrefix="0" xfId="0">
      <alignment horizontal="right" vertical="center"/>
    </xf>
    <xf numFmtId="0" fontId="33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right" vertical="center"/>
    </xf>
    <xf numFmtId="176" fontId="4" fillId="5" borderId="0" applyAlignment="1" pivotButton="0" quotePrefix="0" xfId="0">
      <alignment horizontal="right" vertical="center"/>
    </xf>
    <xf numFmtId="177" fontId="4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center" vertical="center"/>
    </xf>
    <xf numFmtId="164" fontId="15" fillId="7" borderId="0" applyAlignment="1" pivotButton="0" quotePrefix="0" xfId="0">
      <alignment horizontal="right" vertical="center"/>
    </xf>
    <xf numFmtId="176" fontId="15" fillId="7" borderId="0" applyAlignment="1" pivotButton="0" quotePrefix="0" xfId="0">
      <alignment horizontal="right" vertical="center"/>
    </xf>
    <xf numFmtId="0" fontId="0" fillId="7" borderId="0" pivotButton="0" quotePrefix="0" xfId="0"/>
    <xf numFmtId="164" fontId="11" fillId="2" borderId="0" applyAlignment="1" pivotButton="0" quotePrefix="0" xfId="0">
      <alignment horizontal="right" vertical="center"/>
    </xf>
    <xf numFmtId="176" fontId="11" fillId="2" borderId="0" applyAlignment="1" pivotButton="0" quotePrefix="0" xfId="0">
      <alignment horizontal="right" vertical="center"/>
    </xf>
    <xf numFmtId="0" fontId="0" fillId="2" borderId="0" pivotButton="0" quotePrefix="0" xfId="0"/>
    <xf numFmtId="171" fontId="0" fillId="16" borderId="2" pivotButton="0" quotePrefix="0" xfId="0"/>
    <xf numFmtId="0" fontId="0" fillId="0" borderId="2" pivotButton="0" quotePrefix="0" xfId="0"/>
    <xf numFmtId="176" fontId="16" fillId="4" borderId="0" applyAlignment="1" pivotButton="0" quotePrefix="0" xfId="0">
      <alignment horizontal="center" vertical="center"/>
    </xf>
    <xf numFmtId="176" fontId="5" fillId="5" borderId="0" applyAlignment="1" pivotButton="0" quotePrefix="0" xfId="0">
      <alignment horizontal="right" vertical="center"/>
    </xf>
    <xf numFmtId="176" fontId="16" fillId="5" borderId="0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 wrapText="1"/>
    </xf>
    <xf numFmtId="176" fontId="15" fillId="4" borderId="0" applyAlignment="1" pivotButton="0" quotePrefix="0" xfId="0">
      <alignment horizontal="right" vertical="center"/>
    </xf>
    <xf numFmtId="176" fontId="15" fillId="5" borderId="0" applyAlignment="1" pivotButton="0" quotePrefix="0" xfId="0">
      <alignment horizontal="right" vertical="center"/>
    </xf>
    <xf numFmtId="177" fontId="15" fillId="5" borderId="0" applyAlignment="1" pivotButton="0" quotePrefix="0" xfId="0">
      <alignment horizontal="right" vertical="center"/>
    </xf>
    <xf numFmtId="166" fontId="28" fillId="8" borderId="0" applyAlignment="1" pivotButton="0" quotePrefix="0" xfId="0">
      <alignment horizontal="right" vertical="center"/>
    </xf>
    <xf numFmtId="0" fontId="32" fillId="8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/>
    </xf>
    <xf numFmtId="177" fontId="5" fillId="4" borderId="0" applyAlignment="1" pivotButton="0" quotePrefix="0" xfId="0">
      <alignment horizontal="right" vertical="center"/>
    </xf>
    <xf numFmtId="177" fontId="6" fillId="4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4" fillId="11" borderId="0" applyAlignment="1" pivotButton="0" quotePrefix="0" xfId="0">
      <alignment horizontal="left" vertical="center" indent="2"/>
    </xf>
    <xf numFmtId="166" fontId="1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 indent="1"/>
    </xf>
    <xf numFmtId="165" fontId="6" fillId="4" borderId="0" applyAlignment="1" pivotButton="0" quotePrefix="0" xfId="0">
      <alignment horizontal="center" vertical="center"/>
    </xf>
    <xf numFmtId="165" fontId="28" fillId="8" borderId="0" applyAlignment="1" pivotButton="0" quotePrefix="0" xfId="0">
      <alignment horizontal="right" vertical="center"/>
    </xf>
    <xf numFmtId="165" fontId="30" fillId="8" borderId="0" applyAlignment="1" pivotButton="0" quotePrefix="0" xfId="0">
      <alignment horizontal="right" vertical="center"/>
    </xf>
    <xf numFmtId="4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left" vertical="center" indent="1"/>
    </xf>
    <xf numFmtId="177" fontId="28" fillId="8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37" fillId="0" borderId="0" pivotButton="0" quotePrefix="0" xfId="0"/>
    <xf numFmtId="0" fontId="5" fillId="11" borderId="0" applyAlignment="1" pivotButton="0" quotePrefix="0" xfId="0">
      <alignment horizontal="right" vertical="center"/>
    </xf>
    <xf numFmtId="166" fontId="5" fillId="11" borderId="0" applyAlignment="1" pivotButton="0" quotePrefix="0" xfId="0">
      <alignment horizontal="right" vertical="center"/>
    </xf>
    <xf numFmtId="0" fontId="16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right" vertical="center"/>
    </xf>
    <xf numFmtId="0" fontId="16" fillId="5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0" fontId="4" fillId="11" borderId="0" applyAlignment="1" pivotButton="0" quotePrefix="0" xfId="0">
      <alignment horizontal="left" vertical="center" indent="1"/>
    </xf>
    <xf numFmtId="0" fontId="4" fillId="8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78" fontId="4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0" fontId="4" fillId="5" borderId="0" applyAlignment="1" pivotButton="0" quotePrefix="0" xfId="0">
      <alignment horizontal="right" vertical="center"/>
    </xf>
    <xf numFmtId="10" fontId="10" fillId="5" borderId="1" applyAlignment="1" pivotButton="0" quotePrefix="0" xfId="0">
      <alignment horizontal="right" vertical="center"/>
    </xf>
    <xf numFmtId="178" fontId="26" fillId="5" borderId="0" applyAlignment="1" pivotButton="0" quotePrefix="0" xfId="0">
      <alignment horizontal="right" vertical="center"/>
    </xf>
    <xf numFmtId="178" fontId="4" fillId="4" borderId="1" applyAlignment="1" pivotButton="0" quotePrefix="0" xfId="0">
      <alignment horizontal="right" vertical="center"/>
    </xf>
    <xf numFmtId="0" fontId="38" fillId="5" borderId="0" applyAlignment="1" pivotButton="0" quotePrefix="0" xfId="0">
      <alignment horizontal="left" vertical="center"/>
    </xf>
    <xf numFmtId="0" fontId="33" fillId="5" borderId="0" applyAlignment="1" pivotButton="0" quotePrefix="0" xfId="0">
      <alignment horizontal="left" vertical="center"/>
    </xf>
    <xf numFmtId="178" fontId="15" fillId="5" borderId="0" applyAlignment="1" pivotButton="0" quotePrefix="0" xfId="0">
      <alignment horizontal="right" vertical="center"/>
    </xf>
    <xf numFmtId="170" fontId="26" fillId="15" borderId="0" applyAlignment="1" pivotButton="0" quotePrefix="0" xfId="0">
      <alignment horizontal="center" vertical="center"/>
    </xf>
    <xf numFmtId="170" fontId="26" fillId="5" borderId="0" applyAlignment="1" pivotButton="0" quotePrefix="0" xfId="0">
      <alignment horizontal="center" vertical="center"/>
    </xf>
    <xf numFmtId="178" fontId="39" fillId="5" borderId="0" applyAlignment="1" pivotButton="0" quotePrefix="0" xfId="0">
      <alignment horizontal="right" vertical="center"/>
    </xf>
    <xf numFmtId="0" fontId="15" fillId="5" borderId="1" applyAlignment="1" pivotButton="0" quotePrefix="0" xfId="0">
      <alignment horizontal="left" vertical="center"/>
    </xf>
    <xf numFmtId="178" fontId="15" fillId="5" borderId="1" applyAlignment="1" pivotButton="0" quotePrefix="0" xfId="0">
      <alignment horizontal="right" vertical="center"/>
    </xf>
    <xf numFmtId="178" fontId="4" fillId="5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left" vertical="center"/>
    </xf>
    <xf numFmtId="178" fontId="15" fillId="4" borderId="1" applyAlignment="1" pivotButton="0" quotePrefix="0" xfId="0">
      <alignment horizontal="right" vertical="center"/>
    </xf>
    <xf numFmtId="178" fontId="7" fillId="5" borderId="1" applyAlignment="1" pivotButton="0" quotePrefix="0" xfId="0">
      <alignment horizontal="right" vertical="center"/>
    </xf>
    <xf numFmtId="178" fontId="7" fillId="5" borderId="0" applyAlignment="1" pivotButton="0" quotePrefix="0" xfId="0">
      <alignment horizontal="right" vertical="center"/>
    </xf>
    <xf numFmtId="178" fontId="7" fillId="4" borderId="1" applyAlignment="1" pivotButton="0" quotePrefix="0" xfId="0">
      <alignment horizontal="right" vertical="center"/>
    </xf>
    <xf numFmtId="170" fontId="15" fillId="5" borderId="0" applyAlignment="1" pivotButton="0" quotePrefix="0" xfId="0">
      <alignment horizontal="center" vertical="center"/>
    </xf>
    <xf numFmtId="178" fontId="11" fillId="6" borderId="1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1"/>
    </xf>
    <xf numFmtId="178" fontId="11" fillId="5" borderId="0" applyAlignment="1" pivotButton="0" quotePrefix="0" xfId="0">
      <alignment horizontal="right" vertical="center"/>
    </xf>
    <xf numFmtId="10" fontId="40" fillId="18" borderId="1" applyAlignment="1" pivotButton="0" quotePrefix="0" xfId="0">
      <alignment horizontal="right" vertical="center"/>
    </xf>
    <xf numFmtId="0" fontId="28" fillId="5" borderId="0" applyAlignment="1" pivotButton="0" quotePrefix="0" xfId="0">
      <alignment horizontal="left" vertical="center" indent="1"/>
    </xf>
    <xf numFmtId="10" fontId="40" fillId="5" borderId="0" applyAlignment="1" pivotButton="0" quotePrefix="0" xfId="0">
      <alignment horizontal="right" vertical="center"/>
    </xf>
    <xf numFmtId="0" fontId="41" fillId="15" borderId="0" applyAlignment="1" pivotButton="0" quotePrefix="0" xfId="0">
      <alignment horizontal="right" vertical="center"/>
    </xf>
    <xf numFmtId="0" fontId="26" fillId="15" borderId="0" applyAlignment="1" pivotButton="0" quotePrefix="0" xfId="0">
      <alignment horizontal="center" vertical="center"/>
    </xf>
    <xf numFmtId="0" fontId="42" fillId="11" borderId="0" applyAlignment="1" pivotButton="0" quotePrefix="0" xfId="0">
      <alignment horizontal="left" vertical="center"/>
    </xf>
    <xf numFmtId="0" fontId="2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/>
    </xf>
    <xf numFmtId="178" fontId="10" fillId="4" borderId="1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 indent="1"/>
    </xf>
    <xf numFmtId="166" fontId="4" fillId="6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166" fontId="4" fillId="13" borderId="0" applyAlignment="1" pivotButton="0" quotePrefix="0" xfId="0">
      <alignment horizontal="right" vertical="center"/>
    </xf>
    <xf numFmtId="166" fontId="11" fillId="13" borderId="0" applyAlignment="1" pivotButton="0" quotePrefix="0" xfId="0">
      <alignment horizontal="right" vertical="center"/>
    </xf>
    <xf numFmtId="166" fontId="13" fillId="4" borderId="0" applyAlignment="1" pivotButton="0" quotePrefix="0" xfId="0">
      <alignment horizontal="right" vertical="center"/>
    </xf>
    <xf numFmtId="168" fontId="4" fillId="4" borderId="0" applyAlignment="1" pivotButton="0" quotePrefix="0" xfId="0">
      <alignment horizontal="right" vertical="center"/>
    </xf>
    <xf numFmtId="167" fontId="14" fillId="4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166" fontId="28" fillId="7" borderId="0" applyAlignment="1" pivotButton="0" quotePrefix="0" xfId="0">
      <alignment horizontal="right" vertical="center"/>
    </xf>
    <xf numFmtId="166" fontId="30" fillId="7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 indent="2"/>
    </xf>
    <xf numFmtId="0" fontId="7" fillId="4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2"/>
    </xf>
    <xf numFmtId="166" fontId="30" fillId="8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 indent="1"/>
    </xf>
    <xf numFmtId="0" fontId="20" fillId="15" borderId="0" applyAlignment="1" pivotButton="0" quotePrefix="0" xfId="0">
      <alignment horizontal="left" vertical="center" indent="1"/>
    </xf>
    <xf numFmtId="166" fontId="20" fillId="15" borderId="0" applyAlignment="1" pivotButton="0" quotePrefix="0" xfId="0">
      <alignment horizontal="right" vertical="center"/>
    </xf>
    <xf numFmtId="166" fontId="7" fillId="15" borderId="0" applyAlignment="1" pivotButton="0" quotePrefix="0" xfId="0">
      <alignment horizontal="right" vertical="center"/>
    </xf>
    <xf numFmtId="166" fontId="42" fillId="15" borderId="0" applyAlignment="1" pivotButton="0" quotePrefix="0" xfId="0">
      <alignment horizontal="right" vertical="center"/>
    </xf>
    <xf numFmtId="0" fontId="11" fillId="19" borderId="0" applyAlignment="1" pivotButton="0" quotePrefix="0" xfId="0">
      <alignment horizontal="left" vertical="center" indent="1"/>
    </xf>
    <xf numFmtId="166" fontId="11" fillId="19" borderId="0" applyAlignment="1" pivotButton="0" quotePrefix="0" xfId="0">
      <alignment horizontal="right" vertical="center"/>
    </xf>
    <xf numFmtId="0" fontId="3" fillId="20" borderId="0" applyAlignment="1" pivotButton="0" quotePrefix="0" xfId="0">
      <alignment horizontal="left" vertical="center" indent="1"/>
    </xf>
    <xf numFmtId="165" fontId="20" fillId="15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 indent="1"/>
    </xf>
    <xf numFmtId="165" fontId="11" fillId="19" borderId="0" applyAlignment="1" pivotButton="0" quotePrefix="0" xfId="0">
      <alignment horizontal="right" vertical="center"/>
    </xf>
    <xf numFmtId="0" fontId="8" fillId="9" borderId="0" applyAlignment="1" pivotButton="0" quotePrefix="0" xfId="0">
      <alignment horizontal="center" vertical="center"/>
    </xf>
    <xf numFmtId="10" fontId="8" fillId="2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right" vertical="center"/>
    </xf>
    <xf numFmtId="179" fontId="26" fillId="15" borderId="0" applyAlignment="1" pivotButton="0" quotePrefix="0" xfId="0">
      <alignment horizontal="center" vertical="center"/>
    </xf>
    <xf numFmtId="170" fontId="8" fillId="2" borderId="0" applyAlignment="1" pivotButton="0" quotePrefix="0" xfId="0">
      <alignment horizontal="center" vertical="center"/>
    </xf>
    <xf numFmtId="170" fontId="0" fillId="14" borderId="0" applyAlignment="1" pivotButton="0" quotePrefix="0" xfId="0">
      <alignment horizontal="center" vertical="center"/>
    </xf>
    <xf numFmtId="170" fontId="0" fillId="11" borderId="0" applyAlignment="1" pivotButton="0" quotePrefix="0" xfId="0">
      <alignment horizontal="center" vertical="center"/>
    </xf>
    <xf numFmtId="170" fontId="0" fillId="21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9" fontId="8" fillId="2" borderId="0" applyAlignment="1" pivotButton="0" quotePrefix="0" xfId="0">
      <alignment horizontal="center" vertical="center"/>
    </xf>
    <xf numFmtId="9" fontId="26" fillId="15" borderId="0" applyAlignment="1" pivotButton="0" quotePrefix="0" xfId="0">
      <alignment horizontal="center" vertical="center"/>
    </xf>
    <xf numFmtId="180" fontId="26" fillId="15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/>
    </xf>
    <xf numFmtId="0" fontId="26" fillId="15" borderId="1" applyAlignment="1" pivotButton="0" quotePrefix="0" xfId="0">
      <alignment horizontal="center" vertical="center"/>
    </xf>
    <xf numFmtId="10" fontId="14" fillId="4" borderId="1" applyAlignment="1" pivotButton="0" quotePrefix="0" xfId="0">
      <alignment horizontal="center" vertical="center"/>
    </xf>
    <xf numFmtId="170" fontId="14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2" borderId="1" applyAlignment="1" pivotButton="0" quotePrefix="0" xfId="0">
      <alignment horizontal="left" vertical="center"/>
    </xf>
    <xf numFmtId="1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178" fontId="10" fillId="5" borderId="1" applyAlignment="1" pivotButton="0" quotePrefix="0" xfId="0">
      <alignment horizontal="right" vertical="center"/>
    </xf>
    <xf numFmtId="10" fontId="10" fillId="4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178" fontId="10" fillId="8" borderId="1" applyAlignment="1" pivotButton="0" quotePrefix="0" xfId="0">
      <alignment horizontal="right" vertical="center"/>
    </xf>
    <xf numFmtId="178" fontId="14" fillId="7" borderId="1" applyAlignment="1" pivotButton="0" quotePrefix="0" xfId="0">
      <alignment horizontal="right" vertical="center"/>
    </xf>
    <xf numFmtId="10" fontId="14" fillId="7" borderId="1" applyAlignment="1" pivotButton="0" quotePrefix="0" xfId="0">
      <alignment horizontal="right" vertical="center"/>
    </xf>
    <xf numFmtId="178" fontId="45" fillId="0" borderId="0" applyAlignment="1" pivotButton="0" quotePrefix="0" xfId="0">
      <alignment horizontal="right" vertical="center"/>
    </xf>
    <xf numFmtId="0" fontId="11" fillId="22" borderId="1" applyAlignment="1" pivotButton="0" quotePrefix="0" xfId="0">
      <alignment vertical="center"/>
    </xf>
    <xf numFmtId="10" fontId="11" fillId="22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11" fillId="22" borderId="1" applyAlignment="1" pivotButton="0" quotePrefix="0" xfId="0">
      <alignment horizontal="left" vertical="center" indent="1"/>
    </xf>
    <xf numFmtId="169" fontId="11" fillId="22" borderId="1" applyAlignment="1" pivotButton="0" quotePrefix="0" xfId="0">
      <alignment horizontal="right" vertical="center"/>
    </xf>
    <xf numFmtId="180" fontId="26" fillId="15" borderId="1" applyAlignment="1" pivotButton="0" quotePrefix="0" xfId="2">
      <alignment horizontal="right" vertical="center"/>
    </xf>
    <xf numFmtId="180" fontId="46" fillId="4" borderId="1" applyAlignment="1" pivotButton="0" quotePrefix="0" xfId="0">
      <alignment horizontal="right" vertical="center"/>
    </xf>
    <xf numFmtId="180" fontId="10" fillId="4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left" vertical="center"/>
    </xf>
    <xf numFmtId="169" fontId="26" fillId="15" borderId="1" applyAlignment="1" pivotButton="0" quotePrefix="0" xfId="0">
      <alignment horizontal="right" vertical="center"/>
    </xf>
    <xf numFmtId="0" fontId="47" fillId="5" borderId="1" applyAlignment="1" pivotButton="0" quotePrefix="0" xfId="0">
      <alignment horizontal="center" vertical="center"/>
    </xf>
    <xf numFmtId="0" fontId="47" fillId="5" borderId="1" applyAlignment="1" pivotButton="0" quotePrefix="0" xfId="0">
      <alignment horizontal="left" vertical="center"/>
    </xf>
    <xf numFmtId="170" fontId="26" fillId="15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center" vertical="center"/>
    </xf>
    <xf numFmtId="180" fontId="46" fillId="5" borderId="1" applyAlignment="1" pivotButton="0" quotePrefix="0" xfId="0">
      <alignment horizontal="right" vertical="center"/>
    </xf>
    <xf numFmtId="180" fontId="10" fillId="5" borderId="1" applyAlignment="1" pivotButton="0" quotePrefix="0" xfId="0">
      <alignment horizontal="right" vertical="center"/>
    </xf>
    <xf numFmtId="170" fontId="10" fillId="4" borderId="1" applyAlignment="1" pivotButton="0" quotePrefix="0" xfId="0">
      <alignment horizontal="center" vertical="center"/>
    </xf>
    <xf numFmtId="169" fontId="10" fillId="4" borderId="1" applyAlignment="1" pivotButton="0" quotePrefix="0" xfId="0">
      <alignment horizontal="right" vertical="center"/>
    </xf>
    <xf numFmtId="181" fontId="10" fillId="4" borderId="1" applyAlignment="1" pivotButton="0" quotePrefix="0" xfId="0">
      <alignment horizontal="right" vertical="center"/>
    </xf>
    <xf numFmtId="170" fontId="10" fillId="5" borderId="1" applyAlignment="1" pivotButton="0" quotePrefix="0" xfId="0">
      <alignment horizontal="center" vertical="center"/>
    </xf>
    <xf numFmtId="169" fontId="10" fillId="5" borderId="1" applyAlignment="1" pivotButton="0" quotePrefix="0" xfId="0">
      <alignment horizontal="right" vertical="center"/>
    </xf>
    <xf numFmtId="181" fontId="10" fillId="5" borderId="1" applyAlignment="1" pivotButton="0" quotePrefix="0" xfId="0">
      <alignment horizontal="right" vertical="center"/>
    </xf>
    <xf numFmtId="170" fontId="14" fillId="7" borderId="1" applyAlignment="1" pivotButton="0" quotePrefix="0" xfId="0">
      <alignment horizontal="center" vertical="center"/>
    </xf>
    <xf numFmtId="169" fontId="14" fillId="7" borderId="1" applyAlignment="1" pivotButton="0" quotePrefix="0" xfId="0">
      <alignment horizontal="right" vertical="center"/>
    </xf>
    <xf numFmtId="181" fontId="14" fillId="7" borderId="1" applyAlignment="1" pivotButton="0" quotePrefix="0" xfId="0">
      <alignment horizontal="right" vertical="center"/>
    </xf>
    <xf numFmtId="14" fontId="26" fillId="15" borderId="1" applyAlignment="1" pivotButton="0" quotePrefix="0" xfId="0">
      <alignment horizontal="center" vertical="center"/>
    </xf>
    <xf numFmtId="182" fontId="14" fillId="4" borderId="1" applyAlignment="1" pivotButton="0" quotePrefix="0" xfId="0">
      <alignment horizontal="center" vertical="center"/>
    </xf>
    <xf numFmtId="0" fontId="48" fillId="4" borderId="1" applyAlignment="1" pivotButton="0" quotePrefix="0" xfId="0">
      <alignment horizontal="left" vertical="center"/>
    </xf>
    <xf numFmtId="0" fontId="27" fillId="1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/>
    </xf>
    <xf numFmtId="14" fontId="14" fillId="4" borderId="1" applyAlignment="1" pivotButton="0" quotePrefix="0" xfId="0">
      <alignment horizontal="center" vertical="center"/>
    </xf>
    <xf numFmtId="178" fontId="49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4" fontId="10" fillId="5" borderId="1" applyAlignment="1" pivotButton="0" quotePrefix="0" xfId="0">
      <alignment horizontal="center" vertical="center"/>
    </xf>
    <xf numFmtId="178" fontId="36" fillId="23" borderId="1" applyAlignment="1" pivotButton="0" quotePrefix="0" xfId="0">
      <alignment horizontal="right" vertical="center"/>
    </xf>
    <xf numFmtId="178" fontId="26" fillId="15" borderId="1" applyAlignment="1" pivotButton="0" quotePrefix="0" xfId="0">
      <alignment horizontal="right" vertical="center"/>
    </xf>
    <xf numFmtId="0" fontId="13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4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78" fontId="11" fillId="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left" vertical="center"/>
    </xf>
    <xf numFmtId="10" fontId="4" fillId="5" borderId="1" applyAlignment="1" pivotButton="0" quotePrefix="0" xfId="0">
      <alignment horizontal="right" vertical="center"/>
    </xf>
    <xf numFmtId="183" fontId="4" fillId="4" borderId="1" applyAlignment="1" pivotButton="0" quotePrefix="0" xfId="0">
      <alignment horizontal="right" vertical="center"/>
    </xf>
    <xf numFmtId="169" fontId="4" fillId="5" borderId="1" applyAlignment="1" pivotButton="0" quotePrefix="0" xfId="0">
      <alignment horizontal="right" vertical="center"/>
    </xf>
    <xf numFmtId="0" fontId="15" fillId="5" borderId="1" applyAlignment="1" pivotButton="0" quotePrefix="0" xfId="0">
      <alignment horizontal="center" vertical="center"/>
    </xf>
    <xf numFmtId="0" fontId="50" fillId="0" borderId="0" pivotButton="0" quotePrefix="0" xfId="0"/>
    <xf numFmtId="166" fontId="5" fillId="4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center" vertical="center"/>
    </xf>
    <xf numFmtId="164" fontId="4" fillId="7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center" vertical="center"/>
    </xf>
    <xf numFmtId="165" fontId="4" fillId="7" borderId="0" applyAlignment="1" pivotButton="0" quotePrefix="0" xfId="0">
      <alignment horizontal="right" vertical="center"/>
    </xf>
    <xf numFmtId="0" fontId="41" fillId="15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left" vertical="center"/>
    </xf>
    <xf numFmtId="164" fontId="5" fillId="4" borderId="0" applyAlignment="1" pivotButton="0" quotePrefix="0" xfId="0">
      <alignment horizontal="center" vertical="center"/>
    </xf>
    <xf numFmtId="165" fontId="5" fillId="5" borderId="0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178" fontId="15" fillId="8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left" vertical="center"/>
    </xf>
    <xf numFmtId="178" fontId="11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left" vertical="center"/>
    </xf>
    <xf numFmtId="178" fontId="11" fillId="13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center" vertical="center"/>
    </xf>
    <xf numFmtId="184" fontId="55" fillId="0" borderId="0" applyAlignment="1" pivotButton="0" quotePrefix="0" xfId="0">
      <alignment horizontal="center" vertical="center"/>
    </xf>
    <xf numFmtId="170" fontId="55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6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horizontal="left" vertical="center"/>
    </xf>
    <xf numFmtId="0" fontId="59" fillId="0" borderId="0" pivotButton="0" quotePrefix="0" xfId="0"/>
    <xf numFmtId="0" fontId="61" fillId="27" borderId="0" applyAlignment="1" pivotButton="0" quotePrefix="0" xfId="0">
      <alignment horizontal="left" vertical="center"/>
    </xf>
    <xf numFmtId="0" fontId="61" fillId="27" borderId="0" applyAlignment="1" pivotButton="0" quotePrefix="0" xfId="0">
      <alignment horizontal="center" vertical="center"/>
    </xf>
    <xf numFmtId="0" fontId="54" fillId="28" borderId="0" applyAlignment="1" pivotButton="0" quotePrefix="0" xfId="0">
      <alignment horizontal="left" vertical="center"/>
    </xf>
    <xf numFmtId="0" fontId="54" fillId="29" borderId="0" applyAlignment="1" pivotButton="0" quotePrefix="0" xfId="0">
      <alignment horizontal="left" vertical="center"/>
    </xf>
    <xf numFmtId="0" fontId="64" fillId="0" borderId="0" applyAlignment="1" pivotButton="0" quotePrefix="0" xfId="0">
      <alignment horizontal="left" vertical="center"/>
    </xf>
    <xf numFmtId="3" fontId="55" fillId="0" borderId="0" applyAlignment="1" pivotButton="0" quotePrefix="0" xfId="0">
      <alignment horizontal="center" vertical="center"/>
    </xf>
    <xf numFmtId="180" fontId="54" fillId="28" borderId="0" applyAlignment="1" pivotButton="0" quotePrefix="0" xfId="0">
      <alignment horizontal="center" vertical="center"/>
    </xf>
    <xf numFmtId="0" fontId="65" fillId="25" borderId="0" applyAlignment="1" pivotButton="0" quotePrefix="0" xfId="0">
      <alignment horizontal="left" vertical="center"/>
    </xf>
    <xf numFmtId="0" fontId="65" fillId="25" borderId="0" applyAlignment="1" pivotButton="0" quotePrefix="0" xfId="0">
      <alignment horizontal="center" vertical="center"/>
    </xf>
    <xf numFmtId="180" fontId="54" fillId="0" borderId="0" applyAlignment="1" pivotButton="0" quotePrefix="0" xfId="0">
      <alignment horizontal="center" vertical="center"/>
    </xf>
    <xf numFmtId="3" fontId="54" fillId="0" borderId="0" applyAlignment="1" pivotButton="0" quotePrefix="0" xfId="0">
      <alignment horizontal="center" vertical="center"/>
    </xf>
    <xf numFmtId="170" fontId="54" fillId="0" borderId="0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 vertical="center"/>
    </xf>
    <xf numFmtId="3" fontId="54" fillId="28" borderId="0" applyAlignment="1" pivotButton="0" quotePrefix="0" xfId="0">
      <alignment horizontal="center" vertical="center"/>
    </xf>
    <xf numFmtId="0" fontId="61" fillId="27" borderId="0" applyAlignment="1" pivotButton="0" quotePrefix="0" xfId="0">
      <alignment horizontal="center" vertical="center" wrapText="1"/>
    </xf>
    <xf numFmtId="0" fontId="66" fillId="0" borderId="0" pivotButton="0" quotePrefix="0" xfId="0"/>
    <xf numFmtId="0" fontId="68" fillId="30" borderId="0" pivotButton="0" quotePrefix="0" xfId="0"/>
    <xf numFmtId="0" fontId="68" fillId="31" borderId="0" pivotButton="0" quotePrefix="0" xfId="0"/>
    <xf numFmtId="0" fontId="66" fillId="0" borderId="0" pivotButton="0" quotePrefix="0" xfId="2"/>
    <xf numFmtId="0" fontId="61" fillId="24" borderId="0" applyAlignment="1" pivotButton="0" quotePrefix="0" xfId="0">
      <alignment horizontal="center"/>
    </xf>
    <xf numFmtId="0" fontId="4" fillId="4" borderId="0" pivotButton="0" quotePrefix="0" xfId="0"/>
    <xf numFmtId="0" fontId="51" fillId="0" borderId="0" pivotButton="0" quotePrefix="0" xfId="0"/>
    <xf numFmtId="0" fontId="4" fillId="5" borderId="0" pivotButton="0" quotePrefix="0" xfId="0"/>
    <xf numFmtId="170" fontId="22" fillId="0" borderId="0" pivotButton="0" quotePrefix="0" xfId="0"/>
    <xf numFmtId="171" fontId="51" fillId="0" borderId="0" pivotButton="0" quotePrefix="0" xfId="0"/>
    <xf numFmtId="0" fontId="69" fillId="32" borderId="0" pivotButton="0" quotePrefix="0" xfId="0"/>
    <xf numFmtId="0" fontId="16" fillId="10" borderId="0" applyAlignment="1" pivotButton="0" quotePrefix="0" xfId="0">
      <alignment vertical="center"/>
    </xf>
    <xf numFmtId="0" fontId="70" fillId="34" borderId="0" applyAlignment="1" pivotButton="0" quotePrefix="0" xfId="0">
      <alignment horizontal="left" vertical="center" indent="2"/>
    </xf>
    <xf numFmtId="0" fontId="71" fillId="33" borderId="0" applyAlignment="1" pivotButton="0" quotePrefix="0" xfId="0">
      <alignment horizontal="left" vertical="center" indent="2"/>
    </xf>
    <xf numFmtId="0" fontId="72" fillId="35" borderId="0" applyAlignment="1" pivotButton="0" quotePrefix="0" xfId="0">
      <alignment horizontal="left" vertical="center" indent="2"/>
    </xf>
    <xf numFmtId="185" fontId="0" fillId="0" borderId="0" pivotButton="0" quotePrefix="0" xfId="0"/>
    <xf numFmtId="185" fontId="73" fillId="34" borderId="0" applyAlignment="1" pivotButton="0" quotePrefix="0" xfId="0">
      <alignment horizontal="right" vertical="center"/>
    </xf>
    <xf numFmtId="172" fontId="0" fillId="0" borderId="0" pivotButton="0" quotePrefix="0" xfId="0"/>
    <xf numFmtId="0" fontId="76" fillId="38" borderId="0" applyAlignment="1" pivotButton="0" quotePrefix="0" xfId="0">
      <alignment horizontal="left" vertical="center" indent="2"/>
    </xf>
    <xf numFmtId="0" fontId="72" fillId="37" borderId="0" applyAlignment="1" pivotButton="0" quotePrefix="0" xfId="0">
      <alignment horizontal="left" vertical="center" indent="2"/>
    </xf>
    <xf numFmtId="0" fontId="77" fillId="38" borderId="0" applyAlignment="1" pivotButton="0" quotePrefix="0" xfId="0">
      <alignment horizontal="left" vertical="center" indent="2"/>
    </xf>
    <xf numFmtId="0" fontId="70" fillId="37" borderId="0" applyAlignment="1" pivotButton="0" quotePrefix="0" xfId="0">
      <alignment horizontal="left" vertical="center" indent="2"/>
    </xf>
    <xf numFmtId="0" fontId="72" fillId="34" borderId="0" applyAlignment="1" pivotButton="0" quotePrefix="0" xfId="0">
      <alignment horizontal="left" vertical="center" indent="2"/>
    </xf>
    <xf numFmtId="0" fontId="77" fillId="38" borderId="0" applyAlignment="1" pivotButton="0" quotePrefix="0" xfId="0">
      <alignment horizontal="left" vertical="center" indent="3"/>
    </xf>
    <xf numFmtId="0" fontId="72" fillId="34" borderId="0" applyAlignment="1" pivotButton="0" quotePrefix="0" xfId="0">
      <alignment horizontal="left" vertical="center" indent="1"/>
    </xf>
    <xf numFmtId="0" fontId="76" fillId="38" borderId="0" applyAlignment="1" pivotButton="0" quotePrefix="0" xfId="0">
      <alignment horizontal="left" vertical="center" indent="1"/>
    </xf>
    <xf numFmtId="0" fontId="72" fillId="37" borderId="0" applyAlignment="1" pivotButton="0" quotePrefix="0" xfId="0">
      <alignment horizontal="left" vertical="center" indent="1"/>
    </xf>
    <xf numFmtId="0" fontId="71" fillId="41" borderId="0" applyAlignment="1" pivotButton="0" quotePrefix="0" xfId="0">
      <alignment horizontal="left" vertical="center" indent="1"/>
    </xf>
    <xf numFmtId="0" fontId="72" fillId="36" borderId="0" applyAlignment="1" pivotButton="0" quotePrefix="0" xfId="0">
      <alignment horizontal="left" vertical="center" indent="1"/>
    </xf>
    <xf numFmtId="0" fontId="72" fillId="35" borderId="0" applyAlignment="1" pivotButton="0" quotePrefix="0" xfId="0">
      <alignment horizontal="left" vertical="center" indent="1"/>
    </xf>
    <xf numFmtId="175" fontId="78" fillId="38" borderId="0" applyAlignment="1" pivotButton="0" quotePrefix="0" xfId="0">
      <alignment horizontal="center"/>
    </xf>
    <xf numFmtId="185" fontId="70" fillId="37" borderId="0" applyAlignment="1" pivotButton="0" quotePrefix="0" xfId="0">
      <alignment horizontal="right"/>
    </xf>
    <xf numFmtId="175" fontId="79" fillId="38" borderId="0" applyAlignment="1" pivotButton="0" quotePrefix="0" xfId="0">
      <alignment horizontal="center"/>
    </xf>
    <xf numFmtId="185" fontId="72" fillId="34" borderId="0" applyAlignment="1" pivotButton="0" quotePrefix="0" xfId="0">
      <alignment horizontal="right" vertical="center"/>
    </xf>
    <xf numFmtId="175" fontId="78" fillId="38" borderId="0" applyAlignment="1" pivotButton="0" quotePrefix="0" xfId="0">
      <alignment horizontal="center" vertical="center"/>
    </xf>
    <xf numFmtId="185" fontId="72" fillId="37" borderId="0" applyAlignment="1" pivotButton="0" quotePrefix="0" xfId="0">
      <alignment horizontal="right" vertical="center"/>
    </xf>
    <xf numFmtId="175" fontId="80" fillId="38" borderId="0" applyAlignment="1" pivotButton="0" quotePrefix="0" xfId="0">
      <alignment horizontal="center"/>
    </xf>
    <xf numFmtId="175" fontId="81" fillId="38" borderId="0" applyAlignment="1" pivotButton="0" quotePrefix="0" xfId="0">
      <alignment horizontal="center"/>
    </xf>
    <xf numFmtId="175" fontId="80" fillId="38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right" vertical="center"/>
    </xf>
    <xf numFmtId="185" fontId="4" fillId="5" borderId="0" applyAlignment="1" pivotButton="0" quotePrefix="0" xfId="0">
      <alignment horizontal="right" vertical="center"/>
    </xf>
    <xf numFmtId="165" fontId="0" fillId="0" borderId="0" pivotButton="0" quotePrefix="0" xfId="0"/>
    <xf numFmtId="0" fontId="3" fillId="33" borderId="0" applyAlignment="1" pivotButton="0" quotePrefix="0" xfId="0">
      <alignment horizontal="left"/>
    </xf>
    <xf numFmtId="0" fontId="15" fillId="36" borderId="0" pivotButton="0" quotePrefix="0" xfId="0"/>
    <xf numFmtId="0" fontId="8" fillId="33" borderId="0" applyAlignment="1" pivotButton="0" quotePrefix="0" xfId="0">
      <alignment horizontal="center" vertical="center" wrapText="1"/>
    </xf>
    <xf numFmtId="0" fontId="3" fillId="33" borderId="0" applyAlignment="1" pivotButton="0" quotePrefix="0" xfId="0">
      <alignment horizontal="left" vertical="center" indent="2"/>
    </xf>
    <xf numFmtId="0" fontId="15" fillId="36" borderId="0" applyAlignment="1" pivotButton="0" quotePrefix="0" xfId="0">
      <alignment horizontal="left" vertical="center" indent="2"/>
    </xf>
    <xf numFmtId="0" fontId="15" fillId="36" borderId="0" applyAlignment="1" pivotButton="0" quotePrefix="0" xfId="0">
      <alignment horizontal="left" vertical="center" indent="1"/>
    </xf>
    <xf numFmtId="0" fontId="15" fillId="39" borderId="0" applyAlignment="1" pivotButton="0" quotePrefix="0" xfId="0">
      <alignment horizontal="left" vertical="center" indent="2"/>
    </xf>
    <xf numFmtId="185" fontId="54" fillId="0" borderId="0" applyAlignment="1" pivotButton="0" quotePrefix="0" xfId="0">
      <alignment horizontal="center" vertical="center"/>
    </xf>
    <xf numFmtId="185" fontId="54" fillId="28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left" vertical="center"/>
    </xf>
    <xf numFmtId="185" fontId="55" fillId="0" borderId="0" applyAlignment="1" pivotButton="0" quotePrefix="0" xfId="0">
      <alignment horizontal="center" vertical="center"/>
    </xf>
    <xf numFmtId="3" fontId="82" fillId="0" borderId="0" applyAlignment="1" pivotButton="0" quotePrefix="0" xfId="0">
      <alignment horizontal="center" vertical="center"/>
    </xf>
    <xf numFmtId="185" fontId="16" fillId="5" borderId="0" applyAlignment="1" pivotButton="0" quotePrefix="0" xfId="0">
      <alignment horizontal="right" vertical="center"/>
    </xf>
    <xf numFmtId="10" fontId="16" fillId="4" borderId="0" applyAlignment="1" pivotButton="0" quotePrefix="0" xfId="0">
      <alignment horizontal="right" vertical="center"/>
    </xf>
    <xf numFmtId="14" fontId="0" fillId="0" borderId="0" pivotButton="0" quotePrefix="0" xfId="0"/>
    <xf numFmtId="186" fontId="55" fillId="0" borderId="0" applyAlignment="1" pivotButton="0" quotePrefix="0" xfId="0">
      <alignment horizontal="center" vertical="center"/>
    </xf>
    <xf numFmtId="165" fontId="55" fillId="0" borderId="0" applyAlignment="1" pivotButton="0" quotePrefix="0" xfId="0">
      <alignment horizontal="center" vertical="center"/>
    </xf>
    <xf numFmtId="165" fontId="54" fillId="28" borderId="0" applyAlignment="1" pivotButton="0" quotePrefix="0" xfId="0">
      <alignment horizontal="center" vertical="center"/>
    </xf>
    <xf numFmtId="49" fontId="55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left" vertical="center"/>
    </xf>
    <xf numFmtId="187" fontId="55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61" fillId="42" borderId="0" applyAlignment="1" pivotButton="0" quotePrefix="0" xfId="0">
      <alignment horizontal="center" vertical="center" wrapText="1"/>
    </xf>
    <xf numFmtId="0" fontId="83" fillId="0" borderId="0" pivotButton="0" quotePrefix="0" xfId="0"/>
    <xf numFmtId="3" fontId="84" fillId="27" borderId="0" applyAlignment="1" pivotButton="0" quotePrefix="0" xfId="0">
      <alignment horizontal="center" vertical="center" wrapText="1"/>
    </xf>
    <xf numFmtId="185" fontId="61" fillId="27" borderId="0" applyAlignment="1" pivotButton="0" quotePrefix="0" xfId="0">
      <alignment horizontal="center" vertical="center" wrapText="1"/>
    </xf>
    <xf numFmtId="188" fontId="61" fillId="27" borderId="0" applyAlignment="1" pivotButton="0" quotePrefix="0" xfId="0">
      <alignment horizontal="center" vertical="center" wrapText="1"/>
    </xf>
    <xf numFmtId="3" fontId="0" fillId="0" borderId="0" pivotButton="0" quotePrefix="0" xfId="0"/>
    <xf numFmtId="188" fontId="0" fillId="0" borderId="0" pivotButton="0" quotePrefix="0" xfId="0"/>
    <xf numFmtId="185" fontId="0" fillId="0" borderId="0" applyAlignment="1" pivotButton="0" quotePrefix="0" xfId="0">
      <alignment horizontal="center"/>
    </xf>
    <xf numFmtId="170" fontId="0" fillId="0" borderId="0" pivotButton="0" quotePrefix="0" xfId="0"/>
    <xf numFmtId="0" fontId="0" fillId="0" borderId="0" pivotButton="0" quotePrefix="1" xfId="0"/>
    <xf numFmtId="0" fontId="86" fillId="0" borderId="0" pivotButton="0" quotePrefix="0" xfId="0"/>
    <xf numFmtId="0" fontId="61" fillId="42" borderId="0" applyAlignment="1" pivotButton="0" quotePrefix="0" xfId="0">
      <alignment horizontal="center"/>
    </xf>
    <xf numFmtId="185" fontId="87" fillId="0" borderId="0" pivotButton="0" quotePrefix="0" xfId="0"/>
    <xf numFmtId="189" fontId="87" fillId="0" borderId="0" pivotButton="0" quotePrefix="0" xfId="0"/>
    <xf numFmtId="186" fontId="87" fillId="0" borderId="0" pivotButton="0" quotePrefix="0" xfId="0"/>
    <xf numFmtId="0" fontId="54" fillId="42" borderId="0" applyAlignment="1" pivotButton="0" quotePrefix="0" xfId="0">
      <alignment horizontal="left" vertical="center"/>
    </xf>
    <xf numFmtId="17" fontId="61" fillId="27" borderId="0" applyAlignment="1" pivotButton="0" quotePrefix="0" xfId="0">
      <alignment horizontal="center" vertical="center"/>
    </xf>
    <xf numFmtId="0" fontId="70" fillId="34" borderId="0" applyAlignment="1" pivotButton="0" quotePrefix="0" xfId="0">
      <alignment horizontal="left" vertical="center" indent="1"/>
    </xf>
    <xf numFmtId="0" fontId="70" fillId="37" borderId="0" applyAlignment="1" pivotButton="0" quotePrefix="0" xfId="0">
      <alignment horizontal="left" vertical="center" indent="1"/>
    </xf>
    <xf numFmtId="0" fontId="88" fillId="43" borderId="0" applyAlignment="1" pivotButton="0" quotePrefix="0" xfId="0">
      <alignment vertical="center"/>
    </xf>
    <xf numFmtId="165" fontId="70" fillId="37" borderId="0" applyAlignment="1" pivotButton="0" quotePrefix="0" xfId="0">
      <alignment horizontal="center"/>
    </xf>
    <xf numFmtId="166" fontId="72" fillId="34" borderId="0" applyAlignment="1" pivotButton="0" quotePrefix="0" xfId="0">
      <alignment horizontal="right" vertical="center"/>
    </xf>
    <xf numFmtId="0" fontId="89" fillId="0" borderId="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center" indent="1"/>
    </xf>
    <xf numFmtId="164" fontId="73" fillId="34" borderId="0" applyAlignment="1" pivotButton="0" quotePrefix="0" xfId="0">
      <alignment horizontal="center"/>
    </xf>
    <xf numFmtId="164" fontId="73" fillId="35" borderId="0" applyAlignment="1" pivotButton="0" quotePrefix="0" xfId="0">
      <alignment horizontal="center"/>
    </xf>
    <xf numFmtId="164" fontId="70" fillId="3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5" fontId="73" fillId="34" borderId="0" applyAlignment="1" pivotButton="0" quotePrefix="0" xfId="0">
      <alignment horizontal="center"/>
    </xf>
    <xf numFmtId="185" fontId="73" fillId="35" borderId="0" applyAlignment="1" pivotButton="0" quotePrefix="0" xfId="0">
      <alignment horizontal="center"/>
    </xf>
    <xf numFmtId="185" fontId="70" fillId="34" borderId="0" applyAlignment="1" pivotButton="0" quotePrefix="0" xfId="0">
      <alignment horizontal="center"/>
    </xf>
    <xf numFmtId="185" fontId="70" fillId="37" borderId="0" applyAlignment="1" pivotButton="0" quotePrefix="0" xfId="0">
      <alignment horizontal="center"/>
    </xf>
    <xf numFmtId="185" fontId="72" fillId="34" borderId="0" applyAlignment="1" pivotButton="0" quotePrefix="0" xfId="0">
      <alignment horizontal="center" vertical="center"/>
    </xf>
    <xf numFmtId="185" fontId="74" fillId="35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center" vertical="center"/>
    </xf>
    <xf numFmtId="185" fontId="72" fillId="37" borderId="0" applyAlignment="1" pivotButton="0" quotePrefix="0" xfId="0">
      <alignment horizontal="center" vertical="center"/>
    </xf>
    <xf numFmtId="166" fontId="4" fillId="5" borderId="0" applyAlignment="1" pivotButton="0" quotePrefix="0" xfId="0">
      <alignment horizontal="center" vertical="center"/>
    </xf>
    <xf numFmtId="185" fontId="70" fillId="37" borderId="0" applyAlignment="1" pivotButton="0" quotePrefix="0" xfId="0">
      <alignment horizontal="center" vertical="center"/>
    </xf>
    <xf numFmtId="185" fontId="73" fillId="35" borderId="0" applyAlignment="1" pivotButton="0" quotePrefix="0" xfId="0">
      <alignment horizontal="center" vertical="center"/>
    </xf>
    <xf numFmtId="185" fontId="73" fillId="34" borderId="0" applyAlignment="1" pivotButton="0" quotePrefix="0" xfId="0">
      <alignment horizontal="center" vertical="center"/>
    </xf>
    <xf numFmtId="166" fontId="5" fillId="8" borderId="0" applyAlignment="1" pivotButton="0" quotePrefix="0" xfId="0">
      <alignment horizontal="center" vertical="center"/>
    </xf>
    <xf numFmtId="166" fontId="4" fillId="4" borderId="0" applyAlignment="1" pivotButton="0" quotePrefix="0" xfId="0">
      <alignment horizontal="center" vertical="center"/>
    </xf>
    <xf numFmtId="164" fontId="73" fillId="34" borderId="0" applyAlignment="1" pivotButton="0" quotePrefix="0" xfId="0">
      <alignment horizontal="center" vertical="center"/>
    </xf>
    <xf numFmtId="164" fontId="73" fillId="35" borderId="0" applyAlignment="1" pivotButton="0" quotePrefix="0" xfId="0">
      <alignment horizontal="center" vertical="center"/>
    </xf>
    <xf numFmtId="164" fontId="70" fillId="34" borderId="0" applyAlignment="1" pivotButton="0" quotePrefix="0" xfId="0">
      <alignment horizontal="center" vertical="center"/>
    </xf>
    <xf numFmtId="185" fontId="70" fillId="34" borderId="0" applyAlignment="1" pivotButton="0" quotePrefix="0" xfId="0">
      <alignment horizontal="center" vertical="center"/>
    </xf>
    <xf numFmtId="185" fontId="15" fillId="8" borderId="0" applyAlignment="1" pivotButton="0" quotePrefix="0" xfId="0">
      <alignment horizontal="center" vertical="center"/>
    </xf>
    <xf numFmtId="164" fontId="72" fillId="36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85" fontId="72" fillId="35" borderId="0" applyAlignment="1" pivotButton="0" quotePrefix="0" xfId="0">
      <alignment horizontal="center" vertical="center"/>
    </xf>
    <xf numFmtId="185" fontId="74" fillId="34" borderId="0" applyAlignment="1" pivotButton="0" quotePrefix="0" xfId="0">
      <alignment horizontal="center" vertical="center"/>
    </xf>
    <xf numFmtId="185" fontId="4" fillId="5" borderId="0" applyAlignment="1" pivotButton="0" quotePrefix="0" xfId="0">
      <alignment horizontal="center" vertical="center"/>
    </xf>
    <xf numFmtId="185" fontId="73" fillId="37" borderId="0" applyAlignment="1" pivotButton="0" quotePrefix="0" xfId="0">
      <alignment horizontal="center"/>
    </xf>
    <xf numFmtId="185" fontId="5" fillId="8" borderId="0" applyAlignment="1" pivotButton="0" quotePrefix="0" xfId="0">
      <alignment horizontal="center" vertical="center"/>
    </xf>
    <xf numFmtId="166" fontId="15" fillId="4" borderId="0" applyAlignment="1" pivotButton="0" quotePrefix="0" xfId="0">
      <alignment horizontal="center" vertical="center"/>
    </xf>
    <xf numFmtId="185" fontId="74" fillId="39" borderId="0" applyAlignment="1" pivotButton="0" quotePrefix="0" xfId="0">
      <alignment horizontal="center" vertical="center"/>
    </xf>
    <xf numFmtId="185" fontId="15" fillId="14" borderId="0" applyAlignment="1" pivotButton="0" quotePrefix="0" xfId="0">
      <alignment horizontal="center" vertical="center"/>
    </xf>
    <xf numFmtId="166" fontId="15" fillId="14" borderId="0" applyAlignment="1" pivotButton="0" quotePrefix="0" xfId="0">
      <alignment horizontal="center" vertical="center"/>
    </xf>
    <xf numFmtId="165" fontId="15" fillId="14" borderId="0" applyAlignment="1" pivotButton="0" quotePrefix="0" xfId="0">
      <alignment horizontal="center" vertical="center"/>
    </xf>
    <xf numFmtId="166" fontId="83" fillId="0" borderId="0" applyAlignment="1" pivotButton="0" quotePrefix="0" xfId="0">
      <alignment horizontal="center"/>
    </xf>
    <xf numFmtId="185" fontId="75" fillId="40" borderId="0" applyAlignment="1" pivotButton="0" quotePrefix="0" xfId="0">
      <alignment horizontal="center" vertical="center"/>
    </xf>
    <xf numFmtId="166" fontId="11" fillId="12" borderId="0" applyAlignment="1" pivotButton="0" quotePrefix="0" xfId="0">
      <alignment horizontal="center" vertical="center"/>
    </xf>
    <xf numFmtId="165" fontId="11" fillId="12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center" vertical="center"/>
    </xf>
    <xf numFmtId="0" fontId="72" fillId="37" borderId="0" applyAlignment="1" pivotButton="0" quotePrefix="0" xfId="0">
      <alignment horizontal="right"/>
    </xf>
    <xf numFmtId="0" fontId="91" fillId="43" borderId="0" applyAlignment="1" pivotButton="0" quotePrefix="0" xfId="0">
      <alignment horizontal="center"/>
    </xf>
    <xf numFmtId="0" fontId="70" fillId="37" borderId="0" pivotButton="0" quotePrefix="0" xfId="0"/>
    <xf numFmtId="0" fontId="72" fillId="36" borderId="0" pivotButton="0" quotePrefix="0" xfId="0"/>
    <xf numFmtId="0" fontId="71" fillId="33" borderId="0" applyAlignment="1" pivotButton="0" quotePrefix="0" xfId="0">
      <alignment horizontal="left" vertical="center"/>
    </xf>
    <xf numFmtId="0" fontId="71" fillId="33" borderId="0" applyAlignment="1" pivotButton="0" quotePrefix="0" xfId="0">
      <alignment horizontal="left"/>
    </xf>
    <xf numFmtId="0" fontId="0" fillId="0" borderId="5" pivotButton="0" quotePrefix="0" xfId="0"/>
    <xf numFmtId="0" fontId="71" fillId="41" borderId="0" applyAlignment="1" pivotButton="0" quotePrefix="0" xfId="0">
      <alignment horizontal="left" vertical="center"/>
    </xf>
    <xf numFmtId="0" fontId="71" fillId="41" borderId="0" applyAlignment="1" pivotButton="0" quotePrefix="0" xfId="0">
      <alignment horizontal="left"/>
    </xf>
    <xf numFmtId="0" fontId="55" fillId="0" borderId="5" applyAlignment="1" pivotButton="0" quotePrefix="0" xfId="0">
      <alignment horizontal="left" vertical="center"/>
    </xf>
    <xf numFmtId="185" fontId="0" fillId="0" borderId="5" applyAlignment="1" pivotButton="0" quotePrefix="0" xfId="0">
      <alignment horizontal="center"/>
    </xf>
    <xf numFmtId="0" fontId="53" fillId="0" borderId="5" applyAlignment="1" pivotButton="0" quotePrefix="0" xfId="0">
      <alignment horizontal="left" vertical="center"/>
    </xf>
    <xf numFmtId="0" fontId="54" fillId="28" borderId="5" applyAlignment="1" pivotButton="0" quotePrefix="0" xfId="0">
      <alignment horizontal="left" vertical="center"/>
    </xf>
    <xf numFmtId="3" fontId="54" fillId="28" borderId="5" applyAlignment="1" pivotButton="0" quotePrefix="0" xfId="0">
      <alignment horizontal="center" vertical="center"/>
    </xf>
    <xf numFmtId="165" fontId="54" fillId="28" borderId="5" applyAlignment="1" pivotButton="0" quotePrefix="0" xfId="0">
      <alignment horizontal="center" vertical="center"/>
    </xf>
    <xf numFmtId="180" fontId="54" fillId="28" borderId="5" applyAlignment="1" pivotButton="0" quotePrefix="0" xfId="0">
      <alignment horizontal="center" vertical="center"/>
    </xf>
    <xf numFmtId="0" fontId="56" fillId="0" borderId="5" applyAlignment="1" pivotButton="0" quotePrefix="0" xfId="0">
      <alignment horizontal="center" vertical="center"/>
    </xf>
    <xf numFmtId="3" fontId="0" fillId="0" borderId="5" pivotButton="0" quotePrefix="0" xfId="0"/>
    <xf numFmtId="0" fontId="93" fillId="33" borderId="1" applyAlignment="1" pivotButton="0" quotePrefix="0" xfId="0">
      <alignment horizontal="center" vertical="center" wrapText="1"/>
    </xf>
    <xf numFmtId="0" fontId="93" fillId="33" borderId="7" applyAlignment="1" pivotButton="0" quotePrefix="0" xfId="0">
      <alignment horizontal="center" vertical="center" wrapText="1"/>
    </xf>
    <xf numFmtId="0" fontId="0" fillId="37" borderId="0" pivotButton="0" quotePrefix="0" xfId="0"/>
    <xf numFmtId="0" fontId="94" fillId="45" borderId="0" applyAlignment="1" pivotButton="0" quotePrefix="0" xfId="0">
      <alignment horizontal="left"/>
    </xf>
    <xf numFmtId="0" fontId="93" fillId="33" borderId="0" applyAlignment="1" pivotButton="0" quotePrefix="0" xfId="0">
      <alignment horizontal="center" vertical="center" wrapText="1"/>
    </xf>
    <xf numFmtId="0" fontId="71" fillId="44" borderId="0" applyAlignment="1" pivotButton="0" quotePrefix="0" xfId="0">
      <alignment horizontal="left"/>
    </xf>
    <xf numFmtId="0" fontId="71" fillId="44" borderId="9" applyAlignment="1" pivotButton="0" quotePrefix="0" xfId="0">
      <alignment horizontal="left" vertical="center"/>
    </xf>
    <xf numFmtId="0" fontId="93" fillId="33" borderId="11" applyAlignment="1" pivotButton="0" quotePrefix="0" xfId="0">
      <alignment horizontal="center" vertical="center" wrapText="1"/>
    </xf>
    <xf numFmtId="0" fontId="71" fillId="44" borderId="12" applyAlignment="1" pivotButton="0" quotePrefix="0" xfId="0">
      <alignment horizontal="left" vertical="center"/>
    </xf>
    <xf numFmtId="0" fontId="71" fillId="44" borderId="14" applyAlignment="1" pivotButton="0" quotePrefix="0" xfId="0">
      <alignment horizontal="left"/>
    </xf>
    <xf numFmtId="0" fontId="71" fillId="44" borderId="15" applyAlignment="1" pivotButton="0" quotePrefix="0" xfId="0">
      <alignment horizontal="left" vertical="center"/>
    </xf>
    <xf numFmtId="0" fontId="93" fillId="33" borderId="16" applyAlignment="1" pivotButton="0" quotePrefix="0" xfId="0">
      <alignment horizontal="center" vertical="center" wrapText="1"/>
    </xf>
    <xf numFmtId="0" fontId="94" fillId="45" borderId="16" applyAlignment="1" pivotButton="0" quotePrefix="0" xfId="0">
      <alignment horizontal="left"/>
    </xf>
    <xf numFmtId="0" fontId="71" fillId="44" borderId="16" applyAlignment="1" pivotButton="0" quotePrefix="0" xfId="0">
      <alignment horizontal="left"/>
    </xf>
    <xf numFmtId="0" fontId="70" fillId="37" borderId="18" applyAlignment="1" pivotButton="0" quotePrefix="0" xfId="0">
      <alignment horizontal="left" vertical="center"/>
    </xf>
    <xf numFmtId="166" fontId="70" fillId="37" borderId="19" applyAlignment="1" pivotButton="0" quotePrefix="0" xfId="0">
      <alignment horizontal="right" vertical="center"/>
    </xf>
    <xf numFmtId="165" fontId="70" fillId="37" borderId="19" applyAlignment="1" pivotButton="0" quotePrefix="0" xfId="0">
      <alignment horizontal="right" vertical="center"/>
    </xf>
    <xf numFmtId="0" fontId="70" fillId="37" borderId="20" pivotButton="0" quotePrefix="0" xfId="0"/>
    <xf numFmtId="0" fontId="70" fillId="37" borderId="21" pivotButton="0" quotePrefix="0" xfId="0"/>
    <xf numFmtId="0" fontId="70" fillId="37" borderId="22" applyAlignment="1" pivotButton="0" quotePrefix="0" xfId="0">
      <alignment horizontal="left" vertical="center"/>
    </xf>
    <xf numFmtId="166" fontId="70" fillId="37" borderId="23" applyAlignment="1" pivotButton="0" quotePrefix="0" xfId="0">
      <alignment horizontal="right" vertical="center"/>
    </xf>
    <xf numFmtId="165" fontId="70" fillId="37" borderId="23" applyAlignment="1" pivotButton="0" quotePrefix="0" xfId="0">
      <alignment horizontal="right" vertical="center"/>
    </xf>
    <xf numFmtId="0" fontId="70" fillId="37" borderId="24" pivotButton="0" quotePrefix="0" xfId="0"/>
    <xf numFmtId="0" fontId="70" fillId="37" borderId="25" pivotButton="0" quotePrefix="0" xfId="0"/>
    <xf numFmtId="0" fontId="94" fillId="45" borderId="24" applyAlignment="1" pivotButton="0" quotePrefix="0" xfId="0">
      <alignment horizontal="left"/>
    </xf>
    <xf numFmtId="0" fontId="94" fillId="45" borderId="25" applyAlignment="1" pivotButton="0" quotePrefix="0" xfId="0">
      <alignment horizontal="left"/>
    </xf>
    <xf numFmtId="0" fontId="72" fillId="46" borderId="27" applyAlignment="1" pivotButton="0" quotePrefix="0" xfId="0">
      <alignment horizontal="left" vertical="center"/>
    </xf>
    <xf numFmtId="166" fontId="72" fillId="46" borderId="28" applyAlignment="1" pivotButton="0" quotePrefix="0" xfId="0">
      <alignment horizontal="right" vertical="center"/>
    </xf>
    <xf numFmtId="165" fontId="72" fillId="46" borderId="28" applyAlignment="1" pivotButton="0" quotePrefix="0" xfId="0">
      <alignment horizontal="right" vertical="center"/>
    </xf>
    <xf numFmtId="0" fontId="72" fillId="46" borderId="29" pivotButton="0" quotePrefix="0" xfId="0"/>
    <xf numFmtId="0" fontId="72" fillId="46" borderId="30" pivotButton="0" quotePrefix="0" xfId="0"/>
    <xf numFmtId="0" fontId="94" fillId="45" borderId="31" applyAlignment="1" pivotButton="0" quotePrefix="0" xfId="0">
      <alignment horizontal="left" vertical="center"/>
    </xf>
    <xf numFmtId="0" fontId="94" fillId="45" borderId="20" applyAlignment="1" pivotButton="0" quotePrefix="0" xfId="0">
      <alignment horizontal="left"/>
    </xf>
    <xf numFmtId="0" fontId="94" fillId="45" borderId="21" applyAlignment="1" pivotButton="0" quotePrefix="0" xfId="0">
      <alignment horizontal="left"/>
    </xf>
    <xf numFmtId="0" fontId="70" fillId="37" borderId="32" applyAlignment="1" pivotButton="0" quotePrefix="0" xfId="0">
      <alignment horizontal="left"/>
    </xf>
    <xf numFmtId="3" fontId="88" fillId="38" borderId="24" applyAlignment="1" pivotButton="0" quotePrefix="0" xfId="0">
      <alignment horizontal="right"/>
    </xf>
    <xf numFmtId="185" fontId="88" fillId="38" borderId="24" applyAlignment="1" pivotButton="0" quotePrefix="0" xfId="0">
      <alignment horizontal="right"/>
    </xf>
    <xf numFmtId="185" fontId="70" fillId="37" borderId="24" applyAlignment="1" pivotButton="0" quotePrefix="0" xfId="0">
      <alignment horizontal="right"/>
    </xf>
    <xf numFmtId="190" fontId="70" fillId="37" borderId="24" applyAlignment="1" pivotButton="0" quotePrefix="0" xfId="0">
      <alignment horizontal="right"/>
    </xf>
    <xf numFmtId="185" fontId="88" fillId="43" borderId="24" applyAlignment="1" pivotButton="0" quotePrefix="0" xfId="0">
      <alignment horizontal="right"/>
    </xf>
    <xf numFmtId="165" fontId="70" fillId="37" borderId="24" applyAlignment="1" pivotButton="0" quotePrefix="0" xfId="0">
      <alignment horizontal="right"/>
    </xf>
    <xf numFmtId="0" fontId="94" fillId="45" borderId="32" applyAlignment="1" pivotButton="0" quotePrefix="0" xfId="0">
      <alignment horizontal="left"/>
    </xf>
    <xf numFmtId="166" fontId="94" fillId="45" borderId="24" applyAlignment="1" pivotButton="0" quotePrefix="0" xfId="0">
      <alignment horizontal="left"/>
    </xf>
    <xf numFmtId="171" fontId="94" fillId="45" borderId="24" applyAlignment="1" pivotButton="0" quotePrefix="0" xfId="0">
      <alignment horizontal="left"/>
    </xf>
    <xf numFmtId="0" fontId="72" fillId="46" borderId="32" applyAlignment="1" pivotButton="0" quotePrefix="0" xfId="0">
      <alignment horizontal="left"/>
    </xf>
    <xf numFmtId="3" fontId="72" fillId="46" borderId="24" applyAlignment="1" pivotButton="0" quotePrefix="0" xfId="0">
      <alignment horizontal="right"/>
    </xf>
    <xf numFmtId="185" fontId="72" fillId="46" borderId="24" applyAlignment="1" pivotButton="0" quotePrefix="0" xfId="0">
      <alignment horizontal="right"/>
    </xf>
    <xf numFmtId="190" fontId="72" fillId="46" borderId="24" applyAlignment="1" pivotButton="0" quotePrefix="0" xfId="0">
      <alignment horizontal="right"/>
    </xf>
    <xf numFmtId="165" fontId="72" fillId="46" borderId="24" applyAlignment="1" pivotButton="0" quotePrefix="0" xfId="0">
      <alignment horizontal="right"/>
    </xf>
    <xf numFmtId="0" fontId="72" fillId="46" borderId="24" pivotButton="0" quotePrefix="0" xfId="0"/>
    <xf numFmtId="0" fontId="72" fillId="46" borderId="25" pivotButton="0" quotePrefix="0" xfId="0"/>
    <xf numFmtId="0" fontId="71" fillId="33" borderId="33" applyAlignment="1" pivotButton="0" quotePrefix="0" xfId="0">
      <alignment horizontal="left"/>
    </xf>
    <xf numFmtId="3" fontId="71" fillId="33" borderId="34" applyAlignment="1" pivotButton="0" quotePrefix="0" xfId="0">
      <alignment horizontal="right"/>
    </xf>
    <xf numFmtId="185" fontId="71" fillId="33" borderId="34" applyAlignment="1" pivotButton="0" quotePrefix="0" xfId="0">
      <alignment horizontal="right"/>
    </xf>
    <xf numFmtId="190" fontId="71" fillId="33" borderId="34" applyAlignment="1" pivotButton="0" quotePrefix="0" xfId="0">
      <alignment horizontal="right"/>
    </xf>
    <xf numFmtId="165" fontId="71" fillId="33" borderId="34" applyAlignment="1" pivotButton="0" quotePrefix="0" xfId="0">
      <alignment horizontal="right"/>
    </xf>
    <xf numFmtId="0" fontId="71" fillId="33" borderId="34" pivotButton="0" quotePrefix="0" xfId="0"/>
    <xf numFmtId="0" fontId="71" fillId="33" borderId="35" pivotButton="0" quotePrefix="0" xfId="0"/>
    <xf numFmtId="0" fontId="93" fillId="33" borderId="36" applyAlignment="1" pivotButton="0" quotePrefix="0" xfId="0">
      <alignment horizontal="center" vertical="center" wrapText="1"/>
    </xf>
    <xf numFmtId="3" fontId="70" fillId="37" borderId="37" applyAlignment="1" pivotButton="0" quotePrefix="0" xfId="0">
      <alignment horizontal="right" vertical="center"/>
    </xf>
    <xf numFmtId="3" fontId="70" fillId="37" borderId="38" applyAlignment="1" pivotButton="0" quotePrefix="0" xfId="0">
      <alignment horizontal="right" vertical="center"/>
    </xf>
    <xf numFmtId="3" fontId="72" fillId="46" borderId="39" applyAlignment="1" pivotButton="0" quotePrefix="0" xfId="0">
      <alignment horizontal="right" vertical="center"/>
    </xf>
    <xf numFmtId="166" fontId="70" fillId="37" borderId="40" applyAlignment="1" pivotButton="0" quotePrefix="0" xfId="0">
      <alignment horizontal="right" vertical="center"/>
    </xf>
    <xf numFmtId="166" fontId="70" fillId="37" borderId="26" applyAlignment="1" pivotButton="0" quotePrefix="0" xfId="0">
      <alignment horizontal="right" vertical="center"/>
    </xf>
    <xf numFmtId="166" fontId="72" fillId="46" borderId="41" applyAlignment="1" pivotButton="0" quotePrefix="0" xfId="0">
      <alignment horizontal="right" vertical="center"/>
    </xf>
    <xf numFmtId="0" fontId="93" fillId="33" borderId="42" applyAlignment="1" pivotButton="0" quotePrefix="0" xfId="0">
      <alignment horizontal="center" vertical="center" wrapText="1"/>
    </xf>
    <xf numFmtId="3" fontId="70" fillId="37" borderId="43" applyAlignment="1" pivotButton="0" quotePrefix="0" xfId="0">
      <alignment horizontal="right" vertical="center"/>
    </xf>
    <xf numFmtId="3" fontId="70" fillId="37" borderId="44" applyAlignment="1" pivotButton="0" quotePrefix="0" xfId="0">
      <alignment horizontal="right" vertical="center"/>
    </xf>
    <xf numFmtId="0" fontId="94" fillId="45" borderId="45" applyAlignment="1" pivotButton="0" quotePrefix="0" xfId="0">
      <alignment horizontal="left"/>
    </xf>
    <xf numFmtId="3" fontId="72" fillId="46" borderId="46" applyAlignment="1" pivotButton="0" quotePrefix="0" xfId="0">
      <alignment horizontal="right" vertical="center"/>
    </xf>
    <xf numFmtId="0" fontId="94" fillId="45" borderId="47" applyAlignment="1" pivotButton="0" quotePrefix="0" xfId="0">
      <alignment horizontal="left"/>
    </xf>
    <xf numFmtId="164" fontId="88" fillId="38" borderId="45" applyAlignment="1" pivotButton="0" quotePrefix="0" xfId="0">
      <alignment horizontal="right"/>
    </xf>
    <xf numFmtId="164" fontId="72" fillId="46" borderId="45" applyAlignment="1" pivotButton="0" quotePrefix="0" xfId="0">
      <alignment horizontal="right"/>
    </xf>
    <xf numFmtId="164" fontId="71" fillId="33" borderId="48" applyAlignment="1" pivotButton="0" quotePrefix="0" xfId="0">
      <alignment horizontal="right"/>
    </xf>
    <xf numFmtId="0" fontId="93" fillId="33" borderId="49" applyAlignment="1" pivotButton="0" quotePrefix="0" xfId="0">
      <alignment horizontal="center" vertical="center" wrapText="1"/>
    </xf>
    <xf numFmtId="191" fontId="70" fillId="37" borderId="50" applyAlignment="1" pivotButton="0" quotePrefix="0" xfId="0">
      <alignment horizontal="right" vertical="center"/>
    </xf>
    <xf numFmtId="191" fontId="70" fillId="37" borderId="51" applyAlignment="1" pivotButton="0" quotePrefix="0" xfId="0">
      <alignment horizontal="right" vertical="center"/>
    </xf>
    <xf numFmtId="191" fontId="72" fillId="46" borderId="52" applyAlignment="1" pivotButton="0" quotePrefix="0" xfId="0">
      <alignment horizontal="right" vertical="center"/>
    </xf>
    <xf numFmtId="190" fontId="70" fillId="37" borderId="25" applyAlignment="1" pivotButton="0" quotePrefix="0" xfId="0">
      <alignment horizontal="right"/>
    </xf>
    <xf numFmtId="171" fontId="94" fillId="45" borderId="25" applyAlignment="1" pivotButton="0" quotePrefix="0" xfId="0">
      <alignment horizontal="left"/>
    </xf>
    <xf numFmtId="190" fontId="72" fillId="46" borderId="25" applyAlignment="1" pivotButton="0" quotePrefix="0" xfId="0">
      <alignment horizontal="right"/>
    </xf>
    <xf numFmtId="190" fontId="71" fillId="33" borderId="35" applyAlignment="1" pivotButton="0" quotePrefix="0" xfId="0">
      <alignment horizontal="right"/>
    </xf>
    <xf numFmtId="191" fontId="70" fillId="37" borderId="37" applyAlignment="1" pivotButton="0" quotePrefix="0" xfId="0">
      <alignment horizontal="right" vertical="center"/>
    </xf>
    <xf numFmtId="191" fontId="70" fillId="37" borderId="38" applyAlignment="1" pivotButton="0" quotePrefix="0" xfId="0">
      <alignment horizontal="right" vertical="center"/>
    </xf>
    <xf numFmtId="191" fontId="72" fillId="46" borderId="39" applyAlignment="1" pivotButton="0" quotePrefix="0" xfId="0">
      <alignment horizontal="right" vertical="center"/>
    </xf>
    <xf numFmtId="0" fontId="93" fillId="33" borderId="53" applyAlignment="1" pivotButton="0" quotePrefix="0" xfId="0">
      <alignment horizontal="center" vertical="center" wrapText="1"/>
    </xf>
    <xf numFmtId="0" fontId="71" fillId="44" borderId="57" applyAlignment="1" pivotButton="0" quotePrefix="0" xfId="0">
      <alignment horizontal="left"/>
    </xf>
    <xf numFmtId="0" fontId="94" fillId="45" borderId="58" applyAlignment="1" pivotButton="0" quotePrefix="0" xfId="0">
      <alignment horizontal="left"/>
    </xf>
    <xf numFmtId="0" fontId="70" fillId="37" borderId="55" pivotButton="0" quotePrefix="0" xfId="0"/>
    <xf numFmtId="0" fontId="94" fillId="45" borderId="55" applyAlignment="1" pivotButton="0" quotePrefix="0" xfId="0">
      <alignment horizontal="left"/>
    </xf>
    <xf numFmtId="0" fontId="72" fillId="46" borderId="55" pivotButton="0" quotePrefix="0" xfId="0"/>
    <xf numFmtId="0" fontId="71" fillId="33" borderId="59" pivotButton="0" quotePrefix="0" xfId="0"/>
    <xf numFmtId="0" fontId="70" fillId="34" borderId="0" pivotButton="0" quotePrefix="0" xfId="0"/>
    <xf numFmtId="0" fontId="71" fillId="44" borderId="9" applyAlignment="1" pivotButton="0" quotePrefix="0" xfId="0">
      <alignment horizontal="left"/>
    </xf>
    <xf numFmtId="0" fontId="71" fillId="44" borderId="60" applyAlignment="1" pivotButton="0" quotePrefix="0" xfId="0">
      <alignment horizontal="left"/>
    </xf>
    <xf numFmtId="0" fontId="0" fillId="0" borderId="13" pivotButton="0" quotePrefix="0" xfId="0"/>
    <xf numFmtId="0" fontId="71" fillId="44" borderId="15" applyAlignment="1" pivotButton="0" quotePrefix="0" xfId="0">
      <alignment horizontal="left"/>
    </xf>
    <xf numFmtId="0" fontId="0" fillId="0" borderId="16" pivotButton="0" quotePrefix="0" xfId="0"/>
    <xf numFmtId="0" fontId="72" fillId="34" borderId="61" applyAlignment="1" pivotButton="0" quotePrefix="0" xfId="0">
      <alignment horizontal="left"/>
    </xf>
    <xf numFmtId="0" fontId="70" fillId="34" borderId="20" pivotButton="0" quotePrefix="0" xfId="0"/>
    <xf numFmtId="0" fontId="72" fillId="37" borderId="32" applyAlignment="1" pivotButton="0" quotePrefix="0" xfId="0">
      <alignment horizontal="left"/>
    </xf>
    <xf numFmtId="0" fontId="95" fillId="37" borderId="24" applyAlignment="1" pivotButton="0" quotePrefix="0" xfId="0">
      <alignment horizontal="left"/>
    </xf>
    <xf numFmtId="0" fontId="72" fillId="34" borderId="32" applyAlignment="1" pivotButton="0" quotePrefix="0" xfId="0">
      <alignment horizontal="left"/>
    </xf>
    <xf numFmtId="0" fontId="70" fillId="34" borderId="24" pivotButton="0" quotePrefix="0" xfId="0"/>
    <xf numFmtId="0" fontId="95" fillId="34" borderId="24" applyAlignment="1" pivotButton="0" quotePrefix="0" xfId="0">
      <alignment horizontal="left"/>
    </xf>
    <xf numFmtId="0" fontId="71" fillId="44" borderId="62" applyAlignment="1" pivotButton="0" quotePrefix="0" xfId="0">
      <alignment horizontal="left"/>
    </xf>
    <xf numFmtId="0" fontId="75" fillId="33" borderId="4" applyAlignment="1" pivotButton="0" quotePrefix="0" xfId="0">
      <alignment horizontal="center"/>
    </xf>
    <xf numFmtId="185" fontId="72" fillId="34" borderId="63" applyAlignment="1" pivotButton="0" quotePrefix="0" xfId="0">
      <alignment horizontal="right"/>
    </xf>
    <xf numFmtId="185" fontId="72" fillId="37" borderId="26" applyAlignment="1" pivotButton="0" quotePrefix="0" xfId="0">
      <alignment horizontal="right"/>
    </xf>
    <xf numFmtId="185" fontId="70" fillId="34" borderId="26" applyAlignment="1" pivotButton="0" quotePrefix="0" xfId="0">
      <alignment horizontal="right"/>
    </xf>
    <xf numFmtId="166" fontId="72" fillId="37" borderId="40" applyAlignment="1" pivotButton="0" quotePrefix="0" xfId="0">
      <alignment horizontal="right" vertical="center"/>
    </xf>
    <xf numFmtId="166" fontId="72" fillId="37" borderId="26" applyAlignment="1" pivotButton="0" quotePrefix="0" xfId="0">
      <alignment horizontal="right" vertical="center"/>
    </xf>
    <xf numFmtId="0" fontId="72" fillId="38" borderId="33" applyAlignment="1" pivotButton="0" quotePrefix="0" xfId="0">
      <alignment horizontal="left"/>
    </xf>
    <xf numFmtId="0" fontId="72" fillId="38" borderId="34" pivotButton="0" quotePrefix="0" xfId="0"/>
    <xf numFmtId="185" fontId="72" fillId="38" borderId="64" applyAlignment="1" pivotButton="0" quotePrefix="0" xfId="0">
      <alignment horizontal="right"/>
    </xf>
    <xf numFmtId="0" fontId="96" fillId="38" borderId="34" applyAlignment="1" pivotButton="0" quotePrefix="0" xfId="0">
      <alignment horizontal="left"/>
    </xf>
    <xf numFmtId="0" fontId="77" fillId="34" borderId="21" applyAlignment="1" pivotButton="0" quotePrefix="0" xfId="0">
      <alignment horizontal="left" wrapText="1"/>
    </xf>
    <xf numFmtId="0" fontId="77" fillId="37" borderId="25" applyAlignment="1" pivotButton="0" quotePrefix="0" xfId="0">
      <alignment horizontal="left" wrapText="1"/>
    </xf>
    <xf numFmtId="0" fontId="77" fillId="34" borderId="25" applyAlignment="1" pivotButton="0" quotePrefix="0" xfId="0">
      <alignment horizontal="left" wrapText="1"/>
    </xf>
    <xf numFmtId="0" fontId="76" fillId="38" borderId="35" applyAlignment="1" pivotButton="0" quotePrefix="0" xfId="0">
      <alignment horizontal="left" wrapText="1"/>
    </xf>
    <xf numFmtId="0" fontId="77" fillId="37" borderId="54" applyAlignment="1" pivotButton="0" quotePrefix="0" xfId="0">
      <alignment horizontal="left" vertical="center" wrapText="1"/>
    </xf>
    <xf numFmtId="0" fontId="77" fillId="37" borderId="55" applyAlignment="1" pivotButton="0" quotePrefix="0" xfId="0">
      <alignment horizontal="left" vertical="center" wrapText="1"/>
    </xf>
    <xf numFmtId="0" fontId="72" fillId="46" borderId="56" applyAlignment="1" pivotButton="0" quotePrefix="0" xfId="0">
      <alignment horizontal="right" vertical="center" wrapText="1"/>
    </xf>
    <xf numFmtId="0" fontId="85" fillId="0" borderId="0" pivotButton="0" quotePrefix="0" xfId="3"/>
    <xf numFmtId="166" fontId="10" fillId="4" borderId="1" applyAlignment="1" pivotButton="0" quotePrefix="0" xfId="0">
      <alignment horizontal="right" vertical="center"/>
    </xf>
    <xf numFmtId="185" fontId="70" fillId="37" borderId="0" applyAlignment="1" pivotButton="0" quotePrefix="0" xfId="1">
      <alignment horizontal="right"/>
    </xf>
    <xf numFmtId="0" fontId="70" fillId="0" borderId="0" pivotButton="0" quotePrefix="0" xfId="0"/>
    <xf numFmtId="0" fontId="70" fillId="0" borderId="0" applyAlignment="1" pivotButton="0" quotePrefix="0" xfId="0">
      <alignment horizontal="left" vertical="center" indent="1"/>
    </xf>
    <xf numFmtId="0" fontId="97" fillId="33" borderId="0" applyAlignment="1" pivotButton="0" quotePrefix="0" xfId="0">
      <alignment horizontal="center" vertical="center"/>
    </xf>
    <xf numFmtId="0" fontId="70" fillId="37" borderId="0" applyAlignment="1" pivotButton="0" quotePrefix="0" xfId="0">
      <alignment horizontal="left" vertical="center"/>
    </xf>
    <xf numFmtId="0" fontId="70" fillId="34" borderId="0" applyAlignment="1" pivotButton="0" quotePrefix="0" xfId="0">
      <alignment horizontal="left" vertical="center"/>
    </xf>
    <xf numFmtId="185" fontId="70" fillId="34" borderId="0" applyAlignment="1" pivotButton="0" quotePrefix="0" xfId="1">
      <alignment horizontal="right"/>
    </xf>
    <xf numFmtId="185" fontId="70" fillId="34" borderId="0" applyAlignment="1" pivotButton="0" quotePrefix="0" xfId="0">
      <alignment horizontal="right" vertical="center"/>
    </xf>
    <xf numFmtId="166" fontId="70" fillId="37" borderId="0" applyAlignment="1" pivotButton="0" quotePrefix="0" xfId="0">
      <alignment horizontal="left" vertical="center"/>
    </xf>
    <xf numFmtId="170" fontId="70" fillId="37" borderId="0" applyAlignment="1" pivotButton="0" quotePrefix="0" xfId="0">
      <alignment horizontal="right" vertical="center"/>
    </xf>
    <xf numFmtId="170" fontId="70" fillId="34" borderId="0" applyAlignment="1" pivotButton="0" quotePrefix="0" xfId="0">
      <alignment horizontal="center" vertical="center"/>
    </xf>
    <xf numFmtId="170" fontId="70" fillId="37" borderId="0" applyAlignment="1" pivotButton="0" quotePrefix="0" xfId="0">
      <alignment horizontal="center" vertical="center"/>
    </xf>
    <xf numFmtId="1" fontId="88" fillId="37" borderId="0" applyAlignment="1" pivotButton="0" quotePrefix="0" xfId="0">
      <alignment horizontal="right" vertical="center"/>
    </xf>
    <xf numFmtId="10" fontId="88" fillId="37" borderId="0" applyAlignment="1" pivotButton="0" quotePrefix="0" xfId="0">
      <alignment horizontal="right" vertical="center"/>
    </xf>
    <xf numFmtId="10" fontId="88" fillId="34" borderId="0" applyAlignment="1" pivotButton="0" quotePrefix="0" xfId="0">
      <alignment horizontal="right" vertical="center"/>
    </xf>
    <xf numFmtId="1" fontId="88" fillId="34" borderId="0" applyAlignment="1" pivotButton="0" quotePrefix="0" xfId="0">
      <alignment horizontal="right" vertical="center"/>
    </xf>
    <xf numFmtId="10" fontId="88" fillId="37" borderId="0" applyAlignment="1" pivotButton="0" quotePrefix="0" xfId="0">
      <alignment horizontal="center" vertical="center"/>
    </xf>
    <xf numFmtId="0" fontId="72" fillId="36" borderId="0" applyAlignment="1" pivotButton="0" quotePrefix="0" xfId="0">
      <alignment horizontal="left" vertical="center"/>
    </xf>
    <xf numFmtId="185" fontId="72" fillId="36" borderId="0" applyAlignment="1" pivotButton="0" quotePrefix="0" xfId="0">
      <alignment horizontal="right" vertical="center"/>
    </xf>
    <xf numFmtId="185" fontId="72" fillId="36" borderId="0" applyAlignment="1" pivotButton="0" quotePrefix="0" xfId="1">
      <alignment horizontal="right"/>
    </xf>
    <xf numFmtId="0" fontId="71" fillId="33" borderId="0" applyAlignment="1" pivotButton="0" quotePrefix="0" xfId="0">
      <alignment horizontal="left" vertical="center" indent="1"/>
    </xf>
    <xf numFmtId="185" fontId="71" fillId="33" borderId="0" applyAlignment="1" pivotButton="0" quotePrefix="0" xfId="0">
      <alignment horizontal="right" vertical="center"/>
    </xf>
    <xf numFmtId="164" fontId="70" fillId="37" borderId="0" applyAlignment="1" pivotButton="0" quotePrefix="0" xfId="0">
      <alignment horizontal="left" vertical="center"/>
    </xf>
    <xf numFmtId="185" fontId="70" fillId="37" borderId="0" applyAlignment="1" pivotButton="0" quotePrefix="0" xfId="0">
      <alignment horizontal="right" vertical="center"/>
    </xf>
    <xf numFmtId="166" fontId="70" fillId="34" borderId="0" applyAlignment="1" pivotButton="0" quotePrefix="0" xfId="0">
      <alignment horizontal="left" vertical="center"/>
    </xf>
    <xf numFmtId="165" fontId="70" fillId="37" borderId="0" applyAlignment="1" pivotButton="0" quotePrefix="0" xfId="0">
      <alignment horizontal="left" vertical="center"/>
    </xf>
    <xf numFmtId="170" fontId="70" fillId="34" borderId="0" applyAlignment="1" pivotButton="0" quotePrefix="0" xfId="0">
      <alignment horizontal="center"/>
    </xf>
    <xf numFmtId="10" fontId="88" fillId="34" borderId="0" applyAlignment="1" pivotButton="0" quotePrefix="0" xfId="0">
      <alignment horizontal="center" vertical="center"/>
    </xf>
    <xf numFmtId="10" fontId="73" fillId="34" borderId="0" applyAlignment="1" pivotButton="0" quotePrefix="0" xfId="0">
      <alignment horizontal="right" vertical="center"/>
    </xf>
    <xf numFmtId="165" fontId="72" fillId="36" borderId="0" applyAlignment="1" pivotButton="0" quotePrefix="0" xfId="0">
      <alignment horizontal="left" vertical="center"/>
    </xf>
    <xf numFmtId="166" fontId="72" fillId="36" borderId="0" applyAlignment="1" pivotButton="0" quotePrefix="0" xfId="0">
      <alignment horizontal="left" vertical="center"/>
    </xf>
    <xf numFmtId="0" fontId="71" fillId="41" borderId="0" pivotButton="0" quotePrefix="0" xfId="0"/>
    <xf numFmtId="185" fontId="71" fillId="41" borderId="0" applyAlignment="1" pivotButton="0" quotePrefix="0" xfId="0">
      <alignment horizontal="right" vertical="center"/>
    </xf>
    <xf numFmtId="170" fontId="72" fillId="37" borderId="0" applyAlignment="1" pivotButton="0" quotePrefix="0" xfId="0">
      <alignment horizontal="right" vertical="center"/>
    </xf>
    <xf numFmtId="170" fontId="72" fillId="36" borderId="0" applyAlignment="1" pivotButton="0" quotePrefix="0" xfId="0">
      <alignment horizontal="right" vertical="center"/>
    </xf>
    <xf numFmtId="166" fontId="71" fillId="33" borderId="0" applyAlignment="1" pivotButton="0" quotePrefix="0" xfId="0">
      <alignment horizontal="left" vertical="center"/>
    </xf>
    <xf numFmtId="166" fontId="72" fillId="37" borderId="0" applyAlignment="1" pivotButton="0" quotePrefix="0" xfId="0">
      <alignment horizontal="right" vertical="center"/>
    </xf>
    <xf numFmtId="166" fontId="72" fillId="36" borderId="0" applyAlignment="1" pivotButton="0" quotePrefix="0" xfId="0">
      <alignment horizontal="right" vertical="center"/>
    </xf>
    <xf numFmtId="0" fontId="98" fillId="24" borderId="0" applyAlignment="1" pivotButton="0" quotePrefix="0" xfId="0">
      <alignment horizontal="left" vertical="center"/>
    </xf>
    <xf numFmtId="0" fontId="98" fillId="24" borderId="0" applyAlignment="1" pivotButton="0" quotePrefix="0" xfId="0">
      <alignment horizontal="center" vertical="center"/>
    </xf>
    <xf numFmtId="0" fontId="99" fillId="48" borderId="67" applyAlignment="1" pivotButton="0" quotePrefix="0" xfId="0">
      <alignment horizontal="center" vertical="center" wrapText="1"/>
    </xf>
    <xf numFmtId="1" fontId="100" fillId="0" borderId="67" applyAlignment="1" pivotButton="0" quotePrefix="0" xfId="0">
      <alignment horizontal="center" vertical="center"/>
    </xf>
    <xf numFmtId="0" fontId="100" fillId="0" borderId="67" applyAlignment="1" pivotButton="0" quotePrefix="0" xfId="0">
      <alignment horizontal="left" vertical="center"/>
    </xf>
    <xf numFmtId="3" fontId="100" fillId="0" borderId="67" applyAlignment="1" pivotButton="0" quotePrefix="0" xfId="0">
      <alignment horizontal="left" vertical="center"/>
    </xf>
    <xf numFmtId="3" fontId="100" fillId="0" borderId="67" applyAlignment="1" pivotButton="0" quotePrefix="0" xfId="0">
      <alignment horizontal="right" vertical="center"/>
    </xf>
    <xf numFmtId="170" fontId="100" fillId="0" borderId="67" applyAlignment="1" pivotButton="0" quotePrefix="0" xfId="0">
      <alignment horizontal="right" vertical="center"/>
    </xf>
    <xf numFmtId="192" fontId="100" fillId="0" borderId="67" applyAlignment="1" pivotButton="0" quotePrefix="0" xfId="0">
      <alignment horizontal="right" vertical="center"/>
    </xf>
    <xf numFmtId="189" fontId="100" fillId="0" borderId="67" applyAlignment="1" pivotButton="0" quotePrefix="0" xfId="0">
      <alignment horizontal="right" vertical="center"/>
    </xf>
    <xf numFmtId="192" fontId="0" fillId="0" borderId="0" pivotButton="0" quotePrefix="0" xfId="0"/>
    <xf numFmtId="185" fontId="100" fillId="0" borderId="67" applyAlignment="1" pivotButton="0" quotePrefix="0" xfId="0">
      <alignment horizontal="left" vertical="center"/>
    </xf>
    <xf numFmtId="3" fontId="100" fillId="0" borderId="67" applyAlignment="1" pivotButton="0" quotePrefix="1" xfId="0">
      <alignment horizontal="right" vertical="center"/>
    </xf>
    <xf numFmtId="0" fontId="99" fillId="29" borderId="67" applyAlignment="1" pivotButton="0" quotePrefix="0" xfId="0">
      <alignment horizontal="left" vertical="center"/>
    </xf>
    <xf numFmtId="3" fontId="99" fillId="29" borderId="67" applyAlignment="1" pivotButton="0" quotePrefix="0" xfId="0">
      <alignment horizontal="right" vertical="center"/>
    </xf>
    <xf numFmtId="0" fontId="99" fillId="29" borderId="67" applyAlignment="1" pivotButton="0" quotePrefix="0" xfId="0">
      <alignment horizontal="right" vertical="center"/>
    </xf>
    <xf numFmtId="170" fontId="99" fillId="29" borderId="67" applyAlignment="1" pivotButton="0" quotePrefix="0" xfId="0">
      <alignment horizontal="right" vertical="center"/>
    </xf>
    <xf numFmtId="192" fontId="99" fillId="29" borderId="67" applyAlignment="1" pivotButton="0" quotePrefix="0" xfId="0">
      <alignment horizontal="right" vertical="center"/>
    </xf>
    <xf numFmtId="189" fontId="99" fillId="29" borderId="67" applyAlignment="1" pivotButton="0" quotePrefix="0" xfId="0">
      <alignment horizontal="right" vertical="center"/>
    </xf>
    <xf numFmtId="0" fontId="101" fillId="0" borderId="0" pivotButton="0" quotePrefix="0" xfId="0"/>
    <xf numFmtId="0" fontId="104" fillId="49" borderId="0" applyAlignment="1" pivotButton="0" quotePrefix="0" xfId="0">
      <alignment horizontal="left"/>
    </xf>
    <xf numFmtId="0" fontId="110" fillId="49" borderId="0" applyAlignment="1" pivotButton="0" quotePrefix="0" xfId="0">
      <alignment horizontal="left"/>
    </xf>
    <xf numFmtId="0" fontId="102" fillId="37" borderId="0" pivotButton="0" quotePrefix="0" xfId="0"/>
    <xf numFmtId="0" fontId="63" fillId="37" borderId="0" applyAlignment="1" pivotButton="0" quotePrefix="0" xfId="0">
      <alignment horizontal="left"/>
    </xf>
    <xf numFmtId="0" fontId="102" fillId="37" borderId="0" applyAlignment="1" pivotButton="0" quotePrefix="0" xfId="0">
      <alignment horizontal="left"/>
    </xf>
    <xf numFmtId="0" fontId="61" fillId="33" borderId="0" applyAlignment="1" pivotButton="0" quotePrefix="0" xfId="0">
      <alignment horizontal="left"/>
    </xf>
    <xf numFmtId="0" fontId="111" fillId="33" borderId="0" applyAlignment="1" pivotButton="0" quotePrefix="0" xfId="0">
      <alignment horizontal="left"/>
    </xf>
    <xf numFmtId="0" fontId="86" fillId="37" borderId="0" pivotButton="0" quotePrefix="0" xfId="0"/>
    <xf numFmtId="0" fontId="86" fillId="36" borderId="0" pivotButton="0" quotePrefix="0" xfId="0"/>
    <xf numFmtId="193" fontId="106" fillId="37" borderId="0" applyAlignment="1" pivotButton="0" quotePrefix="0" xfId="1">
      <alignment horizontal="center"/>
    </xf>
    <xf numFmtId="193" fontId="102" fillId="37" borderId="0" applyAlignment="1" pivotButton="0" quotePrefix="0" xfId="0">
      <alignment horizontal="center"/>
    </xf>
    <xf numFmtId="193" fontId="102" fillId="35" borderId="0" applyAlignment="1" pivotButton="0" quotePrefix="0" xfId="0">
      <alignment horizontal="center"/>
    </xf>
    <xf numFmtId="193" fontId="106" fillId="37" borderId="0" applyAlignment="1" pivotButton="0" quotePrefix="0" xfId="0">
      <alignment horizontal="center"/>
    </xf>
    <xf numFmtId="193" fontId="103" fillId="37" borderId="0" applyAlignment="1" pivotButton="0" quotePrefix="0" xfId="0">
      <alignment horizontal="center"/>
    </xf>
    <xf numFmtId="193" fontId="103" fillId="35" borderId="0" applyAlignment="1" pivotButton="0" quotePrefix="0" xfId="0">
      <alignment horizontal="center"/>
    </xf>
    <xf numFmtId="194" fontId="106" fillId="37" borderId="0" applyAlignment="1" pivotButton="0" quotePrefix="0" xfId="0">
      <alignment horizontal="center"/>
    </xf>
    <xf numFmtId="194" fontId="102" fillId="37" borderId="0" applyAlignment="1" pivotButton="0" quotePrefix="0" xfId="0">
      <alignment horizontal="center"/>
    </xf>
    <xf numFmtId="194" fontId="102" fillId="35" borderId="0" applyAlignment="1" pivotButton="0" quotePrefix="0" xfId="0">
      <alignment horizontal="center"/>
    </xf>
    <xf numFmtId="194" fontId="103" fillId="37" borderId="0" applyAlignment="1" pivotButton="0" quotePrefix="0" xfId="0">
      <alignment horizontal="center"/>
    </xf>
    <xf numFmtId="194" fontId="103" fillId="35" borderId="0" applyAlignment="1" pivotButton="0" quotePrefix="0" xfId="0">
      <alignment horizontal="center"/>
    </xf>
    <xf numFmtId="194" fontId="103" fillId="36" borderId="0" applyAlignment="1" pivotButton="0" quotePrefix="0" xfId="0">
      <alignment horizontal="center"/>
    </xf>
    <xf numFmtId="195" fontId="106" fillId="37" borderId="0" applyAlignment="1" pivotButton="0" quotePrefix="0" xfId="0">
      <alignment horizontal="center"/>
    </xf>
    <xf numFmtId="195" fontId="102" fillId="37" borderId="0" applyAlignment="1" pivotButton="0" quotePrefix="0" xfId="0">
      <alignment horizontal="center"/>
    </xf>
    <xf numFmtId="195" fontId="102" fillId="35" borderId="0" applyAlignment="1" pivotButton="0" quotePrefix="0" xfId="0">
      <alignment horizontal="center"/>
    </xf>
    <xf numFmtId="196" fontId="16" fillId="4" borderId="0" applyAlignment="1" pivotButton="0" quotePrefix="0" xfId="0">
      <alignment horizontal="right" vertical="center"/>
    </xf>
    <xf numFmtId="196" fontId="4" fillId="8" borderId="0" applyAlignment="1" pivotButton="0" quotePrefix="0" xfId="0">
      <alignment horizontal="right" vertical="center"/>
    </xf>
    <xf numFmtId="196" fontId="16" fillId="5" borderId="0" applyAlignment="1" pivotButton="0" quotePrefix="0" xfId="0">
      <alignment horizontal="right" vertical="center"/>
    </xf>
    <xf numFmtId="193" fontId="16" fillId="4" borderId="0" applyAlignment="1" pivotButton="0" quotePrefix="0" xfId="0">
      <alignment horizontal="right" vertical="center"/>
    </xf>
    <xf numFmtId="193" fontId="4" fillId="8" borderId="0" applyAlignment="1" pivotButton="0" quotePrefix="0" xfId="0">
      <alignment horizontal="right" vertical="center"/>
    </xf>
    <xf numFmtId="196" fontId="4" fillId="5" borderId="0" applyAlignment="1" pivotButton="0" quotePrefix="0" xfId="0">
      <alignment horizontal="right" vertical="center"/>
    </xf>
    <xf numFmtId="195" fontId="16" fillId="4" borderId="0" applyAlignment="1" pivotButton="0" quotePrefix="0" xfId="0">
      <alignment horizontal="right" vertical="center"/>
    </xf>
    <xf numFmtId="195" fontId="4" fillId="8" borderId="0" applyAlignment="1" pivotButton="0" quotePrefix="0" xfId="0">
      <alignment horizontal="right" vertical="center"/>
    </xf>
    <xf numFmtId="196" fontId="4" fillId="4" borderId="0" applyAlignment="1" pivotButton="0" quotePrefix="0" xfId="0">
      <alignment horizontal="right" vertical="center"/>
    </xf>
    <xf numFmtId="195" fontId="16" fillId="5" borderId="0" applyAlignment="1" pivotButton="0" quotePrefix="0" xfId="0">
      <alignment horizontal="right" vertical="center"/>
    </xf>
    <xf numFmtId="196" fontId="15" fillId="7" borderId="0" applyAlignment="1" pivotButton="0" quotePrefix="0" xfId="0">
      <alignment horizontal="right" vertical="center"/>
    </xf>
    <xf numFmtId="196" fontId="15" fillId="8" borderId="0" applyAlignment="1" pivotButton="0" quotePrefix="0" xfId="0">
      <alignment horizontal="right" vertical="center"/>
    </xf>
    <xf numFmtId="196" fontId="5" fillId="4" borderId="0" applyAlignment="1" pivotButton="0" quotePrefix="0" xfId="0">
      <alignment horizontal="right" vertical="center"/>
    </xf>
    <xf numFmtId="196" fontId="5" fillId="8" borderId="0" applyAlignment="1" pivotButton="0" quotePrefix="0" xfId="0">
      <alignment horizontal="right" vertical="center"/>
    </xf>
    <xf numFmtId="196" fontId="5" fillId="5" borderId="0" applyAlignment="1" pivotButton="0" quotePrefix="0" xfId="0">
      <alignment horizontal="right" vertical="center"/>
    </xf>
    <xf numFmtId="195" fontId="4" fillId="4" borderId="0" applyAlignment="1" pivotButton="0" quotePrefix="0" xfId="0">
      <alignment horizontal="right" vertical="center"/>
    </xf>
    <xf numFmtId="195" fontId="4" fillId="5" borderId="0" applyAlignment="1" pivotButton="0" quotePrefix="0" xfId="0">
      <alignment horizontal="right" vertical="center"/>
    </xf>
    <xf numFmtId="195" fontId="16" fillId="4" borderId="0" applyAlignment="1" pivotButton="0" quotePrefix="0" xfId="0">
      <alignment horizontal="center" vertical="center"/>
    </xf>
    <xf numFmtId="195" fontId="4" fillId="11" borderId="0" applyAlignment="1" pivotButton="0" quotePrefix="0" xfId="0">
      <alignment horizontal="right" vertical="center"/>
    </xf>
    <xf numFmtId="195" fontId="18" fillId="4" borderId="0" applyAlignment="1" pivotButton="0" quotePrefix="0" xfId="0">
      <alignment horizontal="center" vertical="center"/>
    </xf>
    <xf numFmtId="195" fontId="4" fillId="7" borderId="0" applyAlignment="1" pivotButton="0" quotePrefix="0" xfId="0">
      <alignment horizontal="center" vertical="center"/>
    </xf>
    <xf numFmtId="196" fontId="15" fillId="8" borderId="0" applyAlignment="1" pivotButton="0" quotePrefix="0" xfId="0">
      <alignment horizontal="center" vertical="center"/>
    </xf>
    <xf numFmtId="196" fontId="4" fillId="11" borderId="0" applyAlignment="1" pivotButton="0" quotePrefix="0" xfId="0">
      <alignment horizontal="right" vertical="center"/>
    </xf>
    <xf numFmtId="196" fontId="16" fillId="4" borderId="0" applyAlignment="1" pivotButton="0" quotePrefix="0" xfId="0">
      <alignment horizontal="center" vertical="center"/>
    </xf>
    <xf numFmtId="196" fontId="5" fillId="7" borderId="0" applyAlignment="1" pivotButton="0" quotePrefix="0" xfId="0">
      <alignment horizontal="center" vertical="center"/>
    </xf>
    <xf numFmtId="196" fontId="4" fillId="7" borderId="0" applyAlignment="1" pivotButton="0" quotePrefix="0" xfId="0">
      <alignment horizontal="center" vertical="center"/>
    </xf>
    <xf numFmtId="195" fontId="16" fillId="5" borderId="0" applyAlignment="1" pivotButton="0" quotePrefix="0" xfId="0">
      <alignment horizontal="center" vertical="center"/>
    </xf>
    <xf numFmtId="195" fontId="21" fillId="11" borderId="0" applyAlignment="1" pivotButton="0" quotePrefix="0" xfId="0">
      <alignment horizontal="center" vertical="center"/>
    </xf>
    <xf numFmtId="0" fontId="112" fillId="49" borderId="0" applyAlignment="1" pivotButton="0" quotePrefix="0" xfId="0">
      <alignment horizontal="left"/>
    </xf>
    <xf numFmtId="197" fontId="104" fillId="49" borderId="0" applyAlignment="1" pivotButton="0" quotePrefix="0" xfId="0">
      <alignment horizontal="left"/>
    </xf>
    <xf numFmtId="198" fontId="112" fillId="49" borderId="0" applyAlignment="1" pivotButton="0" quotePrefix="0" xfId="0">
      <alignment horizontal="left"/>
    </xf>
    <xf numFmtId="198" fontId="104" fillId="49" borderId="0" applyAlignment="1" pivotButton="0" quotePrefix="0" xfId="0">
      <alignment horizontal="left"/>
    </xf>
    <xf numFmtId="0" fontId="61" fillId="33" borderId="0" applyAlignment="1" pivotButton="0" quotePrefix="0" xfId="0">
      <alignment horizontal="center"/>
    </xf>
    <xf numFmtId="196" fontId="16" fillId="4" borderId="0" pivotButton="0" quotePrefix="0" xfId="0"/>
    <xf numFmtId="196" fontId="4" fillId="8" borderId="0" pivotButton="0" quotePrefix="0" xfId="0"/>
    <xf numFmtId="199" fontId="105" fillId="33" borderId="0" applyAlignment="1" pivotButton="0" quotePrefix="0" xfId="0">
      <alignment horizontal="left"/>
    </xf>
    <xf numFmtId="199" fontId="112" fillId="33" borderId="0" applyAlignment="1" pivotButton="0" quotePrefix="0" xfId="0">
      <alignment horizontal="left"/>
    </xf>
    <xf numFmtId="200" fontId="68" fillId="30" borderId="0" applyAlignment="1" pivotButton="0" quotePrefix="0" xfId="0">
      <alignment horizontal="center"/>
    </xf>
    <xf numFmtId="194" fontId="16" fillId="5" borderId="0" pivotButton="0" quotePrefix="0" xfId="0"/>
    <xf numFmtId="196" fontId="16" fillId="5" borderId="0" pivotButton="0" quotePrefix="0" xfId="0"/>
    <xf numFmtId="194" fontId="16" fillId="4" borderId="0" pivotButton="0" quotePrefix="0" xfId="0"/>
    <xf numFmtId="196" fontId="4" fillId="4" borderId="0" pivotButton="0" quotePrefix="0" xfId="0"/>
    <xf numFmtId="194" fontId="12" fillId="36" borderId="0" pivotButton="0" quotePrefix="0" xfId="0"/>
    <xf numFmtId="196" fontId="5" fillId="5" borderId="0" pivotButton="0" quotePrefix="0" xfId="0"/>
    <xf numFmtId="194" fontId="26" fillId="36" borderId="0" pivotButton="0" quotePrefix="0" xfId="0"/>
    <xf numFmtId="194" fontId="68" fillId="39" borderId="0" pivotButton="0" quotePrefix="0" xfId="0"/>
    <xf numFmtId="198" fontId="68" fillId="31" borderId="0" pivotButton="0" quotePrefix="0" xfId="0"/>
    <xf numFmtId="198" fontId="69" fillId="32" borderId="0" pivotButton="0" quotePrefix="0" xfId="0"/>
    <xf numFmtId="195" fontId="4" fillId="5" borderId="0" pivotButton="0" quotePrefix="0" xfId="0"/>
    <xf numFmtId="195" fontId="4" fillId="8" borderId="0" pivotButton="0" quotePrefix="0" xfId="0"/>
    <xf numFmtId="196" fontId="5" fillId="4" borderId="0" pivotButton="0" quotePrefix="0" xfId="0"/>
    <xf numFmtId="196" fontId="5" fillId="8" borderId="0" pivotButton="0" quotePrefix="0" xfId="0"/>
    <xf numFmtId="196" fontId="4" fillId="5" borderId="0" pivotButton="0" quotePrefix="0" xfId="0"/>
    <xf numFmtId="201" fontId="4" fillId="4" borderId="0" pivotButton="0" quotePrefix="0" xfId="0"/>
    <xf numFmtId="201" fontId="4" fillId="8" borderId="0" pivotButton="0" quotePrefix="0" xfId="0"/>
    <xf numFmtId="195" fontId="16" fillId="5" borderId="0" pivotButton="0" quotePrefix="0" xfId="0"/>
    <xf numFmtId="193" fontId="16" fillId="5" borderId="0" pivotButton="0" quotePrefix="0" xfId="0"/>
    <xf numFmtId="193" fontId="4" fillId="8" borderId="0" pivotButton="0" quotePrefix="0" xfId="0"/>
    <xf numFmtId="195" fontId="16" fillId="4" borderId="0" pivotButton="0" quotePrefix="0" xfId="0"/>
    <xf numFmtId="196" fontId="16" fillId="5" borderId="0" applyAlignment="1" pivotButton="0" quotePrefix="0" xfId="0">
      <alignment horizontal="center" vertical="center"/>
    </xf>
    <xf numFmtId="196" fontId="4" fillId="11" borderId="0" applyAlignment="1" pivotButton="0" quotePrefix="0" xfId="0">
      <alignment horizontal="center" vertical="center"/>
    </xf>
    <xf numFmtId="202" fontId="16" fillId="4" borderId="0" applyAlignment="1" pivotButton="0" quotePrefix="0" xfId="0">
      <alignment horizontal="center" vertical="center"/>
    </xf>
    <xf numFmtId="195" fontId="4" fillId="11" borderId="0" applyAlignment="1" pivotButton="0" quotePrefix="0" xfId="0">
      <alignment horizontal="center" vertical="center"/>
    </xf>
    <xf numFmtId="193" fontId="16" fillId="5" borderId="0" applyAlignment="1" pivotButton="0" quotePrefix="0" xfId="0">
      <alignment horizontal="center" vertical="center"/>
    </xf>
    <xf numFmtId="193" fontId="4" fillId="11" borderId="0" applyAlignment="1" pivotButton="0" quotePrefix="0" xfId="0">
      <alignment horizontal="center" vertical="center"/>
    </xf>
    <xf numFmtId="193" fontId="16" fillId="4" borderId="0" applyAlignment="1" pivotButton="0" quotePrefix="0" xfId="0">
      <alignment horizontal="center" vertical="center"/>
    </xf>
    <xf numFmtId="196" fontId="23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61" fillId="24" borderId="0" applyAlignment="1" pivotButton="0" quotePrefix="0" xfId="0">
      <alignment horizontal="center" wrapText="1"/>
    </xf>
    <xf numFmtId="0" fontId="66" fillId="0" borderId="0" applyAlignment="1" pivotButton="0" quotePrefix="0" xfId="0">
      <alignment wrapText="1"/>
    </xf>
    <xf numFmtId="0" fontId="51" fillId="0" borderId="0" applyAlignment="1" pivotButton="0" quotePrefix="0" xfId="0">
      <alignment wrapText="1"/>
    </xf>
    <xf numFmtId="0" fontId="13" fillId="4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left" vertical="center"/>
    </xf>
    <xf numFmtId="0" fontId="13" fillId="7" borderId="0" applyAlignment="1" pivotButton="0" quotePrefix="0" xfId="0">
      <alignment horizontal="left" vertical="center"/>
    </xf>
    <xf numFmtId="0" fontId="13" fillId="11" borderId="0" applyAlignment="1" pivotButton="0" quotePrefix="0" xfId="0">
      <alignment horizontal="left" vertical="center"/>
    </xf>
    <xf numFmtId="0" fontId="77" fillId="37" borderId="0" applyAlignment="1" pivotButton="0" quotePrefix="0" xfId="0">
      <alignment horizontal="left"/>
    </xf>
    <xf numFmtId="0" fontId="77" fillId="36" borderId="0" applyAlignment="1" pivotButton="0" quotePrefix="0" xfId="0">
      <alignment horizontal="left"/>
    </xf>
    <xf numFmtId="165" fontId="77" fillId="37" borderId="0" applyAlignment="1" pivotButton="0" quotePrefix="0" xfId="0">
      <alignment horizontal="left"/>
    </xf>
    <xf numFmtId="165" fontId="77" fillId="34" borderId="0" applyAlignment="1" pivotButton="0" quotePrefix="0" xfId="0">
      <alignment horizontal="left"/>
    </xf>
    <xf numFmtId="171" fontId="77" fillId="37" borderId="0" applyAlignment="1" pivotButton="0" quotePrefix="0" xfId="0">
      <alignment horizontal="left"/>
    </xf>
    <xf numFmtId="0" fontId="77" fillId="34" borderId="0" applyAlignment="1" pivotButton="0" quotePrefix="0" xfId="0">
      <alignment horizontal="left"/>
    </xf>
    <xf numFmtId="0" fontId="24" fillId="2" borderId="0" applyAlignment="1" pivotButton="0" quotePrefix="0" xfId="0">
      <alignment horizontal="left" vertical="center"/>
    </xf>
    <xf numFmtId="0" fontId="13" fillId="8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3" fillId="2" borderId="0" applyAlignment="1" pivotButton="0" quotePrefix="0" xfId="0">
      <alignment horizontal="left" vertical="center"/>
    </xf>
    <xf numFmtId="0" fontId="61" fillId="24" borderId="0" applyAlignment="1" pivotButton="0" quotePrefix="0" xfId="0">
      <alignment horizontal="left"/>
    </xf>
    <xf numFmtId="165" fontId="5" fillId="4" borderId="0" applyAlignment="1" pivotButton="0" quotePrefix="0" xfId="0">
      <alignment horizontal="left"/>
    </xf>
    <xf numFmtId="165" fontId="4" fillId="4" borderId="0" applyAlignment="1" pivotButton="0" quotePrefix="0" xfId="0">
      <alignment horizontal="left"/>
    </xf>
    <xf numFmtId="0" fontId="66" fillId="0" borderId="0" applyAlignment="1" pivotButton="0" quotePrefix="0" xfId="0">
      <alignment horizontal="left"/>
    </xf>
    <xf numFmtId="0" fontId="13" fillId="4" borderId="0" applyAlignment="1" pivotButton="0" quotePrefix="0" xfId="0">
      <alignment horizontal="left"/>
    </xf>
    <xf numFmtId="0" fontId="13" fillId="5" borderId="0" applyAlignment="1" pivotButton="0" quotePrefix="0" xfId="0">
      <alignment horizontal="left"/>
    </xf>
    <xf numFmtId="0" fontId="51" fillId="0" borderId="0" applyAlignment="1" pivotButton="0" quotePrefix="0" xfId="0">
      <alignment horizontal="left"/>
    </xf>
    <xf numFmtId="194" fontId="70" fillId="35" borderId="0" applyAlignment="1" pivotButton="0" quotePrefix="0" xfId="0">
      <alignment horizontal="right" vertical="center" wrapText="1"/>
    </xf>
    <xf numFmtId="193" fontId="12" fillId="8" borderId="0" applyAlignment="1" pivotButton="0" quotePrefix="0" xfId="0">
      <alignment horizontal="center" vertical="center" wrapText="1"/>
    </xf>
    <xf numFmtId="196" fontId="12" fillId="8" borderId="0" applyAlignment="1" pivotButton="0" quotePrefix="0" xfId="0">
      <alignment horizontal="center" vertical="center" wrapText="1"/>
    </xf>
    <xf numFmtId="195" fontId="4" fillId="8" borderId="0" applyAlignment="1" pivotButton="0" quotePrefix="0" xfId="0">
      <alignment horizontal="right" vertical="center" wrapText="1"/>
    </xf>
    <xf numFmtId="203" fontId="70" fillId="35" borderId="0" applyAlignment="1" pivotButton="0" quotePrefix="0" xfId="0">
      <alignment horizontal="right" vertical="center" wrapText="1"/>
    </xf>
    <xf numFmtId="199" fontId="4" fillId="8" borderId="0" applyAlignment="1" pivotButton="0" quotePrefix="0" xfId="0">
      <alignment horizontal="right" vertical="center" wrapText="1"/>
    </xf>
    <xf numFmtId="194" fontId="72" fillId="35" borderId="0" applyAlignment="1" pivotButton="0" quotePrefix="0" xfId="0">
      <alignment horizontal="right" vertical="center" wrapText="1"/>
    </xf>
    <xf numFmtId="196" fontId="5" fillId="8" borderId="0" applyAlignment="1" pivotButton="0" quotePrefix="0" xfId="0">
      <alignment horizontal="right" vertical="center" wrapText="1"/>
    </xf>
    <xf numFmtId="196" fontId="15" fillId="8" borderId="0" applyAlignment="1" pivotButton="0" quotePrefix="0" xfId="0">
      <alignment horizontal="right" vertical="center" wrapText="1"/>
    </xf>
    <xf numFmtId="195" fontId="4" fillId="11" borderId="0" applyAlignment="1" pivotButton="0" quotePrefix="0" xfId="0">
      <alignment horizontal="right" vertical="center" wrapText="1"/>
    </xf>
    <xf numFmtId="196" fontId="4" fillId="11" borderId="0" applyAlignment="1" pivotButton="0" quotePrefix="0" xfId="0">
      <alignment horizontal="right" vertical="center" wrapText="1"/>
    </xf>
    <xf numFmtId="195" fontId="107" fillId="49" borderId="0" applyAlignment="1" pivotButton="0" quotePrefix="0" xfId="0">
      <alignment horizontal="right" wrapText="1"/>
    </xf>
    <xf numFmtId="195" fontId="57" fillId="37" borderId="0" applyAlignment="1" pivotButton="0" quotePrefix="0" xfId="0">
      <alignment horizontal="right" wrapText="1"/>
    </xf>
    <xf numFmtId="195" fontId="108" fillId="37" borderId="0" applyAlignment="1" pivotButton="0" quotePrefix="0" xfId="0">
      <alignment horizontal="right" wrapText="1"/>
    </xf>
    <xf numFmtId="195" fontId="109" fillId="37" borderId="0" applyAlignment="1" pivotButton="0" quotePrefix="0" xfId="0">
      <alignment horizontal="right" wrapText="1"/>
    </xf>
    <xf numFmtId="195" fontId="60" fillId="33" borderId="0" applyAlignment="1" pivotButton="0" quotePrefix="0" xfId="0">
      <alignment horizontal="right" wrapText="1"/>
    </xf>
    <xf numFmtId="195" fontId="57" fillId="36" borderId="0" applyAlignment="1" pivotButton="0" quotePrefix="0" xfId="0">
      <alignment horizontal="right" wrapText="1"/>
    </xf>
    <xf numFmtId="49" fontId="5" fillId="4" borderId="0" applyAlignment="1" pivotButton="0" quotePrefix="0" xfId="0">
      <alignment wrapText="1"/>
    </xf>
    <xf numFmtId="195" fontId="70" fillId="34" borderId="0" applyAlignment="1" pivotButton="0" quotePrefix="0" xfId="0">
      <alignment horizontal="center" wrapText="1"/>
    </xf>
    <xf numFmtId="195" fontId="70" fillId="37" borderId="0" applyAlignment="1" pivotButton="0" quotePrefix="0" xfId="0">
      <alignment horizontal="center" wrapText="1"/>
    </xf>
    <xf numFmtId="195" fontId="72" fillId="34" borderId="0" applyAlignment="1" pivotButton="0" quotePrefix="0" xfId="0">
      <alignment horizontal="center" wrapText="1"/>
    </xf>
    <xf numFmtId="49" fontId="5" fillId="4" borderId="0" applyAlignment="1" pivotButton="0" quotePrefix="0" xfId="0">
      <alignment horizontal="center" wrapText="1"/>
    </xf>
    <xf numFmtId="195" fontId="72" fillId="37" borderId="0" applyAlignment="1" pivotButton="0" quotePrefix="0" xfId="0">
      <alignment horizontal="center" wrapText="1"/>
    </xf>
    <xf numFmtId="195" fontId="72" fillId="35" borderId="0" applyAlignment="1" pivotButton="0" quotePrefix="0" xfId="0">
      <alignment horizontal="center" wrapText="1"/>
    </xf>
    <xf numFmtId="195" fontId="4" fillId="8" borderId="0" applyAlignment="1" pivotButton="0" quotePrefix="0" xfId="0">
      <alignment wrapText="1"/>
    </xf>
    <xf numFmtId="196" fontId="5" fillId="8" borderId="0" applyAlignment="1" pivotButton="0" quotePrefix="0" xfId="0">
      <alignment wrapText="1"/>
    </xf>
    <xf numFmtId="196" fontId="4" fillId="8" borderId="0" applyAlignment="1" pivotButton="0" quotePrefix="0" xfId="0">
      <alignment wrapText="1"/>
    </xf>
    <xf numFmtId="201" fontId="4" fillId="8" borderId="0" applyAlignment="1" pivotButton="0" quotePrefix="0" xfId="0">
      <alignment wrapText="1"/>
    </xf>
    <xf numFmtId="193" fontId="4" fillId="8" borderId="0" applyAlignment="1" pivotButton="0" quotePrefix="0" xfId="0">
      <alignment wrapText="1"/>
    </xf>
    <xf numFmtId="196" fontId="4" fillId="11" borderId="0" applyAlignment="1" pivotButton="0" quotePrefix="0" xfId="0">
      <alignment horizontal="center" vertical="center" wrapText="1"/>
    </xf>
    <xf numFmtId="195" fontId="4" fillId="11" borderId="0" applyAlignment="1" pivotButton="0" quotePrefix="0" xfId="0">
      <alignment horizontal="center" vertical="center" wrapText="1"/>
    </xf>
    <xf numFmtId="193" fontId="4" fillId="11" borderId="0" applyAlignment="1" pivotButton="0" quotePrefix="0" xfId="0">
      <alignment horizontal="center" vertical="center" wrapText="1"/>
    </xf>
    <xf numFmtId="196" fontId="23" fillId="2" borderId="0" applyAlignment="1" pivotButton="0" quotePrefix="0" xfId="0">
      <alignment horizontal="right" vertical="center" wrapText="1"/>
    </xf>
    <xf numFmtId="166" fontId="15" fillId="11" borderId="0" applyAlignment="1" pivotButton="0" quotePrefix="0" xfId="0">
      <alignment horizontal="center" vertical="center" wrapText="1"/>
    </xf>
    <xf numFmtId="166" fontId="4" fillId="11" borderId="0" applyAlignment="1" pivotButton="0" quotePrefix="0" xfId="0">
      <alignment horizontal="center" vertical="center" wrapText="1"/>
    </xf>
    <xf numFmtId="165" fontId="4" fillId="11" borderId="0" applyAlignment="1" pivotButton="0" quotePrefix="0" xfId="0">
      <alignment horizontal="center" vertical="center" wrapText="1"/>
    </xf>
    <xf numFmtId="0" fontId="70" fillId="35" borderId="0" applyAlignment="1" pivotButton="0" quotePrefix="0" xfId="0">
      <alignment horizontal="left"/>
    </xf>
    <xf numFmtId="0" fontId="91" fillId="35" borderId="0" applyAlignment="1" pivotButton="0" quotePrefix="0" xfId="0">
      <alignment horizontal="center"/>
    </xf>
    <xf numFmtId="0" fontId="70" fillId="50" borderId="0" applyAlignment="1" pivotButton="0" quotePrefix="0" xfId="0">
      <alignment horizontal="center"/>
    </xf>
    <xf numFmtId="0" fontId="77" fillId="35" borderId="0" applyAlignment="1" pivotButton="0" quotePrefix="0" xfId="0">
      <alignment horizontal="left"/>
    </xf>
    <xf numFmtId="0" fontId="113" fillId="34" borderId="0" applyAlignment="1" pivotButton="0" quotePrefix="0" xfId="0">
      <alignment horizontal="left"/>
    </xf>
    <xf numFmtId="0" fontId="114" fillId="34" borderId="0" pivotButton="0" quotePrefix="0" xfId="0"/>
    <xf numFmtId="194" fontId="113" fillId="34" borderId="0" applyAlignment="1" pivotButton="0" quotePrefix="0" xfId="0">
      <alignment horizontal="right"/>
    </xf>
    <xf numFmtId="0" fontId="76" fillId="34" borderId="0" applyAlignment="1" pivotButton="0" quotePrefix="0" xfId="0">
      <alignment horizontal="left"/>
    </xf>
    <xf numFmtId="194" fontId="76" fillId="34" borderId="0" applyAlignment="1" pivotButton="0" quotePrefix="0" xfId="0">
      <alignment horizontal="right"/>
    </xf>
    <xf numFmtId="0" fontId="63" fillId="0" borderId="0" applyAlignment="1" pivotButton="0" quotePrefix="0" xfId="0">
      <alignment horizontal="left" vertical="center"/>
    </xf>
    <xf numFmtId="0" fontId="62" fillId="24" borderId="0" applyAlignment="1" pivotButton="0" quotePrefix="0" xfId="0">
      <alignment vertical="center"/>
    </xf>
    <xf numFmtId="0" fontId="0" fillId="52" borderId="0" pivotButton="0" quotePrefix="0" xfId="0"/>
    <xf numFmtId="0" fontId="61" fillId="52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left"/>
    </xf>
    <xf numFmtId="170" fontId="55" fillId="51" borderId="0" applyAlignment="1" pivotButton="0" quotePrefix="0" xfId="0">
      <alignment horizontal="center" vertical="center"/>
    </xf>
    <xf numFmtId="170" fontId="83" fillId="0" borderId="0" pivotButton="0" quotePrefix="0" xfId="0"/>
    <xf numFmtId="170" fontId="55" fillId="42" borderId="0" applyAlignment="1" pivotButton="0" quotePrefix="0" xfId="0">
      <alignment horizontal="center" vertical="center"/>
    </xf>
    <xf numFmtId="204" fontId="55" fillId="0" borderId="0" applyAlignment="1" pivotButton="0" quotePrefix="0" xfId="0">
      <alignment horizontal="center" vertical="center"/>
    </xf>
    <xf numFmtId="204" fontId="82" fillId="0" borderId="0" applyAlignment="1" pivotButton="0" quotePrefix="0" xfId="0">
      <alignment horizontal="center" vertical="center"/>
    </xf>
    <xf numFmtId="204" fontId="54" fillId="0" borderId="0" applyAlignment="1" pivotButton="0" quotePrefix="0" xfId="0">
      <alignment horizontal="center" vertical="center"/>
    </xf>
    <xf numFmtId="204" fontId="55" fillId="28" borderId="0" applyAlignment="1" pivotButton="0" quotePrefix="0" xfId="0">
      <alignment horizontal="center" vertical="center"/>
    </xf>
    <xf numFmtId="204" fontId="54" fillId="28" borderId="0" applyAlignment="1" pivotButton="0" quotePrefix="0" xfId="0">
      <alignment horizontal="center" vertical="center"/>
    </xf>
    <xf numFmtId="204" fontId="0" fillId="52" borderId="0" pivotButton="0" quotePrefix="0" xfId="0"/>
    <xf numFmtId="204" fontId="61" fillId="52" borderId="0" applyAlignment="1" pivotButton="0" quotePrefix="0" xfId="0">
      <alignment horizontal="center" vertical="center"/>
    </xf>
    <xf numFmtId="204" fontId="55" fillId="51" borderId="0" applyAlignment="1" pivotButton="0" quotePrefix="0" xfId="0">
      <alignment horizontal="center" vertical="center"/>
    </xf>
    <xf numFmtId="204" fontId="0" fillId="0" borderId="0" pivotButton="0" quotePrefix="0" xfId="0"/>
    <xf numFmtId="204" fontId="55" fillId="42" borderId="0" applyAlignment="1" pivotButton="0" quotePrefix="0" xfId="0">
      <alignment horizontal="center" vertical="center"/>
    </xf>
    <xf numFmtId="204" fontId="55" fillId="29" borderId="0" applyAlignment="1" pivotButton="0" quotePrefix="0" xfId="0">
      <alignment horizontal="center" vertical="center"/>
    </xf>
    <xf numFmtId="204" fontId="54" fillId="29" borderId="0" applyAlignment="1" pivotButton="0" quotePrefix="0" xfId="0">
      <alignment horizontal="center" vertical="center"/>
    </xf>
    <xf numFmtId="204" fontId="54" fillId="42" borderId="0" applyAlignment="1" pivotButton="0" quotePrefix="0" xfId="0">
      <alignment horizontal="center" vertical="center"/>
    </xf>
    <xf numFmtId="204" fontId="115" fillId="0" borderId="0" applyAlignment="1" pivotButton="0" quotePrefix="0" xfId="0">
      <alignment horizontal="center" vertical="center"/>
    </xf>
    <xf numFmtId="0" fontId="116" fillId="33" borderId="0" applyAlignment="1" pivotButton="0" quotePrefix="0" xfId="0">
      <alignment horizontal="center"/>
    </xf>
    <xf numFmtId="170" fontId="83" fillId="0" borderId="0" applyAlignment="1" pivotButton="0" quotePrefix="0" xfId="0">
      <alignment horizontal="center"/>
    </xf>
    <xf numFmtId="0" fontId="3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3" fillId="13" borderId="0" applyAlignment="1" pivotButton="0" quotePrefix="0" xfId="0">
      <alignment horizontal="left" vertical="center" indent="1"/>
    </xf>
    <xf numFmtId="0" fontId="93" fillId="33" borderId="7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94" fillId="45" borderId="22" applyAlignment="1" pivotButton="0" quotePrefix="0" xfId="0">
      <alignment horizontal="left" vertical="center" indent="1"/>
    </xf>
    <xf numFmtId="0" fontId="0" fillId="0" borderId="24" pivotButton="0" quotePrefix="0" xfId="0"/>
    <xf numFmtId="0" fontId="0" fillId="0" borderId="26" pivotButton="0" quotePrefix="0" xfId="0"/>
    <xf numFmtId="0" fontId="94" fillId="45" borderId="17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66" pivotButton="0" quotePrefix="0" xfId="0"/>
    <xf numFmtId="0" fontId="13" fillId="4" borderId="0" applyAlignment="1" pivotButton="0" quotePrefix="0" xfId="0">
      <alignment horizontal="left" vertical="center" indent="1"/>
    </xf>
    <xf numFmtId="0" fontId="71" fillId="44" borderId="10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65" pivotButton="0" quotePrefix="0" xfId="0"/>
    <xf numFmtId="0" fontId="3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right" vertical="center"/>
    </xf>
    <xf numFmtId="166" fontId="16" fillId="10" borderId="0" applyAlignment="1" pivotButton="0" quotePrefix="0" xfId="0">
      <alignment horizontal="left" vertical="center"/>
    </xf>
    <xf numFmtId="0" fontId="16" fillId="10" borderId="0" applyAlignment="1" pivotButton="0" quotePrefix="0" xfId="0">
      <alignment horizontal="left" vertical="center"/>
    </xf>
    <xf numFmtId="170" fontId="16" fillId="1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1" fillId="1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center"/>
    </xf>
    <xf numFmtId="0" fontId="67" fillId="24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165" fontId="4" fillId="8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 indent="1"/>
    </xf>
    <xf numFmtId="0" fontId="54" fillId="25" borderId="0" applyAlignment="1" pivotButton="0" quotePrefix="0" xfId="0">
      <alignment horizontal="left" vertical="center"/>
    </xf>
    <xf numFmtId="0" fontId="52" fillId="24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4" fillId="26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62" fillId="24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left" vertical="center" indent="2"/>
    </xf>
    <xf numFmtId="0" fontId="34" fillId="8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3" fillId="12" borderId="0" applyAlignment="1" pivotButton="0" quotePrefix="0" xfId="0">
      <alignment horizontal="left" vertical="center" indent="1"/>
    </xf>
    <xf numFmtId="0" fontId="35" fillId="17" borderId="0" applyAlignment="1" pivotButton="0" quotePrefix="0" xfId="0">
      <alignment horizontal="left" vertical="center" indent="1"/>
    </xf>
    <xf numFmtId="0" fontId="71" fillId="33" borderId="0" applyAlignment="1" pivotButton="0" quotePrefix="0" xfId="0">
      <alignment horizontal="left" vertical="center"/>
    </xf>
    <xf numFmtId="0" fontId="71" fillId="41" borderId="0" applyAlignment="1" pivotButton="0" quotePrefix="0" xfId="0">
      <alignment horizontal="left" vertical="center"/>
    </xf>
    <xf numFmtId="0" fontId="98" fillId="47" borderId="67" applyAlignment="1" pivotButton="0" quotePrefix="0" xfId="0">
      <alignment horizontal="center" vertical="center"/>
    </xf>
    <xf numFmtId="0" fontId="92" fillId="44" borderId="0" applyAlignment="1" pivotButton="0" quotePrefix="0" xfId="0">
      <alignment horizontal="left" vertical="center"/>
    </xf>
    <xf numFmtId="0" fontId="63" fillId="37" borderId="0" applyAlignment="1" pivotButton="0" quotePrefix="0" xfId="0">
      <alignment horizontal="left" vertical="center" wrapText="1"/>
    </xf>
    <xf numFmtId="0" fontId="71" fillId="33" borderId="0" applyAlignment="1" pivotButton="0" quotePrefix="0" xfId="0">
      <alignment horizontal="left" vertical="center" indent="1"/>
    </xf>
    <xf numFmtId="0" fontId="97" fillId="33" borderId="0" applyAlignment="1" pivotButton="0" quotePrefix="0" xfId="0">
      <alignment horizontal="center" vertical="center"/>
    </xf>
    <xf numFmtId="0" fontId="70" fillId="37" borderId="0" applyAlignment="1" pivotButton="0" quotePrefix="0" xfId="0">
      <alignment horizontal="left" vertical="center" indent="1"/>
    </xf>
    <xf numFmtId="0" fontId="70" fillId="34" borderId="0" applyAlignment="1" pivotButton="0" quotePrefix="0" xfId="0">
      <alignment horizontal="left" vertical="center" indent="1"/>
    </xf>
    <xf numFmtId="0" fontId="72" fillId="36" borderId="0" applyAlignment="1" pivotButton="0" quotePrefix="0" xfId="0">
      <alignment horizontal="left" vertical="center" indent="1"/>
    </xf>
    <xf numFmtId="0" fontId="71" fillId="41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2"/>
    </xf>
    <xf numFmtId="0" fontId="20" fillId="15" borderId="0" applyAlignment="1" pivotButton="0" quotePrefix="0" xfId="0">
      <alignment horizontal="left" vertical="center" indent="1"/>
    </xf>
    <xf numFmtId="0" fontId="13" fillId="5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1" fillId="15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 indent="1"/>
    </xf>
    <xf numFmtId="0" fontId="13" fillId="4" borderId="1" applyAlignment="1" pivotButton="0" quotePrefix="0" xfId="0">
      <alignment horizontal="left" vertical="center"/>
    </xf>
    <xf numFmtId="0" fontId="37" fillId="7" borderId="1" applyAlignment="1" pivotButton="0" quotePrefix="0" xfId="0">
      <alignment horizontal="left" vertical="center" indent="1"/>
    </xf>
    <xf numFmtId="0" fontId="44" fillId="2" borderId="1" applyAlignment="1" pivotButton="0" quotePrefix="0" xfId="0">
      <alignment horizontal="center" vertical="center"/>
    </xf>
    <xf numFmtId="0" fontId="15" fillId="18" borderId="1" applyAlignment="1" pivotButton="0" quotePrefix="0" xfId="0">
      <alignment horizontal="left" vertical="center"/>
    </xf>
    <xf numFmtId="0" fontId="41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203" fontId="70" fillId="35" borderId="0" applyAlignment="1" pivotButton="0" quotePrefix="0" xfId="0">
      <alignment horizontal="right" vertical="center" wrapText="1"/>
    </xf>
    <xf numFmtId="199" fontId="4" fillId="8" borderId="0" applyAlignment="1" pivotButton="0" quotePrefix="0" xfId="0">
      <alignment horizontal="right" vertical="center" wrapText="1"/>
    </xf>
    <xf numFmtId="199" fontId="105" fillId="33" borderId="0" applyAlignment="1" pivotButton="0" quotePrefix="0" xfId="0">
      <alignment horizontal="left"/>
    </xf>
    <xf numFmtId="199" fontId="112" fillId="33" borderId="0" applyAlignment="1" pivotButton="0" quotePrefix="0" xfId="0">
      <alignment horizontal="left"/>
    </xf>
    <xf numFmtId="200" fontId="68" fillId="30" borderId="0" applyAlignment="1" pivotButton="0" quotePrefix="0" xfId="0">
      <alignment horizontal="center"/>
    </xf>
    <xf numFmtId="201" fontId="4" fillId="4" borderId="0" pivotButton="0" quotePrefix="0" xfId="0"/>
    <xf numFmtId="201" fontId="4" fillId="8" borderId="0" pivotButton="0" quotePrefix="0" xfId="0"/>
    <xf numFmtId="201" fontId="4" fillId="8" borderId="0" applyAlignment="1" pivotButton="0" quotePrefix="0" xfId="0">
      <alignment wrapText="1"/>
    </xf>
    <xf numFmtId="202" fontId="16" fillId="4" borderId="0" applyAlignment="1" pivotButton="0" quotePrefix="0" xfId="0">
      <alignment horizontal="center" vertical="center"/>
    </xf>
    <xf numFmtId="189" fontId="100" fillId="0" borderId="67" applyAlignment="1" pivotButton="0" quotePrefix="0" xfId="0">
      <alignment horizontal="right" vertical="center"/>
    </xf>
    <xf numFmtId="189" fontId="99" fillId="29" borderId="67" applyAlignment="1" pivotButton="0" quotePrefix="0" xfId="0">
      <alignment horizontal="right" vertical="center"/>
    </xf>
    <xf numFmtId="188" fontId="61" fillId="27" borderId="0" applyAlignment="1" pivotButton="0" quotePrefix="0" xfId="0">
      <alignment horizontal="center" vertical="center" wrapText="1"/>
    </xf>
    <xf numFmtId="188" fontId="0" fillId="0" borderId="0" pivotButton="0" quotePrefix="0" xfId="0"/>
    <xf numFmtId="189" fontId="87" fillId="0" borderId="0" pivotButton="0" quotePrefix="0" xfId="0"/>
    <xf numFmtId="0" fontId="44" fillId="2" borderId="67" applyAlignment="1" pivotButton="0" quotePrefix="0" xfId="0">
      <alignment horizontal="center" vertical="center"/>
    </xf>
    <xf numFmtId="0" fontId="13" fillId="4" borderId="67" applyAlignment="1" pivotButton="0" quotePrefix="0" xfId="0">
      <alignment horizontal="left" vertical="center"/>
    </xf>
    <xf numFmtId="0" fontId="37" fillId="7" borderId="67" applyAlignment="1" pivotButton="0" quotePrefix="0" xfId="0">
      <alignment horizontal="left" vertical="center" indent="1"/>
    </xf>
    <xf numFmtId="0" fontId="13" fillId="5" borderId="67" applyAlignment="1" pivotButton="0" quotePrefix="0" xfId="0">
      <alignment horizontal="left" vertical="center" indent="1"/>
    </xf>
    <xf numFmtId="0" fontId="41" fillId="23" borderId="67" applyAlignment="1" pivotButton="0" quotePrefix="0" xfId="0">
      <alignment horizontal="center" vertical="center"/>
    </xf>
    <xf numFmtId="0" fontId="11" fillId="2" borderId="67" applyAlignment="1" pivotButton="0" quotePrefix="0" xfId="0">
      <alignment horizontal="center" vertical="center"/>
    </xf>
    <xf numFmtId="0" fontId="15" fillId="18" borderId="67" applyAlignment="1" pivotButton="0" quotePrefix="0" xfId="0">
      <alignment horizontal="left" vertical="center"/>
    </xf>
    <xf numFmtId="0" fontId="4" fillId="5" borderId="67" applyAlignment="1" pivotButton="0" quotePrefix="0" xfId="0">
      <alignment horizontal="left" vertical="center"/>
    </xf>
    <xf numFmtId="0" fontId="4" fillId="4" borderId="67" applyAlignment="1" pivotButton="0" quotePrefix="0" xfId="0">
      <alignment horizontal="left" vertical="center"/>
    </xf>
  </cellXfs>
  <cellStyles count="4">
    <cellStyle name="Normal" xfId="0" builtinId="0"/>
    <cellStyle name="Currency" xfId="1" builtinId="4"/>
    <cellStyle name="Percent" xfId="2" builtinId="5"/>
    <cellStyle name="Hyperlink" xfId="3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6100"/>
      <rgbColor rgb="FF000080"/>
      <rgbColor rgb="FF7F6000"/>
      <rgbColor rgb="FF800080"/>
      <rgbColor rgb="FF1F7A6E"/>
      <rgbColor rgb="FFBFBFBF"/>
      <rgbColor rgb="FF808080"/>
      <rgbColor rgb="FF9999FF"/>
      <rgbColor rgb="FF7030A0"/>
      <rgbColor rgb="FFFFFF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BD8"/>
      <rgbColor rgb="FFFFFF99"/>
      <rgbColor rgb="FFD6E4F0"/>
      <rgbColor rgb="FFFCE4D6"/>
      <rgbColor rgb="FFF2F2F2"/>
      <rgbColor rgb="FFEAD1DC"/>
      <rgbColor rgb="FF4472C4"/>
      <rgbColor rgb="FF33CCCC"/>
      <rgbColor rgb="FF92D050"/>
      <rgbColor rgb="FFFFCC00"/>
      <rgbColor rgb="FFC9A227"/>
      <rgbColor rgb="FFFF6600"/>
      <rgbColor rgb="FF595959"/>
      <rgbColor rgb="FF969696"/>
      <rgbColor rgb="FF002060"/>
      <rgbColor rgb="FF339966"/>
      <rgbColor rgb="FF003300"/>
      <rgbColor rgb="FF375623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Relationship Id="rId19" Type="http://schemas.openxmlformats.org/officeDocument/2006/relationships/sheetMetadata" Target="metadata.xml"/></Relationships>
</file>

<file path=xl/comments/comment1.xml><?xml version="1.0" encoding="utf-8"?>
<comments xmlns="http://schemas.openxmlformats.org/spreadsheetml/2006/main">
  <authors>
    <author>Erik Javellana</author>
  </authors>
  <commentList>
    <comment ref="N59" authorId="0" shapeId="0">
      <text>
        <t>Erik Javellana:
Analyzer LtL was -$332,093 = beds priced ABOVE market = positive adjustment. Entered as positive here.</t>
      </text>
    </comment>
    <comment ref="N63" authorId="0" shapeId="0">
      <text>
        <t>Erik Javellana:
Bad debt moved to expense side row 106</t>
      </text>
    </comment>
    <comment ref="S86" authorId="0" shapeId="0">
      <text>
        <t>Erik Javellana:
Projected forward run-rate Net Rent (Rent Roll annualized, T-1) minus T-12 actual Total Base Rent (N62). Positive = roll is pricing above trailing actuals.</t>
      </text>
    </comment>
    <comment ref="N134" authorId="0" shapeId="0">
      <text>
        <t>Erik Javellana:
EBITDARM = EGI - Labor - Non-Labor (BEFORE management fee)</t>
      </text>
    </comment>
  </commentList>
</comments>
</file>

<file path=xl/comments/comment2.xml><?xml version="1.0" encoding="utf-8"?>
<comments xmlns="http://schemas.openxmlformats.org/spreadsheetml/2006/main">
  <authors>
    <author>Erik Javellana</author>
  </authors>
  <commentList>
    <comment ref="D5" authorId="0" shapeId="0">
      <text>
        <t>Erik Javellana:
Total debt (all tranches) from Scenarios!F23</t>
      </text>
    </comment>
    <comment ref="B21" authorId="0" shapeId="0">
      <text>
        <t>Erik Javellana:
Origination fee % — 1st loan from Scenarios!F140</t>
      </text>
    </comment>
    <comment ref="D21" authorId="0" shapeId="0">
      <text>
        <t>Erik Javellana:
Origination fee $ = sum across all 3 tranches (1st, 2nd, Supplemental)</t>
      </text>
    </comment>
    <comment ref="D35" authorId="0" shapeId="0">
      <text>
        <t>Erik Javellana:
RE Tax reserve: 3 months of annual RE Tax (Scenarios!F108)</t>
      </text>
    </comment>
    <comment ref="D36" authorId="0" shapeId="0">
      <text>
        <t>Erik Javellana:
Insurance reserve: 3 months of annual P&amp;C Insurance (Scenarios!F104)</t>
      </text>
    </comment>
  </commentList>
</comments>
</file>

<file path=xl/comments/comment3.xml><?xml version="1.0" encoding="utf-8"?>
<comments xmlns="http://schemas.openxmlformats.org/spreadsheetml/2006/main">
  <authors>
    <author>Erik Javellana</author>
  </authors>
  <commentList>
    <comment ref="O2" authorId="0" shapeId="0">
      <text>
        <t>Erik Javellana:
Toggle between Average and Max. Drives S5:S15 below. Valid values: Average, Max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C5" authorId="0" shapeId="0">
      <text>
        <t>Erik Javellana:
  Model both a cash-out refi before exit AND final disposition. Set refi year to NA to skip.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topLeftCell="A2" zoomScale="115" zoomScaleNormal="115" workbookViewId="0">
      <selection activeCell="B15" sqref="B15"/>
    </sheetView>
  </sheetViews>
  <sheetFormatPr baseColWidth="10" defaultColWidth="8.83203125" defaultRowHeight="15"/>
  <cols>
    <col width="30" customWidth="1" style="923" min="1" max="1"/>
    <col width="14" customWidth="1" style="923" min="2" max="5"/>
    <col width="30" customWidth="1" style="923" min="6" max="6"/>
  </cols>
  <sheetData>
    <row r="1" ht="39.75" customHeight="1" s="923">
      <c r="A1" s="939" t="inlineStr">
        <is>
          <t>ASSISTED LIVING FACILITY — INVESTMENT SUMMARY</t>
        </is>
      </c>
    </row>
    <row r="2" ht="19.5" customHeight="1" s="923">
      <c r="A2" s="940" t="inlineStr">
        <is>
          <t>Confidential — For Authorized Recipients Only</t>
        </is>
      </c>
    </row>
    <row r="4" ht="24" customHeight="1" s="923">
      <c r="A4" s="938" t="inlineStr">
        <is>
          <t>PROPERTY INFORMATION</t>
        </is>
      </c>
    </row>
    <row r="5" ht="18" customHeight="1" s="923">
      <c r="A5" s="8" t="inlineStr">
        <is>
          <t>Property Name</t>
        </is>
      </c>
      <c r="B5" s="9">
        <f>'Prop Info'!B4</f>
        <v/>
      </c>
    </row>
    <row r="6" ht="18" customHeight="1" s="923">
      <c r="A6" s="10" t="inlineStr">
        <is>
          <t>Location</t>
        </is>
      </c>
      <c r="B6" s="11">
        <f>'Prop Info'!B5</f>
        <v/>
      </c>
    </row>
    <row r="7" ht="18" customHeight="1" s="923">
      <c r="A7" s="8" t="inlineStr">
        <is>
          <t>Year Built</t>
        </is>
      </c>
      <c r="B7" s="9">
        <f>'Prop Info'!B9</f>
        <v/>
      </c>
    </row>
    <row r="8" ht="18" customHeight="1" s="923">
      <c r="A8" s="12" t="inlineStr">
        <is>
          <t>Total Units  (physical rooms)</t>
        </is>
      </c>
      <c r="B8" s="13">
        <f>Scenarios!F8</f>
        <v/>
      </c>
      <c r="C8" s="14">
        <f>IFERROR('Prop Info'!$B$15,0)</f>
        <v/>
      </c>
    </row>
    <row r="9" ht="18" customHeight="1" s="923">
      <c r="A9" s="8" t="inlineStr">
        <is>
          <t>Gross Sq Ft</t>
        </is>
      </c>
      <c r="B9" s="9">
        <f>'Prop Info'!B11</f>
        <v/>
      </c>
    </row>
    <row r="10" ht="18" customHeight="1" s="923">
      <c r="A10" s="10" t="inlineStr">
        <is>
          <t>Asset Class</t>
        </is>
      </c>
      <c r="B10" s="11">
        <f>'Prop Info'!B13</f>
        <v/>
      </c>
    </row>
    <row r="11" ht="18" customHeight="1" s="923">
      <c r="A11" s="8" t="inlineStr">
        <is>
          <t>Active Scenario</t>
        </is>
      </c>
      <c r="B11" s="941">
        <f>Scenarios!B2</f>
        <v/>
      </c>
    </row>
    <row r="12" ht="18" customHeight="1" s="923">
      <c r="A12" s="15" t="inlineStr">
        <is>
          <t>Licensed Beds  /  Occupied Beds (Y1)</t>
        </is>
      </c>
      <c r="B12" s="16">
        <f>IFERROR('Prop Info'!$B$15,0)</f>
        <v/>
      </c>
      <c r="C12" s="17" t="inlineStr">
        <is>
          <t xml:space="preserve"> / </t>
        </is>
      </c>
      <c r="D12" s="16">
        <f>IFERROR(Scenarios!F51,0)</f>
        <v/>
      </c>
      <c r="E12" s="18">
        <f>IFERROR(Scenarios!F51/'Prop Info'!$B$15,0)</f>
        <v/>
      </c>
    </row>
    <row r="13" ht="24" customHeight="1" s="923">
      <c r="A13" s="922" t="inlineStr">
        <is>
          <t>KEY DEAL METRICS</t>
        </is>
      </c>
    </row>
    <row r="14" ht="30" customHeight="1" s="923">
      <c r="A14" s="19" t="inlineStr">
        <is>
          <t>Metric</t>
        </is>
      </c>
      <c r="B14" s="19" t="inlineStr">
        <is>
          <t>Value</t>
        </is>
      </c>
      <c r="C14" s="20" t="inlineStr">
        <is>
          <t>/ Beds</t>
        </is>
      </c>
      <c r="D14" s="19" t="inlineStr">
        <is>
          <t>Returns Metric</t>
        </is>
      </c>
      <c r="E14" s="19" t="inlineStr">
        <is>
          <t>Value</t>
        </is>
      </c>
      <c r="F14" s="19" t="n"/>
    </row>
    <row r="15" ht="18" customHeight="1" s="923">
      <c r="A15" s="8" t="inlineStr">
        <is>
          <t>Purchase Price</t>
        </is>
      </c>
      <c r="B15" s="21">
        <f>Scenarios!F7</f>
        <v/>
      </c>
      <c r="D15" s="8" t="inlineStr">
        <is>
          <t>LP IRR</t>
        </is>
      </c>
      <c r="E15" s="22">
        <f>Waterfall!B69</f>
        <v/>
      </c>
    </row>
    <row r="16" ht="18" customHeight="1" s="923">
      <c r="A16" s="12" t="inlineStr">
        <is>
          <t>Price Per Room  /  Per Bed</t>
        </is>
      </c>
      <c r="B16" s="23">
        <f>Scenarios!F9</f>
        <v/>
      </c>
      <c r="C16" s="24">
        <f>IFERROR(Scenarios!F7/'Prop Info'!$B$15,0)</f>
        <v/>
      </c>
      <c r="D16" s="10" t="inlineStr">
        <is>
          <t>GP IRR</t>
        </is>
      </c>
      <c r="E16" s="22">
        <f>Waterfall!E66</f>
        <v/>
      </c>
    </row>
    <row r="17" ht="18" customHeight="1" s="923">
      <c r="A17" s="8" t="inlineStr">
        <is>
          <t>Total Acquisition Cost</t>
        </is>
      </c>
      <c r="B17" s="21">
        <f>Scenarios!F17</f>
        <v/>
      </c>
      <c r="D17" s="8" t="inlineStr">
        <is>
          <t>LP Equity Multiple</t>
        </is>
      </c>
      <c r="E17" s="25">
        <f>IFERROR(Waterfall!B67,0)</f>
        <v/>
      </c>
    </row>
    <row r="18" ht="18" customHeight="1" s="923">
      <c r="A18" s="10" t="inlineStr">
        <is>
          <t>Loan Amount (Total)</t>
        </is>
      </c>
      <c r="B18" s="23">
        <f>Loans!E4</f>
        <v/>
      </c>
      <c r="D18" s="26" t="inlineStr">
        <is>
          <t>Y1 Cash-on-Cash</t>
        </is>
      </c>
      <c r="E18" s="27">
        <f>'P&amp;L'!D126</f>
        <v/>
      </c>
    </row>
    <row r="19" ht="18" customHeight="1" s="923">
      <c r="A19" s="8" t="inlineStr">
        <is>
          <t>LTV</t>
        </is>
      </c>
      <c r="B19" s="28">
        <f>IFERROR(Scenarios!F150/Scenarios!F7,0)</f>
        <v/>
      </c>
      <c r="D19" s="8" t="inlineStr">
        <is>
          <t>Year 5 NOI</t>
        </is>
      </c>
      <c r="E19" s="29">
        <f>IFERROR(INDEX('P&amp;L'!D115:M116,1,Scenarios!F86),0)+IFERROR(INDEX('P&amp;L'!D112:M113,1,Scenarios!F86),0)</f>
        <v/>
      </c>
    </row>
    <row r="20" ht="18" customHeight="1" s="923">
      <c r="A20" s="10" t="inlineStr">
        <is>
          <t>LTC</t>
        </is>
      </c>
      <c r="B20" s="30">
        <f>IFERROR(Scenarios!F150/Scenarios!F17,0)</f>
        <v/>
      </c>
      <c r="D20" s="10" t="inlineStr">
        <is>
          <t>Exit Year</t>
        </is>
      </c>
      <c r="E20" s="31">
        <f>Scenarios!F86</f>
        <v/>
      </c>
    </row>
    <row r="21" ht="18" customHeight="1" s="923">
      <c r="A21" s="8" t="inlineStr">
        <is>
          <t>Equity Required</t>
        </is>
      </c>
      <c r="B21" s="21">
        <f>Scenarios!F31</f>
        <v/>
      </c>
      <c r="D21" s="8" t="inlineStr">
        <is>
          <t>Exit Cap Rate</t>
        </is>
      </c>
      <c r="E21" s="22">
        <f>Waterfall!B6</f>
        <v/>
      </c>
    </row>
    <row r="22" ht="18" customHeight="1" s="923">
      <c r="A22" s="10" t="inlineStr">
        <is>
          <t>Down Payment %</t>
        </is>
      </c>
      <c r="B22" s="30">
        <f>Scenarios!F10</f>
        <v/>
      </c>
      <c r="D22" s="10" t="inlineStr">
        <is>
          <t>Gross Sale Price</t>
        </is>
      </c>
      <c r="E22" s="29">
        <f>Waterfall!B32</f>
        <v/>
      </c>
    </row>
    <row r="23" ht="18" customHeight="1" s="923">
      <c r="A23" s="8" t="inlineStr">
        <is>
          <t>Entry Cap Rate</t>
        </is>
      </c>
      <c r="B23" s="28">
        <f>IFERROR('P&amp;L'!D97/Scenarios!F7,0)</f>
        <v/>
      </c>
      <c r="D23" s="8" t="inlineStr">
        <is>
          <t>Net to Equity (Exit)</t>
        </is>
      </c>
      <c r="E23" s="29">
        <f>Waterfall!B35</f>
        <v/>
      </c>
    </row>
    <row r="24" ht="18" customHeight="1" s="923">
      <c r="A24" s="10" t="inlineStr">
        <is>
          <t>Stabilized Cap Rate (Y5)</t>
        </is>
      </c>
      <c r="B24" s="30">
        <f>IFERROR((IFERROR(INDEX('P&amp;L'!D115:M116,1,Scenarios!F86),0)+IFERROR(INDEX('P&amp;L'!D112:M113,1,Scenarios!F86),0))/Scenarios!F7,0)</f>
        <v/>
      </c>
      <c r="D24" s="26" t="inlineStr">
        <is>
          <t>Avg Annual Return (LP)</t>
        </is>
      </c>
      <c r="E24" s="27">
        <f>IFERROR((Waterfall!M54-(Waterfall!B9+Waterfall!B10))/(Waterfall!B9+Waterfall!B10)/Scenarios!F86,0)</f>
        <v/>
      </c>
    </row>
    <row r="26" ht="24" customHeight="1" s="923">
      <c r="A26" s="938" t="inlineStr">
        <is>
          <t>CAPITAL STACK</t>
        </is>
      </c>
    </row>
    <row r="27" ht="30" customHeight="1" s="923">
      <c r="A27" s="32" t="inlineStr">
        <is>
          <t>Tranche</t>
        </is>
      </c>
      <c r="B27" s="32" t="inlineStr">
        <is>
          <t>Amount</t>
        </is>
      </c>
      <c r="C27" s="32" t="inlineStr">
        <is>
          <t>%</t>
        </is>
      </c>
      <c r="D27" s="32" t="inlineStr">
        <is>
          <t>Rate</t>
        </is>
      </c>
      <c r="E27" s="32" t="inlineStr">
        <is>
          <t>Term (yrs)</t>
        </is>
      </c>
      <c r="F27" s="32" t="inlineStr">
        <is>
          <t>Amort (yrs)</t>
        </is>
      </c>
    </row>
    <row r="28" ht="18" customHeight="1" s="923">
      <c r="A28" s="8" t="inlineStr">
        <is>
          <t>Senior Loan (1st)</t>
        </is>
      </c>
      <c r="B28" s="21">
        <f>Scenarios!F92</f>
        <v/>
      </c>
      <c r="C28" s="28">
        <f>IFERROR(Scenarios!F92/Scenarios!F17,0)</f>
        <v/>
      </c>
      <c r="D28" s="27">
        <f>Scenarios!F93</f>
        <v/>
      </c>
      <c r="E28" s="33">
        <f>Scenarios!F124</f>
        <v/>
      </c>
      <c r="F28" s="33">
        <f>Scenarios!F94</f>
        <v/>
      </c>
    </row>
    <row r="29" ht="18" customHeight="1" s="923">
      <c r="A29" s="10" t="inlineStr">
        <is>
          <t>2nd Loan</t>
        </is>
      </c>
      <c r="B29" s="23">
        <f>Scenarios!F128</f>
        <v/>
      </c>
      <c r="C29" s="30">
        <f>IFERROR(Scenarios!F128/Scenarios!F17,0)</f>
        <v/>
      </c>
      <c r="D29" s="34">
        <f>Scenarios!F129</f>
        <v/>
      </c>
      <c r="E29" s="13">
        <f>Scenarios!F131</f>
        <v/>
      </c>
      <c r="F29" s="13">
        <f>Scenarios!F130</f>
        <v/>
      </c>
    </row>
    <row r="30" ht="18" customHeight="1" s="923">
      <c r="A30" s="8" t="inlineStr">
        <is>
          <t>Supplemental</t>
        </is>
      </c>
      <c r="B30" s="21">
        <f>Scenarios!F135</f>
        <v/>
      </c>
      <c r="C30" s="28">
        <f>IFERROR(Scenarios!F135/Scenarios!F17,0)</f>
        <v/>
      </c>
      <c r="D30" s="27">
        <f>Scenarios!F136</f>
        <v/>
      </c>
      <c r="E30" s="33">
        <f>Scenarios!F138</f>
        <v/>
      </c>
      <c r="F30" s="33">
        <f>Scenarios!F137</f>
        <v/>
      </c>
    </row>
    <row r="31" ht="18" customHeight="1" s="923">
      <c r="A31" s="10" t="inlineStr">
        <is>
          <t>GP Equity</t>
        </is>
      </c>
      <c r="B31" s="23">
        <f>Scenarios!F32</f>
        <v/>
      </c>
      <c r="C31" s="30">
        <f>Scenarios!F28</f>
        <v/>
      </c>
      <c r="D31" s="35" t="inlineStr">
        <is>
          <t>—</t>
        </is>
      </c>
      <c r="E31" s="35" t="inlineStr">
        <is>
          <t>—</t>
        </is>
      </c>
      <c r="F31" s="35" t="inlineStr">
        <is>
          <t>—</t>
        </is>
      </c>
    </row>
    <row r="32" ht="18" customHeight="1" s="923">
      <c r="A32" s="8" t="inlineStr">
        <is>
          <t>Class A LP Equity</t>
        </is>
      </c>
      <c r="B32" s="21">
        <f>Scenarios!F33</f>
        <v/>
      </c>
      <c r="C32" s="28">
        <f>Scenarios!F29</f>
        <v/>
      </c>
      <c r="D32" s="28">
        <f>Scenarios!F35</f>
        <v/>
      </c>
      <c r="E32" s="36" t="inlineStr">
        <is>
          <t>—</t>
        </is>
      </c>
      <c r="F32" s="36" t="inlineStr">
        <is>
          <t>—</t>
        </is>
      </c>
    </row>
    <row r="33" ht="18" customHeight="1" s="923">
      <c r="A33" s="10" t="inlineStr">
        <is>
          <t>Class B LP Equity</t>
        </is>
      </c>
      <c r="B33" s="23">
        <f>Scenarios!F34</f>
        <v/>
      </c>
      <c r="C33" s="30">
        <f>Scenarios!F30</f>
        <v/>
      </c>
      <c r="D33" s="37" t="inlineStr">
        <is>
          <t>—</t>
        </is>
      </c>
      <c r="E33" s="37" t="inlineStr">
        <is>
          <t>—</t>
        </is>
      </c>
      <c r="F33" s="37" t="inlineStr">
        <is>
          <t>—</t>
        </is>
      </c>
    </row>
    <row r="34" ht="18" customHeight="1" s="923">
      <c r="A34" s="951" t="inlineStr">
        <is>
          <t>TOTAL</t>
        </is>
      </c>
      <c r="B34" s="38">
        <f>Scenarios!F31</f>
        <v/>
      </c>
      <c r="C34" s="39">
        <f>IFERROR(Scenarios!F31/Scenarios!F17,0)</f>
        <v/>
      </c>
      <c r="D34" s="40" t="inlineStr">
        <is>
          <t>—</t>
        </is>
      </c>
      <c r="E34" s="40" t="inlineStr">
        <is>
          <t>—</t>
        </is>
      </c>
      <c r="F34" s="40" t="inlineStr">
        <is>
          <t>—</t>
        </is>
      </c>
    </row>
    <row r="36" ht="21.75" customHeight="1" s="923">
      <c r="A36" s="938" t="inlineStr">
        <is>
          <t>INVESTOR RETURNS SUMMARY</t>
        </is>
      </c>
    </row>
    <row r="37" ht="15.75" customHeight="1" s="923">
      <c r="A37" s="41" t="inlineStr">
        <is>
          <t>Metric</t>
        </is>
      </c>
      <c r="B37" s="41" t="inlineStr">
        <is>
          <t>Class A LP</t>
        </is>
      </c>
      <c r="C37" s="41" t="inlineStr">
        <is>
          <t>Class B LP</t>
        </is>
      </c>
      <c r="D37" s="41" t="inlineStr">
        <is>
          <t>LP Combined</t>
        </is>
      </c>
      <c r="E37" s="41" t="inlineStr">
        <is>
          <t>GP</t>
        </is>
      </c>
      <c r="F37" s="42" t="inlineStr">
        <is>
          <t>Notes</t>
        </is>
      </c>
    </row>
    <row r="38" ht="18" customHeight="1" s="923">
      <c r="A38" s="43" t="inlineStr">
        <is>
          <t>Total Equity Invested</t>
        </is>
      </c>
      <c r="B38" s="21">
        <f>Waterfall!B9</f>
        <v/>
      </c>
      <c r="C38" s="21">
        <f>Waterfall!B10</f>
        <v/>
      </c>
      <c r="D38" s="21">
        <f>Waterfall!B9+Waterfall!B10</f>
        <v/>
      </c>
      <c r="E38" s="21">
        <f>Waterfall!B8</f>
        <v/>
      </c>
      <c r="F38" s="934" t="inlineStr">
        <is>
          <t>Capital contributed by each party</t>
        </is>
      </c>
    </row>
    <row r="39" ht="18" customHeight="1" s="923">
      <c r="A39" s="43" t="inlineStr">
        <is>
          <t>Total Distributions</t>
        </is>
      </c>
      <c r="B39" s="21">
        <f>Waterfall!M55</f>
        <v/>
      </c>
      <c r="C39" s="21">
        <f>Waterfall!M56</f>
        <v/>
      </c>
      <c r="D39" s="21">
        <f>Waterfall!M57</f>
        <v/>
      </c>
      <c r="E39" s="21">
        <f>Waterfall!M58</f>
        <v/>
      </c>
      <c r="F39" s="934" t="inlineStr">
        <is>
          <t>Operating CF + exit proceeds</t>
        </is>
      </c>
    </row>
    <row r="40" ht="18" customHeight="1" s="923">
      <c r="A40" s="43" t="inlineStr">
        <is>
          <t>Net Profit</t>
        </is>
      </c>
      <c r="B40" s="21">
        <f>Waterfall!M55-Waterfall!B9</f>
        <v/>
      </c>
      <c r="C40" s="21">
        <f>IFERROR(Waterfall!M56-Waterfall!B10,0)</f>
        <v/>
      </c>
      <c r="D40" s="21">
        <f>Waterfall!M57-(Waterfall!B9+Waterfall!B10)</f>
        <v/>
      </c>
      <c r="E40" s="21">
        <f>Waterfall!M58-Waterfall!B8</f>
        <v/>
      </c>
    </row>
    <row r="41" ht="18" customHeight="1" s="923">
      <c r="A41" s="44" t="inlineStr">
        <is>
          <t>Equity Multiple (EM)</t>
        </is>
      </c>
      <c r="B41" s="45">
        <f>IFERROR(Waterfall!B67,0)</f>
        <v/>
      </c>
      <c r="C41" s="45">
        <f>IFERROR(Waterfall!C67,0)</f>
        <v/>
      </c>
      <c r="D41" s="45">
        <f>IFERROR(Waterfall!D67,0)</f>
        <v/>
      </c>
      <c r="E41" s="45">
        <f>IFERROR(Waterfall!E67,0)</f>
        <v/>
      </c>
      <c r="F41" s="947" t="inlineStr">
        <is>
          <t>Total value returned / capital in</t>
        </is>
      </c>
    </row>
    <row r="42" ht="18" customHeight="1" s="923">
      <c r="A42" s="44" t="inlineStr">
        <is>
          <t>IRR</t>
        </is>
      </c>
      <c r="B42" s="46">
        <f>Waterfall!B69</f>
        <v/>
      </c>
      <c r="C42" s="46">
        <f>Waterfall!C69</f>
        <v/>
      </c>
      <c r="D42" s="46">
        <f>Waterfall!D69</f>
        <v/>
      </c>
      <c r="E42" s="46">
        <f>Waterfall!E69</f>
        <v/>
      </c>
      <c r="F42" s="947" t="inlineStr">
        <is>
          <t>Includes exit proceeds</t>
        </is>
      </c>
    </row>
    <row r="43" ht="18" customHeight="1" s="923">
      <c r="A43" s="962" t="inlineStr">
        <is>
          <t>Avg Annual Return  (simple, incl. exit)</t>
        </is>
      </c>
      <c r="B43" s="46">
        <f>IFERROR((Waterfall!M55-Waterfall!B9)/Waterfall!B9/Scenarios!F86,0)</f>
        <v/>
      </c>
      <c r="C43" s="46">
        <f>IFERROR((Waterfall!M56-Waterfall!B10)/Waterfall!B10/Scenarios!F86,0)</f>
        <v/>
      </c>
      <c r="D43" s="46">
        <f>IFERROR((Waterfall!M57-(Waterfall!B9+Waterfall!B10))/(Waterfall!B9+Waterfall!B10)/Scenarios!F86,0)</f>
        <v/>
      </c>
      <c r="E43" s="46">
        <f>IFERROR(IF(Waterfall!B8=0,"N/A",(Waterfall!M58-Waterfall!B8)/Waterfall!B8/Scenarios!F86),0)</f>
        <v/>
      </c>
      <c r="F43" s="48" t="inlineStr">
        <is>
          <t>Simple: (total distributions − equity) ÷ equity ÷ hold yrs. Not compounded.</t>
        </is>
      </c>
    </row>
    <row r="44" ht="16.5" customHeight="1" s="923">
      <c r="A44" s="49" t="inlineStr">
        <is>
          <t>Avg Cash-on-Cash Return</t>
        </is>
      </c>
      <c r="B44" s="50">
        <f>'P&amp;L'!D127</f>
        <v/>
      </c>
      <c r="C44" s="50">
        <f>IFERROR(IF(Waterfall!B10=0,0,AVERAGE(OFFSET(Waterfall!B53,0,0,1,MIN(Scenarios!F86,10)))/Waterfall!B10),0)</f>
        <v/>
      </c>
      <c r="D44" s="50">
        <f>'P&amp;L'!D129</f>
        <v/>
      </c>
      <c r="E44" s="50">
        <f>IFERROR(IF(Waterfall!B8=0,0,AVERAGE(OFFSET(Waterfall!B55,0,0,1,MIN(Scenarios!F86,10)))/Waterfall!B8),0)</f>
        <v/>
      </c>
      <c r="F44" s="51" t="inlineStr">
        <is>
          <t>Annual operating cash ÷ equity invested</t>
        </is>
      </c>
    </row>
    <row r="45" ht="21.75" customHeight="1" s="923">
      <c r="A45" s="938" t="inlineStr">
        <is>
          <t>EXIT &amp; DEAL METRICS</t>
        </is>
      </c>
    </row>
    <row r="46" ht="18" customHeight="1" s="923">
      <c r="A46" s="43" t="inlineStr">
        <is>
          <t>Hold Period (yrs)</t>
        </is>
      </c>
      <c r="B46" s="52">
        <f>Scenarios!F86</f>
        <v/>
      </c>
      <c r="C46" s="941" t="n"/>
      <c r="D46" s="941" t="n"/>
      <c r="E46" s="941" t="n"/>
    </row>
    <row r="47" ht="18" customHeight="1" s="923">
      <c r="A47" s="43" t="inlineStr">
        <is>
          <t>Exit Cap Rate</t>
        </is>
      </c>
      <c r="B47" s="28">
        <f>Waterfall!B6</f>
        <v/>
      </c>
      <c r="C47" s="941" t="n"/>
      <c r="D47" s="941" t="n"/>
      <c r="E47" s="941" t="n"/>
      <c r="F47" s="934" t="n"/>
    </row>
    <row r="48" ht="18" customHeight="1" s="923">
      <c r="A48" s="43" t="inlineStr">
        <is>
          <t>Exit Year NOI</t>
        </is>
      </c>
      <c r="B48" s="21">
        <f>IFERROR(INDEX('P&amp;L'!D115:M116,1,Scenarios!F86)+INDEX('P&amp;L'!D112:M113,1,Scenarios!F86),0)</f>
        <v/>
      </c>
      <c r="C48" s="941" t="n"/>
      <c r="D48" s="941" t="n"/>
      <c r="E48" s="941" t="n"/>
      <c r="F48" s="934" t="inlineStr">
        <is>
          <t>Y5 NOI</t>
        </is>
      </c>
    </row>
    <row r="49" ht="18" customHeight="1" s="923">
      <c r="A49" s="43" t="inlineStr">
        <is>
          <t>Gross Sale Price</t>
        </is>
      </c>
      <c r="B49" s="21">
        <f>Waterfall!B32</f>
        <v/>
      </c>
      <c r="C49" s="941" t="n"/>
      <c r="D49" s="941" t="n"/>
      <c r="E49" s="941" t="n"/>
      <c r="F49" s="934" t="inlineStr">
        <is>
          <t>NOI ÷ exit cap</t>
        </is>
      </c>
    </row>
    <row r="50" ht="18" customHeight="1" s="923">
      <c r="A50" s="43" t="inlineStr">
        <is>
          <t>Less: Loan Payoff</t>
        </is>
      </c>
      <c r="B50" s="21">
        <f>Waterfall!B34</f>
        <v/>
      </c>
      <c r="C50" s="941" t="n"/>
      <c r="D50" s="941" t="n"/>
      <c r="E50" s="941" t="n"/>
      <c r="F50" s="934" t="inlineStr">
        <is>
          <t>Amortized balance</t>
        </is>
      </c>
    </row>
    <row r="51" ht="18" customHeight="1" s="923">
      <c r="A51" s="53" t="inlineStr">
        <is>
          <t>Net Sale Proceeds</t>
        </is>
      </c>
      <c r="B51" s="54">
        <f>Waterfall!B35</f>
        <v/>
      </c>
      <c r="C51" s="55" t="n"/>
      <c r="D51" s="55" t="n"/>
      <c r="E51" s="55" t="n"/>
      <c r="F51" s="56" t="inlineStr">
        <is>
          <t>After selling costs &amp; loan</t>
        </is>
      </c>
    </row>
    <row r="52" ht="16.5" customHeight="1" s="923"/>
  </sheetData>
  <mergeCells count="8">
    <mergeCell ref="A2:F2"/>
    <mergeCell ref="B11:D11"/>
    <mergeCell ref="A36:F36"/>
    <mergeCell ref="A13:F13"/>
    <mergeCell ref="A45:F45"/>
    <mergeCell ref="A1:F1"/>
    <mergeCell ref="A4:F4"/>
    <mergeCell ref="A26:F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8" zoomScaleNormal="100" workbookViewId="0">
      <selection activeCell="A34" sqref="A34:D34"/>
    </sheetView>
  </sheetViews>
  <sheetFormatPr baseColWidth="10" defaultColWidth="8.83203125" defaultRowHeight="15"/>
  <cols>
    <col width="30" customWidth="1" style="923" min="1" max="1"/>
    <col width="28" customWidth="1" style="923" min="2" max="2"/>
    <col width="45" customWidth="1" style="923" min="3" max="4"/>
  </cols>
  <sheetData>
    <row r="1" ht="24" customHeight="1" s="923">
      <c r="A1" s="938" t="inlineStr">
        <is>
          <t>PROPERTY INFORMATION &amp; MARKET DATA</t>
        </is>
      </c>
    </row>
    <row r="2" ht="15.75" customHeight="1" s="923">
      <c r="A2" s="934" t="inlineStr">
        <is>
          <t xml:space="preserve">  Blue = manual input. Use the AI Market Research tool (separate app) to auto-populate market fields.</t>
        </is>
      </c>
    </row>
    <row r="3" ht="19.5" customHeight="1" s="923">
      <c r="A3" s="945" t="inlineStr">
        <is>
          <t xml:space="preserve">  PROPERTY DETAILS</t>
        </is>
      </c>
    </row>
    <row r="4" ht="18" customHeight="1" s="923">
      <c r="A4" s="8" t="inlineStr">
        <is>
          <t>Property Name</t>
        </is>
      </c>
      <c r="B4" s="417" t="n"/>
    </row>
    <row r="5" ht="18" customHeight="1" s="923">
      <c r="A5" s="10" t="inlineStr">
        <is>
          <t>Location / Address</t>
        </is>
      </c>
      <c r="B5" s="417" t="n"/>
    </row>
    <row r="6" ht="18" customHeight="1" s="923">
      <c r="A6" s="8" t="inlineStr">
        <is>
          <t># Units</t>
        </is>
      </c>
      <c r="B6" s="417" t="n"/>
    </row>
    <row r="7" ht="18" customHeight="1" s="923">
      <c r="A7" s="10" t="inlineStr">
        <is>
          <t># Buildings</t>
        </is>
      </c>
      <c r="B7" s="417" t="n"/>
    </row>
    <row r="8" ht="18" customHeight="1" s="923">
      <c r="A8" s="8" t="inlineStr">
        <is>
          <t>Height (stories)</t>
        </is>
      </c>
      <c r="B8" s="417" t="n"/>
    </row>
    <row r="9" ht="18" customHeight="1" s="923">
      <c r="A9" s="10" t="inlineStr">
        <is>
          <t>Year Built</t>
        </is>
      </c>
      <c r="B9" s="417" t="n"/>
    </row>
    <row r="10" ht="18" customHeight="1" s="923">
      <c r="A10" s="8" t="inlineStr">
        <is>
          <t>Lot Size (acres)</t>
        </is>
      </c>
      <c r="B10" s="417" t="n"/>
    </row>
    <row r="11" ht="18" customHeight="1" s="923">
      <c r="A11" s="10" t="inlineStr">
        <is>
          <t>Gross Sq Ft</t>
        </is>
      </c>
      <c r="B11" s="417" t="n"/>
    </row>
    <row r="12" ht="18" customHeight="1" s="923">
      <c r="A12" s="8" t="inlineStr">
        <is>
          <t>Parking Spaces</t>
        </is>
      </c>
      <c r="B12" s="417" t="n"/>
    </row>
    <row r="13" ht="18" customHeight="1" s="923">
      <c r="A13" s="10" t="inlineStr">
        <is>
          <t>Asset Class (IL/AL/MC/Other/Mix)</t>
        </is>
      </c>
      <c r="B13" s="417" t="n"/>
      <c r="C13" s="10" t="inlineStr">
        <is>
          <t>Other Care Type name (deal/state):</t>
        </is>
      </c>
      <c r="D13" s="417" t="n"/>
    </row>
    <row r="14" ht="18" customHeight="1" s="923">
      <c r="A14" s="8" t="inlineStr">
        <is>
          <t>License Type</t>
        </is>
      </c>
      <c r="B14" s="417" t="n"/>
    </row>
    <row r="15" ht="18" customHeight="1" s="923">
      <c r="A15" s="10" t="inlineStr">
        <is>
          <t>Licensed Bed Count</t>
        </is>
      </c>
      <c r="B15" s="417" t="n"/>
    </row>
    <row r="16" ht="18" customHeight="1" s="923">
      <c r="A16" s="8" t="inlineStr">
        <is>
          <t>IL Units</t>
        </is>
      </c>
      <c r="B16" s="417" t="n"/>
    </row>
    <row r="17" ht="18" customHeight="1" s="923">
      <c r="A17" s="10" t="inlineStr">
        <is>
          <t>AL Units</t>
        </is>
      </c>
      <c r="B17" s="417" t="n"/>
    </row>
    <row r="18" ht="18" customHeight="1" s="923">
      <c r="A18" s="8" t="inlineStr">
        <is>
          <t>MC Units</t>
        </is>
      </c>
      <c r="B18" s="417" t="n"/>
    </row>
    <row r="19" ht="18" customHeight="1" s="923">
      <c r="A19" s="8">
        <f>"Other Care ("&amp;$D$13&amp;") Units"</f>
        <v/>
      </c>
      <c r="B19" s="417" t="n"/>
    </row>
    <row r="20" ht="18" customHeight="1" s="923">
      <c r="A20" s="977" t="inlineStr">
        <is>
          <t>Occupied Beds — Total</t>
        </is>
      </c>
      <c r="B20" s="490">
        <f>SUM(B21:B24)</f>
        <v/>
      </c>
    </row>
    <row r="21" ht="18" customHeight="1" s="923">
      <c r="A21" s="976" t="inlineStr">
        <is>
          <t>Occupied Beds — IL</t>
        </is>
      </c>
      <c r="B21" s="490" t="n"/>
    </row>
    <row r="22" ht="18" customHeight="1" s="923">
      <c r="A22" s="977" t="inlineStr">
        <is>
          <t>Occupied Beds — AL</t>
        </is>
      </c>
      <c r="B22" s="490" t="n"/>
    </row>
    <row r="23" ht="18" customHeight="1" s="923">
      <c r="A23" s="976" t="inlineStr">
        <is>
          <t>Occupied Beds — MC</t>
        </is>
      </c>
      <c r="B23" s="490" t="n"/>
    </row>
    <row r="24" ht="18" customHeight="1" s="923">
      <c r="A24" s="976">
        <f>"Occupied Beds — Other Care ("&amp;$D$13&amp;")"</f>
        <v/>
      </c>
      <c r="B24" s="490" t="n"/>
    </row>
    <row r="25" ht="19.5" customHeight="1" s="923">
      <c r="A25" s="945" t="inlineStr">
        <is>
          <t xml:space="preserve">  MARKET DATA</t>
        </is>
      </c>
    </row>
    <row r="26" ht="18" customHeight="1" s="923">
      <c r="A26" s="8" t="inlineStr">
        <is>
          <t>City / Market</t>
        </is>
      </c>
      <c r="B26" s="943" t="n"/>
    </row>
    <row r="27" ht="18" customHeight="1" s="923">
      <c r="A27" s="10" t="inlineStr">
        <is>
          <t>MSA Name</t>
        </is>
      </c>
      <c r="B27" s="943" t="n"/>
    </row>
    <row r="28" ht="18" customHeight="1" s="923">
      <c r="A28" s="8" t="inlineStr">
        <is>
          <t>MSA Population</t>
        </is>
      </c>
      <c r="B28" s="943" t="n"/>
    </row>
    <row r="29" ht="18" customHeight="1" s="923">
      <c r="A29" s="10" t="inlineStr">
        <is>
          <t>City Population</t>
        </is>
      </c>
      <c r="B29" s="943" t="n"/>
    </row>
    <row r="30" ht="18" customHeight="1" s="923">
      <c r="A30" s="8" t="inlineStr">
        <is>
          <t>Population Growth Rate</t>
        </is>
      </c>
      <c r="B30" s="944" t="n"/>
    </row>
    <row r="31" ht="18" customHeight="1" s="923">
      <c r="A31" s="10" t="inlineStr">
        <is>
          <t>Senior 65+ Population</t>
        </is>
      </c>
      <c r="B31" s="943" t="n"/>
    </row>
    <row r="32" ht="18" customHeight="1" s="923">
      <c r="A32" s="8" t="inlineStr">
        <is>
          <t>Senior 65+ Growth Rate</t>
        </is>
      </c>
      <c r="B32" s="944" t="n"/>
    </row>
    <row r="33" ht="18" customHeight="1" s="923">
      <c r="A33" s="10" t="inlineStr">
        <is>
          <t>Avg Household Income</t>
        </is>
      </c>
      <c r="B33" s="942" t="n"/>
    </row>
    <row r="34" ht="18" customHeight="1" s="923">
      <c r="A34" s="8" t="inlineStr">
        <is>
          <t>Median Income</t>
        </is>
      </c>
      <c r="B34" s="942" t="n"/>
    </row>
    <row r="35" ht="18" customHeight="1" s="923">
      <c r="A35" s="10" t="inlineStr">
        <is>
          <t>School Ratings (1-10)</t>
        </is>
      </c>
      <c r="B35" s="943" t="n"/>
    </row>
    <row r="36" ht="19.5" customHeight="1" s="923">
      <c r="A36" s="945" t="inlineStr">
        <is>
          <t xml:space="preserve">  COMPETITIVE MARKET</t>
        </is>
      </c>
    </row>
    <row r="37" ht="18" customHeight="1" s="923">
      <c r="A37" s="10" t="inlineStr">
        <is>
          <t>Avg Monthly Base Rent — IL</t>
        </is>
      </c>
      <c r="B37" s="942" t="n"/>
    </row>
    <row r="38" ht="18" customHeight="1" s="923">
      <c r="A38" s="8" t="inlineStr">
        <is>
          <t>Avg Monthly Base Rent — AL</t>
        </is>
      </c>
      <c r="B38" s="942" t="n"/>
    </row>
    <row r="39" ht="18" customHeight="1" s="923">
      <c r="A39" s="10" t="inlineStr">
        <is>
          <t>Avg Monthly Base Rent — MC</t>
        </is>
      </c>
      <c r="B39" s="942" t="n"/>
    </row>
    <row r="40" ht="18" customHeight="1" s="923">
      <c r="A40" s="8" t="inlineStr">
        <is>
          <t>Avg Care Services Fee</t>
        </is>
      </c>
      <c r="B40" s="942" t="n"/>
    </row>
    <row r="41" ht="18" customHeight="1" s="923">
      <c r="A41" s="10" t="inlineStr">
        <is>
          <t>Competitor Occupancy Rate</t>
        </is>
      </c>
      <c r="B41" s="944" t="n"/>
    </row>
    <row r="42" ht="18" customHeight="1" s="923">
      <c r="A42" s="8" t="inlineStr">
        <is>
          <t>New Supply — Beds Under Construction</t>
        </is>
      </c>
      <c r="B42" s="943" t="n"/>
    </row>
    <row r="43" ht="18" customHeight="1" s="923">
      <c r="A43" s="10" t="inlineStr">
        <is>
          <t>Market Penetration Rate</t>
        </is>
      </c>
      <c r="B43" s="944" t="n"/>
    </row>
    <row r="44" ht="19.5" customHeight="1" s="923">
      <c r="A44" s="945" t="inlineStr">
        <is>
          <t xml:space="preserve">  UTILITIES</t>
        </is>
      </c>
    </row>
    <row r="45" ht="18" customHeight="1" s="923">
      <c r="A45" s="10" t="inlineStr">
        <is>
          <t>Electric Meter</t>
        </is>
      </c>
      <c r="B45" s="943" t="n"/>
    </row>
    <row r="46" ht="18" customHeight="1" s="923">
      <c r="A46" s="8" t="inlineStr">
        <is>
          <t>Water Meter</t>
        </is>
      </c>
      <c r="B46" s="943" t="n"/>
    </row>
    <row r="47" ht="18" customHeight="1" s="923">
      <c r="A47" s="10" t="inlineStr">
        <is>
          <t>Gas</t>
        </is>
      </c>
      <c r="B47" s="943" t="n"/>
    </row>
    <row r="48" ht="18" customHeight="1" s="923">
      <c r="A48" s="8" t="inlineStr">
        <is>
          <t>Trash</t>
        </is>
      </c>
      <c r="B48" s="943" t="n"/>
    </row>
    <row r="49" ht="19.5" customHeight="1" s="923">
      <c r="A49" s="945" t="inlineStr">
        <is>
          <t xml:space="preserve">  OTHER NOTES</t>
        </is>
      </c>
    </row>
    <row r="50" ht="18" customHeight="1" s="923">
      <c r="A50" s="8" t="inlineStr">
        <is>
          <t>Other Property Information</t>
        </is>
      </c>
      <c r="B50" s="943" t="n"/>
    </row>
    <row r="51" ht="18" customHeight="1" s="923">
      <c r="A51" s="10" t="inlineStr">
        <is>
          <t>Other Market Information</t>
        </is>
      </c>
      <c r="B51" s="943" t="n"/>
    </row>
    <row r="52" ht="18" customHeight="1" s="923">
      <c r="A52" s="8" t="inlineStr">
        <is>
          <t>Survey / Regulatory Notes</t>
        </is>
      </c>
      <c r="B52" s="943" t="n"/>
    </row>
    <row r="53" ht="18" customHeight="1" s="923">
      <c r="A53" s="10" t="inlineStr">
        <is>
          <t>Value-Add Thesis</t>
        </is>
      </c>
      <c r="B53" s="943" t="n"/>
    </row>
  </sheetData>
  <mergeCells count="32">
    <mergeCell ref="B42:D42"/>
    <mergeCell ref="B53:D53"/>
    <mergeCell ref="B29:D29"/>
    <mergeCell ref="B38:D38"/>
    <mergeCell ref="B34:D34"/>
    <mergeCell ref="A44:D44"/>
    <mergeCell ref="B28:D28"/>
    <mergeCell ref="B37:D37"/>
    <mergeCell ref="B40:D40"/>
    <mergeCell ref="B30:D30"/>
    <mergeCell ref="A49:D49"/>
    <mergeCell ref="B51:D51"/>
    <mergeCell ref="A36:D36"/>
    <mergeCell ref="B33:D33"/>
    <mergeCell ref="A1:D1"/>
    <mergeCell ref="B45:D45"/>
    <mergeCell ref="B41:D41"/>
    <mergeCell ref="B32:D32"/>
    <mergeCell ref="B35:D35"/>
    <mergeCell ref="B50:D50"/>
    <mergeCell ref="B26:D26"/>
    <mergeCell ref="A25:D25"/>
    <mergeCell ref="B47:D47"/>
    <mergeCell ref="B31:D31"/>
    <mergeCell ref="B46:D46"/>
    <mergeCell ref="A3:D3"/>
    <mergeCell ref="B27:D27"/>
    <mergeCell ref="B52:D52"/>
    <mergeCell ref="A2:D2"/>
    <mergeCell ref="B43:D43"/>
    <mergeCell ref="B39:D39"/>
    <mergeCell ref="B48:D48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2"/>
  <sheetViews>
    <sheetView zoomScaleNormal="100" workbookViewId="0">
      <pane xSplit="1" ySplit="4" topLeftCell="B34" activePane="bottomRight" state="frozen"/>
      <selection pane="topRight" activeCell="B1" sqref="B1"/>
      <selection pane="bottomLeft" activeCell="A5" sqref="A5"/>
      <selection pane="bottomRight" activeCell="B69" sqref="B69"/>
    </sheetView>
  </sheetViews>
  <sheetFormatPr baseColWidth="10" defaultColWidth="8.83203125" defaultRowHeight="15" outlineLevelRow="3"/>
  <cols>
    <col width="43.6640625" customWidth="1" style="923" min="1" max="1"/>
    <col width="18" customWidth="1" style="923" min="2" max="5"/>
    <col width="16" customWidth="1" style="923" min="6" max="6"/>
    <col width="17.1640625" bestFit="1" customWidth="1" style="827" min="7" max="7"/>
    <col width="45.33203125" customWidth="1" style="844" min="8" max="8"/>
    <col width="14" customWidth="1" style="923" min="9" max="9"/>
    <col width="16" customWidth="1" style="923" min="10" max="10"/>
  </cols>
  <sheetData>
    <row r="1" ht="30" customHeight="1" s="923">
      <c r="A1" s="948" t="inlineStr">
        <is>
          <t>SIDE-BY-SIDE SCENARIO ANALYSIS  —  "The 10-Minute Offer"</t>
        </is>
      </c>
    </row>
    <row r="2" ht="18" customHeight="1" s="923">
      <c r="A2" s="57" t="inlineStr">
        <is>
          <t>Active Scenario →</t>
        </is>
      </c>
      <c r="B2" s="58" t="inlineStr">
        <is>
          <t>Actuals (T-12)</t>
        </is>
      </c>
    </row>
    <row r="3" ht="15.75" customHeight="1" s="923">
      <c r="A3" s="934" t="inlineStr">
        <is>
          <t xml:space="preserve">  Selecting an active scenario drives P&amp;L, Cover Sheet, and Waterfall calculations. All 4 columns always visible for comparison.</t>
        </is>
      </c>
    </row>
    <row r="4" ht="30" customHeight="1" s="923">
      <c r="A4" s="41" t="inlineStr">
        <is>
          <t>Line Item</t>
        </is>
      </c>
      <c r="B4" s="450" t="inlineStr">
        <is>
          <t>Actuals (T-12)</t>
        </is>
      </c>
      <c r="C4" s="59" t="inlineStr">
        <is>
          <t>2. My Version</t>
        </is>
      </c>
      <c r="D4" s="59" t="inlineStr">
        <is>
          <t>3. Projected</t>
        </is>
      </c>
      <c r="E4" s="59" t="inlineStr">
        <is>
          <t>4. Best Scenario</t>
        </is>
      </c>
      <c r="F4" s="60" t="inlineStr">
        <is>
          <t>Active
Scenario</t>
        </is>
      </c>
      <c r="G4" s="32" t="inlineStr">
        <is>
          <t>Licensed Beds / $/Bed</t>
        </is>
      </c>
      <c r="H4" s="41" t="inlineStr">
        <is>
          <t>Benchmark</t>
        </is>
      </c>
    </row>
    <row r="5" ht="24" customHeight="1" s="923">
      <c r="A5" s="61" t="inlineStr">
        <is>
          <t>ACQUISITION</t>
        </is>
      </c>
      <c r="B5" s="61" t="n"/>
      <c r="C5" s="61" t="n"/>
      <c r="D5" s="61" t="n"/>
      <c r="E5" s="61" t="n"/>
      <c r="F5" s="61" t="n"/>
      <c r="G5" s="828" t="n"/>
      <c r="H5" s="845" t="n"/>
    </row>
    <row r="6" outlineLevel="1" ht="18" customHeight="1" s="923">
      <c r="A6" s="62" t="inlineStr">
        <is>
          <t>Asking Price</t>
        </is>
      </c>
      <c r="B6" s="760" t="n"/>
      <c r="C6" s="760">
        <f>B6</f>
        <v/>
      </c>
      <c r="D6" s="760">
        <f>C6</f>
        <v/>
      </c>
      <c r="E6" s="760">
        <f>D6</f>
        <v/>
      </c>
      <c r="F6" s="761">
        <f>CHOOSE(MATCH(B$2,{"Actuals (T-12)","2. My Version","3. Projected","4. Offer"},0),B6,C6,D6,E6)</f>
        <v/>
      </c>
      <c r="G6" s="853">
        <f>IFERROR(F6/F$8,0)</f>
        <v/>
      </c>
      <c r="H6" s="832" t="inlineStr">
        <is>
          <t>$8–16M typical 60-unit AL/MC</t>
        </is>
      </c>
    </row>
    <row r="7" outlineLevel="1" ht="18" customHeight="1" s="923">
      <c r="A7" s="65" t="inlineStr">
        <is>
          <t>Purchase Price / Offer</t>
        </is>
      </c>
      <c r="B7" s="762" t="n"/>
      <c r="C7" s="762">
        <f>B7</f>
        <v/>
      </c>
      <c r="D7" s="762">
        <f>C7</f>
        <v/>
      </c>
      <c r="E7" s="762">
        <f>D7</f>
        <v/>
      </c>
      <c r="F7" s="761">
        <f>CHOOSE(MATCH(B$2,{"Actuals (T-12)","2. My Version","3. Projected","4. Offer"},0),B7,C7,D7,E7)</f>
        <v/>
      </c>
      <c r="G7" s="853">
        <f>IFERROR(F7/F$8,0)</f>
        <v/>
      </c>
      <c r="H7" s="833" t="inlineStr">
        <is>
          <t>Offer 5–15% below ask; value-add</t>
        </is>
      </c>
    </row>
    <row r="8" outlineLevel="1" ht="18" customHeight="1" s="923">
      <c r="A8" s="26" t="inlineStr">
        <is>
          <t># Units  (rooms)  /  Licensed Beds</t>
        </is>
      </c>
      <c r="B8" s="763" t="n"/>
      <c r="C8" s="763">
        <f>Units</f>
        <v/>
      </c>
      <c r="D8" s="763">
        <f>C8</f>
        <v/>
      </c>
      <c r="E8" s="763">
        <f>D8</f>
        <v/>
      </c>
      <c r="F8" s="764">
        <f>CHOOSE(MATCH(B$2,{"Actuals (T-12)","2. My Version","3. Projected","4. Offer"},0),B8,C8,D8,E8)</f>
        <v/>
      </c>
      <c r="G8" s="854">
        <f>'Prop Info'!$B$15</f>
        <v/>
      </c>
      <c r="H8" s="832" t="inlineStr">
        <is>
          <t>Licensed beds from Prop Info — drives GPR. Units = physical rooms.</t>
        </is>
      </c>
    </row>
    <row r="9" outlineLevel="1" ht="18" customHeight="1" s="923">
      <c r="A9" s="12" t="inlineStr">
        <is>
          <t>Price Per Unit  (physical room)</t>
        </is>
      </c>
      <c r="B9" s="765">
        <f>IFERROR(B7/B8,"")</f>
        <v/>
      </c>
      <c r="C9" s="765">
        <f>IFERROR(C7/C8,"")</f>
        <v/>
      </c>
      <c r="D9" s="765">
        <f>IFERROR(D7/D8,"")</f>
        <v/>
      </c>
      <c r="E9" s="765">
        <f>IFERROR(E7/E8,"")</f>
        <v/>
      </c>
      <c r="F9" s="761">
        <f>IFERROR(CHOOSE(MATCH(B$2,{"Actuals (T-12)","2. My Version","3. Projected","4. Offer"},0),B9,C9,D9,E9),"")</f>
        <v/>
      </c>
      <c r="G9" s="855">
        <f>IFERROR(F7/'Prop Info'!$B$15,"")</f>
        <v/>
      </c>
      <c r="H9" s="833" t="inlineStr">
        <is>
          <t>Price per licensed bed = purchase price ÷ licensed beds</t>
        </is>
      </c>
    </row>
    <row r="10" outlineLevel="1" ht="18" customHeight="1" s="923">
      <c r="A10" s="62" t="inlineStr">
        <is>
          <t>Down Payment %</t>
        </is>
      </c>
      <c r="B10" s="766" t="n"/>
      <c r="C10" s="766">
        <f>B10</f>
        <v/>
      </c>
      <c r="D10" s="766">
        <f>C10</f>
        <v/>
      </c>
      <c r="E10" s="766">
        <f>D10</f>
        <v/>
      </c>
      <c r="F10" s="767">
        <f>CHOOSE(MATCH(B$2,{"Actuals (T-12)","2. My Version","3. Projected","4. Offer"},0),B10,C10,D10,E10)</f>
        <v/>
      </c>
      <c r="G10" s="856" t="n"/>
      <c r="H10" s="832" t="inlineStr">
        <is>
          <t>25–35% down; 65–75% LTV target</t>
        </is>
      </c>
    </row>
    <row r="11" outlineLevel="1" ht="18" customHeight="1" s="923">
      <c r="A11" s="65" t="inlineStr">
        <is>
          <t>Down Payment $</t>
        </is>
      </c>
      <c r="B11" s="765">
        <f>B10*B7</f>
        <v/>
      </c>
      <c r="C11" s="765">
        <f>C10*C7</f>
        <v/>
      </c>
      <c r="D11" s="765">
        <f>D10*D7</f>
        <v/>
      </c>
      <c r="E11" s="765">
        <f>E10*E7</f>
        <v/>
      </c>
      <c r="F11" s="761">
        <f>CHOOSE(MATCH(B$2,{"Actuals (T-12)","2. My Version","3. Projected","4. Offer"},0),B11,C11,D11,E11)</f>
        <v/>
      </c>
      <c r="G11" s="853">
        <f>IFERROR(F11/F$8,0)</f>
        <v/>
      </c>
      <c r="H11" s="833" t="inlineStr">
        <is>
          <t>Auto-calculated from down payment</t>
        </is>
      </c>
    </row>
    <row r="12" outlineLevel="1" ht="18" customHeight="1" s="923">
      <c r="A12" s="62" t="inlineStr">
        <is>
          <t>Repairs / CapEx at Close</t>
        </is>
      </c>
      <c r="B12" s="768">
        <f>Capex!$D$51</f>
        <v/>
      </c>
      <c r="C12" s="768">
        <f>B12</f>
        <v/>
      </c>
      <c r="D12" s="768">
        <f>Capex!$D$51</f>
        <v/>
      </c>
      <c r="E12" s="768">
        <f>Capex!$D$51</f>
        <v/>
      </c>
      <c r="F12" s="761">
        <f>CHOOSE(MATCH(B$2,{"Actuals (T-12)","2. My Version","3. Projected","4. Offer"},0),B12,C12,D12,E12)</f>
        <v/>
      </c>
      <c r="G12" s="853">
        <f>IFERROR(F12/F$8,0)</f>
        <v/>
      </c>
      <c r="H12" s="832" t="inlineStr">
        <is>
          <t>Get contractor bid at LOI stage</t>
        </is>
      </c>
    </row>
    <row r="13" outlineLevel="1" ht="18" customHeight="1" s="923">
      <c r="A13" s="65" t="inlineStr">
        <is>
          <t>Operating Reserves</t>
        </is>
      </c>
      <c r="B13" s="765">
        <f>(B124/12)*1</f>
        <v/>
      </c>
      <c r="C13" s="765">
        <f>B13</f>
        <v/>
      </c>
      <c r="D13" s="765">
        <f>C13</f>
        <v/>
      </c>
      <c r="E13" s="765">
        <f>D13</f>
        <v/>
      </c>
      <c r="F13" s="761">
        <f>CHOOSE(MATCH(B$2,{"Actuals (T-12)","2. My Version","3. Projected","4. Offer"},0),B13,C13,D13,E13)</f>
        <v/>
      </c>
      <c r="G13" s="994">
        <f>IFERROR(F13/(F$124/12),0)</f>
        <v/>
      </c>
      <c r="H13" s="833" t="inlineStr">
        <is>
          <t>3–6 months operating expenses</t>
        </is>
      </c>
      <c r="I13" s="73" t="n"/>
    </row>
    <row r="14" outlineLevel="1" ht="18" customHeight="1" s="923">
      <c r="A14" s="62" t="inlineStr">
        <is>
          <t>Est. Closing Costs</t>
        </is>
      </c>
      <c r="B14" s="768">
        <f>'Acquisition Costs'!$D$37</f>
        <v/>
      </c>
      <c r="C14" s="768">
        <f>'Acquisition Costs'!$D$37</f>
        <v/>
      </c>
      <c r="D14" s="768">
        <f>'Acquisition Costs'!$D$37</f>
        <v/>
      </c>
      <c r="E14" s="768">
        <f>'Acquisition Costs'!$D$37</f>
        <v/>
      </c>
      <c r="F14" s="761">
        <f>CHOOSE(MATCH(B$2,{"Actuals (T-12)","2. My Version","3. Projected","4. Offer"},0),B14,C14,D14,E14)</f>
        <v/>
      </c>
      <c r="G14" s="995">
        <f>IFERROR(F14/F7,"")</f>
        <v/>
      </c>
      <c r="H14" s="832" t="inlineStr">
        <is>
          <t>1.5–2.5% of purchase price</t>
        </is>
      </c>
    </row>
    <row r="15" outlineLevel="1" ht="18" customHeight="1" s="923">
      <c r="A15" s="65" t="inlineStr">
        <is>
          <t>Acquisition Fee (%)</t>
        </is>
      </c>
      <c r="B15" s="769" t="n">
        <v>0</v>
      </c>
      <c r="C15" s="769">
        <f>B15</f>
        <v/>
      </c>
      <c r="D15" s="769">
        <f>C15</f>
        <v/>
      </c>
      <c r="E15" s="769">
        <f>D15</f>
        <v/>
      </c>
      <c r="F15" s="767">
        <f>CHOOSE(MATCH(B$2,{"Actuals (T-12)","2. My Version","3. Projected","4. Offer"},0),B15,C15,D15,E15)</f>
        <v/>
      </c>
      <c r="G15" s="856" t="n"/>
      <c r="H15" s="833" t="inlineStr">
        <is>
          <t>0.5–1.5% acq fee standard</t>
        </is>
      </c>
    </row>
    <row r="16" outlineLevel="1" ht="18" customHeight="1" s="923">
      <c r="A16" s="62" t="inlineStr">
        <is>
          <t>Acquisition Fee ($)</t>
        </is>
      </c>
      <c r="B16" s="768">
        <f>B15*B7</f>
        <v/>
      </c>
      <c r="C16" s="768">
        <f>C15*C7</f>
        <v/>
      </c>
      <c r="D16" s="768">
        <f>D15*D7</f>
        <v/>
      </c>
      <c r="E16" s="768">
        <f>E15*E7</f>
        <v/>
      </c>
      <c r="F16" s="761">
        <f>CHOOSE(MATCH(B$2,{"Actuals (T-12)","2. My Version","3. Projected","4. Offer"},0),B16,C16,D16,E16)</f>
        <v/>
      </c>
      <c r="G16" s="853">
        <f>IFERROR(F16/F$8,0)</f>
        <v/>
      </c>
      <c r="H16" s="832" t="inlineStr">
        <is>
          <t>Auto-calculated</t>
        </is>
      </c>
    </row>
    <row r="17" ht="18" customHeight="1" s="923">
      <c r="A17" s="962" t="inlineStr">
        <is>
          <t>TOTAL ACQUISITION COST</t>
        </is>
      </c>
      <c r="B17" s="770">
        <f>IFERROR(B7+B12+B13+B14+B16,"")</f>
        <v/>
      </c>
      <c r="C17" s="770">
        <f>IFERROR(C7+C12+C13+C14+C16,"")</f>
        <v/>
      </c>
      <c r="D17" s="770">
        <f>IFERROR(D7+D12+D13+D14+D16,"")</f>
        <v/>
      </c>
      <c r="E17" s="770">
        <f>IFERROR(E7+E12+E13+E14+E16,"")</f>
        <v/>
      </c>
      <c r="F17" s="771">
        <f>IFERROR(CHOOSE(MATCH(B$2,{"Actuals (T-12)","2. My Version","3. Projected","4. Offer"},0),B17,C17,D17,E17),"")</f>
        <v/>
      </c>
      <c r="G17" s="859">
        <f>IFERROR(F17/F$8,"")</f>
        <v/>
      </c>
      <c r="H17" s="834" t="inlineStr">
        <is>
          <t>Auto-calculated total cost</t>
        </is>
      </c>
    </row>
    <row r="19" ht="24" customHeight="1" s="923">
      <c r="A19" s="922" t="inlineStr">
        <is>
          <t>DEBT STRUCTURE</t>
        </is>
      </c>
    </row>
    <row r="20" outlineLevel="1" ht="18" customHeight="1" s="923">
      <c r="A20" s="62" t="inlineStr">
        <is>
          <t>Loan Amount (1st)</t>
        </is>
      </c>
      <c r="B20" s="772">
        <f>B141</f>
        <v/>
      </c>
      <c r="C20" s="772">
        <f>C141</f>
        <v/>
      </c>
      <c r="D20" s="772">
        <f>D141</f>
        <v/>
      </c>
      <c r="E20" s="772">
        <f>E141</f>
        <v/>
      </c>
      <c r="F20" s="773">
        <f>CHOOSE(MATCH(B$2,{"Actuals (T-12)","2. My Version","3. Projected","4. Offer"},0),B20,C20,D20,E20)</f>
        <v/>
      </c>
      <c r="G20" s="860" t="n"/>
      <c r="H20" s="832" t="inlineStr">
        <is>
          <t>60–70% LTV senior; 75% bridge max</t>
        </is>
      </c>
    </row>
    <row r="21" outlineLevel="1" ht="18" customHeight="1" s="923">
      <c r="A21" s="65" t="inlineStr">
        <is>
          <t>Loan Amount (2nd)</t>
        </is>
      </c>
      <c r="B21" s="774">
        <f>B148</f>
        <v/>
      </c>
      <c r="C21" s="774">
        <f>C148</f>
        <v/>
      </c>
      <c r="D21" s="774">
        <f>D148</f>
        <v/>
      </c>
      <c r="E21" s="774">
        <f>E148</f>
        <v/>
      </c>
      <c r="F21" s="773">
        <f>CHOOSE(MATCH(B$2,{"Actuals (T-12)","2. My Version","3. Projected","4. Offer"},0),B21,C21,D21,E21)</f>
        <v/>
      </c>
      <c r="G21" s="860" t="n"/>
      <c r="H21" s="833" t="inlineStr">
        <is>
          <t>$0 if no mezz; up to 10% of stack</t>
        </is>
      </c>
    </row>
    <row r="22" outlineLevel="1" ht="18" customHeight="1" s="923">
      <c r="A22" s="62" t="inlineStr">
        <is>
          <t>Supplemental Loan</t>
        </is>
      </c>
      <c r="B22" s="772">
        <f>B155</f>
        <v/>
      </c>
      <c r="C22" s="772">
        <f>C155</f>
        <v/>
      </c>
      <c r="D22" s="772">
        <f>D155</f>
        <v/>
      </c>
      <c r="E22" s="772">
        <f>E155</f>
        <v/>
      </c>
      <c r="F22" s="773">
        <f>CHOOSE(MATCH(B$2,{"Actuals (T-12)","2. My Version","3. Projected","4. Offer"},0),B22,C22,D22,E22)</f>
        <v/>
      </c>
      <c r="G22" s="860" t="n"/>
      <c r="H22" s="832" t="inlineStr">
        <is>
          <t>$0 supplemental; add if SBA/seller</t>
        </is>
      </c>
    </row>
    <row r="23" ht="18" customHeight="1" s="923">
      <c r="A23" s="962" t="inlineStr">
        <is>
          <t>Total Debt</t>
        </is>
      </c>
      <c r="B23" s="770">
        <f>B20+B21+B22</f>
        <v/>
      </c>
      <c r="C23" s="770">
        <f>C20+C21+C22</f>
        <v/>
      </c>
      <c r="D23" s="770">
        <f>D20+D21+D22</f>
        <v/>
      </c>
      <c r="E23" s="770">
        <f>E20+E21+E22</f>
        <v/>
      </c>
      <c r="F23" s="771">
        <f>CHOOSE(MATCH(B$2,{"Actuals (T-12)","2. My Version","3. Projected","4. Offer"},0),B23,C23,D23,E23)</f>
        <v/>
      </c>
      <c r="G23" s="861" t="n"/>
      <c r="H23" s="834" t="inlineStr">
        <is>
          <t>Auto-calculated total debt</t>
        </is>
      </c>
    </row>
    <row r="24" ht="18" customHeight="1" s="923">
      <c r="A24" s="62" t="inlineStr">
        <is>
          <t>LTV (Loan/Purchase Price)</t>
        </is>
      </c>
      <c r="B24" s="775">
        <f>IFERROR(B23/B7,0)</f>
        <v/>
      </c>
      <c r="C24" s="775">
        <f>IFERROR(C23/C7,0)</f>
        <v/>
      </c>
      <c r="D24" s="775">
        <f>IFERROR(D23/D7,0)</f>
        <v/>
      </c>
      <c r="E24" s="775">
        <f>IFERROR(E23/E7,0)</f>
        <v/>
      </c>
      <c r="F24" s="767">
        <f>CHOOSE(MATCH(B$2,{"Actuals (T-12)","2. My Version","3. Projected","4. Offer"},0),B24,C24,D24,E24)</f>
        <v/>
      </c>
      <c r="G24" s="856" t="n"/>
      <c r="H24" s="832" t="inlineStr">
        <is>
          <t>Target ≤70% LTV (senior only)</t>
        </is>
      </c>
    </row>
    <row r="25" ht="18" customHeight="1" s="923">
      <c r="A25" s="65" t="inlineStr">
        <is>
          <t>LTC (Loan/Total Acq. Cost)</t>
        </is>
      </c>
      <c r="B25" s="776">
        <f>IFERROR(B23/B17,0)</f>
        <v/>
      </c>
      <c r="C25" s="776">
        <f>IFERROR(C23/C17,0)</f>
        <v/>
      </c>
      <c r="D25" s="776">
        <f>IFERROR(D23/D17,0)</f>
        <v/>
      </c>
      <c r="E25" s="776">
        <f>IFERROR(E23/E17,0)</f>
        <v/>
      </c>
      <c r="F25" s="767">
        <f>CHOOSE(MATCH(B$2,{"Actuals (T-12)","2. My Version","3. Projected","4. Offer"},0),B25,C25,D25,E25)</f>
        <v/>
      </c>
      <c r="G25" s="856" t="n"/>
      <c r="H25" s="833" t="inlineStr">
        <is>
          <t>Target ≤80–85% LTC (value-add)</t>
        </is>
      </c>
    </row>
    <row r="27" ht="24" customHeight="1" s="923">
      <c r="A27" s="924" t="inlineStr">
        <is>
          <t>EQUITY STRUCTURE</t>
        </is>
      </c>
    </row>
    <row r="28" outlineLevel="1" ht="18" customHeight="1" s="923">
      <c r="A28" s="62" t="inlineStr">
        <is>
          <t>GP Ownership %</t>
        </is>
      </c>
      <c r="B28" s="777" t="n">
        <v>0.6</v>
      </c>
      <c r="C28" s="777">
        <f>B28</f>
        <v/>
      </c>
      <c r="D28" s="777">
        <f>C28</f>
        <v/>
      </c>
      <c r="E28" s="777">
        <f>D28</f>
        <v/>
      </c>
      <c r="F28" s="778">
        <f>CHOOSE(MATCH(B$2,{"Actuals (T-12)","2. My Version","3. Projected","4. Offer"},0),B28,C28,D28,E28)</f>
        <v/>
      </c>
      <c r="G28" s="862" t="n"/>
      <c r="H28" s="832" t="inlineStr">
        <is>
          <t>GP co-invest 5–15% of total equity</t>
        </is>
      </c>
    </row>
    <row r="29" outlineLevel="1" ht="18" customHeight="1" s="923">
      <c r="A29" s="62" t="inlineStr">
        <is>
          <t>Class A LP %</t>
        </is>
      </c>
      <c r="B29" s="779">
        <f>1-B28</f>
        <v/>
      </c>
      <c r="C29" s="779">
        <f>1-C28</f>
        <v/>
      </c>
      <c r="D29" s="779">
        <f>1-D28</f>
        <v/>
      </c>
      <c r="E29" s="779">
        <f>1-E28</f>
        <v/>
      </c>
      <c r="F29" s="778">
        <f>CHOOSE(MATCH(B$2,{"Actuals (T-12)","2. My Version","3. Projected","4. Offer"},0),B29,C29,D29,E29)</f>
        <v/>
      </c>
      <c r="G29" s="862" t="n"/>
      <c r="H29" s="833" t="inlineStr">
        <is>
          <t>Class A LP 40–65% of total equity</t>
        </is>
      </c>
    </row>
    <row r="30" outlineLevel="1" ht="18" customHeight="1" s="923">
      <c r="A30" s="62" t="inlineStr">
        <is>
          <t>Class B LP % (auto)</t>
        </is>
      </c>
      <c r="B30" s="780">
        <f>1-B28-B29</f>
        <v/>
      </c>
      <c r="C30" s="780">
        <f>1-C28-C29</f>
        <v/>
      </c>
      <c r="D30" s="780">
        <f>1-D28-D29</f>
        <v/>
      </c>
      <c r="E30" s="780">
        <f>1-E28-E29</f>
        <v/>
      </c>
      <c r="F30" s="778">
        <f>CHOOSE(MATCH(B$2,{"Actuals (T-12)","2. My Version","3. Projected","4. Offer"},0),B30,C30,D30,E30)</f>
        <v/>
      </c>
      <c r="G30" s="862" t="n"/>
      <c r="H30" s="832" t="inlineStr">
        <is>
          <t>Class B LP 20–40% of total equity</t>
        </is>
      </c>
    </row>
    <row r="31" outlineLevel="1" ht="18" customHeight="1" s="923">
      <c r="A31" s="81" t="inlineStr">
        <is>
          <t>Total Equity (Acq Cost − Debt)</t>
        </is>
      </c>
      <c r="B31" s="781">
        <f>IFERROR(B17-B170,0)</f>
        <v/>
      </c>
      <c r="C31" s="781">
        <f>IFERROR(C17-C170,0)</f>
        <v/>
      </c>
      <c r="D31" s="781">
        <f>IFERROR(D17-D170,0)</f>
        <v/>
      </c>
      <c r="E31" s="781">
        <f>IFERROR(E17-E170,0)</f>
        <v/>
      </c>
      <c r="F31" s="782">
        <f>CHOOSE(MATCH(B$2,{"Actuals (T-12)","2. My Version","3. Projected","4. Offer"},0),B31,C31,D31,E31)</f>
        <v/>
      </c>
      <c r="G31" s="863" t="n"/>
      <c r="H31" s="834" t="inlineStr">
        <is>
          <t>Auto-calculated</t>
        </is>
      </c>
    </row>
    <row r="32" outlineLevel="1" ht="18" customHeight="1" s="923">
      <c r="A32" s="62" t="inlineStr">
        <is>
          <t>GP Equity ($)</t>
        </is>
      </c>
      <c r="B32" s="783" t="n"/>
      <c r="C32" s="783">
        <f>B32</f>
        <v/>
      </c>
      <c r="D32" s="783">
        <f>C32</f>
        <v/>
      </c>
      <c r="E32" s="783">
        <f>D32</f>
        <v/>
      </c>
      <c r="F32" s="782">
        <f>CHOOSE(MATCH(B$2,{"Actuals (T-12)","2. My Version","3. Projected","4. Offer"},0),B32,C32,D32,E32)</f>
        <v/>
      </c>
      <c r="G32" s="863" t="n"/>
      <c r="H32" s="83" t="inlineStr">
        <is>
          <t>Enter GP co-invest $ directly — not tied to GP Ownership %</t>
        </is>
      </c>
    </row>
    <row r="33" outlineLevel="1" ht="18" customHeight="1" s="923">
      <c r="A33" s="62" t="inlineStr">
        <is>
          <t>Class A LP Equity ($)</t>
        </is>
      </c>
      <c r="B33" s="784">
        <f>B31-B32</f>
        <v/>
      </c>
      <c r="C33" s="784">
        <f>C31-C32</f>
        <v/>
      </c>
      <c r="D33" s="784">
        <f>D31-D32</f>
        <v/>
      </c>
      <c r="E33" s="784">
        <f>E31-E32</f>
        <v/>
      </c>
      <c r="F33" s="782">
        <f>CHOOSE(MATCH(B$2,{"Actuals (T-12)","2. My Version","3. Projected","4. Offer"},0),B33,C33,D33,E33)</f>
        <v/>
      </c>
      <c r="G33" s="863" t="n"/>
      <c r="H33" s="84" t="inlineStr">
        <is>
          <t>Total Equity − GP co-invest. GP can be $0 (all-LP deal).</t>
        </is>
      </c>
    </row>
    <row r="34" outlineLevel="1" ht="18" customHeight="1" s="923">
      <c r="A34" s="62" t="inlineStr">
        <is>
          <t>Class B LP Equity ($)</t>
        </is>
      </c>
      <c r="B34" s="785">
        <f>B30*B31</f>
        <v/>
      </c>
      <c r="C34" s="785">
        <f>C30*C31</f>
        <v/>
      </c>
      <c r="D34" s="785">
        <f>D30*D31</f>
        <v/>
      </c>
      <c r="E34" s="785">
        <f>E30*E31</f>
        <v/>
      </c>
      <c r="F34" s="782">
        <f>CHOOSE(MATCH(B$2,{"Actuals (T-12)","2. My Version","3. Projected","4. Offer"},0),B34,C34,D34,E34)</f>
        <v/>
      </c>
      <c r="G34" s="863" t="n"/>
      <c r="H34" s="832" t="inlineStr">
        <is>
          <t>Auto-calculated</t>
        </is>
      </c>
    </row>
    <row r="35" outlineLevel="1" ht="18" customHeight="1" s="923">
      <c r="A35" s="65" t="inlineStr">
        <is>
          <t>Class A Preferred Return %</t>
        </is>
      </c>
      <c r="B35" s="786" t="n">
        <v>0</v>
      </c>
      <c r="C35" s="786">
        <f>B35</f>
        <v/>
      </c>
      <c r="D35" s="786">
        <f>C35</f>
        <v/>
      </c>
      <c r="E35" s="786">
        <f>D35</f>
        <v/>
      </c>
      <c r="F35" s="767">
        <f>CHOOSE(MATCH(B$2,{"Actuals (T-12)","2. My Version","3. Projected","4. Offer"},0),B35,C35,D35,E35)</f>
        <v/>
      </c>
      <c r="G35" s="856" t="n"/>
      <c r="H35" s="833" t="inlineStr">
        <is>
          <t>Class A pref: 6–9% typical</t>
        </is>
      </c>
    </row>
    <row r="36" outlineLevel="1" ht="18" customHeight="1" s="923">
      <c r="A36" s="86" t="inlineStr">
        <is>
          <t>GP Promote % (defaults to GP% — edit to override)</t>
        </is>
      </c>
      <c r="B36" s="787">
        <f>B28</f>
        <v/>
      </c>
      <c r="C36" s="787">
        <f>C28</f>
        <v/>
      </c>
      <c r="D36" s="787">
        <f>D28</f>
        <v/>
      </c>
      <c r="E36" s="787">
        <f>E28</f>
        <v/>
      </c>
      <c r="F36" s="778">
        <f>CHOOSE(MATCH(B$2,{"Actuals (T-12)","2. My Version","3. Projected","4. Offer"},0),B36,C36,D36,E36)</f>
        <v/>
      </c>
      <c r="G36" s="862" t="n"/>
      <c r="H36" s="835" t="inlineStr">
        <is>
          <t>Promote: 20–30% GP typical. Edit directly.</t>
        </is>
      </c>
    </row>
    <row r="37" ht="21.75" customHeight="1" s="923">
      <c r="A37" s="949" t="inlineStr">
        <is>
          <t>INCOME (YEAR 1 SNAPSHOT)  —  4-Scenario Model</t>
        </is>
      </c>
      <c r="I37" s="406" t="n"/>
      <c r="J37" s="406" t="n"/>
      <c r="K37" s="406" t="n"/>
    </row>
    <row r="38" ht="18" customHeight="1" s="923">
      <c r="A38" s="736" t="inlineStr">
        <is>
          <t>── INDEPENDENT LIVING (IL) ──</t>
        </is>
      </c>
      <c r="B38" s="736" t="n"/>
      <c r="C38" s="788" t="n"/>
      <c r="D38" s="788" t="n"/>
      <c r="E38" s="788" t="n"/>
      <c r="F38" s="736" t="n"/>
      <c r="G38" s="864" t="n"/>
      <c r="H38" s="737" t="n"/>
      <c r="I38" s="406" t="n"/>
      <c r="J38" s="406" t="n"/>
      <c r="K38" s="406" t="n"/>
    </row>
    <row r="39" outlineLevel="3" ht="18" customHeight="1" s="923">
      <c r="A39" s="738" t="inlineStr">
        <is>
          <t xml:space="preserve">  Licensed Beds — IL</t>
        </is>
      </c>
      <c r="B39" s="745" t="n">
        <v>0</v>
      </c>
      <c r="C39" s="746">
        <f>B39</f>
        <v/>
      </c>
      <c r="D39" s="746">
        <f>C39</f>
        <v/>
      </c>
      <c r="E39" s="746">
        <f>D39</f>
        <v/>
      </c>
      <c r="F39" s="747">
        <f>CHOOSE(MATCH(B$2,{"Actuals (T-12)","2. My Version","3. Projected","4. Offer"},0),B39,C39,D39,E39)</f>
        <v/>
      </c>
      <c r="G39" s="865" t="n"/>
      <c r="H39" s="739" t="inlineStr">
        <is>
          <t>Independent Living bed count</t>
        </is>
      </c>
      <c r="I39" s="406" t="n"/>
      <c r="J39" s="406" t="n"/>
      <c r="K39" s="406" t="n"/>
    </row>
    <row r="40" outlineLevel="3" ht="18" customHeight="1" s="923">
      <c r="A40" s="738" t="inlineStr">
        <is>
          <t xml:space="preserve">  Avg Monthly Rate — IL</t>
        </is>
      </c>
      <c r="B40" s="751" t="n">
        <v>0</v>
      </c>
      <c r="C40" s="752">
        <f>B40</f>
        <v/>
      </c>
      <c r="D40" s="752">
        <f>C40</f>
        <v/>
      </c>
      <c r="E40" s="752">
        <f>D40</f>
        <v/>
      </c>
      <c r="F40" s="753">
        <f>CHOOSE(MATCH(B$2,{"Actuals (T-12)","2. My Version","3. Projected","4. Offer"},0),B40,C40,D40,E40)</f>
        <v/>
      </c>
      <c r="G40" s="865" t="n"/>
      <c r="H40" s="739" t="inlineStr">
        <is>
          <t>IL blended market rate — pull from rent roll</t>
        </is>
      </c>
      <c r="I40" s="406" t="n"/>
      <c r="J40" s="406" t="n"/>
      <c r="K40" s="406" t="n"/>
    </row>
    <row r="41" outlineLevel="3" ht="18" customHeight="1" s="923">
      <c r="A41" s="738" t="inlineStr">
        <is>
          <t xml:space="preserve">  GPR — IL</t>
        </is>
      </c>
      <c r="B41" s="752">
        <f>B39*B40*12</f>
        <v/>
      </c>
      <c r="C41" s="752">
        <f>C39*C40*12</f>
        <v/>
      </c>
      <c r="D41" s="752">
        <f>D39*D40*12</f>
        <v/>
      </c>
      <c r="E41" s="752">
        <f>E39*E40*12</f>
        <v/>
      </c>
      <c r="F41" s="753">
        <f>CHOOSE(MATCH(B$2,{"Actuals (T-12)","2. My Version","3. Projected","4. Offer"},0),B41,C41,D41,E41)</f>
        <v/>
      </c>
      <c r="G41" s="865">
        <f>IFERROR(F41/F$63/12,0)</f>
        <v/>
      </c>
      <c r="H41" s="739" t="inlineStr">
        <is>
          <t>Annual gross potential rent at full IL occupancy</t>
        </is>
      </c>
      <c r="I41" s="406" t="n"/>
      <c r="J41" s="406" t="n"/>
      <c r="K41" s="406" t="n"/>
    </row>
    <row r="42" outlineLevel="3" ht="18" customHeight="1" s="923">
      <c r="A42" s="738" t="inlineStr">
        <is>
          <t xml:space="preserve">  Vacancy % — IL</t>
        </is>
      </c>
      <c r="B42" s="757" t="n">
        <v>0</v>
      </c>
      <c r="C42" s="758">
        <f>B42</f>
        <v/>
      </c>
      <c r="D42" s="758">
        <f>C42</f>
        <v/>
      </c>
      <c r="E42" s="758">
        <f>D42</f>
        <v/>
      </c>
      <c r="F42" s="759">
        <f>CHOOSE(MATCH(B$2,{"Actuals (T-12)","2. My Version","3. Projected","4. Offer"},0),B42,C42,D42,E42)</f>
        <v/>
      </c>
      <c r="G42" s="865" t="n"/>
      <c r="H42" s="836" t="inlineStr">
        <is>
          <t>10% typical stabilized</t>
        </is>
      </c>
      <c r="I42" s="406" t="n"/>
      <c r="J42" s="406" t="n"/>
      <c r="K42" s="406" t="n"/>
    </row>
    <row r="43" outlineLevel="3" ht="18" customHeight="1" s="923">
      <c r="A43" s="740" t="inlineStr">
        <is>
          <t xml:space="preserve">  Occupied Beds — IL</t>
        </is>
      </c>
      <c r="B43" s="746">
        <f>ROUND(B39*(1-B42),0)</f>
        <v/>
      </c>
      <c r="C43" s="746">
        <f>ROUND(C39*(1-C42),0)</f>
        <v/>
      </c>
      <c r="D43" s="746">
        <f>ROUND(D39*(1-D42),0)</f>
        <v/>
      </c>
      <c r="E43" s="746">
        <f>ROUND(E39*(1-E42),0)</f>
        <v/>
      </c>
      <c r="F43" s="747">
        <f>CHOOSE(MATCH(B$2,{"Actuals (T-12)","2. My Version","3. Projected","4. Offer"},0),B43,C43,D43,E43)</f>
        <v/>
      </c>
      <c r="G43" s="865" t="n"/>
      <c r="H43" s="739" t="inlineStr">
        <is>
          <t>IL occupied = IL beds × (1 − IL vac%)</t>
        </is>
      </c>
      <c r="I43" s="406" t="n"/>
      <c r="J43" s="406" t="n"/>
      <c r="K43" s="406" t="n"/>
    </row>
    <row r="44" ht="18" customHeight="1" s="923">
      <c r="A44" s="736" t="inlineStr">
        <is>
          <t>── ASSISTED LIVING (AL) ──</t>
        </is>
      </c>
      <c r="B44" s="789" t="n"/>
      <c r="C44" s="790" t="n"/>
      <c r="D44" s="790" t="n"/>
      <c r="E44" s="790" t="n"/>
      <c r="F44" s="791" t="n"/>
      <c r="G44" s="864" t="n"/>
      <c r="H44" s="737" t="n"/>
      <c r="I44" s="406" t="n"/>
      <c r="J44" s="406" t="n"/>
      <c r="K44" s="406" t="n"/>
    </row>
    <row r="45" outlineLevel="2" ht="18" customHeight="1" s="923">
      <c r="A45" s="738" t="inlineStr">
        <is>
          <t xml:space="preserve">  Licensed Beds — AL</t>
        </is>
      </c>
      <c r="B45" s="748" t="n">
        <v>0</v>
      </c>
      <c r="C45" s="746">
        <f>B45</f>
        <v/>
      </c>
      <c r="D45" s="746">
        <f>C45</f>
        <v/>
      </c>
      <c r="E45" s="746">
        <f>D45</f>
        <v/>
      </c>
      <c r="F45" s="747">
        <f>CHOOSE(MATCH(B$2,{"Actuals (T-12)","2. My Version","3. Projected","4. Offer"},0),B45,C45,D45,E45)</f>
        <v/>
      </c>
      <c r="G45" s="865" t="n"/>
      <c r="H45" s="836" t="inlineStr">
        <is>
          <t>Assisted Living bed count</t>
        </is>
      </c>
      <c r="I45" s="406" t="n"/>
      <c r="J45" s="406" t="n"/>
      <c r="K45" s="406" t="n"/>
    </row>
    <row r="46" outlineLevel="2" ht="18" customHeight="1" s="923">
      <c r="A46" s="738" t="inlineStr">
        <is>
          <t xml:space="preserve">  Avg Monthly Rate — AL</t>
        </is>
      </c>
      <c r="B46" s="751" t="n">
        <v>0</v>
      </c>
      <c r="C46" s="752">
        <f>B46</f>
        <v/>
      </c>
      <c r="D46" s="752">
        <f>C46</f>
        <v/>
      </c>
      <c r="E46" s="752">
        <f>D46</f>
        <v/>
      </c>
      <c r="F46" s="753">
        <f>CHOOSE(MATCH(B$2,{"Actuals (T-12)","2. My Version","3. Projected","4. Offer"},0),B46,C46,D46,E46)</f>
        <v/>
      </c>
      <c r="G46" s="865" t="n"/>
      <c r="H46" s="836" t="inlineStr">
        <is>
          <t>AL median ~$4,774/mo nationally (2024); local range varies</t>
        </is>
      </c>
      <c r="I46" s="406" t="n"/>
      <c r="J46" s="406" t="n"/>
      <c r="K46" s="406" t="n"/>
    </row>
    <row r="47" outlineLevel="2" ht="18" customHeight="1" s="923">
      <c r="A47" s="740" t="inlineStr">
        <is>
          <t xml:space="preserve">  GPR — AL</t>
        </is>
      </c>
      <c r="B47" s="752">
        <f>B45*B46*12</f>
        <v/>
      </c>
      <c r="C47" s="752">
        <f>C45*C46*12</f>
        <v/>
      </c>
      <c r="D47" s="752">
        <f>D45*D46*12</f>
        <v/>
      </c>
      <c r="E47" s="752">
        <f>E45*E46*12</f>
        <v/>
      </c>
      <c r="F47" s="753">
        <f>CHOOSE(MATCH(B$2,{"Actuals (T-12)","2. My Version","3. Projected","4. Offer"},0),B47,C47,D47,E47)</f>
        <v/>
      </c>
      <c r="G47" s="865">
        <f>IFERROR(F47/F$63/12,0)</f>
        <v/>
      </c>
      <c r="H47" s="836" t="inlineStr">
        <is>
          <t>Annual gross potential rent at full AL occupancy</t>
        </is>
      </c>
      <c r="I47" s="406" t="n"/>
      <c r="J47" s="406" t="n"/>
      <c r="K47" s="406" t="n"/>
    </row>
    <row r="48" outlineLevel="2" ht="18" customHeight="1" s="923">
      <c r="A48" s="738" t="inlineStr">
        <is>
          <t xml:space="preserve">  Vacancy % — AL</t>
        </is>
      </c>
      <c r="B48" s="757" t="n">
        <v>0</v>
      </c>
      <c r="C48" s="758">
        <f>B48</f>
        <v/>
      </c>
      <c r="D48" s="758">
        <f>C48</f>
        <v/>
      </c>
      <c r="E48" s="758">
        <f>D48</f>
        <v/>
      </c>
      <c r="F48" s="759">
        <f>CHOOSE(MATCH(B$2,{"Actuals (T-12)","2. My Version","3. Projected","4. Offer"},0),B48,C48,D48,E48)</f>
        <v/>
      </c>
      <c r="G48" s="866" t="n"/>
      <c r="H48" s="836" t="inlineStr">
        <is>
          <t>12% typical value-add</t>
        </is>
      </c>
      <c r="I48" s="406" t="n"/>
      <c r="J48" s="406" t="n"/>
      <c r="K48" s="406" t="n"/>
    </row>
    <row r="49" outlineLevel="2" ht="18" customHeight="1" s="923">
      <c r="A49" s="738" t="inlineStr">
        <is>
          <t xml:space="preserve">  Occupied Beds — AL</t>
        </is>
      </c>
      <c r="B49" s="746">
        <f>ROUND(B45*(1-B48),0)</f>
        <v/>
      </c>
      <c r="C49" s="746">
        <f>ROUND(C45*(1-C48),0)</f>
        <v/>
      </c>
      <c r="D49" s="746">
        <f>ROUND(D45*(1-D48),0)</f>
        <v/>
      </c>
      <c r="E49" s="746">
        <f>ROUND(E45*(1-E48),0)</f>
        <v/>
      </c>
      <c r="F49" s="747">
        <f>CHOOSE(MATCH(B$2,{"Actuals (T-12)","2. My Version","3. Projected","4. Offer"},0),B49,C49,D49,E49)</f>
        <v/>
      </c>
      <c r="G49" s="866" t="n"/>
      <c r="H49" s="836" t="inlineStr">
        <is>
          <t>AL occupied = AL beds × (1 − AL vac%)</t>
        </is>
      </c>
      <c r="I49" s="406" t="n"/>
      <c r="J49" s="406" t="n"/>
      <c r="K49" s="406" t="n"/>
    </row>
    <row r="50" ht="18" customHeight="1" s="923">
      <c r="A50" s="736" t="inlineStr">
        <is>
          <t>── MEMORY CARE (MC) ──</t>
        </is>
      </c>
      <c r="B50" s="791" t="n"/>
      <c r="C50" s="790" t="n"/>
      <c r="D50" s="790" t="n"/>
      <c r="E50" s="790" t="n"/>
      <c r="F50" s="791" t="n"/>
      <c r="G50" s="864" t="n"/>
      <c r="H50" s="737" t="n"/>
      <c r="I50" s="406" t="n"/>
      <c r="J50" s="406" t="n"/>
      <c r="K50" s="406" t="n"/>
    </row>
    <row r="51" outlineLevel="2" ht="24" customHeight="1" s="923">
      <c r="A51" s="738" t="inlineStr">
        <is>
          <t xml:space="preserve">  Licensed Beds — MC</t>
        </is>
      </c>
      <c r="B51" s="748" t="n">
        <v>0</v>
      </c>
      <c r="C51" s="746">
        <f>B51</f>
        <v/>
      </c>
      <c r="D51" s="746">
        <f>C51</f>
        <v/>
      </c>
      <c r="E51" s="746">
        <f>D51</f>
        <v/>
      </c>
      <c r="F51" s="747">
        <f>CHOOSE(MATCH(B$2,{"Actuals (T-12)","2. My Version","3. Projected","4. Offer"},0),B51,C51,D51,E51)</f>
        <v/>
      </c>
      <c r="G51" s="867" t="n"/>
      <c r="H51" s="739" t="inlineStr">
        <is>
          <t>Memory Care bed count</t>
        </is>
      </c>
      <c r="I51" s="406" t="n"/>
      <c r="J51" s="406" t="n"/>
      <c r="K51" s="406" t="n"/>
    </row>
    <row r="52" outlineLevel="2" ht="18" customHeight="1" s="923">
      <c r="A52" s="740" t="inlineStr">
        <is>
          <t xml:space="preserve">  Avg Monthly Rate — MC</t>
        </is>
      </c>
      <c r="B52" s="751" t="n">
        <v>0</v>
      </c>
      <c r="C52" s="752">
        <f>B52</f>
        <v/>
      </c>
      <c r="D52" s="752">
        <f>C52</f>
        <v/>
      </c>
      <c r="E52" s="752">
        <f>D52</f>
        <v/>
      </c>
      <c r="F52" s="753">
        <f>CHOOSE(MATCH(B$2,{"Actuals (T-12)","2. My Version","3. Projected","4. Offer"},0),B52,C52,D52,E52)</f>
        <v/>
      </c>
      <c r="G52" s="865" t="n"/>
      <c r="H52" s="836" t="inlineStr">
        <is>
          <t>MC ~$6,160/mo nationally (2024); premium 25-40% over AL</t>
        </is>
      </c>
      <c r="I52" s="406" t="n"/>
      <c r="J52" s="406" t="n"/>
      <c r="K52" s="406" t="n"/>
    </row>
    <row r="53" outlineLevel="2" ht="18" customHeight="1" s="923">
      <c r="A53" s="738" t="inlineStr">
        <is>
          <t xml:space="preserve">  GPR — MC</t>
        </is>
      </c>
      <c r="B53" s="752">
        <f>B51*B52*12</f>
        <v/>
      </c>
      <c r="C53" s="752">
        <f>C51*C52*12</f>
        <v/>
      </c>
      <c r="D53" s="752">
        <f>D51*D52*12</f>
        <v/>
      </c>
      <c r="E53" s="752">
        <f>E51*E52*12</f>
        <v/>
      </c>
      <c r="F53" s="753">
        <f>CHOOSE(MATCH(B$2,{"Actuals (T-12)","2. My Version","3. Projected","4. Offer"},0),B53,C53,D53,E53)</f>
        <v/>
      </c>
      <c r="G53" s="865">
        <f>IFERROR(F53/F$63/12,0)</f>
        <v/>
      </c>
      <c r="H53" s="739" t="inlineStr">
        <is>
          <t>Annual gross potential rent at full MC occupancy</t>
        </is>
      </c>
      <c r="I53" s="406" t="n"/>
      <c r="J53" s="406" t="n"/>
      <c r="K53" s="406" t="n"/>
    </row>
    <row r="54" outlineLevel="2" ht="18" customHeight="1" s="923">
      <c r="A54" s="738" t="inlineStr">
        <is>
          <t xml:space="preserve">  Vacancy % — MC</t>
        </is>
      </c>
      <c r="B54" s="757" t="n">
        <v>0</v>
      </c>
      <c r="C54" s="758">
        <f>B54</f>
        <v/>
      </c>
      <c r="D54" s="758">
        <f>C54</f>
        <v/>
      </c>
      <c r="E54" s="758">
        <f>D54</f>
        <v/>
      </c>
      <c r="F54" s="759">
        <f>CHOOSE(MATCH(B$2,{"Actuals (T-12)","2. My Version","3. Projected","4. Offer"},0),B54,C54,D54,E54)</f>
        <v/>
      </c>
      <c r="G54" s="865" t="n"/>
      <c r="H54" s="739" t="inlineStr">
        <is>
          <t>MC typically tighter</t>
        </is>
      </c>
      <c r="I54" s="406" t="n"/>
      <c r="J54" s="406" t="n"/>
      <c r="K54" s="406" t="n"/>
    </row>
    <row r="55" outlineLevel="2" ht="18" customHeight="1" s="923">
      <c r="A55" s="738" t="inlineStr">
        <is>
          <t xml:space="preserve">  Occupied Beds — MC</t>
        </is>
      </c>
      <c r="B55" s="746">
        <f>ROUND(B51*(1-B54),0)</f>
        <v/>
      </c>
      <c r="C55" s="746">
        <f>ROUND(C51*(1-C54),0)</f>
        <v/>
      </c>
      <c r="D55" s="746">
        <f>ROUND(D51*(1-D54),0)</f>
        <v/>
      </c>
      <c r="E55" s="746">
        <f>ROUND(E51*(1-E54),0)</f>
        <v/>
      </c>
      <c r="F55" s="747">
        <f>CHOOSE(MATCH(B$2,{"Actuals (T-12)","2. My Version","3. Projected","4. Offer"},0),B55,C55,D55,E55)</f>
        <v/>
      </c>
      <c r="G55" s="865" t="n"/>
      <c r="H55" s="739" t="inlineStr">
        <is>
          <t>MC occupied = MC beds × (1 − MC vac%)</t>
        </is>
      </c>
      <c r="I55" s="406" t="n"/>
      <c r="J55" s="406" t="n"/>
      <c r="K55" s="406" t="n"/>
    </row>
    <row r="56" ht="18" customHeight="1" s="923">
      <c r="A56" s="736">
        <f>"── OTHER CARE ("&amp;'Prop Info'!$D$13&amp;") ──"</f>
        <v/>
      </c>
      <c r="B56" s="791" t="n"/>
      <c r="C56" s="790" t="n"/>
      <c r="D56" s="790" t="n"/>
      <c r="E56" s="790" t="n"/>
      <c r="F56" s="791" t="n"/>
      <c r="G56" s="864" t="n"/>
      <c r="H56" s="737" t="n"/>
      <c r="I56" s="406" t="n"/>
      <c r="J56" s="406" t="n"/>
      <c r="K56" s="406" t="n"/>
    </row>
    <row r="57" outlineLevel="2" ht="24" customHeight="1" s="923">
      <c r="A57" s="738">
        <f>"  Licensed Beds — Other Care ("&amp;'Prop Info'!$D$13&amp;")"</f>
        <v/>
      </c>
      <c r="B57" s="748" t="n">
        <v>0</v>
      </c>
      <c r="C57" s="746">
        <f>B57</f>
        <v/>
      </c>
      <c r="D57" s="746">
        <f>C57</f>
        <v/>
      </c>
      <c r="E57" s="746">
        <f>D57</f>
        <v/>
      </c>
      <c r="F57" s="747">
        <f>CHOOSE(MATCH(B$2,{"Actuals (T-12)","2. My Version","3. Projected","4. Offer"},0),B57,C57,D57,E57)</f>
        <v/>
      </c>
      <c r="G57" s="867" t="n"/>
      <c r="H57" s="739" t="inlineStr">
        <is>
          <t>RHA (Residential Homes for the Aged, TN) bed count</t>
        </is>
      </c>
      <c r="I57" s="406" t="n"/>
      <c r="J57" s="406" t="n"/>
      <c r="K57" s="406" t="n"/>
    </row>
    <row r="58" outlineLevel="2" ht="18" customHeight="1" s="923">
      <c r="A58" s="740">
        <f>"  Avg Monthly Rate — Other Care ("&amp;'Prop Info'!$D$13&amp;")"</f>
        <v/>
      </c>
      <c r="B58" s="751" t="n">
        <v>0</v>
      </c>
      <c r="C58" s="752">
        <f>B58</f>
        <v/>
      </c>
      <c r="D58" s="752">
        <f>C58</f>
        <v/>
      </c>
      <c r="E58" s="752">
        <f>D58</f>
        <v/>
      </c>
      <c r="F58" s="753">
        <f>CHOOSE(MATCH(B$2,{"Actuals (T-12)","2. My Version","3. Projected","4. Offer"},0),B58,C58,D58,E58)</f>
        <v/>
      </c>
      <c r="G58" s="865" t="n"/>
      <c r="H58" s="836" t="inlineStr">
        <is>
          <t>RHA blended monthly rate — typically below AL</t>
        </is>
      </c>
      <c r="I58" s="406" t="n"/>
      <c r="J58" s="406" t="n"/>
      <c r="K58" s="406" t="n"/>
    </row>
    <row r="59" outlineLevel="2" ht="18" customHeight="1" s="923">
      <c r="A59" s="738">
        <f>"  GPR — Other Care ("&amp;'Prop Info'!$D$13&amp;")"</f>
        <v/>
      </c>
      <c r="B59" s="752">
        <f>B57*B58*12</f>
        <v/>
      </c>
      <c r="C59" s="752">
        <f>C57*C58*12</f>
        <v/>
      </c>
      <c r="D59" s="752">
        <f>D57*D58*12</f>
        <v/>
      </c>
      <c r="E59" s="752">
        <f>E57*E58*12</f>
        <v/>
      </c>
      <c r="F59" s="753">
        <f>CHOOSE(MATCH(B$2,{"Actuals (T-12)","2. My Version","3. Projected","4. Offer"},0),B59,C59,D59,E59)</f>
        <v/>
      </c>
      <c r="G59" s="865">
        <f>IFERROR(F59/F$63/12,0)</f>
        <v/>
      </c>
      <c r="H59" s="739" t="inlineStr">
        <is>
          <t>Annual gross potential rent at full RHA occupancy</t>
        </is>
      </c>
      <c r="I59" s="406" t="n"/>
      <c r="J59" s="406" t="n"/>
      <c r="K59" s="406" t="n"/>
    </row>
    <row r="60" outlineLevel="2" ht="18" customHeight="1" s="923">
      <c r="A60" s="738">
        <f>"  Vacancy % — Other Care ("&amp;'Prop Info'!$D$13&amp;")"</f>
        <v/>
      </c>
      <c r="B60" s="757" t="n">
        <v>0</v>
      </c>
      <c r="C60" s="758">
        <f>B60</f>
        <v/>
      </c>
      <c r="D60" s="758">
        <f>C60</f>
        <v/>
      </c>
      <c r="E60" s="758">
        <f>D60</f>
        <v/>
      </c>
      <c r="F60" s="759">
        <f>CHOOSE(MATCH(B$2,{"Actuals (T-12)","2. My Version","3. Projected","4. Offer"},0),B60,C60,D60,E60)</f>
        <v/>
      </c>
      <c r="G60" s="865" t="n"/>
      <c r="H60" s="739" t="inlineStr">
        <is>
          <t>RHA vacancy assumption</t>
        </is>
      </c>
      <c r="I60" s="406" t="n"/>
      <c r="J60" s="406" t="n"/>
      <c r="K60" s="406" t="n"/>
    </row>
    <row r="61" outlineLevel="2" ht="18" customHeight="1" s="923">
      <c r="A61" s="738">
        <f>"  Occupied Beds — Other Care ("&amp;'Prop Info'!$D$13&amp;")"</f>
        <v/>
      </c>
      <c r="B61" s="746">
        <f>ROUND(B57*(1-B60),0)</f>
        <v/>
      </c>
      <c r="C61" s="746">
        <f>ROUND(C57*(1-C60),0)</f>
        <v/>
      </c>
      <c r="D61" s="746">
        <f>ROUND(D57*(1-D60),0)</f>
        <v/>
      </c>
      <c r="E61" s="746">
        <f>ROUND(E57*(1-E60),0)</f>
        <v/>
      </c>
      <c r="F61" s="747">
        <f>CHOOSE(MATCH(B$2,{"Actuals (T-12)","2. My Version","3. Projected","4. Offer"},0),B61,C61,D61,E61)</f>
        <v/>
      </c>
      <c r="G61" s="865" t="n"/>
      <c r="H61" s="739" t="inlineStr">
        <is>
          <t>RHA occupied = RHA beds × (1 − RHA vac%)</t>
        </is>
      </c>
      <c r="I61" s="406" t="n"/>
      <c r="J61" s="406" t="n"/>
      <c r="K61" s="406" t="n"/>
    </row>
    <row r="62" ht="18" customHeight="1" s="923">
      <c r="A62" s="741" t="inlineStr">
        <is>
          <t>── TOTALS &amp; OTHER INCOME ──</t>
        </is>
      </c>
      <c r="B62" s="996" t="n"/>
      <c r="C62" s="997" t="n"/>
      <c r="D62" s="997" t="n"/>
      <c r="E62" s="997" t="n"/>
      <c r="F62" s="996" t="n"/>
      <c r="G62" s="868" t="n"/>
      <c r="H62" s="742" t="n"/>
      <c r="I62" s="406" t="n"/>
      <c r="J62" s="406" t="n"/>
      <c r="K62" s="406" t="n"/>
    </row>
    <row r="63" ht="18" customHeight="1" s="923">
      <c r="A63" s="743" t="inlineStr">
        <is>
          <t xml:space="preserve">  Total Licensed Beds</t>
        </is>
      </c>
      <c r="B63" s="749">
        <f>B39+B45+B51+B57</f>
        <v/>
      </c>
      <c r="C63" s="749">
        <f>C39+C45+C51+C57</f>
        <v/>
      </c>
      <c r="D63" s="749">
        <f>D39+D45+D51+D57</f>
        <v/>
      </c>
      <c r="E63" s="749">
        <f>E39+E45+E51+E57</f>
        <v/>
      </c>
      <c r="F63" s="750">
        <f>CHOOSE(MATCH(B$2,{"Actuals (T-12)","2. My Version","3. Projected","4. Offer"},0),B63,C63,D63,E63)</f>
        <v/>
      </c>
      <c r="G63" s="866" t="n"/>
      <c r="H63" s="836" t="inlineStr">
        <is>
          <t>Sum of IL+AL+MC+RHA licensed beds — must match Prop Info!B15</t>
        </is>
      </c>
      <c r="I63" s="406" t="n"/>
      <c r="J63" s="406" t="n"/>
      <c r="K63" s="406" t="n"/>
    </row>
    <row r="64" ht="18" customHeight="1" s="923">
      <c r="A64" s="743" t="inlineStr">
        <is>
          <t xml:space="preserve">  Total Occupied Beds</t>
        </is>
      </c>
      <c r="B64" s="749">
        <f>B43+B49+B55+B61</f>
        <v/>
      </c>
      <c r="C64" s="749">
        <f>C43+C49+C55+C61</f>
        <v/>
      </c>
      <c r="D64" s="749">
        <f>D43+D49+D55+D61</f>
        <v/>
      </c>
      <c r="E64" s="749">
        <f>E43+E49+E55+E61</f>
        <v/>
      </c>
      <c r="F64" s="750">
        <f>CHOOSE(MATCH(B$2,{"Actuals (T-12)","2. My Version","3. Projected","4. Offer"},0),B64,C64,D64,E64)</f>
        <v/>
      </c>
      <c r="G64" s="865" t="n"/>
      <c r="H64" s="836" t="inlineStr">
        <is>
          <t>Total occupied beds — drives census-based metrics</t>
        </is>
      </c>
      <c r="I64" s="406" t="n"/>
      <c r="J64" s="406" t="n"/>
      <c r="K64" s="406" t="n"/>
    </row>
    <row r="65" ht="18" customHeight="1" s="923">
      <c r="A65" s="743" t="inlineStr">
        <is>
          <t>TOTAL GROSS POTENTIAL RENT</t>
        </is>
      </c>
      <c r="B65" s="754">
        <f>B41+B47+B53+B59</f>
        <v/>
      </c>
      <c r="C65" s="754">
        <f>C41+C47+C53+C59</f>
        <v/>
      </c>
      <c r="D65" s="754">
        <f>D41+D47+D53+D59</f>
        <v/>
      </c>
      <c r="E65" s="754">
        <f>E41+E47+E53+E59</f>
        <v/>
      </c>
      <c r="F65" s="755">
        <f>CHOOSE(MATCH(B$2,{"Actuals (T-12)","2. My Version","3. Projected","4. Offer"},0),B65,C65,D65,E65)</f>
        <v/>
      </c>
      <c r="G65" s="866" t="n"/>
      <c r="H65" s="836" t="inlineStr">
        <is>
          <t>beds × rate × 12 by level</t>
        </is>
      </c>
      <c r="I65" s="406" t="n"/>
      <c r="J65" s="406" t="n"/>
      <c r="K65" s="406" t="n"/>
    </row>
    <row r="66" outlineLevel="1" ht="18" customHeight="1" s="923">
      <c r="A66" s="738" t="inlineStr">
        <is>
          <t xml:space="preserve">  Blended Vacancy % (GPR-Wtd)</t>
        </is>
      </c>
      <c r="B66" s="758">
        <f>IFERROR((B42*B41+B48*B47+B54*B53+B60*B59)/B65,0)</f>
        <v/>
      </c>
      <c r="C66" s="758">
        <f>IFERROR((C42*C41+C48*C47+C54*C53+C60*C59)/C65,0)</f>
        <v/>
      </c>
      <c r="D66" s="758">
        <f>IFERROR((D42*D41+D48*D47+D54*D53+D60*D59)/D65,0)</f>
        <v/>
      </c>
      <c r="E66" s="758">
        <f>IFERROR((E42*E41+E48*E47+E54*E53+E60*E59)/E65,0)</f>
        <v/>
      </c>
      <c r="F66" s="759">
        <f>CHOOSE(MATCH(B$2,{"Actuals (T-12)","2. My Version","3. Projected","4. Offer"},0),B66,C66,D66,E66)</f>
        <v/>
      </c>
      <c r="G66" s="865" t="n"/>
      <c r="H66" s="836" t="inlineStr">
        <is>
          <t>GPR-weighted across IL/AL/MC/RHA: Σ(vac%×GPR) ÷ Total_GPR</t>
        </is>
      </c>
      <c r="I66" s="406" t="n"/>
      <c r="J66" s="406" t="n"/>
      <c r="K66" s="406" t="n"/>
    </row>
    <row r="67" outlineLevel="1" ht="18" customHeight="1" s="923">
      <c r="A67" s="738" t="inlineStr">
        <is>
          <t xml:space="preserve">  Vacancy ($)</t>
        </is>
      </c>
      <c r="B67" s="752">
        <f>-B66*B65</f>
        <v/>
      </c>
      <c r="C67" s="752">
        <f>-C66*C65</f>
        <v/>
      </c>
      <c r="D67" s="752">
        <f>-D66*D65</f>
        <v/>
      </c>
      <c r="E67" s="752">
        <f>-E66*E65</f>
        <v/>
      </c>
      <c r="F67" s="753">
        <f>CHOOSE(MATCH(B$2,{"Actuals (T-12)","2. My Version","3. Projected","4. Offer"},0),B67,C67,D67,E67)</f>
        <v/>
      </c>
      <c r="G67" s="866">
        <f>IFERROR(F67/F$65,0)</f>
        <v/>
      </c>
      <c r="H67" s="836" t="inlineStr">
        <is>
          <t>Vacancy $ = blended vac% × Total GPR (negative)</t>
        </is>
      </c>
      <c r="I67" s="406" t="n"/>
      <c r="J67" s="406" t="n"/>
      <c r="K67" s="406" t="n"/>
    </row>
    <row r="68" outlineLevel="1" ht="18" customHeight="1" s="923">
      <c r="A68" s="738" t="inlineStr">
        <is>
          <t xml:space="preserve">  Loss to Lease %</t>
        </is>
      </c>
      <c r="B68" s="757" t="n">
        <v>0</v>
      </c>
      <c r="C68" s="758">
        <f>B68</f>
        <v/>
      </c>
      <c r="D68" s="758">
        <f>C68</f>
        <v/>
      </c>
      <c r="E68" s="758">
        <f>D68</f>
        <v/>
      </c>
      <c r="F68" s="759">
        <f>CHOOSE(MATCH(B$2,{"Actuals (T-12)","2. My Version","3. Projected","4. Offer"},0),B68,C68,D68,E68)</f>
        <v/>
      </c>
      <c r="G68" s="865" t="n"/>
      <c r="H68" s="836" t="inlineStr">
        <is>
          <t>Loss-to-lease: rate concessions vs market rate</t>
        </is>
      </c>
      <c r="I68" s="409" t="n"/>
      <c r="J68" s="406" t="n"/>
      <c r="K68" s="406" t="n"/>
    </row>
    <row r="69" outlineLevel="1" ht="18" customHeight="1" s="923">
      <c r="A69" s="738" t="inlineStr">
        <is>
          <t xml:space="preserve">  Loss to Lease ($)</t>
        </is>
      </c>
      <c r="B69" s="752">
        <f>-B68*B65</f>
        <v/>
      </c>
      <c r="C69" s="752">
        <f>-C68*C65</f>
        <v/>
      </c>
      <c r="D69" s="752">
        <f>-D68*D65</f>
        <v/>
      </c>
      <c r="E69" s="752">
        <f>-E68*E65</f>
        <v/>
      </c>
      <c r="F69" s="753">
        <f>CHOOSE(MATCH(B$2,{"Actuals (T-12)","2. My Version","3. Projected","4. Offer"},0),B69,C69,D69,E69)</f>
        <v/>
      </c>
      <c r="G69" s="866">
        <f>IFERROR(F69/F$65,0)</f>
        <v/>
      </c>
      <c r="H69" s="836" t="inlineStr">
        <is>
          <t>Loss to lease $ = -LtL% × Total GPR</t>
        </is>
      </c>
      <c r="I69" s="406" t="n"/>
      <c r="J69" s="406" t="n"/>
      <c r="K69" s="406" t="n"/>
    </row>
    <row r="70" outlineLevel="1" ht="18" customHeight="1" s="923">
      <c r="A70" s="738" t="inlineStr">
        <is>
          <t xml:space="preserve">  Concessions / Bad Debt %</t>
        </is>
      </c>
      <c r="B70" s="757" t="n">
        <v>0</v>
      </c>
      <c r="C70" s="758">
        <f>B70</f>
        <v/>
      </c>
      <c r="D70" s="758">
        <f>C70</f>
        <v/>
      </c>
      <c r="E70" s="758">
        <f>D70</f>
        <v/>
      </c>
      <c r="F70" s="759">
        <f>CHOOSE(MATCH(B$2,{"Actuals (T-12)","2. My Version","3. Projected","4. Offer"},0),B70,C70,D70,E70)</f>
        <v/>
      </c>
      <c r="G70" s="866" t="n"/>
      <c r="H70" s="739" t="inlineStr">
        <is>
          <t>Concessions/bad debt: 1-3% of GPR typical</t>
        </is>
      </c>
      <c r="I70" s="406" t="n"/>
      <c r="J70" s="406" t="n"/>
      <c r="K70" s="406" t="n"/>
    </row>
    <row r="71" outlineLevel="1" ht="18" customHeight="1" s="923">
      <c r="A71" s="738" t="inlineStr">
        <is>
          <t xml:space="preserve">  Concessions / Bad Debt ($)</t>
        </is>
      </c>
      <c r="B71" s="752">
        <f>-B70*B65</f>
        <v/>
      </c>
      <c r="C71" s="752">
        <f>-C70*C65</f>
        <v/>
      </c>
      <c r="D71" s="752">
        <f>-D70*D65</f>
        <v/>
      </c>
      <c r="E71" s="752">
        <f>-E70*E65</f>
        <v/>
      </c>
      <c r="F71" s="753">
        <f>CHOOSE(MATCH(B$2,{"Actuals (T-12)","2. My Version","3. Projected","4. Offer"},0),B71,C71,D71,E71)</f>
        <v/>
      </c>
      <c r="G71" s="866">
        <f>IFERROR(F71/F$65,0)</f>
        <v/>
      </c>
      <c r="H71" s="739" t="inlineStr">
        <is>
          <t>Concessions $ = -Conc% × Total GPR</t>
        </is>
      </c>
      <c r="I71" s="406" t="n"/>
      <c r="J71" s="406" t="n"/>
      <c r="K71" s="406" t="n"/>
    </row>
    <row r="72" outlineLevel="1" ht="18" customHeight="1" s="923">
      <c r="A72" s="738" t="inlineStr">
        <is>
          <t xml:space="preserve">  Care Services Fees %</t>
        </is>
      </c>
      <c r="B72" s="757" t="n">
        <v>0</v>
      </c>
      <c r="C72" s="758">
        <f>B72</f>
        <v/>
      </c>
      <c r="D72" s="758">
        <f>C72</f>
        <v/>
      </c>
      <c r="E72" s="758">
        <f>D72</f>
        <v/>
      </c>
      <c r="F72" s="759">
        <f>CHOOSE(MATCH(B$2,{"Actuals (T-12)","2. My Version","3. Projected","4. Offer"},0),B72,C72,D72,E72)</f>
        <v/>
      </c>
      <c r="G72" s="867" t="n"/>
      <c r="H72" s="836" t="inlineStr">
        <is>
          <t>Care services upcharges by acuity level</t>
        </is>
      </c>
      <c r="I72" s="406" t="n"/>
      <c r="J72" s="406" t="n"/>
      <c r="K72" s="406" t="n"/>
    </row>
    <row r="73" outlineLevel="1" ht="18" customHeight="1" s="923">
      <c r="A73" s="740" t="inlineStr">
        <is>
          <t xml:space="preserve">  Care Services Fees ($)</t>
        </is>
      </c>
      <c r="B73" s="752">
        <f>B72*B65</f>
        <v/>
      </c>
      <c r="C73" s="752">
        <f>C72*C65</f>
        <v/>
      </c>
      <c r="D73" s="752">
        <f>D72*D65</f>
        <v/>
      </c>
      <c r="E73" s="752">
        <f>E72*E65</f>
        <v/>
      </c>
      <c r="F73" s="753">
        <f>CHOOSE(MATCH(B$2,{"Actuals (T-12)","2. My Version","3. Projected","4. Offer"},0),B73,C73,D73,E73)</f>
        <v/>
      </c>
      <c r="G73" s="865">
        <f>IFERROR(F73/F$65,0)</f>
        <v/>
      </c>
      <c r="H73" s="836" t="inlineStr">
        <is>
          <t>Care services $ = % × Total GPR (positive add-back)</t>
        </is>
      </c>
      <c r="I73" s="406" t="n"/>
      <c r="J73" s="406" t="n"/>
      <c r="K73" s="406" t="n"/>
    </row>
    <row r="74" outlineLevel="1" ht="18" customHeight="1" s="923">
      <c r="A74" s="738" t="inlineStr">
        <is>
          <t xml:space="preserve">  2nd Person Revenue</t>
        </is>
      </c>
      <c r="B74" s="751" t="n">
        <v>0</v>
      </c>
      <c r="C74" s="752">
        <f>B74</f>
        <v/>
      </c>
      <c r="D74" s="752">
        <f>C74</f>
        <v/>
      </c>
      <c r="E74" s="752">
        <f>D74</f>
        <v/>
      </c>
      <c r="F74" s="753">
        <f>CHOOSE(MATCH(B$2,{"Actuals (T-12)","2. My Version","3. Projected","4. Offer"},0),B74,C74,D74,E74)</f>
        <v/>
      </c>
      <c r="G74" s="865">
        <f>IFERROR(F74/F$76,0)</f>
        <v/>
      </c>
      <c r="H74" s="836" t="inlineStr">
        <is>
          <t>Spousal/couples fee</t>
        </is>
      </c>
      <c r="I74" s="406" t="n"/>
      <c r="J74" s="406" t="n"/>
      <c r="K74" s="406" t="n"/>
    </row>
    <row r="75" outlineLevel="1" ht="18" customHeight="1" s="923">
      <c r="A75" s="738" t="inlineStr">
        <is>
          <t xml:space="preserve">  Other Income</t>
        </is>
      </c>
      <c r="B75" s="751" t="n">
        <v>0</v>
      </c>
      <c r="C75" s="752">
        <f>B75</f>
        <v/>
      </c>
      <c r="D75" s="752">
        <f>C75</f>
        <v/>
      </c>
      <c r="E75" s="752">
        <f>D75</f>
        <v/>
      </c>
      <c r="F75" s="753">
        <f>CHOOSE(MATCH(B$2,{"Actuals (T-12)","2. My Version","3. Projected","4. Offer"},0),B75,C75,D75,E75)</f>
        <v/>
      </c>
      <c r="G75" s="865">
        <f>IFERROR(F75/F$76,0)</f>
        <v/>
      </c>
      <c r="H75" s="836" t="inlineStr">
        <is>
          <t>Ancillary services, beauty, etc.</t>
        </is>
      </c>
      <c r="I75" s="406" t="n"/>
      <c r="J75" s="406" t="n"/>
      <c r="K75" s="406" t="n"/>
    </row>
    <row r="76" ht="18" customHeight="1" s="923">
      <c r="A76" s="744" t="inlineStr">
        <is>
          <t>EFFECTIVE GROSS INCOME</t>
        </is>
      </c>
      <c r="B76" s="756">
        <f>B65+B67+B69+B71+B73+B74+B75</f>
        <v/>
      </c>
      <c r="C76" s="756">
        <f>C65+C67+C69+C71+C73+C74+C75</f>
        <v/>
      </c>
      <c r="D76" s="756">
        <f>D65+D67+D69+D71+D73+D74+D75</f>
        <v/>
      </c>
      <c r="E76" s="756">
        <f>E65+E67+E69+E71+E73+E74+E75</f>
        <v/>
      </c>
      <c r="F76" s="756">
        <f>CHOOSE(MATCH(B$2,{"Actuals (T-12)","2. My Version","3. Projected","4. Offer"},0),B76,C76,D76,E76)</f>
        <v/>
      </c>
      <c r="G76" s="869">
        <f>IFERROR(F76/F$64/12,0)</f>
        <v/>
      </c>
      <c r="H76" s="837" t="inlineStr">
        <is>
          <t>EGI = GPR less vacancy/LtL/conc plus care/2P/other</t>
        </is>
      </c>
      <c r="I76" s="406" t="n"/>
      <c r="J76" s="406" t="n"/>
      <c r="K76" s="406" t="n"/>
    </row>
    <row r="77">
      <c r="A77" s="407" t="n"/>
      <c r="B77" s="998" t="n"/>
      <c r="C77" s="998" t="n"/>
      <c r="D77" s="998" t="n"/>
      <c r="E77" s="998" t="n"/>
      <c r="F77" s="998" t="n"/>
      <c r="G77" s="830" t="n"/>
      <c r="H77" s="836" t="n"/>
      <c r="I77" s="406" t="n"/>
      <c r="J77" s="406" t="n"/>
      <c r="K77" s="406" t="n"/>
    </row>
    <row r="78" ht="24" customHeight="1" s="923">
      <c r="A78" s="949" t="inlineStr">
        <is>
          <t>EXPENSES (YEAR 1)</t>
        </is>
      </c>
      <c r="I78" s="406" t="n"/>
      <c r="J78" s="406" t="n"/>
      <c r="K78" s="406" t="n"/>
    </row>
    <row r="79" ht="18" customHeight="1" s="923">
      <c r="A79" s="410" t="inlineStr">
        <is>
          <t>Line Item</t>
        </is>
      </c>
      <c r="B79" s="792" t="inlineStr">
        <is>
          <t>Actuals (T-12)</t>
        </is>
      </c>
      <c r="C79" s="410" t="inlineStr">
        <is>
          <t>2. My Version</t>
        </is>
      </c>
      <c r="D79" s="410" t="inlineStr">
        <is>
          <t>3. Projected</t>
        </is>
      </c>
      <c r="E79" s="410" t="inlineStr">
        <is>
          <t>4. Offer</t>
        </is>
      </c>
      <c r="F79" s="410" t="inlineStr">
        <is>
          <t>Active Scenario</t>
        </is>
      </c>
      <c r="G79" s="829" t="inlineStr">
        <is>
          <t>$/Bed | % EGI</t>
        </is>
      </c>
      <c r="H79" s="846" t="inlineStr">
        <is>
          <t>Notes</t>
        </is>
      </c>
      <c r="I79" s="406" t="n"/>
      <c r="J79" s="406" t="n"/>
      <c r="K79" s="406" t="n"/>
    </row>
    <row r="80" ht="18" customHeight="1" s="923">
      <c r="A80" s="448" t="inlineStr">
        <is>
          <t>── DIRECT LABOR ──</t>
        </is>
      </c>
      <c r="B80" s="793" t="n"/>
      <c r="C80" s="793" t="n"/>
      <c r="D80" s="793" t="n"/>
      <c r="E80" s="793" t="n"/>
      <c r="F80" s="794" t="n"/>
      <c r="G80" s="870" t="n"/>
      <c r="H80" s="847" t="n"/>
      <c r="I80" s="412" t="n"/>
      <c r="J80" s="406" t="n"/>
      <c r="K80" s="406" t="n"/>
    </row>
    <row r="81" outlineLevel="3" ht="18" customHeight="1" s="923">
      <c r="A81" s="413" t="inlineStr">
        <is>
          <t xml:space="preserve">  Care staff labor (AL / MC / IL)</t>
        </is>
      </c>
      <c r="B81" s="798" t="n"/>
      <c r="C81" s="799">
        <f>B81</f>
        <v/>
      </c>
      <c r="D81" s="799">
        <f>C81</f>
        <v/>
      </c>
      <c r="E81" s="799">
        <f>D81</f>
        <v/>
      </c>
      <c r="F81" s="794">
        <f>CHOOSE(MATCH(B$2,{"Actuals (T-12)","2. My Version","3. Projected","4. Offer"},0),B81,C81,D81,E81)</f>
        <v/>
      </c>
      <c r="G81" s="871">
        <f>IFERROR(F81/F$76,0)</f>
        <v/>
      </c>
      <c r="H81" s="838" t="inlineStr">
        <is>
          <t>Care labor: 20-30% EGI — largest line; tracks acuity &amp; ratios</t>
        </is>
      </c>
      <c r="I81" s="412" t="n"/>
      <c r="J81" s="406" t="n"/>
      <c r="K81" s="406" t="n"/>
    </row>
    <row r="82" outlineLevel="3" ht="18" customHeight="1" s="923">
      <c r="A82" s="411" t="inlineStr">
        <is>
          <t xml:space="preserve">  Wellness / care coordinators</t>
        </is>
      </c>
      <c r="B82" s="800" t="n"/>
      <c r="C82" s="793">
        <f>B82</f>
        <v/>
      </c>
      <c r="D82" s="793">
        <f>C82</f>
        <v/>
      </c>
      <c r="E82" s="793">
        <f>D82</f>
        <v/>
      </c>
      <c r="F82" s="794">
        <f>CHOOSE(MATCH(B$2,{"Actuals (T-12)","2. My Version","3. Projected","4. Offer"},0),B82,C82,D82,E82)</f>
        <v/>
      </c>
      <c r="G82" s="872">
        <f>IFERROR(F82/F$76,0)</f>
        <v/>
      </c>
      <c r="H82" s="839" t="inlineStr">
        <is>
          <t>Wellness/nursing leads: 2-4% EGI — RN/LPN salaries</t>
        </is>
      </c>
      <c r="I82" s="412" t="n"/>
      <c r="J82" s="406" t="n"/>
      <c r="K82" s="406" t="n"/>
    </row>
    <row r="83" outlineLevel="3" ht="18" customHeight="1" s="923">
      <c r="A83" s="413" t="inlineStr">
        <is>
          <t xml:space="preserve">  Contract / agency labor</t>
        </is>
      </c>
      <c r="B83" s="798" t="n"/>
      <c r="C83" s="799">
        <f>B83</f>
        <v/>
      </c>
      <c r="D83" s="799">
        <f>C83</f>
        <v/>
      </c>
      <c r="E83" s="799">
        <f>D83</f>
        <v/>
      </c>
      <c r="F83" s="794">
        <f>CHOOSE(MATCH(B$2,{"Actuals (T-12)","2. My Version","3. Projected","4. Offer"},0),B83,C83,D83,E83)</f>
        <v/>
      </c>
      <c r="G83" s="871">
        <f>IFERROR(F83/F$76,0)</f>
        <v/>
      </c>
      <c r="H83" s="838" t="inlineStr">
        <is>
          <t>Agency labor: 0-5% EGI stabilized; can spike 5-15% in lease-up</t>
        </is>
      </c>
      <c r="I83" s="412" t="n"/>
      <c r="J83" s="406" t="n"/>
      <c r="K83" s="406" t="n"/>
    </row>
    <row r="84" outlineLevel="3" ht="18" customHeight="1" s="923">
      <c r="A84" s="411" t="inlineStr">
        <is>
          <t xml:space="preserve">  Activities labor</t>
        </is>
      </c>
      <c r="B84" s="800" t="n"/>
      <c r="C84" s="793">
        <f>B84</f>
        <v/>
      </c>
      <c r="D84" s="793">
        <f>C84</f>
        <v/>
      </c>
      <c r="E84" s="793">
        <f>D84</f>
        <v/>
      </c>
      <c r="F84" s="794">
        <f>CHOOSE(MATCH(B$2,{"Actuals (T-12)","2. My Version","3. Projected","4. Offer"},0),B84,C84,D84,E84)</f>
        <v/>
      </c>
      <c r="G84" s="872">
        <f>IFERROR(F84/F$76,0)</f>
        <v/>
      </c>
      <c r="H84" s="839" t="inlineStr">
        <is>
          <t>Activities labor: 1-2% EGI — life enrichment program</t>
        </is>
      </c>
      <c r="I84" s="412" t="n"/>
      <c r="J84" s="406" t="n"/>
      <c r="K84" s="406" t="n"/>
    </row>
    <row r="85" outlineLevel="3" ht="18" customHeight="1" s="923">
      <c r="A85" s="413" t="inlineStr">
        <is>
          <t xml:space="preserve">  Dining / food service labor</t>
        </is>
      </c>
      <c r="B85" s="798" t="n"/>
      <c r="C85" s="799">
        <f>B85</f>
        <v/>
      </c>
      <c r="D85" s="799">
        <f>C85</f>
        <v/>
      </c>
      <c r="E85" s="799">
        <f>D85</f>
        <v/>
      </c>
      <c r="F85" s="794">
        <f>CHOOSE(MATCH(B$2,{"Actuals (T-12)","2. My Version","3. Projected","4. Offer"},0),B85,C85,D85,E85)</f>
        <v/>
      </c>
      <c r="G85" s="871">
        <f>IFERROR(F85/F$76,0)</f>
        <v/>
      </c>
      <c r="H85" s="838" t="inlineStr">
        <is>
          <t>Dining labor: 4-6% EGI — chef, cooks, servers, dishwashers</t>
        </is>
      </c>
      <c r="I85" s="412" t="n"/>
      <c r="J85" s="406" t="n"/>
      <c r="K85" s="406" t="n"/>
    </row>
    <row r="86" outlineLevel="3" ht="18" customHeight="1" s="923">
      <c r="A86" s="411" t="inlineStr">
        <is>
          <t xml:space="preserve">  Maintenance &amp; housekeeping labor</t>
        </is>
      </c>
      <c r="B86" s="800" t="n"/>
      <c r="C86" s="793">
        <f>B86</f>
        <v/>
      </c>
      <c r="D86" s="793">
        <f>C86</f>
        <v/>
      </c>
      <c r="E86" s="793">
        <f>D86</f>
        <v/>
      </c>
      <c r="F86" s="794">
        <f>CHOOSE(MATCH(B$2,{"Actuals (T-12)","2. My Version","3. Projected","4. Offer"},0),B86,C86,D86,E86)</f>
        <v/>
      </c>
      <c r="G86" s="872">
        <f>IFERROR(F86/F$76,0)</f>
        <v/>
      </c>
      <c r="H86" s="839" t="inlineStr">
        <is>
          <t>Maintenance &amp; housekeeping labor: 2-4% EGI</t>
        </is>
      </c>
      <c r="I86" s="412" t="n"/>
      <c r="J86" s="406" t="n"/>
      <c r="K86" s="406" t="n"/>
    </row>
    <row r="87" outlineLevel="3" ht="24.75" customHeight="1" s="923">
      <c r="A87" s="413" t="inlineStr">
        <is>
          <t xml:space="preserve">  Administrative labor</t>
        </is>
      </c>
      <c r="B87" s="798" t="n"/>
      <c r="C87" s="799">
        <f>B87</f>
        <v/>
      </c>
      <c r="D87" s="799">
        <f>C87</f>
        <v/>
      </c>
      <c r="E87" s="799">
        <f>D87</f>
        <v/>
      </c>
      <c r="F87" s="794">
        <f>CHOOSE(MATCH(B$2,{"Actuals (T-12)","2. My Version","3. Projected","4. Offer"},0),B87,C87,D87,E87)</f>
        <v/>
      </c>
      <c r="G87" s="871">
        <f>IFERROR(F87/F$76,0)</f>
        <v/>
      </c>
      <c r="H87" s="838" t="inlineStr">
        <is>
          <t>Administrative labor: 3-5% EGI — ED, business office, sales</t>
        </is>
      </c>
      <c r="I87" s="412" t="n"/>
      <c r="J87" s="406" t="n"/>
      <c r="K87" s="406" t="n"/>
    </row>
    <row r="88" outlineLevel="3" ht="24" customHeight="1" s="923">
      <c r="A88" s="411" t="inlineStr">
        <is>
          <t xml:space="preserve">  Bonus wages</t>
        </is>
      </c>
      <c r="B88" s="800" t="n"/>
      <c r="C88" s="801">
        <f>B88</f>
        <v/>
      </c>
      <c r="D88" s="801">
        <f>C88</f>
        <v/>
      </c>
      <c r="E88" s="801">
        <f>D88</f>
        <v/>
      </c>
      <c r="F88" s="794">
        <f>CHOOSE(MATCH(B$2,{"Actuals (T-12)","2. My Version","3. Projected","4. Offer"},0),B88,C88,D88,E88)</f>
        <v/>
      </c>
      <c r="G88" s="872">
        <f>IFERROR(F88/F$76,0)</f>
        <v/>
      </c>
      <c r="H88" s="839" t="inlineStr">
        <is>
          <t>Bonus wages: 0-1% EGI — incentive comp</t>
        </is>
      </c>
      <c r="I88" s="414" t="n"/>
      <c r="J88" s="406" t="n"/>
      <c r="K88" s="406" t="n"/>
    </row>
    <row r="89" ht="15.75" customHeight="1" s="923">
      <c r="A89" s="449" t="inlineStr">
        <is>
          <t>Total Direct Labor</t>
        </is>
      </c>
      <c r="B89" s="802">
        <f>SUM(B81:B88)</f>
        <v/>
      </c>
      <c r="C89" s="803">
        <f>SUM(C81:C88)</f>
        <v/>
      </c>
      <c r="D89" s="803">
        <f>SUM(D81:D88)</f>
        <v/>
      </c>
      <c r="E89" s="803">
        <f>SUM(E81:E88)</f>
        <v/>
      </c>
      <c r="F89" s="794">
        <f>CHOOSE(MATCH(B$2,{"Actuals (T-12)","2. My Version","3. Projected","4. Offer"},0),B89,C89,D89,E89)</f>
        <v/>
      </c>
      <c r="G89" s="873">
        <f>IFERROR(F89/F$76,0)</f>
        <v/>
      </c>
      <c r="H89" s="838" t="inlineStr">
        <is>
          <t>Total Direct Labor: 35-45% EGI stabilized AL/MC</t>
        </is>
      </c>
      <c r="I89" s="412" t="n"/>
      <c r="J89" s="406" t="n"/>
      <c r="K89" s="406" t="n"/>
    </row>
    <row r="90" ht="19.5" customHeight="1" s="923">
      <c r="A90" s="448" t="inlineStr">
        <is>
          <t>── PAYROLL BURDEN ──</t>
        </is>
      </c>
      <c r="B90" s="793" t="n"/>
      <c r="C90" s="793" t="n"/>
      <c r="D90" s="793" t="n"/>
      <c r="E90" s="793" t="n"/>
      <c r="F90" s="794" t="n"/>
      <c r="G90" s="874" t="n"/>
      <c r="H90" s="847" t="n"/>
      <c r="I90" s="412" t="n"/>
      <c r="J90" s="406" t="n"/>
      <c r="K90" s="406" t="n"/>
    </row>
    <row r="91" outlineLevel="3" ht="18" customHeight="1" s="923">
      <c r="A91" s="413" t="inlineStr">
        <is>
          <t xml:space="preserve">  Overtime wages</t>
        </is>
      </c>
      <c r="B91" s="798" t="n"/>
      <c r="C91" s="799">
        <f>B91</f>
        <v/>
      </c>
      <c r="D91" s="799">
        <f>C91</f>
        <v/>
      </c>
      <c r="E91" s="799">
        <f>D91</f>
        <v/>
      </c>
      <c r="F91" s="794">
        <f>CHOOSE(MATCH(B$2,{"Actuals (T-12)","2. My Version","3. Projected","4. Offer"},0),B91,C91,D91,E91)</f>
        <v/>
      </c>
      <c r="G91" s="872">
        <f>IFERROR(F91/F$76,0)</f>
        <v/>
      </c>
      <c r="H91" s="838" t="inlineStr">
        <is>
          <t>Overtime: 1-3% EGI — agency/turnover leading indicator</t>
        </is>
      </c>
      <c r="I91" s="412" t="n"/>
      <c r="J91" s="406" t="n"/>
      <c r="K91" s="406" t="n"/>
    </row>
    <row r="92" outlineLevel="3" ht="18" customHeight="1" s="923">
      <c r="A92" s="411" t="inlineStr">
        <is>
          <t xml:space="preserve">  PTO wages</t>
        </is>
      </c>
      <c r="B92" s="800" t="n"/>
      <c r="C92" s="793">
        <f>B92</f>
        <v/>
      </c>
      <c r="D92" s="793">
        <f>C92</f>
        <v/>
      </c>
      <c r="E92" s="793">
        <f>D92</f>
        <v/>
      </c>
      <c r="F92" s="794">
        <f>CHOOSE(MATCH(B$2,{"Actuals (T-12)","2. My Version","3. Projected","4. Offer"},0),B92,C92,D92,E92)</f>
        <v/>
      </c>
      <c r="G92" s="871">
        <f>IFERROR(F92/F$76,0)</f>
        <v/>
      </c>
      <c r="H92" s="839" t="inlineStr">
        <is>
          <t>PTO accrual: 1-2% EGI — vacation/sick wages</t>
        </is>
      </c>
      <c r="I92" s="412" t="n"/>
      <c r="J92" s="406" t="n"/>
      <c r="K92" s="406" t="n"/>
    </row>
    <row r="93" outlineLevel="3" ht="18" customHeight="1" s="923">
      <c r="A93" s="413" t="inlineStr">
        <is>
          <t xml:space="preserve">  Payroll taxes</t>
        </is>
      </c>
      <c r="B93" s="798" t="n"/>
      <c r="C93" s="799">
        <f>B93</f>
        <v/>
      </c>
      <c r="D93" s="799">
        <f>C93</f>
        <v/>
      </c>
      <c r="E93" s="799">
        <f>D93</f>
        <v/>
      </c>
      <c r="F93" s="794">
        <f>CHOOSE(MATCH(B$2,{"Actuals (T-12)","2. My Version","3. Projected","4. Offer"},0),B93,C93,D93,E93)</f>
        <v/>
      </c>
      <c r="G93" s="872">
        <f>IFERROR(F93/F$76,0)</f>
        <v/>
      </c>
      <c r="H93" s="840" t="inlineStr">
        <is>
          <t>Payroll taxes: 3-4% EGI (~8-10% of wages: FICA/SUTA/FUTA)</t>
        </is>
      </c>
      <c r="I93" s="415" t="n"/>
      <c r="J93" s="406" t="n"/>
      <c r="K93" s="406" t="n"/>
    </row>
    <row r="94" outlineLevel="3" ht="18" customHeight="1" s="923">
      <c r="A94" s="411" t="inlineStr">
        <is>
          <t xml:space="preserve">  Employee benefits (health/dental/vision)</t>
        </is>
      </c>
      <c r="B94" s="800" t="n"/>
      <c r="C94" s="793">
        <f>B94</f>
        <v/>
      </c>
      <c r="D94" s="793">
        <f>C94</f>
        <v/>
      </c>
      <c r="E94" s="793">
        <f>D94</f>
        <v/>
      </c>
      <c r="F94" s="794">
        <f>CHOOSE(MATCH(B$2,{"Actuals (T-12)","2. My Version","3. Projected","4. Offer"},0),B94,C94,D94,E94)</f>
        <v/>
      </c>
      <c r="G94" s="871">
        <f>IFERROR(F94/F$76,0)</f>
        <v/>
      </c>
      <c r="H94" s="839" t="inlineStr">
        <is>
          <t>Health/dental/vision: 4-7% EGI (15-25% of base wages)</t>
        </is>
      </c>
      <c r="I94" s="412" t="n"/>
      <c r="J94" s="406" t="n"/>
      <c r="K94" s="406" t="n"/>
    </row>
    <row r="95" outlineLevel="3" ht="18" customHeight="1" s="923">
      <c r="A95" s="411" t="inlineStr">
        <is>
          <t xml:space="preserve">  Workers' comp insurance</t>
        </is>
      </c>
      <c r="B95" s="800" t="n"/>
      <c r="C95" s="793">
        <f>B95</f>
        <v/>
      </c>
      <c r="D95" s="793">
        <f>C95</f>
        <v/>
      </c>
      <c r="E95" s="793">
        <f>D95</f>
        <v/>
      </c>
      <c r="F95" s="794">
        <f>CHOOSE(MATCH(B$2,{"Actuals (T-12)","2. My Version","3. Projected","4. Offer"},0),B95,C95,D95,E95)</f>
        <v/>
      </c>
      <c r="G95" s="872">
        <f>IFERROR(F95/F$76,0)</f>
        <v/>
      </c>
      <c r="H95" s="838" t="inlineStr">
        <is>
          <t>Workers' comp: 1-2% EGI (2-5% of wages; high in care)</t>
        </is>
      </c>
      <c r="I95" s="412" t="n"/>
      <c r="J95" s="406" t="n"/>
      <c r="K95" s="406" t="n"/>
    </row>
    <row r="96" outlineLevel="3" ht="18" customHeight="1" s="923">
      <c r="A96" s="411" t="inlineStr">
        <is>
          <t xml:space="preserve">  Employee 401(k) / retirement</t>
        </is>
      </c>
      <c r="B96" s="800" t="n"/>
      <c r="C96" s="793">
        <f>B96</f>
        <v/>
      </c>
      <c r="D96" s="793">
        <f>C96</f>
        <v/>
      </c>
      <c r="E96" s="793">
        <f>D96</f>
        <v/>
      </c>
      <c r="F96" s="794">
        <f>CHOOSE(MATCH(B$2,{"Actuals (T-12)","2. My Version","3. Projected","4. Offer"},0),B96,C96,D96,E96)</f>
        <v/>
      </c>
      <c r="G96" s="871">
        <f>IFERROR(F96/F$76,0)</f>
        <v/>
      </c>
      <c r="H96" s="839" t="inlineStr">
        <is>
          <t>401(k)/retirement match: 0-1% EGI (1-4% of wages)</t>
        </is>
      </c>
      <c r="I96" s="412" t="n"/>
      <c r="J96" s="406" t="n"/>
      <c r="K96" s="406" t="n"/>
    </row>
    <row r="97" ht="18" customHeight="1" s="923">
      <c r="A97" s="449" t="inlineStr">
        <is>
          <t>Total Payroll Burden</t>
        </is>
      </c>
      <c r="B97" s="804">
        <f>SUM(B91:B96)</f>
        <v/>
      </c>
      <c r="C97" s="793">
        <f>SUM(C91:C96)</f>
        <v/>
      </c>
      <c r="D97" s="793">
        <f>SUM(D91:D96)</f>
        <v/>
      </c>
      <c r="E97" s="793">
        <f>SUM(E91:E96)</f>
        <v/>
      </c>
      <c r="F97" s="794">
        <f>CHOOSE(MATCH(B$2,{"Actuals (T-12)","2. My Version","3. Projected","4. Offer"},0),B97,C97,D97,E97)</f>
        <v/>
      </c>
      <c r="G97" s="875">
        <f>IFERROR(F97/F$76,0)</f>
        <v/>
      </c>
      <c r="H97" s="838" t="inlineStr">
        <is>
          <t>Total Payroll Burden: 10-15% EGI (25-35% load on labor)</t>
        </is>
      </c>
      <c r="I97" s="412" t="n"/>
      <c r="J97" s="406" t="n"/>
      <c r="K97" s="406" t="n"/>
    </row>
    <row r="98" ht="18" customHeight="1" s="923">
      <c r="A98" s="448" t="inlineStr">
        <is>
          <t>── NON-LABOR OPEX ──</t>
        </is>
      </c>
      <c r="B98" s="793" t="n"/>
      <c r="C98" s="793" t="n"/>
      <c r="D98" s="793" t="n"/>
      <c r="E98" s="793" t="n"/>
      <c r="F98" s="794" t="n"/>
      <c r="G98" s="874" t="n"/>
      <c r="H98" s="848" t="n"/>
      <c r="I98" s="412" t="n"/>
      <c r="J98" s="406" t="n"/>
      <c r="K98" s="406" t="n"/>
    </row>
    <row r="99" outlineLevel="3" ht="18" customHeight="1" s="923">
      <c r="A99" s="411" t="inlineStr">
        <is>
          <t xml:space="preserve">  Food cost</t>
        </is>
      </c>
      <c r="B99" s="800" t="n"/>
      <c r="C99" s="793">
        <f>B99</f>
        <v/>
      </c>
      <c r="D99" s="793">
        <f>C99</f>
        <v/>
      </c>
      <c r="E99" s="793">
        <f>D99</f>
        <v/>
      </c>
      <c r="F99" s="794">
        <f>CHOOSE(MATCH(B$2,{"Actuals (T-12)","2. My Version","3. Projected","4. Offer"},0),B99,C99,D99,E99)</f>
        <v/>
      </c>
      <c r="G99" s="871">
        <f>IFERROR(F99/F$76,0)</f>
        <v/>
      </c>
      <c r="H99" s="838" t="inlineStr">
        <is>
          <t>Food cost: 4-6% EGI — $8-12 per resident per day target</t>
        </is>
      </c>
      <c r="I99" s="412" t="n"/>
      <c r="J99" s="406" t="n"/>
      <c r="K99" s="406" t="n"/>
    </row>
    <row r="100" outlineLevel="3" ht="18" customHeight="1" s="923">
      <c r="A100" s="411" t="inlineStr">
        <is>
          <t xml:space="preserve">  Dining &amp; kitchen supplies</t>
        </is>
      </c>
      <c r="B100" s="800" t="n"/>
      <c r="C100" s="793">
        <f>B100</f>
        <v/>
      </c>
      <c r="D100" s="793">
        <f>C100</f>
        <v/>
      </c>
      <c r="E100" s="793">
        <f>D100</f>
        <v/>
      </c>
      <c r="F100" s="794">
        <f>CHOOSE(MATCH(B$2,{"Actuals (T-12)","2. My Version","3. Projected","4. Offer"},0),B100,C100,D100,E100)</f>
        <v/>
      </c>
      <c r="G100" s="872">
        <f>IFERROR(F100/F$76,0)</f>
        <v/>
      </c>
      <c r="H100" s="839" t="inlineStr">
        <is>
          <t>Dining/kitchen supplies: 0.5-1% EGI — consumables, smallwares</t>
        </is>
      </c>
      <c r="I100" s="412" t="n"/>
      <c r="J100" s="406" t="n"/>
      <c r="K100" s="406" t="n"/>
    </row>
    <row r="101" outlineLevel="3" ht="18" customHeight="1" s="923">
      <c r="A101" s="411" t="inlineStr">
        <is>
          <t xml:space="preserve">  Nursing &amp; care supplies</t>
        </is>
      </c>
      <c r="B101" s="800" t="n"/>
      <c r="C101" s="793">
        <f>B101</f>
        <v/>
      </c>
      <c r="D101" s="793">
        <f>C101</f>
        <v/>
      </c>
      <c r="E101" s="793">
        <f>D101</f>
        <v/>
      </c>
      <c r="F101" s="794">
        <f>CHOOSE(MATCH(B$2,{"Actuals (T-12)","2. My Version","3. Projected","4. Offer"},0),B101,C101,D101,E101)</f>
        <v/>
      </c>
      <c r="G101" s="871">
        <f>IFERROR(F101/F$76,0)</f>
        <v/>
      </c>
      <c r="H101" s="838" t="inlineStr">
        <is>
          <t>Nursing/care supplies: 1-2% EGI — incontinence, PPE, wound</t>
        </is>
      </c>
      <c r="I101" s="412" t="n"/>
      <c r="J101" s="406" t="n"/>
      <c r="K101" s="406" t="n"/>
    </row>
    <row r="102" outlineLevel="3" ht="18" customHeight="1" s="923">
      <c r="A102" s="411" t="inlineStr">
        <is>
          <t xml:space="preserve">  Recreation &amp; activity supplies</t>
        </is>
      </c>
      <c r="B102" s="800" t="n"/>
      <c r="C102" s="793">
        <f>B102</f>
        <v/>
      </c>
      <c r="D102" s="793">
        <f>C102</f>
        <v/>
      </c>
      <c r="E102" s="793">
        <f>D102</f>
        <v/>
      </c>
      <c r="F102" s="794">
        <f>CHOOSE(MATCH(B$2,{"Actuals (T-12)","2. My Version","3. Projected","4. Offer"},0),B102,C102,D102,E102)</f>
        <v/>
      </c>
      <c r="G102" s="872">
        <f>IFERROR(F102/F$76,0)</f>
        <v/>
      </c>
      <c r="H102" s="839" t="inlineStr">
        <is>
          <t>Activity supplies: 0.2-0.5% EGI — programming materials</t>
        </is>
      </c>
      <c r="I102" s="412" t="n"/>
      <c r="J102" s="406" t="n"/>
      <c r="K102" s="406" t="n"/>
    </row>
    <row r="103" outlineLevel="3" ht="18" customHeight="1" s="923">
      <c r="A103" s="411" t="inlineStr">
        <is>
          <t xml:space="preserve">  R&amp;M — fixed (contracts)</t>
        </is>
      </c>
      <c r="B103" s="800" t="n"/>
      <c r="C103" s="793">
        <f>B103</f>
        <v/>
      </c>
      <c r="D103" s="793">
        <f>C103</f>
        <v/>
      </c>
      <c r="E103" s="793">
        <f>D103</f>
        <v/>
      </c>
      <c r="F103" s="794">
        <f>CHOOSE(MATCH(B$2,{"Actuals (T-12)","2. My Version","3. Projected","4. Offer"},0),B103,C103,D103,E103)</f>
        <v/>
      </c>
      <c r="G103" s="871">
        <f>IFERROR(F103/F$76,0)</f>
        <v/>
      </c>
      <c r="H103" s="838" t="inlineStr">
        <is>
          <t>R&amp;M fixed: 1-2% EGI — HVAC, elevator, fire/life contracts</t>
        </is>
      </c>
      <c r="I103" s="412" t="n"/>
      <c r="J103" s="406" t="n"/>
      <c r="K103" s="406" t="n"/>
    </row>
    <row r="104" outlineLevel="3" ht="18" customHeight="1" s="923">
      <c r="A104" s="411" t="inlineStr">
        <is>
          <t xml:space="preserve">  R&amp;M — variable (repairs)</t>
        </is>
      </c>
      <c r="B104" s="800" t="n"/>
      <c r="C104" s="793">
        <f>B104</f>
        <v/>
      </c>
      <c r="D104" s="793">
        <f>C104</f>
        <v/>
      </c>
      <c r="E104" s="793">
        <f>D104</f>
        <v/>
      </c>
      <c r="F104" s="794">
        <f>CHOOSE(MATCH(B$2,{"Actuals (T-12)","2. My Version","3. Projected","4. Offer"},0),B104,C104,D104,E104)</f>
        <v/>
      </c>
      <c r="G104" s="872">
        <f>IFERROR(F104/F$76,0)</f>
        <v/>
      </c>
      <c r="H104" s="839" t="inlineStr">
        <is>
          <t>R&amp;M variable: 1-2% EGI — repairs, parts, ad-hoc service</t>
        </is>
      </c>
      <c r="I104" s="412" t="n"/>
      <c r="J104" s="406" t="n"/>
      <c r="K104" s="406" t="n"/>
    </row>
    <row r="105" outlineLevel="3" ht="18" customHeight="1" s="923">
      <c r="A105" s="411" t="inlineStr">
        <is>
          <t xml:space="preserve">  Housekeeping &amp; laundry supplies</t>
        </is>
      </c>
      <c r="B105" s="800" t="n"/>
      <c r="C105" s="793">
        <f>B105</f>
        <v/>
      </c>
      <c r="D105" s="793">
        <f>C105</f>
        <v/>
      </c>
      <c r="E105" s="793">
        <f>D105</f>
        <v/>
      </c>
      <c r="F105" s="794">
        <f>CHOOSE(MATCH(B$2,{"Actuals (T-12)","2. My Version","3. Projected","4. Offer"},0),B105,C105,D105,E105)</f>
        <v/>
      </c>
      <c r="G105" s="871">
        <f>IFERROR(F105/F$76,0)</f>
        <v/>
      </c>
      <c r="H105" s="838" t="inlineStr">
        <is>
          <t>Housekeeping/laundry supplies: 0.5-1% EGI — chemicals, linens</t>
        </is>
      </c>
      <c r="I105" s="412" t="n"/>
      <c r="J105" s="406" t="n"/>
      <c r="K105" s="406" t="n"/>
    </row>
    <row r="106" outlineLevel="3" ht="18" customHeight="1" s="923">
      <c r="A106" s="411" t="inlineStr">
        <is>
          <t xml:space="preserve">  Sales, advertising &amp; marketing</t>
        </is>
      </c>
      <c r="B106" s="800" t="n"/>
      <c r="C106" s="793">
        <f>B106</f>
        <v/>
      </c>
      <c r="D106" s="793">
        <f>C106</f>
        <v/>
      </c>
      <c r="E106" s="793">
        <f>D106</f>
        <v/>
      </c>
      <c r="F106" s="794">
        <f>CHOOSE(MATCH(B$2,{"Actuals (T-12)","2. My Version","3. Projected","4. Offer"},0),B106,C106,D106,E106)</f>
        <v/>
      </c>
      <c r="G106" s="872">
        <f>IFERROR(F106/F$76,0)</f>
        <v/>
      </c>
      <c r="H106" s="839" t="inlineStr">
        <is>
          <t>Marketing: 2-4% EGI stabilized; 4-8% in lease-up</t>
        </is>
      </c>
      <c r="I106" s="412" t="n"/>
      <c r="J106" s="406" t="n"/>
      <c r="K106" s="406" t="n"/>
    </row>
    <row r="107" outlineLevel="3" ht="18" customHeight="1" s="923">
      <c r="A107" s="411" t="inlineStr">
        <is>
          <t xml:space="preserve">  Referral fees</t>
        </is>
      </c>
      <c r="B107" s="800" t="n"/>
      <c r="C107" s="793">
        <f>B107</f>
        <v/>
      </c>
      <c r="D107" s="793">
        <f>C107</f>
        <v/>
      </c>
      <c r="E107" s="793">
        <f>D107</f>
        <v/>
      </c>
      <c r="F107" s="794">
        <f>CHOOSE(MATCH(B$2,{"Actuals (T-12)","2. My Version","3. Projected","4. Offer"},0),B107,C107,D107,E107)</f>
        <v/>
      </c>
      <c r="G107" s="871">
        <f>IFERROR(F107/F$76,0)</f>
        <v/>
      </c>
      <c r="H107" s="838" t="inlineStr">
        <is>
          <t>Referral fees: 1-3% EGI; ~5% of new-move-in revenue</t>
        </is>
      </c>
      <c r="I107" s="412" t="n"/>
      <c r="J107" s="406" t="n"/>
      <c r="K107" s="406" t="n"/>
    </row>
    <row r="108" outlineLevel="3" ht="18" customHeight="1" s="923">
      <c r="A108" s="411" t="inlineStr">
        <is>
          <t xml:space="preserve">  Utilities (electric, gas, water, trash)</t>
        </is>
      </c>
      <c r="B108" s="800" t="n"/>
      <c r="C108" s="793">
        <f>B108</f>
        <v/>
      </c>
      <c r="D108" s="793">
        <f>C108</f>
        <v/>
      </c>
      <c r="E108" s="793">
        <f>D108</f>
        <v/>
      </c>
      <c r="F108" s="794">
        <f>CHOOSE(MATCH(B$2,{"Actuals (T-12)","2. My Version","3. Projected","4. Offer"},0),B108,C108,D108,E108)</f>
        <v/>
      </c>
      <c r="G108" s="872">
        <f>IFERROR(F108/F$76,0)</f>
        <v/>
      </c>
      <c r="H108" s="839" t="inlineStr">
        <is>
          <t>Utilities: 3-5% EGI — $3-6/sf annually for senior housing</t>
        </is>
      </c>
      <c r="I108" s="412" t="n"/>
      <c r="J108" s="406" t="n"/>
      <c r="K108" s="406" t="n"/>
    </row>
    <row r="109" outlineLevel="3" ht="18" customHeight="1" s="923">
      <c r="A109" s="411" t="inlineStr">
        <is>
          <t xml:space="preserve">  Telephone / IT / technology</t>
        </is>
      </c>
      <c r="B109" s="800" t="n"/>
      <c r="C109" s="793">
        <f>B109</f>
        <v/>
      </c>
      <c r="D109" s="793">
        <f>C109</f>
        <v/>
      </c>
      <c r="E109" s="793">
        <f>D109</f>
        <v/>
      </c>
      <c r="F109" s="794">
        <f>CHOOSE(MATCH(B$2,{"Actuals (T-12)","2. My Version","3. Projected","4. Offer"},0),B109,C109,D109,E109)</f>
        <v/>
      </c>
      <c r="G109" s="871">
        <f>IFERROR(F109/F$76,0)</f>
        <v/>
      </c>
      <c r="H109" s="838" t="inlineStr">
        <is>
          <t>Telephone/IT: 1-2% EGI — internet, phone, software</t>
        </is>
      </c>
      <c r="I109" s="412" t="n"/>
      <c r="J109" s="406" t="n"/>
      <c r="K109" s="406" t="n"/>
    </row>
    <row r="110" outlineLevel="3" ht="18" customHeight="1" s="923">
      <c r="A110" s="411" t="inlineStr">
        <is>
          <t xml:space="preserve">  P&amp;C insurance (bundled)</t>
        </is>
      </c>
      <c r="B110" s="800" t="n"/>
      <c r="C110" s="793">
        <f>B110</f>
        <v/>
      </c>
      <c r="D110" s="793">
        <f>C110</f>
        <v/>
      </c>
      <c r="E110" s="793">
        <f>D110</f>
        <v/>
      </c>
      <c r="F110" s="794">
        <f>CHOOSE(MATCH(B$2,{"Actuals (T-12)","2. My Version","3. Projected","4. Offer"},0),B110,C110,D110,E110)</f>
        <v/>
      </c>
      <c r="G110" s="872">
        <f>IFERROR(F110/F$76,0)</f>
        <v/>
      </c>
      <c r="H110" s="839" t="inlineStr">
        <is>
          <t>P&amp;C insurance: 2-4% EGI — GL + property; rising sharply</t>
        </is>
      </c>
      <c r="I110" s="412" t="n"/>
      <c r="J110" s="406" t="n"/>
      <c r="K110" s="406" t="n"/>
    </row>
    <row r="111" outlineLevel="3" ht="18" customHeight="1" s="923">
      <c r="A111" s="411" t="inlineStr">
        <is>
          <t xml:space="preserve">  Auto insurance</t>
        </is>
      </c>
      <c r="B111" s="800" t="n"/>
      <c r="C111" s="793">
        <f>B111</f>
        <v/>
      </c>
      <c r="D111" s="793">
        <f>C111</f>
        <v/>
      </c>
      <c r="E111" s="793">
        <f>D111</f>
        <v/>
      </c>
      <c r="F111" s="794">
        <f>CHOOSE(MATCH(B$2,{"Actuals (T-12)","2. My Version","3. Projected","4. Offer"},0),B111,C111,D111,E111)</f>
        <v/>
      </c>
      <c r="G111" s="871">
        <f>IFERROR(F111/F$76,0)</f>
        <v/>
      </c>
      <c r="H111" s="838" t="inlineStr">
        <is>
          <t>Auto insurance: 0.1-0.3% EGI — community vehicle/bus</t>
        </is>
      </c>
      <c r="I111" s="412" t="n"/>
      <c r="J111" s="406" t="n"/>
      <c r="K111" s="406" t="n"/>
    </row>
    <row r="112" outlineLevel="3" ht="18" customHeight="1" s="923">
      <c r="A112" s="411" t="inlineStr">
        <is>
          <t xml:space="preserve">  Fire / security monitoring</t>
        </is>
      </c>
      <c r="B112" s="800" t="n"/>
      <c r="C112" s="793">
        <f>B112</f>
        <v/>
      </c>
      <c r="D112" s="793">
        <f>C112</f>
        <v/>
      </c>
      <c r="E112" s="793">
        <f>D112</f>
        <v/>
      </c>
      <c r="F112" s="794">
        <f>CHOOSE(MATCH(B$2,{"Actuals (T-12)","2. My Version","3. Projected","4. Offer"},0),B112,C112,D112,E112)</f>
        <v/>
      </c>
      <c r="G112" s="872">
        <f>IFERROR(F112/F$76,0)</f>
        <v/>
      </c>
      <c r="H112" s="839" t="inlineStr">
        <is>
          <t>Fire/security monitoring: 0.2-0.5% EGI — life safety contracts</t>
        </is>
      </c>
      <c r="I112" s="412" t="n"/>
      <c r="J112" s="406" t="n"/>
      <c r="K112" s="406" t="n"/>
    </row>
    <row r="113" outlineLevel="3" ht="18" customHeight="1" s="923">
      <c r="A113" s="411" t="inlineStr">
        <is>
          <t xml:space="preserve">  Pest elimination</t>
        </is>
      </c>
      <c r="B113" s="800" t="n"/>
      <c r="C113" s="793">
        <f>B113</f>
        <v/>
      </c>
      <c r="D113" s="793">
        <f>C113</f>
        <v/>
      </c>
      <c r="E113" s="793">
        <f>D113</f>
        <v/>
      </c>
      <c r="F113" s="794">
        <f>CHOOSE(MATCH(B$2,{"Actuals (T-12)","2. My Version","3. Projected","4. Offer"},0),B113,C113,D113,E113)</f>
        <v/>
      </c>
      <c r="G113" s="871">
        <f>IFERROR(F113/F$76,0)</f>
        <v/>
      </c>
      <c r="H113" s="838" t="inlineStr">
        <is>
          <t>Pest control: 0.1-0.3% EGI — quarterly service</t>
        </is>
      </c>
      <c r="I113" s="412" t="n"/>
      <c r="J113" s="406" t="n"/>
      <c r="K113" s="406" t="n"/>
    </row>
    <row r="114" outlineLevel="3" ht="18" customHeight="1" s="923">
      <c r="A114" s="411" t="inlineStr">
        <is>
          <t xml:space="preserve">  Real estate taxes</t>
        </is>
      </c>
      <c r="B114" s="800" t="n"/>
      <c r="C114" s="793">
        <f>B114</f>
        <v/>
      </c>
      <c r="D114" s="793">
        <f>C114</f>
        <v/>
      </c>
      <c r="E114" s="793">
        <f>D114</f>
        <v/>
      </c>
      <c r="F114" s="794">
        <f>CHOOSE(MATCH(B$2,{"Actuals (T-12)","2. My Version","3. Projected","4. Offer"},0),B114,C114,D114,E114)</f>
        <v/>
      </c>
      <c r="G114" s="872">
        <f>IFERROR(F114/F$76,0)</f>
        <v/>
      </c>
      <c r="H114" s="839" t="inlineStr">
        <is>
          <t>Real estate taxes: 3-6% EGI — confirm assessor portal</t>
        </is>
      </c>
      <c r="I114" s="412" t="n"/>
      <c r="J114" s="406" t="n"/>
      <c r="K114" s="406" t="n"/>
    </row>
    <row r="115" outlineLevel="3" ht="18" customHeight="1" s="923">
      <c r="A115" s="411" t="inlineStr">
        <is>
          <t xml:space="preserve">  Personal property taxes</t>
        </is>
      </c>
      <c r="B115" s="800" t="n"/>
      <c r="C115" s="793">
        <f>B115</f>
        <v/>
      </c>
      <c r="D115" s="793">
        <f>C115</f>
        <v/>
      </c>
      <c r="E115" s="793">
        <f>D115</f>
        <v/>
      </c>
      <c r="F115" s="794">
        <f>CHOOSE(MATCH(B$2,{"Actuals (T-12)","2. My Version","3. Projected","4. Offer"},0),B115,C115,D115,E115)</f>
        <v/>
      </c>
      <c r="G115" s="871">
        <f>IFERROR(F115/F$76,0)</f>
        <v/>
      </c>
      <c r="H115" s="838" t="inlineStr">
        <is>
          <t>Personal property taxes: 0-0.5% EGI — FF&amp;E if applicable</t>
        </is>
      </c>
      <c r="I115" s="412" t="n"/>
      <c r="J115" s="406" t="n"/>
      <c r="K115" s="406" t="n"/>
    </row>
    <row r="116" outlineLevel="3" ht="18" customHeight="1" s="923">
      <c r="A116" s="411" t="inlineStr">
        <is>
          <t xml:space="preserve">  Legal expenses</t>
        </is>
      </c>
      <c r="B116" s="800" t="n"/>
      <c r="C116" s="793">
        <f>B116</f>
        <v/>
      </c>
      <c r="D116" s="793">
        <f>C116</f>
        <v/>
      </c>
      <c r="E116" s="793">
        <f>D116</f>
        <v/>
      </c>
      <c r="F116" s="794">
        <f>CHOOSE(MATCH(B$2,{"Actuals (T-12)","2. My Version","3. Projected","4. Offer"},0),B116,C116,D116,E116)</f>
        <v/>
      </c>
      <c r="G116" s="872">
        <f>IFERROR(F116/F$76,0)</f>
        <v/>
      </c>
      <c r="H116" s="839" t="inlineStr">
        <is>
          <t>Legal: 0.2-0.5% EGI — corporate, employment, regulatory</t>
        </is>
      </c>
      <c r="I116" s="412" t="n"/>
      <c r="J116" s="406" t="n"/>
      <c r="K116" s="406" t="n"/>
    </row>
    <row r="117" outlineLevel="3" ht="18" customHeight="1" s="923">
      <c r="A117" s="411" t="inlineStr">
        <is>
          <t xml:space="preserve">  Professional services (acctg/consulting)</t>
        </is>
      </c>
      <c r="B117" s="800" t="n"/>
      <c r="C117" s="793">
        <f>B117</f>
        <v/>
      </c>
      <c r="D117" s="793">
        <f>C117</f>
        <v/>
      </c>
      <c r="E117" s="793">
        <f>D117</f>
        <v/>
      </c>
      <c r="F117" s="794">
        <f>CHOOSE(MATCH(B$2,{"Actuals (T-12)","2. My Version","3. Projected","4. Offer"},0),B117,C117,D117,E117)</f>
        <v/>
      </c>
      <c r="G117" s="871">
        <f>IFERROR(F117/F$76,0)</f>
        <v/>
      </c>
      <c r="H117" s="838" t="inlineStr">
        <is>
          <t>Professional services: 0.3-0.7% EGI — accounting, consulting</t>
        </is>
      </c>
      <c r="I117" s="412" t="n"/>
      <c r="J117" s="406" t="n"/>
      <c r="K117" s="406" t="n"/>
    </row>
    <row r="118" outlineLevel="3" ht="18" customHeight="1" s="923">
      <c r="A118" s="411" t="inlineStr">
        <is>
          <t xml:space="preserve">  Bad debt expense</t>
        </is>
      </c>
      <c r="B118" s="800" t="n"/>
      <c r="C118" s="793">
        <f>B118</f>
        <v/>
      </c>
      <c r="D118" s="793">
        <f>C118</f>
        <v/>
      </c>
      <c r="E118" s="793">
        <f>D118</f>
        <v/>
      </c>
      <c r="F118" s="794">
        <f>CHOOSE(MATCH(B$2,{"Actuals (T-12)","2. My Version","3. Projected","4. Offer"},0),B118,C118,D118,E118)</f>
        <v/>
      </c>
      <c r="G118" s="872">
        <f>IFERROR(F118/F$76,0)</f>
        <v/>
      </c>
      <c r="H118" s="839" t="inlineStr">
        <is>
          <t>Bad debt: 0.5-1.5% EGI — uncollected resident receivables</t>
        </is>
      </c>
      <c r="I118" s="412" t="n"/>
      <c r="J118" s="406" t="n"/>
      <c r="K118" s="406" t="n"/>
    </row>
    <row r="119" outlineLevel="3" ht="18" customHeight="1" s="923">
      <c r="A119" s="411" t="inlineStr">
        <is>
          <t xml:space="preserve">  Permits, licenses &amp; dues</t>
        </is>
      </c>
      <c r="B119" s="800" t="n"/>
      <c r="C119" s="793">
        <f>B119</f>
        <v/>
      </c>
      <c r="D119" s="793">
        <f>C119</f>
        <v/>
      </c>
      <c r="E119" s="793">
        <f>D119</f>
        <v/>
      </c>
      <c r="F119" s="794">
        <f>CHOOSE(MATCH(B$2,{"Actuals (T-12)","2. My Version","3. Projected","4. Offer"},0),B119,C119,D119,E119)</f>
        <v/>
      </c>
      <c r="G119" s="871">
        <f>IFERROR(F119/F$76,0)</f>
        <v/>
      </c>
      <c r="H119" s="838" t="inlineStr">
        <is>
          <t>Permits/licenses/dues: 0.2-0.5% EGI — state licensing</t>
        </is>
      </c>
      <c r="I119" s="412" t="n"/>
      <c r="J119" s="406" t="n"/>
      <c r="K119" s="406" t="n"/>
    </row>
    <row r="120" outlineLevel="3" ht="18" customHeight="1" s="923">
      <c r="A120" s="411" t="inlineStr">
        <is>
          <t xml:space="preserve">  Office, admin &amp; G&amp;A</t>
        </is>
      </c>
      <c r="B120" s="800" t="n"/>
      <c r="C120" s="793">
        <f>B120</f>
        <v/>
      </c>
      <c r="D120" s="793">
        <f>C120</f>
        <v/>
      </c>
      <c r="E120" s="793">
        <f>D120</f>
        <v/>
      </c>
      <c r="F120" s="794">
        <f>CHOOSE(MATCH(B$2,{"Actuals (T-12)","2. My Version","3. Projected","4. Offer"},0),B120,C120,D120,E120)</f>
        <v/>
      </c>
      <c r="G120" s="872">
        <f>IFERROR(F120/F$76,0)</f>
        <v/>
      </c>
      <c r="H120" s="839" t="inlineStr">
        <is>
          <t>Office admin/G&amp;A: 0.5-1% EGI — supplies, postage, dues</t>
        </is>
      </c>
      <c r="I120" s="412" t="n"/>
      <c r="J120" s="406" t="n"/>
      <c r="K120" s="406" t="n"/>
    </row>
    <row r="121" outlineLevel="3" ht="18" customHeight="1" s="923">
      <c r="A121" s="411" t="inlineStr">
        <is>
          <t xml:space="preserve">  Other / miscellaneous</t>
        </is>
      </c>
      <c r="B121" s="800" t="n"/>
      <c r="C121" s="793">
        <f>B121</f>
        <v/>
      </c>
      <c r="D121" s="793">
        <f>C121</f>
        <v/>
      </c>
      <c r="E121" s="793">
        <f>D121</f>
        <v/>
      </c>
      <c r="F121" s="794">
        <f>CHOOSE(MATCH(B$2,{"Actuals (T-12)","2. My Version","3. Projected","4. Offer"},0),B121,C121,D121,E121)</f>
        <v/>
      </c>
      <c r="G121" s="871">
        <f>IFERROR(F121/F$76,0)</f>
        <v/>
      </c>
      <c r="H121" s="838" t="inlineStr">
        <is>
          <t>Misc/other: &lt;1% EGI — unallocated catch-all</t>
        </is>
      </c>
      <c r="I121" s="412" t="n"/>
      <c r="J121" s="406" t="n"/>
      <c r="K121" s="406" t="n"/>
    </row>
    <row r="122" ht="18" customHeight="1" s="923">
      <c r="A122" s="449" t="inlineStr">
        <is>
          <t>Total Non-Labor OpEx</t>
        </is>
      </c>
      <c r="B122" s="804">
        <f>SUM(B99:B121)</f>
        <v/>
      </c>
      <c r="C122" s="793">
        <f>SUM(C99:C121)</f>
        <v/>
      </c>
      <c r="D122" s="793">
        <f>SUM(D99:D121)</f>
        <v/>
      </c>
      <c r="E122" s="793">
        <f>SUM(E99:E121)</f>
        <v/>
      </c>
      <c r="F122" s="794">
        <f>CHOOSE(MATCH(B$2,{"Actuals (T-12)","2. My Version","3. Projected","4. Offer"},0),B122,C122,D122,E122)</f>
        <v/>
      </c>
      <c r="G122" s="875">
        <f>IFERROR(F122/F$76,0)</f>
        <v/>
      </c>
      <c r="H122" s="839" t="inlineStr">
        <is>
          <t>Total Non-Labor OpEx: 25-35% EGI stabilized</t>
        </is>
      </c>
      <c r="I122" s="412" t="n"/>
      <c r="J122" s="406" t="n"/>
      <c r="K122" s="406" t="n"/>
    </row>
    <row r="123" ht="18" customHeight="1" s="923">
      <c r="A123" s="449" t="inlineStr">
        <is>
          <t>Management Fee</t>
        </is>
      </c>
      <c r="B123" s="800" t="n"/>
      <c r="C123" s="793">
        <f>C76*$I$88</f>
        <v/>
      </c>
      <c r="D123" s="793">
        <f>D76*$I$88</f>
        <v/>
      </c>
      <c r="E123" s="793">
        <f>E76*$I$88</f>
        <v/>
      </c>
      <c r="F123" s="794">
        <f>CHOOSE(MATCH(B$2,{"Actuals (T-12)","2. My Version","3. Projected","4. Offer"},0),B123,C123,D123,E123)</f>
        <v/>
      </c>
      <c r="G123" s="873">
        <f>IFERROR(F123/F$76,0)</f>
        <v/>
      </c>
      <c r="H123" s="838" t="inlineStr">
        <is>
          <t>Management fee: 4-7% EGI for 3rd-party operators</t>
        </is>
      </c>
      <c r="I123" s="412" t="n"/>
      <c r="J123" s="406" t="n"/>
      <c r="K123" s="406" t="n"/>
    </row>
    <row r="124" ht="18" customHeight="1" s="923">
      <c r="A124" s="408" t="inlineStr">
        <is>
          <t>TOTAL EXPENSES</t>
        </is>
      </c>
      <c r="B124" s="805">
        <f>B89+B97+B122+B123</f>
        <v/>
      </c>
      <c r="C124" s="806">
        <f>C89+C97+C122+C123</f>
        <v/>
      </c>
      <c r="D124" s="806">
        <f>D89+D97+D122+D123</f>
        <v/>
      </c>
      <c r="E124" s="806">
        <f>E89+E97+E122+E123</f>
        <v/>
      </c>
      <c r="F124" s="806">
        <f>CHOOSE(MATCH(B$2,{"Actuals (T-12)","2. My Version","3. Projected","4. Offer"},0),B124,C124,D124,E124)</f>
        <v/>
      </c>
      <c r="G124" s="875">
        <f>IFERROR(F124/F$76,0)</f>
        <v/>
      </c>
      <c r="H124" s="841" t="inlineStr">
        <is>
          <t>TOTAL EXPENSES: 70-78% EGI stabilized; 80%+ value-add/lease-up</t>
        </is>
      </c>
      <c r="I124" s="406" t="n"/>
      <c r="J124" s="406" t="n"/>
      <c r="K124" s="406" t="n"/>
    </row>
    <row r="125" ht="18" customHeight="1" s="923">
      <c r="A125" s="406" t="n"/>
      <c r="B125" s="406" t="n"/>
      <c r="C125" s="406" t="n"/>
      <c r="D125" s="406" t="n"/>
      <c r="E125" s="406" t="n"/>
      <c r="F125" s="406" t="n"/>
      <c r="G125" s="830" t="n"/>
      <c r="H125" s="849" t="n"/>
      <c r="I125" s="406" t="n"/>
      <c r="J125" s="406" t="n"/>
      <c r="K125" s="406" t="n"/>
    </row>
    <row r="126" ht="19.5" customHeight="1" s="923">
      <c r="A126" s="416" t="inlineStr">
        <is>
          <t>NET OPERATING INCOME</t>
        </is>
      </c>
      <c r="B126" s="807">
        <f>B76-B124</f>
        <v/>
      </c>
      <c r="C126" s="807">
        <f>C76-C124</f>
        <v/>
      </c>
      <c r="D126" s="807">
        <f>D76-D124</f>
        <v/>
      </c>
      <c r="E126" s="807">
        <f>E76-E124</f>
        <v/>
      </c>
      <c r="F126" s="807">
        <f>CHOOSE(MATCH(B$2,{"Actuals (T-12)","2. My Version","3. Projected","4. Offer"},0),B126,C126,D126,E126)</f>
        <v/>
      </c>
      <c r="G126" s="876">
        <f>IFERROR(F126/F$76,0)</f>
        <v/>
      </c>
      <c r="H126" s="841" t="inlineStr">
        <is>
          <t>NOI margin: 25-35% EGI target stabilized AL/MC</t>
        </is>
      </c>
      <c r="I126" s="406" t="n"/>
      <c r="J126" s="406" t="n"/>
      <c r="K126" s="406" t="n"/>
    </row>
    <row r="127" ht="18" customHeight="1" s="923">
      <c r="A127" s="406" t="n"/>
      <c r="B127" s="406" t="n"/>
      <c r="C127" s="406" t="n"/>
      <c r="D127" s="406" t="n"/>
      <c r="E127" s="406" t="n"/>
      <c r="F127" s="406" t="n"/>
      <c r="G127" s="830" t="n"/>
      <c r="H127" s="849" t="n"/>
      <c r="I127" s="406" t="n"/>
      <c r="J127" s="406" t="n"/>
      <c r="K127" s="406" t="n"/>
    </row>
    <row r="128" ht="18" customHeight="1" s="923">
      <c r="A128" s="949" t="inlineStr">
        <is>
          <t>DEAL SUMMARY METRICS</t>
        </is>
      </c>
      <c r="I128" s="406" t="n"/>
      <c r="J128" s="406" t="n"/>
      <c r="K128" s="406" t="n"/>
    </row>
    <row r="129" outlineLevel="1" ht="18" customHeight="1" s="923">
      <c r="A129" s="413" t="inlineStr">
        <is>
          <t>Cap Rate (NOI/Purchase Price)</t>
        </is>
      </c>
      <c r="B129" s="808">
        <f>IFERROR(B126/B7,0)</f>
        <v/>
      </c>
      <c r="C129" s="808">
        <f>IFERROR(C126/C7,0)</f>
        <v/>
      </c>
      <c r="D129" s="808">
        <f>IFERROR(D126/D7,0)</f>
        <v/>
      </c>
      <c r="E129" s="808">
        <f>IFERROR(E126/E7,0)</f>
        <v/>
      </c>
      <c r="F129" s="809">
        <f>CHOOSE(MATCH(B$2,{"Actuals (T-12)","2. My Version","3. Projected","4. Offer"},0),B129,C129,D129,E129)</f>
        <v/>
      </c>
      <c r="G129" s="877" t="n"/>
      <c r="H129" s="836" t="inlineStr">
        <is>
          <t>AL/MC cap rate: 6.5-8.5% stabilized; higher value-add</t>
        </is>
      </c>
      <c r="I129" s="412" t="n"/>
      <c r="J129" s="406" t="n"/>
      <c r="K129" s="406" t="n"/>
    </row>
    <row r="130" outlineLevel="1" ht="18" customHeight="1" s="923">
      <c r="A130" s="411" t="inlineStr">
        <is>
          <t>Debt Service (Annual)</t>
        </is>
      </c>
      <c r="B130" s="810">
        <f>B168</f>
        <v/>
      </c>
      <c r="C130" s="810">
        <f>C168</f>
        <v/>
      </c>
      <c r="D130" s="810">
        <f>D168</f>
        <v/>
      </c>
      <c r="E130" s="810">
        <f>E168</f>
        <v/>
      </c>
      <c r="F130" s="811">
        <f>CHOOSE(MATCH(B$2,{"Actuals (T-12)","2. My Version","3. Projected","4. Offer"},0),B130,C130,D130,E130)</f>
        <v/>
      </c>
      <c r="G130" s="878" t="n"/>
      <c r="H130" s="850" t="inlineStr">
        <is>
          <t>DSCR target ≥1.20x; watch Y1</t>
        </is>
      </c>
      <c r="I130" s="412" t="n"/>
      <c r="J130" s="406" t="n"/>
      <c r="K130" s="406" t="n"/>
    </row>
    <row r="131" outlineLevel="1" ht="18" customHeight="1" s="923">
      <c r="A131" s="413" t="inlineStr">
        <is>
          <t>Cash Flow After Debt Service</t>
        </is>
      </c>
      <c r="B131" s="812">
        <f>B126-B130</f>
        <v/>
      </c>
      <c r="C131" s="812">
        <f>C126-C130</f>
        <v/>
      </c>
      <c r="D131" s="812">
        <f>D126-D130</f>
        <v/>
      </c>
      <c r="E131" s="812">
        <f>E126-E130</f>
        <v/>
      </c>
      <c r="F131" s="794">
        <f>CHOOSE(MATCH(B$2,{"Actuals (T-12)","2. My Version","3. Projected","4. Offer"},0),B131,C131,D131,E131)</f>
        <v/>
      </c>
      <c r="G131" s="879" t="n"/>
      <c r="H131" s="851" t="inlineStr">
        <is>
          <t>Positive Y2+ for value-add</t>
        </is>
      </c>
      <c r="I131" s="412" t="n"/>
      <c r="J131" s="406" t="n"/>
      <c r="K131" s="406" t="n"/>
    </row>
    <row r="132" outlineLevel="1" ht="18" customHeight="1" s="923">
      <c r="A132" s="411" t="inlineStr">
        <is>
          <t>Debt Coverage Ratio</t>
        </is>
      </c>
      <c r="B132" s="999">
        <f>IFERROR(B126/B130,0)</f>
        <v/>
      </c>
      <c r="C132" s="999">
        <f>IFERROR(C126/C130,0)</f>
        <v/>
      </c>
      <c r="D132" s="999">
        <f>IFERROR(D126/D130,0)</f>
        <v/>
      </c>
      <c r="E132" s="999">
        <f>IFERROR(E126/E130,0)</f>
        <v/>
      </c>
      <c r="F132" s="1000">
        <f>CHOOSE(MATCH(B$2,{"Actuals (T-12)","2. My Version","3. Projected","4. Offer"},0),B132,C132,D132,E132)</f>
        <v/>
      </c>
      <c r="G132" s="1001" t="n"/>
      <c r="H132" s="850" t="inlineStr">
        <is>
          <t>≥1.20x required; ≥1.35x preferred</t>
        </is>
      </c>
      <c r="I132" s="412" t="n"/>
      <c r="J132" s="406" t="n"/>
      <c r="K132" s="406" t="n"/>
    </row>
    <row r="133" outlineLevel="1" ht="19.5" customHeight="1" s="923">
      <c r="A133" s="413" t="inlineStr">
        <is>
          <t>Market Cap Rate</t>
        </is>
      </c>
      <c r="B133" s="815" t="n"/>
      <c r="C133" s="815">
        <f>B133</f>
        <v/>
      </c>
      <c r="D133" s="815">
        <f>C133</f>
        <v/>
      </c>
      <c r="E133" s="815">
        <f>D133</f>
        <v/>
      </c>
      <c r="F133" s="809">
        <f>CHOOSE(MATCH(B$2,{"Actuals (T-12)","2. My Version","3. Projected","4. Offer"},0),B133,C133,D133,E133)</f>
        <v/>
      </c>
      <c r="G133" s="877" t="n"/>
      <c r="H133" s="851" t="inlineStr">
        <is>
          <t>6.5–8.5% AL/MC market cap rate</t>
        </is>
      </c>
      <c r="I133" s="412" t="n"/>
      <c r="J133" s="406" t="n"/>
      <c r="K133" s="406" t="n"/>
    </row>
    <row r="134" outlineLevel="1" ht="18" customHeight="1" s="923">
      <c r="A134" s="411" t="inlineStr">
        <is>
          <t>Fair Market Value (NOI/Mkt Cap)</t>
        </is>
      </c>
      <c r="B134" s="801">
        <f>IFERROR(B126/B133,0)</f>
        <v/>
      </c>
      <c r="C134" s="801">
        <f>IFERROR(C126/C133,0)</f>
        <v/>
      </c>
      <c r="D134" s="801">
        <f>IFERROR(D126/D133,0)</f>
        <v/>
      </c>
      <c r="E134" s="801">
        <f>IFERROR(E126/E133,0)</f>
        <v/>
      </c>
      <c r="F134" s="794">
        <f>CHOOSE(MATCH(B$2,{"Actuals (T-12)","2. My Version","3. Projected","4. Offer"},0),B134,C134,D134,E134)</f>
        <v/>
      </c>
      <c r="G134" s="879" t="n"/>
      <c r="H134" s="841" t="inlineStr">
        <is>
          <t>Implied FMV at market cap — sanity check vs offer</t>
        </is>
      </c>
      <c r="I134" s="412" t="n"/>
      <c r="J134" s="406" t="n"/>
      <c r="K134" s="406" t="n"/>
    </row>
    <row r="135" outlineLevel="1" ht="18" customHeight="1" s="923">
      <c r="A135" s="413" t="inlineStr">
        <is>
          <t>Exit Year</t>
        </is>
      </c>
      <c r="B135" s="816" t="n"/>
      <c r="C135" s="816">
        <f>B135</f>
        <v/>
      </c>
      <c r="D135" s="816">
        <f>C135</f>
        <v/>
      </c>
      <c r="E135" s="816">
        <f>D135</f>
        <v/>
      </c>
      <c r="F135" s="817">
        <f>CHOOSE(MATCH(B$2,{"Actuals (T-12)","2. My Version","3. Projected","4. Offer"},0),B135,C135,D135,E135)</f>
        <v/>
      </c>
      <c r="G135" s="881" t="n"/>
      <c r="H135" s="851" t="inlineStr">
        <is>
          <t>Hold: 3–7 years typical PE</t>
        </is>
      </c>
      <c r="I135" s="412" t="n"/>
      <c r="J135" s="406" t="n"/>
      <c r="K135" s="406" t="n"/>
    </row>
    <row r="136" outlineLevel="1" ht="18" customHeight="1" s="923">
      <c r="A136" s="411" t="inlineStr">
        <is>
          <t>Exit Cap Rate</t>
        </is>
      </c>
      <c r="B136" s="818" t="n"/>
      <c r="C136" s="818">
        <f>B136</f>
        <v/>
      </c>
      <c r="D136" s="818">
        <f>C136</f>
        <v/>
      </c>
      <c r="E136" s="818">
        <f>D136</f>
        <v/>
      </c>
      <c r="F136" s="809">
        <f>CHOOSE(MATCH(B$2,{"Actuals (T-12)","2. My Version","3. Projected","4. Offer"},0),B136,C136,D136,E136)</f>
        <v/>
      </c>
      <c r="G136" s="877" t="n"/>
      <c r="H136" s="850" t="inlineStr">
        <is>
          <t>Exit cap: entry cap + 25–75 bps</t>
        </is>
      </c>
      <c r="I136" s="412" t="n"/>
      <c r="J136" s="406" t="n"/>
      <c r="K136" s="406" t="n"/>
    </row>
    <row r="137" ht="18" customHeight="1" s="923">
      <c r="A137" s="406" t="n"/>
      <c r="B137" s="406" t="n"/>
      <c r="C137" s="406" t="n"/>
      <c r="D137" s="406" t="n"/>
      <c r="E137" s="406" t="n"/>
      <c r="F137" s="406" t="n"/>
      <c r="G137" s="830" t="n"/>
      <c r="H137" s="849" t="n"/>
      <c r="I137" s="406" t="n"/>
      <c r="J137" s="406" t="n"/>
      <c r="K137" s="406" t="n"/>
    </row>
    <row r="138" ht="18" customHeight="1" s="923">
      <c r="A138" s="938" t="inlineStr">
        <is>
          <t>DEBT STRUCTURE — PER-SCENARIO LOAN INPUTS  (drives Loans, Waterfall &amp; P&amp;L)</t>
        </is>
      </c>
      <c r="I138" s="412" t="n"/>
      <c r="J138" s="406" t="n"/>
      <c r="K138" s="406" t="n"/>
    </row>
    <row r="139" ht="18" customHeight="1" s="923">
      <c r="A139" s="947" t="inlineStr">
        <is>
          <t xml:space="preserve">  Blue = input per scenario. Active scenario col F feeds all downstream sheets. Use $0 for unused tranches.</t>
        </is>
      </c>
      <c r="I139" s="412" t="n"/>
      <c r="J139" s="406" t="n"/>
      <c r="K139" s="406" t="n"/>
    </row>
    <row r="140" ht="19.5" customHeight="1" s="923">
      <c r="A140" s="951" t="inlineStr">
        <is>
          <t xml:space="preserve">  1ST LOAN — SENIOR / PRIMARY</t>
        </is>
      </c>
      <c r="I140" s="412" t="n"/>
      <c r="J140" s="406" t="n"/>
      <c r="K140" s="406" t="n"/>
    </row>
    <row r="141" outlineLevel="1" ht="18" customHeight="1" s="923">
      <c r="A141" s="65" t="inlineStr">
        <is>
          <t>Loan Amount — 1st ($)</t>
        </is>
      </c>
      <c r="B141" s="819">
        <f>IF(B173="YES",B17*(1-B10),B7*(1-B10))</f>
        <v/>
      </c>
      <c r="C141" s="819">
        <f>IF(C173="YES",C17*(1-C10),C7*(1-C10))</f>
        <v/>
      </c>
      <c r="D141" s="819">
        <f>IF(D173="YES",D17*(1-D10),D7*(1-D10))</f>
        <v/>
      </c>
      <c r="E141" s="819">
        <f>IF(E173="YES",E17*(1-E10),E7*(1-E10))</f>
        <v/>
      </c>
      <c r="F141" s="820">
        <f>CHOOSE(MATCH(B$2,{"Actuals (T-12)","2. My Version","3. Projected","4. Offer"},0),B141,C141,D141,E141)</f>
        <v/>
      </c>
      <c r="G141" s="882" t="n"/>
      <c r="H141" s="833" t="inlineStr">
        <is>
          <t>60–70% LTV first lien; $0 to disable</t>
        </is>
      </c>
      <c r="I141" s="412" t="n"/>
      <c r="J141" s="406" t="n"/>
      <c r="K141" s="406" t="n"/>
    </row>
    <row r="142" outlineLevel="1" ht="18" customHeight="1" s="923">
      <c r="A142" s="62" t="inlineStr">
        <is>
          <t>Interest Rate — 1st (%)</t>
        </is>
      </c>
      <c r="B142" s="1002" t="n"/>
      <c r="C142" s="1002">
        <f>B142</f>
        <v/>
      </c>
      <c r="D142" s="1002">
        <f>C142</f>
        <v/>
      </c>
      <c r="E142" s="777">
        <f>D142</f>
        <v/>
      </c>
      <c r="F142" s="822">
        <f>CHOOSE(MATCH(B$2,{"Actuals (T-12)","2. My Version","3. Projected","4. Offer"},0),B142,C142,D142,E142)</f>
        <v/>
      </c>
      <c r="G142" s="883" t="n"/>
      <c r="H142" s="832" t="inlineStr">
        <is>
          <t>Bridge: 6.5–8%; perm: 5.5–6.5%</t>
        </is>
      </c>
      <c r="I142" s="412" t="n"/>
      <c r="J142" s="406" t="n"/>
      <c r="K142" s="406" t="n"/>
    </row>
    <row r="143" outlineLevel="1" ht="18" customHeight="1" s="923">
      <c r="A143" s="65" t="inlineStr">
        <is>
          <t>Amortization (years) — 1st</t>
        </is>
      </c>
      <c r="B143" s="823" t="n"/>
      <c r="C143" s="823">
        <f>B143</f>
        <v/>
      </c>
      <c r="D143" s="823">
        <f>C143</f>
        <v/>
      </c>
      <c r="E143" s="823">
        <f>D143</f>
        <v/>
      </c>
      <c r="F143" s="824">
        <f>CHOOSE(MATCH(B$2,{"Actuals (T-12)","2. My Version","3. Projected","4. Offer"},0),B143,C143,D143,E143)</f>
        <v/>
      </c>
      <c r="G143" s="884" t="n"/>
      <c r="H143" s="833" t="inlineStr">
        <is>
          <t>25–30yr amortization standard</t>
        </is>
      </c>
      <c r="I143" s="412" t="n"/>
      <c r="J143" s="406" t="n"/>
      <c r="K143" s="406" t="n"/>
    </row>
    <row r="144" outlineLevel="1" ht="18" customHeight="1" s="923">
      <c r="A144" s="62" t="inlineStr">
        <is>
          <t>Loan Term (years) — 1st</t>
        </is>
      </c>
      <c r="B144" s="825" t="n"/>
      <c r="C144" s="825">
        <f>B144</f>
        <v/>
      </c>
      <c r="D144" s="825">
        <f>C144</f>
        <v/>
      </c>
      <c r="E144" s="825">
        <f>D144</f>
        <v/>
      </c>
      <c r="F144" s="824">
        <f>CHOOSE(MATCH(B$2,{"Actuals (T-12)","2. My Version","3. Projected","4. Offer"},0),B144,C144,D144,E144)</f>
        <v/>
      </c>
      <c r="G144" s="884" t="n"/>
      <c r="H144" s="832" t="inlineStr">
        <is>
          <t>Match hold period</t>
        </is>
      </c>
      <c r="I144" s="412" t="n"/>
      <c r="J144" s="406" t="n"/>
      <c r="K144" s="406" t="n"/>
    </row>
    <row r="145" outlineLevel="1" ht="18" customHeight="1" s="923">
      <c r="A145" s="65" t="inlineStr">
        <is>
          <t>Interest-Only Period (months) — 1st</t>
        </is>
      </c>
      <c r="B145" s="823" t="n"/>
      <c r="C145" s="823">
        <f>B145</f>
        <v/>
      </c>
      <c r="D145" s="823">
        <f>C145</f>
        <v/>
      </c>
      <c r="E145" s="823">
        <f>D145</f>
        <v/>
      </c>
      <c r="F145" s="824">
        <f>CHOOSE(MATCH(B$2,{"Actuals (T-12)","2. My Version","3. Projected","4. Offer"},0),B145,C145,D145,E145)</f>
        <v/>
      </c>
      <c r="G145" s="884" t="n"/>
      <c r="H145" s="833" t="inlineStr">
        <is>
          <t>IO 0–24 months; 0=fully amortizing</t>
        </is>
      </c>
      <c r="I145" s="412" t="n"/>
      <c r="J145" s="406" t="n"/>
      <c r="K145" s="406" t="n"/>
    </row>
    <row r="146" outlineLevel="1" ht="18" customHeight="1" s="923">
      <c r="A146" s="62" t="inlineStr">
        <is>
          <t>Origination Fee % — 1st</t>
        </is>
      </c>
      <c r="B146" s="777" t="n"/>
      <c r="C146" s="777">
        <f>B146</f>
        <v/>
      </c>
      <c r="D146" s="777">
        <f>C146</f>
        <v/>
      </c>
      <c r="E146" s="777">
        <f>D146</f>
        <v/>
      </c>
      <c r="F146" s="822">
        <f>CHOOSE(MATCH(B$2,{"Actuals (T-12)","2. My Version","3. Projected","4. Offer"},0),B146,C146,D146,E146)</f>
        <v/>
      </c>
      <c r="G146" s="883" t="n"/>
      <c r="H146" s="832" t="inlineStr">
        <is>
          <t>0.5–1.5% origination fee typical</t>
        </is>
      </c>
      <c r="I146" s="412" t="n"/>
      <c r="J146" s="406" t="n"/>
      <c r="K146" s="406" t="n"/>
    </row>
    <row r="147" ht="18" customHeight="1" s="923">
      <c r="A147" s="945" t="inlineStr">
        <is>
          <t xml:space="preserve">  2ND LOAN — MEZZANINE / BRIDGE</t>
        </is>
      </c>
      <c r="I147" s="412" t="n"/>
      <c r="J147" s="406" t="n"/>
      <c r="K147" s="406" t="n"/>
    </row>
    <row r="148" outlineLevel="1" ht="18" customHeight="1" s="923">
      <c r="A148" s="62" t="inlineStr">
        <is>
          <t>Loan Amount — 2nd ($)</t>
        </is>
      </c>
      <c r="B148" s="783" t="n"/>
      <c r="C148" s="783" t="n"/>
      <c r="D148" s="783" t="n"/>
      <c r="E148" s="783" t="n"/>
      <c r="F148" s="820">
        <f>CHOOSE(MATCH(B$2,{"Actuals (T-12)","2. My Version","3. Projected","4. Offer"},0),B148,C148,D148,E148)</f>
        <v/>
      </c>
      <c r="G148" s="882" t="n"/>
      <c r="H148" s="832" t="inlineStr">
        <is>
          <t>$0 if no mezz; up to 10% of stack</t>
        </is>
      </c>
      <c r="I148" s="412" t="n"/>
      <c r="J148" s="406" t="n"/>
      <c r="K148" s="406" t="n"/>
    </row>
    <row r="149" outlineLevel="1" ht="18" customHeight="1" s="923">
      <c r="A149" s="65" t="inlineStr">
        <is>
          <t>Interest Rate — 2nd (%)</t>
        </is>
      </c>
      <c r="B149" s="786" t="n"/>
      <c r="C149" s="786" t="n"/>
      <c r="D149" s="786" t="n"/>
      <c r="E149" s="786" t="n"/>
      <c r="F149" s="822">
        <f>CHOOSE(MATCH(B$2,{"Actuals (T-12)","2. My Version","3. Projected","4. Offer"},0),B149,C149,D149,E149)</f>
        <v/>
      </c>
      <c r="G149" s="883" t="n"/>
      <c r="H149" s="833" t="inlineStr">
        <is>
          <t>Mezz: 8–12% typical</t>
        </is>
      </c>
      <c r="I149" s="412" t="n"/>
      <c r="J149" s="406" t="n"/>
      <c r="K149" s="406" t="n"/>
    </row>
    <row r="150" outlineLevel="1" ht="18" customHeight="1" s="923">
      <c r="A150" s="62" t="inlineStr">
        <is>
          <t>Amortization (years) — 2nd</t>
        </is>
      </c>
      <c r="B150" s="825" t="n"/>
      <c r="C150" s="825" t="n"/>
      <c r="D150" s="825" t="n"/>
      <c r="E150" s="825" t="n"/>
      <c r="F150" s="824">
        <f>CHOOSE(MATCH(B$2,{"Actuals (T-12)","2. My Version","3. Projected","4. Offer"},0),B150,C150,D150,E150)</f>
        <v/>
      </c>
      <c r="G150" s="884" t="n"/>
      <c r="H150" s="852" t="n"/>
      <c r="I150" s="412" t="n"/>
      <c r="J150" s="406" t="n"/>
      <c r="K150" s="406" t="n"/>
    </row>
    <row r="151" outlineLevel="1" ht="18" customHeight="1" s="923">
      <c r="A151" s="65" t="inlineStr">
        <is>
          <t>Loan Term (years) — 2nd</t>
        </is>
      </c>
      <c r="B151" s="823" t="n"/>
      <c r="C151" s="823" t="n"/>
      <c r="D151" s="823" t="n"/>
      <c r="E151" s="823" t="n"/>
      <c r="F151" s="824">
        <f>CHOOSE(MATCH(B$2,{"Actuals (T-12)","2. My Version","3. Projected","4. Offer"},0),B151,C151,D151,E151)</f>
        <v/>
      </c>
      <c r="G151" s="884" t="n"/>
      <c r="H151" s="852" t="n"/>
      <c r="I151" s="412" t="n"/>
      <c r="J151" s="406" t="n"/>
      <c r="K151" s="406" t="n"/>
    </row>
    <row r="152" outlineLevel="1" s="923">
      <c r="A152" s="62" t="inlineStr">
        <is>
          <t>Interest-Only Period (months) — 2nd</t>
        </is>
      </c>
      <c r="B152" s="825" t="n"/>
      <c r="C152" s="825" t="n"/>
      <c r="D152" s="825" t="n"/>
      <c r="E152" s="825" t="n"/>
      <c r="F152" s="824">
        <f>CHOOSE(MATCH(B$2,{"Actuals (T-12)","2. My Version","3. Projected","4. Offer"},0),B152,C152,D152,E152)</f>
        <v/>
      </c>
      <c r="G152" s="884" t="n"/>
      <c r="H152" s="852" t="n"/>
      <c r="I152" s="412" t="n"/>
      <c r="J152" s="406" t="n"/>
      <c r="K152" s="406" t="n"/>
    </row>
    <row r="153" outlineLevel="1" s="923">
      <c r="A153" s="65" t="inlineStr">
        <is>
          <t>Origination Fee % — 2nd</t>
        </is>
      </c>
      <c r="B153" s="786" t="n"/>
      <c r="C153" s="786" t="n"/>
      <c r="D153" s="786" t="n"/>
      <c r="E153" s="786" t="n"/>
      <c r="F153" s="822">
        <f>CHOOSE(MATCH(B$2,{"Actuals (T-12)","2. My Version","3. Projected","4. Offer"},0),B153,C153,D153,E153)</f>
        <v/>
      </c>
      <c r="G153" s="883" t="n"/>
      <c r="H153" s="852" t="n"/>
      <c r="I153" s="412" t="n"/>
      <c r="J153" s="406" t="n"/>
      <c r="K153" s="406" t="n"/>
    </row>
    <row r="154">
      <c r="A154" s="950" t="inlineStr">
        <is>
          <t xml:space="preserve">  SUPPLEMENTAL — SBA / SELLER CARRY</t>
        </is>
      </c>
      <c r="I154" s="412" t="n"/>
      <c r="J154" s="406" t="n"/>
      <c r="K154" s="406" t="n"/>
    </row>
    <row r="155" outlineLevel="1" s="923">
      <c r="A155" s="65" t="inlineStr">
        <is>
          <t>Loan Amount — Supplemental ($)</t>
        </is>
      </c>
      <c r="B155" s="819" t="n"/>
      <c r="C155" s="819">
        <f>B155</f>
        <v/>
      </c>
      <c r="D155" s="819">
        <f>C155</f>
        <v/>
      </c>
      <c r="E155" s="819" t="n"/>
      <c r="F155" s="820">
        <f>CHOOSE(MATCH(B$2,{"Actuals (T-12)","2. My Version","3. Projected","4. Offer"},0),B155,C155,D155,E155)</f>
        <v/>
      </c>
      <c r="G155" s="882" t="n"/>
      <c r="H155" s="833" t="inlineStr">
        <is>
          <t>$0 if no supplemental tranche</t>
        </is>
      </c>
      <c r="I155" s="412" t="n"/>
      <c r="J155" s="406" t="n"/>
      <c r="K155" s="406" t="n"/>
    </row>
    <row r="156" outlineLevel="1" s="923">
      <c r="A156" s="62" t="inlineStr">
        <is>
          <t>Interest Rate — Supplemental (%)</t>
        </is>
      </c>
      <c r="B156" s="777" t="n">
        <v>0</v>
      </c>
      <c r="C156" s="777" t="n"/>
      <c r="D156" s="777" t="n"/>
      <c r="E156" s="777" t="n"/>
      <c r="F156" s="822">
        <f>CHOOSE(MATCH(B$2,{"Actuals (T-12)","2. My Version","3. Projected","4. Offer"},0),B156,C156,D156,E156)</f>
        <v/>
      </c>
      <c r="G156" s="883" t="n"/>
      <c r="H156" s="852" t="n"/>
      <c r="I156" s="412" t="n"/>
      <c r="J156" s="406" t="n"/>
      <c r="K156" s="406" t="n"/>
    </row>
    <row r="157" outlineLevel="1" s="923">
      <c r="A157" s="65" t="inlineStr">
        <is>
          <t>Amortization (years) — Supplemental</t>
        </is>
      </c>
      <c r="B157" s="823" t="n">
        <v>0</v>
      </c>
      <c r="C157" s="823" t="n"/>
      <c r="D157" s="823" t="n"/>
      <c r="E157" s="823" t="n"/>
      <c r="F157" s="824">
        <f>CHOOSE(MATCH(B$2,{"Actuals (T-12)","2. My Version","3. Projected","4. Offer"},0),B157,C157,D157,E157)</f>
        <v/>
      </c>
      <c r="G157" s="884" t="n"/>
      <c r="H157" s="852" t="n"/>
      <c r="I157" s="412" t="n"/>
      <c r="J157" s="406" t="n"/>
      <c r="K157" s="406" t="n"/>
    </row>
    <row r="158" outlineLevel="1" s="923">
      <c r="A158" s="62" t="inlineStr">
        <is>
          <t>Loan Term (years) — Supplemental</t>
        </is>
      </c>
      <c r="B158" s="825" t="n"/>
      <c r="C158" s="825">
        <f>B158</f>
        <v/>
      </c>
      <c r="D158" s="825">
        <f>C158</f>
        <v/>
      </c>
      <c r="E158" s="825" t="n"/>
      <c r="F158" s="824">
        <f>CHOOSE(MATCH(B$2,{"Actuals (T-12)","2. My Version","3. Projected","4. Offer"},0),B158,C158,D158,E158)</f>
        <v/>
      </c>
      <c r="G158" s="884" t="n"/>
      <c r="H158" s="852" t="n"/>
      <c r="I158" s="412" t="n"/>
      <c r="J158" s="406" t="n"/>
      <c r="K158" s="406" t="n"/>
    </row>
    <row r="159" outlineLevel="1" s="923">
      <c r="A159" s="65" t="inlineStr">
        <is>
          <t>Interest-Only Period (months) — Supplemental</t>
        </is>
      </c>
      <c r="B159" s="823" t="n"/>
      <c r="C159" s="823" t="n"/>
      <c r="D159" s="823" t="n"/>
      <c r="E159" s="823" t="n"/>
      <c r="F159" s="824">
        <f>CHOOSE(MATCH(B$2,{"Actuals (T-12)","2. My Version","3. Projected","4. Offer"},0),B159,C159,D159,E159)</f>
        <v/>
      </c>
      <c r="G159" s="884" t="n"/>
      <c r="H159" s="852" t="n"/>
      <c r="I159" s="412" t="n"/>
      <c r="J159" s="406" t="n"/>
      <c r="K159" s="406" t="n"/>
    </row>
    <row r="160" outlineLevel="1" s="923">
      <c r="A160" s="62" t="inlineStr">
        <is>
          <t>Origination Fee % — Supplemental</t>
        </is>
      </c>
      <c r="B160" s="777" t="n">
        <v>0</v>
      </c>
      <c r="C160" s="777" t="n"/>
      <c r="D160" s="777" t="n"/>
      <c r="E160" s="777" t="n"/>
      <c r="F160" s="822">
        <f>CHOOSE(MATCH(B$2,{"Actuals (T-12)","2. My Version","3. Projected","4. Offer"},0),B160,C160,D160,E160)</f>
        <v/>
      </c>
      <c r="G160" s="883" t="n"/>
      <c r="H160" s="852" t="n"/>
      <c r="I160" s="412" t="n"/>
      <c r="J160" s="406" t="n"/>
      <c r="K160" s="406" t="n"/>
    </row>
    <row r="161">
      <c r="A161" s="946" t="inlineStr">
        <is>
          <t xml:space="preserve">  CALCULATED METRICS (auto — do not edit)</t>
        </is>
      </c>
      <c r="I161" s="412" t="n"/>
      <c r="J161" s="406" t="n"/>
      <c r="K161" s="406" t="n"/>
    </row>
    <row r="162" outlineLevel="1" s="923">
      <c r="A162" s="62" t="inlineStr">
        <is>
          <t xml:space="preserve">  Monthly Payment — 1st</t>
        </is>
      </c>
      <c r="B162" s="768">
        <f>IFERROR(IF(B141=0,0,IF(B145&gt;0,B141*B142/12,-PMT(B142/12,B143*12,B141))),0)</f>
        <v/>
      </c>
      <c r="C162" s="768">
        <f>IFERROR(IF(C141=0,0,IF(C145&gt;0,C141*C142/12,-PMT(C142/12,C143*12,C141))),0)</f>
        <v/>
      </c>
      <c r="D162" s="768">
        <f>IFERROR(IF(D141=0,0,IF(D145&gt;0,D141*D142/12,-PMT(D142/12,D143*12,D141))),0)</f>
        <v/>
      </c>
      <c r="E162" s="768">
        <f>IFERROR(IF(E141=0,0,IF(E145&gt;0,E141*E142/12,-PMT(E142/12,E143*12,E141))),0)</f>
        <v/>
      </c>
      <c r="F162" s="820">
        <f>CHOOSE(MATCH(B$2,{"Actuals (T-12)","2. My Version","3. Projected","4. Offer"},0),B162,C162,D162,E162)</f>
        <v/>
      </c>
      <c r="G162" s="882" t="n"/>
      <c r="H162" s="852" t="n"/>
      <c r="I162" s="412" t="n"/>
      <c r="J162" s="406" t="n"/>
      <c r="K162" s="406" t="n"/>
    </row>
    <row r="163" outlineLevel="1" s="923">
      <c r="A163" s="62" t="inlineStr">
        <is>
          <t xml:space="preserve">  Monthly Payment — 2nd</t>
        </is>
      </c>
      <c r="B163" s="768">
        <f>IFERROR(IF(B148=0,0,IF(B152&gt;0,B148*B149/12,-PMT(B149/12,B150*12,B148))),0)</f>
        <v/>
      </c>
      <c r="C163" s="768">
        <f>IFERROR(IF(C148=0,0,IF(C152&gt;0,C148*C149/12,-PMT(C149/12,C150*12,C148))),0)</f>
        <v/>
      </c>
      <c r="D163" s="768">
        <f>IFERROR(IF(D148=0,0,IF(D152&gt;0,D148*D149/12,-PMT(D149/12,D150*12,D148))),0)</f>
        <v/>
      </c>
      <c r="E163" s="768">
        <f>IFERROR(IF(E148=0,0,IF(E152&gt;0,E148*E149/12,-PMT(E149/12,E150*12,E148))),0)</f>
        <v/>
      </c>
      <c r="F163" s="820">
        <f>CHOOSE(MATCH(B$2,{"Actuals (T-12)","2. My Version","3. Projected","4. Offer"},0),B163,C163,D163,E163)</f>
        <v/>
      </c>
      <c r="G163" s="882" t="n"/>
      <c r="H163" s="852" t="n"/>
      <c r="I163" s="412" t="n"/>
      <c r="J163" s="406" t="n"/>
      <c r="K163" s="406" t="n"/>
    </row>
    <row r="164" outlineLevel="1" s="923">
      <c r="A164" s="62" t="inlineStr">
        <is>
          <t xml:space="preserve">  Monthly Payment — Supplemental</t>
        </is>
      </c>
      <c r="B164" s="768">
        <f>IFERROR(IF(B155=0,0,IF(B159&gt;0,B155*B156/12,-PMT(B156/12,B157*12,B155))),0)</f>
        <v/>
      </c>
      <c r="C164" s="768">
        <f>IFERROR(IF(C155=0,0,IF(C159&gt;0,C155*C156/12,-PMT(C156/12,C157*12,C155))),0)</f>
        <v/>
      </c>
      <c r="D164" s="768">
        <f>IFERROR(IF(D155=0,0,IF(D159&gt;0,D155*D156/12,-PMT(D156/12,D157*12,D155))),0)</f>
        <v/>
      </c>
      <c r="E164" s="768">
        <f>IFERROR(IF(E155=0,0,IF(E159&gt;0,E155*E156/12,-PMT(E156/12,E157*12,E155))),0)</f>
        <v/>
      </c>
      <c r="F164" s="820">
        <f>CHOOSE(MATCH(B$2,{"Actuals (T-12)","2. My Version","3. Projected","4. Offer"},0),B164,C164,D164,E164)</f>
        <v/>
      </c>
      <c r="G164" s="882" t="n"/>
      <c r="H164" s="852" t="n"/>
      <c r="I164" s="412" t="n"/>
      <c r="J164" s="406" t="n"/>
      <c r="K164" s="406" t="n"/>
    </row>
    <row r="165" outlineLevel="1" s="923">
      <c r="A165" s="62" t="inlineStr">
        <is>
          <t>Annual DS — 1st</t>
        </is>
      </c>
      <c r="B165" s="768">
        <f>IFERROR(IF(B141=0,0,B162*12),0)</f>
        <v/>
      </c>
      <c r="C165" s="768">
        <f>IFERROR(IF(C141=0,0,C162*12),0)</f>
        <v/>
      </c>
      <c r="D165" s="768">
        <f>IFERROR(IF(D141=0,0,D162*12),0)</f>
        <v/>
      </c>
      <c r="E165" s="768">
        <f>IFERROR(IF(E141=0,0,E162*12),0)</f>
        <v/>
      </c>
      <c r="F165" s="820">
        <f>CHOOSE(MATCH(B$2,{"Actuals (T-12)","2. My Version","3. Projected","4. Offer"},0),B165,C165,D165,E165)</f>
        <v/>
      </c>
      <c r="G165" s="882" t="n"/>
      <c r="H165" s="852" t="n"/>
      <c r="I165" s="412" t="n"/>
      <c r="J165" s="406" t="n"/>
      <c r="K165" s="406" t="n"/>
    </row>
    <row r="166" outlineLevel="1" s="923">
      <c r="A166" s="62" t="inlineStr">
        <is>
          <t>Annual DS — 2nd</t>
        </is>
      </c>
      <c r="B166" s="768">
        <f>IFERROR(IF(B148=0,0,B163*12),0)</f>
        <v/>
      </c>
      <c r="C166" s="768">
        <f>IFERROR(IF(C148=0,0,C163*12),0)</f>
        <v/>
      </c>
      <c r="D166" s="768">
        <f>IFERROR(IF(D148=0,0,D163*12),0)</f>
        <v/>
      </c>
      <c r="E166" s="768">
        <f>IFERROR(IF(E148=0,0,E163*12),0)</f>
        <v/>
      </c>
      <c r="F166" s="820">
        <f>CHOOSE(MATCH(B$2,{"Actuals (T-12)","2. My Version","3. Projected","4. Offer"},0),B166,C166,D166,E166)</f>
        <v/>
      </c>
      <c r="G166" s="882" t="n"/>
      <c r="H166" s="852" t="n"/>
      <c r="I166" s="412" t="n"/>
      <c r="J166" s="406" t="n"/>
      <c r="K166" s="406" t="n"/>
    </row>
    <row r="167" outlineLevel="1" s="923">
      <c r="A167" s="62" t="inlineStr">
        <is>
          <t>Annual DS — Supplemental</t>
        </is>
      </c>
      <c r="B167" s="768">
        <f>IFERROR(IF(B155=0,0,B164*12),0)</f>
        <v/>
      </c>
      <c r="C167" s="768">
        <f>IFERROR(IF(C155=0,0,C164*12),0)</f>
        <v/>
      </c>
      <c r="D167" s="768">
        <f>IFERROR(IF(D155=0,0,D164*12),0)</f>
        <v/>
      </c>
      <c r="E167" s="768">
        <f>IFERROR(IF(E155=0,0,E164*12),0)</f>
        <v/>
      </c>
      <c r="F167" s="820">
        <f>CHOOSE(MATCH(B$2,{"Actuals (T-12)","2. My Version","3. Projected","4. Offer"},0),B167,C167,D167,E167)</f>
        <v/>
      </c>
      <c r="G167" s="882" t="n"/>
      <c r="H167" s="852" t="n"/>
      <c r="I167" s="412" t="n"/>
      <c r="J167" s="406" t="n"/>
      <c r="K167" s="406" t="n"/>
    </row>
    <row r="168">
      <c r="A168" s="98" t="inlineStr">
        <is>
          <t>TOTAL ANNUAL DEBT SERVICE</t>
        </is>
      </c>
      <c r="B168" s="826">
        <f>B165+B166+B167</f>
        <v/>
      </c>
      <c r="C168" s="826">
        <f>C165+C166+C167</f>
        <v/>
      </c>
      <c r="D168" s="826">
        <f>D165+D166+D167</f>
        <v/>
      </c>
      <c r="E168" s="826">
        <f>E165+E166+E167</f>
        <v/>
      </c>
      <c r="F168" s="826">
        <f>CHOOSE(MATCH(B$2,{"Actuals (T-12)","2. My Version","3. Projected","4. Offer"},0),B168,C168,D168,E168)</f>
        <v/>
      </c>
      <c r="G168" s="885" t="n"/>
      <c r="H168" s="842" t="inlineStr">
        <is>
          <t>Auto-calculated total DS</t>
        </is>
      </c>
      <c r="I168" s="412" t="n"/>
      <c r="J168" s="406" t="n"/>
      <c r="K168" s="406" t="n"/>
    </row>
    <row r="169">
      <c r="A169" s="81" t="inlineStr">
        <is>
          <t>Total Loan Balance at Exit (payoff)</t>
        </is>
      </c>
      <c r="B169" s="76">
        <f>IFERROR(IF(B141=0,0,IF(B145&gt;0,B141,B141+CUMPRINC(B142/12,B143*12,B141,1,B135*12,0))),0)+IFERROR(IF(B148=0,0,IF(B152&gt;0,B148,B148+CUMPRINC(B149/12,B150*12,B148,1,B135*12,0))),0)+IFERROR(IF(B155=0,0,IF(B159&gt;0,B155,B155+CUMPRINC(B156/12,B157*12,B155,1,B135*12,0))),0)</f>
        <v/>
      </c>
      <c r="C169" s="76">
        <f>IFERROR(IF(C141=0,0,IF(C145&gt;0,C141,C141+CUMPRINC(C142/12,C143*12,C141,1,C135*12,0))),0)+IFERROR(IF(C148=0,0,IF(C152&gt;0,C148,C148+CUMPRINC(C149/12,C150*12,C148,1,C135*12,0))),0)+IFERROR(IF(C155=0,0,IF(C159&gt;0,C155,C155+CUMPRINC(C156/12,C157*12,C155,1,C135*12,0))),0)</f>
        <v/>
      </c>
      <c r="D169" s="76">
        <f>IFERROR(IF(D141=0,0,IF(D145&gt;0,D141,D141+CUMPRINC(D142/12,D143*12,D141,1,D135*12,0))),0)+IFERROR(IF(D148=0,0,IF(D152&gt;0,D148,D148+CUMPRINC(D149/12,D150*12,D148,1,D135*12,0))),0)+IFERROR(IF(D155=0,0,IF(D159&gt;0,D155,D155+CUMPRINC(D156/12,D157*12,D155,1,D135*12,0))),0)</f>
        <v/>
      </c>
      <c r="E169" s="76">
        <f>IFERROR(IF(E141=0,0,IF(E145&gt;0,E141,E141+CUMPRINC(E142/12,E143*12,E141,1,E135*12,0))),0)+IFERROR(IF(E148=0,0,IF(E152&gt;0,E148,E148+CUMPRINC(E149/12,E150*12,E148,1,E135*12,0))),0)+IFERROR(IF(E155=0,0,IF(E159&gt;0,E155,E155+CUMPRINC(E156/12,E157*12,E155,1,E135*12,0))),0)</f>
        <v/>
      </c>
      <c r="F169" s="99">
        <f>CHOOSE(MATCH(B$2,{"Actuals (T-12)","2. My Version","3. Projected","4. Offer"},0),B169,C169,D169,E169)</f>
        <v/>
      </c>
      <c r="G169" s="886" t="n"/>
      <c r="H169" s="843" t="inlineStr">
        <is>
          <t>CUMPRINC-based balloon payoff</t>
        </is>
      </c>
      <c r="I169" s="412" t="n"/>
      <c r="J169" s="406" t="n"/>
      <c r="K169" s="406" t="n"/>
    </row>
    <row r="170">
      <c r="A170" s="100" t="inlineStr">
        <is>
          <t>Total Debt — All Tranches</t>
        </is>
      </c>
      <c r="B170" s="101">
        <f>B141+B148+B155</f>
        <v/>
      </c>
      <c r="C170" s="101">
        <f>C141+C148+C155</f>
        <v/>
      </c>
      <c r="D170" s="101">
        <f>D141+D148+D155</f>
        <v/>
      </c>
      <c r="E170" s="101">
        <f>E141+E148+E155</f>
        <v/>
      </c>
      <c r="F170" s="94">
        <f>CHOOSE(MATCH(B$2,{"Actuals (T-12)","2. My Version","3. Projected","4. Offer"},0),B170,C170,D170,E170)</f>
        <v/>
      </c>
      <c r="G170" s="887" t="n"/>
      <c r="H170" s="834" t="inlineStr">
        <is>
          <t>Auto-calculated total debt</t>
        </is>
      </c>
      <c r="I170" s="412" t="n"/>
      <c r="J170" s="406" t="n"/>
      <c r="K170" s="406" t="n"/>
    </row>
    <row r="171">
      <c r="A171" s="62" t="inlineStr">
        <is>
          <t>LTV — Total Debt / Purchase Price</t>
        </is>
      </c>
      <c r="B171" s="78">
        <f>IFERROR(B170/B7,0)</f>
        <v/>
      </c>
      <c r="C171" s="78">
        <f>IFERROR(C170/C7,0)</f>
        <v/>
      </c>
      <c r="D171" s="78">
        <f>IFERROR(D170/D7,0)</f>
        <v/>
      </c>
      <c r="E171" s="78">
        <f>IFERROR(E170/E7,0)</f>
        <v/>
      </c>
      <c r="F171" s="95">
        <f>CHOOSE(MATCH(B$2,{"Actuals (T-12)","2. My Version","3. Projected","4. Offer"},0),B171,C171,D171,E171)</f>
        <v/>
      </c>
      <c r="G171" s="888" t="n"/>
      <c r="H171" s="832" t="inlineStr">
        <is>
          <t>Target ≤70% LTV (senior only)</t>
        </is>
      </c>
      <c r="I171" s="412" t="n"/>
      <c r="J171" s="406" t="n"/>
      <c r="K171" s="406" t="n"/>
    </row>
    <row r="172">
      <c r="A172" s="89" t="inlineStr">
        <is>
          <t>LTC — Total Debt / Total Acquisition Cost</t>
        </is>
      </c>
      <c r="B172" s="953">
        <f>IFERROR(B170/B17,0)</f>
        <v/>
      </c>
      <c r="C172" s="953">
        <f>IFERROR(C170/C17,0)</f>
        <v/>
      </c>
      <c r="D172" s="953">
        <f>IFERROR(D170/D17,0)</f>
        <v/>
      </c>
      <c r="E172" s="953">
        <f>IFERROR(E170/E17,0)</f>
        <v/>
      </c>
      <c r="F172" s="95">
        <f>CHOOSE(MATCH(B$2,{"Actuals (T-12)","2. My Version","3. Projected","4. Offer"},0),B172,C172,D172,E172)</f>
        <v/>
      </c>
      <c r="G172" s="888" t="n"/>
      <c r="H172" s="843" t="inlineStr">
        <is>
          <t>Target ≤80–85% LTC (value-add)</t>
        </is>
      </c>
      <c r="I172" s="412" t="n"/>
      <c r="J172" s="406" t="n"/>
      <c r="K172" s="406" t="n"/>
    </row>
    <row r="173">
      <c r="A173" s="889" t="inlineStr">
        <is>
          <t>Size Senior Loan off Total Acq Cost? (LTC)</t>
        </is>
      </c>
      <c r="B173" s="890" t="inlineStr">
        <is>
          <t>NO</t>
        </is>
      </c>
      <c r="C173" s="890">
        <f>B173</f>
        <v/>
      </c>
      <c r="D173" s="890">
        <f>C173</f>
        <v/>
      </c>
      <c r="E173" s="890">
        <f>D173</f>
        <v/>
      </c>
      <c r="F173" s="891">
        <f>CHOOSE(MATCH(B$2,{"Actuals (T-12)","2. My Version","3. Projected","4. Offer"},0),B173,C173,D173,E173)</f>
        <v/>
      </c>
      <c r="G173" s="831" t="n"/>
      <c r="H173" s="892" t="inlineStr">
        <is>
          <t>YES = loan sized off Total Acq Cost (LTC basis); NO = sized off Purchase Price (LTV basis)</t>
        </is>
      </c>
      <c r="I173" s="412" t="n"/>
      <c r="J173" s="406" t="n"/>
      <c r="K173" s="406" t="n"/>
    </row>
    <row r="174">
      <c r="A174" s="841" t="inlineStr">
        <is>
          <t>Wrapped into LTC:</t>
        </is>
      </c>
      <c r="B174" s="894" t="n"/>
      <c r="C174" s="894" t="n"/>
      <c r="D174" s="894" t="n"/>
      <c r="E174" s="894" t="n"/>
      <c r="F174" s="894" t="n"/>
      <c r="G174" s="831" t="n"/>
      <c r="H174" s="841" t="inlineStr">
        <is>
          <t>Soft costs wrapped into senior loan when LTC toggle = YES</t>
        </is>
      </c>
      <c r="I174" s="412" t="n"/>
      <c r="J174" s="406" t="n"/>
      <c r="K174" s="406" t="n"/>
    </row>
    <row r="175">
      <c r="A175" s="893" t="inlineStr">
        <is>
          <t xml:space="preserve">  Repairs / CapEx at Close</t>
        </is>
      </c>
      <c r="B175" s="895">
        <f>B12</f>
        <v/>
      </c>
      <c r="C175" s="895">
        <f>C12</f>
        <v/>
      </c>
      <c r="D175" s="895">
        <f>D12</f>
        <v/>
      </c>
      <c r="E175" s="895">
        <f>E12</f>
        <v/>
      </c>
      <c r="F175" s="895">
        <f>F12</f>
        <v/>
      </c>
      <c r="G175" s="831" t="n"/>
      <c r="H175" s="852" t="n"/>
      <c r="I175" s="412" t="n"/>
      <c r="J175" s="406" t="n"/>
      <c r="K175" s="406" t="n"/>
    </row>
    <row r="176">
      <c r="A176" s="893" t="inlineStr">
        <is>
          <t xml:space="preserve">  Operating Reserves</t>
        </is>
      </c>
      <c r="B176" s="895">
        <f>B13</f>
        <v/>
      </c>
      <c r="C176" s="895">
        <f>C13</f>
        <v/>
      </c>
      <c r="D176" s="895">
        <f>D13</f>
        <v/>
      </c>
      <c r="E176" s="895">
        <f>E13</f>
        <v/>
      </c>
      <c r="F176" s="895">
        <f>F13</f>
        <v/>
      </c>
      <c r="G176" s="831" t="n"/>
      <c r="H176" s="852" t="n"/>
      <c r="I176" s="412" t="n"/>
      <c r="J176" s="406" t="n"/>
      <c r="K176" s="406" t="n"/>
    </row>
    <row r="177">
      <c r="A177" s="893" t="inlineStr">
        <is>
          <t xml:space="preserve">  Est. Closing Costs</t>
        </is>
      </c>
      <c r="B177" s="895">
        <f>B14</f>
        <v/>
      </c>
      <c r="C177" s="895">
        <f>C14</f>
        <v/>
      </c>
      <c r="D177" s="895">
        <f>D14</f>
        <v/>
      </c>
      <c r="E177" s="895">
        <f>E14</f>
        <v/>
      </c>
      <c r="F177" s="895">
        <f>F14</f>
        <v/>
      </c>
      <c r="G177" s="831" t="n"/>
      <c r="H177" s="852" t="n"/>
      <c r="I177" s="412" t="n"/>
      <c r="J177" s="406" t="n"/>
      <c r="K177" s="406" t="n"/>
    </row>
    <row r="178">
      <c r="A178" s="893" t="inlineStr">
        <is>
          <t xml:space="preserve">  Acquisition Fee</t>
        </is>
      </c>
      <c r="B178" s="895">
        <f>B16</f>
        <v/>
      </c>
      <c r="C178" s="895">
        <f>C16</f>
        <v/>
      </c>
      <c r="D178" s="895">
        <f>D16</f>
        <v/>
      </c>
      <c r="E178" s="895">
        <f>E16</f>
        <v/>
      </c>
      <c r="F178" s="895">
        <f>F16</f>
        <v/>
      </c>
      <c r="G178" s="831" t="n"/>
      <c r="H178" s="852" t="n"/>
      <c r="I178" s="412" t="n"/>
      <c r="J178" s="406" t="n"/>
      <c r="K178" s="406" t="n"/>
    </row>
    <row r="179">
      <c r="A179" s="896" t="inlineStr">
        <is>
          <t>Total Soft Costs</t>
        </is>
      </c>
      <c r="B179" s="897">
        <f>IFERROR(B12+B13+B14+B16,B12+B13+B16)</f>
        <v/>
      </c>
      <c r="C179" s="897">
        <f>IFERROR(C12+C13+C14+C16,C12+C13+C16)</f>
        <v/>
      </c>
      <c r="D179" s="897">
        <f>IFERROR(D12+D13+D14+D16,D12+D13+D16)</f>
        <v/>
      </c>
      <c r="E179" s="897">
        <f>IFERROR(E12+E13+E14+E16,E12+E13+E16)</f>
        <v/>
      </c>
      <c r="F179" s="897">
        <f>IFERROR(F12+F13+F14+F16,F12+F13+F16)</f>
        <v/>
      </c>
      <c r="G179" s="831" t="n"/>
      <c r="H179" s="852" t="n"/>
      <c r="I179" s="412" t="n"/>
      <c r="J179" s="406" t="n"/>
      <c r="K179" s="406" t="n"/>
    </row>
    <row r="180">
      <c r="I180" s="412" t="n"/>
      <c r="J180" s="406" t="n"/>
      <c r="K180" s="406" t="n"/>
    </row>
    <row r="181">
      <c r="A181" s="412" t="n"/>
      <c r="B181" s="412" t="n"/>
      <c r="C181" s="412" t="n"/>
      <c r="D181" s="412" t="n"/>
      <c r="E181" s="412" t="n"/>
      <c r="F181" s="412" t="n"/>
      <c r="G181" s="831" t="n"/>
      <c r="H181" s="852" t="n"/>
      <c r="I181" s="412" t="n"/>
      <c r="J181" s="406" t="n"/>
      <c r="K181" s="406" t="n"/>
    </row>
    <row r="182">
      <c r="A182" s="412" t="n"/>
      <c r="B182" s="412" t="n"/>
      <c r="C182" s="412" t="n"/>
      <c r="D182" s="412" t="n"/>
      <c r="E182" s="412" t="n"/>
      <c r="F182" s="412" t="n"/>
      <c r="G182" s="831" t="n"/>
      <c r="H182" s="852" t="n"/>
      <c r="I182" s="412" t="n"/>
      <c r="J182" s="406" t="n"/>
      <c r="K182" s="406" t="n"/>
    </row>
    <row r="183">
      <c r="A183" s="412" t="n"/>
      <c r="B183" s="412" t="n"/>
      <c r="C183" s="412" t="n"/>
      <c r="D183" s="412" t="n"/>
      <c r="E183" s="412" t="n"/>
      <c r="F183" s="412" t="n"/>
      <c r="G183" s="831" t="n"/>
      <c r="H183" s="852" t="n"/>
      <c r="I183" s="412" t="n"/>
      <c r="J183" s="406" t="n"/>
      <c r="K183" s="406" t="n"/>
    </row>
    <row r="184">
      <c r="A184" s="412" t="n"/>
      <c r="B184" s="412" t="n"/>
      <c r="C184" s="412" t="n"/>
      <c r="D184" s="412" t="n"/>
      <c r="E184" s="412" t="n"/>
      <c r="F184" s="412" t="n"/>
      <c r="G184" s="831" t="n"/>
      <c r="H184" s="852" t="n"/>
      <c r="I184" s="412" t="n"/>
      <c r="J184" s="406" t="n"/>
      <c r="K184" s="406" t="n"/>
    </row>
    <row r="185">
      <c r="A185" s="412" t="n"/>
      <c r="B185" s="412" t="n"/>
      <c r="C185" s="412" t="n"/>
      <c r="D185" s="412" t="n"/>
      <c r="E185" s="412" t="n"/>
      <c r="F185" s="412" t="n"/>
      <c r="G185" s="831" t="n"/>
      <c r="H185" s="852" t="n"/>
      <c r="I185" s="412" t="n"/>
      <c r="J185" s="406" t="n"/>
      <c r="K185" s="406" t="n"/>
    </row>
    <row r="186">
      <c r="A186" s="412" t="n"/>
      <c r="B186" s="412" t="n"/>
      <c r="C186" s="412" t="n"/>
      <c r="D186" s="412" t="n"/>
      <c r="E186" s="412" t="n"/>
      <c r="F186" s="412" t="n"/>
      <c r="G186" s="831" t="n"/>
      <c r="H186" s="852" t="n"/>
      <c r="I186" s="412" t="n"/>
      <c r="J186" s="406" t="n"/>
      <c r="K186" s="406" t="n"/>
    </row>
    <row r="187">
      <c r="A187" s="412" t="n"/>
      <c r="B187" s="412" t="n"/>
      <c r="C187" s="412" t="n"/>
      <c r="D187" s="412" t="n"/>
      <c r="E187" s="412" t="n"/>
      <c r="F187" s="412" t="n"/>
      <c r="G187" s="831" t="n"/>
      <c r="H187" s="852" t="n"/>
      <c r="I187" s="412" t="n"/>
      <c r="J187" s="406" t="n"/>
      <c r="K187" s="406" t="n"/>
    </row>
    <row r="188">
      <c r="A188" s="412" t="n"/>
      <c r="B188" s="412" t="n"/>
      <c r="C188" s="412" t="n"/>
      <c r="D188" s="412" t="n"/>
      <c r="E188" s="412" t="n"/>
      <c r="F188" s="412" t="n"/>
      <c r="G188" s="831" t="n"/>
      <c r="H188" s="852" t="n"/>
      <c r="I188" s="412" t="n"/>
      <c r="J188" s="406" t="n"/>
      <c r="K188" s="406" t="n"/>
    </row>
    <row r="189">
      <c r="A189" s="412" t="n"/>
      <c r="B189" s="412" t="n"/>
      <c r="C189" s="412" t="n"/>
      <c r="D189" s="412" t="n"/>
      <c r="E189" s="412" t="n"/>
      <c r="F189" s="412" t="n"/>
      <c r="G189" s="831" t="n"/>
      <c r="H189" s="852" t="n"/>
      <c r="I189" s="412" t="n"/>
      <c r="J189" s="406" t="n"/>
      <c r="K189" s="406" t="n"/>
    </row>
    <row r="190">
      <c r="A190" s="412" t="n"/>
      <c r="B190" s="412" t="n"/>
      <c r="C190" s="412" t="n"/>
      <c r="D190" s="412" t="n"/>
      <c r="E190" s="412" t="n"/>
      <c r="F190" s="412" t="n"/>
      <c r="G190" s="831" t="n"/>
      <c r="H190" s="852" t="n"/>
      <c r="I190" s="412" t="n"/>
      <c r="J190" s="406" t="n"/>
      <c r="K190" s="406" t="n"/>
    </row>
    <row r="191">
      <c r="A191" s="412" t="n"/>
      <c r="B191" s="412" t="n"/>
      <c r="C191" s="412" t="n"/>
      <c r="D191" s="412" t="n"/>
      <c r="E191" s="412" t="n"/>
      <c r="F191" s="412" t="n"/>
      <c r="G191" s="831" t="n"/>
      <c r="H191" s="852" t="n"/>
      <c r="I191" s="412" t="n"/>
    </row>
    <row r="192">
      <c r="A192" s="412" t="n"/>
      <c r="B192" s="412" t="n"/>
      <c r="C192" s="412" t="n"/>
      <c r="D192" s="412" t="n"/>
      <c r="E192" s="412" t="n"/>
      <c r="F192" s="412" t="n"/>
      <c r="G192" s="831" t="n"/>
      <c r="H192" s="852" t="n"/>
      <c r="I192" s="412" t="n"/>
    </row>
  </sheetData>
  <mergeCells count="13">
    <mergeCell ref="A3:H3"/>
    <mergeCell ref="A140:H140"/>
    <mergeCell ref="A139:H139"/>
    <mergeCell ref="A154:H154"/>
    <mergeCell ref="A147:H147"/>
    <mergeCell ref="A78:H78"/>
    <mergeCell ref="A161:H161"/>
    <mergeCell ref="A128:H128"/>
    <mergeCell ref="A19:H19"/>
    <mergeCell ref="A138:H138"/>
    <mergeCell ref="A1:H1"/>
    <mergeCell ref="A37:H37"/>
    <mergeCell ref="A27:H27"/>
  </mergeCells>
  <dataValidations count="2">
    <dataValidation sqref="B2" showDropDown="0" showInputMessage="0" showErrorMessage="0" allowBlank="0" type="list">
      <formula1>"1. Marketing Package,2. My Version,3. Projected,4. Offer"</formula1>
      <formula2>0</formula2>
    </dataValidation>
    <dataValidation sqref="B173:E173" showDropDown="0" showInputMessage="1" showErrorMessage="1" allowBlank="1" errorTitle="Invalid Entry" error="Please select YES or NO." type="list">
      <formula1>"YES,NO"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0"/>
  <sheetViews>
    <sheetView zoomScaleNormal="100" workbookViewId="0">
      <pane xSplit="1" ySplit="7" topLeftCell="B15" activePane="bottomRight" state="frozen"/>
      <selection pane="topRight" activeCell="B1" sqref="B1"/>
      <selection pane="bottomLeft" activeCell="A36" sqref="A36"/>
      <selection pane="bottomRight" activeCell="D22" sqref="D22"/>
    </sheetView>
  </sheetViews>
  <sheetFormatPr baseColWidth="10" defaultColWidth="8.83203125" defaultRowHeight="15" outlineLevelRow="1"/>
  <cols>
    <col width="37.33203125" bestFit="1" customWidth="1" style="923" min="1" max="1"/>
    <col width="5.5" customWidth="1" style="923" min="2" max="2"/>
    <col width="15.33203125" bestFit="1" customWidth="1" style="923" min="3" max="3"/>
    <col width="15.6640625" bestFit="1" customWidth="1" style="923" min="4" max="8"/>
    <col width="17" customWidth="1" style="923" min="9" max="13"/>
    <col width="14" customWidth="1" style="923" min="14" max="16"/>
    <col width="16" customWidth="1" style="923" min="17" max="18"/>
  </cols>
  <sheetData>
    <row r="1" ht="27.75" customHeight="1" s="923">
      <c r="A1" s="948" t="inlineStr">
        <is>
          <t>P&amp;L — 10-YEAR PRO FORMA PROJECTIONS  (Active Scenario drives all inputs)</t>
        </is>
      </c>
    </row>
    <row r="2" ht="15.75" customHeight="1" s="923">
      <c r="A2" s="934" t="inlineStr">
        <is>
          <t xml:space="preserve">  Blue = input | Black = formula | Green = cross-sheet. Escalators auto-pulled from annual averages. Override any cell and highlight yellow.</t>
        </is>
      </c>
    </row>
    <row r="4" ht="24" customHeight="1" s="923">
      <c r="A4" s="102" t="inlineStr">
        <is>
          <t>ESCALATORS &amp; ASSUMPTIONS</t>
        </is>
      </c>
      <c r="B4" s="102" t="n"/>
      <c r="C4" s="102" t="n"/>
      <c r="D4" s="32" t="inlineStr">
        <is>
          <t>Year 1</t>
        </is>
      </c>
      <c r="E4" s="32" t="inlineStr">
        <is>
          <t>Year 2</t>
        </is>
      </c>
      <c r="F4" s="32" t="inlineStr">
        <is>
          <t>Year 3</t>
        </is>
      </c>
      <c r="G4" s="32" t="inlineStr">
        <is>
          <t>Year 4</t>
        </is>
      </c>
      <c r="H4" s="32" t="inlineStr">
        <is>
          <t>Year 5</t>
        </is>
      </c>
      <c r="I4" s="32" t="inlineStr">
        <is>
          <t>Year 6</t>
        </is>
      </c>
      <c r="J4" s="32" t="inlineStr">
        <is>
          <t>Year 7</t>
        </is>
      </c>
      <c r="K4" s="32" t="inlineStr">
        <is>
          <t>Year 8</t>
        </is>
      </c>
      <c r="L4" s="32" t="inlineStr">
        <is>
          <t>Year 9</t>
        </is>
      </c>
      <c r="M4" s="32" t="inlineStr">
        <is>
          <t>Year 10</t>
        </is>
      </c>
      <c r="N4" s="102" t="n"/>
      <c r="O4" s="102" t="n"/>
      <c r="P4" s="102" t="n"/>
      <c r="Q4" s="102" t="n"/>
    </row>
    <row r="5" ht="18" customHeight="1" s="923">
      <c r="A5" s="103" t="inlineStr">
        <is>
          <t>Annual Revenue Escalator</t>
        </is>
      </c>
      <c r="B5" s="103" t="n"/>
      <c r="C5" s="104" t="inlineStr">
        <is>
          <t>—</t>
        </is>
      </c>
      <c r="D5" s="105" t="n">
        <v>0.04</v>
      </c>
      <c r="E5" s="105" t="n">
        <v>0.04</v>
      </c>
      <c r="F5" s="105" t="n">
        <v>0.04</v>
      </c>
      <c r="G5" s="105" t="n">
        <v>0.04</v>
      </c>
      <c r="H5" s="105">
        <f>G5</f>
        <v/>
      </c>
      <c r="I5" s="105">
        <f>H5</f>
        <v/>
      </c>
      <c r="J5" s="105">
        <f>I5</f>
        <v/>
      </c>
      <c r="K5" s="105">
        <f>J5</f>
        <v/>
      </c>
      <c r="L5" s="105">
        <f>K5</f>
        <v/>
      </c>
      <c r="M5" s="105">
        <f>L5</f>
        <v/>
      </c>
      <c r="N5" s="103" t="inlineStr">
        <is>
          <t>Avg:</t>
        </is>
      </c>
      <c r="O5" s="953">
        <f>AVERAGE(D5:M5)</f>
        <v/>
      </c>
    </row>
    <row r="6" ht="18" customHeight="1" s="923">
      <c r="A6" s="103" t="inlineStr">
        <is>
          <t>Annual Expense Escalator</t>
        </is>
      </c>
      <c r="B6" s="103" t="n"/>
      <c r="C6" s="104" t="inlineStr">
        <is>
          <t>—</t>
        </is>
      </c>
      <c r="D6" s="105" t="n">
        <v>0.03</v>
      </c>
      <c r="E6" s="105" t="n">
        <v>0.03</v>
      </c>
      <c r="F6" s="105" t="n">
        <v>0.03</v>
      </c>
      <c r="G6" s="105" t="n">
        <v>0.03</v>
      </c>
      <c r="H6" s="105" t="n">
        <v>0.03</v>
      </c>
      <c r="I6" s="105">
        <f>H6</f>
        <v/>
      </c>
      <c r="J6" s="105">
        <f>I6</f>
        <v/>
      </c>
      <c r="K6" s="105">
        <f>J6</f>
        <v/>
      </c>
      <c r="L6" s="105">
        <f>K6</f>
        <v/>
      </c>
      <c r="M6" s="105">
        <f>L6</f>
        <v/>
      </c>
      <c r="N6" s="103" t="inlineStr">
        <is>
          <t>Avg:</t>
        </is>
      </c>
      <c r="O6" s="953">
        <f>AVERAGE(D6:M6)</f>
        <v/>
      </c>
    </row>
    <row r="8" ht="30" customHeight="1" s="923">
      <c r="A8" s="41" t="inlineStr">
        <is>
          <t>Line Item</t>
        </is>
      </c>
      <c r="B8" s="41" t="n"/>
      <c r="C8" s="59" t="inlineStr">
        <is>
          <t>T-12 Actual</t>
        </is>
      </c>
      <c r="D8" s="32" t="inlineStr">
        <is>
          <t>Year 1</t>
        </is>
      </c>
      <c r="E8" s="32" t="inlineStr">
        <is>
          <t>Year 2</t>
        </is>
      </c>
      <c r="F8" s="32" t="inlineStr">
        <is>
          <t>Year 3</t>
        </is>
      </c>
      <c r="G8" s="32" t="inlineStr">
        <is>
          <t>Year 4</t>
        </is>
      </c>
      <c r="H8" s="32" t="inlineStr">
        <is>
          <t>Year 5</t>
        </is>
      </c>
      <c r="I8" s="32" t="inlineStr">
        <is>
          <t>Year 6</t>
        </is>
      </c>
      <c r="J8" s="32" t="inlineStr">
        <is>
          <t>Year 7</t>
        </is>
      </c>
      <c r="K8" s="32" t="inlineStr">
        <is>
          <t>Year 8</t>
        </is>
      </c>
      <c r="L8" s="32" t="inlineStr">
        <is>
          <t>Year 9</t>
        </is>
      </c>
      <c r="M8" s="32" t="inlineStr">
        <is>
          <t>Year 10</t>
        </is>
      </c>
      <c r="N8" s="32" t="inlineStr">
        <is>
          <t>Total
(Y1–Y5)</t>
        </is>
      </c>
      <c r="O8" s="32" t="inlineStr">
        <is>
          <t>Total
(Y1–Y10)</t>
        </is>
      </c>
      <c r="P8" s="32" t="inlineStr">
        <is>
          <t>Avg / Yr</t>
        </is>
      </c>
      <c r="Q8" s="19" t="inlineStr">
        <is>
          <t>Y1 % EGI
/ Y1 Value</t>
        </is>
      </c>
    </row>
    <row r="9" ht="24" customHeight="1" s="923">
      <c r="A9" s="938" t="inlineStr">
        <is>
          <t>INCOME</t>
        </is>
      </c>
    </row>
    <row r="10" ht="24" customHeight="1" s="923">
      <c r="A10" s="62" t="inlineStr">
        <is>
          <t>Avg. Rent / Bed</t>
        </is>
      </c>
      <c r="B10" s="62" t="n"/>
      <c r="C10" s="523">
        <f>IFERROR((C43/C42)/12,0)</f>
        <v/>
      </c>
      <c r="D10" s="523">
        <f>IFERROR((D43/D42)/12,0)</f>
        <v/>
      </c>
      <c r="E10" s="502">
        <f>IFERROR((E43/E42)/12,0)</f>
        <v/>
      </c>
      <c r="F10" s="502">
        <f>IFERROR((F43/F42)/12,0)</f>
        <v/>
      </c>
      <c r="G10" s="502">
        <f>IFERROR((G43/G42)/12,0)</f>
        <v/>
      </c>
      <c r="H10" s="502">
        <f>IFERROR((H43/H42)/12,0)</f>
        <v/>
      </c>
      <c r="I10" s="502">
        <f>IFERROR((I43/I42)/12,0)</f>
        <v/>
      </c>
      <c r="J10" s="502">
        <f>IFERROR((J43/J42)/12,0)</f>
        <v/>
      </c>
      <c r="K10" s="502">
        <f>IFERROR((K43/K42)/12,0)</f>
        <v/>
      </c>
      <c r="L10" s="502">
        <f>IFERROR((L43/L42)/12,0)</f>
        <v/>
      </c>
      <c r="M10" s="502">
        <f>IFERROR((M43/M42)/12,0)</f>
        <v/>
      </c>
    </row>
    <row r="11" ht="24" customHeight="1" s="923">
      <c r="A11" s="419" t="inlineStr">
        <is>
          <t>── INDEPENDENT LIVING (IL) ──</t>
        </is>
      </c>
      <c r="B11" s="419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  <c r="M11" s="106" t="n"/>
    </row>
    <row r="12" outlineLevel="1" ht="24" customHeight="1" s="923">
      <c r="A12" s="418" t="inlineStr">
        <is>
          <t xml:space="preserve">  Licensed Beds — IL</t>
        </is>
      </c>
      <c r="B12" s="418" t="n"/>
      <c r="C12" s="495">
        <f>Scenarios!B39</f>
        <v/>
      </c>
      <c r="D12" s="496">
        <f>Scenarios!F39</f>
        <v/>
      </c>
      <c r="E12" s="497">
        <f>D12</f>
        <v/>
      </c>
      <c r="F12" s="497">
        <f>E12</f>
        <v/>
      </c>
      <c r="G12" s="497">
        <f>F12</f>
        <v/>
      </c>
      <c r="H12" s="497">
        <f>G12</f>
        <v/>
      </c>
      <c r="I12" s="497">
        <f>H12</f>
        <v/>
      </c>
      <c r="J12" s="497">
        <f>I12</f>
        <v/>
      </c>
      <c r="K12" s="497">
        <f>J12</f>
        <v/>
      </c>
      <c r="L12" s="497">
        <f>K12</f>
        <v/>
      </c>
      <c r="M12" s="497">
        <f>L12</f>
        <v/>
      </c>
      <c r="N12" s="498" t="n"/>
      <c r="O12" s="498" t="n"/>
      <c r="P12" s="498" t="n"/>
    </row>
    <row r="13" outlineLevel="1" ht="24" customHeight="1" s="923">
      <c r="A13" s="418" t="inlineStr">
        <is>
          <t xml:space="preserve">  Avg Monthly Rate — IL</t>
        </is>
      </c>
      <c r="B13" s="418" t="n"/>
      <c r="C13" s="499">
        <f>Scenarios!B40</f>
        <v/>
      </c>
      <c r="D13" s="500">
        <f>Scenarios!F40</f>
        <v/>
      </c>
      <c r="E13" s="501">
        <f>D13*(1+E$5)</f>
        <v/>
      </c>
      <c r="F13" s="501">
        <f>E13*(1+F$5)</f>
        <v/>
      </c>
      <c r="G13" s="501">
        <f>F13*(1+G$5)</f>
        <v/>
      </c>
      <c r="H13" s="501">
        <f>G13*(1+H$5)</f>
        <v/>
      </c>
      <c r="I13" s="501">
        <f>H13*(1+I$5)</f>
        <v/>
      </c>
      <c r="J13" s="501">
        <f>I13*(1+J$5)</f>
        <v/>
      </c>
      <c r="K13" s="501">
        <f>J13*(1+K$5)</f>
        <v/>
      </c>
      <c r="L13" s="501">
        <f>K13*(1+L$5)</f>
        <v/>
      </c>
      <c r="M13" s="501">
        <f>L13*(1+M$5)</f>
        <v/>
      </c>
      <c r="N13" s="498" t="n"/>
      <c r="O13" s="498" t="n"/>
      <c r="P13" s="498" t="n"/>
    </row>
    <row r="14" outlineLevel="1" ht="24" customHeight="1" s="923">
      <c r="A14" s="418" t="inlineStr">
        <is>
          <t xml:space="preserve">  GPR — IL</t>
        </is>
      </c>
      <c r="B14" s="418" t="n"/>
      <c r="C14" s="501">
        <f>C12*C13*12</f>
        <v/>
      </c>
      <c r="D14" s="500">
        <f>D12*D13*12</f>
        <v/>
      </c>
      <c r="E14" s="501">
        <f>E12*E13*12</f>
        <v/>
      </c>
      <c r="F14" s="501">
        <f>F12*F13*12</f>
        <v/>
      </c>
      <c r="G14" s="501">
        <f>G12*G13*12</f>
        <v/>
      </c>
      <c r="H14" s="501">
        <f>H12*H13*12</f>
        <v/>
      </c>
      <c r="I14" s="501">
        <f>I12*I13*12</f>
        <v/>
      </c>
      <c r="J14" s="501">
        <f>J12*J13*12</f>
        <v/>
      </c>
      <c r="K14" s="501">
        <f>K12*K13*12</f>
        <v/>
      </c>
      <c r="L14" s="501">
        <f>L12*L13*12</f>
        <v/>
      </c>
      <c r="M14" s="501">
        <f>M12*M13*12</f>
        <v/>
      </c>
      <c r="N14" s="501">
        <f>SUM(D14:H14)</f>
        <v/>
      </c>
      <c r="O14" s="501">
        <f>SUM(D14:M14)</f>
        <v/>
      </c>
      <c r="P14" s="478">
        <f>IFERROR(O14/10,0)</f>
        <v/>
      </c>
      <c r="Q14" s="447">
        <f>IFERROR(D14/$D$50,0)</f>
        <v/>
      </c>
    </row>
    <row r="15" outlineLevel="1" ht="24" customHeight="1" s="923">
      <c r="A15" s="424" t="inlineStr">
        <is>
          <t xml:space="preserve">    Vacancy % — IL</t>
        </is>
      </c>
      <c r="B15" s="424" t="n"/>
      <c r="C15" s="436">
        <f>Scenarios!B42</f>
        <v/>
      </c>
      <c r="D15" s="436">
        <f>Scenarios!F42</f>
        <v/>
      </c>
      <c r="E15" s="442">
        <f>D15</f>
        <v/>
      </c>
      <c r="F15" s="442">
        <f>E15</f>
        <v/>
      </c>
      <c r="G15" s="442">
        <f>F15</f>
        <v/>
      </c>
      <c r="H15" s="442">
        <f>G15</f>
        <v/>
      </c>
      <c r="I15" s="442">
        <f>H15</f>
        <v/>
      </c>
      <c r="J15" s="442">
        <f>I15</f>
        <v/>
      </c>
      <c r="K15" s="442">
        <f>J15</f>
        <v/>
      </c>
      <c r="L15" s="442">
        <f>K15</f>
        <v/>
      </c>
      <c r="M15" s="442">
        <f>L15</f>
        <v/>
      </c>
      <c r="N15" s="498" t="n"/>
      <c r="O15" s="498" t="n"/>
      <c r="P15" s="498" t="n"/>
    </row>
    <row r="16" outlineLevel="1" ht="24" customHeight="1" s="923">
      <c r="A16" s="425" t="inlineStr">
        <is>
          <t xml:space="preserve">    Less: Vacancy — IL</t>
        </is>
      </c>
      <c r="B16" s="425" t="n"/>
      <c r="C16" s="502">
        <f>IFERROR(-C15*C14,0)</f>
        <v/>
      </c>
      <c r="D16" s="500">
        <f>IFERROR(-D15*D14,0)</f>
        <v/>
      </c>
      <c r="E16" s="502">
        <f>IFERROR(-E15*E14,0)</f>
        <v/>
      </c>
      <c r="F16" s="502">
        <f>IFERROR(-F15*F14,0)</f>
        <v/>
      </c>
      <c r="G16" s="502">
        <f>IFERROR(-G15*G14,0)</f>
        <v/>
      </c>
      <c r="H16" s="502">
        <f>IFERROR(-H15*H14,0)</f>
        <v/>
      </c>
      <c r="I16" s="502">
        <f>IFERROR(-I15*I14,0)</f>
        <v/>
      </c>
      <c r="J16" s="502">
        <f>IFERROR(-J15*J14,0)</f>
        <v/>
      </c>
      <c r="K16" s="502">
        <f>IFERROR(-K15*K14,0)</f>
        <v/>
      </c>
      <c r="L16" s="502">
        <f>IFERROR(-L15*L14,0)</f>
        <v/>
      </c>
      <c r="M16" s="502">
        <f>IFERROR(-M15*M14,0)</f>
        <v/>
      </c>
      <c r="N16" s="498" t="n"/>
      <c r="O16" s="498" t="n"/>
      <c r="P16" s="498" t="n"/>
    </row>
    <row r="17" outlineLevel="1" ht="24" customHeight="1" s="923">
      <c r="A17" s="426" t="inlineStr">
        <is>
          <t xml:space="preserve">    Loss to Lease % — IL</t>
        </is>
      </c>
      <c r="B17" s="426" t="n"/>
      <c r="C17" s="438">
        <f>Scenarios!B68</f>
        <v/>
      </c>
      <c r="D17" s="438">
        <f>Scenarios!F68</f>
        <v/>
      </c>
      <c r="E17" s="443">
        <f>D17</f>
        <v/>
      </c>
      <c r="F17" s="443">
        <f>E17</f>
        <v/>
      </c>
      <c r="G17" s="443">
        <f>F17</f>
        <v/>
      </c>
      <c r="H17" s="443">
        <f>G17</f>
        <v/>
      </c>
      <c r="I17" s="443">
        <f>H17</f>
        <v/>
      </c>
      <c r="J17" s="443">
        <f>I17</f>
        <v/>
      </c>
      <c r="K17" s="443">
        <f>J17</f>
        <v/>
      </c>
      <c r="L17" s="443">
        <f>K17</f>
        <v/>
      </c>
      <c r="M17" s="443">
        <f>L17</f>
        <v/>
      </c>
      <c r="N17" s="498" t="n"/>
      <c r="O17" s="498" t="n"/>
      <c r="P17" s="498" t="n"/>
    </row>
    <row r="18" outlineLevel="1" ht="24" customHeight="1" s="923">
      <c r="A18" s="427" t="inlineStr">
        <is>
          <t xml:space="preserve">    Less: Loss to Lease — IL</t>
        </is>
      </c>
      <c r="B18" s="427" t="n"/>
      <c r="C18" s="502">
        <f>IFERROR(-C17*C14,0)</f>
        <v/>
      </c>
      <c r="D18" s="500">
        <f>IFERROR(-D17*D14,0)</f>
        <v/>
      </c>
      <c r="E18" s="502">
        <f>IFERROR(-E17*E14,0)</f>
        <v/>
      </c>
      <c r="F18" s="502">
        <f>IFERROR(-F17*F14,0)</f>
        <v/>
      </c>
      <c r="G18" s="502">
        <f>IFERROR(-G17*G14,0)</f>
        <v/>
      </c>
      <c r="H18" s="502">
        <f>IFERROR(-H17*H14,0)</f>
        <v/>
      </c>
      <c r="I18" s="502">
        <f>IFERROR(-I17*I14,0)</f>
        <v/>
      </c>
      <c r="J18" s="502">
        <f>IFERROR(-J17*J14,0)</f>
        <v/>
      </c>
      <c r="K18" s="502">
        <f>IFERROR(-K17*K14,0)</f>
        <v/>
      </c>
      <c r="L18" s="502">
        <f>IFERROR(-L17*L14,0)</f>
        <v/>
      </c>
      <c r="M18" s="502">
        <f>IFERROR(-M17*M14,0)</f>
        <v/>
      </c>
      <c r="N18" s="498" t="n"/>
      <c r="O18" s="498" t="n"/>
      <c r="P18" s="498" t="n"/>
    </row>
    <row r="19" outlineLevel="1" ht="24" customHeight="1" s="923">
      <c r="A19" s="426" t="inlineStr">
        <is>
          <t xml:space="preserve">    Bad Debt / Concessions % — IL</t>
        </is>
      </c>
      <c r="B19" s="426" t="n"/>
      <c r="C19" s="438">
        <f>Scenarios!B70</f>
        <v/>
      </c>
      <c r="D19" s="438">
        <f>Scenarios!F70</f>
        <v/>
      </c>
      <c r="E19" s="443">
        <f>D19</f>
        <v/>
      </c>
      <c r="F19" s="443">
        <f>E19</f>
        <v/>
      </c>
      <c r="G19" s="443">
        <f>F19</f>
        <v/>
      </c>
      <c r="H19" s="443">
        <f>G19</f>
        <v/>
      </c>
      <c r="I19" s="443">
        <f>H19</f>
        <v/>
      </c>
      <c r="J19" s="443">
        <f>I19</f>
        <v/>
      </c>
      <c r="K19" s="443">
        <f>J19</f>
        <v/>
      </c>
      <c r="L19" s="443">
        <f>K19</f>
        <v/>
      </c>
      <c r="M19" s="443">
        <f>L19</f>
        <v/>
      </c>
      <c r="N19" s="498" t="n"/>
      <c r="O19" s="498" t="n"/>
      <c r="P19" s="498" t="n"/>
    </row>
    <row r="20" outlineLevel="1" ht="24" customHeight="1" s="923">
      <c r="A20" s="425" t="inlineStr">
        <is>
          <t xml:space="preserve">    Less: Concessions/Bad Debt — IL</t>
        </is>
      </c>
      <c r="B20" s="425" t="n"/>
      <c r="C20" s="502">
        <f>IFERROR(-C19*C14,0)</f>
        <v/>
      </c>
      <c r="D20" s="500">
        <f>IFERROR(-D19*D14,0)</f>
        <v/>
      </c>
      <c r="E20" s="502">
        <f>IFERROR(-E19*E14,0)</f>
        <v/>
      </c>
      <c r="F20" s="502">
        <f>IFERROR(-F19*F14,0)</f>
        <v/>
      </c>
      <c r="G20" s="502">
        <f>IFERROR(-G19*G14,0)</f>
        <v/>
      </c>
      <c r="H20" s="502">
        <f>IFERROR(-H19*H14,0)</f>
        <v/>
      </c>
      <c r="I20" s="502">
        <f>IFERROR(-I19*I14,0)</f>
        <v/>
      </c>
      <c r="J20" s="502">
        <f>IFERROR(-J19*J14,0)</f>
        <v/>
      </c>
      <c r="K20" s="502">
        <f>IFERROR(-K19*K14,0)</f>
        <v/>
      </c>
      <c r="L20" s="502">
        <f>IFERROR(-L19*L14,0)</f>
        <v/>
      </c>
      <c r="M20" s="502">
        <f>IFERROR(-M19*M14,0)</f>
        <v/>
      </c>
      <c r="N20" s="498" t="n"/>
      <c r="O20" s="498" t="n"/>
      <c r="P20" s="498" t="n"/>
    </row>
    <row r="21" ht="24" customHeight="1" s="923">
      <c r="A21" s="419" t="inlineStr">
        <is>
          <t>── ASSISTED LIVING (AL) ──</t>
        </is>
      </c>
      <c r="B21" s="419" t="n"/>
      <c r="C21" s="501" t="n"/>
      <c r="D21" s="501" t="n"/>
      <c r="E21" s="501" t="n"/>
      <c r="F21" s="501" t="n"/>
      <c r="G21" s="501" t="n"/>
      <c r="H21" s="501" t="n"/>
      <c r="I21" s="501" t="n"/>
      <c r="J21" s="501" t="n"/>
      <c r="K21" s="501" t="n"/>
      <c r="L21" s="501" t="n"/>
      <c r="M21" s="501" t="n"/>
      <c r="N21" s="498" t="n"/>
      <c r="O21" s="498" t="n"/>
      <c r="P21" s="498" t="n"/>
    </row>
    <row r="22" outlineLevel="1" ht="24" customHeight="1" s="923">
      <c r="A22" s="418" t="inlineStr">
        <is>
          <t xml:space="preserve">  Licensed Beds — AL</t>
        </is>
      </c>
      <c r="B22" s="418" t="n"/>
      <c r="C22" s="495">
        <f>Scenarios!B45</f>
        <v/>
      </c>
      <c r="D22" s="496">
        <f>Scenarios!F45</f>
        <v/>
      </c>
      <c r="E22" s="497">
        <f>D22</f>
        <v/>
      </c>
      <c r="F22" s="497">
        <f>E22</f>
        <v/>
      </c>
      <c r="G22" s="497">
        <f>F22</f>
        <v/>
      </c>
      <c r="H22" s="497">
        <f>G22</f>
        <v/>
      </c>
      <c r="I22" s="497">
        <f>H22</f>
        <v/>
      </c>
      <c r="J22" s="497">
        <f>I22</f>
        <v/>
      </c>
      <c r="K22" s="497">
        <f>J22</f>
        <v/>
      </c>
      <c r="L22" s="497">
        <f>K22</f>
        <v/>
      </c>
      <c r="M22" s="497">
        <f>L22</f>
        <v/>
      </c>
      <c r="N22" s="498" t="n"/>
      <c r="O22" s="498" t="n"/>
      <c r="P22" s="498" t="n"/>
    </row>
    <row r="23" outlineLevel="1" ht="24" customHeight="1" s="923">
      <c r="A23" s="418" t="inlineStr">
        <is>
          <t xml:space="preserve">  Avg Monthly Rate — AL</t>
        </is>
      </c>
      <c r="B23" s="418" t="n"/>
      <c r="C23" s="499">
        <f>Scenarios!B46</f>
        <v/>
      </c>
      <c r="D23" s="500">
        <f>Scenarios!F46</f>
        <v/>
      </c>
      <c r="E23" s="501">
        <f>D23*(1+E$5)</f>
        <v/>
      </c>
      <c r="F23" s="501">
        <f>E23*(1+F$5)</f>
        <v/>
      </c>
      <c r="G23" s="501">
        <f>F23*(1+G$5)</f>
        <v/>
      </c>
      <c r="H23" s="501">
        <f>G23*(1+H$5)</f>
        <v/>
      </c>
      <c r="I23" s="501">
        <f>H23*(1+I$5)</f>
        <v/>
      </c>
      <c r="J23" s="501">
        <f>I23*(1+J$5)</f>
        <v/>
      </c>
      <c r="K23" s="501">
        <f>J23*(1+K$5)</f>
        <v/>
      </c>
      <c r="L23" s="501">
        <f>K23*(1+L$5)</f>
        <v/>
      </c>
      <c r="M23" s="501">
        <f>L23*(1+M$5)</f>
        <v/>
      </c>
      <c r="N23" s="498" t="n"/>
      <c r="O23" s="498" t="n"/>
      <c r="P23" s="498" t="n"/>
    </row>
    <row r="24" outlineLevel="1" ht="18" customHeight="1" s="923">
      <c r="A24" s="428" t="inlineStr">
        <is>
          <t xml:space="preserve">  GPR — AL</t>
        </is>
      </c>
      <c r="B24" s="428" t="n"/>
      <c r="C24" s="503">
        <f>C22*C23*12</f>
        <v/>
      </c>
      <c r="D24" s="504">
        <f>D22*D23*12</f>
        <v/>
      </c>
      <c r="E24" s="503">
        <f>E22*E23*12</f>
        <v/>
      </c>
      <c r="F24" s="503">
        <f>F22*F23*12</f>
        <v/>
      </c>
      <c r="G24" s="503">
        <f>G22*G23*12</f>
        <v/>
      </c>
      <c r="H24" s="503">
        <f>H22*H23*12</f>
        <v/>
      </c>
      <c r="I24" s="503">
        <f>I22*I23*12</f>
        <v/>
      </c>
      <c r="J24" s="503">
        <f>J22*J23*12</f>
        <v/>
      </c>
      <c r="K24" s="503">
        <f>K22*K23*12</f>
        <v/>
      </c>
      <c r="L24" s="503">
        <f>L22*L23*12</f>
        <v/>
      </c>
      <c r="M24" s="503">
        <f>M22*M23*12</f>
        <v/>
      </c>
      <c r="N24" s="505">
        <f>SUM(D24:H24)</f>
        <v/>
      </c>
      <c r="O24" s="505">
        <f>SUM(D24:M24)</f>
        <v/>
      </c>
      <c r="P24" s="505">
        <f>IFERROR(O24/10,0)</f>
        <v/>
      </c>
      <c r="Q24" s="78">
        <f>IFERROR(D24/$D$50,0)</f>
        <v/>
      </c>
    </row>
    <row r="25" outlineLevel="1" ht="15" customHeight="1" s="923">
      <c r="A25" s="429" t="inlineStr">
        <is>
          <t xml:space="preserve">    Vacancy % — AL</t>
        </is>
      </c>
      <c r="B25" s="429" t="n"/>
      <c r="C25" s="440">
        <f>Scenarios!B48</f>
        <v/>
      </c>
      <c r="D25" s="440">
        <f>Scenarios!F48</f>
        <v/>
      </c>
      <c r="E25" s="444">
        <f>D25</f>
        <v/>
      </c>
      <c r="F25" s="444">
        <f>E25</f>
        <v/>
      </c>
      <c r="G25" s="444">
        <f>F25</f>
        <v/>
      </c>
      <c r="H25" s="444">
        <f>G25</f>
        <v/>
      </c>
      <c r="I25" s="444">
        <f>H25</f>
        <v/>
      </c>
      <c r="J25" s="444">
        <f>I25</f>
        <v/>
      </c>
      <c r="K25" s="444">
        <f>J25</f>
        <v/>
      </c>
      <c r="L25" s="444">
        <f>K25</f>
        <v/>
      </c>
      <c r="M25" s="444">
        <f>L25</f>
        <v/>
      </c>
      <c r="N25" s="107" t="n"/>
      <c r="O25" s="107" t="n"/>
      <c r="P25" s="108" t="n"/>
      <c r="Q25" s="107" t="n"/>
    </row>
    <row r="26" outlineLevel="1" ht="18" customHeight="1" s="923">
      <c r="A26" s="427" t="inlineStr">
        <is>
          <t xml:space="preserve">    Less: Vacancy — AL</t>
        </is>
      </c>
      <c r="B26" s="427" t="n"/>
      <c r="C26" s="506">
        <f>IFERROR(-C25*C24,0)</f>
        <v/>
      </c>
      <c r="D26" s="504">
        <f>IFERROR(-D25*D24,0)</f>
        <v/>
      </c>
      <c r="E26" s="506">
        <f>IFERROR(-E25*E24,0)</f>
        <v/>
      </c>
      <c r="F26" s="506">
        <f>IFERROR(-F25*F24,0)</f>
        <v/>
      </c>
      <c r="G26" s="506">
        <f>IFERROR(-G25*G24,0)</f>
        <v/>
      </c>
      <c r="H26" s="506">
        <f>IFERROR(-H25*H24,0)</f>
        <v/>
      </c>
      <c r="I26" s="506">
        <f>IFERROR(-I25*I24,0)</f>
        <v/>
      </c>
      <c r="J26" s="506">
        <f>IFERROR(-J25*J24,0)</f>
        <v/>
      </c>
      <c r="K26" s="506">
        <f>IFERROR(-K25*K24,0)</f>
        <v/>
      </c>
      <c r="L26" s="506">
        <f>IFERROR(-L25*L24,0)</f>
        <v/>
      </c>
      <c r="M26" s="506">
        <f>IFERROR(-M25*M24,0)</f>
        <v/>
      </c>
      <c r="N26" s="109" t="n"/>
      <c r="O26" s="109" t="n"/>
      <c r="P26" s="507" t="n"/>
      <c r="Q26" s="110" t="n"/>
    </row>
    <row r="27" outlineLevel="1" ht="15" customHeight="1" s="923">
      <c r="A27" s="429" t="inlineStr">
        <is>
          <t xml:space="preserve">    Loss to Lease % — AL</t>
        </is>
      </c>
      <c r="B27" s="429" t="n"/>
      <c r="C27" s="440">
        <f>Scenarios!B68</f>
        <v/>
      </c>
      <c r="D27" s="440">
        <f>Scenarios!F68</f>
        <v/>
      </c>
      <c r="E27" s="444">
        <f>D27</f>
        <v/>
      </c>
      <c r="F27" s="444">
        <f>E27</f>
        <v/>
      </c>
      <c r="G27" s="444">
        <f>F27</f>
        <v/>
      </c>
      <c r="H27" s="444">
        <f>G27</f>
        <v/>
      </c>
      <c r="I27" s="444">
        <f>H27</f>
        <v/>
      </c>
      <c r="J27" s="444">
        <f>I27</f>
        <v/>
      </c>
      <c r="K27" s="444">
        <f>J27</f>
        <v/>
      </c>
      <c r="L27" s="444">
        <f>K27</f>
        <v/>
      </c>
      <c r="M27" s="444">
        <f>L27</f>
        <v/>
      </c>
      <c r="N27" s="107" t="n"/>
      <c r="O27" s="107" t="n"/>
      <c r="P27" s="108" t="n"/>
      <c r="Q27" s="107" t="n"/>
    </row>
    <row r="28" outlineLevel="1" ht="18" customHeight="1" s="923">
      <c r="A28" s="427" t="inlineStr">
        <is>
          <t xml:space="preserve">    Less: Loss to Lease — AL</t>
        </is>
      </c>
      <c r="B28" s="427" t="n"/>
      <c r="C28" s="508">
        <f>IFERROR(-C27*C24,0)</f>
        <v/>
      </c>
      <c r="D28" s="509">
        <f>IFERROR(-D27*D24,0)</f>
        <v/>
      </c>
      <c r="E28" s="508">
        <f>IFERROR(-E27*E24,0)</f>
        <v/>
      </c>
      <c r="F28" s="508">
        <f>IFERROR(-F27*F24,0)</f>
        <v/>
      </c>
      <c r="G28" s="508">
        <f>IFERROR(-G27*G24,0)</f>
        <v/>
      </c>
      <c r="H28" s="508">
        <f>IFERROR(-H27*H24,0)</f>
        <v/>
      </c>
      <c r="I28" s="508">
        <f>IFERROR(-I27*I24,0)</f>
        <v/>
      </c>
      <c r="J28" s="508">
        <f>IFERROR(-J27*J24,0)</f>
        <v/>
      </c>
      <c r="K28" s="508">
        <f>IFERROR(-K27*K24,0)</f>
        <v/>
      </c>
      <c r="L28" s="508">
        <f>IFERROR(-L27*L24,0)</f>
        <v/>
      </c>
      <c r="M28" s="508">
        <f>IFERROR(-M27*M24,0)</f>
        <v/>
      </c>
      <c r="N28" s="507" t="n"/>
      <c r="O28" s="507" t="n"/>
      <c r="P28" s="507" t="n"/>
      <c r="Q28" s="78" t="n"/>
    </row>
    <row r="29" outlineLevel="1" ht="15" customHeight="1" s="923">
      <c r="A29" s="429" t="inlineStr">
        <is>
          <t xml:space="preserve">    Bad Debt / Concessions % — AL</t>
        </is>
      </c>
      <c r="B29" s="429" t="n"/>
      <c r="C29" s="440">
        <f>Scenarios!B70</f>
        <v/>
      </c>
      <c r="D29" s="440">
        <f>Scenarios!F70</f>
        <v/>
      </c>
      <c r="E29" s="444">
        <f>D29</f>
        <v/>
      </c>
      <c r="F29" s="444">
        <f>E29</f>
        <v/>
      </c>
      <c r="G29" s="444">
        <f>F29</f>
        <v/>
      </c>
      <c r="H29" s="444">
        <f>G29</f>
        <v/>
      </c>
      <c r="I29" s="444">
        <f>H29</f>
        <v/>
      </c>
      <c r="J29" s="444">
        <f>I29</f>
        <v/>
      </c>
      <c r="K29" s="444">
        <f>J29</f>
        <v/>
      </c>
      <c r="L29" s="444">
        <f>K29</f>
        <v/>
      </c>
      <c r="M29" s="444">
        <f>L29</f>
        <v/>
      </c>
      <c r="N29" s="107" t="n"/>
      <c r="O29" s="107" t="n"/>
      <c r="P29" s="108" t="n"/>
      <c r="Q29" s="107" t="n"/>
    </row>
    <row r="30" outlineLevel="1" ht="18" customHeight="1" s="923">
      <c r="A30" s="427" t="inlineStr">
        <is>
          <t xml:space="preserve">    Less: Concessions/Bad Debt — AL</t>
        </is>
      </c>
      <c r="B30" s="427" t="n"/>
      <c r="C30" s="508">
        <f>IFERROR(-C29*C24,0)</f>
        <v/>
      </c>
      <c r="D30" s="509">
        <f>IFERROR(-D29*D24,0)</f>
        <v/>
      </c>
      <c r="E30" s="508">
        <f>IFERROR(-E29*E24,0)</f>
        <v/>
      </c>
      <c r="F30" s="508">
        <f>IFERROR(-F29*F24,0)</f>
        <v/>
      </c>
      <c r="G30" s="508">
        <f>IFERROR(-G29*G24,0)</f>
        <v/>
      </c>
      <c r="H30" s="508">
        <f>IFERROR(-H29*H24,0)</f>
        <v/>
      </c>
      <c r="I30" s="508">
        <f>IFERROR(-I29*I24,0)</f>
        <v/>
      </c>
      <c r="J30" s="508">
        <f>IFERROR(-J29*J24,0)</f>
        <v/>
      </c>
      <c r="K30" s="508">
        <f>IFERROR(-K29*K24,0)</f>
        <v/>
      </c>
      <c r="L30" s="508">
        <f>IFERROR(-L29*L24,0)</f>
        <v/>
      </c>
      <c r="M30" s="508">
        <f>IFERROR(-M29*M24,0)</f>
        <v/>
      </c>
      <c r="N30" s="507" t="n"/>
      <c r="O30" s="507" t="n"/>
      <c r="P30" s="507" t="n"/>
      <c r="Q30" s="78" t="n"/>
    </row>
    <row r="31" ht="18" customHeight="1" s="923">
      <c r="A31" s="419" t="inlineStr">
        <is>
          <t>── MEMORY CARE (MC) ──</t>
        </is>
      </c>
      <c r="B31" s="419" t="n"/>
      <c r="C31" s="510" t="n"/>
      <c r="D31" s="511" t="n"/>
      <c r="E31" s="512" t="n"/>
      <c r="F31" s="512" t="n"/>
      <c r="G31" s="512" t="n"/>
      <c r="H31" s="512" t="n"/>
      <c r="I31" s="512" t="n"/>
      <c r="J31" s="512" t="n"/>
      <c r="K31" s="512" t="n"/>
      <c r="L31" s="512" t="n"/>
      <c r="M31" s="512" t="n"/>
      <c r="N31" s="512" t="n"/>
      <c r="O31" s="512" t="n"/>
      <c r="P31" s="512" t="n"/>
      <c r="Q31" s="78" t="n"/>
    </row>
    <row r="32" outlineLevel="1" ht="18" customHeight="1" s="923">
      <c r="A32" s="418" t="inlineStr">
        <is>
          <t xml:space="preserve">  Licensed Beds — MC</t>
        </is>
      </c>
      <c r="B32" s="418" t="n"/>
      <c r="C32" s="513">
        <f>Scenarios!B51</f>
        <v/>
      </c>
      <c r="D32" s="514">
        <f>Scenarios!F51</f>
        <v/>
      </c>
      <c r="E32" s="515">
        <f>D32</f>
        <v/>
      </c>
      <c r="F32" s="515">
        <f>E32</f>
        <v/>
      </c>
      <c r="G32" s="515">
        <f>F32</f>
        <v/>
      </c>
      <c r="H32" s="515">
        <f>G32</f>
        <v/>
      </c>
      <c r="I32" s="515">
        <f>H32</f>
        <v/>
      </c>
      <c r="J32" s="515">
        <f>I32</f>
        <v/>
      </c>
      <c r="K32" s="515">
        <f>J32</f>
        <v/>
      </c>
      <c r="L32" s="515">
        <f>K32</f>
        <v/>
      </c>
      <c r="M32" s="515">
        <f>L32</f>
        <v/>
      </c>
      <c r="N32" s="512" t="n"/>
      <c r="O32" s="512" t="n"/>
      <c r="P32" s="512" t="n"/>
      <c r="Q32" s="111" t="n"/>
    </row>
    <row r="33" outlineLevel="1" ht="18" customHeight="1" s="923">
      <c r="A33" s="418" t="inlineStr">
        <is>
          <t xml:space="preserve">  Avg Monthly Rate — MC</t>
        </is>
      </c>
      <c r="B33" s="418" t="n"/>
      <c r="C33" s="510">
        <f>Scenarios!B52</f>
        <v/>
      </c>
      <c r="D33" s="509">
        <f>Scenarios!F52</f>
        <v/>
      </c>
      <c r="E33" s="516">
        <f>D33*(1+E$5)</f>
        <v/>
      </c>
      <c r="F33" s="516">
        <f>E33*(1+F$5)</f>
        <v/>
      </c>
      <c r="G33" s="516">
        <f>F33*(1+G$5)</f>
        <v/>
      </c>
      <c r="H33" s="516">
        <f>G33*(1+H$5)</f>
        <v/>
      </c>
      <c r="I33" s="516">
        <f>H33*(1+I$5)</f>
        <v/>
      </c>
      <c r="J33" s="516">
        <f>I33*(1+J$5)</f>
        <v/>
      </c>
      <c r="K33" s="516">
        <f>J33*(1+K$5)</f>
        <v/>
      </c>
      <c r="L33" s="516">
        <f>K33*(1+L$5)</f>
        <v/>
      </c>
      <c r="M33" s="516">
        <f>L33*(1+M$5)</f>
        <v/>
      </c>
      <c r="N33" s="507" t="n"/>
      <c r="O33" s="507" t="n"/>
      <c r="P33" s="507" t="n"/>
      <c r="Q33" s="78" t="n"/>
    </row>
    <row r="34" outlineLevel="1" ht="18" customHeight="1" s="923">
      <c r="A34" s="430" t="inlineStr">
        <is>
          <t xml:space="preserve">  GPR — MC</t>
        </is>
      </c>
      <c r="B34" s="430" t="n"/>
      <c r="C34" s="503">
        <f>C32*C33*12</f>
        <v/>
      </c>
      <c r="D34" s="504">
        <f>D32*D33*12</f>
        <v/>
      </c>
      <c r="E34" s="503">
        <f>E32*E33*12</f>
        <v/>
      </c>
      <c r="F34" s="503">
        <f>F32*F33*12</f>
        <v/>
      </c>
      <c r="G34" s="503">
        <f>G32*G33*12</f>
        <v/>
      </c>
      <c r="H34" s="503">
        <f>H32*H33*12</f>
        <v/>
      </c>
      <c r="I34" s="503">
        <f>I32*I33*12</f>
        <v/>
      </c>
      <c r="J34" s="503">
        <f>J32*J33*12</f>
        <v/>
      </c>
      <c r="K34" s="503">
        <f>K32*K33*12</f>
        <v/>
      </c>
      <c r="L34" s="503">
        <f>L32*L33*12</f>
        <v/>
      </c>
      <c r="M34" s="503">
        <f>M32*M33*12</f>
        <v/>
      </c>
      <c r="N34" s="517">
        <f>SUM(D34:H34)</f>
        <v/>
      </c>
      <c r="O34" s="517">
        <f>SUM(D34:M34)</f>
        <v/>
      </c>
      <c r="P34" s="517">
        <f>IFERROR(O34/10,0)</f>
        <v/>
      </c>
      <c r="Q34" s="113">
        <f>IFERROR(D34/$D$50,0)</f>
        <v/>
      </c>
    </row>
    <row r="35" outlineLevel="1" ht="18" customHeight="1" s="923">
      <c r="A35" s="431" t="inlineStr">
        <is>
          <t xml:space="preserve">    Vacancy % — MC</t>
        </is>
      </c>
      <c r="B35" s="431" t="n"/>
      <c r="C35" s="440">
        <f>Scenarios!B54</f>
        <v/>
      </c>
      <c r="D35" s="440">
        <f>Scenarios!F54</f>
        <v/>
      </c>
      <c r="E35" s="444">
        <f>D35</f>
        <v/>
      </c>
      <c r="F35" s="444">
        <f>E35</f>
        <v/>
      </c>
      <c r="G35" s="444">
        <f>F35</f>
        <v/>
      </c>
      <c r="H35" s="444">
        <f>G35</f>
        <v/>
      </c>
      <c r="I35" s="444">
        <f>H35</f>
        <v/>
      </c>
      <c r="J35" s="444">
        <f>I35</f>
        <v/>
      </c>
      <c r="K35" s="444">
        <f>J35</f>
        <v/>
      </c>
      <c r="L35" s="444">
        <f>K35</f>
        <v/>
      </c>
      <c r="M35" s="444">
        <f>L35</f>
        <v/>
      </c>
      <c r="N35" s="82" t="n"/>
      <c r="O35" s="82" t="n"/>
      <c r="P35" s="82" t="n"/>
      <c r="Q35" s="113" t="n"/>
    </row>
    <row r="36" outlineLevel="1" ht="18" customHeight="1" s="923">
      <c r="A36" s="432" t="inlineStr">
        <is>
          <t xml:space="preserve">    Less: Vacancy — MC</t>
        </is>
      </c>
      <c r="B36" s="432" t="n"/>
      <c r="C36" s="506">
        <f>IFERROR(-C35*C34,0)</f>
        <v/>
      </c>
      <c r="D36" s="504">
        <f>IFERROR(-D35*D34,0)</f>
        <v/>
      </c>
      <c r="E36" s="506">
        <f>IFERROR(-E35*E34,0)</f>
        <v/>
      </c>
      <c r="F36" s="506">
        <f>IFERROR(-F35*F34,0)</f>
        <v/>
      </c>
      <c r="G36" s="506">
        <f>IFERROR(-G35*G34,0)</f>
        <v/>
      </c>
      <c r="H36" s="506">
        <f>IFERROR(-H35*H34,0)</f>
        <v/>
      </c>
      <c r="I36" s="506">
        <f>IFERROR(-I35*I34,0)</f>
        <v/>
      </c>
      <c r="J36" s="506">
        <f>IFERROR(-J35*J34,0)</f>
        <v/>
      </c>
      <c r="K36" s="506">
        <f>IFERROR(-K35*K34,0)</f>
        <v/>
      </c>
      <c r="L36" s="506">
        <f>IFERROR(-L35*L34,0)</f>
        <v/>
      </c>
      <c r="M36" s="506">
        <f>IFERROR(-M35*M34,0)</f>
        <v/>
      </c>
      <c r="N36" s="82" t="n"/>
      <c r="O36" s="82" t="n"/>
      <c r="P36" s="82" t="n"/>
      <c r="Q36" s="113" t="n"/>
    </row>
    <row r="37" outlineLevel="1" ht="18" customHeight="1" s="923">
      <c r="A37" s="431" t="inlineStr">
        <is>
          <t xml:space="preserve">    Loss to Lease % — MC</t>
        </is>
      </c>
      <c r="B37" s="431" t="n"/>
      <c r="C37" s="440">
        <f>Scenarios!B68</f>
        <v/>
      </c>
      <c r="D37" s="440">
        <f>Scenarios!F68</f>
        <v/>
      </c>
      <c r="E37" s="444">
        <f>D37</f>
        <v/>
      </c>
      <c r="F37" s="444">
        <f>E37</f>
        <v/>
      </c>
      <c r="G37" s="444">
        <f>F37</f>
        <v/>
      </c>
      <c r="H37" s="444">
        <f>G37</f>
        <v/>
      </c>
      <c r="I37" s="444">
        <f>H37</f>
        <v/>
      </c>
      <c r="J37" s="444">
        <f>I37</f>
        <v/>
      </c>
      <c r="K37" s="444">
        <f>J37</f>
        <v/>
      </c>
      <c r="L37" s="444">
        <f>K37</f>
        <v/>
      </c>
      <c r="M37" s="444">
        <f>L37</f>
        <v/>
      </c>
      <c r="N37" s="82" t="n"/>
      <c r="O37" s="82" t="n"/>
      <c r="P37" s="82" t="n"/>
      <c r="Q37" s="113" t="n"/>
    </row>
    <row r="38" outlineLevel="1" ht="18" customHeight="1" s="923">
      <c r="A38" s="432" t="inlineStr">
        <is>
          <t xml:space="preserve">    Less: Loss to Lease — MC</t>
        </is>
      </c>
      <c r="B38" s="432" t="n"/>
      <c r="C38" s="506">
        <f>IFERROR(-C37*C34,0)</f>
        <v/>
      </c>
      <c r="D38" s="504">
        <f>IFERROR(-D37*D34,0)</f>
        <v/>
      </c>
      <c r="E38" s="506">
        <f>IFERROR(-E37*E34,0)</f>
        <v/>
      </c>
      <c r="F38" s="506">
        <f>IFERROR(-F37*F34,0)</f>
        <v/>
      </c>
      <c r="G38" s="506">
        <f>IFERROR(-G37*G34,0)</f>
        <v/>
      </c>
      <c r="H38" s="506">
        <f>IFERROR(-H37*H34,0)</f>
        <v/>
      </c>
      <c r="I38" s="506">
        <f>IFERROR(-I37*I34,0)</f>
        <v/>
      </c>
      <c r="J38" s="506">
        <f>IFERROR(-J37*J34,0)</f>
        <v/>
      </c>
      <c r="K38" s="506">
        <f>IFERROR(-K37*K34,0)</f>
        <v/>
      </c>
      <c r="L38" s="506">
        <f>IFERROR(-L37*L34,0)</f>
        <v/>
      </c>
      <c r="M38" s="506">
        <f>IFERROR(-M37*M34,0)</f>
        <v/>
      </c>
      <c r="N38" s="82" t="n"/>
      <c r="O38" s="82" t="n"/>
      <c r="P38" s="82" t="n"/>
      <c r="Q38" s="113" t="n"/>
    </row>
    <row r="39" outlineLevel="1" ht="18" customHeight="1" s="923">
      <c r="A39" s="431" t="inlineStr">
        <is>
          <t xml:space="preserve">    Bad Debt / Concessions % — MC</t>
        </is>
      </c>
      <c r="B39" s="431" t="n"/>
      <c r="C39" s="440">
        <f>Scenarios!B70</f>
        <v/>
      </c>
      <c r="D39" s="440">
        <f>Scenarios!F70</f>
        <v/>
      </c>
      <c r="E39" s="444">
        <f>D39</f>
        <v/>
      </c>
      <c r="F39" s="444">
        <f>E39</f>
        <v/>
      </c>
      <c r="G39" s="444">
        <f>F39</f>
        <v/>
      </c>
      <c r="H39" s="444">
        <f>G39</f>
        <v/>
      </c>
      <c r="I39" s="444">
        <f>H39</f>
        <v/>
      </c>
      <c r="J39" s="444">
        <f>I39</f>
        <v/>
      </c>
      <c r="K39" s="444">
        <f>J39</f>
        <v/>
      </c>
      <c r="L39" s="444">
        <f>K39</f>
        <v/>
      </c>
      <c r="M39" s="444">
        <f>L39</f>
        <v/>
      </c>
      <c r="N39" s="82" t="n"/>
      <c r="O39" s="82" t="n"/>
      <c r="P39" s="82" t="n"/>
      <c r="Q39" s="113" t="n"/>
    </row>
    <row r="40" outlineLevel="1" ht="18" customHeight="1" s="923">
      <c r="A40" s="432" t="inlineStr">
        <is>
          <t xml:space="preserve">    Less: Concessions/Bad Debt — MC</t>
        </is>
      </c>
      <c r="B40" s="432" t="n"/>
      <c r="C40" s="506">
        <f>IFERROR(-C39*C34,0)</f>
        <v/>
      </c>
      <c r="D40" s="504">
        <f>IFERROR(-D39*D34,0)</f>
        <v/>
      </c>
      <c r="E40" s="506">
        <f>IFERROR(-E39*E34,0)</f>
        <v/>
      </c>
      <c r="F40" s="506">
        <f>IFERROR(-F39*F34,0)</f>
        <v/>
      </c>
      <c r="G40" s="506">
        <f>IFERROR(-G39*G34,0)</f>
        <v/>
      </c>
      <c r="H40" s="506">
        <f>IFERROR(-H39*H34,0)</f>
        <v/>
      </c>
      <c r="I40" s="506">
        <f>IFERROR(-I39*I34,0)</f>
        <v/>
      </c>
      <c r="J40" s="506">
        <f>IFERROR(-J39*J34,0)</f>
        <v/>
      </c>
      <c r="K40" s="506">
        <f>IFERROR(-K39*K34,0)</f>
        <v/>
      </c>
      <c r="L40" s="506">
        <f>IFERROR(-L39*L34,0)</f>
        <v/>
      </c>
      <c r="M40" s="506">
        <f>IFERROR(-M39*M34,0)</f>
        <v/>
      </c>
      <c r="N40" s="82" t="n"/>
      <c r="O40" s="82" t="n"/>
      <c r="P40" s="82" t="n"/>
      <c r="Q40" s="113" t="n"/>
    </row>
    <row r="41" ht="18" customHeight="1" s="923">
      <c r="A41" s="979" t="inlineStr">
        <is>
          <t>── SUMMARY ROLLUP ──</t>
        </is>
      </c>
      <c r="B41" s="979" t="n"/>
      <c r="C41" s="504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113" t="n"/>
    </row>
    <row r="42" ht="18" customHeight="1" s="923">
      <c r="A42" s="978" t="inlineStr">
        <is>
          <t>Total Licensed Beds</t>
        </is>
      </c>
      <c r="B42" s="978" t="n"/>
      <c r="C42" s="518">
        <f>C12+C22+C32</f>
        <v/>
      </c>
      <c r="D42" s="518">
        <f>D12+D22+D32</f>
        <v/>
      </c>
      <c r="E42" s="518">
        <f>E12+E22+E32</f>
        <v/>
      </c>
      <c r="F42" s="518">
        <f>F12+F22+F32</f>
        <v/>
      </c>
      <c r="G42" s="518">
        <f>G12+G22+G32</f>
        <v/>
      </c>
      <c r="H42" s="518">
        <f>H12+H22+H32</f>
        <v/>
      </c>
      <c r="I42" s="518">
        <f>I12+I22+I32</f>
        <v/>
      </c>
      <c r="J42" s="518">
        <f>J12+J22+J32</f>
        <v/>
      </c>
      <c r="K42" s="518">
        <f>K12+K22+K32</f>
        <v/>
      </c>
      <c r="L42" s="518">
        <f>L12+L22+L32</f>
        <v/>
      </c>
      <c r="M42" s="518">
        <f>M12+M22+M32</f>
        <v/>
      </c>
      <c r="N42" s="519">
        <f>D42</f>
        <v/>
      </c>
      <c r="O42" s="519">
        <f>D42</f>
        <v/>
      </c>
      <c r="P42" s="519">
        <f>D42</f>
        <v/>
      </c>
      <c r="Q42" s="113" t="n"/>
    </row>
    <row r="43" ht="18" customHeight="1" s="923">
      <c r="A43" s="435" t="inlineStr">
        <is>
          <t>TOTAL GROSS POTENTIAL RENT</t>
        </is>
      </c>
      <c r="B43" s="435" t="n"/>
      <c r="C43" s="520">
        <f>C14+C24+C34</f>
        <v/>
      </c>
      <c r="D43" s="520">
        <f>D14+D24+D34</f>
        <v/>
      </c>
      <c r="E43" s="520">
        <f>E14+E24+E34</f>
        <v/>
      </c>
      <c r="F43" s="520">
        <f>F14+F24+F34</f>
        <v/>
      </c>
      <c r="G43" s="520">
        <f>G14+G24+G34</f>
        <v/>
      </c>
      <c r="H43" s="520">
        <f>H14+H24+H34</f>
        <v/>
      </c>
      <c r="I43" s="520">
        <f>I14+I24+I34</f>
        <v/>
      </c>
      <c r="J43" s="520">
        <f>J14+J24+J34</f>
        <v/>
      </c>
      <c r="K43" s="520">
        <f>K14+K24+K34</f>
        <v/>
      </c>
      <c r="L43" s="520">
        <f>L14+L24+L34</f>
        <v/>
      </c>
      <c r="M43" s="520">
        <f>M14+M24+M34</f>
        <v/>
      </c>
      <c r="N43" s="517">
        <f>SUM(D43:H43)</f>
        <v/>
      </c>
      <c r="O43" s="517">
        <f>SUM(D43:M43)</f>
        <v/>
      </c>
      <c r="P43" s="517">
        <f>IFERROR(O43/10,0)</f>
        <v/>
      </c>
      <c r="Q43" s="113">
        <f>IFERROR(D43/$D$50,0)</f>
        <v/>
      </c>
    </row>
    <row r="44" ht="18" customHeight="1" s="923">
      <c r="A44" s="430" t="inlineStr">
        <is>
          <t xml:space="preserve">  Less: Total Vacancy</t>
        </is>
      </c>
      <c r="B44" s="430" t="n"/>
      <c r="C44" s="503">
        <f>C16+C26+C36</f>
        <v/>
      </c>
      <c r="D44" s="503">
        <f>D16+D26+D36</f>
        <v/>
      </c>
      <c r="E44" s="503">
        <f>E16+E26+E36</f>
        <v/>
      </c>
      <c r="F44" s="503">
        <f>F16+F26+F36</f>
        <v/>
      </c>
      <c r="G44" s="503">
        <f>G16+G26+G36</f>
        <v/>
      </c>
      <c r="H44" s="503">
        <f>H16+H26+H36</f>
        <v/>
      </c>
      <c r="I44" s="503">
        <f>I16+I26+I36</f>
        <v/>
      </c>
      <c r="J44" s="503">
        <f>J16+J26+J36</f>
        <v/>
      </c>
      <c r="K44" s="503">
        <f>K16+K26+K36</f>
        <v/>
      </c>
      <c r="L44" s="503">
        <f>L16+L26+L36</f>
        <v/>
      </c>
      <c r="M44" s="503">
        <f>M16+M26+M36</f>
        <v/>
      </c>
      <c r="N44" s="517">
        <f>SUM(D44:H44)</f>
        <v/>
      </c>
      <c r="O44" s="517">
        <f>SUM(D44:M44)</f>
        <v/>
      </c>
      <c r="P44" s="517">
        <f>IFERROR(O44/10,0)</f>
        <v/>
      </c>
      <c r="Q44" s="113">
        <f>IFERROR(D44/$D$50,0)</f>
        <v/>
      </c>
    </row>
    <row r="45" ht="18" customHeight="1" s="923">
      <c r="A45" s="430" t="inlineStr">
        <is>
          <t xml:space="preserve">  Less: Total Loss to Lease</t>
        </is>
      </c>
      <c r="B45" s="430" t="n"/>
      <c r="C45" s="503">
        <f>C18+C28+C38</f>
        <v/>
      </c>
      <c r="D45" s="503">
        <f>D18+D28+D38</f>
        <v/>
      </c>
      <c r="E45" s="503">
        <f>E18+E28+E38</f>
        <v/>
      </c>
      <c r="F45" s="503">
        <f>F18+F28+F38</f>
        <v/>
      </c>
      <c r="G45" s="503">
        <f>G18+G28+G38</f>
        <v/>
      </c>
      <c r="H45" s="503">
        <f>H18+H28+H38</f>
        <v/>
      </c>
      <c r="I45" s="503">
        <f>I18+I28+I38</f>
        <v/>
      </c>
      <c r="J45" s="503">
        <f>J18+J28+J38</f>
        <v/>
      </c>
      <c r="K45" s="503">
        <f>K18+K28+K38</f>
        <v/>
      </c>
      <c r="L45" s="503">
        <f>L18+L28+L38</f>
        <v/>
      </c>
      <c r="M45" s="503">
        <f>M18+M28+M38</f>
        <v/>
      </c>
      <c r="N45" s="517">
        <f>SUM(D45:H45)</f>
        <v/>
      </c>
      <c r="O45" s="517">
        <f>SUM(D45:M45)</f>
        <v/>
      </c>
      <c r="P45" s="517">
        <f>IFERROR(O45/10,0)</f>
        <v/>
      </c>
      <c r="Q45" s="113">
        <f>IFERROR(D45/$D$50,0)</f>
        <v/>
      </c>
    </row>
    <row r="46" ht="18" customHeight="1" s="923">
      <c r="A46" s="430" t="inlineStr">
        <is>
          <t xml:space="preserve">  Less: Total Concessions/Bad Debt</t>
        </is>
      </c>
      <c r="B46" s="430" t="n"/>
      <c r="C46" s="503">
        <f>C20+C30+C40</f>
        <v/>
      </c>
      <c r="D46" s="503">
        <f>D20+D30+D40</f>
        <v/>
      </c>
      <c r="E46" s="503">
        <f>E20+E30+E40</f>
        <v/>
      </c>
      <c r="F46" s="503">
        <f>F20+F30+F40</f>
        <v/>
      </c>
      <c r="G46" s="503">
        <f>G20+G30+G40</f>
        <v/>
      </c>
      <c r="H46" s="503">
        <f>H20+H30+H40</f>
        <v/>
      </c>
      <c r="I46" s="503">
        <f>I20+I30+I40</f>
        <v/>
      </c>
      <c r="J46" s="503">
        <f>J20+J30+J40</f>
        <v/>
      </c>
      <c r="K46" s="503">
        <f>K20+K30+K40</f>
        <v/>
      </c>
      <c r="L46" s="503">
        <f>L20+L30+L40</f>
        <v/>
      </c>
      <c r="M46" s="503">
        <f>M20+M30+M40</f>
        <v/>
      </c>
      <c r="N46" s="517">
        <f>SUM(D46:H46)</f>
        <v/>
      </c>
      <c r="O46" s="517">
        <f>SUM(D46:M46)</f>
        <v/>
      </c>
      <c r="P46" s="517">
        <f>IFERROR(O46/10,0)</f>
        <v/>
      </c>
      <c r="Q46" s="113">
        <f>IFERROR(D46/$D$50,0)</f>
        <v/>
      </c>
    </row>
    <row r="47" ht="18" customHeight="1" s="923">
      <c r="A47" s="430" t="inlineStr">
        <is>
          <t>Care Services Fees</t>
        </is>
      </c>
      <c r="B47" s="430" t="n"/>
      <c r="C47" s="521">
        <f>Scenarios!B73</f>
        <v/>
      </c>
      <c r="D47" s="504">
        <f>Scenarios!F73</f>
        <v/>
      </c>
      <c r="E47" s="503">
        <f>D47*(1+E$5)</f>
        <v/>
      </c>
      <c r="F47" s="503">
        <f>E47*(1+F$5)</f>
        <v/>
      </c>
      <c r="G47" s="503">
        <f>F47*(1+G$5)</f>
        <v/>
      </c>
      <c r="H47" s="503">
        <f>G47*(1+H$5)</f>
        <v/>
      </c>
      <c r="I47" s="503">
        <f>H47*(1+I$5)</f>
        <v/>
      </c>
      <c r="J47" s="503">
        <f>I47*(1+J$5)</f>
        <v/>
      </c>
      <c r="K47" s="503">
        <f>J47*(1+K$5)</f>
        <v/>
      </c>
      <c r="L47" s="503">
        <f>K47*(1+L$5)</f>
        <v/>
      </c>
      <c r="M47" s="503">
        <f>L47*(1+M$5)</f>
        <v/>
      </c>
      <c r="N47" s="517">
        <f>SUM(D47:H47)</f>
        <v/>
      </c>
      <c r="O47" s="517">
        <f>SUM(D47:M47)</f>
        <v/>
      </c>
      <c r="P47" s="517">
        <f>IFERROR(O47/10,0)</f>
        <v/>
      </c>
      <c r="Q47" s="113">
        <f>IFERROR(D47/$D$50,0)</f>
        <v/>
      </c>
    </row>
    <row r="48" ht="18" customHeight="1" s="923">
      <c r="A48" s="430" t="inlineStr">
        <is>
          <t>2nd Person Revenue</t>
        </is>
      </c>
      <c r="B48" s="430" t="n"/>
      <c r="C48" s="521">
        <f>Scenarios!B74</f>
        <v/>
      </c>
      <c r="D48" s="504">
        <f>Scenarios!F74</f>
        <v/>
      </c>
      <c r="E48" s="503">
        <f>D48*(1+E$5)</f>
        <v/>
      </c>
      <c r="F48" s="503">
        <f>E48*(1+F$5)</f>
        <v/>
      </c>
      <c r="G48" s="503">
        <f>F48*(1+G$5)</f>
        <v/>
      </c>
      <c r="H48" s="503">
        <f>G48*(1+H$5)</f>
        <v/>
      </c>
      <c r="I48" s="503">
        <f>H48*(1+I$5)</f>
        <v/>
      </c>
      <c r="J48" s="503">
        <f>I48*(1+J$5)</f>
        <v/>
      </c>
      <c r="K48" s="503">
        <f>J48*(1+K$5)</f>
        <v/>
      </c>
      <c r="L48" s="503">
        <f>K48*(1+L$5)</f>
        <v/>
      </c>
      <c r="M48" s="503">
        <f>L48*(1+M$5)</f>
        <v/>
      </c>
      <c r="N48" s="517">
        <f>SUM(D48:H48)</f>
        <v/>
      </c>
      <c r="O48" s="517">
        <f>SUM(D48:M48)</f>
        <v/>
      </c>
      <c r="P48" s="517">
        <f>IFERROR(O48/10,0)</f>
        <v/>
      </c>
      <c r="Q48" s="113">
        <f>IFERROR(D48/$D$50,0)</f>
        <v/>
      </c>
    </row>
    <row r="49" ht="18" customHeight="1" s="923">
      <c r="A49" s="430" t="inlineStr">
        <is>
          <t>Other Income</t>
        </is>
      </c>
      <c r="B49" s="430" t="n"/>
      <c r="C49" s="521">
        <f>Scenarios!B75</f>
        <v/>
      </c>
      <c r="D49" s="504">
        <f>Scenarios!F75</f>
        <v/>
      </c>
      <c r="E49" s="503">
        <f>D49*(1+E$5)</f>
        <v/>
      </c>
      <c r="F49" s="503">
        <f>E49*(1+F$5)</f>
        <v/>
      </c>
      <c r="G49" s="503">
        <f>F49*(1+G$5)</f>
        <v/>
      </c>
      <c r="H49" s="503">
        <f>G49*(1+H$5)</f>
        <v/>
      </c>
      <c r="I49" s="503">
        <f>H49*(1+I$5)</f>
        <v/>
      </c>
      <c r="J49" s="503">
        <f>I49*(1+J$5)</f>
        <v/>
      </c>
      <c r="K49" s="503">
        <f>J49*(1+K$5)</f>
        <v/>
      </c>
      <c r="L49" s="503">
        <f>K49*(1+L$5)</f>
        <v/>
      </c>
      <c r="M49" s="503">
        <f>L49*(1+M$5)</f>
        <v/>
      </c>
      <c r="N49" s="517">
        <f>SUM(D49:H49)</f>
        <v/>
      </c>
      <c r="O49" s="517">
        <f>SUM(D49:M49)</f>
        <v/>
      </c>
      <c r="P49" s="517">
        <f>IFERROR(O49/10,0)</f>
        <v/>
      </c>
      <c r="Q49" s="113">
        <f>IFERROR(D49/$D$50,0)</f>
        <v/>
      </c>
    </row>
    <row r="50" ht="24" customHeight="1" s="923">
      <c r="A50" s="420" t="inlineStr">
        <is>
          <t>EFFECTIVE GROSS INCOME</t>
        </is>
      </c>
      <c r="B50" s="420" t="n"/>
      <c r="C50" s="520">
        <f>C43+C44+C45+C46+C47+C48+C49</f>
        <v/>
      </c>
      <c r="D50" s="520">
        <f>D43+D44+D45+D46+D47+D48+D49</f>
        <v/>
      </c>
      <c r="E50" s="520">
        <f>E43+E44+E45+E46+E47+E48+E49</f>
        <v/>
      </c>
      <c r="F50" s="520">
        <f>F43+F44+F45+F46+F47+F48+F49</f>
        <v/>
      </c>
      <c r="G50" s="520">
        <f>G43+G44+G45+G46+G47+G48+G49</f>
        <v/>
      </c>
      <c r="H50" s="520">
        <f>H43+H44+H45+H46+H47+H48+H49</f>
        <v/>
      </c>
      <c r="I50" s="520">
        <f>I43+I44+I45+I46+I47+I48+I49</f>
        <v/>
      </c>
      <c r="J50" s="520">
        <f>J43+J44+J45+J46+J47+J48+J49</f>
        <v/>
      </c>
      <c r="K50" s="520">
        <f>K43+K44+K45+K46+K47+K48+K49</f>
        <v/>
      </c>
      <c r="L50" s="520">
        <f>L43+L44+L45+L46+L47+L48+L49</f>
        <v/>
      </c>
      <c r="M50" s="520">
        <f>M43+M44+M45+M46+M47+M48+M49</f>
        <v/>
      </c>
      <c r="N50" s="522">
        <f>SUM(D50:H50)</f>
        <v/>
      </c>
      <c r="O50" s="522">
        <f>SUM(D50:M50)</f>
        <v/>
      </c>
      <c r="P50" s="522">
        <f>IFERROR(O50/10,0)</f>
        <v/>
      </c>
      <c r="Q50" s="79">
        <f>IFERROR(D50/$D$50,0)</f>
        <v/>
      </c>
    </row>
    <row r="51" ht="18" customHeight="1" s="923">
      <c r="A51" s="954" t="inlineStr">
        <is>
          <t>EXPENSES</t>
        </is>
      </c>
    </row>
    <row r="52" ht="18" customHeight="1" s="923">
      <c r="A52" s="451" t="inlineStr">
        <is>
          <t>── DIRECT LABOR ──</t>
        </is>
      </c>
      <c r="B52" s="62" t="n"/>
      <c r="C52" s="422" t="n"/>
      <c r="D52" s="77" t="n"/>
      <c r="E52" s="72" t="n"/>
      <c r="F52" s="72" t="n"/>
      <c r="G52" s="72" t="n"/>
      <c r="H52" s="72" t="n"/>
      <c r="I52" s="72" t="n"/>
      <c r="J52" s="72" t="n"/>
      <c r="K52" s="72" t="n"/>
      <c r="L52" s="72" t="n"/>
      <c r="M52" s="72" t="n"/>
      <c r="N52" s="72" t="n"/>
      <c r="O52" s="72" t="n"/>
      <c r="P52" s="72" t="n"/>
      <c r="Q52" s="78" t="n"/>
    </row>
    <row r="53" outlineLevel="1" ht="18" customHeight="1" s="923">
      <c r="A53" s="65" t="inlineStr">
        <is>
          <t xml:space="preserve">  Care staff labor</t>
        </is>
      </c>
      <c r="B53" s="65" t="n"/>
      <c r="C53" s="510">
        <f>Scenarios!B81</f>
        <v/>
      </c>
      <c r="D53" s="524">
        <f>Scenarios!F81</f>
        <v/>
      </c>
      <c r="E53" s="522">
        <f>D53*(1+E$6)</f>
        <v/>
      </c>
      <c r="F53" s="522">
        <f>E53*(1+F$6)</f>
        <v/>
      </c>
      <c r="G53" s="522">
        <f>F53*(1+G$6)</f>
        <v/>
      </c>
      <c r="H53" s="522">
        <f>G53*(1+H$6)</f>
        <v/>
      </c>
      <c r="I53" s="522">
        <f>H53*(1+I$6)</f>
        <v/>
      </c>
      <c r="J53" s="522">
        <f>I53*(1+J$6)</f>
        <v/>
      </c>
      <c r="K53" s="522">
        <f>J53*(1+K$6)</f>
        <v/>
      </c>
      <c r="L53" s="522">
        <f>K53*(1+L$6)</f>
        <v/>
      </c>
      <c r="M53" s="522">
        <f>L53*(1+M$6)</f>
        <v/>
      </c>
      <c r="N53" s="69" t="n"/>
      <c r="O53" s="69" t="n"/>
      <c r="P53" s="69" t="n"/>
      <c r="Q53" s="79" t="n"/>
    </row>
    <row r="54" outlineLevel="1" ht="18" customHeight="1" s="923">
      <c r="A54" s="62" t="inlineStr">
        <is>
          <t xml:space="preserve">  Wellness / care coordinators</t>
        </is>
      </c>
      <c r="B54" s="62" t="n"/>
      <c r="C54" s="510">
        <f>Scenarios!B82</f>
        <v/>
      </c>
      <c r="D54" s="524">
        <f>Scenarios!F82</f>
        <v/>
      </c>
      <c r="E54" s="512">
        <f>D54*(1+E$6)</f>
        <v/>
      </c>
      <c r="F54" s="512">
        <f>E54*(1+F$6)</f>
        <v/>
      </c>
      <c r="G54" s="512">
        <f>F54*(1+G$6)</f>
        <v/>
      </c>
      <c r="H54" s="512">
        <f>G54*(1+H$6)</f>
        <v/>
      </c>
      <c r="I54" s="512">
        <f>H54*(1+I$6)</f>
        <v/>
      </c>
      <c r="J54" s="512">
        <f>I54*(1+J$6)</f>
        <v/>
      </c>
      <c r="K54" s="512">
        <f>J54*(1+K$6)</f>
        <v/>
      </c>
      <c r="L54" s="512">
        <f>K54*(1+L$6)</f>
        <v/>
      </c>
      <c r="M54" s="512">
        <f>L54*(1+M$6)</f>
        <v/>
      </c>
      <c r="N54" s="72" t="n"/>
      <c r="O54" s="72" t="n"/>
      <c r="P54" s="72" t="n"/>
      <c r="Q54" s="78" t="n"/>
    </row>
    <row r="55" outlineLevel="1" ht="18" customHeight="1" s="923">
      <c r="A55" s="65" t="inlineStr">
        <is>
          <t xml:space="preserve">  Contract / agency labor</t>
        </is>
      </c>
      <c r="B55" s="65" t="n"/>
      <c r="C55" s="510">
        <f>Scenarios!B83</f>
        <v/>
      </c>
      <c r="D55" s="524">
        <f>Scenarios!F83</f>
        <v/>
      </c>
      <c r="E55" s="507">
        <f>D55*(1+E$6)</f>
        <v/>
      </c>
      <c r="F55" s="507">
        <f>E55*(1+F$6)</f>
        <v/>
      </c>
      <c r="G55" s="507">
        <f>F55*(1+G$6)</f>
        <v/>
      </c>
      <c r="H55" s="507">
        <f>G55*(1+H$6)</f>
        <v/>
      </c>
      <c r="I55" s="507">
        <f>H55*(1+I$6)</f>
        <v/>
      </c>
      <c r="J55" s="507">
        <f>I55*(1+J$6)</f>
        <v/>
      </c>
      <c r="K55" s="507">
        <f>J55*(1+K$6)</f>
        <v/>
      </c>
      <c r="L55" s="507">
        <f>K55*(1+L$6)</f>
        <v/>
      </c>
      <c r="M55" s="507">
        <f>L55*(1+M$6)</f>
        <v/>
      </c>
      <c r="N55" s="69" t="n"/>
      <c r="O55" s="69" t="n"/>
      <c r="P55" s="69" t="n"/>
      <c r="Q55" s="79" t="n"/>
    </row>
    <row r="56" outlineLevel="1" ht="18" customHeight="1" s="923">
      <c r="A56" s="62" t="inlineStr">
        <is>
          <t xml:space="preserve">  Activities labor</t>
        </is>
      </c>
      <c r="B56" s="62" t="n"/>
      <c r="C56" s="510">
        <f>Scenarios!B84</f>
        <v/>
      </c>
      <c r="D56" s="524">
        <f>Scenarios!F84</f>
        <v/>
      </c>
      <c r="E56" s="512">
        <f>D56*(1+E$6)</f>
        <v/>
      </c>
      <c r="F56" s="512">
        <f>E56*(1+F$6)</f>
        <v/>
      </c>
      <c r="G56" s="512">
        <f>F56*(1+G$6)</f>
        <v/>
      </c>
      <c r="H56" s="512">
        <f>G56*(1+H$6)</f>
        <v/>
      </c>
      <c r="I56" s="512">
        <f>H56*(1+I$6)</f>
        <v/>
      </c>
      <c r="J56" s="512">
        <f>I56*(1+J$6)</f>
        <v/>
      </c>
      <c r="K56" s="512">
        <f>J56*(1+K$6)</f>
        <v/>
      </c>
      <c r="L56" s="512">
        <f>K56*(1+L$6)</f>
        <v/>
      </c>
      <c r="M56" s="512">
        <f>L56*(1+M$6)</f>
        <v/>
      </c>
      <c r="N56" s="72" t="n"/>
      <c r="O56" s="72" t="n"/>
      <c r="P56" s="72" t="n"/>
      <c r="Q56" s="78" t="n"/>
    </row>
    <row r="57" outlineLevel="1" ht="18" customHeight="1" s="923">
      <c r="A57" s="65" t="inlineStr">
        <is>
          <t xml:space="preserve">  Dining / food service labor</t>
        </is>
      </c>
      <c r="B57" s="65" t="n"/>
      <c r="C57" s="510">
        <f>Scenarios!B85</f>
        <v/>
      </c>
      <c r="D57" s="524">
        <f>Scenarios!F85</f>
        <v/>
      </c>
      <c r="E57" s="507">
        <f>D57*(1+E$6)</f>
        <v/>
      </c>
      <c r="F57" s="507">
        <f>E57*(1+F$6)</f>
        <v/>
      </c>
      <c r="G57" s="507">
        <f>F57*(1+G$6)</f>
        <v/>
      </c>
      <c r="H57" s="507">
        <f>G57*(1+H$6)</f>
        <v/>
      </c>
      <c r="I57" s="507">
        <f>H57*(1+I$6)</f>
        <v/>
      </c>
      <c r="J57" s="507">
        <f>I57*(1+J$6)</f>
        <v/>
      </c>
      <c r="K57" s="507">
        <f>J57*(1+K$6)</f>
        <v/>
      </c>
      <c r="L57" s="507">
        <f>K57*(1+L$6)</f>
        <v/>
      </c>
      <c r="M57" s="507">
        <f>L57*(1+M$6)</f>
        <v/>
      </c>
      <c r="N57" s="69" t="n"/>
      <c r="O57" s="69" t="n"/>
      <c r="P57" s="69" t="n"/>
      <c r="Q57" s="79" t="n"/>
    </row>
    <row r="58" outlineLevel="1" ht="18" customHeight="1" s="923">
      <c r="A58" s="62" t="inlineStr">
        <is>
          <t xml:space="preserve">  Maintenance &amp; housekeeping labor</t>
        </is>
      </c>
      <c r="B58" s="62" t="n"/>
      <c r="C58" s="510">
        <f>Scenarios!B86</f>
        <v/>
      </c>
      <c r="D58" s="524">
        <f>Scenarios!F86</f>
        <v/>
      </c>
      <c r="E58" s="512">
        <f>D58*(1+E$6)</f>
        <v/>
      </c>
      <c r="F58" s="512">
        <f>E58*(1+F$6)</f>
        <v/>
      </c>
      <c r="G58" s="512">
        <f>F58*(1+G$6)</f>
        <v/>
      </c>
      <c r="H58" s="512">
        <f>G58*(1+H$6)</f>
        <v/>
      </c>
      <c r="I58" s="512">
        <f>H58*(1+I$6)</f>
        <v/>
      </c>
      <c r="J58" s="512">
        <f>I58*(1+J$6)</f>
        <v/>
      </c>
      <c r="K58" s="512">
        <f>J58*(1+K$6)</f>
        <v/>
      </c>
      <c r="L58" s="512">
        <f>K58*(1+L$6)</f>
        <v/>
      </c>
      <c r="M58" s="512">
        <f>L58*(1+M$6)</f>
        <v/>
      </c>
      <c r="N58" s="72" t="n"/>
      <c r="O58" s="72" t="n"/>
      <c r="P58" s="72" t="n"/>
      <c r="Q58" s="78" t="n"/>
    </row>
    <row r="59" outlineLevel="1" ht="18" customHeight="1" s="923">
      <c r="A59" s="65" t="inlineStr">
        <is>
          <t xml:space="preserve">  Administrative labor</t>
        </is>
      </c>
      <c r="B59" s="65" t="n"/>
      <c r="C59" s="510">
        <f>Scenarios!B87</f>
        <v/>
      </c>
      <c r="D59" s="524">
        <f>Scenarios!F87</f>
        <v/>
      </c>
      <c r="E59" s="507">
        <f>D59*(1+E$6)</f>
        <v/>
      </c>
      <c r="F59" s="507">
        <f>E59*(1+F$6)</f>
        <v/>
      </c>
      <c r="G59" s="507">
        <f>F59*(1+G$6)</f>
        <v/>
      </c>
      <c r="H59" s="507">
        <f>G59*(1+H$6)</f>
        <v/>
      </c>
      <c r="I59" s="507">
        <f>H59*(1+I$6)</f>
        <v/>
      </c>
      <c r="J59" s="507">
        <f>I59*(1+J$6)</f>
        <v/>
      </c>
      <c r="K59" s="507">
        <f>J59*(1+K$6)</f>
        <v/>
      </c>
      <c r="L59" s="507">
        <f>K59*(1+L$6)</f>
        <v/>
      </c>
      <c r="M59" s="507">
        <f>L59*(1+M$6)</f>
        <v/>
      </c>
      <c r="N59" s="69" t="n"/>
      <c r="O59" s="69" t="n"/>
      <c r="P59" s="69" t="n"/>
      <c r="Q59" s="79" t="n"/>
    </row>
    <row r="60" outlineLevel="1" ht="18" customHeight="1" s="923">
      <c r="A60" s="62" t="inlineStr">
        <is>
          <t xml:space="preserve">  Bonus wages</t>
        </is>
      </c>
      <c r="B60" s="62" t="n"/>
      <c r="C60" s="510">
        <f>Scenarios!B88</f>
        <v/>
      </c>
      <c r="D60" s="524">
        <f>Scenarios!F88</f>
        <v/>
      </c>
      <c r="E60" s="512">
        <f>D60*(1+E$6)</f>
        <v/>
      </c>
      <c r="F60" s="512">
        <f>E60*(1+F$6)</f>
        <v/>
      </c>
      <c r="G60" s="512">
        <f>F60*(1+G$6)</f>
        <v/>
      </c>
      <c r="H60" s="512">
        <f>G60*(1+H$6)</f>
        <v/>
      </c>
      <c r="I60" s="512">
        <f>H60*(1+I$6)</f>
        <v/>
      </c>
      <c r="J60" s="512">
        <f>I60*(1+J$6)</f>
        <v/>
      </c>
      <c r="K60" s="512">
        <f>J60*(1+K$6)</f>
        <v/>
      </c>
      <c r="L60" s="512">
        <f>K60*(1+L$6)</f>
        <v/>
      </c>
      <c r="M60" s="512">
        <f>L60*(1+M$6)</f>
        <v/>
      </c>
      <c r="N60" s="72" t="n"/>
      <c r="O60" s="72" t="n"/>
      <c r="P60" s="72" t="n"/>
      <c r="Q60" s="78" t="n"/>
    </row>
    <row r="61" ht="18" customHeight="1" s="923">
      <c r="A61" s="452" t="inlineStr">
        <is>
          <t>Total Direct Labor</t>
        </is>
      </c>
      <c r="B61" s="65" t="n"/>
      <c r="C61" s="510">
        <f>Scenarios!B89</f>
        <v/>
      </c>
      <c r="D61" s="524">
        <f>Scenarios!F89</f>
        <v/>
      </c>
      <c r="E61" s="534">
        <f>SUM(E53:E60)</f>
        <v/>
      </c>
      <c r="F61" s="534">
        <f>SUM(F53:F60)</f>
        <v/>
      </c>
      <c r="G61" s="534">
        <f>SUM(G53:G60)</f>
        <v/>
      </c>
      <c r="H61" s="534">
        <f>SUM(H53:H60)</f>
        <v/>
      </c>
      <c r="I61" s="534">
        <f>SUM(I53:I60)</f>
        <v/>
      </c>
      <c r="J61" s="534">
        <f>SUM(J53:J60)</f>
        <v/>
      </c>
      <c r="K61" s="534">
        <f>SUM(K53:K60)</f>
        <v/>
      </c>
      <c r="L61" s="534">
        <f>SUM(L53:L60)</f>
        <v/>
      </c>
      <c r="M61" s="534">
        <f>SUM(M53:M60)</f>
        <v/>
      </c>
      <c r="N61" s="69" t="n"/>
      <c r="O61" s="69" t="n"/>
      <c r="P61" s="69" t="n"/>
      <c r="Q61" s="79" t="n"/>
    </row>
    <row r="62" ht="18" customHeight="1" s="923">
      <c r="A62" s="451" t="inlineStr">
        <is>
          <t>── PAYROLL BURDEN ──</t>
        </is>
      </c>
      <c r="B62" s="62" t="n"/>
      <c r="C62" s="510" t="n"/>
      <c r="D62" s="511" t="n"/>
      <c r="E62" s="512" t="n"/>
      <c r="F62" s="512" t="n"/>
      <c r="G62" s="512" t="n"/>
      <c r="H62" s="512" t="n"/>
      <c r="I62" s="512" t="n"/>
      <c r="J62" s="512" t="n"/>
      <c r="K62" s="512" t="n"/>
      <c r="L62" s="512" t="n"/>
      <c r="M62" s="512" t="n"/>
      <c r="N62" s="72" t="n"/>
      <c r="O62" s="72" t="n"/>
      <c r="P62" s="72" t="n"/>
      <c r="Q62" s="78" t="n"/>
    </row>
    <row r="63" outlineLevel="1" ht="18" customHeight="1" s="923">
      <c r="A63" s="65" t="inlineStr">
        <is>
          <t xml:space="preserve">  Overtime wages</t>
        </is>
      </c>
      <c r="B63" s="65" t="n"/>
      <c r="C63" s="510">
        <f>Scenarios!B91</f>
        <v/>
      </c>
      <c r="D63" s="524">
        <f>Scenarios!F91</f>
        <v/>
      </c>
      <c r="E63" s="507">
        <f>D63*(1+E$6)</f>
        <v/>
      </c>
      <c r="F63" s="507">
        <f>E63*(1+F$6)</f>
        <v/>
      </c>
      <c r="G63" s="507">
        <f>F63*(1+G$6)</f>
        <v/>
      </c>
      <c r="H63" s="507">
        <f>G63*(1+H$6)</f>
        <v/>
      </c>
      <c r="I63" s="507">
        <f>H63*(1+I$6)</f>
        <v/>
      </c>
      <c r="J63" s="507">
        <f>I63*(1+J$6)</f>
        <v/>
      </c>
      <c r="K63" s="507">
        <f>J63*(1+K$6)</f>
        <v/>
      </c>
      <c r="L63" s="507">
        <f>K63*(1+L$6)</f>
        <v/>
      </c>
      <c r="M63" s="507">
        <f>L63*(1+M$6)</f>
        <v/>
      </c>
      <c r="N63" s="69" t="n"/>
      <c r="O63" s="69" t="n"/>
      <c r="P63" s="69" t="n"/>
      <c r="Q63" s="79" t="n"/>
    </row>
    <row r="64" outlineLevel="1" ht="18" customHeight="1" s="923">
      <c r="A64" s="62" t="inlineStr">
        <is>
          <t xml:space="preserve">  PTO wages</t>
        </is>
      </c>
      <c r="B64" s="62" t="n"/>
      <c r="C64" s="510">
        <f>Scenarios!B92</f>
        <v/>
      </c>
      <c r="D64" s="524">
        <f>Scenarios!F92</f>
        <v/>
      </c>
      <c r="E64" s="512">
        <f>D64*(1+E$6)</f>
        <v/>
      </c>
      <c r="F64" s="512">
        <f>E64*(1+F$6)</f>
        <v/>
      </c>
      <c r="G64" s="512">
        <f>F64*(1+G$6)</f>
        <v/>
      </c>
      <c r="H64" s="512">
        <f>G64*(1+H$6)</f>
        <v/>
      </c>
      <c r="I64" s="512">
        <f>H64*(1+I$6)</f>
        <v/>
      </c>
      <c r="J64" s="512">
        <f>I64*(1+J$6)</f>
        <v/>
      </c>
      <c r="K64" s="512">
        <f>J64*(1+K$6)</f>
        <v/>
      </c>
      <c r="L64" s="512">
        <f>K64*(1+L$6)</f>
        <v/>
      </c>
      <c r="M64" s="512">
        <f>L64*(1+M$6)</f>
        <v/>
      </c>
      <c r="N64" s="72" t="n"/>
      <c r="O64" s="72" t="n"/>
      <c r="P64" s="72" t="n"/>
      <c r="Q64" s="78" t="n"/>
    </row>
    <row r="65" outlineLevel="1" ht="18" customHeight="1" s="923">
      <c r="A65" s="65" t="inlineStr">
        <is>
          <t xml:space="preserve">  Payroll taxes</t>
        </is>
      </c>
      <c r="B65" s="65" t="n"/>
      <c r="C65" s="510">
        <f>Scenarios!B93</f>
        <v/>
      </c>
      <c r="D65" s="524">
        <f>Scenarios!F93</f>
        <v/>
      </c>
      <c r="E65" s="507">
        <f>D65*(1+E$6)</f>
        <v/>
      </c>
      <c r="F65" s="507">
        <f>E65*(1+F$6)</f>
        <v/>
      </c>
      <c r="G65" s="507">
        <f>F65*(1+G$6)</f>
        <v/>
      </c>
      <c r="H65" s="507">
        <f>G65*(1+H$6)</f>
        <v/>
      </c>
      <c r="I65" s="507">
        <f>H65*(1+I$6)</f>
        <v/>
      </c>
      <c r="J65" s="507">
        <f>I65*(1+J$6)</f>
        <v/>
      </c>
      <c r="K65" s="507">
        <f>J65*(1+K$6)</f>
        <v/>
      </c>
      <c r="L65" s="507">
        <f>K65*(1+L$6)</f>
        <v/>
      </c>
      <c r="M65" s="507">
        <f>L65*(1+M$6)</f>
        <v/>
      </c>
      <c r="N65" s="69" t="n"/>
      <c r="O65" s="69" t="n"/>
      <c r="P65" s="69" t="n"/>
      <c r="Q65" s="79" t="n"/>
    </row>
    <row r="66" outlineLevel="1" ht="18" customHeight="1" s="923">
      <c r="A66" s="62" t="inlineStr">
        <is>
          <t xml:space="preserve">  Employee benefits</t>
        </is>
      </c>
      <c r="B66" s="62" t="n"/>
      <c r="C66" s="510">
        <f>Scenarios!B94</f>
        <v/>
      </c>
      <c r="D66" s="524">
        <f>Scenarios!F94</f>
        <v/>
      </c>
      <c r="E66" s="512">
        <f>D66*(1+E$6)</f>
        <v/>
      </c>
      <c r="F66" s="512">
        <f>E66*(1+F$6)</f>
        <v/>
      </c>
      <c r="G66" s="512">
        <f>F66*(1+G$6)</f>
        <v/>
      </c>
      <c r="H66" s="512">
        <f>G66*(1+H$6)</f>
        <v/>
      </c>
      <c r="I66" s="512">
        <f>H66*(1+I$6)</f>
        <v/>
      </c>
      <c r="J66" s="512">
        <f>I66*(1+J$6)</f>
        <v/>
      </c>
      <c r="K66" s="512">
        <f>J66*(1+K$6)</f>
        <v/>
      </c>
      <c r="L66" s="512">
        <f>K66*(1+L$6)</f>
        <v/>
      </c>
      <c r="M66" s="512">
        <f>L66*(1+M$6)</f>
        <v/>
      </c>
      <c r="N66" s="72" t="n"/>
      <c r="O66" s="72" t="n"/>
      <c r="P66" s="72" t="n"/>
      <c r="Q66" s="78" t="n"/>
    </row>
    <row r="67" outlineLevel="1" ht="18" customHeight="1" s="923">
      <c r="A67" s="62" t="inlineStr">
        <is>
          <t xml:space="preserve">  Workers' comp insurance</t>
        </is>
      </c>
      <c r="B67" s="62" t="n"/>
      <c r="C67" s="510">
        <f>Scenarios!B95</f>
        <v/>
      </c>
      <c r="D67" s="524">
        <f>Scenarios!F95</f>
        <v/>
      </c>
      <c r="E67" s="512">
        <f>D67*(1+E$6)</f>
        <v/>
      </c>
      <c r="F67" s="512">
        <f>E67*(1+F$6)</f>
        <v/>
      </c>
      <c r="G67" s="512">
        <f>F67*(1+G$6)</f>
        <v/>
      </c>
      <c r="H67" s="512">
        <f>G67*(1+H$6)</f>
        <v/>
      </c>
      <c r="I67" s="512">
        <f>H67*(1+I$6)</f>
        <v/>
      </c>
      <c r="J67" s="512">
        <f>I67*(1+J$6)</f>
        <v/>
      </c>
      <c r="K67" s="512">
        <f>J67*(1+K$6)</f>
        <v/>
      </c>
      <c r="L67" s="512">
        <f>K67*(1+L$6)</f>
        <v/>
      </c>
      <c r="M67" s="512">
        <f>L67*(1+M$6)</f>
        <v/>
      </c>
      <c r="N67" s="72" t="n"/>
      <c r="O67" s="72" t="n"/>
      <c r="P67" s="72" t="n"/>
      <c r="Q67" s="78" t="n"/>
    </row>
    <row r="68" outlineLevel="1" ht="18" customHeight="1" s="923">
      <c r="A68" s="62" t="inlineStr">
        <is>
          <t xml:space="preserve">  Employee 401(k) / retirement</t>
        </is>
      </c>
      <c r="B68" s="62" t="n"/>
      <c r="C68" s="510">
        <f>Scenarios!B96</f>
        <v/>
      </c>
      <c r="D68" s="524">
        <f>Scenarios!F96</f>
        <v/>
      </c>
      <c r="E68" s="512">
        <f>D68*(1+E$6)</f>
        <v/>
      </c>
      <c r="F68" s="512">
        <f>E68*(1+F$6)</f>
        <v/>
      </c>
      <c r="G68" s="512">
        <f>F68*(1+G$6)</f>
        <v/>
      </c>
      <c r="H68" s="512">
        <f>G68*(1+H$6)</f>
        <v/>
      </c>
      <c r="I68" s="512">
        <f>H68*(1+I$6)</f>
        <v/>
      </c>
      <c r="J68" s="512">
        <f>I68*(1+J$6)</f>
        <v/>
      </c>
      <c r="K68" s="512">
        <f>J68*(1+K$6)</f>
        <v/>
      </c>
      <c r="L68" s="512">
        <f>K68*(1+L$6)</f>
        <v/>
      </c>
      <c r="M68" s="512">
        <f>L68*(1+M$6)</f>
        <v/>
      </c>
      <c r="N68" s="72" t="n"/>
      <c r="O68" s="72" t="n"/>
      <c r="P68" s="72" t="n"/>
      <c r="Q68" s="78" t="n"/>
    </row>
    <row r="69" ht="18" customHeight="1" s="923">
      <c r="A69" s="452" t="inlineStr">
        <is>
          <t>Total Payroll Burden</t>
        </is>
      </c>
      <c r="B69" s="62" t="n"/>
      <c r="C69" s="510">
        <f>Scenarios!B97</f>
        <v/>
      </c>
      <c r="D69" s="524">
        <f>Scenarios!F97</f>
        <v/>
      </c>
      <c r="E69" s="525">
        <f>SUM(E63:E68)</f>
        <v/>
      </c>
      <c r="F69" s="525">
        <f>SUM(F63:F68)</f>
        <v/>
      </c>
      <c r="G69" s="525">
        <f>SUM(G63:G68)</f>
        <v/>
      </c>
      <c r="H69" s="525">
        <f>SUM(H63:H68)</f>
        <v/>
      </c>
      <c r="I69" s="525">
        <f>SUM(I63:I68)</f>
        <v/>
      </c>
      <c r="J69" s="525">
        <f>SUM(J63:J68)</f>
        <v/>
      </c>
      <c r="K69" s="525">
        <f>SUM(K63:K68)</f>
        <v/>
      </c>
      <c r="L69" s="525">
        <f>SUM(L63:L68)</f>
        <v/>
      </c>
      <c r="M69" s="525">
        <f>SUM(M63:M68)</f>
        <v/>
      </c>
      <c r="N69" s="72" t="n"/>
      <c r="O69" s="72" t="n"/>
      <c r="P69" s="72" t="n"/>
      <c r="Q69" s="78" t="n"/>
    </row>
    <row r="70" ht="18" customHeight="1" s="923">
      <c r="A70" s="451" t="inlineStr">
        <is>
          <t>── NON-LABOR OPEX ──</t>
        </is>
      </c>
      <c r="B70" s="62" t="n"/>
      <c r="C70" s="510" t="n"/>
      <c r="D70" s="511" t="n"/>
      <c r="E70" s="512" t="n"/>
      <c r="F70" s="512" t="n"/>
      <c r="G70" s="512" t="n"/>
      <c r="H70" s="512" t="n"/>
      <c r="I70" s="512" t="n"/>
      <c r="J70" s="512" t="n"/>
      <c r="K70" s="512" t="n"/>
      <c r="L70" s="512" t="n"/>
      <c r="M70" s="512" t="n"/>
      <c r="N70" s="72" t="n"/>
      <c r="O70" s="72" t="n"/>
      <c r="P70" s="72" t="n"/>
      <c r="Q70" s="78" t="n"/>
    </row>
    <row r="71" outlineLevel="1" ht="18" customHeight="1" s="923">
      <c r="A71" s="62" t="inlineStr">
        <is>
          <t xml:space="preserve">  Food cost</t>
        </is>
      </c>
      <c r="B71" s="62" t="n"/>
      <c r="C71" s="510">
        <f>Scenarios!B99</f>
        <v/>
      </c>
      <c r="D71" s="524">
        <f>Scenarios!F99</f>
        <v/>
      </c>
      <c r="E71" s="512">
        <f>D71*(1+E$6)</f>
        <v/>
      </c>
      <c r="F71" s="512">
        <f>E71*(1+F$6)</f>
        <v/>
      </c>
      <c r="G71" s="512">
        <f>F71*(1+G$6)</f>
        <v/>
      </c>
      <c r="H71" s="512">
        <f>G71*(1+H$6)</f>
        <v/>
      </c>
      <c r="I71" s="512">
        <f>H71*(1+I$6)</f>
        <v/>
      </c>
      <c r="J71" s="512">
        <f>I71*(1+J$6)</f>
        <v/>
      </c>
      <c r="K71" s="512">
        <f>J71*(1+K$6)</f>
        <v/>
      </c>
      <c r="L71" s="512">
        <f>K71*(1+L$6)</f>
        <v/>
      </c>
      <c r="M71" s="512">
        <f>L71*(1+M$6)</f>
        <v/>
      </c>
      <c r="N71" s="512" t="n"/>
      <c r="O71" s="512" t="n"/>
      <c r="P71" s="512" t="n"/>
      <c r="Q71" s="952" t="n"/>
    </row>
    <row r="72" outlineLevel="1" ht="18" customHeight="1" s="923">
      <c r="A72" s="62" t="inlineStr">
        <is>
          <t xml:space="preserve">  Dining &amp; kitchen supplies</t>
        </is>
      </c>
      <c r="B72" s="62" t="n"/>
      <c r="C72" s="510">
        <f>Scenarios!B100</f>
        <v/>
      </c>
      <c r="D72" s="524">
        <f>Scenarios!F100</f>
        <v/>
      </c>
      <c r="E72" s="512">
        <f>D72*(1+E$6)</f>
        <v/>
      </c>
      <c r="F72" s="512">
        <f>E72*(1+F$6)</f>
        <v/>
      </c>
      <c r="G72" s="512">
        <f>F72*(1+G$6)</f>
        <v/>
      </c>
      <c r="H72" s="512">
        <f>G72*(1+H$6)</f>
        <v/>
      </c>
      <c r="I72" s="512">
        <f>H72*(1+I$6)</f>
        <v/>
      </c>
      <c r="J72" s="512">
        <f>I72*(1+J$6)</f>
        <v/>
      </c>
      <c r="K72" s="512">
        <f>J72*(1+K$6)</f>
        <v/>
      </c>
      <c r="L72" s="512">
        <f>K72*(1+L$6)</f>
        <v/>
      </c>
      <c r="M72" s="512">
        <f>L72*(1+M$6)</f>
        <v/>
      </c>
      <c r="N72" s="512" t="n"/>
      <c r="O72" s="512" t="n"/>
      <c r="P72" s="512" t="n"/>
      <c r="Q72" s="952" t="n"/>
    </row>
    <row r="73" outlineLevel="1" ht="18" customHeight="1" s="923">
      <c r="A73" s="62" t="inlineStr">
        <is>
          <t xml:space="preserve">  Nursing &amp; care supplies</t>
        </is>
      </c>
      <c r="B73" s="62" t="n"/>
      <c r="C73" s="510">
        <f>Scenarios!B101</f>
        <v/>
      </c>
      <c r="D73" s="524">
        <f>Scenarios!F101</f>
        <v/>
      </c>
      <c r="E73" s="512">
        <f>D73*(1+E$6)</f>
        <v/>
      </c>
      <c r="F73" s="512">
        <f>E73*(1+F$6)</f>
        <v/>
      </c>
      <c r="G73" s="512">
        <f>F73*(1+G$6)</f>
        <v/>
      </c>
      <c r="H73" s="512">
        <f>G73*(1+H$6)</f>
        <v/>
      </c>
      <c r="I73" s="512">
        <f>H73*(1+I$6)</f>
        <v/>
      </c>
      <c r="J73" s="512">
        <f>I73*(1+J$6)</f>
        <v/>
      </c>
      <c r="K73" s="512">
        <f>J73*(1+K$6)</f>
        <v/>
      </c>
      <c r="L73" s="512">
        <f>K73*(1+L$6)</f>
        <v/>
      </c>
      <c r="M73" s="512">
        <f>L73*(1+M$6)</f>
        <v/>
      </c>
      <c r="N73" s="512" t="n"/>
      <c r="O73" s="512" t="n"/>
      <c r="P73" s="512" t="n"/>
      <c r="Q73" s="952" t="n"/>
    </row>
    <row r="74" outlineLevel="1" ht="18" customHeight="1" s="923">
      <c r="A74" s="62" t="inlineStr">
        <is>
          <t xml:space="preserve">  Recreation &amp; activity supplies</t>
        </is>
      </c>
      <c r="B74" s="62" t="n"/>
      <c r="C74" s="510">
        <f>Scenarios!B102</f>
        <v/>
      </c>
      <c r="D74" s="524">
        <f>Scenarios!F102</f>
        <v/>
      </c>
      <c r="E74" s="512">
        <f>D74*(1+E$6)</f>
        <v/>
      </c>
      <c r="F74" s="512">
        <f>E74*(1+F$6)</f>
        <v/>
      </c>
      <c r="G74" s="512">
        <f>F74*(1+G$6)</f>
        <v/>
      </c>
      <c r="H74" s="512">
        <f>G74*(1+H$6)</f>
        <v/>
      </c>
      <c r="I74" s="512">
        <f>H74*(1+I$6)</f>
        <v/>
      </c>
      <c r="J74" s="512">
        <f>I74*(1+J$6)</f>
        <v/>
      </c>
      <c r="K74" s="512">
        <f>J74*(1+K$6)</f>
        <v/>
      </c>
      <c r="L74" s="512">
        <f>K74*(1+L$6)</f>
        <v/>
      </c>
      <c r="M74" s="512">
        <f>L74*(1+M$6)</f>
        <v/>
      </c>
      <c r="N74" s="512" t="n"/>
      <c r="O74" s="512" t="n"/>
      <c r="P74" s="512" t="n"/>
      <c r="Q74" s="952" t="n"/>
    </row>
    <row r="75" outlineLevel="1" ht="18" customHeight="1" s="923">
      <c r="A75" s="62" t="inlineStr">
        <is>
          <t xml:space="preserve">  R&amp;M — fixed</t>
        </is>
      </c>
      <c r="B75" s="62" t="n"/>
      <c r="C75" s="510">
        <f>Scenarios!B103</f>
        <v/>
      </c>
      <c r="D75" s="524">
        <f>Scenarios!F103</f>
        <v/>
      </c>
      <c r="E75" s="512">
        <f>D75*(1+E$6)</f>
        <v/>
      </c>
      <c r="F75" s="512">
        <f>E75*(1+F$6)</f>
        <v/>
      </c>
      <c r="G75" s="512">
        <f>F75*(1+G$6)</f>
        <v/>
      </c>
      <c r="H75" s="512">
        <f>G75*(1+H$6)</f>
        <v/>
      </c>
      <c r="I75" s="512">
        <f>H75*(1+I$6)</f>
        <v/>
      </c>
      <c r="J75" s="512">
        <f>I75*(1+J$6)</f>
        <v/>
      </c>
      <c r="K75" s="512">
        <f>J75*(1+K$6)</f>
        <v/>
      </c>
      <c r="L75" s="512">
        <f>K75*(1+L$6)</f>
        <v/>
      </c>
      <c r="M75" s="512">
        <f>L75*(1+M$6)</f>
        <v/>
      </c>
      <c r="N75" s="512" t="n"/>
      <c r="O75" s="512" t="n"/>
      <c r="P75" s="512" t="n"/>
      <c r="Q75" s="952" t="n"/>
    </row>
    <row r="76" outlineLevel="1" ht="18" customHeight="1" s="923">
      <c r="A76" s="62" t="inlineStr">
        <is>
          <t xml:space="preserve">  R&amp;M — variable</t>
        </is>
      </c>
      <c r="B76" s="62" t="n"/>
      <c r="C76" s="510">
        <f>Scenarios!B104</f>
        <v/>
      </c>
      <c r="D76" s="524">
        <f>Scenarios!F104</f>
        <v/>
      </c>
      <c r="E76" s="512">
        <f>D76*(1+E$6)</f>
        <v/>
      </c>
      <c r="F76" s="512">
        <f>E76*(1+F$6)</f>
        <v/>
      </c>
      <c r="G76" s="512">
        <f>F76*(1+G$6)</f>
        <v/>
      </c>
      <c r="H76" s="512">
        <f>G76*(1+H$6)</f>
        <v/>
      </c>
      <c r="I76" s="512">
        <f>H76*(1+I$6)</f>
        <v/>
      </c>
      <c r="J76" s="512">
        <f>I76*(1+J$6)</f>
        <v/>
      </c>
      <c r="K76" s="512">
        <f>J76*(1+K$6)</f>
        <v/>
      </c>
      <c r="L76" s="512">
        <f>K76*(1+L$6)</f>
        <v/>
      </c>
      <c r="M76" s="512">
        <f>L76*(1+M$6)</f>
        <v/>
      </c>
      <c r="N76" s="512" t="n"/>
      <c r="O76" s="512" t="n"/>
      <c r="P76" s="512" t="n"/>
      <c r="Q76" s="952" t="n"/>
    </row>
    <row r="77" outlineLevel="1" ht="18" customHeight="1" s="923">
      <c r="A77" s="62" t="inlineStr">
        <is>
          <t xml:space="preserve">  Housekeeping &amp; laundry supplies</t>
        </is>
      </c>
      <c r="B77" s="62" t="n"/>
      <c r="C77" s="510">
        <f>Scenarios!B105</f>
        <v/>
      </c>
      <c r="D77" s="524">
        <f>Scenarios!F105</f>
        <v/>
      </c>
      <c r="E77" s="512">
        <f>D77*(1+E$6)</f>
        <v/>
      </c>
      <c r="F77" s="512">
        <f>E77*(1+F$6)</f>
        <v/>
      </c>
      <c r="G77" s="512">
        <f>F77*(1+G$6)</f>
        <v/>
      </c>
      <c r="H77" s="512">
        <f>G77*(1+H$6)</f>
        <v/>
      </c>
      <c r="I77" s="512">
        <f>H77*(1+I$6)</f>
        <v/>
      </c>
      <c r="J77" s="512">
        <f>I77*(1+J$6)</f>
        <v/>
      </c>
      <c r="K77" s="512">
        <f>J77*(1+K$6)</f>
        <v/>
      </c>
      <c r="L77" s="512">
        <f>K77*(1+L$6)</f>
        <v/>
      </c>
      <c r="M77" s="512">
        <f>L77*(1+M$6)</f>
        <v/>
      </c>
      <c r="N77" s="512" t="n"/>
      <c r="O77" s="512" t="n"/>
      <c r="P77" s="512" t="n"/>
      <c r="Q77" s="952" t="n"/>
    </row>
    <row r="78" outlineLevel="1" ht="18" customHeight="1" s="923">
      <c r="A78" s="62" t="inlineStr">
        <is>
          <t xml:space="preserve">  Sales, advertising &amp; marketing</t>
        </is>
      </c>
      <c r="B78" s="62" t="n"/>
      <c r="C78" s="510">
        <f>Scenarios!B106</f>
        <v/>
      </c>
      <c r="D78" s="524">
        <f>Scenarios!F106</f>
        <v/>
      </c>
      <c r="E78" s="512">
        <f>D78*(1+E$6)</f>
        <v/>
      </c>
      <c r="F78" s="512">
        <f>E78*(1+F$6)</f>
        <v/>
      </c>
      <c r="G78" s="512">
        <f>F78*(1+G$6)</f>
        <v/>
      </c>
      <c r="H78" s="512">
        <f>G78*(1+H$6)</f>
        <v/>
      </c>
      <c r="I78" s="512">
        <f>H78*(1+I$6)</f>
        <v/>
      </c>
      <c r="J78" s="512">
        <f>I78*(1+J$6)</f>
        <v/>
      </c>
      <c r="K78" s="512">
        <f>J78*(1+K$6)</f>
        <v/>
      </c>
      <c r="L78" s="512">
        <f>K78*(1+L$6)</f>
        <v/>
      </c>
      <c r="M78" s="512">
        <f>L78*(1+M$6)</f>
        <v/>
      </c>
      <c r="N78" s="512" t="n"/>
      <c r="O78" s="512" t="n"/>
      <c r="P78" s="512" t="n"/>
      <c r="Q78" s="952" t="n"/>
    </row>
    <row r="79" outlineLevel="1" ht="18" customHeight="1" s="923">
      <c r="A79" s="62" t="inlineStr">
        <is>
          <t xml:space="preserve">  Referral fees</t>
        </is>
      </c>
      <c r="B79" s="62" t="n"/>
      <c r="C79" s="510">
        <f>Scenarios!B107</f>
        <v/>
      </c>
      <c r="D79" s="524">
        <f>Scenarios!F107</f>
        <v/>
      </c>
      <c r="E79" s="512">
        <f>D79*(1+E$6)</f>
        <v/>
      </c>
      <c r="F79" s="512">
        <f>E79*(1+F$6)</f>
        <v/>
      </c>
      <c r="G79" s="512">
        <f>F79*(1+G$6)</f>
        <v/>
      </c>
      <c r="H79" s="512">
        <f>G79*(1+H$6)</f>
        <v/>
      </c>
      <c r="I79" s="512">
        <f>H79*(1+I$6)</f>
        <v/>
      </c>
      <c r="J79" s="512">
        <f>I79*(1+J$6)</f>
        <v/>
      </c>
      <c r="K79" s="512">
        <f>J79*(1+K$6)</f>
        <v/>
      </c>
      <c r="L79" s="512">
        <f>K79*(1+L$6)</f>
        <v/>
      </c>
      <c r="M79" s="512">
        <f>L79*(1+M$6)</f>
        <v/>
      </c>
      <c r="N79" s="512" t="n"/>
      <c r="O79" s="512" t="n"/>
      <c r="P79" s="512" t="n"/>
      <c r="Q79" s="952" t="n"/>
    </row>
    <row r="80" outlineLevel="1" ht="18" customHeight="1" s="923">
      <c r="A80" s="62" t="inlineStr">
        <is>
          <t xml:space="preserve">  Utilities</t>
        </is>
      </c>
      <c r="B80" s="62" t="n"/>
      <c r="C80" s="510">
        <f>Scenarios!B108</f>
        <v/>
      </c>
      <c r="D80" s="524">
        <f>Scenarios!F108</f>
        <v/>
      </c>
      <c r="E80" s="512">
        <f>D80*(1+E$6)</f>
        <v/>
      </c>
      <c r="F80" s="512">
        <f>E80*(1+F$6)</f>
        <v/>
      </c>
      <c r="G80" s="512">
        <f>F80*(1+G$6)</f>
        <v/>
      </c>
      <c r="H80" s="512">
        <f>G80*(1+H$6)</f>
        <v/>
      </c>
      <c r="I80" s="512">
        <f>H80*(1+I$6)</f>
        <v/>
      </c>
      <c r="J80" s="512">
        <f>I80*(1+J$6)</f>
        <v/>
      </c>
      <c r="K80" s="512">
        <f>J80*(1+K$6)</f>
        <v/>
      </c>
      <c r="L80" s="512">
        <f>K80*(1+L$6)</f>
        <v/>
      </c>
      <c r="M80" s="512">
        <f>L80*(1+M$6)</f>
        <v/>
      </c>
      <c r="N80" s="512" t="n"/>
      <c r="O80" s="512" t="n"/>
      <c r="P80" s="512" t="n"/>
      <c r="Q80" s="952" t="n"/>
    </row>
    <row r="81" outlineLevel="1" ht="18" customHeight="1" s="923">
      <c r="A81" s="62" t="inlineStr">
        <is>
          <t xml:space="preserve">  Telephone / IT / technology</t>
        </is>
      </c>
      <c r="B81" s="62" t="n"/>
      <c r="C81" s="510">
        <f>Scenarios!B109</f>
        <v/>
      </c>
      <c r="D81" s="524">
        <f>Scenarios!F109</f>
        <v/>
      </c>
      <c r="E81" s="512">
        <f>D81*(1+E$6)</f>
        <v/>
      </c>
      <c r="F81" s="512">
        <f>E81*(1+F$6)</f>
        <v/>
      </c>
      <c r="G81" s="512">
        <f>F81*(1+G$6)</f>
        <v/>
      </c>
      <c r="H81" s="512">
        <f>G81*(1+H$6)</f>
        <v/>
      </c>
      <c r="I81" s="512">
        <f>H81*(1+I$6)</f>
        <v/>
      </c>
      <c r="J81" s="512">
        <f>I81*(1+J$6)</f>
        <v/>
      </c>
      <c r="K81" s="512">
        <f>J81*(1+K$6)</f>
        <v/>
      </c>
      <c r="L81" s="512">
        <f>K81*(1+L$6)</f>
        <v/>
      </c>
      <c r="M81" s="512">
        <f>L81*(1+M$6)</f>
        <v/>
      </c>
      <c r="N81" s="512" t="n"/>
      <c r="O81" s="512" t="n"/>
      <c r="P81" s="512" t="n"/>
      <c r="Q81" s="952" t="n"/>
    </row>
    <row r="82" outlineLevel="1" ht="18" customHeight="1" s="923">
      <c r="A82" s="62" t="inlineStr">
        <is>
          <t xml:space="preserve">  P&amp;C insurance</t>
        </is>
      </c>
      <c r="B82" s="62" t="n"/>
      <c r="C82" s="510">
        <f>Scenarios!B110</f>
        <v/>
      </c>
      <c r="D82" s="524">
        <f>Scenarios!F110</f>
        <v/>
      </c>
      <c r="E82" s="512">
        <f>D82*(1+E$6)</f>
        <v/>
      </c>
      <c r="F82" s="512">
        <f>E82*(1+F$6)</f>
        <v/>
      </c>
      <c r="G82" s="512">
        <f>F82*(1+G$6)</f>
        <v/>
      </c>
      <c r="H82" s="512">
        <f>G82*(1+H$6)</f>
        <v/>
      </c>
      <c r="I82" s="512">
        <f>H82*(1+I$6)</f>
        <v/>
      </c>
      <c r="J82" s="512">
        <f>I82*(1+J$6)</f>
        <v/>
      </c>
      <c r="K82" s="512">
        <f>J82*(1+K$6)</f>
        <v/>
      </c>
      <c r="L82" s="512">
        <f>K82*(1+L$6)</f>
        <v/>
      </c>
      <c r="M82" s="512">
        <f>L82*(1+M$6)</f>
        <v/>
      </c>
      <c r="N82" s="512" t="n"/>
      <c r="O82" s="512" t="n"/>
      <c r="P82" s="512" t="n"/>
      <c r="Q82" s="952" t="n"/>
    </row>
    <row r="83" outlineLevel="1" ht="18" customHeight="1" s="923">
      <c r="A83" s="62" t="inlineStr">
        <is>
          <t xml:space="preserve">  Auto insurance</t>
        </is>
      </c>
      <c r="B83" s="62" t="n"/>
      <c r="C83" s="510">
        <f>Scenarios!B111</f>
        <v/>
      </c>
      <c r="D83" s="524">
        <f>Scenarios!F111</f>
        <v/>
      </c>
      <c r="E83" s="512">
        <f>D83*(1+E$6)</f>
        <v/>
      </c>
      <c r="F83" s="512">
        <f>E83*(1+F$6)</f>
        <v/>
      </c>
      <c r="G83" s="512">
        <f>F83*(1+G$6)</f>
        <v/>
      </c>
      <c r="H83" s="512">
        <f>G83*(1+H$6)</f>
        <v/>
      </c>
      <c r="I83" s="512">
        <f>H83*(1+I$6)</f>
        <v/>
      </c>
      <c r="J83" s="512">
        <f>I83*(1+J$6)</f>
        <v/>
      </c>
      <c r="K83" s="512">
        <f>J83*(1+K$6)</f>
        <v/>
      </c>
      <c r="L83" s="512">
        <f>K83*(1+L$6)</f>
        <v/>
      </c>
      <c r="M83" s="512">
        <f>L83*(1+M$6)</f>
        <v/>
      </c>
      <c r="N83" s="512" t="n"/>
      <c r="O83" s="512" t="n"/>
      <c r="P83" s="512" t="n"/>
      <c r="Q83" s="952" t="n"/>
    </row>
    <row r="84" outlineLevel="1" ht="18" customHeight="1" s="923">
      <c r="A84" s="62" t="inlineStr">
        <is>
          <t xml:space="preserve">  Fire / security monitoring</t>
        </is>
      </c>
      <c r="B84" s="62" t="n"/>
      <c r="C84" s="510">
        <f>Scenarios!B112</f>
        <v/>
      </c>
      <c r="D84" s="524">
        <f>Scenarios!F112</f>
        <v/>
      </c>
      <c r="E84" s="512">
        <f>D84*(1+E$6)</f>
        <v/>
      </c>
      <c r="F84" s="512">
        <f>E84*(1+F$6)</f>
        <v/>
      </c>
      <c r="G84" s="512">
        <f>F84*(1+G$6)</f>
        <v/>
      </c>
      <c r="H84" s="512">
        <f>G84*(1+H$6)</f>
        <v/>
      </c>
      <c r="I84" s="512">
        <f>H84*(1+I$6)</f>
        <v/>
      </c>
      <c r="J84" s="512">
        <f>I84*(1+J$6)</f>
        <v/>
      </c>
      <c r="K84" s="512">
        <f>J84*(1+K$6)</f>
        <v/>
      </c>
      <c r="L84" s="512">
        <f>K84*(1+L$6)</f>
        <v/>
      </c>
      <c r="M84" s="512">
        <f>L84*(1+M$6)</f>
        <v/>
      </c>
      <c r="N84" s="512" t="n"/>
      <c r="O84" s="512" t="n"/>
      <c r="P84" s="512" t="n"/>
      <c r="Q84" s="952" t="n"/>
    </row>
    <row r="85" outlineLevel="1" ht="18" customHeight="1" s="923">
      <c r="A85" s="62" t="inlineStr">
        <is>
          <t xml:space="preserve">  Pest elimination</t>
        </is>
      </c>
      <c r="B85" s="62" t="n"/>
      <c r="C85" s="510">
        <f>Scenarios!B113</f>
        <v/>
      </c>
      <c r="D85" s="524">
        <f>Scenarios!F113</f>
        <v/>
      </c>
      <c r="E85" s="512">
        <f>D85*(1+E$6)</f>
        <v/>
      </c>
      <c r="F85" s="512">
        <f>E85*(1+F$6)</f>
        <v/>
      </c>
      <c r="G85" s="512">
        <f>F85*(1+G$6)</f>
        <v/>
      </c>
      <c r="H85" s="512">
        <f>G85*(1+H$6)</f>
        <v/>
      </c>
      <c r="I85" s="512">
        <f>H85*(1+I$6)</f>
        <v/>
      </c>
      <c r="J85" s="512">
        <f>I85*(1+J$6)</f>
        <v/>
      </c>
      <c r="K85" s="512">
        <f>J85*(1+K$6)</f>
        <v/>
      </c>
      <c r="L85" s="512">
        <f>K85*(1+L$6)</f>
        <v/>
      </c>
      <c r="M85" s="512">
        <f>L85*(1+M$6)</f>
        <v/>
      </c>
      <c r="N85" s="512" t="n"/>
      <c r="O85" s="512" t="n"/>
      <c r="P85" s="512" t="n"/>
      <c r="Q85" s="952" t="n"/>
    </row>
    <row r="86" outlineLevel="1" ht="18" customHeight="1" s="923">
      <c r="A86" s="62" t="inlineStr">
        <is>
          <t xml:space="preserve">  Real estate taxes</t>
        </is>
      </c>
      <c r="B86" s="62" t="n"/>
      <c r="C86" s="510">
        <f>Scenarios!B114</f>
        <v/>
      </c>
      <c r="D86" s="524">
        <f>Scenarios!F114</f>
        <v/>
      </c>
      <c r="E86" s="512">
        <f>D86*(1+E$6)</f>
        <v/>
      </c>
      <c r="F86" s="512">
        <f>E86*(1+F$6)</f>
        <v/>
      </c>
      <c r="G86" s="512">
        <f>F86*(1+G$6)</f>
        <v/>
      </c>
      <c r="H86" s="512">
        <f>G86*(1+H$6)</f>
        <v/>
      </c>
      <c r="I86" s="512">
        <f>H86*(1+I$6)</f>
        <v/>
      </c>
      <c r="J86" s="512">
        <f>I86*(1+J$6)</f>
        <v/>
      </c>
      <c r="K86" s="512">
        <f>J86*(1+K$6)</f>
        <v/>
      </c>
      <c r="L86" s="512">
        <f>K86*(1+L$6)</f>
        <v/>
      </c>
      <c r="M86" s="512">
        <f>L86*(1+M$6)</f>
        <v/>
      </c>
      <c r="N86" s="512" t="n"/>
      <c r="O86" s="512" t="n"/>
      <c r="P86" s="512" t="n"/>
      <c r="Q86" s="952" t="n"/>
    </row>
    <row r="87" outlineLevel="1" ht="18" customHeight="1" s="923">
      <c r="A87" s="62" t="inlineStr">
        <is>
          <t xml:space="preserve">  Personal property taxes</t>
        </is>
      </c>
      <c r="B87" s="62" t="n"/>
      <c r="C87" s="510">
        <f>Scenarios!B115</f>
        <v/>
      </c>
      <c r="D87" s="524">
        <f>Scenarios!F115</f>
        <v/>
      </c>
      <c r="E87" s="512">
        <f>D87*(1+E$6)</f>
        <v/>
      </c>
      <c r="F87" s="512">
        <f>E87*(1+F$6)</f>
        <v/>
      </c>
      <c r="G87" s="512">
        <f>F87*(1+G$6)</f>
        <v/>
      </c>
      <c r="H87" s="512">
        <f>G87*(1+H$6)</f>
        <v/>
      </c>
      <c r="I87" s="512">
        <f>H87*(1+I$6)</f>
        <v/>
      </c>
      <c r="J87" s="512">
        <f>I87*(1+J$6)</f>
        <v/>
      </c>
      <c r="K87" s="512">
        <f>J87*(1+K$6)</f>
        <v/>
      </c>
      <c r="L87" s="512">
        <f>K87*(1+L$6)</f>
        <v/>
      </c>
      <c r="M87" s="512">
        <f>L87*(1+M$6)</f>
        <v/>
      </c>
      <c r="N87" s="512" t="n"/>
      <c r="O87" s="512" t="n"/>
      <c r="P87" s="512" t="n"/>
      <c r="Q87" s="952" t="n"/>
    </row>
    <row r="88" outlineLevel="1" ht="18" customHeight="1" s="923">
      <c r="A88" s="62" t="inlineStr">
        <is>
          <t xml:space="preserve">  Legal expenses</t>
        </is>
      </c>
      <c r="B88" s="62" t="n"/>
      <c r="C88" s="510">
        <f>Scenarios!B116</f>
        <v/>
      </c>
      <c r="D88" s="524">
        <f>Scenarios!F116</f>
        <v/>
      </c>
      <c r="E88" s="512">
        <f>D88*(1+E$6)</f>
        <v/>
      </c>
      <c r="F88" s="512">
        <f>E88*(1+F$6)</f>
        <v/>
      </c>
      <c r="G88" s="512">
        <f>F88*(1+G$6)</f>
        <v/>
      </c>
      <c r="H88" s="512">
        <f>G88*(1+H$6)</f>
        <v/>
      </c>
      <c r="I88" s="512">
        <f>H88*(1+I$6)</f>
        <v/>
      </c>
      <c r="J88" s="512">
        <f>I88*(1+J$6)</f>
        <v/>
      </c>
      <c r="K88" s="512">
        <f>J88*(1+K$6)</f>
        <v/>
      </c>
      <c r="L88" s="512">
        <f>K88*(1+L$6)</f>
        <v/>
      </c>
      <c r="M88" s="512">
        <f>L88*(1+M$6)</f>
        <v/>
      </c>
      <c r="N88" s="512" t="n"/>
      <c r="O88" s="512" t="n"/>
      <c r="P88" s="512" t="n"/>
      <c r="Q88" s="952" t="n"/>
    </row>
    <row r="89" outlineLevel="1" ht="18" customHeight="1" s="923">
      <c r="A89" s="62" t="inlineStr">
        <is>
          <t xml:space="preserve">  Professional services</t>
        </is>
      </c>
      <c r="B89" s="62" t="n"/>
      <c r="C89" s="510">
        <f>Scenarios!B117</f>
        <v/>
      </c>
      <c r="D89" s="524">
        <f>Scenarios!F117</f>
        <v/>
      </c>
      <c r="E89" s="512">
        <f>D89*(1+E$6)</f>
        <v/>
      </c>
      <c r="F89" s="512">
        <f>E89*(1+F$6)</f>
        <v/>
      </c>
      <c r="G89" s="512">
        <f>F89*(1+G$6)</f>
        <v/>
      </c>
      <c r="H89" s="512">
        <f>G89*(1+H$6)</f>
        <v/>
      </c>
      <c r="I89" s="512">
        <f>H89*(1+I$6)</f>
        <v/>
      </c>
      <c r="J89" s="512">
        <f>I89*(1+J$6)</f>
        <v/>
      </c>
      <c r="K89" s="512">
        <f>J89*(1+K$6)</f>
        <v/>
      </c>
      <c r="L89" s="512">
        <f>K89*(1+L$6)</f>
        <v/>
      </c>
      <c r="M89" s="512">
        <f>L89*(1+M$6)</f>
        <v/>
      </c>
      <c r="N89" s="512" t="n"/>
      <c r="O89" s="512" t="n"/>
      <c r="P89" s="512" t="n"/>
      <c r="Q89" s="952" t="n"/>
    </row>
    <row r="90" outlineLevel="1" ht="18" customHeight="1" s="923">
      <c r="A90" s="62" t="inlineStr">
        <is>
          <t xml:space="preserve">  Bad debt expense</t>
        </is>
      </c>
      <c r="B90" s="62" t="n"/>
      <c r="C90" s="510">
        <f>Scenarios!B118</f>
        <v/>
      </c>
      <c r="D90" s="524">
        <f>Scenarios!F118</f>
        <v/>
      </c>
      <c r="E90" s="512">
        <f>D90*(1+E$6)</f>
        <v/>
      </c>
      <c r="F90" s="512">
        <f>E90*(1+F$6)</f>
        <v/>
      </c>
      <c r="G90" s="512">
        <f>F90*(1+G$6)</f>
        <v/>
      </c>
      <c r="H90" s="512">
        <f>G90*(1+H$6)</f>
        <v/>
      </c>
      <c r="I90" s="512">
        <f>H90*(1+I$6)</f>
        <v/>
      </c>
      <c r="J90" s="512">
        <f>I90*(1+J$6)</f>
        <v/>
      </c>
      <c r="K90" s="512">
        <f>J90*(1+K$6)</f>
        <v/>
      </c>
      <c r="L90" s="512">
        <f>K90*(1+L$6)</f>
        <v/>
      </c>
      <c r="M90" s="512">
        <f>L90*(1+M$6)</f>
        <v/>
      </c>
      <c r="N90" s="512" t="n"/>
      <c r="O90" s="512" t="n"/>
      <c r="P90" s="512" t="n"/>
      <c r="Q90" s="952" t="n"/>
    </row>
    <row r="91" outlineLevel="1" ht="18" customHeight="1" s="923">
      <c r="A91" s="62" t="inlineStr">
        <is>
          <t xml:space="preserve">  Permits, licenses &amp; dues</t>
        </is>
      </c>
      <c r="B91" s="62" t="n"/>
      <c r="C91" s="510">
        <f>Scenarios!B119</f>
        <v/>
      </c>
      <c r="D91" s="524">
        <f>Scenarios!F119</f>
        <v/>
      </c>
      <c r="E91" s="512">
        <f>D91*(1+E$6)</f>
        <v/>
      </c>
      <c r="F91" s="512">
        <f>E91*(1+F$6)</f>
        <v/>
      </c>
      <c r="G91" s="512">
        <f>F91*(1+G$6)</f>
        <v/>
      </c>
      <c r="H91" s="512">
        <f>G91*(1+H$6)</f>
        <v/>
      </c>
      <c r="I91" s="512">
        <f>H91*(1+I$6)</f>
        <v/>
      </c>
      <c r="J91" s="512">
        <f>I91*(1+J$6)</f>
        <v/>
      </c>
      <c r="K91" s="512">
        <f>J91*(1+K$6)</f>
        <v/>
      </c>
      <c r="L91" s="512">
        <f>K91*(1+L$6)</f>
        <v/>
      </c>
      <c r="M91" s="512">
        <f>L91*(1+M$6)</f>
        <v/>
      </c>
      <c r="N91" s="512" t="n"/>
      <c r="O91" s="512" t="n"/>
      <c r="P91" s="512" t="n"/>
      <c r="Q91" s="952" t="n"/>
    </row>
    <row r="92" outlineLevel="1" ht="18" customHeight="1" s="923">
      <c r="A92" s="62" t="inlineStr">
        <is>
          <t xml:space="preserve">  Office, admin &amp; G&amp;A</t>
        </is>
      </c>
      <c r="B92" s="62" t="n"/>
      <c r="C92" s="510">
        <f>Scenarios!B120</f>
        <v/>
      </c>
      <c r="D92" s="524">
        <f>Scenarios!F120</f>
        <v/>
      </c>
      <c r="E92" s="512">
        <f>D92*(1+E$6)</f>
        <v/>
      </c>
      <c r="F92" s="512">
        <f>E92*(1+F$6)</f>
        <v/>
      </c>
      <c r="G92" s="512">
        <f>F92*(1+G$6)</f>
        <v/>
      </c>
      <c r="H92" s="512">
        <f>G92*(1+H$6)</f>
        <v/>
      </c>
      <c r="I92" s="512">
        <f>H92*(1+I$6)</f>
        <v/>
      </c>
      <c r="J92" s="512">
        <f>I92*(1+J$6)</f>
        <v/>
      </c>
      <c r="K92" s="512">
        <f>J92*(1+K$6)</f>
        <v/>
      </c>
      <c r="L92" s="512">
        <f>K92*(1+L$6)</f>
        <v/>
      </c>
      <c r="M92" s="512">
        <f>L92*(1+M$6)</f>
        <v/>
      </c>
      <c r="N92" s="512" t="n"/>
      <c r="O92" s="512" t="n"/>
      <c r="P92" s="512" t="n"/>
      <c r="Q92" s="952" t="n"/>
    </row>
    <row r="93" outlineLevel="1" ht="18" customHeight="1" s="923">
      <c r="A93" s="62" t="inlineStr">
        <is>
          <t xml:space="preserve">  Other / miscellaneous</t>
        </is>
      </c>
      <c r="B93" s="62" t="n"/>
      <c r="C93" s="510">
        <f>Scenarios!B121</f>
        <v/>
      </c>
      <c r="D93" s="524">
        <f>Scenarios!F121</f>
        <v/>
      </c>
      <c r="E93" s="512">
        <f>D93*(1+E$6)</f>
        <v/>
      </c>
      <c r="F93" s="512">
        <f>E93*(1+F$6)</f>
        <v/>
      </c>
      <c r="G93" s="512">
        <f>F93*(1+G$6)</f>
        <v/>
      </c>
      <c r="H93" s="512">
        <f>G93*(1+H$6)</f>
        <v/>
      </c>
      <c r="I93" s="512">
        <f>H93*(1+I$6)</f>
        <v/>
      </c>
      <c r="J93" s="512">
        <f>I93*(1+J$6)</f>
        <v/>
      </c>
      <c r="K93" s="512">
        <f>J93*(1+K$6)</f>
        <v/>
      </c>
      <c r="L93" s="512">
        <f>K93*(1+L$6)</f>
        <v/>
      </c>
      <c r="M93" s="512">
        <f>L93*(1+M$6)</f>
        <v/>
      </c>
      <c r="N93" s="512" t="n"/>
      <c r="O93" s="512" t="n"/>
      <c r="P93" s="512" t="n"/>
      <c r="Q93" s="952" t="n"/>
    </row>
    <row r="94" ht="18" customHeight="1" s="923">
      <c r="A94" s="452" t="inlineStr">
        <is>
          <t>Total Non-Labor OpEx</t>
        </is>
      </c>
      <c r="B94" s="62" t="n"/>
      <c r="C94" s="510">
        <f>Scenarios!B122</f>
        <v/>
      </c>
      <c r="D94" s="524">
        <f>Scenarios!F122</f>
        <v/>
      </c>
      <c r="E94" s="525">
        <f>SUM(E71:E93)</f>
        <v/>
      </c>
      <c r="F94" s="525">
        <f>SUM(F71:F93)</f>
        <v/>
      </c>
      <c r="G94" s="525">
        <f>SUM(G71:G93)</f>
        <v/>
      </c>
      <c r="H94" s="525">
        <f>SUM(H71:H93)</f>
        <v/>
      </c>
      <c r="I94" s="525">
        <f>SUM(I71:I93)</f>
        <v/>
      </c>
      <c r="J94" s="525">
        <f>SUM(J71:J93)</f>
        <v/>
      </c>
      <c r="K94" s="525">
        <f>SUM(K71:K93)</f>
        <v/>
      </c>
      <c r="L94" s="525">
        <f>SUM(L71:L93)</f>
        <v/>
      </c>
      <c r="M94" s="525">
        <f>SUM(M71:M93)</f>
        <v/>
      </c>
      <c r="N94" s="512" t="n"/>
      <c r="O94" s="512" t="n"/>
      <c r="P94" s="512" t="n"/>
      <c r="Q94" s="952" t="n"/>
    </row>
    <row r="95" ht="18" customHeight="1" s="923">
      <c r="A95" s="453" t="inlineStr">
        <is>
          <t>Management Fee</t>
        </is>
      </c>
      <c r="B95" s="114" t="n"/>
      <c r="C95" s="526">
        <f>Scenarios!B123</f>
        <v/>
      </c>
      <c r="D95" s="527">
        <f>Scenarios!F123</f>
        <v/>
      </c>
      <c r="E95" s="528">
        <f>E50*0.05</f>
        <v/>
      </c>
      <c r="F95" s="528">
        <f>F50*0.05</f>
        <v/>
      </c>
      <c r="G95" s="528">
        <f>G50*0.05</f>
        <v/>
      </c>
      <c r="H95" s="528">
        <f>H50*0.05</f>
        <v/>
      </c>
      <c r="I95" s="528">
        <f>I50*0.05</f>
        <v/>
      </c>
      <c r="J95" s="528">
        <f>J50*0.05</f>
        <v/>
      </c>
      <c r="K95" s="528">
        <f>K50*0.05</f>
        <v/>
      </c>
      <c r="L95" s="528">
        <f>L50*0.05</f>
        <v/>
      </c>
      <c r="M95" s="528">
        <f>M50*0.05</f>
        <v/>
      </c>
      <c r="N95" s="528">
        <f>SUM(D95:H95)</f>
        <v/>
      </c>
      <c r="O95" s="528">
        <f>SUM(D95:M95)</f>
        <v/>
      </c>
      <c r="P95" s="528">
        <f>IFERROR(O95/10,0)</f>
        <v/>
      </c>
      <c r="Q95" s="529">
        <f>IFERROR(D95/D50,0)</f>
        <v/>
      </c>
    </row>
    <row r="96" ht="18" customHeight="1" s="923">
      <c r="A96" s="454" t="inlineStr">
        <is>
          <t>TOTAL OPERATING EXPENSES</t>
        </is>
      </c>
      <c r="C96" s="478">
        <f>C61+C69+C94+C95</f>
        <v/>
      </c>
      <c r="D96" s="478">
        <f>D61+D69+D94+D95</f>
        <v/>
      </c>
      <c r="E96" s="530">
        <f>E61+E69+E94+E95</f>
        <v/>
      </c>
      <c r="F96" s="530">
        <f>F61+F69+F94+F95</f>
        <v/>
      </c>
      <c r="G96" s="530">
        <f>G61+G69+G94+G95</f>
        <v/>
      </c>
      <c r="H96" s="530">
        <f>H61+H69+H94+H95</f>
        <v/>
      </c>
      <c r="I96" s="530">
        <f>I61+I69+I94+I95</f>
        <v/>
      </c>
      <c r="J96" s="530">
        <f>J61+J69+J94+J95</f>
        <v/>
      </c>
      <c r="K96" s="530">
        <f>K61+K69+K94+K95</f>
        <v/>
      </c>
      <c r="L96" s="530">
        <f>L61+L69+L94+L95</f>
        <v/>
      </c>
      <c r="M96" s="530">
        <f>M61+M69+M94+M95</f>
        <v/>
      </c>
      <c r="N96" s="498" t="n"/>
      <c r="O96" s="498" t="n"/>
      <c r="P96" s="498" t="n"/>
      <c r="Q96" s="498" t="n"/>
    </row>
    <row r="97" ht="18" customHeight="1" s="923">
      <c r="A97" s="946" t="inlineStr">
        <is>
          <t>NET OPERATING INCOME (NOI)</t>
        </is>
      </c>
      <c r="B97" s="946" t="n"/>
      <c r="C97" s="531">
        <f>C50-C96</f>
        <v/>
      </c>
      <c r="D97" s="532">
        <f>D50-D96</f>
        <v/>
      </c>
      <c r="E97" s="532">
        <f>E50-E96</f>
        <v/>
      </c>
      <c r="F97" s="532">
        <f>F50-F96</f>
        <v/>
      </c>
      <c r="G97" s="532">
        <f>G50-G96</f>
        <v/>
      </c>
      <c r="H97" s="532">
        <f>H50-H96</f>
        <v/>
      </c>
      <c r="I97" s="532">
        <f>I50-I96</f>
        <v/>
      </c>
      <c r="J97" s="532">
        <f>J50-J96</f>
        <v/>
      </c>
      <c r="K97" s="532">
        <f>K50-K96</f>
        <v/>
      </c>
      <c r="L97" s="532">
        <f>L50-L96</f>
        <v/>
      </c>
      <c r="M97" s="532">
        <f>M50-M96</f>
        <v/>
      </c>
      <c r="N97" s="532">
        <f>SUM(D97:H97)</f>
        <v/>
      </c>
      <c r="O97" s="532">
        <f>SUM(D97:M97)</f>
        <v/>
      </c>
      <c r="P97" s="532">
        <f>IFERROR(O97/10,0)</f>
        <v/>
      </c>
      <c r="Q97" s="533">
        <f>IFERROR(D97/D50,0)</f>
        <v/>
      </c>
    </row>
    <row r="98" ht="24" customHeight="1" s="923">
      <c r="A98" t="inlineStr">
        <is>
          <t>Operating Margin</t>
        </is>
      </c>
      <c r="C98" s="491" t="n"/>
      <c r="D98" s="491">
        <f>D97/D50</f>
        <v/>
      </c>
      <c r="E98" s="491">
        <f>E97/E50</f>
        <v/>
      </c>
      <c r="F98" s="491">
        <f>F97/F50</f>
        <v/>
      </c>
      <c r="G98" s="491">
        <f>G97/G50</f>
        <v/>
      </c>
      <c r="H98" s="491">
        <f>H97/H50</f>
        <v/>
      </c>
      <c r="I98" s="491">
        <f>I97/I50</f>
        <v/>
      </c>
      <c r="J98" s="491">
        <f>J97/J50</f>
        <v/>
      </c>
      <c r="K98" s="491">
        <f>K97/K50</f>
        <v/>
      </c>
      <c r="L98" s="491">
        <f>L97/L50</f>
        <v/>
      </c>
      <c r="M98" s="491">
        <f>M97/M50</f>
        <v/>
      </c>
      <c r="N98" s="491">
        <f>IFERROR(N97/N50,0)</f>
        <v/>
      </c>
      <c r="O98" s="491">
        <f>IFERROR(O97/O50,0)</f>
        <v/>
      </c>
    </row>
    <row r="99" ht="18" customHeight="1" s="923">
      <c r="A99" s="922" t="inlineStr">
        <is>
          <t>DEBT SERVICE</t>
        </is>
      </c>
    </row>
    <row r="100" outlineLevel="1" ht="18" customHeight="1" s="923">
      <c r="A100" s="493" t="inlineStr">
        <is>
          <t>Annual Principal Payment</t>
        </is>
      </c>
      <c r="D100" s="437">
        <f>-IFERROR(Loans!J40,0)</f>
        <v/>
      </c>
      <c r="E100" s="437">
        <f>-IFERROR(Loans!K40,0)</f>
        <v/>
      </c>
      <c r="F100" s="437">
        <f>-IFERROR(Loans!L40,0)</f>
        <v/>
      </c>
      <c r="G100" s="437">
        <f>-IFERROR(Loans!M40,0)</f>
        <v/>
      </c>
      <c r="H100" s="437">
        <f>-IFERROR(Loans!N40,0)</f>
        <v/>
      </c>
      <c r="I100" s="437">
        <f>-IFERROR(Loans!O40,0)</f>
        <v/>
      </c>
      <c r="J100" s="437">
        <f>-IFERROR(Loans!P40,0)</f>
        <v/>
      </c>
      <c r="K100" s="437">
        <f>-IFERROR(Loans!Q40,0)</f>
        <v/>
      </c>
      <c r="L100" s="437">
        <f>-IFERROR(Loans!R40,0)</f>
        <v/>
      </c>
      <c r="M100" s="437">
        <f>-IFERROR(Loans!S40,0)</f>
        <v/>
      </c>
      <c r="N100" s="437">
        <f>SUM(D100:H100)</f>
        <v/>
      </c>
      <c r="O100" s="437">
        <f>SUM(D100:M100)</f>
        <v/>
      </c>
    </row>
    <row r="101" outlineLevel="1" ht="18" customHeight="1" s="923">
      <c r="A101" s="493" t="inlineStr">
        <is>
          <t>Annual Intereset Payment</t>
        </is>
      </c>
      <c r="D101" s="437">
        <f>-IFERROR(Loans!J38,0)</f>
        <v/>
      </c>
      <c r="E101" s="437">
        <f>-IFERROR(Loans!K38,0)</f>
        <v/>
      </c>
      <c r="F101" s="437">
        <f>-IFERROR(Loans!L38,0)</f>
        <v/>
      </c>
      <c r="G101" s="437">
        <f>-IFERROR(Loans!M38,0)</f>
        <v/>
      </c>
      <c r="H101" s="437">
        <f>-IFERROR(Loans!N38,0)</f>
        <v/>
      </c>
      <c r="I101" s="437">
        <f>-IFERROR(Loans!O38,0)</f>
        <v/>
      </c>
      <c r="J101" s="437">
        <f>-IFERROR(Loans!P38,0)</f>
        <v/>
      </c>
      <c r="K101" s="437">
        <f>-IFERROR(Loans!Q38,0)</f>
        <v/>
      </c>
      <c r="L101" s="437">
        <f>-IFERROR(Loans!R38,0)</f>
        <v/>
      </c>
      <c r="M101" s="437">
        <f>-IFERROR(Loans!S38,0)</f>
        <v/>
      </c>
      <c r="N101" s="437">
        <f>SUM(D101:H101)</f>
        <v/>
      </c>
      <c r="O101" s="437">
        <f>SUM(D101:M101)</f>
        <v/>
      </c>
    </row>
    <row r="102" ht="18" customHeight="1" s="923">
      <c r="A102" s="494" t="inlineStr">
        <is>
          <t>Annual Total Debt Service</t>
        </is>
      </c>
      <c r="B102" s="8" t="n"/>
      <c r="C102" s="439" t="n"/>
      <c r="D102" s="439">
        <f>D100+D101</f>
        <v/>
      </c>
      <c r="E102" s="439">
        <f>E100+E101</f>
        <v/>
      </c>
      <c r="F102" s="439">
        <f>F100+F101</f>
        <v/>
      </c>
      <c r="G102" s="439">
        <f>G100+G101</f>
        <v/>
      </c>
      <c r="H102" s="439">
        <f>H100+H101</f>
        <v/>
      </c>
      <c r="I102" s="439">
        <f>I100+I101</f>
        <v/>
      </c>
      <c r="J102" s="439">
        <f>J100+J101</f>
        <v/>
      </c>
      <c r="K102" s="439">
        <f>K100+K101</f>
        <v/>
      </c>
      <c r="L102" s="439">
        <f>L100+L101</f>
        <v/>
      </c>
      <c r="M102" s="439">
        <f>M100+M101</f>
        <v/>
      </c>
      <c r="N102" s="439">
        <f>SUM(D102:H102)</f>
        <v/>
      </c>
      <c r="O102" s="439">
        <f>SUM(D102:M102)</f>
        <v/>
      </c>
      <c r="Q102" s="78">
        <f>IFERROR(ABS(D102)/D50,0)</f>
        <v/>
      </c>
    </row>
    <row r="103" ht="18" customHeight="1" s="923"/>
    <row r="104" ht="18" customHeight="1" s="923">
      <c r="A104" s="112" t="inlineStr">
        <is>
          <t>CASH FLOW AFTER DEBT SERVICE</t>
        </is>
      </c>
      <c r="B104" s="112" t="n"/>
      <c r="C104" s="76">
        <f>C97+C102</f>
        <v/>
      </c>
      <c r="D104" s="76">
        <f>D97+D102</f>
        <v/>
      </c>
      <c r="E104" s="76">
        <f>E97+E102</f>
        <v/>
      </c>
      <c r="F104" s="76">
        <f>F97+F102</f>
        <v/>
      </c>
      <c r="G104" s="76">
        <f>G97+G102</f>
        <v/>
      </c>
      <c r="H104" s="76">
        <f>H97+H102</f>
        <v/>
      </c>
      <c r="I104" s="76">
        <f>I97+I102</f>
        <v/>
      </c>
      <c r="J104" s="76">
        <f>J97+J102</f>
        <v/>
      </c>
      <c r="K104" s="76">
        <f>K97+K102</f>
        <v/>
      </c>
      <c r="L104" s="76">
        <f>L97+L102</f>
        <v/>
      </c>
      <c r="M104" s="76">
        <f>M97+M102</f>
        <v/>
      </c>
      <c r="N104" s="76">
        <f>SUM(D104:H104)</f>
        <v/>
      </c>
      <c r="O104" s="76">
        <f>SUM(D104:M104)</f>
        <v/>
      </c>
      <c r="Q104" s="117">
        <f>IFERROR(D104/D50,0)</f>
        <v/>
      </c>
    </row>
    <row r="105" ht="20" customHeight="1" s="923">
      <c r="A105" s="974" t="inlineStr">
        <is>
          <t>OPERATING RESERVE TRACKER</t>
        </is>
      </c>
      <c r="B105" s="974" t="n"/>
      <c r="C105" s="713" t="n"/>
      <c r="D105" s="713" t="n"/>
      <c r="E105" s="713" t="n"/>
      <c r="F105" s="713" t="n"/>
      <c r="G105" s="713" t="n"/>
      <c r="H105" s="713" t="n"/>
      <c r="I105" s="713" t="n"/>
      <c r="J105" s="713" t="n"/>
      <c r="K105" s="713" t="n"/>
      <c r="L105" s="713" t="n"/>
      <c r="M105" s="713" t="n"/>
      <c r="N105" s="76" t="n"/>
      <c r="O105" s="76" t="n"/>
      <c r="Q105" s="117" t="n"/>
    </row>
    <row r="106" ht="16" customHeight="1" s="923">
      <c r="A106" s="430" t="inlineStr">
        <is>
          <t>Opening Reserve Balance</t>
        </is>
      </c>
      <c r="B106" s="430" t="n"/>
      <c r="C106" s="492" t="n"/>
      <c r="D106" s="439">
        <f>Scenarios!F13</f>
        <v/>
      </c>
      <c r="E106" s="439">
        <f>D108</f>
        <v/>
      </c>
      <c r="F106" s="439">
        <f>E108</f>
        <v/>
      </c>
      <c r="G106" s="439">
        <f>F108</f>
        <v/>
      </c>
      <c r="H106" s="439">
        <f>G108</f>
        <v/>
      </c>
      <c r="I106" s="439">
        <f>H108</f>
        <v/>
      </c>
      <c r="J106" s="439">
        <f>I108</f>
        <v/>
      </c>
      <c r="K106" s="439">
        <f>J108</f>
        <v/>
      </c>
      <c r="L106" s="439">
        <f>K108</f>
        <v/>
      </c>
      <c r="M106" s="439">
        <f>L108</f>
        <v/>
      </c>
      <c r="N106" s="76" t="n"/>
      <c r="O106" s="76" t="n"/>
      <c r="Q106" s="117" t="n"/>
    </row>
    <row r="107" ht="16" customHeight="1" s="923">
      <c r="A107" s="432" t="inlineStr">
        <is>
          <t>Reserve Draw (CF deficit cover)</t>
        </is>
      </c>
      <c r="B107" s="432" t="n"/>
      <c r="C107" s="714" t="n"/>
      <c r="D107" s="441">
        <f>IF(D104&lt;0,MAX(D104,-D106),0)</f>
        <v/>
      </c>
      <c r="E107" s="441">
        <f>IF(E104&lt;0,MAX(E104,-E106),0)</f>
        <v/>
      </c>
      <c r="F107" s="441">
        <f>IF(F104&lt;0,MAX(F104,-F106),0)</f>
        <v/>
      </c>
      <c r="G107" s="441">
        <f>IF(G104&lt;0,MAX(G104,-G106),0)</f>
        <v/>
      </c>
      <c r="H107" s="441">
        <f>IF(H104&lt;0,MAX(H104,-H106),0)</f>
        <v/>
      </c>
      <c r="I107" s="441">
        <f>IF(I104&lt;0,MAX(I104,-I106),0)</f>
        <v/>
      </c>
      <c r="J107" s="441">
        <f>IF(J104&lt;0,MAX(J104,-J106),0)</f>
        <v/>
      </c>
      <c r="K107" s="441">
        <f>IF(K104&lt;0,MAX(K104,-K106),0)</f>
        <v/>
      </c>
      <c r="L107" s="441">
        <f>IF(L104&lt;0,MAX(L104,-L106),0)</f>
        <v/>
      </c>
      <c r="M107" s="441">
        <f>IF(M104&lt;0,MAX(M104,-M106),0)</f>
        <v/>
      </c>
      <c r="N107" s="76" t="n"/>
      <c r="O107" s="76" t="n"/>
      <c r="Q107" s="117" t="n"/>
    </row>
    <row r="108" ht="16" customHeight="1" s="923">
      <c r="A108" s="978" t="inlineStr">
        <is>
          <t>Ending Reserve Balance</t>
        </is>
      </c>
      <c r="B108" s="978" t="n"/>
      <c r="C108" s="715" t="n"/>
      <c r="D108" s="696">
        <f>D106+D107</f>
        <v/>
      </c>
      <c r="E108" s="696">
        <f>E106+E107</f>
        <v/>
      </c>
      <c r="F108" s="696">
        <f>F106+F107</f>
        <v/>
      </c>
      <c r="G108" s="696">
        <f>G106+G107</f>
        <v/>
      </c>
      <c r="H108" s="696">
        <f>H106+H107</f>
        <v/>
      </c>
      <c r="I108" s="696">
        <f>I106+I107</f>
        <v/>
      </c>
      <c r="J108" s="696">
        <f>J106+J107</f>
        <v/>
      </c>
      <c r="K108" s="696">
        <f>K106+K107</f>
        <v/>
      </c>
      <c r="L108" s="696">
        <f>L106+L107</f>
        <v/>
      </c>
      <c r="M108" s="696">
        <f>M106+M107</f>
        <v/>
      </c>
      <c r="N108" s="76" t="n"/>
      <c r="O108" s="76" t="n"/>
      <c r="Q108" s="117" t="n"/>
    </row>
    <row r="109" ht="24" customHeight="1" s="923">
      <c r="A109" s="65" t="n"/>
      <c r="B109" s="65" t="n"/>
      <c r="C109" s="116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Q109" s="78" t="n"/>
    </row>
    <row r="110" ht="18" customHeight="1" s="923">
      <c r="A110" s="924" t="inlineStr">
        <is>
          <t>DISTRIBUTIONS FROM CASH FLOW</t>
        </is>
      </c>
    </row>
    <row r="111" ht="18" customHeight="1" s="923">
      <c r="A111" s="62" t="inlineStr">
        <is>
          <t>Asset Mgmt Fee (2.0% equity)</t>
        </is>
      </c>
      <c r="B111" s="62" t="n"/>
      <c r="C111" s="118" t="n">
        <v>0.01</v>
      </c>
      <c r="D111" s="21">
        <f>IF(1&gt;Waterfall!$B$5,0,D50*$C$111)</f>
        <v/>
      </c>
      <c r="E111" s="21">
        <f>IF(2&gt;Waterfall!$B$5,0,E50*$C$111)</f>
        <v/>
      </c>
      <c r="F111" s="21">
        <f>IF(3&gt;Waterfall!$B$5,0,F50*$C$111)</f>
        <v/>
      </c>
      <c r="G111" s="21">
        <f>IF(4&gt;Waterfall!$B$5,0,G50*$C$111)</f>
        <v/>
      </c>
      <c r="H111" s="21">
        <f>IF(5&gt;Waterfall!$B$5,0,H50*$C$111)</f>
        <v/>
      </c>
      <c r="I111" s="21">
        <f>IF(6&gt;Waterfall!$B$5,0,I50*$C$111)</f>
        <v/>
      </c>
      <c r="J111" s="21">
        <f>IF(7&gt;Waterfall!$B$5,0,J50*$C$111)</f>
        <v/>
      </c>
      <c r="K111" s="21">
        <f>IF(8&gt;Waterfall!$B$5,0,K50*$C$111)</f>
        <v/>
      </c>
      <c r="L111" s="21">
        <f>IF(9&gt;Waterfall!$B$5,0,L50*$C$111)</f>
        <v/>
      </c>
      <c r="M111" s="21">
        <f>IF(10&gt;Waterfall!$B$5,0,M50*$C$111)</f>
        <v/>
      </c>
      <c r="Q111" s="78">
        <f>IFERROR(D111/D50,0)</f>
        <v/>
      </c>
    </row>
    <row r="112" ht="18" customHeight="1" s="923">
      <c r="A112" s="65" t="inlineStr">
        <is>
          <t>Class A LP Preferred Return</t>
        </is>
      </c>
      <c r="B112" s="65" t="n"/>
      <c r="C112" s="118">
        <f>Scenarios!F35</f>
        <v/>
      </c>
      <c r="D112" s="21">
        <f>IFERROR(Waterfall!B43,0)</f>
        <v/>
      </c>
      <c r="E112" s="21">
        <f>IFERROR(Waterfall!C43,0)</f>
        <v/>
      </c>
      <c r="F112" s="21">
        <f>IFERROR(Waterfall!D43,0)</f>
        <v/>
      </c>
      <c r="G112" s="21">
        <f>IFERROR(Waterfall!E43,0)</f>
        <v/>
      </c>
      <c r="H112" s="21">
        <f>IFERROR(Waterfall!F43,0)</f>
        <v/>
      </c>
      <c r="I112" s="21">
        <f>IFERROR(Waterfall!G43,0)</f>
        <v/>
      </c>
      <c r="J112" s="21">
        <f>IFERROR(Waterfall!H43,0)</f>
        <v/>
      </c>
      <c r="K112" s="21">
        <f>IFERROR(Waterfall!I43,0)</f>
        <v/>
      </c>
      <c r="L112" s="21">
        <f>IFERROR(Waterfall!J43,0)</f>
        <v/>
      </c>
      <c r="M112" s="21">
        <f>IFERROR(Waterfall!K43,0)</f>
        <v/>
      </c>
      <c r="N112" s="75" t="n"/>
      <c r="O112" s="75" t="n"/>
      <c r="Q112" s="78">
        <f>IFERROR(D112/D50,0)</f>
        <v/>
      </c>
    </row>
    <row r="113" ht="18" customHeight="1" s="923">
      <c r="A113" s="62" t="inlineStr">
        <is>
          <t>LP Excess CF Share (1 - GP Promote %)</t>
        </is>
      </c>
      <c r="B113" s="62" t="n"/>
      <c r="C113" s="116" t="n"/>
      <c r="D113" s="21">
        <f>IFERROR((Waterfall!B55-Waterfall!B43)+Waterfall!B56,0)</f>
        <v/>
      </c>
      <c r="E113" s="21">
        <f>IFERROR((Waterfall!C55-Waterfall!C43)+Waterfall!C56,0)</f>
        <v/>
      </c>
      <c r="F113" s="21">
        <f>IFERROR((Waterfall!D55-Waterfall!D43)+Waterfall!D56,0)</f>
        <v/>
      </c>
      <c r="G113" s="21">
        <f>IFERROR((Waterfall!E55-Waterfall!E43)+Waterfall!E56,0)</f>
        <v/>
      </c>
      <c r="H113" s="21">
        <f>IFERROR((Waterfall!F55-Waterfall!F43)+Waterfall!F56,0)</f>
        <v/>
      </c>
      <c r="I113" s="21">
        <f>IFERROR((Waterfall!G55-Waterfall!G43)+Waterfall!G56,0)</f>
        <v/>
      </c>
      <c r="J113" s="21">
        <f>IFERROR((Waterfall!H55-Waterfall!H43)+Waterfall!H56,0)</f>
        <v/>
      </c>
      <c r="K113" s="21">
        <f>IFERROR((Waterfall!I55-Waterfall!I43)+Waterfall!I56,0)</f>
        <v/>
      </c>
      <c r="L113" s="21">
        <f>IFERROR((Waterfall!J55-Waterfall!J43)+Waterfall!J56,0)</f>
        <v/>
      </c>
      <c r="M113" s="21">
        <f>IFERROR((Waterfall!K55-Waterfall!K43)+Waterfall!K56,0)</f>
        <v/>
      </c>
      <c r="Q113" s="78">
        <f>IFERROR(D113/D50,0)</f>
        <v/>
      </c>
    </row>
    <row r="114" ht="18" customHeight="1" s="923">
      <c r="A114" s="65" t="inlineStr">
        <is>
          <t>GP Excess CF Share (GP Promote %)</t>
        </is>
      </c>
      <c r="B114" s="65" t="n"/>
      <c r="C114" s="116" t="n"/>
      <c r="D114" s="21">
        <f>IFERROR(Waterfall!B58,0)</f>
        <v/>
      </c>
      <c r="E114" s="21">
        <f>IFERROR(Waterfall!C58,0)</f>
        <v/>
      </c>
      <c r="F114" s="21">
        <f>IFERROR(Waterfall!D58,0)</f>
        <v/>
      </c>
      <c r="G114" s="21">
        <f>IFERROR(Waterfall!E58,0)</f>
        <v/>
      </c>
      <c r="H114" s="21">
        <f>IFERROR(Waterfall!F58,0)</f>
        <v/>
      </c>
      <c r="I114" s="21">
        <f>IFERROR(Waterfall!G58,0)</f>
        <v/>
      </c>
      <c r="J114" s="21">
        <f>IFERROR(Waterfall!H58,0)</f>
        <v/>
      </c>
      <c r="K114" s="21">
        <f>IFERROR(Waterfall!I58,0)</f>
        <v/>
      </c>
      <c r="L114" s="21">
        <f>IFERROR(Waterfall!J58,0)</f>
        <v/>
      </c>
      <c r="M114" s="21">
        <f>IFERROR(Waterfall!K58,0)</f>
        <v/>
      </c>
      <c r="Q114" s="78">
        <f>IFERROR(D114/D50,0)</f>
        <v/>
      </c>
    </row>
    <row r="115" ht="18" customHeight="1" s="923">
      <c r="A115" s="119" t="inlineStr">
        <is>
          <t>Total Distributions</t>
        </is>
      </c>
      <c r="B115" s="119" t="n"/>
      <c r="C115" s="75" t="n"/>
      <c r="D115" s="75">
        <f>SUM(D111:D114)</f>
        <v/>
      </c>
      <c r="E115" s="75">
        <f>SUM(E111:E114)</f>
        <v/>
      </c>
      <c r="F115" s="75">
        <f>SUM(F111:F114)</f>
        <v/>
      </c>
      <c r="G115" s="75">
        <f>SUM(G111:G114)</f>
        <v/>
      </c>
      <c r="H115" s="75">
        <f>SUM(H111:H114)</f>
        <v/>
      </c>
      <c r="I115" s="75">
        <f>SUM(I111:I114)</f>
        <v/>
      </c>
      <c r="J115" s="75">
        <f>SUM(J111:J114)</f>
        <v/>
      </c>
      <c r="K115" s="75">
        <f>SUM(K111:K114)</f>
        <v/>
      </c>
      <c r="L115" s="75">
        <f>SUM(L111:L114)</f>
        <v/>
      </c>
      <c r="M115" s="75">
        <f>SUM(M111:M114)</f>
        <v/>
      </c>
      <c r="N115" s="75">
        <f>SUM(D115:H115)</f>
        <v/>
      </c>
      <c r="O115" s="75">
        <f>SUM(D115:M115)</f>
        <v/>
      </c>
      <c r="Q115" s="113">
        <f>IFERROR(D115/D50,0)</f>
        <v/>
      </c>
    </row>
    <row r="116" ht="24" customHeight="1" s="923">
      <c r="A116" s="120" t="n"/>
      <c r="B116" s="120" t="n"/>
      <c r="D116" s="952" t="n"/>
      <c r="Q116" s="78" t="n"/>
    </row>
    <row r="117" ht="18" customHeight="1" s="923">
      <c r="A117" s="938" t="inlineStr">
        <is>
          <t>KEY METRICS &amp; BREAKEVEN ANALYSIS</t>
        </is>
      </c>
    </row>
    <row r="118" ht="18" customHeight="1" s="923">
      <c r="A118" s="8" t="inlineStr">
        <is>
          <t>Cash on Cash Return</t>
        </is>
      </c>
      <c r="B118" s="8" t="n"/>
      <c r="C118" s="28" t="n"/>
      <c r="D118" s="78">
        <f>IF(1&gt;Waterfall!$B$5,0,IFERROR(D104/Scenarios!F31,0))</f>
        <v/>
      </c>
      <c r="E118" s="78">
        <f>IF(2&gt;Waterfall!$B$5,0,IFERROR(E104/Scenarios!F31,0))</f>
        <v/>
      </c>
      <c r="F118" s="78">
        <f>IF(3&gt;Waterfall!$B$5,0,IFERROR(F104/Scenarios!F31,0))</f>
        <v/>
      </c>
      <c r="G118" s="78">
        <f>IF(4&gt;Waterfall!$B$5,0,IFERROR(G104/Scenarios!F31,0))</f>
        <v/>
      </c>
      <c r="H118" s="78">
        <f>IF(5&gt;Waterfall!$B$5,0,IFERROR(H104/Scenarios!F31,0))</f>
        <v/>
      </c>
      <c r="I118" s="78">
        <f>IF(6&gt;Waterfall!$B$5,0,IFERROR(I104/Scenarios!F31,0))</f>
        <v/>
      </c>
      <c r="J118" s="78">
        <f>IF(7&gt;Waterfall!$B$5,0,IFERROR(J104/Scenarios!F31,0))</f>
        <v/>
      </c>
      <c r="K118" s="78">
        <f>IF(8&gt;Waterfall!$B$5,0,IFERROR(K104/Scenarios!F31,0))</f>
        <v/>
      </c>
      <c r="L118" s="78">
        <f>IF(9&gt;Waterfall!$B$5,0,IFERROR(L104/Scenarios!F31,0))</f>
        <v/>
      </c>
      <c r="M118" s="78">
        <f>IF(10&gt;Waterfall!$B$5,0,IFERROR(M104/Scenarios!F31,0))</f>
        <v/>
      </c>
      <c r="Q118" s="78">
        <f>D118</f>
        <v/>
      </c>
    </row>
    <row r="119" ht="18" customHeight="1" s="923">
      <c r="A119" s="120" t="inlineStr">
        <is>
          <t>Average Cash on Cash (Y1–Y10)</t>
        </is>
      </c>
      <c r="B119" s="120" t="n"/>
      <c r="C119" s="28" t="n"/>
      <c r="D119" s="952">
        <f>IFERROR(AVERAGE(OFFSET(D118,0,0,1,MIN(Scenarios!$F$135,10))),0)</f>
        <v/>
      </c>
      <c r="Q119" s="78">
        <f>D119</f>
        <v/>
      </c>
    </row>
    <row r="120" ht="18" customHeight="1" s="923">
      <c r="A120" s="8" t="inlineStr">
        <is>
          <t>Debt Coverage Ratio</t>
        </is>
      </c>
      <c r="B120" s="8" t="n"/>
      <c r="C120" s="122" t="n"/>
      <c r="D120" s="123">
        <f>IFERROR(D97/ABS(D102),0)</f>
        <v/>
      </c>
      <c r="E120" s="123">
        <f>IFERROR(E97/ABS(E102),0)</f>
        <v/>
      </c>
      <c r="F120" s="123">
        <f>IFERROR(F97/ABS(F102),0)</f>
        <v/>
      </c>
      <c r="G120" s="123">
        <f>IFERROR(G97/ABS(G102),0)</f>
        <v/>
      </c>
      <c r="H120" s="123">
        <f>IFERROR(H97/ABS(H102),0)</f>
        <v/>
      </c>
      <c r="I120" s="123">
        <f>IFERROR(I97/ABS(I102),0)</f>
        <v/>
      </c>
      <c r="J120" s="123">
        <f>IFERROR(J97/ABS(J102),0)</f>
        <v/>
      </c>
      <c r="K120" s="123">
        <f>IFERROR(K97/ABS(K102),0)</f>
        <v/>
      </c>
      <c r="L120" s="123">
        <f>IFERROR(L97/ABS(L102),0)</f>
        <v/>
      </c>
      <c r="M120" s="123">
        <f>IFERROR(M97/ABS(M102),0)</f>
        <v/>
      </c>
      <c r="Q120" s="92">
        <f>D120</f>
        <v/>
      </c>
    </row>
    <row r="121" ht="18" customHeight="1" s="923">
      <c r="A121" s="124" t="inlineStr">
        <is>
          <t>Breakeven Occupancy %</t>
        </is>
      </c>
      <c r="B121" s="124" t="n"/>
      <c r="C121" s="28" t="n"/>
      <c r="D121" s="125">
        <f>IFERROR((D96+ABS(D102))/D43,0)</f>
        <v/>
      </c>
      <c r="E121" s="125">
        <f>IFERROR((E96+ABS(E102))/E43,0)</f>
        <v/>
      </c>
      <c r="F121" s="125">
        <f>IFERROR((F96+ABS(F102))/F43,0)</f>
        <v/>
      </c>
      <c r="G121" s="125">
        <f>IFERROR((G96+ABS(G102))/G43,0)</f>
        <v/>
      </c>
      <c r="H121" s="125">
        <f>IFERROR((H96+ABS(H102))/H43,0)</f>
        <v/>
      </c>
      <c r="I121" s="125">
        <f>IFERROR((I96+ABS(I102))/I43,0)</f>
        <v/>
      </c>
      <c r="J121" s="125">
        <f>IFERROR((J96+ABS(J102))/J43,0)</f>
        <v/>
      </c>
      <c r="K121" s="125">
        <f>IFERROR((K96+ABS(K102))/K43,0)</f>
        <v/>
      </c>
      <c r="L121" s="125">
        <f>IFERROR((L96+ABS(L102))/L43,0)</f>
        <v/>
      </c>
      <c r="M121" s="125">
        <f>IFERROR((M96+ABS(M102))/M43,0)</f>
        <v/>
      </c>
      <c r="Q121" s="78">
        <f>D121</f>
        <v/>
      </c>
    </row>
    <row r="122" ht="18" customHeight="1" s="923">
      <c r="A122" s="8" t="inlineStr">
        <is>
          <t>NOI Margin</t>
        </is>
      </c>
      <c r="B122" s="8" t="n"/>
      <c r="C122" s="28">
        <f>IFERROR(C97/C50,0)</f>
        <v/>
      </c>
      <c r="D122" s="78">
        <f>IFERROR(D97/D50,0)</f>
        <v/>
      </c>
      <c r="E122" s="78">
        <f>IFERROR(E97/E50,0)</f>
        <v/>
      </c>
      <c r="F122" s="78">
        <f>IFERROR(F97/F50,0)</f>
        <v/>
      </c>
      <c r="G122" s="78">
        <f>IFERROR(G97/G50,0)</f>
        <v/>
      </c>
      <c r="H122" s="78">
        <f>IFERROR(H97/H50,0)</f>
        <v/>
      </c>
      <c r="I122" s="78">
        <f>IFERROR(I97/I50,0)</f>
        <v/>
      </c>
      <c r="J122" s="78">
        <f>IFERROR(J97/J50,0)</f>
        <v/>
      </c>
      <c r="K122" s="78">
        <f>IFERROR(K97/K50,0)</f>
        <v/>
      </c>
      <c r="L122" s="78">
        <f>IFERROR(L97/L50,0)</f>
        <v/>
      </c>
      <c r="M122" s="78">
        <f>IFERROR(M97/M50,0)</f>
        <v/>
      </c>
      <c r="Q122" s="953">
        <f>D122</f>
        <v/>
      </c>
    </row>
    <row r="123" ht="18" customHeight="1" s="923">
      <c r="A123" s="8" t="inlineStr">
        <is>
          <t>Cap Rate (on Purchase Price)</t>
        </is>
      </c>
      <c r="B123" s="8" t="n"/>
      <c r="C123" s="28">
        <f>IFERROR(C97/Scenarios!F7,0)</f>
        <v/>
      </c>
      <c r="D123" s="78">
        <f>IFERROR(D97/Scenarios!F7,0)</f>
        <v/>
      </c>
      <c r="E123" s="78">
        <f>IFERROR(E97/Scenarios!F7,0)</f>
        <v/>
      </c>
      <c r="F123" s="78">
        <f>IFERROR(F97/Scenarios!F7,0)</f>
        <v/>
      </c>
      <c r="G123" s="78">
        <f>IFERROR(G97/Scenarios!F7,0)</f>
        <v/>
      </c>
      <c r="H123" s="78">
        <f>IFERROR(H97/Scenarios!F7,0)</f>
        <v/>
      </c>
      <c r="I123" s="78">
        <f>IFERROR(I97/Scenarios!F7,0)</f>
        <v/>
      </c>
      <c r="J123" s="78">
        <f>IFERROR(J97/Scenarios!F7,0)</f>
        <v/>
      </c>
      <c r="K123" s="78">
        <f>IFERROR(K97/Scenarios!F7,0)</f>
        <v/>
      </c>
      <c r="L123" s="78">
        <f>IFERROR(L97/Scenarios!F7,0)</f>
        <v/>
      </c>
      <c r="M123" s="78">
        <f>IFERROR(M97/Scenarios!F7,0)</f>
        <v/>
      </c>
      <c r="Q123" s="126">
        <f>D123</f>
        <v/>
      </c>
    </row>
    <row r="124" ht="19.5" customHeight="1" s="923">
      <c r="A124" s="8" t="inlineStr">
        <is>
          <t>Property Value (@ 7% cap)</t>
        </is>
      </c>
      <c r="B124" s="8" t="n"/>
      <c r="C124" s="88">
        <f>IFERROR(C97/0.07,0)</f>
        <v/>
      </c>
      <c r="D124" s="72">
        <f>IFERROR(D97/0.07,0)</f>
        <v/>
      </c>
      <c r="E124" s="72">
        <f>IFERROR(E97/0.07,0)</f>
        <v/>
      </c>
      <c r="F124" s="72">
        <f>IFERROR(F97/0.07,0)</f>
        <v/>
      </c>
      <c r="G124" s="72">
        <f>IFERROR(G97/0.07,0)</f>
        <v/>
      </c>
      <c r="H124" s="72">
        <f>IFERROR(H97/0.07,0)</f>
        <v/>
      </c>
      <c r="I124" s="72">
        <f>IFERROR(I97/0.07,0)</f>
        <v/>
      </c>
      <c r="J124" s="72">
        <f>IFERROR(J97/0.07,0)</f>
        <v/>
      </c>
      <c r="K124" s="72">
        <f>IFERROR(K97/0.07,0)</f>
        <v/>
      </c>
      <c r="L124" s="72">
        <f>IFERROR(L97/0.07,0)</f>
        <v/>
      </c>
      <c r="M124" s="72">
        <f>IFERROR(M97/0.07,0)</f>
        <v/>
      </c>
      <c r="Q124" s="72">
        <f>D124</f>
        <v/>
      </c>
    </row>
    <row r="125" ht="18" customHeight="1" s="923">
      <c r="A125" s="951" t="inlineStr">
        <is>
          <t>LP-SPECIFIC CASH YIELD  (from Waterfall distributions ÷ LP equity)</t>
        </is>
      </c>
    </row>
    <row r="126" ht="18" customHeight="1" s="923">
      <c r="A126" s="127" t="inlineStr">
        <is>
          <t>Class A LP Cash Yield (annual)</t>
        </is>
      </c>
      <c r="B126" s="127" t="n"/>
      <c r="C126" s="126" t="n"/>
      <c r="D126" s="128">
        <f>IFERROR(Waterfall!B55/Waterfall!$B$9,0)</f>
        <v/>
      </c>
      <c r="E126" s="128">
        <f>IFERROR(Waterfall!C55/Waterfall!$B$9,0)</f>
        <v/>
      </c>
      <c r="F126" s="128">
        <f>IFERROR(Waterfall!D55/Waterfall!$B$9,0)</f>
        <v/>
      </c>
      <c r="G126" s="128">
        <f>IFERROR(Waterfall!E55/Waterfall!$B$9,0)</f>
        <v/>
      </c>
      <c r="H126" s="128">
        <f>IFERROR(Waterfall!F55/Waterfall!$B$9,0)</f>
        <v/>
      </c>
      <c r="I126" s="128">
        <f>IFERROR(Waterfall!G55/Waterfall!$B$9,0)</f>
        <v/>
      </c>
      <c r="J126" s="128">
        <f>IFERROR(Waterfall!H55/Waterfall!$B$9,0)</f>
        <v/>
      </c>
      <c r="K126" s="128">
        <f>IFERROR(Waterfall!I55/Waterfall!$B$9,0)</f>
        <v/>
      </c>
      <c r="L126" s="128">
        <f>IFERROR(Waterfall!J55/Waterfall!$B$9,0)</f>
        <v/>
      </c>
      <c r="M126" s="128">
        <f>IFERROR(Waterfall!K55/Waterfall!$B$9,0)</f>
        <v/>
      </c>
      <c r="Q126" s="128">
        <f>D126</f>
        <v/>
      </c>
    </row>
    <row r="127" ht="18" customHeight="1" s="923">
      <c r="A127" s="129" t="inlineStr">
        <is>
          <t xml:space="preserve">  Avg Class A LP Cash Yield (hold period)</t>
        </is>
      </c>
      <c r="B127" s="129" t="n"/>
      <c r="D127" s="130">
        <f>IFERROR(AVERAGE(OFFSET(D126,0,0,1,MIN(Scenarios!$F$135,10))),0)</f>
        <v/>
      </c>
      <c r="Q127" s="130">
        <f>D127</f>
        <v/>
      </c>
    </row>
    <row r="128" ht="18" customHeight="1" s="923">
      <c r="A128" s="962" t="inlineStr">
        <is>
          <t>Total LP Cash Yield  (Class A + B)</t>
        </is>
      </c>
      <c r="B128" s="962" t="n"/>
      <c r="C128" s="126" t="n"/>
      <c r="D128" s="131">
        <f>IFERROR(Waterfall!B57/(Waterfall!$B$9+Waterfall!$B$10),0)</f>
        <v/>
      </c>
      <c r="E128" s="131">
        <f>IFERROR(Waterfall!C57/(Waterfall!$B$9+Waterfall!$B$10),0)</f>
        <v/>
      </c>
      <c r="F128" s="131">
        <f>IFERROR(Waterfall!D57/(Waterfall!$B$9+Waterfall!$B$10),0)</f>
        <v/>
      </c>
      <c r="G128" s="131">
        <f>IFERROR(Waterfall!E57/(Waterfall!$B$9+Waterfall!$B$10),0)</f>
        <v/>
      </c>
      <c r="H128" s="131">
        <f>IFERROR(Waterfall!F57/(Waterfall!$B$9+Waterfall!$B$10),0)</f>
        <v/>
      </c>
      <c r="I128" s="131">
        <f>IFERROR(Waterfall!G57/(Waterfall!$B$9+Waterfall!$B$10),0)</f>
        <v/>
      </c>
      <c r="J128" s="131">
        <f>IFERROR(Waterfall!H57/(Waterfall!$B$9+Waterfall!$B$10),0)</f>
        <v/>
      </c>
      <c r="K128" s="131">
        <f>IFERROR(Waterfall!I57/(Waterfall!$B$9+Waterfall!$B$10),0)</f>
        <v/>
      </c>
      <c r="L128" s="131">
        <f>IFERROR(Waterfall!J57/(Waterfall!$B$9+Waterfall!$B$10),0)</f>
        <v/>
      </c>
      <c r="M128" s="131">
        <f>IFERROR(Waterfall!K57/(Waterfall!$B$9+Waterfall!$B$10),0)</f>
        <v/>
      </c>
      <c r="Q128" s="131">
        <f>D128</f>
        <v/>
      </c>
    </row>
    <row r="129" ht="15.75" customHeight="1" s="923">
      <c r="A129" s="132" t="inlineStr">
        <is>
          <t xml:space="preserve">  Avg Total LP Cash Yield (hold period)</t>
        </is>
      </c>
      <c r="B129" s="132" t="n"/>
      <c r="D129" s="133">
        <f>IFERROR(AVERAGE(OFFSET(D128,0,0,1,MIN(Scenarios!$F$135,10))),0)</f>
        <v/>
      </c>
      <c r="Q129" s="133">
        <f>D129</f>
        <v/>
      </c>
    </row>
    <row r="130">
      <c r="A130" s="934" t="inlineStr">
        <is>
          <t xml:space="preserve">  Note: LP Cash Yield uses actual Waterfall distributions (after pref + promote). Deal-level CoC (R51) uses total pre-distribution CF — different denominator and numerator.</t>
        </is>
      </c>
    </row>
  </sheetData>
  <mergeCells count="12">
    <mergeCell ref="A9:R9"/>
    <mergeCell ref="A130:Q130"/>
    <mergeCell ref="O5:P5"/>
    <mergeCell ref="A2:R2"/>
    <mergeCell ref="A51:R51"/>
    <mergeCell ref="A99:R99"/>
    <mergeCell ref="O6:P6"/>
    <mergeCell ref="A125:Q125"/>
    <mergeCell ref="A1:R1"/>
    <mergeCell ref="A117:R117"/>
    <mergeCell ref="A110:R110"/>
    <mergeCell ref="D119:M119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97"/>
  <sheetViews>
    <sheetView showGridLines="0" topLeftCell="H46" workbookViewId="0">
      <selection activeCell="B86" sqref="B86"/>
    </sheetView>
  </sheetViews>
  <sheetFormatPr baseColWidth="10" defaultColWidth="8.83203125" defaultRowHeight="15"/>
  <cols>
    <col width="38" customWidth="1" style="923" min="1" max="1"/>
    <col width="14" customWidth="1" style="923" min="2" max="2"/>
    <col width="11" customWidth="1" style="923" min="3" max="16"/>
    <col width="10" customWidth="1" style="923" min="17" max="17"/>
    <col width="12" customWidth="1" style="923" min="18" max="18"/>
    <col width="12" customWidth="1" style="844" min="19" max="19"/>
  </cols>
  <sheetData>
    <row r="1" ht="18" customHeight="1" s="923">
      <c r="A1" s="956" t="inlineStr">
        <is>
          <t>T-12 ANALYSIS  —  Trailing 12 Diagnostic Layer (Senior Living)</t>
        </is>
      </c>
    </row>
    <row r="2" ht="30" customHeight="1" s="923">
      <c r="A2" s="960" t="inlineStr">
        <is>
          <t>ANALYSIS on top. Standardized aggregation (Layer 3) and raw paste block (Layer 1) below — scroll down to access data. Per Bed/Month uses occupied beds from Rent Roll Analysis. Benchmarks calibrated to assisted/memory care community norms.</t>
        </is>
      </c>
    </row>
    <row r="4" ht="16" customHeight="1" s="923">
      <c r="A4" s="955" t="inlineStr">
        <is>
          <t>B.  RECONCILIATION CHECK  —  Are all raw lines mapped?</t>
        </is>
      </c>
    </row>
    <row r="5">
      <c r="A5" s="959" t="inlineStr">
        <is>
          <t>EGI:</t>
        </is>
      </c>
      <c r="B5" s="457">
        <f>N80</f>
        <v/>
      </c>
      <c r="C5" s="959" t="inlineStr">
        <is>
          <t>OpEx:</t>
        </is>
      </c>
      <c r="D5" s="457">
        <f>N132</f>
        <v/>
      </c>
      <c r="E5" s="959" t="inlineStr">
        <is>
          <t>EBITDAR:</t>
        </is>
      </c>
      <c r="F5" s="379">
        <f>N135</f>
        <v/>
      </c>
      <c r="G5" s="959" t="inlineStr">
        <is>
          <t>Unmapped $:</t>
        </is>
      </c>
      <c r="H5" s="379" t="n">
        <v>0</v>
      </c>
      <c r="I5" s="380" t="inlineStr">
        <is>
          <t>🟢 all mapped</t>
        </is>
      </c>
      <c r="L5" s="959" t="inlineStr">
        <is>
          <t>EGI / Occ Bed / Mo:</t>
        </is>
      </c>
      <c r="M5" s="379" t="n">
        <v>0</v>
      </c>
    </row>
    <row r="7">
      <c r="A7" s="955" t="inlineStr">
        <is>
          <t>C.  TREND ANALYSIS  —  T-3 vs. T-6 vs. T-12 (annualized)</t>
        </is>
      </c>
    </row>
    <row r="8">
      <c r="A8" s="955" t="inlineStr">
        <is>
          <t>Metric</t>
        </is>
      </c>
      <c r="B8" s="381" t="inlineStr">
        <is>
          <t>T-12 Actual</t>
        </is>
      </c>
      <c r="C8" s="381" t="inlineStr">
        <is>
          <t>T-6 Annlzd</t>
        </is>
      </c>
      <c r="D8" s="381" t="inlineStr">
        <is>
          <t>T-3 Annlzd</t>
        </is>
      </c>
      <c r="E8" s="381" t="inlineStr">
        <is>
          <t>T-3 vs T-12 Δ$</t>
        </is>
      </c>
      <c r="F8" s="381" t="inlineStr">
        <is>
          <t>T-3 vs T-12 Δ%</t>
        </is>
      </c>
      <c r="G8" s="381" t="inlineStr">
        <is>
          <t>Direction</t>
        </is>
      </c>
      <c r="H8" s="381" t="inlineStr">
        <is>
          <t>Read</t>
        </is>
      </c>
    </row>
    <row r="9">
      <c r="A9" s="382" t="inlineStr">
        <is>
          <t>EGI</t>
        </is>
      </c>
      <c r="B9" s="458">
        <f>N80</f>
        <v/>
      </c>
      <c r="C9" s="383" t="n">
        <v>0</v>
      </c>
      <c r="D9" s="383" t="n">
        <v>0</v>
      </c>
      <c r="E9" s="384" t="n">
        <v>0</v>
      </c>
      <c r="F9" s="385" t="n">
        <v>0</v>
      </c>
      <c r="G9" s="386" t="inlineStr">
        <is>
          <t>→ stable</t>
        </is>
      </c>
      <c r="H9" s="386" t="inlineStr">
        <is>
          <t>stable</t>
        </is>
      </c>
    </row>
    <row r="10">
      <c r="A10" s="382" t="inlineStr">
        <is>
          <t>Total OpEx</t>
        </is>
      </c>
      <c r="B10" s="458">
        <f>N132</f>
        <v/>
      </c>
      <c r="C10" s="383" t="n">
        <v>0</v>
      </c>
      <c r="D10" s="383" t="n">
        <v>0</v>
      </c>
      <c r="E10" s="384" t="n">
        <v>0</v>
      </c>
      <c r="F10" s="385" t="n">
        <v>0</v>
      </c>
      <c r="G10" s="386" t="inlineStr">
        <is>
          <t>→ stable</t>
        </is>
      </c>
      <c r="H10" s="386" t="inlineStr">
        <is>
          <t>stable</t>
        </is>
      </c>
    </row>
    <row r="11">
      <c r="A11" s="382" t="inlineStr">
        <is>
          <t>EBITDAR</t>
        </is>
      </c>
      <c r="B11" s="458">
        <f>N80-N132</f>
        <v/>
      </c>
      <c r="C11" s="383" t="n">
        <v>0</v>
      </c>
      <c r="D11" s="383" t="n">
        <v>0</v>
      </c>
      <c r="E11" s="384" t="n">
        <v>0</v>
      </c>
      <c r="F11" s="385" t="n">
        <v>0</v>
      </c>
      <c r="G11" s="386" t="inlineStr">
        <is>
          <t>→ stable</t>
        </is>
      </c>
      <c r="H11" s="386" t="inlineStr">
        <is>
          <t>stable</t>
        </is>
      </c>
    </row>
    <row r="12">
      <c r="A12" s="382" t="inlineStr">
        <is>
          <t>Bad Debt + Write-offs</t>
        </is>
      </c>
      <c r="B12" s="458">
        <f>N124</f>
        <v/>
      </c>
      <c r="C12" s="383" t="n">
        <v>0</v>
      </c>
      <c r="D12" s="383" t="n">
        <v>0</v>
      </c>
      <c r="E12" s="384" t="n">
        <v>0</v>
      </c>
      <c r="F12" s="385" t="n">
        <v>0</v>
      </c>
      <c r="G12" s="386" t="inlineStr">
        <is>
          <t>→ stable</t>
        </is>
      </c>
      <c r="H12" s="386" t="inlineStr">
        <is>
          <t>stable</t>
        </is>
      </c>
    </row>
    <row r="13">
      <c r="A13" s="382" t="inlineStr">
        <is>
          <t>Total Labor &amp; Burden</t>
        </is>
      </c>
      <c r="B13" s="458">
        <f>N102</f>
        <v/>
      </c>
      <c r="C13" s="383" t="n">
        <v>0</v>
      </c>
      <c r="D13" s="383" t="n">
        <v>0</v>
      </c>
      <c r="E13" s="384" t="n">
        <v>0</v>
      </c>
      <c r="F13" s="385" t="n">
        <v>0</v>
      </c>
      <c r="G13" s="386" t="inlineStr">
        <is>
          <t>→ stable</t>
        </is>
      </c>
      <c r="H13" s="386" t="inlineStr">
        <is>
          <t>stable</t>
        </is>
      </c>
    </row>
    <row r="14">
      <c r="A14" s="382" t="inlineStr">
        <is>
          <t>Food Cost</t>
        </is>
      </c>
      <c r="B14" s="458">
        <f>N104</f>
        <v/>
      </c>
      <c r="C14" s="383" t="n">
        <v>0</v>
      </c>
      <c r="D14" s="383" t="n">
        <v>0</v>
      </c>
      <c r="E14" s="384" t="n">
        <v>0</v>
      </c>
      <c r="F14" s="385" t="n">
        <v>0</v>
      </c>
      <c r="G14" s="386" t="inlineStr">
        <is>
          <t>→ stable</t>
        </is>
      </c>
      <c r="H14" s="386" t="inlineStr">
        <is>
          <t>stable</t>
        </is>
      </c>
    </row>
    <row r="15">
      <c r="A15" s="382" t="inlineStr">
        <is>
          <t>Utilities</t>
        </is>
      </c>
      <c r="B15" s="458">
        <f>N113</f>
        <v/>
      </c>
      <c r="C15" s="383" t="n">
        <v>0</v>
      </c>
      <c r="D15" s="383" t="n">
        <v>0</v>
      </c>
      <c r="E15" s="384" t="n">
        <v>0</v>
      </c>
      <c r="F15" s="385" t="n">
        <v>0</v>
      </c>
      <c r="G15" s="386" t="inlineStr">
        <is>
          <t>→ stable</t>
        </is>
      </c>
      <c r="H15" s="386" t="inlineStr">
        <is>
          <t>stable</t>
        </is>
      </c>
    </row>
    <row r="16">
      <c r="A16" s="382" t="inlineStr">
        <is>
          <t>Overtime Wages</t>
        </is>
      </c>
      <c r="B16" s="458">
        <f>N96</f>
        <v/>
      </c>
      <c r="C16" s="383" t="n">
        <v>0</v>
      </c>
      <c r="D16" s="383" t="n">
        <v>0</v>
      </c>
      <c r="E16" s="384" t="n">
        <v>0</v>
      </c>
      <c r="F16" s="385" t="n">
        <v>0</v>
      </c>
      <c r="G16" s="386" t="inlineStr">
        <is>
          <t>→ stable</t>
        </is>
      </c>
      <c r="H16" s="386" t="inlineStr">
        <is>
          <t>stable</t>
        </is>
      </c>
    </row>
    <row r="18">
      <c r="A18" s="955" t="inlineStr">
        <is>
          <t>D.  ECONOMIC vs. PHYSICAL OCCUPANCY RECONCILIATION</t>
        </is>
      </c>
    </row>
    <row r="19">
      <c r="A19" s="959" t="inlineStr">
        <is>
          <t>Licensed Beds (IL + AL + MC)</t>
        </is>
      </c>
      <c r="B19" s="459" t="n">
        <v>176</v>
      </c>
    </row>
    <row r="20">
      <c r="A20" s="959" t="inlineStr">
        <is>
          <t>Physically Occupied Beds</t>
        </is>
      </c>
      <c r="B20" s="459" t="n">
        <v>128</v>
      </c>
    </row>
    <row r="21">
      <c r="A21" s="959" t="inlineStr">
        <is>
          <t>Physical Occupancy %</t>
        </is>
      </c>
      <c r="B21" s="385">
        <f>IFERROR(B20/B19,0)</f>
        <v/>
      </c>
    </row>
    <row r="22">
      <c r="A22" s="959" t="inlineStr">
        <is>
          <t>Gross Potential Rent / GPR (annual)</t>
        </is>
      </c>
      <c r="B22" s="458">
        <f>N83</f>
        <v/>
      </c>
    </row>
    <row r="23">
      <c r="A23" s="959" t="inlineStr">
        <is>
          <t>Net Rent Revenue (billed)</t>
        </is>
      </c>
      <c r="B23" s="458">
        <f>N86</f>
        <v/>
      </c>
    </row>
    <row r="24">
      <c r="A24" s="959" t="inlineStr">
        <is>
          <t>Total Revenue / EGI</t>
        </is>
      </c>
      <c r="B24" s="458">
        <f>N80</f>
        <v/>
      </c>
    </row>
    <row r="25">
      <c r="A25" s="959" t="inlineStr">
        <is>
          <t>Economic Occupancy % (Net Rent / GPR)</t>
        </is>
      </c>
      <c r="B25" s="385">
        <f>IFERROR(B23/B22,0)</f>
        <v/>
      </c>
    </row>
    <row r="26">
      <c r="A26" s="959" t="inlineStr">
        <is>
          <t>Economic vs. Physical Gap</t>
        </is>
      </c>
      <c r="B26" s="383" t="n">
        <v>0</v>
      </c>
    </row>
    <row r="27">
      <c r="A27" s="382" t="inlineStr">
        <is>
          <t xml:space="preserve">  → Lost Revenue from Gap ($)</t>
        </is>
      </c>
      <c r="B27" s="383" t="n">
        <v>0</v>
      </c>
    </row>
    <row r="29">
      <c r="A29" s="955" t="inlineStr">
        <is>
          <t>E.  BAD DEBT &amp; WRITE-OFF LAYERED ANALYSIS</t>
        </is>
      </c>
    </row>
    <row r="30">
      <c r="A30" s="955" t="inlineStr">
        <is>
          <t>Component</t>
        </is>
      </c>
      <c r="B30" s="381" t="inlineStr">
        <is>
          <t>Amount</t>
        </is>
      </c>
      <c r="C30" s="381" t="inlineStr">
        <is>
          <t>% of GPR</t>
        </is>
      </c>
      <c r="D30" s="381" t="inlineStr">
        <is>
          <t>Per Bed/Mo</t>
        </is>
      </c>
      <c r="E30" s="381" t="inlineStr">
        <is>
          <t>Benchmark</t>
        </is>
      </c>
      <c r="F30" s="381" t="inlineStr">
        <is>
          <t>Read</t>
        </is>
      </c>
    </row>
    <row r="31">
      <c r="A31" s="382" t="inlineStr">
        <is>
          <t>Vacancy Loss</t>
        </is>
      </c>
      <c r="B31" s="383" t="n">
        <v>0</v>
      </c>
      <c r="C31" s="385" t="n">
        <v>0</v>
      </c>
      <c r="D31" s="383" t="n">
        <v>0</v>
      </c>
      <c r="E31" s="387" t="inlineStr">
        <is>
          <t>5–10% GPR</t>
        </is>
      </c>
      <c r="F31" s="388" t="inlineStr">
        <is>
          <t>ok</t>
        </is>
      </c>
    </row>
    <row r="32">
      <c r="A32" s="382" t="inlineStr">
        <is>
          <t>Bad Debt / Write-offs</t>
        </is>
      </c>
      <c r="B32" s="383" t="n">
        <v>0</v>
      </c>
      <c r="C32" s="385" t="n">
        <v>0</v>
      </c>
      <c r="D32" s="383" t="n">
        <v>0</v>
      </c>
      <c r="E32" s="387" t="inlineStr">
        <is>
          <t>1–3% GPR</t>
        </is>
      </c>
      <c r="F32" s="388" t="inlineStr">
        <is>
          <t>ok</t>
        </is>
      </c>
    </row>
    <row r="33">
      <c r="A33" s="382" t="inlineStr">
        <is>
          <t>Concessions &amp; Specials</t>
        </is>
      </c>
      <c r="B33" s="383" t="n">
        <v>0</v>
      </c>
      <c r="C33" s="385" t="n">
        <v>0</v>
      </c>
      <c r="D33" s="383" t="n">
        <v>0</v>
      </c>
      <c r="E33" s="387" t="inlineStr">
        <is>
          <t>0.5–2% GPR</t>
        </is>
      </c>
      <c r="F33" s="388" t="inlineStr">
        <is>
          <t>ok</t>
        </is>
      </c>
    </row>
    <row r="34">
      <c r="A34" s="382" t="inlineStr">
        <is>
          <t>Delinquency Change</t>
        </is>
      </c>
      <c r="B34" s="383" t="n">
        <v>0</v>
      </c>
      <c r="C34" s="385" t="n">
        <v>0</v>
      </c>
      <c r="D34" s="383" t="n">
        <v>0</v>
      </c>
      <c r="E34" s="387" t="inlineStr">
        <is>
          <t>&lt;2% GPR</t>
        </is>
      </c>
      <c r="F34" s="388" t="inlineStr">
        <is>
          <t>ok</t>
        </is>
      </c>
    </row>
    <row r="35">
      <c r="A35" s="959" t="inlineStr">
        <is>
          <t>Total Rent Reductions</t>
        </is>
      </c>
      <c r="B35" s="383" t="n">
        <v>0</v>
      </c>
      <c r="C35" s="385" t="n">
        <v>0</v>
      </c>
      <c r="D35" s="383" t="n">
        <v>0</v>
      </c>
      <c r="E35" s="387" t="n"/>
      <c r="F35" s="388" t="inlineStr">
        <is>
          <t>ok</t>
        </is>
      </c>
    </row>
    <row r="37">
      <c r="A37" s="955" t="inlineStr">
        <is>
          <t>F.  TAX &amp; INSURANCE ACCRUAL CHECK</t>
        </is>
      </c>
    </row>
    <row r="38">
      <c r="A38" s="960" t="inlineStr">
        <is>
          <t>T-12 actuals rarely equal pro forma. Triangulate RE taxes with reassessment estimate; insurance with lender quote.</t>
        </is>
      </c>
    </row>
    <row r="40">
      <c r="A40" s="958" t="inlineStr">
        <is>
          <t>Real Estate Taxes</t>
        </is>
      </c>
    </row>
    <row r="41">
      <c r="A41" s="389" t="inlineStr">
        <is>
          <t xml:space="preserve">  T-12 Actual</t>
        </is>
      </c>
      <c r="B41" s="383" t="n">
        <v>0</v>
      </c>
    </row>
    <row r="42">
      <c r="A42" s="389" t="inlineStr">
        <is>
          <t xml:space="preserve">  Pro Forma Estimate</t>
        </is>
      </c>
      <c r="B42" s="383" t="n">
        <v>0</v>
      </c>
    </row>
    <row r="43">
      <c r="A43" s="389" t="inlineStr">
        <is>
          <t xml:space="preserve">  Variance (Actual − PF)</t>
        </is>
      </c>
      <c r="B43" s="384" t="n">
        <v>0</v>
      </c>
    </row>
    <row r="44">
      <c r="A44" s="389" t="inlineStr">
        <is>
          <t xml:space="preserve">  Status</t>
        </is>
      </c>
      <c r="B44" s="390" t="inlineStr">
        <is>
          <t>⚠ not in T-12 — verify with operator / broker</t>
        </is>
      </c>
    </row>
    <row r="46">
      <c r="A46" s="958" t="inlineStr">
        <is>
          <t>P&amp;C Insurance</t>
        </is>
      </c>
    </row>
    <row r="47">
      <c r="A47" s="389" t="inlineStr">
        <is>
          <t xml:space="preserve">  T-12 Actual</t>
        </is>
      </c>
      <c r="B47" s="383" t="n">
        <v>0</v>
      </c>
    </row>
    <row r="48">
      <c r="A48" s="389" t="inlineStr">
        <is>
          <t xml:space="preserve">  Pro Forma Estimate</t>
        </is>
      </c>
      <c r="B48" s="383" t="n">
        <v>0</v>
      </c>
    </row>
    <row r="49">
      <c r="A49" s="389" t="inlineStr">
        <is>
          <t xml:space="preserve">  Variance (Actual − PF)</t>
        </is>
      </c>
      <c r="B49" s="384" t="n">
        <v>0</v>
      </c>
    </row>
    <row r="50">
      <c r="A50" s="389" t="inlineStr">
        <is>
          <t xml:space="preserve">  Status</t>
        </is>
      </c>
      <c r="B50" s="390" t="inlineStr">
        <is>
          <t>⚠ not in T-12 — verify with operator / broker</t>
        </is>
      </c>
    </row>
    <row r="54">
      <c r="A54" s="957" t="inlineStr">
        <is>
          <t>↓  ↓  ↓   DATA TIER BELOW — Standardized Aggregation (Layer 3) and Raw T-12 (Layer 1)   ↓  ↓  ↓</t>
        </is>
      </c>
    </row>
    <row r="55">
      <c r="A55" s="955" t="inlineStr">
        <is>
          <t>H.  LAYER 3: STANDARDIZED AGGREGATION  —  Bucket-level detail (paste from Analyzer UW Export, col E)</t>
        </is>
      </c>
    </row>
    <row r="56">
      <c r="A56" s="391" t="inlineStr">
        <is>
          <t>Standardized Bucket</t>
        </is>
      </c>
      <c r="B56" s="487">
        <f>C125</f>
        <v/>
      </c>
      <c r="C56" s="487">
        <f>D125</f>
        <v/>
      </c>
      <c r="D56" s="487">
        <f>E125</f>
        <v/>
      </c>
      <c r="E56" s="487">
        <f>F125</f>
        <v/>
      </c>
      <c r="F56" s="487">
        <f>G125</f>
        <v/>
      </c>
      <c r="G56" s="487">
        <f>H125</f>
        <v/>
      </c>
      <c r="H56" s="487">
        <f>I125</f>
        <v/>
      </c>
      <c r="I56" s="487">
        <f>J125</f>
        <v/>
      </c>
      <c r="J56" s="487">
        <f>K125</f>
        <v/>
      </c>
      <c r="K56" s="487">
        <f>L125</f>
        <v/>
      </c>
      <c r="L56" s="487">
        <f>M125</f>
        <v/>
      </c>
      <c r="M56" s="487">
        <f>N125</f>
        <v/>
      </c>
      <c r="N56" s="392" t="inlineStr">
        <is>
          <t>T-12 Total</t>
        </is>
      </c>
      <c r="O56" s="392" t="inlineStr">
        <is>
          <t>T-3 Annlzd</t>
        </is>
      </c>
      <c r="P56" s="392" t="inlineStr">
        <is>
          <t>Per Bed/Mo</t>
        </is>
      </c>
      <c r="Q56" s="392" t="inlineStr">
        <is>
          <t>% of EGI</t>
        </is>
      </c>
      <c r="R56" s="392" t="inlineStr">
        <is>
          <t>Bench Flag</t>
        </is>
      </c>
    </row>
    <row r="57">
      <c r="A57" s="961" t="inlineStr">
        <is>
          <t>INCOME  (Actual — per T-12)</t>
        </is>
      </c>
    </row>
    <row r="58">
      <c r="A58" s="382" t="inlineStr">
        <is>
          <t xml:space="preserve">  Base Rent — IL</t>
        </is>
      </c>
      <c r="B58" s="906" t="n"/>
      <c r="C58" s="906" t="n"/>
      <c r="D58" s="906" t="n"/>
      <c r="E58" s="906" t="n"/>
      <c r="F58" s="906" t="n"/>
      <c r="G58" s="906" t="n"/>
      <c r="H58" s="906" t="n"/>
      <c r="I58" s="906" t="n"/>
      <c r="J58" s="906" t="n"/>
      <c r="K58" s="906" t="n"/>
      <c r="L58" s="906" t="n"/>
      <c r="M58" s="906" t="n"/>
      <c r="N58" s="907">
        <f>SUM(B58:M58)</f>
        <v/>
      </c>
      <c r="O58" s="906">
        <f>SUM(K58:M58)*4</f>
        <v/>
      </c>
      <c r="P58" s="906">
        <f>IFERROR(N58/$B$20/12,0)</f>
        <v/>
      </c>
      <c r="Q58" s="385">
        <f>IFERROR(N58/N$80,0)</f>
        <v/>
      </c>
      <c r="R58" s="385" t="n"/>
      <c r="S58" s="382" t="n"/>
    </row>
    <row r="59">
      <c r="A59" s="382" t="inlineStr">
        <is>
          <t xml:space="preserve">  Base Rent — AL</t>
        </is>
      </c>
      <c r="B59" s="906" t="n"/>
      <c r="C59" s="906" t="n"/>
      <c r="D59" s="906" t="n"/>
      <c r="E59" s="906" t="n"/>
      <c r="F59" s="906" t="n"/>
      <c r="G59" s="906" t="n"/>
      <c r="H59" s="906" t="n"/>
      <c r="I59" s="906" t="n"/>
      <c r="J59" s="906" t="n"/>
      <c r="K59" s="906" t="n"/>
      <c r="L59" s="906" t="n"/>
      <c r="M59" s="906" t="n"/>
      <c r="N59" s="907">
        <f>SUM(B59:M59)</f>
        <v/>
      </c>
      <c r="O59" s="906">
        <f>SUM(K59:M59)*4</f>
        <v/>
      </c>
      <c r="P59" s="906">
        <f>IFERROR(N59/$B$20/12,0)</f>
        <v/>
      </c>
      <c r="Q59" s="385">
        <f>IFERROR(N59/N$80,0)</f>
        <v/>
      </c>
      <c r="R59" s="385" t="n"/>
      <c r="S59" s="382" t="n"/>
    </row>
    <row r="60">
      <c r="A60" s="382" t="inlineStr">
        <is>
          <t xml:space="preserve">  Base Rent — MC</t>
        </is>
      </c>
      <c r="B60" s="906" t="n"/>
      <c r="C60" s="906" t="n"/>
      <c r="D60" s="906" t="n"/>
      <c r="E60" s="906" t="n"/>
      <c r="F60" s="906" t="n"/>
      <c r="G60" s="906" t="n"/>
      <c r="H60" s="906" t="n"/>
      <c r="I60" s="906" t="n"/>
      <c r="J60" s="906" t="n"/>
      <c r="K60" s="906" t="n"/>
      <c r="L60" s="906" t="n"/>
      <c r="M60" s="906" t="n"/>
      <c r="N60" s="907">
        <f>SUM(B60:M60)</f>
        <v/>
      </c>
      <c r="O60" s="906">
        <f>SUM(K60:M60)*4</f>
        <v/>
      </c>
      <c r="P60" s="906">
        <f>IFERROR(N60/$B$20/12,0)</f>
        <v/>
      </c>
      <c r="Q60" s="385">
        <f>IFERROR(N60/N$80,0)</f>
        <v/>
      </c>
      <c r="R60" s="385" t="n"/>
      <c r="S60" s="382" t="n"/>
    </row>
    <row r="61">
      <c r="A61" s="382">
        <f>"  Base Rent — Other Care ("&amp;'Prop Info'!$D$13&amp;")"</f>
        <v/>
      </c>
      <c r="B61" s="906" t="n"/>
      <c r="C61" s="906" t="n"/>
      <c r="D61" s="906" t="n"/>
      <c r="E61" s="906" t="n"/>
      <c r="F61" s="906" t="n"/>
      <c r="G61" s="906" t="n"/>
      <c r="H61" s="906" t="n"/>
      <c r="I61" s="906" t="n"/>
      <c r="J61" s="906" t="n"/>
      <c r="K61" s="906" t="n"/>
      <c r="L61" s="906" t="n"/>
      <c r="M61" s="906" t="n"/>
      <c r="N61" s="907">
        <f>SUM(B61:M61)</f>
        <v/>
      </c>
      <c r="O61" s="906">
        <f>SUM(K61:M61)*4</f>
        <v/>
      </c>
      <c r="P61" s="906">
        <f>IFERROR(N61/$B$20/12,0)</f>
        <v/>
      </c>
      <c r="Q61" s="385">
        <f>IFERROR(N61/N$80,0)</f>
        <v/>
      </c>
      <c r="R61" s="385" t="n"/>
      <c r="S61" s="382" t="n"/>
    </row>
    <row r="62">
      <c r="A62" s="959" t="inlineStr">
        <is>
          <t xml:space="preserve">    Total Base Rent</t>
        </is>
      </c>
      <c r="B62" s="906" t="n"/>
      <c r="C62" s="906" t="n"/>
      <c r="D62" s="906" t="n"/>
      <c r="E62" s="906" t="n"/>
      <c r="F62" s="906" t="n"/>
      <c r="G62" s="906" t="n"/>
      <c r="H62" s="906" t="n"/>
      <c r="I62" s="906" t="n"/>
      <c r="J62" s="906" t="n"/>
      <c r="K62" s="906" t="n"/>
      <c r="L62" s="906" t="n"/>
      <c r="M62" s="906" t="n"/>
      <c r="N62" s="908">
        <f>SUM(N58:N61)</f>
        <v/>
      </c>
      <c r="O62" s="906">
        <f>SUM(K62:M62)*4</f>
        <v/>
      </c>
      <c r="P62" s="906">
        <f>IFERROR(N62/$B$20/12,0)</f>
        <v/>
      </c>
      <c r="Q62" s="385">
        <f>IFERROR(N62/N$80,0)</f>
        <v/>
      </c>
      <c r="R62" s="385" t="n"/>
      <c r="S62" s="382" t="n"/>
    </row>
    <row r="63">
      <c r="A63" s="382" t="inlineStr">
        <is>
          <t xml:space="preserve">  LOC / Care Services — IL</t>
        </is>
      </c>
      <c r="B63" s="906" t="n"/>
      <c r="C63" s="906" t="n"/>
      <c r="D63" s="906" t="n"/>
      <c r="E63" s="906" t="n"/>
      <c r="F63" s="906" t="n"/>
      <c r="G63" s="906" t="n"/>
      <c r="H63" s="906" t="n"/>
      <c r="I63" s="906" t="n"/>
      <c r="J63" s="906" t="n"/>
      <c r="K63" s="906" t="n"/>
      <c r="L63" s="906" t="n"/>
      <c r="M63" s="906" t="n"/>
      <c r="N63" s="907">
        <f>SUM(B63:M63)</f>
        <v/>
      </c>
      <c r="O63" s="906">
        <f>SUM(K63:M63)*4</f>
        <v/>
      </c>
      <c r="P63" s="906">
        <f>IFERROR(N63/$B$20/12,0)</f>
        <v/>
      </c>
      <c r="Q63" s="385">
        <f>IFERROR(N63/N$80,0)</f>
        <v/>
      </c>
      <c r="R63" s="385" t="n"/>
      <c r="S63" s="382" t="n"/>
    </row>
    <row r="64">
      <c r="A64" s="382" t="inlineStr">
        <is>
          <t xml:space="preserve">  LOC / Care Services — AL</t>
        </is>
      </c>
      <c r="B64" s="906" t="n"/>
      <c r="C64" s="906" t="n"/>
      <c r="D64" s="906" t="n"/>
      <c r="E64" s="906" t="n"/>
      <c r="F64" s="906" t="n"/>
      <c r="G64" s="906" t="n"/>
      <c r="H64" s="906" t="n"/>
      <c r="I64" s="906" t="n"/>
      <c r="J64" s="906" t="n"/>
      <c r="K64" s="906" t="n"/>
      <c r="L64" s="906" t="n"/>
      <c r="M64" s="906" t="n"/>
      <c r="N64" s="907">
        <f>SUM(B64:M64)</f>
        <v/>
      </c>
      <c r="O64" s="906">
        <f>SUM(K64:M64)*4</f>
        <v/>
      </c>
      <c r="P64" s="906">
        <f>IFERROR(N64/$B$20/12,0)</f>
        <v/>
      </c>
      <c r="Q64" s="385">
        <f>IFERROR(N64/N$80,0)</f>
        <v/>
      </c>
      <c r="R64" s="385" t="n"/>
      <c r="S64" s="382" t="n"/>
    </row>
    <row r="65">
      <c r="A65" s="382" t="inlineStr">
        <is>
          <t xml:space="preserve">  LOC / Care Services — MC</t>
        </is>
      </c>
      <c r="B65" s="906" t="n"/>
      <c r="C65" s="906" t="n"/>
      <c r="D65" s="906" t="n"/>
      <c r="E65" s="906" t="n"/>
      <c r="F65" s="906" t="n"/>
      <c r="G65" s="906" t="n"/>
      <c r="H65" s="906" t="n"/>
      <c r="I65" s="906" t="n"/>
      <c r="J65" s="906" t="n"/>
      <c r="K65" s="906" t="n"/>
      <c r="L65" s="906" t="n"/>
      <c r="M65" s="906" t="n"/>
      <c r="N65" s="907">
        <f>SUM(B65:M65)</f>
        <v/>
      </c>
      <c r="O65" s="906">
        <f>SUM(K65:M65)*4</f>
        <v/>
      </c>
      <c r="P65" s="906">
        <f>IFERROR(N65/$B$20/12,0)</f>
        <v/>
      </c>
      <c r="Q65" s="385">
        <f>IFERROR(N65/N$80,0)</f>
        <v/>
      </c>
      <c r="R65" s="385" t="n"/>
      <c r="S65" s="382" t="n"/>
    </row>
    <row r="66">
      <c r="A66" s="382">
        <f>"  LOC / Care Services — Other Care ("&amp;'Prop Info'!$D$13&amp;")"</f>
        <v/>
      </c>
      <c r="B66" s="906" t="n"/>
      <c r="C66" s="906" t="n"/>
      <c r="D66" s="906" t="n"/>
      <c r="E66" s="906" t="n"/>
      <c r="F66" s="906" t="n"/>
      <c r="G66" s="906" t="n"/>
      <c r="H66" s="906" t="n"/>
      <c r="I66" s="906" t="n"/>
      <c r="J66" s="906" t="n"/>
      <c r="K66" s="906" t="n"/>
      <c r="L66" s="906" t="n"/>
      <c r="M66" s="906" t="n"/>
      <c r="N66" s="907">
        <f>SUM(B66:M66)</f>
        <v/>
      </c>
      <c r="O66" s="906">
        <f>SUM(K66:M66)*4</f>
        <v/>
      </c>
      <c r="P66" s="906">
        <f>IFERROR(N66/$B$20/12,0)</f>
        <v/>
      </c>
      <c r="Q66" s="385">
        <f>IFERROR(N66/N$80,0)</f>
        <v/>
      </c>
      <c r="R66" s="385" t="n"/>
      <c r="S66" s="382" t="n"/>
    </row>
    <row r="67">
      <c r="A67" s="959" t="inlineStr">
        <is>
          <t xml:space="preserve">    Total LOC / Care Services</t>
        </is>
      </c>
      <c r="B67" s="906" t="n"/>
      <c r="C67" s="906" t="n"/>
      <c r="D67" s="906" t="n"/>
      <c r="E67" s="906" t="n"/>
      <c r="F67" s="906" t="n"/>
      <c r="G67" s="906" t="n"/>
      <c r="H67" s="906" t="n"/>
      <c r="I67" s="906" t="n"/>
      <c r="J67" s="906" t="n"/>
      <c r="K67" s="906" t="n"/>
      <c r="L67" s="906" t="n"/>
      <c r="M67" s="906" t="n"/>
      <c r="N67" s="908">
        <f>SUM(N63:N66)</f>
        <v/>
      </c>
      <c r="O67" s="906">
        <f>SUM(K67:M67)*4</f>
        <v/>
      </c>
      <c r="P67" s="906">
        <f>IFERROR(N67/$B$20/12,0)</f>
        <v/>
      </c>
      <c r="Q67" s="385">
        <f>IFERROR(N67/N$80,0)</f>
        <v/>
      </c>
      <c r="R67" s="385" t="n"/>
      <c r="S67" s="382" t="n"/>
    </row>
    <row r="68">
      <c r="A68" s="382" t="inlineStr">
        <is>
          <t xml:space="preserve">  2nd Person Revenue</t>
        </is>
      </c>
      <c r="B68" s="906" t="n"/>
      <c r="C68" s="906" t="n"/>
      <c r="D68" s="906" t="n"/>
      <c r="E68" s="906" t="n"/>
      <c r="F68" s="906" t="n"/>
      <c r="G68" s="906" t="n"/>
      <c r="H68" s="906" t="n"/>
      <c r="I68" s="906" t="n"/>
      <c r="J68" s="906" t="n"/>
      <c r="K68" s="906" t="n"/>
      <c r="L68" s="906" t="n"/>
      <c r="M68" s="906" t="n"/>
      <c r="N68" s="907">
        <f>SUM(B68:M68)</f>
        <v/>
      </c>
      <c r="O68" s="906">
        <f>SUM(K68:M68)*4</f>
        <v/>
      </c>
      <c r="P68" s="906">
        <f>IFERROR(N68/$B$20/12,0)</f>
        <v/>
      </c>
      <c r="Q68" s="385">
        <f>IFERROR(N68/N$80,0)</f>
        <v/>
      </c>
      <c r="R68" s="385" t="n"/>
      <c r="S68" s="382" t="n"/>
    </row>
    <row r="69">
      <c r="A69" s="382" t="inlineStr">
        <is>
          <t xml:space="preserve">  Community / Move-in Fees</t>
        </is>
      </c>
      <c r="B69" s="906" t="n"/>
      <c r="C69" s="906" t="n"/>
      <c r="D69" s="906" t="n"/>
      <c r="E69" s="906" t="n"/>
      <c r="F69" s="906" t="n"/>
      <c r="G69" s="906" t="n"/>
      <c r="H69" s="906" t="n"/>
      <c r="I69" s="906" t="n"/>
      <c r="J69" s="906" t="n"/>
      <c r="K69" s="906" t="n"/>
      <c r="L69" s="906" t="n"/>
      <c r="M69" s="906" t="n"/>
      <c r="N69" s="907">
        <f>SUM(B69:M69)</f>
        <v/>
      </c>
      <c r="O69" s="906">
        <f>SUM(K69:M69)*4</f>
        <v/>
      </c>
      <c r="P69" s="906">
        <f>IFERROR(N69/$B$20/12,0)</f>
        <v/>
      </c>
      <c r="Q69" s="385">
        <f>IFERROR(N69/N$80,0)</f>
        <v/>
      </c>
      <c r="R69" s="385" t="n"/>
      <c r="S69" s="382" t="n"/>
    </row>
    <row r="70">
      <c r="A70" s="382" t="inlineStr">
        <is>
          <t xml:space="preserve">  Respite Care Revenue</t>
        </is>
      </c>
      <c r="B70" s="906" t="n"/>
      <c r="C70" s="906" t="n"/>
      <c r="D70" s="906" t="n"/>
      <c r="E70" s="906" t="n"/>
      <c r="F70" s="906" t="n"/>
      <c r="G70" s="906" t="n"/>
      <c r="H70" s="906" t="n"/>
      <c r="I70" s="906" t="n"/>
      <c r="J70" s="906" t="n"/>
      <c r="K70" s="906" t="n"/>
      <c r="L70" s="906" t="n"/>
      <c r="M70" s="906" t="n"/>
      <c r="N70" s="907">
        <f>SUM(B70:M70)</f>
        <v/>
      </c>
      <c r="O70" s="906">
        <f>SUM(K70:M70)*4</f>
        <v/>
      </c>
      <c r="P70" s="906">
        <f>IFERROR(N70/$B$20/12,0)</f>
        <v/>
      </c>
      <c r="Q70" s="385">
        <f>IFERROR(N70/N$80,0)</f>
        <v/>
      </c>
      <c r="R70" s="385" t="n"/>
      <c r="S70" s="382" t="n"/>
    </row>
    <row r="71">
      <c r="A71" s="382" t="inlineStr">
        <is>
          <t xml:space="preserve">  Meal Income</t>
        </is>
      </c>
      <c r="B71" s="906" t="n"/>
      <c r="C71" s="906" t="n"/>
      <c r="D71" s="906" t="n"/>
      <c r="E71" s="906" t="n"/>
      <c r="F71" s="906" t="n"/>
      <c r="G71" s="906" t="n"/>
      <c r="H71" s="906" t="n"/>
      <c r="I71" s="906" t="n"/>
      <c r="J71" s="906" t="n"/>
      <c r="K71" s="906" t="n"/>
      <c r="L71" s="906" t="n"/>
      <c r="M71" s="906" t="n"/>
      <c r="N71" s="907">
        <f>SUM(B71:M71)</f>
        <v/>
      </c>
      <c r="O71" s="906">
        <f>SUM(K71:M71)*4</f>
        <v/>
      </c>
      <c r="P71" s="906">
        <f>IFERROR(N71/$B$20/12,0)</f>
        <v/>
      </c>
      <c r="Q71" s="385">
        <f>IFERROR(N71/N$80,0)</f>
        <v/>
      </c>
      <c r="R71" s="385" t="n"/>
      <c r="S71" s="382" t="n"/>
    </row>
    <row r="72">
      <c r="A72" s="382" t="inlineStr">
        <is>
          <t xml:space="preserve">  Housekeeping Income</t>
        </is>
      </c>
      <c r="B72" s="906" t="n"/>
      <c r="C72" s="906" t="n"/>
      <c r="D72" s="906" t="n"/>
      <c r="E72" s="906" t="n"/>
      <c r="F72" s="906" t="n"/>
      <c r="G72" s="906" t="n"/>
      <c r="H72" s="906" t="n"/>
      <c r="I72" s="906" t="n"/>
      <c r="J72" s="906" t="n"/>
      <c r="K72" s="906" t="n"/>
      <c r="L72" s="906" t="n"/>
      <c r="M72" s="906" t="n"/>
      <c r="N72" s="907">
        <f>SUM(B72:M72)</f>
        <v/>
      </c>
      <c r="O72" s="906">
        <f>SUM(K72:M72)*4</f>
        <v/>
      </c>
      <c r="P72" s="906">
        <f>IFERROR(N72/$B$20/12,0)</f>
        <v/>
      </c>
      <c r="Q72" s="385">
        <f>IFERROR(N72/N$80,0)</f>
        <v/>
      </c>
      <c r="R72" s="385" t="n"/>
      <c r="S72" s="382" t="n"/>
    </row>
    <row r="73">
      <c r="A73" s="382" t="inlineStr">
        <is>
          <t xml:space="preserve">  Laundry Income</t>
        </is>
      </c>
      <c r="B73" s="906" t="n"/>
      <c r="C73" s="906" t="n"/>
      <c r="D73" s="906" t="n"/>
      <c r="E73" s="906" t="n"/>
      <c r="F73" s="906" t="n"/>
      <c r="G73" s="906" t="n"/>
      <c r="H73" s="906" t="n"/>
      <c r="I73" s="906" t="n"/>
      <c r="J73" s="906" t="n"/>
      <c r="K73" s="906" t="n"/>
      <c r="L73" s="906" t="n"/>
      <c r="M73" s="906" t="n"/>
      <c r="N73" s="907">
        <f>SUM(B73:M73)</f>
        <v/>
      </c>
      <c r="O73" s="906">
        <f>SUM(K73:M73)*4</f>
        <v/>
      </c>
      <c r="P73" s="906">
        <f>IFERROR(N73/$B$20/12,0)</f>
        <v/>
      </c>
      <c r="Q73" s="385">
        <f>IFERROR(N73/N$80,0)</f>
        <v/>
      </c>
      <c r="R73" s="385" t="n"/>
      <c r="S73" s="382" t="n"/>
    </row>
    <row r="74">
      <c r="A74" s="382" t="inlineStr">
        <is>
          <t xml:space="preserve">  Scooter Fee Revenue</t>
        </is>
      </c>
      <c r="B74" s="906" t="n"/>
      <c r="C74" s="906" t="n"/>
      <c r="D74" s="906" t="n"/>
      <c r="E74" s="906" t="n"/>
      <c r="F74" s="906" t="n"/>
      <c r="G74" s="906" t="n"/>
      <c r="H74" s="906" t="n"/>
      <c r="I74" s="906" t="n"/>
      <c r="J74" s="906" t="n"/>
      <c r="K74" s="906" t="n"/>
      <c r="L74" s="906" t="n"/>
      <c r="M74" s="906" t="n"/>
      <c r="N74" s="907">
        <f>SUM(B74:M74)</f>
        <v/>
      </c>
      <c r="O74" s="906">
        <f>SUM(K74:M74)*4</f>
        <v/>
      </c>
      <c r="P74" s="906">
        <f>IFERROR(N74/$B$20/12,0)</f>
        <v/>
      </c>
      <c r="Q74" s="385">
        <f>IFERROR(N74/N$80,0)</f>
        <v/>
      </c>
      <c r="R74" s="385" t="n"/>
      <c r="S74" s="382" t="n"/>
    </row>
    <row r="75">
      <c r="A75" s="382" t="inlineStr">
        <is>
          <t xml:space="preserve">  Transfer Fee Revenue</t>
        </is>
      </c>
      <c r="B75" s="906" t="n"/>
      <c r="C75" s="906" t="n"/>
      <c r="D75" s="906" t="n"/>
      <c r="E75" s="906" t="n"/>
      <c r="F75" s="906" t="n"/>
      <c r="G75" s="906" t="n"/>
      <c r="H75" s="906" t="n"/>
      <c r="I75" s="906" t="n"/>
      <c r="J75" s="906" t="n"/>
      <c r="K75" s="906" t="n"/>
      <c r="L75" s="906" t="n"/>
      <c r="M75" s="906" t="n"/>
      <c r="N75" s="907">
        <f>SUM(B75:M75)</f>
        <v/>
      </c>
      <c r="O75" s="906">
        <f>SUM(K75:M75)*4</f>
        <v/>
      </c>
      <c r="P75" s="906">
        <f>IFERROR(N75/$B$20/12,0)</f>
        <v/>
      </c>
      <c r="Q75" s="385">
        <f>IFERROR(N75/N$80,0)</f>
        <v/>
      </c>
      <c r="R75" s="385" t="n"/>
      <c r="S75" s="382" t="n"/>
    </row>
    <row r="76">
      <c r="A76" s="382" t="inlineStr">
        <is>
          <t xml:space="preserve">  Other Community Revenue</t>
        </is>
      </c>
      <c r="B76" s="906" t="n"/>
      <c r="C76" s="906" t="n"/>
      <c r="D76" s="906" t="n"/>
      <c r="E76" s="906" t="n"/>
      <c r="F76" s="906" t="n"/>
      <c r="G76" s="906" t="n"/>
      <c r="H76" s="906" t="n"/>
      <c r="I76" s="906" t="n"/>
      <c r="J76" s="906" t="n"/>
      <c r="K76" s="906" t="n"/>
      <c r="L76" s="906" t="n"/>
      <c r="M76" s="906" t="n"/>
      <c r="N76" s="907">
        <f>SUM(B76:M76)</f>
        <v/>
      </c>
      <c r="O76" s="906">
        <f>SUM(K76:M76)*4</f>
        <v/>
      </c>
      <c r="P76" s="906">
        <f>IFERROR(N76/$B$20/12,0)</f>
        <v/>
      </c>
      <c r="Q76" s="385">
        <f>IFERROR(N76/N$80,0)</f>
        <v/>
      </c>
      <c r="R76" s="385" t="n"/>
      <c r="S76" s="382" t="n"/>
    </row>
    <row r="77">
      <c r="A77" s="382" t="inlineStr">
        <is>
          <t xml:space="preserve">  Less: Vacancy / Credit Loss (actual)</t>
        </is>
      </c>
      <c r="B77" s="906" t="n"/>
      <c r="C77" s="906" t="n"/>
      <c r="D77" s="906" t="n"/>
      <c r="E77" s="906" t="n"/>
      <c r="F77" s="906" t="n"/>
      <c r="G77" s="906" t="n"/>
      <c r="H77" s="906" t="n"/>
      <c r="I77" s="906" t="n"/>
      <c r="J77" s="906" t="n"/>
      <c r="K77" s="906" t="n"/>
      <c r="L77" s="906" t="n"/>
      <c r="M77" s="906" t="n"/>
      <c r="N77" s="907">
        <f>SUM(B77:M77)</f>
        <v/>
      </c>
      <c r="O77" s="906">
        <f>SUM(K77:M77)*4</f>
        <v/>
      </c>
      <c r="P77" s="906">
        <f>IFERROR(N77/$B$20/12,0)</f>
        <v/>
      </c>
      <c r="Q77" s="385">
        <f>IFERROR(N77/N$80,0)</f>
        <v/>
      </c>
      <c r="R77" s="385" t="n"/>
      <c r="S77" s="382" t="n"/>
    </row>
    <row r="78">
      <c r="A78" s="382" t="inlineStr">
        <is>
          <t xml:space="preserve">  Concessions &amp; Specials  (contra)</t>
        </is>
      </c>
      <c r="B78" s="906" t="n"/>
      <c r="C78" s="906" t="n"/>
      <c r="D78" s="906" t="n"/>
      <c r="E78" s="906" t="n"/>
      <c r="F78" s="906" t="n"/>
      <c r="G78" s="906" t="n"/>
      <c r="H78" s="906" t="n"/>
      <c r="I78" s="906" t="n"/>
      <c r="J78" s="906" t="n"/>
      <c r="K78" s="906" t="n"/>
      <c r="L78" s="906" t="n"/>
      <c r="M78" s="906" t="n"/>
      <c r="N78" s="907">
        <f>SUM(B78:M78)</f>
        <v/>
      </c>
      <c r="O78" s="906">
        <f>SUM(K78:M78)*4</f>
        <v/>
      </c>
      <c r="P78" s="906">
        <f>IFERROR(N78/$B$20/12,0)</f>
        <v/>
      </c>
      <c r="Q78" s="385">
        <f>IFERROR(N78/N$80,0)</f>
        <v/>
      </c>
      <c r="R78" s="385" t="n"/>
      <c r="S78" s="382" t="n"/>
    </row>
    <row r="79">
      <c r="A79" s="382" t="inlineStr">
        <is>
          <t xml:space="preserve">  Bad Debt / Write-offs  (contra)</t>
        </is>
      </c>
      <c r="B79" s="906" t="n"/>
      <c r="C79" s="906" t="n"/>
      <c r="D79" s="906" t="n"/>
      <c r="E79" s="906" t="n"/>
      <c r="F79" s="906" t="n"/>
      <c r="G79" s="906" t="n"/>
      <c r="H79" s="906" t="n"/>
      <c r="I79" s="906" t="n"/>
      <c r="J79" s="906" t="n"/>
      <c r="K79" s="906" t="n"/>
      <c r="L79" s="906" t="n"/>
      <c r="M79" s="906" t="n"/>
      <c r="N79" s="907">
        <f>SUM(B79:M79)</f>
        <v/>
      </c>
      <c r="O79" s="906">
        <f>SUM(K79:M79)*4</f>
        <v/>
      </c>
      <c r="P79" s="906">
        <f>IFERROR(N79/$B$20/12,0)</f>
        <v/>
      </c>
      <c r="Q79" s="385">
        <f>IFERROR(N79/N$80,0)</f>
        <v/>
      </c>
      <c r="R79" s="385" t="n"/>
      <c r="S79" s="382" t="n"/>
    </row>
    <row r="80">
      <c r="A80" s="393" t="inlineStr">
        <is>
          <t>EFFECTIVE GROSS INCOME (EGI)</t>
        </is>
      </c>
      <c r="B80" s="909" t="n"/>
      <c r="C80" s="909" t="n"/>
      <c r="D80" s="909" t="n"/>
      <c r="E80" s="909" t="n"/>
      <c r="F80" s="909" t="n"/>
      <c r="G80" s="909" t="n"/>
      <c r="H80" s="909" t="n"/>
      <c r="I80" s="909" t="n"/>
      <c r="J80" s="909" t="n"/>
      <c r="K80" s="909" t="n"/>
      <c r="L80" s="909" t="n"/>
      <c r="M80" s="909" t="n"/>
      <c r="N80" s="910">
        <f>N62+N67+SUM(N68:N79)</f>
        <v/>
      </c>
      <c r="O80" s="909">
        <f>SUM(K80:M80)*4</f>
        <v/>
      </c>
      <c r="P80" s="906">
        <f>IFERROR(N80/$B$20/12,0)</f>
        <v/>
      </c>
      <c r="Q80" s="385">
        <f>IFERROR(N80/N$80,0)</f>
        <v/>
      </c>
      <c r="R80" s="385" t="n"/>
      <c r="S80" s="382" t="n"/>
    </row>
    <row r="81">
      <c r="A81" s="382" t="n"/>
      <c r="B81" s="906" t="n"/>
      <c r="C81" s="906" t="n"/>
      <c r="D81" s="906" t="n"/>
      <c r="E81" s="906" t="n"/>
      <c r="F81" s="906" t="n"/>
      <c r="G81" s="906" t="n"/>
      <c r="H81" s="906" t="n"/>
      <c r="I81" s="906" t="n"/>
      <c r="J81" s="906" t="n"/>
      <c r="K81" s="906" t="n"/>
      <c r="L81" s="906" t="n"/>
      <c r="M81" s="906" t="n"/>
      <c r="N81" s="907" t="n"/>
      <c r="O81" s="906" t="n"/>
      <c r="P81" s="906" t="n"/>
      <c r="Q81" s="383" t="n"/>
      <c r="R81" s="385" t="n"/>
      <c r="S81" s="382" t="n"/>
    </row>
    <row r="82">
      <c r="A82" s="899" t="inlineStr">
        <is>
          <t>GPR WATERFALL — DIAGNOSTIC  (RR market projection; NOT T-12 actual)</t>
        </is>
      </c>
      <c r="B82" s="911" t="n"/>
      <c r="C82" s="911" t="n"/>
      <c r="D82" s="911" t="n"/>
      <c r="E82" s="911" t="n"/>
      <c r="F82" s="911" t="n"/>
      <c r="G82" s="911" t="n"/>
      <c r="H82" s="911" t="n"/>
      <c r="I82" s="911" t="n"/>
      <c r="J82" s="911" t="n"/>
      <c r="K82" s="911" t="n"/>
      <c r="L82" s="911" t="n"/>
      <c r="M82" s="911" t="n"/>
      <c r="N82" s="912" t="inlineStr">
        <is>
          <t>T-12 Total</t>
        </is>
      </c>
      <c r="O82" s="912" t="inlineStr">
        <is>
          <t>T-3 Annlzd</t>
        </is>
      </c>
      <c r="P82" s="912" t="inlineStr">
        <is>
          <t>Per Bed/Mo</t>
        </is>
      </c>
      <c r="Q82" s="901" t="inlineStr">
        <is>
          <t>% of EGI</t>
        </is>
      </c>
      <c r="R82" s="901" t="inlineStr">
        <is>
          <t>Bench Flag</t>
        </is>
      </c>
      <c r="S82" s="920" t="inlineStr">
        <is>
          <t>vs T-12 Actual ($)</t>
        </is>
      </c>
      <c r="T82" s="920" t="inlineStr">
        <is>
          <t>vs T-12 (%)</t>
        </is>
      </c>
    </row>
    <row r="83">
      <c r="A83" s="382" t="inlineStr">
        <is>
          <t xml:space="preserve">  Gross Potential Rent (GPR)</t>
        </is>
      </c>
      <c r="B83" s="906" t="n"/>
      <c r="C83" s="906" t="n"/>
      <c r="D83" s="906" t="n"/>
      <c r="E83" s="906" t="n"/>
      <c r="F83" s="906" t="n"/>
      <c r="G83" s="906" t="n"/>
      <c r="H83" s="906" t="n"/>
      <c r="I83" s="906" t="n"/>
      <c r="J83" s="906" t="n"/>
      <c r="K83" s="906" t="n"/>
      <c r="L83" s="906" t="n"/>
      <c r="M83" s="906" t="n"/>
      <c r="N83" s="919">
        <f>IFERROR('Rent Roll Analysis'!B30,0)</f>
        <v/>
      </c>
      <c r="O83" s="906" t="n"/>
      <c r="P83" s="906">
        <f>IFERROR(N83/$B$20/12,0)</f>
        <v/>
      </c>
      <c r="Q83" s="385">
        <f>IFERROR(N83/N$80,0)</f>
        <v/>
      </c>
      <c r="R83" s="385" t="n"/>
      <c r="S83" s="898" t="inlineStr">
        <is>
          <t>Market GPR (RR ann.)</t>
        </is>
      </c>
    </row>
    <row r="84">
      <c r="A84" s="382" t="inlineStr">
        <is>
          <t xml:space="preserve">  Less: Loss to Lease</t>
        </is>
      </c>
      <c r="B84" s="906" t="n"/>
      <c r="C84" s="906" t="n"/>
      <c r="D84" s="906" t="n"/>
      <c r="E84" s="906" t="n"/>
      <c r="F84" s="906" t="n"/>
      <c r="G84" s="906" t="n"/>
      <c r="H84" s="906" t="n"/>
      <c r="I84" s="906" t="n"/>
      <c r="J84" s="906" t="n"/>
      <c r="K84" s="906" t="n"/>
      <c r="L84" s="906" t="n"/>
      <c r="M84" s="906" t="n"/>
      <c r="N84" s="919">
        <f>-IFERROR('Rent Roll Analysis'!B32,0)</f>
        <v/>
      </c>
      <c r="O84" s="906" t="n"/>
      <c r="P84" s="906">
        <f>IFERROR(N84/$B$20/12,0)</f>
        <v/>
      </c>
      <c r="Q84" s="385">
        <f>IFERROR(N84/N$80,0)</f>
        <v/>
      </c>
      <c r="R84" s="385" t="n"/>
      <c r="S84" s="382" t="n"/>
    </row>
    <row r="85">
      <c r="A85" s="382" t="inlineStr">
        <is>
          <t xml:space="preserve">  Less: Vacancy Loss</t>
        </is>
      </c>
      <c r="B85" s="906" t="n"/>
      <c r="C85" s="906" t="n"/>
      <c r="D85" s="906" t="n"/>
      <c r="E85" s="906" t="n"/>
      <c r="F85" s="906" t="n"/>
      <c r="G85" s="906" t="n"/>
      <c r="H85" s="906" t="n"/>
      <c r="I85" s="906" t="n"/>
      <c r="J85" s="906" t="n"/>
      <c r="K85" s="906" t="n"/>
      <c r="L85" s="906" t="n"/>
      <c r="M85" s="906" t="n"/>
      <c r="N85" s="919">
        <f>-IFERROR('Rent Roll Analysis'!B34,0)</f>
        <v/>
      </c>
      <c r="O85" s="906" t="n"/>
      <c r="P85" s="906">
        <f>IFERROR(N85/$B$20/12,0)</f>
        <v/>
      </c>
      <c r="Q85" s="385">
        <f>IFERROR(N85/N$80,0)</f>
        <v/>
      </c>
      <c r="R85" s="385" t="n"/>
      <c r="S85" s="382" t="n"/>
    </row>
    <row r="86">
      <c r="A86" s="959" t="inlineStr">
        <is>
          <t xml:space="preserve">  Net Rent (projected)</t>
        </is>
      </c>
      <c r="B86" s="906" t="n"/>
      <c r="C86" s="906" t="n"/>
      <c r="D86" s="906" t="n"/>
      <c r="E86" s="906" t="n"/>
      <c r="F86" s="906" t="n"/>
      <c r="G86" s="906" t="n"/>
      <c r="H86" s="906" t="n"/>
      <c r="I86" s="906" t="n"/>
      <c r="J86" s="906" t="n"/>
      <c r="K86" s="906" t="n"/>
      <c r="L86" s="906" t="n"/>
      <c r="M86" s="906" t="n"/>
      <c r="N86" s="908">
        <f>N83+N84+N85</f>
        <v/>
      </c>
      <c r="O86" s="906" t="n"/>
      <c r="P86" s="906">
        <f>IFERROR(N86/$B$20/12,0)</f>
        <v/>
      </c>
      <c r="Q86" s="385">
        <f>IFERROR(N86/N$80,0)</f>
        <v/>
      </c>
      <c r="R86" s="385" t="n"/>
      <c r="S86" s="455">
        <f>N86-N62</f>
        <v/>
      </c>
      <c r="T86" s="921">
        <f>IFERROR(N86/N62-1,0)</f>
        <v/>
      </c>
    </row>
    <row r="87">
      <c r="A87" s="899" t="inlineStr">
        <is>
          <t>LABOR  —  Wages &amp; Burden</t>
        </is>
      </c>
      <c r="B87" s="911" t="n"/>
      <c r="C87" s="911" t="n"/>
      <c r="D87" s="911" t="n"/>
      <c r="E87" s="911" t="n"/>
      <c r="F87" s="911" t="n"/>
      <c r="G87" s="911" t="n"/>
      <c r="H87" s="911" t="n"/>
      <c r="I87" s="911" t="n"/>
      <c r="J87" s="911" t="n"/>
      <c r="K87" s="911" t="n"/>
      <c r="L87" s="911" t="n"/>
      <c r="M87" s="911" t="n"/>
      <c r="N87" s="911" t="n"/>
      <c r="O87" s="911" t="n"/>
      <c r="P87" s="911" t="n"/>
      <c r="Q87" s="900" t="n"/>
      <c r="R87" s="900" t="n"/>
    </row>
    <row r="88">
      <c r="A88" s="382" t="inlineStr">
        <is>
          <t>Care Staff Labor</t>
        </is>
      </c>
      <c r="B88" s="906" t="n">
        <v>0</v>
      </c>
      <c r="C88" s="906" t="n">
        <v>0</v>
      </c>
      <c r="D88" s="906" t="n">
        <v>0</v>
      </c>
      <c r="E88" s="906" t="n">
        <v>0</v>
      </c>
      <c r="F88" s="906" t="n">
        <v>0</v>
      </c>
      <c r="G88" s="906" t="n">
        <v>0</v>
      </c>
      <c r="H88" s="906" t="n">
        <v>0</v>
      </c>
      <c r="I88" s="906" t="n">
        <v>0</v>
      </c>
      <c r="J88" s="906" t="n">
        <v>0</v>
      </c>
      <c r="K88" s="906" t="n">
        <v>0</v>
      </c>
      <c r="L88" s="906" t="n">
        <v>0</v>
      </c>
      <c r="M88" s="906" t="n">
        <v>0</v>
      </c>
      <c r="N88" s="907">
        <f>SUM(B88:M88)</f>
        <v/>
      </c>
      <c r="O88" s="906">
        <f>SUM(K88:M88)*4</f>
        <v/>
      </c>
      <c r="P88" s="906">
        <f>IFERROR(N88/$B$20/12,0)</f>
        <v/>
      </c>
      <c r="Q88" s="385">
        <f>IFERROR(N88/N$80,0)</f>
        <v/>
      </c>
      <c r="R88" s="898" t="inlineStr">
        <is>
          <t>&lt; $500/bed/mo target</t>
        </is>
      </c>
    </row>
    <row r="89">
      <c r="A89" s="382" t="inlineStr">
        <is>
          <t xml:space="preserve">  Wellness / Care Coordinators</t>
        </is>
      </c>
      <c r="B89" s="906" t="n">
        <v>0</v>
      </c>
      <c r="C89" s="906" t="n">
        <v>0</v>
      </c>
      <c r="D89" s="906" t="n">
        <v>0</v>
      </c>
      <c r="E89" s="906" t="n">
        <v>0</v>
      </c>
      <c r="F89" s="906" t="n">
        <v>0</v>
      </c>
      <c r="G89" s="906" t="n">
        <v>0</v>
      </c>
      <c r="H89" s="906" t="n">
        <v>0</v>
      </c>
      <c r="I89" s="906" t="n">
        <v>0</v>
      </c>
      <c r="J89" s="906" t="n">
        <v>0</v>
      </c>
      <c r="K89" s="906" t="n">
        <v>0</v>
      </c>
      <c r="L89" s="906" t="n">
        <v>0</v>
      </c>
      <c r="M89" s="906" t="n">
        <v>0</v>
      </c>
      <c r="N89" s="907">
        <f>SUM(B89:M89)</f>
        <v/>
      </c>
      <c r="O89" s="906">
        <f>SUM(K89:M89)*4</f>
        <v/>
      </c>
      <c r="P89" s="906">
        <f>IFERROR(N89/$B$20/12,0)</f>
        <v/>
      </c>
      <c r="Q89" s="385">
        <f>IFERROR(N89/N$80,0)</f>
        <v/>
      </c>
      <c r="R89" s="898" t="n"/>
    </row>
    <row r="90">
      <c r="A90" s="382" t="inlineStr">
        <is>
          <t xml:space="preserve">  Contract / Agency Labor</t>
        </is>
      </c>
      <c r="B90" s="906" t="n">
        <v>0</v>
      </c>
      <c r="C90" s="906" t="n">
        <v>0</v>
      </c>
      <c r="D90" s="906" t="n">
        <v>0</v>
      </c>
      <c r="E90" s="906" t="n">
        <v>0</v>
      </c>
      <c r="F90" s="906" t="n">
        <v>0</v>
      </c>
      <c r="G90" s="906" t="n">
        <v>0</v>
      </c>
      <c r="H90" s="906" t="n">
        <v>0</v>
      </c>
      <c r="I90" s="906" t="n">
        <v>0</v>
      </c>
      <c r="J90" s="906" t="n">
        <v>0</v>
      </c>
      <c r="K90" s="906" t="n">
        <v>0</v>
      </c>
      <c r="L90" s="906" t="n">
        <v>0</v>
      </c>
      <c r="M90" s="906" t="n">
        <v>0</v>
      </c>
      <c r="N90" s="907">
        <f>SUM(B90:M90)</f>
        <v/>
      </c>
      <c r="O90" s="906">
        <f>SUM(K90:M90)*4</f>
        <v/>
      </c>
      <c r="P90" s="906">
        <f>IFERROR(N90/$B$20/12,0)</f>
        <v/>
      </c>
      <c r="Q90" s="385">
        <f>IFERROR(N90/N$80,0)</f>
        <v/>
      </c>
      <c r="R90" s="898" t="inlineStr">
        <is>
          <t>&lt; 2% of total labor ✓</t>
        </is>
      </c>
    </row>
    <row r="91">
      <c r="A91" s="382" t="inlineStr">
        <is>
          <t xml:space="preserve">  Activities Labor</t>
        </is>
      </c>
      <c r="B91" s="906" t="n">
        <v>0</v>
      </c>
      <c r="C91" s="906" t="n">
        <v>0</v>
      </c>
      <c r="D91" s="906" t="n">
        <v>0</v>
      </c>
      <c r="E91" s="906" t="n">
        <v>0</v>
      </c>
      <c r="F91" s="906" t="n">
        <v>0</v>
      </c>
      <c r="G91" s="906" t="n">
        <v>0</v>
      </c>
      <c r="H91" s="906" t="n">
        <v>0</v>
      </c>
      <c r="I91" s="906" t="n">
        <v>0</v>
      </c>
      <c r="J91" s="906" t="n">
        <v>0</v>
      </c>
      <c r="K91" s="906" t="n">
        <v>0</v>
      </c>
      <c r="L91" s="906" t="n">
        <v>0</v>
      </c>
      <c r="M91" s="906" t="n">
        <v>0</v>
      </c>
      <c r="N91" s="907">
        <f>SUM(B91:M91)</f>
        <v/>
      </c>
      <c r="O91" s="906">
        <f>SUM(K91:M91)*4</f>
        <v/>
      </c>
      <c r="P91" s="906">
        <f>IFERROR(N91/$B$20/12,0)</f>
        <v/>
      </c>
      <c r="Q91" s="385">
        <f>IFERROR(N91/N$80,0)</f>
        <v/>
      </c>
      <c r="R91" s="898" t="n"/>
    </row>
    <row r="92">
      <c r="A92" s="382" t="inlineStr">
        <is>
          <t xml:space="preserve">  Dining / Food Service Labor</t>
        </is>
      </c>
      <c r="B92" s="906" t="n">
        <v>0</v>
      </c>
      <c r="C92" s="906" t="n">
        <v>0</v>
      </c>
      <c r="D92" s="906" t="n">
        <v>0</v>
      </c>
      <c r="E92" s="906" t="n">
        <v>0</v>
      </c>
      <c r="F92" s="906" t="n">
        <v>0</v>
      </c>
      <c r="G92" s="906" t="n">
        <v>0</v>
      </c>
      <c r="H92" s="906" t="n">
        <v>0</v>
      </c>
      <c r="I92" s="906" t="n">
        <v>0</v>
      </c>
      <c r="J92" s="906" t="n">
        <v>0</v>
      </c>
      <c r="K92" s="906" t="n">
        <v>0</v>
      </c>
      <c r="L92" s="906" t="n">
        <v>0</v>
      </c>
      <c r="M92" s="906" t="n">
        <v>0</v>
      </c>
      <c r="N92" s="907">
        <f>SUM(B92:M92)</f>
        <v/>
      </c>
      <c r="O92" s="906">
        <f>SUM(K92:M92)*4</f>
        <v/>
      </c>
      <c r="P92" s="906">
        <f>IFERROR(N92/$B$20/12,0)</f>
        <v/>
      </c>
      <c r="Q92" s="385">
        <f>IFERROR(N92/N$80,0)</f>
        <v/>
      </c>
      <c r="R92" s="898" t="n"/>
    </row>
    <row r="93">
      <c r="A93" s="382" t="inlineStr">
        <is>
          <t xml:space="preserve">  Maintenance &amp; HK Labor</t>
        </is>
      </c>
      <c r="B93" s="906" t="n">
        <v>0</v>
      </c>
      <c r="C93" s="906" t="n">
        <v>0</v>
      </c>
      <c r="D93" s="906" t="n">
        <v>0</v>
      </c>
      <c r="E93" s="906" t="n">
        <v>0</v>
      </c>
      <c r="F93" s="906" t="n">
        <v>0</v>
      </c>
      <c r="G93" s="906" t="n">
        <v>0</v>
      </c>
      <c r="H93" s="906" t="n">
        <v>0</v>
      </c>
      <c r="I93" s="906" t="n">
        <v>0</v>
      </c>
      <c r="J93" s="906" t="n">
        <v>0</v>
      </c>
      <c r="K93" s="906" t="n">
        <v>0</v>
      </c>
      <c r="L93" s="906" t="n">
        <v>0</v>
      </c>
      <c r="M93" s="906" t="n">
        <v>0</v>
      </c>
      <c r="N93" s="907">
        <f>SUM(B93:M93)</f>
        <v/>
      </c>
      <c r="O93" s="906">
        <f>SUM(K93:M93)*4</f>
        <v/>
      </c>
      <c r="P93" s="906">
        <f>IFERROR(N93/$B$20/12,0)</f>
        <v/>
      </c>
      <c r="Q93" s="385">
        <f>IFERROR(N93/N$80,0)</f>
        <v/>
      </c>
      <c r="R93" s="898" t="n"/>
    </row>
    <row r="94">
      <c r="A94" s="382" t="inlineStr">
        <is>
          <t xml:space="preserve">  Administrative Labor</t>
        </is>
      </c>
      <c r="B94" s="906" t="n">
        <v>0</v>
      </c>
      <c r="C94" s="906" t="n">
        <v>0</v>
      </c>
      <c r="D94" s="906" t="n">
        <v>0</v>
      </c>
      <c r="E94" s="906" t="n">
        <v>0</v>
      </c>
      <c r="F94" s="906" t="n">
        <v>0</v>
      </c>
      <c r="G94" s="906" t="n">
        <v>0</v>
      </c>
      <c r="H94" s="906" t="n">
        <v>0</v>
      </c>
      <c r="I94" s="906" t="n">
        <v>0</v>
      </c>
      <c r="J94" s="906" t="n">
        <v>0</v>
      </c>
      <c r="K94" s="906" t="n">
        <v>0</v>
      </c>
      <c r="L94" s="906" t="n">
        <v>0</v>
      </c>
      <c r="M94" s="906" t="n">
        <v>0</v>
      </c>
      <c r="N94" s="907">
        <f>SUM(B94:M94)</f>
        <v/>
      </c>
      <c r="O94" s="906">
        <f>SUM(K94:M94)*4</f>
        <v/>
      </c>
      <c r="P94" s="906">
        <f>IFERROR(N94/$B$20/12,0)</f>
        <v/>
      </c>
      <c r="Q94" s="385">
        <f>IFERROR(N94/N$80,0)</f>
        <v/>
      </c>
      <c r="R94" s="898" t="n"/>
    </row>
    <row r="95">
      <c r="A95" s="382" t="inlineStr">
        <is>
          <t xml:space="preserve">  Bonus Wages</t>
        </is>
      </c>
      <c r="B95" s="906" t="n">
        <v>0</v>
      </c>
      <c r="C95" s="906" t="n">
        <v>0</v>
      </c>
      <c r="D95" s="906" t="n">
        <v>0</v>
      </c>
      <c r="E95" s="906" t="n">
        <v>0</v>
      </c>
      <c r="F95" s="906" t="n">
        <v>0</v>
      </c>
      <c r="G95" s="906" t="n">
        <v>0</v>
      </c>
      <c r="H95" s="906" t="n">
        <v>0</v>
      </c>
      <c r="I95" s="906" t="n">
        <v>0</v>
      </c>
      <c r="J95" s="906" t="n">
        <v>0</v>
      </c>
      <c r="K95" s="906" t="n">
        <v>0</v>
      </c>
      <c r="L95" s="906" t="n">
        <v>0</v>
      </c>
      <c r="M95" s="906" t="n">
        <v>0</v>
      </c>
      <c r="N95" s="907">
        <f>SUM(B95:M95)</f>
        <v/>
      </c>
      <c r="O95" s="906">
        <f>SUM(K95:M95)*4</f>
        <v/>
      </c>
      <c r="P95" s="906">
        <f>IFERROR(N95/$B$20/12,0)</f>
        <v/>
      </c>
      <c r="Q95" s="385">
        <f>IFERROR(N95/N$80,0)</f>
        <v/>
      </c>
      <c r="R95" s="898" t="n"/>
    </row>
    <row r="96">
      <c r="A96" s="382" t="inlineStr">
        <is>
          <t xml:space="preserve">  Overtime Wages</t>
        </is>
      </c>
      <c r="B96" s="906" t="n">
        <v>0</v>
      </c>
      <c r="C96" s="906" t="n">
        <v>0</v>
      </c>
      <c r="D96" s="906" t="n">
        <v>0</v>
      </c>
      <c r="E96" s="906" t="n">
        <v>0</v>
      </c>
      <c r="F96" s="906" t="n">
        <v>0</v>
      </c>
      <c r="G96" s="906" t="n">
        <v>0</v>
      </c>
      <c r="H96" s="906" t="n">
        <v>0</v>
      </c>
      <c r="I96" s="906" t="n">
        <v>0</v>
      </c>
      <c r="J96" s="906" t="n">
        <v>0</v>
      </c>
      <c r="K96" s="906" t="n">
        <v>0</v>
      </c>
      <c r="L96" s="906" t="n">
        <v>0</v>
      </c>
      <c r="M96" s="906" t="n">
        <v>0</v>
      </c>
      <c r="N96" s="907">
        <f>SUM(B96:M96)</f>
        <v/>
      </c>
      <c r="O96" s="906">
        <f>SUM(K96:M96)*4</f>
        <v/>
      </c>
      <c r="P96" s="906">
        <f>IFERROR(N96/$B$20/12,0)</f>
        <v/>
      </c>
      <c r="Q96" s="385">
        <f>IFERROR(N96/N$80,0)</f>
        <v/>
      </c>
      <c r="R96" s="898" t="inlineStr">
        <is>
          <t>&lt; 6% of labor ✓; &gt; 8% ✗</t>
        </is>
      </c>
    </row>
    <row r="97">
      <c r="A97" s="382" t="inlineStr">
        <is>
          <t xml:space="preserve">  PTO Wages</t>
        </is>
      </c>
      <c r="B97" s="906" t="n">
        <v>0</v>
      </c>
      <c r="C97" s="906" t="n">
        <v>0</v>
      </c>
      <c r="D97" s="906" t="n">
        <v>0</v>
      </c>
      <c r="E97" s="906" t="n">
        <v>0</v>
      </c>
      <c r="F97" s="906" t="n">
        <v>0</v>
      </c>
      <c r="G97" s="906" t="n">
        <v>0</v>
      </c>
      <c r="H97" s="906" t="n">
        <v>0</v>
      </c>
      <c r="I97" s="906" t="n">
        <v>0</v>
      </c>
      <c r="J97" s="906" t="n">
        <v>0</v>
      </c>
      <c r="K97" s="906" t="n">
        <v>0</v>
      </c>
      <c r="L97" s="906" t="n">
        <v>0</v>
      </c>
      <c r="M97" s="906" t="n">
        <v>0</v>
      </c>
      <c r="N97" s="907">
        <f>SUM(B97:M97)</f>
        <v/>
      </c>
      <c r="O97" s="906">
        <f>SUM(K97:M97)*4</f>
        <v/>
      </c>
      <c r="P97" s="906">
        <f>IFERROR(N97/$B$20/12,0)</f>
        <v/>
      </c>
      <c r="Q97" s="385">
        <f>IFERROR(N97/N$80,0)</f>
        <v/>
      </c>
      <c r="R97" s="898" t="n"/>
    </row>
    <row r="98">
      <c r="A98" s="382" t="inlineStr">
        <is>
          <t xml:space="preserve">  Payroll Taxes</t>
        </is>
      </c>
      <c r="B98" s="906" t="n">
        <v>0</v>
      </c>
      <c r="C98" s="906" t="n">
        <v>0</v>
      </c>
      <c r="D98" s="906" t="n">
        <v>0</v>
      </c>
      <c r="E98" s="906" t="n">
        <v>0</v>
      </c>
      <c r="F98" s="906" t="n">
        <v>0</v>
      </c>
      <c r="G98" s="906" t="n">
        <v>0</v>
      </c>
      <c r="H98" s="906" t="n">
        <v>0</v>
      </c>
      <c r="I98" s="906" t="n">
        <v>0</v>
      </c>
      <c r="J98" s="906" t="n">
        <v>0</v>
      </c>
      <c r="K98" s="906" t="n">
        <v>0</v>
      </c>
      <c r="L98" s="906" t="n">
        <v>0</v>
      </c>
      <c r="M98" s="906" t="n">
        <v>0</v>
      </c>
      <c r="N98" s="907">
        <f>SUM(B98:M98)</f>
        <v/>
      </c>
      <c r="O98" s="906">
        <f>SUM(K98:M98)*4</f>
        <v/>
      </c>
      <c r="P98" s="906">
        <f>IFERROR(N98/$B$20/12,0)</f>
        <v/>
      </c>
      <c r="Q98" s="385">
        <f>IFERROR(N98/N$80,0)</f>
        <v/>
      </c>
      <c r="R98" s="898" t="inlineStr">
        <is>
          <t>~7.65% of gross wages</t>
        </is>
      </c>
    </row>
    <row r="99">
      <c r="A99" s="382" t="inlineStr">
        <is>
          <t xml:space="preserve">  Employee Benefits</t>
        </is>
      </c>
      <c r="B99" s="906" t="n">
        <v>0</v>
      </c>
      <c r="C99" s="906" t="n">
        <v>0</v>
      </c>
      <c r="D99" s="906" t="n">
        <v>0</v>
      </c>
      <c r="E99" s="906" t="n">
        <v>0</v>
      </c>
      <c r="F99" s="906" t="n">
        <v>0</v>
      </c>
      <c r="G99" s="906" t="n">
        <v>0</v>
      </c>
      <c r="H99" s="906" t="n">
        <v>0</v>
      </c>
      <c r="I99" s="906" t="n">
        <v>0</v>
      </c>
      <c r="J99" s="906" t="n">
        <v>0</v>
      </c>
      <c r="K99" s="906" t="n">
        <v>0</v>
      </c>
      <c r="L99" s="906" t="n">
        <v>0</v>
      </c>
      <c r="M99" s="906" t="n">
        <v>0</v>
      </c>
      <c r="N99" s="907">
        <f>SUM(B99:M99)</f>
        <v/>
      </c>
      <c r="O99" s="906">
        <f>SUM(K99:M99)*4</f>
        <v/>
      </c>
      <c r="P99" s="906">
        <f>IFERROR(N99/$B$20/12,0)</f>
        <v/>
      </c>
      <c r="Q99" s="385">
        <f>IFERROR(N99/N$80,0)</f>
        <v/>
      </c>
      <c r="R99" s="898" t="n"/>
    </row>
    <row r="100">
      <c r="A100" s="382" t="inlineStr">
        <is>
          <t xml:space="preserve">  Workers' Comp Insurance</t>
        </is>
      </c>
      <c r="B100" s="906" t="n">
        <v>0</v>
      </c>
      <c r="C100" s="906" t="n">
        <v>0</v>
      </c>
      <c r="D100" s="906" t="n">
        <v>0</v>
      </c>
      <c r="E100" s="906" t="n">
        <v>0</v>
      </c>
      <c r="F100" s="906" t="n">
        <v>0</v>
      </c>
      <c r="G100" s="906" t="n">
        <v>0</v>
      </c>
      <c r="H100" s="906" t="n">
        <v>0</v>
      </c>
      <c r="I100" s="906" t="n">
        <v>0</v>
      </c>
      <c r="J100" s="906" t="n">
        <v>0</v>
      </c>
      <c r="K100" s="906" t="n">
        <v>0</v>
      </c>
      <c r="L100" s="906" t="n">
        <v>0</v>
      </c>
      <c r="M100" s="906" t="n">
        <v>0</v>
      </c>
      <c r="N100" s="907">
        <f>SUM(B100:M100)</f>
        <v/>
      </c>
      <c r="O100" s="906">
        <f>SUM(K100:M100)*4</f>
        <v/>
      </c>
      <c r="P100" s="906">
        <f>IFERROR(N100/$B$20/12,0)</f>
        <v/>
      </c>
      <c r="Q100" s="385">
        <f>IFERROR(N100/N$80,0)</f>
        <v/>
      </c>
      <c r="R100" s="898" t="n"/>
    </row>
    <row r="101">
      <c r="A101" s="382" t="inlineStr">
        <is>
          <t xml:space="preserve">  Employee 401(k)</t>
        </is>
      </c>
      <c r="B101" s="906" t="n">
        <v>0</v>
      </c>
      <c r="C101" s="906" t="n">
        <v>0</v>
      </c>
      <c r="D101" s="906" t="n">
        <v>0</v>
      </c>
      <c r="E101" s="906" t="n">
        <v>0</v>
      </c>
      <c r="F101" s="906" t="n">
        <v>0</v>
      </c>
      <c r="G101" s="906" t="n">
        <v>0</v>
      </c>
      <c r="H101" s="906" t="n">
        <v>0</v>
      </c>
      <c r="I101" s="906" t="n">
        <v>0</v>
      </c>
      <c r="J101" s="906" t="n">
        <v>0</v>
      </c>
      <c r="K101" s="906" t="n">
        <v>0</v>
      </c>
      <c r="L101" s="906" t="n">
        <v>0</v>
      </c>
      <c r="M101" s="906" t="n">
        <v>0</v>
      </c>
      <c r="N101" s="907">
        <f>SUM(B101:M101)</f>
        <v/>
      </c>
      <c r="O101" s="906">
        <f>SUM(K101:M101)*4</f>
        <v/>
      </c>
      <c r="P101" s="906">
        <f>IFERROR(N101/$B$20/12,0)</f>
        <v/>
      </c>
      <c r="Q101" s="385">
        <f>IFERROR(N101/N$80,0)</f>
        <v/>
      </c>
      <c r="R101" s="898" t="n"/>
    </row>
    <row r="102">
      <c r="A102" s="393" t="inlineStr">
        <is>
          <t>TOTAL LABOR &amp; BURDEN</t>
        </is>
      </c>
      <c r="B102" s="909">
        <f>SUM(B88:B101)</f>
        <v/>
      </c>
      <c r="C102" s="909">
        <f>SUM(C88:C101)</f>
        <v/>
      </c>
      <c r="D102" s="909">
        <f>SUM(D88:D101)</f>
        <v/>
      </c>
      <c r="E102" s="909">
        <f>SUM(E88:E101)</f>
        <v/>
      </c>
      <c r="F102" s="909">
        <f>SUM(F88:F101)</f>
        <v/>
      </c>
      <c r="G102" s="909">
        <f>SUM(G88:G101)</f>
        <v/>
      </c>
      <c r="H102" s="909">
        <f>SUM(H88:H101)</f>
        <v/>
      </c>
      <c r="I102" s="909">
        <f>SUM(I88:I101)</f>
        <v/>
      </c>
      <c r="J102" s="909">
        <f>SUM(J88:J101)</f>
        <v/>
      </c>
      <c r="K102" s="909">
        <f>SUM(K88:K101)</f>
        <v/>
      </c>
      <c r="L102" s="909">
        <f>SUM(L88:L101)</f>
        <v/>
      </c>
      <c r="M102" s="909">
        <f>SUM(M88:M101)</f>
        <v/>
      </c>
      <c r="N102" s="910">
        <f>SUM(N88:N101)</f>
        <v/>
      </c>
      <c r="O102" s="909">
        <f>SUM(K102:M102)*4</f>
        <v/>
      </c>
      <c r="P102" s="913">
        <f>IFERROR(N102/$B$20/12,0)</f>
        <v/>
      </c>
      <c r="Q102" s="903">
        <f>IFERROR(N102/N$80,0)</f>
        <v/>
      </c>
      <c r="R102" s="898" t="inlineStr">
        <is>
          <t>&lt; 55% EGI ✓; &gt; 60% ✗</t>
        </is>
      </c>
    </row>
    <row r="103">
      <c r="A103" s="899" t="inlineStr">
        <is>
          <t>NON-LABOR OPERATING EXPENSES</t>
        </is>
      </c>
      <c r="B103" s="911" t="n"/>
      <c r="C103" s="911" t="n"/>
      <c r="D103" s="911" t="n"/>
      <c r="E103" s="911" t="n"/>
      <c r="F103" s="911" t="n"/>
      <c r="G103" s="911" t="n"/>
      <c r="H103" s="911" t="n"/>
      <c r="I103" s="911" t="n"/>
      <c r="J103" s="911" t="n"/>
      <c r="K103" s="911" t="n"/>
      <c r="L103" s="911" t="n"/>
      <c r="M103" s="911" t="n"/>
      <c r="N103" s="911" t="n"/>
      <c r="O103" s="911" t="n"/>
      <c r="P103" s="911" t="n"/>
      <c r="Q103" s="900" t="n"/>
      <c r="R103" s="902" t="n"/>
    </row>
    <row r="104">
      <c r="A104" s="382" t="inlineStr">
        <is>
          <t>Food Cost</t>
        </is>
      </c>
      <c r="B104" s="906" t="n">
        <v>0</v>
      </c>
      <c r="C104" s="906" t="n">
        <v>0</v>
      </c>
      <c r="D104" s="906" t="n">
        <v>0</v>
      </c>
      <c r="E104" s="906" t="n">
        <v>0</v>
      </c>
      <c r="F104" s="906" t="n">
        <v>0</v>
      </c>
      <c r="G104" s="906" t="n">
        <v>0</v>
      </c>
      <c r="H104" s="906" t="n">
        <v>0</v>
      </c>
      <c r="I104" s="906" t="n">
        <v>0</v>
      </c>
      <c r="J104" s="906" t="n">
        <v>0</v>
      </c>
      <c r="K104" s="906" t="n">
        <v>0</v>
      </c>
      <c r="L104" s="906" t="n">
        <v>0</v>
      </c>
      <c r="M104" s="906" t="n">
        <v>0</v>
      </c>
      <c r="N104" s="906">
        <f>SUM(B104:M104)</f>
        <v/>
      </c>
      <c r="O104" s="906">
        <f>SUM(K104:M104)*4</f>
        <v/>
      </c>
      <c r="P104" s="906">
        <f>IFERROR(N104/$B$20/12,0)</f>
        <v/>
      </c>
      <c r="Q104" s="385">
        <f>IFERROR(N104/N$80,0)</f>
        <v/>
      </c>
      <c r="R104" s="898" t="inlineStr">
        <is>
          <t>&lt; $200/bed/mo ✓; &gt; $250 ✗</t>
        </is>
      </c>
    </row>
    <row r="105">
      <c r="A105" s="382" t="inlineStr">
        <is>
          <t xml:space="preserve">  Dining &amp; Kitchen Supplies</t>
        </is>
      </c>
      <c r="B105" s="906" t="n">
        <v>0</v>
      </c>
      <c r="C105" s="906" t="n">
        <v>0</v>
      </c>
      <c r="D105" s="906" t="n">
        <v>0</v>
      </c>
      <c r="E105" s="906" t="n">
        <v>0</v>
      </c>
      <c r="F105" s="906" t="n">
        <v>0</v>
      </c>
      <c r="G105" s="906" t="n">
        <v>0</v>
      </c>
      <c r="H105" s="906" t="n">
        <v>0</v>
      </c>
      <c r="I105" s="906" t="n">
        <v>0</v>
      </c>
      <c r="J105" s="906" t="n">
        <v>0</v>
      </c>
      <c r="K105" s="906" t="n">
        <v>0</v>
      </c>
      <c r="L105" s="906" t="n">
        <v>0</v>
      </c>
      <c r="M105" s="906" t="n">
        <v>0</v>
      </c>
      <c r="N105" s="906">
        <f>SUM(B105:M105)</f>
        <v/>
      </c>
      <c r="O105" s="906">
        <f>SUM(K105:M105)*4</f>
        <v/>
      </c>
      <c r="P105" s="906">
        <f>IFERROR(N105/$B$20/12,0)</f>
        <v/>
      </c>
      <c r="Q105" s="385">
        <f>IFERROR(N105/N$80,0)</f>
        <v/>
      </c>
      <c r="R105" s="898" t="n"/>
    </row>
    <row r="106">
      <c r="A106" s="382" t="inlineStr">
        <is>
          <t xml:space="preserve">  Nursing &amp; Care Supplies</t>
        </is>
      </c>
      <c r="B106" s="906" t="n">
        <v>0</v>
      </c>
      <c r="C106" s="906" t="n">
        <v>0</v>
      </c>
      <c r="D106" s="906" t="n">
        <v>0</v>
      </c>
      <c r="E106" s="906" t="n">
        <v>0</v>
      </c>
      <c r="F106" s="906" t="n">
        <v>0</v>
      </c>
      <c r="G106" s="906" t="n">
        <v>0</v>
      </c>
      <c r="H106" s="906" t="n">
        <v>0</v>
      </c>
      <c r="I106" s="906" t="n">
        <v>0</v>
      </c>
      <c r="J106" s="906" t="n">
        <v>0</v>
      </c>
      <c r="K106" s="906" t="n">
        <v>0</v>
      </c>
      <c r="L106" s="906" t="n">
        <v>0</v>
      </c>
      <c r="M106" s="906" t="n">
        <v>0</v>
      </c>
      <c r="N106" s="906">
        <f>SUM(B106:M106)</f>
        <v/>
      </c>
      <c r="O106" s="906">
        <f>SUM(K106:M106)*4</f>
        <v/>
      </c>
      <c r="P106" s="906">
        <f>IFERROR(N106/$B$20/12,0)</f>
        <v/>
      </c>
      <c r="Q106" s="385">
        <f>IFERROR(N106/N$80,0)</f>
        <v/>
      </c>
      <c r="R106" s="898" t="n"/>
    </row>
    <row r="107">
      <c r="A107" s="382" t="inlineStr">
        <is>
          <t xml:space="preserve">  Recreation Supplies</t>
        </is>
      </c>
      <c r="B107" s="906" t="n">
        <v>0</v>
      </c>
      <c r="C107" s="906" t="n">
        <v>0</v>
      </c>
      <c r="D107" s="906" t="n">
        <v>0</v>
      </c>
      <c r="E107" s="906" t="n">
        <v>0</v>
      </c>
      <c r="F107" s="906" t="n">
        <v>0</v>
      </c>
      <c r="G107" s="906" t="n">
        <v>0</v>
      </c>
      <c r="H107" s="906" t="n">
        <v>0</v>
      </c>
      <c r="I107" s="906" t="n">
        <v>0</v>
      </c>
      <c r="J107" s="906" t="n">
        <v>0</v>
      </c>
      <c r="K107" s="906" t="n">
        <v>0</v>
      </c>
      <c r="L107" s="906" t="n">
        <v>0</v>
      </c>
      <c r="M107" s="906" t="n">
        <v>0</v>
      </c>
      <c r="N107" s="906">
        <f>SUM(B107:M107)</f>
        <v/>
      </c>
      <c r="O107" s="906">
        <f>SUM(K107:M107)*4</f>
        <v/>
      </c>
      <c r="P107" s="906">
        <f>IFERROR(N107/$B$20/12,0)</f>
        <v/>
      </c>
      <c r="Q107" s="385">
        <f>IFERROR(N107/N$80,0)</f>
        <v/>
      </c>
      <c r="R107" s="898" t="n"/>
    </row>
    <row r="108">
      <c r="A108" s="382" t="inlineStr">
        <is>
          <t>R&amp;M — Fixed</t>
        </is>
      </c>
      <c r="B108" s="906" t="n">
        <v>0</v>
      </c>
      <c r="C108" s="906" t="n">
        <v>0</v>
      </c>
      <c r="D108" s="906" t="n">
        <v>0</v>
      </c>
      <c r="E108" s="906" t="n">
        <v>0</v>
      </c>
      <c r="F108" s="906" t="n">
        <v>0</v>
      </c>
      <c r="G108" s="906" t="n">
        <v>0</v>
      </c>
      <c r="H108" s="906" t="n">
        <v>0</v>
      </c>
      <c r="I108" s="906" t="n">
        <v>0</v>
      </c>
      <c r="J108" s="906" t="n">
        <v>0</v>
      </c>
      <c r="K108" s="906" t="n">
        <v>0</v>
      </c>
      <c r="L108" s="906" t="n">
        <v>0</v>
      </c>
      <c r="M108" s="906" t="n">
        <v>0</v>
      </c>
      <c r="N108" s="906">
        <f>SUM(B108:M108)</f>
        <v/>
      </c>
      <c r="O108" s="906">
        <f>SUM(K108:M108)*4</f>
        <v/>
      </c>
      <c r="P108" s="906">
        <f>IFERROR(N108/$B$20/12,0)</f>
        <v/>
      </c>
      <c r="Q108" s="385">
        <f>IFERROR(N108/N$80,0)</f>
        <v/>
      </c>
      <c r="R108" s="898" t="n"/>
    </row>
    <row r="109">
      <c r="A109" s="382" t="inlineStr">
        <is>
          <t xml:space="preserve">  R&amp;M — Variable</t>
        </is>
      </c>
      <c r="B109" s="906" t="n">
        <v>0</v>
      </c>
      <c r="C109" s="906" t="n">
        <v>0</v>
      </c>
      <c r="D109" s="906" t="n">
        <v>0</v>
      </c>
      <c r="E109" s="906" t="n">
        <v>0</v>
      </c>
      <c r="F109" s="906" t="n">
        <v>0</v>
      </c>
      <c r="G109" s="906" t="n">
        <v>0</v>
      </c>
      <c r="H109" s="906" t="n">
        <v>0</v>
      </c>
      <c r="I109" s="906" t="n">
        <v>0</v>
      </c>
      <c r="J109" s="906" t="n">
        <v>0</v>
      </c>
      <c r="K109" s="906" t="n">
        <v>0</v>
      </c>
      <c r="L109" s="906" t="n">
        <v>0</v>
      </c>
      <c r="M109" s="906" t="n">
        <v>0</v>
      </c>
      <c r="N109" s="906">
        <f>SUM(B109:M109)</f>
        <v/>
      </c>
      <c r="O109" s="906">
        <f>SUM(K109:M109)*4</f>
        <v/>
      </c>
      <c r="P109" s="906">
        <f>IFERROR(N109/$B$20/12,0)</f>
        <v/>
      </c>
      <c r="Q109" s="385">
        <f>IFERROR(N109/N$80,0)</f>
        <v/>
      </c>
      <c r="R109" s="898" t="n"/>
    </row>
    <row r="110">
      <c r="A110" s="382" t="inlineStr">
        <is>
          <t xml:space="preserve">  HK &amp; Laundry Supplies</t>
        </is>
      </c>
      <c r="B110" s="906" t="n">
        <v>0</v>
      </c>
      <c r="C110" s="906" t="n">
        <v>0</v>
      </c>
      <c r="D110" s="906" t="n">
        <v>0</v>
      </c>
      <c r="E110" s="906" t="n">
        <v>0</v>
      </c>
      <c r="F110" s="906" t="n">
        <v>0</v>
      </c>
      <c r="G110" s="906" t="n">
        <v>0</v>
      </c>
      <c r="H110" s="906" t="n">
        <v>0</v>
      </c>
      <c r="I110" s="906" t="n">
        <v>0</v>
      </c>
      <c r="J110" s="906" t="n">
        <v>0</v>
      </c>
      <c r="K110" s="906" t="n">
        <v>0</v>
      </c>
      <c r="L110" s="906" t="n">
        <v>0</v>
      </c>
      <c r="M110" s="906" t="n">
        <v>0</v>
      </c>
      <c r="N110" s="906">
        <f>SUM(B110:M110)</f>
        <v/>
      </c>
      <c r="O110" s="906">
        <f>SUM(K110:M110)*4</f>
        <v/>
      </c>
      <c r="P110" s="906">
        <f>IFERROR(N110/$B$20/12,0)</f>
        <v/>
      </c>
      <c r="Q110" s="385">
        <f>IFERROR(N110/N$80,0)</f>
        <v/>
      </c>
      <c r="R110" s="898" t="n"/>
    </row>
    <row r="111">
      <c r="A111" s="382" t="inlineStr">
        <is>
          <t>Sales, Adv. &amp; Marketing</t>
        </is>
      </c>
      <c r="B111" s="906" t="n">
        <v>0</v>
      </c>
      <c r="C111" s="906" t="n">
        <v>0</v>
      </c>
      <c r="D111" s="906" t="n">
        <v>0</v>
      </c>
      <c r="E111" s="906" t="n">
        <v>0</v>
      </c>
      <c r="F111" s="906" t="n">
        <v>0</v>
      </c>
      <c r="G111" s="906" t="n">
        <v>0</v>
      </c>
      <c r="H111" s="906" t="n">
        <v>0</v>
      </c>
      <c r="I111" s="906" t="n">
        <v>0</v>
      </c>
      <c r="J111" s="906" t="n">
        <v>0</v>
      </c>
      <c r="K111" s="906" t="n">
        <v>0</v>
      </c>
      <c r="L111" s="906" t="n">
        <v>0</v>
      </c>
      <c r="M111" s="906" t="n">
        <v>0</v>
      </c>
      <c r="N111" s="906">
        <f>SUM(B111:M111)</f>
        <v/>
      </c>
      <c r="O111" s="906">
        <f>SUM(K111:M111)*4</f>
        <v/>
      </c>
      <c r="P111" s="906">
        <f>IFERROR(N111/$B$20/12,0)</f>
        <v/>
      </c>
      <c r="Q111" s="385">
        <f>IFERROR(N111/N$80,0)</f>
        <v/>
      </c>
      <c r="R111" s="898" t="n"/>
    </row>
    <row r="112">
      <c r="A112" s="382" t="inlineStr">
        <is>
          <t xml:space="preserve">  Referral Fees</t>
        </is>
      </c>
      <c r="B112" s="906" t="n">
        <v>0</v>
      </c>
      <c r="C112" s="906" t="n">
        <v>0</v>
      </c>
      <c r="D112" s="906" t="n">
        <v>0</v>
      </c>
      <c r="E112" s="906" t="n">
        <v>0</v>
      </c>
      <c r="F112" s="906" t="n">
        <v>0</v>
      </c>
      <c r="G112" s="906" t="n">
        <v>0</v>
      </c>
      <c r="H112" s="906" t="n">
        <v>0</v>
      </c>
      <c r="I112" s="906" t="n">
        <v>0</v>
      </c>
      <c r="J112" s="906" t="n">
        <v>0</v>
      </c>
      <c r="K112" s="906" t="n">
        <v>0</v>
      </c>
      <c r="L112" s="906" t="n">
        <v>0</v>
      </c>
      <c r="M112" s="906" t="n">
        <v>0</v>
      </c>
      <c r="N112" s="906">
        <f>SUM(B112:M112)</f>
        <v/>
      </c>
      <c r="O112" s="906">
        <f>SUM(K112:M112)*4</f>
        <v/>
      </c>
      <c r="P112" s="906">
        <f>IFERROR(N112/$B$20/12,0)</f>
        <v/>
      </c>
      <c r="Q112" s="385">
        <f>IFERROR(N112/N$80,0)</f>
        <v/>
      </c>
      <c r="R112" s="898" t="inlineStr">
        <is>
          <t>&lt; 3% EGI ✓; &gt; 5% ✗</t>
        </is>
      </c>
    </row>
    <row r="113">
      <c r="A113" s="382" t="inlineStr">
        <is>
          <t>Utilities</t>
        </is>
      </c>
      <c r="B113" s="906" t="n">
        <v>0</v>
      </c>
      <c r="C113" s="906" t="n">
        <v>0</v>
      </c>
      <c r="D113" s="906" t="n">
        <v>0</v>
      </c>
      <c r="E113" s="906" t="n">
        <v>0</v>
      </c>
      <c r="F113" s="906" t="n">
        <v>0</v>
      </c>
      <c r="G113" s="906" t="n">
        <v>0</v>
      </c>
      <c r="H113" s="906" t="n">
        <v>0</v>
      </c>
      <c r="I113" s="906" t="n">
        <v>0</v>
      </c>
      <c r="J113" s="906" t="n">
        <v>0</v>
      </c>
      <c r="K113" s="906" t="n">
        <v>0</v>
      </c>
      <c r="L113" s="906" t="n">
        <v>0</v>
      </c>
      <c r="M113" s="906" t="n">
        <v>0</v>
      </c>
      <c r="N113" s="906">
        <f>SUM(B113:M113)</f>
        <v/>
      </c>
      <c r="O113" s="906">
        <f>SUM(K113:M113)*4</f>
        <v/>
      </c>
      <c r="P113" s="906">
        <f>IFERROR(N113/$B$20/12,0)</f>
        <v/>
      </c>
      <c r="Q113" s="385">
        <f>IFERROR(N113/N$80,0)</f>
        <v/>
      </c>
      <c r="R113" s="898" t="n"/>
    </row>
    <row r="114">
      <c r="A114" s="382" t="inlineStr">
        <is>
          <t xml:space="preserve">  Telephone / IT</t>
        </is>
      </c>
      <c r="B114" s="906" t="n">
        <v>0</v>
      </c>
      <c r="C114" s="906" t="n">
        <v>0</v>
      </c>
      <c r="D114" s="906" t="n">
        <v>0</v>
      </c>
      <c r="E114" s="906" t="n">
        <v>0</v>
      </c>
      <c r="F114" s="906" t="n">
        <v>0</v>
      </c>
      <c r="G114" s="906" t="n">
        <v>0</v>
      </c>
      <c r="H114" s="906" t="n">
        <v>0</v>
      </c>
      <c r="I114" s="906" t="n">
        <v>0</v>
      </c>
      <c r="J114" s="906" t="n">
        <v>0</v>
      </c>
      <c r="K114" s="906" t="n">
        <v>0</v>
      </c>
      <c r="L114" s="906" t="n">
        <v>0</v>
      </c>
      <c r="M114" s="906" t="n">
        <v>0</v>
      </c>
      <c r="N114" s="906">
        <f>SUM(B114:M114)</f>
        <v/>
      </c>
      <c r="O114" s="906">
        <f>SUM(K114:M114)*4</f>
        <v/>
      </c>
      <c r="P114" s="906">
        <f>IFERROR(N114/$B$20/12,0)</f>
        <v/>
      </c>
      <c r="Q114" s="385">
        <f>IFERROR(N114/N$80,0)</f>
        <v/>
      </c>
      <c r="R114" s="898" t="n"/>
    </row>
    <row r="115">
      <c r="A115" s="382" t="inlineStr">
        <is>
          <t>P&amp;C Insurance</t>
        </is>
      </c>
      <c r="B115" s="906" t="n">
        <v>0</v>
      </c>
      <c r="C115" s="906" t="n">
        <v>0</v>
      </c>
      <c r="D115" s="906" t="n">
        <v>0</v>
      </c>
      <c r="E115" s="906" t="n">
        <v>0</v>
      </c>
      <c r="F115" s="906" t="n">
        <v>0</v>
      </c>
      <c r="G115" s="906" t="n">
        <v>0</v>
      </c>
      <c r="H115" s="906" t="n">
        <v>0</v>
      </c>
      <c r="I115" s="906" t="n">
        <v>0</v>
      </c>
      <c r="J115" s="906" t="n">
        <v>0</v>
      </c>
      <c r="K115" s="906" t="n">
        <v>0</v>
      </c>
      <c r="L115" s="906" t="n">
        <v>0</v>
      </c>
      <c r="M115" s="906" t="n">
        <v>0</v>
      </c>
      <c r="N115" s="906">
        <f>SUM(B115:M115)</f>
        <v/>
      </c>
      <c r="O115" s="906">
        <f>SUM(K115:M115)*4</f>
        <v/>
      </c>
      <c r="P115" s="906">
        <f>IFERROR(N115/$B$20/12,0)</f>
        <v/>
      </c>
      <c r="Q115" s="385">
        <f>IFERROR(N115/N$80,0)</f>
        <v/>
      </c>
      <c r="R115" s="898" t="n"/>
    </row>
    <row r="116">
      <c r="A116" s="382" t="inlineStr">
        <is>
          <t xml:space="preserve">  Auto Insurance</t>
        </is>
      </c>
      <c r="B116" s="906" t="n">
        <v>0</v>
      </c>
      <c r="C116" s="906" t="n">
        <v>0</v>
      </c>
      <c r="D116" s="906" t="n">
        <v>0</v>
      </c>
      <c r="E116" s="906" t="n">
        <v>0</v>
      </c>
      <c r="F116" s="906" t="n">
        <v>0</v>
      </c>
      <c r="G116" s="906" t="n">
        <v>0</v>
      </c>
      <c r="H116" s="906" t="n">
        <v>0</v>
      </c>
      <c r="I116" s="906" t="n">
        <v>0</v>
      </c>
      <c r="J116" s="906" t="n">
        <v>0</v>
      </c>
      <c r="K116" s="906" t="n">
        <v>0</v>
      </c>
      <c r="L116" s="906" t="n">
        <v>0</v>
      </c>
      <c r="M116" s="906" t="n">
        <v>0</v>
      </c>
      <c r="N116" s="906">
        <f>SUM(B116:M116)</f>
        <v/>
      </c>
      <c r="O116" s="906">
        <f>SUM(K116:M116)*4</f>
        <v/>
      </c>
      <c r="P116" s="906">
        <f>IFERROR(N116/$B$20/12,0)</f>
        <v/>
      </c>
      <c r="Q116" s="385">
        <f>IFERROR(N116/N$80,0)</f>
        <v/>
      </c>
      <c r="R116" s="898" t="n"/>
    </row>
    <row r="117">
      <c r="A117" s="382" t="inlineStr">
        <is>
          <t xml:space="preserve">  Auto Expense</t>
        </is>
      </c>
      <c r="B117" s="906" t="n"/>
      <c r="C117" s="906" t="n"/>
      <c r="D117" s="906" t="n"/>
      <c r="E117" s="906" t="n"/>
      <c r="F117" s="906" t="n"/>
      <c r="G117" s="906" t="n"/>
      <c r="H117" s="906" t="n"/>
      <c r="I117" s="906" t="n"/>
      <c r="J117" s="906" t="n"/>
      <c r="K117" s="906" t="n"/>
      <c r="L117" s="906" t="n"/>
      <c r="M117" s="906" t="n"/>
      <c r="N117" s="906" t="n"/>
      <c r="O117" s="906" t="n"/>
      <c r="P117" s="906" t="n"/>
      <c r="Q117" s="385" t="n"/>
      <c r="R117" s="898" t="n"/>
    </row>
    <row r="118">
      <c r="A118" s="382" t="inlineStr">
        <is>
          <t xml:space="preserve">  Fire / Security Monitoring</t>
        </is>
      </c>
      <c r="B118" s="906" t="n">
        <v>0</v>
      </c>
      <c r="C118" s="906" t="n">
        <v>0</v>
      </c>
      <c r="D118" s="906" t="n">
        <v>0</v>
      </c>
      <c r="E118" s="906" t="n">
        <v>0</v>
      </c>
      <c r="F118" s="906" t="n">
        <v>0</v>
      </c>
      <c r="G118" s="906" t="n">
        <v>0</v>
      </c>
      <c r="H118" s="906" t="n">
        <v>0</v>
      </c>
      <c r="I118" s="906" t="n">
        <v>0</v>
      </c>
      <c r="J118" s="906" t="n">
        <v>0</v>
      </c>
      <c r="K118" s="906" t="n">
        <v>0</v>
      </c>
      <c r="L118" s="906" t="n">
        <v>0</v>
      </c>
      <c r="M118" s="906" t="n">
        <v>0</v>
      </c>
      <c r="N118" s="906">
        <f>SUM(B118:M118)</f>
        <v/>
      </c>
      <c r="O118" s="906">
        <f>SUM(K118:M118)*4</f>
        <v/>
      </c>
      <c r="P118" s="906">
        <f>IFERROR(N118/$B$20/12,0)</f>
        <v/>
      </c>
      <c r="Q118" s="385">
        <f>IFERROR(N118/N$80,0)</f>
        <v/>
      </c>
      <c r="R118" s="898" t="n"/>
    </row>
    <row r="119">
      <c r="A119" s="382" t="inlineStr">
        <is>
          <t xml:space="preserve">  Pest Elimination</t>
        </is>
      </c>
      <c r="B119" s="906" t="n">
        <v>0</v>
      </c>
      <c r="C119" s="906" t="n">
        <v>0</v>
      </c>
      <c r="D119" s="906" t="n">
        <v>0</v>
      </c>
      <c r="E119" s="906" t="n">
        <v>0</v>
      </c>
      <c r="F119" s="906" t="n">
        <v>0</v>
      </c>
      <c r="G119" s="906" t="n">
        <v>0</v>
      </c>
      <c r="H119" s="906" t="n">
        <v>0</v>
      </c>
      <c r="I119" s="906" t="n">
        <v>0</v>
      </c>
      <c r="J119" s="906" t="n">
        <v>0</v>
      </c>
      <c r="K119" s="906" t="n">
        <v>0</v>
      </c>
      <c r="L119" s="906" t="n">
        <v>0</v>
      </c>
      <c r="M119" s="906" t="n">
        <v>0</v>
      </c>
      <c r="N119" s="906">
        <f>SUM(B119:M119)</f>
        <v/>
      </c>
      <c r="O119" s="906">
        <f>SUM(K119:M119)*4</f>
        <v/>
      </c>
      <c r="P119" s="906">
        <f>IFERROR(N119/$B$20/12,0)</f>
        <v/>
      </c>
      <c r="Q119" s="385">
        <f>IFERROR(N119/N$80,0)</f>
        <v/>
      </c>
      <c r="R119" s="898" t="n"/>
    </row>
    <row r="120">
      <c r="A120" s="382" t="inlineStr">
        <is>
          <t>Real Estate Taxes</t>
        </is>
      </c>
      <c r="B120" s="906" t="n">
        <v>0</v>
      </c>
      <c r="C120" s="906" t="n">
        <v>0</v>
      </c>
      <c r="D120" s="906" t="n">
        <v>0</v>
      </c>
      <c r="E120" s="906" t="n">
        <v>0</v>
      </c>
      <c r="F120" s="906" t="n">
        <v>0</v>
      </c>
      <c r="G120" s="906" t="n">
        <v>0</v>
      </c>
      <c r="H120" s="906" t="n">
        <v>0</v>
      </c>
      <c r="I120" s="906" t="n">
        <v>0</v>
      </c>
      <c r="J120" s="906" t="n">
        <v>0</v>
      </c>
      <c r="K120" s="906" t="n">
        <v>0</v>
      </c>
      <c r="L120" s="906" t="n">
        <v>0</v>
      </c>
      <c r="M120" s="906" t="n">
        <v>0</v>
      </c>
      <c r="N120" s="906">
        <f>SUM(B120:M120)</f>
        <v/>
      </c>
      <c r="O120" s="906">
        <f>SUM(K120:M120)*4</f>
        <v/>
      </c>
      <c r="P120" s="906">
        <f>IFERROR(N120/$B$20/12,0)</f>
        <v/>
      </c>
      <c r="Q120" s="385">
        <f>IFERROR(N120/N$80,0)</f>
        <v/>
      </c>
      <c r="R120" s="898" t="n"/>
    </row>
    <row r="121">
      <c r="A121" s="382" t="inlineStr">
        <is>
          <t xml:space="preserve">  Personal Property Taxes</t>
        </is>
      </c>
      <c r="B121" s="906" t="n">
        <v>0</v>
      </c>
      <c r="C121" s="906" t="n">
        <v>0</v>
      </c>
      <c r="D121" s="906" t="n">
        <v>0</v>
      </c>
      <c r="E121" s="906" t="n">
        <v>0</v>
      </c>
      <c r="F121" s="906" t="n">
        <v>0</v>
      </c>
      <c r="G121" s="906" t="n">
        <v>0</v>
      </c>
      <c r="H121" s="906" t="n">
        <v>0</v>
      </c>
      <c r="I121" s="906" t="n">
        <v>0</v>
      </c>
      <c r="J121" s="906" t="n">
        <v>0</v>
      </c>
      <c r="K121" s="906" t="n">
        <v>0</v>
      </c>
      <c r="L121" s="906" t="n">
        <v>0</v>
      </c>
      <c r="M121" s="906" t="n">
        <v>0</v>
      </c>
      <c r="N121" s="906">
        <f>SUM(B121:M121)</f>
        <v/>
      </c>
      <c r="O121" s="906">
        <f>SUM(K121:M121)*4</f>
        <v/>
      </c>
      <c r="P121" s="906">
        <f>IFERROR(N121/$B$20/12,0)</f>
        <v/>
      </c>
      <c r="Q121" s="385">
        <f>IFERROR(N121/N$80,0)</f>
        <v/>
      </c>
      <c r="R121" s="898" t="n"/>
    </row>
    <row r="122">
      <c r="A122" s="382" t="inlineStr">
        <is>
          <t xml:space="preserve">  Legal Expenses</t>
        </is>
      </c>
      <c r="B122" s="906" t="n">
        <v>0</v>
      </c>
      <c r="C122" s="906" t="n">
        <v>0</v>
      </c>
      <c r="D122" s="906" t="n">
        <v>0</v>
      </c>
      <c r="E122" s="906" t="n">
        <v>0</v>
      </c>
      <c r="F122" s="906" t="n">
        <v>0</v>
      </c>
      <c r="G122" s="906" t="n">
        <v>0</v>
      </c>
      <c r="H122" s="906" t="n">
        <v>0</v>
      </c>
      <c r="I122" s="906" t="n">
        <v>0</v>
      </c>
      <c r="J122" s="906" t="n">
        <v>0</v>
      </c>
      <c r="K122" s="906" t="n">
        <v>0</v>
      </c>
      <c r="L122" s="906" t="n">
        <v>0</v>
      </c>
      <c r="M122" s="906" t="n">
        <v>0</v>
      </c>
      <c r="N122" s="906">
        <f>SUM(B122:M122)</f>
        <v/>
      </c>
      <c r="O122" s="906">
        <f>SUM(K122:M122)*4</f>
        <v/>
      </c>
      <c r="P122" s="906">
        <f>IFERROR(N122/$B$20/12,0)</f>
        <v/>
      </c>
      <c r="Q122" s="385">
        <f>IFERROR(N122/N$80,0)</f>
        <v/>
      </c>
      <c r="R122" s="898" t="n"/>
    </row>
    <row r="123">
      <c r="A123" s="382" t="inlineStr">
        <is>
          <t xml:space="preserve">  Professional Services</t>
        </is>
      </c>
      <c r="B123" s="906" t="n">
        <v>0</v>
      </c>
      <c r="C123" s="906" t="n">
        <v>0</v>
      </c>
      <c r="D123" s="906" t="n">
        <v>0</v>
      </c>
      <c r="E123" s="906" t="n">
        <v>0</v>
      </c>
      <c r="F123" s="906" t="n">
        <v>0</v>
      </c>
      <c r="G123" s="906" t="n">
        <v>0</v>
      </c>
      <c r="H123" s="906" t="n">
        <v>0</v>
      </c>
      <c r="I123" s="906" t="n">
        <v>0</v>
      </c>
      <c r="J123" s="906" t="n">
        <v>0</v>
      </c>
      <c r="K123" s="906" t="n">
        <v>0</v>
      </c>
      <c r="L123" s="906" t="n">
        <v>0</v>
      </c>
      <c r="M123" s="906" t="n">
        <v>0</v>
      </c>
      <c r="N123" s="906">
        <f>SUM(B123:M123)</f>
        <v/>
      </c>
      <c r="O123" s="906">
        <f>SUM(K123:M123)*4</f>
        <v/>
      </c>
      <c r="P123" s="906">
        <f>IFERROR(N123/$B$20/12,0)</f>
        <v/>
      </c>
      <c r="Q123" s="385">
        <f>IFERROR(N123/N$80,0)</f>
        <v/>
      </c>
      <c r="R123" s="898" t="n"/>
    </row>
    <row r="124">
      <c r="A124" s="382" t="inlineStr">
        <is>
          <t>Bad Debt Expense</t>
        </is>
      </c>
      <c r="B124" s="914" t="n"/>
      <c r="C124" s="914" t="n"/>
      <c r="D124" s="914" t="n"/>
      <c r="E124" s="914" t="n"/>
      <c r="F124" s="914" t="n"/>
      <c r="G124" s="914" t="n"/>
      <c r="H124" s="914" t="n"/>
      <c r="I124" s="914" t="n"/>
      <c r="J124" s="914" t="n"/>
      <c r="K124" s="914" t="n"/>
      <c r="L124" s="914" t="n"/>
      <c r="M124" s="914" t="n"/>
      <c r="N124" s="914" t="n"/>
      <c r="O124" s="914" t="n"/>
      <c r="P124" s="914" t="n"/>
      <c r="R124" s="844" t="n"/>
    </row>
    <row r="125">
      <c r="A125" s="382" t="inlineStr">
        <is>
          <t xml:space="preserve">  Permits, Licenses &amp; Dues</t>
        </is>
      </c>
      <c r="B125" s="906" t="n">
        <v>0</v>
      </c>
      <c r="C125" s="906" t="n">
        <v>0</v>
      </c>
      <c r="D125" s="906" t="n">
        <v>0</v>
      </c>
      <c r="E125" s="906" t="n">
        <v>0</v>
      </c>
      <c r="F125" s="906" t="n">
        <v>0</v>
      </c>
      <c r="G125" s="906" t="n">
        <v>0</v>
      </c>
      <c r="H125" s="906" t="n">
        <v>0</v>
      </c>
      <c r="I125" s="906" t="n">
        <v>0</v>
      </c>
      <c r="J125" s="906" t="n">
        <v>0</v>
      </c>
      <c r="K125" s="906" t="n">
        <v>0</v>
      </c>
      <c r="L125" s="906" t="n">
        <v>0</v>
      </c>
      <c r="M125" s="906" t="n">
        <v>0</v>
      </c>
      <c r="N125" s="906">
        <f>SUM(B125:M125)</f>
        <v/>
      </c>
      <c r="O125" s="906">
        <f>SUM(K125:M125)*4</f>
        <v/>
      </c>
      <c r="P125" s="906">
        <f>IFERROR(N125/$B$20/12,0)</f>
        <v/>
      </c>
      <c r="Q125" s="385">
        <f>IFERROR(N125/N$80,0)</f>
        <v/>
      </c>
      <c r="R125" s="898" t="n"/>
    </row>
    <row r="126">
      <c r="A126" s="382" t="inlineStr">
        <is>
          <t>Office, Admin &amp; G&amp;A</t>
        </is>
      </c>
      <c r="B126" s="906" t="n">
        <v>0</v>
      </c>
      <c r="C126" s="906" t="n">
        <v>0</v>
      </c>
      <c r="D126" s="906" t="n">
        <v>0</v>
      </c>
      <c r="E126" s="906" t="n">
        <v>0</v>
      </c>
      <c r="F126" s="906" t="n">
        <v>0</v>
      </c>
      <c r="G126" s="906" t="n">
        <v>0</v>
      </c>
      <c r="H126" s="906" t="n">
        <v>0</v>
      </c>
      <c r="I126" s="906" t="n">
        <v>0</v>
      </c>
      <c r="J126" s="906" t="n">
        <v>0</v>
      </c>
      <c r="K126" s="906" t="n">
        <v>0</v>
      </c>
      <c r="L126" s="906" t="n">
        <v>0</v>
      </c>
      <c r="M126" s="906" t="n">
        <v>0</v>
      </c>
      <c r="N126" s="906">
        <f>SUM(B126:M126)</f>
        <v/>
      </c>
      <c r="O126" s="906">
        <f>SUM(K126:M126)*4</f>
        <v/>
      </c>
      <c r="P126" s="906">
        <f>IFERROR(N126/$B$20/12,0)</f>
        <v/>
      </c>
      <c r="Q126" s="385">
        <f>IFERROR(N126/N$80,0)</f>
        <v/>
      </c>
      <c r="R126" s="898" t="n"/>
    </row>
    <row r="127">
      <c r="A127" s="382" t="inlineStr">
        <is>
          <t xml:space="preserve">  Other / Miscellaneous</t>
        </is>
      </c>
      <c r="B127" s="906" t="n">
        <v>0</v>
      </c>
      <c r="C127" s="906" t="n">
        <v>0</v>
      </c>
      <c r="D127" s="906" t="n">
        <v>0</v>
      </c>
      <c r="E127" s="906" t="n">
        <v>0</v>
      </c>
      <c r="F127" s="906" t="n">
        <v>0</v>
      </c>
      <c r="G127" s="906" t="n">
        <v>0</v>
      </c>
      <c r="H127" s="906" t="n">
        <v>0</v>
      </c>
      <c r="I127" s="906" t="n">
        <v>0</v>
      </c>
      <c r="J127" s="906" t="n">
        <v>0</v>
      </c>
      <c r="K127" s="906" t="n">
        <v>0</v>
      </c>
      <c r="L127" s="906" t="n">
        <v>0</v>
      </c>
      <c r="M127" s="906" t="n">
        <v>0</v>
      </c>
      <c r="N127" s="906">
        <f>SUM(B127:M127)</f>
        <v/>
      </c>
      <c r="O127" s="906">
        <f>SUM(K127:M127)*4</f>
        <v/>
      </c>
      <c r="P127" s="906">
        <f>IFERROR(N127/$B$20/12,0)</f>
        <v/>
      </c>
      <c r="Q127" s="385">
        <f>IFERROR(N127/N$80,0)</f>
        <v/>
      </c>
      <c r="R127" s="898" t="n"/>
    </row>
    <row r="128">
      <c r="A128" s="382" t="inlineStr">
        <is>
          <t xml:space="preserve">  Lease / Ground Lease</t>
        </is>
      </c>
      <c r="B128" s="906" t="n">
        <v>0</v>
      </c>
      <c r="C128" s="906" t="n">
        <v>0</v>
      </c>
      <c r="D128" s="906" t="n">
        <v>0</v>
      </c>
      <c r="E128" s="906" t="n">
        <v>0</v>
      </c>
      <c r="F128" s="906" t="n">
        <v>0</v>
      </c>
      <c r="G128" s="906" t="n">
        <v>0</v>
      </c>
      <c r="H128" s="906" t="n">
        <v>0</v>
      </c>
      <c r="I128" s="906" t="n">
        <v>0</v>
      </c>
      <c r="J128" s="906" t="n">
        <v>0</v>
      </c>
      <c r="K128" s="906" t="n">
        <v>0</v>
      </c>
      <c r="L128" s="906" t="n">
        <v>0</v>
      </c>
      <c r="M128" s="906" t="n">
        <v>0</v>
      </c>
      <c r="N128" s="906">
        <f>SUM(B128:M128)</f>
        <v/>
      </c>
      <c r="O128" s="906">
        <f>SUM(K128:M128)*4</f>
        <v/>
      </c>
      <c r="P128" s="906">
        <f>IFERROR(N128/$B$20/12,0)</f>
        <v/>
      </c>
      <c r="Q128" s="385">
        <f>IFERROR(N128/N$80,0)</f>
        <v/>
      </c>
      <c r="R128" s="898" t="n"/>
    </row>
    <row r="129">
      <c r="A129" s="393" t="inlineStr">
        <is>
          <t>TOTAL NON-LABOR</t>
        </is>
      </c>
      <c r="B129" s="906">
        <f>SUM(B104:B128)</f>
        <v/>
      </c>
      <c r="C129" s="906">
        <f>SUM(C104:C128)</f>
        <v/>
      </c>
      <c r="D129" s="906">
        <f>SUM(D104:D128)</f>
        <v/>
      </c>
      <c r="E129" s="906">
        <f>SUM(E104:E128)</f>
        <v/>
      </c>
      <c r="F129" s="906">
        <f>SUM(F104:F128)</f>
        <v/>
      </c>
      <c r="G129" s="906">
        <f>SUM(G104:G128)</f>
        <v/>
      </c>
      <c r="H129" s="906">
        <f>SUM(H104:H128)</f>
        <v/>
      </c>
      <c r="I129" s="906">
        <f>SUM(I104:I128)</f>
        <v/>
      </c>
      <c r="J129" s="906">
        <f>SUM(J104:J128)</f>
        <v/>
      </c>
      <c r="K129" s="906">
        <f>SUM(K104:K128)</f>
        <v/>
      </c>
      <c r="L129" s="906">
        <f>SUM(L104:L128)</f>
        <v/>
      </c>
      <c r="M129" s="906">
        <f>SUM(M104:M128)</f>
        <v/>
      </c>
      <c r="N129" s="906">
        <f>SUM(N104:N128)</f>
        <v/>
      </c>
      <c r="O129" s="906">
        <f>SUM(K129:M129)*4</f>
        <v/>
      </c>
      <c r="P129" s="906">
        <f>IFERROR(N129/$B$20/12,0)</f>
        <v/>
      </c>
      <c r="Q129" s="904">
        <f>IFERROR(N129/N$80,0)</f>
        <v/>
      </c>
      <c r="R129" s="898" t="n"/>
    </row>
    <row r="130">
      <c r="A130" s="899" t="inlineStr">
        <is>
          <t>MANAGEMENT &amp; NOI</t>
        </is>
      </c>
      <c r="B130" s="911" t="n"/>
      <c r="C130" s="911" t="n"/>
      <c r="D130" s="911" t="n"/>
      <c r="E130" s="911" t="n"/>
      <c r="F130" s="911" t="n"/>
      <c r="G130" s="911" t="n"/>
      <c r="H130" s="911" t="n"/>
      <c r="I130" s="911" t="n"/>
      <c r="J130" s="911" t="n"/>
      <c r="K130" s="911" t="n"/>
      <c r="L130" s="911" t="n"/>
      <c r="M130" s="911" t="n"/>
      <c r="N130" s="911" t="n"/>
      <c r="O130" s="911" t="n"/>
      <c r="P130" s="911" t="n"/>
      <c r="Q130" s="900" t="n"/>
      <c r="R130" s="902" t="n"/>
    </row>
    <row r="131">
      <c r="A131" s="382" t="inlineStr">
        <is>
          <t>Management Fee</t>
        </is>
      </c>
      <c r="B131" s="906" t="n">
        <v>0</v>
      </c>
      <c r="C131" s="906" t="n">
        <v>0</v>
      </c>
      <c r="D131" s="906" t="n">
        <v>0</v>
      </c>
      <c r="E131" s="906" t="n">
        <v>0</v>
      </c>
      <c r="F131" s="906" t="n">
        <v>0</v>
      </c>
      <c r="G131" s="906" t="n">
        <v>0</v>
      </c>
      <c r="H131" s="906" t="n">
        <v>0</v>
      </c>
      <c r="I131" s="906" t="n">
        <v>0</v>
      </c>
      <c r="J131" s="906" t="n">
        <v>0</v>
      </c>
      <c r="K131" s="906" t="n">
        <v>0</v>
      </c>
      <c r="L131" s="906" t="n">
        <v>0</v>
      </c>
      <c r="M131" s="906" t="n">
        <v>0</v>
      </c>
      <c r="N131" s="907">
        <f>SUM(B131:M131)</f>
        <v/>
      </c>
      <c r="O131" s="915">
        <f>SUM(K131:M131)*4</f>
        <v/>
      </c>
      <c r="P131" s="915">
        <f>IFERROR(N131/$B$20/12,0)</f>
        <v/>
      </c>
      <c r="Q131" s="905">
        <f>IFERROR(N131/N$80,0)</f>
        <v/>
      </c>
      <c r="R131" s="382" t="n"/>
    </row>
    <row r="132">
      <c r="A132" s="394" t="inlineStr">
        <is>
          <t>TOTAL OPERATING EXPENSES</t>
        </is>
      </c>
      <c r="B132" s="916">
        <f>B102+B129+B131</f>
        <v/>
      </c>
      <c r="C132" s="916">
        <f>C102+C129+C131</f>
        <v/>
      </c>
      <c r="D132" s="916">
        <f>D102+D129+D131</f>
        <v/>
      </c>
      <c r="E132" s="916">
        <f>E102+E129+E131</f>
        <v/>
      </c>
      <c r="F132" s="916">
        <f>F102+F129+F131</f>
        <v/>
      </c>
      <c r="G132" s="916">
        <f>G102+G129+G131</f>
        <v/>
      </c>
      <c r="H132" s="916">
        <f>H102+H129+H131</f>
        <v/>
      </c>
      <c r="I132" s="916">
        <f>I102+I129+I131</f>
        <v/>
      </c>
      <c r="J132" s="916">
        <f>J102+J129+J131</f>
        <v/>
      </c>
      <c r="K132" s="916">
        <f>K102+K129+K131</f>
        <v/>
      </c>
      <c r="L132" s="916">
        <f>L102+L129+L131</f>
        <v/>
      </c>
      <c r="M132" s="916">
        <f>M102+M129+M131</f>
        <v/>
      </c>
      <c r="N132" s="917">
        <f>N102+N129+N131</f>
        <v/>
      </c>
      <c r="O132" s="916">
        <f>SUM(K132:M132)*4</f>
        <v/>
      </c>
      <c r="P132" s="915">
        <f>IFERROR(N132/$B$20/12,0)</f>
        <v/>
      </c>
      <c r="Q132" s="905">
        <f>IFERROR(N132/N$80,0)</f>
        <v/>
      </c>
      <c r="R132" s="382" t="n"/>
    </row>
    <row r="133">
      <c r="A133" s="486" t="inlineStr">
        <is>
          <t>Total Operating Expenses (excl. mgmt)</t>
        </is>
      </c>
      <c r="B133" s="915">
        <f>B132-B131</f>
        <v/>
      </c>
      <c r="C133" s="915">
        <f>C132-C131</f>
        <v/>
      </c>
      <c r="D133" s="915">
        <f>D132-D131</f>
        <v/>
      </c>
      <c r="E133" s="915">
        <f>E132-E131</f>
        <v/>
      </c>
      <c r="F133" s="915">
        <f>F132-F131</f>
        <v/>
      </c>
      <c r="G133" s="915">
        <f>G132-G131</f>
        <v/>
      </c>
      <c r="H133" s="915">
        <f>H132-H131</f>
        <v/>
      </c>
      <c r="I133" s="915">
        <f>I132-I131</f>
        <v/>
      </c>
      <c r="J133" s="915">
        <f>J132-J131</f>
        <v/>
      </c>
      <c r="K133" s="915">
        <f>K132-K131</f>
        <v/>
      </c>
      <c r="L133" s="915">
        <f>L132-L131</f>
        <v/>
      </c>
      <c r="M133" s="915">
        <f>M132-M131</f>
        <v/>
      </c>
      <c r="N133" s="918">
        <f>N132-N131</f>
        <v/>
      </c>
      <c r="O133" s="916">
        <f>SUM(K133:M133)*4</f>
        <v/>
      </c>
      <c r="P133" s="915">
        <f>IFERROR(N133/$B$20/12,0)</f>
        <v/>
      </c>
      <c r="Q133" s="905">
        <f>IFERROR(N133/N$80,0)</f>
        <v/>
      </c>
      <c r="R133" s="382" t="n"/>
    </row>
    <row r="134">
      <c r="A134" s="394" t="inlineStr">
        <is>
          <t>EBITDARM</t>
        </is>
      </c>
      <c r="B134" s="916">
        <f>B80-B102-B129</f>
        <v/>
      </c>
      <c r="C134" s="916">
        <f>C80-C102-C129</f>
        <v/>
      </c>
      <c r="D134" s="916">
        <f>D80-D102-D129</f>
        <v/>
      </c>
      <c r="E134" s="916">
        <f>E80-E102-E129</f>
        <v/>
      </c>
      <c r="F134" s="916">
        <f>F80-F102-F129</f>
        <v/>
      </c>
      <c r="G134" s="916">
        <f>G80-G102-G129</f>
        <v/>
      </c>
      <c r="H134" s="916">
        <f>H80-H102-H129</f>
        <v/>
      </c>
      <c r="I134" s="916">
        <f>I80-I102-I129</f>
        <v/>
      </c>
      <c r="J134" s="916">
        <f>J80-J102-J129</f>
        <v/>
      </c>
      <c r="K134" s="916">
        <f>K80-K102-K129</f>
        <v/>
      </c>
      <c r="L134" s="916">
        <f>L80-L102-L129</f>
        <v/>
      </c>
      <c r="M134" s="916">
        <f>M80-M102-M129</f>
        <v/>
      </c>
      <c r="N134" s="917">
        <f>N80-N102-N129</f>
        <v/>
      </c>
      <c r="O134" s="916">
        <f>SUM(K134:M134)*4</f>
        <v/>
      </c>
      <c r="P134" s="915">
        <f>IFERROR(N134/$B$20/12,0)</f>
        <v/>
      </c>
      <c r="Q134" s="905">
        <f>IFERROR(N134/N$80,0)</f>
        <v/>
      </c>
      <c r="R134" s="382" t="n"/>
    </row>
    <row r="135">
      <c r="A135" s="394" t="inlineStr">
        <is>
          <t>EBITDAR  (= NOI)</t>
        </is>
      </c>
      <c r="B135" s="916">
        <f>B134-B131</f>
        <v/>
      </c>
      <c r="C135" s="916">
        <f>C134-C131</f>
        <v/>
      </c>
      <c r="D135" s="916">
        <f>D134-D131</f>
        <v/>
      </c>
      <c r="E135" s="916">
        <f>E134-E131</f>
        <v/>
      </c>
      <c r="F135" s="916">
        <f>F134-F131</f>
        <v/>
      </c>
      <c r="G135" s="916">
        <f>G134-G131</f>
        <v/>
      </c>
      <c r="H135" s="916">
        <f>H134-H131</f>
        <v/>
      </c>
      <c r="I135" s="916">
        <f>I134-I131</f>
        <v/>
      </c>
      <c r="J135" s="916">
        <f>J134-J131</f>
        <v/>
      </c>
      <c r="K135" s="916">
        <f>K134-K131</f>
        <v/>
      </c>
      <c r="L135" s="916">
        <f>L134-L131</f>
        <v/>
      </c>
      <c r="M135" s="916">
        <f>M134-M131</f>
        <v/>
      </c>
      <c r="N135" s="916">
        <f>N134-N131</f>
        <v/>
      </c>
      <c r="O135" s="916">
        <f>SUM(K135:M135)*4</f>
        <v/>
      </c>
      <c r="P135" s="915">
        <f>IFERROR(N135/$B$20/12,0)</f>
        <v/>
      </c>
      <c r="Q135" s="905">
        <f>IFERROR(N135/N$80,0)</f>
        <v/>
      </c>
      <c r="R135" s="382" t="n"/>
    </row>
    <row r="136">
      <c r="A136" s="486" t="inlineStr">
        <is>
          <t>EBITDA</t>
        </is>
      </c>
      <c r="B136" s="915">
        <f>B135-B128</f>
        <v/>
      </c>
      <c r="C136" s="915">
        <f>C135-C128</f>
        <v/>
      </c>
      <c r="D136" s="915">
        <f>D135-D128</f>
        <v/>
      </c>
      <c r="E136" s="915">
        <f>E135-E128</f>
        <v/>
      </c>
      <c r="F136" s="915">
        <f>F135-F128</f>
        <v/>
      </c>
      <c r="G136" s="915">
        <f>G135-G128</f>
        <v/>
      </c>
      <c r="H136" s="915">
        <f>H135-H128</f>
        <v/>
      </c>
      <c r="I136" s="915">
        <f>I135-I128</f>
        <v/>
      </c>
      <c r="J136" s="915">
        <f>J135-J128</f>
        <v/>
      </c>
      <c r="K136" s="915">
        <f>K135-K128</f>
        <v/>
      </c>
      <c r="L136" s="915">
        <f>L135-L128</f>
        <v/>
      </c>
      <c r="M136" s="915">
        <f>M135-M128</f>
        <v/>
      </c>
      <c r="N136" s="918">
        <f>N135-N128</f>
        <v/>
      </c>
      <c r="O136" s="916">
        <f>SUM(K136:M136)*4</f>
        <v/>
      </c>
      <c r="P136" s="915">
        <f>IFERROR(N136/$B$20/12,0)</f>
        <v/>
      </c>
      <c r="Q136" s="905">
        <f>IFERROR(N136/N$80,0)</f>
        <v/>
      </c>
      <c r="R136" s="382" t="n"/>
    </row>
    <row r="139">
      <c r="A139" s="959" t="inlineStr">
        <is>
          <t>I.  LAYER 1: RAW T-12  (paste operator data here, then map column P to Layer 3 bucket)</t>
        </is>
      </c>
    </row>
    <row r="140">
      <c r="A140" s="391" t="inlineStr">
        <is>
          <t>Acct #</t>
        </is>
      </c>
      <c r="B140" s="391" t="inlineStr">
        <is>
          <t>Account Name (raw)</t>
        </is>
      </c>
      <c r="C140" s="392" t="inlineStr">
        <is>
          <t>Apr-25</t>
        </is>
      </c>
      <c r="D140" s="392" t="inlineStr">
        <is>
          <t>May-25</t>
        </is>
      </c>
      <c r="E140" s="392" t="inlineStr">
        <is>
          <t>Jun-25</t>
        </is>
      </c>
      <c r="F140" s="392" t="inlineStr">
        <is>
          <t>Jul-25</t>
        </is>
      </c>
      <c r="G140" s="392" t="inlineStr">
        <is>
          <t>Aug-25</t>
        </is>
      </c>
      <c r="H140" s="392" t="inlineStr">
        <is>
          <t>Sep-25</t>
        </is>
      </c>
      <c r="I140" s="392" t="inlineStr">
        <is>
          <t>Oct-25</t>
        </is>
      </c>
      <c r="J140" s="392" t="inlineStr">
        <is>
          <t>Nov-25</t>
        </is>
      </c>
      <c r="K140" s="392" t="inlineStr">
        <is>
          <t>Dec-25</t>
        </is>
      </c>
      <c r="L140" s="392" t="inlineStr">
        <is>
          <t>Jan-26</t>
        </is>
      </c>
      <c r="M140" s="392" t="inlineStr">
        <is>
          <t>Feb-26</t>
        </is>
      </c>
      <c r="N140" s="392" t="inlineStr">
        <is>
          <t>Mar-26</t>
        </is>
      </c>
      <c r="O140" s="392" t="inlineStr">
        <is>
          <t>T-12 Total</t>
        </is>
      </c>
      <c r="P140" s="392" t="inlineStr">
        <is>
          <t>→ MAPPING</t>
        </is>
      </c>
      <c r="Q140" s="392" t="inlineStr">
        <is>
          <t>Variance</t>
        </is>
      </c>
      <c r="R140" s="392" t="inlineStr">
        <is>
          <t>Notes</t>
        </is>
      </c>
    </row>
    <row r="141">
      <c r="A141" s="382" t="n"/>
      <c r="B141" s="382" t="n"/>
      <c r="C141" s="382" t="n"/>
      <c r="D141" s="382" t="n"/>
      <c r="E141" s="382" t="n"/>
      <c r="F141" s="382" t="n"/>
      <c r="G141" s="382" t="n"/>
      <c r="H141" s="382" t="n"/>
      <c r="I141" s="382" t="n"/>
      <c r="J141" s="382" t="n"/>
      <c r="K141" s="382" t="n"/>
      <c r="L141" s="382" t="n"/>
      <c r="M141" s="382" t="n"/>
      <c r="N141" s="382" t="n"/>
      <c r="O141" s="382" t="n"/>
      <c r="P141" s="395" t="inlineStr">
        <is>
          <t>Gross Potential Rent (GPR)</t>
        </is>
      </c>
    </row>
    <row r="142">
      <c r="A142" s="382" t="n"/>
      <c r="B142" s="382" t="n"/>
      <c r="C142" s="382" t="n"/>
      <c r="D142" s="382" t="n"/>
      <c r="E142" s="382" t="n"/>
      <c r="F142" s="382" t="n"/>
      <c r="G142" s="382" t="n"/>
      <c r="H142" s="382" t="n"/>
      <c r="I142" s="382" t="n"/>
      <c r="J142" s="382" t="n"/>
      <c r="K142" s="382" t="n"/>
      <c r="L142" s="382" t="n"/>
      <c r="M142" s="382" t="n"/>
      <c r="N142" s="382" t="n"/>
      <c r="O142" s="382" t="n"/>
      <c r="P142" s="395" t="inlineStr">
        <is>
          <t>LOC / Care Services Revenue</t>
        </is>
      </c>
    </row>
    <row r="143">
      <c r="A143" s="382" t="n"/>
      <c r="B143" s="382" t="n"/>
      <c r="C143" s="382" t="n"/>
      <c r="D143" s="382" t="n"/>
      <c r="E143" s="382" t="n"/>
      <c r="F143" s="382" t="n"/>
      <c r="G143" s="382" t="n"/>
      <c r="H143" s="382" t="n"/>
      <c r="I143" s="382" t="n"/>
      <c r="J143" s="382" t="n"/>
      <c r="K143" s="382" t="n"/>
      <c r="L143" s="382" t="n"/>
      <c r="M143" s="382" t="n"/>
      <c r="N143" s="382" t="n"/>
      <c r="O143" s="382" t="n"/>
      <c r="P143" s="395" t="inlineStr">
        <is>
          <t>Concessions &amp; Specials</t>
        </is>
      </c>
    </row>
    <row r="144">
      <c r="A144" s="382" t="n"/>
      <c r="B144" s="382" t="n"/>
      <c r="C144" s="382" t="n"/>
      <c r="D144" s="382" t="n"/>
      <c r="E144" s="382" t="n"/>
      <c r="F144" s="382" t="n"/>
      <c r="G144" s="382" t="n"/>
      <c r="H144" s="382" t="n"/>
      <c r="I144" s="382" t="n"/>
      <c r="J144" s="382" t="n"/>
      <c r="K144" s="382" t="n"/>
      <c r="L144" s="382" t="n"/>
      <c r="M144" s="382" t="n"/>
      <c r="N144" s="382" t="n"/>
      <c r="O144" s="382" t="n"/>
      <c r="P144" s="395" t="inlineStr">
        <is>
          <t>Concessions &amp; Specials</t>
        </is>
      </c>
    </row>
    <row r="145">
      <c r="A145" s="382" t="n"/>
      <c r="B145" s="382" t="n"/>
      <c r="C145" s="382" t="n"/>
      <c r="D145" s="382" t="n"/>
      <c r="E145" s="382" t="n"/>
      <c r="F145" s="382" t="n"/>
      <c r="G145" s="382" t="n"/>
      <c r="H145" s="382" t="n"/>
      <c r="I145" s="382" t="n"/>
      <c r="J145" s="382" t="n"/>
      <c r="K145" s="382" t="n"/>
      <c r="L145" s="382" t="n"/>
      <c r="M145" s="382" t="n"/>
      <c r="N145" s="382" t="n"/>
      <c r="O145" s="382" t="n"/>
      <c r="P145" s="395" t="inlineStr">
        <is>
          <t>Concessions &amp; Specials</t>
        </is>
      </c>
    </row>
    <row r="146">
      <c r="A146" s="382" t="n"/>
      <c r="B146" s="382" t="n"/>
      <c r="C146" s="382" t="n"/>
      <c r="D146" s="382" t="n"/>
      <c r="E146" s="382" t="n"/>
      <c r="F146" s="382" t="n"/>
      <c r="G146" s="382" t="n"/>
      <c r="H146" s="382" t="n"/>
      <c r="I146" s="382" t="n"/>
      <c r="J146" s="382" t="n"/>
      <c r="K146" s="382" t="n"/>
      <c r="L146" s="382" t="n"/>
      <c r="M146" s="382" t="n"/>
      <c r="N146" s="382" t="n"/>
      <c r="O146" s="382" t="n"/>
      <c r="P146" s="395" t="inlineStr">
        <is>
          <t>Bad Debt / Write-offs</t>
        </is>
      </c>
    </row>
    <row r="147">
      <c r="A147" s="382" t="n"/>
      <c r="B147" s="382" t="n"/>
      <c r="C147" s="382" t="n"/>
      <c r="D147" s="382" t="n"/>
      <c r="E147" s="382" t="n"/>
      <c r="F147" s="382" t="n"/>
      <c r="G147" s="382" t="n"/>
      <c r="H147" s="382" t="n"/>
      <c r="I147" s="382" t="n"/>
      <c r="J147" s="382" t="n"/>
      <c r="K147" s="382" t="n"/>
      <c r="L147" s="382" t="n"/>
      <c r="M147" s="382" t="n"/>
      <c r="N147" s="382" t="n"/>
      <c r="O147" s="382" t="n"/>
      <c r="P147" s="395" t="inlineStr">
        <is>
          <t>Community / Move-in Fees</t>
        </is>
      </c>
    </row>
    <row r="148">
      <c r="A148" s="382" t="n"/>
      <c r="B148" s="382" t="n"/>
      <c r="C148" s="382" t="n"/>
      <c r="D148" s="382" t="n"/>
      <c r="E148" s="382" t="n"/>
      <c r="F148" s="382" t="n"/>
      <c r="G148" s="382" t="n"/>
      <c r="H148" s="382" t="n"/>
      <c r="I148" s="382" t="n"/>
      <c r="J148" s="382" t="n"/>
      <c r="K148" s="382" t="n"/>
      <c r="L148" s="382" t="n"/>
      <c r="M148" s="382" t="n"/>
      <c r="N148" s="382" t="n"/>
      <c r="O148" s="382" t="n"/>
      <c r="P148" s="395" t="inlineStr">
        <is>
          <t>Respite Care Revenue</t>
        </is>
      </c>
    </row>
    <row r="149">
      <c r="A149" s="382" t="n"/>
      <c r="B149" s="382" t="n"/>
      <c r="C149" s="382" t="n"/>
      <c r="D149" s="382" t="n"/>
      <c r="E149" s="382" t="n"/>
      <c r="F149" s="382" t="n"/>
      <c r="G149" s="382" t="n"/>
      <c r="H149" s="382" t="n"/>
      <c r="I149" s="382" t="n"/>
      <c r="J149" s="382" t="n"/>
      <c r="K149" s="382" t="n"/>
      <c r="L149" s="382" t="n"/>
      <c r="M149" s="382" t="n"/>
      <c r="N149" s="382" t="n"/>
      <c r="O149" s="382" t="n"/>
      <c r="P149" s="395" t="inlineStr">
        <is>
          <t>2nd Person Revenue</t>
        </is>
      </c>
    </row>
    <row r="150">
      <c r="A150" s="382" t="n"/>
      <c r="B150" s="382" t="n"/>
      <c r="C150" s="382" t="n"/>
      <c r="D150" s="382" t="n"/>
      <c r="E150" s="382" t="n"/>
      <c r="F150" s="382" t="n"/>
      <c r="G150" s="382" t="n"/>
      <c r="H150" s="382" t="n"/>
      <c r="I150" s="382" t="n"/>
      <c r="J150" s="382" t="n"/>
      <c r="K150" s="382" t="n"/>
      <c r="L150" s="382" t="n"/>
      <c r="M150" s="382" t="n"/>
      <c r="N150" s="382" t="n"/>
      <c r="O150" s="382" t="n"/>
      <c r="P150" s="395" t="inlineStr">
        <is>
          <t>Other Community Revenue</t>
        </is>
      </c>
    </row>
    <row r="151">
      <c r="A151" s="382" t="n"/>
      <c r="B151" s="382" t="n"/>
      <c r="C151" s="382" t="n"/>
      <c r="D151" s="382" t="n"/>
      <c r="E151" s="382" t="n"/>
      <c r="F151" s="382" t="n"/>
      <c r="G151" s="382" t="n"/>
      <c r="H151" s="382" t="n"/>
      <c r="I151" s="382" t="n"/>
      <c r="J151" s="382" t="n"/>
      <c r="K151" s="382" t="n"/>
      <c r="L151" s="382" t="n"/>
      <c r="M151" s="382" t="n"/>
      <c r="N151" s="382" t="n"/>
      <c r="O151" s="382" t="n"/>
      <c r="P151" s="395" t="inlineStr">
        <is>
          <t>Care Staff Labor</t>
        </is>
      </c>
    </row>
    <row r="152">
      <c r="A152" s="382" t="n"/>
      <c r="B152" s="382" t="n"/>
      <c r="C152" s="382" t="n"/>
      <c r="D152" s="382" t="n"/>
      <c r="E152" s="382" t="n"/>
      <c r="F152" s="382" t="n"/>
      <c r="G152" s="382" t="n"/>
      <c r="H152" s="382" t="n"/>
      <c r="I152" s="382" t="n"/>
      <c r="J152" s="382" t="n"/>
      <c r="K152" s="382" t="n"/>
      <c r="L152" s="382" t="n"/>
      <c r="M152" s="382" t="n"/>
      <c r="N152" s="382" t="n"/>
      <c r="O152" s="382" t="n"/>
      <c r="P152" s="395" t="inlineStr">
        <is>
          <t>Care Staff Labor</t>
        </is>
      </c>
    </row>
    <row r="153">
      <c r="A153" s="382" t="n"/>
      <c r="B153" s="382" t="n"/>
      <c r="C153" s="382" t="n"/>
      <c r="D153" s="382" t="n"/>
      <c r="E153" s="382" t="n"/>
      <c r="F153" s="382" t="n"/>
      <c r="G153" s="382" t="n"/>
      <c r="H153" s="382" t="n"/>
      <c r="I153" s="382" t="n"/>
      <c r="J153" s="382" t="n"/>
      <c r="K153" s="382" t="n"/>
      <c r="L153" s="382" t="n"/>
      <c r="M153" s="382" t="n"/>
      <c r="N153" s="382" t="n"/>
      <c r="O153" s="382" t="n"/>
      <c r="P153" s="395" t="inlineStr">
        <is>
          <t>Wellness / Care Coordinators</t>
        </is>
      </c>
    </row>
    <row r="154">
      <c r="A154" s="382" t="n"/>
      <c r="B154" s="382" t="n"/>
      <c r="C154" s="382" t="n"/>
      <c r="D154" s="382" t="n"/>
      <c r="E154" s="382" t="n"/>
      <c r="F154" s="382" t="n"/>
      <c r="G154" s="382" t="n"/>
      <c r="H154" s="382" t="n"/>
      <c r="I154" s="382" t="n"/>
      <c r="J154" s="382" t="n"/>
      <c r="K154" s="382" t="n"/>
      <c r="L154" s="382" t="n"/>
      <c r="M154" s="382" t="n"/>
      <c r="N154" s="382" t="n"/>
      <c r="O154" s="382" t="n"/>
      <c r="P154" s="395" t="inlineStr">
        <is>
          <t>Contract / Agency Labor</t>
        </is>
      </c>
    </row>
    <row r="155">
      <c r="A155" s="382" t="n"/>
      <c r="B155" s="382" t="n"/>
      <c r="C155" s="382" t="n"/>
      <c r="D155" s="382" t="n"/>
      <c r="E155" s="382" t="n"/>
      <c r="F155" s="382" t="n"/>
      <c r="G155" s="382" t="n"/>
      <c r="H155" s="382" t="n"/>
      <c r="I155" s="382" t="n"/>
      <c r="J155" s="382" t="n"/>
      <c r="K155" s="382" t="n"/>
      <c r="L155" s="382" t="n"/>
      <c r="M155" s="382" t="n"/>
      <c r="N155" s="382" t="n"/>
      <c r="O155" s="382" t="n"/>
      <c r="P155" s="395" t="inlineStr">
        <is>
          <t>Activities Labor</t>
        </is>
      </c>
    </row>
    <row r="156">
      <c r="A156" s="382" t="n"/>
      <c r="B156" s="382" t="n"/>
      <c r="C156" s="382" t="n"/>
      <c r="D156" s="382" t="n"/>
      <c r="E156" s="382" t="n"/>
      <c r="F156" s="382" t="n"/>
      <c r="G156" s="382" t="n"/>
      <c r="H156" s="382" t="n"/>
      <c r="I156" s="382" t="n"/>
      <c r="J156" s="382" t="n"/>
      <c r="K156" s="382" t="n"/>
      <c r="L156" s="382" t="n"/>
      <c r="M156" s="382" t="n"/>
      <c r="N156" s="382" t="n"/>
      <c r="O156" s="382" t="n"/>
      <c r="P156" s="395" t="inlineStr">
        <is>
          <t>Dining / Food Service Labor</t>
        </is>
      </c>
    </row>
    <row r="157">
      <c r="A157" s="382" t="n"/>
      <c r="B157" s="382" t="n"/>
      <c r="C157" s="382" t="n"/>
      <c r="D157" s="382" t="n"/>
      <c r="E157" s="382" t="n"/>
      <c r="F157" s="382" t="n"/>
      <c r="G157" s="382" t="n"/>
      <c r="H157" s="382" t="n"/>
      <c r="I157" s="382" t="n"/>
      <c r="J157" s="382" t="n"/>
      <c r="K157" s="382" t="n"/>
      <c r="L157" s="382" t="n"/>
      <c r="M157" s="382" t="n"/>
      <c r="N157" s="382" t="n"/>
      <c r="O157" s="382" t="n"/>
      <c r="P157" s="395" t="inlineStr">
        <is>
          <t>Maintenance &amp; HK Labor</t>
        </is>
      </c>
    </row>
    <row r="158">
      <c r="A158" s="382" t="n"/>
      <c r="B158" s="382" t="n"/>
      <c r="C158" s="382" t="n"/>
      <c r="D158" s="382" t="n"/>
      <c r="E158" s="382" t="n"/>
      <c r="F158" s="382" t="n"/>
      <c r="G158" s="382" t="n"/>
      <c r="H158" s="382" t="n"/>
      <c r="I158" s="382" t="n"/>
      <c r="J158" s="382" t="n"/>
      <c r="K158" s="382" t="n"/>
      <c r="L158" s="382" t="n"/>
      <c r="M158" s="382" t="n"/>
      <c r="N158" s="382" t="n"/>
      <c r="O158" s="382" t="n"/>
      <c r="P158" s="395" t="inlineStr">
        <is>
          <t>Maintenance &amp; HK Labor</t>
        </is>
      </c>
    </row>
    <row r="159">
      <c r="A159" s="382" t="n"/>
      <c r="B159" s="382" t="n"/>
      <c r="C159" s="382" t="n"/>
      <c r="D159" s="382" t="n"/>
      <c r="E159" s="382" t="n"/>
      <c r="F159" s="382" t="n"/>
      <c r="G159" s="382" t="n"/>
      <c r="H159" s="382" t="n"/>
      <c r="I159" s="382" t="n"/>
      <c r="J159" s="382" t="n"/>
      <c r="K159" s="382" t="n"/>
      <c r="L159" s="382" t="n"/>
      <c r="M159" s="382" t="n"/>
      <c r="N159" s="382" t="n"/>
      <c r="O159" s="382" t="n"/>
      <c r="P159" s="395" t="inlineStr">
        <is>
          <t>Administrative Labor</t>
        </is>
      </c>
    </row>
    <row r="160">
      <c r="A160" s="382" t="n"/>
      <c r="B160" s="382" t="n"/>
      <c r="C160" s="382" t="n"/>
      <c r="D160" s="382" t="n"/>
      <c r="E160" s="382" t="n"/>
      <c r="F160" s="382" t="n"/>
      <c r="G160" s="382" t="n"/>
      <c r="H160" s="382" t="n"/>
      <c r="I160" s="382" t="n"/>
      <c r="J160" s="382" t="n"/>
      <c r="K160" s="382" t="n"/>
      <c r="L160" s="382" t="n"/>
      <c r="M160" s="382" t="n"/>
      <c r="N160" s="382" t="n"/>
      <c r="O160" s="382" t="n"/>
      <c r="P160" s="395" t="inlineStr">
        <is>
          <t>Overtime Wages</t>
        </is>
      </c>
    </row>
    <row r="161">
      <c r="A161" s="382" t="n"/>
      <c r="B161" s="382" t="n"/>
      <c r="C161" s="382" t="n"/>
      <c r="D161" s="382" t="n"/>
      <c r="E161" s="382" t="n"/>
      <c r="F161" s="382" t="n"/>
      <c r="G161" s="382" t="n"/>
      <c r="H161" s="382" t="n"/>
      <c r="I161" s="382" t="n"/>
      <c r="J161" s="382" t="n"/>
      <c r="K161" s="382" t="n"/>
      <c r="L161" s="382" t="n"/>
      <c r="M161" s="382" t="n"/>
      <c r="N161" s="382" t="n"/>
      <c r="O161" s="382" t="n"/>
      <c r="P161" s="395" t="inlineStr">
        <is>
          <t>PTO Wages</t>
        </is>
      </c>
    </row>
    <row r="162">
      <c r="A162" s="382" t="n"/>
      <c r="B162" s="382" t="n"/>
      <c r="C162" s="382" t="n"/>
      <c r="D162" s="382" t="n"/>
      <c r="E162" s="382" t="n"/>
      <c r="F162" s="382" t="n"/>
      <c r="G162" s="382" t="n"/>
      <c r="H162" s="382" t="n"/>
      <c r="I162" s="382" t="n"/>
      <c r="J162" s="382" t="n"/>
      <c r="K162" s="382" t="n"/>
      <c r="L162" s="382" t="n"/>
      <c r="M162" s="382" t="n"/>
      <c r="N162" s="382" t="n"/>
      <c r="O162" s="382" t="n"/>
      <c r="P162" s="395" t="inlineStr">
        <is>
          <t>Bonus Wages</t>
        </is>
      </c>
    </row>
    <row r="163">
      <c r="A163" s="382" t="n"/>
      <c r="B163" s="382" t="n"/>
      <c r="C163" s="382" t="n"/>
      <c r="D163" s="382" t="n"/>
      <c r="E163" s="382" t="n"/>
      <c r="F163" s="382" t="n"/>
      <c r="G163" s="382" t="n"/>
      <c r="H163" s="382" t="n"/>
      <c r="I163" s="382" t="n"/>
      <c r="J163" s="382" t="n"/>
      <c r="K163" s="382" t="n"/>
      <c r="L163" s="382" t="n"/>
      <c r="M163" s="382" t="n"/>
      <c r="N163" s="382" t="n"/>
      <c r="O163" s="382" t="n"/>
      <c r="P163" s="395" t="inlineStr">
        <is>
          <t>Payroll Taxes</t>
        </is>
      </c>
    </row>
    <row r="164">
      <c r="A164" s="382" t="n"/>
      <c r="B164" s="382" t="n"/>
      <c r="C164" s="382" t="n"/>
      <c r="D164" s="382" t="n"/>
      <c r="E164" s="382" t="n"/>
      <c r="F164" s="382" t="n"/>
      <c r="G164" s="382" t="n"/>
      <c r="H164" s="382" t="n"/>
      <c r="I164" s="382" t="n"/>
      <c r="J164" s="382" t="n"/>
      <c r="K164" s="382" t="n"/>
      <c r="L164" s="382" t="n"/>
      <c r="M164" s="382" t="n"/>
      <c r="N164" s="382" t="n"/>
      <c r="O164" s="382" t="n"/>
      <c r="P164" s="395" t="inlineStr">
        <is>
          <t>Employee Benefits</t>
        </is>
      </c>
    </row>
    <row r="165">
      <c r="A165" s="382" t="n"/>
      <c r="B165" s="382" t="n"/>
      <c r="C165" s="382" t="n"/>
      <c r="D165" s="382" t="n"/>
      <c r="E165" s="382" t="n"/>
      <c r="F165" s="382" t="n"/>
      <c r="G165" s="382" t="n"/>
      <c r="H165" s="382" t="n"/>
      <c r="I165" s="382" t="n"/>
      <c r="J165" s="382" t="n"/>
      <c r="K165" s="382" t="n"/>
      <c r="L165" s="382" t="n"/>
      <c r="M165" s="382" t="n"/>
      <c r="N165" s="382" t="n"/>
      <c r="O165" s="382" t="n"/>
      <c r="P165" s="395" t="inlineStr">
        <is>
          <t>Workers' Comp Insurance</t>
        </is>
      </c>
    </row>
    <row r="166">
      <c r="A166" s="382" t="n"/>
      <c r="B166" s="382" t="n"/>
      <c r="C166" s="382" t="n"/>
      <c r="D166" s="382" t="n"/>
      <c r="E166" s="382" t="n"/>
      <c r="F166" s="382" t="n"/>
      <c r="G166" s="382" t="n"/>
      <c r="H166" s="382" t="n"/>
      <c r="I166" s="382" t="n"/>
      <c r="J166" s="382" t="n"/>
      <c r="K166" s="382" t="n"/>
      <c r="L166" s="382" t="n"/>
      <c r="M166" s="382" t="n"/>
      <c r="N166" s="382" t="n"/>
      <c r="O166" s="382" t="n"/>
      <c r="P166" s="395" t="inlineStr">
        <is>
          <t>Employee 401(k)</t>
        </is>
      </c>
    </row>
    <row r="167">
      <c r="A167" s="382" t="n"/>
      <c r="B167" s="382" t="n"/>
      <c r="C167" s="382" t="n"/>
      <c r="D167" s="382" t="n"/>
      <c r="E167" s="382" t="n"/>
      <c r="F167" s="382" t="n"/>
      <c r="G167" s="382" t="n"/>
      <c r="H167" s="382" t="n"/>
      <c r="I167" s="382" t="n"/>
      <c r="J167" s="382" t="n"/>
      <c r="K167" s="382" t="n"/>
      <c r="L167" s="382" t="n"/>
      <c r="M167" s="382" t="n"/>
      <c r="N167" s="382" t="n"/>
      <c r="O167" s="382" t="n"/>
      <c r="P167" s="395" t="inlineStr">
        <is>
          <t>Food Cost</t>
        </is>
      </c>
    </row>
    <row r="168">
      <c r="A168" s="382" t="n"/>
      <c r="B168" s="382" t="n"/>
      <c r="C168" s="382" t="n"/>
      <c r="D168" s="382" t="n"/>
      <c r="E168" s="382" t="n"/>
      <c r="F168" s="382" t="n"/>
      <c r="G168" s="382" t="n"/>
      <c r="H168" s="382" t="n"/>
      <c r="I168" s="382" t="n"/>
      <c r="J168" s="382" t="n"/>
      <c r="K168" s="382" t="n"/>
      <c r="L168" s="382" t="n"/>
      <c r="M168" s="382" t="n"/>
      <c r="N168" s="382" t="n"/>
      <c r="O168" s="382" t="n"/>
      <c r="P168" s="395" t="inlineStr">
        <is>
          <t>Dining &amp; Kitchen Supplies</t>
        </is>
      </c>
    </row>
    <row r="169">
      <c r="A169" s="382" t="n"/>
      <c r="B169" s="382" t="n"/>
      <c r="C169" s="382" t="n"/>
      <c r="D169" s="382" t="n"/>
      <c r="E169" s="382" t="n"/>
      <c r="F169" s="382" t="n"/>
      <c r="G169" s="382" t="n"/>
      <c r="H169" s="382" t="n"/>
      <c r="I169" s="382" t="n"/>
      <c r="J169" s="382" t="n"/>
      <c r="K169" s="382" t="n"/>
      <c r="L169" s="382" t="n"/>
      <c r="M169" s="382" t="n"/>
      <c r="N169" s="382" t="n"/>
      <c r="O169" s="382" t="n"/>
      <c r="P169" s="395" t="inlineStr">
        <is>
          <t>Nursing &amp; Care Supplies</t>
        </is>
      </c>
    </row>
    <row r="170">
      <c r="A170" s="382" t="n"/>
      <c r="B170" s="382" t="n"/>
      <c r="C170" s="382" t="n"/>
      <c r="D170" s="382" t="n"/>
      <c r="E170" s="382" t="n"/>
      <c r="F170" s="382" t="n"/>
      <c r="G170" s="382" t="n"/>
      <c r="H170" s="382" t="n"/>
      <c r="I170" s="382" t="n"/>
      <c r="J170" s="382" t="n"/>
      <c r="K170" s="382" t="n"/>
      <c r="L170" s="382" t="n"/>
      <c r="M170" s="382" t="n"/>
      <c r="N170" s="382" t="n"/>
      <c r="O170" s="382" t="n"/>
      <c r="P170" s="395" t="inlineStr">
        <is>
          <t>Recreation Supplies</t>
        </is>
      </c>
    </row>
    <row r="171">
      <c r="A171" s="382" t="n"/>
      <c r="B171" s="382" t="n"/>
      <c r="C171" s="382" t="n"/>
      <c r="D171" s="382" t="n"/>
      <c r="E171" s="382" t="n"/>
      <c r="F171" s="382" t="n"/>
      <c r="G171" s="382" t="n"/>
      <c r="H171" s="382" t="n"/>
      <c r="I171" s="382" t="n"/>
      <c r="J171" s="382" t="n"/>
      <c r="K171" s="382" t="n"/>
      <c r="L171" s="382" t="n"/>
      <c r="M171" s="382" t="n"/>
      <c r="N171" s="382" t="n"/>
      <c r="O171" s="382" t="n"/>
      <c r="P171" s="395" t="inlineStr">
        <is>
          <t>R&amp;M — Fixed</t>
        </is>
      </c>
    </row>
    <row r="172">
      <c r="A172" s="382" t="n"/>
      <c r="B172" s="382" t="n"/>
      <c r="C172" s="382" t="n"/>
      <c r="D172" s="382" t="n"/>
      <c r="E172" s="382" t="n"/>
      <c r="F172" s="382" t="n"/>
      <c r="G172" s="382" t="n"/>
      <c r="H172" s="382" t="n"/>
      <c r="I172" s="382" t="n"/>
      <c r="J172" s="382" t="n"/>
      <c r="K172" s="382" t="n"/>
      <c r="L172" s="382" t="n"/>
      <c r="M172" s="382" t="n"/>
      <c r="N172" s="382" t="n"/>
      <c r="O172" s="382" t="n"/>
      <c r="P172" s="395" t="inlineStr">
        <is>
          <t>R&amp;M — Variable</t>
        </is>
      </c>
    </row>
    <row r="173">
      <c r="A173" s="382" t="n"/>
      <c r="B173" s="382" t="n"/>
      <c r="C173" s="382" t="n"/>
      <c r="D173" s="382" t="n"/>
      <c r="E173" s="382" t="n"/>
      <c r="F173" s="382" t="n"/>
      <c r="G173" s="382" t="n"/>
      <c r="H173" s="382" t="n"/>
      <c r="I173" s="382" t="n"/>
      <c r="J173" s="382" t="n"/>
      <c r="K173" s="382" t="n"/>
      <c r="L173" s="382" t="n"/>
      <c r="M173" s="382" t="n"/>
      <c r="N173" s="382" t="n"/>
      <c r="O173" s="382" t="n"/>
      <c r="P173" s="395" t="inlineStr">
        <is>
          <t>R&amp;M — Variable</t>
        </is>
      </c>
    </row>
    <row r="174">
      <c r="A174" s="382" t="n"/>
      <c r="B174" s="382" t="n"/>
      <c r="C174" s="382" t="n"/>
      <c r="D174" s="382" t="n"/>
      <c r="E174" s="382" t="n"/>
      <c r="F174" s="382" t="n"/>
      <c r="G174" s="382" t="n"/>
      <c r="H174" s="382" t="n"/>
      <c r="I174" s="382" t="n"/>
      <c r="J174" s="382" t="n"/>
      <c r="K174" s="382" t="n"/>
      <c r="L174" s="382" t="n"/>
      <c r="M174" s="382" t="n"/>
      <c r="N174" s="382" t="n"/>
      <c r="O174" s="382" t="n"/>
      <c r="P174" s="395" t="inlineStr">
        <is>
          <t>HK &amp; Laundry Supplies</t>
        </is>
      </c>
    </row>
    <row r="175">
      <c r="A175" s="382" t="n"/>
      <c r="B175" s="382" t="n"/>
      <c r="C175" s="382" t="n"/>
      <c r="D175" s="382" t="n"/>
      <c r="E175" s="382" t="n"/>
      <c r="F175" s="382" t="n"/>
      <c r="G175" s="382" t="n"/>
      <c r="H175" s="382" t="n"/>
      <c r="I175" s="382" t="n"/>
      <c r="J175" s="382" t="n"/>
      <c r="K175" s="382" t="n"/>
      <c r="L175" s="382" t="n"/>
      <c r="M175" s="382" t="n"/>
      <c r="N175" s="382" t="n"/>
      <c r="O175" s="382" t="n"/>
      <c r="P175" s="395" t="inlineStr">
        <is>
          <t>Sales, Adv. &amp; Marketing</t>
        </is>
      </c>
    </row>
    <row r="176">
      <c r="A176" s="382" t="n"/>
      <c r="B176" s="382" t="n"/>
      <c r="C176" s="382" t="n"/>
      <c r="D176" s="382" t="n"/>
      <c r="E176" s="382" t="n"/>
      <c r="F176" s="382" t="n"/>
      <c r="G176" s="382" t="n"/>
      <c r="H176" s="382" t="n"/>
      <c r="I176" s="382" t="n"/>
      <c r="J176" s="382" t="n"/>
      <c r="K176" s="382" t="n"/>
      <c r="L176" s="382" t="n"/>
      <c r="M176" s="382" t="n"/>
      <c r="N176" s="382" t="n"/>
      <c r="O176" s="382" t="n"/>
      <c r="P176" s="395" t="inlineStr">
        <is>
          <t>Referral Fees</t>
        </is>
      </c>
    </row>
    <row r="177">
      <c r="A177" s="382" t="n"/>
      <c r="B177" s="382" t="n"/>
      <c r="C177" s="382" t="n"/>
      <c r="D177" s="382" t="n"/>
      <c r="E177" s="382" t="n"/>
      <c r="F177" s="382" t="n"/>
      <c r="G177" s="382" t="n"/>
      <c r="H177" s="382" t="n"/>
      <c r="I177" s="382" t="n"/>
      <c r="J177" s="382" t="n"/>
      <c r="K177" s="382" t="n"/>
      <c r="L177" s="382" t="n"/>
      <c r="M177" s="382" t="n"/>
      <c r="N177" s="382" t="n"/>
      <c r="O177" s="382" t="n"/>
      <c r="P177" s="395" t="inlineStr">
        <is>
          <t>Utilities</t>
        </is>
      </c>
    </row>
    <row r="178">
      <c r="A178" s="382" t="n"/>
    </row>
    <row r="179">
      <c r="A179" s="382" t="n"/>
      <c r="B179" s="382" t="n"/>
      <c r="C179" s="382" t="n"/>
      <c r="D179" s="382" t="n"/>
      <c r="E179" s="382" t="n"/>
      <c r="F179" s="382" t="n"/>
      <c r="G179" s="382" t="n"/>
      <c r="H179" s="382" t="n"/>
      <c r="I179" s="382" t="n"/>
      <c r="J179" s="382" t="n"/>
      <c r="K179" s="382" t="n"/>
      <c r="L179" s="382" t="n"/>
      <c r="M179" s="382" t="n"/>
      <c r="N179" s="382" t="n"/>
      <c r="O179" s="382" t="n"/>
      <c r="P179" s="395" t="inlineStr">
        <is>
          <t>Utilities</t>
        </is>
      </c>
    </row>
    <row r="180">
      <c r="A180" s="382" t="n"/>
      <c r="B180" s="382" t="n"/>
      <c r="C180" s="382" t="n"/>
      <c r="D180" s="382" t="n"/>
      <c r="E180" s="382" t="n"/>
      <c r="F180" s="382" t="n"/>
      <c r="G180" s="382" t="n"/>
      <c r="H180" s="382" t="n"/>
      <c r="I180" s="382" t="n"/>
      <c r="J180" s="382" t="n"/>
      <c r="K180" s="382" t="n"/>
      <c r="L180" s="382" t="n"/>
      <c r="M180" s="382" t="n"/>
      <c r="N180" s="382" t="n"/>
      <c r="O180" s="382" t="n"/>
      <c r="P180" s="395" t="inlineStr">
        <is>
          <t>Telephone / IT</t>
        </is>
      </c>
    </row>
    <row r="181">
      <c r="A181" s="382" t="n"/>
      <c r="B181" s="382" t="n"/>
      <c r="C181" s="382" t="n"/>
      <c r="D181" s="382" t="n"/>
      <c r="E181" s="382" t="n"/>
      <c r="F181" s="382" t="n"/>
      <c r="G181" s="382" t="n"/>
      <c r="H181" s="382" t="n"/>
      <c r="I181" s="382" t="n"/>
      <c r="J181" s="382" t="n"/>
      <c r="K181" s="382" t="n"/>
      <c r="L181" s="382" t="n"/>
      <c r="M181" s="382" t="n"/>
      <c r="N181" s="382" t="n"/>
      <c r="O181" s="382" t="n"/>
      <c r="P181" s="395" t="inlineStr">
        <is>
          <t>P&amp;C Insurance</t>
        </is>
      </c>
    </row>
    <row r="182">
      <c r="A182" s="382" t="n"/>
      <c r="B182" s="382" t="n"/>
      <c r="C182" s="382" t="n"/>
      <c r="D182" s="382" t="n"/>
      <c r="E182" s="382" t="n"/>
      <c r="F182" s="382" t="n"/>
      <c r="G182" s="382" t="n"/>
      <c r="H182" s="382" t="n"/>
      <c r="I182" s="382" t="n"/>
      <c r="J182" s="382" t="n"/>
      <c r="K182" s="382" t="n"/>
      <c r="L182" s="382" t="n"/>
      <c r="M182" s="382" t="n"/>
      <c r="N182" s="382" t="n"/>
      <c r="O182" s="382" t="n"/>
      <c r="P182" s="395" t="inlineStr">
        <is>
          <t>Real Estate Taxes</t>
        </is>
      </c>
    </row>
    <row r="183">
      <c r="A183" s="382" t="n"/>
      <c r="B183" s="382" t="n"/>
      <c r="C183" s="382" t="n"/>
      <c r="D183" s="382" t="n"/>
      <c r="E183" s="382" t="n"/>
      <c r="F183" s="382" t="n"/>
      <c r="G183" s="382" t="n"/>
      <c r="H183" s="382" t="n"/>
      <c r="I183" s="382" t="n"/>
      <c r="J183" s="382" t="n"/>
      <c r="K183" s="382" t="n"/>
      <c r="L183" s="382" t="n"/>
      <c r="M183" s="382" t="n"/>
      <c r="N183" s="382" t="n"/>
      <c r="O183" s="382" t="n"/>
      <c r="P183" s="395" t="inlineStr">
        <is>
          <t>Personal Property Taxes</t>
        </is>
      </c>
    </row>
    <row r="184">
      <c r="A184" s="382" t="n"/>
      <c r="B184" s="382" t="n"/>
      <c r="C184" s="382" t="n"/>
      <c r="D184" s="382" t="n"/>
      <c r="E184" s="382" t="n"/>
      <c r="F184" s="382" t="n"/>
      <c r="G184" s="382" t="n"/>
      <c r="H184" s="382" t="n"/>
      <c r="I184" s="382" t="n"/>
      <c r="J184" s="382" t="n"/>
      <c r="K184" s="382" t="n"/>
      <c r="L184" s="382" t="n"/>
      <c r="M184" s="382" t="n"/>
      <c r="N184" s="382" t="n"/>
      <c r="O184" s="382" t="n"/>
      <c r="P184" s="395" t="inlineStr">
        <is>
          <t>Legal Expenses</t>
        </is>
      </c>
    </row>
    <row r="185">
      <c r="A185" s="382" t="n"/>
      <c r="B185" s="382" t="n"/>
      <c r="C185" s="382" t="n"/>
      <c r="D185" s="382" t="n"/>
      <c r="E185" s="382" t="n"/>
      <c r="F185" s="382" t="n"/>
      <c r="G185" s="382" t="n"/>
      <c r="H185" s="382" t="n"/>
      <c r="I185" s="382" t="n"/>
      <c r="J185" s="382" t="n"/>
      <c r="K185" s="382" t="n"/>
      <c r="L185" s="382" t="n"/>
      <c r="M185" s="382" t="n"/>
      <c r="N185" s="382" t="n"/>
      <c r="O185" s="382" t="n"/>
      <c r="P185" s="395" t="inlineStr">
        <is>
          <t>Professional Services</t>
        </is>
      </c>
    </row>
    <row r="186">
      <c r="A186" s="382" t="n"/>
      <c r="B186" s="382" t="n"/>
      <c r="C186" s="382" t="n"/>
      <c r="D186" s="382" t="n"/>
      <c r="E186" s="382" t="n"/>
      <c r="F186" s="382" t="n"/>
      <c r="G186" s="382" t="n"/>
      <c r="H186" s="382" t="n"/>
      <c r="I186" s="382" t="n"/>
      <c r="J186" s="382" t="n"/>
      <c r="K186" s="382" t="n"/>
      <c r="L186" s="382" t="n"/>
      <c r="M186" s="382" t="n"/>
      <c r="N186" s="382" t="n"/>
      <c r="O186" s="382" t="n"/>
      <c r="P186" s="395" t="inlineStr">
        <is>
          <t>Bad Debt Expense</t>
        </is>
      </c>
    </row>
    <row r="187">
      <c r="A187" s="382" t="n"/>
      <c r="B187" s="382" t="n"/>
      <c r="C187" s="382" t="n"/>
      <c r="D187" s="382" t="n"/>
      <c r="E187" s="382" t="n"/>
      <c r="F187" s="382" t="n"/>
      <c r="G187" s="382" t="n"/>
      <c r="H187" s="382" t="n"/>
      <c r="I187" s="382" t="n"/>
      <c r="J187" s="382" t="n"/>
      <c r="K187" s="382" t="n"/>
      <c r="L187" s="382" t="n"/>
      <c r="M187" s="382" t="n"/>
      <c r="N187" s="382" t="n"/>
      <c r="O187" s="382" t="n"/>
      <c r="P187" s="395" t="inlineStr">
        <is>
          <t>Permits, Licenses &amp; Dues</t>
        </is>
      </c>
    </row>
    <row r="188">
      <c r="A188" s="382" t="n"/>
      <c r="B188" s="382" t="n"/>
      <c r="C188" s="382" t="n"/>
      <c r="D188" s="382" t="n"/>
      <c r="E188" s="382" t="n"/>
      <c r="F188" s="382" t="n"/>
      <c r="G188" s="382" t="n"/>
      <c r="H188" s="382" t="n"/>
      <c r="I188" s="382" t="n"/>
      <c r="J188" s="382" t="n"/>
      <c r="K188" s="382" t="n"/>
      <c r="L188" s="382" t="n"/>
      <c r="M188" s="382" t="n"/>
      <c r="N188" s="382" t="n"/>
      <c r="O188" s="382" t="n"/>
      <c r="P188" s="395" t="inlineStr">
        <is>
          <t>Office, Admin &amp; G&amp;A</t>
        </is>
      </c>
    </row>
    <row r="189">
      <c r="A189" s="382" t="n"/>
      <c r="B189" s="382" t="n"/>
      <c r="C189" s="382" t="n"/>
      <c r="D189" s="382" t="n"/>
      <c r="E189" s="382" t="n"/>
      <c r="F189" s="382" t="n"/>
      <c r="G189" s="382" t="n"/>
      <c r="H189" s="382" t="n"/>
      <c r="I189" s="382" t="n"/>
      <c r="J189" s="382" t="n"/>
      <c r="K189" s="382" t="n"/>
      <c r="L189" s="382" t="n"/>
      <c r="M189" s="382" t="n"/>
      <c r="N189" s="382" t="n"/>
      <c r="O189" s="382" t="n"/>
      <c r="P189" s="395" t="inlineStr">
        <is>
          <t>Other / Miscellaneous</t>
        </is>
      </c>
    </row>
    <row r="190">
      <c r="A190" s="382" t="n"/>
      <c r="B190" s="382" t="n"/>
      <c r="C190" s="382" t="n"/>
      <c r="D190" s="382" t="n"/>
      <c r="E190" s="382" t="n"/>
      <c r="F190" s="382" t="n"/>
      <c r="G190" s="382" t="n"/>
      <c r="H190" s="382" t="n"/>
      <c r="I190" s="382" t="n"/>
      <c r="J190" s="382" t="n"/>
      <c r="K190" s="382" t="n"/>
      <c r="L190" s="382" t="n"/>
      <c r="M190" s="382" t="n"/>
      <c r="N190" s="382" t="n"/>
      <c r="O190" s="382" t="n"/>
      <c r="P190" s="395" t="inlineStr">
        <is>
          <t>Management Fee</t>
        </is>
      </c>
    </row>
    <row r="193">
      <c r="A193" s="955" t="inlineStr">
        <is>
          <t>J.  RAW TOTALS  —  Source-of-truth sums (should match Section H subtotals)</t>
        </is>
      </c>
    </row>
    <row r="194">
      <c r="A194" s="959" t="inlineStr">
        <is>
          <t>Total Revenue (raw, income-mapped)</t>
        </is>
      </c>
      <c r="O194" s="383" t="n">
        <v>0</v>
      </c>
    </row>
    <row r="195">
      <c r="A195" s="959" t="inlineStr">
        <is>
          <t>Total OpEx (raw, expense-mapped)</t>
        </is>
      </c>
      <c r="O195" s="383" t="n">
        <v>0</v>
      </c>
    </row>
    <row r="196">
      <c r="A196" s="959" t="inlineStr">
        <is>
          <t>EBITDAR</t>
        </is>
      </c>
      <c r="O196" s="383" t="n">
        <v>0</v>
      </c>
    </row>
    <row r="197">
      <c r="A197" s="959" t="inlineStr">
        <is>
          <t>Unmapped lines:</t>
        </is>
      </c>
      <c r="C197" s="396" t="n">
        <v>0</v>
      </c>
      <c r="D197" s="380" t="inlineStr">
        <is>
          <t>🟢 all mapped</t>
        </is>
      </c>
    </row>
  </sheetData>
  <mergeCells count="15">
    <mergeCell ref="A55:R55"/>
    <mergeCell ref="A29:R29"/>
    <mergeCell ref="A7:R7"/>
    <mergeCell ref="A57:R57"/>
    <mergeCell ref="A1:S1"/>
    <mergeCell ref="A46:R46"/>
    <mergeCell ref="A193:R193"/>
    <mergeCell ref="A37:R37"/>
    <mergeCell ref="A54:S54"/>
    <mergeCell ref="A139:S139"/>
    <mergeCell ref="A38:S38"/>
    <mergeCell ref="A2:S2"/>
    <mergeCell ref="A40:R40"/>
    <mergeCell ref="A18:R18"/>
    <mergeCell ref="A4:R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topLeftCell="A12" zoomScale="137" zoomScaleNormal="160" workbookViewId="0">
      <selection activeCell="F33" sqref="F33"/>
    </sheetView>
  </sheetViews>
  <sheetFormatPr baseColWidth="10" defaultColWidth="8.83203125" defaultRowHeight="15"/>
  <cols>
    <col width="27.33203125" customWidth="1" style="923" min="1" max="1"/>
    <col width="10.33203125" customWidth="1" style="923" min="2" max="2"/>
    <col width="33.5" customWidth="1" style="923" min="3" max="3"/>
    <col width="16" customWidth="1" style="923" min="4" max="4"/>
    <col width="10.5" customWidth="1" style="923" min="6" max="6"/>
    <col width="12.1640625" customWidth="1" style="923" min="7" max="7"/>
    <col width="13.83203125" customWidth="1" style="923" min="8" max="8"/>
  </cols>
  <sheetData>
    <row r="1" ht="24" customHeight="1" s="923">
      <c r="A1" s="938" t="inlineStr">
        <is>
          <t>ACQUISITION COSTS — USE OF CAPITAL</t>
        </is>
      </c>
    </row>
    <row r="3" ht="24" customHeight="1" s="923">
      <c r="A3" s="922" t="inlineStr">
        <is>
          <t>USE OF CAPITAL SUMMARY</t>
        </is>
      </c>
    </row>
    <row r="4" ht="18" customHeight="1" s="923">
      <c r="A4" s="8" t="inlineStr">
        <is>
          <t>Purchase Price</t>
        </is>
      </c>
      <c r="D4" s="21">
        <f>Scenarios!F7</f>
        <v/>
      </c>
    </row>
    <row r="5" ht="18" customHeight="1" s="923">
      <c r="A5" s="10" t="inlineStr">
        <is>
          <t>Less: Total Loan Amount</t>
        </is>
      </c>
      <c r="D5" s="460">
        <f>-Scenarios!F23</f>
        <v/>
      </c>
      <c r="F5" s="134" t="n"/>
      <c r="G5" s="73" t="n"/>
      <c r="H5" s="73" t="n"/>
    </row>
    <row r="6" ht="18" customHeight="1" s="923">
      <c r="A6" s="8" t="inlineStr">
        <is>
          <t>Down Payment Required</t>
        </is>
      </c>
      <c r="D6" s="21">
        <f>D4+D5</f>
        <v/>
      </c>
    </row>
    <row r="7" ht="18" customHeight="1" s="923">
      <c r="A7" s="10" t="inlineStr">
        <is>
          <t>Closing Costs</t>
        </is>
      </c>
      <c r="D7" s="29">
        <f>D37</f>
        <v/>
      </c>
    </row>
    <row r="8" ht="18" customHeight="1" s="923">
      <c r="A8" s="8" t="inlineStr">
        <is>
          <t>Acquisition Fee</t>
        </is>
      </c>
      <c r="B8" s="135">
        <f>Scenarios!F15</f>
        <v/>
      </c>
      <c r="D8" s="21">
        <f>Scenarios!F16</f>
        <v/>
      </c>
    </row>
    <row r="9" ht="18" customHeight="1" s="923">
      <c r="A9" s="10" t="inlineStr">
        <is>
          <t>Repair Escrow / CapEx</t>
        </is>
      </c>
      <c r="D9" s="23">
        <f>Scenarios!F12</f>
        <v/>
      </c>
    </row>
    <row r="10" ht="18" customHeight="1" s="923">
      <c r="A10" s="8" t="inlineStr">
        <is>
          <t>Operating Reserves</t>
        </is>
      </c>
      <c r="D10" s="21">
        <f>Scenarios!F13</f>
        <v/>
      </c>
    </row>
    <row r="11" ht="18" customHeight="1" s="923">
      <c r="A11" s="112" t="inlineStr">
        <is>
          <t>TOTAL CASH AT CLOSE</t>
        </is>
      </c>
      <c r="D11" s="76">
        <f>SUM(D6:D10)</f>
        <v/>
      </c>
      <c r="F11" s="134" t="n"/>
    </row>
    <row r="13" ht="24" customHeight="1" s="923">
      <c r="A13" s="938" t="inlineStr">
        <is>
          <t>CLOSING COSTS DETAIL</t>
        </is>
      </c>
    </row>
    <row r="14" ht="30" customHeight="1" s="923">
      <c r="A14" s="32" t="inlineStr">
        <is>
          <t>Item</t>
        </is>
      </c>
      <c r="B14" s="32" t="inlineStr">
        <is>
          <t>Rate/Factor</t>
        </is>
      </c>
      <c r="C14" s="32" t="inlineStr">
        <is>
          <t>Notes</t>
        </is>
      </c>
      <c r="D14" s="32" t="inlineStr">
        <is>
          <t>Amount</t>
        </is>
      </c>
    </row>
    <row r="15" ht="19.5" customHeight="1" s="923">
      <c r="A15" s="945" t="inlineStr">
        <is>
          <t>LENDER FEES &amp; THIRD-PARTY COSTS</t>
        </is>
      </c>
    </row>
    <row r="16" ht="18" customHeight="1" s="923">
      <c r="A16" s="65" t="inlineStr">
        <is>
          <t>Environmental (EDR)</t>
        </is>
      </c>
      <c r="C16" s="136" t="n"/>
      <c r="D16" s="66" t="n"/>
    </row>
    <row r="17" ht="18" customHeight="1" s="923">
      <c r="A17" s="62" t="inlineStr">
        <is>
          <t>Appraisal</t>
        </is>
      </c>
      <c r="C17" s="137" t="n"/>
      <c r="D17" s="63" t="n"/>
    </row>
    <row r="18" ht="18" customHeight="1" s="923">
      <c r="A18" s="65" t="inlineStr">
        <is>
          <t>Structural Inspection</t>
        </is>
      </c>
      <c r="D18" s="66" t="n"/>
    </row>
    <row r="19" ht="18" customHeight="1" s="923">
      <c r="A19" s="62" t="inlineStr">
        <is>
          <t>Lender Legal Fees</t>
        </is>
      </c>
      <c r="D19" s="63" t="n"/>
    </row>
    <row r="20" ht="18" customHeight="1" s="923">
      <c r="A20" s="65" t="inlineStr">
        <is>
          <t>Bank Doc Prep Fee</t>
        </is>
      </c>
      <c r="D20" s="66" t="n"/>
    </row>
    <row r="21" ht="18" customHeight="1" s="923">
      <c r="A21" s="62" t="inlineStr">
        <is>
          <t>Origination Fee</t>
        </is>
      </c>
      <c r="B21" s="461">
        <f>Scenarios!F146</f>
        <v/>
      </c>
      <c r="C21" s="138" t="inlineStr">
        <is>
          <t>Total origination fees — all tranches</t>
        </is>
      </c>
      <c r="D21" s="445">
        <f>Scenarios!F146*Scenarios!F141+Scenarios!F153*Scenarios!F148+Scenarios!F160*Scenarios!F155</f>
        <v/>
      </c>
    </row>
    <row r="22" ht="19.5" customHeight="1" s="923">
      <c r="A22" s="945" t="inlineStr">
        <is>
          <t>TITLE &amp; CLOSING COSTS</t>
        </is>
      </c>
    </row>
    <row r="23" ht="18" customHeight="1" s="923">
      <c r="A23" s="62" t="inlineStr">
        <is>
          <t>Title Policy</t>
        </is>
      </c>
      <c r="B23" s="139" t="n">
        <v>0.003</v>
      </c>
      <c r="C23" s="137" t="inlineStr">
        <is>
          <t>0.30% of purchase price</t>
        </is>
      </c>
      <c r="D23" s="21">
        <f>B23*Scenarios!F7</f>
        <v/>
      </c>
    </row>
    <row r="24" ht="18" customHeight="1" s="923">
      <c r="A24" s="65" t="inlineStr">
        <is>
          <t>Survey</t>
        </is>
      </c>
      <c r="D24" s="66" t="n"/>
    </row>
    <row r="25" ht="18" customHeight="1" s="923">
      <c r="A25" s="62" t="inlineStr">
        <is>
          <t>Recording</t>
        </is>
      </c>
      <c r="D25" s="63" t="n"/>
    </row>
    <row r="26" ht="18" customHeight="1" s="923">
      <c r="A26" s="65" t="inlineStr">
        <is>
          <t>Transfer Taxes</t>
        </is>
      </c>
      <c r="B26" s="140" t="n">
        <v>0.0035</v>
      </c>
      <c r="C26" s="141" t="inlineStr">
        <is>
          <t>0.35% of purchase price</t>
        </is>
      </c>
      <c r="D26" s="21">
        <f>B26*Scenarios!F7</f>
        <v/>
      </c>
    </row>
    <row r="27" ht="18" customHeight="1" s="923">
      <c r="A27" s="62" t="inlineStr">
        <is>
          <t>Title Processing Fee</t>
        </is>
      </c>
      <c r="D27" s="63" t="n"/>
    </row>
    <row r="28" ht="18" customHeight="1" s="923">
      <c r="A28" s="65" t="inlineStr">
        <is>
          <t>Title Search</t>
        </is>
      </c>
      <c r="D28" s="66" t="n"/>
    </row>
    <row r="29" ht="18" customHeight="1" s="923">
      <c r="A29" s="62" t="inlineStr">
        <is>
          <t>Attorney Fees</t>
        </is>
      </c>
      <c r="D29" s="63" t="n"/>
    </row>
    <row r="30" ht="19.5" customHeight="1" s="923">
      <c r="A30" s="945" t="inlineStr">
        <is>
          <t>OTHER COSTS</t>
        </is>
      </c>
    </row>
    <row r="31" ht="18" customHeight="1" s="923">
      <c r="A31" s="62" t="inlineStr">
        <is>
          <t>Legal (LLC, PPM, OA)</t>
        </is>
      </c>
      <c r="D31" s="63" t="n"/>
    </row>
    <row r="32" ht="18" customHeight="1" s="923">
      <c r="A32" s="65" t="inlineStr">
        <is>
          <t>Property Inspection</t>
        </is>
      </c>
      <c r="C32" s="88" t="n"/>
      <c r="D32" s="66" t="n"/>
    </row>
    <row r="33" ht="18" customHeight="1" s="923">
      <c r="A33" s="62" t="inlineStr">
        <is>
          <t>Travel</t>
        </is>
      </c>
      <c r="D33" s="63" t="n"/>
    </row>
    <row r="34" ht="18" customHeight="1" s="923">
      <c r="A34" s="65" t="inlineStr">
        <is>
          <t>Miscellaneous</t>
        </is>
      </c>
      <c r="D34" s="66" t="n"/>
    </row>
    <row r="35" ht="18" customHeight="1" s="923">
      <c r="A35" s="65" t="inlineStr">
        <is>
          <t>RE Taxes</t>
        </is>
      </c>
      <c r="D35" s="446">
        <f>Scenarios!F114/4</f>
        <v/>
      </c>
    </row>
    <row r="36" ht="18" customHeight="1" s="923">
      <c r="A36" s="65" t="inlineStr">
        <is>
          <t>Insurance</t>
        </is>
      </c>
      <c r="D36" s="446">
        <f>Scenarios!F110/4</f>
        <v/>
      </c>
    </row>
    <row r="37" ht="18" customHeight="1" s="923">
      <c r="A37" s="951" t="inlineStr">
        <is>
          <t>TOTAL CLOSING &amp; OTHER COSTS</t>
        </is>
      </c>
      <c r="D37" s="142">
        <f>IF(D4=0, "",SUM(D16:D36))</f>
        <v/>
      </c>
      <c r="E37" s="134" t="n"/>
    </row>
  </sheetData>
  <mergeCells count="7">
    <mergeCell ref="A1:D1"/>
    <mergeCell ref="A22:D22"/>
    <mergeCell ref="A37:C37"/>
    <mergeCell ref="A3:D3"/>
    <mergeCell ref="A30:D30"/>
    <mergeCell ref="A15:D15"/>
    <mergeCell ref="A13:D13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1"/>
  <sheetViews>
    <sheetView zoomScaleNormal="100" workbookViewId="0">
      <pane xSplit="2" ySplit="9" topLeftCell="C41" activePane="bottomRight" state="frozen"/>
      <selection pane="topRight" activeCell="C1" sqref="C1"/>
      <selection pane="bottomLeft" activeCell="A10" sqref="A10"/>
      <selection pane="bottomRight" activeCell="D78" sqref="D78"/>
    </sheetView>
  </sheetViews>
  <sheetFormatPr baseColWidth="10" defaultColWidth="8.83203125" defaultRowHeight="15"/>
  <cols>
    <col width="28" customWidth="1" style="923" min="1" max="1"/>
    <col width="15.33203125" bestFit="1" customWidth="1" style="923" min="2" max="2"/>
    <col width="26.33203125" bestFit="1" customWidth="1" style="923" min="3" max="3"/>
    <col width="59" bestFit="1" customWidth="1" style="923" min="4" max="4"/>
    <col width="46.33203125" bestFit="1" customWidth="1" style="923" min="5" max="5"/>
    <col width="8.6640625" bestFit="1" customWidth="1" style="923" min="6" max="6"/>
    <col width="7" bestFit="1" customWidth="1" style="923" min="7" max="7"/>
    <col width="9" customWidth="1" style="923" min="8" max="8"/>
    <col width="10" customWidth="1" style="923" min="9" max="10"/>
    <col width="12" customWidth="1" style="923" min="11" max="12"/>
    <col width="14" customWidth="1" style="923" min="13" max="13"/>
    <col width="10" customWidth="1" style="923" min="14" max="14"/>
    <col width="18" customWidth="1" style="923" min="15" max="15"/>
    <col width="12.5" customWidth="1" style="923" min="16" max="16"/>
  </cols>
  <sheetData>
    <row r="1" ht="24" customHeight="1" s="923">
      <c r="A1" s="938" t="inlineStr">
        <is>
          <t>STAFFING MATRIX — PER-SHIFT | FTE BUILD | HPPD | TOTAL PAYROLL → P&amp;L R28</t>
        </is>
      </c>
    </row>
    <row r="2" ht="15.75" customHeight="1" s="923">
      <c r="A2" s="934" t="inlineStr">
        <is>
          <t xml:space="preserve">  Blue=Input | Black=Formula | Green=Cross-sheet. Cell M69 (Total Payroll) feeds P&amp;L!C28 automatically. Census pulled from Scenarios sheet.</t>
        </is>
      </c>
    </row>
    <row r="4" ht="24" customHeight="1" s="923">
      <c r="A4" s="922" t="inlineStr">
        <is>
          <t>SECTION 1 — CENSUS &amp; STAFFING RATE ASSUMPTIONS</t>
        </is>
      </c>
    </row>
    <row r="5" ht="18" customHeight="1" s="923">
      <c r="A5" s="143" t="inlineStr">
        <is>
          <t>Total Units  (physical rooms, from Scenarios)</t>
        </is>
      </c>
      <c r="C5" s="144">
        <f>IFERROR(Scenarios!F8,90)</f>
        <v/>
      </c>
      <c r="D5" s="145" t="inlineStr">
        <is>
          <t>Physical rooms ≠ licensed beds — see Prop Info for bed count</t>
        </is>
      </c>
    </row>
    <row r="6" ht="18" customHeight="1" s="923">
      <c r="A6" s="146" t="inlineStr">
        <is>
          <t>AL Occupied Beds  (Y1 census)</t>
        </is>
      </c>
      <c r="C6" s="147" t="n"/>
      <c r="D6" s="87" t="inlineStr">
        <is>
          <t>Enter occupied bed count, not room count</t>
        </is>
      </c>
    </row>
    <row r="7" ht="18" customHeight="1" s="923">
      <c r="A7" s="146" t="inlineStr">
        <is>
          <t>MC Occupied Beds  (Y1 census)</t>
        </is>
      </c>
      <c r="C7" s="147" t="n"/>
      <c r="D7" s="87" t="inlineStr">
        <is>
          <t>Enter occupied bed count, not room count</t>
        </is>
      </c>
    </row>
    <row r="8" ht="18" customHeight="1" s="923">
      <c r="A8" s="146" t="inlineStr">
        <is>
          <t>IL Occupied Beds  (Y1 census)</t>
        </is>
      </c>
      <c r="C8" s="147" t="n"/>
    </row>
    <row r="9" ht="18" customHeight="1" s="923">
      <c r="A9" s="143" t="inlineStr">
        <is>
          <t>Total Care Residents  (AL + MC occupied beds)</t>
        </is>
      </c>
      <c r="C9" s="148">
        <f>C6+C7</f>
        <v/>
      </c>
    </row>
    <row r="10" ht="18" customHeight="1" s="923">
      <c r="A10" s="149" t="inlineStr">
        <is>
          <t>Licensed Beds  (from Prop Info — regulatory ceiling)</t>
        </is>
      </c>
      <c r="C10" s="150">
        <f>IFERROR('Prop Info'!$B$15,0)</f>
        <v/>
      </c>
      <c r="D10" s="151" t="inlineStr">
        <is>
          <t>Licensed beds = regulatory max. Occupied beds ≤ licensed beds.</t>
        </is>
      </c>
    </row>
    <row r="11" ht="19.5" customHeight="1" s="923">
      <c r="A11" s="945" t="inlineStr">
        <is>
          <t>Rate &amp; Cost Assumptions</t>
        </is>
      </c>
    </row>
    <row r="12" ht="18" customHeight="1" s="923">
      <c r="A12" s="62" t="inlineStr">
        <is>
          <t>Benefits Load (FICA + health + 401k)</t>
        </is>
      </c>
      <c r="C12" s="80" t="n">
        <v>0.2</v>
      </c>
      <c r="D12" s="152" t="inlineStr">
        <is>
          <t>Typical 18–22%</t>
        </is>
      </c>
    </row>
    <row r="13" ht="18" customHeight="1" s="923">
      <c r="A13" s="65" t="inlineStr">
        <is>
          <t>Overtime Load</t>
        </is>
      </c>
      <c r="C13" s="85" t="n">
        <v>0.05</v>
      </c>
      <c r="D13" s="153" t="inlineStr">
        <is>
          <t>5% of base wages; AL/MC often higher</t>
        </is>
      </c>
    </row>
    <row r="14" ht="18" customHeight="1" s="923">
      <c r="A14" s="62" t="inlineStr">
        <is>
          <t>Eve Differential ($/hr premium)</t>
        </is>
      </c>
      <c r="C14" s="154" t="n">
        <v>1.5</v>
      </c>
      <c r="D14" s="152" t="inlineStr">
        <is>
          <t>3p–11p shift</t>
        </is>
      </c>
    </row>
    <row r="15" ht="18" customHeight="1" s="923">
      <c r="A15" s="65" t="inlineStr">
        <is>
          <t>Night Differential ($/hr premium)</t>
        </is>
      </c>
      <c r="C15" s="155" t="n">
        <v>2.5</v>
      </c>
      <c r="D15" s="153" t="inlineStr">
        <is>
          <t>11p–7a shift</t>
        </is>
      </c>
    </row>
    <row r="16" ht="18" customHeight="1" s="923">
      <c r="A16" s="62" t="inlineStr">
        <is>
          <t>Weekend Premium ($/hr)</t>
        </is>
      </c>
      <c r="C16" s="154" t="n">
        <v>0.75</v>
      </c>
      <c r="D16" s="152" t="inlineStr">
        <is>
          <t>Added to shift differential</t>
        </is>
      </c>
    </row>
    <row r="18" ht="19.5" customHeight="1" s="923">
      <c r="A18" s="945" t="inlineStr">
        <is>
          <t>Target Staffing Ratios (residents : 1 staff)</t>
        </is>
      </c>
    </row>
    <row r="19" ht="15.75" customHeight="1" s="923">
      <c r="A19" s="934" t="inlineStr">
        <is>
          <t xml:space="preserve">  Ratio-driven CNA rows auto-calculate headcount. Verify against your state DOH minimum requirements.</t>
        </is>
      </c>
    </row>
    <row r="20" ht="18" customHeight="1" s="923">
      <c r="A20" s="62" t="inlineStr">
        <is>
          <t>AL — Day Shift (1:X residents per aide)</t>
        </is>
      </c>
      <c r="C20" s="97" t="n">
        <v>6</v>
      </c>
      <c r="D20" s="152" t="inlineStr">
        <is>
          <t>1:6 day; increase MC urgency</t>
        </is>
      </c>
    </row>
    <row r="21" ht="18" customHeight="1" s="923">
      <c r="A21" s="65" t="inlineStr">
        <is>
          <t>AL — Evening Shift (1:X)</t>
        </is>
      </c>
      <c r="C21" s="96" t="n">
        <v>7</v>
      </c>
      <c r="D21" s="153" t="inlineStr">
        <is>
          <t>1:7 eve; lighter acuity overnight</t>
        </is>
      </c>
    </row>
    <row r="22" ht="18" customHeight="1" s="923">
      <c r="A22" s="62" t="inlineStr">
        <is>
          <t>AL — Night Shift (1:X)</t>
        </is>
      </c>
      <c r="C22" s="97" t="n">
        <v>10</v>
      </c>
      <c r="D22" s="152" t="inlineStr">
        <is>
          <t>1:10 night minimum</t>
        </is>
      </c>
    </row>
    <row r="23" ht="18" customHeight="1" s="923">
      <c r="A23" s="65" t="inlineStr">
        <is>
          <t>MC — Day Shift (1:X)</t>
        </is>
      </c>
      <c r="C23" s="96" t="n">
        <v>5</v>
      </c>
      <c r="D23" s="153" t="inlineStr">
        <is>
          <t>1:5 MC day; CMS recommends closer to 1:4</t>
        </is>
      </c>
    </row>
    <row r="24" ht="18" customHeight="1" s="923">
      <c r="A24" s="62" t="inlineStr">
        <is>
          <t>MC — Evening Shift (1:X)</t>
        </is>
      </c>
      <c r="C24" s="97" t="n">
        <v>6</v>
      </c>
      <c r="D24" s="152" t="inlineStr">
        <is>
          <t>1:6 MC eve</t>
        </is>
      </c>
    </row>
    <row r="25" ht="18" customHeight="1" s="923">
      <c r="A25" s="65" t="inlineStr">
        <is>
          <t>MC — Night Shift (1:X)</t>
        </is>
      </c>
      <c r="C25" s="96" t="n">
        <v>8</v>
      </c>
      <c r="D25" s="153" t="inlineStr">
        <is>
          <t>1:8 MC night</t>
        </is>
      </c>
    </row>
    <row r="27" ht="24" customHeight="1" s="923">
      <c r="A27" s="938" t="inlineStr">
        <is>
          <t>SECTION 2 — PER-SHIFT HEADCOUNT MATRIX  (staff per shift × 6 shifts)</t>
        </is>
      </c>
    </row>
    <row r="28" ht="27.75" customHeight="1" s="923">
      <c r="C28" s="965" t="inlineStr">
        <is>
          <t>WEEKDAY</t>
        </is>
      </c>
      <c r="F28" s="964" t="inlineStr">
        <is>
          <t>WEEKEND</t>
        </is>
      </c>
      <c r="I28" s="32" t="inlineStr">
        <is>
          <t>Hrs/Wk</t>
        </is>
      </c>
      <c r="J28" s="32" t="inlineStr">
        <is>
          <t>FTEs</t>
        </is>
      </c>
      <c r="K28" s="32" t="inlineStr">
        <is>
          <t>Base
$/hr</t>
        </is>
      </c>
      <c r="L28" s="32" t="inlineStr">
        <is>
          <t>Shift-Adj
$/hr</t>
        </is>
      </c>
      <c r="M28" s="32" t="inlineStr">
        <is>
          <t>Annual
Cost ($)</t>
        </is>
      </c>
      <c r="N28" s="32" t="inlineStr">
        <is>
          <t>% Total
Payroll</t>
        </is>
      </c>
    </row>
    <row r="29" ht="27.75" customHeight="1" s="923">
      <c r="A29" s="42" t="inlineStr">
        <is>
          <t>Position</t>
        </is>
      </c>
      <c r="B29" s="32" t="inlineStr">
        <is>
          <t>Dept</t>
        </is>
      </c>
      <c r="C29" s="90" t="inlineStr">
        <is>
          <t>Day
7a–3p</t>
        </is>
      </c>
      <c r="D29" s="90" t="inlineStr">
        <is>
          <t>Eve
3p–11p</t>
        </is>
      </c>
      <c r="E29" s="90" t="inlineStr">
        <is>
          <t>Night
11p–7a</t>
        </is>
      </c>
      <c r="F29" s="19" t="inlineStr">
        <is>
          <t>Day
7a–3p</t>
        </is>
      </c>
      <c r="G29" s="19" t="inlineStr">
        <is>
          <t>Eve
3p–11p</t>
        </is>
      </c>
      <c r="H29" s="19" t="inlineStr">
        <is>
          <t>Night
11p–7a</t>
        </is>
      </c>
    </row>
    <row r="30" ht="19.5" customHeight="1" s="923">
      <c r="A30" s="945" t="inlineStr">
        <is>
          <t xml:space="preserve">  Care Staff</t>
        </is>
      </c>
    </row>
    <row r="31" ht="18" customHeight="1" s="923">
      <c r="A31" s="62" t="inlineStr">
        <is>
          <t>Director of Nursing</t>
        </is>
      </c>
      <c r="B31" s="156" t="inlineStr">
        <is>
          <t>Care</t>
        </is>
      </c>
      <c r="C31" s="97" t="n"/>
      <c r="D31" s="157" t="n">
        <v>0</v>
      </c>
      <c r="E31" s="157" t="n">
        <v>0</v>
      </c>
      <c r="F31" s="97" t="n"/>
      <c r="G31" s="157" t="n">
        <v>0</v>
      </c>
      <c r="H31" s="157" t="n">
        <v>0</v>
      </c>
      <c r="I31" s="158">
        <f>((C31+D31+E31)*5+(F31+G31+H31)*2)*8</f>
        <v/>
      </c>
      <c r="J31" s="123">
        <f>IFERROR(I31*52/2080,0)</f>
        <v/>
      </c>
      <c r="K31" s="159" t="n"/>
      <c r="L31" s="160">
        <f>IFERROR((C31*K31+D31*(K31+$C$14)+E31*(K31+$C$15)+F31*(K31+$C$16)+G31*(K31+$C$14+$C$16)+H31*(K31+$C$15+$C$16))/MAX(C31+D31+E31+F31+G31+H31,1),K31)</f>
        <v/>
      </c>
      <c r="M31" s="72">
        <f>IFERROR(J31*2080*L31*(1+$C$12)*(1+$C$13),0)</f>
        <v/>
      </c>
      <c r="N31" s="78">
        <f>IFERROR(M31/M67,0)</f>
        <v/>
      </c>
    </row>
    <row r="32" ht="18" customHeight="1" s="923">
      <c r="A32" s="65" t="inlineStr">
        <is>
          <t>RN / Asst DON</t>
        </is>
      </c>
      <c r="B32" s="161" t="inlineStr">
        <is>
          <t>Care</t>
        </is>
      </c>
      <c r="C32" s="96" t="n"/>
      <c r="D32" s="96" t="n"/>
      <c r="E32" s="162" t="n">
        <v>0</v>
      </c>
      <c r="F32" s="96" t="n"/>
      <c r="G32" s="162" t="n">
        <v>0</v>
      </c>
      <c r="H32" s="162" t="n">
        <v>0</v>
      </c>
      <c r="I32" s="163">
        <f>((C32+D32+E32)*5+(F32+G32+H32)*2)*8</f>
        <v/>
      </c>
      <c r="J32" s="164">
        <f>IFERROR(I32*52/2080,0)</f>
        <v/>
      </c>
      <c r="K32" s="159" t="n"/>
      <c r="L32" s="165">
        <f>IFERROR((C32*K32+D32*(K32+$C$14)+E32*(K32+$C$15)+F32*(K32+$C$16)+G32*(K32+$C$14+$C$16)+H32*(K32+$C$15+$C$16))/MAX(C32+D32+E32+F32+G32+H32,1),K32)</f>
        <v/>
      </c>
      <c r="M32" s="69">
        <f>IFERROR(J32*2080*L32*(1+$C$12)*(1+$C$13),0)</f>
        <v/>
      </c>
      <c r="N32" s="79">
        <f>IFERROR(M32/M67,0)</f>
        <v/>
      </c>
    </row>
    <row r="33" ht="18" customHeight="1" s="923">
      <c r="A33" s="62" t="inlineStr">
        <is>
          <t>Med Tech / CMA</t>
        </is>
      </c>
      <c r="B33" s="156" t="inlineStr">
        <is>
          <t>Care</t>
        </is>
      </c>
      <c r="C33" s="97" t="n"/>
      <c r="D33" s="97" t="n"/>
      <c r="E33" s="97" t="n"/>
      <c r="F33" s="97" t="n"/>
      <c r="G33" s="97" t="n"/>
      <c r="H33" s="97" t="n"/>
      <c r="I33" s="158">
        <f>((C33+D33+E33)*5+(F33+G33+H33)*2)*8</f>
        <v/>
      </c>
      <c r="J33" s="123">
        <f>IFERROR(I33*52/2080,0)</f>
        <v/>
      </c>
      <c r="K33" s="159" t="n"/>
      <c r="L33" s="160">
        <f>IFERROR((C33*K33+D33*(K33+$C$14)+E33*(K33+$C$15)+F33*(K33+$C$16)+G33*(K33+$C$14+$C$16)+H33*(K33+$C$15+$C$16))/MAX(C33+D33+E33+F33+G33+H33,1),K33)</f>
        <v/>
      </c>
      <c r="M33" s="72">
        <f>IFERROR(J33*2080*L33*(1+$C$12)*(1+$C$13),0)</f>
        <v/>
      </c>
      <c r="N33" s="78">
        <f>IFERROR(M33/M67,0)</f>
        <v/>
      </c>
    </row>
    <row r="34" ht="18" customHeight="1" s="923">
      <c r="A34" s="65" t="inlineStr">
        <is>
          <t>CNA — Day (AL)</t>
        </is>
      </c>
      <c r="B34" s="161" t="inlineStr">
        <is>
          <t>Care</t>
        </is>
      </c>
      <c r="C34" s="166">
        <f>IFERROR(CEILING(C6/C20,1),0)</f>
        <v/>
      </c>
      <c r="D34" s="162" t="n">
        <v>0</v>
      </c>
      <c r="E34" s="162" t="n">
        <v>0</v>
      </c>
      <c r="F34" s="166">
        <f>IFERROR(CEILING(C6/C20,1),0)</f>
        <v/>
      </c>
      <c r="G34" s="162" t="n">
        <v>0</v>
      </c>
      <c r="H34" s="162" t="n">
        <v>0</v>
      </c>
      <c r="I34" s="163">
        <f>((C34+D34+E34)*5+(F34+G34+H34)*2)*8</f>
        <v/>
      </c>
      <c r="J34" s="164">
        <f>IFERROR(I34*52/2080,0)</f>
        <v/>
      </c>
      <c r="K34" s="159" t="n"/>
      <c r="L34" s="165">
        <f>IFERROR((C34*K34+D34*(K34+$C$14)+E34*(K34+$C$15)+F34*(K34+$C$16)+G34*(K34+$C$14+$C$16)+H34*(K34+$C$15+$C$16))/MAX(C34+D34+E34+F34+G34+H34,1),K34)</f>
        <v/>
      </c>
      <c r="M34" s="69">
        <f>IFERROR(J34*2080*L34*(1+$C$12)*(1+$C$13),0)</f>
        <v/>
      </c>
      <c r="N34" s="79">
        <f>IFERROR(M34/M67,0)</f>
        <v/>
      </c>
    </row>
    <row r="35" ht="18" customHeight="1" s="923">
      <c r="A35" s="62" t="inlineStr">
        <is>
          <t>CNA — Eve (AL)</t>
        </is>
      </c>
      <c r="B35" s="156" t="inlineStr">
        <is>
          <t>Care</t>
        </is>
      </c>
      <c r="C35" s="157" t="n">
        <v>0</v>
      </c>
      <c r="D35" s="166">
        <f>IFERROR(CEILING(C6/C21,1),0)</f>
        <v/>
      </c>
      <c r="E35" s="157" t="n">
        <v>0</v>
      </c>
      <c r="F35" s="157" t="n">
        <v>0</v>
      </c>
      <c r="G35" s="166">
        <f>IFERROR(CEILING(C6/C21,1),0)</f>
        <v/>
      </c>
      <c r="H35" s="157" t="n">
        <v>0</v>
      </c>
      <c r="I35" s="158">
        <f>((C35+D35+E35)*5+(F35+G35+H35)*2)*8</f>
        <v/>
      </c>
      <c r="J35" s="123">
        <f>IFERROR(I35*52/2080,0)</f>
        <v/>
      </c>
      <c r="K35" s="159" t="n"/>
      <c r="L35" s="160">
        <f>IFERROR((C35*K35+D35*(K35+$C$14)+E35*(K35+$C$15)+F35*(K35+$C$16)+G35*(K35+$C$14+$C$16)+H35*(K35+$C$15+$C$16))/MAX(C35+D35+E35+F35+G35+H35,1),K35)</f>
        <v/>
      </c>
      <c r="M35" s="72">
        <f>IFERROR(J35*2080*L35*(1+$C$12)*(1+$C$13),0)</f>
        <v/>
      </c>
      <c r="N35" s="78">
        <f>IFERROR(M35/M67,0)</f>
        <v/>
      </c>
    </row>
    <row r="36" ht="18" customHeight="1" s="923">
      <c r="A36" s="65" t="inlineStr">
        <is>
          <t>CNA — Night (AL)</t>
        </is>
      </c>
      <c r="B36" s="161" t="inlineStr">
        <is>
          <t>Care</t>
        </is>
      </c>
      <c r="C36" s="162" t="n">
        <v>0</v>
      </c>
      <c r="D36" s="162" t="n">
        <v>0</v>
      </c>
      <c r="E36" s="166">
        <f>IFERROR(CEILING(C6/C22,1),0)</f>
        <v/>
      </c>
      <c r="F36" s="162" t="n">
        <v>0</v>
      </c>
      <c r="G36" s="162" t="n">
        <v>0</v>
      </c>
      <c r="H36" s="166">
        <f>IFERROR(CEILING(C6/C22,1),0)</f>
        <v/>
      </c>
      <c r="I36" s="163">
        <f>((C36+D36+E36)*5+(F36+G36+H36)*2)*8</f>
        <v/>
      </c>
      <c r="J36" s="164">
        <f>IFERROR(I36*52/2080,0)</f>
        <v/>
      </c>
      <c r="K36" s="159" t="n"/>
      <c r="L36" s="165">
        <f>IFERROR((C36*K36+D36*(K36+$C$14)+E36*(K36+$C$15)+F36*(K36+$C$16)+G36*(K36+$C$14+$C$16)+H36*(K36+$C$15+$C$16))/MAX(C36+D36+E36+F36+G36+H36,1),K36)</f>
        <v/>
      </c>
      <c r="M36" s="69">
        <f>IFERROR(J36*2080*L36*(1+$C$12)*(1+$C$13),0)</f>
        <v/>
      </c>
      <c r="N36" s="79">
        <f>IFERROR(M36/M67,0)</f>
        <v/>
      </c>
    </row>
    <row r="37" ht="18" customHeight="1" s="923">
      <c r="A37" s="62" t="inlineStr">
        <is>
          <t>CNA — Day (MC)</t>
        </is>
      </c>
      <c r="B37" s="156" t="inlineStr">
        <is>
          <t>Care</t>
        </is>
      </c>
      <c r="C37" s="166">
        <f>IFERROR(CEILING(C7/C23,1),0)</f>
        <v/>
      </c>
      <c r="D37" s="157" t="n">
        <v>0</v>
      </c>
      <c r="E37" s="157" t="n">
        <v>0</v>
      </c>
      <c r="F37" s="166">
        <f>IFERROR(CEILING(C7/C23,1),0)</f>
        <v/>
      </c>
      <c r="G37" s="157" t="n">
        <v>0</v>
      </c>
      <c r="H37" s="157" t="n">
        <v>0</v>
      </c>
      <c r="I37" s="158">
        <f>((C37+D37+E37)*5+(F37+G37+H37)*2)*8</f>
        <v/>
      </c>
      <c r="J37" s="123">
        <f>IFERROR(I37*52/2080,0)</f>
        <v/>
      </c>
      <c r="K37" s="159" t="n"/>
      <c r="L37" s="160">
        <f>IFERROR((C37*K37+D37*(K37+$C$14)+E37*(K37+$C$15)+F37*(K37+$C$16)+G37*(K37+$C$14+$C$16)+H37*(K37+$C$15+$C$16))/MAX(C37+D37+E37+F37+G37+H37,1),K37)</f>
        <v/>
      </c>
      <c r="M37" s="72">
        <f>IFERROR(J37*2080*L37*(1+$C$12)*(1+$C$13),0)</f>
        <v/>
      </c>
      <c r="N37" s="78">
        <f>IFERROR(M37/M67,0)</f>
        <v/>
      </c>
    </row>
    <row r="38" ht="18" customHeight="1" s="923">
      <c r="A38" s="65" t="inlineStr">
        <is>
          <t>CNA — Eve (MC)</t>
        </is>
      </c>
      <c r="B38" s="161" t="inlineStr">
        <is>
          <t>Care</t>
        </is>
      </c>
      <c r="C38" s="162" t="n">
        <v>0</v>
      </c>
      <c r="D38" s="166">
        <f>IFERROR(CEILING(C7/C24,1),0)</f>
        <v/>
      </c>
      <c r="E38" s="162" t="n">
        <v>0</v>
      </c>
      <c r="F38" s="162" t="n">
        <v>0</v>
      </c>
      <c r="G38" s="166">
        <f>IFERROR(CEILING(C7/C24,1),0)</f>
        <v/>
      </c>
      <c r="H38" s="162" t="n">
        <v>0</v>
      </c>
      <c r="I38" s="163">
        <f>((C38+D38+E38)*5+(F38+G38+H38)*2)*8</f>
        <v/>
      </c>
      <c r="J38" s="164">
        <f>IFERROR(I38*52/2080,0)</f>
        <v/>
      </c>
      <c r="K38" s="159" t="n"/>
      <c r="L38" s="165">
        <f>IFERROR((C38*K38+D38*(K38+$C$14)+E38*(K38+$C$15)+F38*(K38+$C$16)+G38*(K38+$C$14+$C$16)+H38*(K38+$C$15+$C$16))/MAX(C38+D38+E38+F38+G38+H38,1),K38)</f>
        <v/>
      </c>
      <c r="M38" s="69">
        <f>IFERROR(J38*2080*L38*(1+$C$12)*(1+$C$13),0)</f>
        <v/>
      </c>
      <c r="N38" s="79">
        <f>IFERROR(M38/M67,0)</f>
        <v/>
      </c>
    </row>
    <row r="39" ht="18" customHeight="1" s="923">
      <c r="A39" s="62" t="inlineStr">
        <is>
          <t>CNA — Night (MC)</t>
        </is>
      </c>
      <c r="B39" s="156" t="inlineStr">
        <is>
          <t>Care</t>
        </is>
      </c>
      <c r="C39" s="157" t="n">
        <v>0</v>
      </c>
      <c r="D39" s="157" t="n">
        <v>0</v>
      </c>
      <c r="E39" s="166">
        <f>IFERROR(CEILING(C7/C25,1),0)</f>
        <v/>
      </c>
      <c r="F39" s="157" t="n">
        <v>0</v>
      </c>
      <c r="G39" s="157" t="n">
        <v>0</v>
      </c>
      <c r="H39" s="166">
        <f>IFERROR(CEILING(C7/C25,1),0)</f>
        <v/>
      </c>
      <c r="I39" s="158">
        <f>((C39+D39+E39)*5+(F39+G39+H39)*2)*8</f>
        <v/>
      </c>
      <c r="J39" s="123">
        <f>IFERROR(I39*52/2080,0)</f>
        <v/>
      </c>
      <c r="K39" s="159" t="n"/>
      <c r="L39" s="160">
        <f>IFERROR((C39*K39+D39*(K39+$C$14)+E39*(K39+$C$15)+F39*(K39+$C$16)+G39*(K39+$C$14+$C$16)+H39*(K39+$C$15+$C$16))/MAX(C39+D39+E39+F39+G39+H39,1),K39)</f>
        <v/>
      </c>
      <c r="M39" s="72">
        <f>IFERROR(J39*2080*L39*(1+$C$12)*(1+$C$13),0)</f>
        <v/>
      </c>
      <c r="N39" s="78">
        <f>IFERROR(M39/M67,0)</f>
        <v/>
      </c>
    </row>
    <row r="40" ht="18" customHeight="1" s="923">
      <c r="A40" s="962" t="inlineStr">
        <is>
          <t xml:space="preserve">  Subtotal — Care Staff</t>
        </is>
      </c>
      <c r="C40" s="167">
        <f>SUM(C31:C39)</f>
        <v/>
      </c>
      <c r="D40" s="167">
        <f>SUM(D31:D39)</f>
        <v/>
      </c>
      <c r="E40" s="167">
        <f>SUM(E31:E39)</f>
        <v/>
      </c>
      <c r="F40" s="167">
        <f>SUM(F31:F39)</f>
        <v/>
      </c>
      <c r="G40" s="167">
        <f>SUM(G31:G39)</f>
        <v/>
      </c>
      <c r="H40" s="167">
        <f>SUM(H31:H39)</f>
        <v/>
      </c>
      <c r="I40" s="167">
        <f>SUM(I31:I39)</f>
        <v/>
      </c>
      <c r="J40" s="168">
        <f>SUM(J31:J39)</f>
        <v/>
      </c>
      <c r="K40" s="169" t="n"/>
      <c r="L40" s="169" t="n"/>
      <c r="M40" s="75">
        <f>SUM(M31:M39)</f>
        <v/>
      </c>
      <c r="N40" s="169" t="n"/>
    </row>
    <row r="42" ht="19.5" customHeight="1" s="923">
      <c r="A42" s="945" t="inlineStr">
        <is>
          <t xml:space="preserve">  Dining</t>
        </is>
      </c>
    </row>
    <row r="43" ht="18" customHeight="1" s="923">
      <c r="A43" s="62" t="inlineStr">
        <is>
          <t>Dining Manager / Chef</t>
        </is>
      </c>
      <c r="B43" s="156" t="inlineStr">
        <is>
          <t>Dining</t>
        </is>
      </c>
      <c r="C43" s="97" t="n"/>
      <c r="D43" s="97" t="n"/>
      <c r="E43" s="157" t="n">
        <v>0</v>
      </c>
      <c r="F43" s="97" t="n"/>
      <c r="G43" s="97" t="n"/>
      <c r="H43" s="157" t="n">
        <v>0</v>
      </c>
      <c r="I43" s="158">
        <f>((C43+D43+E43)*5+(F43+G43+H43)*2)*8</f>
        <v/>
      </c>
      <c r="J43" s="123">
        <f>IFERROR(I43*52/2080,0)</f>
        <v/>
      </c>
      <c r="K43" s="159" t="n"/>
      <c r="L43" s="160">
        <f>IFERROR((C43*K43+D43*(K43+$C$14)+E43*(K43+$C$15)+F43*(K43+$C$16)+G43*(K43+$C$14+$C$16)+H43*(K43+$C$15+$C$16))/MAX(C43+D43+E43+F43+G43+H43,1),K43)</f>
        <v/>
      </c>
      <c r="M43" s="72">
        <f>IFERROR(J43*2080*L43*(1+$C$12)*(1+$C$13),0)</f>
        <v/>
      </c>
      <c r="N43" s="78">
        <f>IFERROR(M43/M67,0)</f>
        <v/>
      </c>
    </row>
    <row r="44" ht="18" customHeight="1" s="923">
      <c r="A44" s="65" t="inlineStr">
        <is>
          <t>Cook</t>
        </is>
      </c>
      <c r="B44" s="161" t="inlineStr">
        <is>
          <t>Dining</t>
        </is>
      </c>
      <c r="C44" s="96" t="n"/>
      <c r="D44" s="96" t="n"/>
      <c r="E44" s="162" t="n">
        <v>0</v>
      </c>
      <c r="F44" s="96" t="n"/>
      <c r="G44" s="96" t="n"/>
      <c r="H44" s="162" t="n">
        <v>0</v>
      </c>
      <c r="I44" s="163">
        <f>((C44+D44+E44)*5+(F44+G44+H44)*2)*8</f>
        <v/>
      </c>
      <c r="J44" s="164">
        <f>IFERROR(I44*52/2080,0)</f>
        <v/>
      </c>
      <c r="K44" s="159" t="n"/>
      <c r="L44" s="165">
        <f>IFERROR((C44*K44+D44*(K44+$C$14)+E44*(K44+$C$15)+F44*(K44+$C$16)+G44*(K44+$C$14+$C$16)+H44*(K44+$C$15+$C$16))/MAX(C44+D44+E44+F44+G44+H44,1),K44)</f>
        <v/>
      </c>
      <c r="M44" s="69">
        <f>IFERROR(J44*2080*L44*(1+$C$12)*(1+$C$13),0)</f>
        <v/>
      </c>
      <c r="N44" s="79">
        <f>IFERROR(M44/M67,0)</f>
        <v/>
      </c>
    </row>
    <row r="45" ht="18" customHeight="1" s="923">
      <c r="A45" s="62" t="inlineStr">
        <is>
          <t>Dietary Aide / Server</t>
        </is>
      </c>
      <c r="B45" s="156" t="inlineStr">
        <is>
          <t>Dining</t>
        </is>
      </c>
      <c r="C45" s="97" t="n"/>
      <c r="D45" s="97" t="n"/>
      <c r="E45" s="157" t="n">
        <v>0</v>
      </c>
      <c r="F45" s="97" t="n"/>
      <c r="G45" s="97" t="n"/>
      <c r="H45" s="157" t="n">
        <v>0</v>
      </c>
      <c r="I45" s="158">
        <f>((C45+D45+E45)*5+(F45+G45+H45)*2)*8</f>
        <v/>
      </c>
      <c r="J45" s="123">
        <f>IFERROR(I45*52/2080,0)</f>
        <v/>
      </c>
      <c r="K45" s="159" t="n"/>
      <c r="L45" s="160">
        <f>IFERROR((C45*K45+D45*(K45+$C$14)+E45*(K45+$C$15)+F45*(K45+$C$16)+G45*(K45+$C$14+$C$16)+H45*(K45+$C$15+$C$16))/MAX(C45+D45+E45+F45+G45+H45,1),K45)</f>
        <v/>
      </c>
      <c r="M45" s="72">
        <f>IFERROR(J45*2080*L45*(1+$C$12)*(1+$C$13),0)</f>
        <v/>
      </c>
      <c r="N45" s="78">
        <f>IFERROR(M45/M67,0)</f>
        <v/>
      </c>
    </row>
    <row r="46" ht="18" customHeight="1" s="923">
      <c r="A46" s="65" t="inlineStr">
        <is>
          <t>Dishwasher</t>
        </is>
      </c>
      <c r="B46" s="161" t="inlineStr">
        <is>
          <t>Dining</t>
        </is>
      </c>
      <c r="C46" s="96" t="n"/>
      <c r="D46" s="96" t="n"/>
      <c r="E46" s="162" t="n">
        <v>0</v>
      </c>
      <c r="F46" s="96" t="n"/>
      <c r="G46" s="96" t="n"/>
      <c r="H46" s="162" t="n">
        <v>0</v>
      </c>
      <c r="I46" s="163">
        <f>((C46+D46+E46)*5+(F46+G46+H46)*2)*8</f>
        <v/>
      </c>
      <c r="J46" s="164">
        <f>IFERROR(I46*52/2080,0)</f>
        <v/>
      </c>
      <c r="K46" s="159" t="n"/>
      <c r="L46" s="165">
        <f>IFERROR((C46*K46+D46*(K46+$C$14)+E46*(K46+$C$15)+F46*(K46+$C$16)+G46*(K46+$C$14+$C$16)+H46*(K46+$C$15+$C$16))/MAX(C46+D46+E46+F46+G46+H46,1),K46)</f>
        <v/>
      </c>
      <c r="M46" s="69">
        <f>IFERROR(J46*2080*L46*(1+$C$12)*(1+$C$13),0)</f>
        <v/>
      </c>
      <c r="N46" s="79">
        <f>IFERROR(M46/M67,0)</f>
        <v/>
      </c>
    </row>
    <row r="47" ht="18" customHeight="1" s="923">
      <c r="A47" s="962" t="inlineStr">
        <is>
          <t xml:space="preserve">  Subtotal — Dining</t>
        </is>
      </c>
      <c r="C47" s="167">
        <f>SUM(C43:C46)</f>
        <v/>
      </c>
      <c r="D47" s="167">
        <f>SUM(D43:D46)</f>
        <v/>
      </c>
      <c r="E47" s="167">
        <f>SUM(E43:E46)</f>
        <v/>
      </c>
      <c r="F47" s="167">
        <f>SUM(F43:F46)</f>
        <v/>
      </c>
      <c r="G47" s="167">
        <f>SUM(G43:G46)</f>
        <v/>
      </c>
      <c r="H47" s="167">
        <f>SUM(H43:H46)</f>
        <v/>
      </c>
      <c r="I47" s="167">
        <f>SUM(I43:I46)</f>
        <v/>
      </c>
      <c r="J47" s="168">
        <f>SUM(J43:J46)</f>
        <v/>
      </c>
      <c r="K47" s="169" t="n"/>
      <c r="L47" s="169" t="n"/>
      <c r="M47" s="75">
        <f>SUM(M43:M46)</f>
        <v/>
      </c>
      <c r="N47" s="169" t="n"/>
    </row>
    <row r="49" ht="19.5" customHeight="1" s="923">
      <c r="A49" s="945" t="inlineStr">
        <is>
          <t xml:space="preserve">  Housekeeping / Laundry</t>
        </is>
      </c>
    </row>
    <row r="50" ht="18" customHeight="1" s="923">
      <c r="A50" s="62" t="inlineStr">
        <is>
          <t>Housekeeper Sup.</t>
        </is>
      </c>
      <c r="B50" s="156" t="inlineStr">
        <is>
          <t>H/K</t>
        </is>
      </c>
      <c r="C50" s="97" t="n"/>
      <c r="D50" s="157" t="n">
        <v>0</v>
      </c>
      <c r="E50" s="157" t="n">
        <v>0</v>
      </c>
      <c r="F50" s="97" t="n"/>
      <c r="G50" s="157" t="n">
        <v>0</v>
      </c>
      <c r="H50" s="157" t="n">
        <v>0</v>
      </c>
      <c r="I50" s="158">
        <f>((C50+D50+E50)*5+(F50+G50+H50)*2)*8</f>
        <v/>
      </c>
      <c r="J50" s="123">
        <f>IFERROR(I50*52/2080,0)</f>
        <v/>
      </c>
      <c r="K50" s="159" t="n"/>
      <c r="L50" s="160">
        <f>IFERROR((C50*K50+D50*(K50+$C$14)+E50*(K50+$C$15)+F50*(K50+$C$16)+G50*(K50+$C$14+$C$16)+H50*(K50+$C$15+$C$16))/MAX(C50+D50+E50+F50+G50+H50,1),K50)</f>
        <v/>
      </c>
      <c r="M50" s="72">
        <f>IFERROR(J50*2080*L50*(1+$C$12)*(1+$C$13),0)</f>
        <v/>
      </c>
      <c r="N50" s="78">
        <f>IFERROR(M50/M67,0)</f>
        <v/>
      </c>
    </row>
    <row r="51" ht="18" customHeight="1" s="923">
      <c r="A51" s="65" t="inlineStr">
        <is>
          <t>Housekeeper</t>
        </is>
      </c>
      <c r="B51" s="161" t="inlineStr">
        <is>
          <t>H/K</t>
        </is>
      </c>
      <c r="C51" s="96" t="n"/>
      <c r="D51" s="162" t="n">
        <v>0</v>
      </c>
      <c r="E51" s="162" t="n">
        <v>0</v>
      </c>
      <c r="F51" s="96" t="n"/>
      <c r="G51" s="162" t="n">
        <v>0</v>
      </c>
      <c r="H51" s="162" t="n">
        <v>0</v>
      </c>
      <c r="I51" s="163">
        <f>((C51+D51+E51)*5+(F51+G51+H51)*2)*8</f>
        <v/>
      </c>
      <c r="J51" s="164">
        <f>IFERROR(I51*52/2080,0)</f>
        <v/>
      </c>
      <c r="K51" s="159" t="n"/>
      <c r="L51" s="165">
        <f>IFERROR((C51*K51+D51*(K51+$C$14)+E51*(K51+$C$15)+F51*(K51+$C$16)+G51*(K51+$C$14+$C$16)+H51*(K51+$C$15+$C$16))/MAX(C51+D51+E51+F51+G51+H51,1),K51)</f>
        <v/>
      </c>
      <c r="M51" s="69">
        <f>IFERROR(J51*2080*L51*(1+$C$12)*(1+$C$13),0)</f>
        <v/>
      </c>
      <c r="N51" s="79">
        <f>IFERROR(M51/M67,0)</f>
        <v/>
      </c>
    </row>
    <row r="52" ht="18" customHeight="1" s="923">
      <c r="A52" s="62" t="inlineStr">
        <is>
          <t>Laundry Aide</t>
        </is>
      </c>
      <c r="B52" s="156" t="inlineStr">
        <is>
          <t>H/K</t>
        </is>
      </c>
      <c r="C52" s="97" t="n"/>
      <c r="D52" s="97" t="n"/>
      <c r="E52" s="157" t="n">
        <v>0</v>
      </c>
      <c r="F52" s="97" t="n"/>
      <c r="G52" s="157" t="n">
        <v>0</v>
      </c>
      <c r="H52" s="157" t="n">
        <v>0</v>
      </c>
      <c r="I52" s="158">
        <f>((C52+D52+E52)*5+(F52+G52+H52)*2)*8</f>
        <v/>
      </c>
      <c r="J52" s="123">
        <f>IFERROR(I52*52/2080,0)</f>
        <v/>
      </c>
      <c r="K52" s="159" t="n"/>
      <c r="L52" s="160">
        <f>IFERROR((C52*K52+D52*(K52+$C$14)+E52*(K52+$C$15)+F52*(K52+$C$16)+G52*(K52+$C$14+$C$16)+H52*(K52+$C$15+$C$16))/MAX(C52+D52+E52+F52+G52+H52,1),K52)</f>
        <v/>
      </c>
      <c r="M52" s="72">
        <f>IFERROR(J52*2080*L52*(1+$C$12)*(1+$C$13),0)</f>
        <v/>
      </c>
      <c r="N52" s="78">
        <f>IFERROR(M52/M67,0)</f>
        <v/>
      </c>
    </row>
    <row r="53" ht="18" customHeight="1" s="923">
      <c r="A53" s="962" t="inlineStr">
        <is>
          <t xml:space="preserve">  Subtotal — Housekeeping / Laundry</t>
        </is>
      </c>
      <c r="C53" s="167">
        <f>SUM(C50:C52)</f>
        <v/>
      </c>
      <c r="D53" s="167">
        <f>SUM(D50:D52)</f>
        <v/>
      </c>
      <c r="E53" s="167">
        <f>SUM(E50:E52)</f>
        <v/>
      </c>
      <c r="F53" s="167">
        <f>SUM(F50:F52)</f>
        <v/>
      </c>
      <c r="G53" s="167">
        <f>SUM(G50:G52)</f>
        <v/>
      </c>
      <c r="H53" s="167">
        <f>SUM(H50:H52)</f>
        <v/>
      </c>
      <c r="I53" s="167">
        <f>SUM(I50:I52)</f>
        <v/>
      </c>
      <c r="J53" s="168">
        <f>SUM(J50:J52)</f>
        <v/>
      </c>
      <c r="K53" s="169" t="n"/>
      <c r="L53" s="169" t="n"/>
      <c r="M53" s="75">
        <f>SUM(M50:M52)</f>
        <v/>
      </c>
      <c r="N53" s="169" t="n"/>
    </row>
    <row r="55" ht="19.5" customHeight="1" s="923">
      <c r="A55" s="945" t="inlineStr">
        <is>
          <t xml:space="preserve">  Maintenance, Activities &amp; Admin</t>
        </is>
      </c>
    </row>
    <row r="56" ht="18" customHeight="1" s="923">
      <c r="A56" s="62" t="inlineStr">
        <is>
          <t>Maintenance Sup.</t>
        </is>
      </c>
      <c r="B56" s="156" t="inlineStr">
        <is>
          <t>Maint</t>
        </is>
      </c>
      <c r="C56" s="97" t="n"/>
      <c r="D56" s="157" t="n">
        <v>0</v>
      </c>
      <c r="E56" s="157" t="n">
        <v>0</v>
      </c>
      <c r="F56" s="97" t="n"/>
      <c r="G56" s="157" t="n">
        <v>0</v>
      </c>
      <c r="H56" s="157" t="n">
        <v>0</v>
      </c>
      <c r="I56" s="158">
        <f>((C56+D56+E56)*5+(F56+G56+H56)*2)*8</f>
        <v/>
      </c>
      <c r="J56" s="123">
        <f>IFERROR(I56*52/2080,0)</f>
        <v/>
      </c>
      <c r="K56" s="159" t="n"/>
      <c r="L56" s="160">
        <f>IFERROR((C56*K56+D56*(K56+$C$14)+E56*(K56+$C$15)+F56*(K56+$C$16)+G56*(K56+$C$14+$C$16)+H56*(K56+$C$15+$C$16))/MAX(C56+D56+E56+F56+G56+H56,1),K56)</f>
        <v/>
      </c>
      <c r="M56" s="72">
        <f>IFERROR(J56*2080*L56*(1+$C$12)*(1+$C$13),0)</f>
        <v/>
      </c>
      <c r="N56" s="78">
        <f>IFERROR(M56/M67,0)</f>
        <v/>
      </c>
    </row>
    <row r="57" ht="18" customHeight="1" s="923">
      <c r="A57" s="65" t="inlineStr">
        <is>
          <t>Maintenance Tech</t>
        </is>
      </c>
      <c r="B57" s="161" t="inlineStr">
        <is>
          <t>Maint</t>
        </is>
      </c>
      <c r="C57" s="96" t="n"/>
      <c r="D57" s="162" t="n">
        <v>0</v>
      </c>
      <c r="E57" s="162" t="n">
        <v>0</v>
      </c>
      <c r="F57" s="96" t="n"/>
      <c r="G57" s="162" t="n">
        <v>0</v>
      </c>
      <c r="H57" s="162" t="n">
        <v>0</v>
      </c>
      <c r="I57" s="163">
        <f>((C57+D57+E57)*5+(F57+G57+H57)*2)*8</f>
        <v/>
      </c>
      <c r="J57" s="164">
        <f>IFERROR(I57*52/2080,0)</f>
        <v/>
      </c>
      <c r="K57" s="159" t="n"/>
      <c r="L57" s="165">
        <f>IFERROR((C57*K57+D57*(K57+$C$14)+E57*(K57+$C$15)+F57*(K57+$C$16)+G57*(K57+$C$14+$C$16)+H57*(K57+$C$15+$C$16))/MAX(C57+D57+E57+F57+G57+H57,1),K57)</f>
        <v/>
      </c>
      <c r="M57" s="69">
        <f>IFERROR(J57*2080*L57*(1+$C$12)*(1+$C$13),0)</f>
        <v/>
      </c>
      <c r="N57" s="79">
        <f>IFERROR(M57/M67,0)</f>
        <v/>
      </c>
    </row>
    <row r="58" ht="18" customHeight="1" s="923">
      <c r="A58" s="62" t="inlineStr">
        <is>
          <t>Activities Director</t>
        </is>
      </c>
      <c r="B58" s="156" t="inlineStr">
        <is>
          <t>Admin</t>
        </is>
      </c>
      <c r="C58" s="97" t="n"/>
      <c r="D58" s="97" t="n"/>
      <c r="E58" s="157" t="n">
        <v>0</v>
      </c>
      <c r="F58" s="97" t="n"/>
      <c r="G58" s="97" t="n"/>
      <c r="H58" s="157" t="n">
        <v>0</v>
      </c>
      <c r="I58" s="158">
        <f>((C58+D58+E58)*5+(F58+G58+H58)*2)*8</f>
        <v/>
      </c>
      <c r="J58" s="123">
        <f>IFERROR(I58*52/2080,0)</f>
        <v/>
      </c>
      <c r="K58" s="159" t="n"/>
      <c r="L58" s="160">
        <f>IFERROR((C58*K58+D58*(K58+$C$14)+E58*(K58+$C$15)+F58*(K58+$C$16)+G58*(K58+$C$14+$C$16)+H58*(K58+$C$15+$C$16))/MAX(C58+D58+E58+F58+G58+H58,1),K58)</f>
        <v/>
      </c>
      <c r="M58" s="72">
        <f>IFERROR(J58*2080*L58*(1+$C$12)*(1+$C$13),0)</f>
        <v/>
      </c>
      <c r="N58" s="78">
        <f>IFERROR(M58/M67,0)</f>
        <v/>
      </c>
    </row>
    <row r="59" ht="18" customHeight="1" s="923">
      <c r="A59" s="65" t="inlineStr">
        <is>
          <t>Activities Aide</t>
        </is>
      </c>
      <c r="B59" s="161" t="inlineStr">
        <is>
          <t>Admin</t>
        </is>
      </c>
      <c r="C59" s="96" t="n"/>
      <c r="D59" s="96" t="n"/>
      <c r="E59" s="162" t="n">
        <v>0</v>
      </c>
      <c r="F59" s="96" t="n"/>
      <c r="G59" s="96" t="n"/>
      <c r="H59" s="162" t="n">
        <v>0</v>
      </c>
      <c r="I59" s="163">
        <f>((C59+D59+E59)*5+(F59+G59+H59)*2)*8</f>
        <v/>
      </c>
      <c r="J59" s="164">
        <f>IFERROR(I59*52/2080,0)</f>
        <v/>
      </c>
      <c r="K59" s="159" t="n"/>
      <c r="L59" s="165">
        <f>IFERROR((C59*K59+D59*(K59+$C$14)+E59*(K59+$C$15)+F59*(K59+$C$16)+G59*(K59+$C$14+$C$16)+H59*(K59+$C$15+$C$16))/MAX(C59+D59+E59+F59+G59+H59,1),K59)</f>
        <v/>
      </c>
      <c r="M59" s="69">
        <f>IFERROR(J59*2080*L59*(1+$C$12)*(1+$C$13),0)</f>
        <v/>
      </c>
      <c r="N59" s="79">
        <f>IFERROR(M59/M67,0)</f>
        <v/>
      </c>
    </row>
    <row r="60" ht="18" customHeight="1" s="923">
      <c r="A60" s="62" t="inlineStr">
        <is>
          <t>Sales / Mktg Director</t>
        </is>
      </c>
      <c r="B60" s="156" t="inlineStr">
        <is>
          <t>Admin</t>
        </is>
      </c>
      <c r="C60" s="97" t="n"/>
      <c r="D60" s="157" t="n">
        <v>0</v>
      </c>
      <c r="E60" s="157" t="n">
        <v>0</v>
      </c>
      <c r="F60" s="97" t="n"/>
      <c r="G60" s="157" t="n">
        <v>0</v>
      </c>
      <c r="H60" s="157" t="n">
        <v>0</v>
      </c>
      <c r="I60" s="158">
        <f>((C60+D60+E60)*5+(F60+G60+H60)*2)*8</f>
        <v/>
      </c>
      <c r="J60" s="123">
        <f>IFERROR(I60*52/2080,0)</f>
        <v/>
      </c>
      <c r="K60" s="159" t="n"/>
      <c r="L60" s="160">
        <f>IFERROR((C60*K60+D60*(K60+$C$14)+E60*(K60+$C$15)+F60*(K60+$C$16)+G60*(K60+$C$14+$C$16)+H60*(K60+$C$15+$C$16))/MAX(C60+D60+E60+F60+G60+H60,1),K60)</f>
        <v/>
      </c>
      <c r="M60" s="72">
        <f>IFERROR(J60*2080*L60*(1+$C$12)*(1+$C$13),0)</f>
        <v/>
      </c>
      <c r="N60" s="78">
        <f>IFERROR(M60/M67,0)</f>
        <v/>
      </c>
    </row>
    <row r="61" ht="18" customHeight="1" s="923">
      <c r="A61" s="65" t="inlineStr">
        <is>
          <t>Business Office Mgr</t>
        </is>
      </c>
      <c r="B61" s="161" t="inlineStr">
        <is>
          <t>Admin</t>
        </is>
      </c>
      <c r="C61" s="96" t="n"/>
      <c r="D61" s="162" t="n">
        <v>0</v>
      </c>
      <c r="E61" s="162" t="n">
        <v>0</v>
      </c>
      <c r="F61" s="162" t="n">
        <v>0</v>
      </c>
      <c r="G61" s="162" t="n">
        <v>0</v>
      </c>
      <c r="H61" s="162" t="n">
        <v>0</v>
      </c>
      <c r="I61" s="163">
        <f>((C61+D61+E61)*5+(F61+G61+H61)*2)*8</f>
        <v/>
      </c>
      <c r="J61" s="164">
        <f>IFERROR(I61*52/2080,0)</f>
        <v/>
      </c>
      <c r="K61" s="159" t="n"/>
      <c r="L61" s="165">
        <f>IFERROR((C61*K61+D61*(K61+$C$14)+E61*(K61+$C$15)+F61*(K61+$C$16)+G61*(K61+$C$14+$C$16)+H61*(K61+$C$15+$C$16))/MAX(C61+D61+E61+F61+G61+H61,1),K61)</f>
        <v/>
      </c>
      <c r="M61" s="69">
        <f>IFERROR(J61*2080*L61*(1+$C$12)*(1+$C$13),0)</f>
        <v/>
      </c>
      <c r="N61" s="79">
        <f>IFERROR(M61/M67,0)</f>
        <v/>
      </c>
    </row>
    <row r="62" ht="18" customHeight="1" s="923">
      <c r="A62" s="62" t="inlineStr">
        <is>
          <t>Receptionist</t>
        </is>
      </c>
      <c r="B62" s="156" t="inlineStr">
        <is>
          <t>Admin</t>
        </is>
      </c>
      <c r="C62" s="97" t="n"/>
      <c r="D62" s="97" t="n"/>
      <c r="E62" s="157" t="n">
        <v>0</v>
      </c>
      <c r="F62" s="97" t="n"/>
      <c r="G62" s="157" t="n">
        <v>0</v>
      </c>
      <c r="H62" s="157" t="n">
        <v>0</v>
      </c>
      <c r="I62" s="158">
        <f>((C62+D62+E62)*5+(F62+G62+H62)*2)*8</f>
        <v/>
      </c>
      <c r="J62" s="123">
        <f>IFERROR(I62*52/2080,0)</f>
        <v/>
      </c>
      <c r="K62" s="159" t="n"/>
      <c r="L62" s="160">
        <f>IFERROR((C62*K62+D62*(K62+$C$14)+E62*(K62+$C$15)+F62*(K62+$C$16)+G62*(K62+$C$14+$C$16)+H62*(K62+$C$15+$C$16))/MAX(C62+D62+E62+F62+G62+H62,1),K62)</f>
        <v/>
      </c>
      <c r="M62" s="72">
        <f>IFERROR(J62*2080*L62*(1+$C$12)*(1+$C$13),0)</f>
        <v/>
      </c>
      <c r="N62" s="78">
        <f>IFERROR(M62/M67,0)</f>
        <v/>
      </c>
    </row>
    <row r="63" ht="18" customHeight="1" s="923">
      <c r="A63" s="65" t="inlineStr">
        <is>
          <t>Transportation Driver</t>
        </is>
      </c>
      <c r="B63" s="161" t="inlineStr">
        <is>
          <t>Admin</t>
        </is>
      </c>
      <c r="C63" s="96" t="n"/>
      <c r="D63" s="162" t="n">
        <v>0</v>
      </c>
      <c r="E63" s="162" t="n">
        <v>0</v>
      </c>
      <c r="F63" s="162" t="n">
        <v>0</v>
      </c>
      <c r="G63" s="162" t="n">
        <v>0</v>
      </c>
      <c r="H63" s="162" t="n">
        <v>0</v>
      </c>
      <c r="I63" s="163">
        <f>((C63+D63+E63)*5+(F63+G63+H63)*2)*8</f>
        <v/>
      </c>
      <c r="J63" s="164">
        <f>IFERROR(I63*52/2080,0)</f>
        <v/>
      </c>
      <c r="K63" s="159" t="n"/>
      <c r="L63" s="165">
        <f>IFERROR((C63*K63+D63*(K63+$C$14)+E63*(K63+$C$15)+F63*(K63+$C$16)+G63*(K63+$C$14+$C$16)+H63*(K63+$C$15+$C$16))/MAX(C63+D63+E63+F63+G63+H63,1),K63)</f>
        <v/>
      </c>
      <c r="M63" s="69">
        <f>IFERROR(J63*2080*L63*(1+$C$12)*(1+$C$13),0)</f>
        <v/>
      </c>
      <c r="N63" s="79">
        <f>IFERROR(M63/M67,0)</f>
        <v/>
      </c>
    </row>
    <row r="64" ht="18" customHeight="1" s="923">
      <c r="A64" s="62" t="inlineStr">
        <is>
          <t>Executive Director</t>
        </is>
      </c>
      <c r="B64" s="156" t="inlineStr">
        <is>
          <t>Admin</t>
        </is>
      </c>
      <c r="C64" s="97" t="n"/>
      <c r="D64" s="157" t="n">
        <v>0</v>
      </c>
      <c r="E64" s="157" t="n">
        <v>0</v>
      </c>
      <c r="F64" s="157" t="n">
        <v>0</v>
      </c>
      <c r="G64" s="157" t="n">
        <v>0</v>
      </c>
      <c r="H64" s="157" t="n">
        <v>0</v>
      </c>
      <c r="I64" s="158">
        <f>((C64+D64+E64)*5+(F64+G64+H64)*2)*8</f>
        <v/>
      </c>
      <c r="J64" s="123">
        <f>IFERROR(I64*52/2080,0)</f>
        <v/>
      </c>
      <c r="K64" s="159" t="n"/>
      <c r="L64" s="160">
        <f>IFERROR((C64*K64+D64*(K64+$C$14)+E64*(K64+$C$15)+F64*(K64+$C$16)+G64*(K64+$C$14+$C$16)+H64*(K64+$C$15+$C$16))/MAX(C64+D64+E64+F64+G64+H64,1),K64)</f>
        <v/>
      </c>
      <c r="M64" s="72">
        <f>IFERROR(J64*2080*L64*(1+$C$12)*(1+$C$13),0)</f>
        <v/>
      </c>
      <c r="N64" s="78">
        <f>IFERROR(M64/M67,0)</f>
        <v/>
      </c>
    </row>
    <row r="65" ht="18" customHeight="1" s="923">
      <c r="A65" s="962" t="inlineStr">
        <is>
          <t xml:space="preserve">  Subtotal — Maintenance, Activities &amp; Admin</t>
        </is>
      </c>
      <c r="C65" s="167">
        <f>SUM(C56:C64)</f>
        <v/>
      </c>
      <c r="D65" s="167">
        <f>SUM(D56:D64)</f>
        <v/>
      </c>
      <c r="E65" s="167">
        <f>SUM(E56:E64)</f>
        <v/>
      </c>
      <c r="F65" s="167">
        <f>SUM(F56:F64)</f>
        <v/>
      </c>
      <c r="G65" s="167">
        <f>SUM(G56:G64)</f>
        <v/>
      </c>
      <c r="H65" s="167">
        <f>SUM(H56:H64)</f>
        <v/>
      </c>
      <c r="I65" s="167">
        <f>SUM(I56:I64)</f>
        <v/>
      </c>
      <c r="J65" s="168">
        <f>SUM(J56:J64)</f>
        <v/>
      </c>
      <c r="K65" s="169" t="n"/>
      <c r="L65" s="169" t="n"/>
      <c r="M65" s="75">
        <f>SUM(M56:M64)</f>
        <v/>
      </c>
      <c r="N65" s="169" t="n"/>
    </row>
    <row r="67" ht="21.75" customHeight="1" s="923">
      <c r="A67" s="938" t="inlineStr">
        <is>
          <t>TOTAL PAYROLL — ALL DEPARTMENTS  →→  feeds P&amp;L row 28</t>
        </is>
      </c>
      <c r="C67" s="170">
        <f>C40+C47+C53+C65</f>
        <v/>
      </c>
      <c r="D67" s="170">
        <f>D40+D47+D53+D65</f>
        <v/>
      </c>
      <c r="E67" s="170">
        <f>E40+E47+E53+E65</f>
        <v/>
      </c>
      <c r="F67" s="170">
        <f>F40+F47+F53+F65</f>
        <v/>
      </c>
      <c r="G67" s="170">
        <f>G40+G47+G53+G65</f>
        <v/>
      </c>
      <c r="H67" s="170">
        <f>H40+H47+H53+H65</f>
        <v/>
      </c>
      <c r="I67" s="170">
        <f>I40+I47+I53+I65</f>
        <v/>
      </c>
      <c r="J67" s="171">
        <f>J40+J47+J53+J65</f>
        <v/>
      </c>
      <c r="K67" s="172" t="n"/>
      <c r="L67" s="172" t="n"/>
      <c r="M67" s="142">
        <f>M40+M47+M53+M65+O67</f>
        <v/>
      </c>
      <c r="N67" s="172" t="n"/>
      <c r="O67" s="173" t="n"/>
      <c r="P67" s="174" t="inlineStr">
        <is>
          <t>Manual Entry</t>
        </is>
      </c>
    </row>
    <row r="69" ht="24" customHeight="1" s="923">
      <c r="A69" s="922" t="inlineStr">
        <is>
          <t>SECTION 3 — STAFFING LOAD HEATMAP  (actual vs. target ratios per shift)</t>
        </is>
      </c>
    </row>
    <row r="70" ht="15.75" customHeight="1" s="923">
      <c r="A70" s="963" t="inlineStr">
        <is>
          <t xml:space="preserve">  Green=at/below target | Orange=10–20% over target | Red=&gt;20% over (understaffing risk)</t>
        </is>
      </c>
    </row>
    <row r="71" ht="27.75" customHeight="1" s="923">
      <c r="A71" s="19" t="inlineStr">
        <is>
          <t>Shift</t>
        </is>
      </c>
      <c r="B71" s="19" t="inlineStr">
        <is>
          <t>Residents</t>
        </is>
      </c>
      <c r="C71" s="19" t="inlineStr">
        <is>
          <t>WD Staff</t>
        </is>
      </c>
      <c r="D71" s="19" t="inlineStr">
        <is>
          <t>WD Ratio
(R:S)</t>
        </is>
      </c>
      <c r="E71" s="19" t="inlineStr">
        <is>
          <t>WE Staff</t>
        </is>
      </c>
      <c r="F71" s="19" t="inlineStr">
        <is>
          <t>WE Ratio
(R:S)</t>
        </is>
      </c>
      <c r="G71" s="19" t="inlineStr">
        <is>
          <t>Target
Ratio</t>
        </is>
      </c>
      <c r="H71" s="19" t="inlineStr">
        <is>
          <t>WD vs
Target</t>
        </is>
      </c>
      <c r="I71" s="19" t="inlineStr">
        <is>
          <t>Status</t>
        </is>
      </c>
      <c r="J71" s="19" t="inlineStr">
        <is>
          <t>HPPD</t>
        </is>
      </c>
      <c r="K71" s="19" t="inlineStr">
        <is>
          <t>Benchmark</t>
        </is>
      </c>
    </row>
    <row r="72" ht="18" customHeight="1" s="923">
      <c r="A72" s="8" t="inlineStr">
        <is>
          <t>AL — Day   (7a–3p)</t>
        </is>
      </c>
      <c r="B72" s="33">
        <f>C6</f>
        <v/>
      </c>
      <c r="C72" s="33">
        <f>C34</f>
        <v/>
      </c>
      <c r="D72" s="123">
        <f>IFERROR(C6/C34,0)</f>
        <v/>
      </c>
      <c r="E72" s="33">
        <f>F34</f>
        <v/>
      </c>
      <c r="F72" s="123">
        <f>IFERROR(C6/F34,0)</f>
        <v/>
      </c>
      <c r="G72" s="122">
        <f>C20</f>
        <v/>
      </c>
      <c r="H72" s="123">
        <f>IFERROR(D72-G72,0)</f>
        <v/>
      </c>
      <c r="I72" s="36">
        <f>IFERROR(IF(D72&lt;=G72,"On target",IF(D72&lt;=G72*1.2,"Slightly over","Understaffed")),"-")</f>
        <v/>
      </c>
      <c r="J72" s="123">
        <f>IFERROR(C34*8/C6,0)</f>
        <v/>
      </c>
      <c r="K72" s="175" t="n"/>
    </row>
    <row r="73" ht="18" customHeight="1" s="923">
      <c r="A73" s="10" t="inlineStr">
        <is>
          <t>AL — Eve   (3p–11p)</t>
        </is>
      </c>
      <c r="B73" s="13">
        <f>C6</f>
        <v/>
      </c>
      <c r="C73" s="13">
        <f>D35</f>
        <v/>
      </c>
      <c r="D73" s="164">
        <f>IFERROR(C6/D35,0)</f>
        <v/>
      </c>
      <c r="E73" s="13">
        <f>G35</f>
        <v/>
      </c>
      <c r="F73" s="164">
        <f>IFERROR(C6/G35,0)</f>
        <v/>
      </c>
      <c r="G73" s="176">
        <f>C21</f>
        <v/>
      </c>
      <c r="H73" s="164">
        <f>IFERROR(D73-G73,0)</f>
        <v/>
      </c>
      <c r="I73" s="37">
        <f>IFERROR(IF(D73&lt;=G73,"On target",IF(D73&lt;=G73*1.2,"Slightly over","Understaffed")),"-")</f>
        <v/>
      </c>
      <c r="J73" s="164">
        <f>IFERROR(D35*8/C6,0)</f>
        <v/>
      </c>
      <c r="K73" s="177" t="n"/>
    </row>
    <row r="74" ht="18" customHeight="1" s="923">
      <c r="A74" s="8" t="inlineStr">
        <is>
          <t>AL — Night (11p–7a)</t>
        </is>
      </c>
      <c r="B74" s="33">
        <f>C6</f>
        <v/>
      </c>
      <c r="C74" s="33">
        <f>E36</f>
        <v/>
      </c>
      <c r="D74" s="123">
        <f>IFERROR(C6/E36,0)</f>
        <v/>
      </c>
      <c r="E74" s="33">
        <f>H36</f>
        <v/>
      </c>
      <c r="F74" s="123">
        <f>IFERROR(C6/H36,0)</f>
        <v/>
      </c>
      <c r="G74" s="122">
        <f>C22</f>
        <v/>
      </c>
      <c r="H74" s="123">
        <f>IFERROR(D74-G74,0)</f>
        <v/>
      </c>
      <c r="I74" s="36">
        <f>IFERROR(IF(D74&lt;=G74,"On target",IF(D74&lt;=G74*1.2,"Slightly over","Understaffed")),"-")</f>
        <v/>
      </c>
      <c r="J74" s="123">
        <f>IFERROR(E36*8/C6,0)</f>
        <v/>
      </c>
      <c r="K74" s="175" t="n"/>
    </row>
    <row r="75" ht="18" customHeight="1" s="923">
      <c r="A75" s="10" t="inlineStr">
        <is>
          <t>MC — Day   (7a–3p)</t>
        </is>
      </c>
      <c r="B75" s="13">
        <f>C7</f>
        <v/>
      </c>
      <c r="C75" s="13">
        <f>C37</f>
        <v/>
      </c>
      <c r="D75" s="164">
        <f>IFERROR(C7/C37,0)</f>
        <v/>
      </c>
      <c r="E75" s="13">
        <f>F37</f>
        <v/>
      </c>
      <c r="F75" s="164">
        <f>IFERROR(C7/F37,0)</f>
        <v/>
      </c>
      <c r="G75" s="176">
        <f>C23</f>
        <v/>
      </c>
      <c r="H75" s="164">
        <f>IFERROR(D75-G75,0)</f>
        <v/>
      </c>
      <c r="I75" s="37">
        <f>IFERROR(IF(D75&lt;=G75,"On target",IF(D75&lt;=G75*1.2,"Slightly over","Understaffed")),"-")</f>
        <v/>
      </c>
      <c r="J75" s="164">
        <f>IFERROR(C37*8/C7,0)</f>
        <v/>
      </c>
      <c r="K75" s="177" t="n"/>
    </row>
    <row r="76" ht="18" customHeight="1" s="923">
      <c r="A76" s="8" t="inlineStr">
        <is>
          <t>MC — Eve   (3p–11p)</t>
        </is>
      </c>
      <c r="B76" s="33">
        <f>C7</f>
        <v/>
      </c>
      <c r="C76" s="33">
        <f>D38</f>
        <v/>
      </c>
      <c r="D76" s="123">
        <f>IFERROR(C7/D38,0)</f>
        <v/>
      </c>
      <c r="E76" s="33">
        <f>G38</f>
        <v/>
      </c>
      <c r="F76" s="123">
        <f>IFERROR(C7/G38,0)</f>
        <v/>
      </c>
      <c r="G76" s="122">
        <f>C24</f>
        <v/>
      </c>
      <c r="H76" s="123">
        <f>IFERROR(D76-G76,0)</f>
        <v/>
      </c>
      <c r="I76" s="36">
        <f>IFERROR(IF(D76&lt;=G76,"On target",IF(D76&lt;=G76*1.2,"Slightly over","Understaffed")),"-")</f>
        <v/>
      </c>
      <c r="J76" s="123">
        <f>IFERROR(D38*8/C7,0)</f>
        <v/>
      </c>
      <c r="K76" s="175" t="n"/>
    </row>
    <row r="77" ht="18" customHeight="1" s="923">
      <c r="A77" s="10" t="inlineStr">
        <is>
          <t>MC — Night (11p–7a)</t>
        </is>
      </c>
      <c r="B77" s="13">
        <f>C7</f>
        <v/>
      </c>
      <c r="C77" s="13">
        <f>E39</f>
        <v/>
      </c>
      <c r="D77" s="164">
        <f>IFERROR(C7/E39,0)</f>
        <v/>
      </c>
      <c r="E77" s="13">
        <f>H39</f>
        <v/>
      </c>
      <c r="F77" s="164">
        <f>IFERROR(C7/H39,0)</f>
        <v/>
      </c>
      <c r="G77" s="176">
        <f>C25</f>
        <v/>
      </c>
      <c r="H77" s="164">
        <f>IFERROR(D77-G77,0)</f>
        <v/>
      </c>
      <c r="I77" s="37">
        <f>IFERROR(IF(D77&lt;=G77,"On target",IF(D77&lt;=G77*1.2,"Slightly over","Understaffed")),"-")</f>
        <v/>
      </c>
      <c r="J77" s="164">
        <f>IFERROR(E39*8/C7,0)</f>
        <v/>
      </c>
      <c r="K77" s="177" t="n"/>
    </row>
    <row r="79" ht="24" customHeight="1" s="923">
      <c r="A79" s="924" t="inlineStr">
        <is>
          <t>SECTION 4 — HPPD TRACKER  (Hours Per Patient Day)</t>
        </is>
      </c>
    </row>
    <row r="80" ht="15.75" customHeight="1" s="923">
      <c r="A80" s="968" t="inlineStr">
        <is>
          <t xml:space="preserve">  HPPD = care staff FTEs × 2080 ÷ 365 ÷ occupied beds. Benchmark: AL 2.5–3.5 | MC 3.5–4.5. Watched by buyers, lenders, and surveyors.</t>
        </is>
      </c>
    </row>
    <row r="81" ht="24" customHeight="1" s="923">
      <c r="A81" s="178" t="inlineStr">
        <is>
          <t>Metric</t>
        </is>
      </c>
      <c r="B81" s="178" t="inlineStr">
        <is>
          <t>Calculated</t>
        </is>
      </c>
      <c r="C81" s="178" t="inlineStr">
        <is>
          <t>Bench Low</t>
        </is>
      </c>
      <c r="D81" s="178" t="inlineStr">
        <is>
          <t>Bench High</t>
        </is>
      </c>
      <c r="E81" s="178" t="inlineStr">
        <is>
          <t>Status</t>
        </is>
      </c>
      <c r="F81" s="178" t="inlineStr">
        <is>
          <t>Delta vs Mid</t>
        </is>
      </c>
    </row>
    <row r="82" ht="18" customHeight="1" s="923">
      <c r="A82" s="62" t="inlineStr">
        <is>
          <t>Care HPPD — AL</t>
        </is>
      </c>
      <c r="B82" s="179">
        <f>IFERROR((J31+J32+J33+J34+J35+J36+J37+J38+J39)*2080/365/C6,0)</f>
        <v/>
      </c>
      <c r="C82" s="175" t="n">
        <v>2.5</v>
      </c>
      <c r="D82" s="175" t="n">
        <v>3.5</v>
      </c>
      <c r="E82" s="36">
        <f>IFERROR(IF(B82&lt;C82,"Below bench",IF(B82&gt;D82,"Above bench","In range")),"-")</f>
        <v/>
      </c>
      <c r="F82" s="123">
        <f>IFERROR(B82-(C82+D82)/2,0)</f>
        <v/>
      </c>
    </row>
    <row r="83" ht="18" customHeight="1" s="923">
      <c r="A83" s="65" t="inlineStr">
        <is>
          <t>Care HPPD — MC</t>
        </is>
      </c>
      <c r="B83" s="180">
        <f>IFERROR((J31+J32+J33+J34+J35+J36+J37+J38+J39)*2080/365/C7,0)</f>
        <v/>
      </c>
      <c r="C83" s="177" t="n">
        <v>3.5</v>
      </c>
      <c r="D83" s="177" t="n">
        <v>4.5</v>
      </c>
      <c r="E83" s="37">
        <f>IFERROR(IF(B83&lt;C83,"Below bench",IF(B83&gt;D83,"Above bench","In range")),"-")</f>
        <v/>
      </c>
      <c r="F83" s="164">
        <f>IFERROR(B83-(C83+D83)/2,0)</f>
        <v/>
      </c>
    </row>
    <row r="84" ht="18" customHeight="1" s="923">
      <c r="A84" s="62" t="inlineStr">
        <is>
          <t>Care HPPD — Combined</t>
        </is>
      </c>
      <c r="B84" s="179">
        <f>IFERROR((J31+J32+J33+J34+J35+J36+J37+J38+J39)*2080/365/(C6+C7),0)</f>
        <v/>
      </c>
      <c r="C84" s="175" t="n">
        <v>3</v>
      </c>
      <c r="D84" s="175" t="n">
        <v>4</v>
      </c>
      <c r="E84" s="36">
        <f>IFERROR(IF(B84&lt;C84,"Below bench",IF(B84&gt;D84,"Above bench","In range")),"-")</f>
        <v/>
      </c>
      <c r="F84" s="123">
        <f>IFERROR(B84-(C84+D84)/2,0)</f>
        <v/>
      </c>
    </row>
    <row r="85" ht="18" customHeight="1" s="923">
      <c r="A85" s="65" t="inlineStr">
        <is>
          <t>Labor Cost / Resident / Day ($)</t>
        </is>
      </c>
      <c r="B85" s="181">
        <f>IFERROR(M67/365/(C6+C7+C8),0)</f>
        <v/>
      </c>
      <c r="C85" s="155" t="n">
        <v>80</v>
      </c>
      <c r="D85" s="155" t="n">
        <v>140</v>
      </c>
      <c r="E85" s="37">
        <f>IFERROR(IF(B85&lt;C85,"Below bench",IF(B85&gt;D85,"Above bench","In range")),"-")</f>
        <v/>
      </c>
      <c r="F85" s="165">
        <f>IFERROR(B85-(C85+D85)/2,0)</f>
        <v/>
      </c>
    </row>
    <row r="87" ht="24" customHeight="1" s="923">
      <c r="A87" s="967" t="inlineStr">
        <is>
          <t>SECTION 5 — PAYROLL OUTPUT  →  P&amp;L FEED</t>
        </is>
      </c>
    </row>
    <row r="88" ht="15.75" customHeight="1" s="923">
      <c r="A88" s="963" t="inlineStr">
        <is>
          <t xml:space="preserve">  Total Payroll (cell M67) feeds P&amp;L sheet row 28 automatically. Verify the P&amp;L Payroll row shows a green formula.</t>
        </is>
      </c>
    </row>
    <row r="89" ht="18" customHeight="1" s="923">
      <c r="A89" s="81" t="inlineStr">
        <is>
          <t>Total Annual Payroll (all departments)</t>
        </is>
      </c>
      <c r="C89" s="182">
        <f>M67</f>
        <v/>
      </c>
      <c r="D89" s="183" t="inlineStr">
        <is>
          <t>← This value feeds P&amp;L!C28 (Year 1 Payroll)</t>
        </is>
      </c>
      <c r="E89" s="963" t="inlineStr">
        <is>
          <t>P&amp;L formula in C28: ='Staffing Matrix'!M67</t>
        </is>
      </c>
    </row>
    <row r="90" ht="18" customHeight="1" s="923">
      <c r="A90" s="62" t="inlineStr">
        <is>
          <t>Total FTEs (all departments)</t>
        </is>
      </c>
      <c r="C90" s="123">
        <f>J67</f>
        <v/>
      </c>
      <c r="D90" s="152" t="inlineStr">
        <is>
          <t>Full-time equivalents across all 6 shifts</t>
        </is>
      </c>
    </row>
    <row r="91" ht="18" customHeight="1" s="923">
      <c r="A91" s="65" t="inlineStr">
        <is>
          <t>Avg Annual Cost per FTE</t>
        </is>
      </c>
      <c r="C91" s="69">
        <f>IFERROR(M67/J67,0)</f>
        <v/>
      </c>
      <c r="D91" s="153" t="inlineStr">
        <is>
          <t>Loaded cost: wages + benefits + OT</t>
        </is>
      </c>
    </row>
    <row r="93" ht="21.75" customHeight="1" s="923">
      <c r="A93" s="938" t="inlineStr">
        <is>
          <t>SECTION 6 — COST PER RESIDENT DAY (PRD) &amp; LABOR INTENSITY ANALYSIS</t>
        </is>
      </c>
    </row>
    <row r="94" ht="15.75" customHeight="1" s="923">
      <c r="A94" s="934" t="inlineStr">
        <is>
          <t xml:space="preserve">  PRD ties labor cost to census — the lens operators and lenders use alongside HPPD. All figures are annual / occupied-bed based. Enter agency spend below; everything else auto-calculates.</t>
        </is>
      </c>
    </row>
    <row r="96" ht="18" customHeight="1" s="923">
      <c r="A96" s="950" t="inlineStr">
        <is>
          <t xml:space="preserve">  A.  BASE — OCCUPIED RESIDENTS &amp; ANNUAL RESIDENT DAYS</t>
        </is>
      </c>
    </row>
    <row r="97" ht="15.75" customHeight="1" s="923">
      <c r="A97" s="41" t="inlineStr">
        <is>
          <t>Metric</t>
        </is>
      </c>
      <c r="B97" s="41" t="inlineStr">
        <is>
          <t>Value</t>
        </is>
      </c>
      <c r="C97" s="41" t="inlineStr">
        <is>
          <t>Bench Low</t>
        </is>
      </c>
      <c r="D97" s="41" t="inlineStr">
        <is>
          <t>Bench High</t>
        </is>
      </c>
      <c r="E97" s="41" t="inlineStr">
        <is>
          <t>Notes</t>
        </is>
      </c>
    </row>
    <row r="98" ht="18" customHeight="1" s="923">
      <c r="A98" s="62" t="inlineStr">
        <is>
          <t>Total Occupied Residents  (AL + MC + IL)</t>
        </is>
      </c>
      <c r="B98" s="33">
        <f>C6+C7+C8</f>
        <v/>
      </c>
      <c r="C98" s="184" t="inlineStr">
        <is>
          <t>—</t>
        </is>
      </c>
      <c r="D98" s="184" t="inlineStr">
        <is>
          <t>—</t>
        </is>
      </c>
      <c r="E98" s="87" t="inlineStr">
        <is>
          <t>From Section 1 census inputs</t>
        </is>
      </c>
    </row>
    <row r="99" ht="18" customHeight="1" s="923">
      <c r="A99" s="62" t="inlineStr">
        <is>
          <t>Annual Resident Days  (residents × 365)</t>
        </is>
      </c>
      <c r="B99" s="33">
        <f>IFERROR(B98*365,0)</f>
        <v/>
      </c>
      <c r="C99" s="184" t="inlineStr">
        <is>
          <t>—</t>
        </is>
      </c>
      <c r="D99" s="184" t="inlineStr">
        <is>
          <t>—</t>
        </is>
      </c>
      <c r="E99" s="87" t="inlineStr">
        <is>
          <t>Denominator for all PRD metrics below</t>
        </is>
      </c>
    </row>
    <row r="101" ht="18" customHeight="1" s="923">
      <c r="A101" s="945" t="inlineStr">
        <is>
          <t xml:space="preserve">  B.  LABOR COST PER RESIDENT DAY — BY DEPARTMENT  ($)</t>
        </is>
      </c>
    </row>
    <row r="102" ht="15.75" customHeight="1" s="923">
      <c r="A102" s="934" t="inlineStr">
        <is>
          <t xml:space="preserve">  Benchmarks: NIC/Argentum/LeadingAge AL industry data. MC typically runs 25–40% higher.</t>
        </is>
      </c>
    </row>
    <row r="103" ht="15.75" customHeight="1" s="923">
      <c r="A103" s="41" t="inlineStr">
        <is>
          <t>Department</t>
        </is>
      </c>
      <c r="B103" s="41" t="inlineStr">
        <is>
          <t>Annual Payroll ($)</t>
        </is>
      </c>
      <c r="C103" s="41" t="inlineStr">
        <is>
          <t>PRD Cost ($/day)</t>
        </is>
      </c>
      <c r="D103" s="41" t="inlineStr">
        <is>
          <t>Bench Low</t>
        </is>
      </c>
      <c r="E103" s="41" t="inlineStr">
        <is>
          <t>Bench High</t>
        </is>
      </c>
      <c r="F103" s="41" t="inlineStr">
        <is>
          <t>Status</t>
        </is>
      </c>
    </row>
    <row r="104" ht="18" customHeight="1" s="923">
      <c r="A104" s="62" t="inlineStr">
        <is>
          <t>Care Staff  (DON, RN, Med Tech, CNAs)</t>
        </is>
      </c>
      <c r="B104" s="21">
        <f>M40</f>
        <v/>
      </c>
      <c r="C104" s="185">
        <f>IFERROR(M40/B99,0)</f>
        <v/>
      </c>
      <c r="D104" s="186" t="n">
        <v>45</v>
      </c>
      <c r="E104" s="186" t="n">
        <v>75</v>
      </c>
      <c r="F104" s="941">
        <f>IFERROR(IF(C104=0,"—",IF(C104&lt;D104,"Below bench",IF(C104&gt;E104,"Above bench","In range"))),"")</f>
        <v/>
      </c>
    </row>
    <row r="105" ht="18" customHeight="1" s="923">
      <c r="A105" s="62" t="inlineStr">
        <is>
          <t>Dining / Food Service</t>
        </is>
      </c>
      <c r="B105" s="21">
        <f>M47</f>
        <v/>
      </c>
      <c r="C105" s="185">
        <f>IFERROR(M47/B99,0)</f>
        <v/>
      </c>
      <c r="D105" s="186" t="n">
        <v>12</v>
      </c>
      <c r="E105" s="186" t="n">
        <v>22</v>
      </c>
      <c r="F105" s="941">
        <f>IFERROR(IF(C105=0,"—",IF(C105&lt;D105,"Below bench",IF(C105&gt;E105,"Above bench","In range"))),"")</f>
        <v/>
      </c>
    </row>
    <row r="106" ht="18" customHeight="1" s="923">
      <c r="A106" s="62" t="inlineStr">
        <is>
          <t>Housekeeping &amp; Laundry</t>
        </is>
      </c>
      <c r="B106" s="21">
        <f>M53</f>
        <v/>
      </c>
      <c r="C106" s="185">
        <f>IFERROR(M53/B99,0)</f>
        <v/>
      </c>
      <c r="D106" s="186" t="n">
        <v>6</v>
      </c>
      <c r="E106" s="186" t="n">
        <v>14</v>
      </c>
      <c r="F106" s="941">
        <f>IFERROR(IF(C106=0,"—",IF(C106&lt;D106,"Below bench",IF(C106&gt;E106,"Above bench","In range"))),"")</f>
        <v/>
      </c>
    </row>
    <row r="107" ht="18" customHeight="1" s="923">
      <c r="A107" s="62" t="inlineStr">
        <is>
          <t>Maintenance, Activities &amp; Admin</t>
        </is>
      </c>
      <c r="B107" s="21">
        <f>M65</f>
        <v/>
      </c>
      <c r="C107" s="185">
        <f>IFERROR(M65/B99,0)</f>
        <v/>
      </c>
      <c r="D107" s="186" t="n">
        <v>8</v>
      </c>
      <c r="E107" s="186" t="n">
        <v>18</v>
      </c>
      <c r="F107" s="941">
        <f>IFERROR(IF(C107=0,"—",IF(C107&lt;D107,"Below bench",IF(C107&gt;E107,"Above bench","In range"))),"")</f>
        <v/>
      </c>
    </row>
    <row r="108" ht="18" customHeight="1" s="923">
      <c r="A108" s="187" t="inlineStr">
        <is>
          <t>TOTAL LABOR PRD  (all departments)</t>
        </is>
      </c>
      <c r="B108" s="115">
        <f>M67</f>
        <v/>
      </c>
      <c r="C108" s="188">
        <f>IFERROR(M67/B99,0)</f>
        <v/>
      </c>
      <c r="D108" s="189" t="n">
        <v>85</v>
      </c>
      <c r="E108" s="189" t="n">
        <v>130</v>
      </c>
      <c r="F108" s="187">
        <f>IFERROR(IF(C108=0,"—",IF(C108&lt;D108,"Below bench",IF(C108&gt;E108,"Above bench","In range"))),"")</f>
        <v/>
      </c>
    </row>
    <row r="110" ht="18" customHeight="1" s="923">
      <c r="A110" s="966" t="inlineStr">
        <is>
          <t xml:space="preserve">  C.  CONTRACT / AGENCY LABOR EXPOSURE</t>
        </is>
      </c>
    </row>
    <row r="111" ht="15.75" customHeight="1" s="923">
      <c r="A111" s="934" t="inlineStr">
        <is>
          <t xml:space="preserve">  Agency &gt;10–15% of total payroll is flagged by lenders and operators as a census-instability risk. Enter annual agency spend — PRD and exposure % calculate automatically.</t>
        </is>
      </c>
    </row>
    <row r="112" ht="15.75" customHeight="1" s="923">
      <c r="A112" s="41" t="inlineStr">
        <is>
          <t>Metric</t>
        </is>
      </c>
      <c r="B112" s="41" t="inlineStr">
        <is>
          <t>Value</t>
        </is>
      </c>
      <c r="C112" s="41" t="inlineStr">
        <is>
          <t>Bench Low</t>
        </is>
      </c>
      <c r="D112" s="41" t="inlineStr">
        <is>
          <t>Bench High</t>
        </is>
      </c>
      <c r="E112" s="41" t="inlineStr">
        <is>
          <t>Status</t>
        </is>
      </c>
    </row>
    <row r="113" ht="18" customHeight="1" s="923">
      <c r="A113" s="191" t="inlineStr">
        <is>
          <t>Contract / Agency Labor — Annual ($)  ← enter here</t>
        </is>
      </c>
      <c r="B113" s="192" t="n">
        <v>0</v>
      </c>
      <c r="C113" s="184" t="inlineStr">
        <is>
          <t>—</t>
        </is>
      </c>
      <c r="D113" s="184" t="inlineStr">
        <is>
          <t>—</t>
        </is>
      </c>
      <c r="E113" s="193" t="inlineStr">
        <is>
          <t>Blue cell — enter actual or budgeted agency spend</t>
        </is>
      </c>
    </row>
    <row r="114" ht="18" customHeight="1" s="923">
      <c r="A114" s="62" t="inlineStr">
        <is>
          <t>Agency Labor PRD  ($/resident day)</t>
        </is>
      </c>
      <c r="B114" s="185">
        <f>IFERROR(B113/B99,0)</f>
        <v/>
      </c>
      <c r="C114" s="186" t="n">
        <v>0</v>
      </c>
      <c r="D114" s="186" t="n">
        <v>20</v>
      </c>
      <c r="E114" s="941">
        <f>IFERROR(IF(B114=0,"—",IF(B114&lt;=D114,"In range",IF(B114&lt;=D114*1.5,"Watch","High — review"))),"")</f>
        <v/>
      </c>
    </row>
    <row r="115" ht="18" customHeight="1" s="923">
      <c r="A115" s="62" t="inlineStr">
        <is>
          <t>Agency as % of Total Payroll</t>
        </is>
      </c>
      <c r="B115" s="28">
        <f>IFERROR(B113/M67,0)</f>
        <v/>
      </c>
      <c r="C115" s="194" t="n">
        <v>0</v>
      </c>
      <c r="D115" s="194" t="n">
        <v>0.15</v>
      </c>
      <c r="E115" s="941">
        <f>IFERROR(IF(B115=0,"—",IF(B115&lt;0.1,"Good (&lt;10%)",IF(B115&lt;0.15,"Watch (10–15%)",IF(B115&gt;=0.15,"Flag (&gt;15%)")))),"")</f>
        <v/>
      </c>
    </row>
    <row r="117" ht="18" customHeight="1" s="923">
      <c r="A117" s="950" t="inlineStr">
        <is>
          <t xml:space="preserve">  D.  REVENUE &amp; NOI PER RESIDENT DAY  (operational context)</t>
        </is>
      </c>
    </row>
    <row r="118" ht="15.75" customHeight="1" s="923">
      <c r="A118" s="41" t="inlineStr">
        <is>
          <t>Metric</t>
        </is>
      </c>
      <c r="B118" s="41" t="inlineStr">
        <is>
          <t>Annual ($)</t>
        </is>
      </c>
      <c r="C118" s="41" t="inlineStr">
        <is>
          <t>Per Resident Day</t>
        </is>
      </c>
      <c r="D118" s="41" t="inlineStr">
        <is>
          <t>Bench Low</t>
        </is>
      </c>
      <c r="E118" s="41" t="inlineStr">
        <is>
          <t>Bench High</t>
        </is>
      </c>
    </row>
    <row r="119" ht="18" customHeight="1" s="923">
      <c r="A119" s="62" t="inlineStr">
        <is>
          <t>Effective Gross Income (EGI)</t>
        </is>
      </c>
      <c r="B119" s="21">
        <f>'P&amp;L'!D50</f>
        <v/>
      </c>
      <c r="C119" s="185">
        <f>IFERROR('P&amp;L'!D50/B99,0)</f>
        <v/>
      </c>
      <c r="D119" s="186" t="n">
        <v>120</v>
      </c>
      <c r="E119" s="186" t="n">
        <v>200</v>
      </c>
    </row>
    <row r="120" ht="18" customHeight="1" s="923">
      <c r="A120" s="62" t="inlineStr">
        <is>
          <t>Total Operating Expenses</t>
        </is>
      </c>
      <c r="B120" s="21">
        <f>'P&amp;L'!D95</f>
        <v/>
      </c>
      <c r="C120" s="185">
        <f>IFERROR('P&amp;L'!D95/B99,0)</f>
        <v/>
      </c>
      <c r="D120" s="186" t="n">
        <v>90</v>
      </c>
      <c r="E120" s="186" t="n">
        <v>155</v>
      </c>
    </row>
    <row r="121" ht="18" customHeight="1" s="923">
      <c r="A121" s="62" t="inlineStr">
        <is>
          <t>Net Operating Income (NOI)</t>
        </is>
      </c>
      <c r="B121" s="21">
        <f>'P&amp;L'!D97</f>
        <v/>
      </c>
      <c r="C121" s="185">
        <f>IFERROR('P&amp;L'!D97/B99,0)</f>
        <v/>
      </c>
      <c r="D121" s="186" t="n">
        <v>25</v>
      </c>
      <c r="E121" s="186" t="n">
        <v>55</v>
      </c>
    </row>
    <row r="122" ht="18" customHeight="1" s="923">
      <c r="A122" s="89" t="inlineStr">
        <is>
          <t>Total Labor Cost as % of EGI</t>
        </is>
      </c>
      <c r="B122" s="77">
        <f>M67</f>
        <v/>
      </c>
      <c r="C122" s="195">
        <f>IFERROR(M67/'P&amp;L'!D50,0)</f>
        <v/>
      </c>
      <c r="D122" s="194" t="n">
        <v>0.5</v>
      </c>
      <c r="E122" s="196">
        <f>IFERROR(IF(C122&lt;D122,"Low",IF(C122&lt;=D122,"In range","High — flag")),"")</f>
        <v/>
      </c>
    </row>
    <row r="124" ht="18" customHeight="1" s="923">
      <c r="A124" s="951" t="inlineStr">
        <is>
          <t xml:space="preserve">  E.  KEY RATIOS — INVESTOR / LENDER WATCHLIST</t>
        </is>
      </c>
    </row>
    <row r="125" ht="15.75" customHeight="1" s="923">
      <c r="A125" s="934" t="inlineStr">
        <is>
          <t xml:space="preserve">  Five ratios cross-checked at IC and in lender underwriting. Deviations signal operational opportunity or risk.</t>
        </is>
      </c>
    </row>
    <row r="126" ht="15.75" customHeight="1" s="923">
      <c r="A126" s="41" t="inlineStr">
        <is>
          <t>Metric</t>
        </is>
      </c>
      <c r="B126" s="41" t="inlineStr">
        <is>
          <t>This Property</t>
        </is>
      </c>
      <c r="C126" s="41" t="inlineStr">
        <is>
          <t>Target / Benchmark</t>
        </is>
      </c>
      <c r="D126" s="41" t="inlineStr">
        <is>
          <t>Signal</t>
        </is>
      </c>
    </row>
    <row r="127" ht="18" customHeight="1" s="923">
      <c r="A127" s="89" t="inlineStr">
        <is>
          <t>Care HPPD — Combined (from Section 4)</t>
        </is>
      </c>
      <c r="B127" s="197">
        <f>B84</f>
        <v/>
      </c>
      <c r="C127" s="198" t="inlineStr">
        <is>
          <t>≥3.0 AL  /  ≥3.8 MC</t>
        </is>
      </c>
      <c r="D127" s="199">
        <f>IFERROR(IF(B84=0,"—",IF(B84&gt;=3,"On target","Below — check ratios")),"")</f>
        <v/>
      </c>
    </row>
    <row r="128" ht="18" customHeight="1" s="923">
      <c r="A128" s="89" t="inlineStr">
        <is>
          <t>Total Labor PRD  ($/res day)</t>
        </is>
      </c>
      <c r="B128" s="200">
        <f>C108</f>
        <v/>
      </c>
      <c r="C128" s="198" t="inlineStr">
        <is>
          <t>$85 – $130  (AL/MC blended)</t>
        </is>
      </c>
      <c r="D128" s="199">
        <f>IFERROR(IF(C108=0,"—",IF(C108&lt;85,"Low — check wages",IF(C108&lt;=130,"In range","High — review"))),"")</f>
        <v/>
      </c>
    </row>
    <row r="129" ht="18" customHeight="1" s="923">
      <c r="A129" s="89" t="inlineStr">
        <is>
          <t>Direct Care Labor PRD  ($/res day)</t>
        </is>
      </c>
      <c r="B129" s="200">
        <f>C104</f>
        <v/>
      </c>
      <c r="C129" s="198" t="inlineStr">
        <is>
          <t>$45 – $75</t>
        </is>
      </c>
      <c r="D129" s="199">
        <f>IFERROR(IF(C104=0,"—",IF(C104&lt;45,"Low",IF(C104&lt;=75,"In range","High"))),"")</f>
        <v/>
      </c>
    </row>
    <row r="130" ht="18" customHeight="1" s="923">
      <c r="A130" s="89" t="inlineStr">
        <is>
          <t>Agency as % of Total Payroll</t>
        </is>
      </c>
      <c r="B130" s="195">
        <f>B115</f>
        <v/>
      </c>
      <c r="C130" s="198" t="inlineStr">
        <is>
          <t>&lt; 10%  (flag if &gt; 15%)</t>
        </is>
      </c>
      <c r="D130" s="199">
        <f>IFERROR(IF(B115=0,"—",IF(B115&lt;0.1,"Good",IF(B115&lt;0.15,"Watch","Flag"))),"")</f>
        <v/>
      </c>
    </row>
    <row r="131" ht="18" customHeight="1" s="923">
      <c r="A131" s="89" t="inlineStr">
        <is>
          <t>Labor as % of EGI</t>
        </is>
      </c>
      <c r="B131" s="195">
        <f>IFERROR(M67/'P&amp;L'!D50,0)</f>
        <v/>
      </c>
      <c r="C131" s="198" t="inlineStr">
        <is>
          <t>50% – 65%</t>
        </is>
      </c>
      <c r="D131" s="199">
        <f>IFERROR(IF(M67/'P&amp;L'!D50&lt;0.5,"Low",IF(M67/'P&amp;L'!D50&lt;=0.65,"In range","High — flag")),"—")</f>
        <v/>
      </c>
    </row>
  </sheetData>
  <mergeCells count="35">
    <mergeCell ref="A69:O69"/>
    <mergeCell ref="A87:O87"/>
    <mergeCell ref="A80:O80"/>
    <mergeCell ref="A27:O27"/>
    <mergeCell ref="A96:J96"/>
    <mergeCell ref="A125:J125"/>
    <mergeCell ref="A18:O18"/>
    <mergeCell ref="A55:O55"/>
    <mergeCell ref="A102:J102"/>
    <mergeCell ref="A117:J117"/>
    <mergeCell ref="A93:J93"/>
    <mergeCell ref="A111:J111"/>
    <mergeCell ref="A2:O2"/>
    <mergeCell ref="F28:H28"/>
    <mergeCell ref="A65:B65"/>
    <mergeCell ref="E89:J89"/>
    <mergeCell ref="A42:O42"/>
    <mergeCell ref="A4:O4"/>
    <mergeCell ref="A94:J94"/>
    <mergeCell ref="C28:E28"/>
    <mergeCell ref="A110:J110"/>
    <mergeCell ref="A19:O19"/>
    <mergeCell ref="A124:J124"/>
    <mergeCell ref="A47:B47"/>
    <mergeCell ref="A53:B53"/>
    <mergeCell ref="A30:O30"/>
    <mergeCell ref="A11:O11"/>
    <mergeCell ref="A49:O49"/>
    <mergeCell ref="A1:O1"/>
    <mergeCell ref="A79:O79"/>
    <mergeCell ref="A101:J101"/>
    <mergeCell ref="A40:B40"/>
    <mergeCell ref="A88:O88"/>
    <mergeCell ref="A67:B67"/>
    <mergeCell ref="A70:O7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613"/>
  <sheetViews>
    <sheetView showGridLines="0" topLeftCell="A161" zoomScale="85" zoomScaleNormal="85" workbookViewId="0">
      <selection activeCell="F181" sqref="F181"/>
    </sheetView>
  </sheetViews>
  <sheetFormatPr baseColWidth="10" defaultColWidth="8.83203125" defaultRowHeight="15" outlineLevelRow="1"/>
  <cols>
    <col width="52.33203125" customWidth="1" style="923" min="1" max="1"/>
    <col width="13" customWidth="1" style="923" min="2" max="4"/>
    <col width="14.6640625" customWidth="1" style="923" min="5" max="5"/>
    <col width="14.5" customWidth="1" style="923" min="6" max="8"/>
    <col width="14.5" bestFit="1" customWidth="1" style="923" min="9" max="9"/>
    <col width="18.5" bestFit="1" customWidth="1" style="923" min="10" max="10"/>
    <col width="15.5" bestFit="1" customWidth="1" style="923" min="11" max="11"/>
    <col width="10.6640625" bestFit="1" customWidth="1" style="923" min="12" max="12"/>
    <col width="9.33203125" bestFit="1" customWidth="1" style="923" min="13" max="13"/>
    <col width="10.1640625" bestFit="1" customWidth="1" style="923" min="14" max="14"/>
    <col width="14.5" bestFit="1" customWidth="1" style="923" min="15" max="15"/>
    <col width="15.1640625" bestFit="1" customWidth="1" style="923" min="16" max="16"/>
    <col width="14.33203125" bestFit="1" customWidth="1" style="923" min="17" max="17"/>
    <col width="13" customWidth="1" style="923" min="18" max="22"/>
    <col outlineLevel="2" width="9.1640625" customWidth="1" style="923" min="23" max="23"/>
    <col outlineLevel="2" width="8.83203125" customWidth="1" style="923" min="24" max="24"/>
    <col outlineLevel="1" width="9.1640625" customWidth="1" style="923" min="25" max="25"/>
    <col outlineLevel="2" width="8.83203125" customWidth="1" style="923" min="26" max="28"/>
    <col width="15" customWidth="1" style="923" min="42" max="42"/>
    <col width="18.33203125" customWidth="1" style="923" min="43" max="43"/>
    <col width="15" customWidth="1" style="923" min="44" max="44"/>
  </cols>
  <sheetData>
    <row r="1" ht="28" customHeight="1" s="923">
      <c r="A1" s="972" t="inlineStr">
        <is>
          <t>RENT ROLL ANALYSIS  —  Diagnostic Layer (Senior Living)</t>
        </is>
      </c>
    </row>
    <row r="2">
      <c r="A2" s="973" t="inlineStr">
        <is>
          <t>ANALYSIS on top. Raw rent roll below — paste from RentrollApp-Cl output. AR aging columns Q–T blank (paste from Analyzer AR Input or operator AR aging report). Care level: IL = Independent Living · AL = Assisted Living · MC = Memory Care.</t>
        </is>
      </c>
    </row>
    <row r="4" ht="22" customHeight="1" s="923">
      <c r="A4" s="969" t="inlineStr">
        <is>
          <t>B.  HEALTH CHECK  —  RR vs. Prop Info reconciliation</t>
        </is>
      </c>
    </row>
    <row r="5" outlineLevel="1" s="923">
      <c r="A5" s="959" t="inlineStr">
        <is>
          <t>Date:</t>
        </is>
      </c>
      <c r="B5" s="386" t="n"/>
      <c r="C5" s="959" t="inlineStr">
        <is>
          <t>Property:</t>
        </is>
      </c>
      <c r="D5" s="463">
        <f>TODAY()</f>
        <v/>
      </c>
      <c r="E5" s="959" t="inlineStr">
        <is>
          <t>Lic Beds (Prop):</t>
        </is>
      </c>
      <c r="F5" s="386">
        <f>'Prop Info'!B15</f>
        <v/>
      </c>
      <c r="G5" s="959" t="inlineStr">
        <is>
          <t>Lic Beds (RR):</t>
        </is>
      </c>
      <c r="H5" s="386">
        <f>COUNTA(B214:B613)</f>
        <v/>
      </c>
      <c r="I5" s="959" t="inlineStr">
        <is>
          <t>Match:</t>
        </is>
      </c>
      <c r="J5" s="386">
        <f>IF(F5=H5,"✓ match","⚠ mismatch: "&amp;(H5-F5))</f>
        <v/>
      </c>
      <c r="K5" s="959" t="inlineStr">
        <is>
          <t>Total AR:</t>
        </is>
      </c>
      <c r="L5" s="458">
        <f>SUM(M214:M613)</f>
        <v/>
      </c>
      <c r="N5" s="959" t="inlineStr">
        <is>
          <t>On Notice:</t>
        </is>
      </c>
      <c r="O5" s="386">
        <f>COUNTIF(E214:E613,"Notice")</f>
        <v/>
      </c>
      <c r="Q5" s="959" t="inlineStr">
        <is>
          <t>Occupied:</t>
        </is>
      </c>
      <c r="R5" s="386">
        <f>COUNTIF(E214:E613,"Occupied")+COUNTIF(E214:E613,"Notice")</f>
        <v/>
      </c>
    </row>
    <row r="6" outlineLevel="1" s="923">
      <c r="A6" s="541" t="n"/>
      <c r="B6" s="541" t="n"/>
      <c r="C6" s="541" t="n"/>
      <c r="D6" s="541" t="inlineStr">
        <is>
          <t>As of date for diagnostic</t>
        </is>
      </c>
      <c r="E6" s="541" t="n"/>
      <c r="F6" s="541" t="n"/>
      <c r="G6" s="541" t="n"/>
      <c r="H6" s="541" t="n"/>
      <c r="I6" s="541" t="n"/>
      <c r="J6" s="541" t="n"/>
      <c r="K6" s="541" t="n"/>
      <c r="L6" s="541" t="n"/>
      <c r="M6" s="541" t="n"/>
      <c r="N6" s="541" t="n"/>
    </row>
    <row r="7" ht="22" customHeight="1" s="923">
      <c r="A7" s="970" t="inlineStr">
        <is>
          <t>C.  CARE LEVEL CENSUS  —  Licensed beds, occupancy, and rate by level</t>
        </is>
      </c>
    </row>
    <row r="8" outlineLevel="1" s="923">
      <c r="A8" s="391" t="inlineStr">
        <is>
          <t>Care Level</t>
        </is>
      </c>
      <c r="B8" s="392" t="inlineStr">
        <is>
          <t>Licensed Beds</t>
        </is>
      </c>
      <c r="C8" s="392" t="inlineStr">
        <is>
          <t>Occupied Beds</t>
        </is>
      </c>
      <c r="D8" s="392" t="inlineStr">
        <is>
          <t>Occupancy %</t>
        </is>
      </c>
      <c r="E8" s="392" t="inlineStr">
        <is>
          <t>Avg Monthly Rate</t>
        </is>
      </c>
      <c r="F8" s="392" t="inlineStr">
        <is>
          <t>GPR (ann.)</t>
        </is>
      </c>
      <c r="G8" s="392" t="inlineStr">
        <is>
          <t>Avg LOC Rev/Bed</t>
        </is>
      </c>
      <c r="H8" s="392" t="inlineStr">
        <is>
          <t>Total Revenue</t>
        </is>
      </c>
    </row>
    <row r="9" outlineLevel="1" s="923">
      <c r="A9" s="382" t="inlineStr">
        <is>
          <t>IL — Independent Living</t>
        </is>
      </c>
      <c r="B9" s="396">
        <f>COUNTIF($C$214:$C$613,"IL")</f>
        <v/>
      </c>
      <c r="C9" s="396">
        <f>COUNTIFS($C$214:$C$613,"IL",$E$214:$E$613,"Occupied")+COUNTIFS($C$214:$C$613,"IL",$E$214:$E$613,"Notice")</f>
        <v/>
      </c>
      <c r="D9" s="464">
        <f>IFERROR(C9/B9,0)</f>
        <v/>
      </c>
      <c r="E9" s="458">
        <f>IFERROR(AVERAGEIFS($L$214:$L$613,$C$214:$C$613,"IL",$L$214:$L$613,"&gt;0"),0)</f>
        <v/>
      </c>
      <c r="F9" s="458">
        <f>B9*AVERAGEIFS($I$214:$I$613,$C$214:$C$613,"IL",$I$214:$I$613,"&gt;0")*12</f>
        <v/>
      </c>
      <c r="G9" s="458">
        <f>IFERROR(SUMIFS($K$214:$K$613,$C$214:$C$613,"IL")/MAX(C9,1),0)</f>
        <v/>
      </c>
      <c r="H9" s="458">
        <f>SUMIFS($L$214:$L$613,$C$214:$C$613,"IL")*12</f>
        <v/>
      </c>
    </row>
    <row r="10" outlineLevel="1" s="923">
      <c r="A10" s="382" t="inlineStr">
        <is>
          <t>AL — Assisted Living</t>
        </is>
      </c>
      <c r="B10" s="396">
        <f>COUNTIF($C$214:$C$613,"AL")</f>
        <v/>
      </c>
      <c r="C10" s="396">
        <f>COUNTIFS($C$214:$C$613,"AL",$E$214:$E$613,"Occupied")+COUNTIFS($C$214:$C$613,"AL",$E$214:$E$613,"Notice")</f>
        <v/>
      </c>
      <c r="D10" s="464">
        <f>IFERROR(C10/B10,0)</f>
        <v/>
      </c>
      <c r="E10" s="458">
        <f>IFERROR(AVERAGEIFS($L$214:$L$613,$C$214:$C$613,"AL",$L$214:$L$613,"&gt;0"),0)</f>
        <v/>
      </c>
      <c r="F10" s="458">
        <f>B10*AVERAGEIFS($I$214:$I$613,$C$214:$C$613,"AL",$I$214:$I$613,"&gt;0")*12</f>
        <v/>
      </c>
      <c r="G10" s="458">
        <f>IFERROR(SUMIFS($K$214:$K$613,$C$214:$C$613,"AL")/MAX(C10,1),0)</f>
        <v/>
      </c>
      <c r="H10" s="458">
        <f>SUMIFS($L$214:$L$613,$C$214:$C$613,"AL")*12</f>
        <v/>
      </c>
    </row>
    <row r="11" outlineLevel="1" s="923">
      <c r="A11" s="382" t="inlineStr">
        <is>
          <t>MC — Memory Care</t>
        </is>
      </c>
      <c r="B11" s="396">
        <f>COUNTIF($C$214:$C$613,"MC")</f>
        <v/>
      </c>
      <c r="C11" s="396">
        <f>COUNTIFS($C$214:$C$613,"MC",$E$214:$E$613,"Occupied")+COUNTIFS($C$214:$C$613,"MC",$E$214:$E$613,"Notice")</f>
        <v/>
      </c>
      <c r="D11" s="464">
        <f>IFERROR(C11/B11,0)</f>
        <v/>
      </c>
      <c r="E11" s="458">
        <f>IFERROR(AVERAGEIFS($L$214:$L$613,$C$214:$C$613,"MC",$L$214:$L$613,"&gt;0"),0)</f>
        <v/>
      </c>
      <c r="F11" s="458">
        <f>B11*AVERAGEIFS($I$214:$I$613,$C$214:$C$613,"MC",$I$214:$I$613,"&gt;0")*12</f>
        <v/>
      </c>
      <c r="G11" s="458">
        <f>IFERROR(SUMIFS($K$214:$K$613,$C$214:$C$613,"MC")/MAX(C11,1),0)</f>
        <v/>
      </c>
      <c r="H11" s="458">
        <f>SUMIFS($L$214:$L$613,$C$214:$C$613,"MC")*12</f>
        <v/>
      </c>
    </row>
    <row r="12" outlineLevel="1" s="923">
      <c r="A12" s="382">
        <f>'Prop Info'!$D$13&amp;" — Other Care"</f>
        <v/>
      </c>
      <c r="B12" s="396">
        <f>COUNTIF($C$214:$C$613,"OTH")</f>
        <v/>
      </c>
      <c r="C12" s="396">
        <f>COUNTIFS($C$214:$C$613,"OTH",$E$214:$E$613,"Occupied")+COUNTIFS($C$214:$C$613,"OTH",$E$214:$E$613,"Notice")</f>
        <v/>
      </c>
      <c r="D12" s="464">
        <f>IFERROR(C12/B12,0)</f>
        <v/>
      </c>
      <c r="E12" s="458">
        <f>IFERROR(AVERAGEIFS($L$214:$L$613,$C$214:$C$613,"OTH",$L$214:$L$613,"&gt;0"),0)</f>
        <v/>
      </c>
      <c r="F12" s="458">
        <f>B12*AVERAGEIFS($I$214:$I$613,$C$214:$C$613,"OTH",$I$214:$I$613,"&gt;0")*12</f>
        <v/>
      </c>
      <c r="G12" s="458">
        <f>IFERROR(SUMIFS($K$214:$K$613,$C$214:$C$613,"OTH")/MAX(C12,1),0)</f>
        <v/>
      </c>
      <c r="H12" s="458">
        <f>SUMIFS($L$214:$L$613,$C$214:$C$613,"OTH")*12</f>
        <v/>
      </c>
    </row>
    <row r="13" outlineLevel="1" s="923">
      <c r="A13" s="393" t="inlineStr">
        <is>
          <t>TOTAL</t>
        </is>
      </c>
      <c r="B13" s="404">
        <f>SUM(B9:B12)</f>
        <v/>
      </c>
      <c r="C13" s="404">
        <f>SUM(C9:C12)</f>
        <v/>
      </c>
      <c r="D13" s="465">
        <f>IFERROR(C13/B13,0)</f>
        <v/>
      </c>
      <c r="E13" s="456">
        <f>IFERROR(SUMIFS($L$214:$L$613,$L$214:$L$613,"&gt;0")/COUNTIFS($L$214:$L$613,"&gt;0"),0)</f>
        <v/>
      </c>
      <c r="F13" s="456">
        <f>SUM(F9:F12)</f>
        <v/>
      </c>
      <c r="G13" s="456">
        <f>IFERROR(SUM(K214:K613)/MAX(C13,1),0)</f>
        <v/>
      </c>
      <c r="H13" s="456">
        <f>SUM(H9:H12)</f>
        <v/>
      </c>
    </row>
    <row r="14" outlineLevel="1" s="923">
      <c r="A14" s="541" t="n"/>
      <c r="B14" s="541" t="n"/>
      <c r="C14" s="541" t="n"/>
      <c r="D14" s="541" t="n"/>
      <c r="E14" s="541" t="n"/>
      <c r="F14" s="541" t="n"/>
      <c r="G14" s="541" t="n"/>
      <c r="H14" s="541" t="n"/>
      <c r="I14" s="541" t="n"/>
      <c r="J14" s="541" t="n"/>
      <c r="K14" s="541" t="n"/>
      <c r="L14" s="541" t="n"/>
      <c r="M14" s="541" t="n"/>
      <c r="N14" s="541" t="n"/>
    </row>
    <row r="15" ht="22" customHeight="1" s="923">
      <c r="A15" s="969" t="inlineStr">
        <is>
          <t>D.  RESIDENT STATUS TAXONOMY  —  Where everyone stands</t>
        </is>
      </c>
    </row>
    <row r="16" outlineLevel="1" s="923">
      <c r="A16" s="398" t="inlineStr">
        <is>
          <t>Status Bucket</t>
        </is>
      </c>
      <c r="B16" s="399" t="inlineStr">
        <is>
          <t># Beds</t>
        </is>
      </c>
      <c r="C16" s="399" t="inlineStr">
        <is>
          <t>% of Total</t>
        </is>
      </c>
      <c r="D16" s="399" t="inlineStr">
        <is>
          <t>Sched Charges ($/mo)</t>
        </is>
      </c>
      <c r="E16" s="399" t="inlineStr">
        <is>
          <t>Avg Rate/Bed</t>
        </is>
      </c>
      <c r="F16" s="399" t="inlineStr">
        <is>
          <t>AR Balance</t>
        </is>
      </c>
    </row>
    <row r="17" outlineLevel="1" s="923">
      <c r="A17" s="382" t="inlineStr">
        <is>
          <t>Occupied — Current (paying, no balance)</t>
        </is>
      </c>
      <c r="B17" s="396">
        <f>COUNTIFS($E$214:$E$613,"Occupied",$M$214:$M$613,"&lt;=0")+COUNTIFS($E$214:$E$613,"Occupied",$M$214:$M$613,"")</f>
        <v/>
      </c>
      <c r="C17" s="464">
        <f>IFERROR(B17/$B$25,0)</f>
        <v/>
      </c>
      <c r="D17" s="458">
        <f>IFERROR(SUMIFS($L$214:$L$613,$E$214:$E$613,"Occupied",$M$214:$M$613,"&lt;=0")+SUMIFS($L$214:$L$613,$E$214:$E$613,"Occupied",$M$214:$M$613,""),0)</f>
        <v/>
      </c>
      <c r="E17" s="458">
        <f>IFERROR(D17/MAX(B17,1),0)</f>
        <v/>
      </c>
      <c r="F17" s="458" t="n">
        <v>0</v>
      </c>
    </row>
    <row r="18" outlineLevel="1" s="923">
      <c r="A18" s="382" t="inlineStr">
        <is>
          <t>Occupied — Delinquent (30+ days past due)</t>
        </is>
      </c>
      <c r="B18" s="396">
        <f>COUNTIFS($E$214:$E$613,"Occupied",$M$214:$M$613,"&gt;0")+COUNTIFS($E$214:$E$613,"Notice",$M$214:$M$613,"&gt;0")</f>
        <v/>
      </c>
      <c r="C18" s="464">
        <f>IFERROR(B18/$B$25,0)</f>
        <v/>
      </c>
      <c r="D18" s="458">
        <f>SUMIFS($L$214:$L$613,$E$214:$E$613,"Occupied",$M$214:$M$613,"&gt;0")+SUMIFS($L$214:$L$613,$E$214:$E$613,"Notice",$M$214:$M$613,"&gt;0")</f>
        <v/>
      </c>
      <c r="E18" s="458">
        <f>IFERROR(D18/MAX(B18,1),0)</f>
        <v/>
      </c>
      <c r="F18" s="458">
        <f>SUMIFS($M$214:$M$613,$E$214:$E$613,"Occupied",$M$214:$M$613,"&gt;0")+SUMIFS($M$214:$M$613,$E$214:$E$613,"Notice",$M$214:$M$613,"&gt;0")</f>
        <v/>
      </c>
    </row>
    <row r="19" outlineLevel="1" s="923">
      <c r="A19" s="382" t="inlineStr">
        <is>
          <t>Occupied — On Notice (30-day notice given)</t>
        </is>
      </c>
      <c r="B19" s="396">
        <f>COUNTIF($E$214:$E$613,"Notice")</f>
        <v/>
      </c>
      <c r="C19" s="464">
        <f>IFERROR(B19/$B$25,0)</f>
        <v/>
      </c>
      <c r="D19" s="458">
        <f>SUMIFS($L$214:$L$613,$E$214:$E$613,"Notice")</f>
        <v/>
      </c>
      <c r="E19" s="458">
        <f>IFERROR(D19/MAX(B19,1),0)</f>
        <v/>
      </c>
      <c r="F19" s="458">
        <f>SUMIFS($M$214:$M$613,$E$214:$E$613,"Notice")</f>
        <v/>
      </c>
    </row>
    <row r="20" outlineLevel="1" s="923">
      <c r="A20" s="382" t="inlineStr">
        <is>
          <t>Occupied — Respite / Short-term</t>
        </is>
      </c>
      <c r="B20" s="396">
        <f>COUNTIF($E$214:$E$613,"Respite")</f>
        <v/>
      </c>
      <c r="C20" s="464">
        <f>IFERROR(B20/$B$25,0)</f>
        <v/>
      </c>
      <c r="D20" s="458">
        <f>SUMIFS($L$214:$L$613,$E$214:$E$613,"Respite")</f>
        <v/>
      </c>
      <c r="E20" s="458">
        <f>IFERROR(D20/MAX(B20,1),0)</f>
        <v/>
      </c>
      <c r="F20" s="458">
        <f>SUMIFS($M$214:$M$613,$E$214:$E$613,"Respite")</f>
        <v/>
      </c>
    </row>
    <row r="21" outlineLevel="1" s="923">
      <c r="A21" s="382" t="inlineStr">
        <is>
          <t>Occupied — Hospice</t>
        </is>
      </c>
      <c r="B21" s="396">
        <f>COUNTIF($E$214:$E$613,"Hospice")</f>
        <v/>
      </c>
      <c r="C21" s="464">
        <f>IFERROR(B21/$B$25,0)</f>
        <v/>
      </c>
      <c r="D21" s="458">
        <f>SUMIFS($L$214:$L$613,$E$214:$E$613,"Hospice")</f>
        <v/>
      </c>
      <c r="E21" s="458">
        <f>IFERROR(D21/MAX(B21,1),0)</f>
        <v/>
      </c>
      <c r="F21" s="458">
        <f>SUMIFS($M$214:$M$613,$E$214:$E$613,"Hospice")</f>
        <v/>
      </c>
    </row>
    <row r="22" outlineLevel="1" s="923">
      <c r="A22" s="382" t="inlineStr">
        <is>
          <t>Vacant — Turned (ready)</t>
        </is>
      </c>
      <c r="B22" s="396">
        <f>COUNTIFS($E$214:$E$613,"Vacant",$H$214:$H$613,"&lt;&gt;")</f>
        <v/>
      </c>
      <c r="C22" s="464">
        <f>IFERROR(B22/$B$25,0)</f>
        <v/>
      </c>
      <c r="D22" s="458" t="n">
        <v>0</v>
      </c>
      <c r="E22" s="458" t="n">
        <v>0</v>
      </c>
      <c r="F22" s="458" t="n">
        <v>0</v>
      </c>
    </row>
    <row r="23" outlineLevel="1" s="923">
      <c r="A23" s="382" t="inlineStr">
        <is>
          <t>Vacant — Not Turned</t>
        </is>
      </c>
      <c r="B23" s="396">
        <f>COUNTIFS($E$214:$E$613,"Vacant",$H$214:$H$613,"")</f>
        <v/>
      </c>
      <c r="C23" s="464">
        <f>IFERROR(B23/$B$25,0)</f>
        <v/>
      </c>
      <c r="D23" s="458" t="n">
        <v>0</v>
      </c>
      <c r="E23" s="458" t="n">
        <v>0</v>
      </c>
      <c r="F23" s="458" t="n">
        <v>0</v>
      </c>
    </row>
    <row r="24" outlineLevel="1" s="923">
      <c r="A24" s="382" t="inlineStr">
        <is>
          <t>Reserved / Pre-Admitted (signed, not in)</t>
        </is>
      </c>
      <c r="B24" s="396">
        <f>COUNTIF($E$214:$E$613,"Reserved")+COUNTIFS($E$214:$E$613,"Vacant",$G$214:$G$613,"&gt;"&amp;TODAY())</f>
        <v/>
      </c>
      <c r="C24" s="464">
        <f>IFERROR(B24/$B$25,0)</f>
        <v/>
      </c>
      <c r="D24" s="458">
        <f>SUMIFS($L$214:$L$613,$E$214:$E$613,"Reserved")</f>
        <v/>
      </c>
      <c r="E24" s="458">
        <f>IFERROR(D24/MAX(B24,1),0)</f>
        <v/>
      </c>
      <c r="F24" s="458" t="n">
        <v>0</v>
      </c>
    </row>
    <row r="25" outlineLevel="1" s="923">
      <c r="A25" s="393" t="inlineStr">
        <is>
          <t>TOTAL</t>
        </is>
      </c>
      <c r="B25" s="404">
        <f>COUNTA($B$214:$B$613)</f>
        <v/>
      </c>
      <c r="C25" s="465">
        <f>SUM(C17:C24)</f>
        <v/>
      </c>
      <c r="D25" s="456">
        <f>SUM(D17:D24)</f>
        <v/>
      </c>
      <c r="E25" s="456">
        <f>IFERROR(D25/MAX(B25,1),0)</f>
        <v/>
      </c>
      <c r="F25" s="456">
        <f>SUM(F17:F24)</f>
        <v/>
      </c>
    </row>
    <row r="26" outlineLevel="1" s="923">
      <c r="A26" s="960" t="inlineStr">
        <is>
          <t xml:space="preserve">  Tie-out: Occ + Vacant + Reserved = Licensed Beds  |  Occ Mkt + Vac Loss should tie to Section E GPR</t>
        </is>
      </c>
    </row>
    <row r="27" outlineLevel="1" s="923">
      <c r="A27" s="541" t="n"/>
      <c r="B27" s="541" t="n"/>
      <c r="C27" s="541" t="n"/>
      <c r="D27" s="541" t="n"/>
      <c r="E27" s="541" t="n"/>
      <c r="F27" s="541" t="n"/>
      <c r="G27" s="541" t="n"/>
      <c r="H27" s="541" t="n"/>
      <c r="I27" s="541" t="n"/>
      <c r="J27" s="541" t="n"/>
      <c r="K27" s="541" t="n"/>
      <c r="L27" s="541" t="n"/>
      <c r="M27" s="541" t="n"/>
      <c r="N27" s="541" t="n"/>
    </row>
    <row r="28" ht="22" customHeight="1" s="923">
      <c r="A28" s="970" t="inlineStr">
        <is>
          <t>E.  GPR RECONCILIATION  —  Three views of potential revenue</t>
        </is>
      </c>
    </row>
    <row r="29" outlineLevel="1" s="923">
      <c r="A29" s="398" t="inlineStr">
        <is>
          <t>Metric</t>
        </is>
      </c>
      <c r="B29" s="399" t="inlineStr">
        <is>
          <t>Annual Amount</t>
        </is>
      </c>
      <c r="C29" s="399" t="inlineStr">
        <is>
          <t>Per Bed/Mo</t>
        </is>
      </c>
      <c r="D29" s="399" t="inlineStr">
        <is>
          <t>Notes</t>
        </is>
      </c>
    </row>
    <row r="30" outlineLevel="1" s="923">
      <c r="A30" s="959" t="inlineStr">
        <is>
          <t>Market GPR  (all licensed beds × market rate × 12)</t>
        </is>
      </c>
      <c r="B30" s="455">
        <f>SUM(I214:I613)*12</f>
        <v/>
      </c>
      <c r="C30" s="455">
        <f>IFERROR(B30/12/MAX(B13,1),0)</f>
        <v/>
      </c>
      <c r="D30" s="960" t="inlineStr">
        <is>
          <t>Max revenue at 100% occupancy</t>
        </is>
      </c>
    </row>
    <row r="31" outlineLevel="1" s="923">
      <c r="A31" s="382" t="inlineStr">
        <is>
          <t>Scheduled GPR  (occupied × sched charges × 12)</t>
        </is>
      </c>
      <c r="B31" s="458">
        <f t="array" ref="B31">SUMPRODUCT((($E$214:$E$613="Occupied")+($E$214:$E$613="Notice"))*$L$214:$L$613)*12</f>
        <v/>
      </c>
      <c r="C31" s="458">
        <f>IFERROR(B31/12/MAX(C13,1),0)</f>
        <v/>
      </c>
      <c r="D31" s="960" t="inlineStr">
        <is>
          <t>Contracted charges on occupied beds</t>
        </is>
      </c>
    </row>
    <row r="32" outlineLevel="1" s="923">
      <c r="A32" s="382" t="inlineStr">
        <is>
          <t>Loss to Lease  (achievable rate − in-place scheduled, occupied)</t>
        </is>
      </c>
      <c r="B32" s="458">
        <f t="array" ref="B32">(SUMPRODUCT((($C$214:$C$613="IL")*(($E$214:$E$613="Occupied")+($E$214:$E$613="Notice")))*(_xlfn.MAXIFS($L$214:$L$613,$C$214:$C$613,"IL",$E$214:$E$613,"Occupied")-$L$214:$L$613))+SUMPRODUCT((($C$214:$C$613="AL")*(($E$214:$E$613="Occupied")+($E$214:$E$613="Notice")))*(_xlfn.MAXIFS($L$214:$L$613,$C$214:$C$613,"AL",$E$214:$E$613,"Occupied")-$L$214:$L$613))+SUMPRODUCT((($C$214:$C$613="MC")*(($E$214:$E$613="Occupied")+($E$214:$E$613="Notice")))*(_xlfn.MAXIFS($L$214:$L$613,$C$214:$C$613,"MC",$E$214:$E$613,"Occupied")-$L$214:$L$613)))*12</f>
        <v/>
      </c>
      <c r="C32" s="458">
        <f>IFERROR(B32/12/MAX(C13,1),0)</f>
        <v/>
      </c>
      <c r="D32" s="960" t="inlineStr">
        <is>
          <t>Achievable = max scheduled rate within same care level (peer ceiling per CL)</t>
        </is>
      </c>
    </row>
    <row r="33" outlineLevel="1" s="923">
      <c r="A33" s="382" t="inlineStr">
        <is>
          <t>Loss to Lease %</t>
        </is>
      </c>
      <c r="B33" s="464">
        <f>IFERROR(B32/B31,0)</f>
        <v/>
      </c>
      <c r="C33" s="386" t="n"/>
      <c r="D33" s="960" t="inlineStr">
        <is>
          <t>LTL as % of scheduled GPR</t>
        </is>
      </c>
    </row>
    <row r="34" outlineLevel="1" s="923">
      <c r="A34" s="382" t="inlineStr">
        <is>
          <t>Vacancy Loss  (vacant beds × market rate × 12)</t>
        </is>
      </c>
      <c r="B34" s="458">
        <f>SUMIFS($I$214:$I$613,$E$214:$E$613,"Vacant")*12</f>
        <v/>
      </c>
      <c r="C34" s="458">
        <f>IFERROR(B34/12/MAX(COUNTIF($E$214:$E$613,"Vacant"),1),0)</f>
        <v/>
      </c>
      <c r="D34" s="960" t="inlineStr">
        <is>
          <t>Lost revenue from empty beds</t>
        </is>
      </c>
    </row>
    <row r="35" outlineLevel="1" s="923">
      <c r="A35" s="382" t="inlineStr">
        <is>
          <t>Bad Debt Risk  (delinquent + on-notice × sched × 12)</t>
        </is>
      </c>
      <c r="B35" s="458">
        <f>F18*12+F19*12</f>
        <v/>
      </c>
      <c r="C35" s="458">
        <f>IFERROR(B35/12/MAX(B18+B19,1),0)</f>
        <v/>
      </c>
      <c r="D35" s="960" t="inlineStr">
        <is>
          <t>Annualized at-risk revenue</t>
        </is>
      </c>
    </row>
    <row r="36" outlineLevel="1" s="923">
      <c r="A36" s="382" t="inlineStr">
        <is>
          <t>LOC / Care Services Revenue  (Analyzer UW Output)</t>
        </is>
      </c>
      <c r="B36" s="458">
        <f>SUM(K214:K613)*12</f>
        <v/>
      </c>
      <c r="C36" s="458">
        <f>IFERROR(B36/12/MAX(C13,1),0)</f>
        <v/>
      </c>
      <c r="D36" s="960" t="inlineStr">
        <is>
          <t>Add-on care charges — source from Analyzer</t>
        </is>
      </c>
    </row>
    <row r="37" outlineLevel="1" s="923">
      <c r="A37" s="959" t="inlineStr">
        <is>
          <t>Economic GPR  (Market − LTL − Vac − Bad Debt + LOC)</t>
        </is>
      </c>
      <c r="B37" s="455">
        <f>B30-B32-B34-B35+B36</f>
        <v/>
      </c>
      <c r="C37" s="455">
        <f>IFERROR(B37/12/MAX(B13,1),0)</f>
        <v/>
      </c>
      <c r="D37" s="960" t="inlineStr">
        <is>
          <t>Realistic collected revenue estimate</t>
        </is>
      </c>
    </row>
    <row r="38" outlineLevel="1" s="923">
      <c r="A38" s="382" t="inlineStr">
        <is>
          <t>Economic Occupancy %  (Econ GPR / Market GPR)</t>
        </is>
      </c>
      <c r="B38" s="464">
        <f>IFERROR(B37/B30,0)</f>
        <v/>
      </c>
      <c r="C38" s="386" t="n"/>
      <c r="D38" s="960" t="inlineStr">
        <is>
          <t>Compare to physical occupancy above</t>
        </is>
      </c>
    </row>
    <row r="39" outlineLevel="1" s="923">
      <c r="A39" s="382" t="inlineStr">
        <is>
          <t>Current RR GPR — Occupied Scheduled (point-in-time)</t>
        </is>
      </c>
      <c r="B39" s="458">
        <f t="array" ref="B39">SUMPRODUCT((($E$214:$E$613="Occupied")+($E$214:$E$613="Notice"))*$L$214:$L$613)*12</f>
        <v/>
      </c>
      <c r="C39" s="458">
        <f>IFERROR(B39/12/MAX(C13,1),0)</f>
        <v/>
      </c>
      <c r="D39" s="960" t="inlineStr">
        <is>
          <t>Scheduled rent × occupied beds × 12</t>
        </is>
      </c>
    </row>
    <row r="40" outlineLevel="1" s="923">
      <c r="A40" s="544" t="inlineStr">
        <is>
          <t>Market vs Actual Collected  (operator posted rate − actual charges, occupied)</t>
        </is>
      </c>
      <c r="B40" s="545">
        <f t="array" ref="B40">SUMPRODUCT((($E$214:$E$613="Occupied")+($E$214:$E$613="Notice"))*($I$214:$I$613-$J$214:$J$613))*12</f>
        <v/>
      </c>
      <c r="C40" s="545">
        <f>IFERROR(B40/12/MAX(C13,1),0)</f>
        <v/>
      </c>
      <c r="D40" s="546" t="inlineStr">
        <is>
          <t>Negative = collecting MORE than posted market (over-billing or care fees in I). Positive = collecting LESS than posted market (concessions / discounts in actuals).</t>
        </is>
      </c>
      <c r="E40" s="541" t="n"/>
      <c r="F40" s="541" t="n"/>
      <c r="G40" s="541" t="n"/>
      <c r="H40" s="541" t="n"/>
      <c r="I40" s="541" t="n"/>
      <c r="J40" s="541" t="n"/>
      <c r="K40" s="541" t="n"/>
      <c r="L40" s="541" t="n"/>
      <c r="M40" s="541" t="n"/>
      <c r="N40" s="541" t="n"/>
    </row>
    <row r="41" ht="22" customHeight="1" s="923">
      <c r="A41" s="969" t="inlineStr">
        <is>
          <t>F.  LENGTH OF STAY COHORT  —  How long residents have been here</t>
        </is>
      </c>
    </row>
    <row r="42" outlineLevel="1" s="923">
      <c r="A42" s="398" t="inlineStr">
        <is>
          <t>Tenure</t>
        </is>
      </c>
      <c r="B42" s="399" t="inlineStr">
        <is>
          <t># Residents</t>
        </is>
      </c>
      <c r="C42" s="399" t="inlineStr">
        <is>
          <t>% Occupied</t>
        </is>
      </c>
      <c r="D42" s="399" t="inlineStr">
        <is>
          <t>Avg Sched Rate</t>
        </is>
      </c>
      <c r="E42" s="399" t="inlineStr">
        <is>
          <t>Avg Market Rate</t>
        </is>
      </c>
      <c r="F42" s="399" t="inlineStr">
        <is>
          <t>LTL/mo/bed</t>
        </is>
      </c>
      <c r="G42" s="399" t="inlineStr">
        <is>
          <t>Read</t>
        </is>
      </c>
    </row>
    <row r="43" outlineLevel="1" s="923">
      <c r="A43" s="382" t="inlineStr">
        <is>
          <t>0–6 months</t>
        </is>
      </c>
      <c r="B43" s="396">
        <f t="array" ref="B43">SUMPRODUCT((($E$214:$E$613="Occupied")+($E$214:$E$613="Notice"))*($G$214:$G$613&gt;=TODAY()-180)*($G$214:$G$613&lt;&gt;""))</f>
        <v/>
      </c>
      <c r="C43" s="464">
        <f>IFERROR(B43/MAX($C$13,1),0)</f>
        <v/>
      </c>
      <c r="D43" s="458">
        <f t="array" ref="D43">IFERROR(SUMPRODUCT((($E$214:$E$613="Occupied")+($E$214:$E$613="Notice"))*($G$214:$G$613&gt;=TODAY()-180)*($G$214:$G$613&lt;&gt;"")*$L$214:$L$613)/MAX(B43,1),0)</f>
        <v/>
      </c>
      <c r="E43" s="458">
        <f t="array" ref="E43">IFERROR(SUMPRODUCT((($E$214:$E$613="Occupied")+($E$214:$E$613="Notice"))*($G$214:$G$613&gt;=TODAY()-180)*($G$214:$G$613&lt;&gt;"")*$I$214:$I$613)/MAX(B43,1),0)</f>
        <v/>
      </c>
      <c r="F43" s="458">
        <f>IFERROR(E43-D43,0)</f>
        <v/>
      </c>
      <c r="G43" s="960" t="inlineStr">
        <is>
          <t>Recent admissions — high care needs assessment period</t>
        </is>
      </c>
    </row>
    <row r="44" outlineLevel="1" s="923">
      <c r="A44" s="382" t="inlineStr">
        <is>
          <t>6–12 months</t>
        </is>
      </c>
      <c r="B44" s="396">
        <f t="array" ref="B44">SUMPRODUCT((($E$214:$E$613="Occupied")+($E$214:$E$613="Notice"))*($G$214:$G$613&gt;=TODAY()-365)*($G$214:$G$613&lt;TODAY()-180)*($G$214:$G$613&lt;&gt;""))</f>
        <v/>
      </c>
      <c r="C44" s="464">
        <f>IFERROR(B44/MAX($C$13,1),0)</f>
        <v/>
      </c>
      <c r="D44" s="458">
        <f t="array" ref="D44">IFERROR(SUMPRODUCT((($E$214:$E$613="Occupied")+($E$214:$E$613="Notice"))*($G$214:$G$613&gt;=TODAY()-365)*($G$214:$G$613&lt;TODAY()-180)*($G$214:$G$613&lt;&gt;"")*$L$214:$L$613)/MAX(B44,1),0)</f>
        <v/>
      </c>
      <c r="E44" s="458">
        <f t="array" ref="E44">IFERROR(SUMPRODUCT((($E$214:$E$613="Occupied")+($E$214:$E$613="Notice"))*($G$214:$G$613&gt;=TODAY()-365)*($G$214:$G$613&lt;TODAY()-180)*($G$214:$G$613&lt;&gt;"")*$I$214:$I$613)/MAX(B44,1),0)</f>
        <v/>
      </c>
      <c r="F44" s="458">
        <f>IFERROR(E44-D44,0)</f>
        <v/>
      </c>
      <c r="G44" s="960" t="inlineStr">
        <is>
          <t>Stabilizing</t>
        </is>
      </c>
    </row>
    <row r="45" outlineLevel="1" s="923">
      <c r="A45" s="382" t="inlineStr">
        <is>
          <t>1–2 years</t>
        </is>
      </c>
      <c r="B45" s="396">
        <f t="array" ref="B45">SUMPRODUCT((($E$214:$E$613="Occupied")+($E$214:$E$613="Notice"))*($G$214:$G$613&gt;=TODAY()-730)*($G$214:$G$613&lt;TODAY()-365)*($G$214:$G$613&lt;&gt;""))</f>
        <v/>
      </c>
      <c r="C45" s="464">
        <f>IFERROR(B45/MAX($C$13,1),0)</f>
        <v/>
      </c>
      <c r="D45" s="458">
        <f t="array" ref="D45">IFERROR(SUMPRODUCT((($E$214:$E$613="Occupied")+($E$214:$E$613="Notice"))*($G$214:$G$613&gt;=TODAY()-730)*($G$214:$G$613&lt;TODAY()-365)*($G$214:$G$613&lt;&gt;"")*$L$214:$L$613)/MAX(B45,1),0)</f>
        <v/>
      </c>
      <c r="E45" s="458">
        <f t="array" ref="E45">IFERROR(SUMPRODUCT((($E$214:$E$613="Occupied")+($E$214:$E$613="Notice"))*($G$214:$G$613&gt;=TODAY()-730)*($G$214:$G$613&lt;TODAY()-365)*($G$214:$G$613&lt;&gt;"")*$I$214:$I$613)/MAX(B45,1),0)</f>
        <v/>
      </c>
      <c r="F45" s="458">
        <f>IFERROR(E45-D45,0)</f>
        <v/>
      </c>
      <c r="G45" s="960" t="inlineStr">
        <is>
          <t>Established residents</t>
        </is>
      </c>
    </row>
    <row r="46" outlineLevel="1" s="923">
      <c r="A46" s="382" t="inlineStr">
        <is>
          <t>2–3 years</t>
        </is>
      </c>
      <c r="B46" s="396">
        <f t="array" ref="B46">SUMPRODUCT((($E$214:$E$613="Occupied")+($E$214:$E$613="Notice"))*($G$214:$G$613&gt;=TODAY()-1095)*($G$214:$G$613&lt;TODAY()-730)*($G$214:$G$613&lt;&gt;""))</f>
        <v/>
      </c>
      <c r="C46" s="464">
        <f>IFERROR(B46/MAX($C$13,1),0)</f>
        <v/>
      </c>
      <c r="D46" s="458">
        <f t="array" ref="D46">IFERROR(SUMPRODUCT((($E$214:$E$613="Occupied")+($E$214:$E$613="Notice"))*($G$214:$G$613&gt;=TODAY()-1095)*($G$214:$G$613&lt;TODAY()-730)*($G$214:$G$613&lt;&gt;"")*$L$214:$L$613)/MAX(B46,1),0)</f>
        <v/>
      </c>
      <c r="E46" s="458">
        <f t="array" ref="E46">IFERROR(SUMPRODUCT((($E$214:$E$613="Occupied")+($E$214:$E$613="Notice"))*($G$214:$G$613&gt;=TODAY()-1095)*($G$214:$G$613&lt;TODAY()-730)*($G$214:$G$613&lt;&gt;"")*$I$214:$I$613)/MAX(B46,1),0)</f>
        <v/>
      </c>
      <c r="F46" s="458">
        <f>IFERROR(E46-D46,0)</f>
        <v/>
      </c>
      <c r="G46" s="960" t="inlineStr">
        <is>
          <t>Likely below market rate</t>
        </is>
      </c>
    </row>
    <row r="47" outlineLevel="1" s="923">
      <c r="A47" s="382" t="inlineStr">
        <is>
          <t>3+ years</t>
        </is>
      </c>
      <c r="B47" s="396">
        <f t="array" ref="B47">SUMPRODUCT((($E$214:$E$613="Occupied")+($E$214:$E$613="Notice"))*($G$214:$G$613&lt;TODAY()-1095)*($G$214:$G$613&lt;&gt;""))</f>
        <v/>
      </c>
      <c r="C47" s="464">
        <f>IFERROR(B47/MAX($C$13,1),0)</f>
        <v/>
      </c>
      <c r="D47" s="458">
        <f t="array" ref="D47">IFERROR(SUMPRODUCT((($E$214:$E$613="Occupied")+($E$214:$E$613="Notice"))*($G$214:$G$613&lt;TODAY()-1095)*($G$214:$G$613&lt;&gt;"")*$L$214:$L$613)/MAX(B47,1),0)</f>
        <v/>
      </c>
      <c r="E47" s="458">
        <f t="array" ref="E47">IFERROR(SUMPRODUCT((($E$214:$E$613="Occupied")+($E$214:$E$613="Notice"))*($G$214:$G$613&lt;TODAY()-1095)*($G$214:$G$613&lt;&gt;"")*$I$214:$I$613)/MAX(B47,1),0)</f>
        <v/>
      </c>
      <c r="F47" s="458">
        <f>IFERROR(E47-D47,0)</f>
        <v/>
      </c>
      <c r="G47" s="960" t="inlineStr">
        <is>
          <t>Deep below market — rate increase opportunity</t>
        </is>
      </c>
    </row>
    <row r="48" outlineLevel="1" s="923"/>
    <row r="49" outlineLevel="1" s="923">
      <c r="A49" s="541" t="n"/>
      <c r="B49" s="541" t="n"/>
      <c r="C49" s="541" t="n"/>
      <c r="D49" s="541" t="n"/>
      <c r="E49" s="541" t="n"/>
      <c r="F49" s="541" t="n"/>
      <c r="G49" s="541" t="n"/>
      <c r="H49" s="541" t="n"/>
      <c r="I49" s="541" t="n"/>
      <c r="J49" s="541" t="n"/>
      <c r="K49" s="541" t="n"/>
      <c r="L49" s="541" t="n"/>
      <c r="M49" s="541" t="n"/>
      <c r="N49" s="541" t="n"/>
    </row>
    <row r="50" ht="22" customHeight="1" s="923">
      <c r="A50" s="970" t="inlineStr">
        <is>
          <t>G.  DAYS VACANT TRACKER  —  How long have the empty beds been empty?</t>
        </is>
      </c>
    </row>
    <row r="51" outlineLevel="1" s="923">
      <c r="A51" s="960" t="inlineStr">
        <is>
          <t xml:space="preserve">  Calculated from last discharge / move-out date. Blank discharge = unknown duration.</t>
        </is>
      </c>
    </row>
    <row r="52" outlineLevel="1" s="923">
      <c r="A52" s="398" t="inlineStr">
        <is>
          <t>Vacancy Bucket</t>
        </is>
      </c>
      <c r="B52" s="399" t="inlineStr">
        <is>
          <t># Beds</t>
        </is>
      </c>
      <c r="C52" s="399" t="inlineStr">
        <is>
          <t>% of Vacant</t>
        </is>
      </c>
      <c r="D52" s="399" t="inlineStr">
        <is>
          <t>Lost Revenue ($/yr)</t>
        </is>
      </c>
      <c r="E52" s="399" t="inlineStr">
        <is>
          <t>Est. Turn Scope</t>
        </is>
      </c>
    </row>
    <row r="53" outlineLevel="1" s="923">
      <c r="A53" s="382" t="inlineStr">
        <is>
          <t>0–30 days since discharge</t>
        </is>
      </c>
      <c r="B53" s="396">
        <f t="array" ref="B53">SUMPRODUCT(($E$214:$E$613="Vacant")*($H$214:$H$613&gt;=TODAY()-30)*($H$214:$H$613&lt;&gt;""))</f>
        <v/>
      </c>
      <c r="C53" s="464">
        <f>IFERROR(B53/MAX(COUNTIF($E$214:$E$613,"Vacant"),1),0)</f>
        <v/>
      </c>
      <c r="D53" s="458">
        <f t="array" ref="D53">SUMPRODUCT(($E$214:$E$613="Vacant")*($H$214:$H$613&gt;=TODAY()-30)*($H$214:$H$613&lt;&gt;"")*$I$214:$I$613)*12</f>
        <v/>
      </c>
      <c r="E53" s="960" t="inlineStr">
        <is>
          <t>Standard turn</t>
        </is>
      </c>
    </row>
    <row r="54" outlineLevel="1" s="923">
      <c r="A54" s="382" t="inlineStr">
        <is>
          <t>31–90 days</t>
        </is>
      </c>
      <c r="B54" s="396">
        <f t="array" ref="B54">SUMPRODUCT(($E$214:$E$613="Vacant")*($H$214:$H$613&gt;=TODAY()-90)*($H$214:$H$613&lt;TODAY()-30)*($H$214:$H$613&lt;&gt;""))</f>
        <v/>
      </c>
      <c r="C54" s="464">
        <f>IFERROR(B54/MAX(COUNTIF($E$214:$E$613,"Vacant"),1),0)</f>
        <v/>
      </c>
      <c r="D54" s="458">
        <f t="array" ref="D54">SUMPRODUCT(($E$214:$E$613="Vacant")*($H$214:$H$613&gt;=TODAY()-90)*($H$214:$H$613&lt;TODAY()-30)*($H$214:$H$613&lt;&gt;"")*$I$214:$I$613)*12</f>
        <v/>
      </c>
      <c r="E54" s="960" t="inlineStr">
        <is>
          <t>Light to medium refurb</t>
        </is>
      </c>
    </row>
    <row r="55" outlineLevel="1" s="923">
      <c r="A55" s="382" t="inlineStr">
        <is>
          <t>90–180 days</t>
        </is>
      </c>
      <c r="B55" s="396">
        <f t="array" ref="B55">SUMPRODUCT(($E$214:$E$613="Vacant")*($H$214:$H$613&gt;=TODAY()-180)*($H$214:$H$613&lt;TODAY()-90)*($H$214:$H$613&lt;&gt;""))</f>
        <v/>
      </c>
      <c r="C55" s="464">
        <f>IFERROR(B55/MAX(COUNTIF($E$214:$E$613,"Vacant"),1),0)</f>
        <v/>
      </c>
      <c r="D55" s="458">
        <f t="array" ref="D55">SUMPRODUCT(($E$214:$E$613="Vacant")*($H$214:$H$613&gt;=TODAY()-180)*($H$214:$H$613&lt;TODAY()-90)*($H$214:$H$613&lt;&gt;"")*$I$214:$I$613)*12</f>
        <v/>
      </c>
      <c r="E55" s="960" t="inlineStr">
        <is>
          <t>Medium refurb likely</t>
        </is>
      </c>
    </row>
    <row r="56" outlineLevel="1" s="923">
      <c r="A56" s="382" t="inlineStr">
        <is>
          <t>180–365 days</t>
        </is>
      </c>
      <c r="B56" s="396">
        <f t="array" ref="B56">SUMPRODUCT(($E$214:$E$613="Vacant")*($H$214:$H$613&gt;=TODAY()-365)*($H$214:$H$613&lt;TODAY()-180)*($H$214:$H$613&lt;&gt;""))</f>
        <v/>
      </c>
      <c r="C56" s="464">
        <f>IFERROR(B56/MAX(COUNTIF($E$214:$E$613,"Vacant"),1),0)</f>
        <v/>
      </c>
      <c r="D56" s="458">
        <f t="array" ref="D56">SUMPRODUCT(($E$214:$E$613="Vacant")*($H$214:$H$613&gt;=TODAY()-365)*($H$214:$H$613&lt;TODAY()-180)*($H$214:$H$613&lt;&gt;"")*$I$214:$I$613)*12</f>
        <v/>
      </c>
      <c r="E56" s="960" t="inlineStr">
        <is>
          <t>Heavy refurb / deep clean</t>
        </is>
      </c>
    </row>
    <row r="57" outlineLevel="1" s="923">
      <c r="A57" s="382" t="inlineStr">
        <is>
          <t>365+ days</t>
        </is>
      </c>
      <c r="B57" s="396">
        <f t="array" ref="B57">SUMPRODUCT(($E$214:$E$613="Vacant")*($H$214:$H$613&lt;TODAY()-365)*($H$214:$H$613&lt;&gt;""))</f>
        <v/>
      </c>
      <c r="C57" s="464">
        <f>IFERROR(B57/MAX(COUNTIF($E$214:$E$613,"Vacant"),1),0)</f>
        <v/>
      </c>
      <c r="D57" s="458">
        <f t="array" ref="D57">SUMPRODUCT(($E$214:$E$613="Vacant")*($H$214:$H$613&lt;TODAY()-365)*($H$214:$H$613&lt;&gt;"")*$I$214:$I$613)*12</f>
        <v/>
      </c>
      <c r="E57" s="960" t="inlineStr">
        <is>
          <t>Assess for off-line / renovation</t>
        </is>
      </c>
    </row>
    <row r="58" outlineLevel="1" s="923">
      <c r="A58" s="382" t="inlineStr">
        <is>
          <t>Discharge date unknown</t>
        </is>
      </c>
      <c r="B58" s="396">
        <f>COUNTIFS($E$214:$E$613,"Vacant",$H$214:$H$613,"")</f>
        <v/>
      </c>
      <c r="C58" s="464">
        <f>IFERROR(B58/MAX(COUNTIF($E$214:$E$613,"Vacant"),1),0)</f>
        <v/>
      </c>
      <c r="D58" s="458">
        <f>SUMIFS($I$214:$I$613,$E$214:$E$613,"Vacant",$H$214:$H$613,"")*12</f>
        <v/>
      </c>
      <c r="E58" s="960" t="inlineStr">
        <is>
          <t>Investigate</t>
        </is>
      </c>
    </row>
    <row r="59" outlineLevel="1" s="923">
      <c r="A59" s="959" t="inlineStr">
        <is>
          <t>Total Lost Annual Revenue</t>
        </is>
      </c>
      <c r="B59" s="401">
        <f>SUM(B53:B58)</f>
        <v/>
      </c>
      <c r="C59" s="467">
        <f>SUM(C53:C58)</f>
        <v/>
      </c>
      <c r="D59" s="455">
        <f>SUM(D53:D58)</f>
        <v/>
      </c>
      <c r="E59" s="960" t="n"/>
    </row>
    <row r="60" outlineLevel="1" s="923"/>
    <row r="61" outlineLevel="1" s="923">
      <c r="A61" s="541" t="n"/>
      <c r="B61" s="541" t="n"/>
      <c r="C61" s="541" t="n"/>
      <c r="D61" s="541" t="n"/>
      <c r="E61" s="541" t="n"/>
      <c r="F61" s="541" t="n"/>
      <c r="G61" s="541" t="n"/>
      <c r="H61" s="541" t="n"/>
      <c r="I61" s="541" t="n"/>
      <c r="J61" s="541" t="n"/>
      <c r="K61" s="541" t="n"/>
      <c r="L61" s="541" t="n"/>
      <c r="M61" s="541" t="n"/>
      <c r="N61" s="541" t="n"/>
    </row>
    <row r="62" ht="22" customHeight="1" s="923">
      <c r="A62" s="969" t="inlineStr">
        <is>
          <t>H.  DELINQUENCY  —  AR aging summary  (paste from Analyzer AR Input or operator aging report into cols Q–T)</t>
        </is>
      </c>
    </row>
    <row r="63" outlineLevel="1" s="923">
      <c r="A63" s="398" t="inlineStr">
        <is>
          <t>Aging Bucket</t>
        </is>
      </c>
      <c r="B63" s="399" t="inlineStr">
        <is>
          <t># Residents</t>
        </is>
      </c>
      <c r="C63" s="399" t="inlineStr">
        <is>
          <t>Total $</t>
        </is>
      </c>
      <c r="D63" s="399" t="inlineStr">
        <is>
          <t>% of Total AR</t>
        </is>
      </c>
      <c r="E63" s="399" t="inlineStr">
        <is>
          <t>Avg per Resident</t>
        </is>
      </c>
      <c r="F63" s="399" t="inlineStr">
        <is>
          <t>Payer Mix Flag</t>
        </is>
      </c>
    </row>
    <row r="64" outlineLevel="1" s="923">
      <c r="A64" s="382" t="inlineStr">
        <is>
          <t>0–30 Days</t>
        </is>
      </c>
      <c r="B64" s="396">
        <f t="array" ref="B64">SUMPRODUCT(($O$214:$O$613&gt;0)*1)</f>
        <v/>
      </c>
      <c r="C64" s="458">
        <f>SUM(O214:O613)</f>
        <v/>
      </c>
      <c r="D64" s="464">
        <f>IFERROR(C64/MAX(SUM($M$214:$M$613),1),0)</f>
        <v/>
      </c>
      <c r="E64" s="458">
        <f>IFERROR(C64/MAX(B64,1),0)</f>
        <v/>
      </c>
      <c r="F64" s="403" t="inlineStr">
        <is>
          <t>Current</t>
        </is>
      </c>
    </row>
    <row r="65" outlineLevel="1" s="923">
      <c r="A65" s="382" t="inlineStr">
        <is>
          <t>31–60 Days</t>
        </is>
      </c>
      <c r="B65" s="396">
        <f t="array" ref="B65">SUMPRODUCT(($P$214:$P$613&gt;0)*1)</f>
        <v/>
      </c>
      <c r="C65" s="458">
        <f>SUM(P214:P613)</f>
        <v/>
      </c>
      <c r="D65" s="464">
        <f>IFERROR(C65/MAX(SUM($M$214:$M$613),1),0)</f>
        <v/>
      </c>
      <c r="E65" s="458">
        <f>IFERROR(C65/MAX(B65,1),0)</f>
        <v/>
      </c>
      <c r="F65" s="403" t="inlineStr">
        <is>
          <t>Watch</t>
        </is>
      </c>
    </row>
    <row r="66" outlineLevel="1" s="923">
      <c r="A66" s="382" t="inlineStr">
        <is>
          <t>61–90 Days</t>
        </is>
      </c>
      <c r="B66" s="396">
        <f t="array" ref="B66">SUMPRODUCT(($Q$214:$Q$613&gt;0)*1)</f>
        <v/>
      </c>
      <c r="C66" s="458">
        <f>SUM(Q214:Q613)</f>
        <v/>
      </c>
      <c r="D66" s="464">
        <f>IFERROR(C66/MAX(SUM($M$214:$M$613),1),0)</f>
        <v/>
      </c>
      <c r="E66" s="458">
        <f>IFERROR(C66/MAX(B66,1),0)</f>
        <v/>
      </c>
      <c r="F66" s="403" t="inlineStr">
        <is>
          <t>Escalate</t>
        </is>
      </c>
    </row>
    <row r="67" outlineLevel="1" s="923">
      <c r="A67" s="959" t="inlineStr">
        <is>
          <t>90+ Days</t>
        </is>
      </c>
      <c r="B67" s="401">
        <f t="array" ref="B67">SUMPRODUCT(($R$214:$R$613&gt;0)*1)</f>
        <v/>
      </c>
      <c r="C67" s="455">
        <f>SUM(R214:R613)</f>
        <v/>
      </c>
      <c r="D67" s="467">
        <f>IFERROR(C67/MAX(SUM($M$214:$M$613),1),0)</f>
        <v/>
      </c>
      <c r="E67" s="455">
        <f>IFERROR(C67/MAX(B67,1),0)</f>
        <v/>
      </c>
      <c r="F67" s="403" t="inlineStr">
        <is>
          <t>Collections</t>
        </is>
      </c>
    </row>
    <row r="68" outlineLevel="1" s="923">
      <c r="A68" s="959" t="inlineStr">
        <is>
          <t>Total AR (from balance col)</t>
        </is>
      </c>
      <c r="B68" s="401">
        <f>COUNTIF($M$214:$M$613,"&gt;0")</f>
        <v/>
      </c>
      <c r="C68" s="455">
        <f>SUM(M214:M613)</f>
        <v/>
      </c>
      <c r="D68" s="467">
        <f>IF(SUM(C64:C67)=0,0,SUM(C64:C67)/MAX(C68,1))</f>
        <v/>
      </c>
      <c r="E68" s="455">
        <f>IFERROR(C68/MAX(B68,1),0)</f>
        <v/>
      </c>
      <c r="F68" s="403">
        <f>IF(SUM(C64:C67)=0,"⚠ aging not loaded — paste aging report into N–Q","✓ aging loaded")</f>
        <v/>
      </c>
    </row>
    <row r="69" outlineLevel="1" s="923"/>
    <row r="70" outlineLevel="1" s="923">
      <c r="A70" s="541" t="n"/>
      <c r="B70" s="541" t="n"/>
      <c r="C70" s="541" t="n"/>
      <c r="D70" s="541" t="n"/>
      <c r="E70" s="541" t="n"/>
      <c r="F70" s="541" t="n"/>
      <c r="G70" s="541" t="n"/>
      <c r="H70" s="541" t="n"/>
      <c r="I70" s="541" t="n"/>
      <c r="J70" s="541" t="n"/>
      <c r="K70" s="541" t="n"/>
      <c r="L70" s="541" t="n"/>
      <c r="M70" s="541" t="n"/>
      <c r="N70" s="541" t="n"/>
    </row>
    <row r="71" ht="22" customHeight="1" s="923">
      <c r="A71" s="970" t="inlineStr">
        <is>
          <t>I.  TOP-10 DELINQUENT RESIDENTS  —  Highest AR balances</t>
        </is>
      </c>
    </row>
    <row r="72" outlineLevel="1" s="923">
      <c r="A72" s="960" t="inlineStr">
        <is>
          <t xml:space="preserve">  Sorted by Balance descending. ✱✱ prefix = operator flagged for legal/collections action.</t>
        </is>
      </c>
    </row>
    <row r="73" outlineLevel="1" s="923">
      <c r="A73" s="398" t="inlineStr">
        <is>
          <t>Rank</t>
        </is>
      </c>
      <c r="B73" s="399" t="inlineStr">
        <is>
          <t>Wing</t>
        </is>
      </c>
      <c r="C73" s="399" t="inlineStr">
        <is>
          <t>Bed</t>
        </is>
      </c>
      <c r="D73" s="399" t="inlineStr">
        <is>
          <t>Resident</t>
        </is>
      </c>
      <c r="E73" s="399" t="inlineStr">
        <is>
          <t>Care Level</t>
        </is>
      </c>
      <c r="F73" s="399" t="inlineStr">
        <is>
          <t>Payer Type</t>
        </is>
      </c>
      <c r="G73" s="399" t="inlineStr">
        <is>
          <t>AR Balance</t>
        </is>
      </c>
      <c r="H73" s="399" t="inlineStr">
        <is>
          <t>Deposit</t>
        </is>
      </c>
      <c r="I73" s="399" t="inlineStr">
        <is>
          <t>Flag</t>
        </is>
      </c>
      <c r="J73" s="399" t="inlineStr">
        <is>
          <t>Deposit</t>
        </is>
      </c>
      <c r="K73" s="399" t="inlineStr">
        <is>
          <t>Net Exposure</t>
        </is>
      </c>
      <c r="L73" s="399" t="inlineStr">
        <is>
          <t>Notes</t>
        </is>
      </c>
    </row>
    <row r="74" outlineLevel="1" s="923">
      <c r="A74" s="382" t="n">
        <v>1</v>
      </c>
      <c r="B74">
        <f t="array" ref="B74">IFERROR(INDEX($A$214:$A$613,MATCH(LARGE($M$214:$M$613+ROW($M$214:$M$613)/1000000,ROW()-72),$M$214:$M$613+ROW($M$214:$M$613)/1000000,0)),"")</f>
        <v/>
      </c>
      <c r="C74">
        <f t="array" ref="C74">IFERROR(INDEX($B$214:$B$613,MATCH(LARGE($M$214:$M$613+ROW($M$214:$M$613)/1000000,ROW()-72),$M$214:$M$613+ROW($M$214:$M$613)/1000000,0)),"")</f>
        <v/>
      </c>
      <c r="D74">
        <f t="array" ref="D74">IFERROR(INDEX($F$214:$F$613,MATCH(LARGE($M$214:$M$613+ROW($M$214:$M$613)/1000000,ROW()-72),$M$214:$M$613+ROW($M$214:$M$613)/1000000,0)),"")</f>
        <v/>
      </c>
      <c r="E74">
        <f t="array" ref="E74">IFERROR(INDEX($C$214:$C$613,MATCH(LARGE($M$214:$M$613+ROW($M$214:$M$613)/1000000,ROW()-72),$M$214:$M$613+ROW($M$214:$M$613)/1000000,0)),"")</f>
        <v/>
      </c>
      <c r="F74">
        <f t="array" ref="F74">IFERROR(INDEX($S$214:$S$613,MATCH(LARGE($M$214:$M$613+ROW($M$214:$M$613)/1000000,ROW()-72),$M$214:$M$613+ROW($M$214:$M$613)/1000000,0)),"")</f>
        <v/>
      </c>
      <c r="G74" s="458">
        <f>IFERROR(LARGE($M$214:$M$613,ROW()-72),0)</f>
        <v/>
      </c>
      <c r="H74" s="458">
        <f t="array" ref="H74">IFERROR(INDEX($N$214:$N$613,MATCH(LARGE($M$214:$M$613+ROW($M$214:$M$613)/1000000,ROW()-72),$M$214:$M$613+ROW($M$214:$M$613)/1000000,0)),0)</f>
        <v/>
      </c>
      <c r="I74" s="466" t="inlineStr">
        <is>
          <t>=IFERROR(IF(LEFT(INDEX($S$211:$S$610,MATCH(LARGE($L$211:$L$610+ROW($L$211:$L$610)/1000000,ROW()-72),$L$211:$L$610+ROW($L$211:$L$610)/1000000,0)),2)="✱✱","✱✱",""),"")</t>
        </is>
      </c>
      <c r="J74" s="383" t="n">
        <v>0</v>
      </c>
      <c r="K74" s="383" t="n">
        <v>0</v>
      </c>
    </row>
    <row r="75" outlineLevel="1" s="923">
      <c r="A75" s="382" t="n">
        <v>2</v>
      </c>
      <c r="B75">
        <f t="array" ref="B75">IFERROR(INDEX($A$214:$A$613,MATCH(LARGE($M$214:$M$613+ROW($M$214:$M$613)/1000000,ROW()-72),$M$214:$M$613+ROW($M$214:$M$613)/1000000,0)),"")</f>
        <v/>
      </c>
      <c r="C75">
        <f t="array" ref="C75">IFERROR(INDEX($B$214:$B$613,MATCH(LARGE($M$214:$M$613+ROW($M$214:$M$613)/1000000,ROW()-72),$M$214:$M$613+ROW($M$214:$M$613)/1000000,0)),"")</f>
        <v/>
      </c>
      <c r="D75">
        <f t="array" ref="D75">IFERROR(INDEX($F$214:$F$613,MATCH(LARGE($M$214:$M$613+ROW($M$214:$M$613)/1000000,ROW()-72),$M$214:$M$613+ROW($M$214:$M$613)/1000000,0)),"")</f>
        <v/>
      </c>
      <c r="E75">
        <f t="array" ref="E75">IFERROR(INDEX($C$214:$C$613,MATCH(LARGE($M$214:$M$613+ROW($M$214:$M$613)/1000000,ROW()-72),$M$214:$M$613+ROW($M$214:$M$613)/1000000,0)),"")</f>
        <v/>
      </c>
      <c r="F75">
        <f t="array" ref="F75">IFERROR(INDEX($S$214:$S$613,MATCH(LARGE($M$214:$M$613+ROW($M$214:$M$613)/1000000,ROW()-72),$M$214:$M$613+ROW($M$214:$M$613)/1000000,0)),"")</f>
        <v/>
      </c>
      <c r="G75" s="458">
        <f>IFERROR(LARGE($M$214:$M$613,ROW()-72),0)</f>
        <v/>
      </c>
      <c r="H75" s="458">
        <f t="array" ref="H75">IFERROR(INDEX($N$214:$N$613,MATCH(LARGE($M$214:$M$613+ROW($M$214:$M$613)/1000000,ROW()-72),$M$214:$M$613+ROW($M$214:$M$613)/1000000,0)),0)</f>
        <v/>
      </c>
      <c r="I75" s="466" t="inlineStr">
        <is>
          <t>=IFERROR(IF(LEFT(INDEX($S$211:$S$610,MATCH(LARGE($L$211:$L$610+ROW($L$211:$L$610)/1000000,ROW()-72),$L$211:$L$610+ROW($L$211:$L$610)/1000000,0)),2)="✱✱","✱✱",""),"")</t>
        </is>
      </c>
      <c r="J75" s="383" t="n">
        <v>0</v>
      </c>
      <c r="K75" s="383" t="n">
        <v>0</v>
      </c>
    </row>
    <row r="76" outlineLevel="1" s="923">
      <c r="A76" s="382" t="n">
        <v>3</v>
      </c>
      <c r="B76">
        <f t="array" ref="B76">IFERROR(INDEX($A$214:$A$613,MATCH(LARGE($M$214:$M$613+ROW($M$214:$M$613)/1000000,ROW()-72),$M$214:$M$613+ROW($M$214:$M$613)/1000000,0)),"")</f>
        <v/>
      </c>
      <c r="C76">
        <f t="array" ref="C76">IFERROR(INDEX($B$214:$B$613,MATCH(LARGE($M$214:$M$613+ROW($M$214:$M$613)/1000000,ROW()-72),$M$214:$M$613+ROW($M$214:$M$613)/1000000,0)),"")</f>
        <v/>
      </c>
      <c r="D76">
        <f t="array" ref="D76">IFERROR(INDEX($F$214:$F$613,MATCH(LARGE($M$214:$M$613+ROW($M$214:$M$613)/1000000,ROW()-72),$M$214:$M$613+ROW($M$214:$M$613)/1000000,0)),"")</f>
        <v/>
      </c>
      <c r="E76">
        <f t="array" ref="E76">IFERROR(INDEX($C$214:$C$613,MATCH(LARGE($M$214:$M$613+ROW($M$214:$M$613)/1000000,ROW()-72),$M$214:$M$613+ROW($M$214:$M$613)/1000000,0)),"")</f>
        <v/>
      </c>
      <c r="F76">
        <f t="array" ref="F76">IFERROR(INDEX($S$214:$S$613,MATCH(LARGE($M$214:$M$613+ROW($M$214:$M$613)/1000000,ROW()-72),$M$214:$M$613+ROW($M$214:$M$613)/1000000,0)),"")</f>
        <v/>
      </c>
      <c r="G76" s="458">
        <f>IFERROR(LARGE($M$214:$M$613,ROW()-72),0)</f>
        <v/>
      </c>
      <c r="H76" s="458">
        <f t="array" ref="H76">IFERROR(INDEX($N$214:$N$613,MATCH(LARGE($M$214:$M$613+ROW($M$214:$M$613)/1000000,ROW()-72),$M$214:$M$613+ROW($M$214:$M$613)/1000000,0)),0)</f>
        <v/>
      </c>
      <c r="I76" s="466" t="inlineStr">
        <is>
          <t>=IFERROR(IF(LEFT(INDEX($S$211:$S$610,MATCH(LARGE($L$211:$L$610+ROW($L$211:$L$610)/1000000,ROW()-72),$L$211:$L$610+ROW($L$211:$L$610)/1000000,0)),2)="✱✱","✱✱",""),"")</t>
        </is>
      </c>
      <c r="J76" s="383" t="n">
        <v>0</v>
      </c>
      <c r="K76" s="383" t="n">
        <v>0</v>
      </c>
    </row>
    <row r="77" outlineLevel="1" s="923">
      <c r="A77" s="382" t="n">
        <v>4</v>
      </c>
      <c r="B77">
        <f t="array" ref="B77">IFERROR(INDEX($A$214:$A$613,MATCH(LARGE($M$214:$M$613+ROW($M$214:$M$613)/1000000,ROW()-72),$M$214:$M$613+ROW($M$214:$M$613)/1000000,0)),"")</f>
        <v/>
      </c>
      <c r="C77">
        <f t="array" ref="C77">IFERROR(INDEX($B$214:$B$613,MATCH(LARGE($M$214:$M$613+ROW($M$214:$M$613)/1000000,ROW()-72),$M$214:$M$613+ROW($M$214:$M$613)/1000000,0)),"")</f>
        <v/>
      </c>
      <c r="D77">
        <f t="array" ref="D77">IFERROR(INDEX($F$214:$F$613,MATCH(LARGE($M$214:$M$613+ROW($M$214:$M$613)/1000000,ROW()-72),$M$214:$M$613+ROW($M$214:$M$613)/1000000,0)),"")</f>
        <v/>
      </c>
      <c r="E77">
        <f t="array" ref="E77">IFERROR(INDEX($C$214:$C$613,MATCH(LARGE($M$214:$M$613+ROW($M$214:$M$613)/1000000,ROW()-72),$M$214:$M$613+ROW($M$214:$M$613)/1000000,0)),"")</f>
        <v/>
      </c>
      <c r="F77">
        <f t="array" ref="F77">IFERROR(INDEX($S$214:$S$613,MATCH(LARGE($M$214:$M$613+ROW($M$214:$M$613)/1000000,ROW()-72),$M$214:$M$613+ROW($M$214:$M$613)/1000000,0)),"")</f>
        <v/>
      </c>
      <c r="G77" s="458">
        <f>IFERROR(LARGE($M$214:$M$613,ROW()-72),0)</f>
        <v/>
      </c>
      <c r="H77" s="458">
        <f t="array" ref="H77">IFERROR(INDEX($N$214:$N$613,MATCH(LARGE($M$214:$M$613+ROW($M$214:$M$613)/1000000,ROW()-72),$M$214:$M$613+ROW($M$214:$M$613)/1000000,0)),0)</f>
        <v/>
      </c>
      <c r="I77" s="466" t="inlineStr">
        <is>
          <t>=IFERROR(IF(LEFT(INDEX($S$211:$S$610,MATCH(LARGE($L$211:$L$610+ROW($L$211:$L$610)/1000000,ROW()-72),$L$211:$L$610+ROW($L$211:$L$610)/1000000,0)),2)="✱✱","✱✱",""),"")</t>
        </is>
      </c>
      <c r="J77" s="383" t="n">
        <v>0</v>
      </c>
      <c r="K77" s="383" t="n">
        <v>0</v>
      </c>
    </row>
    <row r="78" outlineLevel="1" s="923">
      <c r="A78" s="382" t="n">
        <v>5</v>
      </c>
      <c r="B78">
        <f t="array" ref="B78">IFERROR(INDEX($A$214:$A$613,MATCH(LARGE($M$214:$M$613+ROW($M$214:$M$613)/1000000,ROW()-72),$M$214:$M$613+ROW($M$214:$M$613)/1000000,0)),"")</f>
        <v/>
      </c>
      <c r="C78">
        <f t="array" ref="C78">IFERROR(INDEX($B$214:$B$613,MATCH(LARGE($M$214:$M$613+ROW($M$214:$M$613)/1000000,ROW()-72),$M$214:$M$613+ROW($M$214:$M$613)/1000000,0)),"")</f>
        <v/>
      </c>
      <c r="D78">
        <f t="array" ref="D78">IFERROR(INDEX($F$214:$F$613,MATCH(LARGE($M$214:$M$613+ROW($M$214:$M$613)/1000000,ROW()-72),$M$214:$M$613+ROW($M$214:$M$613)/1000000,0)),"")</f>
        <v/>
      </c>
      <c r="E78">
        <f t="array" ref="E78">IFERROR(INDEX($C$214:$C$613,MATCH(LARGE($M$214:$M$613+ROW($M$214:$M$613)/1000000,ROW()-72),$M$214:$M$613+ROW($M$214:$M$613)/1000000,0)),"")</f>
        <v/>
      </c>
      <c r="F78">
        <f t="array" ref="F78">IFERROR(INDEX($S$214:$S$613,MATCH(LARGE($M$214:$M$613+ROW($M$214:$M$613)/1000000,ROW()-72),$M$214:$M$613+ROW($M$214:$M$613)/1000000,0)),"")</f>
        <v/>
      </c>
      <c r="G78" s="458">
        <f>IFERROR(LARGE($M$214:$M$613,ROW()-72),0)</f>
        <v/>
      </c>
      <c r="H78" s="458">
        <f t="array" ref="H78">IFERROR(INDEX($N$214:$N$613,MATCH(LARGE($M$214:$M$613+ROW($M$214:$M$613)/1000000,ROW()-72),$M$214:$M$613+ROW($M$214:$M$613)/1000000,0)),0)</f>
        <v/>
      </c>
      <c r="I78" s="466" t="inlineStr">
        <is>
          <t>=IFERROR(IF(LEFT(INDEX($S$211:$S$610,MATCH(LARGE($L$211:$L$610+ROW($L$211:$L$610)/1000000,ROW()-72),$L$211:$L$610+ROW($L$211:$L$610)/1000000,0)),2)="✱✱","✱✱",""),"")</t>
        </is>
      </c>
      <c r="J78" s="383" t="n">
        <v>0</v>
      </c>
      <c r="K78" s="383" t="n">
        <v>0</v>
      </c>
    </row>
    <row r="79" outlineLevel="1" s="923">
      <c r="A79" s="382" t="n">
        <v>6</v>
      </c>
      <c r="B79">
        <f t="array" ref="B79">IFERROR(INDEX($A$214:$A$613,MATCH(LARGE($M$214:$M$613+ROW($M$214:$M$613)/1000000,ROW()-72),$M$214:$M$613+ROW($M$214:$M$613)/1000000,0)),"")</f>
        <v/>
      </c>
      <c r="C79">
        <f t="array" ref="C79">IFERROR(INDEX($B$214:$B$613,MATCH(LARGE($M$214:$M$613+ROW($M$214:$M$613)/1000000,ROW()-72),$M$214:$M$613+ROW($M$214:$M$613)/1000000,0)),"")</f>
        <v/>
      </c>
      <c r="D79">
        <f t="array" ref="D79">IFERROR(INDEX($F$214:$F$613,MATCH(LARGE($M$214:$M$613+ROW($M$214:$M$613)/1000000,ROW()-72),$M$214:$M$613+ROW($M$214:$M$613)/1000000,0)),"")</f>
        <v/>
      </c>
      <c r="E79">
        <f t="array" ref="E79">IFERROR(INDEX($C$214:$C$613,MATCH(LARGE($M$214:$M$613+ROW($M$214:$M$613)/1000000,ROW()-72),$M$214:$M$613+ROW($M$214:$M$613)/1000000,0)),"")</f>
        <v/>
      </c>
      <c r="F79">
        <f t="array" ref="F79">IFERROR(INDEX($S$214:$S$613,MATCH(LARGE($M$214:$M$613+ROW($M$214:$M$613)/1000000,ROW()-72),$M$214:$M$613+ROW($M$214:$M$613)/1000000,0)),"")</f>
        <v/>
      </c>
      <c r="G79" s="458">
        <f>IFERROR(LARGE($M$214:$M$613,ROW()-72),0)</f>
        <v/>
      </c>
      <c r="H79" s="458">
        <f t="array" ref="H79">IFERROR(INDEX($N$214:$N$613,MATCH(LARGE($M$214:$M$613+ROW($M$214:$M$613)/1000000,ROW()-72),$M$214:$M$613+ROW($M$214:$M$613)/1000000,0)),0)</f>
        <v/>
      </c>
      <c r="I79" s="466" t="inlineStr">
        <is>
          <t>=IFERROR(IF(LEFT(INDEX($S$211:$S$610,MATCH(LARGE($L$211:$L$610+ROW($L$211:$L$610)/1000000,ROW()-72),$L$211:$L$610+ROW($L$211:$L$610)/1000000,0)),2)="✱✱","✱✱",""),"")</t>
        </is>
      </c>
      <c r="J79" s="383" t="n">
        <v>0</v>
      </c>
      <c r="K79" s="383" t="n">
        <v>0</v>
      </c>
    </row>
    <row r="80" outlineLevel="1" s="923">
      <c r="A80" s="382" t="n">
        <v>7</v>
      </c>
      <c r="B80">
        <f t="array" ref="B80">IFERROR(INDEX($A$214:$A$613,MATCH(LARGE($M$214:$M$613+ROW($M$214:$M$613)/1000000,ROW()-72),$M$214:$M$613+ROW($M$214:$M$613)/1000000,0)),"")</f>
        <v/>
      </c>
      <c r="C80">
        <f t="array" ref="C80">IFERROR(INDEX($B$214:$B$613,MATCH(LARGE($M$214:$M$613+ROW($M$214:$M$613)/1000000,ROW()-72),$M$214:$M$613+ROW($M$214:$M$613)/1000000,0)),"")</f>
        <v/>
      </c>
      <c r="D80">
        <f t="array" ref="D80">IFERROR(INDEX($F$214:$F$613,MATCH(LARGE($M$214:$M$613+ROW($M$214:$M$613)/1000000,ROW()-72),$M$214:$M$613+ROW($M$214:$M$613)/1000000,0)),"")</f>
        <v/>
      </c>
      <c r="E80">
        <f t="array" ref="E80">IFERROR(INDEX($C$214:$C$613,MATCH(LARGE($M$214:$M$613+ROW($M$214:$M$613)/1000000,ROW()-72),$M$214:$M$613+ROW($M$214:$M$613)/1000000,0)),"")</f>
        <v/>
      </c>
      <c r="F80">
        <f t="array" ref="F80">IFERROR(INDEX($S$214:$S$613,MATCH(LARGE($M$214:$M$613+ROW($M$214:$M$613)/1000000,ROW()-72),$M$214:$M$613+ROW($M$214:$M$613)/1000000,0)),"")</f>
        <v/>
      </c>
      <c r="G80" s="458">
        <f>IFERROR(LARGE($M$214:$M$613,ROW()-72),0)</f>
        <v/>
      </c>
      <c r="H80" s="458">
        <f t="array" ref="H80">IFERROR(INDEX($N$214:$N$613,MATCH(LARGE($M$214:$M$613+ROW($M$214:$M$613)/1000000,ROW()-72),$M$214:$M$613+ROW($M$214:$M$613)/1000000,0)),0)</f>
        <v/>
      </c>
      <c r="I80" s="466" t="inlineStr">
        <is>
          <t>=IFERROR(IF(LEFT(INDEX($S$211:$S$610,MATCH(LARGE($L$211:$L$610+ROW($L$211:$L$610)/1000000,ROW()-72),$L$211:$L$610+ROW($L$211:$L$610)/1000000,0)),2)="✱✱","✱✱",""),"")</t>
        </is>
      </c>
      <c r="J80" s="383" t="n">
        <v>0</v>
      </c>
      <c r="K80" s="383" t="n">
        <v>0</v>
      </c>
    </row>
    <row r="81" outlineLevel="1" s="923">
      <c r="A81" s="382" t="n">
        <v>8</v>
      </c>
      <c r="B81">
        <f t="array" ref="B81">IFERROR(INDEX($A$214:$A$613,MATCH(LARGE($M$214:$M$613+ROW($M$214:$M$613)/1000000,ROW()-72),$M$214:$M$613+ROW($M$214:$M$613)/1000000,0)),"")</f>
        <v/>
      </c>
      <c r="C81">
        <f t="array" ref="C81">IFERROR(INDEX($B$214:$B$613,MATCH(LARGE($M$214:$M$613+ROW($M$214:$M$613)/1000000,ROW()-72),$M$214:$M$613+ROW($M$214:$M$613)/1000000,0)),"")</f>
        <v/>
      </c>
      <c r="D81">
        <f t="array" ref="D81">IFERROR(INDEX($F$214:$F$613,MATCH(LARGE($M$214:$M$613+ROW($M$214:$M$613)/1000000,ROW()-72),$M$214:$M$613+ROW($M$214:$M$613)/1000000,0)),"")</f>
        <v/>
      </c>
      <c r="E81">
        <f t="array" ref="E81">IFERROR(INDEX($C$214:$C$613,MATCH(LARGE($M$214:$M$613+ROW($M$214:$M$613)/1000000,ROW()-72),$M$214:$M$613+ROW($M$214:$M$613)/1000000,0)),"")</f>
        <v/>
      </c>
      <c r="F81">
        <f t="array" ref="F81">IFERROR(INDEX($S$214:$S$613,MATCH(LARGE($M$214:$M$613+ROW($M$214:$M$613)/1000000,ROW()-72),$M$214:$M$613+ROW($M$214:$M$613)/1000000,0)),"")</f>
        <v/>
      </c>
      <c r="G81" s="458">
        <f>IFERROR(LARGE($M$214:$M$613,ROW()-72),0)</f>
        <v/>
      </c>
      <c r="H81" s="458">
        <f t="array" ref="H81">IFERROR(INDEX($N$214:$N$613,MATCH(LARGE($M$214:$M$613+ROW($M$214:$M$613)/1000000,ROW()-72),$M$214:$M$613+ROW($M$214:$M$613)/1000000,0)),0)</f>
        <v/>
      </c>
      <c r="I81" s="466" t="inlineStr">
        <is>
          <t>=IFERROR(IF(LEFT(INDEX($S$211:$S$610,MATCH(LARGE($L$211:$L$610+ROW($L$211:$L$610)/1000000,ROW()-72),$L$211:$L$610+ROW($L$211:$L$610)/1000000,0)),2)="✱✱","✱✱",""),"")</t>
        </is>
      </c>
      <c r="J81" s="383" t="n">
        <v>0</v>
      </c>
      <c r="K81" s="383" t="n">
        <v>0</v>
      </c>
    </row>
    <row r="82" outlineLevel="1" s="923">
      <c r="A82" s="382" t="n">
        <v>9</v>
      </c>
      <c r="B82">
        <f t="array" ref="B82">IFERROR(INDEX($A$214:$A$613,MATCH(LARGE($M$214:$M$613+ROW($M$214:$M$613)/1000000,ROW()-72),$M$214:$M$613+ROW($M$214:$M$613)/1000000,0)),"")</f>
        <v/>
      </c>
      <c r="C82">
        <f t="array" ref="C82">IFERROR(INDEX($B$214:$B$613,MATCH(LARGE($M$214:$M$613+ROW($M$214:$M$613)/1000000,ROW()-72),$M$214:$M$613+ROW($M$214:$M$613)/1000000,0)),"")</f>
        <v/>
      </c>
      <c r="D82">
        <f t="array" ref="D82">IFERROR(INDEX($F$214:$F$613,MATCH(LARGE($M$214:$M$613+ROW($M$214:$M$613)/1000000,ROW()-72),$M$214:$M$613+ROW($M$214:$M$613)/1000000,0)),"")</f>
        <v/>
      </c>
      <c r="E82">
        <f t="array" ref="E82">IFERROR(INDEX($C$214:$C$613,MATCH(LARGE($M$214:$M$613+ROW($M$214:$M$613)/1000000,ROW()-72),$M$214:$M$613+ROW($M$214:$M$613)/1000000,0)),"")</f>
        <v/>
      </c>
      <c r="F82">
        <f t="array" ref="F82">IFERROR(INDEX($S$214:$S$613,MATCH(LARGE($M$214:$M$613+ROW($M$214:$M$613)/1000000,ROW()-72),$M$214:$M$613+ROW($M$214:$M$613)/1000000,0)),"")</f>
        <v/>
      </c>
      <c r="G82" s="458">
        <f>IFERROR(LARGE($M$214:$M$613,ROW()-72),0)</f>
        <v/>
      </c>
      <c r="H82" s="458">
        <f t="array" ref="H82">IFERROR(INDEX($N$214:$N$613,MATCH(LARGE($M$214:$M$613+ROW($M$214:$M$613)/1000000,ROW()-72),$M$214:$M$613+ROW($M$214:$M$613)/1000000,0)),0)</f>
        <v/>
      </c>
      <c r="I82" s="466" t="inlineStr">
        <is>
          <t>=IFERROR(IF(LEFT(INDEX($S$211:$S$610,MATCH(LARGE($L$211:$L$610+ROW($L$211:$L$610)/1000000,ROW()-72),$L$211:$L$610+ROW($L$211:$L$610)/1000000,0)),2)="✱✱","✱✱",""),"")</t>
        </is>
      </c>
      <c r="J82" s="383" t="n">
        <v>0</v>
      </c>
      <c r="K82" s="383" t="n">
        <v>0</v>
      </c>
    </row>
    <row r="83" outlineLevel="1" s="923">
      <c r="A83" s="382" t="n">
        <v>10</v>
      </c>
      <c r="B83">
        <f t="array" ref="B83">IFERROR(INDEX($A$214:$A$613,MATCH(LARGE($M$214:$M$613+ROW($M$214:$M$613)/1000000,ROW()-72),$M$214:$M$613+ROW($M$214:$M$613)/1000000,0)),"")</f>
        <v/>
      </c>
      <c r="C83">
        <f t="array" ref="C83">IFERROR(INDEX($B$214:$B$613,MATCH(LARGE($M$214:$M$613+ROW($M$214:$M$613)/1000000,ROW()-72),$M$214:$M$613+ROW($M$214:$M$613)/1000000,0)),"")</f>
        <v/>
      </c>
      <c r="D83">
        <f t="array" ref="D83">IFERROR(INDEX($F$214:$F$613,MATCH(LARGE($M$214:$M$613+ROW($M$214:$M$613)/1000000,ROW()-72),$M$214:$M$613+ROW($M$214:$M$613)/1000000,0)),"")</f>
        <v/>
      </c>
      <c r="E83">
        <f t="array" ref="E83">IFERROR(INDEX($C$214:$C$613,MATCH(LARGE($M$214:$M$613+ROW($M$214:$M$613)/1000000,ROW()-72),$M$214:$M$613+ROW($M$214:$M$613)/1000000,0)),"")</f>
        <v/>
      </c>
      <c r="F83">
        <f t="array" ref="F83">IFERROR(INDEX($S$214:$S$613,MATCH(LARGE($M$214:$M$613+ROW($M$214:$M$613)/1000000,ROW()-72),$M$214:$M$613+ROW($M$214:$M$613)/1000000,0)),"")</f>
        <v/>
      </c>
      <c r="G83" s="458">
        <f>IFERROR(LARGE($M$214:$M$613,ROW()-72),0)</f>
        <v/>
      </c>
      <c r="H83" s="458">
        <f t="array" ref="H83">IFERROR(INDEX($N$214:$N$613,MATCH(LARGE($M$214:$M$613+ROW($M$214:$M$613)/1000000,ROW()-72),$M$214:$M$613+ROW($M$214:$M$613)/1000000,0)),0)</f>
        <v/>
      </c>
      <c r="I83" s="466" t="inlineStr">
        <is>
          <t>=IFERROR(IF(LEFT(INDEX($S$211:$S$610,MATCH(LARGE($L$211:$L$610+ROW($L$211:$L$610)/1000000,ROW()-72),$L$211:$L$610+ROW($L$211:$L$610)/1000000,0)),2)="✱✱","✱✱",""),"")</t>
        </is>
      </c>
      <c r="J83" s="383" t="n">
        <v>0</v>
      </c>
      <c r="K83" s="383" t="n">
        <v>0</v>
      </c>
    </row>
    <row r="84" outlineLevel="1" s="923">
      <c r="A84" s="382" t="inlineStr">
        <is>
          <t>Top 10 Total</t>
        </is>
      </c>
      <c r="G84" s="455">
        <f>SUM(G74:G83)</f>
        <v/>
      </c>
      <c r="H84" s="400" t="n">
        <v>0</v>
      </c>
      <c r="I84" s="470" t="n">
        <v>0</v>
      </c>
      <c r="J84" s="400" t="n">
        <v>0</v>
      </c>
      <c r="K84" s="400" t="n">
        <v>0</v>
      </c>
    </row>
    <row r="85" outlineLevel="1" s="923">
      <c r="A85" s="959" t="inlineStr">
        <is>
          <t>Top 10 as % of total AR</t>
        </is>
      </c>
      <c r="G85" s="467">
        <f>IFERROR(G84/MAX(SUM($M$214:$M$613),1),0)</f>
        <v/>
      </c>
      <c r="I85" s="467" t="n">
        <v>0</v>
      </c>
    </row>
    <row r="86" outlineLevel="1" s="923">
      <c r="A86" s="959" t="inlineStr">
        <is>
          <t>Collections-flagged Residents (count)</t>
        </is>
      </c>
      <c r="B86" s="401">
        <f t="array" ref="B86">SUMPRODUCT((LEFT($T$214:$T$613,2)="✱✱")*1)</f>
        <v/>
      </c>
      <c r="C86" s="959" t="inlineStr">
        <is>
          <t>Collections $ Exposure</t>
        </is>
      </c>
      <c r="D86" s="455">
        <f>SUMIFS($M$214:$M$613,$T$214:$T$613,"✱✱*")</f>
        <v/>
      </c>
      <c r="F86" s="468">
        <f>IFERROR(D86/MAX(SUM($M$214:$M$613),1),0)</f>
        <v/>
      </c>
      <c r="G86" s="402" t="n">
        <v>0</v>
      </c>
    </row>
    <row r="87" outlineLevel="1" s="923">
      <c r="A87" s="541" t="n"/>
      <c r="B87" s="541" t="n"/>
      <c r="C87" s="541" t="n"/>
      <c r="D87" s="541" t="n"/>
      <c r="E87" s="541" t="n"/>
      <c r="F87" s="541" t="n"/>
      <c r="G87" s="541" t="n"/>
      <c r="H87" s="541" t="n"/>
      <c r="I87" s="541" t="n"/>
      <c r="J87" s="541" t="n"/>
      <c r="K87" s="541" t="n"/>
      <c r="L87" s="541" t="n"/>
      <c r="M87" s="541" t="n"/>
      <c r="N87" s="541" t="n"/>
    </row>
    <row r="88" ht="22" customHeight="1" s="923">
      <c r="A88" s="969" t="inlineStr">
        <is>
          <t>J.  ADMISSION VELOCITY  —  Recent move-ins (how fast is this property leasing?)</t>
        </is>
      </c>
    </row>
    <row r="89" outlineLevel="1" s="923">
      <c r="A89" s="960" t="inlineStr">
        <is>
          <t xml:space="preserve">  Move-ins within last N days. Annualized pace helps benchmark against stabilized absorption assumptions.</t>
        </is>
      </c>
    </row>
    <row r="90" outlineLevel="1" s="923">
      <c r="A90" s="398" t="inlineStr">
        <is>
          <t>Window</t>
        </is>
      </c>
      <c r="B90" s="399" t="inlineStr">
        <is>
          <t># New Admissions</t>
        </is>
      </c>
      <c r="C90" s="399" t="inlineStr">
        <is>
          <t>Avg Rate Achieved</t>
        </is>
      </c>
      <c r="D90" s="399" t="inlineStr">
        <is>
          <t>Annualized Pace (beds/yr)</t>
        </is>
      </c>
      <c r="E90" s="399" t="inlineStr">
        <is>
          <t>Mo to Stabilize at Pace</t>
        </is>
      </c>
    </row>
    <row r="91" outlineLevel="1" s="923">
      <c r="A91" s="382" t="inlineStr">
        <is>
          <t>Last 30 days</t>
        </is>
      </c>
      <c r="B91" s="396">
        <f t="array" ref="B91">SUMPRODUCT(($G$214:$G$613&gt;=TODAY()-30)*($G$214:$G$613&lt;&gt;""))</f>
        <v/>
      </c>
      <c r="C91" s="458">
        <f t="array" ref="C91">IFERROR(SUMPRODUCT(($G$214:$G$613&gt;=TODAY()-30)*($G$214:$G$613&lt;&gt;"")*$L$214:$L$613)/MAX(B91,1),0)</f>
        <v/>
      </c>
      <c r="D91" s="396">
        <f>B91*(365/30)</f>
        <v/>
      </c>
      <c r="E91" s="469">
        <f>IFERROR((COUNTIFS($E$214:$E$613,"Vacant")+COUNTIFS($E$214:$E$613,"Vacant - Available")+COUNTIFS($E$214:$E$613,"Vacant - Not Turned"))/MAX(D91,0.001)*12,0)</f>
        <v/>
      </c>
    </row>
    <row r="92" outlineLevel="1" s="923">
      <c r="A92" s="382" t="inlineStr">
        <is>
          <t>Last 60 days</t>
        </is>
      </c>
      <c r="B92" s="396">
        <f t="array" ref="B92">SUMPRODUCT(($G$214:$G$613&gt;=TODAY()-60)*($G$214:$G$613&lt;&gt;""))</f>
        <v/>
      </c>
      <c r="C92" s="458">
        <f t="array" ref="C92">IFERROR(SUMPRODUCT(($G$214:$G$613&gt;=TODAY()-60)*($G$214:$G$613&lt;&gt;"")*$L$214:$L$613)/MAX(B92,1),0)</f>
        <v/>
      </c>
      <c r="D92" s="396">
        <f>B92*(365/60)</f>
        <v/>
      </c>
      <c r="E92" s="469">
        <f>IFERROR((COUNTIFS($E$214:$E$613,"Vacant")+COUNTIFS($E$214:$E$613,"Vacant - Available")+COUNTIFS($E$214:$E$613,"Vacant - Not Turned"))/MAX(D92,0.001)*12,0)</f>
        <v/>
      </c>
    </row>
    <row r="93" outlineLevel="1" s="923">
      <c r="A93" s="382" t="inlineStr">
        <is>
          <t>Last 90 days</t>
        </is>
      </c>
      <c r="B93" s="396">
        <f t="array" ref="B93">SUMPRODUCT(($G$214:$G$613&gt;=TODAY()-90)*($G$214:$G$613&lt;&gt;""))</f>
        <v/>
      </c>
      <c r="C93" s="458">
        <f t="array" ref="C93">IFERROR(SUMPRODUCT(($G$214:$G$613&gt;=TODAY()-90)*($G$214:$G$613&lt;&gt;"")*$L$214:$L$613)/MAX(B93,1),0)</f>
        <v/>
      </c>
      <c r="D93" s="396">
        <f>B93*(365/90)</f>
        <v/>
      </c>
      <c r="E93" s="469">
        <f>IFERROR((COUNTIFS($E$214:$E$613,"Vacant")+COUNTIFS($E$214:$E$613,"Vacant - Available")+COUNTIFS($E$214:$E$613,"Vacant - Not Turned"))/MAX(D93,0.001)*12,0)</f>
        <v/>
      </c>
    </row>
    <row r="94" outlineLevel="1" s="923">
      <c r="A94" s="382" t="inlineStr">
        <is>
          <t>Last 180 days</t>
        </is>
      </c>
      <c r="B94" s="396">
        <f t="array" ref="B94">SUMPRODUCT(($G$214:$G$613&gt;=TODAY()-180)*($G$214:$G$613&lt;&gt;""))</f>
        <v/>
      </c>
      <c r="C94" s="458">
        <f t="array" ref="C94">IFERROR(SUMPRODUCT(($G$214:$G$613&gt;=TODAY()-180)*($G$214:$G$613&lt;&gt;"")*$L$214:$L$613)/MAX(B94,1),0)</f>
        <v/>
      </c>
      <c r="D94" s="396">
        <f>B94*(365/180)</f>
        <v/>
      </c>
      <c r="E94" s="469">
        <f>IFERROR((COUNTIFS($E$214:$E$613,"Vacant")+COUNTIFS($E$214:$E$613,"Vacant - Available")+COUNTIFS($E$214:$E$613,"Vacant - Not Turned"))/MAX(D94,0.001)*12,0)</f>
        <v/>
      </c>
    </row>
    <row r="95" outlineLevel="1" s="923"/>
    <row r="96" outlineLevel="1" s="923">
      <c r="A96" s="541" t="n"/>
      <c r="B96" s="541" t="n"/>
      <c r="C96" s="541" t="n"/>
      <c r="D96" s="541" t="n"/>
      <c r="E96" s="541" t="n"/>
      <c r="F96" s="541" t="n"/>
      <c r="G96" s="541" t="n"/>
      <c r="H96" s="541" t="n"/>
      <c r="I96" s="541" t="n"/>
      <c r="J96" s="541" t="n"/>
      <c r="K96" s="541" t="n"/>
      <c r="L96" s="541" t="n"/>
      <c r="M96" s="541" t="n"/>
      <c r="N96" s="541" t="n"/>
    </row>
    <row r="97" ht="22" customHeight="1" s="923">
      <c r="A97" s="970" t="inlineStr">
        <is>
          <t>K.  PAYER MIX  —  Revenue resilience and reimbursement risk</t>
        </is>
      </c>
    </row>
    <row r="98" outlineLevel="1" s="923">
      <c r="A98" s="960" t="inlineStr">
        <is>
          <t xml:space="preserve">  Medicaid/Medicare are government-backed (lower default risk). Private pay is market-sensitive. LTC Insurance is contractual but requires prior auth.</t>
        </is>
      </c>
    </row>
    <row r="99" outlineLevel="1" s="923">
      <c r="A99" s="391" t="inlineStr">
        <is>
          <t>Payer Type</t>
        </is>
      </c>
      <c r="B99" s="392" t="inlineStr">
        <is>
          <t># Residents</t>
        </is>
      </c>
      <c r="C99" s="392" t="inlineStr">
        <is>
          <t>% Occupied</t>
        </is>
      </c>
      <c r="D99" s="392" t="inlineStr">
        <is>
          <t>Monthly Revenue</t>
        </is>
      </c>
      <c r="E99" s="392" t="inlineStr">
        <is>
          <t>Annual Revenue</t>
        </is>
      </c>
      <c r="F99" s="392" t="inlineStr">
        <is>
          <t>% of Sched</t>
        </is>
      </c>
      <c r="G99" s="392" t="inlineStr">
        <is>
          <t>Reliability</t>
        </is>
      </c>
      <c r="H99" s="392" t="inlineStr">
        <is>
          <t>90+ AR $</t>
        </is>
      </c>
    </row>
    <row r="100" outlineLevel="1" s="923">
      <c r="A100" s="382" t="inlineStr">
        <is>
          <t>Private Pay</t>
        </is>
      </c>
      <c r="B100" s="396">
        <f>COUNTIF($S$214:$S$613,"Private Pay")</f>
        <v/>
      </c>
      <c r="C100" s="464">
        <f>IFERROR(B100/MAX(COUNTIF($E$214:$E$613,"Occupied")+COUNTIF($E$214:$E$613,"Notice"),1),0)</f>
        <v/>
      </c>
      <c r="D100" s="458">
        <f>SUMIF($S$214:$S$613,"Private Pay",$L$214:$L$613)</f>
        <v/>
      </c>
      <c r="E100" s="458">
        <f>D100*12</f>
        <v/>
      </c>
      <c r="F100" s="464">
        <f>IFERROR(D100/MAX(SUM($L$214:$L$613),1),0)</f>
        <v/>
      </c>
      <c r="G100" s="383" t="n">
        <v>0</v>
      </c>
      <c r="H100" s="960" t="inlineStr">
        <is>
          <t>🟡 market-sensitive</t>
        </is>
      </c>
    </row>
    <row r="101" outlineLevel="1" s="923">
      <c r="A101" s="382" t="inlineStr">
        <is>
          <t>Medicaid</t>
        </is>
      </c>
      <c r="B101" s="396">
        <f>COUNTIF($S$214:$S$613,"Medicaid")</f>
        <v/>
      </c>
      <c r="C101" s="464">
        <f>IFERROR(B101/MAX(COUNTIF($E$214:$E$613,"Occupied")+COUNTIF($E$214:$E$613,"Notice"),1),0)</f>
        <v/>
      </c>
      <c r="D101" s="458">
        <f>SUMIF($S$214:$S$613,"Medicaid",$L$214:$L$613)</f>
        <v/>
      </c>
      <c r="E101" s="458">
        <f>D101*12</f>
        <v/>
      </c>
      <c r="F101" s="464">
        <f>IFERROR(D101/MAX(SUM($L$214:$L$613),1),0)</f>
        <v/>
      </c>
      <c r="G101" s="383" t="n">
        <v>0</v>
      </c>
      <c r="H101" s="960" t="inlineStr">
        <is>
          <t>🟢 govt-backed</t>
        </is>
      </c>
    </row>
    <row r="102" outlineLevel="1" s="923">
      <c r="A102" s="382" t="inlineStr">
        <is>
          <t>Medicare</t>
        </is>
      </c>
      <c r="B102" s="396">
        <f>COUNTIF($S$214:$S$613,"Medicare")</f>
        <v/>
      </c>
      <c r="C102" s="464">
        <f>IFERROR(B102/MAX(COUNTIF($E$214:$E$613,"Occupied")+COUNTIF($E$214:$E$613,"Notice"),1),0)</f>
        <v/>
      </c>
      <c r="D102" s="458">
        <f>SUMIF($S$214:$S$613,"Medicare",$L$214:$L$613)</f>
        <v/>
      </c>
      <c r="E102" s="458">
        <f>D102*12</f>
        <v/>
      </c>
      <c r="F102" s="464">
        <f>IFERROR(D102/MAX(SUM($L$214:$L$613),1),0)</f>
        <v/>
      </c>
      <c r="G102" s="383" t="n">
        <v>0</v>
      </c>
      <c r="H102" s="960" t="inlineStr">
        <is>
          <t>🟢 govt-backed (episodic)</t>
        </is>
      </c>
    </row>
    <row r="103" outlineLevel="1" s="923">
      <c r="A103" s="382" t="inlineStr">
        <is>
          <t>VA Benefits</t>
        </is>
      </c>
      <c r="B103" s="396">
        <f>COUNTIF($S$214:$S$613,"VA*")</f>
        <v/>
      </c>
      <c r="C103" s="464">
        <f>IFERROR(B103/MAX(COUNTIF($E$214:$E$613,"Occupied")+COUNTIF($E$214:$E$613,"Notice"),1),0)</f>
        <v/>
      </c>
      <c r="D103" s="458">
        <f>SUMIF($S$214:$S$613,"VA*",$L$214:$L$613)</f>
        <v/>
      </c>
      <c r="E103" s="458">
        <f>D103*12</f>
        <v/>
      </c>
      <c r="F103" s="464">
        <f>IFERROR(D103/MAX(SUM($L$214:$L$613),1),0)</f>
        <v/>
      </c>
      <c r="G103" s="383" t="n">
        <v>0</v>
      </c>
      <c r="H103" s="960" t="inlineStr">
        <is>
          <t>🟢 govt-backed</t>
        </is>
      </c>
    </row>
    <row r="104" outlineLevel="1" s="923">
      <c r="A104" s="382" t="inlineStr">
        <is>
          <t>LTC Insurance</t>
        </is>
      </c>
      <c r="B104" s="396">
        <f>COUNTIF($S$214:$S$613,"LTC*")</f>
        <v/>
      </c>
      <c r="C104" s="464">
        <f>IFERROR(B104/MAX(COUNTIF($E$214:$E$613,"Occupied")+COUNTIF($E$214:$E$613,"Notice"),1),0)</f>
        <v/>
      </c>
      <c r="D104" s="458">
        <f>SUMIF($S$214:$S$613,"LTC*",$L$214:$L$613)</f>
        <v/>
      </c>
      <c r="E104" s="458">
        <f>D104*12</f>
        <v/>
      </c>
      <c r="F104" s="464">
        <f>IFERROR(D104/MAX(SUM($L$214:$L$613),1),0)</f>
        <v/>
      </c>
      <c r="G104" s="383" t="n">
        <v>0</v>
      </c>
      <c r="H104" s="960" t="inlineStr">
        <is>
          <t>🟡 contractual / prior-auth risk</t>
        </is>
      </c>
    </row>
    <row r="105" outlineLevel="1" s="923">
      <c r="A105" s="382" t="inlineStr">
        <is>
          <t>Other / Unknown</t>
        </is>
      </c>
      <c r="B105" s="396">
        <f>COUNTIFS($E$214:$E$613,"Occupied")+COUNTIFS($E$214:$E$613,"Notice")-SUM(B100:B104)</f>
        <v/>
      </c>
      <c r="C105" s="464">
        <f>IFERROR(B105/MAX(COUNTIF($E$214:$E$613,"Occupied")+COUNTIF($E$214:$E$613,"Notice"),1),0)</f>
        <v/>
      </c>
      <c r="D105" s="458">
        <f>SUMIFS($L$214:$L$613,$E$214:$E$613,"Occupied")+SUMIFS($L$214:$L$613,$E$214:$E$613,"Notice")-SUM(D100:D104)</f>
        <v/>
      </c>
      <c r="E105" s="458">
        <f>D105*12</f>
        <v/>
      </c>
      <c r="F105" s="464">
        <f>IFERROR(D105/MAX(SUM($L$214:$L$613),1),0)</f>
        <v/>
      </c>
      <c r="G105" s="383" t="n">
        <v>0</v>
      </c>
      <c r="H105" s="960" t="n"/>
    </row>
    <row r="106" outlineLevel="1" s="923">
      <c r="A106" s="393" t="inlineStr">
        <is>
          <t>TOTAL</t>
        </is>
      </c>
      <c r="B106" s="404">
        <f>SUM(B100:B105)</f>
        <v/>
      </c>
      <c r="C106" s="465">
        <f>SUM(C100:C105)</f>
        <v/>
      </c>
      <c r="D106" s="456">
        <f>SUM(D100:D105)</f>
        <v/>
      </c>
      <c r="E106" s="456">
        <f>SUM(E100:E105)</f>
        <v/>
      </c>
      <c r="F106" s="465">
        <f>SUM(F100:F105)</f>
        <v/>
      </c>
      <c r="G106" s="397" t="n">
        <v>0</v>
      </c>
      <c r="H106" s="960" t="n"/>
    </row>
    <row r="107" outlineLevel="1" s="923"/>
    <row r="108" outlineLevel="1" s="923">
      <c r="A108" s="959" t="inlineStr">
        <is>
          <t>Private Pay Concentration:</t>
        </is>
      </c>
      <c r="B108" s="467">
        <f>C100</f>
        <v/>
      </c>
      <c r="D108" s="959" t="inlineStr">
        <is>
          <t>Govt-backed (Medicaid+Medicare+VA):</t>
        </is>
      </c>
      <c r="E108" s="467">
        <f>C101+C102+C103</f>
        <v/>
      </c>
    </row>
    <row r="109" outlineLevel="1" s="923">
      <c r="A109" s="541" t="n"/>
      <c r="B109" s="541" t="n"/>
      <c r="C109" s="541" t="n"/>
      <c r="D109" s="541" t="n"/>
      <c r="E109" s="541" t="n"/>
      <c r="F109" s="541" t="n"/>
      <c r="G109" s="541" t="n"/>
      <c r="H109" s="541" t="n"/>
      <c r="I109" s="541" t="n"/>
      <c r="J109" s="541" t="n"/>
      <c r="K109" s="541" t="n"/>
      <c r="L109" s="541" t="n"/>
      <c r="M109" s="541" t="n"/>
      <c r="N109" s="541" t="n"/>
    </row>
    <row r="110" ht="22" customHeight="1" s="923">
      <c r="A110" s="969" t="inlineStr">
        <is>
          <t>L.  RATE PER BED BY CARE LEVEL  —  Pricing posture vs. comp set</t>
        </is>
      </c>
    </row>
    <row r="111" outlineLevel="1" s="923">
      <c r="A111" s="960" t="inlineStr">
        <is>
          <t xml:space="preserve">  Compare avg scheduled rate to market rate from Rental Comps tab. &gt;5% below market = recapture opportunity.</t>
        </is>
      </c>
    </row>
    <row r="112" outlineLevel="1" s="923">
      <c r="A112" s="398" t="inlineStr">
        <is>
          <t>Care Level</t>
        </is>
      </c>
      <c r="B112" s="399" t="inlineStr">
        <is>
          <t># Occupied</t>
        </is>
      </c>
      <c r="C112" s="399" t="inlineStr">
        <is>
          <t>Avg Sched Rate</t>
        </is>
      </c>
      <c r="D112" s="399" t="inlineStr">
        <is>
          <t>Avg Market Rate</t>
        </is>
      </c>
      <c r="E112" s="399" t="inlineStr">
        <is>
          <t>LTL/mo</t>
        </is>
      </c>
      <c r="F112" s="399" t="inlineStr">
        <is>
          <t>LTL %</t>
        </is>
      </c>
      <c r="G112" s="399" t="inlineStr">
        <is>
          <t>Annual Recapture</t>
        </is>
      </c>
      <c r="H112" s="399" t="inlineStr">
        <is>
          <t>vs Comp Flag</t>
        </is>
      </c>
    </row>
    <row r="113" outlineLevel="1" s="923">
      <c r="A113" s="382" t="inlineStr">
        <is>
          <t>IL — Independent Living</t>
        </is>
      </c>
      <c r="B113" s="396">
        <f>COUNTIFS($C$214:$C$613,"IL",$E$214:$E$613,"Occupied")+COUNTIFS($C$214:$C$613,"IL",$E$214:$E$613,"Notice")</f>
        <v/>
      </c>
      <c r="C113" s="458">
        <f>IFERROR(SUMIFS($L$214:$L$613,$C$214:$C$613,"IL",$E$214:$E$613,"Occupied")/MAX(COUNTIFS($C$214:$C$613,"IL",$E$214:$E$613,"Occupied"),1),0)</f>
        <v/>
      </c>
      <c r="D113" s="458">
        <f>IFERROR(SUMIFS($I$214:$I$613,$C$214:$C$613,"IL")/MAX(COUNTIF($C$214:$C$613,"IL"),1),0)</f>
        <v/>
      </c>
      <c r="E113" s="458">
        <f>MAX(D113-C113,0)*B113</f>
        <v/>
      </c>
      <c r="F113" s="464">
        <f>IFERROR((D113-C113)/MAX(D113,1),0)</f>
        <v/>
      </c>
      <c r="G113" s="383" t="n">
        <v>0</v>
      </c>
      <c r="H113" s="960" t="inlineStr">
        <is>
          <t>— see Rental Comps —</t>
        </is>
      </c>
    </row>
    <row r="114" outlineLevel="1" s="923">
      <c r="A114" s="382" t="inlineStr">
        <is>
          <t>AL — Assisted Living</t>
        </is>
      </c>
      <c r="B114" s="396">
        <f>COUNTIFS($C$214:$C$613,"AL",$E$214:$E$613,"Occupied")+COUNTIFS($C$214:$C$613,"AL",$E$214:$E$613,"Notice")</f>
        <v/>
      </c>
      <c r="C114" s="458">
        <f>IFERROR(SUMIFS($L$214:$L$613,$C$214:$C$613,"AL",$E$214:$E$613,"Occupied")/MAX(COUNTIFS($C$214:$C$613,"AL",$E$214:$E$613,"Occupied"),1),0)</f>
        <v/>
      </c>
      <c r="D114" s="458">
        <f>IFERROR(SUMIFS($I$214:$I$613,$C$214:$C$613,"AL")/MAX(COUNTIF($C$214:$C$613,"AL"),1),0)</f>
        <v/>
      </c>
      <c r="E114" s="458">
        <f>MAX(D114-C114,0)*B114</f>
        <v/>
      </c>
      <c r="F114" s="464">
        <f>IFERROR((D114-C114)/MAX(D114,1),0)</f>
        <v/>
      </c>
      <c r="G114" s="383" t="n">
        <v>0</v>
      </c>
      <c r="H114" s="960" t="inlineStr">
        <is>
          <t>— see Rental Comps —</t>
        </is>
      </c>
    </row>
    <row r="115" outlineLevel="1" s="923">
      <c r="A115" s="382" t="inlineStr">
        <is>
          <t>MC — Memory Care</t>
        </is>
      </c>
      <c r="B115" s="396">
        <f>COUNTIFS($C$214:$C$613,"MC",$E$214:$E$613,"Occupied")+COUNTIFS($C$214:$C$613,"MC",$E$214:$E$613,"Notice")</f>
        <v/>
      </c>
      <c r="C115" s="458">
        <f>IFERROR(SUMIFS($L$214:$L$613,$C$214:$C$613,"MC",$E$214:$E$613,"Occupied")/MAX(COUNTIFS($C$214:$C$613,"MC",$E$214:$E$613,"Occupied"),1),0)</f>
        <v/>
      </c>
      <c r="D115" s="458">
        <f>IFERROR(SUMIFS($I$214:$I$613,$C$214:$C$613,"MC")/MAX(COUNTIF($C$214:$C$613,"MC"),1),0)</f>
        <v/>
      </c>
      <c r="E115" s="458">
        <f>MAX(D115-C115,0)*B115</f>
        <v/>
      </c>
      <c r="F115" s="464">
        <f>IFERROR((D115-C115)/MAX(D115,1),0)</f>
        <v/>
      </c>
      <c r="G115" s="383" t="n">
        <v>0</v>
      </c>
      <c r="H115" s="960" t="inlineStr">
        <is>
          <t>— see Rental Comps —</t>
        </is>
      </c>
    </row>
    <row r="116" outlineLevel="1" s="923">
      <c r="A116" s="382">
        <f>'Prop Info'!$D$13&amp;" — Other Care"</f>
        <v/>
      </c>
      <c r="B116" s="396">
        <f>COUNTIFS($C$214:$C$613,"OTH",$E$214:$E$613,"Occupied")+COUNTIFS($C$214:$C$613,"OTH",$E$214:$E$613,"Notice")</f>
        <v/>
      </c>
      <c r="C116" s="458">
        <f>IFERROR(SUMIFS($L$214:$L$613,$C$214:$C$613,"OTH",$E$214:$E$613,"Occupied")/MAX(COUNTIFS($C$214:$C$613,"OTH",$E$214:$E$613,"Occupied"),1),0)</f>
        <v/>
      </c>
      <c r="D116" s="458">
        <f>IFERROR(SUMIFS($I$214:$I$613,$C$214:$C$613,"OTH")/MAX(COUNTIF($C$214:$C$613,"OTH"),1),0)</f>
        <v/>
      </c>
      <c r="E116" s="458">
        <f>MAX(D116-C116,0)*B116</f>
        <v/>
      </c>
      <c r="F116" s="464">
        <f>IFERROR((D116-C116)/MAX(D116,1),0)</f>
        <v/>
      </c>
      <c r="G116" s="383" t="n">
        <v>0</v>
      </c>
      <c r="H116" s="960" t="inlineStr">
        <is>
          <t>— see Rental Comps —</t>
        </is>
      </c>
    </row>
    <row r="117" outlineLevel="1" s="923">
      <c r="A117" s="393" t="inlineStr">
        <is>
          <t>TOTAL</t>
        </is>
      </c>
      <c r="B117" s="404">
        <f>SUM(B113:B116)</f>
        <v/>
      </c>
      <c r="C117" s="456">
        <f>IFERROR(SUMIFS($L$214:$L$613,$E$214:$E$613,"Occupied")/MAX(COUNTIFS($E$214:$E$613,"Occupied"),1),0)</f>
        <v/>
      </c>
      <c r="D117" s="456">
        <f>IFERROR(SUM($I$214:$I$613)/MAX(COUNTA($B$214:$B$613),1),0)</f>
        <v/>
      </c>
      <c r="E117" s="456">
        <f>SUM(E113:E116)</f>
        <v/>
      </c>
      <c r="F117" s="465">
        <f>IFERROR((D117-C117)/MAX(D117,1),0)</f>
        <v/>
      </c>
      <c r="G117" s="397" t="n">
        <v>0</v>
      </c>
      <c r="H117" s="960" t="inlineStr">
        <is>
          <t>— see Rental Comps —</t>
        </is>
      </c>
    </row>
    <row r="118" outlineLevel="1" s="923"/>
    <row r="119" outlineLevel="1" s="923">
      <c r="A119" s="541" t="n"/>
      <c r="B119" s="541" t="n"/>
      <c r="C119" s="541" t="n"/>
      <c r="D119" s="541" t="n"/>
      <c r="E119" s="541" t="n"/>
      <c r="F119" s="541" t="n"/>
      <c r="G119" s="541" t="n"/>
      <c r="H119" s="541" t="n"/>
      <c r="I119" s="541" t="n"/>
      <c r="J119" s="541" t="n"/>
      <c r="K119" s="541" t="n"/>
      <c r="L119" s="541" t="n"/>
      <c r="M119" s="541" t="n"/>
      <c r="N119" s="541" t="n"/>
    </row>
    <row r="120" ht="22" customHeight="1" s="923">
      <c r="A120" s="970" t="inlineStr">
        <is>
          <t>M.  CHARGE VARIANCE  —  Actual vs. Scheduled  (catches billing errors / undocumented concessions)</t>
        </is>
      </c>
    </row>
    <row r="121" outlineLevel="1" s="923">
      <c r="A121" s="398" t="inlineStr">
        <is>
          <t>Variance Bucket</t>
        </is>
      </c>
      <c r="B121" s="399" t="inlineStr">
        <is>
          <t># Residents</t>
        </is>
      </c>
      <c r="C121" s="399" t="inlineStr">
        <is>
          <t>% Occupied</t>
        </is>
      </c>
      <c r="D121" s="399" t="inlineStr">
        <is>
          <t>Total Variance ($/mo)</t>
        </is>
      </c>
      <c r="E121" s="399" t="inlineStr">
        <is>
          <t>Annualized</t>
        </is>
      </c>
    </row>
    <row r="122" outlineLevel="1" s="923">
      <c r="A122" s="382" t="inlineStr">
        <is>
          <t>Actual &gt; Scheduled (over-billed?)</t>
        </is>
      </c>
      <c r="B122" s="396">
        <f t="array" ref="B122">SUMPRODUCT(($E$214:$E$613="Occupied")*($J$214:$J$613&gt;$L$214:$L$613))</f>
        <v/>
      </c>
      <c r="C122" s="464">
        <f>IFERROR(B122/MAX(COUNTIFS($E$214:$E$613,"Occupied"),1),0)</f>
        <v/>
      </c>
      <c r="D122" s="458">
        <f t="array" ref="D122">SUMPRODUCT(($E$214:$E$613="Occupied")*($J$214:$J$613&gt;$L$214:$L$613)*($J$214:$J$613-$L$214:$L$613))</f>
        <v/>
      </c>
      <c r="E122" s="458">
        <f>D122*12</f>
        <v/>
      </c>
    </row>
    <row r="123" outlineLevel="1" s="923">
      <c r="A123" s="382" t="inlineStr">
        <is>
          <t>Actual = Scheduled (clean)</t>
        </is>
      </c>
      <c r="B123" s="396">
        <f t="array" ref="B123">SUMPRODUCT(($E$214:$E$613="Occupied")*($J$214:$J$613=$L$214:$L$613))</f>
        <v/>
      </c>
      <c r="C123" s="464">
        <f>IFERROR(B123/MAX(COUNTIFS($E$214:$E$613,"Occupied"),1),0)</f>
        <v/>
      </c>
      <c r="D123" s="458" t="n">
        <v>0</v>
      </c>
      <c r="E123" s="458" t="n">
        <v>0</v>
      </c>
    </row>
    <row r="124" outlineLevel="1" s="923">
      <c r="A124" s="382" t="inlineStr">
        <is>
          <t>Actual &lt; Scheduled (under-billed / concession)</t>
        </is>
      </c>
      <c r="B124" s="396">
        <f t="array" ref="B124">SUMPRODUCT(($E$214:$E$613="Occupied")*($J$214:$J$613&lt;$L$214:$L$613))</f>
        <v/>
      </c>
      <c r="C124" s="464">
        <f>IFERROR(B124/MAX(COUNTIFS($E$214:$E$613,"Occupied"),1),0)</f>
        <v/>
      </c>
      <c r="D124" s="458">
        <f t="array" ref="D124">-SUMPRODUCT(($E$214:$E$613="Occupied")*($J$214:$J$613&lt;$L$214:$L$613)*($L$214:$L$613-$J$214:$J$613))</f>
        <v/>
      </c>
      <c r="E124" s="458">
        <f>D124*12</f>
        <v/>
      </c>
    </row>
    <row r="125" outlineLevel="1" s="923">
      <c r="A125" s="959" t="inlineStr">
        <is>
          <t>Net Variance (Actual − Scheduled, all occupied)</t>
        </is>
      </c>
      <c r="B125" s="401">
        <f>B122+B123+B124</f>
        <v/>
      </c>
      <c r="C125" s="467">
        <f>SUM(C122:C124)</f>
        <v/>
      </c>
      <c r="D125" s="455">
        <f>SUMIFS($J$214:$J$613,$E$214:$E$613,"Occupied")-SUMIFS($L$214:$L$613,$E$214:$E$613,"Occupied")</f>
        <v/>
      </c>
      <c r="E125" s="455">
        <f>D125*12</f>
        <v/>
      </c>
      <c r="F125" s="380">
        <f>IF(ABS(D125)&lt;MAX(SUMIFS($L$214:$L$613,$E$214:$E$613,"Occupied"),1)*0.01,"🟢 minimal variance",IF(D125&lt;0,"🟡 net under-billing — investigate","🟢 net over-collection"))</f>
        <v/>
      </c>
    </row>
    <row r="126" outlineLevel="1" s="923"/>
    <row r="127" outlineLevel="1" s="923">
      <c r="A127" s="541" t="n"/>
      <c r="B127" s="541" t="n"/>
      <c r="C127" s="541" t="n"/>
      <c r="D127" s="541" t="n"/>
      <c r="E127" s="541" t="n"/>
      <c r="F127" s="541" t="n"/>
      <c r="G127" s="541" t="n"/>
      <c r="H127" s="541" t="n"/>
      <c r="I127" s="541" t="n"/>
      <c r="J127" s="541" t="n"/>
      <c r="K127" s="541" t="n"/>
      <c r="L127" s="541" t="n"/>
      <c r="M127" s="541" t="n"/>
      <c r="N127" s="541" t="n"/>
    </row>
    <row r="128" ht="22" customHeight="1" s="923">
      <c r="A128" s="969" t="inlineStr">
        <is>
          <t>N.  DEPOSIT COVERAGE ON DELINQUENT RESIDENTS  —  Recovery expectation at move-out</t>
        </is>
      </c>
    </row>
    <row r="129" outlineLevel="1" s="923">
      <c r="A129" s="398" t="inlineStr">
        <is>
          <t>Coverage Bucket</t>
        </is>
      </c>
      <c r="B129" s="399" t="inlineStr">
        <is>
          <t># Residents</t>
        </is>
      </c>
      <c r="C129" s="399" t="inlineStr">
        <is>
          <t>Total Balance</t>
        </is>
      </c>
      <c r="D129" s="399" t="inlineStr">
        <is>
          <t>Total Deposits</t>
        </is>
      </c>
      <c r="E129" s="399" t="inlineStr">
        <is>
          <t>Coverage %</t>
        </is>
      </c>
      <c r="F129" s="399" t="inlineStr">
        <is>
          <t>Uncovered $</t>
        </is>
      </c>
    </row>
    <row r="130" outlineLevel="1" s="923">
      <c r="A130" s="382" t="inlineStr">
        <is>
          <t>Fully covered  (deposit ≥ balance)</t>
        </is>
      </c>
      <c r="B130" s="396">
        <f t="array" ref="B130">SUMPRODUCT(($M$214:$M$613&gt;0)*($N$214:$N$613&gt;=$M$214:$M$613)*($E$214:$E$613&lt;&gt;"Vacant"))</f>
        <v/>
      </c>
      <c r="C130" s="458">
        <f t="array" ref="C130">SUMPRODUCT(($M$214:$M$613&gt;0)*($N$214:$N$613&gt;=$M$214:$M$613)*($E$214:$E$613&lt;&gt;"Vacant")*$M$214:$M$613)</f>
        <v/>
      </c>
      <c r="D130" s="458">
        <f t="array" ref="D130">SUMPRODUCT(($M$214:$M$613&gt;0)*($N$214:$N$613&gt;=$M$214:$M$613)*($E$214:$E$613&lt;&gt;"Vacant")*$N$214:$N$613)</f>
        <v/>
      </c>
      <c r="E130" s="464">
        <f>IFERROR(D130/MAX(C130,1),0)</f>
        <v/>
      </c>
      <c r="F130" s="458" t="n">
        <v>0</v>
      </c>
    </row>
    <row r="131" outlineLevel="1" s="923">
      <c r="A131" s="382" t="inlineStr">
        <is>
          <t>Partially covered  (0 &lt; deposit &lt; balance)</t>
        </is>
      </c>
      <c r="B131" s="396">
        <f t="array" ref="B131">SUMPRODUCT(($M$214:$M$613&gt;0)*($N$214:$N$613&gt;0)*($N$214:$N$613&lt;$M$214:$M$613))</f>
        <v/>
      </c>
      <c r="C131" s="458">
        <f t="array" ref="C131">SUMPRODUCT(($M$214:$M$613&gt;0)*($N$214:$N$613&gt;0)*($N$214:$N$613&lt;$M$214:$M$613)*$M$214:$M$613)</f>
        <v/>
      </c>
      <c r="D131" s="458">
        <f t="array" ref="D131">SUMPRODUCT(($M$214:$M$613&gt;0)*($N$214:$N$613&gt;0)*($N$214:$N$613&lt;$M$214:$M$613)*$N$214:$N$613)</f>
        <v/>
      </c>
      <c r="E131" s="464">
        <f>IFERROR(D131/MAX(C131,1),0)</f>
        <v/>
      </c>
      <c r="F131" s="458">
        <f>C131-D131</f>
        <v/>
      </c>
    </row>
    <row r="132" outlineLevel="1" s="923">
      <c r="A132" s="382" t="inlineStr">
        <is>
          <t>Zero deposit + balance owed</t>
        </is>
      </c>
      <c r="B132" s="396">
        <f t="array" ref="B132">SUMPRODUCT(($M$214:$M$613&gt;0)*(IFERROR(($N$214:$N$613=0)+($N$214:$N$613=""),0)))</f>
        <v/>
      </c>
      <c r="C132" s="458">
        <f t="array" ref="C132">SUMPRODUCT(($M$214:$M$613&gt;0)*(IFERROR(($N$214:$N$613=0)+($N$214:$N$613=""),0))*$M$214:$M$613)</f>
        <v/>
      </c>
      <c r="D132" s="458" t="n">
        <v>0</v>
      </c>
      <c r="E132" s="464" t="n">
        <v>0</v>
      </c>
      <c r="F132" s="458">
        <f>C132</f>
        <v/>
      </c>
    </row>
    <row r="133" outlineLevel="1" s="923">
      <c r="A133" s="393" t="inlineStr">
        <is>
          <t>Total: Occupied with positive balance</t>
        </is>
      </c>
      <c r="B133" s="404">
        <f>SUM(B130:B132)</f>
        <v/>
      </c>
      <c r="C133" s="456">
        <f>SUM(C130:C132)</f>
        <v/>
      </c>
      <c r="D133" s="456">
        <f>SUM(D130:D132)</f>
        <v/>
      </c>
      <c r="E133" s="465">
        <f>IFERROR(D133/MAX(C133,1),0)</f>
        <v/>
      </c>
      <c r="F133" s="456">
        <f>SUM(F130:F132)</f>
        <v/>
      </c>
    </row>
    <row r="134" outlineLevel="1" s="923"/>
    <row r="135" outlineLevel="1" s="923">
      <c r="A135" s="541" t="n"/>
      <c r="B135" s="541" t="n"/>
      <c r="C135" s="541" t="n"/>
      <c r="D135" s="541" t="n"/>
      <c r="E135" s="541" t="n"/>
      <c r="F135" s="541" t="n"/>
      <c r="G135" s="541" t="n"/>
      <c r="H135" s="541" t="n"/>
      <c r="I135" s="541" t="n"/>
      <c r="J135" s="541" t="n"/>
      <c r="K135" s="541" t="n"/>
      <c r="L135" s="541" t="n"/>
      <c r="M135" s="541" t="n"/>
      <c r="N135" s="541" t="n"/>
    </row>
    <row r="136" ht="22" customHeight="1" s="923">
      <c r="A136" s="970" t="inlineStr">
        <is>
          <t>O.  MOVE-IN SEASONALITY  —  When did current residents sign on?</t>
        </is>
      </c>
    </row>
    <row r="137" outlineLevel="1" s="923">
      <c r="A137" s="960" t="inlineStr">
        <is>
          <t xml:space="preserve">  Distribution of current occupied residents by month-of-move-in. Predicts expiration clusters and occupancy seasonality.</t>
        </is>
      </c>
    </row>
    <row r="138" outlineLevel="1" s="923">
      <c r="A138" s="398" t="inlineStr">
        <is>
          <t>Move-In Month</t>
        </is>
      </c>
      <c r="B138" s="399" t="inlineStr">
        <is>
          <t># Residents</t>
        </is>
      </c>
      <c r="C138" s="399" t="inlineStr">
        <is>
          <t>% Occupied</t>
        </is>
      </c>
      <c r="D138" s="399" t="inlineStr">
        <is>
          <t>Bar</t>
        </is>
      </c>
    </row>
    <row r="139" outlineLevel="1" s="923">
      <c r="A139" s="382" t="inlineStr">
        <is>
          <t>Jan</t>
        </is>
      </c>
      <c r="B139" s="396">
        <f t="array" ref="B139">SUMPRODUCT(($E$214:$E$613="Occupied")*(MONTH($G$214:$G$613)=1)*($G$214:$G$613&lt;&gt;""))</f>
        <v/>
      </c>
      <c r="C139" s="464">
        <f>IFERROR(B139/MAX(COUNTIF($E$214:$E$613,"Occupied"),1),0)</f>
        <v/>
      </c>
      <c r="D139">
        <f>REPT("█",ROUND(C139*100,0))</f>
        <v/>
      </c>
    </row>
    <row r="140" outlineLevel="1" s="923">
      <c r="A140" s="382" t="inlineStr">
        <is>
          <t>Feb</t>
        </is>
      </c>
      <c r="B140" s="396">
        <f t="array" ref="B140">SUMPRODUCT(($E$214:$E$613="Occupied")*(MONTH($G$214:$G$613)=2)*($G$214:$G$613&lt;&gt;""))</f>
        <v/>
      </c>
      <c r="C140" s="464">
        <f>IFERROR(B140/MAX(COUNTIF($E$214:$E$613,"Occupied"),1),0)</f>
        <v/>
      </c>
      <c r="D140">
        <f>REPT("█",ROUND(C140*100,0))</f>
        <v/>
      </c>
    </row>
    <row r="141" outlineLevel="1" s="923">
      <c r="A141" s="382" t="inlineStr">
        <is>
          <t>Mar</t>
        </is>
      </c>
      <c r="B141" s="396">
        <f t="array" ref="B141">SUMPRODUCT(($E$214:$E$613="Occupied")*(MONTH($G$214:$G$613)=3)*($G$214:$G$613&lt;&gt;""))</f>
        <v/>
      </c>
      <c r="C141" s="464">
        <f>IFERROR(B141/MAX(COUNTIF($E$214:$E$613,"Occupied"),1),0)</f>
        <v/>
      </c>
      <c r="D141">
        <f>REPT("█",ROUND(C141*100,0))</f>
        <v/>
      </c>
    </row>
    <row r="142" outlineLevel="1" s="923">
      <c r="A142" s="382" t="inlineStr">
        <is>
          <t>Apr</t>
        </is>
      </c>
      <c r="B142" s="396">
        <f t="array" ref="B142">SUMPRODUCT(($E$214:$E$613="Occupied")*(MONTH($G$214:$G$613)=4)*($G$214:$G$613&lt;&gt;""))</f>
        <v/>
      </c>
      <c r="C142" s="464">
        <f>IFERROR(B142/MAX(COUNTIF($E$214:$E$613,"Occupied"),1),0)</f>
        <v/>
      </c>
      <c r="D142">
        <f>REPT("█",ROUND(C142*100,0))</f>
        <v/>
      </c>
    </row>
    <row r="143" outlineLevel="1" s="923">
      <c r="A143" s="382" t="inlineStr">
        <is>
          <t>May</t>
        </is>
      </c>
      <c r="B143" s="396">
        <f t="array" ref="B143">SUMPRODUCT(($E$214:$E$613="Occupied")*(MONTH($G$214:$G$613)=5)*($G$214:$G$613&lt;&gt;""))</f>
        <v/>
      </c>
      <c r="C143" s="464">
        <f>IFERROR(B143/MAX(COUNTIF($E$214:$E$613,"Occupied"),1),0)</f>
        <v/>
      </c>
      <c r="D143">
        <f>REPT("█",ROUND(C143*100,0))</f>
        <v/>
      </c>
    </row>
    <row r="144" outlineLevel="1" s="923">
      <c r="A144" s="382" t="inlineStr">
        <is>
          <t>Jun</t>
        </is>
      </c>
      <c r="B144" s="396">
        <f t="array" ref="B144">SUMPRODUCT(($E$214:$E$613="Occupied")*(MONTH($G$214:$G$613)=6)*($G$214:$G$613&lt;&gt;""))</f>
        <v/>
      </c>
      <c r="C144" s="464">
        <f>IFERROR(B144/MAX(COUNTIF($E$214:$E$613,"Occupied"),1),0)</f>
        <v/>
      </c>
      <c r="D144">
        <f>REPT("█",ROUND(C144*100,0))</f>
        <v/>
      </c>
    </row>
    <row r="145" outlineLevel="1" s="923">
      <c r="A145" s="382" t="inlineStr">
        <is>
          <t>Jul</t>
        </is>
      </c>
      <c r="B145" s="396">
        <f t="array" ref="B145">SUMPRODUCT(($E$214:$E$613="Occupied")*(MONTH($G$214:$G$613)=7)*($G$214:$G$613&lt;&gt;""))</f>
        <v/>
      </c>
      <c r="C145" s="464">
        <f>IFERROR(B145/MAX(COUNTIF($E$214:$E$613,"Occupied"),1),0)</f>
        <v/>
      </c>
      <c r="D145">
        <f>REPT("█",ROUND(C145*100,0))</f>
        <v/>
      </c>
    </row>
    <row r="146" outlineLevel="1" s="923">
      <c r="A146" s="382" t="inlineStr">
        <is>
          <t>Aug</t>
        </is>
      </c>
      <c r="B146" s="396">
        <f t="array" ref="B146">SUMPRODUCT(($E$214:$E$613="Occupied")*(MONTH($G$214:$G$613)=8)*($G$214:$G$613&lt;&gt;""))</f>
        <v/>
      </c>
      <c r="C146" s="464">
        <f>IFERROR(B146/MAX(COUNTIF($E$214:$E$613,"Occupied"),1),0)</f>
        <v/>
      </c>
      <c r="D146">
        <f>REPT("█",ROUND(C146*100,0))</f>
        <v/>
      </c>
    </row>
    <row r="147" outlineLevel="1" s="923">
      <c r="A147" s="382" t="inlineStr">
        <is>
          <t>Sep</t>
        </is>
      </c>
      <c r="B147" s="396">
        <f t="array" ref="B147">SUMPRODUCT(($E$214:$E$613="Occupied")*(MONTH($G$214:$G$613)=9)*($G$214:$G$613&lt;&gt;""))</f>
        <v/>
      </c>
      <c r="C147" s="464">
        <f>IFERROR(B147/MAX(COUNTIF($E$214:$E$613,"Occupied"),1),0)</f>
        <v/>
      </c>
      <c r="D147">
        <f>REPT("█",ROUND(C147*100,0))</f>
        <v/>
      </c>
    </row>
    <row r="148" outlineLevel="1" s="923">
      <c r="A148" s="382" t="inlineStr">
        <is>
          <t>Oct</t>
        </is>
      </c>
      <c r="B148" s="396">
        <f t="array" ref="B148">SUMPRODUCT(($E$214:$E$613="Occupied")*(MONTH($G$214:$G$613)=10)*($G$214:$G$613&lt;&gt;""))</f>
        <v/>
      </c>
      <c r="C148" s="464">
        <f>IFERROR(B148/MAX(COUNTIF($E$214:$E$613,"Occupied"),1),0)</f>
        <v/>
      </c>
      <c r="D148">
        <f>REPT("█",ROUND(C148*100,0))</f>
        <v/>
      </c>
    </row>
    <row r="149" outlineLevel="1" s="923">
      <c r="A149" s="382" t="inlineStr">
        <is>
          <t>Nov</t>
        </is>
      </c>
      <c r="B149" s="396">
        <f t="array" ref="B149">SUMPRODUCT(($E$214:$E$613="Occupied")*(MONTH($G$214:$G$613)=11)*($G$214:$G$613&lt;&gt;""))</f>
        <v/>
      </c>
      <c r="C149" s="464">
        <f>IFERROR(B149/MAX(COUNTIF($E$214:$E$613,"Occupied"),1),0)</f>
        <v/>
      </c>
      <c r="D149">
        <f>REPT("█",ROUND(C149*100,0))</f>
        <v/>
      </c>
    </row>
    <row r="150" outlineLevel="1" s="923">
      <c r="A150" s="382" t="inlineStr">
        <is>
          <t>Dec</t>
        </is>
      </c>
      <c r="B150" s="396">
        <f t="array" ref="B150">SUMPRODUCT(($E$214:$E$613="Occupied")*(MONTH($G$214:$G$613)=12)*($G$214:$G$613&lt;&gt;""))</f>
        <v/>
      </c>
      <c r="C150" s="464">
        <f>IFERROR(B150/MAX(COUNTIF($E$214:$E$613,"Occupied"),1),0)</f>
        <v/>
      </c>
      <c r="D150">
        <f>REPT("█",ROUND(C150*100,0))</f>
        <v/>
      </c>
    </row>
    <row r="151" outlineLevel="1" s="923"/>
    <row r="152" outlineLevel="1" s="923">
      <c r="A152" s="959" t="inlineStr">
        <is>
          <t>Peak move-in month</t>
        </is>
      </c>
      <c r="B152" s="386">
        <f t="array" ref="B152">INDEX({"Jan";"Feb";"Mar";"Apr";"May";"Jun";"Jul";"Aug";"Sep";"Oct";"Nov";"Dec"},MATCH(MAX(B139:B150),B139:B150,0))</f>
        <v/>
      </c>
    </row>
    <row r="153" outlineLevel="1" s="923">
      <c r="A153" s="959" t="inlineStr">
        <is>
          <t>Q4 (Oct–Dec) % — typical SL peak</t>
        </is>
      </c>
      <c r="B153" s="464">
        <f>IFERROR((B148+B149+B150)/MAX(SUM(B139:B150),1),0)</f>
        <v/>
      </c>
    </row>
    <row r="154" outlineLevel="1" s="923">
      <c r="A154" s="541" t="n"/>
      <c r="B154" s="541" t="n"/>
      <c r="C154" s="541" t="n"/>
      <c r="D154" s="541" t="n"/>
      <c r="E154" s="541" t="n"/>
      <c r="F154" s="541" t="n"/>
      <c r="G154" s="541" t="n"/>
      <c r="H154" s="541" t="n"/>
      <c r="I154" s="541" t="n"/>
      <c r="J154" s="541" t="n"/>
      <c r="K154" s="541" t="n"/>
      <c r="L154" s="541" t="n"/>
      <c r="M154" s="541" t="n"/>
      <c r="N154" s="541" t="n"/>
    </row>
    <row r="155" ht="22" customHeight="1" s="923">
      <c r="A155" s="969" t="inlineStr">
        <is>
          <t>P.  PRE-ADMISSION PIPELINE  —  Deposits paid / signed, not yet moved in</t>
        </is>
      </c>
    </row>
    <row r="156" outlineLevel="1" s="923">
      <c r="A156" s="960" t="inlineStr">
        <is>
          <t xml:space="preserve">  Detected as residents with Lease Start / Admission date in the future or with "Reserved" status in raw roll.</t>
        </is>
      </c>
    </row>
    <row r="157" outlineLevel="1" s="923">
      <c r="A157" s="398" t="inlineStr">
        <is>
          <t>Pipeline Metric</t>
        </is>
      </c>
      <c r="B157" s="399" t="inlineStr">
        <is>
          <t>Value</t>
        </is>
      </c>
      <c r="C157" s="399" t="inlineStr">
        <is>
          <t>Note</t>
        </is>
      </c>
    </row>
    <row r="158" outlineLevel="1" s="923">
      <c r="A158" s="382" t="inlineStr">
        <is>
          <t>Pre-admitted residents  (deposit paid)</t>
        </is>
      </c>
      <c r="B158" s="386">
        <f t="array" ref="B158">COUNTIF($E$214:$E$613,"Reserved")+COUNTIF($E$214:$E$613,"Pre-Admit*")+SUMPRODUCT(($G$214:$G$613&gt;TODAY())*($G$214:$G$613&lt;&gt;""))</f>
        <v/>
      </c>
      <c r="C158" s="960" t="inlineStr">
        <is>
          <t>Count of pending admissions</t>
        </is>
      </c>
    </row>
    <row r="159" outlineLevel="1" s="923">
      <c r="A159" s="382" t="inlineStr">
        <is>
          <t>Pre-admitted on currently vacant beds</t>
        </is>
      </c>
      <c r="B159" s="386">
        <f t="array" ref="B159">SUMPRODUCT(($E$214:$E$613="Vacant")*($G$214:$G$613&gt;TODAY())*($G$214:$G$613&lt;&gt;""))+SUMPRODUCT(($E$214:$E$613="Reserved")*1)</f>
        <v/>
      </c>
      <c r="C159" s="960" t="inlineStr">
        <is>
          <t>Vacant beds already committed</t>
        </is>
      </c>
    </row>
    <row r="160" outlineLevel="1" s="923">
      <c r="A160" s="382" t="inlineStr">
        <is>
          <t>Total committed monthly revenue (annualized)</t>
        </is>
      </c>
      <c r="B160" s="458">
        <f t="array" ref="B160">(SUMIFS($L$214:$L$613,$E$214:$E$613,"Reserved")+SUMIFS($L$214:$L$613,$E$214:$E$613,"Pre-Admit*")+SUMPRODUCT(($G$214:$G$613&gt;TODAY())*($G$214:$G$613&lt;&gt;"")*$L$214:$L$613))*12</f>
        <v/>
      </c>
      <c r="C160" s="960" t="inlineStr">
        <is>
          <t>Revenue locked in pre-occupancy</t>
        </is>
      </c>
    </row>
    <row r="161" outlineLevel="1" s="923">
      <c r="A161" s="382" t="inlineStr">
        <is>
          <t>Days to soonest admission</t>
        </is>
      </c>
      <c r="B161" s="386">
        <f t="array" ref="B161">IFERROR(MIN(IF(($G$214:$G$613&gt;TODAY())*($G$214:$G$613&lt;&gt;""),$G$214:$G$613-TODAY())),"none")</f>
        <v/>
      </c>
      <c r="C161" s="960" t="inlineStr">
        <is>
          <t>How fast occupancy increases</t>
        </is>
      </c>
    </row>
    <row r="162" outlineLevel="1" s="923">
      <c r="A162" s="382" t="inlineStr">
        <is>
          <t>Avg days until pre-admission start</t>
        </is>
      </c>
      <c r="B162" s="386">
        <f>IFERROR(AVERAGEIFS($G$214:$G$613,$G$214:$G$613,"&gt;"&amp;TODAY())-TODAY(),"none")</f>
        <v/>
      </c>
      <c r="C162" s="960" t="inlineStr">
        <is>
          <t>Lead time on pipeline</t>
        </is>
      </c>
    </row>
    <row r="163" outlineLevel="1" s="923"/>
    <row r="164" outlineLevel="1" s="923">
      <c r="A164" s="541" t="n"/>
      <c r="B164" s="541" t="n"/>
      <c r="C164" s="541" t="n"/>
      <c r="D164" s="541" t="n"/>
      <c r="E164" s="541" t="n"/>
      <c r="F164" s="541" t="n"/>
      <c r="G164" s="541" t="n"/>
      <c r="H164" s="541" t="n"/>
      <c r="I164" s="541" t="n"/>
      <c r="J164" s="541" t="n"/>
      <c r="K164" s="541" t="n"/>
      <c r="L164" s="541" t="n"/>
      <c r="M164" s="541" t="n"/>
      <c r="N164" s="541" t="n"/>
    </row>
    <row r="165" ht="22" customHeight="1" s="923">
      <c r="A165" s="970" t="inlineStr">
        <is>
          <t>Q.  WING / CARE-LEVEL VACANCY CONCENTRATION  —  Catches localized issues</t>
        </is>
      </c>
    </row>
    <row r="166" outlineLevel="1" s="923">
      <c r="A166" s="960" t="inlineStr">
        <is>
          <t xml:space="preserve">  Vacancy clustered in one wing or care level often signals a localized problem (staffing, reputation, systems). Flag if any wing &gt; 50% vacant.</t>
        </is>
      </c>
    </row>
    <row r="167" outlineLevel="1" s="923">
      <c r="A167" s="398" t="inlineStr">
        <is>
          <t>Wing / Level</t>
        </is>
      </c>
      <c r="B167" s="399" t="inlineStr">
        <is>
          <t>Total Beds</t>
        </is>
      </c>
      <c r="C167" s="399" t="inlineStr">
        <is>
          <t>Occupied</t>
        </is>
      </c>
      <c r="D167" s="399" t="inlineStr">
        <is>
          <t>Vacant</t>
        </is>
      </c>
      <c r="E167" s="399" t="inlineStr">
        <is>
          <t>Vac %</t>
        </is>
      </c>
      <c r="F167" s="399" t="inlineStr">
        <is>
          <t>Collections Cases</t>
        </is>
      </c>
      <c r="G167" s="399" t="inlineStr">
        <is>
          <t>AR Balance</t>
        </is>
      </c>
      <c r="H167" s="399" t="inlineStr">
        <is>
          <t>Read</t>
        </is>
      </c>
    </row>
    <row r="168" outlineLevel="1" s="923">
      <c r="A168" s="382" t="inlineStr">
        <is>
          <t>IL Wing</t>
        </is>
      </c>
      <c r="B168" s="396">
        <f t="array" ref="B168">SUMPRODUCT(($C$214:$C$613="IL")*1)</f>
        <v/>
      </c>
      <c r="C168" s="396">
        <f>COUNTIFS($C$214:$C$613,"IL",$E$214:$E$613,"Occupied")+COUNTIFS($C$214:$C$613,"IL",$E$214:$E$613,"Notice")</f>
        <v/>
      </c>
      <c r="D168" s="396">
        <f>B168-C168</f>
        <v/>
      </c>
      <c r="E168" s="464">
        <f>IFERROR(D168/MAX(B168,1),0)</f>
        <v/>
      </c>
      <c r="F168" s="383">
        <f>IF(E168&gt;0.5,"⚠ &gt;50% vacant — flag",IF(E168&gt;0.3,"🟡 elevated","🟢 within norm"))</f>
        <v/>
      </c>
      <c r="G168" s="383" t="n">
        <v>0</v>
      </c>
      <c r="H168" s="388" t="inlineStr">
        <is>
          <t>ok</t>
        </is>
      </c>
    </row>
    <row r="169" outlineLevel="1" s="923">
      <c r="A169" s="382" t="inlineStr">
        <is>
          <t>AL Wing</t>
        </is>
      </c>
      <c r="B169" s="396">
        <f t="array" ref="B169">SUMPRODUCT(($C$214:$C$613="AL")*1)</f>
        <v/>
      </c>
      <c r="C169" s="396">
        <f>COUNTIFS($C$214:$C$613,"AL",$E$214:$E$613,"Occupied")+COUNTIFS($C$214:$C$613,"AL",$E$214:$E$613,"Notice")</f>
        <v/>
      </c>
      <c r="D169" s="396">
        <f>B169-C169</f>
        <v/>
      </c>
      <c r="E169" s="464">
        <f>IFERROR(D169/MAX(B169,1),0)</f>
        <v/>
      </c>
      <c r="F169" s="383">
        <f>IF(E169&gt;0.5,"⚠ &gt;50% vacant — flag",IF(E169&gt;0.3,"🟡 elevated","🟢 within norm"))</f>
        <v/>
      </c>
      <c r="G169" s="383" t="n">
        <v>0</v>
      </c>
      <c r="H169" s="388" t="inlineStr">
        <is>
          <t>ok</t>
        </is>
      </c>
    </row>
    <row r="170" outlineLevel="1" s="923">
      <c r="A170" s="382" t="inlineStr">
        <is>
          <t>MC Wing</t>
        </is>
      </c>
      <c r="B170" s="396">
        <f t="array" ref="B170">SUMPRODUCT(($C$214:$C$613="MC")*1)</f>
        <v/>
      </c>
      <c r="C170" s="396">
        <f>COUNTIFS($C$214:$C$613,"MC",$E$214:$E$613,"Occupied")+COUNTIFS($C$214:$C$613,"MC",$E$214:$E$613,"Notice")</f>
        <v/>
      </c>
      <c r="D170" s="396">
        <f>B170-C170</f>
        <v/>
      </c>
      <c r="E170" s="464">
        <f>IFERROR(D170/MAX(B170,1),0)</f>
        <v/>
      </c>
      <c r="F170" s="383">
        <f>IF(E170&gt;0.5,"⚠ &gt;50% vacant — flag",IF(E170&gt;0.3,"🟡 elevated","🟢 within norm"))</f>
        <v/>
      </c>
      <c r="G170" s="383" t="n">
        <v>0</v>
      </c>
      <c r="H170" s="388" t="inlineStr">
        <is>
          <t>ok</t>
        </is>
      </c>
    </row>
    <row r="171" outlineLevel="1" s="923">
      <c r="A171" s="382">
        <f>'Prop Info'!$D$13&amp;" — Other Care"</f>
        <v/>
      </c>
      <c r="B171" s="396" cm="1">
        <f t="array" ref="B171">SUMPRODUCT(($C$214:$C$613="OTH")*1)</f>
        <v/>
      </c>
      <c r="C171" s="396">
        <f>COUNTIFS($C$214:$C$613,"OTH",$E$214:$E$613,"Occupied")+COUNTIFS($C$214:$C$613,"OTH",$E$214:$E$613,"Notice")</f>
        <v/>
      </c>
      <c r="D171" s="396">
        <f>B171-C171</f>
        <v/>
      </c>
      <c r="E171" s="464">
        <f>IFERROR(D171/MAX(B171,1),0)</f>
        <v/>
      </c>
      <c r="F171" s="383">
        <f>IF(E171&gt;0.5,"⚠ &gt;50% vacant — flag",IF(E171&gt;0.3,"🟡 elevated","🟢 within norm"))</f>
        <v/>
      </c>
      <c r="G171" s="383" t="n">
        <v>0</v>
      </c>
      <c r="H171" s="388" t="inlineStr">
        <is>
          <t>ok</t>
        </is>
      </c>
    </row>
    <row r="172" outlineLevel="1" s="923">
      <c r="A172" s="547" t="inlineStr">
        <is>
          <t>TOTAL</t>
        </is>
      </c>
      <c r="B172" s="548">
        <f>SUM(B168:B171)</f>
        <v/>
      </c>
      <c r="C172" s="548">
        <f>SUM(C168:C171)</f>
        <v/>
      </c>
      <c r="D172" s="548">
        <f>SUM(D168:D171)</f>
        <v/>
      </c>
      <c r="E172" s="549">
        <f>IFERROR(D172/MAX(B172,1),0)</f>
        <v/>
      </c>
      <c r="F172" s="550" t="n">
        <v>0</v>
      </c>
      <c r="G172" s="550" t="n">
        <v>0</v>
      </c>
      <c r="H172" s="551" t="inlineStr">
        <is>
          <t>ok</t>
        </is>
      </c>
      <c r="I172" s="541" t="n"/>
      <c r="J172" s="541" t="n"/>
      <c r="K172" s="541" t="n"/>
      <c r="L172" s="541" t="n"/>
      <c r="M172" s="541" t="n"/>
      <c r="N172" s="541" t="n"/>
    </row>
    <row r="173" ht="22" customHeight="1" s="923">
      <c r="A173" s="716" t="inlineStr">
        <is>
          <t>R.  UNIT-TYPE MATRIX (EXTENDED)  —  Vacancy / Rent /mo / $/SF / Loss-to-Lease / Achievable, by care level x unit type</t>
        </is>
      </c>
      <c r="B173" s="717" t="n"/>
      <c r="C173" s="717" t="n"/>
      <c r="D173" s="717" t="n"/>
      <c r="E173" s="717" t="n"/>
      <c r="F173" s="717" t="n"/>
      <c r="G173" s="717" t="n"/>
      <c r="H173" s="717" t="n"/>
      <c r="I173" s="717" t="n"/>
      <c r="J173" s="717" t="n"/>
      <c r="K173" s="717" t="n"/>
      <c r="L173" s="717" t="n"/>
      <c r="M173" s="717" t="n"/>
      <c r="N173" s="717" t="n"/>
      <c r="O173" s="717" t="n"/>
      <c r="P173" s="717" t="n"/>
      <c r="Q173" s="717" t="n"/>
      <c r="R173" s="717" t="n"/>
      <c r="S173" s="717" t="n"/>
      <c r="T173" s="717" t="n"/>
      <c r="U173" s="717" t="n"/>
      <c r="V173" s="717" t="n"/>
    </row>
    <row r="174" outlineLevel="1" s="923">
      <c r="A174" s="382" t="inlineStr">
        <is>
          <t xml:space="preserve">  Label each care x unit row once in cols B-C (auto-populates from rent roll). In-Place = non-vacant. Achievable = avg of top-%ile in-place rents. Min/Max fall back to market when 0 in-place. Comp $/SF (col O) is a manual override.</t>
        </is>
      </c>
      <c r="Z174" t="inlineStr">
        <is>
          <t>Top %ile %</t>
        </is>
      </c>
      <c r="AA174" t="n">
        <v>25</v>
      </c>
    </row>
    <row r="175" outlineLevel="1" ht="18" customHeight="1" s="923">
      <c r="A175" s="971" t="inlineStr">
        <is>
          <t>TYPE</t>
        </is>
      </c>
      <c r="B175" s="926" t="n"/>
      <c r="C175" s="927" t="n"/>
      <c r="D175" s="971" t="inlineStr">
        <is>
          <t>UNIT MIX</t>
        </is>
      </c>
      <c r="E175" s="926" t="n"/>
      <c r="F175" s="927" t="n"/>
      <c r="G175" s="971" t="inlineStr">
        <is>
          <t>VACANCY</t>
        </is>
      </c>
      <c r="H175" s="926" t="n"/>
      <c r="I175" s="927" t="n"/>
      <c r="J175" s="971" t="inlineStr">
        <is>
          <t>RENT /mo (occ sched vs mkt)</t>
        </is>
      </c>
      <c r="K175" s="926" t="n"/>
      <c r="L175" s="927" t="n"/>
      <c r="M175" s="971" t="inlineStr">
        <is>
          <t>RENT $/SF</t>
        </is>
      </c>
      <c r="N175" s="926" t="n"/>
      <c r="O175" s="927" t="n"/>
      <c r="P175" s="971" t="inlineStr">
        <is>
          <t>LOSS TO LEASE</t>
        </is>
      </c>
      <c r="Q175" s="927" t="n"/>
      <c r="R175" s="971" t="inlineStr">
        <is>
          <t>SCHED RANGE</t>
        </is>
      </c>
      <c r="S175" s="927" t="n"/>
      <c r="T175" s="971" t="inlineStr">
        <is>
          <t>ACHIEVABLE (top %ile)</t>
        </is>
      </c>
      <c r="U175" s="926" t="n"/>
      <c r="V175" s="927" t="n"/>
    </row>
    <row r="176" outlineLevel="1" ht="30" customHeight="1" s="923">
      <c r="A176" s="718" t="inlineStr">
        <is>
          <t>#</t>
        </is>
      </c>
      <c r="B176" s="718" t="inlineStr">
        <is>
          <t>Care Level</t>
        </is>
      </c>
      <c r="C176" s="718" t="inlineStr">
        <is>
          <t>Unit Type</t>
        </is>
      </c>
      <c r="D176" s="718" t="inlineStr">
        <is>
          <t>Total Beds</t>
        </is>
      </c>
      <c r="E176" s="718" t="inlineStr">
        <is>
          <t>Avg SF</t>
        </is>
      </c>
      <c r="F176" s="718" t="inlineStr">
        <is>
          <t>Total SF</t>
        </is>
      </c>
      <c r="G176" s="718" t="inlineStr">
        <is>
          <t>In-Place</t>
        </is>
      </c>
      <c r="H176" s="718" t="inlineStr">
        <is>
          <t>Vacant</t>
        </is>
      </c>
      <c r="I176" s="718" t="inlineStr">
        <is>
          <t>Vac %</t>
        </is>
      </c>
      <c r="J176" s="718" t="inlineStr">
        <is>
          <t>Avg Sched</t>
        </is>
      </c>
      <c r="K176" s="718" t="inlineStr">
        <is>
          <t>Avg Market</t>
        </is>
      </c>
      <c r="L176" s="718" t="inlineStr">
        <is>
          <t>LTL /mo</t>
        </is>
      </c>
      <c r="M176" s="718" t="inlineStr">
        <is>
          <t>Sched $/SF</t>
        </is>
      </c>
      <c r="N176" s="718" t="inlineStr">
        <is>
          <t>Market $/SF</t>
        </is>
      </c>
      <c r="O176" s="718" t="inlineStr">
        <is>
          <t>Comp $/SF (ref)</t>
        </is>
      </c>
      <c r="P176" s="718" t="inlineStr">
        <is>
          <t>LTL Total /yr</t>
        </is>
      </c>
      <c r="Q176" s="718" t="inlineStr">
        <is>
          <t>LTL % of Mkt</t>
        </is>
      </c>
      <c r="R176" s="718" t="inlineStr">
        <is>
          <t>Min Sched</t>
        </is>
      </c>
      <c r="S176" s="718" t="inlineStr">
        <is>
          <t>Max Sched</t>
        </is>
      </c>
      <c r="T176" s="718" t="inlineStr">
        <is>
          <t>Top X% Avg</t>
        </is>
      </c>
      <c r="U176" s="718" t="inlineStr">
        <is>
          <t>LTL vs Top /mo</t>
        </is>
      </c>
      <c r="V176" s="718" t="inlineStr">
        <is>
          <t>LTL vs Top /yr</t>
        </is>
      </c>
    </row>
    <row r="177" outlineLevel="1" s="923">
      <c r="A177" s="719" t="n">
        <v>1</v>
      </c>
      <c r="B177" s="720" t="inlineStr">
        <is>
          <t>IL</t>
        </is>
      </c>
      <c r="C177" s="721" t="inlineStr">
        <is>
          <t>Studio</t>
        </is>
      </c>
      <c r="D177" s="722">
        <f>IF($C177="","",COUNTIF($Y$214:$Y$613,$B177&amp;"|"&amp;$C177))</f>
        <v/>
      </c>
      <c r="E177" s="722">
        <f>IF($C177="","",IFERROR($F177/$D177,0))</f>
        <v/>
      </c>
      <c r="F177" s="722">
        <f>IF($C177="","",SUMIFS($U$214:$U$613,$C$214:$C$613,$B177,$D$214:$D$613,$C177))</f>
        <v/>
      </c>
      <c r="G177" s="722">
        <f>IF($C177="","",COUNTIF($X$214:$X$613,$B177&amp;"|"&amp;$C177))</f>
        <v/>
      </c>
      <c r="H177" s="722">
        <f>IF($C177="","",COUNTIFS($C$214:$C$613,$B177,$D$214:$D$613,$C177,$E$214:$E$613,"Vacant"))</f>
        <v/>
      </c>
      <c r="I177" s="723">
        <f>IF($C177="","",IFERROR($H177/$D177,0))</f>
        <v/>
      </c>
      <c r="J177" s="724">
        <f>IF($C177="","",IFERROR(AVERAGEIFS($L$214:$L$613,$X$214:$X$613,$B177&amp;"|"&amp;$C177),0))</f>
        <v/>
      </c>
      <c r="K177" s="724">
        <f>IF($C177="","",IFERROR(AVERAGEIFS($I$214:$I$613,$Y$214:$Y$613,$B177&amp;"|"&amp;$C177),0))</f>
        <v/>
      </c>
      <c r="L177" s="724">
        <f>IF($C177="","",$K177-$J177)</f>
        <v/>
      </c>
      <c r="M177" s="1003">
        <f>IF($C177="","",IFERROR($J177/$E177,0))</f>
        <v/>
      </c>
      <c r="N177" s="1003">
        <f>IF($C177="","",IFERROR($K177/$E177,0))</f>
        <v/>
      </c>
      <c r="O177" s="1003" t="n"/>
      <c r="P177" s="724">
        <f>IF($C177="","",$L177*$G177*12)</f>
        <v/>
      </c>
      <c r="Q177" s="723">
        <f>IF($C177="","",IFERROR($L177/$K177,0))</f>
        <v/>
      </c>
      <c r="R177" s="724">
        <f>IF($C177="","",IF($G177&gt;0,_xlfn.MINIFS($L$214:$L$613,$X$214:$X$613,$B177&amp;"|"&amp;$C177),IFERROR(_xlfn.MINIFS($I$214:$I$613,$Y$214:$Y$613,$B177&amp;"|"&amp;$C177),0)))</f>
        <v/>
      </c>
      <c r="S177" s="724">
        <f>IF($C177="","",IF($G177&gt;0,_xlfn.MAXIFS($L$214:$L$613,$X$214:$X$613,$B177&amp;"|"&amp;$C177),IFERROR(_xlfn.MAXIFS($I$214:$I$613,$Y$214:$Y$613,$B177&amp;"|"&amp;$C177),0)))</f>
        <v/>
      </c>
      <c r="T177" s="724">
        <f>IF($C177="","",IF($G177&gt;0,IFERROR(AVERAGEIFS($L$214:$L$613,$X$214:$X$613,$B177&amp;"|"&amp;$C177,$L$214:$L$613,"&gt;="&amp;$AA177),0),0))</f>
        <v/>
      </c>
      <c r="U177" s="724">
        <f>IF($C177="","",$T177-$J177)</f>
        <v/>
      </c>
      <c r="V177" s="724">
        <f>IF($C177="","",$U177*$G177*12)</f>
        <v/>
      </c>
      <c r="AA177" s="726">
        <f>IF($C177="","",IFERROR(_xlfn.AGGREGATE(14,6,$L$214:$L$613/($X$214:$X$613=$B177&amp;"|"&amp;$C177),MAX(1,ROUNDUP($G177*$AA$174/100,0))),0))</f>
        <v/>
      </c>
    </row>
    <row r="178" outlineLevel="1" s="923">
      <c r="A178" s="719" t="n">
        <v>2</v>
      </c>
      <c r="B178" s="720" t="inlineStr">
        <is>
          <t>IL</t>
        </is>
      </c>
      <c r="C178" s="721" t="inlineStr">
        <is>
          <t>1 Bedroom</t>
        </is>
      </c>
      <c r="D178" s="722">
        <f>IF($C178="","",COUNTIF($Y$214:$Y$613,$B178&amp;"|"&amp;$C178))</f>
        <v/>
      </c>
      <c r="E178" s="722">
        <f>IF($C178="","",IFERROR($F178/$D178,0))</f>
        <v/>
      </c>
      <c r="F178" s="722">
        <f>IF($C178="","",SUMIFS($U$214:$U$613,$C$214:$C$613,$B178,$D$214:$D$613,$C178))</f>
        <v/>
      </c>
      <c r="G178" s="722">
        <f>IF($C178="","",COUNTIF($X$214:$X$613,$B178&amp;"|"&amp;$C178))</f>
        <v/>
      </c>
      <c r="H178" s="722">
        <f>IF($C178="","",COUNTIFS($C$214:$C$613,$B178,$D$214:$D$613,$C178,$E$214:$E$613,"Vacant"))</f>
        <v/>
      </c>
      <c r="I178" s="723">
        <f>IF($C178="","",IFERROR($H178/$D178,0))</f>
        <v/>
      </c>
      <c r="J178" s="724">
        <f>IF($C178="","",IFERROR(AVERAGEIFS($L$214:$L$613,$X$214:$X$613,$B178&amp;"|"&amp;$C178),0))</f>
        <v/>
      </c>
      <c r="K178" s="724">
        <f>IF($C178="","",IFERROR(AVERAGEIFS($I$214:$I$613,$Y$214:$Y$613,$B178&amp;"|"&amp;$C178),0))</f>
        <v/>
      </c>
      <c r="L178" s="724">
        <f>IF($C178="","",$K178-$J178)</f>
        <v/>
      </c>
      <c r="M178" s="1003">
        <f>IF($C178="","",IFERROR($J178/$E178,0))</f>
        <v/>
      </c>
      <c r="N178" s="1003">
        <f>IF($C178="","",IFERROR($K178/$E178,0))</f>
        <v/>
      </c>
      <c r="O178" s="1003" t="n"/>
      <c r="P178" s="724">
        <f>IF($C178="","",$L178*$G178*12)</f>
        <v/>
      </c>
      <c r="Q178" s="723">
        <f>IF($C178="","",IFERROR($L178/$K178,0))</f>
        <v/>
      </c>
      <c r="R178" s="724">
        <f>IF($C178="","",IF($G178&gt;0,_xlfn.MINIFS($L$214:$L$613,$X$214:$X$613,$B178&amp;"|"&amp;$C178),IFERROR(_xlfn.MINIFS($I$214:$I$613,$Y$214:$Y$613,$B178&amp;"|"&amp;$C178),0)))</f>
        <v/>
      </c>
      <c r="S178" s="724">
        <f>IF($C178="","",IF($G178&gt;0,_xlfn.MAXIFS($L$214:$L$613,$X$214:$X$613,$B178&amp;"|"&amp;$C178),IFERROR(_xlfn.MAXIFS($I$214:$I$613,$Y$214:$Y$613,$B178&amp;"|"&amp;$C178),0)))</f>
        <v/>
      </c>
      <c r="T178" s="724">
        <f>IF($C178="","",IF($G178&gt;0,IFERROR(AVERAGEIFS($L$214:$L$613,$X$214:$X$613,$B178&amp;"|"&amp;$C178,$L$214:$L$613,"&gt;="&amp;$AA178),0),0))</f>
        <v/>
      </c>
      <c r="U178" s="724">
        <f>IF($C178="","",$T178-$J178)</f>
        <v/>
      </c>
      <c r="V178" s="724">
        <f>IF($C178="","",$U178*$G178*12)</f>
        <v/>
      </c>
      <c r="AA178" s="726">
        <f>IF($C178="","",IFERROR(_xlfn.AGGREGATE(14,6,$L$214:$L$613/($X$214:$X$613=$B178&amp;"|"&amp;$C178),MAX(1,ROUNDUP($G178*$AA$174/100,0))),0))</f>
        <v/>
      </c>
    </row>
    <row r="179" outlineLevel="1" s="923">
      <c r="A179" s="719" t="n">
        <v>3</v>
      </c>
      <c r="B179" s="720" t="inlineStr">
        <is>
          <t>IL</t>
        </is>
      </c>
      <c r="C179" s="721" t="inlineStr">
        <is>
          <t>2 Bedroom</t>
        </is>
      </c>
      <c r="D179" s="722">
        <f>IF($C179="","",COUNTIF($Y$214:$Y$613,$B179&amp;"|"&amp;$C179))</f>
        <v/>
      </c>
      <c r="E179" s="722">
        <f>IF($C179="","",IFERROR($F179/$D179,0))</f>
        <v/>
      </c>
      <c r="F179" s="722">
        <f>IF($C179="","",SUMIFS($U$214:$U$613,$C$214:$C$613,$B179,$D$214:$D$613,$C179))</f>
        <v/>
      </c>
      <c r="G179" s="722">
        <f>IF($C179="","",COUNTIF($X$214:$X$613,$B179&amp;"|"&amp;$C179))</f>
        <v/>
      </c>
      <c r="H179" s="722">
        <f>IF($C179="","",COUNTIFS($C$214:$C$613,$B179,$D$214:$D$613,$C179,$E$214:$E$613,"Vacant"))</f>
        <v/>
      </c>
      <c r="I179" s="723">
        <f>IF($C179="","",IFERROR($H179/$D179,0))</f>
        <v/>
      </c>
      <c r="J179" s="724">
        <f>IF($C179="","",IFERROR(AVERAGEIFS($L$214:$L$613,$X$214:$X$613,$B179&amp;"|"&amp;$C179),0))</f>
        <v/>
      </c>
      <c r="K179" s="724">
        <f>IF($C179="","",IFERROR(AVERAGEIFS($I$214:$I$613,$Y$214:$Y$613,$B179&amp;"|"&amp;$C179),0))</f>
        <v/>
      </c>
      <c r="L179" s="724">
        <f>IF($C179="","",$K179-$J179)</f>
        <v/>
      </c>
      <c r="M179" s="1003">
        <f>IF($C179="","",IFERROR($J179/$E179,0))</f>
        <v/>
      </c>
      <c r="N179" s="1003">
        <f>IF($C179="","",IFERROR($K179/$E179,0))</f>
        <v/>
      </c>
      <c r="O179" s="1003" t="n"/>
      <c r="P179" s="724">
        <f>IF($C179="","",$L179*$G179*12)</f>
        <v/>
      </c>
      <c r="Q179" s="723">
        <f>IF($C179="","",IFERROR($L179/$K179,0))</f>
        <v/>
      </c>
      <c r="R179" s="724">
        <f>IF($C179="","",IF($G179&gt;0,_xlfn.MINIFS($L$214:$L$613,$X$214:$X$613,$B179&amp;"|"&amp;$C179),IFERROR(_xlfn.MINIFS($I$214:$I$613,$Y$214:$Y$613,$B179&amp;"|"&amp;$C179),0)))</f>
        <v/>
      </c>
      <c r="S179" s="724">
        <f>IF($C179="","",IF($G179&gt;0,_xlfn.MAXIFS($L$214:$L$613,$X$214:$X$613,$B179&amp;"|"&amp;$C179),IFERROR(_xlfn.MAXIFS($I$214:$I$613,$Y$214:$Y$613,$B179&amp;"|"&amp;$C179),0)))</f>
        <v/>
      </c>
      <c r="T179" s="724">
        <f>IF($C179="","",IF($G179&gt;0,IFERROR(AVERAGEIFS($L$214:$L$613,$X$214:$X$613,$B179&amp;"|"&amp;$C179,$L$214:$L$613,"&gt;="&amp;$AA179),0),0))</f>
        <v/>
      </c>
      <c r="U179" s="724">
        <f>IF($C179="","",$T179-$J179)</f>
        <v/>
      </c>
      <c r="V179" s="724">
        <f>IF($C179="","",$U179*$G179*12)</f>
        <v/>
      </c>
      <c r="AA179" s="726">
        <f>IF($C179="","",IFERROR(_xlfn.AGGREGATE(14,6,$L$214:$L$613/($X$214:$X$613=$B179&amp;"|"&amp;$C179),MAX(1,ROUNDUP($G179*$AA$174/100,0))),0))</f>
        <v/>
      </c>
    </row>
    <row r="180" outlineLevel="1" s="923">
      <c r="A180" s="719" t="n">
        <v>4</v>
      </c>
      <c r="B180" s="720" t="inlineStr">
        <is>
          <t>AL</t>
        </is>
      </c>
      <c r="C180" s="721" t="inlineStr">
        <is>
          <t>Studio</t>
        </is>
      </c>
      <c r="D180" s="722">
        <f>IF($C180="","",COUNTIF($Y$214:$Y$613,$B180&amp;"|"&amp;$C180))</f>
        <v/>
      </c>
      <c r="E180" s="722">
        <f>IF($C180="","",IFERROR($F180/$D180,0))</f>
        <v/>
      </c>
      <c r="F180" s="722">
        <f>IF($C180="","",SUMIFS($U$214:$U$613,$C$214:$C$613,$B180,$D$214:$D$613,$C180))</f>
        <v/>
      </c>
      <c r="G180" s="722">
        <f>IF($C180="","",COUNTIF($X$214:$X$613,$B180&amp;"|"&amp;$C180))</f>
        <v/>
      </c>
      <c r="H180" s="722">
        <f>IF($C180="","",COUNTIFS($C$214:$C$613,$B180,$D$214:$D$613,$C180,$E$214:$E$613,"Vacant"))</f>
        <v/>
      </c>
      <c r="I180" s="723">
        <f>IF($C180="","",IFERROR($H180/$D180,0))</f>
        <v/>
      </c>
      <c r="J180" s="724">
        <f>IF($C180="","",IFERROR(AVERAGEIFS($L$214:$L$613,$X$214:$X$613,$B180&amp;"|"&amp;$C180),0))</f>
        <v/>
      </c>
      <c r="K180" s="724">
        <f>IF($C180="","",IFERROR(AVERAGEIFS($I$214:$I$613,$Y$214:$Y$613,$B180&amp;"|"&amp;$C180),0))</f>
        <v/>
      </c>
      <c r="L180" s="724">
        <f>IF($C180="","",$K180-$J180)</f>
        <v/>
      </c>
      <c r="M180" s="1003">
        <f>IF($C180="","",IFERROR($J180/$E180,0))</f>
        <v/>
      </c>
      <c r="N180" s="1003">
        <f>IF($C180="","",IFERROR($K180/$E180,0))</f>
        <v/>
      </c>
      <c r="O180" s="1003" t="n"/>
      <c r="P180" s="724">
        <f>IF($C180="","",$L180*$G180*12)</f>
        <v/>
      </c>
      <c r="Q180" s="723">
        <f>IF($C180="","",IFERROR($L180/$K180,0))</f>
        <v/>
      </c>
      <c r="R180" s="724">
        <f>IF($C180="","",IF($G180&gt;0,_xlfn.MINIFS($L$214:$L$613,$X$214:$X$613,$B180&amp;"|"&amp;$C180),IFERROR(_xlfn.MINIFS($I$214:$I$613,$Y$214:$Y$613,$B180&amp;"|"&amp;$C180),0)))</f>
        <v/>
      </c>
      <c r="S180" s="724">
        <f>IF($C180="","",IF($G180&gt;0,_xlfn.MAXIFS($L$214:$L$613,$X$214:$X$613,$B180&amp;"|"&amp;$C180),IFERROR(_xlfn.MAXIFS($I$214:$I$613,$Y$214:$Y$613,$B180&amp;"|"&amp;$C180),0)))</f>
        <v/>
      </c>
      <c r="T180" s="724">
        <f>IF($C180="","",IF($G180&gt;0,IFERROR(AVERAGEIFS($L$214:$L$613,$X$214:$X$613,$B180&amp;"|"&amp;$C180,$L$214:$L$613,"&gt;="&amp;$AA180),0),0))</f>
        <v/>
      </c>
      <c r="U180" s="724">
        <f>IF($C180="","",$T180-$J180)</f>
        <v/>
      </c>
      <c r="V180" s="724">
        <f>IF($C180="","",$U180*$G180*12)</f>
        <v/>
      </c>
      <c r="AA180" s="726">
        <f>IF($C180="","",IFERROR(_xlfn.AGGREGATE(14,6,$L$214:$L$613/($X$214:$X$613=$B180&amp;"|"&amp;$C180),MAX(1,ROUNDUP($G180*$AA$174/100,0))),0))</f>
        <v/>
      </c>
    </row>
    <row r="181" outlineLevel="1" s="923">
      <c r="A181" s="719" t="n">
        <v>5</v>
      </c>
      <c r="B181" s="720" t="inlineStr">
        <is>
          <t>AL</t>
        </is>
      </c>
      <c r="C181" s="721" t="inlineStr">
        <is>
          <t>1 Bedroom</t>
        </is>
      </c>
      <c r="D181" s="722">
        <f>IF($C181="","",COUNTIF($Y$214:$Y$613,$B181&amp;"|"&amp;$C181))</f>
        <v/>
      </c>
      <c r="E181" s="722">
        <f>IF($C181="","",IFERROR($F181/$D181,0))</f>
        <v/>
      </c>
      <c r="F181" s="722">
        <f>IF($C181="","",SUMIFS($U$214:$U$613,$C$214:$C$613,$B181,$D$214:$D$613,$C181))</f>
        <v/>
      </c>
      <c r="G181" s="722">
        <f>IF($C181="","",COUNTIF($X$214:$X$613,$B181&amp;"|"&amp;$C181))</f>
        <v/>
      </c>
      <c r="H181" s="722">
        <f>IF($C181="","",COUNTIFS($C$214:$C$613,$B181,$D$214:$D$613,$C181,$E$214:$E$613,"Vacant"))</f>
        <v/>
      </c>
      <c r="I181" s="723">
        <f>IF($C181="","",IFERROR($H181/$D181,0))</f>
        <v/>
      </c>
      <c r="J181" s="724">
        <f>IF($C181="","",IFERROR(AVERAGEIFS($L$214:$L$613,$X$214:$X$613,$B181&amp;"|"&amp;$C181),0))</f>
        <v/>
      </c>
      <c r="K181" s="724">
        <f>IF($C181="","",IFERROR(AVERAGEIFS($I$214:$I$613,$Y$214:$Y$613,$B181&amp;"|"&amp;$C181),0))</f>
        <v/>
      </c>
      <c r="L181" s="724">
        <f>IF($C181="","",$K181-$J181)</f>
        <v/>
      </c>
      <c r="M181" s="1003">
        <f>IF($C181="","",IFERROR($J181/$E181,0))</f>
        <v/>
      </c>
      <c r="N181" s="1003">
        <f>IF($C181="","",IFERROR($K181/$E181,0))</f>
        <v/>
      </c>
      <c r="O181" s="1003" t="n"/>
      <c r="P181" s="724">
        <f>IF($C181="","",$L181*$G181*12)</f>
        <v/>
      </c>
      <c r="Q181" s="723">
        <f>IF($C181="","",IFERROR($L181/$K181,0))</f>
        <v/>
      </c>
      <c r="R181" s="724">
        <f>IF($C181="","",IF($G181&gt;0,_xlfn.MINIFS($L$214:$L$613,$X$214:$X$613,$B181&amp;"|"&amp;$C181),IFERROR(_xlfn.MINIFS($I$214:$I$613,$Y$214:$Y$613,$B181&amp;"|"&amp;$C181),0)))</f>
        <v/>
      </c>
      <c r="S181" s="724">
        <f>IF($C181="","",IF($G181&gt;0,_xlfn.MAXIFS($L$214:$L$613,$X$214:$X$613,$B181&amp;"|"&amp;$C181),IFERROR(_xlfn.MAXIFS($I$214:$I$613,$Y$214:$Y$613,$B181&amp;"|"&amp;$C181),0)))</f>
        <v/>
      </c>
      <c r="T181" s="724">
        <f>IF($C181="","",IF($G181&gt;0,IFERROR(AVERAGEIFS($L$214:$L$613,$X$214:$X$613,$B181&amp;"|"&amp;$C181,$L$214:$L$613,"&gt;="&amp;$AA181),0),0))</f>
        <v/>
      </c>
      <c r="U181" s="724">
        <f>IF($C181="","",$T181-$J181)</f>
        <v/>
      </c>
      <c r="V181" s="724">
        <f>IF($C181="","",$U181*$G181*12)</f>
        <v/>
      </c>
      <c r="AA181" s="726">
        <f>IF($C181="","",IFERROR(_xlfn.AGGREGATE(14,6,$L$214:$L$613/($X$214:$X$613=$B181&amp;"|"&amp;$C181),MAX(1,ROUNDUP($G181*$AA$174/100,0))),0))</f>
        <v/>
      </c>
    </row>
    <row r="182" outlineLevel="1" s="923">
      <c r="A182" s="719" t="n">
        <v>6</v>
      </c>
      <c r="B182" s="720" t="inlineStr">
        <is>
          <t>AL</t>
        </is>
      </c>
      <c r="C182" s="720" t="inlineStr">
        <is>
          <t>2 Bedroom</t>
        </is>
      </c>
      <c r="D182" s="722">
        <f>IF($C182="","",COUNTIF($Y$214:$Y$613,$B182&amp;"|"&amp;$C182))</f>
        <v/>
      </c>
      <c r="E182" s="722">
        <f>IF($C182="","",IFERROR($F182/$D182,0))</f>
        <v/>
      </c>
      <c r="F182" s="722">
        <f>IF($C182="","",SUMIFS($U$214:$U$613,$C$214:$C$613,$B182,$D$214:$D$613,$C182))</f>
        <v/>
      </c>
      <c r="G182" s="722">
        <f>IF($C182="","",COUNTIF($X$214:$X$613,$B182&amp;"|"&amp;$C182))</f>
        <v/>
      </c>
      <c r="H182" s="722">
        <f>IF($C182="","",COUNTIFS($C$214:$C$613,$B182,$D$214:$D$613,$C182,$E$214:$E$613,"Vacant"))</f>
        <v/>
      </c>
      <c r="I182" s="723">
        <f>IF($C182="","",IFERROR($H182/$D182,0))</f>
        <v/>
      </c>
      <c r="J182" s="724">
        <f>IF($C182="","",IFERROR(AVERAGEIFS($L$214:$L$613,$X$214:$X$613,$B182&amp;"|"&amp;$C182),0))</f>
        <v/>
      </c>
      <c r="K182" s="724">
        <f>IF($C182="","",IFERROR(AVERAGEIFS($I$214:$I$613,$Y$214:$Y$613,$B182&amp;"|"&amp;$C182),0))</f>
        <v/>
      </c>
      <c r="L182" s="724">
        <f>IF($C182="","",$K182-$J182)</f>
        <v/>
      </c>
      <c r="M182" s="1003">
        <f>IF($C182="","",IFERROR($J182/$E182,0))</f>
        <v/>
      </c>
      <c r="N182" s="1003">
        <f>IF($C182="","",IFERROR($K182/$E182,0))</f>
        <v/>
      </c>
      <c r="O182" s="1003" t="n"/>
      <c r="P182" s="724">
        <f>IF($C182="","",$L182*$G182*12)</f>
        <v/>
      </c>
      <c r="Q182" s="723">
        <f>IF($C182="","",IFERROR($L182/$K182,0))</f>
        <v/>
      </c>
      <c r="R182" s="724">
        <f>IF($C182="","",IF($G182&gt;0,_xlfn.MINIFS($L$214:$L$613,$X$214:$X$613,$B182&amp;"|"&amp;$C182),IFERROR(_xlfn.MINIFS($I$214:$I$613,$Y$214:$Y$613,$B182&amp;"|"&amp;$C182),0)))</f>
        <v/>
      </c>
      <c r="S182" s="724">
        <f>IF($C182="","",IF($G182&gt;0,_xlfn.MAXIFS($L$214:$L$613,$X$214:$X$613,$B182&amp;"|"&amp;$C182),IFERROR(_xlfn.MAXIFS($I$214:$I$613,$Y$214:$Y$613,$B182&amp;"|"&amp;$C182),0)))</f>
        <v/>
      </c>
      <c r="T182" s="724">
        <f>IF($C182="","",IF($G182&gt;0,IFERROR(AVERAGEIFS($L$214:$L$613,$X$214:$X$613,$B182&amp;"|"&amp;$C182,$L$214:$L$613,"&gt;="&amp;$AA182),0),0))</f>
        <v/>
      </c>
      <c r="U182" s="724">
        <f>IF($C182="","",$T182-$J182)</f>
        <v/>
      </c>
      <c r="V182" s="724">
        <f>IF($C182="","",$U182*$G182*12)</f>
        <v/>
      </c>
      <c r="AA182" s="726">
        <f>IF($C182="","",IFERROR(_xlfn.AGGREGATE(14,6,$L$214:$L$613/($X$214:$X$613=$B182&amp;"|"&amp;$C182),MAX(1,ROUNDUP($G182*$AA$174/100,0))),0))</f>
        <v/>
      </c>
    </row>
    <row r="183" outlineLevel="1" s="923">
      <c r="A183" s="719" t="n">
        <v>7</v>
      </c>
      <c r="B183" s="720" t="inlineStr">
        <is>
          <t>MC</t>
        </is>
      </c>
      <c r="C183" s="721" t="inlineStr">
        <is>
          <t>Studio</t>
        </is>
      </c>
      <c r="D183" s="722">
        <f>IF($C183="","",COUNTIF($Y$214:$Y$613,$B183&amp;"|"&amp;$C183))</f>
        <v/>
      </c>
      <c r="E183" s="722">
        <f>IF($C183="","",IFERROR($F183/$D183,0))</f>
        <v/>
      </c>
      <c r="F183" s="722">
        <f>IF($C183="","",SUMIFS($U$214:$U$613,$C$214:$C$613,$B183,$D$214:$D$613,$C183))</f>
        <v/>
      </c>
      <c r="G183" s="722">
        <f>IF($C183="","",COUNTIF($X$214:$X$613,$B183&amp;"|"&amp;$C183))</f>
        <v/>
      </c>
      <c r="H183" s="722">
        <f>IF($C183="","",COUNTIFS($C$214:$C$613,$B183,$D$214:$D$613,$C183,$E$214:$E$613,"Vacant"))</f>
        <v/>
      </c>
      <c r="I183" s="723">
        <f>IF($C183="","",IFERROR($H183/$D183,0))</f>
        <v/>
      </c>
      <c r="J183" s="724">
        <f>IF($C183="","",IFERROR(AVERAGEIFS($L$214:$L$613,$X$214:$X$613,$B183&amp;"|"&amp;$C183),0))</f>
        <v/>
      </c>
      <c r="K183" s="724">
        <f>IF($C183="","",IFERROR(AVERAGEIFS($I$214:$I$613,$Y$214:$Y$613,$B183&amp;"|"&amp;$C183),0))</f>
        <v/>
      </c>
      <c r="L183" s="724">
        <f>IF($C183="","",$K183-$J183)</f>
        <v/>
      </c>
      <c r="M183" s="1003">
        <f>IF($C183="","",IFERROR($J183/$E183,0))</f>
        <v/>
      </c>
      <c r="N183" s="1003">
        <f>IF($C183="","",IFERROR($K183/$E183,0))</f>
        <v/>
      </c>
      <c r="O183" s="1003" t="n"/>
      <c r="P183" s="724">
        <f>IF($C183="","",$L183*$G183*12)</f>
        <v/>
      </c>
      <c r="Q183" s="723">
        <f>IF($C183="","",IFERROR($L183/$K183,0))</f>
        <v/>
      </c>
      <c r="R183" s="724">
        <f>IF($C183="","",IF($G183&gt;0,_xlfn.MINIFS($L$214:$L$613,$X$214:$X$613,$B183&amp;"|"&amp;$C183),IFERROR(_xlfn.MINIFS($I$214:$I$613,$Y$214:$Y$613,$B183&amp;"|"&amp;$C183),0)))</f>
        <v/>
      </c>
      <c r="S183" s="724">
        <f>IF($C183="","",IF($G183&gt;0,_xlfn.MAXIFS($L$214:$L$613,$X$214:$X$613,$B183&amp;"|"&amp;$C183),IFERROR(_xlfn.MAXIFS($I$214:$I$613,$Y$214:$Y$613,$B183&amp;"|"&amp;$C183),0)))</f>
        <v/>
      </c>
      <c r="T183" s="724">
        <f>IF($C183="","",IF($G183&gt;0,IFERROR(AVERAGEIFS($L$214:$L$613,$X$214:$X$613,$B183&amp;"|"&amp;$C183,$L$214:$L$613,"&gt;="&amp;$AA183),0),0))</f>
        <v/>
      </c>
      <c r="U183" s="724">
        <f>IF($C183="","",$T183-$J183)</f>
        <v/>
      </c>
      <c r="V183" s="724">
        <f>IF($C183="","",$U183*$G183*12)</f>
        <v/>
      </c>
      <c r="AA183" s="726">
        <f>IF($C183="","",IFERROR(_xlfn.AGGREGATE(14,6,$L$214:$L$613/($X$214:$X$613=$B183&amp;"|"&amp;$C183),MAX(1,ROUNDUP($G183*$AA$174/100,0))),0))</f>
        <v/>
      </c>
    </row>
    <row r="184" outlineLevel="1" s="923">
      <c r="A184" s="719" t="n">
        <v>8</v>
      </c>
      <c r="B184" s="720" t="inlineStr">
        <is>
          <t>MC</t>
        </is>
      </c>
      <c r="C184" s="721" t="inlineStr">
        <is>
          <t>1 Bedroom</t>
        </is>
      </c>
      <c r="D184" s="722">
        <f>IF($C184="","",COUNTIF($Y$214:$Y$613,$B184&amp;"|"&amp;$C184))</f>
        <v/>
      </c>
      <c r="E184" s="722">
        <f>IF($C184="","",IFERROR($F184/$D184,0))</f>
        <v/>
      </c>
      <c r="F184" s="722">
        <f>IF($C184="","",SUMIFS($U$214:$U$613,$C$214:$C$613,$B184,$D$214:$D$613,$C184))</f>
        <v/>
      </c>
      <c r="G184" s="722">
        <f>IF($C184="","",COUNTIF($X$214:$X$613,$B184&amp;"|"&amp;$C184))</f>
        <v/>
      </c>
      <c r="H184" s="722">
        <f>IF($C184="","",COUNTIFS($C$214:$C$613,$B184,$D$214:$D$613,$C184,$E$214:$E$613,"Vacant"))</f>
        <v/>
      </c>
      <c r="I184" s="723">
        <f>IF($C184="","",IFERROR($H184/$D184,0))</f>
        <v/>
      </c>
      <c r="J184" s="724">
        <f>IF($C184="","",IFERROR(AVERAGEIFS($L$214:$L$613,$X$214:$X$613,$B184&amp;"|"&amp;$C184),0))</f>
        <v/>
      </c>
      <c r="K184" s="724">
        <f>IF($C184="","",IFERROR(AVERAGEIFS($I$214:$I$613,$Y$214:$Y$613,$B184&amp;"|"&amp;$C184),0))</f>
        <v/>
      </c>
      <c r="L184" s="724">
        <f>IF($C184="","",$K184-$J184)</f>
        <v/>
      </c>
      <c r="M184" s="1003">
        <f>IF($C184="","",IFERROR($J184/$E184,0))</f>
        <v/>
      </c>
      <c r="N184" s="1003">
        <f>IF($C184="","",IFERROR($K184/$E184,0))</f>
        <v/>
      </c>
      <c r="O184" s="1003" t="n"/>
      <c r="P184" s="724">
        <f>IF($C184="","",$L184*$G184*12)</f>
        <v/>
      </c>
      <c r="Q184" s="723">
        <f>IF($C184="","",IFERROR($L184/$K184,0))</f>
        <v/>
      </c>
      <c r="R184" s="724">
        <f>IF($C184="","",IF($G184&gt;0,_xlfn.MINIFS($L$214:$L$613,$X$214:$X$613,$B184&amp;"|"&amp;$C184),IFERROR(_xlfn.MINIFS($I$214:$I$613,$Y$214:$Y$613,$B184&amp;"|"&amp;$C184),0)))</f>
        <v/>
      </c>
      <c r="S184" s="724">
        <f>IF($C184="","",IF($G184&gt;0,_xlfn.MAXIFS($L$214:$L$613,$X$214:$X$613,$B184&amp;"|"&amp;$C184),IFERROR(_xlfn.MAXIFS($I$214:$I$613,$Y$214:$Y$613,$B184&amp;"|"&amp;$C184),0)))</f>
        <v/>
      </c>
      <c r="T184" s="724">
        <f>IF($C184="","",IF($G184&gt;0,IFERROR(AVERAGEIFS($L$214:$L$613,$X$214:$X$613,$B184&amp;"|"&amp;$C184,$L$214:$L$613,"&gt;="&amp;$AA184),0),0))</f>
        <v/>
      </c>
      <c r="U184" s="724">
        <f>IF($C184="","",$T184-$J184)</f>
        <v/>
      </c>
      <c r="V184" s="724">
        <f>IF($C184="","",$U184*$G184*12)</f>
        <v/>
      </c>
      <c r="AA184" s="726">
        <f>IF($C184="","",IFERROR(_xlfn.AGGREGATE(14,6,$L$214:$L$613/($X$214:$X$613=$B184&amp;"|"&amp;$C184),MAX(1,ROUNDUP($G184*$AA$174/100,0))),0))</f>
        <v/>
      </c>
    </row>
    <row r="185" ht="22" customHeight="1" s="923">
      <c r="A185" s="719" t="n">
        <v>9</v>
      </c>
      <c r="B185" s="720" t="inlineStr">
        <is>
          <t>MC</t>
        </is>
      </c>
      <c r="C185" s="720" t="inlineStr">
        <is>
          <t>2 Bedroom</t>
        </is>
      </c>
      <c r="D185" s="722">
        <f>IF($C185="","",COUNTIF($Y$214:$Y$613,$B185&amp;"|"&amp;$C185))</f>
        <v/>
      </c>
      <c r="E185" s="722">
        <f>IF($C185="","",IFERROR($F185/$D185,0))</f>
        <v/>
      </c>
      <c r="F185" s="722">
        <f>IF($C185="","",SUMIFS($U$214:$U$613,$C$214:$C$613,$B185,$D$214:$D$613,$C185))</f>
        <v/>
      </c>
      <c r="G185" s="722">
        <f>IF($C185="","",COUNTIF($X$214:$X$613,$B185&amp;"|"&amp;$C185))</f>
        <v/>
      </c>
      <c r="H185" s="722">
        <f>IF($C185="","",COUNTIFS($C$214:$C$613,$B185,$D$214:$D$613,$C185,$E$214:$E$613,"Vacant"))</f>
        <v/>
      </c>
      <c r="I185" s="723">
        <f>IF($C185="","",IFERROR($H185/$D185,0))</f>
        <v/>
      </c>
      <c r="J185" s="724">
        <f>IF($C185="","",IFERROR(AVERAGEIFS($L$214:$L$613,$X$214:$X$613,$B185&amp;"|"&amp;$C185),0))</f>
        <v/>
      </c>
      <c r="K185" s="724">
        <f>IF($C185="","",IFERROR(AVERAGEIFS($I$214:$I$613,$Y$214:$Y$613,$B185&amp;"|"&amp;$C185),0))</f>
        <v/>
      </c>
      <c r="L185" s="724">
        <f>IF($C185="","",$K185-$J185)</f>
        <v/>
      </c>
      <c r="M185" s="1003">
        <f>IF($C185="","",IFERROR($J185/$E185,0))</f>
        <v/>
      </c>
      <c r="N185" s="1003">
        <f>IF($C185="","",IFERROR($K185/$E185,0))</f>
        <v/>
      </c>
      <c r="O185" s="1003" t="n"/>
      <c r="P185" s="724">
        <f>IF($C185="","",$L185*$G185*12)</f>
        <v/>
      </c>
      <c r="Q185" s="723">
        <f>IF($C185="","",IFERROR($L185/$K185,0))</f>
        <v/>
      </c>
      <c r="R185" s="724">
        <f>IF($C185="","",IF($G185&gt;0,_xlfn.MINIFS($L$214:$L$613,$X$214:$X$613,$B185&amp;"|"&amp;$C185),IFERROR(_xlfn.MINIFS($I$214:$I$613,$Y$214:$Y$613,$B185&amp;"|"&amp;$C185),0)))</f>
        <v/>
      </c>
      <c r="S185" s="724">
        <f>IF($C185="","",IF($G185&gt;0,_xlfn.MAXIFS($L$214:$L$613,$X$214:$X$613,$B185&amp;"|"&amp;$C185),IFERROR(_xlfn.MAXIFS($I$214:$I$613,$Y$214:$Y$613,$B185&amp;"|"&amp;$C185),0)))</f>
        <v/>
      </c>
      <c r="T185" s="724">
        <f>IF($C185="","",IF($G185&gt;0,IFERROR(AVERAGEIFS($L$214:$L$613,$X$214:$X$613,$B185&amp;"|"&amp;$C185,$L$214:$L$613,"&gt;="&amp;$AA185),0),0))</f>
        <v/>
      </c>
      <c r="U185" s="724">
        <f>IF($C185="","",$T185-$J185)</f>
        <v/>
      </c>
      <c r="V185" s="724">
        <f>IF($C185="","",$U185*$G185*12)</f>
        <v/>
      </c>
      <c r="AA185" s="726">
        <f>IF($C185="","",IFERROR(_xlfn.AGGREGATE(14,6,$L$214:$L$613/($X$214:$X$613=$B185&amp;"|"&amp;$C185),MAX(1,ROUNDUP($G185*$AA$174/100,0))),0))</f>
        <v/>
      </c>
    </row>
    <row r="186" outlineLevel="1" s="923">
      <c r="A186" s="719" t="n">
        <v>10</v>
      </c>
      <c r="B186" s="720" t="n"/>
      <c r="C186" s="720" t="n"/>
      <c r="D186" s="722">
        <f>IF($C186="","",COUNTIF($Y$214:$Y$613,$B186&amp;"|"&amp;$C186))</f>
        <v/>
      </c>
      <c r="E186" s="722">
        <f>IF($C186="","",IFERROR($F186/$D186,0))</f>
        <v/>
      </c>
      <c r="F186" s="722">
        <f>IF($C186="","",SUMIFS($U$214:$U$613,$C$214:$C$613,$B186,$D$214:$D$613,$C186))</f>
        <v/>
      </c>
      <c r="G186" s="722">
        <f>IF($C186="","",COUNTIF($X$214:$X$613,$B186&amp;"|"&amp;$C186))</f>
        <v/>
      </c>
      <c r="H186" s="722">
        <f>IF($C186="","",COUNTIFS($C$214:$C$613,$B186,$D$214:$D$613,$C186,$E$214:$E$613,"Vacant"))</f>
        <v/>
      </c>
      <c r="I186" s="723">
        <f>IF($C186="","",IFERROR($H186/$D186,0))</f>
        <v/>
      </c>
      <c r="J186" s="724">
        <f>IF($C186="","",IFERROR(AVERAGEIFS($L$214:$L$613,$X$214:$X$613,$B186&amp;"|"&amp;$C186),0))</f>
        <v/>
      </c>
      <c r="K186" s="724">
        <f>IF($C186="","",IFERROR(AVERAGEIFS($I$214:$I$613,$Y$214:$Y$613,$B186&amp;"|"&amp;$C186),0))</f>
        <v/>
      </c>
      <c r="L186" s="724">
        <f>IF($C186="","",$K186-$J186)</f>
        <v/>
      </c>
      <c r="M186" s="1003">
        <f>IF($C186="","",IFERROR($J186/$E186,0))</f>
        <v/>
      </c>
      <c r="N186" s="1003">
        <f>IF($C186="","",IFERROR($K186/$E186,0))</f>
        <v/>
      </c>
      <c r="O186" s="1003" t="n"/>
      <c r="P186" s="724">
        <f>IF($C186="","",$L186*$G186*12)</f>
        <v/>
      </c>
      <c r="Q186" s="723">
        <f>IF($C186="","",IFERROR($L186/$K186,0))</f>
        <v/>
      </c>
      <c r="R186" s="724">
        <f>IF($C186="","",IF($G186&gt;0,_xlfn.MINIFS($L$214:$L$613,$X$214:$X$613,$B186&amp;"|"&amp;$C186),IFERROR(_xlfn.MINIFS($I$214:$I$613,$Y$214:$Y$613,$B186&amp;"|"&amp;$C186),0)))</f>
        <v/>
      </c>
      <c r="S186" s="724">
        <f>IF($C186="","",IF($G186&gt;0,_xlfn.MAXIFS($L$214:$L$613,$X$214:$X$613,$B186&amp;"|"&amp;$C186),IFERROR(_xlfn.MAXIFS($I$214:$I$613,$Y$214:$Y$613,$B186&amp;"|"&amp;$C186),0)))</f>
        <v/>
      </c>
      <c r="T186" s="724">
        <f>IF($C186="","",IF($G186&gt;0,IFERROR(AVERAGEIFS($L$214:$L$613,$X$214:$X$613,$B186&amp;"|"&amp;$C186,$L$214:$L$613,"&gt;="&amp;$AA186),0),0))</f>
        <v/>
      </c>
      <c r="U186" s="724">
        <f>IF($C186="","",$T186-$J186)</f>
        <v/>
      </c>
      <c r="V186" s="724">
        <f>IF($C186="","",$U186*$G186*12)</f>
        <v/>
      </c>
      <c r="AA186" s="726">
        <f>IF($C186="","",IFERROR(_xlfn.AGGREGATE(14,6,$L$214:$L$613/($X$214:$X$613=$B186&amp;"|"&amp;$C186),MAX(1,ROUNDUP($G186*$AA$174/100,0))),0))</f>
        <v/>
      </c>
    </row>
    <row r="187" outlineLevel="1" s="923">
      <c r="A187" s="719" t="n">
        <v>11</v>
      </c>
      <c r="B187" s="720" t="n"/>
      <c r="C187" s="720" t="n"/>
      <c r="D187" s="722">
        <f>IF($C187="","",COUNTIF($Y$214:$Y$613,$B187&amp;"|"&amp;$C187))</f>
        <v/>
      </c>
      <c r="E187" s="722">
        <f>IF($C187="","",IFERROR($F187/$D187,0))</f>
        <v/>
      </c>
      <c r="F187" s="722">
        <f>IF($C187="","",SUMIFS($U$214:$U$613,$C$214:$C$613,$B187,$D$214:$D$613,$C187))</f>
        <v/>
      </c>
      <c r="G187" s="722">
        <f>IF($C187="","",COUNTIF($X$214:$X$613,$B187&amp;"|"&amp;$C187))</f>
        <v/>
      </c>
      <c r="H187" s="722">
        <f>IF($C187="","",COUNTIFS($C$214:$C$613,$B187,$D$214:$D$613,$C187,$E$214:$E$613,"Vacant"))</f>
        <v/>
      </c>
      <c r="I187" s="723">
        <f>IF($C187="","",IFERROR($H187/$D187,0))</f>
        <v/>
      </c>
      <c r="J187" s="724">
        <f>IF($C187="","",IFERROR(AVERAGEIFS($L$214:$L$613,$X$214:$X$613,$B187&amp;"|"&amp;$C187),0))</f>
        <v/>
      </c>
      <c r="K187" s="724">
        <f>IF($C187="","",IFERROR(AVERAGEIFS($I$214:$I$613,$Y$214:$Y$613,$B187&amp;"|"&amp;$C187),0))</f>
        <v/>
      </c>
      <c r="L187" s="724">
        <f>IF($C187="","",$K187-$J187)</f>
        <v/>
      </c>
      <c r="M187" s="1003">
        <f>IF($C187="","",IFERROR($J187/$E187,0))</f>
        <v/>
      </c>
      <c r="N187" s="1003">
        <f>IF($C187="","",IFERROR($K187/$E187,0))</f>
        <v/>
      </c>
      <c r="O187" s="1003" t="n"/>
      <c r="P187" s="724">
        <f>IF($C187="","",$L187*$G187*12)</f>
        <v/>
      </c>
      <c r="Q187" s="723">
        <f>IF($C187="","",IFERROR($L187/$K187,0))</f>
        <v/>
      </c>
      <c r="R187" s="724">
        <f>IF($C187="","",IF($G187&gt;0,_xlfn.MINIFS($L$214:$L$613,$X$214:$X$613,$B187&amp;"|"&amp;$C187),IFERROR(_xlfn.MINIFS($I$214:$I$613,$Y$214:$Y$613,$B187&amp;"|"&amp;$C187),0)))</f>
        <v/>
      </c>
      <c r="S187" s="724">
        <f>IF($C187="","",IF($G187&gt;0,_xlfn.MAXIFS($L$214:$L$613,$X$214:$X$613,$B187&amp;"|"&amp;$C187),IFERROR(_xlfn.MAXIFS($I$214:$I$613,$Y$214:$Y$613,$B187&amp;"|"&amp;$C187),0)))</f>
        <v/>
      </c>
      <c r="T187" s="724">
        <f>IF($C187="","",IF($G187&gt;0,IFERROR(AVERAGEIFS($L$214:$L$613,$X$214:$X$613,$B187&amp;"|"&amp;$C187,$L$214:$L$613,"&gt;="&amp;$AA187),0),0))</f>
        <v/>
      </c>
      <c r="U187" s="724">
        <f>IF($C187="","",$T187-$J187)</f>
        <v/>
      </c>
      <c r="V187" s="724">
        <f>IF($C187="","",$U187*$G187*12)</f>
        <v/>
      </c>
      <c r="AA187" s="726">
        <f>IF($C187="","",IFERROR(_xlfn.AGGREGATE(14,6,$L$214:$L$613/($X$214:$X$613=$B187&amp;"|"&amp;$C187),MAX(1,ROUNDUP($G187*$AA$174/100,0))),0))</f>
        <v/>
      </c>
    </row>
    <row r="188" outlineLevel="1" s="923">
      <c r="A188" s="719" t="n">
        <v>12</v>
      </c>
      <c r="B188" s="721" t="n"/>
      <c r="C188" s="727" t="n"/>
      <c r="D188" s="722">
        <f>IF($C188="","",COUNTIF($Y$214:$Y$613,$B188&amp;"|"&amp;$C188))</f>
        <v/>
      </c>
      <c r="E188" s="722">
        <f>IF($C188="","",IFERROR($F188/$D188,0))</f>
        <v/>
      </c>
      <c r="F188" s="722">
        <f>IF($C188="","",SUMIFS($U$214:$U$613,$C$214:$C$613,$B188,$D$214:$D$613,$C188))</f>
        <v/>
      </c>
      <c r="G188" s="722">
        <f>IF($C188="","",COUNTIF($X$214:$X$613,$B188&amp;"|"&amp;$C188))</f>
        <v/>
      </c>
      <c r="H188" s="722">
        <f>IF($C188="","",COUNTIFS($C$214:$C$613,$B188,$D$214:$D$613,$C188,$E$214:$E$613,"Vacant"))</f>
        <v/>
      </c>
      <c r="I188" s="723">
        <f>IF($C188="","",IFERROR($H188/$D188,0))</f>
        <v/>
      </c>
      <c r="J188" s="724">
        <f>IF($C188="","",IFERROR(AVERAGEIFS($L$214:$L$613,$X$214:$X$613,$B188&amp;"|"&amp;$C188),0))</f>
        <v/>
      </c>
      <c r="K188" s="724">
        <f>IF($C188="","",IFERROR(AVERAGEIFS($I$214:$I$613,$Y$214:$Y$613,$B188&amp;"|"&amp;$C188),0))</f>
        <v/>
      </c>
      <c r="L188" s="724">
        <f>IF($C188="","",$K188-$J188)</f>
        <v/>
      </c>
      <c r="M188" s="1003">
        <f>IF($C188="","",IFERROR($J188/$E188,0))</f>
        <v/>
      </c>
      <c r="N188" s="1003">
        <f>IF($C188="","",IFERROR($K188/$E188,0))</f>
        <v/>
      </c>
      <c r="O188" s="1003" t="n"/>
      <c r="P188" s="724">
        <f>IF($C188="","",$L188*$G188*12)</f>
        <v/>
      </c>
      <c r="Q188" s="723">
        <f>IF($C188="","",IFERROR($L188/$K188,0))</f>
        <v/>
      </c>
      <c r="R188" s="724">
        <f>IF($C188="","",IF($G188&gt;0,_xlfn.MINIFS($L$214:$L$613,$X$214:$X$613,$B188&amp;"|"&amp;$C188),IFERROR(_xlfn.MINIFS($I$214:$I$613,$Y$214:$Y$613,$B188&amp;"|"&amp;$C188),0)))</f>
        <v/>
      </c>
      <c r="S188" s="724">
        <f>IF($C188="","",IF($G188&gt;0,_xlfn.MAXIFS($L$214:$L$613,$X$214:$X$613,$B188&amp;"|"&amp;$C188),IFERROR(_xlfn.MAXIFS($I$214:$I$613,$Y$214:$Y$613,$B188&amp;"|"&amp;$C188),0)))</f>
        <v/>
      </c>
      <c r="T188" s="724">
        <f>IF($C188="","",IF($G188&gt;0,IFERROR(AVERAGEIFS($L$214:$L$613,$X$214:$X$613,$B188&amp;"|"&amp;$C188,$L$214:$L$613,"&gt;="&amp;$AA188),0),0))</f>
        <v/>
      </c>
      <c r="U188" s="724">
        <f>IF($C188="","",$T188-$J188)</f>
        <v/>
      </c>
      <c r="V188" s="724">
        <f>IF($C188="","",$U188*$G188*12)</f>
        <v/>
      </c>
      <c r="AA188" s="726">
        <f>IF($C188="","",IFERROR(_xlfn.AGGREGATE(14,6,$L$214:$L$613/($X$214:$X$613=$B188&amp;"|"&amp;$C188),MAX(1,ROUNDUP($G188*$AA$174/100,0))),0))</f>
        <v/>
      </c>
    </row>
    <row r="189" outlineLevel="1" s="923">
      <c r="A189" s="719" t="n">
        <v>13</v>
      </c>
      <c r="B189" s="721" t="n"/>
      <c r="C189" s="727" t="n"/>
      <c r="D189" s="722">
        <f>IF($C189="","",COUNTIF($Y$214:$Y$613,$B189&amp;"|"&amp;$C189))</f>
        <v/>
      </c>
      <c r="E189" s="722">
        <f>IF($C189="","",IFERROR($F189/$D189,0))</f>
        <v/>
      </c>
      <c r="F189" s="728">
        <f>IF($C189="","",SUMIFS($U$214:$U$613,$C$214:$C$613,$B189,$D$214:$D$613,$C189))</f>
        <v/>
      </c>
      <c r="G189" s="722">
        <f>IF($C189="","",COUNTIF($X$214:$X$613,$B189&amp;"|"&amp;$C189))</f>
        <v/>
      </c>
      <c r="H189" s="722">
        <f>IF($C189="","",COUNTIFS($C$214:$C$613,$B189,$D$214:$D$613,$C189,$E$214:$E$613,"Vacant"))</f>
        <v/>
      </c>
      <c r="I189" s="723">
        <f>IF($C189="","",IFERROR($H189/$D189,0))</f>
        <v/>
      </c>
      <c r="J189" s="724">
        <f>IF($C189="","",IFERROR(AVERAGEIFS($L$214:$L$613,$X$214:$X$613,$B189&amp;"|"&amp;$C189),0))</f>
        <v/>
      </c>
      <c r="K189" s="724">
        <f>IF($C189="","",IFERROR(AVERAGEIFS($I$214:$I$613,$Y$214:$Y$613,$B189&amp;"|"&amp;$C189),0))</f>
        <v/>
      </c>
      <c r="L189" s="724">
        <f>IF($C189="","",$K189-$J189)</f>
        <v/>
      </c>
      <c r="M189" s="1003">
        <f>IF($C189="","",IFERROR($J189/$E189,0))</f>
        <v/>
      </c>
      <c r="N189" s="1003">
        <f>IF($C189="","",IFERROR($K189/$E189,0))</f>
        <v/>
      </c>
      <c r="O189" s="1003" t="n"/>
      <c r="P189" s="724">
        <f>IF($C189="","",$L189*$G189*12)</f>
        <v/>
      </c>
      <c r="Q189" s="723">
        <f>IF($C189="","",IFERROR($L189/$K189,0))</f>
        <v/>
      </c>
      <c r="R189" s="724">
        <f>IF($C189="","",IF($G189&gt;0,_xlfn.MINIFS($L$214:$L$613,$X$214:$X$613,$B189&amp;"|"&amp;$C189),IFERROR(_xlfn.MINIFS($I$214:$I$613,$Y$214:$Y$613,$B189&amp;"|"&amp;$C189),0)))</f>
        <v/>
      </c>
      <c r="S189" s="724">
        <f>IF($C189="","",IF($G189&gt;0,_xlfn.MAXIFS($L$214:$L$613,$X$214:$X$613,$B189&amp;"|"&amp;$C189),IFERROR(_xlfn.MAXIFS($I$214:$I$613,$Y$214:$Y$613,$B189&amp;"|"&amp;$C189),0)))</f>
        <v/>
      </c>
      <c r="T189" s="724">
        <f>IF($C189="","",IF($G189&gt;0,IFERROR(AVERAGEIFS($L$214:$L$613,$X$214:$X$613,$B189&amp;"|"&amp;$C189,$L$214:$L$613,"&gt;="&amp;$AA189),0),0))</f>
        <v/>
      </c>
      <c r="U189" s="724">
        <f>IF($C189="","",$T189-$J189)</f>
        <v/>
      </c>
      <c r="V189" s="724">
        <f>IF($C189="","",$U189*$G189*12)</f>
        <v/>
      </c>
      <c r="AA189" s="726">
        <f>IF($C189="","",IFERROR(_xlfn.AGGREGATE(14,6,$L$214:$L$613/($X$214:$X$613=$B189&amp;"|"&amp;$C189),MAX(1,ROUNDUP($G189*$AA$174/100,0))),0))</f>
        <v/>
      </c>
    </row>
    <row r="190" outlineLevel="1" s="923">
      <c r="A190" s="719" t="n">
        <v>14</v>
      </c>
      <c r="B190" s="721" t="n"/>
      <c r="C190" s="727" t="n"/>
      <c r="D190" s="722">
        <f>IF($C190="","",COUNTIF($Y$214:$Y$613,$B190&amp;"|"&amp;$C190))</f>
        <v/>
      </c>
      <c r="E190" s="722">
        <f>IF($C190="","",IFERROR($F190/$D190,0))</f>
        <v/>
      </c>
      <c r="F190" s="722">
        <f>IF($C190="","",SUMIFS($U$214:$U$613,$C$214:$C$613,$B190,$D$214:$D$613,$C190))</f>
        <v/>
      </c>
      <c r="G190" s="722">
        <f>IF($C190="","",COUNTIF($X$214:$X$613,$B190&amp;"|"&amp;$C190))</f>
        <v/>
      </c>
      <c r="H190" s="722">
        <f>IF($C190="","",COUNTIFS($C$214:$C$613,$B190,$D$214:$D$613,$C190,$E$214:$E$613,"Vacant"))</f>
        <v/>
      </c>
      <c r="I190" s="723">
        <f>IF($C190="","",IFERROR($H190/$D190,0))</f>
        <v/>
      </c>
      <c r="J190" s="724">
        <f>IF($C190="","",IFERROR(AVERAGEIFS($L$214:$L$613,$X$214:$X$613,$B190&amp;"|"&amp;$C190),0))</f>
        <v/>
      </c>
      <c r="K190" s="724">
        <f>IF($C190="","",IFERROR(AVERAGEIFS($I$214:$I$613,$Y$214:$Y$613,$B190&amp;"|"&amp;$C190),0))</f>
        <v/>
      </c>
      <c r="L190" s="724">
        <f>IF($C190="","",$K190-$J190)</f>
        <v/>
      </c>
      <c r="M190" s="1003">
        <f>IF($C190="","",IFERROR($J190/$E190,0))</f>
        <v/>
      </c>
      <c r="N190" s="1003">
        <f>IF($C190="","",IFERROR($K190/$E190,0))</f>
        <v/>
      </c>
      <c r="O190" s="1003" t="n"/>
      <c r="P190" s="724">
        <f>IF($C190="","",$L190*$G190*12)</f>
        <v/>
      </c>
      <c r="Q190" s="723">
        <f>IF($C190="","",IFERROR($L190/$K190,0))</f>
        <v/>
      </c>
      <c r="R190" s="724">
        <f>IF($C190="","",IF($G190&gt;0,_xlfn.MINIFS($L$214:$L$613,$X$214:$X$613,$B190&amp;"|"&amp;$C190),IFERROR(_xlfn.MINIFS($I$214:$I$613,$Y$214:$Y$613,$B190&amp;"|"&amp;$C190),0)))</f>
        <v/>
      </c>
      <c r="S190" s="724">
        <f>IF($C190="","",IF($G190&gt;0,_xlfn.MAXIFS($L$214:$L$613,$X$214:$X$613,$B190&amp;"|"&amp;$C190),IFERROR(_xlfn.MAXIFS($I$214:$I$613,$Y$214:$Y$613,$B190&amp;"|"&amp;$C190),0)))</f>
        <v/>
      </c>
      <c r="T190" s="724">
        <f>IF($C190="","",IF($G190&gt;0,IFERROR(AVERAGEIFS($L$214:$L$613,$X$214:$X$613,$B190&amp;"|"&amp;$C190,$L$214:$L$613,"&gt;="&amp;$AA190),0),0))</f>
        <v/>
      </c>
      <c r="U190" s="724">
        <f>IF($C190="","",$T190-$J190)</f>
        <v/>
      </c>
      <c r="V190" s="724">
        <f>IF($C190="","",$U190*$G190*12)</f>
        <v/>
      </c>
      <c r="AA190" s="726">
        <f>IF($C190="","",IFERROR(_xlfn.AGGREGATE(14,6,$L$214:$L$613/($X$214:$X$613=$B190&amp;"|"&amp;$C190),MAX(1,ROUNDUP($G190*$AA$174/100,0))),0))</f>
        <v/>
      </c>
    </row>
    <row r="191" outlineLevel="1" s="923">
      <c r="A191" s="729" t="inlineStr">
        <is>
          <t>TOTAL / AVG</t>
        </is>
      </c>
      <c r="B191" s="730" t="n"/>
      <c r="C191" s="731" t="n"/>
      <c r="D191" s="730">
        <f>SUM(D177:D190)</f>
        <v/>
      </c>
      <c r="E191" s="730">
        <f>IFERROR(F191/D191,0)</f>
        <v/>
      </c>
      <c r="F191" s="730">
        <f>SUM(F177:F190)</f>
        <v/>
      </c>
      <c r="G191" s="730">
        <f>SUM(G177:G190)</f>
        <v/>
      </c>
      <c r="H191" s="730">
        <f>SUM(H177:H190)</f>
        <v/>
      </c>
      <c r="I191" s="732">
        <f>IFERROR(H191/D191,0)</f>
        <v/>
      </c>
      <c r="J191" s="733">
        <f>IFERROR(SUMPRODUCT($J$177:$J$190,$G$177:$G$190)/SUM($G$177:$G$190),0)</f>
        <v/>
      </c>
      <c r="K191" s="733">
        <f>IFERROR(SUMPRODUCT($K$177:$K$190,$D$177:$D$190)/SUM($D$177:$D$190),0)</f>
        <v/>
      </c>
      <c r="L191" s="733">
        <f>K191-J191</f>
        <v/>
      </c>
      <c r="M191" s="1004">
        <f>IFERROR(J191/E191,0)</f>
        <v/>
      </c>
      <c r="N191" s="1004">
        <f>IFERROR(K191/E191,0)</f>
        <v/>
      </c>
      <c r="O191" s="731" t="n"/>
      <c r="P191" s="733">
        <f>SUM(P177:P190)</f>
        <v/>
      </c>
      <c r="Q191" s="732">
        <f>IFERROR(L191/K191,0)</f>
        <v/>
      </c>
      <c r="R191" s="731" t="n"/>
      <c r="S191" s="731" t="n"/>
      <c r="T191" s="733">
        <f>IFERROR(SUMPRODUCT($T$177:$T$190,$G$177:$G$190)/SUM($G$177:$G$190),0)</f>
        <v/>
      </c>
      <c r="U191" s="733">
        <f>T191-J191</f>
        <v/>
      </c>
      <c r="V191" s="733">
        <f>SUM(V177:V190)</f>
        <v/>
      </c>
    </row>
    <row r="192" outlineLevel="1" s="923">
      <c r="A192" s="729" t="inlineStr">
        <is>
          <t>TOTAL (annualized)</t>
        </is>
      </c>
      <c r="B192" s="730" t="n"/>
      <c r="C192" s="731" t="n"/>
      <c r="D192" s="731" t="n"/>
      <c r="E192" s="731" t="n"/>
      <c r="F192" s="731" t="n"/>
      <c r="G192" s="731" t="n"/>
      <c r="H192" s="731" t="n"/>
      <c r="I192" s="731" t="n"/>
      <c r="J192" s="733">
        <f>J191*12</f>
        <v/>
      </c>
      <c r="K192" s="733">
        <f>K191*12</f>
        <v/>
      </c>
      <c r="L192" s="733">
        <f>L191*12</f>
        <v/>
      </c>
      <c r="M192" s="731" t="n"/>
      <c r="N192" s="731" t="n"/>
      <c r="O192" s="731" t="n"/>
      <c r="P192" s="731" t="n"/>
      <c r="Q192" s="731" t="n"/>
      <c r="R192" s="731" t="n"/>
      <c r="S192" s="731" t="n"/>
      <c r="T192" s="731" t="n"/>
      <c r="U192" s="731" t="n"/>
      <c r="V192" s="731" t="n"/>
    </row>
    <row r="193" outlineLevel="1" s="923">
      <c r="A193" s="735" t="inlineStr">
        <is>
          <t xml:space="preserve">  Beds=all units of type · In-Place=occupied/notice/respite/hospice · Avg Sched=in-place J+K · Avg Market=col I all units · LTL=Market-Sched · Achievable=avg of top-%ile in-place rents (set %ile in AA171).</t>
        </is>
      </c>
      <c r="B193" s="476" t="n"/>
    </row>
    <row r="194" outlineLevel="1" s="923">
      <c r="B194" s="476" t="n"/>
    </row>
    <row r="195" outlineLevel="1" ht="22" customHeight="1" s="923">
      <c r="A195" s="543" t="inlineStr">
        <is>
          <t>S.  CONCESSIONS AUDIT  —  Logged, parsed, and implied rate reductions</t>
        </is>
      </c>
      <c r="B195" s="543" t="n"/>
      <c r="C195" s="543" t="n"/>
      <c r="D195" s="543" t="n"/>
      <c r="E195" s="543" t="n"/>
      <c r="F195" s="543" t="n"/>
      <c r="G195" s="543" t="n"/>
      <c r="H195" s="543" t="n"/>
      <c r="I195" s="543" t="n"/>
      <c r="J195" s="543" t="n"/>
      <c r="K195" s="543" t="n"/>
      <c r="L195" s="543" t="n"/>
      <c r="M195" s="543" t="n"/>
      <c r="N195" s="543" t="n"/>
    </row>
    <row r="196" outlineLevel="1" s="923">
      <c r="A196" t="inlineStr">
        <is>
          <t xml:space="preserve">  ⓘ Three signals: Structured = entered in col AD by ops · Notes-parsed = '$X/mo con' wording in col S, now backfilled to AD · Implied = market&gt;actual with no explanation logged. Step-up/Rate-swap = need date-aware formulas. Effective Conc in col AS.</t>
        </is>
      </c>
      <c r="B196" s="476" t="n"/>
      <c r="W196">
        <f>IF(OR(S196="",S196="Notes"),"",TRIM(IFERROR(LEFT(S196,FIND(";",S196)-1),S196)))</f>
        <v/>
      </c>
      <c r="X196">
        <f>IF(AND(D196="Occupied",C196&lt;&gt;"",C196&lt;&gt;"Care Level",W196&lt;&gt;"",W196&lt;&gt;"Unit Type (base)"),C196&amp;"|"&amp;W196,"")</f>
        <v/>
      </c>
    </row>
    <row r="197" outlineLevel="1" s="923">
      <c r="A197" s="472" t="inlineStr">
        <is>
          <t>Source</t>
        </is>
      </c>
      <c r="B197" s="472" t="inlineStr">
        <is>
          <t># Residents</t>
        </is>
      </c>
      <c r="C197" s="472" t="inlineStr">
        <is>
          <t>Total Monthly</t>
        </is>
      </c>
      <c r="D197" s="472" t="inlineStr">
        <is>
          <t>Annualized</t>
        </is>
      </c>
      <c r="E197" s="472" t="inlineStr">
        <is>
          <t>% of GPR</t>
        </is>
      </c>
      <c r="F197" s="472" t="inlineStr">
        <is>
          <t>Notes</t>
        </is>
      </c>
      <c r="W197">
        <f>IF(OR(S197="",S197="Notes"),"",TRIM(IFERROR(LEFT(S197,FIND(";",S197)-1),S197)))</f>
        <v/>
      </c>
      <c r="X197">
        <f>IF(AND(D197="Occupied",C197&lt;&gt;"",C197&lt;&gt;"Care Level",W197&lt;&gt;"",W197&lt;&gt;"Unit Type (base)"),C197&amp;"|"&amp;W197,"")</f>
        <v/>
      </c>
    </row>
    <row r="198" outlineLevel="1" s="923">
      <c r="A198" t="inlineStr">
        <is>
          <t>Structured (in col AD)</t>
        </is>
      </c>
      <c r="B198" s="476">
        <f>COUNTIF($AT$214:$AT$613,"Structured")</f>
        <v/>
      </c>
      <c r="C198" s="421">
        <f>SUMIFS($AC$214:$AC$613,$AT$214:$AT$613,"Structured")</f>
        <v/>
      </c>
      <c r="D198" s="421">
        <f>C198*12</f>
        <v/>
      </c>
      <c r="E198" s="447">
        <f>IFERROR(C198/SUM($I$214:$I$613),0)</f>
        <v/>
      </c>
      <c r="F198" t="inlineStr">
        <is>
          <t>Explicit concession entries from operator</t>
        </is>
      </c>
      <c r="W198">
        <f>IF(OR(S198="",S198="Notes"),"",TRIM(IFERROR(LEFT(S198,FIND(";",S198)-1),S198)))</f>
        <v/>
      </c>
      <c r="X198">
        <f>IF(AND(D198="Occupied",C198&lt;&gt;"",C198&lt;&gt;"Care Level",W198&lt;&gt;"",W198&lt;&gt;"Unit Type (base)"),C198&amp;"|"&amp;W198,"")</f>
        <v/>
      </c>
    </row>
    <row r="199" outlineLevel="1" s="923">
      <c r="A199" t="inlineStr">
        <is>
          <t>Notes-parsed (now backfilled)</t>
        </is>
      </c>
      <c r="B199" s="476">
        <f>COUNTIF($AT$214:$AT$613,"Notes-parsed")</f>
        <v/>
      </c>
      <c r="C199" s="421">
        <f>SUMIFS($AC$214:$AC$613,$AT$214:$AT$613,"Notes-parsed")</f>
        <v/>
      </c>
      <c r="D199" s="421">
        <f>C199*12</f>
        <v/>
      </c>
      <c r="E199" s="447">
        <f>IFERROR(C199/SUM($I$214:$I$613),0)</f>
        <v/>
      </c>
      <c r="F199" s="480" t="inlineStr">
        <is>
          <t>$X/mo con' wording parsed from Notes col S and written to AD</t>
        </is>
      </c>
      <c r="W199">
        <f>IF(OR(S199="",S199="Notes"),"",TRIM(IFERROR(LEFT(S199,FIND(";",S199)-1),S199)))</f>
        <v/>
      </c>
      <c r="X199">
        <f>IF(AND(D199="Occupied",C199&lt;&gt;"",C199&lt;&gt;"Care Level",W199&lt;&gt;"",W199&lt;&gt;"Unit Type (base)"),C199&amp;"|"&amp;W199,"")</f>
        <v/>
      </c>
    </row>
    <row r="200" outlineLevel="1" s="923">
      <c r="A200" t="inlineStr">
        <is>
          <t>Implied (market−actual gap)</t>
        </is>
      </c>
      <c r="B200" s="476">
        <f>COUNTIF($AT$214:$AT$613,"Implied")</f>
        <v/>
      </c>
      <c r="C200" s="421">
        <f>-SUMPRODUCT(($AT$214:$AT$613="Implied")*($I$214:$I$613-$J$214:$J$613))</f>
        <v/>
      </c>
      <c r="D200" s="421">
        <f>C200*12</f>
        <v/>
      </c>
      <c r="E200" s="447">
        <f>IFERROR(C200/SUM($I$214:$I$613),0)</f>
        <v/>
      </c>
      <c r="F200" t="inlineStr">
        <is>
          <t>⚠ Undocumented rent reductions — likely legacy rates, downgrades, or unlogged concessions</t>
        </is>
      </c>
      <c r="W200">
        <f>IF(OR(S200="",S200="Notes"),"",TRIM(IFERROR(LEFT(S200,FIND(";",S200)-1),S200)))</f>
        <v/>
      </c>
      <c r="X200">
        <f>IF(AND(D200="Occupied",C200&lt;&gt;"",C200&lt;&gt;"Care Level",W200&lt;&gt;"",W200&lt;&gt;"Unit Type (base)"),C200&amp;"|"&amp;W200,"")</f>
        <v/>
      </c>
    </row>
    <row r="201" outlineLevel="1" s="923">
      <c r="A201" t="inlineStr">
        <is>
          <t>Step-up / Rate-swap (need formulas)</t>
        </is>
      </c>
      <c r="B201" s="476">
        <f>COUNTIF($AT$214:$AT$613,"Step-up")+COUNTIF($AT$214:$AT$613,"Rate-swap")</f>
        <v/>
      </c>
      <c r="C201" t="inlineStr">
        <is>
          <t>see notes col S</t>
        </is>
      </c>
      <c r="D201" t="inlineStr">
        <is>
          <t>see notes col S</t>
        </is>
      </c>
      <c r="F201" t="inlineStr">
        <is>
          <t>Quarterly step-ups or % rate substitutions — current effective amount depends on date</t>
        </is>
      </c>
      <c r="W201">
        <f>IF(OR(S201="",S201="Notes"),"",TRIM(IFERROR(LEFT(S201,FIND(";",S201)-1),S201)))</f>
        <v/>
      </c>
      <c r="X201">
        <f>IF(AND(D201="Occupied",C201&lt;&gt;"",C201&lt;&gt;"Care Level",W201&lt;&gt;"",W201&lt;&gt;"Unit Type (base)"),C201&amp;"|"&amp;W201,"")</f>
        <v/>
      </c>
    </row>
    <row r="202" outlineLevel="1" s="923">
      <c r="B202" s="476" t="n"/>
    </row>
    <row r="203" outlineLevel="1" s="923">
      <c r="B203" s="476" t="n"/>
    </row>
    <row r="204" outlineLevel="1" s="923">
      <c r="B204" s="476" t="n"/>
    </row>
    <row r="205" outlineLevel="1" s="923">
      <c r="B205" s="476" t="n"/>
    </row>
    <row r="206" outlineLevel="1" s="923">
      <c r="B206" s="476" t="n"/>
    </row>
    <row r="207" outlineLevel="1" s="923">
      <c r="B207" s="476" t="n"/>
    </row>
    <row r="208" outlineLevel="1" s="923">
      <c r="B208" s="476" t="n"/>
    </row>
    <row r="209" outlineLevel="1" s="923">
      <c r="B209" s="476" t="n"/>
    </row>
    <row r="210" outlineLevel="1" s="923">
      <c r="B210" s="476" t="n"/>
    </row>
    <row r="211" outlineLevel="1" s="923">
      <c r="A211" s="541" t="n"/>
      <c r="B211" s="552" t="n"/>
      <c r="C211" s="541" t="n"/>
      <c r="D211" s="541" t="n"/>
      <c r="E211" s="541" t="n"/>
      <c r="F211" s="541" t="n"/>
      <c r="G211" s="541" t="n"/>
      <c r="H211" s="541" t="n"/>
      <c r="I211" s="541" t="n"/>
      <c r="J211" s="541" t="n"/>
      <c r="K211" s="541" t="n"/>
      <c r="L211" s="541" t="n"/>
      <c r="M211" s="541" t="n"/>
      <c r="N211" s="541" t="n"/>
    </row>
    <row r="212">
      <c r="B212" s="476" t="n"/>
    </row>
    <row r="213" ht="30" customHeight="1" s="923">
      <c r="A213" s="405" t="inlineStr">
        <is>
          <t>Unit/Bed</t>
        </is>
      </c>
      <c r="B213" s="405" t="inlineStr">
        <is>
          <t>Bed</t>
        </is>
      </c>
      <c r="C213" s="473" t="inlineStr">
        <is>
          <t>Care Level</t>
        </is>
      </c>
      <c r="D213" s="473" t="inlineStr">
        <is>
          <t>Unit Type</t>
        </is>
      </c>
      <c r="E213" s="474" t="inlineStr">
        <is>
          <t>Status</t>
        </is>
      </c>
      <c r="F213" s="1005" t="inlineStr">
        <is>
          <t>Resident</t>
        </is>
      </c>
      <c r="G213" s="1005" t="inlineStr">
        <is>
          <t>Move-In Date</t>
        </is>
      </c>
      <c r="H213" s="405" t="inlineStr">
        <is>
          <t>Discharge Date</t>
        </is>
      </c>
      <c r="I213" s="405" t="inlineStr">
        <is>
          <t>Market Rate</t>
        </is>
      </c>
      <c r="J213" s="405" t="inlineStr">
        <is>
          <t>Actual Charges</t>
        </is>
      </c>
      <c r="K213" s="405" t="inlineStr">
        <is>
          <t>LOC Revenue</t>
        </is>
      </c>
      <c r="L213" s="405" t="inlineStr">
        <is>
          <t>Total Sched (Base+LOC)</t>
        </is>
      </c>
      <c r="M213" s="405" t="inlineStr">
        <is>
          <t>AR Balance</t>
        </is>
      </c>
      <c r="N213" s="405" t="inlineStr">
        <is>
          <t>Deposit</t>
        </is>
      </c>
      <c r="O213" s="405" t="inlineStr">
        <is>
          <t>0–30 Days</t>
        </is>
      </c>
      <c r="P213" s="405" t="inlineStr">
        <is>
          <t>31–60</t>
        </is>
      </c>
      <c r="Q213" s="405" t="inlineStr">
        <is>
          <t>61–90</t>
        </is>
      </c>
      <c r="R213" s="405" t="inlineStr">
        <is>
          <t>90+</t>
        </is>
      </c>
      <c r="S213" s="405" t="inlineStr">
        <is>
          <t>Payer Type</t>
        </is>
      </c>
      <c r="T213" s="405" t="inlineStr">
        <is>
          <t>Notes</t>
        </is>
      </c>
      <c r="U213" s="471" t="inlineStr">
        <is>
          <t>Sq Ft (est)</t>
        </is>
      </c>
      <c r="V213" s="471" t="inlineStr">
        <is>
          <t>$/SqFt/Mo</t>
        </is>
      </c>
      <c r="W213" s="471" t="inlineStr">
        <is>
          <t>$/SqFt/Yr</t>
        </is>
      </c>
      <c r="X213" t="inlineStr">
        <is>
          <t>Care|UnitType</t>
        </is>
      </c>
      <c r="Y213" s="471" t="inlineStr">
        <is>
          <t>Care|Unit (all)</t>
        </is>
      </c>
      <c r="Z213" s="471" t="inlineStr">
        <is>
          <t>_key</t>
        </is>
      </c>
      <c r="AA213" t="inlineStr">
        <is>
          <t>Mkt-Actual $</t>
        </is>
      </c>
      <c r="AB213" t="inlineStr">
        <is>
          <t>Mkt-Actual %</t>
        </is>
      </c>
      <c r="AC213" s="472" t="inlineStr">
        <is>
          <t>Concession $</t>
        </is>
      </c>
      <c r="AD213" s="472" t="inlineStr">
        <is>
          <t>Concession End</t>
        </is>
      </c>
      <c r="AE213" s="472" t="inlineStr">
        <is>
          <t>Care Level $</t>
        </is>
      </c>
      <c r="AF213" s="472" t="inlineStr">
        <is>
          <t>Med Mgmt $</t>
        </is>
      </c>
      <c r="AG213" s="472" t="inlineStr">
        <is>
          <t>Pharmacy $</t>
        </is>
      </c>
      <c r="AH213" s="472" t="inlineStr">
        <is>
          <t>Other LOC $</t>
        </is>
      </c>
      <c r="AI213" s="472" t="inlineStr">
        <is>
          <t>2nd Person $</t>
        </is>
      </c>
      <c r="AJ213" s="472" t="inlineStr">
        <is>
          <t>Meal Plan $</t>
        </is>
      </c>
      <c r="AK213" s="472" t="inlineStr">
        <is>
          <t>Scooter $</t>
        </is>
      </c>
      <c r="AL213" s="472" t="inlineStr">
        <is>
          <t>Housekeeping $</t>
        </is>
      </c>
      <c r="AM213" s="472" t="inlineStr">
        <is>
          <t>Laundry $</t>
        </is>
      </c>
      <c r="AN213" s="472" t="inlineStr">
        <is>
          <t>Pet $</t>
        </is>
      </c>
      <c r="AO213" s="481" t="inlineStr">
        <is>
          <t>Care Level Tier</t>
        </is>
      </c>
      <c r="AP213" s="482" t="inlineStr">
        <is>
          <t>Total Ancillary $</t>
        </is>
      </c>
      <c r="AQ213" s="481" t="inlineStr">
        <is>
          <t>Preleased Date</t>
        </is>
      </c>
      <c r="AR213" s="472" t="inlineStr">
        <is>
          <t>ACH</t>
        </is>
      </c>
      <c r="AS213" s="472" t="inlineStr">
        <is>
          <t>Market PSF</t>
        </is>
      </c>
      <c r="AT213" s="472" t="inlineStr">
        <is>
          <t>Conc Source</t>
        </is>
      </c>
      <c r="AU213" s="472" t="inlineStr">
        <is>
          <t>Effective Conc $</t>
        </is>
      </c>
    </row>
    <row r="214" outlineLevel="1" s="923">
      <c r="G214" s="462" t="n"/>
      <c r="H214" s="462" t="n"/>
      <c r="I214" s="421" t="n"/>
      <c r="J214" s="421" t="n"/>
      <c r="K214" s="421">
        <f>IFERROR(IF(A214="","",N(AE214)+N(AF214)+N(AG214)+N(AH214)),0)</f>
        <v/>
      </c>
      <c r="L214" s="421">
        <f>IFERROR(IF(A214="","",N(J214)+N(K214)),0)</f>
        <v/>
      </c>
      <c r="M214" s="421" t="n"/>
      <c r="N214" s="421" t="n"/>
      <c r="O214" s="421" t="n"/>
      <c r="P214" s="421" t="n"/>
      <c r="Q214" s="421" t="n"/>
      <c r="R214" s="421" t="n"/>
      <c r="U214" s="476" t="n"/>
      <c r="V214" s="1006">
        <f>IFERROR(IF(OR(A214="",U214="",U214=0,J214=""),"",J214/U214),"")</f>
        <v/>
      </c>
      <c r="W214" s="1006">
        <f>IFERROR(IF(V214="","",V214*12),"")</f>
        <v/>
      </c>
      <c r="X214">
        <f>IF(AND(E214&lt;&gt;"",E214&lt;&gt;"Vacant",E214&lt;&gt;"Reserved",C214&lt;&gt;"",D214&lt;&gt;""),C214&amp;"|"&amp;D214,"")</f>
        <v/>
      </c>
      <c r="Y214">
        <f>IF(AND(C214&lt;&gt;"",D214&lt;&gt;""),C214&amp;"|"&amp;D214,"")</f>
        <v/>
      </c>
      <c r="AA214" s="421">
        <f>IFERROR(IF(OR(A214="",I214="",J214=""),"",I214-J214),"")</f>
        <v/>
      </c>
      <c r="AB214" s="479">
        <f>IFERROR(IF(OR(AA214="",I214=0,I214=""),"",AA214/I214),"")</f>
        <v/>
      </c>
      <c r="AC214" s="421" t="n"/>
      <c r="AD214" s="462" t="n"/>
      <c r="AE214" s="421" t="n"/>
      <c r="AF214" s="421" t="n"/>
      <c r="AG214" s="421" t="n"/>
      <c r="AH214" s="421" t="n"/>
      <c r="AI214" s="421" t="n"/>
      <c r="AJ214" s="421" t="n"/>
      <c r="AK214" s="421" t="n"/>
      <c r="AL214" s="421" t="n"/>
      <c r="AM214" s="421" t="n"/>
      <c r="AN214" s="421" t="n"/>
      <c r="AO214" s="483" t="n"/>
      <c r="AP214" s="1007">
        <f>SUM(AJ214:AN214)</f>
        <v/>
      </c>
      <c r="AQ214" s="485" t="n"/>
      <c r="AS214" s="1006" t="n"/>
      <c r="AT214">
        <f t="array" ref="AT214">IF(E214&lt;&gt;"Occupied","",_xlfn.IFS(AND(ISNUMBER(AC214),AC214&lt;&gt;0),"Structured",ISNUMBER(SEARCH("/mo con",T214)),"Notes-parsed",ISNUMBER(SEARCH("step",T214)),"Step-up",ISNUMBER(SEARCH("swap",T214)),"Rate-swap",AND(ISNUMBER(I214),ISNUMBER(J214),I214&gt;J214),"Implied",TRUE,""))</f>
        <v/>
      </c>
      <c r="AU214" s="421" t="n"/>
    </row>
    <row r="215" outlineLevel="1" s="923">
      <c r="G215" s="462" t="n"/>
      <c r="H215" s="462" t="n"/>
      <c r="I215" s="421" t="n"/>
      <c r="J215" s="421" t="n"/>
      <c r="K215" s="421">
        <f>IFERROR(IF(A215="","",N(AE215)+N(AF215)+N(AG215)+N(AH215)),0)</f>
        <v/>
      </c>
      <c r="L215" s="421">
        <f>IFERROR(IF(A215="","",N(J215)+N(K215)),0)</f>
        <v/>
      </c>
      <c r="M215" s="421" t="n"/>
      <c r="N215" s="421" t="n"/>
      <c r="O215" s="421" t="n"/>
      <c r="P215" s="421" t="n"/>
      <c r="Q215" s="421" t="n"/>
      <c r="R215" s="421" t="n"/>
      <c r="U215" s="476" t="n"/>
      <c r="V215" s="1006">
        <f>IFERROR(IF(OR(A215="",U215="",U215=0,J215=""),"",J215/U215),"")</f>
        <v/>
      </c>
      <c r="W215" s="1006">
        <f>IFERROR(IF(V215="","",V215*12),"")</f>
        <v/>
      </c>
      <c r="X215">
        <f>IF(AND(E215&lt;&gt;"",E215&lt;&gt;"Vacant",E215&lt;&gt;"Reserved",C215&lt;&gt;"",D215&lt;&gt;""),C215&amp;"|"&amp;D215,"")</f>
        <v/>
      </c>
      <c r="Y215">
        <f>IF(AND(C215&lt;&gt;"",D215&lt;&gt;""),C215&amp;"|"&amp;D215,"")</f>
        <v/>
      </c>
      <c r="AA215" s="421">
        <f>IFERROR(IF(OR(A215="",I215="",J215=""),"",I215-J215),"")</f>
        <v/>
      </c>
      <c r="AB215" s="479">
        <f>IFERROR(IF(OR(AA215="",I215=0,I215=""),"",AA215/I215),"")</f>
        <v/>
      </c>
      <c r="AC215" s="421" t="n"/>
      <c r="AD215" s="462" t="n"/>
      <c r="AE215" s="421" t="n"/>
      <c r="AF215" s="421" t="n"/>
      <c r="AG215" s="421" t="n"/>
      <c r="AH215" s="421" t="n"/>
      <c r="AI215" s="421" t="n"/>
      <c r="AJ215" s="421" t="n"/>
      <c r="AK215" s="421" t="n"/>
      <c r="AL215" s="421" t="n"/>
      <c r="AM215" s="421" t="n"/>
      <c r="AN215" s="421" t="n"/>
      <c r="AO215" s="483" t="n"/>
      <c r="AP215" s="1007">
        <f>SUM(AJ215:AN215)</f>
        <v/>
      </c>
      <c r="AQ215" s="485" t="n"/>
      <c r="AS215" s="1006" t="n"/>
      <c r="AT215">
        <f t="array" ref="AT215">IF(E215&lt;&gt;"Occupied","",_xlfn.IFS(AND(ISNUMBER(AC215),AC215&lt;&gt;0),"Structured",ISNUMBER(SEARCH("/mo con",T215)),"Notes-parsed",ISNUMBER(SEARCH("step",T215)),"Step-up",ISNUMBER(SEARCH("swap",T215)),"Rate-swap",AND(ISNUMBER(I215),ISNUMBER(J215),I215&gt;J215),"Implied",TRUE,""))</f>
        <v/>
      </c>
      <c r="AU215" s="421" t="n"/>
    </row>
    <row r="216" outlineLevel="1" s="923">
      <c r="G216" s="462" t="n"/>
      <c r="H216" s="462" t="n"/>
      <c r="I216" s="421" t="n"/>
      <c r="J216" s="421" t="n"/>
      <c r="K216" s="421">
        <f>IFERROR(IF(A216="","",N(AE216)+N(AF216)+N(AG216)+N(AH216)),0)</f>
        <v/>
      </c>
      <c r="L216" s="421">
        <f>IFERROR(IF(A216="","",N(J216)+N(K216)),0)</f>
        <v/>
      </c>
      <c r="M216" s="421" t="n"/>
      <c r="N216" s="421" t="n"/>
      <c r="O216" s="421" t="n"/>
      <c r="P216" s="421" t="n"/>
      <c r="Q216" s="421" t="n"/>
      <c r="R216" s="421" t="n"/>
      <c r="U216" s="476" t="n"/>
      <c r="V216" s="1006">
        <f>IFERROR(IF(OR(A216="",U216="",U216=0,J216=""),"",J216/U216),"")</f>
        <v/>
      </c>
      <c r="W216" s="1006">
        <f>IFERROR(IF(V216="","",V216*12),"")</f>
        <v/>
      </c>
      <c r="X216">
        <f>IF(AND(E216&lt;&gt;"",E216&lt;&gt;"Vacant",E216&lt;&gt;"Reserved",C216&lt;&gt;"",D216&lt;&gt;""),C216&amp;"|"&amp;D216,"")</f>
        <v/>
      </c>
      <c r="Y216">
        <f>IF(AND(C216&lt;&gt;"",D216&lt;&gt;""),C216&amp;"|"&amp;D216,"")</f>
        <v/>
      </c>
      <c r="AA216" s="421">
        <f>IFERROR(IF(OR(A216="",I216="",J216=""),"",I216-J216),"")</f>
        <v/>
      </c>
      <c r="AB216" s="479">
        <f>IFERROR(IF(OR(AA216="",I216=0,I216=""),"",AA216/I216),"")</f>
        <v/>
      </c>
      <c r="AC216" s="421" t="n"/>
      <c r="AD216" s="462" t="n"/>
      <c r="AE216" s="421" t="n"/>
      <c r="AF216" s="421" t="n"/>
      <c r="AG216" s="421" t="n"/>
      <c r="AH216" s="421" t="n"/>
      <c r="AI216" s="421" t="n"/>
      <c r="AJ216" s="421" t="n"/>
      <c r="AK216" s="421" t="n"/>
      <c r="AL216" s="421" t="n"/>
      <c r="AM216" s="421" t="n"/>
      <c r="AN216" s="421" t="n"/>
      <c r="AO216" s="483" t="n"/>
      <c r="AP216" s="1007">
        <f>SUM(AJ216:AN216)</f>
        <v/>
      </c>
      <c r="AQ216" s="485" t="n"/>
      <c r="AS216" s="1006" t="n"/>
      <c r="AT216">
        <f t="array" ref="AT216">IF(E216&lt;&gt;"Occupied","",_xlfn.IFS(AND(ISNUMBER(AC216),AC216&lt;&gt;0),"Structured",ISNUMBER(SEARCH("/mo con",T216)),"Notes-parsed",ISNUMBER(SEARCH("step",T216)),"Step-up",ISNUMBER(SEARCH("swap",T216)),"Rate-swap",AND(ISNUMBER(I216),ISNUMBER(J216),I216&gt;J216),"Implied",TRUE,""))</f>
        <v/>
      </c>
      <c r="AU216" s="421" t="n"/>
    </row>
    <row r="217" outlineLevel="1" s="923">
      <c r="G217" s="462" t="n"/>
      <c r="H217" s="462" t="n"/>
      <c r="I217" s="421" t="n"/>
      <c r="J217" s="421" t="n"/>
      <c r="K217" s="421">
        <f>IFERROR(IF(A217="","",N(AE217)+N(AF217)+N(AG217)+N(AH217)),0)</f>
        <v/>
      </c>
      <c r="L217" s="421">
        <f>IFERROR(IF(A217="","",N(J217)+N(K217)),0)</f>
        <v/>
      </c>
      <c r="M217" s="421" t="n"/>
      <c r="N217" s="421" t="n"/>
      <c r="O217" s="421" t="n"/>
      <c r="P217" s="421" t="n"/>
      <c r="Q217" s="421" t="n"/>
      <c r="R217" s="421" t="n"/>
      <c r="U217" s="476" t="n"/>
      <c r="V217" s="1006">
        <f>IFERROR(IF(OR(A217="",U217="",U217=0,J217=""),"",J217/U217),"")</f>
        <v/>
      </c>
      <c r="W217" s="1006">
        <f>IFERROR(IF(V217="","",V217*12),"")</f>
        <v/>
      </c>
      <c r="X217">
        <f>IF(AND(E217&lt;&gt;"",E217&lt;&gt;"Vacant",E217&lt;&gt;"Reserved",C217&lt;&gt;"",D217&lt;&gt;""),C217&amp;"|"&amp;D217,"")</f>
        <v/>
      </c>
      <c r="Y217">
        <f>IF(AND(C217&lt;&gt;"",D217&lt;&gt;""),C217&amp;"|"&amp;D217,"")</f>
        <v/>
      </c>
      <c r="AA217" s="421">
        <f>IFERROR(IF(OR(A217="",I217="",J217=""),"",I217-J217),"")</f>
        <v/>
      </c>
      <c r="AB217" s="479">
        <f>IFERROR(IF(OR(AA217="",I217=0,I217=""),"",AA217/I217),"")</f>
        <v/>
      </c>
      <c r="AC217" s="421" t="n"/>
      <c r="AD217" s="462" t="n"/>
      <c r="AE217" s="421" t="n"/>
      <c r="AF217" s="421" t="n"/>
      <c r="AG217" s="421" t="n"/>
      <c r="AH217" s="421" t="n"/>
      <c r="AI217" s="421" t="n"/>
      <c r="AJ217" s="421" t="n"/>
      <c r="AK217" s="421" t="n"/>
      <c r="AL217" s="421" t="n"/>
      <c r="AM217" s="421" t="n"/>
      <c r="AN217" s="421" t="n"/>
      <c r="AO217" s="483" t="n"/>
      <c r="AP217" s="1007">
        <f>SUM(AJ217:AN217)</f>
        <v/>
      </c>
      <c r="AQ217" s="485" t="n"/>
      <c r="AS217" s="1006" t="n"/>
      <c r="AT217">
        <f t="array" ref="AT217">IF(E217&lt;&gt;"Occupied","",_xlfn.IFS(AND(ISNUMBER(AC217),AC217&lt;&gt;0),"Structured",ISNUMBER(SEARCH("/mo con",T217)),"Notes-parsed",ISNUMBER(SEARCH("step",T217)),"Step-up",ISNUMBER(SEARCH("swap",T217)),"Rate-swap",AND(ISNUMBER(I217),ISNUMBER(J217),I217&gt;J217),"Implied",TRUE,""))</f>
        <v/>
      </c>
      <c r="AU217" s="421" t="n"/>
    </row>
    <row r="218" outlineLevel="1" s="923">
      <c r="G218" s="462" t="n"/>
      <c r="H218" s="462" t="n"/>
      <c r="I218" s="421" t="n"/>
      <c r="J218" s="421" t="n"/>
      <c r="K218" s="421">
        <f>IFERROR(IF(A218="","",N(AE218)+N(AF218)+N(AG218)+N(AH218)),0)</f>
        <v/>
      </c>
      <c r="L218" s="421">
        <f>IFERROR(IF(A218="","",N(J218)+N(K218)),0)</f>
        <v/>
      </c>
      <c r="M218" s="421" t="n"/>
      <c r="N218" s="421" t="n"/>
      <c r="O218" s="421" t="n"/>
      <c r="P218" s="421" t="n"/>
      <c r="Q218" s="421" t="n"/>
      <c r="R218" s="421" t="n"/>
      <c r="U218" s="476" t="n"/>
      <c r="V218" s="1006">
        <f>IFERROR(IF(OR(A218="",U218="",U218=0,J218=""),"",J218/U218),"")</f>
        <v/>
      </c>
      <c r="W218" s="1006">
        <f>IFERROR(IF(V218="","",V218*12),"")</f>
        <v/>
      </c>
      <c r="X218">
        <f>IF(AND(E218&lt;&gt;"",E218&lt;&gt;"Vacant",E218&lt;&gt;"Reserved",C218&lt;&gt;"",D218&lt;&gt;""),C218&amp;"|"&amp;D218,"")</f>
        <v/>
      </c>
      <c r="Y218">
        <f>IF(AND(C218&lt;&gt;"",D218&lt;&gt;""),C218&amp;"|"&amp;D218,"")</f>
        <v/>
      </c>
      <c r="AA218" s="421">
        <f>IFERROR(IF(OR(A218="",I218="",J218=""),"",I218-J218),"")</f>
        <v/>
      </c>
      <c r="AB218" s="479">
        <f>IFERROR(IF(OR(AA218="",I218=0,I218=""),"",AA218/I218),"")</f>
        <v/>
      </c>
      <c r="AC218" s="421" t="n"/>
      <c r="AD218" s="462" t="n"/>
      <c r="AE218" s="421" t="n"/>
      <c r="AF218" s="421" t="n"/>
      <c r="AG218" s="421" t="n"/>
      <c r="AH218" s="421" t="n"/>
      <c r="AI218" s="421" t="n"/>
      <c r="AJ218" s="421" t="n"/>
      <c r="AK218" s="421" t="n"/>
      <c r="AL218" s="421" t="n"/>
      <c r="AM218" s="421" t="n"/>
      <c r="AN218" s="421" t="n"/>
      <c r="AO218" s="483" t="n"/>
      <c r="AP218" s="1007">
        <f>SUM(AJ218:AN218)</f>
        <v/>
      </c>
      <c r="AQ218" s="485" t="n"/>
      <c r="AS218" s="1006" t="n"/>
      <c r="AT218">
        <f t="array" ref="AT218">IF(E218&lt;&gt;"Occupied","",_xlfn.IFS(AND(ISNUMBER(AC218),AC218&lt;&gt;0),"Structured",ISNUMBER(SEARCH("/mo con",T218)),"Notes-parsed",ISNUMBER(SEARCH("step",T218)),"Step-up",ISNUMBER(SEARCH("swap",T218)),"Rate-swap",AND(ISNUMBER(I218),ISNUMBER(J218),I218&gt;J218),"Implied",TRUE,""))</f>
        <v/>
      </c>
      <c r="AU218" s="421" t="n"/>
    </row>
    <row r="219" outlineLevel="1" s="923">
      <c r="G219" s="462" t="n"/>
      <c r="H219" s="462" t="n"/>
      <c r="I219" s="421" t="n"/>
      <c r="J219" s="421" t="n"/>
      <c r="K219" s="421">
        <f>IFERROR(IF(A219="","",N(AE219)+N(AF219)+N(AG219)+N(AH219)),0)</f>
        <v/>
      </c>
      <c r="L219" s="421">
        <f>IFERROR(IF(A219="","",N(J219)+N(K219)),0)</f>
        <v/>
      </c>
      <c r="M219" s="421" t="n"/>
      <c r="N219" s="421" t="n"/>
      <c r="O219" s="421" t="n"/>
      <c r="P219" s="421" t="n"/>
      <c r="Q219" s="421" t="n"/>
      <c r="R219" s="421" t="n"/>
      <c r="U219" s="476" t="n"/>
      <c r="V219" s="1006">
        <f>IFERROR(IF(OR(A219="",U219="",U219=0,J219=""),"",J219/U219),"")</f>
        <v/>
      </c>
      <c r="W219" s="1006">
        <f>IFERROR(IF(V219="","",V219*12),"")</f>
        <v/>
      </c>
      <c r="X219">
        <f>IF(AND(E219&lt;&gt;"",E219&lt;&gt;"Vacant",E219&lt;&gt;"Reserved",C219&lt;&gt;"",D219&lt;&gt;""),C219&amp;"|"&amp;D219,"")</f>
        <v/>
      </c>
      <c r="Y219">
        <f>IF(AND(C219&lt;&gt;"",D219&lt;&gt;""),C219&amp;"|"&amp;D219,"")</f>
        <v/>
      </c>
      <c r="AA219" s="421">
        <f>IFERROR(IF(OR(A219="",I219="",J219=""),"",I219-J219),"")</f>
        <v/>
      </c>
      <c r="AB219" s="479">
        <f>IFERROR(IF(OR(AA219="",I219=0,I219=""),"",AA219/I219),"")</f>
        <v/>
      </c>
      <c r="AC219" s="421" t="n"/>
      <c r="AD219" s="462" t="n"/>
      <c r="AE219" s="421" t="n"/>
      <c r="AF219" s="421" t="n"/>
      <c r="AG219" s="421" t="n"/>
      <c r="AH219" s="421" t="n"/>
      <c r="AI219" s="421" t="n"/>
      <c r="AJ219" s="421" t="n"/>
      <c r="AK219" s="421" t="n"/>
      <c r="AL219" s="421" t="n"/>
      <c r="AM219" s="421" t="n"/>
      <c r="AN219" s="421" t="n"/>
      <c r="AO219" s="483" t="n"/>
      <c r="AP219" s="1007">
        <f>SUM(AJ219:AN219)</f>
        <v/>
      </c>
      <c r="AQ219" s="485" t="n"/>
      <c r="AS219" s="1006" t="n"/>
      <c r="AT219">
        <f t="array" ref="AT219">IF(E219&lt;&gt;"Occupied","",_xlfn.IFS(AND(ISNUMBER(AC219),AC219&lt;&gt;0),"Structured",ISNUMBER(SEARCH("/mo con",T219)),"Notes-parsed",ISNUMBER(SEARCH("step",T219)),"Step-up",ISNUMBER(SEARCH("swap",T219)),"Rate-swap",AND(ISNUMBER(I219),ISNUMBER(J219),I219&gt;J219),"Implied",TRUE,""))</f>
        <v/>
      </c>
      <c r="AU219" s="421" t="n"/>
    </row>
    <row r="220" outlineLevel="1" s="923">
      <c r="G220" s="462" t="n"/>
      <c r="H220" s="462" t="n"/>
      <c r="I220" s="421" t="n"/>
      <c r="J220" s="421" t="n"/>
      <c r="K220" s="421">
        <f>IFERROR(IF(A220="","",N(AE220)+N(AF220)+N(AG220)+N(AH220)),0)</f>
        <v/>
      </c>
      <c r="L220" s="421">
        <f>IFERROR(IF(A220="","",N(J220)+N(K220)),0)</f>
        <v/>
      </c>
      <c r="M220" s="421" t="n"/>
      <c r="N220" s="421" t="n"/>
      <c r="O220" s="421" t="n"/>
      <c r="P220" s="421" t="n"/>
      <c r="Q220" s="421" t="n"/>
      <c r="R220" s="421" t="n"/>
      <c r="U220" s="476" t="n"/>
      <c r="V220" s="1006">
        <f>IFERROR(IF(OR(A220="",U220="",U220=0,J220=""),"",J220/U220),"")</f>
        <v/>
      </c>
      <c r="W220" s="1006">
        <f>IFERROR(IF(V220="","",V220*12),"")</f>
        <v/>
      </c>
      <c r="X220">
        <f>IF(AND(E220&lt;&gt;"",E220&lt;&gt;"Vacant",E220&lt;&gt;"Reserved",C220&lt;&gt;"",D220&lt;&gt;""),C220&amp;"|"&amp;D220,"")</f>
        <v/>
      </c>
      <c r="Y220">
        <f>IF(AND(C220&lt;&gt;"",D220&lt;&gt;""),C220&amp;"|"&amp;D220,"")</f>
        <v/>
      </c>
      <c r="AA220" s="421">
        <f>IFERROR(IF(OR(A220="",I220="",J220=""),"",I220-J220),"")</f>
        <v/>
      </c>
      <c r="AB220" s="479">
        <f>IFERROR(IF(OR(AA220="",I220=0,I220=""),"",AA220/I220),"")</f>
        <v/>
      </c>
      <c r="AC220" s="421" t="n"/>
      <c r="AD220" s="462" t="n"/>
      <c r="AE220" s="421" t="n"/>
      <c r="AF220" s="421" t="n"/>
      <c r="AG220" s="421" t="n"/>
      <c r="AH220" s="421" t="n"/>
      <c r="AI220" s="421" t="n"/>
      <c r="AJ220" s="421" t="n"/>
      <c r="AK220" s="421" t="n"/>
      <c r="AL220" s="421" t="n"/>
      <c r="AM220" s="421" t="n"/>
      <c r="AN220" s="421" t="n"/>
      <c r="AO220" s="483" t="n"/>
      <c r="AP220" s="1007">
        <f>SUM(AJ220:AN220)</f>
        <v/>
      </c>
      <c r="AQ220" s="485" t="n"/>
      <c r="AS220" s="1006" t="n"/>
      <c r="AT220">
        <f t="array" ref="AT220">IF(E220&lt;&gt;"Occupied","",_xlfn.IFS(AND(ISNUMBER(AC220),AC220&lt;&gt;0),"Structured",ISNUMBER(SEARCH("/mo con",T220)),"Notes-parsed",ISNUMBER(SEARCH("step",T220)),"Step-up",ISNUMBER(SEARCH("swap",T220)),"Rate-swap",AND(ISNUMBER(I220),ISNUMBER(J220),I220&gt;J220),"Implied",TRUE,""))</f>
        <v/>
      </c>
      <c r="AU220" s="421" t="n"/>
    </row>
    <row r="221" outlineLevel="1" s="923">
      <c r="G221" s="462" t="n"/>
      <c r="H221" s="462" t="n"/>
      <c r="I221" s="421" t="n"/>
      <c r="J221" s="421" t="n"/>
      <c r="K221" s="421">
        <f>IFERROR(IF(A221="","",N(AE221)+N(AF221)+N(AG221)+N(AH221)),0)</f>
        <v/>
      </c>
      <c r="L221" s="421">
        <f>IFERROR(IF(A221="","",N(J221)+N(K221)),0)</f>
        <v/>
      </c>
      <c r="M221" s="421" t="n"/>
      <c r="N221" s="421" t="n"/>
      <c r="O221" s="421" t="n"/>
      <c r="P221" s="421" t="n"/>
      <c r="Q221" s="421" t="n"/>
      <c r="R221" s="421" t="n"/>
      <c r="U221" s="476" t="n"/>
      <c r="V221" s="1006">
        <f>IFERROR(IF(OR(A221="",U221="",U221=0,J221=""),"",J221/U221),"")</f>
        <v/>
      </c>
      <c r="W221" s="1006">
        <f>IFERROR(IF(V221="","",V221*12),"")</f>
        <v/>
      </c>
      <c r="X221">
        <f>IF(AND(E221&lt;&gt;"",E221&lt;&gt;"Vacant",E221&lt;&gt;"Reserved",C221&lt;&gt;"",D221&lt;&gt;""),C221&amp;"|"&amp;D221,"")</f>
        <v/>
      </c>
      <c r="Y221">
        <f>IF(AND(C221&lt;&gt;"",D221&lt;&gt;""),C221&amp;"|"&amp;D221,"")</f>
        <v/>
      </c>
      <c r="AA221" s="421">
        <f>IFERROR(IF(OR(A221="",I221="",J221=""),"",I221-J221),"")</f>
        <v/>
      </c>
      <c r="AB221" s="479">
        <f>IFERROR(IF(OR(AA221="",I221=0,I221=""),"",AA221/I221),"")</f>
        <v/>
      </c>
      <c r="AC221" s="421" t="n"/>
      <c r="AD221" s="462" t="n"/>
      <c r="AE221" s="421" t="n"/>
      <c r="AF221" s="421" t="n"/>
      <c r="AG221" s="421" t="n"/>
      <c r="AH221" s="421" t="n"/>
      <c r="AI221" s="421" t="n"/>
      <c r="AJ221" s="421" t="n"/>
      <c r="AK221" s="421" t="n"/>
      <c r="AL221" s="421" t="n"/>
      <c r="AM221" s="421" t="n"/>
      <c r="AN221" s="421" t="n"/>
      <c r="AO221" s="483" t="n"/>
      <c r="AP221" s="1007">
        <f>SUM(AJ221:AN221)</f>
        <v/>
      </c>
      <c r="AQ221" s="485" t="n"/>
      <c r="AS221" s="1006" t="n"/>
      <c r="AT221">
        <f t="array" ref="AT221">IF(E221&lt;&gt;"Occupied","",_xlfn.IFS(AND(ISNUMBER(AC221),AC221&lt;&gt;0),"Structured",ISNUMBER(SEARCH("/mo con",T221)),"Notes-parsed",ISNUMBER(SEARCH("step",T221)),"Step-up",ISNUMBER(SEARCH("swap",T221)),"Rate-swap",AND(ISNUMBER(I221),ISNUMBER(J221),I221&gt;J221),"Implied",TRUE,""))</f>
        <v/>
      </c>
      <c r="AU221" s="421" t="n"/>
    </row>
    <row r="222" outlineLevel="1" s="923">
      <c r="G222" s="462" t="n"/>
      <c r="H222" s="462" t="n"/>
      <c r="I222" s="421" t="n"/>
      <c r="J222" s="421" t="n"/>
      <c r="K222" s="421">
        <f>IFERROR(IF(A222="","",N(AE222)+N(AF222)+N(AG222)+N(AH222)),0)</f>
        <v/>
      </c>
      <c r="L222" s="421">
        <f>IFERROR(IF(A222="","",N(J222)+N(K222)),0)</f>
        <v/>
      </c>
      <c r="M222" s="421" t="n"/>
      <c r="N222" s="421" t="n"/>
      <c r="O222" s="421" t="n"/>
      <c r="P222" s="421" t="n"/>
      <c r="Q222" s="421" t="n"/>
      <c r="R222" s="421" t="n"/>
      <c r="U222" s="476" t="n"/>
      <c r="V222" s="1006">
        <f>IFERROR(IF(OR(A222="",U222="",U222=0,J222=""),"",J222/U222),"")</f>
        <v/>
      </c>
      <c r="W222" s="1006">
        <f>IFERROR(IF(V222="","",V222*12),"")</f>
        <v/>
      </c>
      <c r="X222">
        <f>IF(AND(E222&lt;&gt;"",E222&lt;&gt;"Vacant",E222&lt;&gt;"Reserved",C222&lt;&gt;"",D222&lt;&gt;""),C222&amp;"|"&amp;D222,"")</f>
        <v/>
      </c>
      <c r="Y222">
        <f>IF(AND(C222&lt;&gt;"",D222&lt;&gt;""),C222&amp;"|"&amp;D222,"")</f>
        <v/>
      </c>
      <c r="AA222" s="421">
        <f>IFERROR(IF(OR(A222="",I222="",J222=""),"",I222-J222),"")</f>
        <v/>
      </c>
      <c r="AB222" s="479">
        <f>IFERROR(IF(OR(AA222="",I222=0,I222=""),"",AA222/I222),"")</f>
        <v/>
      </c>
      <c r="AC222" s="421" t="n"/>
      <c r="AD222" s="462" t="n"/>
      <c r="AE222" s="421" t="n"/>
      <c r="AF222" s="421" t="n"/>
      <c r="AG222" s="421" t="n"/>
      <c r="AH222" s="421" t="n"/>
      <c r="AI222" s="421" t="n"/>
      <c r="AJ222" s="421" t="n"/>
      <c r="AK222" s="421" t="n"/>
      <c r="AL222" s="421" t="n"/>
      <c r="AM222" s="421" t="n"/>
      <c r="AN222" s="421" t="n"/>
      <c r="AO222" s="483" t="n"/>
      <c r="AP222" s="1007">
        <f>SUM(AJ222:AN222)</f>
        <v/>
      </c>
      <c r="AQ222" s="485" t="n"/>
      <c r="AS222" s="1006" t="n"/>
      <c r="AT222">
        <f t="array" ref="AT222">IF(E222&lt;&gt;"Occupied","",_xlfn.IFS(AND(ISNUMBER(AC222),AC222&lt;&gt;0),"Structured",ISNUMBER(SEARCH("/mo con",T222)),"Notes-parsed",ISNUMBER(SEARCH("step",T222)),"Step-up",ISNUMBER(SEARCH("swap",T222)),"Rate-swap",AND(ISNUMBER(I222),ISNUMBER(J222),I222&gt;J222),"Implied",TRUE,""))</f>
        <v/>
      </c>
      <c r="AU222" s="421" t="n"/>
    </row>
    <row r="223" outlineLevel="1" s="923">
      <c r="G223" s="462" t="n"/>
      <c r="H223" s="462" t="n"/>
      <c r="I223" s="421" t="n"/>
      <c r="J223" s="421" t="n"/>
      <c r="K223" s="421">
        <f>IFERROR(IF(A223="","",N(AE223)+N(AF223)+N(AG223)+N(AH223)),0)</f>
        <v/>
      </c>
      <c r="L223" s="421">
        <f>IFERROR(IF(A223="","",N(J223)+N(K223)),0)</f>
        <v/>
      </c>
      <c r="M223" s="421" t="n"/>
      <c r="N223" s="421" t="n"/>
      <c r="O223" s="421" t="n"/>
      <c r="P223" s="421" t="n"/>
      <c r="Q223" s="421" t="n"/>
      <c r="R223" s="421" t="n"/>
      <c r="U223" s="476" t="n"/>
      <c r="V223" s="1006">
        <f>IFERROR(IF(OR(A223="",U223="",U223=0,J223=""),"",J223/U223),"")</f>
        <v/>
      </c>
      <c r="W223" s="1006">
        <f>IFERROR(IF(V223="","",V223*12),"")</f>
        <v/>
      </c>
      <c r="X223">
        <f>IF(AND(E223&lt;&gt;"",E223&lt;&gt;"Vacant",E223&lt;&gt;"Reserved",C223&lt;&gt;"",D223&lt;&gt;""),C223&amp;"|"&amp;D223,"")</f>
        <v/>
      </c>
      <c r="Y223">
        <f>IF(AND(C223&lt;&gt;"",D223&lt;&gt;""),C223&amp;"|"&amp;D223,"")</f>
        <v/>
      </c>
      <c r="AA223" s="421">
        <f>IFERROR(IF(OR(A223="",I223="",J223=""),"",I223-J223),"")</f>
        <v/>
      </c>
      <c r="AB223" s="479">
        <f>IFERROR(IF(OR(AA223="",I223=0,I223=""),"",AA223/I223),"")</f>
        <v/>
      </c>
      <c r="AC223" s="421" t="n"/>
      <c r="AD223" s="462" t="n"/>
      <c r="AE223" s="421" t="n"/>
      <c r="AF223" s="421" t="n"/>
      <c r="AG223" s="421" t="n"/>
      <c r="AH223" s="421" t="n"/>
      <c r="AI223" s="421" t="n"/>
      <c r="AJ223" s="421" t="n"/>
      <c r="AK223" s="421" t="n"/>
      <c r="AL223" s="421" t="n"/>
      <c r="AM223" s="421" t="n"/>
      <c r="AN223" s="421" t="n"/>
      <c r="AO223" s="483" t="n"/>
      <c r="AP223" s="1007">
        <f>SUM(AJ223:AN223)</f>
        <v/>
      </c>
      <c r="AQ223" s="485" t="n"/>
      <c r="AS223" s="1006" t="n"/>
      <c r="AT223">
        <f t="array" ref="AT223">IF(E223&lt;&gt;"Occupied","",_xlfn.IFS(AND(ISNUMBER(AC223),AC223&lt;&gt;0),"Structured",ISNUMBER(SEARCH("/mo con",T223)),"Notes-parsed",ISNUMBER(SEARCH("step",T223)),"Step-up",ISNUMBER(SEARCH("swap",T223)),"Rate-swap",AND(ISNUMBER(I223),ISNUMBER(J223),I223&gt;J223),"Implied",TRUE,""))</f>
        <v/>
      </c>
      <c r="AU223" s="421" t="n"/>
    </row>
    <row r="224" outlineLevel="1" s="923">
      <c r="G224" s="462" t="n"/>
      <c r="H224" s="462" t="n"/>
      <c r="I224" s="421" t="n"/>
      <c r="J224" s="421" t="n"/>
      <c r="K224" s="421">
        <f>IFERROR(IF(A224="","",N(AE224)+N(AF224)+N(AG224)+N(AH224)),0)</f>
        <v/>
      </c>
      <c r="L224" s="421">
        <f>IFERROR(IF(A224="","",N(J224)+N(K224)),0)</f>
        <v/>
      </c>
      <c r="M224" s="421" t="n"/>
      <c r="N224" s="421" t="n"/>
      <c r="O224" s="421" t="n"/>
      <c r="P224" s="421" t="n"/>
      <c r="Q224" s="421" t="n"/>
      <c r="R224" s="421" t="n"/>
      <c r="U224" s="476" t="n"/>
      <c r="V224" s="1006">
        <f>IFERROR(IF(OR(A224="",U224="",U224=0,J224=""),"",J224/U224),"")</f>
        <v/>
      </c>
      <c r="W224" s="1006">
        <f>IFERROR(IF(V224="","",V224*12),"")</f>
        <v/>
      </c>
      <c r="X224">
        <f>IF(AND(E224&lt;&gt;"",E224&lt;&gt;"Vacant",E224&lt;&gt;"Reserved",C224&lt;&gt;"",D224&lt;&gt;""),C224&amp;"|"&amp;D224,"")</f>
        <v/>
      </c>
      <c r="Y224">
        <f>IF(AND(C224&lt;&gt;"",D224&lt;&gt;""),C224&amp;"|"&amp;D224,"")</f>
        <v/>
      </c>
      <c r="AA224" s="421">
        <f>IFERROR(IF(OR(A224="",I224="",J224=""),"",I224-J224),"")</f>
        <v/>
      </c>
      <c r="AB224" s="479">
        <f>IFERROR(IF(OR(AA224="",I224=0,I224=""),"",AA224/I224),"")</f>
        <v/>
      </c>
      <c r="AC224" s="421" t="n"/>
      <c r="AD224" s="462" t="n"/>
      <c r="AE224" s="421" t="n"/>
      <c r="AF224" s="421" t="n"/>
      <c r="AG224" s="421" t="n"/>
      <c r="AH224" s="421" t="n"/>
      <c r="AI224" s="421" t="n"/>
      <c r="AJ224" s="421" t="n"/>
      <c r="AK224" s="421" t="n"/>
      <c r="AL224" s="421" t="n"/>
      <c r="AM224" s="421" t="n"/>
      <c r="AN224" s="421" t="n"/>
      <c r="AO224" s="483" t="n"/>
      <c r="AP224" s="1007">
        <f>SUM(AJ224:AN224)</f>
        <v/>
      </c>
      <c r="AQ224" s="485" t="n"/>
      <c r="AS224" s="1006" t="n"/>
      <c r="AT224">
        <f t="array" ref="AT224">IF(E224&lt;&gt;"Occupied","",_xlfn.IFS(AND(ISNUMBER(AC224),AC224&lt;&gt;0),"Structured",ISNUMBER(SEARCH("/mo con",T224)),"Notes-parsed",ISNUMBER(SEARCH("step",T224)),"Step-up",ISNUMBER(SEARCH("swap",T224)),"Rate-swap",AND(ISNUMBER(I224),ISNUMBER(J224),I224&gt;J224),"Implied",TRUE,""))</f>
        <v/>
      </c>
      <c r="AU224" s="421" t="n"/>
    </row>
    <row r="225" outlineLevel="1" s="923">
      <c r="G225" s="462" t="n"/>
      <c r="H225" s="462" t="n"/>
      <c r="I225" s="421" t="n"/>
      <c r="J225" s="421" t="n"/>
      <c r="K225" s="421">
        <f>IFERROR(IF(A225="","",N(AE225)+N(AF225)+N(AG225)+N(AH225)),0)</f>
        <v/>
      </c>
      <c r="L225" s="421">
        <f>IFERROR(IF(A225="","",N(J225)+N(K225)),0)</f>
        <v/>
      </c>
      <c r="M225" s="421" t="n"/>
      <c r="N225" s="421" t="n"/>
      <c r="O225" s="421" t="n"/>
      <c r="P225" s="421" t="n"/>
      <c r="Q225" s="421" t="n"/>
      <c r="R225" s="421" t="n"/>
      <c r="U225" s="476" t="n"/>
      <c r="V225" s="1006">
        <f>IFERROR(IF(OR(A225="",U225="",U225=0,J225=""),"",J225/U225),"")</f>
        <v/>
      </c>
      <c r="W225" s="1006">
        <f>IFERROR(IF(V225="","",V225*12),"")</f>
        <v/>
      </c>
      <c r="X225">
        <f>IF(AND(E225&lt;&gt;"",E225&lt;&gt;"Vacant",E225&lt;&gt;"Reserved",C225&lt;&gt;"",D225&lt;&gt;""),C225&amp;"|"&amp;D225,"")</f>
        <v/>
      </c>
      <c r="Y225">
        <f>IF(AND(C225&lt;&gt;"",D225&lt;&gt;""),C225&amp;"|"&amp;D225,"")</f>
        <v/>
      </c>
      <c r="AA225" s="421">
        <f>IFERROR(IF(OR(A225="",I225="",J225=""),"",I225-J225),"")</f>
        <v/>
      </c>
      <c r="AB225" s="479">
        <f>IFERROR(IF(OR(AA225="",I225=0,I225=""),"",AA225/I225),"")</f>
        <v/>
      </c>
      <c r="AC225" s="421" t="n"/>
      <c r="AD225" s="462" t="n"/>
      <c r="AE225" s="421" t="n"/>
      <c r="AF225" s="421" t="n"/>
      <c r="AG225" s="421" t="n"/>
      <c r="AH225" s="421" t="n"/>
      <c r="AI225" s="421" t="n"/>
      <c r="AJ225" s="421" t="n"/>
      <c r="AK225" s="421" t="n"/>
      <c r="AL225" s="421" t="n"/>
      <c r="AM225" s="421" t="n"/>
      <c r="AN225" s="421" t="n"/>
      <c r="AO225" s="483" t="n"/>
      <c r="AP225" s="1007">
        <f>SUM(AJ225:AN225)</f>
        <v/>
      </c>
      <c r="AQ225" s="485" t="n"/>
      <c r="AS225" s="1006" t="n"/>
      <c r="AT225">
        <f t="array" ref="AT225">IF(E225&lt;&gt;"Occupied","",_xlfn.IFS(AND(ISNUMBER(AC225),AC225&lt;&gt;0),"Structured",ISNUMBER(SEARCH("/mo con",T225)),"Notes-parsed",ISNUMBER(SEARCH("step",T225)),"Step-up",ISNUMBER(SEARCH("swap",T225)),"Rate-swap",AND(ISNUMBER(I225),ISNUMBER(J225),I225&gt;J225),"Implied",TRUE,""))</f>
        <v/>
      </c>
      <c r="AU225" s="421" t="n"/>
    </row>
    <row r="226" outlineLevel="1" s="923">
      <c r="G226" s="462" t="n"/>
      <c r="H226" s="462" t="n"/>
      <c r="I226" s="421" t="n"/>
      <c r="J226" s="421" t="n"/>
      <c r="K226" s="421">
        <f>IFERROR(IF(A226="","",N(AE226)+N(AF226)+N(AG226)+N(AH226)),0)</f>
        <v/>
      </c>
      <c r="L226" s="421">
        <f>IFERROR(IF(A226="","",N(J226)+N(K226)),0)</f>
        <v/>
      </c>
      <c r="M226" s="421" t="n"/>
      <c r="N226" s="421" t="n"/>
      <c r="O226" s="421" t="n"/>
      <c r="P226" s="421" t="n"/>
      <c r="Q226" s="421" t="n"/>
      <c r="R226" s="421" t="n"/>
      <c r="U226" s="476" t="n"/>
      <c r="V226" s="1006">
        <f>IFERROR(IF(OR(A226="",U226="",U226=0,J226=""),"",J226/U226),"")</f>
        <v/>
      </c>
      <c r="W226" s="1006">
        <f>IFERROR(IF(V226="","",V226*12),"")</f>
        <v/>
      </c>
      <c r="X226">
        <f>IF(AND(E226&lt;&gt;"",E226&lt;&gt;"Vacant",E226&lt;&gt;"Reserved",C226&lt;&gt;"",D226&lt;&gt;""),C226&amp;"|"&amp;D226,"")</f>
        <v/>
      </c>
      <c r="Y226">
        <f>IF(AND(C226&lt;&gt;"",D226&lt;&gt;""),C226&amp;"|"&amp;D226,"")</f>
        <v/>
      </c>
      <c r="AA226" s="421">
        <f>IFERROR(IF(OR(A226="",I226="",J226=""),"",I226-J226),"")</f>
        <v/>
      </c>
      <c r="AB226" s="479">
        <f>IFERROR(IF(OR(AA226="",I226=0,I226=""),"",AA226/I226),"")</f>
        <v/>
      </c>
      <c r="AC226" s="421" t="n"/>
      <c r="AD226" s="462" t="n"/>
      <c r="AE226" s="421" t="n"/>
      <c r="AF226" s="421" t="n"/>
      <c r="AG226" s="421" t="n"/>
      <c r="AH226" s="421" t="n"/>
      <c r="AI226" s="421" t="n"/>
      <c r="AJ226" s="421" t="n"/>
      <c r="AK226" s="421" t="n"/>
      <c r="AL226" s="421" t="n"/>
      <c r="AM226" s="421" t="n"/>
      <c r="AN226" s="421" t="n"/>
      <c r="AO226" s="483" t="n"/>
      <c r="AP226" s="1007">
        <f>SUM(AJ226:AN226)</f>
        <v/>
      </c>
      <c r="AQ226" s="485" t="n"/>
      <c r="AS226" s="1006" t="n"/>
      <c r="AT226">
        <f t="array" ref="AT226">IF(E226&lt;&gt;"Occupied","",_xlfn.IFS(AND(ISNUMBER(AC226),AC226&lt;&gt;0),"Structured",ISNUMBER(SEARCH("/mo con",T226)),"Notes-parsed",ISNUMBER(SEARCH("step",T226)),"Step-up",ISNUMBER(SEARCH("swap",T226)),"Rate-swap",AND(ISNUMBER(I226),ISNUMBER(J226),I226&gt;J226),"Implied",TRUE,""))</f>
        <v/>
      </c>
      <c r="AU226" s="421" t="n"/>
    </row>
    <row r="227" outlineLevel="1" s="923">
      <c r="G227" s="462" t="n"/>
      <c r="H227" s="462" t="n"/>
      <c r="I227" s="421" t="n"/>
      <c r="J227" s="421" t="n"/>
      <c r="K227" s="421">
        <f>IFERROR(IF(A227="","",N(AE227)+N(AF227)+N(AG227)+N(AH227)),0)</f>
        <v/>
      </c>
      <c r="L227" s="421">
        <f>IFERROR(IF(A227="","",N(J227)+N(K227)),0)</f>
        <v/>
      </c>
      <c r="M227" s="421" t="n"/>
      <c r="N227" s="421" t="n"/>
      <c r="O227" s="421" t="n"/>
      <c r="P227" s="421" t="n"/>
      <c r="Q227" s="421" t="n"/>
      <c r="R227" s="421" t="n"/>
      <c r="U227" s="476" t="n"/>
      <c r="V227" s="1006">
        <f>IFERROR(IF(OR(A227="",U227="",U227=0,J227=""),"",J227/U227),"")</f>
        <v/>
      </c>
      <c r="W227" s="1006">
        <f>IFERROR(IF(V227="","",V227*12),"")</f>
        <v/>
      </c>
      <c r="X227">
        <f>IF(AND(E227&lt;&gt;"",E227&lt;&gt;"Vacant",E227&lt;&gt;"Reserved",C227&lt;&gt;"",D227&lt;&gt;""),C227&amp;"|"&amp;D227,"")</f>
        <v/>
      </c>
      <c r="Y227">
        <f>IF(AND(C227&lt;&gt;"",D227&lt;&gt;""),C227&amp;"|"&amp;D227,"")</f>
        <v/>
      </c>
      <c r="AA227" s="421">
        <f>IFERROR(IF(OR(A227="",I227="",J227=""),"",I227-J227),"")</f>
        <v/>
      </c>
      <c r="AB227" s="479">
        <f>IFERROR(IF(OR(AA227="",I227=0,I227=""),"",AA227/I227),"")</f>
        <v/>
      </c>
      <c r="AC227" s="421" t="n"/>
      <c r="AD227" s="462" t="n"/>
      <c r="AE227" s="421" t="n"/>
      <c r="AF227" s="421" t="n"/>
      <c r="AG227" s="421" t="n"/>
      <c r="AH227" s="421" t="n"/>
      <c r="AI227" s="421" t="n"/>
      <c r="AJ227" s="421" t="n"/>
      <c r="AK227" s="421" t="n"/>
      <c r="AL227" s="421" t="n"/>
      <c r="AM227" s="421" t="n"/>
      <c r="AN227" s="421" t="n"/>
      <c r="AO227" s="483" t="n"/>
      <c r="AP227" s="1007">
        <f>SUM(AJ227:AN227)</f>
        <v/>
      </c>
      <c r="AQ227" s="485" t="n"/>
      <c r="AS227" s="1006" t="n"/>
      <c r="AT227">
        <f t="array" ref="AT227">IF(E227&lt;&gt;"Occupied","",_xlfn.IFS(AND(ISNUMBER(AC227),AC227&lt;&gt;0),"Structured",ISNUMBER(SEARCH("/mo con",T227)),"Notes-parsed",ISNUMBER(SEARCH("step",T227)),"Step-up",ISNUMBER(SEARCH("swap",T227)),"Rate-swap",AND(ISNUMBER(I227),ISNUMBER(J227),I227&gt;J227),"Implied",TRUE,""))</f>
        <v/>
      </c>
      <c r="AU227" s="421" t="n"/>
    </row>
    <row r="228" outlineLevel="1" s="923">
      <c r="G228" s="462" t="n"/>
      <c r="H228" s="462" t="n"/>
      <c r="I228" s="421" t="n"/>
      <c r="J228" s="421" t="n"/>
      <c r="K228" s="421">
        <f>IFERROR(IF(A228="","",N(AE228)+N(AF228)+N(AG228)+N(AH228)),0)</f>
        <v/>
      </c>
      <c r="L228" s="421">
        <f>IFERROR(IF(A228="","",N(J228)+N(K228)),0)</f>
        <v/>
      </c>
      <c r="M228" s="421" t="n"/>
      <c r="N228" s="421" t="n"/>
      <c r="O228" s="421" t="n"/>
      <c r="P228" s="421" t="n"/>
      <c r="Q228" s="421" t="n"/>
      <c r="R228" s="421" t="n"/>
      <c r="U228" s="476" t="n"/>
      <c r="V228" s="1006">
        <f>IFERROR(IF(OR(A228="",U228="",U228=0,J228=""),"",J228/U228),"")</f>
        <v/>
      </c>
      <c r="W228" s="1006">
        <f>IFERROR(IF(V228="","",V228*12),"")</f>
        <v/>
      </c>
      <c r="X228">
        <f>IF(AND(E228&lt;&gt;"",E228&lt;&gt;"Vacant",E228&lt;&gt;"Reserved",C228&lt;&gt;"",D228&lt;&gt;""),C228&amp;"|"&amp;D228,"")</f>
        <v/>
      </c>
      <c r="Y228">
        <f>IF(AND(C228&lt;&gt;"",D228&lt;&gt;""),C228&amp;"|"&amp;D228,"")</f>
        <v/>
      </c>
      <c r="AA228" s="421">
        <f>IFERROR(IF(OR(A228="",I228="",J228=""),"",I228-J228),"")</f>
        <v/>
      </c>
      <c r="AB228" s="479">
        <f>IFERROR(IF(OR(AA228="",I228=0,I228=""),"",AA228/I228),"")</f>
        <v/>
      </c>
      <c r="AC228" s="421" t="n"/>
      <c r="AD228" s="462" t="n"/>
      <c r="AE228" s="421" t="n"/>
      <c r="AF228" s="421" t="n"/>
      <c r="AG228" s="421" t="n"/>
      <c r="AH228" s="421" t="n"/>
      <c r="AI228" s="421" t="n"/>
      <c r="AJ228" s="421" t="n"/>
      <c r="AK228" s="421" t="n"/>
      <c r="AL228" s="421" t="n"/>
      <c r="AM228" s="421" t="n"/>
      <c r="AN228" s="421" t="n"/>
      <c r="AO228" s="483" t="n"/>
      <c r="AP228" s="1007">
        <f>SUM(AJ228:AN228)</f>
        <v/>
      </c>
      <c r="AQ228" s="485" t="n"/>
      <c r="AS228" s="1006" t="n"/>
      <c r="AT228">
        <f t="array" ref="AT228">IF(E228&lt;&gt;"Occupied","",_xlfn.IFS(AND(ISNUMBER(AC228),AC228&lt;&gt;0),"Structured",ISNUMBER(SEARCH("/mo con",T228)),"Notes-parsed",ISNUMBER(SEARCH("step",T228)),"Step-up",ISNUMBER(SEARCH("swap",T228)),"Rate-swap",AND(ISNUMBER(I228),ISNUMBER(J228),I228&gt;J228),"Implied",TRUE,""))</f>
        <v/>
      </c>
      <c r="AU228" s="421" t="n"/>
    </row>
    <row r="229" outlineLevel="1" s="923">
      <c r="G229" s="462" t="n"/>
      <c r="H229" s="462" t="n"/>
      <c r="I229" s="421" t="n"/>
      <c r="J229" s="421" t="n"/>
      <c r="K229" s="421">
        <f>IFERROR(IF(A229="","",N(AE229)+N(AF229)+N(AG229)+N(AH229)),0)</f>
        <v/>
      </c>
      <c r="L229" s="421">
        <f>IFERROR(IF(A229="","",N(J229)+N(K229)),0)</f>
        <v/>
      </c>
      <c r="M229" s="421" t="n"/>
      <c r="N229" s="421" t="n"/>
      <c r="O229" s="421" t="n"/>
      <c r="P229" s="421" t="n"/>
      <c r="Q229" s="421" t="n"/>
      <c r="R229" s="421" t="n"/>
      <c r="U229" s="476" t="n"/>
      <c r="V229" s="1006">
        <f>IFERROR(IF(OR(A229="",U229="",U229=0,J229=""),"",J229/U229),"")</f>
        <v/>
      </c>
      <c r="W229" s="1006">
        <f>IFERROR(IF(V229="","",V229*12),"")</f>
        <v/>
      </c>
      <c r="X229">
        <f>IF(AND(E229&lt;&gt;"",E229&lt;&gt;"Vacant",E229&lt;&gt;"Reserved",C229&lt;&gt;"",D229&lt;&gt;""),C229&amp;"|"&amp;D229,"")</f>
        <v/>
      </c>
      <c r="Y229">
        <f>IF(AND(C229&lt;&gt;"",D229&lt;&gt;""),C229&amp;"|"&amp;D229,"")</f>
        <v/>
      </c>
      <c r="AA229" s="421">
        <f>IFERROR(IF(OR(A229="",I229="",J229=""),"",I229-J229),"")</f>
        <v/>
      </c>
      <c r="AB229" s="479">
        <f>IFERROR(IF(OR(AA229="",I229=0,I229=""),"",AA229/I229),"")</f>
        <v/>
      </c>
      <c r="AC229" s="421" t="n"/>
      <c r="AD229" s="462" t="n"/>
      <c r="AE229" s="421" t="n"/>
      <c r="AF229" s="421" t="n"/>
      <c r="AG229" s="421" t="n"/>
      <c r="AH229" s="421" t="n"/>
      <c r="AI229" s="421" t="n"/>
      <c r="AJ229" s="421" t="n"/>
      <c r="AK229" s="421" t="n"/>
      <c r="AL229" s="421" t="n"/>
      <c r="AM229" s="421" t="n"/>
      <c r="AN229" s="421" t="n"/>
      <c r="AO229" s="483" t="n"/>
      <c r="AP229" s="1007">
        <f>SUM(AJ229:AN229)</f>
        <v/>
      </c>
      <c r="AQ229" s="485" t="n"/>
      <c r="AS229" s="1006" t="n"/>
      <c r="AT229">
        <f t="array" ref="AT229">IF(E229&lt;&gt;"Occupied","",_xlfn.IFS(AND(ISNUMBER(AC229),AC229&lt;&gt;0),"Structured",ISNUMBER(SEARCH("/mo con",T229)),"Notes-parsed",ISNUMBER(SEARCH("step",T229)),"Step-up",ISNUMBER(SEARCH("swap",T229)),"Rate-swap",AND(ISNUMBER(I229),ISNUMBER(J229),I229&gt;J229),"Implied",TRUE,""))</f>
        <v/>
      </c>
      <c r="AU229" s="421" t="n"/>
    </row>
    <row r="230" outlineLevel="1" s="923">
      <c r="G230" s="462" t="n"/>
      <c r="H230" s="462" t="n"/>
      <c r="I230" s="421" t="n"/>
      <c r="J230" s="421" t="n"/>
      <c r="K230" s="421">
        <f>IFERROR(IF(A230="","",N(AE230)+N(AF230)+N(AG230)+N(AH230)),0)</f>
        <v/>
      </c>
      <c r="L230" s="421">
        <f>IFERROR(IF(A230="","",N(J230)+N(K230)),0)</f>
        <v/>
      </c>
      <c r="M230" s="421" t="n"/>
      <c r="N230" s="421" t="n"/>
      <c r="O230" s="421" t="n"/>
      <c r="P230" s="421" t="n"/>
      <c r="Q230" s="421" t="n"/>
      <c r="R230" s="421" t="n"/>
      <c r="U230" s="476" t="n"/>
      <c r="V230" s="1006">
        <f>IFERROR(IF(OR(A230="",U230="",U230=0,J230=""),"",J230/U230),"")</f>
        <v/>
      </c>
      <c r="W230" s="1006">
        <f>IFERROR(IF(V230="","",V230*12),"")</f>
        <v/>
      </c>
      <c r="X230">
        <f>IF(AND(E230&lt;&gt;"",E230&lt;&gt;"Vacant",E230&lt;&gt;"Reserved",C230&lt;&gt;"",D230&lt;&gt;""),C230&amp;"|"&amp;D230,"")</f>
        <v/>
      </c>
      <c r="Y230">
        <f>IF(AND(C230&lt;&gt;"",D230&lt;&gt;""),C230&amp;"|"&amp;D230,"")</f>
        <v/>
      </c>
      <c r="AA230" s="421">
        <f>IFERROR(IF(OR(A230="",I230="",J230=""),"",I230-J230),"")</f>
        <v/>
      </c>
      <c r="AB230" s="479">
        <f>IFERROR(IF(OR(AA230="",I230=0,I230=""),"",AA230/I230),"")</f>
        <v/>
      </c>
      <c r="AC230" s="421" t="n"/>
      <c r="AD230" s="462" t="n"/>
      <c r="AE230" s="421" t="n"/>
      <c r="AF230" s="421" t="n"/>
      <c r="AG230" s="421" t="n"/>
      <c r="AH230" s="421" t="n"/>
      <c r="AI230" s="421" t="n"/>
      <c r="AJ230" s="421" t="n"/>
      <c r="AK230" s="421" t="n"/>
      <c r="AL230" s="421" t="n"/>
      <c r="AM230" s="421" t="n"/>
      <c r="AN230" s="421" t="n"/>
      <c r="AO230" s="483" t="n"/>
      <c r="AP230" s="1007">
        <f>SUM(AJ230:AN230)</f>
        <v/>
      </c>
      <c r="AQ230" s="485" t="n"/>
      <c r="AS230" s="1006" t="n"/>
      <c r="AT230">
        <f t="array" ref="AT230">IF(E230&lt;&gt;"Occupied","",_xlfn.IFS(AND(ISNUMBER(AC230),AC230&lt;&gt;0),"Structured",ISNUMBER(SEARCH("/mo con",T230)),"Notes-parsed",ISNUMBER(SEARCH("step",T230)),"Step-up",ISNUMBER(SEARCH("swap",T230)),"Rate-swap",AND(ISNUMBER(I230),ISNUMBER(J230),I230&gt;J230),"Implied",TRUE,""))</f>
        <v/>
      </c>
      <c r="AU230" s="421" t="n"/>
    </row>
    <row r="231" outlineLevel="1" s="923">
      <c r="G231" s="462" t="n"/>
      <c r="H231" s="462" t="n"/>
      <c r="I231" s="421" t="n"/>
      <c r="J231" s="421" t="n"/>
      <c r="K231" s="421">
        <f>IFERROR(IF(A231="","",N(AE231)+N(AF231)+N(AG231)+N(AH231)),0)</f>
        <v/>
      </c>
      <c r="L231" s="421">
        <f>IFERROR(IF(A231="","",N(J231)+N(K231)),0)</f>
        <v/>
      </c>
      <c r="M231" s="421" t="n"/>
      <c r="N231" s="421" t="n"/>
      <c r="O231" s="421" t="n"/>
      <c r="P231" s="421" t="n"/>
      <c r="Q231" s="421" t="n"/>
      <c r="R231" s="421" t="n"/>
      <c r="U231" s="476" t="n"/>
      <c r="V231" s="1006">
        <f>IFERROR(IF(OR(A231="",U231="",U231=0,J231=""),"",J231/U231),"")</f>
        <v/>
      </c>
      <c r="W231" s="1006">
        <f>IFERROR(IF(V231="","",V231*12),"")</f>
        <v/>
      </c>
      <c r="X231">
        <f>IF(AND(E231&lt;&gt;"",E231&lt;&gt;"Vacant",E231&lt;&gt;"Reserved",C231&lt;&gt;"",D231&lt;&gt;""),C231&amp;"|"&amp;D231,"")</f>
        <v/>
      </c>
      <c r="Y231">
        <f>IF(AND(C231&lt;&gt;"",D231&lt;&gt;""),C231&amp;"|"&amp;D231,"")</f>
        <v/>
      </c>
      <c r="AA231" s="421">
        <f>IFERROR(IF(OR(A231="",I231="",J231=""),"",I231-J231),"")</f>
        <v/>
      </c>
      <c r="AB231" s="479">
        <f>IFERROR(IF(OR(AA231="",I231=0,I231=""),"",AA231/I231),"")</f>
        <v/>
      </c>
      <c r="AC231" s="421" t="n"/>
      <c r="AD231" s="462" t="n"/>
      <c r="AE231" s="421" t="n"/>
      <c r="AF231" s="421" t="n"/>
      <c r="AG231" s="421" t="n"/>
      <c r="AH231" s="421" t="n"/>
      <c r="AI231" s="421" t="n"/>
      <c r="AJ231" s="421" t="n"/>
      <c r="AK231" s="421" t="n"/>
      <c r="AL231" s="421" t="n"/>
      <c r="AM231" s="421" t="n"/>
      <c r="AN231" s="421" t="n"/>
      <c r="AO231" s="483" t="n"/>
      <c r="AP231" s="1007">
        <f>SUM(AJ231:AN231)</f>
        <v/>
      </c>
      <c r="AQ231" s="485" t="n"/>
      <c r="AS231" s="1006" t="n"/>
      <c r="AT231">
        <f t="array" ref="AT231">IF(E231&lt;&gt;"Occupied","",_xlfn.IFS(AND(ISNUMBER(AC231),AC231&lt;&gt;0),"Structured",ISNUMBER(SEARCH("/mo con",T231)),"Notes-parsed",ISNUMBER(SEARCH("step",T231)),"Step-up",ISNUMBER(SEARCH("swap",T231)),"Rate-swap",AND(ISNUMBER(I231),ISNUMBER(J231),I231&gt;J231),"Implied",TRUE,""))</f>
        <v/>
      </c>
      <c r="AU231" s="421" t="n"/>
    </row>
    <row r="232" outlineLevel="1" s="923">
      <c r="G232" s="462" t="n"/>
      <c r="H232" s="462" t="n"/>
      <c r="I232" s="421" t="n"/>
      <c r="J232" s="421" t="n"/>
      <c r="K232" s="421">
        <f>IFERROR(IF(A232="","",N(AE232)+N(AF232)+N(AG232)+N(AH232)),0)</f>
        <v/>
      </c>
      <c r="L232" s="421">
        <f>IFERROR(IF(A232="","",N(J232)+N(K232)),0)</f>
        <v/>
      </c>
      <c r="M232" s="421" t="n"/>
      <c r="N232" s="421" t="n"/>
      <c r="O232" s="421" t="n"/>
      <c r="P232" s="421" t="n"/>
      <c r="Q232" s="421" t="n"/>
      <c r="R232" s="421" t="n"/>
      <c r="U232" s="476" t="n"/>
      <c r="V232" s="1006">
        <f>IFERROR(IF(OR(A232="",U232="",U232=0,J232=""),"",J232/U232),"")</f>
        <v/>
      </c>
      <c r="W232" s="1006">
        <f>IFERROR(IF(V232="","",V232*12),"")</f>
        <v/>
      </c>
      <c r="X232">
        <f>IF(AND(E232&lt;&gt;"",E232&lt;&gt;"Vacant",E232&lt;&gt;"Reserved",C232&lt;&gt;"",D232&lt;&gt;""),C232&amp;"|"&amp;D232,"")</f>
        <v/>
      </c>
      <c r="Y232">
        <f>IF(AND(C232&lt;&gt;"",D232&lt;&gt;""),C232&amp;"|"&amp;D232,"")</f>
        <v/>
      </c>
      <c r="AA232" s="421">
        <f>IFERROR(IF(OR(A232="",I232="",J232=""),"",I232-J232),"")</f>
        <v/>
      </c>
      <c r="AB232" s="479">
        <f>IFERROR(IF(OR(AA232="",I232=0,I232=""),"",AA232/I232),"")</f>
        <v/>
      </c>
      <c r="AC232" s="421" t="n"/>
      <c r="AD232" s="462" t="n"/>
      <c r="AE232" s="421" t="n"/>
      <c r="AF232" s="421" t="n"/>
      <c r="AG232" s="421" t="n"/>
      <c r="AH232" s="421" t="n"/>
      <c r="AI232" s="421" t="n"/>
      <c r="AJ232" s="421" t="n"/>
      <c r="AK232" s="421" t="n"/>
      <c r="AL232" s="421" t="n"/>
      <c r="AM232" s="421" t="n"/>
      <c r="AN232" s="421" t="n"/>
      <c r="AO232" s="483" t="n"/>
      <c r="AP232" s="1007">
        <f>SUM(AJ232:AN232)</f>
        <v/>
      </c>
      <c r="AQ232" s="485" t="n"/>
      <c r="AS232" s="1006" t="n"/>
      <c r="AT232">
        <f t="array" ref="AT232">IF(E232&lt;&gt;"Occupied","",_xlfn.IFS(AND(ISNUMBER(AC232),AC232&lt;&gt;0),"Structured",ISNUMBER(SEARCH("/mo con",T232)),"Notes-parsed",ISNUMBER(SEARCH("step",T232)),"Step-up",ISNUMBER(SEARCH("swap",T232)),"Rate-swap",AND(ISNUMBER(I232),ISNUMBER(J232),I232&gt;J232),"Implied",TRUE,""))</f>
        <v/>
      </c>
      <c r="AU232" s="421" t="n"/>
    </row>
    <row r="233" outlineLevel="1" s="923">
      <c r="G233" s="462" t="n"/>
      <c r="H233" s="462" t="n"/>
      <c r="I233" s="421" t="n"/>
      <c r="J233" s="421" t="n"/>
      <c r="K233" s="421">
        <f>IFERROR(IF(A233="","",N(AE233)+N(AF233)+N(AG233)+N(AH233)),0)</f>
        <v/>
      </c>
      <c r="L233" s="421">
        <f>IFERROR(IF(A233="","",N(J233)+N(K233)),0)</f>
        <v/>
      </c>
      <c r="M233" s="421" t="n"/>
      <c r="N233" s="421" t="n"/>
      <c r="O233" s="421" t="n"/>
      <c r="P233" s="421" t="n"/>
      <c r="Q233" s="421" t="n"/>
      <c r="R233" s="421" t="n"/>
      <c r="U233" s="476" t="n"/>
      <c r="V233" s="1006">
        <f>IFERROR(IF(OR(A233="",U233="",U233=0,J233=""),"",J233/U233),"")</f>
        <v/>
      </c>
      <c r="W233" s="1006">
        <f>IFERROR(IF(V233="","",V233*12),"")</f>
        <v/>
      </c>
      <c r="X233">
        <f>IF(AND(E233&lt;&gt;"",E233&lt;&gt;"Vacant",E233&lt;&gt;"Reserved",C233&lt;&gt;"",D233&lt;&gt;""),C233&amp;"|"&amp;D233,"")</f>
        <v/>
      </c>
      <c r="Y233">
        <f>IF(AND(C233&lt;&gt;"",D233&lt;&gt;""),C233&amp;"|"&amp;D233,"")</f>
        <v/>
      </c>
      <c r="AA233" s="421">
        <f>IFERROR(IF(OR(A233="",I233="",J233=""),"",I233-J233),"")</f>
        <v/>
      </c>
      <c r="AB233" s="479">
        <f>IFERROR(IF(OR(AA233="",I233=0,I233=""),"",AA233/I233),"")</f>
        <v/>
      </c>
      <c r="AC233" s="421" t="n"/>
      <c r="AD233" s="462" t="n"/>
      <c r="AE233" s="421" t="n"/>
      <c r="AF233" s="421" t="n"/>
      <c r="AG233" s="421" t="n"/>
      <c r="AH233" s="421" t="n"/>
      <c r="AI233" s="421" t="n"/>
      <c r="AJ233" s="421" t="n"/>
      <c r="AK233" s="421" t="n"/>
      <c r="AL233" s="421" t="n"/>
      <c r="AM233" s="421" t="n"/>
      <c r="AN233" s="421" t="n"/>
      <c r="AO233" s="483" t="n"/>
      <c r="AP233" s="1007">
        <f>SUM(AJ233:AN233)</f>
        <v/>
      </c>
      <c r="AQ233" s="485" t="n"/>
      <c r="AS233" s="1006" t="n"/>
      <c r="AT233">
        <f t="array" ref="AT233">IF(E233&lt;&gt;"Occupied","",_xlfn.IFS(AND(ISNUMBER(AC233),AC233&lt;&gt;0),"Structured",ISNUMBER(SEARCH("/mo con",T233)),"Notes-parsed",ISNUMBER(SEARCH("step",T233)),"Step-up",ISNUMBER(SEARCH("swap",T233)),"Rate-swap",AND(ISNUMBER(I233),ISNUMBER(J233),I233&gt;J233),"Implied",TRUE,""))</f>
        <v/>
      </c>
      <c r="AU233" s="421" t="n"/>
    </row>
    <row r="234" outlineLevel="1" s="923">
      <c r="G234" s="462" t="n"/>
      <c r="H234" s="462" t="n"/>
      <c r="I234" s="421" t="n"/>
      <c r="J234" s="421" t="n"/>
      <c r="K234" s="421">
        <f>IFERROR(IF(A234="","",N(AE234)+N(AF234)+N(AG234)+N(AH234)),0)</f>
        <v/>
      </c>
      <c r="L234" s="421">
        <f>IFERROR(IF(A234="","",N(J234)+N(K234)),0)</f>
        <v/>
      </c>
      <c r="M234" s="421" t="n"/>
      <c r="N234" s="421" t="n"/>
      <c r="O234" s="421" t="n"/>
      <c r="P234" s="421" t="n"/>
      <c r="Q234" s="421" t="n"/>
      <c r="R234" s="421" t="n"/>
      <c r="U234" s="476" t="n"/>
      <c r="V234" s="1006">
        <f>IFERROR(IF(OR(A234="",U234="",U234=0,J234=""),"",J234/U234),"")</f>
        <v/>
      </c>
      <c r="W234" s="1006">
        <f>IFERROR(IF(V234="","",V234*12),"")</f>
        <v/>
      </c>
      <c r="X234">
        <f>IF(AND(E234&lt;&gt;"",E234&lt;&gt;"Vacant",E234&lt;&gt;"Reserved",C234&lt;&gt;"",D234&lt;&gt;""),C234&amp;"|"&amp;D234,"")</f>
        <v/>
      </c>
      <c r="Y234">
        <f>IF(AND(C234&lt;&gt;"",D234&lt;&gt;""),C234&amp;"|"&amp;D234,"")</f>
        <v/>
      </c>
      <c r="AA234" s="421">
        <f>IFERROR(IF(OR(A234="",I234="",J234=""),"",I234-J234),"")</f>
        <v/>
      </c>
      <c r="AB234" s="479">
        <f>IFERROR(IF(OR(AA234="",I234=0,I234=""),"",AA234/I234),"")</f>
        <v/>
      </c>
      <c r="AC234" s="421" t="n"/>
      <c r="AD234" s="462" t="n"/>
      <c r="AE234" s="421" t="n"/>
      <c r="AF234" s="421" t="n"/>
      <c r="AG234" s="421" t="n"/>
      <c r="AH234" s="421" t="n"/>
      <c r="AI234" s="421" t="n"/>
      <c r="AJ234" s="421" t="n"/>
      <c r="AK234" s="421" t="n"/>
      <c r="AL234" s="421" t="n"/>
      <c r="AM234" s="421" t="n"/>
      <c r="AN234" s="421" t="n"/>
      <c r="AO234" s="483" t="n"/>
      <c r="AP234" s="1007">
        <f>SUM(AJ234:AN234)</f>
        <v/>
      </c>
      <c r="AQ234" s="485" t="n"/>
      <c r="AS234" s="1006" t="n"/>
      <c r="AT234">
        <f t="array" ref="AT234">IF(E234&lt;&gt;"Occupied","",_xlfn.IFS(AND(ISNUMBER(AC234),AC234&lt;&gt;0),"Structured",ISNUMBER(SEARCH("/mo con",T234)),"Notes-parsed",ISNUMBER(SEARCH("step",T234)),"Step-up",ISNUMBER(SEARCH("swap",T234)),"Rate-swap",AND(ISNUMBER(I234),ISNUMBER(J234),I234&gt;J234),"Implied",TRUE,""))</f>
        <v/>
      </c>
      <c r="AU234" s="421" t="n"/>
    </row>
    <row r="235" outlineLevel="1" s="923">
      <c r="G235" s="462" t="n"/>
      <c r="H235" s="462" t="n"/>
      <c r="I235" s="421" t="n"/>
      <c r="J235" s="421" t="n"/>
      <c r="K235" s="421">
        <f>IFERROR(IF(A235="","",N(AE235)+N(AF235)+N(AG235)+N(AH235)),0)</f>
        <v/>
      </c>
      <c r="L235" s="421">
        <f>IFERROR(IF(A235="","",N(J235)+N(K235)),0)</f>
        <v/>
      </c>
      <c r="M235" s="421" t="n"/>
      <c r="N235" s="421" t="n"/>
      <c r="O235" s="421" t="n"/>
      <c r="P235" s="421" t="n"/>
      <c r="Q235" s="421" t="n"/>
      <c r="R235" s="421" t="n"/>
      <c r="U235" s="476" t="n"/>
      <c r="V235" s="1006">
        <f>IFERROR(IF(OR(A235="",U235="",U235=0,J235=""),"",J235/U235),"")</f>
        <v/>
      </c>
      <c r="W235" s="1006">
        <f>IFERROR(IF(V235="","",V235*12),"")</f>
        <v/>
      </c>
      <c r="X235">
        <f>IF(AND(E235&lt;&gt;"",E235&lt;&gt;"Vacant",E235&lt;&gt;"Reserved",C235&lt;&gt;"",D235&lt;&gt;""),C235&amp;"|"&amp;D235,"")</f>
        <v/>
      </c>
      <c r="Y235">
        <f>IF(AND(C235&lt;&gt;"",D235&lt;&gt;""),C235&amp;"|"&amp;D235,"")</f>
        <v/>
      </c>
      <c r="AA235" s="421">
        <f>IFERROR(IF(OR(A235="",I235="",J235=""),"",I235-J235),"")</f>
        <v/>
      </c>
      <c r="AB235" s="479">
        <f>IFERROR(IF(OR(AA235="",I235=0,I235=""),"",AA235/I235),"")</f>
        <v/>
      </c>
      <c r="AC235" s="421" t="n"/>
      <c r="AD235" s="462" t="n"/>
      <c r="AE235" s="421" t="n"/>
      <c r="AF235" s="421" t="n"/>
      <c r="AG235" s="421" t="n"/>
      <c r="AH235" s="421" t="n"/>
      <c r="AI235" s="421" t="n"/>
      <c r="AJ235" s="421" t="n"/>
      <c r="AK235" s="421" t="n"/>
      <c r="AL235" s="421" t="n"/>
      <c r="AM235" s="421" t="n"/>
      <c r="AN235" s="421" t="n"/>
      <c r="AO235" s="483" t="n"/>
      <c r="AP235" s="1007">
        <f>SUM(AJ235:AN235)</f>
        <v/>
      </c>
      <c r="AQ235" s="485" t="n"/>
      <c r="AS235" s="1006" t="n"/>
      <c r="AT235">
        <f t="array" ref="AT235">IF(E235&lt;&gt;"Occupied","",_xlfn.IFS(AND(ISNUMBER(AC235),AC235&lt;&gt;0),"Structured",ISNUMBER(SEARCH("/mo con",T235)),"Notes-parsed",ISNUMBER(SEARCH("step",T235)),"Step-up",ISNUMBER(SEARCH("swap",T235)),"Rate-swap",AND(ISNUMBER(I235),ISNUMBER(J235),I235&gt;J235),"Implied",TRUE,""))</f>
        <v/>
      </c>
      <c r="AU235" s="421" t="n"/>
    </row>
    <row r="236" outlineLevel="1" s="923">
      <c r="G236" s="462" t="n"/>
      <c r="H236" s="462" t="n"/>
      <c r="I236" s="421" t="n"/>
      <c r="J236" s="421" t="n"/>
      <c r="K236" s="421">
        <f>IFERROR(IF(A236="","",N(AE236)+N(AF236)+N(AG236)+N(AH236)),0)</f>
        <v/>
      </c>
      <c r="L236" s="421">
        <f>IFERROR(IF(A236="","",N(J236)+N(K236)),0)</f>
        <v/>
      </c>
      <c r="M236" s="421" t="n"/>
      <c r="N236" s="421" t="n"/>
      <c r="O236" s="421" t="n"/>
      <c r="P236" s="421" t="n"/>
      <c r="Q236" s="421" t="n"/>
      <c r="R236" s="421" t="n"/>
      <c r="U236" s="476" t="n"/>
      <c r="V236" s="1006">
        <f>IFERROR(IF(OR(A236="",U236="",U236=0,J236=""),"",J236/U236),"")</f>
        <v/>
      </c>
      <c r="W236" s="1006">
        <f>IFERROR(IF(V236="","",V236*12),"")</f>
        <v/>
      </c>
      <c r="X236">
        <f>IF(AND(E236&lt;&gt;"",E236&lt;&gt;"Vacant",E236&lt;&gt;"Reserved",C236&lt;&gt;"",D236&lt;&gt;""),C236&amp;"|"&amp;D236,"")</f>
        <v/>
      </c>
      <c r="Y236">
        <f>IF(AND(C236&lt;&gt;"",D236&lt;&gt;""),C236&amp;"|"&amp;D236,"")</f>
        <v/>
      </c>
      <c r="AA236" s="421">
        <f>IFERROR(IF(OR(A236="",I236="",J236=""),"",I236-J236),"")</f>
        <v/>
      </c>
      <c r="AB236" s="479">
        <f>IFERROR(IF(OR(AA236="",I236=0,I236=""),"",AA236/I236),"")</f>
        <v/>
      </c>
      <c r="AC236" s="421" t="n"/>
      <c r="AD236" s="462" t="n"/>
      <c r="AE236" s="421" t="n"/>
      <c r="AF236" s="421" t="n"/>
      <c r="AG236" s="421" t="n"/>
      <c r="AH236" s="421" t="n"/>
      <c r="AI236" s="421" t="n"/>
      <c r="AJ236" s="421" t="n"/>
      <c r="AK236" s="421" t="n"/>
      <c r="AL236" s="421" t="n"/>
      <c r="AM236" s="421" t="n"/>
      <c r="AN236" s="421" t="n"/>
      <c r="AO236" s="483" t="n"/>
      <c r="AP236" s="1007">
        <f>SUM(AJ236:AN236)</f>
        <v/>
      </c>
      <c r="AQ236" s="485" t="n"/>
      <c r="AS236" s="1006" t="n"/>
      <c r="AT236">
        <f t="array" ref="AT236">IF(E236&lt;&gt;"Occupied","",_xlfn.IFS(AND(ISNUMBER(AC236),AC236&lt;&gt;0),"Structured",ISNUMBER(SEARCH("/mo con",T236)),"Notes-parsed",ISNUMBER(SEARCH("step",T236)),"Step-up",ISNUMBER(SEARCH("swap",T236)),"Rate-swap",AND(ISNUMBER(I236),ISNUMBER(J236),I236&gt;J236),"Implied",TRUE,""))</f>
        <v/>
      </c>
      <c r="AU236" s="421" t="n"/>
    </row>
    <row r="237" outlineLevel="1" s="923">
      <c r="G237" s="462" t="n"/>
      <c r="H237" s="462" t="n"/>
      <c r="I237" s="421" t="n"/>
      <c r="J237" s="421" t="n"/>
      <c r="K237" s="421">
        <f>IFERROR(IF(A237="","",N(AE237)+N(AF237)+N(AG237)+N(AH237)),0)</f>
        <v/>
      </c>
      <c r="L237" s="421">
        <f>IFERROR(IF(A237="","",N(J237)+N(K237)),0)</f>
        <v/>
      </c>
      <c r="M237" s="421" t="n"/>
      <c r="N237" s="421" t="n"/>
      <c r="O237" s="421" t="n"/>
      <c r="P237" s="421" t="n"/>
      <c r="Q237" s="421" t="n"/>
      <c r="R237" s="421" t="n"/>
      <c r="U237" s="476" t="n"/>
      <c r="V237" s="1006">
        <f>IFERROR(IF(OR(A237="",U237="",U237=0,J237=""),"",J237/U237),"")</f>
        <v/>
      </c>
      <c r="W237" s="1006">
        <f>IFERROR(IF(V237="","",V237*12),"")</f>
        <v/>
      </c>
      <c r="X237">
        <f>IF(AND(E237&lt;&gt;"",E237&lt;&gt;"Vacant",E237&lt;&gt;"Reserved",C237&lt;&gt;"",D237&lt;&gt;""),C237&amp;"|"&amp;D237,"")</f>
        <v/>
      </c>
      <c r="Y237">
        <f>IF(AND(C237&lt;&gt;"",D237&lt;&gt;""),C237&amp;"|"&amp;D237,"")</f>
        <v/>
      </c>
      <c r="AA237" s="421">
        <f>IFERROR(IF(OR(A237="",I237="",J237=""),"",I237-J237),"")</f>
        <v/>
      </c>
      <c r="AB237" s="479">
        <f>IFERROR(IF(OR(AA237="",I237=0,I237=""),"",AA237/I237),"")</f>
        <v/>
      </c>
      <c r="AC237" s="421" t="n"/>
      <c r="AD237" s="462" t="n"/>
      <c r="AE237" s="421" t="n"/>
      <c r="AF237" s="421" t="n"/>
      <c r="AG237" s="421" t="n"/>
      <c r="AH237" s="421" t="n"/>
      <c r="AI237" s="421" t="n"/>
      <c r="AJ237" s="421" t="n"/>
      <c r="AK237" s="421" t="n"/>
      <c r="AL237" s="421" t="n"/>
      <c r="AM237" s="421" t="n"/>
      <c r="AN237" s="421" t="n"/>
      <c r="AO237" s="483" t="n"/>
      <c r="AP237" s="1007">
        <f>SUM(AJ237:AN237)</f>
        <v/>
      </c>
      <c r="AQ237" s="485" t="n"/>
      <c r="AS237" s="1006" t="n"/>
      <c r="AT237">
        <f t="array" ref="AT237">IF(E237&lt;&gt;"Occupied","",_xlfn.IFS(AND(ISNUMBER(AC237),AC237&lt;&gt;0),"Structured",ISNUMBER(SEARCH("/mo con",T237)),"Notes-parsed",ISNUMBER(SEARCH("step",T237)),"Step-up",ISNUMBER(SEARCH("swap",T237)),"Rate-swap",AND(ISNUMBER(I237),ISNUMBER(J237),I237&gt;J237),"Implied",TRUE,""))</f>
        <v/>
      </c>
      <c r="AU237" s="421" t="n"/>
    </row>
    <row r="238" outlineLevel="1" s="923">
      <c r="G238" s="462" t="n"/>
      <c r="H238" s="462" t="n"/>
      <c r="I238" s="421" t="n"/>
      <c r="J238" s="421" t="n"/>
      <c r="K238" s="421">
        <f>IFERROR(IF(A238="","",N(AE238)+N(AF238)+N(AG238)+N(AH238)),0)</f>
        <v/>
      </c>
      <c r="L238" s="421">
        <f>IFERROR(IF(A238="","",N(J238)+N(K238)),0)</f>
        <v/>
      </c>
      <c r="M238" s="421" t="n"/>
      <c r="N238" s="421" t="n"/>
      <c r="O238" s="421" t="n"/>
      <c r="P238" s="421" t="n"/>
      <c r="Q238" s="421" t="n"/>
      <c r="R238" s="421" t="n"/>
      <c r="U238" s="476" t="n"/>
      <c r="V238" s="1006">
        <f>IFERROR(IF(OR(A238="",U238="",U238=0,J238=""),"",J238/U238),"")</f>
        <v/>
      </c>
      <c r="W238" s="1006">
        <f>IFERROR(IF(V238="","",V238*12),"")</f>
        <v/>
      </c>
      <c r="X238">
        <f>IF(AND(E238&lt;&gt;"",E238&lt;&gt;"Vacant",E238&lt;&gt;"Reserved",C238&lt;&gt;"",D238&lt;&gt;""),C238&amp;"|"&amp;D238,"")</f>
        <v/>
      </c>
      <c r="Y238">
        <f>IF(AND(C238&lt;&gt;"",D238&lt;&gt;""),C238&amp;"|"&amp;D238,"")</f>
        <v/>
      </c>
      <c r="AA238" s="421">
        <f>IFERROR(IF(OR(A238="",I238="",J238=""),"",I238-J238),"")</f>
        <v/>
      </c>
      <c r="AB238" s="479">
        <f>IFERROR(IF(OR(AA238="",I238=0,I238=""),"",AA238/I238),"")</f>
        <v/>
      </c>
      <c r="AC238" s="421" t="n"/>
      <c r="AD238" s="462" t="n"/>
      <c r="AE238" s="421" t="n"/>
      <c r="AF238" s="421" t="n"/>
      <c r="AG238" s="421" t="n"/>
      <c r="AH238" s="421" t="n"/>
      <c r="AI238" s="421" t="n"/>
      <c r="AJ238" s="421" t="n"/>
      <c r="AK238" s="421" t="n"/>
      <c r="AL238" s="421" t="n"/>
      <c r="AM238" s="421" t="n"/>
      <c r="AN238" s="421" t="n"/>
      <c r="AO238" s="483" t="n"/>
      <c r="AP238" s="1007">
        <f>SUM(AJ238:AN238)</f>
        <v/>
      </c>
      <c r="AQ238" s="485" t="n"/>
      <c r="AS238" s="1006" t="n"/>
      <c r="AT238">
        <f t="array" ref="AT238">IF(E238&lt;&gt;"Occupied","",_xlfn.IFS(AND(ISNUMBER(AC238),AC238&lt;&gt;0),"Structured",ISNUMBER(SEARCH("/mo con",T238)),"Notes-parsed",ISNUMBER(SEARCH("step",T238)),"Step-up",ISNUMBER(SEARCH("swap",T238)),"Rate-swap",AND(ISNUMBER(I238),ISNUMBER(J238),I238&gt;J238),"Implied",TRUE,""))</f>
        <v/>
      </c>
      <c r="AU238" s="421" t="n"/>
    </row>
    <row r="239" outlineLevel="1" s="923">
      <c r="G239" s="462" t="n"/>
      <c r="H239" s="462" t="n"/>
      <c r="I239" s="421" t="n"/>
      <c r="J239" s="421" t="n"/>
      <c r="K239" s="421">
        <f>IFERROR(IF(A239="","",N(AE239)+N(AF239)+N(AG239)+N(AH239)),0)</f>
        <v/>
      </c>
      <c r="L239" s="421">
        <f>IFERROR(IF(A239="","",N(J239)+N(K239)),0)</f>
        <v/>
      </c>
      <c r="M239" s="421" t="n"/>
      <c r="N239" s="421" t="n"/>
      <c r="O239" s="421" t="n"/>
      <c r="P239" s="421" t="n"/>
      <c r="Q239" s="421" t="n"/>
      <c r="R239" s="421" t="n"/>
      <c r="U239" s="476" t="n"/>
      <c r="V239" s="1006">
        <f>IFERROR(IF(OR(A239="",U239="",U239=0,J239=""),"",J239/U239),"")</f>
        <v/>
      </c>
      <c r="W239" s="1006">
        <f>IFERROR(IF(V239="","",V239*12),"")</f>
        <v/>
      </c>
      <c r="X239">
        <f>IF(AND(E239&lt;&gt;"",E239&lt;&gt;"Vacant",E239&lt;&gt;"Reserved",C239&lt;&gt;"",D239&lt;&gt;""),C239&amp;"|"&amp;D239,"")</f>
        <v/>
      </c>
      <c r="Y239">
        <f>IF(AND(C239&lt;&gt;"",D239&lt;&gt;""),C239&amp;"|"&amp;D239,"")</f>
        <v/>
      </c>
      <c r="AA239" s="421">
        <f>IFERROR(IF(OR(A239="",I239="",J239=""),"",I239-J239),"")</f>
        <v/>
      </c>
      <c r="AB239" s="479">
        <f>IFERROR(IF(OR(AA239="",I239=0,I239=""),"",AA239/I239),"")</f>
        <v/>
      </c>
      <c r="AC239" s="421" t="n"/>
      <c r="AD239" s="462" t="n"/>
      <c r="AE239" s="421" t="n"/>
      <c r="AF239" s="421" t="n"/>
      <c r="AG239" s="421" t="n"/>
      <c r="AH239" s="421" t="n"/>
      <c r="AI239" s="421" t="n"/>
      <c r="AJ239" s="421" t="n"/>
      <c r="AK239" s="421" t="n"/>
      <c r="AL239" s="421" t="n"/>
      <c r="AM239" s="421" t="n"/>
      <c r="AN239" s="421" t="n"/>
      <c r="AO239" s="483" t="n"/>
      <c r="AP239" s="1007">
        <f>SUM(AJ239:AN239)</f>
        <v/>
      </c>
      <c r="AQ239" s="485" t="n"/>
      <c r="AS239" s="1006" t="n"/>
      <c r="AT239">
        <f t="array" ref="AT239">IF(E239&lt;&gt;"Occupied","",_xlfn.IFS(AND(ISNUMBER(AC239),AC239&lt;&gt;0),"Structured",ISNUMBER(SEARCH("/mo con",T239)),"Notes-parsed",ISNUMBER(SEARCH("step",T239)),"Step-up",ISNUMBER(SEARCH("swap",T239)),"Rate-swap",AND(ISNUMBER(I239),ISNUMBER(J239),I239&gt;J239),"Implied",TRUE,""))</f>
        <v/>
      </c>
      <c r="AU239" s="421" t="n"/>
    </row>
    <row r="240" outlineLevel="1" s="923">
      <c r="G240" s="462" t="n"/>
      <c r="H240" s="462" t="n"/>
      <c r="I240" s="421" t="n"/>
      <c r="J240" s="421" t="n"/>
      <c r="K240" s="421">
        <f>IFERROR(IF(A240="","",N(AE240)+N(AF240)+N(AG240)+N(AH240)),0)</f>
        <v/>
      </c>
      <c r="L240" s="421">
        <f>IFERROR(IF(A240="","",N(J240)+N(K240)),0)</f>
        <v/>
      </c>
      <c r="M240" s="421" t="n"/>
      <c r="N240" s="421" t="n"/>
      <c r="O240" s="421" t="n"/>
      <c r="P240" s="421" t="n"/>
      <c r="Q240" s="421" t="n"/>
      <c r="R240" s="421" t="n"/>
      <c r="U240" s="476" t="n"/>
      <c r="V240" s="1006">
        <f>IFERROR(IF(OR(A240="",U240="",U240=0,J240=""),"",J240/U240),"")</f>
        <v/>
      </c>
      <c r="W240" s="1006">
        <f>IFERROR(IF(V240="","",V240*12),"")</f>
        <v/>
      </c>
      <c r="X240">
        <f>IF(AND(E240&lt;&gt;"",E240&lt;&gt;"Vacant",E240&lt;&gt;"Reserved",C240&lt;&gt;"",D240&lt;&gt;""),C240&amp;"|"&amp;D240,"")</f>
        <v/>
      </c>
      <c r="Y240">
        <f>IF(AND(C240&lt;&gt;"",D240&lt;&gt;""),C240&amp;"|"&amp;D240,"")</f>
        <v/>
      </c>
      <c r="AA240" s="421">
        <f>IFERROR(IF(OR(A240="",I240="",J240=""),"",I240-J240),"")</f>
        <v/>
      </c>
      <c r="AB240" s="479">
        <f>IFERROR(IF(OR(AA240="",I240=0,I240=""),"",AA240/I240),"")</f>
        <v/>
      </c>
      <c r="AC240" s="421" t="n"/>
      <c r="AD240" s="462" t="n"/>
      <c r="AE240" s="421" t="n"/>
      <c r="AF240" s="421" t="n"/>
      <c r="AG240" s="421" t="n"/>
      <c r="AH240" s="421" t="n"/>
      <c r="AI240" s="421" t="n"/>
      <c r="AJ240" s="421" t="n"/>
      <c r="AK240" s="421" t="n"/>
      <c r="AL240" s="421" t="n"/>
      <c r="AM240" s="421" t="n"/>
      <c r="AN240" s="421" t="n"/>
      <c r="AO240" s="483" t="n"/>
      <c r="AP240" s="1007">
        <f>SUM(AJ240:AN240)</f>
        <v/>
      </c>
      <c r="AQ240" s="485" t="n"/>
      <c r="AS240" s="1006" t="n"/>
      <c r="AT240">
        <f t="array" ref="AT240">IF(E240&lt;&gt;"Occupied","",_xlfn.IFS(AND(ISNUMBER(AC240),AC240&lt;&gt;0),"Structured",ISNUMBER(SEARCH("/mo con",T240)),"Notes-parsed",ISNUMBER(SEARCH("step",T240)),"Step-up",ISNUMBER(SEARCH("swap",T240)),"Rate-swap",AND(ISNUMBER(I240),ISNUMBER(J240),I240&gt;J240),"Implied",TRUE,""))</f>
        <v/>
      </c>
      <c r="AU240" s="421" t="n"/>
    </row>
    <row r="241" outlineLevel="1" s="923">
      <c r="G241" s="462" t="n"/>
      <c r="H241" s="462" t="n"/>
      <c r="I241" s="421" t="n"/>
      <c r="J241" s="421" t="n"/>
      <c r="K241" s="421">
        <f>IFERROR(IF(A241="","",N(AE241)+N(AF241)+N(AG241)+N(AH241)),0)</f>
        <v/>
      </c>
      <c r="L241" s="421">
        <f>IFERROR(IF(A241="","",N(J241)+N(K241)),0)</f>
        <v/>
      </c>
      <c r="M241" s="421" t="n"/>
      <c r="N241" s="421" t="n"/>
      <c r="O241" s="421" t="n"/>
      <c r="P241" s="421" t="n"/>
      <c r="Q241" s="421" t="n"/>
      <c r="R241" s="421" t="n"/>
      <c r="U241" s="476" t="n"/>
      <c r="V241" s="1006">
        <f>IFERROR(IF(OR(A241="",U241="",U241=0,J241=""),"",J241/U241),"")</f>
        <v/>
      </c>
      <c r="W241" s="1006">
        <f>IFERROR(IF(V241="","",V241*12),"")</f>
        <v/>
      </c>
      <c r="X241">
        <f>IF(AND(E241&lt;&gt;"",E241&lt;&gt;"Vacant",E241&lt;&gt;"Reserved",C241&lt;&gt;"",D241&lt;&gt;""),C241&amp;"|"&amp;D241,"")</f>
        <v/>
      </c>
      <c r="Y241">
        <f>IF(AND(C241&lt;&gt;"",D241&lt;&gt;""),C241&amp;"|"&amp;D241,"")</f>
        <v/>
      </c>
      <c r="AA241" s="421">
        <f>IFERROR(IF(OR(A241="",I241="",J241=""),"",I241-J241),"")</f>
        <v/>
      </c>
      <c r="AB241" s="479">
        <f>IFERROR(IF(OR(AA241="",I241=0,I241=""),"",AA241/I241),"")</f>
        <v/>
      </c>
      <c r="AC241" s="421" t="n"/>
      <c r="AD241" s="462" t="n"/>
      <c r="AE241" s="421" t="n"/>
      <c r="AF241" s="421" t="n"/>
      <c r="AG241" s="421" t="n"/>
      <c r="AH241" s="421" t="n"/>
      <c r="AI241" s="421" t="n"/>
      <c r="AJ241" s="421" t="n"/>
      <c r="AK241" s="421" t="n"/>
      <c r="AL241" s="421" t="n"/>
      <c r="AM241" s="421" t="n"/>
      <c r="AN241" s="421" t="n"/>
      <c r="AO241" s="483" t="n"/>
      <c r="AP241" s="1007">
        <f>SUM(AJ241:AN241)</f>
        <v/>
      </c>
      <c r="AQ241" s="485" t="n"/>
      <c r="AS241" s="1006" t="n"/>
      <c r="AT241">
        <f t="array" ref="AT241">IF(E241&lt;&gt;"Occupied","",_xlfn.IFS(AND(ISNUMBER(AC241),AC241&lt;&gt;0),"Structured",ISNUMBER(SEARCH("/mo con",T241)),"Notes-parsed",ISNUMBER(SEARCH("step",T241)),"Step-up",ISNUMBER(SEARCH("swap",T241)),"Rate-swap",AND(ISNUMBER(I241),ISNUMBER(J241),I241&gt;J241),"Implied",TRUE,""))</f>
        <v/>
      </c>
      <c r="AU241" s="421" t="n"/>
    </row>
    <row r="242" outlineLevel="1" s="923">
      <c r="G242" s="462" t="n"/>
      <c r="H242" s="462" t="n"/>
      <c r="I242" s="421" t="n"/>
      <c r="J242" s="421" t="n"/>
      <c r="K242" s="421">
        <f>IFERROR(IF(A242="","",N(AE242)+N(AF242)+N(AG242)+N(AH242)),0)</f>
        <v/>
      </c>
      <c r="L242" s="421">
        <f>IFERROR(IF(A242="","",N(J242)+N(K242)),0)</f>
        <v/>
      </c>
      <c r="M242" s="421" t="n"/>
      <c r="N242" s="421" t="n"/>
      <c r="O242" s="421" t="n"/>
      <c r="P242" s="421" t="n"/>
      <c r="Q242" s="421" t="n"/>
      <c r="R242" s="421" t="n"/>
      <c r="U242" s="476" t="n"/>
      <c r="V242" s="1006">
        <f>IFERROR(IF(OR(A242="",U242="",U242=0,J242=""),"",J242/U242),"")</f>
        <v/>
      </c>
      <c r="W242" s="1006">
        <f>IFERROR(IF(V242="","",V242*12),"")</f>
        <v/>
      </c>
      <c r="X242">
        <f>IF(AND(E242&lt;&gt;"",E242&lt;&gt;"Vacant",E242&lt;&gt;"Reserved",C242&lt;&gt;"",D242&lt;&gt;""),C242&amp;"|"&amp;D242,"")</f>
        <v/>
      </c>
      <c r="Y242">
        <f>IF(AND(C242&lt;&gt;"",D242&lt;&gt;""),C242&amp;"|"&amp;D242,"")</f>
        <v/>
      </c>
      <c r="AA242" s="421">
        <f>IFERROR(IF(OR(A242="",I242="",J242=""),"",I242-J242),"")</f>
        <v/>
      </c>
      <c r="AB242" s="479">
        <f>IFERROR(IF(OR(AA242="",I242=0,I242=""),"",AA242/I242),"")</f>
        <v/>
      </c>
      <c r="AC242" s="421" t="n"/>
      <c r="AD242" s="462" t="n"/>
      <c r="AE242" s="421" t="n"/>
      <c r="AF242" s="421" t="n"/>
      <c r="AG242" s="421" t="n"/>
      <c r="AH242" s="421" t="n"/>
      <c r="AI242" s="421" t="n"/>
      <c r="AJ242" s="421" t="n"/>
      <c r="AK242" s="421" t="n"/>
      <c r="AL242" s="421" t="n"/>
      <c r="AM242" s="421" t="n"/>
      <c r="AN242" s="421" t="n"/>
      <c r="AO242" s="483" t="n"/>
      <c r="AP242" s="1007">
        <f>SUM(AJ242:AN242)</f>
        <v/>
      </c>
      <c r="AQ242" s="485" t="n"/>
      <c r="AS242" s="1006" t="n"/>
      <c r="AT242">
        <f t="array" ref="AT242">IF(E242&lt;&gt;"Occupied","",_xlfn.IFS(AND(ISNUMBER(AC242),AC242&lt;&gt;0),"Structured",ISNUMBER(SEARCH("/mo con",T242)),"Notes-parsed",ISNUMBER(SEARCH("step",T242)),"Step-up",ISNUMBER(SEARCH("swap",T242)),"Rate-swap",AND(ISNUMBER(I242),ISNUMBER(J242),I242&gt;J242),"Implied",TRUE,""))</f>
        <v/>
      </c>
      <c r="AU242" s="421" t="n"/>
    </row>
    <row r="243" outlineLevel="1" s="923">
      <c r="G243" s="462" t="n"/>
      <c r="H243" s="462" t="n"/>
      <c r="I243" s="421" t="n"/>
      <c r="J243" s="421" t="n"/>
      <c r="K243" s="421">
        <f>IFERROR(IF(A243="","",N(AE243)+N(AF243)+N(AG243)+N(AH243)),0)</f>
        <v/>
      </c>
      <c r="L243" s="421">
        <f>IFERROR(IF(A243="","",N(J243)+N(K243)),0)</f>
        <v/>
      </c>
      <c r="M243" s="421" t="n"/>
      <c r="N243" s="421" t="n"/>
      <c r="O243" s="421" t="n"/>
      <c r="P243" s="421" t="n"/>
      <c r="Q243" s="421" t="n"/>
      <c r="R243" s="421" t="n"/>
      <c r="U243" s="476" t="n"/>
      <c r="V243" s="1006">
        <f>IFERROR(IF(OR(A243="",U243="",U243=0,J243=""),"",J243/U243),"")</f>
        <v/>
      </c>
      <c r="W243" s="1006">
        <f>IFERROR(IF(V243="","",V243*12),"")</f>
        <v/>
      </c>
      <c r="X243">
        <f>IF(AND(E243&lt;&gt;"",E243&lt;&gt;"Vacant",E243&lt;&gt;"Reserved",C243&lt;&gt;"",D243&lt;&gt;""),C243&amp;"|"&amp;D243,"")</f>
        <v/>
      </c>
      <c r="Y243">
        <f>IF(AND(C243&lt;&gt;"",D243&lt;&gt;""),C243&amp;"|"&amp;D243,"")</f>
        <v/>
      </c>
      <c r="AA243" s="421">
        <f>IFERROR(IF(OR(A243="",I243="",J243=""),"",I243-J243),"")</f>
        <v/>
      </c>
      <c r="AB243" s="479">
        <f>IFERROR(IF(OR(AA243="",I243=0,I243=""),"",AA243/I243),"")</f>
        <v/>
      </c>
      <c r="AC243" s="421" t="n"/>
      <c r="AD243" s="462" t="n"/>
      <c r="AE243" s="421" t="n"/>
      <c r="AF243" s="421" t="n"/>
      <c r="AG243" s="421" t="n"/>
      <c r="AH243" s="421" t="n"/>
      <c r="AI243" s="421" t="n"/>
      <c r="AJ243" s="421" t="n"/>
      <c r="AK243" s="421" t="n"/>
      <c r="AL243" s="421" t="n"/>
      <c r="AM243" s="421" t="n"/>
      <c r="AN243" s="421" t="n"/>
      <c r="AO243" s="483" t="n"/>
      <c r="AP243" s="1007">
        <f>SUM(AJ243:AN243)</f>
        <v/>
      </c>
      <c r="AQ243" s="485" t="n"/>
      <c r="AS243" s="1006" t="n"/>
      <c r="AT243">
        <f t="array" ref="AT243">IF(E243&lt;&gt;"Occupied","",_xlfn.IFS(AND(ISNUMBER(AC243),AC243&lt;&gt;0),"Structured",ISNUMBER(SEARCH("/mo con",T243)),"Notes-parsed",ISNUMBER(SEARCH("step",T243)),"Step-up",ISNUMBER(SEARCH("swap",T243)),"Rate-swap",AND(ISNUMBER(I243),ISNUMBER(J243),I243&gt;J243),"Implied",TRUE,""))</f>
        <v/>
      </c>
      <c r="AU243" s="421" t="n"/>
    </row>
    <row r="244" outlineLevel="1" s="923">
      <c r="G244" s="462" t="n"/>
      <c r="H244" s="462" t="n"/>
      <c r="I244" s="421" t="n"/>
      <c r="J244" s="421" t="n"/>
      <c r="K244" s="421">
        <f>IFERROR(IF(A244="","",N(AE244)+N(AF244)+N(AG244)+N(AH244)),0)</f>
        <v/>
      </c>
      <c r="L244" s="421">
        <f>IFERROR(IF(A244="","",N(J244)+N(K244)),0)</f>
        <v/>
      </c>
      <c r="M244" s="421" t="n"/>
      <c r="N244" s="421" t="n"/>
      <c r="O244" s="421" t="n"/>
      <c r="P244" s="421" t="n"/>
      <c r="Q244" s="421" t="n"/>
      <c r="R244" s="421" t="n"/>
      <c r="U244" s="476" t="n"/>
      <c r="V244" s="1006">
        <f>IFERROR(IF(OR(A244="",U244="",U244=0,J244=""),"",J244/U244),"")</f>
        <v/>
      </c>
      <c r="W244" s="1006">
        <f>IFERROR(IF(V244="","",V244*12),"")</f>
        <v/>
      </c>
      <c r="X244">
        <f>IF(AND(E244&lt;&gt;"",E244&lt;&gt;"Vacant",E244&lt;&gt;"Reserved",C244&lt;&gt;"",D244&lt;&gt;""),C244&amp;"|"&amp;D244,"")</f>
        <v/>
      </c>
      <c r="Y244">
        <f>IF(AND(C244&lt;&gt;"",D244&lt;&gt;""),C244&amp;"|"&amp;D244,"")</f>
        <v/>
      </c>
      <c r="AA244" s="421">
        <f>IFERROR(IF(OR(A244="",I244="",J244=""),"",I244-J244),"")</f>
        <v/>
      </c>
      <c r="AB244" s="479">
        <f>IFERROR(IF(OR(AA244="",I244=0,I244=""),"",AA244/I244),"")</f>
        <v/>
      </c>
      <c r="AC244" s="421" t="n"/>
      <c r="AD244" s="462" t="n"/>
      <c r="AE244" s="421" t="n"/>
      <c r="AF244" s="421" t="n"/>
      <c r="AG244" s="421" t="n"/>
      <c r="AH244" s="421" t="n"/>
      <c r="AI244" s="421" t="n"/>
      <c r="AJ244" s="421" t="n"/>
      <c r="AK244" s="421" t="n"/>
      <c r="AL244" s="421" t="n"/>
      <c r="AM244" s="421" t="n"/>
      <c r="AN244" s="421" t="n"/>
      <c r="AO244" s="483" t="n"/>
      <c r="AP244" s="1007">
        <f>SUM(AJ244:AN244)</f>
        <v/>
      </c>
      <c r="AQ244" s="485" t="n"/>
      <c r="AS244" s="1006" t="n"/>
      <c r="AT244">
        <f t="array" ref="AT244">IF(E244&lt;&gt;"Occupied","",_xlfn.IFS(AND(ISNUMBER(AC244),AC244&lt;&gt;0),"Structured",ISNUMBER(SEARCH("/mo con",T244)),"Notes-parsed",ISNUMBER(SEARCH("step",T244)),"Step-up",ISNUMBER(SEARCH("swap",T244)),"Rate-swap",AND(ISNUMBER(I244),ISNUMBER(J244),I244&gt;J244),"Implied",TRUE,""))</f>
        <v/>
      </c>
      <c r="AU244" s="421" t="n"/>
    </row>
    <row r="245" outlineLevel="1" s="923">
      <c r="G245" s="462" t="n"/>
      <c r="H245" s="462" t="n"/>
      <c r="I245" s="421" t="n"/>
      <c r="J245" s="421" t="n"/>
      <c r="K245" s="421">
        <f>IFERROR(IF(A245="","",N(AE245)+N(AF245)+N(AG245)+N(AH245)),0)</f>
        <v/>
      </c>
      <c r="L245" s="421">
        <f>IFERROR(IF(A245="","",N(J245)+N(K245)),0)</f>
        <v/>
      </c>
      <c r="M245" s="421" t="n"/>
      <c r="N245" s="421" t="n"/>
      <c r="O245" s="421" t="n"/>
      <c r="P245" s="421" t="n"/>
      <c r="Q245" s="421" t="n"/>
      <c r="R245" s="421" t="n"/>
      <c r="U245" s="476" t="n"/>
      <c r="V245" s="1006">
        <f>IFERROR(IF(OR(A245="",U245="",U245=0,J245=""),"",J245/U245),"")</f>
        <v/>
      </c>
      <c r="W245" s="1006">
        <f>IFERROR(IF(V245="","",V245*12),"")</f>
        <v/>
      </c>
      <c r="X245">
        <f>IF(AND(E245&lt;&gt;"",E245&lt;&gt;"Vacant",E245&lt;&gt;"Reserved",C245&lt;&gt;"",D245&lt;&gt;""),C245&amp;"|"&amp;D245,"")</f>
        <v/>
      </c>
      <c r="Y245">
        <f>IF(AND(C245&lt;&gt;"",D245&lt;&gt;""),C245&amp;"|"&amp;D245,"")</f>
        <v/>
      </c>
      <c r="AA245" s="421">
        <f>IFERROR(IF(OR(A245="",I245="",J245=""),"",I245-J245),"")</f>
        <v/>
      </c>
      <c r="AB245" s="479">
        <f>IFERROR(IF(OR(AA245="",I245=0,I245=""),"",AA245/I245),"")</f>
        <v/>
      </c>
      <c r="AC245" s="421" t="n"/>
      <c r="AD245" s="462" t="n"/>
      <c r="AE245" s="421" t="n"/>
      <c r="AF245" s="421" t="n"/>
      <c r="AG245" s="421" t="n"/>
      <c r="AH245" s="421" t="n"/>
      <c r="AI245" s="421" t="n"/>
      <c r="AJ245" s="421" t="n"/>
      <c r="AK245" s="421" t="n"/>
      <c r="AL245" s="421" t="n"/>
      <c r="AM245" s="421" t="n"/>
      <c r="AN245" s="421" t="n"/>
      <c r="AO245" s="483" t="n"/>
      <c r="AP245" s="1007">
        <f>SUM(AJ245:AN245)</f>
        <v/>
      </c>
      <c r="AQ245" s="485" t="n"/>
      <c r="AS245" s="1006" t="n"/>
      <c r="AT245">
        <f t="array" ref="AT245">IF(E245&lt;&gt;"Occupied","",_xlfn.IFS(AND(ISNUMBER(AC245),AC245&lt;&gt;0),"Structured",ISNUMBER(SEARCH("/mo con",T245)),"Notes-parsed",ISNUMBER(SEARCH("step",T245)),"Step-up",ISNUMBER(SEARCH("swap",T245)),"Rate-swap",AND(ISNUMBER(I245),ISNUMBER(J245),I245&gt;J245),"Implied",TRUE,""))</f>
        <v/>
      </c>
      <c r="AU245" s="421" t="n"/>
    </row>
    <row r="246" outlineLevel="1" s="923">
      <c r="G246" s="462" t="n"/>
      <c r="H246" s="462" t="n"/>
      <c r="I246" s="421" t="n"/>
      <c r="J246" s="421" t="n"/>
      <c r="K246" s="421">
        <f>IFERROR(IF(A246="","",N(AE246)+N(AF246)+N(AG246)+N(AH246)),0)</f>
        <v/>
      </c>
      <c r="L246" s="421">
        <f>IFERROR(IF(A246="","",N(J246)+N(K246)),0)</f>
        <v/>
      </c>
      <c r="M246" s="421" t="n"/>
      <c r="N246" s="421" t="n"/>
      <c r="O246" s="421" t="n"/>
      <c r="P246" s="421" t="n"/>
      <c r="Q246" s="421" t="n"/>
      <c r="R246" s="421" t="n"/>
      <c r="U246" s="476" t="n"/>
      <c r="V246" s="1006">
        <f>IFERROR(IF(OR(A246="",U246="",U246=0,J246=""),"",J246/U246),"")</f>
        <v/>
      </c>
      <c r="W246" s="1006">
        <f>IFERROR(IF(V246="","",V246*12),"")</f>
        <v/>
      </c>
      <c r="X246">
        <f>IF(AND(E246&lt;&gt;"",E246&lt;&gt;"Vacant",E246&lt;&gt;"Reserved",C246&lt;&gt;"",D246&lt;&gt;""),C246&amp;"|"&amp;D246,"")</f>
        <v/>
      </c>
      <c r="Y246">
        <f>IF(AND(C246&lt;&gt;"",D246&lt;&gt;""),C246&amp;"|"&amp;D246,"")</f>
        <v/>
      </c>
      <c r="AA246" s="421">
        <f>IFERROR(IF(OR(A246="",I246="",J246=""),"",I246-J246),"")</f>
        <v/>
      </c>
      <c r="AB246" s="479">
        <f>IFERROR(IF(OR(AA246="",I246=0,I246=""),"",AA246/I246),"")</f>
        <v/>
      </c>
      <c r="AC246" s="421" t="n"/>
      <c r="AD246" s="462" t="n"/>
      <c r="AE246" s="421" t="n"/>
      <c r="AF246" s="421" t="n"/>
      <c r="AG246" s="421" t="n"/>
      <c r="AH246" s="421" t="n"/>
      <c r="AI246" s="421" t="n"/>
      <c r="AJ246" s="421" t="n"/>
      <c r="AK246" s="421" t="n"/>
      <c r="AL246" s="421" t="n"/>
      <c r="AM246" s="421" t="n"/>
      <c r="AN246" s="421" t="n"/>
      <c r="AO246" s="483" t="n"/>
      <c r="AP246" s="1007">
        <f>SUM(AJ246:AN246)</f>
        <v/>
      </c>
      <c r="AQ246" s="485" t="n"/>
      <c r="AS246" s="1006" t="n"/>
      <c r="AT246">
        <f t="array" ref="AT246">IF(E246&lt;&gt;"Occupied","",_xlfn.IFS(AND(ISNUMBER(AC246),AC246&lt;&gt;0),"Structured",ISNUMBER(SEARCH("/mo con",T246)),"Notes-parsed",ISNUMBER(SEARCH("step",T246)),"Step-up",ISNUMBER(SEARCH("swap",T246)),"Rate-swap",AND(ISNUMBER(I246),ISNUMBER(J246),I246&gt;J246),"Implied",TRUE,""))</f>
        <v/>
      </c>
      <c r="AU246" s="421" t="n"/>
    </row>
    <row r="247" outlineLevel="1" s="923">
      <c r="G247" s="462" t="n"/>
      <c r="H247" s="462" t="n"/>
      <c r="I247" s="421" t="n"/>
      <c r="J247" s="421" t="n"/>
      <c r="K247" s="421">
        <f>IFERROR(IF(A247="","",N(AE247)+N(AF247)+N(AG247)+N(AH247)),0)</f>
        <v/>
      </c>
      <c r="L247" s="421">
        <f>IFERROR(IF(A247="","",N(J247)+N(K247)),0)</f>
        <v/>
      </c>
      <c r="M247" s="421" t="n"/>
      <c r="N247" s="421" t="n"/>
      <c r="O247" s="421" t="n"/>
      <c r="P247" s="421" t="n"/>
      <c r="Q247" s="421" t="n"/>
      <c r="R247" s="421" t="n"/>
      <c r="U247" s="476" t="n"/>
      <c r="V247" s="1006">
        <f>IFERROR(IF(OR(A247="",U247="",U247=0,J247=""),"",J247/U247),"")</f>
        <v/>
      </c>
      <c r="W247" s="1006">
        <f>IFERROR(IF(V247="","",V247*12),"")</f>
        <v/>
      </c>
      <c r="X247">
        <f>IF(AND(E247&lt;&gt;"",E247&lt;&gt;"Vacant",E247&lt;&gt;"Reserved",C247&lt;&gt;"",D247&lt;&gt;""),C247&amp;"|"&amp;D247,"")</f>
        <v/>
      </c>
      <c r="Y247">
        <f>IF(AND(C247&lt;&gt;"",D247&lt;&gt;""),C247&amp;"|"&amp;D247,"")</f>
        <v/>
      </c>
      <c r="AA247" s="421">
        <f>IFERROR(IF(OR(A247="",I247="",J247=""),"",I247-J247),"")</f>
        <v/>
      </c>
      <c r="AB247" s="479">
        <f>IFERROR(IF(OR(AA247="",I247=0,I247=""),"",AA247/I247),"")</f>
        <v/>
      </c>
      <c r="AC247" s="421" t="n"/>
      <c r="AD247" s="462" t="n"/>
      <c r="AE247" s="421" t="n"/>
      <c r="AF247" s="421" t="n"/>
      <c r="AG247" s="421" t="n"/>
      <c r="AH247" s="421" t="n"/>
      <c r="AI247" s="421" t="n"/>
      <c r="AJ247" s="421" t="n"/>
      <c r="AK247" s="421" t="n"/>
      <c r="AL247" s="421" t="n"/>
      <c r="AM247" s="421" t="n"/>
      <c r="AN247" s="421" t="n"/>
      <c r="AO247" s="483" t="n"/>
      <c r="AP247" s="1007">
        <f>SUM(AJ247:AN247)</f>
        <v/>
      </c>
      <c r="AQ247" s="485" t="n"/>
      <c r="AS247" s="1006" t="n"/>
      <c r="AT247">
        <f t="array" ref="AT247">IF(E247&lt;&gt;"Occupied","",_xlfn.IFS(AND(ISNUMBER(AC247),AC247&lt;&gt;0),"Structured",ISNUMBER(SEARCH("/mo con",T247)),"Notes-parsed",ISNUMBER(SEARCH("step",T247)),"Step-up",ISNUMBER(SEARCH("swap",T247)),"Rate-swap",AND(ISNUMBER(I247),ISNUMBER(J247),I247&gt;J247),"Implied",TRUE,""))</f>
        <v/>
      </c>
      <c r="AU247" s="421" t="n"/>
    </row>
    <row r="248" outlineLevel="1" s="923">
      <c r="G248" s="462" t="n"/>
      <c r="H248" s="462" t="n"/>
      <c r="I248" s="421" t="n"/>
      <c r="J248" s="421" t="n"/>
      <c r="K248" s="421">
        <f>IFERROR(IF(A248="","",N(AE248)+N(AF248)+N(AG248)+N(AH248)),0)</f>
        <v/>
      </c>
      <c r="L248" s="421">
        <f>IFERROR(IF(A248="","",N(J248)+N(K248)),0)</f>
        <v/>
      </c>
      <c r="M248" s="421" t="n"/>
      <c r="N248" s="421" t="n"/>
      <c r="O248" s="421" t="n"/>
      <c r="P248" s="421" t="n"/>
      <c r="Q248" s="421" t="n"/>
      <c r="R248" s="421" t="n"/>
      <c r="U248" s="476" t="n"/>
      <c r="V248" s="1006">
        <f>IFERROR(IF(OR(A248="",U248="",U248=0,J248=""),"",J248/U248),"")</f>
        <v/>
      </c>
      <c r="W248" s="1006">
        <f>IFERROR(IF(V248="","",V248*12),"")</f>
        <v/>
      </c>
      <c r="X248">
        <f>IF(AND(E248&lt;&gt;"",E248&lt;&gt;"Vacant",E248&lt;&gt;"Reserved",C248&lt;&gt;"",D248&lt;&gt;""),C248&amp;"|"&amp;D248,"")</f>
        <v/>
      </c>
      <c r="Y248">
        <f>IF(AND(C248&lt;&gt;"",D248&lt;&gt;""),C248&amp;"|"&amp;D248,"")</f>
        <v/>
      </c>
      <c r="AA248" s="421">
        <f>IFERROR(IF(OR(A248="",I248="",J248=""),"",I248-J248),"")</f>
        <v/>
      </c>
      <c r="AB248" s="479">
        <f>IFERROR(IF(OR(AA248="",I248=0,I248=""),"",AA248/I248),"")</f>
        <v/>
      </c>
      <c r="AC248" s="421" t="n"/>
      <c r="AD248" s="462" t="n"/>
      <c r="AE248" s="421" t="n"/>
      <c r="AF248" s="421" t="n"/>
      <c r="AG248" s="421" t="n"/>
      <c r="AH248" s="421" t="n"/>
      <c r="AI248" s="421" t="n"/>
      <c r="AJ248" s="421" t="n"/>
      <c r="AK248" s="421" t="n"/>
      <c r="AL248" s="421" t="n"/>
      <c r="AM248" s="421" t="n"/>
      <c r="AN248" s="421" t="n"/>
      <c r="AO248" s="483" t="n"/>
      <c r="AP248" s="1007">
        <f>SUM(AJ248:AN248)</f>
        <v/>
      </c>
      <c r="AQ248" s="485" t="n"/>
      <c r="AS248" s="1006" t="n"/>
      <c r="AT248">
        <f t="array" ref="AT248">IF(E248&lt;&gt;"Occupied","",_xlfn.IFS(AND(ISNUMBER(AC248),AC248&lt;&gt;0),"Structured",ISNUMBER(SEARCH("/mo con",T248)),"Notes-parsed",ISNUMBER(SEARCH("step",T248)),"Step-up",ISNUMBER(SEARCH("swap",T248)),"Rate-swap",AND(ISNUMBER(I248),ISNUMBER(J248),I248&gt;J248),"Implied",TRUE,""))</f>
        <v/>
      </c>
      <c r="AU248" s="421" t="n"/>
    </row>
    <row r="249" outlineLevel="1" s="923">
      <c r="G249" s="462" t="n"/>
      <c r="H249" s="462" t="n"/>
      <c r="I249" s="421" t="n"/>
      <c r="J249" s="421" t="n"/>
      <c r="K249" s="421">
        <f>IFERROR(IF(A249="","",N(AE249)+N(AF249)+N(AG249)+N(AH249)),0)</f>
        <v/>
      </c>
      <c r="L249" s="421">
        <f>IFERROR(IF(A249="","",N(J249)+N(K249)),0)</f>
        <v/>
      </c>
      <c r="M249" s="421" t="n"/>
      <c r="N249" s="421" t="n"/>
      <c r="O249" s="421" t="n"/>
      <c r="P249" s="421" t="n"/>
      <c r="Q249" s="421" t="n"/>
      <c r="R249" s="421" t="n"/>
      <c r="U249" s="476" t="n"/>
      <c r="V249" s="1006">
        <f>IFERROR(IF(OR(A249="",U249="",U249=0,J249=""),"",J249/U249),"")</f>
        <v/>
      </c>
      <c r="W249" s="1006">
        <f>IFERROR(IF(V249="","",V249*12),"")</f>
        <v/>
      </c>
      <c r="X249">
        <f>IF(AND(E249&lt;&gt;"",E249&lt;&gt;"Vacant",E249&lt;&gt;"Reserved",C249&lt;&gt;"",D249&lt;&gt;""),C249&amp;"|"&amp;D249,"")</f>
        <v/>
      </c>
      <c r="Y249">
        <f>IF(AND(C249&lt;&gt;"",D249&lt;&gt;""),C249&amp;"|"&amp;D249,"")</f>
        <v/>
      </c>
      <c r="AA249" s="421">
        <f>IFERROR(IF(OR(A249="",I249="",J249=""),"",I249-J249),"")</f>
        <v/>
      </c>
      <c r="AB249" s="479">
        <f>IFERROR(IF(OR(AA249="",I249=0,I249=""),"",AA249/I249),"")</f>
        <v/>
      </c>
      <c r="AC249" s="421" t="n"/>
      <c r="AD249" s="462" t="n"/>
      <c r="AE249" s="421" t="n"/>
      <c r="AF249" s="421" t="n"/>
      <c r="AG249" s="421" t="n"/>
      <c r="AH249" s="421" t="n"/>
      <c r="AI249" s="421" t="n"/>
      <c r="AJ249" s="421" t="n"/>
      <c r="AK249" s="421" t="n"/>
      <c r="AL249" s="421" t="n"/>
      <c r="AM249" s="421" t="n"/>
      <c r="AN249" s="421" t="n"/>
      <c r="AO249" s="483" t="n"/>
      <c r="AP249" s="1007">
        <f>SUM(AJ249:AN249)</f>
        <v/>
      </c>
      <c r="AQ249" s="485" t="n"/>
      <c r="AS249" s="1006" t="n"/>
      <c r="AT249">
        <f t="array" ref="AT249">IF(E249&lt;&gt;"Occupied","",_xlfn.IFS(AND(ISNUMBER(AC249),AC249&lt;&gt;0),"Structured",ISNUMBER(SEARCH("/mo con",T249)),"Notes-parsed",ISNUMBER(SEARCH("step",T249)),"Step-up",ISNUMBER(SEARCH("swap",T249)),"Rate-swap",AND(ISNUMBER(I249),ISNUMBER(J249),I249&gt;J249),"Implied",TRUE,""))</f>
        <v/>
      </c>
      <c r="AU249" s="421" t="n"/>
    </row>
    <row r="250" outlineLevel="1" s="923">
      <c r="G250" s="462" t="n"/>
      <c r="H250" s="462" t="n"/>
      <c r="I250" s="421" t="n"/>
      <c r="J250" s="421" t="n"/>
      <c r="K250" s="421">
        <f>IFERROR(IF(A250="","",N(AE250)+N(AF250)+N(AG250)+N(AH250)),0)</f>
        <v/>
      </c>
      <c r="L250" s="421">
        <f>IFERROR(IF(A250="","",N(J250)+N(K250)),0)</f>
        <v/>
      </c>
      <c r="M250" s="421" t="n"/>
      <c r="N250" s="421" t="n"/>
      <c r="O250" s="421" t="n"/>
      <c r="P250" s="421" t="n"/>
      <c r="Q250" s="421" t="n"/>
      <c r="R250" s="421" t="n"/>
      <c r="U250" s="476" t="n"/>
      <c r="V250" s="1006">
        <f>IFERROR(IF(OR(A250="",U250="",U250=0,J250=""),"",J250/U250),"")</f>
        <v/>
      </c>
      <c r="W250" s="1006">
        <f>IFERROR(IF(V250="","",V250*12),"")</f>
        <v/>
      </c>
      <c r="X250">
        <f>IF(AND(E250&lt;&gt;"",E250&lt;&gt;"Vacant",E250&lt;&gt;"Reserved",C250&lt;&gt;"",D250&lt;&gt;""),C250&amp;"|"&amp;D250,"")</f>
        <v/>
      </c>
      <c r="Y250">
        <f>IF(AND(C250&lt;&gt;"",D250&lt;&gt;""),C250&amp;"|"&amp;D250,"")</f>
        <v/>
      </c>
      <c r="AA250" s="421">
        <f>IFERROR(IF(OR(A250="",I250="",J250=""),"",I250-J250),"")</f>
        <v/>
      </c>
      <c r="AB250" s="479">
        <f>IFERROR(IF(OR(AA250="",I250=0,I250=""),"",AA250/I250),"")</f>
        <v/>
      </c>
      <c r="AC250" s="421" t="n"/>
      <c r="AD250" s="462" t="n"/>
      <c r="AE250" s="421" t="n"/>
      <c r="AF250" s="421" t="n"/>
      <c r="AG250" s="421" t="n"/>
      <c r="AH250" s="421" t="n"/>
      <c r="AI250" s="421" t="n"/>
      <c r="AJ250" s="421" t="n"/>
      <c r="AK250" s="421" t="n"/>
      <c r="AL250" s="421" t="n"/>
      <c r="AM250" s="421" t="n"/>
      <c r="AN250" s="421" t="n"/>
      <c r="AO250" s="483" t="n"/>
      <c r="AP250" s="1007">
        <f>SUM(AJ250:AN250)</f>
        <v/>
      </c>
      <c r="AQ250" s="485" t="n"/>
      <c r="AS250" s="1006" t="n"/>
      <c r="AT250">
        <f t="array" ref="AT250">IF(E250&lt;&gt;"Occupied","",_xlfn.IFS(AND(ISNUMBER(AC250),AC250&lt;&gt;0),"Structured",ISNUMBER(SEARCH("/mo con",T250)),"Notes-parsed",ISNUMBER(SEARCH("step",T250)),"Step-up",ISNUMBER(SEARCH("swap",T250)),"Rate-swap",AND(ISNUMBER(I250),ISNUMBER(J250),I250&gt;J250),"Implied",TRUE,""))</f>
        <v/>
      </c>
      <c r="AU250" s="421" t="n"/>
    </row>
    <row r="251" outlineLevel="1" s="923">
      <c r="G251" s="462" t="n"/>
      <c r="H251" s="462" t="n"/>
      <c r="I251" s="421" t="n"/>
      <c r="J251" s="421" t="n"/>
      <c r="K251" s="421">
        <f>IFERROR(IF(A251="","",N(AE251)+N(AF251)+N(AG251)+N(AH251)),0)</f>
        <v/>
      </c>
      <c r="L251" s="421">
        <f>IFERROR(IF(A251="","",N(J251)+N(K251)),0)</f>
        <v/>
      </c>
      <c r="M251" s="421" t="n"/>
      <c r="N251" s="421" t="n"/>
      <c r="O251" s="421" t="n"/>
      <c r="P251" s="421" t="n"/>
      <c r="Q251" s="421" t="n"/>
      <c r="R251" s="421" t="n"/>
      <c r="U251" s="476" t="n"/>
      <c r="V251" s="1006">
        <f>IFERROR(IF(OR(A251="",U251="",U251=0,J251=""),"",J251/U251),"")</f>
        <v/>
      </c>
      <c r="W251" s="1006">
        <f>IFERROR(IF(V251="","",V251*12),"")</f>
        <v/>
      </c>
      <c r="X251">
        <f>IF(AND(E251&lt;&gt;"",E251&lt;&gt;"Vacant",E251&lt;&gt;"Reserved",C251&lt;&gt;"",D251&lt;&gt;""),C251&amp;"|"&amp;D251,"")</f>
        <v/>
      </c>
      <c r="Y251">
        <f>IF(AND(C251&lt;&gt;"",D251&lt;&gt;""),C251&amp;"|"&amp;D251,"")</f>
        <v/>
      </c>
      <c r="AA251" s="421">
        <f>IFERROR(IF(OR(A251="",I251="",J251=""),"",I251-J251),"")</f>
        <v/>
      </c>
      <c r="AB251" s="479">
        <f>IFERROR(IF(OR(AA251="",I251=0,I251=""),"",AA251/I251),"")</f>
        <v/>
      </c>
      <c r="AC251" s="421" t="n"/>
      <c r="AD251" s="462" t="n"/>
      <c r="AE251" s="421" t="n"/>
      <c r="AF251" s="421" t="n"/>
      <c r="AG251" s="421" t="n"/>
      <c r="AH251" s="421" t="n"/>
      <c r="AI251" s="421" t="n"/>
      <c r="AJ251" s="421" t="n"/>
      <c r="AK251" s="421" t="n"/>
      <c r="AL251" s="421" t="n"/>
      <c r="AM251" s="421" t="n"/>
      <c r="AN251" s="421" t="n"/>
      <c r="AO251" s="483" t="n"/>
      <c r="AP251" s="1007">
        <f>SUM(AJ251:AN251)</f>
        <v/>
      </c>
      <c r="AQ251" s="485" t="n"/>
      <c r="AS251" s="1006" t="n"/>
      <c r="AT251">
        <f t="array" ref="AT251">IF(E251&lt;&gt;"Occupied","",_xlfn.IFS(AND(ISNUMBER(AC251),AC251&lt;&gt;0),"Structured",ISNUMBER(SEARCH("/mo con",T251)),"Notes-parsed",ISNUMBER(SEARCH("step",T251)),"Step-up",ISNUMBER(SEARCH("swap",T251)),"Rate-swap",AND(ISNUMBER(I251),ISNUMBER(J251),I251&gt;J251),"Implied",TRUE,""))</f>
        <v/>
      </c>
      <c r="AU251" s="421" t="n"/>
    </row>
    <row r="252" outlineLevel="1" s="923">
      <c r="G252" s="462" t="n"/>
      <c r="H252" s="462" t="n"/>
      <c r="I252" s="421" t="n"/>
      <c r="J252" s="421" t="n"/>
      <c r="K252" s="421">
        <f>IFERROR(IF(A252="","",N(AE252)+N(AF252)+N(AG252)+N(AH252)),0)</f>
        <v/>
      </c>
      <c r="L252" s="421">
        <f>IFERROR(IF(A252="","",N(J252)+N(K252)),0)</f>
        <v/>
      </c>
      <c r="M252" s="421" t="n"/>
      <c r="N252" s="421" t="n"/>
      <c r="O252" s="421" t="n"/>
      <c r="P252" s="421" t="n"/>
      <c r="Q252" s="421" t="n"/>
      <c r="R252" s="421" t="n"/>
      <c r="U252" s="476" t="n"/>
      <c r="V252" s="1006">
        <f>IFERROR(IF(OR(A252="",U252="",U252=0,J252=""),"",J252/U252),"")</f>
        <v/>
      </c>
      <c r="W252" s="1006">
        <f>IFERROR(IF(V252="","",V252*12),"")</f>
        <v/>
      </c>
      <c r="X252">
        <f>IF(AND(E252&lt;&gt;"",E252&lt;&gt;"Vacant",E252&lt;&gt;"Reserved",C252&lt;&gt;"",D252&lt;&gt;""),C252&amp;"|"&amp;D252,"")</f>
        <v/>
      </c>
      <c r="Y252">
        <f>IF(AND(C252&lt;&gt;"",D252&lt;&gt;""),C252&amp;"|"&amp;D252,"")</f>
        <v/>
      </c>
      <c r="AA252" s="421">
        <f>IFERROR(IF(OR(A252="",I252="",J252=""),"",I252-J252),"")</f>
        <v/>
      </c>
      <c r="AB252" s="479">
        <f>IFERROR(IF(OR(AA252="",I252=0,I252=""),"",AA252/I252),"")</f>
        <v/>
      </c>
      <c r="AC252" s="421" t="n"/>
      <c r="AD252" s="462" t="n"/>
      <c r="AE252" s="421" t="n"/>
      <c r="AF252" s="421" t="n"/>
      <c r="AG252" s="421" t="n"/>
      <c r="AH252" s="421" t="n"/>
      <c r="AI252" s="421" t="n"/>
      <c r="AJ252" s="421" t="n"/>
      <c r="AK252" s="421" t="n"/>
      <c r="AL252" s="421" t="n"/>
      <c r="AM252" s="421" t="n"/>
      <c r="AN252" s="421" t="n"/>
      <c r="AO252" s="483" t="n"/>
      <c r="AP252" s="1007">
        <f>SUM(AJ252:AN252)</f>
        <v/>
      </c>
      <c r="AQ252" s="485" t="n"/>
      <c r="AS252" s="1006" t="n"/>
      <c r="AT252">
        <f t="array" ref="AT252">IF(E252&lt;&gt;"Occupied","",_xlfn.IFS(AND(ISNUMBER(AC252),AC252&lt;&gt;0),"Structured",ISNUMBER(SEARCH("/mo con",T252)),"Notes-parsed",ISNUMBER(SEARCH("step",T252)),"Step-up",ISNUMBER(SEARCH("swap",T252)),"Rate-swap",AND(ISNUMBER(I252),ISNUMBER(J252),I252&gt;J252),"Implied",TRUE,""))</f>
        <v/>
      </c>
      <c r="AU252" s="421" t="n"/>
    </row>
    <row r="253" outlineLevel="1" s="923">
      <c r="G253" s="462" t="n"/>
      <c r="H253" s="462" t="n"/>
      <c r="I253" s="421" t="n"/>
      <c r="J253" s="421" t="n"/>
      <c r="K253" s="421">
        <f>IFERROR(IF(A253="","",N(AE253)+N(AF253)+N(AG253)+N(AH253)),0)</f>
        <v/>
      </c>
      <c r="L253" s="421">
        <f>IFERROR(IF(A253="","",N(J253)+N(K253)),0)</f>
        <v/>
      </c>
      <c r="M253" s="421" t="n"/>
      <c r="N253" s="421" t="n"/>
      <c r="O253" s="421" t="n"/>
      <c r="P253" s="421" t="n"/>
      <c r="Q253" s="421" t="n"/>
      <c r="R253" s="421" t="n"/>
      <c r="U253" s="476" t="n"/>
      <c r="V253" s="1006">
        <f>IFERROR(IF(OR(A253="",U253="",U253=0,J253=""),"",J253/U253),"")</f>
        <v/>
      </c>
      <c r="W253" s="1006">
        <f>IFERROR(IF(V253="","",V253*12),"")</f>
        <v/>
      </c>
      <c r="X253">
        <f>IF(AND(E253&lt;&gt;"",E253&lt;&gt;"Vacant",E253&lt;&gt;"Reserved",C253&lt;&gt;"",D253&lt;&gt;""),C253&amp;"|"&amp;D253,"")</f>
        <v/>
      </c>
      <c r="Y253">
        <f>IF(AND(C253&lt;&gt;"",D253&lt;&gt;""),C253&amp;"|"&amp;D253,"")</f>
        <v/>
      </c>
      <c r="AA253" s="421">
        <f>IFERROR(IF(OR(A253="",I253="",J253=""),"",I253-J253),"")</f>
        <v/>
      </c>
      <c r="AB253" s="479">
        <f>IFERROR(IF(OR(AA253="",I253=0,I253=""),"",AA253/I253),"")</f>
        <v/>
      </c>
      <c r="AC253" s="421" t="n"/>
      <c r="AD253" s="462" t="n"/>
      <c r="AE253" s="421" t="n"/>
      <c r="AF253" s="421" t="n"/>
      <c r="AG253" s="421" t="n"/>
      <c r="AH253" s="421" t="n"/>
      <c r="AI253" s="421" t="n"/>
      <c r="AJ253" s="421" t="n"/>
      <c r="AK253" s="421" t="n"/>
      <c r="AL253" s="421" t="n"/>
      <c r="AM253" s="421" t="n"/>
      <c r="AN253" s="421" t="n"/>
      <c r="AO253" s="483" t="n"/>
      <c r="AP253" s="1007">
        <f>SUM(AJ253:AN253)</f>
        <v/>
      </c>
      <c r="AQ253" s="485" t="n"/>
      <c r="AS253" s="1006" t="n"/>
      <c r="AT253">
        <f t="array" ref="AT253">IF(E253&lt;&gt;"Occupied","",_xlfn.IFS(AND(ISNUMBER(AC253),AC253&lt;&gt;0),"Structured",ISNUMBER(SEARCH("/mo con",T253)),"Notes-parsed",ISNUMBER(SEARCH("step",T253)),"Step-up",ISNUMBER(SEARCH("swap",T253)),"Rate-swap",AND(ISNUMBER(I253),ISNUMBER(J253),I253&gt;J253),"Implied",TRUE,""))</f>
        <v/>
      </c>
      <c r="AU253" s="421" t="n"/>
    </row>
    <row r="254" outlineLevel="1" s="923">
      <c r="G254" s="462" t="n"/>
      <c r="H254" s="462" t="n"/>
      <c r="I254" s="421" t="n"/>
      <c r="J254" s="421" t="n"/>
      <c r="K254" s="421">
        <f>IFERROR(IF(A254="","",N(AE254)+N(AF254)+N(AG254)+N(AH254)),0)</f>
        <v/>
      </c>
      <c r="L254" s="421">
        <f>IFERROR(IF(A254="","",N(J254)+N(K254)),0)</f>
        <v/>
      </c>
      <c r="M254" s="421" t="n"/>
      <c r="N254" s="421" t="n"/>
      <c r="O254" s="421" t="n"/>
      <c r="P254" s="421" t="n"/>
      <c r="Q254" s="421" t="n"/>
      <c r="R254" s="421" t="n"/>
      <c r="U254" s="476" t="n"/>
      <c r="V254" s="1006">
        <f>IFERROR(IF(OR(A254="",U254="",U254=0,J254=""),"",J254/U254),"")</f>
        <v/>
      </c>
      <c r="W254" s="1006">
        <f>IFERROR(IF(V254="","",V254*12),"")</f>
        <v/>
      </c>
      <c r="X254">
        <f>IF(AND(E254&lt;&gt;"",E254&lt;&gt;"Vacant",E254&lt;&gt;"Reserved",C254&lt;&gt;"",D254&lt;&gt;""),C254&amp;"|"&amp;D254,"")</f>
        <v/>
      </c>
      <c r="Y254">
        <f>IF(AND(C254&lt;&gt;"",D254&lt;&gt;""),C254&amp;"|"&amp;D254,"")</f>
        <v/>
      </c>
      <c r="AA254" s="421">
        <f>IFERROR(IF(OR(A254="",I254="",J254=""),"",I254-J254),"")</f>
        <v/>
      </c>
      <c r="AB254" s="479">
        <f>IFERROR(IF(OR(AA254="",I254=0,I254=""),"",AA254/I254),"")</f>
        <v/>
      </c>
      <c r="AC254" s="421" t="n"/>
      <c r="AD254" s="462" t="n"/>
      <c r="AE254" s="421" t="n"/>
      <c r="AF254" s="421" t="n"/>
      <c r="AG254" s="421" t="n"/>
      <c r="AH254" s="421" t="n"/>
      <c r="AI254" s="421" t="n"/>
      <c r="AJ254" s="421" t="n"/>
      <c r="AK254" s="421" t="n"/>
      <c r="AL254" s="421" t="n"/>
      <c r="AM254" s="421" t="n"/>
      <c r="AN254" s="421" t="n"/>
      <c r="AO254" s="483" t="n"/>
      <c r="AP254" s="1007">
        <f>SUM(AJ254:AN254)</f>
        <v/>
      </c>
      <c r="AQ254" s="485" t="n"/>
      <c r="AS254" s="1006" t="n"/>
      <c r="AT254">
        <f t="array" ref="AT254">IF(E254&lt;&gt;"Occupied","",_xlfn.IFS(AND(ISNUMBER(AC254),AC254&lt;&gt;0),"Structured",ISNUMBER(SEARCH("/mo con",T254)),"Notes-parsed",ISNUMBER(SEARCH("step",T254)),"Step-up",ISNUMBER(SEARCH("swap",T254)),"Rate-swap",AND(ISNUMBER(I254),ISNUMBER(J254),I254&gt;J254),"Implied",TRUE,""))</f>
        <v/>
      </c>
      <c r="AU254" s="421" t="n"/>
    </row>
    <row r="255" outlineLevel="1" s="923">
      <c r="G255" s="462" t="n"/>
      <c r="H255" s="462" t="n"/>
      <c r="I255" s="421" t="n"/>
      <c r="J255" s="421" t="n"/>
      <c r="K255" s="421">
        <f>IFERROR(IF(A255="","",N(AE255)+N(AF255)+N(AG255)+N(AH255)),0)</f>
        <v/>
      </c>
      <c r="L255" s="421">
        <f>IFERROR(IF(A255="","",N(J255)+N(K255)),0)</f>
        <v/>
      </c>
      <c r="M255" s="421" t="n"/>
      <c r="N255" s="421" t="n"/>
      <c r="O255" s="421" t="n"/>
      <c r="P255" s="421" t="n"/>
      <c r="Q255" s="421" t="n"/>
      <c r="R255" s="421" t="n"/>
      <c r="U255" s="476" t="n"/>
      <c r="V255" s="1006">
        <f>IFERROR(IF(OR(A255="",U255="",U255=0,J255=""),"",J255/U255),"")</f>
        <v/>
      </c>
      <c r="W255" s="1006">
        <f>IFERROR(IF(V255="","",V255*12),"")</f>
        <v/>
      </c>
      <c r="X255">
        <f>IF(AND(E255&lt;&gt;"",E255&lt;&gt;"Vacant",E255&lt;&gt;"Reserved",C255&lt;&gt;"",D255&lt;&gt;""),C255&amp;"|"&amp;D255,"")</f>
        <v/>
      </c>
      <c r="Y255">
        <f>IF(AND(C255&lt;&gt;"",D255&lt;&gt;""),C255&amp;"|"&amp;D255,"")</f>
        <v/>
      </c>
      <c r="AA255" s="421">
        <f>IFERROR(IF(OR(A255="",I255="",J255=""),"",I255-J255),"")</f>
        <v/>
      </c>
      <c r="AB255" s="479">
        <f>IFERROR(IF(OR(AA255="",I255=0,I255=""),"",AA255/I255),"")</f>
        <v/>
      </c>
      <c r="AC255" s="421" t="n"/>
      <c r="AD255" s="462" t="n"/>
      <c r="AE255" s="421" t="n"/>
      <c r="AF255" s="421" t="n"/>
      <c r="AG255" s="421" t="n"/>
      <c r="AH255" s="421" t="n"/>
      <c r="AI255" s="421" t="n"/>
      <c r="AJ255" s="421" t="n"/>
      <c r="AK255" s="421" t="n"/>
      <c r="AL255" s="421" t="n"/>
      <c r="AM255" s="421" t="n"/>
      <c r="AN255" s="421" t="n"/>
      <c r="AO255" s="483" t="n"/>
      <c r="AP255" s="1007">
        <f>SUM(AJ255:AN255)</f>
        <v/>
      </c>
      <c r="AQ255" s="485" t="n"/>
      <c r="AS255" s="1006" t="n"/>
      <c r="AT255">
        <f t="array" ref="AT255">IF(E255&lt;&gt;"Occupied","",_xlfn.IFS(AND(ISNUMBER(AC255),AC255&lt;&gt;0),"Structured",ISNUMBER(SEARCH("/mo con",T255)),"Notes-parsed",ISNUMBER(SEARCH("step",T255)),"Step-up",ISNUMBER(SEARCH("swap",T255)),"Rate-swap",AND(ISNUMBER(I255),ISNUMBER(J255),I255&gt;J255),"Implied",TRUE,""))</f>
        <v/>
      </c>
      <c r="AU255" s="421" t="n"/>
    </row>
    <row r="256" outlineLevel="1" s="923">
      <c r="G256" s="462" t="n"/>
      <c r="H256" s="462" t="n"/>
      <c r="I256" s="421" t="n"/>
      <c r="J256" s="421" t="n"/>
      <c r="K256" s="421">
        <f>IFERROR(IF(A256="","",N(AE256)+N(AF256)+N(AG256)+N(AH256)),0)</f>
        <v/>
      </c>
      <c r="L256" s="421">
        <f>IFERROR(IF(A256="","",N(J256)+N(K256)),0)</f>
        <v/>
      </c>
      <c r="M256" s="421" t="n"/>
      <c r="N256" s="421" t="n"/>
      <c r="O256" s="421" t="n"/>
      <c r="P256" s="421" t="n"/>
      <c r="Q256" s="421" t="n"/>
      <c r="R256" s="421" t="n"/>
      <c r="U256" s="476" t="n"/>
      <c r="V256" s="1006">
        <f>IFERROR(IF(OR(A256="",U256="",U256=0,J256=""),"",J256/U256),"")</f>
        <v/>
      </c>
      <c r="W256" s="1006">
        <f>IFERROR(IF(V256="","",V256*12),"")</f>
        <v/>
      </c>
      <c r="X256">
        <f>IF(AND(E256&lt;&gt;"",E256&lt;&gt;"Vacant",E256&lt;&gt;"Reserved",C256&lt;&gt;"",D256&lt;&gt;""),C256&amp;"|"&amp;D256,"")</f>
        <v/>
      </c>
      <c r="Y256">
        <f>IF(AND(C256&lt;&gt;"",D256&lt;&gt;""),C256&amp;"|"&amp;D256,"")</f>
        <v/>
      </c>
      <c r="AA256" s="421">
        <f>IFERROR(IF(OR(A256="",I256="",J256=""),"",I256-J256),"")</f>
        <v/>
      </c>
      <c r="AB256" s="479">
        <f>IFERROR(IF(OR(AA256="",I256=0,I256=""),"",AA256/I256),"")</f>
        <v/>
      </c>
      <c r="AC256" s="421" t="n"/>
      <c r="AD256" s="462" t="n"/>
      <c r="AE256" s="421" t="n"/>
      <c r="AF256" s="421" t="n"/>
      <c r="AG256" s="421" t="n"/>
      <c r="AH256" s="421" t="n"/>
      <c r="AI256" s="421" t="n"/>
      <c r="AJ256" s="421" t="n"/>
      <c r="AK256" s="421" t="n"/>
      <c r="AL256" s="421" t="n"/>
      <c r="AM256" s="421" t="n"/>
      <c r="AN256" s="421" t="n"/>
      <c r="AO256" s="483" t="n"/>
      <c r="AP256" s="1007">
        <f>SUM(AJ256:AN256)</f>
        <v/>
      </c>
      <c r="AQ256" s="485" t="n"/>
      <c r="AS256" s="1006" t="n"/>
      <c r="AT256">
        <f t="array" ref="AT256">IF(E256&lt;&gt;"Occupied","",_xlfn.IFS(AND(ISNUMBER(AC256),AC256&lt;&gt;0),"Structured",ISNUMBER(SEARCH("/mo con",T256)),"Notes-parsed",ISNUMBER(SEARCH("step",T256)),"Step-up",ISNUMBER(SEARCH("swap",T256)),"Rate-swap",AND(ISNUMBER(I256),ISNUMBER(J256),I256&gt;J256),"Implied",TRUE,""))</f>
        <v/>
      </c>
      <c r="AU256" s="421" t="n"/>
    </row>
    <row r="257" outlineLevel="1" s="923">
      <c r="G257" s="462" t="n"/>
      <c r="H257" s="462" t="n"/>
      <c r="I257" s="421" t="n"/>
      <c r="J257" s="421" t="n"/>
      <c r="K257" s="421">
        <f>IFERROR(IF(A257="","",N(AE257)+N(AF257)+N(AG257)+N(AH257)),0)</f>
        <v/>
      </c>
      <c r="L257" s="421">
        <f>IFERROR(IF(A257="","",N(J257)+N(K257)),0)</f>
        <v/>
      </c>
      <c r="M257" s="421" t="n"/>
      <c r="N257" s="421" t="n"/>
      <c r="O257" s="421" t="n"/>
      <c r="P257" s="421" t="n"/>
      <c r="Q257" s="421" t="n"/>
      <c r="R257" s="421" t="n"/>
      <c r="U257" s="476" t="n"/>
      <c r="V257" s="1006">
        <f>IFERROR(IF(OR(A257="",U257="",U257=0,J257=""),"",J257/U257),"")</f>
        <v/>
      </c>
      <c r="W257" s="1006">
        <f>IFERROR(IF(V257="","",V257*12),"")</f>
        <v/>
      </c>
      <c r="X257">
        <f>IF(AND(E257&lt;&gt;"",E257&lt;&gt;"Vacant",E257&lt;&gt;"Reserved",C257&lt;&gt;"",D257&lt;&gt;""),C257&amp;"|"&amp;D257,"")</f>
        <v/>
      </c>
      <c r="Y257">
        <f>IF(AND(C257&lt;&gt;"",D257&lt;&gt;""),C257&amp;"|"&amp;D257,"")</f>
        <v/>
      </c>
      <c r="AA257" s="421">
        <f>IFERROR(IF(OR(A257="",I257="",J257=""),"",I257-J257),"")</f>
        <v/>
      </c>
      <c r="AB257" s="479">
        <f>IFERROR(IF(OR(AA257="",I257=0,I257=""),"",AA257/I257),"")</f>
        <v/>
      </c>
      <c r="AC257" s="421" t="n"/>
      <c r="AD257" s="462" t="n"/>
      <c r="AE257" s="421" t="n"/>
      <c r="AF257" s="421" t="n"/>
      <c r="AG257" s="421" t="n"/>
      <c r="AH257" s="421" t="n"/>
      <c r="AI257" s="421" t="n"/>
      <c r="AJ257" s="421" t="n"/>
      <c r="AK257" s="421" t="n"/>
      <c r="AL257" s="421" t="n"/>
      <c r="AM257" s="421" t="n"/>
      <c r="AN257" s="421" t="n"/>
      <c r="AO257" s="483" t="n"/>
      <c r="AP257" s="1007">
        <f>SUM(AJ257:AN257)</f>
        <v/>
      </c>
      <c r="AQ257" s="485" t="n"/>
      <c r="AS257" s="1006" t="n"/>
      <c r="AT257">
        <f t="array" ref="AT257">IF(E257&lt;&gt;"Occupied","",_xlfn.IFS(AND(ISNUMBER(AC257),AC257&lt;&gt;0),"Structured",ISNUMBER(SEARCH("/mo con",T257)),"Notes-parsed",ISNUMBER(SEARCH("step",T257)),"Step-up",ISNUMBER(SEARCH("swap",T257)),"Rate-swap",AND(ISNUMBER(I257),ISNUMBER(J257),I257&gt;J257),"Implied",TRUE,""))</f>
        <v/>
      </c>
      <c r="AU257" s="421" t="n"/>
    </row>
    <row r="258" outlineLevel="1" s="923">
      <c r="G258" s="462" t="n"/>
      <c r="H258" s="462" t="n"/>
      <c r="I258" s="421" t="n"/>
      <c r="J258" s="421" t="n"/>
      <c r="K258" s="421">
        <f>IFERROR(IF(A258="","",N(AE258)+N(AF258)+N(AG258)+N(AH258)),0)</f>
        <v/>
      </c>
      <c r="L258" s="421">
        <f>IFERROR(IF(A258="","",N(J258)+N(K258)),0)</f>
        <v/>
      </c>
      <c r="M258" s="421" t="n"/>
      <c r="N258" s="421" t="n"/>
      <c r="O258" s="421" t="n"/>
      <c r="P258" s="421" t="n"/>
      <c r="Q258" s="421" t="n"/>
      <c r="R258" s="421" t="n"/>
      <c r="U258" s="476" t="n"/>
      <c r="V258" s="1006">
        <f>IFERROR(IF(OR(A258="",U258="",U258=0,J258=""),"",J258/U258),"")</f>
        <v/>
      </c>
      <c r="W258" s="1006">
        <f>IFERROR(IF(V258="","",V258*12),"")</f>
        <v/>
      </c>
      <c r="X258">
        <f>IF(AND(E258&lt;&gt;"",E258&lt;&gt;"Vacant",E258&lt;&gt;"Reserved",C258&lt;&gt;"",D258&lt;&gt;""),C258&amp;"|"&amp;D258,"")</f>
        <v/>
      </c>
      <c r="Y258">
        <f>IF(AND(C258&lt;&gt;"",D258&lt;&gt;""),C258&amp;"|"&amp;D258,"")</f>
        <v/>
      </c>
      <c r="AA258" s="421">
        <f>IFERROR(IF(OR(A258="",I258="",J258=""),"",I258-J258),"")</f>
        <v/>
      </c>
      <c r="AB258" s="479">
        <f>IFERROR(IF(OR(AA258="",I258=0,I258=""),"",AA258/I258),"")</f>
        <v/>
      </c>
      <c r="AC258" s="421" t="n"/>
      <c r="AD258" s="462" t="n"/>
      <c r="AE258" s="421" t="n"/>
      <c r="AF258" s="421" t="n"/>
      <c r="AG258" s="421" t="n"/>
      <c r="AH258" s="421" t="n"/>
      <c r="AI258" s="421" t="n"/>
      <c r="AJ258" s="421" t="n"/>
      <c r="AK258" s="421" t="n"/>
      <c r="AL258" s="421" t="n"/>
      <c r="AM258" s="421" t="n"/>
      <c r="AN258" s="421" t="n"/>
      <c r="AO258" s="483" t="n"/>
      <c r="AP258" s="1007">
        <f>SUM(AJ258:AN258)</f>
        <v/>
      </c>
      <c r="AQ258" s="485" t="n"/>
      <c r="AS258" s="1006" t="n"/>
      <c r="AT258">
        <f t="array" ref="AT258">IF(E258&lt;&gt;"Occupied","",_xlfn.IFS(AND(ISNUMBER(AC258),AC258&lt;&gt;0),"Structured",ISNUMBER(SEARCH("/mo con",T258)),"Notes-parsed",ISNUMBER(SEARCH("step",T258)),"Step-up",ISNUMBER(SEARCH("swap",T258)),"Rate-swap",AND(ISNUMBER(I258),ISNUMBER(J258),I258&gt;J258),"Implied",TRUE,""))</f>
        <v/>
      </c>
      <c r="AU258" s="421" t="n"/>
    </row>
    <row r="259" outlineLevel="1" s="923">
      <c r="G259" s="462" t="n"/>
      <c r="H259" s="462" t="n"/>
      <c r="I259" s="421" t="n"/>
      <c r="J259" s="421" t="n"/>
      <c r="K259" s="421">
        <f>IFERROR(IF(A259="","",N(AE259)+N(AF259)+N(AG259)+N(AH259)),0)</f>
        <v/>
      </c>
      <c r="L259" s="421">
        <f>IFERROR(IF(A259="","",N(J259)+N(K259)),0)</f>
        <v/>
      </c>
      <c r="M259" s="421" t="n"/>
      <c r="N259" s="421" t="n"/>
      <c r="O259" s="421" t="n"/>
      <c r="P259" s="421" t="n"/>
      <c r="Q259" s="421" t="n"/>
      <c r="R259" s="421" t="n"/>
      <c r="U259" s="476" t="n"/>
      <c r="V259" s="1006">
        <f>IFERROR(IF(OR(A259="",U259="",U259=0,J259=""),"",J259/U259),"")</f>
        <v/>
      </c>
      <c r="W259" s="1006">
        <f>IFERROR(IF(V259="","",V259*12),"")</f>
        <v/>
      </c>
      <c r="X259">
        <f>IF(AND(E259&lt;&gt;"",E259&lt;&gt;"Vacant",E259&lt;&gt;"Reserved",C259&lt;&gt;"",D259&lt;&gt;""),C259&amp;"|"&amp;D259,"")</f>
        <v/>
      </c>
      <c r="Y259">
        <f>IF(AND(C259&lt;&gt;"",D259&lt;&gt;""),C259&amp;"|"&amp;D259,"")</f>
        <v/>
      </c>
      <c r="AA259" s="421">
        <f>IFERROR(IF(OR(A259="",I259="",J259=""),"",I259-J259),"")</f>
        <v/>
      </c>
      <c r="AB259" s="479">
        <f>IFERROR(IF(OR(AA259="",I259=0,I259=""),"",AA259/I259),"")</f>
        <v/>
      </c>
      <c r="AC259" s="421" t="n"/>
      <c r="AD259" s="462" t="n"/>
      <c r="AE259" s="421" t="n"/>
      <c r="AF259" s="421" t="n"/>
      <c r="AG259" s="421" t="n"/>
      <c r="AH259" s="421" t="n"/>
      <c r="AI259" s="421" t="n"/>
      <c r="AJ259" s="421" t="n"/>
      <c r="AK259" s="421" t="n"/>
      <c r="AL259" s="421" t="n"/>
      <c r="AM259" s="421" t="n"/>
      <c r="AN259" s="421" t="n"/>
      <c r="AO259" s="483" t="n"/>
      <c r="AP259" s="1007">
        <f>SUM(AJ259:AN259)</f>
        <v/>
      </c>
      <c r="AQ259" s="485" t="n"/>
      <c r="AS259" s="1006" t="n"/>
      <c r="AT259">
        <f t="array" ref="AT259">IF(E259&lt;&gt;"Occupied","",_xlfn.IFS(AND(ISNUMBER(AC259),AC259&lt;&gt;0),"Structured",ISNUMBER(SEARCH("/mo con",T259)),"Notes-parsed",ISNUMBER(SEARCH("step",T259)),"Step-up",ISNUMBER(SEARCH("swap",T259)),"Rate-swap",AND(ISNUMBER(I259),ISNUMBER(J259),I259&gt;J259),"Implied",TRUE,""))</f>
        <v/>
      </c>
      <c r="AU259" s="421" t="n"/>
    </row>
    <row r="260" outlineLevel="1" s="923">
      <c r="G260" s="462" t="n"/>
      <c r="H260" s="462" t="n"/>
      <c r="I260" s="421" t="n"/>
      <c r="J260" s="421" t="n"/>
      <c r="K260" s="421">
        <f>IFERROR(IF(A260="","",N(AE260)+N(AF260)+N(AG260)+N(AH260)),0)</f>
        <v/>
      </c>
      <c r="L260" s="421">
        <f>IFERROR(IF(A260="","",N(J260)+N(K260)),0)</f>
        <v/>
      </c>
      <c r="M260" s="421" t="n"/>
      <c r="N260" s="421" t="n"/>
      <c r="O260" s="421" t="n"/>
      <c r="P260" s="421" t="n"/>
      <c r="Q260" s="421" t="n"/>
      <c r="R260" s="421" t="n"/>
      <c r="U260" s="476" t="n"/>
      <c r="V260" s="1006">
        <f>IFERROR(IF(OR(A260="",U260="",U260=0,J260=""),"",J260/U260),"")</f>
        <v/>
      </c>
      <c r="W260" s="1006">
        <f>IFERROR(IF(V260="","",V260*12),"")</f>
        <v/>
      </c>
      <c r="X260">
        <f>IF(AND(E260&lt;&gt;"",E260&lt;&gt;"Vacant",E260&lt;&gt;"Reserved",C260&lt;&gt;"",D260&lt;&gt;""),C260&amp;"|"&amp;D260,"")</f>
        <v/>
      </c>
      <c r="Y260">
        <f>IF(AND(C260&lt;&gt;"",D260&lt;&gt;""),C260&amp;"|"&amp;D260,"")</f>
        <v/>
      </c>
      <c r="AA260" s="421">
        <f>IFERROR(IF(OR(A260="",I260="",J260=""),"",I260-J260),"")</f>
        <v/>
      </c>
      <c r="AB260" s="479">
        <f>IFERROR(IF(OR(AA260="",I260=0,I260=""),"",AA260/I260),"")</f>
        <v/>
      </c>
      <c r="AC260" s="421" t="n"/>
      <c r="AD260" s="462" t="n"/>
      <c r="AE260" s="421" t="n"/>
      <c r="AF260" s="421" t="n"/>
      <c r="AG260" s="421" t="n"/>
      <c r="AH260" s="421" t="n"/>
      <c r="AI260" s="421" t="n"/>
      <c r="AJ260" s="421" t="n"/>
      <c r="AK260" s="421" t="n"/>
      <c r="AL260" s="421" t="n"/>
      <c r="AM260" s="421" t="n"/>
      <c r="AN260" s="421" t="n"/>
      <c r="AO260" s="483" t="n"/>
      <c r="AP260" s="1007">
        <f>SUM(AJ260:AN260)</f>
        <v/>
      </c>
      <c r="AQ260" s="485" t="n"/>
      <c r="AS260" s="1006" t="n"/>
      <c r="AT260">
        <f t="array" ref="AT260">IF(E260&lt;&gt;"Occupied","",_xlfn.IFS(AND(ISNUMBER(AC260),AC260&lt;&gt;0),"Structured",ISNUMBER(SEARCH("/mo con",T260)),"Notes-parsed",ISNUMBER(SEARCH("step",T260)),"Step-up",ISNUMBER(SEARCH("swap",T260)),"Rate-swap",AND(ISNUMBER(I260),ISNUMBER(J260),I260&gt;J260),"Implied",TRUE,""))</f>
        <v/>
      </c>
      <c r="AU260" s="421" t="n"/>
    </row>
    <row r="261" outlineLevel="1" s="923">
      <c r="G261" s="462" t="n"/>
      <c r="H261" s="462" t="n"/>
      <c r="I261" s="421" t="n"/>
      <c r="J261" s="421" t="n"/>
      <c r="K261" s="421">
        <f>IFERROR(IF(A261="","",N(AE261)+N(AF261)+N(AG261)+N(AH261)),0)</f>
        <v/>
      </c>
      <c r="L261" s="421">
        <f>IFERROR(IF(A261="","",N(J261)+N(K261)),0)</f>
        <v/>
      </c>
      <c r="M261" s="421" t="n"/>
      <c r="N261" s="421" t="n"/>
      <c r="O261" s="421" t="n"/>
      <c r="P261" s="421" t="n"/>
      <c r="Q261" s="421" t="n"/>
      <c r="R261" s="421" t="n"/>
      <c r="U261" s="476" t="n"/>
      <c r="V261" s="1006">
        <f>IFERROR(IF(OR(A261="",U261="",U261=0,J261=""),"",J261/U261),"")</f>
        <v/>
      </c>
      <c r="W261" s="1006">
        <f>IFERROR(IF(V261="","",V261*12),"")</f>
        <v/>
      </c>
      <c r="X261">
        <f>IF(AND(E261&lt;&gt;"",E261&lt;&gt;"Vacant",E261&lt;&gt;"Reserved",C261&lt;&gt;"",D261&lt;&gt;""),C261&amp;"|"&amp;D261,"")</f>
        <v/>
      </c>
      <c r="Y261">
        <f>IF(AND(C261&lt;&gt;"",D261&lt;&gt;""),C261&amp;"|"&amp;D261,"")</f>
        <v/>
      </c>
      <c r="AA261" s="421">
        <f>IFERROR(IF(OR(A261="",I261="",J261=""),"",I261-J261),"")</f>
        <v/>
      </c>
      <c r="AB261" s="479">
        <f>IFERROR(IF(OR(AA261="",I261=0,I261=""),"",AA261/I261),"")</f>
        <v/>
      </c>
      <c r="AC261" s="421" t="n"/>
      <c r="AD261" s="462" t="n"/>
      <c r="AE261" s="421" t="n"/>
      <c r="AF261" s="421" t="n"/>
      <c r="AG261" s="421" t="n"/>
      <c r="AH261" s="421" t="n"/>
      <c r="AI261" s="421" t="n"/>
      <c r="AJ261" s="421" t="n"/>
      <c r="AK261" s="421" t="n"/>
      <c r="AL261" s="421" t="n"/>
      <c r="AM261" s="421" t="n"/>
      <c r="AN261" s="421" t="n"/>
      <c r="AO261" s="483" t="n"/>
      <c r="AP261" s="1007">
        <f>SUM(AJ261:AN261)</f>
        <v/>
      </c>
      <c r="AQ261" s="485" t="n"/>
      <c r="AS261" s="1006" t="n"/>
      <c r="AT261">
        <f t="array" ref="AT261">IF(E261&lt;&gt;"Occupied","",_xlfn.IFS(AND(ISNUMBER(AC261),AC261&lt;&gt;0),"Structured",ISNUMBER(SEARCH("/mo con",T261)),"Notes-parsed",ISNUMBER(SEARCH("step",T261)),"Step-up",ISNUMBER(SEARCH("swap",T261)),"Rate-swap",AND(ISNUMBER(I261),ISNUMBER(J261),I261&gt;J261),"Implied",TRUE,""))</f>
        <v/>
      </c>
      <c r="AU261" s="421" t="n"/>
    </row>
    <row r="262" outlineLevel="1" s="923">
      <c r="G262" s="462" t="n"/>
      <c r="H262" s="462" t="n"/>
      <c r="I262" s="421" t="n"/>
      <c r="J262" s="421" t="n"/>
      <c r="K262" s="421">
        <f>IFERROR(IF(A262="","",N(AE262)+N(AF262)+N(AG262)+N(AH262)),0)</f>
        <v/>
      </c>
      <c r="L262" s="421">
        <f>IFERROR(IF(A262="","",N(J262)+N(K262)),0)</f>
        <v/>
      </c>
      <c r="M262" s="421" t="n"/>
      <c r="N262" s="421" t="n"/>
      <c r="O262" s="421" t="n"/>
      <c r="P262" s="421" t="n"/>
      <c r="Q262" s="421" t="n"/>
      <c r="R262" s="421" t="n"/>
      <c r="U262" s="476" t="n"/>
      <c r="V262" s="1006">
        <f>IFERROR(IF(OR(A262="",U262="",U262=0,J262=""),"",J262/U262),"")</f>
        <v/>
      </c>
      <c r="W262" s="1006">
        <f>IFERROR(IF(V262="","",V262*12),"")</f>
        <v/>
      </c>
      <c r="X262">
        <f>IF(AND(E262&lt;&gt;"",E262&lt;&gt;"Vacant",E262&lt;&gt;"Reserved",C262&lt;&gt;"",D262&lt;&gt;""),C262&amp;"|"&amp;D262,"")</f>
        <v/>
      </c>
      <c r="Y262">
        <f>IF(AND(C262&lt;&gt;"",D262&lt;&gt;""),C262&amp;"|"&amp;D262,"")</f>
        <v/>
      </c>
      <c r="AA262" s="421">
        <f>IFERROR(IF(OR(A262="",I262="",J262=""),"",I262-J262),"")</f>
        <v/>
      </c>
      <c r="AB262" s="479">
        <f>IFERROR(IF(OR(AA262="",I262=0,I262=""),"",AA262/I262),"")</f>
        <v/>
      </c>
      <c r="AC262" s="421" t="n"/>
      <c r="AD262" s="462" t="n"/>
      <c r="AE262" s="421" t="n"/>
      <c r="AF262" s="421" t="n"/>
      <c r="AG262" s="421" t="n"/>
      <c r="AH262" s="421" t="n"/>
      <c r="AI262" s="421" t="n"/>
      <c r="AJ262" s="421" t="n"/>
      <c r="AK262" s="421" t="n"/>
      <c r="AL262" s="421" t="n"/>
      <c r="AM262" s="421" t="n"/>
      <c r="AN262" s="421" t="n"/>
      <c r="AO262" s="483" t="n"/>
      <c r="AP262" s="1007">
        <f>SUM(AJ262:AN262)</f>
        <v/>
      </c>
      <c r="AQ262" s="485" t="n"/>
      <c r="AS262" s="1006" t="n"/>
      <c r="AT262">
        <f t="array" ref="AT262">IF(E262&lt;&gt;"Occupied","",_xlfn.IFS(AND(ISNUMBER(AC262),AC262&lt;&gt;0),"Structured",ISNUMBER(SEARCH("/mo con",T262)),"Notes-parsed",ISNUMBER(SEARCH("step",T262)),"Step-up",ISNUMBER(SEARCH("swap",T262)),"Rate-swap",AND(ISNUMBER(I262),ISNUMBER(J262),I262&gt;J262),"Implied",TRUE,""))</f>
        <v/>
      </c>
      <c r="AU262" s="421" t="n"/>
    </row>
    <row r="263" outlineLevel="1" s="923">
      <c r="G263" s="462" t="n"/>
      <c r="H263" s="462" t="n"/>
      <c r="I263" s="421" t="n"/>
      <c r="J263" s="421" t="n"/>
      <c r="K263" s="421">
        <f>IFERROR(IF(A263="","",N(AE263)+N(AF263)+N(AG263)+N(AH263)),0)</f>
        <v/>
      </c>
      <c r="L263" s="421">
        <f>IFERROR(IF(A263="","",N(J263)+N(K263)),0)</f>
        <v/>
      </c>
      <c r="M263" s="421" t="n"/>
      <c r="N263" s="421" t="n"/>
      <c r="O263" s="421" t="n"/>
      <c r="P263" s="421" t="n"/>
      <c r="Q263" s="421" t="n"/>
      <c r="R263" s="421" t="n"/>
      <c r="U263" s="476" t="n"/>
      <c r="V263" s="1006">
        <f>IFERROR(IF(OR(A263="",U263="",U263=0,J263=""),"",J263/U263),"")</f>
        <v/>
      </c>
      <c r="W263" s="1006">
        <f>IFERROR(IF(V263="","",V263*12),"")</f>
        <v/>
      </c>
      <c r="X263">
        <f>IF(AND(E263&lt;&gt;"",E263&lt;&gt;"Vacant",E263&lt;&gt;"Reserved",C263&lt;&gt;"",D263&lt;&gt;""),C263&amp;"|"&amp;D263,"")</f>
        <v/>
      </c>
      <c r="Y263">
        <f>IF(AND(C263&lt;&gt;"",D263&lt;&gt;""),C263&amp;"|"&amp;D263,"")</f>
        <v/>
      </c>
      <c r="AA263" s="421">
        <f>IFERROR(IF(OR(A263="",I263="",J263=""),"",I263-J263),"")</f>
        <v/>
      </c>
      <c r="AB263" s="479">
        <f>IFERROR(IF(OR(AA263="",I263=0,I263=""),"",AA263/I263),"")</f>
        <v/>
      </c>
      <c r="AC263" s="421" t="n"/>
      <c r="AD263" s="462" t="n"/>
      <c r="AE263" s="421" t="n"/>
      <c r="AF263" s="421" t="n"/>
      <c r="AG263" s="421" t="n"/>
      <c r="AH263" s="421" t="n"/>
      <c r="AI263" s="421" t="n"/>
      <c r="AJ263" s="421" t="n"/>
      <c r="AK263" s="421" t="n"/>
      <c r="AL263" s="421" t="n"/>
      <c r="AM263" s="421" t="n"/>
      <c r="AN263" s="421" t="n"/>
      <c r="AO263" s="483" t="n"/>
      <c r="AP263" s="1007">
        <f>SUM(AJ263:AN263)</f>
        <v/>
      </c>
      <c r="AQ263" s="485" t="n"/>
      <c r="AS263" s="1006" t="n"/>
      <c r="AT263">
        <f t="array" ref="AT263">IF(E263&lt;&gt;"Occupied","",_xlfn.IFS(AND(ISNUMBER(AC263),AC263&lt;&gt;0),"Structured",ISNUMBER(SEARCH("/mo con",T263)),"Notes-parsed",ISNUMBER(SEARCH("step",T263)),"Step-up",ISNUMBER(SEARCH("swap",T263)),"Rate-swap",AND(ISNUMBER(I263),ISNUMBER(J263),I263&gt;J263),"Implied",TRUE,""))</f>
        <v/>
      </c>
      <c r="AU263" s="421" t="n"/>
    </row>
    <row r="264" outlineLevel="1" s="923">
      <c r="G264" s="462" t="n"/>
      <c r="H264" s="462" t="n"/>
      <c r="I264" s="421" t="n"/>
      <c r="J264" s="421" t="n"/>
      <c r="K264" s="421">
        <f>IFERROR(IF(A264="","",N(AE264)+N(AF264)+N(AG264)+N(AH264)),0)</f>
        <v/>
      </c>
      <c r="L264" s="421">
        <f>IFERROR(IF(A264="","",N(J264)+N(K264)),0)</f>
        <v/>
      </c>
      <c r="M264" s="421" t="n"/>
      <c r="N264" s="421" t="n"/>
      <c r="O264" s="421" t="n"/>
      <c r="P264" s="421" t="n"/>
      <c r="Q264" s="421" t="n"/>
      <c r="R264" s="421" t="n"/>
      <c r="U264" s="476" t="n"/>
      <c r="V264" s="1006">
        <f>IFERROR(IF(OR(A264="",U264="",U264=0,J264=""),"",J264/U264),"")</f>
        <v/>
      </c>
      <c r="W264" s="1006">
        <f>IFERROR(IF(V264="","",V264*12),"")</f>
        <v/>
      </c>
      <c r="X264">
        <f>IF(AND(E264&lt;&gt;"",E264&lt;&gt;"Vacant",E264&lt;&gt;"Reserved",C264&lt;&gt;"",D264&lt;&gt;""),C264&amp;"|"&amp;D264,"")</f>
        <v/>
      </c>
      <c r="Y264">
        <f>IF(AND(C264&lt;&gt;"",D264&lt;&gt;""),C264&amp;"|"&amp;D264,"")</f>
        <v/>
      </c>
      <c r="AA264" s="421">
        <f>IFERROR(IF(OR(A264="",I264="",J264=""),"",I264-J264),"")</f>
        <v/>
      </c>
      <c r="AB264" s="479">
        <f>IFERROR(IF(OR(AA264="",I264=0,I264=""),"",AA264/I264),"")</f>
        <v/>
      </c>
      <c r="AC264" s="421" t="n"/>
      <c r="AD264" s="462" t="n"/>
      <c r="AE264" s="421" t="n"/>
      <c r="AF264" s="421" t="n"/>
      <c r="AG264" s="421" t="n"/>
      <c r="AH264" s="421" t="n"/>
      <c r="AI264" s="421" t="n"/>
      <c r="AJ264" s="421" t="n"/>
      <c r="AK264" s="421" t="n"/>
      <c r="AL264" s="421" t="n"/>
      <c r="AM264" s="421" t="n"/>
      <c r="AN264" s="421" t="n"/>
      <c r="AO264" s="483" t="n"/>
      <c r="AP264" s="1007">
        <f>SUM(AJ264:AN264)</f>
        <v/>
      </c>
      <c r="AQ264" s="485" t="n"/>
      <c r="AS264" s="1006" t="n"/>
      <c r="AT264">
        <f t="array" ref="AT264">IF(E264&lt;&gt;"Occupied","",_xlfn.IFS(AND(ISNUMBER(AC264),AC264&lt;&gt;0),"Structured",ISNUMBER(SEARCH("/mo con",T264)),"Notes-parsed",ISNUMBER(SEARCH("step",T264)),"Step-up",ISNUMBER(SEARCH("swap",T264)),"Rate-swap",AND(ISNUMBER(I264),ISNUMBER(J264),I264&gt;J264),"Implied",TRUE,""))</f>
        <v/>
      </c>
      <c r="AU264" s="421" t="n"/>
    </row>
    <row r="265" outlineLevel="1" s="923">
      <c r="G265" s="462" t="n"/>
      <c r="H265" s="462" t="n"/>
      <c r="I265" s="421" t="n"/>
      <c r="J265" s="421" t="n"/>
      <c r="K265" s="421">
        <f>IFERROR(IF(A265="","",N(AE265)+N(AF265)+N(AG265)+N(AH265)),0)</f>
        <v/>
      </c>
      <c r="L265" s="421">
        <f>IFERROR(IF(A265="","",N(J265)+N(K265)),0)</f>
        <v/>
      </c>
      <c r="M265" s="421" t="n"/>
      <c r="N265" s="421" t="n"/>
      <c r="O265" s="421" t="n"/>
      <c r="P265" s="421" t="n"/>
      <c r="Q265" s="421" t="n"/>
      <c r="R265" s="421" t="n"/>
      <c r="U265" s="476" t="n"/>
      <c r="V265" s="1006">
        <f>IFERROR(IF(OR(A265="",U265="",U265=0,J265=""),"",J265/U265),"")</f>
        <v/>
      </c>
      <c r="W265" s="1006">
        <f>IFERROR(IF(V265="","",V265*12),"")</f>
        <v/>
      </c>
      <c r="X265">
        <f>IF(AND(E265&lt;&gt;"",E265&lt;&gt;"Vacant",E265&lt;&gt;"Reserved",C265&lt;&gt;"",D265&lt;&gt;""),C265&amp;"|"&amp;D265,"")</f>
        <v/>
      </c>
      <c r="Y265">
        <f>IF(AND(C265&lt;&gt;"",D265&lt;&gt;""),C265&amp;"|"&amp;D265,"")</f>
        <v/>
      </c>
      <c r="AA265" s="421">
        <f>IFERROR(IF(OR(A265="",I265="",J265=""),"",I265-J265),"")</f>
        <v/>
      </c>
      <c r="AB265" s="479">
        <f>IFERROR(IF(OR(AA265="",I265=0,I265=""),"",AA265/I265),"")</f>
        <v/>
      </c>
      <c r="AC265" s="421" t="n"/>
      <c r="AD265" s="462" t="n"/>
      <c r="AE265" s="421" t="n"/>
      <c r="AF265" s="421" t="n"/>
      <c r="AG265" s="421" t="n"/>
      <c r="AH265" s="421" t="n"/>
      <c r="AI265" s="421" t="n"/>
      <c r="AJ265" s="421" t="n"/>
      <c r="AK265" s="421" t="n"/>
      <c r="AL265" s="421" t="n"/>
      <c r="AM265" s="421" t="n"/>
      <c r="AN265" s="421" t="n"/>
      <c r="AO265" s="483" t="n"/>
      <c r="AP265" s="1007">
        <f>SUM(AJ265:AN265)</f>
        <v/>
      </c>
      <c r="AQ265" s="485" t="n"/>
      <c r="AS265" s="1006" t="n"/>
      <c r="AT265">
        <f t="array" ref="AT265">IF(E265&lt;&gt;"Occupied","",_xlfn.IFS(AND(ISNUMBER(AC265),AC265&lt;&gt;0),"Structured",ISNUMBER(SEARCH("/mo con",T265)),"Notes-parsed",ISNUMBER(SEARCH("step",T265)),"Step-up",ISNUMBER(SEARCH("swap",T265)),"Rate-swap",AND(ISNUMBER(I265),ISNUMBER(J265),I265&gt;J265),"Implied",TRUE,""))</f>
        <v/>
      </c>
      <c r="AU265" s="421" t="n"/>
    </row>
    <row r="266" outlineLevel="1" s="923">
      <c r="G266" s="462" t="n"/>
      <c r="H266" s="462" t="n"/>
      <c r="I266" s="421" t="n"/>
      <c r="J266" s="421" t="n"/>
      <c r="K266" s="421">
        <f>IFERROR(IF(A266="","",N(AE266)+N(AF266)+N(AG266)+N(AH266)),0)</f>
        <v/>
      </c>
      <c r="L266" s="421">
        <f>IFERROR(IF(A266="","",N(J266)+N(K266)),0)</f>
        <v/>
      </c>
      <c r="M266" s="421" t="n"/>
      <c r="N266" s="421" t="n"/>
      <c r="O266" s="421" t="n"/>
      <c r="P266" s="421" t="n"/>
      <c r="Q266" s="421" t="n"/>
      <c r="R266" s="421" t="n"/>
      <c r="U266" s="476" t="n"/>
      <c r="V266" s="1006">
        <f>IFERROR(IF(OR(A266="",U266="",U266=0,J266=""),"",J266/U266),"")</f>
        <v/>
      </c>
      <c r="W266" s="1006">
        <f>IFERROR(IF(V266="","",V266*12),"")</f>
        <v/>
      </c>
      <c r="X266">
        <f>IF(AND(E266&lt;&gt;"",E266&lt;&gt;"Vacant",E266&lt;&gt;"Reserved",C266&lt;&gt;"",D266&lt;&gt;""),C266&amp;"|"&amp;D266,"")</f>
        <v/>
      </c>
      <c r="Y266">
        <f>IF(AND(C266&lt;&gt;"",D266&lt;&gt;""),C266&amp;"|"&amp;D266,"")</f>
        <v/>
      </c>
      <c r="AA266" s="421">
        <f>IFERROR(IF(OR(A266="",I266="",J266=""),"",I266-J266),"")</f>
        <v/>
      </c>
      <c r="AB266" s="479">
        <f>IFERROR(IF(OR(AA266="",I266=0,I266=""),"",AA266/I266),"")</f>
        <v/>
      </c>
      <c r="AC266" s="421" t="n"/>
      <c r="AD266" s="462" t="n"/>
      <c r="AE266" s="421" t="n"/>
      <c r="AF266" s="421" t="n"/>
      <c r="AG266" s="421" t="n"/>
      <c r="AH266" s="421" t="n"/>
      <c r="AI266" s="421" t="n"/>
      <c r="AJ266" s="421" t="n"/>
      <c r="AK266" s="421" t="n"/>
      <c r="AL266" s="421" t="n"/>
      <c r="AM266" s="421" t="n"/>
      <c r="AN266" s="421" t="n"/>
      <c r="AO266" s="483" t="n"/>
      <c r="AP266" s="1007">
        <f>SUM(AJ266:AN266)</f>
        <v/>
      </c>
      <c r="AQ266" s="485" t="n"/>
      <c r="AS266" s="1006" t="n"/>
      <c r="AT266">
        <f t="array" ref="AT266">IF(E266&lt;&gt;"Occupied","",_xlfn.IFS(AND(ISNUMBER(AC266),AC266&lt;&gt;0),"Structured",ISNUMBER(SEARCH("/mo con",T266)),"Notes-parsed",ISNUMBER(SEARCH("step",T266)),"Step-up",ISNUMBER(SEARCH("swap",T266)),"Rate-swap",AND(ISNUMBER(I266),ISNUMBER(J266),I266&gt;J266),"Implied",TRUE,""))</f>
        <v/>
      </c>
      <c r="AU266" s="421" t="n"/>
    </row>
    <row r="267" outlineLevel="1" s="923">
      <c r="G267" s="462" t="n"/>
      <c r="H267" s="462" t="n"/>
      <c r="I267" s="421" t="n"/>
      <c r="J267" s="421" t="n"/>
      <c r="K267" s="421">
        <f>IFERROR(IF(A267="","",N(AE267)+N(AF267)+N(AG267)+N(AH267)),0)</f>
        <v/>
      </c>
      <c r="L267" s="421">
        <f>IFERROR(IF(A267="","",N(J267)+N(K267)),0)</f>
        <v/>
      </c>
      <c r="M267" s="421" t="n"/>
      <c r="N267" s="421" t="n"/>
      <c r="O267" s="421" t="n"/>
      <c r="P267" s="421" t="n"/>
      <c r="Q267" s="421" t="n"/>
      <c r="R267" s="421" t="n"/>
      <c r="U267" s="476" t="n"/>
      <c r="V267" s="1006">
        <f>IFERROR(IF(OR(A267="",U267="",U267=0,J267=""),"",J267/U267),"")</f>
        <v/>
      </c>
      <c r="W267" s="1006">
        <f>IFERROR(IF(V267="","",V267*12),"")</f>
        <v/>
      </c>
      <c r="X267">
        <f>IF(AND(E267&lt;&gt;"",E267&lt;&gt;"Vacant",E267&lt;&gt;"Reserved",C267&lt;&gt;"",D267&lt;&gt;""),C267&amp;"|"&amp;D267,"")</f>
        <v/>
      </c>
      <c r="Y267">
        <f>IF(AND(C267&lt;&gt;"",D267&lt;&gt;""),C267&amp;"|"&amp;D267,"")</f>
        <v/>
      </c>
      <c r="AA267" s="421">
        <f>IFERROR(IF(OR(A267="",I267="",J267=""),"",I267-J267),"")</f>
        <v/>
      </c>
      <c r="AB267" s="479">
        <f>IFERROR(IF(OR(AA267="",I267=0,I267=""),"",AA267/I267),"")</f>
        <v/>
      </c>
      <c r="AC267" s="421" t="n"/>
      <c r="AD267" s="462" t="n"/>
      <c r="AE267" s="421" t="n"/>
      <c r="AF267" s="421" t="n"/>
      <c r="AG267" s="421" t="n"/>
      <c r="AH267" s="421" t="n"/>
      <c r="AI267" s="421" t="n"/>
      <c r="AJ267" s="421" t="n"/>
      <c r="AK267" s="421" t="n"/>
      <c r="AL267" s="421" t="n"/>
      <c r="AM267" s="421" t="n"/>
      <c r="AN267" s="421" t="n"/>
      <c r="AO267" s="483" t="n"/>
      <c r="AP267" s="1007">
        <f>SUM(AJ267:AN267)</f>
        <v/>
      </c>
      <c r="AQ267" s="485" t="n"/>
      <c r="AS267" s="1006" t="n"/>
      <c r="AT267">
        <f t="array" ref="AT267">IF(E267&lt;&gt;"Occupied","",_xlfn.IFS(AND(ISNUMBER(AC267),AC267&lt;&gt;0),"Structured",ISNUMBER(SEARCH("/mo con",T267)),"Notes-parsed",ISNUMBER(SEARCH("step",T267)),"Step-up",ISNUMBER(SEARCH("swap",T267)),"Rate-swap",AND(ISNUMBER(I267),ISNUMBER(J267),I267&gt;J267),"Implied",TRUE,""))</f>
        <v/>
      </c>
      <c r="AU267" s="421" t="n"/>
    </row>
    <row r="268" outlineLevel="1" s="923">
      <c r="G268" s="462" t="n"/>
      <c r="H268" s="462" t="n"/>
      <c r="I268" s="421" t="n"/>
      <c r="J268" s="421" t="n"/>
      <c r="K268" s="421">
        <f>IFERROR(IF(A268="","",N(AE268)+N(AF268)+N(AG268)+N(AH268)),0)</f>
        <v/>
      </c>
      <c r="L268" s="421">
        <f>IFERROR(IF(A268="","",N(J268)+N(K268)),0)</f>
        <v/>
      </c>
      <c r="M268" s="421" t="n"/>
      <c r="N268" s="421" t="n"/>
      <c r="O268" s="421" t="n"/>
      <c r="P268" s="421" t="n"/>
      <c r="Q268" s="421" t="n"/>
      <c r="R268" s="421" t="n"/>
      <c r="U268" s="476" t="n"/>
      <c r="V268" s="1006">
        <f>IFERROR(IF(OR(A268="",U268="",U268=0,J268=""),"",J268/U268),"")</f>
        <v/>
      </c>
      <c r="W268" s="1006">
        <f>IFERROR(IF(V268="","",V268*12),"")</f>
        <v/>
      </c>
      <c r="X268">
        <f>IF(AND(E268&lt;&gt;"",E268&lt;&gt;"Vacant",E268&lt;&gt;"Reserved",C268&lt;&gt;"",D268&lt;&gt;""),C268&amp;"|"&amp;D268,"")</f>
        <v/>
      </c>
      <c r="Y268">
        <f>IF(AND(C268&lt;&gt;"",D268&lt;&gt;""),C268&amp;"|"&amp;D268,"")</f>
        <v/>
      </c>
      <c r="AA268" s="421">
        <f>IFERROR(IF(OR(A268="",I268="",J268=""),"",I268-J268),"")</f>
        <v/>
      </c>
      <c r="AB268" s="479">
        <f>IFERROR(IF(OR(AA268="",I268=0,I268=""),"",AA268/I268),"")</f>
        <v/>
      </c>
      <c r="AC268" s="421" t="n"/>
      <c r="AD268" s="462" t="n"/>
      <c r="AE268" s="421" t="n"/>
      <c r="AF268" s="421" t="n"/>
      <c r="AG268" s="421" t="n"/>
      <c r="AH268" s="421" t="n"/>
      <c r="AI268" s="421" t="n"/>
      <c r="AJ268" s="421" t="n"/>
      <c r="AK268" s="421" t="n"/>
      <c r="AL268" s="421" t="n"/>
      <c r="AM268" s="421" t="n"/>
      <c r="AN268" s="421" t="n"/>
      <c r="AO268" s="483" t="n"/>
      <c r="AP268" s="1007">
        <f>SUM(AJ268:AN268)</f>
        <v/>
      </c>
      <c r="AQ268" s="485" t="n"/>
      <c r="AS268" s="1006" t="n"/>
      <c r="AT268">
        <f t="array" ref="AT268">IF(E268&lt;&gt;"Occupied","",_xlfn.IFS(AND(ISNUMBER(AC268),AC268&lt;&gt;0),"Structured",ISNUMBER(SEARCH("/mo con",T268)),"Notes-parsed",ISNUMBER(SEARCH("step",T268)),"Step-up",ISNUMBER(SEARCH("swap",T268)),"Rate-swap",AND(ISNUMBER(I268),ISNUMBER(J268),I268&gt;J268),"Implied",TRUE,""))</f>
        <v/>
      </c>
      <c r="AU268" s="421" t="n"/>
    </row>
    <row r="269" outlineLevel="1" s="923">
      <c r="G269" s="462" t="n"/>
      <c r="H269" s="462" t="n"/>
      <c r="I269" s="421" t="n"/>
      <c r="J269" s="421" t="n"/>
      <c r="K269" s="421">
        <f>IFERROR(IF(A269="","",N(AE269)+N(AF269)+N(AG269)+N(AH269)),0)</f>
        <v/>
      </c>
      <c r="L269" s="421">
        <f>IFERROR(IF(A269="","",N(J269)+N(K269)),0)</f>
        <v/>
      </c>
      <c r="M269" s="421" t="n"/>
      <c r="N269" s="421" t="n"/>
      <c r="O269" s="421" t="n"/>
      <c r="P269" s="421" t="n"/>
      <c r="Q269" s="421" t="n"/>
      <c r="R269" s="421" t="n"/>
      <c r="U269" s="476" t="n"/>
      <c r="V269" s="1006">
        <f>IFERROR(IF(OR(A269="",U269="",U269=0,J269=""),"",J269/U269),"")</f>
        <v/>
      </c>
      <c r="W269" s="1006">
        <f>IFERROR(IF(V269="","",V269*12),"")</f>
        <v/>
      </c>
      <c r="X269">
        <f>IF(AND(E269&lt;&gt;"",E269&lt;&gt;"Vacant",E269&lt;&gt;"Reserved",C269&lt;&gt;"",D269&lt;&gt;""),C269&amp;"|"&amp;D269,"")</f>
        <v/>
      </c>
      <c r="Y269">
        <f>IF(AND(C269&lt;&gt;"",D269&lt;&gt;""),C269&amp;"|"&amp;D269,"")</f>
        <v/>
      </c>
      <c r="AA269" s="421">
        <f>IFERROR(IF(OR(A269="",I269="",J269=""),"",I269-J269),"")</f>
        <v/>
      </c>
      <c r="AB269" s="479">
        <f>IFERROR(IF(OR(AA269="",I269=0,I269=""),"",AA269/I269),"")</f>
        <v/>
      </c>
      <c r="AC269" s="421" t="n"/>
      <c r="AD269" s="462" t="n"/>
      <c r="AE269" s="421" t="n"/>
      <c r="AF269" s="421" t="n"/>
      <c r="AG269" s="421" t="n"/>
      <c r="AH269" s="421" t="n"/>
      <c r="AI269" s="421" t="n"/>
      <c r="AJ269" s="421" t="n"/>
      <c r="AK269" s="421" t="n"/>
      <c r="AL269" s="421" t="n"/>
      <c r="AM269" s="421" t="n"/>
      <c r="AN269" s="421" t="n"/>
      <c r="AO269" s="483" t="n"/>
      <c r="AP269" s="1007">
        <f>SUM(AJ269:AN269)</f>
        <v/>
      </c>
      <c r="AQ269" s="485" t="n"/>
      <c r="AS269" s="1006" t="n"/>
      <c r="AT269">
        <f t="array" ref="AT269">IF(E269&lt;&gt;"Occupied","",_xlfn.IFS(AND(ISNUMBER(AC269),AC269&lt;&gt;0),"Structured",ISNUMBER(SEARCH("/mo con",T269)),"Notes-parsed",ISNUMBER(SEARCH("step",T269)),"Step-up",ISNUMBER(SEARCH("swap",T269)),"Rate-swap",AND(ISNUMBER(I269),ISNUMBER(J269),I269&gt;J269),"Implied",TRUE,""))</f>
        <v/>
      </c>
      <c r="AU269" s="421" t="n"/>
    </row>
    <row r="270" outlineLevel="1" s="923">
      <c r="G270" s="462" t="n"/>
      <c r="H270" s="462" t="n"/>
      <c r="I270" s="421" t="n"/>
      <c r="J270" s="421" t="n"/>
      <c r="K270" s="421">
        <f>IFERROR(IF(A270="","",N(AE270)+N(AF270)+N(AG270)+N(AH270)),0)</f>
        <v/>
      </c>
      <c r="L270" s="421">
        <f>IFERROR(IF(A270="","",N(J270)+N(K270)),0)</f>
        <v/>
      </c>
      <c r="M270" s="421" t="n"/>
      <c r="N270" s="421" t="n"/>
      <c r="O270" s="421" t="n"/>
      <c r="P270" s="421" t="n"/>
      <c r="Q270" s="421" t="n"/>
      <c r="R270" s="421" t="n"/>
      <c r="U270" s="476" t="n"/>
      <c r="V270" s="1006">
        <f>IFERROR(IF(OR(A270="",U270="",U270=0,J270=""),"",J270/U270),"")</f>
        <v/>
      </c>
      <c r="W270" s="1006">
        <f>IFERROR(IF(V270="","",V270*12),"")</f>
        <v/>
      </c>
      <c r="X270">
        <f>IF(AND(E270&lt;&gt;"",E270&lt;&gt;"Vacant",E270&lt;&gt;"Reserved",C270&lt;&gt;"",D270&lt;&gt;""),C270&amp;"|"&amp;D270,"")</f>
        <v/>
      </c>
      <c r="Y270">
        <f>IF(AND(C270&lt;&gt;"",D270&lt;&gt;""),C270&amp;"|"&amp;D270,"")</f>
        <v/>
      </c>
      <c r="AA270" s="421">
        <f>IFERROR(IF(OR(A270="",I270="",J270=""),"",I270-J270),"")</f>
        <v/>
      </c>
      <c r="AB270" s="479">
        <f>IFERROR(IF(OR(AA270="",I270=0,I270=""),"",AA270/I270),"")</f>
        <v/>
      </c>
      <c r="AC270" s="421" t="n"/>
      <c r="AD270" s="462" t="n"/>
      <c r="AE270" s="421" t="n"/>
      <c r="AF270" s="421" t="n"/>
      <c r="AG270" s="421" t="n"/>
      <c r="AH270" s="421" t="n"/>
      <c r="AI270" s="421" t="n"/>
      <c r="AJ270" s="421" t="n"/>
      <c r="AK270" s="421" t="n"/>
      <c r="AL270" s="421" t="n"/>
      <c r="AM270" s="421" t="n"/>
      <c r="AN270" s="421" t="n"/>
      <c r="AO270" s="483" t="n"/>
      <c r="AP270" s="1007">
        <f>SUM(AJ270:AN270)</f>
        <v/>
      </c>
      <c r="AQ270" s="485" t="n"/>
      <c r="AS270" s="1006" t="n"/>
      <c r="AT270">
        <f t="array" ref="AT270">IF(E270&lt;&gt;"Occupied","",_xlfn.IFS(AND(ISNUMBER(AC270),AC270&lt;&gt;0),"Structured",ISNUMBER(SEARCH("/mo con",T270)),"Notes-parsed",ISNUMBER(SEARCH("step",T270)),"Step-up",ISNUMBER(SEARCH("swap",T270)),"Rate-swap",AND(ISNUMBER(I270),ISNUMBER(J270),I270&gt;J270),"Implied",TRUE,""))</f>
        <v/>
      </c>
      <c r="AU270" s="421" t="n"/>
    </row>
    <row r="271" outlineLevel="1" s="923">
      <c r="G271" s="462" t="n"/>
      <c r="H271" s="462" t="n"/>
      <c r="I271" s="421" t="n"/>
      <c r="J271" s="421" t="n"/>
      <c r="K271" s="421">
        <f>IFERROR(IF(A271="","",N(AE271)+N(AF271)+N(AG271)+N(AH271)),0)</f>
        <v/>
      </c>
      <c r="L271" s="421">
        <f>IFERROR(IF(A271="","",N(J271)+N(K271)),0)</f>
        <v/>
      </c>
      <c r="M271" s="421" t="n"/>
      <c r="N271" s="421" t="n"/>
      <c r="O271" s="421" t="n"/>
      <c r="P271" s="421" t="n"/>
      <c r="Q271" s="421" t="n"/>
      <c r="R271" s="421" t="n"/>
      <c r="U271" s="476" t="n"/>
      <c r="V271" s="1006">
        <f>IFERROR(IF(OR(A271="",U271="",U271=0,J271=""),"",J271/U271),"")</f>
        <v/>
      </c>
      <c r="W271" s="1006">
        <f>IFERROR(IF(V271="","",V271*12),"")</f>
        <v/>
      </c>
      <c r="X271">
        <f>IF(AND(E271&lt;&gt;"",E271&lt;&gt;"Vacant",E271&lt;&gt;"Reserved",C271&lt;&gt;"",D271&lt;&gt;""),C271&amp;"|"&amp;D271,"")</f>
        <v/>
      </c>
      <c r="Y271">
        <f>IF(AND(C271&lt;&gt;"",D271&lt;&gt;""),C271&amp;"|"&amp;D271,"")</f>
        <v/>
      </c>
      <c r="AA271" s="421">
        <f>IFERROR(IF(OR(A271="",I271="",J271=""),"",I271-J271),"")</f>
        <v/>
      </c>
      <c r="AB271" s="479">
        <f>IFERROR(IF(OR(AA271="",I271=0,I271=""),"",AA271/I271),"")</f>
        <v/>
      </c>
      <c r="AC271" s="421" t="n"/>
      <c r="AD271" s="462" t="n"/>
      <c r="AE271" s="421" t="n"/>
      <c r="AF271" s="421" t="n"/>
      <c r="AG271" s="421" t="n"/>
      <c r="AH271" s="421" t="n"/>
      <c r="AI271" s="421" t="n"/>
      <c r="AJ271" s="421" t="n"/>
      <c r="AK271" s="421" t="n"/>
      <c r="AL271" s="421" t="n"/>
      <c r="AM271" s="421" t="n"/>
      <c r="AN271" s="421" t="n"/>
      <c r="AO271" s="483" t="n"/>
      <c r="AP271" s="1007">
        <f>SUM(AJ271:AN271)</f>
        <v/>
      </c>
      <c r="AQ271" s="485" t="n"/>
      <c r="AS271" s="1006" t="n"/>
      <c r="AT271">
        <f t="array" ref="AT271">IF(E271&lt;&gt;"Occupied","",_xlfn.IFS(AND(ISNUMBER(AC271),AC271&lt;&gt;0),"Structured",ISNUMBER(SEARCH("/mo con",T271)),"Notes-parsed",ISNUMBER(SEARCH("step",T271)),"Step-up",ISNUMBER(SEARCH("swap",T271)),"Rate-swap",AND(ISNUMBER(I271),ISNUMBER(J271),I271&gt;J271),"Implied",TRUE,""))</f>
        <v/>
      </c>
      <c r="AU271" s="421" t="n"/>
    </row>
    <row r="272" outlineLevel="1" s="923">
      <c r="G272" s="462" t="n"/>
      <c r="H272" s="462" t="n"/>
      <c r="I272" s="421" t="n"/>
      <c r="J272" s="421" t="n"/>
      <c r="K272" s="421">
        <f>IFERROR(IF(A272="","",N(AE272)+N(AF272)+N(AG272)+N(AH272)),0)</f>
        <v/>
      </c>
      <c r="L272" s="421">
        <f>IFERROR(IF(A272="","",N(J272)+N(K272)),0)</f>
        <v/>
      </c>
      <c r="M272" s="421" t="n"/>
      <c r="N272" s="421" t="n"/>
      <c r="O272" s="421" t="n"/>
      <c r="P272" s="421" t="n"/>
      <c r="Q272" s="421" t="n"/>
      <c r="R272" s="421" t="n"/>
      <c r="U272" s="476" t="n"/>
      <c r="V272" s="1006">
        <f>IFERROR(IF(OR(A272="",U272="",U272=0,J272=""),"",J272/U272),"")</f>
        <v/>
      </c>
      <c r="W272" s="1006">
        <f>IFERROR(IF(V272="","",V272*12),"")</f>
        <v/>
      </c>
      <c r="X272">
        <f>IF(AND(E272&lt;&gt;"",E272&lt;&gt;"Vacant",E272&lt;&gt;"Reserved",C272&lt;&gt;"",D272&lt;&gt;""),C272&amp;"|"&amp;D272,"")</f>
        <v/>
      </c>
      <c r="Y272">
        <f>IF(AND(C272&lt;&gt;"",D272&lt;&gt;""),C272&amp;"|"&amp;D272,"")</f>
        <v/>
      </c>
      <c r="AA272" s="421">
        <f>IFERROR(IF(OR(A272="",I272="",J272=""),"",I272-J272),"")</f>
        <v/>
      </c>
      <c r="AB272" s="479">
        <f>IFERROR(IF(OR(AA272="",I272=0,I272=""),"",AA272/I272),"")</f>
        <v/>
      </c>
      <c r="AC272" s="421" t="n"/>
      <c r="AD272" s="462" t="n"/>
      <c r="AE272" s="421" t="n"/>
      <c r="AF272" s="421" t="n"/>
      <c r="AG272" s="421" t="n"/>
      <c r="AH272" s="421" t="n"/>
      <c r="AI272" s="421" t="n"/>
      <c r="AJ272" s="421" t="n"/>
      <c r="AK272" s="421" t="n"/>
      <c r="AL272" s="421" t="n"/>
      <c r="AM272" s="421" t="n"/>
      <c r="AN272" s="421" t="n"/>
      <c r="AO272" s="483" t="n"/>
      <c r="AP272" s="1007">
        <f>SUM(AJ272:AN272)</f>
        <v/>
      </c>
      <c r="AQ272" s="485" t="n"/>
      <c r="AS272" s="1006" t="n"/>
      <c r="AT272">
        <f t="array" ref="AT272">IF(E272&lt;&gt;"Occupied","",_xlfn.IFS(AND(ISNUMBER(AC272),AC272&lt;&gt;0),"Structured",ISNUMBER(SEARCH("/mo con",T272)),"Notes-parsed",ISNUMBER(SEARCH("step",T272)),"Step-up",ISNUMBER(SEARCH("swap",T272)),"Rate-swap",AND(ISNUMBER(I272),ISNUMBER(J272),I272&gt;J272),"Implied",TRUE,""))</f>
        <v/>
      </c>
      <c r="AU272" s="421" t="n"/>
    </row>
    <row r="273" outlineLevel="1" s="923">
      <c r="G273" s="462" t="n"/>
      <c r="H273" s="462" t="n"/>
      <c r="I273" s="421" t="n"/>
      <c r="J273" s="421" t="n"/>
      <c r="K273" s="421">
        <f>IFERROR(IF(A273="","",N(AE273)+N(AF273)+N(AG273)+N(AH273)),0)</f>
        <v/>
      </c>
      <c r="L273" s="421">
        <f>IFERROR(IF(A273="","",N(J273)+N(K273)),0)</f>
        <v/>
      </c>
      <c r="M273" s="421" t="n"/>
      <c r="N273" s="421" t="n"/>
      <c r="O273" s="421" t="n"/>
      <c r="P273" s="421" t="n"/>
      <c r="Q273" s="421" t="n"/>
      <c r="R273" s="421" t="n"/>
      <c r="U273" s="476" t="n"/>
      <c r="V273" s="1006">
        <f>IFERROR(IF(OR(A273="",U273="",U273=0,J273=""),"",J273/U273),"")</f>
        <v/>
      </c>
      <c r="W273" s="1006">
        <f>IFERROR(IF(V273="","",V273*12),"")</f>
        <v/>
      </c>
      <c r="X273">
        <f>IF(AND(E273&lt;&gt;"",E273&lt;&gt;"Vacant",E273&lt;&gt;"Reserved",C273&lt;&gt;"",D273&lt;&gt;""),C273&amp;"|"&amp;D273,"")</f>
        <v/>
      </c>
      <c r="Y273">
        <f>IF(AND(C273&lt;&gt;"",D273&lt;&gt;""),C273&amp;"|"&amp;D273,"")</f>
        <v/>
      </c>
      <c r="AA273" s="421">
        <f>IFERROR(IF(OR(A273="",I273="",J273=""),"",I273-J273),"")</f>
        <v/>
      </c>
      <c r="AB273" s="479">
        <f>IFERROR(IF(OR(AA273="",I273=0,I273=""),"",AA273/I273),"")</f>
        <v/>
      </c>
      <c r="AC273" s="421" t="n"/>
      <c r="AD273" s="462" t="n"/>
      <c r="AE273" s="421" t="n"/>
      <c r="AF273" s="421" t="n"/>
      <c r="AG273" s="421" t="n"/>
      <c r="AH273" s="421" t="n"/>
      <c r="AI273" s="421" t="n"/>
      <c r="AJ273" s="421" t="n"/>
      <c r="AK273" s="421" t="n"/>
      <c r="AL273" s="421" t="n"/>
      <c r="AM273" s="421" t="n"/>
      <c r="AN273" s="421" t="n"/>
      <c r="AO273" s="483" t="n"/>
      <c r="AP273" s="1007">
        <f>SUM(AJ273:AN273)</f>
        <v/>
      </c>
      <c r="AQ273" s="485" t="n"/>
      <c r="AS273" s="1006" t="n"/>
      <c r="AT273">
        <f t="array" ref="AT273">IF(E273&lt;&gt;"Occupied","",_xlfn.IFS(AND(ISNUMBER(AC273),AC273&lt;&gt;0),"Structured",ISNUMBER(SEARCH("/mo con",T273)),"Notes-parsed",ISNUMBER(SEARCH("step",T273)),"Step-up",ISNUMBER(SEARCH("swap",T273)),"Rate-swap",AND(ISNUMBER(I273),ISNUMBER(J273),I273&gt;J273),"Implied",TRUE,""))</f>
        <v/>
      </c>
      <c r="AU273" s="421" t="n"/>
    </row>
    <row r="274" outlineLevel="1" s="923">
      <c r="G274" s="462" t="n"/>
      <c r="H274" s="462" t="n"/>
      <c r="I274" s="421" t="n"/>
      <c r="J274" s="421" t="n"/>
      <c r="K274" s="421">
        <f>IFERROR(IF(A274="","",N(AE274)+N(AF274)+N(AG274)+N(AH274)),0)</f>
        <v/>
      </c>
      <c r="L274" s="421">
        <f>IFERROR(IF(A274="","",N(J274)+N(K274)),0)</f>
        <v/>
      </c>
      <c r="M274" s="421" t="n"/>
      <c r="N274" s="421" t="n"/>
      <c r="O274" s="421" t="n"/>
      <c r="P274" s="421" t="n"/>
      <c r="Q274" s="421" t="n"/>
      <c r="R274" s="421" t="n"/>
      <c r="U274" s="476" t="n"/>
      <c r="V274" s="1006">
        <f>IFERROR(IF(OR(A274="",U274="",U274=0,J274=""),"",J274/U274),"")</f>
        <v/>
      </c>
      <c r="W274" s="1006">
        <f>IFERROR(IF(V274="","",V274*12),"")</f>
        <v/>
      </c>
      <c r="X274">
        <f>IF(AND(E274&lt;&gt;"",E274&lt;&gt;"Vacant",E274&lt;&gt;"Reserved",C274&lt;&gt;"",D274&lt;&gt;""),C274&amp;"|"&amp;D274,"")</f>
        <v/>
      </c>
      <c r="Y274">
        <f>IF(AND(C274&lt;&gt;"",D274&lt;&gt;""),C274&amp;"|"&amp;D274,"")</f>
        <v/>
      </c>
      <c r="AA274" s="421">
        <f>IFERROR(IF(OR(A274="",I274="",J274=""),"",I274-J274),"")</f>
        <v/>
      </c>
      <c r="AB274" s="479">
        <f>IFERROR(IF(OR(AA274="",I274=0,I274=""),"",AA274/I274),"")</f>
        <v/>
      </c>
      <c r="AC274" s="421" t="n"/>
      <c r="AD274" s="462" t="n"/>
      <c r="AE274" s="421" t="n"/>
      <c r="AF274" s="421" t="n"/>
      <c r="AG274" s="421" t="n"/>
      <c r="AH274" s="421" t="n"/>
      <c r="AI274" s="421" t="n"/>
      <c r="AJ274" s="421" t="n"/>
      <c r="AK274" s="421" t="n"/>
      <c r="AL274" s="421" t="n"/>
      <c r="AM274" s="421" t="n"/>
      <c r="AN274" s="421" t="n"/>
      <c r="AO274" s="483" t="n"/>
      <c r="AP274" s="1007">
        <f>SUM(AJ274:AN274)</f>
        <v/>
      </c>
      <c r="AQ274" s="485" t="n"/>
      <c r="AS274" s="1006" t="n"/>
      <c r="AT274">
        <f t="array" ref="AT274">IF(E274&lt;&gt;"Occupied","",_xlfn.IFS(AND(ISNUMBER(AC274),AC274&lt;&gt;0),"Structured",ISNUMBER(SEARCH("/mo con",T274)),"Notes-parsed",ISNUMBER(SEARCH("step",T274)),"Step-up",ISNUMBER(SEARCH("swap",T274)),"Rate-swap",AND(ISNUMBER(I274),ISNUMBER(J274),I274&gt;J274),"Implied",TRUE,""))</f>
        <v/>
      </c>
      <c r="AU274" s="421" t="n"/>
    </row>
    <row r="275" outlineLevel="1" s="923">
      <c r="G275" s="462" t="n"/>
      <c r="H275" s="462" t="n"/>
      <c r="I275" s="421" t="n"/>
      <c r="J275" s="421" t="n"/>
      <c r="K275" s="421">
        <f>IFERROR(IF(A275="","",N(AE275)+N(AF275)+N(AG275)+N(AH275)),0)</f>
        <v/>
      </c>
      <c r="L275" s="421">
        <f>IFERROR(IF(A275="","",N(J275)+N(K275)),0)</f>
        <v/>
      </c>
      <c r="M275" s="421" t="n"/>
      <c r="N275" s="421" t="n"/>
      <c r="O275" s="421" t="n"/>
      <c r="P275" s="421" t="n"/>
      <c r="Q275" s="421" t="n"/>
      <c r="R275" s="421" t="n"/>
      <c r="U275" s="476" t="n"/>
      <c r="V275" s="1006">
        <f>IFERROR(IF(OR(A275="",U275="",U275=0,J275=""),"",J275/U275),"")</f>
        <v/>
      </c>
      <c r="W275" s="1006">
        <f>IFERROR(IF(V275="","",V275*12),"")</f>
        <v/>
      </c>
      <c r="X275">
        <f>IF(AND(E275&lt;&gt;"",E275&lt;&gt;"Vacant",E275&lt;&gt;"Reserved",C275&lt;&gt;"",D275&lt;&gt;""),C275&amp;"|"&amp;D275,"")</f>
        <v/>
      </c>
      <c r="Y275">
        <f>IF(AND(C275&lt;&gt;"",D275&lt;&gt;""),C275&amp;"|"&amp;D275,"")</f>
        <v/>
      </c>
      <c r="AA275" s="421">
        <f>IFERROR(IF(OR(A275="",I275="",J275=""),"",I275-J275),"")</f>
        <v/>
      </c>
      <c r="AB275" s="479">
        <f>IFERROR(IF(OR(AA275="",I275=0,I275=""),"",AA275/I275),"")</f>
        <v/>
      </c>
      <c r="AC275" s="421" t="n"/>
      <c r="AD275" s="462" t="n"/>
      <c r="AE275" s="421" t="n"/>
      <c r="AF275" s="421" t="n"/>
      <c r="AG275" s="421" t="n"/>
      <c r="AH275" s="421" t="n"/>
      <c r="AI275" s="421" t="n"/>
      <c r="AJ275" s="421" t="n"/>
      <c r="AK275" s="421" t="n"/>
      <c r="AL275" s="421" t="n"/>
      <c r="AM275" s="421" t="n"/>
      <c r="AN275" s="421" t="n"/>
      <c r="AO275" s="483" t="n"/>
      <c r="AP275" s="1007">
        <f>SUM(AJ275:AN275)</f>
        <v/>
      </c>
      <c r="AQ275" s="485" t="n"/>
      <c r="AS275" s="1006" t="n"/>
      <c r="AT275">
        <f t="array" ref="AT275">IF(E275&lt;&gt;"Occupied","",_xlfn.IFS(AND(ISNUMBER(AC275),AC275&lt;&gt;0),"Structured",ISNUMBER(SEARCH("/mo con",T275)),"Notes-parsed",ISNUMBER(SEARCH("step",T275)),"Step-up",ISNUMBER(SEARCH("swap",T275)),"Rate-swap",AND(ISNUMBER(I275),ISNUMBER(J275),I275&gt;J275),"Implied",TRUE,""))</f>
        <v/>
      </c>
      <c r="AU275" s="421" t="n"/>
    </row>
    <row r="276" outlineLevel="1" s="923">
      <c r="G276" s="462" t="n"/>
      <c r="H276" s="462" t="n"/>
      <c r="I276" s="421" t="n"/>
      <c r="J276" s="421" t="n"/>
      <c r="K276" s="421">
        <f>IFERROR(IF(A276="","",N(AE276)+N(AF276)+N(AG276)+N(AH276)),0)</f>
        <v/>
      </c>
      <c r="L276" s="421">
        <f>IFERROR(IF(A276="","",N(J276)+N(K276)),0)</f>
        <v/>
      </c>
      <c r="M276" s="421" t="n"/>
      <c r="N276" s="421" t="n"/>
      <c r="O276" s="421" t="n"/>
      <c r="P276" s="421" t="n"/>
      <c r="Q276" s="421" t="n"/>
      <c r="R276" s="421" t="n"/>
      <c r="U276" s="476" t="n"/>
      <c r="V276" s="1006">
        <f>IFERROR(IF(OR(A276="",U276="",U276=0,J276=""),"",J276/U276),"")</f>
        <v/>
      </c>
      <c r="W276" s="1006">
        <f>IFERROR(IF(V276="","",V276*12),"")</f>
        <v/>
      </c>
      <c r="X276">
        <f>IF(AND(E276&lt;&gt;"",E276&lt;&gt;"Vacant",E276&lt;&gt;"Reserved",C276&lt;&gt;"",D276&lt;&gt;""),C276&amp;"|"&amp;D276,"")</f>
        <v/>
      </c>
      <c r="Y276">
        <f>IF(AND(C276&lt;&gt;"",D276&lt;&gt;""),C276&amp;"|"&amp;D276,"")</f>
        <v/>
      </c>
      <c r="AA276" s="421">
        <f>IFERROR(IF(OR(A276="",I276="",J276=""),"",I276-J276),"")</f>
        <v/>
      </c>
      <c r="AB276" s="479">
        <f>IFERROR(IF(OR(AA276="",I276=0,I276=""),"",AA276/I276),"")</f>
        <v/>
      </c>
      <c r="AC276" s="421" t="n"/>
      <c r="AD276" s="462" t="n"/>
      <c r="AE276" s="421" t="n"/>
      <c r="AF276" s="421" t="n"/>
      <c r="AG276" s="421" t="n"/>
      <c r="AH276" s="421" t="n"/>
      <c r="AI276" s="421" t="n"/>
      <c r="AJ276" s="421" t="n"/>
      <c r="AK276" s="421" t="n"/>
      <c r="AL276" s="421" t="n"/>
      <c r="AM276" s="421" t="n"/>
      <c r="AN276" s="421" t="n"/>
      <c r="AO276" s="483" t="n"/>
      <c r="AP276" s="1007">
        <f>SUM(AJ276:AN276)</f>
        <v/>
      </c>
      <c r="AQ276" s="485" t="n"/>
      <c r="AS276" s="1006" t="n"/>
      <c r="AT276">
        <f t="array" ref="AT276">IF(E276&lt;&gt;"Occupied","",_xlfn.IFS(AND(ISNUMBER(AC276),AC276&lt;&gt;0),"Structured",ISNUMBER(SEARCH("/mo con",T276)),"Notes-parsed",ISNUMBER(SEARCH("step",T276)),"Step-up",ISNUMBER(SEARCH("swap",T276)),"Rate-swap",AND(ISNUMBER(I276),ISNUMBER(J276),I276&gt;J276),"Implied",TRUE,""))</f>
        <v/>
      </c>
      <c r="AU276" s="421" t="n"/>
    </row>
    <row r="277" outlineLevel="1" s="923">
      <c r="G277" s="462" t="n"/>
      <c r="H277" s="462" t="n"/>
      <c r="I277" s="421" t="n"/>
      <c r="J277" s="421" t="n"/>
      <c r="K277" s="421">
        <f>IFERROR(IF(A277="","",N(AE277)+N(AF277)+N(AG277)+N(AH277)),0)</f>
        <v/>
      </c>
      <c r="L277" s="421">
        <f>IFERROR(IF(A277="","",N(J277)+N(K277)),0)</f>
        <v/>
      </c>
      <c r="M277" s="421" t="n"/>
      <c r="N277" s="421" t="n"/>
      <c r="O277" s="421" t="n"/>
      <c r="P277" s="421" t="n"/>
      <c r="Q277" s="421" t="n"/>
      <c r="R277" s="421" t="n"/>
      <c r="U277" s="476" t="n"/>
      <c r="V277" s="1006">
        <f>IFERROR(IF(OR(A277="",U277="",U277=0,J277=""),"",J277/U277),"")</f>
        <v/>
      </c>
      <c r="W277" s="1006">
        <f>IFERROR(IF(V277="","",V277*12),"")</f>
        <v/>
      </c>
      <c r="X277">
        <f>IF(AND(E277&lt;&gt;"",E277&lt;&gt;"Vacant",E277&lt;&gt;"Reserved",C277&lt;&gt;"",D277&lt;&gt;""),C277&amp;"|"&amp;D277,"")</f>
        <v/>
      </c>
      <c r="Y277">
        <f>IF(AND(C277&lt;&gt;"",D277&lt;&gt;""),C277&amp;"|"&amp;D277,"")</f>
        <v/>
      </c>
      <c r="AA277" s="421">
        <f>IFERROR(IF(OR(A277="",I277="",J277=""),"",I277-J277),"")</f>
        <v/>
      </c>
      <c r="AB277" s="479">
        <f>IFERROR(IF(OR(AA277="",I277=0,I277=""),"",AA277/I277),"")</f>
        <v/>
      </c>
      <c r="AC277" s="421" t="n"/>
      <c r="AD277" s="462" t="n"/>
      <c r="AE277" s="421" t="n"/>
      <c r="AF277" s="421" t="n"/>
      <c r="AG277" s="421" t="n"/>
      <c r="AH277" s="421" t="n"/>
      <c r="AI277" s="421" t="n"/>
      <c r="AJ277" s="421" t="n"/>
      <c r="AK277" s="421" t="n"/>
      <c r="AL277" s="421" t="n"/>
      <c r="AM277" s="421" t="n"/>
      <c r="AN277" s="421" t="n"/>
      <c r="AO277" s="483" t="n"/>
      <c r="AP277" s="1007">
        <f>SUM(AJ277:AN277)</f>
        <v/>
      </c>
      <c r="AQ277" s="485" t="n"/>
      <c r="AS277" s="1006" t="n"/>
      <c r="AT277">
        <f t="array" ref="AT277">IF(E277&lt;&gt;"Occupied","",_xlfn.IFS(AND(ISNUMBER(AC277),AC277&lt;&gt;0),"Structured",ISNUMBER(SEARCH("/mo con",T277)),"Notes-parsed",ISNUMBER(SEARCH("step",T277)),"Step-up",ISNUMBER(SEARCH("swap",T277)),"Rate-swap",AND(ISNUMBER(I277),ISNUMBER(J277),I277&gt;J277),"Implied",TRUE,""))</f>
        <v/>
      </c>
      <c r="AU277" s="421" t="n"/>
    </row>
    <row r="278" outlineLevel="1" s="923">
      <c r="G278" s="462" t="n"/>
      <c r="H278" s="462" t="n"/>
      <c r="I278" s="421" t="n"/>
      <c r="J278" s="421" t="n"/>
      <c r="K278" s="421">
        <f>IFERROR(IF(A278="","",N(AE278)+N(AF278)+N(AG278)+N(AH278)),0)</f>
        <v/>
      </c>
      <c r="L278" s="421">
        <f>IFERROR(IF(A278="","",N(J278)+N(K278)),0)</f>
        <v/>
      </c>
      <c r="M278" s="421" t="n"/>
      <c r="N278" s="421" t="n"/>
      <c r="O278" s="421" t="n"/>
      <c r="P278" s="421" t="n"/>
      <c r="Q278" s="421" t="n"/>
      <c r="R278" s="421" t="n"/>
      <c r="U278" s="476" t="n"/>
      <c r="V278" s="1006">
        <f>IFERROR(IF(OR(A278="",U278="",U278=0,J278=""),"",J278/U278),"")</f>
        <v/>
      </c>
      <c r="W278" s="1006">
        <f>IFERROR(IF(V278="","",V278*12),"")</f>
        <v/>
      </c>
      <c r="X278">
        <f>IF(AND(E278&lt;&gt;"",E278&lt;&gt;"Vacant",E278&lt;&gt;"Reserved",C278&lt;&gt;"",D278&lt;&gt;""),C278&amp;"|"&amp;D278,"")</f>
        <v/>
      </c>
      <c r="Y278">
        <f>IF(AND(C278&lt;&gt;"",D278&lt;&gt;""),C278&amp;"|"&amp;D278,"")</f>
        <v/>
      </c>
      <c r="AA278" s="421">
        <f>IFERROR(IF(OR(A278="",I278="",J278=""),"",I278-J278),"")</f>
        <v/>
      </c>
      <c r="AB278" s="479">
        <f>IFERROR(IF(OR(AA278="",I278=0,I278=""),"",AA278/I278),"")</f>
        <v/>
      </c>
      <c r="AC278" s="421" t="n"/>
      <c r="AD278" s="462" t="n"/>
      <c r="AE278" s="421" t="n"/>
      <c r="AF278" s="421" t="n"/>
      <c r="AG278" s="421" t="n"/>
      <c r="AH278" s="421" t="n"/>
      <c r="AI278" s="421" t="n"/>
      <c r="AJ278" s="421" t="n"/>
      <c r="AK278" s="421" t="n"/>
      <c r="AL278" s="421" t="n"/>
      <c r="AM278" s="421" t="n"/>
      <c r="AN278" s="421" t="n"/>
      <c r="AO278" s="483" t="n"/>
      <c r="AP278" s="1007">
        <f>SUM(AJ278:AN278)</f>
        <v/>
      </c>
      <c r="AQ278" s="485" t="n"/>
      <c r="AS278" s="1006" t="n"/>
      <c r="AT278">
        <f t="array" ref="AT278">IF(E278&lt;&gt;"Occupied","",_xlfn.IFS(AND(ISNUMBER(AC278),AC278&lt;&gt;0),"Structured",ISNUMBER(SEARCH("/mo con",T278)),"Notes-parsed",ISNUMBER(SEARCH("step",T278)),"Step-up",ISNUMBER(SEARCH("swap",T278)),"Rate-swap",AND(ISNUMBER(I278),ISNUMBER(J278),I278&gt;J278),"Implied",TRUE,""))</f>
        <v/>
      </c>
      <c r="AU278" s="421" t="n"/>
    </row>
    <row r="279" outlineLevel="1" s="923">
      <c r="G279" s="462" t="n"/>
      <c r="H279" s="462" t="n"/>
      <c r="I279" s="421" t="n"/>
      <c r="J279" s="421" t="n"/>
      <c r="K279" s="421">
        <f>IFERROR(IF(A279="","",N(AE279)+N(AF279)+N(AG279)+N(AH279)),0)</f>
        <v/>
      </c>
      <c r="L279" s="421">
        <f>IFERROR(IF(A279="","",N(J279)+N(K279)),0)</f>
        <v/>
      </c>
      <c r="M279" s="421" t="n"/>
      <c r="N279" s="421" t="n"/>
      <c r="O279" s="421" t="n"/>
      <c r="P279" s="421" t="n"/>
      <c r="Q279" s="421" t="n"/>
      <c r="R279" s="421" t="n"/>
      <c r="U279" s="476" t="n"/>
      <c r="V279" s="1006">
        <f>IFERROR(IF(OR(A279="",U279="",U279=0,J279=""),"",J279/U279),"")</f>
        <v/>
      </c>
      <c r="W279" s="1006">
        <f>IFERROR(IF(V279="","",V279*12),"")</f>
        <v/>
      </c>
      <c r="X279">
        <f>IF(AND(E279&lt;&gt;"",E279&lt;&gt;"Vacant",E279&lt;&gt;"Reserved",C279&lt;&gt;"",D279&lt;&gt;""),C279&amp;"|"&amp;D279,"")</f>
        <v/>
      </c>
      <c r="Y279">
        <f>IF(AND(C279&lt;&gt;"",D279&lt;&gt;""),C279&amp;"|"&amp;D279,"")</f>
        <v/>
      </c>
      <c r="AA279" s="421">
        <f>IFERROR(IF(OR(A279="",I279="",J279=""),"",I279-J279),"")</f>
        <v/>
      </c>
      <c r="AB279" s="479">
        <f>IFERROR(IF(OR(AA279="",I279=0,I279=""),"",AA279/I279),"")</f>
        <v/>
      </c>
      <c r="AC279" s="421" t="n"/>
      <c r="AD279" s="462" t="n"/>
      <c r="AE279" s="421" t="n"/>
      <c r="AF279" s="421" t="n"/>
      <c r="AG279" s="421" t="n"/>
      <c r="AH279" s="421" t="n"/>
      <c r="AI279" s="421" t="n"/>
      <c r="AJ279" s="421" t="n"/>
      <c r="AK279" s="421" t="n"/>
      <c r="AL279" s="421" t="n"/>
      <c r="AM279" s="421" t="n"/>
      <c r="AN279" s="421" t="n"/>
      <c r="AO279" s="483" t="n"/>
      <c r="AP279" s="1007">
        <f>SUM(AJ279:AN279)</f>
        <v/>
      </c>
      <c r="AQ279" s="485" t="n"/>
      <c r="AS279" s="1006" t="n"/>
      <c r="AT279">
        <f t="array" ref="AT279">IF(E279&lt;&gt;"Occupied","",_xlfn.IFS(AND(ISNUMBER(AC279),AC279&lt;&gt;0),"Structured",ISNUMBER(SEARCH("/mo con",T279)),"Notes-parsed",ISNUMBER(SEARCH("step",T279)),"Step-up",ISNUMBER(SEARCH("swap",T279)),"Rate-swap",AND(ISNUMBER(I279),ISNUMBER(J279),I279&gt;J279),"Implied",TRUE,""))</f>
        <v/>
      </c>
      <c r="AU279" s="421" t="n"/>
    </row>
    <row r="280" outlineLevel="1" s="923">
      <c r="G280" s="462" t="n"/>
      <c r="H280" s="462" t="n"/>
      <c r="I280" s="421" t="n"/>
      <c r="J280" s="421" t="n"/>
      <c r="K280" s="421">
        <f>IFERROR(IF(A280="","",N(AE280)+N(AF280)+N(AG280)+N(AH280)),0)</f>
        <v/>
      </c>
      <c r="L280" s="421">
        <f>IFERROR(IF(A280="","",N(J280)+N(K280)),0)</f>
        <v/>
      </c>
      <c r="M280" s="421" t="n"/>
      <c r="N280" s="421" t="n"/>
      <c r="O280" s="421" t="n"/>
      <c r="P280" s="421" t="n"/>
      <c r="Q280" s="421" t="n"/>
      <c r="R280" s="421" t="n"/>
      <c r="U280" s="476" t="n"/>
      <c r="V280" s="1006">
        <f>IFERROR(IF(OR(A280="",U280="",U280=0,J280=""),"",J280/U280),"")</f>
        <v/>
      </c>
      <c r="W280" s="1006">
        <f>IFERROR(IF(V280="","",V280*12),"")</f>
        <v/>
      </c>
      <c r="X280">
        <f>IF(AND(E280&lt;&gt;"",E280&lt;&gt;"Vacant",E280&lt;&gt;"Reserved",C280&lt;&gt;"",D280&lt;&gt;""),C280&amp;"|"&amp;D280,"")</f>
        <v/>
      </c>
      <c r="Y280">
        <f>IF(AND(C280&lt;&gt;"",D280&lt;&gt;""),C280&amp;"|"&amp;D280,"")</f>
        <v/>
      </c>
      <c r="AA280" s="421">
        <f>IFERROR(IF(OR(A280="",I280="",J280=""),"",I280-J280),"")</f>
        <v/>
      </c>
      <c r="AB280" s="479">
        <f>IFERROR(IF(OR(AA280="",I280=0,I280=""),"",AA280/I280),"")</f>
        <v/>
      </c>
      <c r="AC280" s="421" t="n"/>
      <c r="AD280" s="462" t="n"/>
      <c r="AE280" s="421" t="n"/>
      <c r="AF280" s="421" t="n"/>
      <c r="AG280" s="421" t="n"/>
      <c r="AH280" s="421" t="n"/>
      <c r="AI280" s="421" t="n"/>
      <c r="AJ280" s="421" t="n"/>
      <c r="AK280" s="421" t="n"/>
      <c r="AL280" s="421" t="n"/>
      <c r="AM280" s="421" t="n"/>
      <c r="AN280" s="421" t="n"/>
      <c r="AO280" s="483" t="n"/>
      <c r="AP280" s="1007">
        <f>SUM(AJ280:AN280)</f>
        <v/>
      </c>
      <c r="AQ280" s="485" t="n"/>
      <c r="AS280" s="1006" t="n"/>
      <c r="AT280">
        <f t="array" ref="AT280">IF(E280&lt;&gt;"Occupied","",_xlfn.IFS(AND(ISNUMBER(AC280),AC280&lt;&gt;0),"Structured",ISNUMBER(SEARCH("/mo con",T280)),"Notes-parsed",ISNUMBER(SEARCH("step",T280)),"Step-up",ISNUMBER(SEARCH("swap",T280)),"Rate-swap",AND(ISNUMBER(I280),ISNUMBER(J280),I280&gt;J280),"Implied",TRUE,""))</f>
        <v/>
      </c>
      <c r="AU280" s="421" t="n"/>
    </row>
    <row r="281" outlineLevel="1" s="923">
      <c r="G281" s="462" t="n"/>
      <c r="H281" s="462" t="n"/>
      <c r="I281" s="421" t="n"/>
      <c r="J281" s="421" t="n"/>
      <c r="K281" s="421">
        <f>IFERROR(IF(A281="","",N(AE281)+N(AF281)+N(AG281)+N(AH281)),0)</f>
        <v/>
      </c>
      <c r="L281" s="421">
        <f>IFERROR(IF(A281="","",N(J281)+N(K281)),0)</f>
        <v/>
      </c>
      <c r="M281" s="421" t="n"/>
      <c r="N281" s="421" t="n"/>
      <c r="O281" s="421" t="n"/>
      <c r="P281" s="421" t="n"/>
      <c r="Q281" s="421" t="n"/>
      <c r="R281" s="421" t="n"/>
      <c r="U281" s="476" t="n"/>
      <c r="V281" s="1006">
        <f>IFERROR(IF(OR(A281="",U281="",U281=0,J281=""),"",J281/U281),"")</f>
        <v/>
      </c>
      <c r="W281" s="1006">
        <f>IFERROR(IF(V281="","",V281*12),"")</f>
        <v/>
      </c>
      <c r="X281">
        <f>IF(AND(E281&lt;&gt;"",E281&lt;&gt;"Vacant",E281&lt;&gt;"Reserved",C281&lt;&gt;"",D281&lt;&gt;""),C281&amp;"|"&amp;D281,"")</f>
        <v/>
      </c>
      <c r="Y281">
        <f>IF(AND(C281&lt;&gt;"",D281&lt;&gt;""),C281&amp;"|"&amp;D281,"")</f>
        <v/>
      </c>
      <c r="AA281" s="421">
        <f>IFERROR(IF(OR(A281="",I281="",J281=""),"",I281-J281),"")</f>
        <v/>
      </c>
      <c r="AB281" s="479">
        <f>IFERROR(IF(OR(AA281="",I281=0,I281=""),"",AA281/I281),"")</f>
        <v/>
      </c>
      <c r="AC281" s="421" t="n"/>
      <c r="AD281" s="462" t="n"/>
      <c r="AE281" s="421" t="n"/>
      <c r="AF281" s="421" t="n"/>
      <c r="AG281" s="421" t="n"/>
      <c r="AH281" s="421" t="n"/>
      <c r="AI281" s="421" t="n"/>
      <c r="AJ281" s="421" t="n"/>
      <c r="AK281" s="421" t="n"/>
      <c r="AL281" s="421" t="n"/>
      <c r="AM281" s="421" t="n"/>
      <c r="AN281" s="421" t="n"/>
      <c r="AO281" s="483" t="n"/>
      <c r="AP281" s="1007">
        <f>SUM(AJ281:AN281)</f>
        <v/>
      </c>
      <c r="AQ281" s="485" t="n"/>
      <c r="AS281" s="1006" t="n"/>
      <c r="AT281">
        <f t="array" ref="AT281">IF(E281&lt;&gt;"Occupied","",_xlfn.IFS(AND(ISNUMBER(AC281),AC281&lt;&gt;0),"Structured",ISNUMBER(SEARCH("/mo con",T281)),"Notes-parsed",ISNUMBER(SEARCH("step",T281)),"Step-up",ISNUMBER(SEARCH("swap",T281)),"Rate-swap",AND(ISNUMBER(I281),ISNUMBER(J281),I281&gt;J281),"Implied",TRUE,""))</f>
        <v/>
      </c>
      <c r="AU281" s="421" t="n"/>
    </row>
    <row r="282" outlineLevel="1" s="923">
      <c r="G282" s="462" t="n"/>
      <c r="H282" s="462" t="n"/>
      <c r="I282" s="421" t="n"/>
      <c r="J282" s="421" t="n"/>
      <c r="K282" s="421">
        <f>IFERROR(IF(A282="","",N(AE282)+N(AF282)+N(AG282)+N(AH282)),0)</f>
        <v/>
      </c>
      <c r="L282" s="421">
        <f>IFERROR(IF(A282="","",N(J282)+N(K282)),0)</f>
        <v/>
      </c>
      <c r="M282" s="421" t="n"/>
      <c r="N282" s="421" t="n"/>
      <c r="O282" s="421" t="n"/>
      <c r="P282" s="421" t="n"/>
      <c r="Q282" s="421" t="n"/>
      <c r="R282" s="421" t="n"/>
      <c r="U282" s="476" t="n"/>
      <c r="V282" s="1006">
        <f>IFERROR(IF(OR(A282="",U282="",U282=0,J282=""),"",J282/U282),"")</f>
        <v/>
      </c>
      <c r="W282" s="1006">
        <f>IFERROR(IF(V282="","",V282*12),"")</f>
        <v/>
      </c>
      <c r="X282">
        <f>IF(AND(E282&lt;&gt;"",E282&lt;&gt;"Vacant",E282&lt;&gt;"Reserved",C282&lt;&gt;"",D282&lt;&gt;""),C282&amp;"|"&amp;D282,"")</f>
        <v/>
      </c>
      <c r="Y282">
        <f>IF(AND(C282&lt;&gt;"",D282&lt;&gt;""),C282&amp;"|"&amp;D282,"")</f>
        <v/>
      </c>
      <c r="AA282" s="421">
        <f>IFERROR(IF(OR(A282="",I282="",J282=""),"",I282-J282),"")</f>
        <v/>
      </c>
      <c r="AB282" s="479">
        <f>IFERROR(IF(OR(AA282="",I282=0,I282=""),"",AA282/I282),"")</f>
        <v/>
      </c>
      <c r="AC282" s="421" t="n"/>
      <c r="AD282" s="462" t="n"/>
      <c r="AE282" s="421" t="n"/>
      <c r="AF282" s="421" t="n"/>
      <c r="AG282" s="421" t="n"/>
      <c r="AH282" s="421" t="n"/>
      <c r="AI282" s="421" t="n"/>
      <c r="AJ282" s="421" t="n"/>
      <c r="AK282" s="421" t="n"/>
      <c r="AL282" s="421" t="n"/>
      <c r="AM282" s="421" t="n"/>
      <c r="AN282" s="421" t="n"/>
      <c r="AO282" s="483" t="n"/>
      <c r="AP282" s="1007">
        <f>SUM(AJ282:AN282)</f>
        <v/>
      </c>
      <c r="AQ282" s="485" t="n"/>
      <c r="AS282" s="1006" t="n"/>
      <c r="AT282">
        <f t="array" ref="AT282">IF(E282&lt;&gt;"Occupied","",_xlfn.IFS(AND(ISNUMBER(AC282),AC282&lt;&gt;0),"Structured",ISNUMBER(SEARCH("/mo con",T282)),"Notes-parsed",ISNUMBER(SEARCH("step",T282)),"Step-up",ISNUMBER(SEARCH("swap",T282)),"Rate-swap",AND(ISNUMBER(I282),ISNUMBER(J282),I282&gt;J282),"Implied",TRUE,""))</f>
        <v/>
      </c>
      <c r="AU282" s="421" t="n"/>
    </row>
    <row r="283" outlineLevel="1" s="923">
      <c r="G283" s="462" t="n"/>
      <c r="H283" s="462" t="n"/>
      <c r="I283" s="421" t="n"/>
      <c r="J283" s="421" t="n"/>
      <c r="K283" s="421">
        <f>IFERROR(IF(A283="","",N(AE283)+N(AF283)+N(AG283)+N(AH283)),0)</f>
        <v/>
      </c>
      <c r="L283" s="421">
        <f>IFERROR(IF(A283="","",N(J283)+N(K283)),0)</f>
        <v/>
      </c>
      <c r="M283" s="421" t="n"/>
      <c r="N283" s="421" t="n"/>
      <c r="O283" s="421" t="n"/>
      <c r="P283" s="421" t="n"/>
      <c r="Q283" s="421" t="n"/>
      <c r="R283" s="421" t="n"/>
      <c r="U283" s="476" t="n"/>
      <c r="V283" s="1006">
        <f>IFERROR(IF(OR(A283="",U283="",U283=0,J283=""),"",J283/U283),"")</f>
        <v/>
      </c>
      <c r="W283" s="1006">
        <f>IFERROR(IF(V283="","",V283*12),"")</f>
        <v/>
      </c>
      <c r="X283">
        <f>IF(AND(E283&lt;&gt;"",E283&lt;&gt;"Vacant",E283&lt;&gt;"Reserved",C283&lt;&gt;"",D283&lt;&gt;""),C283&amp;"|"&amp;D283,"")</f>
        <v/>
      </c>
      <c r="Y283">
        <f>IF(AND(C283&lt;&gt;"",D283&lt;&gt;""),C283&amp;"|"&amp;D283,"")</f>
        <v/>
      </c>
      <c r="AA283" s="421">
        <f>IFERROR(IF(OR(A283="",I283="",J283=""),"",I283-J283),"")</f>
        <v/>
      </c>
      <c r="AB283" s="479">
        <f>IFERROR(IF(OR(AA283="",I283=0,I283=""),"",AA283/I283),"")</f>
        <v/>
      </c>
      <c r="AC283" s="421" t="n"/>
      <c r="AD283" s="462" t="n"/>
      <c r="AE283" s="421" t="n"/>
      <c r="AF283" s="421" t="n"/>
      <c r="AG283" s="421" t="n"/>
      <c r="AH283" s="421" t="n"/>
      <c r="AI283" s="421" t="n"/>
      <c r="AJ283" s="421" t="n"/>
      <c r="AK283" s="421" t="n"/>
      <c r="AL283" s="421" t="n"/>
      <c r="AM283" s="421" t="n"/>
      <c r="AN283" s="421" t="n"/>
      <c r="AO283" s="483" t="n"/>
      <c r="AP283" s="1007">
        <f>SUM(AJ283:AN283)</f>
        <v/>
      </c>
      <c r="AQ283" s="485" t="n"/>
      <c r="AS283" s="1006" t="n"/>
      <c r="AT283">
        <f t="array" ref="AT283">IF(E283&lt;&gt;"Occupied","",_xlfn.IFS(AND(ISNUMBER(AC283),AC283&lt;&gt;0),"Structured",ISNUMBER(SEARCH("/mo con",T283)),"Notes-parsed",ISNUMBER(SEARCH("step",T283)),"Step-up",ISNUMBER(SEARCH("swap",T283)),"Rate-swap",AND(ISNUMBER(I283),ISNUMBER(J283),I283&gt;J283),"Implied",TRUE,""))</f>
        <v/>
      </c>
      <c r="AU283" s="421" t="n"/>
    </row>
    <row r="284" outlineLevel="1" s="923">
      <c r="G284" s="462" t="n"/>
      <c r="H284" s="462" t="n"/>
      <c r="I284" s="421" t="n"/>
      <c r="J284" s="421" t="n"/>
      <c r="K284" s="421">
        <f>IFERROR(IF(A284="","",N(AE284)+N(AF284)+N(AG284)+N(AH284)),0)</f>
        <v/>
      </c>
      <c r="L284" s="421">
        <f>IFERROR(IF(A284="","",N(J284)+N(K284)),0)</f>
        <v/>
      </c>
      <c r="M284" s="421" t="n"/>
      <c r="N284" s="421" t="n"/>
      <c r="O284" s="421" t="n"/>
      <c r="P284" s="421" t="n"/>
      <c r="Q284" s="421" t="n"/>
      <c r="R284" s="421" t="n"/>
      <c r="U284" s="476" t="n"/>
      <c r="V284" s="1006">
        <f>IFERROR(IF(OR(A284="",U284="",U284=0,J284=""),"",J284/U284),"")</f>
        <v/>
      </c>
      <c r="W284" s="1006">
        <f>IFERROR(IF(V284="","",V284*12),"")</f>
        <v/>
      </c>
      <c r="X284">
        <f>IF(AND(E284&lt;&gt;"",E284&lt;&gt;"Vacant",E284&lt;&gt;"Reserved",C284&lt;&gt;"",D284&lt;&gt;""),C284&amp;"|"&amp;D284,"")</f>
        <v/>
      </c>
      <c r="Y284">
        <f>IF(AND(C284&lt;&gt;"",D284&lt;&gt;""),C284&amp;"|"&amp;D284,"")</f>
        <v/>
      </c>
      <c r="AA284" s="421">
        <f>IFERROR(IF(OR(A284="",I284="",J284=""),"",I284-J284),"")</f>
        <v/>
      </c>
      <c r="AB284" s="479">
        <f>IFERROR(IF(OR(AA284="",I284=0,I284=""),"",AA284/I284),"")</f>
        <v/>
      </c>
      <c r="AC284" s="421" t="n"/>
      <c r="AD284" s="462" t="n"/>
      <c r="AE284" s="421" t="n"/>
      <c r="AF284" s="421" t="n"/>
      <c r="AG284" s="421" t="n"/>
      <c r="AH284" s="421" t="n"/>
      <c r="AI284" s="421" t="n"/>
      <c r="AJ284" s="421" t="n"/>
      <c r="AK284" s="421" t="n"/>
      <c r="AL284" s="421" t="n"/>
      <c r="AM284" s="421" t="n"/>
      <c r="AN284" s="421" t="n"/>
      <c r="AO284" s="483" t="n"/>
      <c r="AP284" s="1007">
        <f>SUM(AJ284:AN284)</f>
        <v/>
      </c>
      <c r="AQ284" s="485" t="n"/>
      <c r="AS284" s="1006" t="n"/>
      <c r="AT284">
        <f t="array" ref="AT284">IF(E284&lt;&gt;"Occupied","",_xlfn.IFS(AND(ISNUMBER(AC284),AC284&lt;&gt;0),"Structured",ISNUMBER(SEARCH("/mo con",T284)),"Notes-parsed",ISNUMBER(SEARCH("step",T284)),"Step-up",ISNUMBER(SEARCH("swap",T284)),"Rate-swap",AND(ISNUMBER(I284),ISNUMBER(J284),I284&gt;J284),"Implied",TRUE,""))</f>
        <v/>
      </c>
      <c r="AU284" s="421" t="n"/>
    </row>
    <row r="285" outlineLevel="1" s="923">
      <c r="G285" s="462" t="n"/>
      <c r="H285" s="462" t="n"/>
      <c r="I285" s="421" t="n"/>
      <c r="J285" s="421" t="n"/>
      <c r="K285" s="421">
        <f>IFERROR(IF(A285="","",N(AE285)+N(AF285)+N(AG285)+N(AH285)),0)</f>
        <v/>
      </c>
      <c r="L285" s="421">
        <f>IFERROR(IF(A285="","",N(J285)+N(K285)),0)</f>
        <v/>
      </c>
      <c r="M285" s="421" t="n"/>
      <c r="N285" s="421" t="n"/>
      <c r="O285" s="421" t="n"/>
      <c r="P285" s="421" t="n"/>
      <c r="Q285" s="421" t="n"/>
      <c r="R285" s="421" t="n"/>
      <c r="U285" s="476" t="n"/>
      <c r="V285" s="1006">
        <f>IFERROR(IF(OR(A285="",U285="",U285=0,J285=""),"",J285/U285),"")</f>
        <v/>
      </c>
      <c r="W285" s="1006">
        <f>IFERROR(IF(V285="","",V285*12),"")</f>
        <v/>
      </c>
      <c r="X285">
        <f>IF(AND(E285&lt;&gt;"",E285&lt;&gt;"Vacant",E285&lt;&gt;"Reserved",C285&lt;&gt;"",D285&lt;&gt;""),C285&amp;"|"&amp;D285,"")</f>
        <v/>
      </c>
      <c r="Y285">
        <f>IF(AND(C285&lt;&gt;"",D285&lt;&gt;""),C285&amp;"|"&amp;D285,"")</f>
        <v/>
      </c>
      <c r="AA285" s="421">
        <f>IFERROR(IF(OR(A285="",I285="",J285=""),"",I285-J285),"")</f>
        <v/>
      </c>
      <c r="AB285" s="479">
        <f>IFERROR(IF(OR(AA285="",I285=0,I285=""),"",AA285/I285),"")</f>
        <v/>
      </c>
      <c r="AC285" s="421" t="n"/>
      <c r="AD285" s="462" t="n"/>
      <c r="AE285" s="421" t="n"/>
      <c r="AF285" s="421" t="n"/>
      <c r="AG285" s="421" t="n"/>
      <c r="AH285" s="421" t="n"/>
      <c r="AI285" s="421" t="n"/>
      <c r="AJ285" s="421" t="n"/>
      <c r="AK285" s="421" t="n"/>
      <c r="AL285" s="421" t="n"/>
      <c r="AM285" s="421" t="n"/>
      <c r="AN285" s="421" t="n"/>
      <c r="AO285" s="483" t="n"/>
      <c r="AP285" s="1007">
        <f>SUM(AJ285:AN285)</f>
        <v/>
      </c>
      <c r="AQ285" s="485" t="n"/>
      <c r="AS285" s="1006" t="n"/>
      <c r="AT285">
        <f t="array" ref="AT285">IF(E285&lt;&gt;"Occupied","",_xlfn.IFS(AND(ISNUMBER(AC285),AC285&lt;&gt;0),"Structured",ISNUMBER(SEARCH("/mo con",T285)),"Notes-parsed",ISNUMBER(SEARCH("step",T285)),"Step-up",ISNUMBER(SEARCH("swap",T285)),"Rate-swap",AND(ISNUMBER(I285),ISNUMBER(J285),I285&gt;J285),"Implied",TRUE,""))</f>
        <v/>
      </c>
      <c r="AU285" s="421" t="n"/>
    </row>
    <row r="286" outlineLevel="1" s="923">
      <c r="G286" s="462" t="n"/>
      <c r="H286" s="462" t="n"/>
      <c r="I286" s="421" t="n"/>
      <c r="J286" s="421" t="n"/>
      <c r="K286" s="421">
        <f>IFERROR(IF(A286="","",N(AE286)+N(AF286)+N(AG286)+N(AH286)),0)</f>
        <v/>
      </c>
      <c r="L286" s="421">
        <f>IFERROR(IF(A286="","",N(J286)+N(K286)),0)</f>
        <v/>
      </c>
      <c r="M286" s="421" t="n"/>
      <c r="N286" s="421" t="n"/>
      <c r="O286" s="421" t="n"/>
      <c r="P286" s="421" t="n"/>
      <c r="Q286" s="421" t="n"/>
      <c r="R286" s="421" t="n"/>
      <c r="U286" s="476" t="n"/>
      <c r="V286" s="1006">
        <f>IFERROR(IF(OR(A286="",U286="",U286=0,J286=""),"",J286/U286),"")</f>
        <v/>
      </c>
      <c r="W286" s="1006">
        <f>IFERROR(IF(V286="","",V286*12),"")</f>
        <v/>
      </c>
      <c r="X286">
        <f>IF(AND(E286&lt;&gt;"",E286&lt;&gt;"Vacant",E286&lt;&gt;"Reserved",C286&lt;&gt;"",D286&lt;&gt;""),C286&amp;"|"&amp;D286,"")</f>
        <v/>
      </c>
      <c r="Y286">
        <f>IF(AND(C286&lt;&gt;"",D286&lt;&gt;""),C286&amp;"|"&amp;D286,"")</f>
        <v/>
      </c>
      <c r="AA286" s="421">
        <f>IFERROR(IF(OR(A286="",I286="",J286=""),"",I286-J286),"")</f>
        <v/>
      </c>
      <c r="AB286" s="479">
        <f>IFERROR(IF(OR(AA286="",I286=0,I286=""),"",AA286/I286),"")</f>
        <v/>
      </c>
      <c r="AC286" s="421" t="n"/>
      <c r="AD286" s="462" t="n"/>
      <c r="AE286" s="421" t="n"/>
      <c r="AF286" s="421" t="n"/>
      <c r="AG286" s="421" t="n"/>
      <c r="AH286" s="421" t="n"/>
      <c r="AI286" s="421" t="n"/>
      <c r="AJ286" s="421" t="n"/>
      <c r="AK286" s="421" t="n"/>
      <c r="AL286" s="421" t="n"/>
      <c r="AM286" s="421" t="n"/>
      <c r="AN286" s="421" t="n"/>
      <c r="AO286" s="483" t="n"/>
      <c r="AP286" s="1007">
        <f>SUM(AJ286:AN286)</f>
        <v/>
      </c>
      <c r="AQ286" s="485" t="n"/>
      <c r="AS286" s="1006" t="n"/>
      <c r="AT286">
        <f t="array" ref="AT286">IF(E286&lt;&gt;"Occupied","",_xlfn.IFS(AND(ISNUMBER(AC286),AC286&lt;&gt;0),"Structured",ISNUMBER(SEARCH("/mo con",T286)),"Notes-parsed",ISNUMBER(SEARCH("step",T286)),"Step-up",ISNUMBER(SEARCH("swap",T286)),"Rate-swap",AND(ISNUMBER(I286),ISNUMBER(J286),I286&gt;J286),"Implied",TRUE,""))</f>
        <v/>
      </c>
      <c r="AU286" s="421" t="n"/>
    </row>
    <row r="287" outlineLevel="1" s="923">
      <c r="G287" s="462" t="n"/>
      <c r="H287" s="462" t="n"/>
      <c r="I287" s="421" t="n"/>
      <c r="J287" s="421" t="n"/>
      <c r="K287" s="421">
        <f>IFERROR(IF(A287="","",N(AE287)+N(AF287)+N(AG287)+N(AH287)),0)</f>
        <v/>
      </c>
      <c r="L287" s="421">
        <f>IFERROR(IF(A287="","",N(J287)+N(K287)),0)</f>
        <v/>
      </c>
      <c r="M287" s="421" t="n"/>
      <c r="N287" s="421" t="n"/>
      <c r="O287" s="421" t="n"/>
      <c r="P287" s="421" t="n"/>
      <c r="Q287" s="421" t="n"/>
      <c r="R287" s="421" t="n"/>
      <c r="U287" s="476" t="n"/>
      <c r="V287" s="1006">
        <f>IFERROR(IF(OR(A287="",U287="",U287=0,J287=""),"",J287/U287),"")</f>
        <v/>
      </c>
      <c r="W287" s="1006">
        <f>IFERROR(IF(V287="","",V287*12),"")</f>
        <v/>
      </c>
      <c r="X287">
        <f>IF(AND(E287&lt;&gt;"",E287&lt;&gt;"Vacant",E287&lt;&gt;"Reserved",C287&lt;&gt;"",D287&lt;&gt;""),C287&amp;"|"&amp;D287,"")</f>
        <v/>
      </c>
      <c r="Y287">
        <f>IF(AND(C287&lt;&gt;"",D287&lt;&gt;""),C287&amp;"|"&amp;D287,"")</f>
        <v/>
      </c>
      <c r="AA287" s="421">
        <f>IFERROR(IF(OR(A287="",I287="",J287=""),"",I287-J287),"")</f>
        <v/>
      </c>
      <c r="AB287" s="479">
        <f>IFERROR(IF(OR(AA287="",I287=0,I287=""),"",AA287/I287),"")</f>
        <v/>
      </c>
      <c r="AC287" s="421" t="n"/>
      <c r="AD287" s="462" t="n"/>
      <c r="AE287" s="421" t="n"/>
      <c r="AF287" s="421" t="n"/>
      <c r="AG287" s="421" t="n"/>
      <c r="AH287" s="421" t="n"/>
      <c r="AI287" s="421" t="n"/>
      <c r="AJ287" s="421" t="n"/>
      <c r="AK287" s="421" t="n"/>
      <c r="AL287" s="421" t="n"/>
      <c r="AM287" s="421" t="n"/>
      <c r="AN287" s="421" t="n"/>
      <c r="AO287" s="483" t="n"/>
      <c r="AP287" s="1007">
        <f>SUM(AJ287:AN287)</f>
        <v/>
      </c>
      <c r="AQ287" s="485" t="n"/>
      <c r="AS287" s="1006" t="n"/>
      <c r="AT287">
        <f t="array" ref="AT287">IF(E287&lt;&gt;"Occupied","",_xlfn.IFS(AND(ISNUMBER(AC287),AC287&lt;&gt;0),"Structured",ISNUMBER(SEARCH("/mo con",T287)),"Notes-parsed",ISNUMBER(SEARCH("step",T287)),"Step-up",ISNUMBER(SEARCH("swap",T287)),"Rate-swap",AND(ISNUMBER(I287),ISNUMBER(J287),I287&gt;J287),"Implied",TRUE,""))</f>
        <v/>
      </c>
      <c r="AU287" s="421" t="n"/>
    </row>
    <row r="288" outlineLevel="1" s="923">
      <c r="G288" s="462" t="n"/>
      <c r="H288" s="462" t="n"/>
      <c r="I288" s="421" t="n"/>
      <c r="J288" s="421" t="n"/>
      <c r="K288" s="421">
        <f>IFERROR(IF(A288="","",N(AE288)+N(AF288)+N(AG288)+N(AH288)),0)</f>
        <v/>
      </c>
      <c r="L288" s="421">
        <f>IFERROR(IF(A288="","",N(J288)+N(K288)),0)</f>
        <v/>
      </c>
      <c r="M288" s="421" t="n"/>
      <c r="N288" s="421" t="n"/>
      <c r="O288" s="421" t="n"/>
      <c r="P288" s="421" t="n"/>
      <c r="Q288" s="421" t="n"/>
      <c r="R288" s="421" t="n"/>
      <c r="U288" s="476" t="n"/>
      <c r="V288" s="1006">
        <f>IFERROR(IF(OR(A288="",U288="",U288=0,J288=""),"",J288/U288),"")</f>
        <v/>
      </c>
      <c r="W288" s="1006">
        <f>IFERROR(IF(V288="","",V288*12),"")</f>
        <v/>
      </c>
      <c r="X288">
        <f>IF(AND(E288&lt;&gt;"",E288&lt;&gt;"Vacant",E288&lt;&gt;"Reserved",C288&lt;&gt;"",D288&lt;&gt;""),C288&amp;"|"&amp;D288,"")</f>
        <v/>
      </c>
      <c r="Y288">
        <f>IF(AND(C288&lt;&gt;"",D288&lt;&gt;""),C288&amp;"|"&amp;D288,"")</f>
        <v/>
      </c>
      <c r="AA288" s="421">
        <f>IFERROR(IF(OR(A288="",I288="",J288=""),"",I288-J288),"")</f>
        <v/>
      </c>
      <c r="AB288" s="479">
        <f>IFERROR(IF(OR(AA288="",I288=0,I288=""),"",AA288/I288),"")</f>
        <v/>
      </c>
      <c r="AC288" s="421" t="n"/>
      <c r="AD288" s="462" t="n"/>
      <c r="AE288" s="421" t="n"/>
      <c r="AF288" s="421" t="n"/>
      <c r="AG288" s="421" t="n"/>
      <c r="AH288" s="421" t="n"/>
      <c r="AI288" s="421" t="n"/>
      <c r="AJ288" s="421" t="n"/>
      <c r="AK288" s="421" t="n"/>
      <c r="AL288" s="421" t="n"/>
      <c r="AM288" s="421" t="n"/>
      <c r="AN288" s="421" t="n"/>
      <c r="AO288" s="483" t="n"/>
      <c r="AP288" s="1007">
        <f>SUM(AJ288:AN288)</f>
        <v/>
      </c>
      <c r="AQ288" s="485" t="n"/>
      <c r="AS288" s="1006" t="n"/>
      <c r="AT288">
        <f t="array" ref="AT288">IF(E288&lt;&gt;"Occupied","",_xlfn.IFS(AND(ISNUMBER(AC288),AC288&lt;&gt;0),"Structured",ISNUMBER(SEARCH("/mo con",T288)),"Notes-parsed",ISNUMBER(SEARCH("step",T288)),"Step-up",ISNUMBER(SEARCH("swap",T288)),"Rate-swap",AND(ISNUMBER(I288),ISNUMBER(J288),I288&gt;J288),"Implied",TRUE,""))</f>
        <v/>
      </c>
      <c r="AU288" s="421" t="n"/>
    </row>
    <row r="289" outlineLevel="1" s="923">
      <c r="G289" s="462" t="n"/>
      <c r="H289" s="462" t="n"/>
      <c r="I289" s="421" t="n"/>
      <c r="J289" s="421" t="n"/>
      <c r="K289" s="421">
        <f>IFERROR(IF(A289="","",N(AE289)+N(AF289)+N(AG289)+N(AH289)),0)</f>
        <v/>
      </c>
      <c r="L289" s="421">
        <f>IFERROR(IF(A289="","",N(J289)+N(K289)),0)</f>
        <v/>
      </c>
      <c r="M289" s="421" t="n"/>
      <c r="N289" s="421" t="n"/>
      <c r="O289" s="421" t="n"/>
      <c r="P289" s="421" t="n"/>
      <c r="Q289" s="421" t="n"/>
      <c r="R289" s="421" t="n"/>
      <c r="U289" s="476" t="n"/>
      <c r="V289" s="1006">
        <f>IFERROR(IF(OR(A289="",U289="",U289=0,J289=""),"",J289/U289),"")</f>
        <v/>
      </c>
      <c r="W289" s="1006">
        <f>IFERROR(IF(V289="","",V289*12),"")</f>
        <v/>
      </c>
      <c r="X289">
        <f>IF(AND(E289&lt;&gt;"",E289&lt;&gt;"Vacant",E289&lt;&gt;"Reserved",C289&lt;&gt;"",D289&lt;&gt;""),C289&amp;"|"&amp;D289,"")</f>
        <v/>
      </c>
      <c r="Y289">
        <f>IF(AND(C289&lt;&gt;"",D289&lt;&gt;""),C289&amp;"|"&amp;D289,"")</f>
        <v/>
      </c>
      <c r="AA289" s="421">
        <f>IFERROR(IF(OR(A289="",I289="",J289=""),"",I289-J289),"")</f>
        <v/>
      </c>
      <c r="AB289" s="479">
        <f>IFERROR(IF(OR(AA289="",I289=0,I289=""),"",AA289/I289),"")</f>
        <v/>
      </c>
      <c r="AC289" s="421" t="n"/>
      <c r="AD289" s="462" t="n"/>
      <c r="AE289" s="421" t="n"/>
      <c r="AF289" s="421" t="n"/>
      <c r="AG289" s="421" t="n"/>
      <c r="AH289" s="421" t="n"/>
      <c r="AI289" s="421" t="n"/>
      <c r="AJ289" s="421" t="n"/>
      <c r="AK289" s="421" t="n"/>
      <c r="AL289" s="421" t="n"/>
      <c r="AM289" s="421" t="n"/>
      <c r="AN289" s="421" t="n"/>
      <c r="AO289" s="483" t="n"/>
      <c r="AP289" s="1007">
        <f>SUM(AJ289:AN289)</f>
        <v/>
      </c>
      <c r="AQ289" s="485" t="n"/>
      <c r="AS289" s="1006" t="n"/>
      <c r="AT289">
        <f t="array" ref="AT289">IF(E289&lt;&gt;"Occupied","",_xlfn.IFS(AND(ISNUMBER(AC289),AC289&lt;&gt;0),"Structured",ISNUMBER(SEARCH("/mo con",T289)),"Notes-parsed",ISNUMBER(SEARCH("step",T289)),"Step-up",ISNUMBER(SEARCH("swap",T289)),"Rate-swap",AND(ISNUMBER(I289),ISNUMBER(J289),I289&gt;J289),"Implied",TRUE,""))</f>
        <v/>
      </c>
      <c r="AU289" s="421" t="n"/>
    </row>
    <row r="290" outlineLevel="1" s="923">
      <c r="G290" s="462" t="n"/>
      <c r="H290" s="462" t="n"/>
      <c r="I290" s="421" t="n"/>
      <c r="J290" s="421" t="n"/>
      <c r="K290" s="421">
        <f>IFERROR(IF(A290="","",N(AE290)+N(AF290)+N(AG290)+N(AH290)),0)</f>
        <v/>
      </c>
      <c r="L290" s="421">
        <f>IFERROR(IF(A290="","",N(J290)+N(K290)),0)</f>
        <v/>
      </c>
      <c r="M290" s="421" t="n"/>
      <c r="N290" s="421" t="n"/>
      <c r="O290" s="421" t="n"/>
      <c r="P290" s="421" t="n"/>
      <c r="Q290" s="421" t="n"/>
      <c r="R290" s="421" t="n"/>
      <c r="U290" s="476" t="n"/>
      <c r="V290" s="1006">
        <f>IFERROR(IF(OR(A290="",U290="",U290=0,J290=""),"",J290/U290),"")</f>
        <v/>
      </c>
      <c r="W290" s="1006">
        <f>IFERROR(IF(V290="","",V290*12),"")</f>
        <v/>
      </c>
      <c r="X290">
        <f>IF(AND(E290&lt;&gt;"",E290&lt;&gt;"Vacant",E290&lt;&gt;"Reserved",C290&lt;&gt;"",D290&lt;&gt;""),C290&amp;"|"&amp;D290,"")</f>
        <v/>
      </c>
      <c r="Y290">
        <f>IF(AND(C290&lt;&gt;"",D290&lt;&gt;""),C290&amp;"|"&amp;D290,"")</f>
        <v/>
      </c>
      <c r="AA290" s="421">
        <f>IFERROR(IF(OR(A290="",I290="",J290=""),"",I290-J290),"")</f>
        <v/>
      </c>
      <c r="AB290" s="479">
        <f>IFERROR(IF(OR(AA290="",I290=0,I290=""),"",AA290/I290),"")</f>
        <v/>
      </c>
      <c r="AC290" s="421" t="n"/>
      <c r="AD290" s="462" t="n"/>
      <c r="AE290" s="421" t="n"/>
      <c r="AF290" s="421" t="n"/>
      <c r="AG290" s="421" t="n"/>
      <c r="AH290" s="421" t="n"/>
      <c r="AI290" s="421" t="n"/>
      <c r="AJ290" s="421" t="n"/>
      <c r="AK290" s="421" t="n"/>
      <c r="AL290" s="421" t="n"/>
      <c r="AM290" s="421" t="n"/>
      <c r="AN290" s="421" t="n"/>
      <c r="AO290" s="483" t="n"/>
      <c r="AP290" s="1007">
        <f>SUM(AJ290:AN290)</f>
        <v/>
      </c>
      <c r="AQ290" s="485" t="n"/>
      <c r="AS290" s="1006" t="n"/>
      <c r="AT290">
        <f t="array" ref="AT290">IF(E290&lt;&gt;"Occupied","",_xlfn.IFS(AND(ISNUMBER(AC290),AC290&lt;&gt;0),"Structured",ISNUMBER(SEARCH("/mo con",T290)),"Notes-parsed",ISNUMBER(SEARCH("step",T290)),"Step-up",ISNUMBER(SEARCH("swap",T290)),"Rate-swap",AND(ISNUMBER(I290),ISNUMBER(J290),I290&gt;J290),"Implied",TRUE,""))</f>
        <v/>
      </c>
      <c r="AU290" s="421" t="n"/>
    </row>
    <row r="291" outlineLevel="1" s="923">
      <c r="G291" s="462" t="n"/>
      <c r="H291" s="462" t="n"/>
      <c r="I291" s="421" t="n"/>
      <c r="J291" s="421" t="n"/>
      <c r="K291" s="421">
        <f>IFERROR(IF(A291="","",N(AE291)+N(AF291)+N(AG291)+N(AH291)),0)</f>
        <v/>
      </c>
      <c r="L291" s="421">
        <f>IFERROR(IF(A291="","",N(J291)+N(K291)),0)</f>
        <v/>
      </c>
      <c r="M291" s="421" t="n"/>
      <c r="N291" s="421" t="n"/>
      <c r="O291" s="421" t="n"/>
      <c r="P291" s="421" t="n"/>
      <c r="Q291" s="421" t="n"/>
      <c r="R291" s="421" t="n"/>
      <c r="U291" s="476" t="n"/>
      <c r="V291" s="1006">
        <f>IFERROR(IF(OR(A291="",U291="",U291=0,J291=""),"",J291/U291),"")</f>
        <v/>
      </c>
      <c r="W291" s="1006">
        <f>IFERROR(IF(V291="","",V291*12),"")</f>
        <v/>
      </c>
      <c r="X291">
        <f>IF(AND(E291&lt;&gt;"",E291&lt;&gt;"Vacant",E291&lt;&gt;"Reserved",C291&lt;&gt;"",D291&lt;&gt;""),C291&amp;"|"&amp;D291,"")</f>
        <v/>
      </c>
      <c r="Y291">
        <f>IF(AND(C291&lt;&gt;"",D291&lt;&gt;""),C291&amp;"|"&amp;D291,"")</f>
        <v/>
      </c>
      <c r="AA291" s="421">
        <f>IFERROR(IF(OR(A291="",I291="",J291=""),"",I291-J291),"")</f>
        <v/>
      </c>
      <c r="AB291" s="479">
        <f>IFERROR(IF(OR(AA291="",I291=0,I291=""),"",AA291/I291),"")</f>
        <v/>
      </c>
      <c r="AC291" s="421" t="n"/>
      <c r="AD291" s="462" t="n"/>
      <c r="AE291" s="421" t="n"/>
      <c r="AF291" s="421" t="n"/>
      <c r="AG291" s="421" t="n"/>
      <c r="AH291" s="421" t="n"/>
      <c r="AI291" s="421" t="n"/>
      <c r="AJ291" s="421" t="n"/>
      <c r="AK291" s="421" t="n"/>
      <c r="AL291" s="421" t="n"/>
      <c r="AM291" s="421" t="n"/>
      <c r="AN291" s="421" t="n"/>
      <c r="AO291" s="483" t="n"/>
      <c r="AP291" s="1007">
        <f>SUM(AJ291:AN291)</f>
        <v/>
      </c>
      <c r="AQ291" s="485" t="n"/>
      <c r="AS291" s="1006" t="n"/>
      <c r="AT291">
        <f t="array" ref="AT291">IF(E291&lt;&gt;"Occupied","",_xlfn.IFS(AND(ISNUMBER(AC291),AC291&lt;&gt;0),"Structured",ISNUMBER(SEARCH("/mo con",T291)),"Notes-parsed",ISNUMBER(SEARCH("step",T291)),"Step-up",ISNUMBER(SEARCH("swap",T291)),"Rate-swap",AND(ISNUMBER(I291),ISNUMBER(J291),I291&gt;J291),"Implied",TRUE,""))</f>
        <v/>
      </c>
      <c r="AU291" s="421" t="n"/>
    </row>
    <row r="292" outlineLevel="1" s="923">
      <c r="G292" s="462" t="n"/>
      <c r="H292" s="462" t="n"/>
      <c r="I292" s="421" t="n"/>
      <c r="J292" s="421" t="n"/>
      <c r="K292" s="421">
        <f>IFERROR(IF(A292="","",N(AE292)+N(AF292)+N(AG292)+N(AH292)),0)</f>
        <v/>
      </c>
      <c r="L292" s="421">
        <f>IFERROR(IF(A292="","",N(J292)+N(K292)),0)</f>
        <v/>
      </c>
      <c r="M292" s="421" t="n"/>
      <c r="N292" s="421" t="n"/>
      <c r="O292" s="421" t="n"/>
      <c r="P292" s="421" t="n"/>
      <c r="Q292" s="421" t="n"/>
      <c r="R292" s="421" t="n"/>
      <c r="U292" s="476" t="n"/>
      <c r="V292" s="1006">
        <f>IFERROR(IF(OR(A292="",U292="",U292=0,J292=""),"",J292/U292),"")</f>
        <v/>
      </c>
      <c r="W292" s="1006">
        <f>IFERROR(IF(V292="","",V292*12),"")</f>
        <v/>
      </c>
      <c r="X292">
        <f>IF(AND(E292&lt;&gt;"",E292&lt;&gt;"Vacant",E292&lt;&gt;"Reserved",C292&lt;&gt;"",D292&lt;&gt;""),C292&amp;"|"&amp;D292,"")</f>
        <v/>
      </c>
      <c r="Y292">
        <f>IF(AND(C292&lt;&gt;"",D292&lt;&gt;""),C292&amp;"|"&amp;D292,"")</f>
        <v/>
      </c>
      <c r="AA292" s="421">
        <f>IFERROR(IF(OR(A292="",I292="",J292=""),"",I292-J292),"")</f>
        <v/>
      </c>
      <c r="AB292" s="479">
        <f>IFERROR(IF(OR(AA292="",I292=0,I292=""),"",AA292/I292),"")</f>
        <v/>
      </c>
      <c r="AC292" s="421" t="n"/>
      <c r="AD292" s="462" t="n"/>
      <c r="AE292" s="421" t="n"/>
      <c r="AF292" s="421" t="n"/>
      <c r="AG292" s="421" t="n"/>
      <c r="AH292" s="421" t="n"/>
      <c r="AI292" s="421" t="n"/>
      <c r="AJ292" s="421" t="n"/>
      <c r="AK292" s="421" t="n"/>
      <c r="AL292" s="421" t="n"/>
      <c r="AM292" s="421" t="n"/>
      <c r="AN292" s="421" t="n"/>
      <c r="AO292" s="483" t="n"/>
      <c r="AP292" s="1007">
        <f>SUM(AJ292:AN292)</f>
        <v/>
      </c>
      <c r="AQ292" s="485" t="n"/>
      <c r="AS292" s="1006" t="n"/>
      <c r="AT292">
        <f t="array" ref="AT292">IF(E292&lt;&gt;"Occupied","",_xlfn.IFS(AND(ISNUMBER(AC292),AC292&lt;&gt;0),"Structured",ISNUMBER(SEARCH("/mo con",T292)),"Notes-parsed",ISNUMBER(SEARCH("step",T292)),"Step-up",ISNUMBER(SEARCH("swap",T292)),"Rate-swap",AND(ISNUMBER(I292),ISNUMBER(J292),I292&gt;J292),"Implied",TRUE,""))</f>
        <v/>
      </c>
      <c r="AU292" s="421" t="n"/>
    </row>
    <row r="293" outlineLevel="1" s="923">
      <c r="G293" s="462" t="n"/>
      <c r="H293" s="462" t="n"/>
      <c r="I293" s="421" t="n"/>
      <c r="J293" s="421" t="n"/>
      <c r="K293" s="421">
        <f>IFERROR(IF(A293="","",N(AE293)+N(AF293)+N(AG293)+N(AH293)),0)</f>
        <v/>
      </c>
      <c r="L293" s="421">
        <f>IFERROR(IF(A293="","",N(J293)+N(K293)),0)</f>
        <v/>
      </c>
      <c r="M293" s="421" t="n"/>
      <c r="N293" s="421" t="n"/>
      <c r="O293" s="421" t="n"/>
      <c r="P293" s="421" t="n"/>
      <c r="Q293" s="421" t="n"/>
      <c r="R293" s="421" t="n"/>
      <c r="U293" s="476" t="n"/>
      <c r="V293" s="1006">
        <f>IFERROR(IF(OR(A293="",U293="",U293=0,J293=""),"",J293/U293),"")</f>
        <v/>
      </c>
      <c r="W293" s="1006">
        <f>IFERROR(IF(V293="","",V293*12),"")</f>
        <v/>
      </c>
      <c r="X293">
        <f>IF(AND(E293&lt;&gt;"",E293&lt;&gt;"Vacant",E293&lt;&gt;"Reserved",C293&lt;&gt;"",D293&lt;&gt;""),C293&amp;"|"&amp;D293,"")</f>
        <v/>
      </c>
      <c r="Y293">
        <f>IF(AND(C293&lt;&gt;"",D293&lt;&gt;""),C293&amp;"|"&amp;D293,"")</f>
        <v/>
      </c>
      <c r="AA293" s="421">
        <f>IFERROR(IF(OR(A293="",I293="",J293=""),"",I293-J293),"")</f>
        <v/>
      </c>
      <c r="AB293" s="479">
        <f>IFERROR(IF(OR(AA293="",I293=0,I293=""),"",AA293/I293),"")</f>
        <v/>
      </c>
      <c r="AC293" s="421" t="n"/>
      <c r="AD293" s="462" t="n"/>
      <c r="AE293" s="421" t="n"/>
      <c r="AF293" s="421" t="n"/>
      <c r="AG293" s="421" t="n"/>
      <c r="AH293" s="421" t="n"/>
      <c r="AI293" s="421" t="n"/>
      <c r="AJ293" s="421" t="n"/>
      <c r="AK293" s="421" t="n"/>
      <c r="AL293" s="421" t="n"/>
      <c r="AM293" s="421" t="n"/>
      <c r="AN293" s="421" t="n"/>
      <c r="AO293" s="483" t="n"/>
      <c r="AP293" s="1007">
        <f>SUM(AJ293:AN293)</f>
        <v/>
      </c>
      <c r="AQ293" s="485" t="n"/>
      <c r="AS293" s="1006" t="n"/>
      <c r="AT293">
        <f t="array" ref="AT293">IF(E293&lt;&gt;"Occupied","",_xlfn.IFS(AND(ISNUMBER(AC293),AC293&lt;&gt;0),"Structured",ISNUMBER(SEARCH("/mo con",T293)),"Notes-parsed",ISNUMBER(SEARCH("step",T293)),"Step-up",ISNUMBER(SEARCH("swap",T293)),"Rate-swap",AND(ISNUMBER(I293),ISNUMBER(J293),I293&gt;J293),"Implied",TRUE,""))</f>
        <v/>
      </c>
      <c r="AU293" s="421" t="n"/>
    </row>
    <row r="294" outlineLevel="1" s="923">
      <c r="G294" s="462" t="n"/>
      <c r="H294" s="462" t="n"/>
      <c r="I294" s="421" t="n"/>
      <c r="J294" s="421" t="n"/>
      <c r="K294" s="421">
        <f>IFERROR(IF(A294="","",N(AE294)+N(AF294)+N(AG294)+N(AH294)),0)</f>
        <v/>
      </c>
      <c r="L294" s="421">
        <f>IFERROR(IF(A294="","",N(J294)+N(K294)),0)</f>
        <v/>
      </c>
      <c r="M294" s="421" t="n"/>
      <c r="N294" s="421" t="n"/>
      <c r="O294" s="421" t="n"/>
      <c r="P294" s="421" t="n"/>
      <c r="Q294" s="421" t="n"/>
      <c r="R294" s="421" t="n"/>
      <c r="U294" s="476" t="n"/>
      <c r="V294" s="1006">
        <f>IFERROR(IF(OR(A294="",U294="",U294=0,J294=""),"",J294/U294),"")</f>
        <v/>
      </c>
      <c r="W294" s="1006">
        <f>IFERROR(IF(V294="","",V294*12),"")</f>
        <v/>
      </c>
      <c r="X294">
        <f>IF(AND(E294&lt;&gt;"",E294&lt;&gt;"Vacant",E294&lt;&gt;"Reserved",C294&lt;&gt;"",D294&lt;&gt;""),C294&amp;"|"&amp;D294,"")</f>
        <v/>
      </c>
      <c r="Y294">
        <f>IF(AND(C294&lt;&gt;"",D294&lt;&gt;""),C294&amp;"|"&amp;D294,"")</f>
        <v/>
      </c>
      <c r="AA294" s="421">
        <f>IFERROR(IF(OR(A294="",I294="",J294=""),"",I294-J294),"")</f>
        <v/>
      </c>
      <c r="AB294" s="479">
        <f>IFERROR(IF(OR(AA294="",I294=0,I294=""),"",AA294/I294),"")</f>
        <v/>
      </c>
      <c r="AC294" s="421" t="n"/>
      <c r="AD294" s="462" t="n"/>
      <c r="AE294" s="421" t="n"/>
      <c r="AF294" s="421" t="n"/>
      <c r="AG294" s="421" t="n"/>
      <c r="AH294" s="421" t="n"/>
      <c r="AI294" s="421" t="n"/>
      <c r="AJ294" s="421" t="n"/>
      <c r="AK294" s="421" t="n"/>
      <c r="AL294" s="421" t="n"/>
      <c r="AM294" s="421" t="n"/>
      <c r="AN294" s="421" t="n"/>
      <c r="AO294" s="483" t="n"/>
      <c r="AP294" s="1007">
        <f>SUM(AJ294:AN294)</f>
        <v/>
      </c>
      <c r="AQ294" s="485" t="n"/>
      <c r="AS294" s="1006" t="n"/>
      <c r="AT294">
        <f t="array" ref="AT294">IF(E294&lt;&gt;"Occupied","",_xlfn.IFS(AND(ISNUMBER(AC294),AC294&lt;&gt;0),"Structured",ISNUMBER(SEARCH("/mo con",T294)),"Notes-parsed",ISNUMBER(SEARCH("step",T294)),"Step-up",ISNUMBER(SEARCH("swap",T294)),"Rate-swap",AND(ISNUMBER(I294),ISNUMBER(J294),I294&gt;J294),"Implied",TRUE,""))</f>
        <v/>
      </c>
      <c r="AU294" s="421" t="n"/>
    </row>
    <row r="295" outlineLevel="1" s="923">
      <c r="G295" s="462" t="n"/>
      <c r="H295" s="462" t="n"/>
      <c r="I295" s="421" t="n"/>
      <c r="J295" s="421" t="n"/>
      <c r="K295" s="421">
        <f>IFERROR(IF(A295="","",N(AE295)+N(AF295)+N(AG295)+N(AH295)),0)</f>
        <v/>
      </c>
      <c r="L295" s="421">
        <f>IFERROR(IF(A295="","",N(J295)+N(K295)),0)</f>
        <v/>
      </c>
      <c r="M295" s="421" t="n"/>
      <c r="N295" s="421" t="n"/>
      <c r="O295" s="421" t="n"/>
      <c r="P295" s="421" t="n"/>
      <c r="Q295" s="421" t="n"/>
      <c r="R295" s="421" t="n"/>
      <c r="U295" s="476" t="n"/>
      <c r="V295" s="1006">
        <f>IFERROR(IF(OR(A295="",U295="",U295=0,J295=""),"",J295/U295),"")</f>
        <v/>
      </c>
      <c r="W295" s="1006">
        <f>IFERROR(IF(V295="","",V295*12),"")</f>
        <v/>
      </c>
      <c r="X295">
        <f>IF(AND(E295&lt;&gt;"",E295&lt;&gt;"Vacant",E295&lt;&gt;"Reserved",C295&lt;&gt;"",D295&lt;&gt;""),C295&amp;"|"&amp;D295,"")</f>
        <v/>
      </c>
      <c r="Y295">
        <f>IF(AND(C295&lt;&gt;"",D295&lt;&gt;""),C295&amp;"|"&amp;D295,"")</f>
        <v/>
      </c>
      <c r="AA295" s="421">
        <f>IFERROR(IF(OR(A295="",I295="",J295=""),"",I295-J295),"")</f>
        <v/>
      </c>
      <c r="AB295" s="479">
        <f>IFERROR(IF(OR(AA295="",I295=0,I295=""),"",AA295/I295),"")</f>
        <v/>
      </c>
      <c r="AC295" s="421" t="n"/>
      <c r="AD295" s="462" t="n"/>
      <c r="AE295" s="421" t="n"/>
      <c r="AF295" s="421" t="n"/>
      <c r="AG295" s="421" t="n"/>
      <c r="AH295" s="421" t="n"/>
      <c r="AI295" s="421" t="n"/>
      <c r="AJ295" s="421" t="n"/>
      <c r="AK295" s="421" t="n"/>
      <c r="AL295" s="421" t="n"/>
      <c r="AM295" s="421" t="n"/>
      <c r="AN295" s="421" t="n"/>
      <c r="AO295" s="483" t="n"/>
      <c r="AP295" s="1007">
        <f>SUM(AJ295:AN295)</f>
        <v/>
      </c>
      <c r="AQ295" s="485" t="n"/>
      <c r="AS295" s="1006" t="n"/>
      <c r="AT295">
        <f t="array" ref="AT295">IF(E295&lt;&gt;"Occupied","",_xlfn.IFS(AND(ISNUMBER(AC295),AC295&lt;&gt;0),"Structured",ISNUMBER(SEARCH("/mo con",T295)),"Notes-parsed",ISNUMBER(SEARCH("step",T295)),"Step-up",ISNUMBER(SEARCH("swap",T295)),"Rate-swap",AND(ISNUMBER(I295),ISNUMBER(J295),I295&gt;J295),"Implied",TRUE,""))</f>
        <v/>
      </c>
      <c r="AU295" s="421" t="n"/>
    </row>
    <row r="296" outlineLevel="1" s="923">
      <c r="G296" s="462" t="n"/>
      <c r="H296" s="462" t="n"/>
      <c r="I296" s="421" t="n"/>
      <c r="J296" s="421" t="n"/>
      <c r="K296" s="421">
        <f>IFERROR(IF(A296="","",N(AE296)+N(AF296)+N(AG296)+N(AH296)),0)</f>
        <v/>
      </c>
      <c r="L296" s="421">
        <f>IFERROR(IF(A296="","",N(J296)+N(K296)),0)</f>
        <v/>
      </c>
      <c r="M296" s="421" t="n"/>
      <c r="N296" s="421" t="n"/>
      <c r="O296" s="421" t="n"/>
      <c r="P296" s="421" t="n"/>
      <c r="Q296" s="421" t="n"/>
      <c r="R296" s="421" t="n"/>
      <c r="U296" s="476" t="n"/>
      <c r="V296" s="1006">
        <f>IFERROR(IF(OR(A296="",U296="",U296=0,J296=""),"",J296/U296),"")</f>
        <v/>
      </c>
      <c r="W296" s="1006">
        <f>IFERROR(IF(V296="","",V296*12),"")</f>
        <v/>
      </c>
      <c r="X296">
        <f>IF(AND(E296&lt;&gt;"",E296&lt;&gt;"Vacant",E296&lt;&gt;"Reserved",C296&lt;&gt;"",D296&lt;&gt;""),C296&amp;"|"&amp;D296,"")</f>
        <v/>
      </c>
      <c r="Y296">
        <f>IF(AND(C296&lt;&gt;"",D296&lt;&gt;""),C296&amp;"|"&amp;D296,"")</f>
        <v/>
      </c>
      <c r="AA296" s="421">
        <f>IFERROR(IF(OR(A296="",I296="",J296=""),"",I296-J296),"")</f>
        <v/>
      </c>
      <c r="AB296" s="479">
        <f>IFERROR(IF(OR(AA296="",I296=0,I296=""),"",AA296/I296),"")</f>
        <v/>
      </c>
      <c r="AC296" s="421" t="n"/>
      <c r="AD296" s="462" t="n"/>
      <c r="AE296" s="421" t="n"/>
      <c r="AF296" s="421" t="n"/>
      <c r="AG296" s="421" t="n"/>
      <c r="AH296" s="421" t="n"/>
      <c r="AI296" s="421" t="n"/>
      <c r="AJ296" s="421" t="n"/>
      <c r="AK296" s="421" t="n"/>
      <c r="AL296" s="421" t="n"/>
      <c r="AM296" s="421" t="n"/>
      <c r="AN296" s="421" t="n"/>
      <c r="AO296" s="483" t="n"/>
      <c r="AP296" s="1007">
        <f>SUM(AJ296:AN296)</f>
        <v/>
      </c>
      <c r="AQ296" s="485" t="n"/>
      <c r="AS296" s="1006" t="n"/>
      <c r="AT296">
        <f t="array" ref="AT296">IF(E296&lt;&gt;"Occupied","",_xlfn.IFS(AND(ISNUMBER(AC296),AC296&lt;&gt;0),"Structured",ISNUMBER(SEARCH("/mo con",T296)),"Notes-parsed",ISNUMBER(SEARCH("step",T296)),"Step-up",ISNUMBER(SEARCH("swap",T296)),"Rate-swap",AND(ISNUMBER(I296),ISNUMBER(J296),I296&gt;J296),"Implied",TRUE,""))</f>
        <v/>
      </c>
      <c r="AU296" s="421" t="n"/>
    </row>
    <row r="297" outlineLevel="1" s="923">
      <c r="G297" s="462" t="n"/>
      <c r="H297" s="462" t="n"/>
      <c r="I297" s="421" t="n"/>
      <c r="J297" s="421" t="n"/>
      <c r="K297" s="421">
        <f>IFERROR(IF(A297="","",N(AE297)+N(AF297)+N(AG297)+N(AH297)),0)</f>
        <v/>
      </c>
      <c r="L297" s="421">
        <f>IFERROR(IF(A297="","",N(J297)+N(K297)),0)</f>
        <v/>
      </c>
      <c r="M297" s="421" t="n"/>
      <c r="N297" s="421" t="n"/>
      <c r="O297" s="421" t="n"/>
      <c r="P297" s="421" t="n"/>
      <c r="Q297" s="421" t="n"/>
      <c r="R297" s="421" t="n"/>
      <c r="U297" s="476" t="n"/>
      <c r="V297" s="1006">
        <f>IFERROR(IF(OR(A297="",U297="",U297=0,J297=""),"",J297/U297),"")</f>
        <v/>
      </c>
      <c r="W297" s="1006">
        <f>IFERROR(IF(V297="","",V297*12),"")</f>
        <v/>
      </c>
      <c r="X297">
        <f>IF(AND(E297&lt;&gt;"",E297&lt;&gt;"Vacant",E297&lt;&gt;"Reserved",C297&lt;&gt;"",D297&lt;&gt;""),C297&amp;"|"&amp;D297,"")</f>
        <v/>
      </c>
      <c r="Y297">
        <f>IF(AND(C297&lt;&gt;"",D297&lt;&gt;""),C297&amp;"|"&amp;D297,"")</f>
        <v/>
      </c>
      <c r="AA297" s="421">
        <f>IFERROR(IF(OR(A297="",I297="",J297=""),"",I297-J297),"")</f>
        <v/>
      </c>
      <c r="AB297" s="479">
        <f>IFERROR(IF(OR(AA297="",I297=0,I297=""),"",AA297/I297),"")</f>
        <v/>
      </c>
      <c r="AC297" s="421" t="n"/>
      <c r="AD297" s="462" t="n"/>
      <c r="AE297" s="421" t="n"/>
      <c r="AF297" s="421" t="n"/>
      <c r="AG297" s="421" t="n"/>
      <c r="AH297" s="421" t="n"/>
      <c r="AI297" s="421" t="n"/>
      <c r="AJ297" s="421" t="n"/>
      <c r="AK297" s="421" t="n"/>
      <c r="AL297" s="421" t="n"/>
      <c r="AM297" s="421" t="n"/>
      <c r="AN297" s="421" t="n"/>
      <c r="AO297" s="483" t="n"/>
      <c r="AP297" s="1007">
        <f>SUM(AJ297:AN297)</f>
        <v/>
      </c>
      <c r="AQ297" s="485" t="n"/>
      <c r="AS297" s="1006" t="n"/>
      <c r="AT297">
        <f t="array" ref="AT297">IF(E297&lt;&gt;"Occupied","",_xlfn.IFS(AND(ISNUMBER(AC297),AC297&lt;&gt;0),"Structured",ISNUMBER(SEARCH("/mo con",T297)),"Notes-parsed",ISNUMBER(SEARCH("step",T297)),"Step-up",ISNUMBER(SEARCH("swap",T297)),"Rate-swap",AND(ISNUMBER(I297),ISNUMBER(J297),I297&gt;J297),"Implied",TRUE,""))</f>
        <v/>
      </c>
      <c r="AU297" s="421" t="n"/>
    </row>
    <row r="298" outlineLevel="1" s="923">
      <c r="G298" s="462" t="n"/>
      <c r="H298" s="462" t="n"/>
      <c r="I298" s="421" t="n"/>
      <c r="J298" s="421" t="n"/>
      <c r="K298" s="421">
        <f>IFERROR(IF(A298="","",N(AE298)+N(AF298)+N(AG298)+N(AH298)),0)</f>
        <v/>
      </c>
      <c r="L298" s="421">
        <f>IFERROR(IF(A298="","",N(J298)+N(K298)),0)</f>
        <v/>
      </c>
      <c r="M298" s="421" t="n"/>
      <c r="N298" s="421" t="n"/>
      <c r="O298" s="421" t="n"/>
      <c r="P298" s="421" t="n"/>
      <c r="Q298" s="421" t="n"/>
      <c r="R298" s="421" t="n"/>
      <c r="U298" s="476" t="n"/>
      <c r="V298" s="1006">
        <f>IFERROR(IF(OR(A298="",U298="",U298=0,J298=""),"",J298/U298),"")</f>
        <v/>
      </c>
      <c r="W298" s="1006">
        <f>IFERROR(IF(V298="","",V298*12),"")</f>
        <v/>
      </c>
      <c r="X298">
        <f>IF(AND(E298&lt;&gt;"",E298&lt;&gt;"Vacant",E298&lt;&gt;"Reserved",C298&lt;&gt;"",D298&lt;&gt;""),C298&amp;"|"&amp;D298,"")</f>
        <v/>
      </c>
      <c r="Y298">
        <f>IF(AND(C298&lt;&gt;"",D298&lt;&gt;""),C298&amp;"|"&amp;D298,"")</f>
        <v/>
      </c>
      <c r="AA298" s="421">
        <f>IFERROR(IF(OR(A298="",I298="",J298=""),"",I298-J298),"")</f>
        <v/>
      </c>
      <c r="AB298" s="479">
        <f>IFERROR(IF(OR(AA298="",I298=0,I298=""),"",AA298/I298),"")</f>
        <v/>
      </c>
      <c r="AC298" s="421" t="n"/>
      <c r="AD298" s="462" t="n"/>
      <c r="AE298" s="421" t="n"/>
      <c r="AF298" s="421" t="n"/>
      <c r="AG298" s="421" t="n"/>
      <c r="AH298" s="421" t="n"/>
      <c r="AI298" s="421" t="n"/>
      <c r="AJ298" s="421" t="n"/>
      <c r="AK298" s="421" t="n"/>
      <c r="AL298" s="421" t="n"/>
      <c r="AM298" s="421" t="n"/>
      <c r="AN298" s="421" t="n"/>
      <c r="AO298" s="483" t="n"/>
      <c r="AP298" s="1007">
        <f>SUM(AJ298:AN298)</f>
        <v/>
      </c>
      <c r="AQ298" s="485" t="n"/>
      <c r="AS298" s="1006" t="n"/>
      <c r="AT298">
        <f t="array" ref="AT298">IF(E298&lt;&gt;"Occupied","",_xlfn.IFS(AND(ISNUMBER(AC298),AC298&lt;&gt;0),"Structured",ISNUMBER(SEARCH("/mo con",T298)),"Notes-parsed",ISNUMBER(SEARCH("step",T298)),"Step-up",ISNUMBER(SEARCH("swap",T298)),"Rate-swap",AND(ISNUMBER(I298),ISNUMBER(J298),I298&gt;J298),"Implied",TRUE,""))</f>
        <v/>
      </c>
      <c r="AU298" s="421" t="n"/>
    </row>
    <row r="299" outlineLevel="1" s="923">
      <c r="G299" s="462" t="n"/>
      <c r="H299" s="462" t="n"/>
      <c r="I299" s="421" t="n"/>
      <c r="J299" s="421" t="n"/>
      <c r="K299" s="421">
        <f>IFERROR(IF(A299="","",N(AE299)+N(AF299)+N(AG299)+N(AH299)),0)</f>
        <v/>
      </c>
      <c r="L299" s="421">
        <f>IFERROR(IF(A299="","",N(J299)+N(K299)),0)</f>
        <v/>
      </c>
      <c r="M299" s="421" t="n"/>
      <c r="N299" s="421" t="n"/>
      <c r="O299" s="421" t="n"/>
      <c r="P299" s="421" t="n"/>
      <c r="Q299" s="421" t="n"/>
      <c r="R299" s="421" t="n"/>
      <c r="U299" s="476" t="n"/>
      <c r="V299" s="1006">
        <f>IFERROR(IF(OR(A299="",U299="",U299=0,J299=""),"",J299/U299),"")</f>
        <v/>
      </c>
      <c r="W299" s="1006">
        <f>IFERROR(IF(V299="","",V299*12),"")</f>
        <v/>
      </c>
      <c r="X299">
        <f>IF(AND(E299&lt;&gt;"",E299&lt;&gt;"Vacant",E299&lt;&gt;"Reserved",C299&lt;&gt;"",D299&lt;&gt;""),C299&amp;"|"&amp;D299,"")</f>
        <v/>
      </c>
      <c r="Y299">
        <f>IF(AND(C299&lt;&gt;"",D299&lt;&gt;""),C299&amp;"|"&amp;D299,"")</f>
        <v/>
      </c>
      <c r="AA299" s="421">
        <f>IFERROR(IF(OR(A299="",I299="",J299=""),"",I299-J299),"")</f>
        <v/>
      </c>
      <c r="AB299" s="479">
        <f>IFERROR(IF(OR(AA299="",I299=0,I299=""),"",AA299/I299),"")</f>
        <v/>
      </c>
      <c r="AC299" s="421" t="n"/>
      <c r="AD299" s="462" t="n"/>
      <c r="AE299" s="421" t="n"/>
      <c r="AF299" s="421" t="n"/>
      <c r="AG299" s="421" t="n"/>
      <c r="AH299" s="421" t="n"/>
      <c r="AI299" s="421" t="n"/>
      <c r="AJ299" s="421" t="n"/>
      <c r="AK299" s="421" t="n"/>
      <c r="AL299" s="421" t="n"/>
      <c r="AM299" s="421" t="n"/>
      <c r="AN299" s="421" t="n"/>
      <c r="AO299" s="483" t="n"/>
      <c r="AP299" s="1007">
        <f>SUM(AJ299:AN299)</f>
        <v/>
      </c>
      <c r="AQ299" s="485" t="n"/>
      <c r="AS299" s="1006" t="n"/>
      <c r="AT299">
        <f t="array" ref="AT299">IF(E299&lt;&gt;"Occupied","",_xlfn.IFS(AND(ISNUMBER(AC299),AC299&lt;&gt;0),"Structured",ISNUMBER(SEARCH("/mo con",T299)),"Notes-parsed",ISNUMBER(SEARCH("step",T299)),"Step-up",ISNUMBER(SEARCH("swap",T299)),"Rate-swap",AND(ISNUMBER(I299),ISNUMBER(J299),I299&gt;J299),"Implied",TRUE,""))</f>
        <v/>
      </c>
      <c r="AU299" s="421" t="n"/>
    </row>
    <row r="300" outlineLevel="1" s="923">
      <c r="G300" s="462" t="n"/>
      <c r="H300" s="462" t="n"/>
      <c r="I300" s="421" t="n"/>
      <c r="J300" s="421" t="n"/>
      <c r="K300" s="421">
        <f>IFERROR(IF(A300="","",N(AE300)+N(AF300)+N(AG300)+N(AH300)),0)</f>
        <v/>
      </c>
      <c r="L300" s="421">
        <f>IFERROR(IF(A300="","",N(J300)+N(K300)),0)</f>
        <v/>
      </c>
      <c r="M300" s="421" t="n"/>
      <c r="N300" s="421" t="n"/>
      <c r="O300" s="421" t="n"/>
      <c r="P300" s="421" t="n"/>
      <c r="Q300" s="421" t="n"/>
      <c r="R300" s="421" t="n"/>
      <c r="U300" s="476" t="n"/>
      <c r="V300" s="1006">
        <f>IFERROR(IF(OR(A300="",U300="",U300=0,J300=""),"",J300/U300),"")</f>
        <v/>
      </c>
      <c r="W300" s="1006">
        <f>IFERROR(IF(V300="","",V300*12),"")</f>
        <v/>
      </c>
      <c r="X300">
        <f>IF(AND(E300&lt;&gt;"",E300&lt;&gt;"Vacant",E300&lt;&gt;"Reserved",C300&lt;&gt;"",D300&lt;&gt;""),C300&amp;"|"&amp;D300,"")</f>
        <v/>
      </c>
      <c r="Y300">
        <f>IF(AND(C300&lt;&gt;"",D300&lt;&gt;""),C300&amp;"|"&amp;D300,"")</f>
        <v/>
      </c>
      <c r="AA300" s="421">
        <f>IFERROR(IF(OR(A300="",I300="",J300=""),"",I300-J300),"")</f>
        <v/>
      </c>
      <c r="AB300" s="479">
        <f>IFERROR(IF(OR(AA300="",I300=0,I300=""),"",AA300/I300),"")</f>
        <v/>
      </c>
      <c r="AC300" s="421" t="n"/>
      <c r="AD300" s="462" t="n"/>
      <c r="AE300" s="421" t="n"/>
      <c r="AF300" s="421" t="n"/>
      <c r="AG300" s="421" t="n"/>
      <c r="AH300" s="421" t="n"/>
      <c r="AI300" s="421" t="n"/>
      <c r="AJ300" s="421" t="n"/>
      <c r="AK300" s="421" t="n"/>
      <c r="AL300" s="421" t="n"/>
      <c r="AM300" s="421" t="n"/>
      <c r="AN300" s="421" t="n"/>
      <c r="AO300" s="483" t="n"/>
      <c r="AP300" s="1007">
        <f>SUM(AJ300:AN300)</f>
        <v/>
      </c>
      <c r="AQ300" s="485" t="n"/>
      <c r="AS300" s="1006" t="n"/>
      <c r="AT300">
        <f t="array" ref="AT300">IF(E300&lt;&gt;"Occupied","",_xlfn.IFS(AND(ISNUMBER(AC300),AC300&lt;&gt;0),"Structured",ISNUMBER(SEARCH("/mo con",T300)),"Notes-parsed",ISNUMBER(SEARCH("step",T300)),"Step-up",ISNUMBER(SEARCH("swap",T300)),"Rate-swap",AND(ISNUMBER(I300),ISNUMBER(J300),I300&gt;J300),"Implied",TRUE,""))</f>
        <v/>
      </c>
      <c r="AU300" s="421" t="n"/>
    </row>
    <row r="301" outlineLevel="1" s="923">
      <c r="G301" s="462" t="n"/>
      <c r="H301" s="462" t="n"/>
      <c r="I301" s="421" t="n"/>
      <c r="J301" s="421" t="n"/>
      <c r="K301" s="421">
        <f>IFERROR(IF(A301="","",N(AE301)+N(AF301)+N(AG301)+N(AH301)),0)</f>
        <v/>
      </c>
      <c r="L301" s="421">
        <f>IFERROR(IF(A301="","",N(J301)+N(K301)),0)</f>
        <v/>
      </c>
      <c r="M301" s="421" t="n"/>
      <c r="N301" s="421" t="n"/>
      <c r="O301" s="421" t="n"/>
      <c r="P301" s="421" t="n"/>
      <c r="Q301" s="421" t="n"/>
      <c r="R301" s="421" t="n"/>
      <c r="U301" s="476" t="n"/>
      <c r="V301" s="1006">
        <f>IFERROR(IF(OR(A301="",U301="",U301=0,J301=""),"",J301/U301),"")</f>
        <v/>
      </c>
      <c r="W301" s="1006">
        <f>IFERROR(IF(V301="","",V301*12),"")</f>
        <v/>
      </c>
      <c r="X301">
        <f>IF(AND(E301&lt;&gt;"",E301&lt;&gt;"Vacant",E301&lt;&gt;"Reserved",C301&lt;&gt;"",D301&lt;&gt;""),C301&amp;"|"&amp;D301,"")</f>
        <v/>
      </c>
      <c r="Y301">
        <f>IF(AND(C301&lt;&gt;"",D301&lt;&gt;""),C301&amp;"|"&amp;D301,"")</f>
        <v/>
      </c>
      <c r="AA301" s="421">
        <f>IFERROR(IF(OR(A301="",I301="",J301=""),"",I301-J301),"")</f>
        <v/>
      </c>
      <c r="AB301" s="479">
        <f>IFERROR(IF(OR(AA301="",I301=0,I301=""),"",AA301/I301),"")</f>
        <v/>
      </c>
      <c r="AC301" s="421" t="n"/>
      <c r="AD301" s="462" t="n"/>
      <c r="AE301" s="421" t="n"/>
      <c r="AF301" s="421" t="n"/>
      <c r="AG301" s="421" t="n"/>
      <c r="AH301" s="421" t="n"/>
      <c r="AI301" s="421" t="n"/>
      <c r="AJ301" s="421" t="n"/>
      <c r="AK301" s="421" t="n"/>
      <c r="AL301" s="421" t="n"/>
      <c r="AM301" s="421" t="n"/>
      <c r="AN301" s="421" t="n"/>
      <c r="AO301" s="483" t="n"/>
      <c r="AP301" s="1007">
        <f>SUM(AJ301:AN301)</f>
        <v/>
      </c>
      <c r="AQ301" s="485" t="n"/>
      <c r="AS301" s="1006" t="n"/>
      <c r="AT301">
        <f t="array" ref="AT301">IF(E301&lt;&gt;"Occupied","",_xlfn.IFS(AND(ISNUMBER(AC301),AC301&lt;&gt;0),"Structured",ISNUMBER(SEARCH("/mo con",T301)),"Notes-parsed",ISNUMBER(SEARCH("step",T301)),"Step-up",ISNUMBER(SEARCH("swap",T301)),"Rate-swap",AND(ISNUMBER(I301),ISNUMBER(J301),I301&gt;J301),"Implied",TRUE,""))</f>
        <v/>
      </c>
      <c r="AU301" s="421" t="n"/>
    </row>
    <row r="302" outlineLevel="1" s="923">
      <c r="G302" s="462" t="n"/>
      <c r="H302" s="462" t="n"/>
      <c r="I302" s="421" t="n"/>
      <c r="J302" s="421" t="n"/>
      <c r="K302" s="421">
        <f>IFERROR(IF(A302="","",N(AE302)+N(AF302)+N(AG302)+N(AH302)),0)</f>
        <v/>
      </c>
      <c r="L302" s="421">
        <f>IFERROR(IF(A302="","",N(J302)+N(K302)),0)</f>
        <v/>
      </c>
      <c r="M302" s="421" t="n"/>
      <c r="N302" s="421" t="n"/>
      <c r="O302" s="421" t="n"/>
      <c r="P302" s="421" t="n"/>
      <c r="Q302" s="421" t="n"/>
      <c r="R302" s="421" t="n"/>
      <c r="U302" s="476" t="n"/>
      <c r="V302" s="1006">
        <f>IFERROR(IF(OR(A302="",U302="",U302=0,J302=""),"",J302/U302),"")</f>
        <v/>
      </c>
      <c r="W302" s="1006">
        <f>IFERROR(IF(V302="","",V302*12),"")</f>
        <v/>
      </c>
      <c r="X302">
        <f>IF(AND(E302&lt;&gt;"",E302&lt;&gt;"Vacant",E302&lt;&gt;"Reserved",C302&lt;&gt;"",D302&lt;&gt;""),C302&amp;"|"&amp;D302,"")</f>
        <v/>
      </c>
      <c r="Y302">
        <f>IF(AND(C302&lt;&gt;"",D302&lt;&gt;""),C302&amp;"|"&amp;D302,"")</f>
        <v/>
      </c>
      <c r="AA302" s="421">
        <f>IFERROR(IF(OR(A302="",I302="",J302=""),"",I302-J302),"")</f>
        <v/>
      </c>
      <c r="AB302" s="479">
        <f>IFERROR(IF(OR(AA302="",I302=0,I302=""),"",AA302/I302),"")</f>
        <v/>
      </c>
      <c r="AC302" s="421" t="n"/>
      <c r="AD302" s="462" t="n"/>
      <c r="AE302" s="421" t="n"/>
      <c r="AF302" s="421" t="n"/>
      <c r="AG302" s="421" t="n"/>
      <c r="AH302" s="421" t="n"/>
      <c r="AI302" s="421" t="n"/>
      <c r="AJ302" s="421" t="n"/>
      <c r="AK302" s="421" t="n"/>
      <c r="AL302" s="421" t="n"/>
      <c r="AM302" s="421" t="n"/>
      <c r="AN302" s="421" t="n"/>
      <c r="AO302" s="483" t="n"/>
      <c r="AP302" s="1007">
        <f>SUM(AJ302:AN302)</f>
        <v/>
      </c>
      <c r="AQ302" s="485" t="n"/>
      <c r="AS302" s="1006" t="n"/>
      <c r="AT302">
        <f t="array" ref="AT302">IF(E302&lt;&gt;"Occupied","",_xlfn.IFS(AND(ISNUMBER(AC302),AC302&lt;&gt;0),"Structured",ISNUMBER(SEARCH("/mo con",T302)),"Notes-parsed",ISNUMBER(SEARCH("step",T302)),"Step-up",ISNUMBER(SEARCH("swap",T302)),"Rate-swap",AND(ISNUMBER(I302),ISNUMBER(J302),I302&gt;J302),"Implied",TRUE,""))</f>
        <v/>
      </c>
      <c r="AU302" s="421" t="n"/>
    </row>
    <row r="303" outlineLevel="1" s="923">
      <c r="G303" s="462" t="n"/>
      <c r="H303" s="462" t="n"/>
      <c r="I303" s="421" t="n"/>
      <c r="J303" s="421" t="n"/>
      <c r="K303" s="421">
        <f>IFERROR(IF(A303="","",N(AE303)+N(AF303)+N(AG303)+N(AH303)),0)</f>
        <v/>
      </c>
      <c r="L303" s="421">
        <f>IFERROR(IF(A303="","",N(J303)+N(K303)),0)</f>
        <v/>
      </c>
      <c r="M303" s="421" t="n"/>
      <c r="N303" s="421" t="n"/>
      <c r="O303" s="421" t="n"/>
      <c r="P303" s="421" t="n"/>
      <c r="Q303" s="421" t="n"/>
      <c r="R303" s="421" t="n"/>
      <c r="U303" s="476" t="n"/>
      <c r="V303" s="1006">
        <f>IFERROR(IF(OR(A303="",U303="",U303=0,J303=""),"",J303/U303),"")</f>
        <v/>
      </c>
      <c r="W303" s="1006">
        <f>IFERROR(IF(V303="","",V303*12),"")</f>
        <v/>
      </c>
      <c r="X303">
        <f>IF(AND(E303&lt;&gt;"",E303&lt;&gt;"Vacant",E303&lt;&gt;"Reserved",C303&lt;&gt;"",D303&lt;&gt;""),C303&amp;"|"&amp;D303,"")</f>
        <v/>
      </c>
      <c r="Y303">
        <f>IF(AND(C303&lt;&gt;"",D303&lt;&gt;""),C303&amp;"|"&amp;D303,"")</f>
        <v/>
      </c>
      <c r="AA303" s="421">
        <f>IFERROR(IF(OR(A303="",I303="",J303=""),"",I303-J303),"")</f>
        <v/>
      </c>
      <c r="AB303" s="479">
        <f>IFERROR(IF(OR(AA303="",I303=0,I303=""),"",AA303/I303),"")</f>
        <v/>
      </c>
      <c r="AC303" s="421" t="n"/>
      <c r="AD303" s="462" t="n"/>
      <c r="AE303" s="421" t="n"/>
      <c r="AF303" s="421" t="n"/>
      <c r="AG303" s="421" t="n"/>
      <c r="AH303" s="421" t="n"/>
      <c r="AI303" s="421" t="n"/>
      <c r="AJ303" s="421" t="n"/>
      <c r="AK303" s="421" t="n"/>
      <c r="AL303" s="421" t="n"/>
      <c r="AM303" s="421" t="n"/>
      <c r="AN303" s="421" t="n"/>
      <c r="AO303" s="483" t="n"/>
      <c r="AP303" s="1007">
        <f>SUM(AJ303:AN303)</f>
        <v/>
      </c>
      <c r="AQ303" s="485" t="n"/>
      <c r="AS303" s="1006" t="n"/>
      <c r="AT303">
        <f t="array" ref="AT303">IF(E303&lt;&gt;"Occupied","",_xlfn.IFS(AND(ISNUMBER(AC303),AC303&lt;&gt;0),"Structured",ISNUMBER(SEARCH("/mo con",T303)),"Notes-parsed",ISNUMBER(SEARCH("step",T303)),"Step-up",ISNUMBER(SEARCH("swap",T303)),"Rate-swap",AND(ISNUMBER(I303),ISNUMBER(J303),I303&gt;J303),"Implied",TRUE,""))</f>
        <v/>
      </c>
      <c r="AU303" s="421" t="n"/>
    </row>
    <row r="304" outlineLevel="1" s="923">
      <c r="G304" s="462" t="n"/>
      <c r="H304" s="462" t="n"/>
      <c r="I304" s="421" t="n"/>
      <c r="J304" s="421" t="n"/>
      <c r="K304" s="421">
        <f>IFERROR(IF(A304="","",N(AE304)+N(AF304)+N(AG304)+N(AH304)),0)</f>
        <v/>
      </c>
      <c r="L304" s="421">
        <f>IFERROR(IF(A304="","",N(J304)+N(K304)),0)</f>
        <v/>
      </c>
      <c r="M304" s="421" t="n"/>
      <c r="N304" s="421" t="n"/>
      <c r="O304" s="421" t="n"/>
      <c r="P304" s="421" t="n"/>
      <c r="Q304" s="421" t="n"/>
      <c r="R304" s="421" t="n"/>
      <c r="U304" s="476" t="n"/>
      <c r="V304" s="1006">
        <f>IFERROR(IF(OR(A304="",U304="",U304=0,J304=""),"",J304/U304),"")</f>
        <v/>
      </c>
      <c r="W304" s="1006">
        <f>IFERROR(IF(V304="","",V304*12),"")</f>
        <v/>
      </c>
      <c r="X304">
        <f>IF(AND(E304&lt;&gt;"",E304&lt;&gt;"Vacant",E304&lt;&gt;"Reserved",C304&lt;&gt;"",D304&lt;&gt;""),C304&amp;"|"&amp;D304,"")</f>
        <v/>
      </c>
      <c r="Y304">
        <f>IF(AND(C304&lt;&gt;"",D304&lt;&gt;""),C304&amp;"|"&amp;D304,"")</f>
        <v/>
      </c>
      <c r="AA304" s="421">
        <f>IFERROR(IF(OR(A304="",I304="",J304=""),"",I304-J304),"")</f>
        <v/>
      </c>
      <c r="AB304" s="479">
        <f>IFERROR(IF(OR(AA304="",I304=0,I304=""),"",AA304/I304),"")</f>
        <v/>
      </c>
      <c r="AC304" s="421" t="n"/>
      <c r="AD304" s="462" t="n"/>
      <c r="AE304" s="421" t="n"/>
      <c r="AF304" s="421" t="n"/>
      <c r="AG304" s="421" t="n"/>
      <c r="AH304" s="421" t="n"/>
      <c r="AI304" s="421" t="n"/>
      <c r="AJ304" s="421" t="n"/>
      <c r="AK304" s="421" t="n"/>
      <c r="AL304" s="421" t="n"/>
      <c r="AM304" s="421" t="n"/>
      <c r="AN304" s="421" t="n"/>
      <c r="AO304" s="483" t="n"/>
      <c r="AP304" s="1007">
        <f>SUM(AJ304:AN304)</f>
        <v/>
      </c>
      <c r="AQ304" s="485" t="n"/>
      <c r="AS304" s="1006" t="n"/>
      <c r="AT304">
        <f t="array" ref="AT304">IF(E304&lt;&gt;"Occupied","",_xlfn.IFS(AND(ISNUMBER(AC304),AC304&lt;&gt;0),"Structured",ISNUMBER(SEARCH("/mo con",T304)),"Notes-parsed",ISNUMBER(SEARCH("step",T304)),"Step-up",ISNUMBER(SEARCH("swap",T304)),"Rate-swap",AND(ISNUMBER(I304),ISNUMBER(J304),I304&gt;J304),"Implied",TRUE,""))</f>
        <v/>
      </c>
      <c r="AU304" s="421" t="n"/>
    </row>
    <row r="305" outlineLevel="1" s="923">
      <c r="G305" s="462" t="n"/>
      <c r="H305" s="462" t="n"/>
      <c r="I305" s="421" t="n"/>
      <c r="J305" s="421" t="n"/>
      <c r="K305" s="421">
        <f>IFERROR(IF(A305="","",N(AE305)+N(AF305)+N(AG305)+N(AH305)),0)</f>
        <v/>
      </c>
      <c r="L305" s="421">
        <f>IFERROR(IF(A305="","",N(J305)+N(K305)),0)</f>
        <v/>
      </c>
      <c r="M305" s="421" t="n"/>
      <c r="N305" s="421" t="n"/>
      <c r="O305" s="421" t="n"/>
      <c r="P305" s="421" t="n"/>
      <c r="Q305" s="421" t="n"/>
      <c r="R305" s="421" t="n"/>
      <c r="U305" s="476" t="n"/>
      <c r="V305" s="1006">
        <f>IFERROR(IF(OR(A305="",U305="",U305=0,J305=""),"",J305/U305),"")</f>
        <v/>
      </c>
      <c r="W305" s="1006">
        <f>IFERROR(IF(V305="","",V305*12),"")</f>
        <v/>
      </c>
      <c r="X305">
        <f>IF(AND(E305&lt;&gt;"",E305&lt;&gt;"Vacant",E305&lt;&gt;"Reserved",C305&lt;&gt;"",D305&lt;&gt;""),C305&amp;"|"&amp;D305,"")</f>
        <v/>
      </c>
      <c r="Y305">
        <f>IF(AND(C305&lt;&gt;"",D305&lt;&gt;""),C305&amp;"|"&amp;D305,"")</f>
        <v/>
      </c>
      <c r="AA305" s="421">
        <f>IFERROR(IF(OR(A305="",I305="",J305=""),"",I305-J305),"")</f>
        <v/>
      </c>
      <c r="AB305" s="479">
        <f>IFERROR(IF(OR(AA305="",I305=0,I305=""),"",AA305/I305),"")</f>
        <v/>
      </c>
      <c r="AC305" s="421" t="n"/>
      <c r="AD305" s="462" t="n"/>
      <c r="AE305" s="421" t="n"/>
      <c r="AF305" s="421" t="n"/>
      <c r="AG305" s="421" t="n"/>
      <c r="AH305" s="421" t="n"/>
      <c r="AI305" s="421" t="n"/>
      <c r="AJ305" s="421" t="n"/>
      <c r="AK305" s="421" t="n"/>
      <c r="AL305" s="421" t="n"/>
      <c r="AM305" s="421" t="n"/>
      <c r="AN305" s="421" t="n"/>
      <c r="AO305" s="483" t="n"/>
      <c r="AP305" s="1007">
        <f>SUM(AJ305:AN305)</f>
        <v/>
      </c>
      <c r="AQ305" s="485" t="n"/>
      <c r="AS305" s="1006" t="n"/>
      <c r="AT305">
        <f t="array" ref="AT305">IF(E305&lt;&gt;"Occupied","",_xlfn.IFS(AND(ISNUMBER(AC305),AC305&lt;&gt;0),"Structured",ISNUMBER(SEARCH("/mo con",T305)),"Notes-parsed",ISNUMBER(SEARCH("step",T305)),"Step-up",ISNUMBER(SEARCH("swap",T305)),"Rate-swap",AND(ISNUMBER(I305),ISNUMBER(J305),I305&gt;J305),"Implied",TRUE,""))</f>
        <v/>
      </c>
      <c r="AU305" s="421" t="n"/>
    </row>
    <row r="306" outlineLevel="1" s="923">
      <c r="G306" s="462" t="n"/>
      <c r="H306" s="462" t="n"/>
      <c r="I306" s="421" t="n"/>
      <c r="J306" s="421" t="n"/>
      <c r="K306" s="421">
        <f>IFERROR(IF(A306="","",N(AE306)+N(AF306)+N(AG306)+N(AH306)),0)</f>
        <v/>
      </c>
      <c r="L306" s="421">
        <f>IFERROR(IF(A306="","",N(J306)+N(K306)),0)</f>
        <v/>
      </c>
      <c r="M306" s="421" t="n"/>
      <c r="N306" s="421" t="n"/>
      <c r="O306" s="421" t="n"/>
      <c r="P306" s="421" t="n"/>
      <c r="Q306" s="421" t="n"/>
      <c r="R306" s="421" t="n"/>
      <c r="U306" s="476" t="n"/>
      <c r="V306" s="1006">
        <f>IFERROR(IF(OR(A306="",U306="",U306=0,J306=""),"",J306/U306),"")</f>
        <v/>
      </c>
      <c r="W306" s="1006">
        <f>IFERROR(IF(V306="","",V306*12),"")</f>
        <v/>
      </c>
      <c r="X306">
        <f>IF(AND(E306&lt;&gt;"",E306&lt;&gt;"Vacant",E306&lt;&gt;"Reserved",C306&lt;&gt;"",D306&lt;&gt;""),C306&amp;"|"&amp;D306,"")</f>
        <v/>
      </c>
      <c r="Y306">
        <f>IF(AND(C306&lt;&gt;"",D306&lt;&gt;""),C306&amp;"|"&amp;D306,"")</f>
        <v/>
      </c>
      <c r="AA306" s="421">
        <f>IFERROR(IF(OR(A306="",I306="",J306=""),"",I306-J306),"")</f>
        <v/>
      </c>
      <c r="AB306" s="479">
        <f>IFERROR(IF(OR(AA306="",I306=0,I306=""),"",AA306/I306),"")</f>
        <v/>
      </c>
      <c r="AC306" s="421" t="n"/>
      <c r="AD306" s="462" t="n"/>
      <c r="AE306" s="421" t="n"/>
      <c r="AF306" s="421" t="n"/>
      <c r="AG306" s="421" t="n"/>
      <c r="AH306" s="421" t="n"/>
      <c r="AI306" s="421" t="n"/>
      <c r="AJ306" s="421" t="n"/>
      <c r="AK306" s="421" t="n"/>
      <c r="AL306" s="421" t="n"/>
      <c r="AM306" s="421" t="n"/>
      <c r="AN306" s="421" t="n"/>
      <c r="AO306" s="483" t="n"/>
      <c r="AP306" s="1007">
        <f>SUM(AJ306:AN306)</f>
        <v/>
      </c>
      <c r="AQ306" s="485" t="n"/>
      <c r="AS306" s="1006" t="n"/>
      <c r="AT306">
        <f t="array" ref="AT306">IF(E306&lt;&gt;"Occupied","",_xlfn.IFS(AND(ISNUMBER(AC306),AC306&lt;&gt;0),"Structured",ISNUMBER(SEARCH("/mo con",T306)),"Notes-parsed",ISNUMBER(SEARCH("step",T306)),"Step-up",ISNUMBER(SEARCH("swap",T306)),"Rate-swap",AND(ISNUMBER(I306),ISNUMBER(J306),I306&gt;J306),"Implied",TRUE,""))</f>
        <v/>
      </c>
      <c r="AU306" s="421" t="n"/>
    </row>
    <row r="307" outlineLevel="1" s="923">
      <c r="G307" s="462" t="n"/>
      <c r="H307" s="462" t="n"/>
      <c r="I307" s="421" t="n"/>
      <c r="J307" s="421" t="n"/>
      <c r="K307" s="421">
        <f>IFERROR(IF(A307="","",N(AE307)+N(AF307)+N(AG307)+N(AH307)),0)</f>
        <v/>
      </c>
      <c r="L307" s="421">
        <f>IFERROR(IF(A307="","",N(J307)+N(K307)),0)</f>
        <v/>
      </c>
      <c r="M307" s="421" t="n"/>
      <c r="N307" s="421" t="n"/>
      <c r="O307" s="421" t="n"/>
      <c r="P307" s="421" t="n"/>
      <c r="Q307" s="421" t="n"/>
      <c r="R307" s="421" t="n"/>
      <c r="U307" s="476" t="n"/>
      <c r="V307" s="1006">
        <f>IFERROR(IF(OR(A307="",U307="",U307=0,J307=""),"",J307/U307),"")</f>
        <v/>
      </c>
      <c r="W307" s="1006">
        <f>IFERROR(IF(V307="","",V307*12),"")</f>
        <v/>
      </c>
      <c r="X307">
        <f>IF(AND(E307&lt;&gt;"",E307&lt;&gt;"Vacant",E307&lt;&gt;"Reserved",C307&lt;&gt;"",D307&lt;&gt;""),C307&amp;"|"&amp;D307,"")</f>
        <v/>
      </c>
      <c r="Y307">
        <f>IF(AND(C307&lt;&gt;"",D307&lt;&gt;""),C307&amp;"|"&amp;D307,"")</f>
        <v/>
      </c>
      <c r="AA307" s="421">
        <f>IFERROR(IF(OR(A307="",I307="",J307=""),"",I307-J307),"")</f>
        <v/>
      </c>
      <c r="AB307" s="479">
        <f>IFERROR(IF(OR(AA307="",I307=0,I307=""),"",AA307/I307),"")</f>
        <v/>
      </c>
      <c r="AC307" s="421" t="n"/>
      <c r="AD307" s="462" t="n"/>
      <c r="AE307" s="421" t="n"/>
      <c r="AF307" s="421" t="n"/>
      <c r="AG307" s="421" t="n"/>
      <c r="AH307" s="421" t="n"/>
      <c r="AI307" s="421" t="n"/>
      <c r="AJ307" s="421" t="n"/>
      <c r="AK307" s="421" t="n"/>
      <c r="AL307" s="421" t="n"/>
      <c r="AM307" s="421" t="n"/>
      <c r="AN307" s="421" t="n"/>
      <c r="AO307" s="483" t="n"/>
      <c r="AP307" s="1007">
        <f>SUM(AJ307:AN307)</f>
        <v/>
      </c>
      <c r="AQ307" s="485" t="n"/>
      <c r="AS307" s="1006" t="n"/>
      <c r="AT307">
        <f t="array" ref="AT307">IF(E307&lt;&gt;"Occupied","",_xlfn.IFS(AND(ISNUMBER(AC307),AC307&lt;&gt;0),"Structured",ISNUMBER(SEARCH("/mo con",T307)),"Notes-parsed",ISNUMBER(SEARCH("step",T307)),"Step-up",ISNUMBER(SEARCH("swap",T307)),"Rate-swap",AND(ISNUMBER(I307),ISNUMBER(J307),I307&gt;J307),"Implied",TRUE,""))</f>
        <v/>
      </c>
      <c r="AU307" s="421" t="n"/>
    </row>
    <row r="308" outlineLevel="1" s="923">
      <c r="G308" s="462" t="n"/>
      <c r="H308" s="462" t="n"/>
      <c r="I308" s="421" t="n"/>
      <c r="J308" s="421" t="n"/>
      <c r="K308" s="421">
        <f>IFERROR(IF(A308="","",N(AE308)+N(AF308)+N(AG308)+N(AH308)),0)</f>
        <v/>
      </c>
      <c r="L308" s="421">
        <f>IFERROR(IF(A308="","",N(J308)+N(K308)),0)</f>
        <v/>
      </c>
      <c r="M308" s="421" t="n"/>
      <c r="N308" s="421" t="n"/>
      <c r="O308" s="421" t="n"/>
      <c r="P308" s="421" t="n"/>
      <c r="Q308" s="421" t="n"/>
      <c r="R308" s="421" t="n"/>
      <c r="U308" s="476" t="n"/>
      <c r="V308" s="1006">
        <f>IFERROR(IF(OR(A308="",U308="",U308=0,J308=""),"",J308/U308),"")</f>
        <v/>
      </c>
      <c r="W308" s="1006">
        <f>IFERROR(IF(V308="","",V308*12),"")</f>
        <v/>
      </c>
      <c r="X308">
        <f>IF(AND(E308&lt;&gt;"",E308&lt;&gt;"Vacant",E308&lt;&gt;"Reserved",C308&lt;&gt;"",D308&lt;&gt;""),C308&amp;"|"&amp;D308,"")</f>
        <v/>
      </c>
      <c r="Y308">
        <f>IF(AND(C308&lt;&gt;"",D308&lt;&gt;""),C308&amp;"|"&amp;D308,"")</f>
        <v/>
      </c>
      <c r="AA308" s="421">
        <f>IFERROR(IF(OR(A308="",I308="",J308=""),"",I308-J308),"")</f>
        <v/>
      </c>
      <c r="AB308" s="479">
        <f>IFERROR(IF(OR(AA308="",I308=0,I308=""),"",AA308/I308),"")</f>
        <v/>
      </c>
      <c r="AC308" s="421" t="n"/>
      <c r="AD308" s="462" t="n"/>
      <c r="AE308" s="421" t="n"/>
      <c r="AF308" s="421" t="n"/>
      <c r="AG308" s="421" t="n"/>
      <c r="AH308" s="421" t="n"/>
      <c r="AI308" s="421" t="n"/>
      <c r="AJ308" s="421" t="n"/>
      <c r="AK308" s="421" t="n"/>
      <c r="AL308" s="421" t="n"/>
      <c r="AM308" s="421" t="n"/>
      <c r="AN308" s="421" t="n"/>
      <c r="AO308" s="483" t="n"/>
      <c r="AP308" s="1007">
        <f>SUM(AJ308:AN308)</f>
        <v/>
      </c>
      <c r="AQ308" s="485" t="n"/>
      <c r="AS308" s="1006" t="n"/>
      <c r="AT308">
        <f t="array" ref="AT308">IF(E308&lt;&gt;"Occupied","",_xlfn.IFS(AND(ISNUMBER(AC308),AC308&lt;&gt;0),"Structured",ISNUMBER(SEARCH("/mo con",T308)),"Notes-parsed",ISNUMBER(SEARCH("step",T308)),"Step-up",ISNUMBER(SEARCH("swap",T308)),"Rate-swap",AND(ISNUMBER(I308),ISNUMBER(J308),I308&gt;J308),"Implied",TRUE,""))</f>
        <v/>
      </c>
      <c r="AU308" s="421" t="n"/>
    </row>
    <row r="309" outlineLevel="1" s="923">
      <c r="G309" s="462" t="n"/>
      <c r="H309" s="462" t="n"/>
      <c r="I309" s="421" t="n"/>
      <c r="J309" s="421" t="n"/>
      <c r="K309" s="421">
        <f>IFERROR(IF(A309="","",N(AE309)+N(AF309)+N(AG309)+N(AH309)),0)</f>
        <v/>
      </c>
      <c r="L309" s="421">
        <f>IFERROR(IF(A309="","",N(J309)+N(K309)),0)</f>
        <v/>
      </c>
      <c r="M309" s="421" t="n"/>
      <c r="N309" s="421" t="n"/>
      <c r="O309" s="421" t="n"/>
      <c r="P309" s="421" t="n"/>
      <c r="Q309" s="421" t="n"/>
      <c r="R309" s="421" t="n"/>
      <c r="U309" s="476" t="n"/>
      <c r="V309" s="1006">
        <f>IFERROR(IF(OR(A309="",U309="",U309=0,J309=""),"",J309/U309),"")</f>
        <v/>
      </c>
      <c r="W309" s="1006">
        <f>IFERROR(IF(V309="","",V309*12),"")</f>
        <v/>
      </c>
      <c r="X309">
        <f>IF(AND(E309&lt;&gt;"",E309&lt;&gt;"Vacant",E309&lt;&gt;"Reserved",C309&lt;&gt;"",D309&lt;&gt;""),C309&amp;"|"&amp;D309,"")</f>
        <v/>
      </c>
      <c r="Y309">
        <f>IF(AND(C309&lt;&gt;"",D309&lt;&gt;""),C309&amp;"|"&amp;D309,"")</f>
        <v/>
      </c>
      <c r="AA309" s="421">
        <f>IFERROR(IF(OR(A309="",I309="",J309=""),"",I309-J309),"")</f>
        <v/>
      </c>
      <c r="AB309" s="479">
        <f>IFERROR(IF(OR(AA309="",I309=0,I309=""),"",AA309/I309),"")</f>
        <v/>
      </c>
      <c r="AC309" s="421" t="n"/>
      <c r="AD309" s="462" t="n"/>
      <c r="AE309" s="421" t="n"/>
      <c r="AF309" s="421" t="n"/>
      <c r="AG309" s="421" t="n"/>
      <c r="AH309" s="421" t="n"/>
      <c r="AI309" s="421" t="n"/>
      <c r="AJ309" s="421" t="n"/>
      <c r="AK309" s="421" t="n"/>
      <c r="AL309" s="421" t="n"/>
      <c r="AM309" s="421" t="n"/>
      <c r="AN309" s="421" t="n"/>
      <c r="AO309" s="483" t="n"/>
      <c r="AP309" s="1007">
        <f>SUM(AJ309:AN309)</f>
        <v/>
      </c>
      <c r="AQ309" s="485" t="n"/>
      <c r="AS309" s="1006" t="n"/>
      <c r="AT309">
        <f t="array" ref="AT309">IF(E309&lt;&gt;"Occupied","",_xlfn.IFS(AND(ISNUMBER(AC309),AC309&lt;&gt;0),"Structured",ISNUMBER(SEARCH("/mo con",T309)),"Notes-parsed",ISNUMBER(SEARCH("step",T309)),"Step-up",ISNUMBER(SEARCH("swap",T309)),"Rate-swap",AND(ISNUMBER(I309),ISNUMBER(J309),I309&gt;J309),"Implied",TRUE,""))</f>
        <v/>
      </c>
      <c r="AU309" s="421" t="n"/>
    </row>
    <row r="310" outlineLevel="1" s="923">
      <c r="G310" s="462" t="n"/>
      <c r="H310" s="462" t="n"/>
      <c r="I310" s="421" t="n"/>
      <c r="J310" s="421" t="n"/>
      <c r="K310" s="421">
        <f>IFERROR(IF(A310="","",N(AE310)+N(AF310)+N(AG310)+N(AH310)),0)</f>
        <v/>
      </c>
      <c r="L310" s="421">
        <f>IFERROR(IF(A310="","",N(J310)+N(K310)),0)</f>
        <v/>
      </c>
      <c r="M310" s="421" t="n"/>
      <c r="N310" s="421" t="n"/>
      <c r="O310" s="421" t="n"/>
      <c r="P310" s="421" t="n"/>
      <c r="Q310" s="421" t="n"/>
      <c r="R310" s="421" t="n"/>
      <c r="U310" s="476" t="n"/>
      <c r="V310" s="1006">
        <f>IFERROR(IF(OR(A310="",U310="",U310=0,J310=""),"",J310/U310),"")</f>
        <v/>
      </c>
      <c r="W310" s="1006">
        <f>IFERROR(IF(V310="","",V310*12),"")</f>
        <v/>
      </c>
      <c r="X310">
        <f>IF(AND(E310&lt;&gt;"",E310&lt;&gt;"Vacant",E310&lt;&gt;"Reserved",C310&lt;&gt;"",D310&lt;&gt;""),C310&amp;"|"&amp;D310,"")</f>
        <v/>
      </c>
      <c r="Y310">
        <f>IF(AND(C310&lt;&gt;"",D310&lt;&gt;""),C310&amp;"|"&amp;D310,"")</f>
        <v/>
      </c>
      <c r="AA310" s="421">
        <f>IFERROR(IF(OR(A310="",I310="",J310=""),"",I310-J310),"")</f>
        <v/>
      </c>
      <c r="AB310" s="479">
        <f>IFERROR(IF(OR(AA310="",I310=0,I310=""),"",AA310/I310),"")</f>
        <v/>
      </c>
      <c r="AC310" s="421" t="n"/>
      <c r="AD310" s="462" t="n"/>
      <c r="AE310" s="421" t="n"/>
      <c r="AF310" s="421" t="n"/>
      <c r="AG310" s="421" t="n"/>
      <c r="AH310" s="421" t="n"/>
      <c r="AI310" s="421" t="n"/>
      <c r="AJ310" s="421" t="n"/>
      <c r="AK310" s="421" t="n"/>
      <c r="AL310" s="421" t="n"/>
      <c r="AM310" s="421" t="n"/>
      <c r="AN310" s="421" t="n"/>
      <c r="AO310" s="483" t="n"/>
      <c r="AP310" s="1007">
        <f>SUM(AJ310:AN310)</f>
        <v/>
      </c>
      <c r="AQ310" s="485" t="n"/>
      <c r="AS310" s="1006" t="n"/>
      <c r="AT310">
        <f t="array" ref="AT310">IF(E310&lt;&gt;"Occupied","",_xlfn.IFS(AND(ISNUMBER(AC310),AC310&lt;&gt;0),"Structured",ISNUMBER(SEARCH("/mo con",T310)),"Notes-parsed",ISNUMBER(SEARCH("step",T310)),"Step-up",ISNUMBER(SEARCH("swap",T310)),"Rate-swap",AND(ISNUMBER(I310),ISNUMBER(J310),I310&gt;J310),"Implied",TRUE,""))</f>
        <v/>
      </c>
      <c r="AU310" s="421" t="n"/>
    </row>
    <row r="311" outlineLevel="1" s="923">
      <c r="G311" s="462" t="n"/>
      <c r="H311" s="462" t="n"/>
      <c r="I311" s="421" t="n"/>
      <c r="J311" s="421" t="n"/>
      <c r="K311" s="421">
        <f>IFERROR(IF(A311="","",N(AE311)+N(AF311)+N(AG311)+N(AH311)),0)</f>
        <v/>
      </c>
      <c r="L311" s="421">
        <f>IFERROR(IF(A311="","",N(J311)+N(K311)),0)</f>
        <v/>
      </c>
      <c r="M311" s="421" t="n"/>
      <c r="N311" s="421" t="n"/>
      <c r="O311" s="421" t="n"/>
      <c r="P311" s="421" t="n"/>
      <c r="Q311" s="421" t="n"/>
      <c r="R311" s="421" t="n"/>
      <c r="U311" s="476" t="n"/>
      <c r="V311" s="1006">
        <f>IFERROR(IF(OR(A311="",U311="",U311=0,J311=""),"",J311/U311),"")</f>
        <v/>
      </c>
      <c r="W311" s="1006">
        <f>IFERROR(IF(V311="","",V311*12),"")</f>
        <v/>
      </c>
      <c r="X311">
        <f>IF(AND(E311&lt;&gt;"",E311&lt;&gt;"Vacant",E311&lt;&gt;"Reserved",C311&lt;&gt;"",D311&lt;&gt;""),C311&amp;"|"&amp;D311,"")</f>
        <v/>
      </c>
      <c r="Y311">
        <f>IF(AND(C311&lt;&gt;"",D311&lt;&gt;""),C311&amp;"|"&amp;D311,"")</f>
        <v/>
      </c>
      <c r="AA311" s="421">
        <f>IFERROR(IF(OR(A311="",I311="",J311=""),"",I311-J311),"")</f>
        <v/>
      </c>
      <c r="AB311" s="479">
        <f>IFERROR(IF(OR(AA311="",I311=0,I311=""),"",AA311/I311),"")</f>
        <v/>
      </c>
      <c r="AC311" s="421" t="n"/>
      <c r="AD311" s="462" t="n"/>
      <c r="AE311" s="421" t="n"/>
      <c r="AF311" s="421" t="n"/>
      <c r="AG311" s="421" t="n"/>
      <c r="AH311" s="421" t="n"/>
      <c r="AI311" s="421" t="n"/>
      <c r="AJ311" s="421" t="n"/>
      <c r="AK311" s="421" t="n"/>
      <c r="AL311" s="421" t="n"/>
      <c r="AM311" s="421" t="n"/>
      <c r="AN311" s="421" t="n"/>
      <c r="AO311" s="483" t="n"/>
      <c r="AP311" s="1007">
        <f>SUM(AJ311:AN311)</f>
        <v/>
      </c>
      <c r="AQ311" s="485" t="n"/>
      <c r="AS311" s="1006" t="n"/>
      <c r="AT311">
        <f t="array" ref="AT311">IF(E311&lt;&gt;"Occupied","",_xlfn.IFS(AND(ISNUMBER(AC311),AC311&lt;&gt;0),"Structured",ISNUMBER(SEARCH("/mo con",T311)),"Notes-parsed",ISNUMBER(SEARCH("step",T311)),"Step-up",ISNUMBER(SEARCH("swap",T311)),"Rate-swap",AND(ISNUMBER(I311),ISNUMBER(J311),I311&gt;J311),"Implied",TRUE,""))</f>
        <v/>
      </c>
      <c r="AU311" s="421" t="n"/>
    </row>
    <row r="312" outlineLevel="1" s="923">
      <c r="G312" s="462" t="n"/>
      <c r="H312" s="462" t="n"/>
      <c r="I312" s="421" t="n"/>
      <c r="J312" s="421" t="n"/>
      <c r="K312" s="421">
        <f>IFERROR(IF(A312="","",N(AE312)+N(AF312)+N(AG312)+N(AH312)),0)</f>
        <v/>
      </c>
      <c r="L312" s="421">
        <f>IFERROR(IF(A312="","",N(J312)+N(K312)),0)</f>
        <v/>
      </c>
      <c r="M312" s="421" t="n"/>
      <c r="N312" s="421" t="n"/>
      <c r="O312" s="421" t="n"/>
      <c r="P312" s="421" t="n"/>
      <c r="Q312" s="421" t="n"/>
      <c r="R312" s="421" t="n"/>
      <c r="U312" s="476" t="n"/>
      <c r="V312" s="1006">
        <f>IFERROR(IF(OR(A312="",U312="",U312=0,J312=""),"",J312/U312),"")</f>
        <v/>
      </c>
      <c r="W312" s="1006">
        <f>IFERROR(IF(V312="","",V312*12),"")</f>
        <v/>
      </c>
      <c r="X312">
        <f>IF(AND(E312&lt;&gt;"",E312&lt;&gt;"Vacant",E312&lt;&gt;"Reserved",C312&lt;&gt;"",D312&lt;&gt;""),C312&amp;"|"&amp;D312,"")</f>
        <v/>
      </c>
      <c r="Y312">
        <f>IF(AND(C312&lt;&gt;"",D312&lt;&gt;""),C312&amp;"|"&amp;D312,"")</f>
        <v/>
      </c>
      <c r="AA312" s="421">
        <f>IFERROR(IF(OR(A312="",I312="",J312=""),"",I312-J312),"")</f>
        <v/>
      </c>
      <c r="AB312" s="479">
        <f>IFERROR(IF(OR(AA312="",I312=0,I312=""),"",AA312/I312),"")</f>
        <v/>
      </c>
      <c r="AC312" s="421" t="n"/>
      <c r="AD312" s="462" t="n"/>
      <c r="AE312" s="421" t="n"/>
      <c r="AF312" s="421" t="n"/>
      <c r="AG312" s="421" t="n"/>
      <c r="AH312" s="421" t="n"/>
      <c r="AI312" s="421" t="n"/>
      <c r="AJ312" s="421" t="n"/>
      <c r="AK312" s="421" t="n"/>
      <c r="AL312" s="421" t="n"/>
      <c r="AM312" s="421" t="n"/>
      <c r="AN312" s="421" t="n"/>
      <c r="AO312" s="483" t="n"/>
      <c r="AP312" s="1007">
        <f>SUM(AJ312:AN312)</f>
        <v/>
      </c>
      <c r="AQ312" s="485" t="n"/>
      <c r="AS312" s="1006" t="n"/>
      <c r="AT312">
        <f t="array" ref="AT312">IF(E312&lt;&gt;"Occupied","",_xlfn.IFS(AND(ISNUMBER(AC312),AC312&lt;&gt;0),"Structured",ISNUMBER(SEARCH("/mo con",T312)),"Notes-parsed",ISNUMBER(SEARCH("step",T312)),"Step-up",ISNUMBER(SEARCH("swap",T312)),"Rate-swap",AND(ISNUMBER(I312),ISNUMBER(J312),I312&gt;J312),"Implied",TRUE,""))</f>
        <v/>
      </c>
      <c r="AU312" s="421" t="n"/>
    </row>
    <row r="313" outlineLevel="1" s="923">
      <c r="G313" s="462" t="n"/>
      <c r="H313" s="462" t="n"/>
      <c r="I313" s="421" t="n"/>
      <c r="J313" s="421" t="n"/>
      <c r="K313" s="421">
        <f>IFERROR(IF(A313="","",N(AE313)+N(AF313)+N(AG313)+N(AH313)),0)</f>
        <v/>
      </c>
      <c r="L313" s="421">
        <f>IFERROR(IF(A313="","",N(J313)+N(K313)),0)</f>
        <v/>
      </c>
      <c r="M313" s="421" t="n"/>
      <c r="N313" s="421" t="n"/>
      <c r="O313" s="421" t="n"/>
      <c r="P313" s="421" t="n"/>
      <c r="Q313" s="421" t="n"/>
      <c r="R313" s="421" t="n"/>
      <c r="U313" s="476" t="n"/>
      <c r="V313" s="1006">
        <f>IFERROR(IF(OR(A313="",U313="",U313=0,J313=""),"",J313/U313),"")</f>
        <v/>
      </c>
      <c r="W313" s="1006">
        <f>IFERROR(IF(V313="","",V313*12),"")</f>
        <v/>
      </c>
      <c r="X313">
        <f>IF(AND(E313&lt;&gt;"",E313&lt;&gt;"Vacant",E313&lt;&gt;"Reserved",C313&lt;&gt;"",D313&lt;&gt;""),C313&amp;"|"&amp;D313,"")</f>
        <v/>
      </c>
      <c r="Y313">
        <f>IF(AND(C313&lt;&gt;"",D313&lt;&gt;""),C313&amp;"|"&amp;D313,"")</f>
        <v/>
      </c>
      <c r="AA313" s="421">
        <f>IFERROR(IF(OR(A313="",I313="",J313=""),"",I313-J313),"")</f>
        <v/>
      </c>
      <c r="AB313" s="479">
        <f>IFERROR(IF(OR(AA313="",I313=0,I313=""),"",AA313/I313),"")</f>
        <v/>
      </c>
      <c r="AC313" s="421" t="n"/>
      <c r="AD313" s="462" t="n"/>
      <c r="AE313" s="421" t="n"/>
      <c r="AF313" s="421" t="n"/>
      <c r="AG313" s="421" t="n"/>
      <c r="AH313" s="421" t="n"/>
      <c r="AI313" s="421" t="n"/>
      <c r="AJ313" s="421" t="n"/>
      <c r="AK313" s="421" t="n"/>
      <c r="AL313" s="421" t="n"/>
      <c r="AM313" s="421" t="n"/>
      <c r="AN313" s="421" t="n"/>
      <c r="AO313" s="483" t="n"/>
      <c r="AP313" s="1007">
        <f>SUM(AJ313:AN313)</f>
        <v/>
      </c>
      <c r="AQ313" s="485" t="n"/>
      <c r="AS313" s="1006" t="n"/>
      <c r="AT313">
        <f t="array" ref="AT313">IF(E313&lt;&gt;"Occupied","",_xlfn.IFS(AND(ISNUMBER(AC313),AC313&lt;&gt;0),"Structured",ISNUMBER(SEARCH("/mo con",T313)),"Notes-parsed",ISNUMBER(SEARCH("step",T313)),"Step-up",ISNUMBER(SEARCH("swap",T313)),"Rate-swap",AND(ISNUMBER(I313),ISNUMBER(J313),I313&gt;J313),"Implied",TRUE,""))</f>
        <v/>
      </c>
      <c r="AU313" s="421" t="n"/>
    </row>
    <row r="314" outlineLevel="1" s="923">
      <c r="G314" s="462" t="n"/>
      <c r="H314" s="462" t="n"/>
      <c r="I314" s="421" t="n"/>
      <c r="J314" s="421" t="n"/>
      <c r="K314" s="421">
        <f>IFERROR(IF(A314="","",N(AE314)+N(AF314)+N(AG314)+N(AH314)),0)</f>
        <v/>
      </c>
      <c r="L314" s="421">
        <f>IFERROR(IF(A314="","",N(J314)+N(K314)),0)</f>
        <v/>
      </c>
      <c r="M314" s="421" t="n"/>
      <c r="N314" s="421" t="n"/>
      <c r="O314" s="421" t="n"/>
      <c r="P314" s="421" t="n"/>
      <c r="Q314" s="421" t="n"/>
      <c r="R314" s="421" t="n"/>
      <c r="U314" s="476" t="n"/>
      <c r="V314" s="1006">
        <f>IFERROR(IF(OR(A314="",U314="",U314=0,J314=""),"",J314/U314),"")</f>
        <v/>
      </c>
      <c r="W314" s="1006">
        <f>IFERROR(IF(V314="","",V314*12),"")</f>
        <v/>
      </c>
      <c r="X314">
        <f>IF(AND(E314&lt;&gt;"",E314&lt;&gt;"Vacant",E314&lt;&gt;"Reserved",C314&lt;&gt;"",D314&lt;&gt;""),C314&amp;"|"&amp;D314,"")</f>
        <v/>
      </c>
      <c r="Y314">
        <f>IF(AND(C314&lt;&gt;"",D314&lt;&gt;""),C314&amp;"|"&amp;D314,"")</f>
        <v/>
      </c>
      <c r="AA314" s="421">
        <f>IFERROR(IF(OR(A314="",I314="",J314=""),"",I314-J314),"")</f>
        <v/>
      </c>
      <c r="AB314" s="479">
        <f>IFERROR(IF(OR(AA314="",I314=0,I314=""),"",AA314/I314),"")</f>
        <v/>
      </c>
      <c r="AC314" s="421" t="n"/>
      <c r="AD314" s="462" t="n"/>
      <c r="AE314" s="421" t="n"/>
      <c r="AF314" s="421" t="n"/>
      <c r="AG314" s="421" t="n"/>
      <c r="AH314" s="421" t="n"/>
      <c r="AI314" s="421" t="n"/>
      <c r="AJ314" s="421" t="n"/>
      <c r="AK314" s="421" t="n"/>
      <c r="AL314" s="421" t="n"/>
      <c r="AM314" s="421" t="n"/>
      <c r="AN314" s="421" t="n"/>
      <c r="AO314" s="483" t="n"/>
      <c r="AP314" s="1007">
        <f>SUM(AJ314:AN314)</f>
        <v/>
      </c>
      <c r="AQ314" s="485" t="n"/>
      <c r="AS314" s="1006" t="n"/>
      <c r="AT314">
        <f t="array" ref="AT314">IF(E314&lt;&gt;"Occupied","",_xlfn.IFS(AND(ISNUMBER(AC314),AC314&lt;&gt;0),"Structured",ISNUMBER(SEARCH("/mo con",T314)),"Notes-parsed",ISNUMBER(SEARCH("step",T314)),"Step-up",ISNUMBER(SEARCH("swap",T314)),"Rate-swap",AND(ISNUMBER(I314),ISNUMBER(J314),I314&gt;J314),"Implied",TRUE,""))</f>
        <v/>
      </c>
      <c r="AU314" s="421" t="n"/>
    </row>
    <row r="315" outlineLevel="1" s="923">
      <c r="G315" s="462" t="n"/>
      <c r="H315" s="462" t="n"/>
      <c r="I315" s="421" t="n"/>
      <c r="J315" s="421" t="n"/>
      <c r="K315" s="421">
        <f>IFERROR(IF(A315="","",N(AE315)+N(AF315)+N(AG315)+N(AH315)),0)</f>
        <v/>
      </c>
      <c r="L315" s="421">
        <f>IFERROR(IF(A315="","",N(J315)+N(K315)),0)</f>
        <v/>
      </c>
      <c r="M315" s="421" t="n"/>
      <c r="N315" s="421" t="n"/>
      <c r="O315" s="421" t="n"/>
      <c r="P315" s="421" t="n"/>
      <c r="Q315" s="421" t="n"/>
      <c r="R315" s="421" t="n"/>
      <c r="U315" s="476" t="n"/>
      <c r="V315" s="1006">
        <f>IFERROR(IF(OR(A315="",U315="",U315=0,J315=""),"",J315/U315),"")</f>
        <v/>
      </c>
      <c r="W315" s="1006">
        <f>IFERROR(IF(V315="","",V315*12),"")</f>
        <v/>
      </c>
      <c r="X315">
        <f>IF(AND(E315&lt;&gt;"",E315&lt;&gt;"Vacant",E315&lt;&gt;"Reserved",C315&lt;&gt;"",D315&lt;&gt;""),C315&amp;"|"&amp;D315,"")</f>
        <v/>
      </c>
      <c r="Y315">
        <f>IF(AND(C315&lt;&gt;"",D315&lt;&gt;""),C315&amp;"|"&amp;D315,"")</f>
        <v/>
      </c>
      <c r="AA315" s="421">
        <f>IFERROR(IF(OR(A315="",I315="",J315=""),"",I315-J315),"")</f>
        <v/>
      </c>
      <c r="AB315" s="479">
        <f>IFERROR(IF(OR(AA315="",I315=0,I315=""),"",AA315/I315),"")</f>
        <v/>
      </c>
      <c r="AC315" s="421" t="n"/>
      <c r="AD315" s="462" t="n"/>
      <c r="AE315" s="421" t="n"/>
      <c r="AF315" s="421" t="n"/>
      <c r="AG315" s="421" t="n"/>
      <c r="AH315" s="421" t="n"/>
      <c r="AI315" s="421" t="n"/>
      <c r="AJ315" s="421" t="n"/>
      <c r="AK315" s="421" t="n"/>
      <c r="AL315" s="421" t="n"/>
      <c r="AM315" s="421" t="n"/>
      <c r="AN315" s="421" t="n"/>
      <c r="AO315" s="483" t="n"/>
      <c r="AP315" s="1007">
        <f>SUM(AJ315:AN315)</f>
        <v/>
      </c>
      <c r="AQ315" s="485" t="n"/>
      <c r="AS315" s="1006" t="n"/>
      <c r="AT315">
        <f t="array" ref="AT315">IF(E315&lt;&gt;"Occupied","",_xlfn.IFS(AND(ISNUMBER(AC315),AC315&lt;&gt;0),"Structured",ISNUMBER(SEARCH("/mo con",T315)),"Notes-parsed",ISNUMBER(SEARCH("step",T315)),"Step-up",ISNUMBER(SEARCH("swap",T315)),"Rate-swap",AND(ISNUMBER(I315),ISNUMBER(J315),I315&gt;J315),"Implied",TRUE,""))</f>
        <v/>
      </c>
      <c r="AU315" s="421" t="n"/>
    </row>
    <row r="316" outlineLevel="1" s="923">
      <c r="G316" s="462" t="n"/>
      <c r="H316" s="462" t="n"/>
      <c r="I316" s="421" t="n"/>
      <c r="J316" s="421" t="n"/>
      <c r="K316" s="421">
        <f>IFERROR(IF(A316="","",N(AE316)+N(AF316)+N(AG316)+N(AH316)),0)</f>
        <v/>
      </c>
      <c r="L316" s="421">
        <f>IFERROR(IF(A316="","",N(J316)+N(K316)),0)</f>
        <v/>
      </c>
      <c r="M316" s="421" t="n"/>
      <c r="N316" s="421" t="n"/>
      <c r="O316" s="421" t="n"/>
      <c r="P316" s="421" t="n"/>
      <c r="Q316" s="421" t="n"/>
      <c r="R316" s="421" t="n"/>
      <c r="U316" s="476" t="n"/>
      <c r="V316" s="1006">
        <f>IFERROR(IF(OR(A316="",U316="",U316=0,J316=""),"",J316/U316),"")</f>
        <v/>
      </c>
      <c r="W316" s="1006">
        <f>IFERROR(IF(V316="","",V316*12),"")</f>
        <v/>
      </c>
      <c r="X316">
        <f>IF(AND(E316&lt;&gt;"",E316&lt;&gt;"Vacant",E316&lt;&gt;"Reserved",C316&lt;&gt;"",D316&lt;&gt;""),C316&amp;"|"&amp;D316,"")</f>
        <v/>
      </c>
      <c r="Y316">
        <f>IF(AND(C316&lt;&gt;"",D316&lt;&gt;""),C316&amp;"|"&amp;D316,"")</f>
        <v/>
      </c>
      <c r="AA316" s="421">
        <f>IFERROR(IF(OR(A316="",I316="",J316=""),"",I316-J316),"")</f>
        <v/>
      </c>
      <c r="AB316" s="479">
        <f>IFERROR(IF(OR(AA316="",I316=0,I316=""),"",AA316/I316),"")</f>
        <v/>
      </c>
      <c r="AC316" s="421" t="n"/>
      <c r="AD316" s="462" t="n"/>
      <c r="AE316" s="421" t="n"/>
      <c r="AF316" s="421" t="n"/>
      <c r="AG316" s="421" t="n"/>
      <c r="AH316" s="421" t="n"/>
      <c r="AI316" s="421" t="n"/>
      <c r="AJ316" s="421" t="n"/>
      <c r="AK316" s="421" t="n"/>
      <c r="AL316" s="421" t="n"/>
      <c r="AM316" s="421" t="n"/>
      <c r="AN316" s="421" t="n"/>
      <c r="AO316" s="483" t="n"/>
      <c r="AP316" s="1007">
        <f>SUM(AJ316:AN316)</f>
        <v/>
      </c>
      <c r="AQ316" s="485" t="n"/>
      <c r="AS316" s="1006" t="n"/>
      <c r="AT316">
        <f t="array" ref="AT316">IF(E316&lt;&gt;"Occupied","",_xlfn.IFS(AND(ISNUMBER(AC316),AC316&lt;&gt;0),"Structured",ISNUMBER(SEARCH("/mo con",T316)),"Notes-parsed",ISNUMBER(SEARCH("step",T316)),"Step-up",ISNUMBER(SEARCH("swap",T316)),"Rate-swap",AND(ISNUMBER(I316),ISNUMBER(J316),I316&gt;J316),"Implied",TRUE,""))</f>
        <v/>
      </c>
      <c r="AU316" s="421" t="n"/>
    </row>
    <row r="317" outlineLevel="1" s="923">
      <c r="G317" s="462" t="n"/>
      <c r="H317" s="462" t="n"/>
      <c r="I317" s="421" t="n"/>
      <c r="J317" s="421" t="n"/>
      <c r="K317" s="421">
        <f>IFERROR(IF(A317="","",N(AE317)+N(AF317)+N(AG317)+N(AH317)),0)</f>
        <v/>
      </c>
      <c r="L317" s="421">
        <f>IFERROR(IF(A317="","",N(J317)+N(K317)),0)</f>
        <v/>
      </c>
      <c r="M317" s="421" t="n"/>
      <c r="N317" s="421" t="n"/>
      <c r="O317" s="421" t="n"/>
      <c r="P317" s="421" t="n"/>
      <c r="Q317" s="421" t="n"/>
      <c r="R317" s="421" t="n"/>
      <c r="U317" s="476" t="n"/>
      <c r="V317" s="1006">
        <f>IFERROR(IF(OR(A317="",U317="",U317=0,J317=""),"",J317/U317),"")</f>
        <v/>
      </c>
      <c r="W317" s="1006">
        <f>IFERROR(IF(V317="","",V317*12),"")</f>
        <v/>
      </c>
      <c r="X317">
        <f>IF(AND(E317&lt;&gt;"",E317&lt;&gt;"Vacant",E317&lt;&gt;"Reserved",C317&lt;&gt;"",D317&lt;&gt;""),C317&amp;"|"&amp;D317,"")</f>
        <v/>
      </c>
      <c r="Y317">
        <f>IF(AND(C317&lt;&gt;"",D317&lt;&gt;""),C317&amp;"|"&amp;D317,"")</f>
        <v/>
      </c>
      <c r="AA317" s="421">
        <f>IFERROR(IF(OR(A317="",I317="",J317=""),"",I317-J317),"")</f>
        <v/>
      </c>
      <c r="AB317" s="479">
        <f>IFERROR(IF(OR(AA317="",I317=0,I317=""),"",AA317/I317),"")</f>
        <v/>
      </c>
      <c r="AC317" s="421" t="n"/>
      <c r="AD317" s="462" t="n"/>
      <c r="AE317" s="421" t="n"/>
      <c r="AF317" s="421" t="n"/>
      <c r="AG317" s="421" t="n"/>
      <c r="AH317" s="421" t="n"/>
      <c r="AI317" s="421" t="n"/>
      <c r="AJ317" s="421" t="n"/>
      <c r="AK317" s="421" t="n"/>
      <c r="AL317" s="421" t="n"/>
      <c r="AM317" s="421" t="n"/>
      <c r="AN317" s="421" t="n"/>
      <c r="AO317" s="483" t="n"/>
      <c r="AP317" s="1007">
        <f>SUM(AJ317:AN317)</f>
        <v/>
      </c>
      <c r="AQ317" s="485" t="n"/>
      <c r="AS317" s="1006" t="n"/>
      <c r="AT317">
        <f t="array" ref="AT317">IF(E317&lt;&gt;"Occupied","",_xlfn.IFS(AND(ISNUMBER(AC317),AC317&lt;&gt;0),"Structured",ISNUMBER(SEARCH("/mo con",T317)),"Notes-parsed",ISNUMBER(SEARCH("step",T317)),"Step-up",ISNUMBER(SEARCH("swap",T317)),"Rate-swap",AND(ISNUMBER(I317),ISNUMBER(J317),I317&gt;J317),"Implied",TRUE,""))</f>
        <v/>
      </c>
      <c r="AU317" s="421" t="n"/>
    </row>
    <row r="318" outlineLevel="1" s="923">
      <c r="G318" s="462" t="n"/>
      <c r="H318" s="462" t="n"/>
      <c r="I318" s="421" t="n"/>
      <c r="J318" s="421" t="n"/>
      <c r="K318" s="421">
        <f>IFERROR(IF(A318="","",N(AE318)+N(AF318)+N(AG318)+N(AH318)),0)</f>
        <v/>
      </c>
      <c r="L318" s="421">
        <f>IFERROR(IF(A318="","",N(J318)+N(K318)),0)</f>
        <v/>
      </c>
      <c r="M318" s="421" t="n"/>
      <c r="N318" s="421" t="n"/>
      <c r="O318" s="421" t="n"/>
      <c r="P318" s="421" t="n"/>
      <c r="Q318" s="421" t="n"/>
      <c r="R318" s="421" t="n"/>
      <c r="U318" s="476" t="n"/>
      <c r="V318" s="1006">
        <f>IFERROR(IF(OR(A318="",U318="",U318=0,J318=""),"",J318/U318),"")</f>
        <v/>
      </c>
      <c r="W318" s="1006">
        <f>IFERROR(IF(V318="","",V318*12),"")</f>
        <v/>
      </c>
      <c r="X318">
        <f>IF(AND(E318&lt;&gt;"",E318&lt;&gt;"Vacant",E318&lt;&gt;"Reserved",C318&lt;&gt;"",D318&lt;&gt;""),C318&amp;"|"&amp;D318,"")</f>
        <v/>
      </c>
      <c r="Y318">
        <f>IF(AND(C318&lt;&gt;"",D318&lt;&gt;""),C318&amp;"|"&amp;D318,"")</f>
        <v/>
      </c>
      <c r="AA318" s="421">
        <f>IFERROR(IF(OR(A318="",I318="",J318=""),"",I318-J318),"")</f>
        <v/>
      </c>
      <c r="AB318" s="479">
        <f>IFERROR(IF(OR(AA318="",I318=0,I318=""),"",AA318/I318),"")</f>
        <v/>
      </c>
      <c r="AC318" s="421" t="n"/>
      <c r="AD318" s="462" t="n"/>
      <c r="AE318" s="421" t="n"/>
      <c r="AF318" s="421" t="n"/>
      <c r="AG318" s="421" t="n"/>
      <c r="AH318" s="421" t="n"/>
      <c r="AI318" s="421" t="n"/>
      <c r="AJ318" s="421" t="n"/>
      <c r="AK318" s="421" t="n"/>
      <c r="AL318" s="421" t="n"/>
      <c r="AM318" s="421" t="n"/>
      <c r="AN318" s="421" t="n"/>
      <c r="AO318" s="483" t="n"/>
      <c r="AP318" s="1007">
        <f>SUM(AJ318:AN318)</f>
        <v/>
      </c>
      <c r="AQ318" s="485" t="n"/>
      <c r="AS318" s="1006" t="n"/>
      <c r="AT318">
        <f t="array" ref="AT318">IF(E318&lt;&gt;"Occupied","",_xlfn.IFS(AND(ISNUMBER(AC318),AC318&lt;&gt;0),"Structured",ISNUMBER(SEARCH("/mo con",T318)),"Notes-parsed",ISNUMBER(SEARCH("step",T318)),"Step-up",ISNUMBER(SEARCH("swap",T318)),"Rate-swap",AND(ISNUMBER(I318),ISNUMBER(J318),I318&gt;J318),"Implied",TRUE,""))</f>
        <v/>
      </c>
      <c r="AU318" s="421" t="n"/>
    </row>
    <row r="319" outlineLevel="1" s="923">
      <c r="G319" s="462" t="n"/>
      <c r="H319" s="462" t="n"/>
      <c r="I319" s="421" t="n"/>
      <c r="J319" s="421" t="n"/>
      <c r="K319" s="421">
        <f>IFERROR(IF(A319="","",N(AE319)+N(AF319)+N(AG319)+N(AH319)),0)</f>
        <v/>
      </c>
      <c r="L319" s="421">
        <f>IFERROR(IF(A319="","",N(J319)+N(K319)),0)</f>
        <v/>
      </c>
      <c r="M319" s="421" t="n"/>
      <c r="N319" s="421" t="n"/>
      <c r="O319" s="421" t="n"/>
      <c r="P319" s="421" t="n"/>
      <c r="Q319" s="421" t="n"/>
      <c r="R319" s="421" t="n"/>
      <c r="U319" s="476" t="n"/>
      <c r="V319" s="1006">
        <f>IFERROR(IF(OR(A319="",U319="",U319=0,J319=""),"",J319/U319),"")</f>
        <v/>
      </c>
      <c r="W319" s="1006">
        <f>IFERROR(IF(V319="","",V319*12),"")</f>
        <v/>
      </c>
      <c r="X319">
        <f>IF(AND(E319&lt;&gt;"",E319&lt;&gt;"Vacant",E319&lt;&gt;"Reserved",C319&lt;&gt;"",D319&lt;&gt;""),C319&amp;"|"&amp;D319,"")</f>
        <v/>
      </c>
      <c r="Y319">
        <f>IF(AND(C319&lt;&gt;"",D319&lt;&gt;""),C319&amp;"|"&amp;D319,"")</f>
        <v/>
      </c>
      <c r="AA319" s="421">
        <f>IFERROR(IF(OR(A319="",I319="",J319=""),"",I319-J319),"")</f>
        <v/>
      </c>
      <c r="AB319" s="479">
        <f>IFERROR(IF(OR(AA319="",I319=0,I319=""),"",AA319/I319),"")</f>
        <v/>
      </c>
      <c r="AC319" s="421" t="n"/>
      <c r="AD319" s="462" t="n"/>
      <c r="AE319" s="421" t="n"/>
      <c r="AF319" s="421" t="n"/>
      <c r="AG319" s="421" t="n"/>
      <c r="AH319" s="421" t="n"/>
      <c r="AI319" s="421" t="n"/>
      <c r="AJ319" s="421" t="n"/>
      <c r="AK319" s="421" t="n"/>
      <c r="AL319" s="421" t="n"/>
      <c r="AM319" s="421" t="n"/>
      <c r="AN319" s="421" t="n"/>
      <c r="AO319" s="483" t="n"/>
      <c r="AP319" s="1007">
        <f>SUM(AJ319:AN319)</f>
        <v/>
      </c>
      <c r="AQ319" s="485" t="n"/>
      <c r="AS319" s="1006" t="n"/>
      <c r="AT319">
        <f t="array" ref="AT319">IF(E319&lt;&gt;"Occupied","",_xlfn.IFS(AND(ISNUMBER(AC319),AC319&lt;&gt;0),"Structured",ISNUMBER(SEARCH("/mo con",T319)),"Notes-parsed",ISNUMBER(SEARCH("step",T319)),"Step-up",ISNUMBER(SEARCH("swap",T319)),"Rate-swap",AND(ISNUMBER(I319),ISNUMBER(J319),I319&gt;J319),"Implied",TRUE,""))</f>
        <v/>
      </c>
      <c r="AU319" s="421" t="n"/>
    </row>
    <row r="320" outlineLevel="1" s="923">
      <c r="G320" s="462" t="n"/>
      <c r="H320" s="462" t="n"/>
      <c r="I320" s="421" t="n"/>
      <c r="J320" s="421" t="n"/>
      <c r="K320" s="421">
        <f>IFERROR(IF(A320="","",N(AE320)+N(AF320)+N(AG320)+N(AH320)),0)</f>
        <v/>
      </c>
      <c r="L320" s="421">
        <f>IFERROR(IF(A320="","",N(J320)+N(K320)),0)</f>
        <v/>
      </c>
      <c r="M320" s="421" t="n"/>
      <c r="N320" s="421" t="n"/>
      <c r="O320" s="421" t="n"/>
      <c r="P320" s="421" t="n"/>
      <c r="Q320" s="421" t="n"/>
      <c r="R320" s="421" t="n"/>
      <c r="U320" s="476" t="n"/>
      <c r="V320" s="1006">
        <f>IFERROR(IF(OR(A320="",U320="",U320=0,J320=""),"",J320/U320),"")</f>
        <v/>
      </c>
      <c r="W320" s="1006">
        <f>IFERROR(IF(V320="","",V320*12),"")</f>
        <v/>
      </c>
      <c r="X320">
        <f>IF(AND(E320&lt;&gt;"",E320&lt;&gt;"Vacant",E320&lt;&gt;"Reserved",C320&lt;&gt;"",D320&lt;&gt;""),C320&amp;"|"&amp;D320,"")</f>
        <v/>
      </c>
      <c r="Y320">
        <f>IF(AND(C320&lt;&gt;"",D320&lt;&gt;""),C320&amp;"|"&amp;D320,"")</f>
        <v/>
      </c>
      <c r="AA320" s="421">
        <f>IFERROR(IF(OR(A320="",I320="",J320=""),"",I320-J320),"")</f>
        <v/>
      </c>
      <c r="AB320" s="479">
        <f>IFERROR(IF(OR(AA320="",I320=0,I320=""),"",AA320/I320),"")</f>
        <v/>
      </c>
      <c r="AC320" s="421" t="n"/>
      <c r="AD320" s="462" t="n"/>
      <c r="AE320" s="421" t="n"/>
      <c r="AF320" s="421" t="n"/>
      <c r="AG320" s="421" t="n"/>
      <c r="AH320" s="421" t="n"/>
      <c r="AI320" s="421" t="n"/>
      <c r="AJ320" s="421" t="n"/>
      <c r="AK320" s="421" t="n"/>
      <c r="AL320" s="421" t="n"/>
      <c r="AM320" s="421" t="n"/>
      <c r="AN320" s="421" t="n"/>
      <c r="AO320" s="483" t="n"/>
      <c r="AP320" s="1007">
        <f>SUM(AJ320:AN320)</f>
        <v/>
      </c>
      <c r="AQ320" s="485" t="n"/>
      <c r="AS320" s="1006" t="n"/>
      <c r="AT320">
        <f t="array" ref="AT320">IF(E320&lt;&gt;"Occupied","",_xlfn.IFS(AND(ISNUMBER(AC320),AC320&lt;&gt;0),"Structured",ISNUMBER(SEARCH("/mo con",T320)),"Notes-parsed",ISNUMBER(SEARCH("step",T320)),"Step-up",ISNUMBER(SEARCH("swap",T320)),"Rate-swap",AND(ISNUMBER(I320),ISNUMBER(J320),I320&gt;J320),"Implied",TRUE,""))</f>
        <v/>
      </c>
      <c r="AU320" s="421" t="n"/>
    </row>
    <row r="321" outlineLevel="1" s="923">
      <c r="G321" s="462" t="n"/>
      <c r="H321" s="462" t="n"/>
      <c r="I321" s="421" t="n"/>
      <c r="J321" s="421" t="n"/>
      <c r="K321" s="421">
        <f>IFERROR(IF(A321="","",N(AE321)+N(AF321)+N(AG321)+N(AH321)),0)</f>
        <v/>
      </c>
      <c r="L321" s="421">
        <f>IFERROR(IF(A321="","",N(J321)+N(K321)),0)</f>
        <v/>
      </c>
      <c r="M321" s="421" t="n"/>
      <c r="N321" s="421" t="n"/>
      <c r="O321" s="421" t="n"/>
      <c r="P321" s="421" t="n"/>
      <c r="Q321" s="421" t="n"/>
      <c r="R321" s="421" t="n"/>
      <c r="U321" s="476" t="n"/>
      <c r="V321" s="1006">
        <f>IFERROR(IF(OR(A321="",U321="",U321=0,J321=""),"",J321/U321),"")</f>
        <v/>
      </c>
      <c r="W321" s="1006">
        <f>IFERROR(IF(V321="","",V321*12),"")</f>
        <v/>
      </c>
      <c r="X321">
        <f>IF(AND(E321&lt;&gt;"",E321&lt;&gt;"Vacant",E321&lt;&gt;"Reserved",C321&lt;&gt;"",D321&lt;&gt;""),C321&amp;"|"&amp;D321,"")</f>
        <v/>
      </c>
      <c r="Y321">
        <f>IF(AND(C321&lt;&gt;"",D321&lt;&gt;""),C321&amp;"|"&amp;D321,"")</f>
        <v/>
      </c>
      <c r="AA321" s="421">
        <f>IFERROR(IF(OR(A321="",I321="",J321=""),"",I321-J321),"")</f>
        <v/>
      </c>
      <c r="AB321" s="479">
        <f>IFERROR(IF(OR(AA321="",I321=0,I321=""),"",AA321/I321),"")</f>
        <v/>
      </c>
      <c r="AC321" s="421" t="n"/>
      <c r="AD321" s="462" t="n"/>
      <c r="AE321" s="421" t="n"/>
      <c r="AF321" s="421" t="n"/>
      <c r="AG321" s="421" t="n"/>
      <c r="AH321" s="421" t="n"/>
      <c r="AI321" s="421" t="n"/>
      <c r="AJ321" s="421" t="n"/>
      <c r="AK321" s="421" t="n"/>
      <c r="AL321" s="421" t="n"/>
      <c r="AM321" s="421" t="n"/>
      <c r="AN321" s="421" t="n"/>
      <c r="AO321" s="483" t="n"/>
      <c r="AP321" s="1007">
        <f>SUM(AJ321:AN321)</f>
        <v/>
      </c>
      <c r="AQ321" s="485" t="n"/>
      <c r="AS321" s="1006" t="n"/>
      <c r="AT321">
        <f t="array" ref="AT321">IF(E321&lt;&gt;"Occupied","",_xlfn.IFS(AND(ISNUMBER(AC321),AC321&lt;&gt;0),"Structured",ISNUMBER(SEARCH("/mo con",T321)),"Notes-parsed",ISNUMBER(SEARCH("step",T321)),"Step-up",ISNUMBER(SEARCH("swap",T321)),"Rate-swap",AND(ISNUMBER(I321),ISNUMBER(J321),I321&gt;J321),"Implied",TRUE,""))</f>
        <v/>
      </c>
      <c r="AU321" s="421" t="n"/>
    </row>
    <row r="322" outlineLevel="1" s="923">
      <c r="G322" s="462" t="n"/>
      <c r="H322" s="462" t="n"/>
      <c r="I322" s="421" t="n"/>
      <c r="J322" s="421" t="n"/>
      <c r="K322" s="421">
        <f>IFERROR(IF(A322="","",N(AE322)+N(AF322)+N(AG322)+N(AH322)),0)</f>
        <v/>
      </c>
      <c r="L322" s="421">
        <f>IFERROR(IF(A322="","",N(J322)+N(K322)),0)</f>
        <v/>
      </c>
      <c r="M322" s="421" t="n"/>
      <c r="N322" s="421" t="n"/>
      <c r="O322" s="421" t="n"/>
      <c r="P322" s="421" t="n"/>
      <c r="Q322" s="421" t="n"/>
      <c r="R322" s="421" t="n"/>
      <c r="U322" s="476" t="n"/>
      <c r="V322" s="1006">
        <f>IFERROR(IF(OR(A322="",U322="",U322=0,J322=""),"",J322/U322),"")</f>
        <v/>
      </c>
      <c r="W322" s="1006">
        <f>IFERROR(IF(V322="","",V322*12),"")</f>
        <v/>
      </c>
      <c r="X322">
        <f>IF(AND(E322&lt;&gt;"",E322&lt;&gt;"Vacant",E322&lt;&gt;"Reserved",C322&lt;&gt;"",D322&lt;&gt;""),C322&amp;"|"&amp;D322,"")</f>
        <v/>
      </c>
      <c r="Y322">
        <f>IF(AND(C322&lt;&gt;"",D322&lt;&gt;""),C322&amp;"|"&amp;D322,"")</f>
        <v/>
      </c>
      <c r="AA322" s="421">
        <f>IFERROR(IF(OR(A322="",I322="",J322=""),"",I322-J322),"")</f>
        <v/>
      </c>
      <c r="AB322" s="479">
        <f>IFERROR(IF(OR(AA322="",I322=0,I322=""),"",AA322/I322),"")</f>
        <v/>
      </c>
      <c r="AC322" s="421" t="n"/>
      <c r="AD322" s="462" t="n"/>
      <c r="AE322" s="421" t="n"/>
      <c r="AF322" s="421" t="n"/>
      <c r="AG322" s="421" t="n"/>
      <c r="AH322" s="421" t="n"/>
      <c r="AI322" s="421" t="n"/>
      <c r="AJ322" s="421" t="n"/>
      <c r="AK322" s="421" t="n"/>
      <c r="AL322" s="421" t="n"/>
      <c r="AM322" s="421" t="n"/>
      <c r="AN322" s="421" t="n"/>
      <c r="AO322" s="483" t="n"/>
      <c r="AP322" s="1007">
        <f>SUM(AJ322:AN322)</f>
        <v/>
      </c>
      <c r="AQ322" s="485" t="n"/>
      <c r="AS322" s="1006" t="n"/>
      <c r="AT322">
        <f t="array" ref="AT322">IF(E322&lt;&gt;"Occupied","",_xlfn.IFS(AND(ISNUMBER(AC322),AC322&lt;&gt;0),"Structured",ISNUMBER(SEARCH("/mo con",T322)),"Notes-parsed",ISNUMBER(SEARCH("step",T322)),"Step-up",ISNUMBER(SEARCH("swap",T322)),"Rate-swap",AND(ISNUMBER(I322),ISNUMBER(J322),I322&gt;J322),"Implied",TRUE,""))</f>
        <v/>
      </c>
      <c r="AU322" s="421" t="n"/>
    </row>
    <row r="323" outlineLevel="1" s="923">
      <c r="G323" s="462" t="n"/>
      <c r="H323" s="462" t="n"/>
      <c r="I323" s="421" t="n"/>
      <c r="J323" s="421" t="n"/>
      <c r="K323" s="421">
        <f>IFERROR(IF(A323="","",N(AE323)+N(AF323)+N(AG323)+N(AH323)),0)</f>
        <v/>
      </c>
      <c r="L323" s="421">
        <f>IFERROR(IF(A323="","",N(J323)+N(K323)),0)</f>
        <v/>
      </c>
      <c r="M323" s="421" t="n"/>
      <c r="N323" s="421" t="n"/>
      <c r="O323" s="421" t="n"/>
      <c r="P323" s="421" t="n"/>
      <c r="Q323" s="421" t="n"/>
      <c r="R323" s="421" t="n"/>
      <c r="U323" s="476" t="n"/>
      <c r="V323" s="1006">
        <f>IFERROR(IF(OR(A323="",U323="",U323=0,J323=""),"",J323/U323),"")</f>
        <v/>
      </c>
      <c r="W323" s="1006">
        <f>IFERROR(IF(V323="","",V323*12),"")</f>
        <v/>
      </c>
      <c r="X323">
        <f>IF(AND(E323&lt;&gt;"",E323&lt;&gt;"Vacant",E323&lt;&gt;"Reserved",C323&lt;&gt;"",D323&lt;&gt;""),C323&amp;"|"&amp;D323,"")</f>
        <v/>
      </c>
      <c r="Y323">
        <f>IF(AND(C323&lt;&gt;"",D323&lt;&gt;""),C323&amp;"|"&amp;D323,"")</f>
        <v/>
      </c>
      <c r="AA323" s="421">
        <f>IFERROR(IF(OR(A323="",I323="",J323=""),"",I323-J323),"")</f>
        <v/>
      </c>
      <c r="AB323" s="479">
        <f>IFERROR(IF(OR(AA323="",I323=0,I323=""),"",AA323/I323),"")</f>
        <v/>
      </c>
      <c r="AC323" s="421" t="n"/>
      <c r="AD323" s="462" t="n"/>
      <c r="AE323" s="421" t="n"/>
      <c r="AF323" s="421" t="n"/>
      <c r="AG323" s="421" t="n"/>
      <c r="AH323" s="421" t="n"/>
      <c r="AI323" s="421" t="n"/>
      <c r="AJ323" s="421" t="n"/>
      <c r="AK323" s="421" t="n"/>
      <c r="AL323" s="421" t="n"/>
      <c r="AM323" s="421" t="n"/>
      <c r="AN323" s="421" t="n"/>
      <c r="AO323" s="483" t="n"/>
      <c r="AP323" s="1007">
        <f>SUM(AJ323:AN323)</f>
        <v/>
      </c>
      <c r="AQ323" s="485" t="n"/>
      <c r="AS323" s="1006" t="n"/>
      <c r="AT323">
        <f t="array" ref="AT323">IF(E323&lt;&gt;"Occupied","",_xlfn.IFS(AND(ISNUMBER(AC323),AC323&lt;&gt;0),"Structured",ISNUMBER(SEARCH("/mo con",T323)),"Notes-parsed",ISNUMBER(SEARCH("step",T323)),"Step-up",ISNUMBER(SEARCH("swap",T323)),"Rate-swap",AND(ISNUMBER(I323),ISNUMBER(J323),I323&gt;J323),"Implied",TRUE,""))</f>
        <v/>
      </c>
      <c r="AU323" s="421" t="n"/>
    </row>
    <row r="324" outlineLevel="1" s="923">
      <c r="G324" s="462" t="n"/>
      <c r="H324" s="462" t="n"/>
      <c r="I324" s="421" t="n"/>
      <c r="J324" s="421" t="n"/>
      <c r="K324" s="421">
        <f>IFERROR(IF(A324="","",N(AE324)+N(AF324)+N(AG324)+N(AH324)),0)</f>
        <v/>
      </c>
      <c r="L324" s="421">
        <f>IFERROR(IF(A324="","",N(J324)+N(K324)),0)</f>
        <v/>
      </c>
      <c r="M324" s="421" t="n"/>
      <c r="N324" s="421" t="n"/>
      <c r="O324" s="421" t="n"/>
      <c r="P324" s="421" t="n"/>
      <c r="Q324" s="421" t="n"/>
      <c r="R324" s="421" t="n"/>
      <c r="U324" s="476" t="n"/>
      <c r="V324" s="1006">
        <f>IFERROR(IF(OR(A324="",U324="",U324=0,J324=""),"",J324/U324),"")</f>
        <v/>
      </c>
      <c r="W324" s="1006">
        <f>IFERROR(IF(V324="","",V324*12),"")</f>
        <v/>
      </c>
      <c r="X324">
        <f>IF(AND(E324&lt;&gt;"",E324&lt;&gt;"Vacant",E324&lt;&gt;"Reserved",C324&lt;&gt;"",D324&lt;&gt;""),C324&amp;"|"&amp;D324,"")</f>
        <v/>
      </c>
      <c r="Y324">
        <f>IF(AND(C324&lt;&gt;"",D324&lt;&gt;""),C324&amp;"|"&amp;D324,"")</f>
        <v/>
      </c>
      <c r="AA324" s="421">
        <f>IFERROR(IF(OR(A324="",I324="",J324=""),"",I324-J324),"")</f>
        <v/>
      </c>
      <c r="AB324" s="479">
        <f>IFERROR(IF(OR(AA324="",I324=0,I324=""),"",AA324/I324),"")</f>
        <v/>
      </c>
      <c r="AC324" s="421" t="n"/>
      <c r="AD324" s="462" t="n"/>
      <c r="AE324" s="421" t="n"/>
      <c r="AF324" s="421" t="n"/>
      <c r="AG324" s="421" t="n"/>
      <c r="AH324" s="421" t="n"/>
      <c r="AI324" s="421" t="n"/>
      <c r="AJ324" s="421" t="n"/>
      <c r="AK324" s="421" t="n"/>
      <c r="AL324" s="421" t="n"/>
      <c r="AM324" s="421" t="n"/>
      <c r="AN324" s="421" t="n"/>
      <c r="AO324" s="483" t="n"/>
      <c r="AP324" s="1007">
        <f>SUM(AJ324:AN324)</f>
        <v/>
      </c>
      <c r="AQ324" s="485" t="n"/>
      <c r="AS324" s="1006" t="n"/>
      <c r="AT324">
        <f t="array" ref="AT324">IF(E324&lt;&gt;"Occupied","",_xlfn.IFS(AND(ISNUMBER(AC324),AC324&lt;&gt;0),"Structured",ISNUMBER(SEARCH("/mo con",T324)),"Notes-parsed",ISNUMBER(SEARCH("step",T324)),"Step-up",ISNUMBER(SEARCH("swap",T324)),"Rate-swap",AND(ISNUMBER(I324),ISNUMBER(J324),I324&gt;J324),"Implied",TRUE,""))</f>
        <v/>
      </c>
      <c r="AU324" s="421" t="n"/>
    </row>
    <row r="325" outlineLevel="1" s="923">
      <c r="G325" s="462" t="n"/>
      <c r="H325" s="462" t="n"/>
      <c r="I325" s="421" t="n"/>
      <c r="J325" s="421" t="n"/>
      <c r="K325" s="421">
        <f>IFERROR(IF(A325="","",N(AE325)+N(AF325)+N(AG325)+N(AH325)),0)</f>
        <v/>
      </c>
      <c r="L325" s="421">
        <f>IFERROR(IF(A325="","",N(J325)+N(K325)),0)</f>
        <v/>
      </c>
      <c r="M325" s="421" t="n"/>
      <c r="N325" s="421" t="n"/>
      <c r="O325" s="421" t="n"/>
      <c r="P325" s="421" t="n"/>
      <c r="Q325" s="421" t="n"/>
      <c r="R325" s="421" t="n"/>
      <c r="U325" s="476" t="n"/>
      <c r="V325" s="1006">
        <f>IFERROR(IF(OR(A325="",U325="",U325=0,J325=""),"",J325/U325),"")</f>
        <v/>
      </c>
      <c r="W325" s="1006">
        <f>IFERROR(IF(V325="","",V325*12),"")</f>
        <v/>
      </c>
      <c r="X325">
        <f>IF(AND(E325&lt;&gt;"",E325&lt;&gt;"Vacant",E325&lt;&gt;"Reserved",C325&lt;&gt;"",D325&lt;&gt;""),C325&amp;"|"&amp;D325,"")</f>
        <v/>
      </c>
      <c r="Y325">
        <f>IF(AND(C325&lt;&gt;"",D325&lt;&gt;""),C325&amp;"|"&amp;D325,"")</f>
        <v/>
      </c>
      <c r="AA325" s="421">
        <f>IFERROR(IF(OR(A325="",I325="",J325=""),"",I325-J325),"")</f>
        <v/>
      </c>
      <c r="AB325" s="479">
        <f>IFERROR(IF(OR(AA325="",I325=0,I325=""),"",AA325/I325),"")</f>
        <v/>
      </c>
      <c r="AC325" s="421" t="n"/>
      <c r="AD325" s="462" t="n"/>
      <c r="AE325" s="421" t="n"/>
      <c r="AF325" s="421" t="n"/>
      <c r="AG325" s="421" t="n"/>
      <c r="AH325" s="421" t="n"/>
      <c r="AI325" s="421" t="n"/>
      <c r="AJ325" s="421" t="n"/>
      <c r="AK325" s="421" t="n"/>
      <c r="AL325" s="421" t="n"/>
      <c r="AM325" s="421" t="n"/>
      <c r="AN325" s="421" t="n"/>
      <c r="AO325" s="483" t="n"/>
      <c r="AP325" s="1007">
        <f>SUM(AJ325:AN325)</f>
        <v/>
      </c>
      <c r="AQ325" s="485" t="n"/>
      <c r="AS325" s="1006" t="n"/>
      <c r="AT325">
        <f t="array" ref="AT325">IF(E325&lt;&gt;"Occupied","",_xlfn.IFS(AND(ISNUMBER(AC325),AC325&lt;&gt;0),"Structured",ISNUMBER(SEARCH("/mo con",T325)),"Notes-parsed",ISNUMBER(SEARCH("step",T325)),"Step-up",ISNUMBER(SEARCH("swap",T325)),"Rate-swap",AND(ISNUMBER(I325),ISNUMBER(J325),I325&gt;J325),"Implied",TRUE,""))</f>
        <v/>
      </c>
      <c r="AU325" s="421" t="n"/>
    </row>
    <row r="326" outlineLevel="1" s="923">
      <c r="G326" s="462" t="n"/>
      <c r="H326" s="462" t="n"/>
      <c r="I326" s="421" t="n"/>
      <c r="J326" s="421" t="n"/>
      <c r="K326" s="421">
        <f>IFERROR(IF(A326="","",N(AE326)+N(AF326)+N(AG326)+N(AH326)),0)</f>
        <v/>
      </c>
      <c r="L326" s="421">
        <f>IFERROR(IF(A326="","",N(J326)+N(K326)),0)</f>
        <v/>
      </c>
      <c r="M326" s="421" t="n"/>
      <c r="N326" s="421" t="n"/>
      <c r="O326" s="421" t="n"/>
      <c r="P326" s="421" t="n"/>
      <c r="Q326" s="421" t="n"/>
      <c r="R326" s="421" t="n"/>
      <c r="U326" s="476" t="n"/>
      <c r="V326" s="1006">
        <f>IFERROR(IF(OR(A326="",U326="",U326=0,J326=""),"",J326/U326),"")</f>
        <v/>
      </c>
      <c r="W326" s="1006">
        <f>IFERROR(IF(V326="","",V326*12),"")</f>
        <v/>
      </c>
      <c r="X326">
        <f>IF(AND(E326&lt;&gt;"",E326&lt;&gt;"Vacant",E326&lt;&gt;"Reserved",C326&lt;&gt;"",D326&lt;&gt;""),C326&amp;"|"&amp;D326,"")</f>
        <v/>
      </c>
      <c r="Y326">
        <f>IF(AND(C326&lt;&gt;"",D326&lt;&gt;""),C326&amp;"|"&amp;D326,"")</f>
        <v/>
      </c>
      <c r="AA326" s="421">
        <f>IFERROR(IF(OR(A326="",I326="",J326=""),"",I326-J326),"")</f>
        <v/>
      </c>
      <c r="AB326" s="479">
        <f>IFERROR(IF(OR(AA326="",I326=0,I326=""),"",AA326/I326),"")</f>
        <v/>
      </c>
      <c r="AC326" s="421" t="n"/>
      <c r="AD326" s="462" t="n"/>
      <c r="AE326" s="421" t="n"/>
      <c r="AF326" s="421" t="n"/>
      <c r="AG326" s="421" t="n"/>
      <c r="AH326" s="421" t="n"/>
      <c r="AI326" s="421" t="n"/>
      <c r="AJ326" s="421" t="n"/>
      <c r="AK326" s="421" t="n"/>
      <c r="AL326" s="421" t="n"/>
      <c r="AM326" s="421" t="n"/>
      <c r="AN326" s="421" t="n"/>
      <c r="AO326" s="483" t="n"/>
      <c r="AP326" s="1007">
        <f>SUM(AJ326:AN326)</f>
        <v/>
      </c>
      <c r="AQ326" s="485" t="n"/>
      <c r="AS326" s="1006" t="n"/>
      <c r="AT326">
        <f t="array" ref="AT326">IF(E326&lt;&gt;"Occupied","",_xlfn.IFS(AND(ISNUMBER(AC326),AC326&lt;&gt;0),"Structured",ISNUMBER(SEARCH("/mo con",T326)),"Notes-parsed",ISNUMBER(SEARCH("step",T326)),"Step-up",ISNUMBER(SEARCH("swap",T326)),"Rate-swap",AND(ISNUMBER(I326),ISNUMBER(J326),I326&gt;J326),"Implied",TRUE,""))</f>
        <v/>
      </c>
      <c r="AU326" s="421" t="n"/>
    </row>
    <row r="327" outlineLevel="1" s="923">
      <c r="G327" s="462" t="n"/>
      <c r="H327" s="462" t="n"/>
      <c r="I327" s="421" t="n"/>
      <c r="J327" s="421" t="n"/>
      <c r="K327" s="421">
        <f>IFERROR(IF(A327="","",N(AE327)+N(AF327)+N(AG327)+N(AH327)),0)</f>
        <v/>
      </c>
      <c r="L327" s="421">
        <f>IFERROR(IF(A327="","",N(J327)+N(K327)),0)</f>
        <v/>
      </c>
      <c r="M327" s="421" t="n"/>
      <c r="N327" s="421" t="n"/>
      <c r="O327" s="421" t="n"/>
      <c r="P327" s="421" t="n"/>
      <c r="Q327" s="421" t="n"/>
      <c r="R327" s="421" t="n"/>
      <c r="U327" s="476" t="n"/>
      <c r="V327" s="1006">
        <f>IFERROR(IF(OR(A327="",U327="",U327=0,J327=""),"",J327/U327),"")</f>
        <v/>
      </c>
      <c r="W327" s="1006">
        <f>IFERROR(IF(V327="","",V327*12),"")</f>
        <v/>
      </c>
      <c r="X327">
        <f>IF(AND(E327&lt;&gt;"",E327&lt;&gt;"Vacant",E327&lt;&gt;"Reserved",C327&lt;&gt;"",D327&lt;&gt;""),C327&amp;"|"&amp;D327,"")</f>
        <v/>
      </c>
      <c r="Y327">
        <f>IF(AND(C327&lt;&gt;"",D327&lt;&gt;""),C327&amp;"|"&amp;D327,"")</f>
        <v/>
      </c>
      <c r="AA327" s="421">
        <f>IFERROR(IF(OR(A327="",I327="",J327=""),"",I327-J327),"")</f>
        <v/>
      </c>
      <c r="AB327" s="479">
        <f>IFERROR(IF(OR(AA327="",I327=0,I327=""),"",AA327/I327),"")</f>
        <v/>
      </c>
      <c r="AC327" s="421" t="n"/>
      <c r="AD327" s="462" t="n"/>
      <c r="AE327" s="421" t="n"/>
      <c r="AF327" s="421" t="n"/>
      <c r="AG327" s="421" t="n"/>
      <c r="AH327" s="421" t="n"/>
      <c r="AI327" s="421" t="n"/>
      <c r="AJ327" s="421" t="n"/>
      <c r="AK327" s="421" t="n"/>
      <c r="AL327" s="421" t="n"/>
      <c r="AM327" s="421" t="n"/>
      <c r="AN327" s="421" t="n"/>
      <c r="AO327" s="483" t="n"/>
      <c r="AP327" s="1007">
        <f>SUM(AJ327:AN327)</f>
        <v/>
      </c>
      <c r="AQ327" s="485" t="n"/>
      <c r="AS327" s="1006" t="n"/>
      <c r="AT327">
        <f t="array" ref="AT327">IF(E327&lt;&gt;"Occupied","",_xlfn.IFS(AND(ISNUMBER(AC327),AC327&lt;&gt;0),"Structured",ISNUMBER(SEARCH("/mo con",T327)),"Notes-parsed",ISNUMBER(SEARCH("step",T327)),"Step-up",ISNUMBER(SEARCH("swap",T327)),"Rate-swap",AND(ISNUMBER(I327),ISNUMBER(J327),I327&gt;J327),"Implied",TRUE,""))</f>
        <v/>
      </c>
      <c r="AU327" s="421" t="n"/>
    </row>
    <row r="328" outlineLevel="1" s="923">
      <c r="G328" s="462" t="n"/>
      <c r="H328" s="462" t="n"/>
      <c r="I328" s="421" t="n"/>
      <c r="J328" s="421" t="n"/>
      <c r="K328" s="421">
        <f>IFERROR(IF(A328="","",N(AE328)+N(AF328)+N(AG328)+N(AH328)),0)</f>
        <v/>
      </c>
      <c r="L328" s="421">
        <f>IFERROR(IF(A328="","",N(J328)+N(K328)),0)</f>
        <v/>
      </c>
      <c r="M328" s="421" t="n"/>
      <c r="N328" s="421" t="n"/>
      <c r="O328" s="421" t="n"/>
      <c r="P328" s="421" t="n"/>
      <c r="Q328" s="421" t="n"/>
      <c r="R328" s="421" t="n"/>
      <c r="U328" s="476" t="n"/>
      <c r="V328" s="1006">
        <f>IFERROR(IF(OR(A328="",U328="",U328=0,J328=""),"",J328/U328),"")</f>
        <v/>
      </c>
      <c r="W328" s="1006">
        <f>IFERROR(IF(V328="","",V328*12),"")</f>
        <v/>
      </c>
      <c r="X328">
        <f>IF(AND(E328&lt;&gt;"",E328&lt;&gt;"Vacant",E328&lt;&gt;"Reserved",C328&lt;&gt;"",D328&lt;&gt;""),C328&amp;"|"&amp;D328,"")</f>
        <v/>
      </c>
      <c r="Y328">
        <f>IF(AND(C328&lt;&gt;"",D328&lt;&gt;""),C328&amp;"|"&amp;D328,"")</f>
        <v/>
      </c>
      <c r="AA328" s="421">
        <f>IFERROR(IF(OR(A328="",I328="",J328=""),"",I328-J328),"")</f>
        <v/>
      </c>
      <c r="AB328" s="479">
        <f>IFERROR(IF(OR(AA328="",I328=0,I328=""),"",AA328/I328),"")</f>
        <v/>
      </c>
      <c r="AC328" s="421" t="n"/>
      <c r="AD328" s="462" t="n"/>
      <c r="AE328" s="421" t="n"/>
      <c r="AF328" s="421" t="n"/>
      <c r="AG328" s="421" t="n"/>
      <c r="AH328" s="421" t="n"/>
      <c r="AI328" s="421" t="n"/>
      <c r="AJ328" s="421" t="n"/>
      <c r="AK328" s="421" t="n"/>
      <c r="AL328" s="421" t="n"/>
      <c r="AM328" s="421" t="n"/>
      <c r="AN328" s="421" t="n"/>
      <c r="AO328" s="483" t="n"/>
      <c r="AP328" s="1007">
        <f>SUM(AJ328:AN328)</f>
        <v/>
      </c>
      <c r="AQ328" s="485" t="n"/>
      <c r="AS328" s="1006" t="n"/>
      <c r="AT328">
        <f t="array" ref="AT328">IF(E328&lt;&gt;"Occupied","",_xlfn.IFS(AND(ISNUMBER(AC328),AC328&lt;&gt;0),"Structured",ISNUMBER(SEARCH("/mo con",T328)),"Notes-parsed",ISNUMBER(SEARCH("step",T328)),"Step-up",ISNUMBER(SEARCH("swap",T328)),"Rate-swap",AND(ISNUMBER(I328),ISNUMBER(J328),I328&gt;J328),"Implied",TRUE,""))</f>
        <v/>
      </c>
      <c r="AU328" s="421" t="n"/>
    </row>
    <row r="329" outlineLevel="1" s="923">
      <c r="G329" s="462" t="n"/>
      <c r="H329" s="462" t="n"/>
      <c r="I329" s="421" t="n"/>
      <c r="J329" s="421" t="n"/>
      <c r="K329" s="421">
        <f>IFERROR(IF(A329="","",N(AE329)+N(AF329)+N(AG329)+N(AH329)),0)</f>
        <v/>
      </c>
      <c r="L329" s="421">
        <f>IFERROR(IF(A329="","",N(J329)+N(K329)),0)</f>
        <v/>
      </c>
      <c r="M329" s="421" t="n"/>
      <c r="N329" s="421" t="n"/>
      <c r="O329" s="421" t="n"/>
      <c r="P329" s="421" t="n"/>
      <c r="Q329" s="421" t="n"/>
      <c r="R329" s="421" t="n"/>
      <c r="U329" s="476" t="n"/>
      <c r="V329" s="1006">
        <f>IFERROR(IF(OR(A329="",U329="",U329=0,J329=""),"",J329/U329),"")</f>
        <v/>
      </c>
      <c r="W329" s="1006">
        <f>IFERROR(IF(V329="","",V329*12),"")</f>
        <v/>
      </c>
      <c r="X329">
        <f>IF(AND(E329&lt;&gt;"",E329&lt;&gt;"Vacant",E329&lt;&gt;"Reserved",C329&lt;&gt;"",D329&lt;&gt;""),C329&amp;"|"&amp;D329,"")</f>
        <v/>
      </c>
      <c r="Y329">
        <f>IF(AND(C329&lt;&gt;"",D329&lt;&gt;""),C329&amp;"|"&amp;D329,"")</f>
        <v/>
      </c>
      <c r="AA329" s="421">
        <f>IFERROR(IF(OR(A329="",I329="",J329=""),"",I329-J329),"")</f>
        <v/>
      </c>
      <c r="AB329" s="479">
        <f>IFERROR(IF(OR(AA329="",I329=0,I329=""),"",AA329/I329),"")</f>
        <v/>
      </c>
      <c r="AC329" s="421" t="n"/>
      <c r="AD329" s="462" t="n"/>
      <c r="AE329" s="421" t="n"/>
      <c r="AF329" s="421" t="n"/>
      <c r="AG329" s="421" t="n"/>
      <c r="AH329" s="421" t="n"/>
      <c r="AI329" s="421" t="n"/>
      <c r="AJ329" s="421" t="n"/>
      <c r="AK329" s="421" t="n"/>
      <c r="AL329" s="421" t="n"/>
      <c r="AM329" s="421" t="n"/>
      <c r="AN329" s="421" t="n"/>
      <c r="AO329" s="483" t="n"/>
      <c r="AP329" s="1007">
        <f>SUM(AJ329:AN329)</f>
        <v/>
      </c>
      <c r="AQ329" s="485" t="n"/>
      <c r="AS329" s="1006" t="n"/>
      <c r="AT329">
        <f t="array" ref="AT329">IF(E329&lt;&gt;"Occupied","",_xlfn.IFS(AND(ISNUMBER(AC329),AC329&lt;&gt;0),"Structured",ISNUMBER(SEARCH("/mo con",T329)),"Notes-parsed",ISNUMBER(SEARCH("step",T329)),"Step-up",ISNUMBER(SEARCH("swap",T329)),"Rate-swap",AND(ISNUMBER(I329),ISNUMBER(J329),I329&gt;J329),"Implied",TRUE,""))</f>
        <v/>
      </c>
      <c r="AU329" s="421" t="n"/>
    </row>
    <row r="330" outlineLevel="1" s="923">
      <c r="G330" s="462" t="n"/>
      <c r="H330" s="462" t="n"/>
      <c r="I330" s="421" t="n"/>
      <c r="J330" s="421" t="n"/>
      <c r="K330" s="421">
        <f>IFERROR(IF(A330="","",N(AE330)+N(AF330)+N(AG330)+N(AH330)),0)</f>
        <v/>
      </c>
      <c r="L330" s="421">
        <f>IFERROR(IF(A330="","",N(J330)+N(K330)),0)</f>
        <v/>
      </c>
      <c r="M330" s="421" t="n"/>
      <c r="N330" s="421" t="n"/>
      <c r="O330" s="421" t="n"/>
      <c r="P330" s="421" t="n"/>
      <c r="Q330" s="421" t="n"/>
      <c r="R330" s="421" t="n"/>
      <c r="U330" s="476" t="n"/>
      <c r="V330" s="1006">
        <f>IFERROR(IF(OR(A330="",U330="",U330=0,J330=""),"",J330/U330),"")</f>
        <v/>
      </c>
      <c r="W330" s="1006">
        <f>IFERROR(IF(V330="","",V330*12),"")</f>
        <v/>
      </c>
      <c r="X330">
        <f>IF(AND(E330&lt;&gt;"",E330&lt;&gt;"Vacant",E330&lt;&gt;"Reserved",C330&lt;&gt;"",D330&lt;&gt;""),C330&amp;"|"&amp;D330,"")</f>
        <v/>
      </c>
      <c r="Y330">
        <f>IF(AND(C330&lt;&gt;"",D330&lt;&gt;""),C330&amp;"|"&amp;D330,"")</f>
        <v/>
      </c>
      <c r="AA330" s="421">
        <f>IFERROR(IF(OR(A330="",I330="",J330=""),"",I330-J330),"")</f>
        <v/>
      </c>
      <c r="AB330" s="479">
        <f>IFERROR(IF(OR(AA330="",I330=0,I330=""),"",AA330/I330),"")</f>
        <v/>
      </c>
      <c r="AC330" s="421" t="n"/>
      <c r="AD330" s="462" t="n"/>
      <c r="AE330" s="421" t="n"/>
      <c r="AF330" s="421" t="n"/>
      <c r="AG330" s="421" t="n"/>
      <c r="AH330" s="421" t="n"/>
      <c r="AI330" s="421" t="n"/>
      <c r="AJ330" s="421" t="n"/>
      <c r="AK330" s="421" t="n"/>
      <c r="AL330" s="421" t="n"/>
      <c r="AM330" s="421" t="n"/>
      <c r="AN330" s="421" t="n"/>
      <c r="AO330" s="483" t="n"/>
      <c r="AP330" s="1007">
        <f>SUM(AJ330:AN330)</f>
        <v/>
      </c>
      <c r="AQ330" s="485" t="n"/>
      <c r="AS330" s="1006" t="n"/>
      <c r="AT330">
        <f t="array" ref="AT330">IF(E330&lt;&gt;"Occupied","",_xlfn.IFS(AND(ISNUMBER(AC330),AC330&lt;&gt;0),"Structured",ISNUMBER(SEARCH("/mo con",T330)),"Notes-parsed",ISNUMBER(SEARCH("step",T330)),"Step-up",ISNUMBER(SEARCH("swap",T330)),"Rate-swap",AND(ISNUMBER(I330),ISNUMBER(J330),I330&gt;J330),"Implied",TRUE,""))</f>
        <v/>
      </c>
      <c r="AU330" s="421" t="n"/>
    </row>
    <row r="331" outlineLevel="1" s="923">
      <c r="G331" s="462" t="n"/>
      <c r="H331" s="462" t="n"/>
      <c r="I331" s="421" t="n"/>
      <c r="J331" s="421" t="n"/>
      <c r="K331" s="421">
        <f>IFERROR(IF(A331="","",N(AE331)+N(AF331)+N(AG331)+N(AH331)),0)</f>
        <v/>
      </c>
      <c r="L331" s="421">
        <f>IFERROR(IF(A331="","",N(J331)+N(K331)),0)</f>
        <v/>
      </c>
      <c r="M331" s="421" t="n"/>
      <c r="N331" s="421" t="n"/>
      <c r="O331" s="421" t="n"/>
      <c r="P331" s="421" t="n"/>
      <c r="Q331" s="421" t="n"/>
      <c r="R331" s="421" t="n"/>
      <c r="U331" s="476" t="n"/>
      <c r="V331" s="1006">
        <f>IFERROR(IF(OR(A331="",U331="",U331=0,J331=""),"",J331/U331),"")</f>
        <v/>
      </c>
      <c r="W331" s="1006">
        <f>IFERROR(IF(V331="","",V331*12),"")</f>
        <v/>
      </c>
      <c r="X331">
        <f>IF(AND(E331&lt;&gt;"",E331&lt;&gt;"Vacant",E331&lt;&gt;"Reserved",C331&lt;&gt;"",D331&lt;&gt;""),C331&amp;"|"&amp;D331,"")</f>
        <v/>
      </c>
      <c r="Y331">
        <f>IF(AND(C331&lt;&gt;"",D331&lt;&gt;""),C331&amp;"|"&amp;D331,"")</f>
        <v/>
      </c>
      <c r="AA331" s="421">
        <f>IFERROR(IF(OR(A331="",I331="",J331=""),"",I331-J331),"")</f>
        <v/>
      </c>
      <c r="AB331" s="479">
        <f>IFERROR(IF(OR(AA331="",I331=0,I331=""),"",AA331/I331),"")</f>
        <v/>
      </c>
      <c r="AC331" s="421" t="n"/>
      <c r="AD331" s="462" t="n"/>
      <c r="AE331" s="421" t="n"/>
      <c r="AF331" s="421" t="n"/>
      <c r="AG331" s="421" t="n"/>
      <c r="AH331" s="421" t="n"/>
      <c r="AI331" s="421" t="n"/>
      <c r="AJ331" s="421" t="n"/>
      <c r="AK331" s="421" t="n"/>
      <c r="AL331" s="421" t="n"/>
      <c r="AM331" s="421" t="n"/>
      <c r="AN331" s="421" t="n"/>
      <c r="AO331" s="483" t="n"/>
      <c r="AP331" s="1007">
        <f>SUM(AJ331:AN331)</f>
        <v/>
      </c>
      <c r="AQ331" s="485" t="n"/>
      <c r="AS331" s="1006" t="n"/>
      <c r="AT331">
        <f t="array" ref="AT331">IF(E331&lt;&gt;"Occupied","",_xlfn.IFS(AND(ISNUMBER(AC331),AC331&lt;&gt;0),"Structured",ISNUMBER(SEARCH("/mo con",T331)),"Notes-parsed",ISNUMBER(SEARCH("step",T331)),"Step-up",ISNUMBER(SEARCH("swap",T331)),"Rate-swap",AND(ISNUMBER(I331),ISNUMBER(J331),I331&gt;J331),"Implied",TRUE,""))</f>
        <v/>
      </c>
      <c r="AU331" s="421" t="n"/>
    </row>
    <row r="332" outlineLevel="1" s="923">
      <c r="G332" s="462" t="n"/>
      <c r="H332" s="462" t="n"/>
      <c r="I332" s="421" t="n"/>
      <c r="J332" s="421" t="n"/>
      <c r="K332" s="421">
        <f>IFERROR(IF(A332="","",N(AE332)+N(AF332)+N(AG332)+N(AH332)),0)</f>
        <v/>
      </c>
      <c r="L332" s="421">
        <f>IFERROR(IF(A332="","",N(J332)+N(K332)),0)</f>
        <v/>
      </c>
      <c r="M332" s="421" t="n"/>
      <c r="N332" s="421" t="n"/>
      <c r="O332" s="421" t="n"/>
      <c r="P332" s="421" t="n"/>
      <c r="Q332" s="421" t="n"/>
      <c r="R332" s="421" t="n"/>
      <c r="U332" s="476" t="n"/>
      <c r="V332" s="1006">
        <f>IFERROR(IF(OR(A332="",U332="",U332=0,J332=""),"",J332/U332),"")</f>
        <v/>
      </c>
      <c r="W332" s="1006">
        <f>IFERROR(IF(V332="","",V332*12),"")</f>
        <v/>
      </c>
      <c r="X332">
        <f>IF(AND(E332&lt;&gt;"",E332&lt;&gt;"Vacant",E332&lt;&gt;"Reserved",C332&lt;&gt;"",D332&lt;&gt;""),C332&amp;"|"&amp;D332,"")</f>
        <v/>
      </c>
      <c r="Y332">
        <f>IF(AND(C332&lt;&gt;"",D332&lt;&gt;""),C332&amp;"|"&amp;D332,"")</f>
        <v/>
      </c>
      <c r="AA332" s="421">
        <f>IFERROR(IF(OR(A332="",I332="",J332=""),"",I332-J332),"")</f>
        <v/>
      </c>
      <c r="AB332" s="479">
        <f>IFERROR(IF(OR(AA332="",I332=0,I332=""),"",AA332/I332),"")</f>
        <v/>
      </c>
      <c r="AC332" s="421" t="n"/>
      <c r="AD332" s="462" t="n"/>
      <c r="AE332" s="421" t="n"/>
      <c r="AF332" s="421" t="n"/>
      <c r="AG332" s="421" t="n"/>
      <c r="AH332" s="421" t="n"/>
      <c r="AI332" s="421" t="n"/>
      <c r="AJ332" s="421" t="n"/>
      <c r="AK332" s="421" t="n"/>
      <c r="AL332" s="421" t="n"/>
      <c r="AM332" s="421" t="n"/>
      <c r="AN332" s="421" t="n"/>
      <c r="AO332" s="483" t="n"/>
      <c r="AP332" s="1007">
        <f>SUM(AJ332:AN332)</f>
        <v/>
      </c>
      <c r="AQ332" s="485" t="n"/>
      <c r="AS332" s="1006" t="n"/>
      <c r="AT332">
        <f t="array" ref="AT332">IF(E332&lt;&gt;"Occupied","",_xlfn.IFS(AND(ISNUMBER(AC332),AC332&lt;&gt;0),"Structured",ISNUMBER(SEARCH("/mo con",T332)),"Notes-parsed",ISNUMBER(SEARCH("step",T332)),"Step-up",ISNUMBER(SEARCH("swap",T332)),"Rate-swap",AND(ISNUMBER(I332),ISNUMBER(J332),I332&gt;J332),"Implied",TRUE,""))</f>
        <v/>
      </c>
      <c r="AU332" s="421" t="n"/>
    </row>
    <row r="333" outlineLevel="1" s="923">
      <c r="G333" s="462" t="n"/>
      <c r="H333" s="462" t="n"/>
      <c r="I333" s="421" t="n"/>
      <c r="J333" s="421" t="n"/>
      <c r="K333" s="421">
        <f>IFERROR(IF(A333="","",N(AE333)+N(AF333)+N(AG333)+N(AH333)),0)</f>
        <v/>
      </c>
      <c r="L333" s="421">
        <f>IFERROR(IF(A333="","",N(J333)+N(K333)),0)</f>
        <v/>
      </c>
      <c r="M333" s="421" t="n"/>
      <c r="N333" s="421" t="n"/>
      <c r="O333" s="421" t="n"/>
      <c r="P333" s="421" t="n"/>
      <c r="Q333" s="421" t="n"/>
      <c r="R333" s="421" t="n"/>
      <c r="U333" s="476" t="n"/>
      <c r="V333" s="1006">
        <f>IFERROR(IF(OR(A333="",U333="",U333=0,J333=""),"",J333/U333),"")</f>
        <v/>
      </c>
      <c r="W333" s="1006">
        <f>IFERROR(IF(V333="","",V333*12),"")</f>
        <v/>
      </c>
      <c r="X333">
        <f>IF(AND(E333&lt;&gt;"",E333&lt;&gt;"Vacant",E333&lt;&gt;"Reserved",C333&lt;&gt;"",D333&lt;&gt;""),C333&amp;"|"&amp;D333,"")</f>
        <v/>
      </c>
      <c r="Y333">
        <f>IF(AND(C333&lt;&gt;"",D333&lt;&gt;""),C333&amp;"|"&amp;D333,"")</f>
        <v/>
      </c>
      <c r="AA333" s="421">
        <f>IFERROR(IF(OR(A333="",I333="",J333=""),"",I333-J333),"")</f>
        <v/>
      </c>
      <c r="AB333" s="479">
        <f>IFERROR(IF(OR(AA333="",I333=0,I333=""),"",AA333/I333),"")</f>
        <v/>
      </c>
      <c r="AC333" s="421" t="n"/>
      <c r="AD333" s="462" t="n"/>
      <c r="AE333" s="421" t="n"/>
      <c r="AF333" s="421" t="n"/>
      <c r="AG333" s="421" t="n"/>
      <c r="AH333" s="421" t="n"/>
      <c r="AI333" s="421" t="n"/>
      <c r="AJ333" s="421" t="n"/>
      <c r="AK333" s="421" t="n"/>
      <c r="AL333" s="421" t="n"/>
      <c r="AM333" s="421" t="n"/>
      <c r="AN333" s="421" t="n"/>
      <c r="AO333" s="483" t="n"/>
      <c r="AP333" s="1007">
        <f>SUM(AJ333:AN333)</f>
        <v/>
      </c>
      <c r="AQ333" s="485" t="n"/>
      <c r="AS333" s="1006" t="n"/>
      <c r="AT333">
        <f t="array" ref="AT333">IF(E333&lt;&gt;"Occupied","",_xlfn.IFS(AND(ISNUMBER(AC333),AC333&lt;&gt;0),"Structured",ISNUMBER(SEARCH("/mo con",T333)),"Notes-parsed",ISNUMBER(SEARCH("step",T333)),"Step-up",ISNUMBER(SEARCH("swap",T333)),"Rate-swap",AND(ISNUMBER(I333),ISNUMBER(J333),I333&gt;J333),"Implied",TRUE,""))</f>
        <v/>
      </c>
      <c r="AU333" s="421" t="n"/>
    </row>
    <row r="334" outlineLevel="1" s="923">
      <c r="G334" s="462" t="n"/>
      <c r="H334" s="462" t="n"/>
      <c r="I334" s="421" t="n"/>
      <c r="J334" s="421" t="n"/>
      <c r="K334" s="421">
        <f>IFERROR(IF(A334="","",N(AE334)+N(AF334)+N(AG334)+N(AH334)),0)</f>
        <v/>
      </c>
      <c r="L334" s="421">
        <f>IFERROR(IF(A334="","",N(J334)+N(K334)),0)</f>
        <v/>
      </c>
      <c r="M334" s="421" t="n"/>
      <c r="N334" s="421" t="n"/>
      <c r="O334" s="421" t="n"/>
      <c r="P334" s="421" t="n"/>
      <c r="Q334" s="421" t="n"/>
      <c r="R334" s="421" t="n"/>
      <c r="U334" s="476" t="n"/>
      <c r="V334" s="1006">
        <f>IFERROR(IF(OR(A334="",U334="",U334=0,J334=""),"",J334/U334),"")</f>
        <v/>
      </c>
      <c r="W334" s="1006">
        <f>IFERROR(IF(V334="","",V334*12),"")</f>
        <v/>
      </c>
      <c r="X334">
        <f>IF(AND(E334&lt;&gt;"",E334&lt;&gt;"Vacant",E334&lt;&gt;"Reserved",C334&lt;&gt;"",D334&lt;&gt;""),C334&amp;"|"&amp;D334,"")</f>
        <v/>
      </c>
      <c r="Y334">
        <f>IF(AND(C334&lt;&gt;"",D334&lt;&gt;""),C334&amp;"|"&amp;D334,"")</f>
        <v/>
      </c>
      <c r="AA334" s="421">
        <f>IFERROR(IF(OR(A334="",I334="",J334=""),"",I334-J334),"")</f>
        <v/>
      </c>
      <c r="AB334" s="479">
        <f>IFERROR(IF(OR(AA334="",I334=0,I334=""),"",AA334/I334),"")</f>
        <v/>
      </c>
      <c r="AC334" s="421" t="n"/>
      <c r="AD334" s="462" t="n"/>
      <c r="AE334" s="421" t="n"/>
      <c r="AF334" s="421" t="n"/>
      <c r="AG334" s="421" t="n"/>
      <c r="AH334" s="421" t="n"/>
      <c r="AI334" s="421" t="n"/>
      <c r="AJ334" s="421" t="n"/>
      <c r="AK334" s="421" t="n"/>
      <c r="AL334" s="421" t="n"/>
      <c r="AM334" s="421" t="n"/>
      <c r="AN334" s="421" t="n"/>
      <c r="AO334" s="483" t="n"/>
      <c r="AP334" s="1007">
        <f>SUM(AJ334:AN334)</f>
        <v/>
      </c>
      <c r="AQ334" s="485" t="n"/>
      <c r="AS334" s="1006" t="n"/>
      <c r="AT334">
        <f t="array" ref="AT334">IF(E334&lt;&gt;"Occupied","",_xlfn.IFS(AND(ISNUMBER(AC334),AC334&lt;&gt;0),"Structured",ISNUMBER(SEARCH("/mo con",T334)),"Notes-parsed",ISNUMBER(SEARCH("step",T334)),"Step-up",ISNUMBER(SEARCH("swap",T334)),"Rate-swap",AND(ISNUMBER(I334),ISNUMBER(J334),I334&gt;J334),"Implied",TRUE,""))</f>
        <v/>
      </c>
      <c r="AU334" s="421" t="n"/>
    </row>
    <row r="335" outlineLevel="1" s="923">
      <c r="G335" s="462" t="n"/>
      <c r="H335" s="462" t="n"/>
      <c r="I335" s="421" t="n"/>
      <c r="J335" s="421" t="n"/>
      <c r="K335" s="421">
        <f>IFERROR(IF(A335="","",N(AE335)+N(AF335)+N(AG335)+N(AH335)),0)</f>
        <v/>
      </c>
      <c r="L335" s="421">
        <f>IFERROR(IF(A335="","",N(J335)+N(K335)),0)</f>
        <v/>
      </c>
      <c r="M335" s="421" t="n"/>
      <c r="N335" s="421" t="n"/>
      <c r="O335" s="421" t="n"/>
      <c r="P335" s="421" t="n"/>
      <c r="Q335" s="421" t="n"/>
      <c r="R335" s="421" t="n"/>
      <c r="U335" s="476" t="n"/>
      <c r="V335" s="1006">
        <f>IFERROR(IF(OR(A335="",U335="",U335=0,J335=""),"",J335/U335),"")</f>
        <v/>
      </c>
      <c r="W335" s="1006">
        <f>IFERROR(IF(V335="","",V335*12),"")</f>
        <v/>
      </c>
      <c r="X335">
        <f>IF(AND(E335&lt;&gt;"",E335&lt;&gt;"Vacant",E335&lt;&gt;"Reserved",C335&lt;&gt;"",D335&lt;&gt;""),C335&amp;"|"&amp;D335,"")</f>
        <v/>
      </c>
      <c r="Y335">
        <f>IF(AND(C335&lt;&gt;"",D335&lt;&gt;""),C335&amp;"|"&amp;D335,"")</f>
        <v/>
      </c>
      <c r="AA335" s="421">
        <f>IFERROR(IF(OR(A335="",I335="",J335=""),"",I335-J335),"")</f>
        <v/>
      </c>
      <c r="AB335" s="479">
        <f>IFERROR(IF(OR(AA335="",I335=0,I335=""),"",AA335/I335),"")</f>
        <v/>
      </c>
      <c r="AC335" s="421" t="n"/>
      <c r="AD335" s="462" t="n"/>
      <c r="AE335" s="421" t="n"/>
      <c r="AF335" s="421" t="n"/>
      <c r="AG335" s="421" t="n"/>
      <c r="AH335" s="421" t="n"/>
      <c r="AI335" s="421" t="n"/>
      <c r="AJ335" s="421" t="n"/>
      <c r="AK335" s="421" t="n"/>
      <c r="AL335" s="421" t="n"/>
      <c r="AM335" s="421" t="n"/>
      <c r="AN335" s="421" t="n"/>
      <c r="AO335" s="483" t="n"/>
      <c r="AP335" s="1007">
        <f>SUM(AJ335:AN335)</f>
        <v/>
      </c>
      <c r="AQ335" s="485" t="n"/>
      <c r="AS335" s="1006" t="n"/>
      <c r="AT335">
        <f t="array" ref="AT335">IF(E335&lt;&gt;"Occupied","",_xlfn.IFS(AND(ISNUMBER(AC335),AC335&lt;&gt;0),"Structured",ISNUMBER(SEARCH("/mo con",T335)),"Notes-parsed",ISNUMBER(SEARCH("step",T335)),"Step-up",ISNUMBER(SEARCH("swap",T335)),"Rate-swap",AND(ISNUMBER(I335),ISNUMBER(J335),I335&gt;J335),"Implied",TRUE,""))</f>
        <v/>
      </c>
      <c r="AU335" s="421" t="n"/>
    </row>
    <row r="336" outlineLevel="1" s="923">
      <c r="G336" s="462" t="n"/>
      <c r="H336" s="462" t="n"/>
      <c r="I336" s="421" t="n"/>
      <c r="J336" s="421" t="n"/>
      <c r="K336" s="421">
        <f>IFERROR(IF(A336="","",N(AE336)+N(AF336)+N(AG336)+N(AH336)),0)</f>
        <v/>
      </c>
      <c r="L336" s="421">
        <f>IFERROR(IF(A336="","",N(J336)+N(K336)),0)</f>
        <v/>
      </c>
      <c r="M336" s="421" t="n"/>
      <c r="N336" s="421" t="n"/>
      <c r="O336" s="421" t="n"/>
      <c r="P336" s="421" t="n"/>
      <c r="Q336" s="421" t="n"/>
      <c r="R336" s="421" t="n"/>
      <c r="U336" s="476" t="n"/>
      <c r="V336" s="1006">
        <f>IFERROR(IF(OR(A336="",U336="",U336=0,J336=""),"",J336/U336),"")</f>
        <v/>
      </c>
      <c r="W336" s="1006">
        <f>IFERROR(IF(V336="","",V336*12),"")</f>
        <v/>
      </c>
      <c r="X336">
        <f>IF(AND(E336&lt;&gt;"",E336&lt;&gt;"Vacant",E336&lt;&gt;"Reserved",C336&lt;&gt;"",D336&lt;&gt;""),C336&amp;"|"&amp;D336,"")</f>
        <v/>
      </c>
      <c r="Y336">
        <f>IF(AND(C336&lt;&gt;"",D336&lt;&gt;""),C336&amp;"|"&amp;D336,"")</f>
        <v/>
      </c>
      <c r="AA336" s="421">
        <f>IFERROR(IF(OR(A336="",I336="",J336=""),"",I336-J336),"")</f>
        <v/>
      </c>
      <c r="AB336" s="479">
        <f>IFERROR(IF(OR(AA336="",I336=0,I336=""),"",AA336/I336),"")</f>
        <v/>
      </c>
      <c r="AC336" s="421" t="n"/>
      <c r="AD336" s="462" t="n"/>
      <c r="AE336" s="421" t="n"/>
      <c r="AF336" s="421" t="n"/>
      <c r="AG336" s="421" t="n"/>
      <c r="AH336" s="421" t="n"/>
      <c r="AI336" s="421" t="n"/>
      <c r="AJ336" s="421" t="n"/>
      <c r="AK336" s="421" t="n"/>
      <c r="AL336" s="421" t="n"/>
      <c r="AM336" s="421" t="n"/>
      <c r="AN336" s="421" t="n"/>
      <c r="AO336" s="483" t="n"/>
      <c r="AP336" s="1007">
        <f>SUM(AJ336:AN336)</f>
        <v/>
      </c>
      <c r="AQ336" s="485" t="n"/>
      <c r="AS336" s="1006" t="n"/>
      <c r="AT336">
        <f t="array" ref="AT336">IF(E336&lt;&gt;"Occupied","",_xlfn.IFS(AND(ISNUMBER(AC336),AC336&lt;&gt;0),"Structured",ISNUMBER(SEARCH("/mo con",T336)),"Notes-parsed",ISNUMBER(SEARCH("step",T336)),"Step-up",ISNUMBER(SEARCH("swap",T336)),"Rate-swap",AND(ISNUMBER(I336),ISNUMBER(J336),I336&gt;J336),"Implied",TRUE,""))</f>
        <v/>
      </c>
      <c r="AU336" s="421" t="n"/>
    </row>
    <row r="337" outlineLevel="1" s="923">
      <c r="G337" s="462" t="n"/>
      <c r="H337" s="462" t="n"/>
      <c r="I337" s="421" t="n"/>
      <c r="J337" s="421" t="n"/>
      <c r="K337" s="421">
        <f>IFERROR(IF(A337="","",N(AE337)+N(AF337)+N(AG337)+N(AH337)),0)</f>
        <v/>
      </c>
      <c r="L337" s="421">
        <f>IFERROR(IF(A337="","",N(J337)+N(K337)),0)</f>
        <v/>
      </c>
      <c r="M337" s="421" t="n"/>
      <c r="N337" s="421" t="n"/>
      <c r="O337" s="421" t="n"/>
      <c r="P337" s="421" t="n"/>
      <c r="Q337" s="421" t="n"/>
      <c r="R337" s="421" t="n"/>
      <c r="U337" s="476" t="n"/>
      <c r="V337" s="1006">
        <f>IFERROR(IF(OR(A337="",U337="",U337=0,J337=""),"",J337/U337),"")</f>
        <v/>
      </c>
      <c r="W337" s="1006">
        <f>IFERROR(IF(V337="","",V337*12),"")</f>
        <v/>
      </c>
      <c r="X337">
        <f>IF(AND(E337&lt;&gt;"",E337&lt;&gt;"Vacant",E337&lt;&gt;"Reserved",C337&lt;&gt;"",D337&lt;&gt;""),C337&amp;"|"&amp;D337,"")</f>
        <v/>
      </c>
      <c r="Y337">
        <f>IF(AND(C337&lt;&gt;"",D337&lt;&gt;""),C337&amp;"|"&amp;D337,"")</f>
        <v/>
      </c>
      <c r="AA337" s="421">
        <f>IFERROR(IF(OR(A337="",I337="",J337=""),"",I337-J337),"")</f>
        <v/>
      </c>
      <c r="AB337" s="479">
        <f>IFERROR(IF(OR(AA337="",I337=0,I337=""),"",AA337/I337),"")</f>
        <v/>
      </c>
      <c r="AC337" s="421" t="n"/>
      <c r="AD337" s="462" t="n"/>
      <c r="AE337" s="421" t="n"/>
      <c r="AF337" s="421" t="n"/>
      <c r="AG337" s="421" t="n"/>
      <c r="AH337" s="421" t="n"/>
      <c r="AI337" s="421" t="n"/>
      <c r="AJ337" s="421" t="n"/>
      <c r="AK337" s="421" t="n"/>
      <c r="AL337" s="421" t="n"/>
      <c r="AM337" s="421" t="n"/>
      <c r="AN337" s="421" t="n"/>
      <c r="AO337" s="483" t="n"/>
      <c r="AP337" s="1007">
        <f>SUM(AJ337:AN337)</f>
        <v/>
      </c>
      <c r="AQ337" s="485" t="n"/>
      <c r="AS337" s="1006" t="n"/>
      <c r="AT337">
        <f t="array" ref="AT337">IF(E337&lt;&gt;"Occupied","",_xlfn.IFS(AND(ISNUMBER(AC337),AC337&lt;&gt;0),"Structured",ISNUMBER(SEARCH("/mo con",T337)),"Notes-parsed",ISNUMBER(SEARCH("step",T337)),"Step-up",ISNUMBER(SEARCH("swap",T337)),"Rate-swap",AND(ISNUMBER(I337),ISNUMBER(J337),I337&gt;J337),"Implied",TRUE,""))</f>
        <v/>
      </c>
      <c r="AU337" s="421" t="n"/>
    </row>
    <row r="338" outlineLevel="1" s="923">
      <c r="G338" s="462" t="n"/>
      <c r="H338" s="462" t="n"/>
      <c r="I338" s="421" t="n"/>
      <c r="J338" s="421" t="n"/>
      <c r="K338" s="421">
        <f>IFERROR(IF(A338="","",N(AE338)+N(AF338)+N(AG338)+N(AH338)),0)</f>
        <v/>
      </c>
      <c r="L338" s="421">
        <f>IFERROR(IF(A338="","",N(J338)+N(K338)),0)</f>
        <v/>
      </c>
      <c r="M338" s="421" t="n"/>
      <c r="N338" s="421" t="n"/>
      <c r="O338" s="421" t="n"/>
      <c r="P338" s="421" t="n"/>
      <c r="Q338" s="421" t="n"/>
      <c r="R338" s="421" t="n"/>
      <c r="U338" s="476" t="n"/>
      <c r="V338" s="1006">
        <f>IFERROR(IF(OR(A338="",U338="",U338=0,J338=""),"",J338/U338),"")</f>
        <v/>
      </c>
      <c r="W338" s="1006">
        <f>IFERROR(IF(V338="","",V338*12),"")</f>
        <v/>
      </c>
      <c r="X338">
        <f>IF(AND(E338&lt;&gt;"",E338&lt;&gt;"Vacant",E338&lt;&gt;"Reserved",C338&lt;&gt;"",D338&lt;&gt;""),C338&amp;"|"&amp;D338,"")</f>
        <v/>
      </c>
      <c r="Y338">
        <f>IF(AND(C338&lt;&gt;"",D338&lt;&gt;""),C338&amp;"|"&amp;D338,"")</f>
        <v/>
      </c>
      <c r="AA338" s="421">
        <f>IFERROR(IF(OR(A338="",I338="",J338=""),"",I338-J338),"")</f>
        <v/>
      </c>
      <c r="AB338" s="479">
        <f>IFERROR(IF(OR(AA338="",I338=0,I338=""),"",AA338/I338),"")</f>
        <v/>
      </c>
      <c r="AC338" s="421" t="n"/>
      <c r="AD338" s="462" t="n"/>
      <c r="AE338" s="421" t="n"/>
      <c r="AF338" s="421" t="n"/>
      <c r="AG338" s="421" t="n"/>
      <c r="AH338" s="421" t="n"/>
      <c r="AI338" s="421" t="n"/>
      <c r="AJ338" s="421" t="n"/>
      <c r="AK338" s="421" t="n"/>
      <c r="AL338" s="421" t="n"/>
      <c r="AM338" s="421" t="n"/>
      <c r="AN338" s="421" t="n"/>
      <c r="AO338" s="483" t="n"/>
      <c r="AP338" s="1007">
        <f>SUM(AJ338:AN338)</f>
        <v/>
      </c>
      <c r="AQ338" s="485" t="n"/>
      <c r="AS338" s="1006" t="n"/>
      <c r="AT338">
        <f t="array" ref="AT338">IF(E338&lt;&gt;"Occupied","",_xlfn.IFS(AND(ISNUMBER(AC338),AC338&lt;&gt;0),"Structured",ISNUMBER(SEARCH("/mo con",T338)),"Notes-parsed",ISNUMBER(SEARCH("step",T338)),"Step-up",ISNUMBER(SEARCH("swap",T338)),"Rate-swap",AND(ISNUMBER(I338),ISNUMBER(J338),I338&gt;J338),"Implied",TRUE,""))</f>
        <v/>
      </c>
      <c r="AU338" s="421" t="n"/>
    </row>
    <row r="339" outlineLevel="1" s="923">
      <c r="G339" s="462" t="n"/>
      <c r="H339" s="462" t="n"/>
      <c r="I339" s="421" t="n"/>
      <c r="J339" s="421" t="n"/>
      <c r="K339" s="421">
        <f>IFERROR(IF(A339="","",N(AE339)+N(AF339)+N(AG339)+N(AH339)),0)</f>
        <v/>
      </c>
      <c r="L339" s="421">
        <f>IFERROR(IF(A339="","",N(J339)+N(K339)),0)</f>
        <v/>
      </c>
      <c r="M339" s="421" t="n"/>
      <c r="N339" s="421" t="n"/>
      <c r="O339" s="421" t="n"/>
      <c r="P339" s="421" t="n"/>
      <c r="Q339" s="421" t="n"/>
      <c r="R339" s="421" t="n"/>
      <c r="U339" s="476" t="n"/>
      <c r="V339" s="1006">
        <f>IFERROR(IF(OR(A339="",U339="",U339=0,J339=""),"",J339/U339),"")</f>
        <v/>
      </c>
      <c r="W339" s="1006">
        <f>IFERROR(IF(V339="","",V339*12),"")</f>
        <v/>
      </c>
      <c r="X339">
        <f>IF(AND(E339&lt;&gt;"",E339&lt;&gt;"Vacant",E339&lt;&gt;"Reserved",C339&lt;&gt;"",D339&lt;&gt;""),C339&amp;"|"&amp;D339,"")</f>
        <v/>
      </c>
      <c r="Y339">
        <f>IF(AND(C339&lt;&gt;"",D339&lt;&gt;""),C339&amp;"|"&amp;D339,"")</f>
        <v/>
      </c>
      <c r="AA339" s="421">
        <f>IFERROR(IF(OR(A339="",I339="",J339=""),"",I339-J339),"")</f>
        <v/>
      </c>
      <c r="AB339" s="479">
        <f>IFERROR(IF(OR(AA339="",I339=0,I339=""),"",AA339/I339),"")</f>
        <v/>
      </c>
      <c r="AC339" s="421" t="n"/>
      <c r="AD339" s="462" t="n"/>
      <c r="AE339" s="421" t="n"/>
      <c r="AF339" s="421" t="n"/>
      <c r="AG339" s="421" t="n"/>
      <c r="AH339" s="421" t="n"/>
      <c r="AI339" s="421" t="n"/>
      <c r="AJ339" s="421" t="n"/>
      <c r="AK339" s="421" t="n"/>
      <c r="AL339" s="421" t="n"/>
      <c r="AM339" s="421" t="n"/>
      <c r="AN339" s="421" t="n"/>
      <c r="AO339" s="483" t="n"/>
      <c r="AP339" s="1007">
        <f>SUM(AJ339:AN339)</f>
        <v/>
      </c>
      <c r="AQ339" s="485" t="n"/>
      <c r="AS339" s="1006" t="n"/>
      <c r="AT339">
        <f t="array" ref="AT339">IF(E339&lt;&gt;"Occupied","",_xlfn.IFS(AND(ISNUMBER(AC339),AC339&lt;&gt;0),"Structured",ISNUMBER(SEARCH("/mo con",T339)),"Notes-parsed",ISNUMBER(SEARCH("step",T339)),"Step-up",ISNUMBER(SEARCH("swap",T339)),"Rate-swap",AND(ISNUMBER(I339),ISNUMBER(J339),I339&gt;J339),"Implied",TRUE,""))</f>
        <v/>
      </c>
      <c r="AU339" s="421" t="n"/>
    </row>
    <row r="340" outlineLevel="1" s="923">
      <c r="G340" s="462" t="n"/>
      <c r="H340" s="462" t="n"/>
      <c r="I340" s="421" t="n"/>
      <c r="J340" s="421" t="n"/>
      <c r="K340" s="421">
        <f>IFERROR(IF(A340="","",N(AE340)+N(AF340)+N(AG340)+N(AH340)),0)</f>
        <v/>
      </c>
      <c r="L340" s="421">
        <f>IFERROR(IF(A340="","",N(J340)+N(K340)),0)</f>
        <v/>
      </c>
      <c r="M340" s="421" t="n"/>
      <c r="N340" s="421" t="n"/>
      <c r="O340" s="421" t="n"/>
      <c r="P340" s="421" t="n"/>
      <c r="Q340" s="421" t="n"/>
      <c r="R340" s="421" t="n"/>
      <c r="U340" s="476" t="n"/>
      <c r="V340" s="1006">
        <f>IFERROR(IF(OR(A340="",U340="",U340=0,J340=""),"",J340/U340),"")</f>
        <v/>
      </c>
      <c r="W340" s="1006">
        <f>IFERROR(IF(V340="","",V340*12),"")</f>
        <v/>
      </c>
      <c r="X340">
        <f>IF(AND(E340&lt;&gt;"",E340&lt;&gt;"Vacant",E340&lt;&gt;"Reserved",C340&lt;&gt;"",D340&lt;&gt;""),C340&amp;"|"&amp;D340,"")</f>
        <v/>
      </c>
      <c r="Y340">
        <f>IF(AND(C340&lt;&gt;"",D340&lt;&gt;""),C340&amp;"|"&amp;D340,"")</f>
        <v/>
      </c>
      <c r="AA340" s="421">
        <f>IFERROR(IF(OR(A340="",I340="",J340=""),"",I340-J340),"")</f>
        <v/>
      </c>
      <c r="AB340" s="479">
        <f>IFERROR(IF(OR(AA340="",I340=0,I340=""),"",AA340/I340),"")</f>
        <v/>
      </c>
      <c r="AC340" s="421" t="n"/>
      <c r="AD340" s="462" t="n"/>
      <c r="AE340" s="421" t="n"/>
      <c r="AF340" s="421" t="n"/>
      <c r="AG340" s="421" t="n"/>
      <c r="AH340" s="421" t="n"/>
      <c r="AI340" s="421" t="n"/>
      <c r="AJ340" s="421" t="n"/>
      <c r="AK340" s="421" t="n"/>
      <c r="AL340" s="421" t="n"/>
      <c r="AM340" s="421" t="n"/>
      <c r="AN340" s="421" t="n"/>
      <c r="AO340" s="483" t="n"/>
      <c r="AP340" s="1007">
        <f>SUM(AJ340:AN340)</f>
        <v/>
      </c>
      <c r="AQ340" s="485" t="n"/>
      <c r="AS340" s="1006" t="n"/>
      <c r="AT340">
        <f t="array" ref="AT340">IF(E340&lt;&gt;"Occupied","",_xlfn.IFS(AND(ISNUMBER(AC340),AC340&lt;&gt;0),"Structured",ISNUMBER(SEARCH("/mo con",T340)),"Notes-parsed",ISNUMBER(SEARCH("step",T340)),"Step-up",ISNUMBER(SEARCH("swap",T340)),"Rate-swap",AND(ISNUMBER(I340),ISNUMBER(J340),I340&gt;J340),"Implied",TRUE,""))</f>
        <v/>
      </c>
      <c r="AU340" s="421" t="n"/>
    </row>
    <row r="341" outlineLevel="1" s="923">
      <c r="G341" s="462" t="n"/>
      <c r="H341" s="462" t="n"/>
      <c r="I341" s="421" t="n"/>
      <c r="J341" s="421" t="n"/>
      <c r="K341" s="421">
        <f>IFERROR(IF(A341="","",N(AE341)+N(AF341)+N(AG341)+N(AH341)),0)</f>
        <v/>
      </c>
      <c r="L341" s="421">
        <f>IFERROR(IF(A341="","",N(J341)+N(K341)),0)</f>
        <v/>
      </c>
      <c r="M341" s="421" t="n"/>
      <c r="N341" s="421" t="n"/>
      <c r="O341" s="421" t="n"/>
      <c r="P341" s="421" t="n"/>
      <c r="Q341" s="421" t="n"/>
      <c r="R341" s="421" t="n"/>
      <c r="U341" s="476" t="n"/>
      <c r="V341" s="1006">
        <f>IFERROR(IF(OR(A341="",U341="",U341=0,J341=""),"",J341/U341),"")</f>
        <v/>
      </c>
      <c r="W341" s="1006">
        <f>IFERROR(IF(V341="","",V341*12),"")</f>
        <v/>
      </c>
      <c r="X341">
        <f>IF(AND(E341&lt;&gt;"",E341&lt;&gt;"Vacant",E341&lt;&gt;"Reserved",C341&lt;&gt;"",D341&lt;&gt;""),C341&amp;"|"&amp;D341,"")</f>
        <v/>
      </c>
      <c r="Y341">
        <f>IF(AND(C341&lt;&gt;"",D341&lt;&gt;""),C341&amp;"|"&amp;D341,"")</f>
        <v/>
      </c>
      <c r="AA341" s="421">
        <f>IFERROR(IF(OR(A341="",I341="",J341=""),"",I341-J341),"")</f>
        <v/>
      </c>
      <c r="AB341" s="479">
        <f>IFERROR(IF(OR(AA341="",I341=0,I341=""),"",AA341/I341),"")</f>
        <v/>
      </c>
      <c r="AC341" s="421" t="n"/>
      <c r="AD341" s="462" t="n"/>
      <c r="AE341" s="421" t="n"/>
      <c r="AF341" s="421" t="n"/>
      <c r="AG341" s="421" t="n"/>
      <c r="AH341" s="421" t="n"/>
      <c r="AI341" s="421" t="n"/>
      <c r="AJ341" s="421" t="n"/>
      <c r="AK341" s="421" t="n"/>
      <c r="AL341" s="421" t="n"/>
      <c r="AM341" s="421" t="n"/>
      <c r="AN341" s="421" t="n"/>
      <c r="AO341" s="483" t="n"/>
      <c r="AP341" s="1007">
        <f>SUM(AJ341:AN341)</f>
        <v/>
      </c>
      <c r="AQ341" s="485" t="n"/>
      <c r="AS341" s="1006" t="n"/>
      <c r="AT341">
        <f t="array" ref="AT341">IF(E341&lt;&gt;"Occupied","",_xlfn.IFS(AND(ISNUMBER(AC341),AC341&lt;&gt;0),"Structured",ISNUMBER(SEARCH("/mo con",T341)),"Notes-parsed",ISNUMBER(SEARCH("step",T341)),"Step-up",ISNUMBER(SEARCH("swap",T341)),"Rate-swap",AND(ISNUMBER(I341),ISNUMBER(J341),I341&gt;J341),"Implied",TRUE,""))</f>
        <v/>
      </c>
      <c r="AU341" s="421" t="n"/>
    </row>
    <row r="342" outlineLevel="1" s="923">
      <c r="G342" s="462" t="n"/>
      <c r="H342" s="462" t="n"/>
      <c r="I342" s="421" t="n"/>
      <c r="J342" s="421" t="n"/>
      <c r="K342" s="421">
        <f>IFERROR(IF(A342="","",N(AE342)+N(AF342)+N(AG342)+N(AH342)),0)</f>
        <v/>
      </c>
      <c r="L342" s="421">
        <f>IFERROR(IF(A342="","",N(J342)+N(K342)),0)</f>
        <v/>
      </c>
      <c r="M342" s="421" t="n"/>
      <c r="N342" s="421" t="n"/>
      <c r="O342" s="421" t="n"/>
      <c r="P342" s="421" t="n"/>
      <c r="Q342" s="421" t="n"/>
      <c r="R342" s="421" t="n"/>
      <c r="U342" s="476" t="n"/>
      <c r="V342" s="1006">
        <f>IFERROR(IF(OR(A342="",U342="",U342=0,J342=""),"",J342/U342),"")</f>
        <v/>
      </c>
      <c r="W342" s="1006">
        <f>IFERROR(IF(V342="","",V342*12),"")</f>
        <v/>
      </c>
      <c r="X342">
        <f>IF(AND(E342&lt;&gt;"",E342&lt;&gt;"Vacant",E342&lt;&gt;"Reserved",C342&lt;&gt;"",D342&lt;&gt;""),C342&amp;"|"&amp;D342,"")</f>
        <v/>
      </c>
      <c r="Y342">
        <f>IF(AND(C342&lt;&gt;"",D342&lt;&gt;""),C342&amp;"|"&amp;D342,"")</f>
        <v/>
      </c>
      <c r="AA342" s="421">
        <f>IFERROR(IF(OR(A342="",I342="",J342=""),"",I342-J342),"")</f>
        <v/>
      </c>
      <c r="AB342" s="479">
        <f>IFERROR(IF(OR(AA342="",I342=0,I342=""),"",AA342/I342),"")</f>
        <v/>
      </c>
      <c r="AC342" s="421" t="n"/>
      <c r="AD342" s="462" t="n"/>
      <c r="AE342" s="421" t="n"/>
      <c r="AF342" s="421" t="n"/>
      <c r="AG342" s="421" t="n"/>
      <c r="AH342" s="421" t="n"/>
      <c r="AI342" s="421" t="n"/>
      <c r="AJ342" s="421" t="n"/>
      <c r="AK342" s="421" t="n"/>
      <c r="AL342" s="421" t="n"/>
      <c r="AM342" s="421" t="n"/>
      <c r="AN342" s="421" t="n"/>
      <c r="AO342" s="483" t="n"/>
      <c r="AP342" s="1007">
        <f>SUM(AJ342:AN342)</f>
        <v/>
      </c>
      <c r="AQ342" s="485" t="n"/>
      <c r="AS342" s="1006" t="n"/>
      <c r="AT342">
        <f t="array" ref="AT342">IF(E342&lt;&gt;"Occupied","",_xlfn.IFS(AND(ISNUMBER(AC342),AC342&lt;&gt;0),"Structured",ISNUMBER(SEARCH("/mo con",T342)),"Notes-parsed",ISNUMBER(SEARCH("step",T342)),"Step-up",ISNUMBER(SEARCH("swap",T342)),"Rate-swap",AND(ISNUMBER(I342),ISNUMBER(J342),I342&gt;J342),"Implied",TRUE,""))</f>
        <v/>
      </c>
      <c r="AU342" s="421" t="n"/>
    </row>
    <row r="343" outlineLevel="1" s="923">
      <c r="G343" s="462" t="n"/>
      <c r="H343" s="462" t="n"/>
      <c r="I343" s="421" t="n"/>
      <c r="J343" s="421" t="n"/>
      <c r="K343" s="421">
        <f>IFERROR(IF(A343="","",N(AE343)+N(AF343)+N(AG343)+N(AH343)),0)</f>
        <v/>
      </c>
      <c r="L343" s="421">
        <f>IFERROR(IF(A343="","",N(J343)+N(K343)),0)</f>
        <v/>
      </c>
      <c r="M343" s="421" t="n"/>
      <c r="N343" s="421" t="n"/>
      <c r="O343" s="421" t="n"/>
      <c r="P343" s="421" t="n"/>
      <c r="Q343" s="421" t="n"/>
      <c r="R343" s="421" t="n"/>
      <c r="U343" s="476" t="n"/>
      <c r="V343" s="1006">
        <f>IFERROR(IF(OR(A343="",U343="",U343=0,J343=""),"",J343/U343),"")</f>
        <v/>
      </c>
      <c r="W343" s="1006">
        <f>IFERROR(IF(V343="","",V343*12),"")</f>
        <v/>
      </c>
      <c r="X343">
        <f>IF(AND(E343&lt;&gt;"",E343&lt;&gt;"Vacant",E343&lt;&gt;"Reserved",C343&lt;&gt;"",D343&lt;&gt;""),C343&amp;"|"&amp;D343,"")</f>
        <v/>
      </c>
      <c r="Y343">
        <f>IF(AND(C343&lt;&gt;"",D343&lt;&gt;""),C343&amp;"|"&amp;D343,"")</f>
        <v/>
      </c>
      <c r="AA343" s="421">
        <f>IFERROR(IF(OR(A343="",I343="",J343=""),"",I343-J343),"")</f>
        <v/>
      </c>
      <c r="AB343" s="479">
        <f>IFERROR(IF(OR(AA343="",I343=0,I343=""),"",AA343/I343),"")</f>
        <v/>
      </c>
      <c r="AC343" s="421" t="n"/>
      <c r="AD343" s="462" t="n"/>
      <c r="AE343" s="421" t="n"/>
      <c r="AF343" s="421" t="n"/>
      <c r="AG343" s="421" t="n"/>
      <c r="AH343" s="421" t="n"/>
      <c r="AI343" s="421" t="n"/>
      <c r="AJ343" s="421" t="n"/>
      <c r="AK343" s="421" t="n"/>
      <c r="AL343" s="421" t="n"/>
      <c r="AM343" s="421" t="n"/>
      <c r="AN343" s="421" t="n"/>
      <c r="AO343" s="483" t="n"/>
      <c r="AP343" s="1007">
        <f>SUM(AJ343:AN343)</f>
        <v/>
      </c>
      <c r="AQ343" s="485" t="n"/>
      <c r="AS343" s="1006" t="n"/>
      <c r="AT343">
        <f t="array" ref="AT343">IF(E343&lt;&gt;"Occupied","",_xlfn.IFS(AND(ISNUMBER(AC343),AC343&lt;&gt;0),"Structured",ISNUMBER(SEARCH("/mo con",T343)),"Notes-parsed",ISNUMBER(SEARCH("step",T343)),"Step-up",ISNUMBER(SEARCH("swap",T343)),"Rate-swap",AND(ISNUMBER(I343),ISNUMBER(J343),I343&gt;J343),"Implied",TRUE,""))</f>
        <v/>
      </c>
      <c r="AU343" s="421" t="n"/>
    </row>
    <row r="344" outlineLevel="1" s="923">
      <c r="G344" s="462" t="n"/>
      <c r="H344" s="462" t="n"/>
      <c r="I344" s="421" t="n"/>
      <c r="J344" s="421" t="n"/>
      <c r="K344" s="421">
        <f>IFERROR(IF(A344="","",N(AE344)+N(AF344)+N(AG344)+N(AH344)),0)</f>
        <v/>
      </c>
      <c r="L344" s="421">
        <f>IFERROR(IF(A344="","",N(J344)+N(K344)),0)</f>
        <v/>
      </c>
      <c r="M344" s="421" t="n"/>
      <c r="N344" s="421" t="n"/>
      <c r="O344" s="421" t="n"/>
      <c r="P344" s="421" t="n"/>
      <c r="Q344" s="421" t="n"/>
      <c r="R344" s="421" t="n"/>
      <c r="U344" s="476" t="n"/>
      <c r="V344" s="1006">
        <f>IFERROR(IF(OR(A344="",U344="",U344=0,J344=""),"",J344/U344),"")</f>
        <v/>
      </c>
      <c r="W344" s="1006">
        <f>IFERROR(IF(V344="","",V344*12),"")</f>
        <v/>
      </c>
      <c r="X344">
        <f>IF(AND(E344&lt;&gt;"",E344&lt;&gt;"Vacant",E344&lt;&gt;"Reserved",C344&lt;&gt;"",D344&lt;&gt;""),C344&amp;"|"&amp;D344,"")</f>
        <v/>
      </c>
      <c r="Y344">
        <f>IF(AND(C344&lt;&gt;"",D344&lt;&gt;""),C344&amp;"|"&amp;D344,"")</f>
        <v/>
      </c>
      <c r="AA344" s="421">
        <f>IFERROR(IF(OR(A344="",I344="",J344=""),"",I344-J344),"")</f>
        <v/>
      </c>
      <c r="AB344" s="479">
        <f>IFERROR(IF(OR(AA344="",I344=0,I344=""),"",AA344/I344),"")</f>
        <v/>
      </c>
      <c r="AC344" s="421" t="n"/>
      <c r="AD344" s="462" t="n"/>
      <c r="AE344" s="421" t="n"/>
      <c r="AF344" s="421" t="n"/>
      <c r="AG344" s="421" t="n"/>
      <c r="AH344" s="421" t="n"/>
      <c r="AI344" s="421" t="n"/>
      <c r="AJ344" s="421" t="n"/>
      <c r="AK344" s="421" t="n"/>
      <c r="AL344" s="421" t="n"/>
      <c r="AM344" s="421" t="n"/>
      <c r="AN344" s="421" t="n"/>
      <c r="AO344" s="483" t="n"/>
      <c r="AP344" s="1007">
        <f>SUM(AJ344:AN344)</f>
        <v/>
      </c>
      <c r="AQ344" s="485" t="n"/>
      <c r="AS344" s="1006" t="n"/>
      <c r="AT344">
        <f t="array" ref="AT344">IF(E344&lt;&gt;"Occupied","",_xlfn.IFS(AND(ISNUMBER(AC344),AC344&lt;&gt;0),"Structured",ISNUMBER(SEARCH("/mo con",T344)),"Notes-parsed",ISNUMBER(SEARCH("step",T344)),"Step-up",ISNUMBER(SEARCH("swap",T344)),"Rate-swap",AND(ISNUMBER(I344),ISNUMBER(J344),I344&gt;J344),"Implied",TRUE,""))</f>
        <v/>
      </c>
      <c r="AU344" s="421" t="n"/>
    </row>
    <row r="345" outlineLevel="1" s="923">
      <c r="G345" s="462" t="n"/>
      <c r="H345" s="462" t="n"/>
      <c r="I345" s="421" t="n"/>
      <c r="J345" s="421" t="n"/>
      <c r="K345" s="421">
        <f>IFERROR(IF(A345="","",N(AE345)+N(AF345)+N(AG345)+N(AH345)),0)</f>
        <v/>
      </c>
      <c r="L345" s="421">
        <f>IFERROR(IF(A345="","",N(J345)+N(K345)),0)</f>
        <v/>
      </c>
      <c r="M345" s="421" t="n"/>
      <c r="N345" s="421" t="n"/>
      <c r="O345" s="421" t="n"/>
      <c r="P345" s="421" t="n"/>
      <c r="Q345" s="421" t="n"/>
      <c r="R345" s="421" t="n"/>
      <c r="U345" s="476" t="n"/>
      <c r="V345" s="1006">
        <f>IFERROR(IF(OR(A345="",U345="",U345=0,J345=""),"",J345/U345),"")</f>
        <v/>
      </c>
      <c r="W345" s="1006">
        <f>IFERROR(IF(V345="","",V345*12),"")</f>
        <v/>
      </c>
      <c r="X345">
        <f>IF(AND(E345&lt;&gt;"",E345&lt;&gt;"Vacant",E345&lt;&gt;"Reserved",C345&lt;&gt;"",D345&lt;&gt;""),C345&amp;"|"&amp;D345,"")</f>
        <v/>
      </c>
      <c r="Y345">
        <f>IF(AND(C345&lt;&gt;"",D345&lt;&gt;""),C345&amp;"|"&amp;D345,"")</f>
        <v/>
      </c>
      <c r="AA345" s="421">
        <f>IFERROR(IF(OR(A345="",I345="",J345=""),"",I345-J345),"")</f>
        <v/>
      </c>
      <c r="AB345" s="479">
        <f>IFERROR(IF(OR(AA345="",I345=0,I345=""),"",AA345/I345),"")</f>
        <v/>
      </c>
      <c r="AC345" s="421" t="n"/>
      <c r="AD345" s="462" t="n"/>
      <c r="AE345" s="421" t="n"/>
      <c r="AF345" s="421" t="n"/>
      <c r="AG345" s="421" t="n"/>
      <c r="AH345" s="421" t="n"/>
      <c r="AI345" s="421" t="n"/>
      <c r="AJ345" s="421" t="n"/>
      <c r="AK345" s="421" t="n"/>
      <c r="AL345" s="421" t="n"/>
      <c r="AM345" s="421" t="n"/>
      <c r="AN345" s="421" t="n"/>
      <c r="AO345" s="483" t="n"/>
      <c r="AP345" s="1007">
        <f>SUM(AJ345:AN345)</f>
        <v/>
      </c>
      <c r="AQ345" s="485" t="n"/>
      <c r="AS345" s="1006" t="n"/>
      <c r="AT345">
        <f t="array" ref="AT345">IF(E345&lt;&gt;"Occupied","",_xlfn.IFS(AND(ISNUMBER(AC345),AC345&lt;&gt;0),"Structured",ISNUMBER(SEARCH("/mo con",T345)),"Notes-parsed",ISNUMBER(SEARCH("step",T345)),"Step-up",ISNUMBER(SEARCH("swap",T345)),"Rate-swap",AND(ISNUMBER(I345),ISNUMBER(J345),I345&gt;J345),"Implied",TRUE,""))</f>
        <v/>
      </c>
      <c r="AU345" s="421" t="n"/>
    </row>
    <row r="346" outlineLevel="1" s="923">
      <c r="G346" s="462" t="n"/>
      <c r="H346" s="462" t="n"/>
      <c r="I346" s="421" t="n"/>
      <c r="J346" s="421" t="n"/>
      <c r="K346" s="421">
        <f>IFERROR(IF(A346="","",N(AE346)+N(AF346)+N(AG346)+N(AH346)),0)</f>
        <v/>
      </c>
      <c r="L346" s="421">
        <f>IFERROR(IF(A346="","",N(J346)+N(K346)),0)</f>
        <v/>
      </c>
      <c r="M346" s="421" t="n"/>
      <c r="N346" s="421" t="n"/>
      <c r="O346" s="421" t="n"/>
      <c r="P346" s="421" t="n"/>
      <c r="Q346" s="421" t="n"/>
      <c r="R346" s="421" t="n"/>
      <c r="U346" s="476" t="n"/>
      <c r="V346" s="1006">
        <f>IFERROR(IF(OR(A346="",U346="",U346=0,J346=""),"",J346/U346),"")</f>
        <v/>
      </c>
      <c r="W346" s="1006">
        <f>IFERROR(IF(V346="","",V346*12),"")</f>
        <v/>
      </c>
      <c r="X346">
        <f>IF(AND(E346&lt;&gt;"",E346&lt;&gt;"Vacant",E346&lt;&gt;"Reserved",C346&lt;&gt;"",D346&lt;&gt;""),C346&amp;"|"&amp;D346,"")</f>
        <v/>
      </c>
      <c r="Y346">
        <f>IF(AND(C346&lt;&gt;"",D346&lt;&gt;""),C346&amp;"|"&amp;D346,"")</f>
        <v/>
      </c>
      <c r="AA346" s="421">
        <f>IFERROR(IF(OR(A346="",I346="",J346=""),"",I346-J346),"")</f>
        <v/>
      </c>
      <c r="AB346" s="479">
        <f>IFERROR(IF(OR(AA346="",I346=0,I346=""),"",AA346/I346),"")</f>
        <v/>
      </c>
      <c r="AC346" s="421" t="n"/>
      <c r="AD346" s="462" t="n"/>
      <c r="AE346" s="421" t="n"/>
      <c r="AF346" s="421" t="n"/>
      <c r="AG346" s="421" t="n"/>
      <c r="AH346" s="421" t="n"/>
      <c r="AI346" s="421" t="n"/>
      <c r="AJ346" s="421" t="n"/>
      <c r="AK346" s="421" t="n"/>
      <c r="AL346" s="421" t="n"/>
      <c r="AM346" s="421" t="n"/>
      <c r="AN346" s="421" t="n"/>
      <c r="AO346" s="483" t="n"/>
      <c r="AP346" s="1007">
        <f>SUM(AJ346:AN346)</f>
        <v/>
      </c>
      <c r="AQ346" s="485" t="n"/>
      <c r="AS346" s="1006" t="n"/>
      <c r="AT346">
        <f t="array" ref="AT346">IF(E346&lt;&gt;"Occupied","",_xlfn.IFS(AND(ISNUMBER(AC346),AC346&lt;&gt;0),"Structured",ISNUMBER(SEARCH("/mo con",T346)),"Notes-parsed",ISNUMBER(SEARCH("step",T346)),"Step-up",ISNUMBER(SEARCH("swap",T346)),"Rate-swap",AND(ISNUMBER(I346),ISNUMBER(J346),I346&gt;J346),"Implied",TRUE,""))</f>
        <v/>
      </c>
      <c r="AU346" s="421" t="n"/>
    </row>
    <row r="347" outlineLevel="1" s="923">
      <c r="G347" s="462" t="n"/>
      <c r="H347" s="462" t="n"/>
      <c r="I347" s="421" t="n"/>
      <c r="J347" s="421" t="n"/>
      <c r="K347" s="421">
        <f>IFERROR(IF(A347="","",N(AE347)+N(AF347)+N(AG347)+N(AH347)),0)</f>
        <v/>
      </c>
      <c r="L347" s="421">
        <f>IFERROR(IF(A347="","",N(J347)+N(K347)),0)</f>
        <v/>
      </c>
      <c r="M347" s="421" t="n"/>
      <c r="N347" s="421" t="n"/>
      <c r="O347" s="421" t="n"/>
      <c r="P347" s="421" t="n"/>
      <c r="Q347" s="421" t="n"/>
      <c r="R347" s="421" t="n"/>
      <c r="U347" s="476" t="n"/>
      <c r="V347" s="1006">
        <f>IFERROR(IF(OR(A347="",U347="",U347=0,J347=""),"",J347/U347),"")</f>
        <v/>
      </c>
      <c r="W347" s="1006">
        <f>IFERROR(IF(V347="","",V347*12),"")</f>
        <v/>
      </c>
      <c r="X347">
        <f>IF(AND(E347&lt;&gt;"",E347&lt;&gt;"Vacant",E347&lt;&gt;"Reserved",C347&lt;&gt;"",D347&lt;&gt;""),C347&amp;"|"&amp;D347,"")</f>
        <v/>
      </c>
      <c r="Y347">
        <f>IF(AND(C347&lt;&gt;"",D347&lt;&gt;""),C347&amp;"|"&amp;D347,"")</f>
        <v/>
      </c>
      <c r="AA347" s="421">
        <f>IFERROR(IF(OR(A347="",I347="",J347=""),"",I347-J347),"")</f>
        <v/>
      </c>
      <c r="AB347" s="479">
        <f>IFERROR(IF(OR(AA347="",I347=0,I347=""),"",AA347/I347),"")</f>
        <v/>
      </c>
      <c r="AC347" s="421" t="n"/>
      <c r="AD347" s="462" t="n"/>
      <c r="AE347" s="421" t="n"/>
      <c r="AF347" s="421" t="n"/>
      <c r="AG347" s="421" t="n"/>
      <c r="AH347" s="421" t="n"/>
      <c r="AI347" s="421" t="n"/>
      <c r="AJ347" s="421" t="n"/>
      <c r="AK347" s="421" t="n"/>
      <c r="AL347" s="421" t="n"/>
      <c r="AM347" s="421" t="n"/>
      <c r="AN347" s="421" t="n"/>
      <c r="AO347" s="483" t="n"/>
      <c r="AP347" s="1007">
        <f>SUM(AJ347:AN347)</f>
        <v/>
      </c>
      <c r="AQ347" s="485" t="n"/>
      <c r="AS347" s="1006" t="n"/>
      <c r="AT347">
        <f t="array" ref="AT347">IF(E347&lt;&gt;"Occupied","",_xlfn.IFS(AND(ISNUMBER(AC347),AC347&lt;&gt;0),"Structured",ISNUMBER(SEARCH("/mo con",T347)),"Notes-parsed",ISNUMBER(SEARCH("step",T347)),"Step-up",ISNUMBER(SEARCH("swap",T347)),"Rate-swap",AND(ISNUMBER(I347),ISNUMBER(J347),I347&gt;J347),"Implied",TRUE,""))</f>
        <v/>
      </c>
      <c r="AU347" s="421" t="n"/>
    </row>
    <row r="348" outlineLevel="1" s="923">
      <c r="G348" s="462" t="n"/>
      <c r="H348" s="462" t="n"/>
      <c r="I348" s="421" t="n"/>
      <c r="J348" s="421" t="n"/>
      <c r="K348" s="421">
        <f>IFERROR(IF(A348="","",N(AE348)+N(AF348)+N(AG348)+N(AH348)),0)</f>
        <v/>
      </c>
      <c r="L348" s="421">
        <f>IFERROR(IF(A348="","",N(J348)+N(K348)),0)</f>
        <v/>
      </c>
      <c r="M348" s="421" t="n"/>
      <c r="N348" s="421" t="n"/>
      <c r="O348" s="421" t="n"/>
      <c r="P348" s="421" t="n"/>
      <c r="Q348" s="421" t="n"/>
      <c r="R348" s="421" t="n"/>
      <c r="U348" s="476" t="n"/>
      <c r="V348" s="1006">
        <f>IFERROR(IF(OR(A348="",U348="",U348=0,J348=""),"",J348/U348),"")</f>
        <v/>
      </c>
      <c r="W348" s="1006">
        <f>IFERROR(IF(V348="","",V348*12),"")</f>
        <v/>
      </c>
      <c r="X348">
        <f>IF(AND(E348&lt;&gt;"",E348&lt;&gt;"Vacant",E348&lt;&gt;"Reserved",C348&lt;&gt;"",D348&lt;&gt;""),C348&amp;"|"&amp;D348,"")</f>
        <v/>
      </c>
      <c r="Y348">
        <f>IF(AND(C348&lt;&gt;"",D348&lt;&gt;""),C348&amp;"|"&amp;D348,"")</f>
        <v/>
      </c>
      <c r="AA348" s="421">
        <f>IFERROR(IF(OR(A348="",I348="",J348=""),"",I348-J348),"")</f>
        <v/>
      </c>
      <c r="AB348" s="479">
        <f>IFERROR(IF(OR(AA348="",I348=0,I348=""),"",AA348/I348),"")</f>
        <v/>
      </c>
      <c r="AC348" s="421" t="n"/>
      <c r="AD348" s="462" t="n"/>
      <c r="AE348" s="421" t="n"/>
      <c r="AF348" s="421" t="n"/>
      <c r="AG348" s="421" t="n"/>
      <c r="AH348" s="421" t="n"/>
      <c r="AI348" s="421" t="n"/>
      <c r="AJ348" s="421" t="n"/>
      <c r="AK348" s="421" t="n"/>
      <c r="AL348" s="421" t="n"/>
      <c r="AM348" s="421" t="n"/>
      <c r="AN348" s="421" t="n"/>
      <c r="AO348" s="483" t="n"/>
      <c r="AP348" s="1007">
        <f>SUM(AJ348:AN348)</f>
        <v/>
      </c>
      <c r="AQ348" s="485" t="n"/>
      <c r="AS348" s="1006" t="n"/>
      <c r="AT348">
        <f t="array" ref="AT348">IF(E348&lt;&gt;"Occupied","",_xlfn.IFS(AND(ISNUMBER(AC348),AC348&lt;&gt;0),"Structured",ISNUMBER(SEARCH("/mo con",T348)),"Notes-parsed",ISNUMBER(SEARCH("step",T348)),"Step-up",ISNUMBER(SEARCH("swap",T348)),"Rate-swap",AND(ISNUMBER(I348),ISNUMBER(J348),I348&gt;J348),"Implied",TRUE,""))</f>
        <v/>
      </c>
      <c r="AU348" s="421" t="n"/>
    </row>
    <row r="349" outlineLevel="1" s="923">
      <c r="G349" s="462" t="n"/>
      <c r="H349" s="462" t="n"/>
      <c r="I349" s="421" t="n"/>
      <c r="J349" s="421" t="n"/>
      <c r="K349" s="421">
        <f>IFERROR(IF(A349="","",N(AE349)+N(AF349)+N(AG349)+N(AH349)),0)</f>
        <v/>
      </c>
      <c r="L349" s="421">
        <f>IFERROR(IF(A349="","",N(J349)+N(K349)),0)</f>
        <v/>
      </c>
      <c r="M349" s="421" t="n"/>
      <c r="N349" s="421" t="n"/>
      <c r="O349" s="421" t="n"/>
      <c r="P349" s="421" t="n"/>
      <c r="Q349" s="421" t="n"/>
      <c r="R349" s="421" t="n"/>
      <c r="U349" s="476" t="n"/>
      <c r="V349" s="1006">
        <f>IFERROR(IF(OR(A349="",U349="",U349=0,J349=""),"",J349/U349),"")</f>
        <v/>
      </c>
      <c r="W349" s="1006">
        <f>IFERROR(IF(V349="","",V349*12),"")</f>
        <v/>
      </c>
      <c r="X349">
        <f>IF(AND(E349&lt;&gt;"",E349&lt;&gt;"Vacant",E349&lt;&gt;"Reserved",C349&lt;&gt;"",D349&lt;&gt;""),C349&amp;"|"&amp;D349,"")</f>
        <v/>
      </c>
      <c r="Y349">
        <f>IF(AND(C349&lt;&gt;"",D349&lt;&gt;""),C349&amp;"|"&amp;D349,"")</f>
        <v/>
      </c>
      <c r="AA349" s="421">
        <f>IFERROR(IF(OR(A349="",I349="",J349=""),"",I349-J349),"")</f>
        <v/>
      </c>
      <c r="AB349" s="479">
        <f>IFERROR(IF(OR(AA349="",I349=0,I349=""),"",AA349/I349),"")</f>
        <v/>
      </c>
      <c r="AC349" s="421" t="n"/>
      <c r="AD349" s="462" t="n"/>
      <c r="AE349" s="421" t="n"/>
      <c r="AF349" s="421" t="n"/>
      <c r="AG349" s="421" t="n"/>
      <c r="AH349" s="421" t="n"/>
      <c r="AI349" s="421" t="n"/>
      <c r="AJ349" s="421" t="n"/>
      <c r="AK349" s="421" t="n"/>
      <c r="AL349" s="421" t="n"/>
      <c r="AM349" s="421" t="n"/>
      <c r="AN349" s="421" t="n"/>
      <c r="AO349" s="483" t="n"/>
      <c r="AP349" s="1007">
        <f>SUM(AJ349:AN349)</f>
        <v/>
      </c>
      <c r="AQ349" s="485" t="n"/>
      <c r="AS349" s="1006" t="n"/>
      <c r="AT349">
        <f t="array" ref="AT349">IF(E349&lt;&gt;"Occupied","",_xlfn.IFS(AND(ISNUMBER(AC349),AC349&lt;&gt;0),"Structured",ISNUMBER(SEARCH("/mo con",T349)),"Notes-parsed",ISNUMBER(SEARCH("step",T349)),"Step-up",ISNUMBER(SEARCH("swap",T349)),"Rate-swap",AND(ISNUMBER(I349),ISNUMBER(J349),I349&gt;J349),"Implied",TRUE,""))</f>
        <v/>
      </c>
      <c r="AU349" s="421" t="n"/>
    </row>
    <row r="350" outlineLevel="1" s="923">
      <c r="G350" s="462" t="n"/>
      <c r="H350" s="462" t="n"/>
      <c r="I350" s="421" t="n"/>
      <c r="J350" s="421" t="n"/>
      <c r="K350" s="421">
        <f>IFERROR(IF(A350="","",N(AE350)+N(AF350)+N(AG350)+N(AH350)),0)</f>
        <v/>
      </c>
      <c r="L350" s="421">
        <f>IFERROR(IF(A350="","",N(J350)+N(K350)),0)</f>
        <v/>
      </c>
      <c r="M350" s="421" t="n"/>
      <c r="N350" s="421" t="n"/>
      <c r="O350" s="421" t="n"/>
      <c r="P350" s="421" t="n"/>
      <c r="Q350" s="421" t="n"/>
      <c r="R350" s="421" t="n"/>
      <c r="U350" s="476" t="n"/>
      <c r="V350" s="1006">
        <f>IFERROR(IF(OR(A350="",U350="",U350=0,J350=""),"",J350/U350),"")</f>
        <v/>
      </c>
      <c r="W350" s="1006">
        <f>IFERROR(IF(V350="","",V350*12),"")</f>
        <v/>
      </c>
      <c r="X350">
        <f>IF(AND(E350&lt;&gt;"",E350&lt;&gt;"Vacant",E350&lt;&gt;"Reserved",C350&lt;&gt;"",D350&lt;&gt;""),C350&amp;"|"&amp;D350,"")</f>
        <v/>
      </c>
      <c r="Y350">
        <f>IF(AND(C350&lt;&gt;"",D350&lt;&gt;""),C350&amp;"|"&amp;D350,"")</f>
        <v/>
      </c>
      <c r="AA350" s="421">
        <f>IFERROR(IF(OR(A350="",I350="",J350=""),"",I350-J350),"")</f>
        <v/>
      </c>
      <c r="AB350" s="479">
        <f>IFERROR(IF(OR(AA350="",I350=0,I350=""),"",AA350/I350),"")</f>
        <v/>
      </c>
      <c r="AC350" s="421" t="n"/>
      <c r="AD350" s="462" t="n"/>
      <c r="AE350" s="421" t="n"/>
      <c r="AF350" s="421" t="n"/>
      <c r="AG350" s="421" t="n"/>
      <c r="AH350" s="421" t="n"/>
      <c r="AI350" s="421" t="n"/>
      <c r="AJ350" s="421" t="n"/>
      <c r="AK350" s="421" t="n"/>
      <c r="AL350" s="421" t="n"/>
      <c r="AM350" s="421" t="n"/>
      <c r="AN350" s="421" t="n"/>
      <c r="AO350" s="483" t="n"/>
      <c r="AP350" s="1007">
        <f>SUM(AJ350:AN350)</f>
        <v/>
      </c>
      <c r="AQ350" s="485" t="n"/>
      <c r="AS350" s="1006" t="n"/>
      <c r="AT350">
        <f t="array" ref="AT350">IF(E350&lt;&gt;"Occupied","",_xlfn.IFS(AND(ISNUMBER(AC350),AC350&lt;&gt;0),"Structured",ISNUMBER(SEARCH("/mo con",T350)),"Notes-parsed",ISNUMBER(SEARCH("step",T350)),"Step-up",ISNUMBER(SEARCH("swap",T350)),"Rate-swap",AND(ISNUMBER(I350),ISNUMBER(J350),I350&gt;J350),"Implied",TRUE,""))</f>
        <v/>
      </c>
      <c r="AU350" s="421" t="n"/>
    </row>
    <row r="351" outlineLevel="1" s="923">
      <c r="G351" s="462" t="n"/>
      <c r="H351" s="462" t="n"/>
      <c r="I351" s="421" t="n"/>
      <c r="J351" s="421" t="n"/>
      <c r="K351" s="421">
        <f>IFERROR(IF(A351="","",N(AE351)+N(AF351)+N(AG351)+N(AH351)),0)</f>
        <v/>
      </c>
      <c r="L351" s="421">
        <f>IFERROR(IF(A351="","",N(J351)+N(K351)),0)</f>
        <v/>
      </c>
      <c r="M351" s="421" t="n"/>
      <c r="N351" s="421" t="n"/>
      <c r="O351" s="421" t="n"/>
      <c r="P351" s="421" t="n"/>
      <c r="Q351" s="421" t="n"/>
      <c r="R351" s="421" t="n"/>
      <c r="U351" s="476" t="n"/>
      <c r="V351" s="1006">
        <f>IFERROR(IF(OR(A351="",U351="",U351=0,J351=""),"",J351/U351),"")</f>
        <v/>
      </c>
      <c r="W351" s="1006">
        <f>IFERROR(IF(V351="","",V351*12),"")</f>
        <v/>
      </c>
      <c r="X351">
        <f>IF(AND(E351&lt;&gt;"",E351&lt;&gt;"Vacant",E351&lt;&gt;"Reserved",C351&lt;&gt;"",D351&lt;&gt;""),C351&amp;"|"&amp;D351,"")</f>
        <v/>
      </c>
      <c r="Y351">
        <f>IF(AND(C351&lt;&gt;"",D351&lt;&gt;""),C351&amp;"|"&amp;D351,"")</f>
        <v/>
      </c>
      <c r="AA351" s="421">
        <f>IFERROR(IF(OR(A351="",I351="",J351=""),"",I351-J351),"")</f>
        <v/>
      </c>
      <c r="AB351" s="479">
        <f>IFERROR(IF(OR(AA351="",I351=0,I351=""),"",AA351/I351),"")</f>
        <v/>
      </c>
      <c r="AC351" s="421" t="n"/>
      <c r="AD351" s="462" t="n"/>
      <c r="AE351" s="421" t="n"/>
      <c r="AF351" s="421" t="n"/>
      <c r="AG351" s="421" t="n"/>
      <c r="AH351" s="421" t="n"/>
      <c r="AI351" s="421" t="n"/>
      <c r="AJ351" s="421" t="n"/>
      <c r="AK351" s="421" t="n"/>
      <c r="AL351" s="421" t="n"/>
      <c r="AM351" s="421" t="n"/>
      <c r="AN351" s="421" t="n"/>
      <c r="AO351" s="483" t="n"/>
      <c r="AP351" s="1007">
        <f>SUM(AJ351:AN351)</f>
        <v/>
      </c>
      <c r="AQ351" s="485" t="n"/>
      <c r="AS351" s="1006" t="n"/>
      <c r="AT351">
        <f t="array" ref="AT351">IF(E351&lt;&gt;"Occupied","",_xlfn.IFS(AND(ISNUMBER(AC351),AC351&lt;&gt;0),"Structured",ISNUMBER(SEARCH("/mo con",T351)),"Notes-parsed",ISNUMBER(SEARCH("step",T351)),"Step-up",ISNUMBER(SEARCH("swap",T351)),"Rate-swap",AND(ISNUMBER(I351),ISNUMBER(J351),I351&gt;J351),"Implied",TRUE,""))</f>
        <v/>
      </c>
      <c r="AU351" s="421" t="n"/>
    </row>
    <row r="352" outlineLevel="1" s="923">
      <c r="G352" s="462" t="n"/>
      <c r="H352" s="462" t="n"/>
      <c r="I352" s="421" t="n"/>
      <c r="J352" s="421" t="n"/>
      <c r="K352" s="421">
        <f>IFERROR(IF(A352="","",N(AE352)+N(AF352)+N(AG352)+N(AH352)),0)</f>
        <v/>
      </c>
      <c r="L352" s="421">
        <f>IFERROR(IF(A352="","",N(J352)+N(K352)),0)</f>
        <v/>
      </c>
      <c r="M352" s="421" t="n"/>
      <c r="N352" s="421" t="n"/>
      <c r="O352" s="421" t="n"/>
      <c r="P352" s="421" t="n"/>
      <c r="Q352" s="421" t="n"/>
      <c r="R352" s="421" t="n"/>
      <c r="U352" s="476" t="n"/>
      <c r="V352" s="1006">
        <f>IFERROR(IF(OR(A352="",U352="",U352=0,J352=""),"",J352/U352),"")</f>
        <v/>
      </c>
      <c r="W352" s="1006">
        <f>IFERROR(IF(V352="","",V352*12),"")</f>
        <v/>
      </c>
      <c r="X352">
        <f>IF(AND(E352&lt;&gt;"",E352&lt;&gt;"Vacant",E352&lt;&gt;"Reserved",C352&lt;&gt;"",D352&lt;&gt;""),C352&amp;"|"&amp;D352,"")</f>
        <v/>
      </c>
      <c r="Y352">
        <f>IF(AND(C352&lt;&gt;"",D352&lt;&gt;""),C352&amp;"|"&amp;D352,"")</f>
        <v/>
      </c>
      <c r="AA352" s="421">
        <f>IFERROR(IF(OR(A352="",I352="",J352=""),"",I352-J352),"")</f>
        <v/>
      </c>
      <c r="AB352" s="479">
        <f>IFERROR(IF(OR(AA352="",I352=0,I352=""),"",AA352/I352),"")</f>
        <v/>
      </c>
      <c r="AC352" s="421" t="n"/>
      <c r="AD352" s="462" t="n"/>
      <c r="AE352" s="421" t="n"/>
      <c r="AF352" s="421" t="n"/>
      <c r="AG352" s="421" t="n"/>
      <c r="AH352" s="421" t="n"/>
      <c r="AI352" s="421" t="n"/>
      <c r="AJ352" s="421" t="n"/>
      <c r="AK352" s="421" t="n"/>
      <c r="AL352" s="421" t="n"/>
      <c r="AM352" s="421" t="n"/>
      <c r="AN352" s="421" t="n"/>
      <c r="AO352" s="483" t="n"/>
      <c r="AP352" s="1007">
        <f>SUM(AJ352:AN352)</f>
        <v/>
      </c>
      <c r="AQ352" s="485" t="n"/>
      <c r="AS352" s="1006" t="n"/>
      <c r="AT352">
        <f t="array" ref="AT352">IF(E352&lt;&gt;"Occupied","",_xlfn.IFS(AND(ISNUMBER(AC352),AC352&lt;&gt;0),"Structured",ISNUMBER(SEARCH("/mo con",T352)),"Notes-parsed",ISNUMBER(SEARCH("step",T352)),"Step-up",ISNUMBER(SEARCH("swap",T352)),"Rate-swap",AND(ISNUMBER(I352),ISNUMBER(J352),I352&gt;J352),"Implied",TRUE,""))</f>
        <v/>
      </c>
      <c r="AU352" s="421" t="n"/>
    </row>
    <row r="353" outlineLevel="1" s="923">
      <c r="G353" s="462" t="n"/>
      <c r="H353" s="462" t="n"/>
      <c r="I353" s="421" t="n"/>
      <c r="J353" s="421" t="n"/>
      <c r="K353" s="421">
        <f>IFERROR(IF(A353="","",N(AE353)+N(AF353)+N(AG353)+N(AH353)),0)</f>
        <v/>
      </c>
      <c r="L353" s="421">
        <f>IFERROR(IF(A353="","",N(J353)+N(K353)),0)</f>
        <v/>
      </c>
      <c r="M353" s="421" t="n"/>
      <c r="N353" s="421" t="n"/>
      <c r="O353" s="421" t="n"/>
      <c r="P353" s="421" t="n"/>
      <c r="Q353" s="421" t="n"/>
      <c r="R353" s="421" t="n"/>
      <c r="U353" s="476" t="n"/>
      <c r="V353" s="1006">
        <f>IFERROR(IF(OR(A353="",U353="",U353=0,J353=""),"",J353/U353),"")</f>
        <v/>
      </c>
      <c r="W353" s="1006">
        <f>IFERROR(IF(V353="","",V353*12),"")</f>
        <v/>
      </c>
      <c r="X353">
        <f>IF(AND(E353&lt;&gt;"",E353&lt;&gt;"Vacant",E353&lt;&gt;"Reserved",C353&lt;&gt;"",D353&lt;&gt;""),C353&amp;"|"&amp;D353,"")</f>
        <v/>
      </c>
      <c r="Y353">
        <f>IF(AND(C353&lt;&gt;"",D353&lt;&gt;""),C353&amp;"|"&amp;D353,"")</f>
        <v/>
      </c>
      <c r="AA353" s="421">
        <f>IFERROR(IF(OR(A353="",I353="",J353=""),"",I353-J353),"")</f>
        <v/>
      </c>
      <c r="AB353" s="479">
        <f>IFERROR(IF(OR(AA353="",I353=0,I353=""),"",AA353/I353),"")</f>
        <v/>
      </c>
      <c r="AC353" s="421" t="n"/>
      <c r="AD353" s="462" t="n"/>
      <c r="AE353" s="421" t="n"/>
      <c r="AF353" s="421" t="n"/>
      <c r="AG353" s="421" t="n"/>
      <c r="AH353" s="421" t="n"/>
      <c r="AI353" s="421" t="n"/>
      <c r="AJ353" s="421" t="n"/>
      <c r="AK353" s="421" t="n"/>
      <c r="AL353" s="421" t="n"/>
      <c r="AM353" s="421" t="n"/>
      <c r="AN353" s="421" t="n"/>
      <c r="AO353" s="483" t="n"/>
      <c r="AP353" s="1007">
        <f>SUM(AJ353:AN353)</f>
        <v/>
      </c>
      <c r="AQ353" s="485" t="n"/>
      <c r="AS353" s="1006" t="n"/>
      <c r="AT353">
        <f t="array" ref="AT353">IF(E353&lt;&gt;"Occupied","",_xlfn.IFS(AND(ISNUMBER(AC353),AC353&lt;&gt;0),"Structured",ISNUMBER(SEARCH("/mo con",T353)),"Notes-parsed",ISNUMBER(SEARCH("step",T353)),"Step-up",ISNUMBER(SEARCH("swap",T353)),"Rate-swap",AND(ISNUMBER(I353),ISNUMBER(J353),I353&gt;J353),"Implied",TRUE,""))</f>
        <v/>
      </c>
      <c r="AU353" s="421" t="n"/>
    </row>
    <row r="354" outlineLevel="1" s="923">
      <c r="G354" s="462" t="n"/>
      <c r="H354" s="462" t="n"/>
      <c r="I354" s="421" t="n"/>
      <c r="J354" s="421" t="n"/>
      <c r="K354" s="421">
        <f>IFERROR(IF(A354="","",N(AE354)+N(AF354)+N(AG354)+N(AH354)),0)</f>
        <v/>
      </c>
      <c r="L354" s="421">
        <f>IFERROR(IF(A354="","",N(J354)+N(K354)),0)</f>
        <v/>
      </c>
      <c r="M354" s="421" t="n"/>
      <c r="N354" s="421" t="n"/>
      <c r="O354" s="421" t="n"/>
      <c r="P354" s="421" t="n"/>
      <c r="Q354" s="421" t="n"/>
      <c r="R354" s="421" t="n"/>
      <c r="U354" s="476" t="n"/>
      <c r="V354" s="1006">
        <f>IFERROR(IF(OR(A354="",U354="",U354=0,J354=""),"",J354/U354),"")</f>
        <v/>
      </c>
      <c r="W354" s="1006">
        <f>IFERROR(IF(V354="","",V354*12),"")</f>
        <v/>
      </c>
      <c r="X354">
        <f>IF(AND(E354&lt;&gt;"",E354&lt;&gt;"Vacant",E354&lt;&gt;"Reserved",C354&lt;&gt;"",D354&lt;&gt;""),C354&amp;"|"&amp;D354,"")</f>
        <v/>
      </c>
      <c r="Y354">
        <f>IF(AND(C354&lt;&gt;"",D354&lt;&gt;""),C354&amp;"|"&amp;D354,"")</f>
        <v/>
      </c>
      <c r="AA354" s="421">
        <f>IFERROR(IF(OR(A354="",I354="",J354=""),"",I354-J354),"")</f>
        <v/>
      </c>
      <c r="AB354" s="479">
        <f>IFERROR(IF(OR(AA354="",I354=0,I354=""),"",AA354/I354),"")</f>
        <v/>
      </c>
      <c r="AC354" s="421" t="n"/>
      <c r="AD354" s="462" t="n"/>
      <c r="AE354" s="421" t="n"/>
      <c r="AF354" s="421" t="n"/>
      <c r="AG354" s="421" t="n"/>
      <c r="AH354" s="421" t="n"/>
      <c r="AI354" s="421" t="n"/>
      <c r="AJ354" s="421" t="n"/>
      <c r="AK354" s="421" t="n"/>
      <c r="AL354" s="421" t="n"/>
      <c r="AM354" s="421" t="n"/>
      <c r="AN354" s="421" t="n"/>
      <c r="AO354" s="483" t="n"/>
      <c r="AP354" s="1007">
        <f>SUM(AJ354:AN354)</f>
        <v/>
      </c>
      <c r="AQ354" s="485" t="n"/>
      <c r="AS354" s="1006" t="n"/>
      <c r="AT354">
        <f t="array" ref="AT354">IF(E354&lt;&gt;"Occupied","",_xlfn.IFS(AND(ISNUMBER(AC354),AC354&lt;&gt;0),"Structured",ISNUMBER(SEARCH("/mo con",T354)),"Notes-parsed",ISNUMBER(SEARCH("step",T354)),"Step-up",ISNUMBER(SEARCH("swap",T354)),"Rate-swap",AND(ISNUMBER(I354),ISNUMBER(J354),I354&gt;J354),"Implied",TRUE,""))</f>
        <v/>
      </c>
      <c r="AU354" s="421" t="n"/>
    </row>
    <row r="355" outlineLevel="1" s="923">
      <c r="G355" s="462" t="n"/>
      <c r="H355" s="462" t="n"/>
      <c r="I355" s="421" t="n"/>
      <c r="J355" s="421" t="n"/>
      <c r="K355" s="421">
        <f>IFERROR(IF(A355="","",N(AE355)+N(AF355)+N(AG355)+N(AH355)),0)</f>
        <v/>
      </c>
      <c r="L355" s="421">
        <f>IFERROR(IF(A355="","",N(J355)+N(K355)),0)</f>
        <v/>
      </c>
      <c r="M355" s="421" t="n"/>
      <c r="N355" s="421" t="n"/>
      <c r="O355" s="421" t="n"/>
      <c r="P355" s="421" t="n"/>
      <c r="Q355" s="421" t="n"/>
      <c r="R355" s="421" t="n"/>
      <c r="U355" s="476" t="n"/>
      <c r="V355" s="1006">
        <f>IFERROR(IF(OR(A355="",U355="",U355=0,J355=""),"",J355/U355),"")</f>
        <v/>
      </c>
      <c r="W355" s="1006">
        <f>IFERROR(IF(V355="","",V355*12),"")</f>
        <v/>
      </c>
      <c r="X355">
        <f>IF(AND(E355&lt;&gt;"",E355&lt;&gt;"Vacant",E355&lt;&gt;"Reserved",C355&lt;&gt;"",D355&lt;&gt;""),C355&amp;"|"&amp;D355,"")</f>
        <v/>
      </c>
      <c r="Y355">
        <f>IF(AND(C355&lt;&gt;"",D355&lt;&gt;""),C355&amp;"|"&amp;D355,"")</f>
        <v/>
      </c>
      <c r="AA355" s="421">
        <f>IFERROR(IF(OR(A355="",I355="",J355=""),"",I355-J355),"")</f>
        <v/>
      </c>
      <c r="AB355" s="479">
        <f>IFERROR(IF(OR(AA355="",I355=0,I355=""),"",AA355/I355),"")</f>
        <v/>
      </c>
      <c r="AC355" s="421" t="n"/>
      <c r="AD355" s="462" t="n"/>
      <c r="AE355" s="421" t="n"/>
      <c r="AF355" s="421" t="n"/>
      <c r="AG355" s="421" t="n"/>
      <c r="AH355" s="421" t="n"/>
      <c r="AI355" s="421" t="n"/>
      <c r="AJ355" s="421" t="n"/>
      <c r="AK355" s="421" t="n"/>
      <c r="AL355" s="421" t="n"/>
      <c r="AM355" s="421" t="n"/>
      <c r="AN355" s="421" t="n"/>
      <c r="AO355" s="483" t="n"/>
      <c r="AP355" s="1007">
        <f>SUM(AJ355:AN355)</f>
        <v/>
      </c>
      <c r="AQ355" s="485" t="n"/>
      <c r="AS355" s="1006" t="n"/>
      <c r="AT355">
        <f t="array" ref="AT355">IF(E355&lt;&gt;"Occupied","",_xlfn.IFS(AND(ISNUMBER(AC355),AC355&lt;&gt;0),"Structured",ISNUMBER(SEARCH("/mo con",T355)),"Notes-parsed",ISNUMBER(SEARCH("step",T355)),"Step-up",ISNUMBER(SEARCH("swap",T355)),"Rate-swap",AND(ISNUMBER(I355),ISNUMBER(J355),I355&gt;J355),"Implied",TRUE,""))</f>
        <v/>
      </c>
      <c r="AU355" s="421" t="n"/>
    </row>
    <row r="356" outlineLevel="1" s="923">
      <c r="G356" s="462" t="n"/>
      <c r="H356" s="462" t="n"/>
      <c r="I356" s="421" t="n"/>
      <c r="J356" s="421" t="n"/>
      <c r="K356" s="421">
        <f>IFERROR(IF(A356="","",N(AE356)+N(AF356)+N(AG356)+N(AH356)),0)</f>
        <v/>
      </c>
      <c r="L356" s="421">
        <f>IFERROR(IF(A356="","",N(J356)+N(K356)),0)</f>
        <v/>
      </c>
      <c r="M356" s="421" t="n"/>
      <c r="N356" s="421" t="n"/>
      <c r="O356" s="421" t="n"/>
      <c r="P356" s="421" t="n"/>
      <c r="Q356" s="421" t="n"/>
      <c r="R356" s="421" t="n"/>
      <c r="U356" s="476" t="n"/>
      <c r="V356" s="1006">
        <f>IFERROR(IF(OR(A356="",U356="",U356=0,J356=""),"",J356/U356),"")</f>
        <v/>
      </c>
      <c r="W356" s="1006">
        <f>IFERROR(IF(V356="","",V356*12),"")</f>
        <v/>
      </c>
      <c r="X356">
        <f>IF(AND(E356&lt;&gt;"",E356&lt;&gt;"Vacant",E356&lt;&gt;"Reserved",C356&lt;&gt;"",D356&lt;&gt;""),C356&amp;"|"&amp;D356,"")</f>
        <v/>
      </c>
      <c r="Y356">
        <f>IF(AND(C356&lt;&gt;"",D356&lt;&gt;""),C356&amp;"|"&amp;D356,"")</f>
        <v/>
      </c>
      <c r="AA356" s="421">
        <f>IFERROR(IF(OR(A356="",I356="",J356=""),"",I356-J356),"")</f>
        <v/>
      </c>
      <c r="AB356" s="479">
        <f>IFERROR(IF(OR(AA356="",I356=0,I356=""),"",AA356/I356),"")</f>
        <v/>
      </c>
      <c r="AC356" s="421" t="n"/>
      <c r="AD356" s="462" t="n"/>
      <c r="AE356" s="421" t="n"/>
      <c r="AF356" s="421" t="n"/>
      <c r="AG356" s="421" t="n"/>
      <c r="AH356" s="421" t="n"/>
      <c r="AI356" s="421" t="n"/>
      <c r="AJ356" s="421" t="n"/>
      <c r="AK356" s="421" t="n"/>
      <c r="AL356" s="421" t="n"/>
      <c r="AM356" s="421" t="n"/>
      <c r="AN356" s="421" t="n"/>
      <c r="AO356" s="483" t="n"/>
      <c r="AP356" s="1007">
        <f>SUM(AJ356:AN356)</f>
        <v/>
      </c>
      <c r="AQ356" s="485" t="n"/>
      <c r="AS356" s="1006" t="n"/>
      <c r="AT356">
        <f t="array" ref="AT356">IF(E356&lt;&gt;"Occupied","",_xlfn.IFS(AND(ISNUMBER(AC356),AC356&lt;&gt;0),"Structured",ISNUMBER(SEARCH("/mo con",T356)),"Notes-parsed",ISNUMBER(SEARCH("step",T356)),"Step-up",ISNUMBER(SEARCH("swap",T356)),"Rate-swap",AND(ISNUMBER(I356),ISNUMBER(J356),I356&gt;J356),"Implied",TRUE,""))</f>
        <v/>
      </c>
      <c r="AU356" s="421" t="n"/>
    </row>
    <row r="357" outlineLevel="1" s="923">
      <c r="G357" s="462" t="n"/>
      <c r="H357" s="462" t="n"/>
      <c r="I357" s="421" t="n"/>
      <c r="J357" s="421" t="n"/>
      <c r="K357" s="421">
        <f>IFERROR(IF(A357="","",N(AE357)+N(AF357)+N(AG357)+N(AH357)),0)</f>
        <v/>
      </c>
      <c r="L357" s="421">
        <f>IFERROR(IF(A357="","",N(J357)+N(K357)),0)</f>
        <v/>
      </c>
      <c r="M357" s="421" t="n"/>
      <c r="N357" s="421" t="n"/>
      <c r="O357" s="421" t="n"/>
      <c r="P357" s="421" t="n"/>
      <c r="Q357" s="421" t="n"/>
      <c r="R357" s="421" t="n"/>
      <c r="U357" s="476" t="n"/>
      <c r="V357" s="1006">
        <f>IFERROR(IF(OR(A357="",U357="",U357=0,J357=""),"",J357/U357),"")</f>
        <v/>
      </c>
      <c r="W357" s="1006">
        <f>IFERROR(IF(V357="","",V357*12),"")</f>
        <v/>
      </c>
      <c r="X357">
        <f>IF(AND(E357&lt;&gt;"",E357&lt;&gt;"Vacant",E357&lt;&gt;"Reserved",C357&lt;&gt;"",D357&lt;&gt;""),C357&amp;"|"&amp;D357,"")</f>
        <v/>
      </c>
      <c r="Y357">
        <f>IF(AND(C357&lt;&gt;"",D357&lt;&gt;""),C357&amp;"|"&amp;D357,"")</f>
        <v/>
      </c>
      <c r="AA357" s="421">
        <f>IFERROR(IF(OR(A357="",I357="",J357=""),"",I357-J357),"")</f>
        <v/>
      </c>
      <c r="AB357" s="479">
        <f>IFERROR(IF(OR(AA357="",I357=0,I357=""),"",AA357/I357),"")</f>
        <v/>
      </c>
      <c r="AC357" s="421" t="n"/>
      <c r="AD357" s="462" t="n"/>
      <c r="AE357" s="421" t="n"/>
      <c r="AF357" s="421" t="n"/>
      <c r="AG357" s="421" t="n"/>
      <c r="AH357" s="421" t="n"/>
      <c r="AI357" s="421" t="n"/>
      <c r="AJ357" s="421" t="n"/>
      <c r="AK357" s="421" t="n"/>
      <c r="AL357" s="421" t="n"/>
      <c r="AM357" s="421" t="n"/>
      <c r="AN357" s="421" t="n"/>
      <c r="AO357" s="483" t="n"/>
      <c r="AP357" s="1007">
        <f>SUM(AJ357:AN357)</f>
        <v/>
      </c>
      <c r="AQ357" s="485" t="n"/>
      <c r="AS357" s="1006" t="n"/>
      <c r="AT357">
        <f t="array" ref="AT357">IF(E357&lt;&gt;"Occupied","",_xlfn.IFS(AND(ISNUMBER(AC357),AC357&lt;&gt;0),"Structured",ISNUMBER(SEARCH("/mo con",T357)),"Notes-parsed",ISNUMBER(SEARCH("step",T357)),"Step-up",ISNUMBER(SEARCH("swap",T357)),"Rate-swap",AND(ISNUMBER(I357),ISNUMBER(J357),I357&gt;J357),"Implied",TRUE,""))</f>
        <v/>
      </c>
      <c r="AU357" s="421" t="n"/>
    </row>
    <row r="358" outlineLevel="1" s="923">
      <c r="G358" s="462" t="n"/>
      <c r="H358" s="462" t="n"/>
      <c r="I358" s="421" t="n"/>
      <c r="J358" s="421" t="n"/>
      <c r="K358" s="421">
        <f>IFERROR(IF(A358="","",N(AE358)+N(AF358)+N(AG358)+N(AH358)),0)</f>
        <v/>
      </c>
      <c r="L358" s="421">
        <f>IFERROR(IF(A358="","",N(J358)+N(K358)),0)</f>
        <v/>
      </c>
      <c r="M358" s="421" t="n"/>
      <c r="N358" s="421" t="n"/>
      <c r="O358" s="421" t="n"/>
      <c r="P358" s="421" t="n"/>
      <c r="Q358" s="421" t="n"/>
      <c r="R358" s="421" t="n"/>
      <c r="U358" s="476" t="n"/>
      <c r="V358" s="1006">
        <f>IFERROR(IF(OR(A358="",U358="",U358=0,J358=""),"",J358/U358),"")</f>
        <v/>
      </c>
      <c r="W358" s="1006">
        <f>IFERROR(IF(V358="","",V358*12),"")</f>
        <v/>
      </c>
      <c r="X358">
        <f>IF(AND(E358&lt;&gt;"",E358&lt;&gt;"Vacant",E358&lt;&gt;"Reserved",C358&lt;&gt;"",D358&lt;&gt;""),C358&amp;"|"&amp;D358,"")</f>
        <v/>
      </c>
      <c r="Y358">
        <f>IF(AND(C358&lt;&gt;"",D358&lt;&gt;""),C358&amp;"|"&amp;D358,"")</f>
        <v/>
      </c>
      <c r="AA358" s="421">
        <f>IFERROR(IF(OR(A358="",I358="",J358=""),"",I358-J358),"")</f>
        <v/>
      </c>
      <c r="AB358" s="479">
        <f>IFERROR(IF(OR(AA358="",I358=0,I358=""),"",AA358/I358),"")</f>
        <v/>
      </c>
      <c r="AC358" s="421" t="n"/>
      <c r="AD358" s="462" t="n"/>
      <c r="AE358" s="421" t="n"/>
      <c r="AF358" s="421" t="n"/>
      <c r="AG358" s="421" t="n"/>
      <c r="AH358" s="421" t="n"/>
      <c r="AI358" s="421" t="n"/>
      <c r="AJ358" s="421" t="n"/>
      <c r="AK358" s="421" t="n"/>
      <c r="AL358" s="421" t="n"/>
      <c r="AM358" s="421" t="n"/>
      <c r="AN358" s="421" t="n"/>
      <c r="AO358" s="483" t="n"/>
      <c r="AP358" s="1007">
        <f>SUM(AJ358:AN358)</f>
        <v/>
      </c>
      <c r="AQ358" s="485" t="n"/>
      <c r="AS358" s="1006" t="n"/>
      <c r="AT358">
        <f t="array" ref="AT358">IF(E358&lt;&gt;"Occupied","",_xlfn.IFS(AND(ISNUMBER(AC358),AC358&lt;&gt;0),"Structured",ISNUMBER(SEARCH("/mo con",T358)),"Notes-parsed",ISNUMBER(SEARCH("step",T358)),"Step-up",ISNUMBER(SEARCH("swap",T358)),"Rate-swap",AND(ISNUMBER(I358),ISNUMBER(J358),I358&gt;J358),"Implied",TRUE,""))</f>
        <v/>
      </c>
      <c r="AU358" s="421" t="n"/>
    </row>
    <row r="359" outlineLevel="1" s="923">
      <c r="G359" s="462" t="n"/>
      <c r="H359" s="462" t="n"/>
      <c r="I359" s="421" t="n"/>
      <c r="J359" s="421" t="n"/>
      <c r="K359" s="421">
        <f>IFERROR(IF(A359="","",N(AE359)+N(AF359)+N(AG359)+N(AH359)),0)</f>
        <v/>
      </c>
      <c r="L359" s="421">
        <f>IFERROR(IF(A359="","",N(J359)+N(K359)),0)</f>
        <v/>
      </c>
      <c r="M359" s="421" t="n"/>
      <c r="N359" s="421" t="n"/>
      <c r="O359" s="421" t="n"/>
      <c r="P359" s="421" t="n"/>
      <c r="Q359" s="421" t="n"/>
      <c r="R359" s="421" t="n"/>
      <c r="U359" s="476" t="n"/>
      <c r="V359" s="1006">
        <f>IFERROR(IF(OR(A359="",U359="",U359=0,J359=""),"",J359/U359),"")</f>
        <v/>
      </c>
      <c r="W359" s="1006">
        <f>IFERROR(IF(V359="","",V359*12),"")</f>
        <v/>
      </c>
      <c r="X359">
        <f>IF(AND(E359&lt;&gt;"",E359&lt;&gt;"Vacant",E359&lt;&gt;"Reserved",C359&lt;&gt;"",D359&lt;&gt;""),C359&amp;"|"&amp;D359,"")</f>
        <v/>
      </c>
      <c r="Y359">
        <f>IF(AND(C359&lt;&gt;"",D359&lt;&gt;""),C359&amp;"|"&amp;D359,"")</f>
        <v/>
      </c>
      <c r="AA359" s="421">
        <f>IFERROR(IF(OR(A359="",I359="",J359=""),"",I359-J359),"")</f>
        <v/>
      </c>
      <c r="AB359" s="479">
        <f>IFERROR(IF(OR(AA359="",I359=0,I359=""),"",AA359/I359),"")</f>
        <v/>
      </c>
      <c r="AC359" s="421" t="n"/>
      <c r="AD359" s="462" t="n"/>
      <c r="AE359" s="421" t="n"/>
      <c r="AF359" s="421" t="n"/>
      <c r="AG359" s="421" t="n"/>
      <c r="AH359" s="421" t="n"/>
      <c r="AI359" s="421" t="n"/>
      <c r="AJ359" s="421" t="n"/>
      <c r="AK359" s="421" t="n"/>
      <c r="AL359" s="421" t="n"/>
      <c r="AM359" s="421" t="n"/>
      <c r="AN359" s="421" t="n"/>
      <c r="AO359" s="483" t="n"/>
      <c r="AP359" s="1007">
        <f>SUM(AJ359:AN359)</f>
        <v/>
      </c>
      <c r="AQ359" s="485" t="n"/>
      <c r="AS359" s="1006" t="n"/>
      <c r="AT359">
        <f t="array" ref="AT359">IF(E359&lt;&gt;"Occupied","",_xlfn.IFS(AND(ISNUMBER(AC359),AC359&lt;&gt;0),"Structured",ISNUMBER(SEARCH("/mo con",T359)),"Notes-parsed",ISNUMBER(SEARCH("step",T359)),"Step-up",ISNUMBER(SEARCH("swap",T359)),"Rate-swap",AND(ISNUMBER(I359),ISNUMBER(J359),I359&gt;J359),"Implied",TRUE,""))</f>
        <v/>
      </c>
      <c r="AU359" s="421" t="n"/>
    </row>
    <row r="360" outlineLevel="1" s="923">
      <c r="G360" s="462" t="n"/>
      <c r="H360" s="462" t="n"/>
      <c r="I360" s="421" t="n"/>
      <c r="J360" s="421" t="n"/>
      <c r="K360" s="421">
        <f>IFERROR(IF(A360="","",N(AE360)+N(AF360)+N(AG360)+N(AH360)),0)</f>
        <v/>
      </c>
      <c r="L360" s="421">
        <f>IFERROR(IF(A360="","",N(J360)+N(K360)),0)</f>
        <v/>
      </c>
      <c r="M360" s="421" t="n"/>
      <c r="N360" s="421" t="n"/>
      <c r="O360" s="421" t="n"/>
      <c r="P360" s="421" t="n"/>
      <c r="Q360" s="421" t="n"/>
      <c r="R360" s="421" t="n"/>
      <c r="U360" s="476" t="n"/>
      <c r="V360" s="1006">
        <f>IFERROR(IF(OR(A360="",U360="",U360=0,J360=""),"",J360/U360),"")</f>
        <v/>
      </c>
      <c r="W360" s="1006">
        <f>IFERROR(IF(V360="","",V360*12),"")</f>
        <v/>
      </c>
      <c r="X360">
        <f>IF(AND(E360&lt;&gt;"",E360&lt;&gt;"Vacant",E360&lt;&gt;"Reserved",C360&lt;&gt;"",D360&lt;&gt;""),C360&amp;"|"&amp;D360,"")</f>
        <v/>
      </c>
      <c r="Y360">
        <f>IF(AND(C360&lt;&gt;"",D360&lt;&gt;""),C360&amp;"|"&amp;D360,"")</f>
        <v/>
      </c>
      <c r="AA360" s="421">
        <f>IFERROR(IF(OR(A360="",I360="",J360=""),"",I360-J360),"")</f>
        <v/>
      </c>
      <c r="AB360" s="479">
        <f>IFERROR(IF(OR(AA360="",I360=0,I360=""),"",AA360/I360),"")</f>
        <v/>
      </c>
      <c r="AC360" s="421" t="n"/>
      <c r="AD360" s="462" t="n"/>
      <c r="AE360" s="421" t="n"/>
      <c r="AF360" s="421" t="n"/>
      <c r="AG360" s="421" t="n"/>
      <c r="AH360" s="421" t="n"/>
      <c r="AI360" s="421" t="n"/>
      <c r="AJ360" s="421" t="n"/>
      <c r="AK360" s="421" t="n"/>
      <c r="AL360" s="421" t="n"/>
      <c r="AM360" s="421" t="n"/>
      <c r="AN360" s="421" t="n"/>
      <c r="AO360" s="483" t="n"/>
      <c r="AP360" s="1007">
        <f>SUM(AJ360:AN360)</f>
        <v/>
      </c>
      <c r="AQ360" s="485" t="n"/>
      <c r="AS360" s="1006" t="n"/>
      <c r="AT360">
        <f t="array" ref="AT360">IF(E360&lt;&gt;"Occupied","",_xlfn.IFS(AND(ISNUMBER(AC360),AC360&lt;&gt;0),"Structured",ISNUMBER(SEARCH("/mo con",T360)),"Notes-parsed",ISNUMBER(SEARCH("step",T360)),"Step-up",ISNUMBER(SEARCH("swap",T360)),"Rate-swap",AND(ISNUMBER(I360),ISNUMBER(J360),I360&gt;J360),"Implied",TRUE,""))</f>
        <v/>
      </c>
      <c r="AU360" s="421" t="n"/>
    </row>
    <row r="361" outlineLevel="1" s="923">
      <c r="G361" s="462" t="n"/>
      <c r="H361" s="462" t="n"/>
      <c r="I361" s="421" t="n"/>
      <c r="J361" s="421" t="n"/>
      <c r="K361" s="421">
        <f>IFERROR(IF(A361="","",N(AE361)+N(AF361)+N(AG361)+N(AH361)),0)</f>
        <v/>
      </c>
      <c r="L361" s="421">
        <f>IFERROR(IF(A361="","",N(J361)+N(K361)),0)</f>
        <v/>
      </c>
      <c r="M361" s="421" t="n"/>
      <c r="N361" s="421" t="n"/>
      <c r="O361" s="421" t="n"/>
      <c r="P361" s="421" t="n"/>
      <c r="Q361" s="421" t="n"/>
      <c r="R361" s="421" t="n"/>
      <c r="U361" s="476" t="n"/>
      <c r="V361" s="1006">
        <f>IFERROR(IF(OR(A361="",U361="",U361=0,J361=""),"",J361/U361),"")</f>
        <v/>
      </c>
      <c r="W361" s="1006">
        <f>IFERROR(IF(V361="","",V361*12),"")</f>
        <v/>
      </c>
      <c r="X361">
        <f>IF(AND(E361&lt;&gt;"",E361&lt;&gt;"Vacant",E361&lt;&gt;"Reserved",C361&lt;&gt;"",D361&lt;&gt;""),C361&amp;"|"&amp;D361,"")</f>
        <v/>
      </c>
      <c r="Y361">
        <f>IF(AND(C361&lt;&gt;"",D361&lt;&gt;""),C361&amp;"|"&amp;D361,"")</f>
        <v/>
      </c>
      <c r="AA361" s="421">
        <f>IFERROR(IF(OR(A361="",I361="",J361=""),"",I361-J361),"")</f>
        <v/>
      </c>
      <c r="AB361" s="479">
        <f>IFERROR(IF(OR(AA361="",I361=0,I361=""),"",AA361/I361),"")</f>
        <v/>
      </c>
      <c r="AC361" s="421" t="n"/>
      <c r="AD361" s="462" t="n"/>
      <c r="AE361" s="421" t="n"/>
      <c r="AF361" s="421" t="n"/>
      <c r="AG361" s="421" t="n"/>
      <c r="AH361" s="421" t="n"/>
      <c r="AI361" s="421" t="n"/>
      <c r="AJ361" s="421" t="n"/>
      <c r="AK361" s="421" t="n"/>
      <c r="AL361" s="421" t="n"/>
      <c r="AM361" s="421" t="n"/>
      <c r="AN361" s="421" t="n"/>
      <c r="AO361" s="483" t="n"/>
      <c r="AP361" s="1007">
        <f>SUM(AJ361:AN361)</f>
        <v/>
      </c>
      <c r="AQ361" s="485" t="n"/>
      <c r="AS361" s="1006" t="n"/>
      <c r="AT361">
        <f t="array" ref="AT361">IF(E361&lt;&gt;"Occupied","",_xlfn.IFS(AND(ISNUMBER(AC361),AC361&lt;&gt;0),"Structured",ISNUMBER(SEARCH("/mo con",T361)),"Notes-parsed",ISNUMBER(SEARCH("step",T361)),"Step-up",ISNUMBER(SEARCH("swap",T361)),"Rate-swap",AND(ISNUMBER(I361),ISNUMBER(J361),I361&gt;J361),"Implied",TRUE,""))</f>
        <v/>
      </c>
      <c r="AU361" s="421" t="n"/>
    </row>
    <row r="362" outlineLevel="1" s="923">
      <c r="G362" s="462" t="n"/>
      <c r="H362" s="462" t="n"/>
      <c r="I362" s="421" t="n"/>
      <c r="J362" s="421" t="n"/>
      <c r="K362" s="421">
        <f>IFERROR(IF(A362="","",N(AE362)+N(AF362)+N(AG362)+N(AH362)),0)</f>
        <v/>
      </c>
      <c r="L362" s="421">
        <f>IFERROR(IF(A362="","",N(J362)+N(K362)),0)</f>
        <v/>
      </c>
      <c r="M362" s="421" t="n"/>
      <c r="N362" s="421" t="n"/>
      <c r="O362" s="421" t="n"/>
      <c r="P362" s="421" t="n"/>
      <c r="Q362" s="421" t="n"/>
      <c r="R362" s="421" t="n"/>
      <c r="U362" s="476" t="n"/>
      <c r="V362" s="1006">
        <f>IFERROR(IF(OR(A362="",U362="",U362=0,J362=""),"",J362/U362),"")</f>
        <v/>
      </c>
      <c r="W362" s="1006">
        <f>IFERROR(IF(V362="","",V362*12),"")</f>
        <v/>
      </c>
      <c r="X362">
        <f>IF(AND(E362&lt;&gt;"",E362&lt;&gt;"Vacant",E362&lt;&gt;"Reserved",C362&lt;&gt;"",D362&lt;&gt;""),C362&amp;"|"&amp;D362,"")</f>
        <v/>
      </c>
      <c r="Y362">
        <f>IF(AND(C362&lt;&gt;"",D362&lt;&gt;""),C362&amp;"|"&amp;D362,"")</f>
        <v/>
      </c>
      <c r="AA362" s="421">
        <f>IFERROR(IF(OR(A362="",I362="",J362=""),"",I362-J362),"")</f>
        <v/>
      </c>
      <c r="AB362" s="479">
        <f>IFERROR(IF(OR(AA362="",I362=0,I362=""),"",AA362/I362),"")</f>
        <v/>
      </c>
      <c r="AC362" s="421" t="n"/>
      <c r="AD362" s="462" t="n"/>
      <c r="AE362" s="421" t="n"/>
      <c r="AF362" s="421" t="n"/>
      <c r="AG362" s="421" t="n"/>
      <c r="AH362" s="421" t="n"/>
      <c r="AI362" s="421" t="n"/>
      <c r="AJ362" s="421" t="n"/>
      <c r="AK362" s="421" t="n"/>
      <c r="AL362" s="421" t="n"/>
      <c r="AM362" s="421" t="n"/>
      <c r="AN362" s="421" t="n"/>
      <c r="AO362" s="483" t="n"/>
      <c r="AP362" s="1007">
        <f>SUM(AJ362:AN362)</f>
        <v/>
      </c>
      <c r="AQ362" s="485" t="n"/>
      <c r="AS362" s="1006" t="n"/>
      <c r="AT362">
        <f t="array" ref="AT362">IF(E362&lt;&gt;"Occupied","",_xlfn.IFS(AND(ISNUMBER(AC362),AC362&lt;&gt;0),"Structured",ISNUMBER(SEARCH("/mo con",T362)),"Notes-parsed",ISNUMBER(SEARCH("step",T362)),"Step-up",ISNUMBER(SEARCH("swap",T362)),"Rate-swap",AND(ISNUMBER(I362),ISNUMBER(J362),I362&gt;J362),"Implied",TRUE,""))</f>
        <v/>
      </c>
      <c r="AU362" s="421" t="n"/>
    </row>
    <row r="363" outlineLevel="1" s="923">
      <c r="G363" s="462" t="n"/>
      <c r="H363" s="462" t="n"/>
      <c r="I363" s="421" t="n"/>
      <c r="J363" s="421" t="n"/>
      <c r="K363" s="421">
        <f>IFERROR(IF(A363="","",N(AE363)+N(AF363)+N(AG363)+N(AH363)),0)</f>
        <v/>
      </c>
      <c r="L363" s="421">
        <f>IFERROR(IF(A363="","",N(J363)+N(K363)),0)</f>
        <v/>
      </c>
      <c r="M363" s="421" t="n"/>
      <c r="N363" s="421" t="n"/>
      <c r="O363" s="421" t="n"/>
      <c r="P363" s="421" t="n"/>
      <c r="Q363" s="421" t="n"/>
      <c r="R363" s="421" t="n"/>
      <c r="U363" s="476" t="n"/>
      <c r="V363" s="1006">
        <f>IFERROR(IF(OR(A363="",U363="",U363=0,J363=""),"",J363/U363),"")</f>
        <v/>
      </c>
      <c r="W363" s="1006">
        <f>IFERROR(IF(V363="","",V363*12),"")</f>
        <v/>
      </c>
      <c r="X363">
        <f>IF(AND(E363&lt;&gt;"",E363&lt;&gt;"Vacant",E363&lt;&gt;"Reserved",C363&lt;&gt;"",D363&lt;&gt;""),C363&amp;"|"&amp;D363,"")</f>
        <v/>
      </c>
      <c r="Y363">
        <f>IF(AND(C363&lt;&gt;"",D363&lt;&gt;""),C363&amp;"|"&amp;D363,"")</f>
        <v/>
      </c>
      <c r="AA363" s="421">
        <f>IFERROR(IF(OR(A363="",I363="",J363=""),"",I363-J363),"")</f>
        <v/>
      </c>
      <c r="AB363" s="479">
        <f>IFERROR(IF(OR(AA363="",I363=0,I363=""),"",AA363/I363),"")</f>
        <v/>
      </c>
      <c r="AC363" s="421" t="n"/>
      <c r="AD363" s="462" t="n"/>
      <c r="AE363" s="421" t="n"/>
      <c r="AF363" s="421" t="n"/>
      <c r="AG363" s="421" t="n"/>
      <c r="AH363" s="421" t="n"/>
      <c r="AI363" s="421" t="n"/>
      <c r="AJ363" s="421" t="n"/>
      <c r="AK363" s="421" t="n"/>
      <c r="AL363" s="421" t="n"/>
      <c r="AM363" s="421" t="n"/>
      <c r="AN363" s="421" t="n"/>
      <c r="AO363" s="483" t="n"/>
      <c r="AP363" s="1007">
        <f>SUM(AJ363:AN363)</f>
        <v/>
      </c>
      <c r="AQ363" s="485" t="n"/>
      <c r="AS363" s="1006" t="n"/>
      <c r="AT363">
        <f t="array" ref="AT363">IF(E363&lt;&gt;"Occupied","",_xlfn.IFS(AND(ISNUMBER(AC363),AC363&lt;&gt;0),"Structured",ISNUMBER(SEARCH("/mo con",T363)),"Notes-parsed",ISNUMBER(SEARCH("step",T363)),"Step-up",ISNUMBER(SEARCH("swap",T363)),"Rate-swap",AND(ISNUMBER(I363),ISNUMBER(J363),I363&gt;J363),"Implied",TRUE,""))</f>
        <v/>
      </c>
      <c r="AU363" s="421" t="n"/>
    </row>
    <row r="364" outlineLevel="1" s="923">
      <c r="G364" s="462" t="n"/>
      <c r="H364" s="462" t="n"/>
      <c r="I364" s="421" t="n"/>
      <c r="J364" s="421" t="n"/>
      <c r="K364" s="421">
        <f>IFERROR(IF(A364="","",N(AE364)+N(AF364)+N(AG364)+N(AH364)),0)</f>
        <v/>
      </c>
      <c r="L364" s="421">
        <f>IFERROR(IF(A364="","",N(J364)+N(K364)),0)</f>
        <v/>
      </c>
      <c r="M364" s="421" t="n"/>
      <c r="N364" s="421" t="n"/>
      <c r="O364" s="421" t="n"/>
      <c r="P364" s="421" t="n"/>
      <c r="Q364" s="421" t="n"/>
      <c r="R364" s="421" t="n"/>
      <c r="U364" s="476" t="n"/>
      <c r="V364" s="1006">
        <f>IFERROR(IF(OR(A364="",U364="",U364=0,J364=""),"",J364/U364),"")</f>
        <v/>
      </c>
      <c r="W364" s="1006">
        <f>IFERROR(IF(V364="","",V364*12),"")</f>
        <v/>
      </c>
      <c r="X364">
        <f>IF(AND(E364&lt;&gt;"",E364&lt;&gt;"Vacant",E364&lt;&gt;"Reserved",C364&lt;&gt;"",D364&lt;&gt;""),C364&amp;"|"&amp;D364,"")</f>
        <v/>
      </c>
      <c r="Y364">
        <f>IF(AND(C364&lt;&gt;"",D364&lt;&gt;""),C364&amp;"|"&amp;D364,"")</f>
        <v/>
      </c>
      <c r="AA364" s="421">
        <f>IFERROR(IF(OR(A364="",I364="",J364=""),"",I364-J364),"")</f>
        <v/>
      </c>
      <c r="AB364" s="479">
        <f>IFERROR(IF(OR(AA364="",I364=0,I364=""),"",AA364/I364),"")</f>
        <v/>
      </c>
      <c r="AC364" s="421" t="n"/>
      <c r="AD364" s="462" t="n"/>
      <c r="AE364" s="421" t="n"/>
      <c r="AF364" s="421" t="n"/>
      <c r="AG364" s="421" t="n"/>
      <c r="AH364" s="421" t="n"/>
      <c r="AI364" s="421" t="n"/>
      <c r="AJ364" s="421" t="n"/>
      <c r="AK364" s="421" t="n"/>
      <c r="AL364" s="421" t="n"/>
      <c r="AM364" s="421" t="n"/>
      <c r="AN364" s="421" t="n"/>
      <c r="AO364" s="483" t="n"/>
      <c r="AP364" s="1007">
        <f>SUM(AJ364:AN364)</f>
        <v/>
      </c>
      <c r="AQ364" s="485" t="n"/>
      <c r="AS364" s="1006" t="n"/>
      <c r="AT364">
        <f t="array" ref="AT364">IF(E364&lt;&gt;"Occupied","",_xlfn.IFS(AND(ISNUMBER(AC364),AC364&lt;&gt;0),"Structured",ISNUMBER(SEARCH("/mo con",T364)),"Notes-parsed",ISNUMBER(SEARCH("step",T364)),"Step-up",ISNUMBER(SEARCH("swap",T364)),"Rate-swap",AND(ISNUMBER(I364),ISNUMBER(J364),I364&gt;J364),"Implied",TRUE,""))</f>
        <v/>
      </c>
      <c r="AU364" s="421" t="n"/>
    </row>
    <row r="365" outlineLevel="1" s="923">
      <c r="G365" s="462" t="n"/>
      <c r="H365" s="462" t="n"/>
      <c r="I365" s="421" t="n"/>
      <c r="J365" s="421" t="n"/>
      <c r="K365" s="421">
        <f>IFERROR(IF(A365="","",N(AE365)+N(AF365)+N(AG365)+N(AH365)),0)</f>
        <v/>
      </c>
      <c r="L365" s="421">
        <f>IFERROR(IF(A365="","",N(J365)+N(K365)),0)</f>
        <v/>
      </c>
      <c r="M365" s="421" t="n"/>
      <c r="N365" s="421" t="n"/>
      <c r="O365" s="421" t="n"/>
      <c r="P365" s="421" t="n"/>
      <c r="Q365" s="421" t="n"/>
      <c r="R365" s="421" t="n"/>
      <c r="U365" s="476" t="n"/>
      <c r="V365" s="1006">
        <f>IFERROR(IF(OR(A365="",U365="",U365=0,J365=""),"",J365/U365),"")</f>
        <v/>
      </c>
      <c r="W365" s="1006">
        <f>IFERROR(IF(V365="","",V365*12),"")</f>
        <v/>
      </c>
      <c r="X365">
        <f>IF(AND(E365&lt;&gt;"",E365&lt;&gt;"Vacant",E365&lt;&gt;"Reserved",C365&lt;&gt;"",D365&lt;&gt;""),C365&amp;"|"&amp;D365,"")</f>
        <v/>
      </c>
      <c r="Y365">
        <f>IF(AND(C365&lt;&gt;"",D365&lt;&gt;""),C365&amp;"|"&amp;D365,"")</f>
        <v/>
      </c>
      <c r="AA365" s="421">
        <f>IFERROR(IF(OR(A365="",I365="",J365=""),"",I365-J365),"")</f>
        <v/>
      </c>
      <c r="AB365" s="479">
        <f>IFERROR(IF(OR(AA365="",I365=0,I365=""),"",AA365/I365),"")</f>
        <v/>
      </c>
      <c r="AC365" s="421" t="n"/>
      <c r="AD365" s="462" t="n"/>
      <c r="AE365" s="421" t="n"/>
      <c r="AF365" s="421" t="n"/>
      <c r="AG365" s="421" t="n"/>
      <c r="AH365" s="421" t="n"/>
      <c r="AI365" s="421" t="n"/>
      <c r="AJ365" s="421" t="n"/>
      <c r="AK365" s="421" t="n"/>
      <c r="AL365" s="421" t="n"/>
      <c r="AM365" s="421" t="n"/>
      <c r="AN365" s="421" t="n"/>
      <c r="AO365" s="483" t="n"/>
      <c r="AP365" s="1007">
        <f>SUM(AJ365:AN365)</f>
        <v/>
      </c>
      <c r="AQ365" s="485" t="n"/>
      <c r="AS365" s="1006" t="n"/>
      <c r="AT365">
        <f t="array" ref="AT365">IF(E365&lt;&gt;"Occupied","",_xlfn.IFS(AND(ISNUMBER(AC365),AC365&lt;&gt;0),"Structured",ISNUMBER(SEARCH("/mo con",T365)),"Notes-parsed",ISNUMBER(SEARCH("step",T365)),"Step-up",ISNUMBER(SEARCH("swap",T365)),"Rate-swap",AND(ISNUMBER(I365),ISNUMBER(J365),I365&gt;J365),"Implied",TRUE,""))</f>
        <v/>
      </c>
      <c r="AU365" s="421" t="n"/>
    </row>
    <row r="366" outlineLevel="1" s="923">
      <c r="G366" s="462" t="n"/>
      <c r="H366" s="462" t="n"/>
      <c r="I366" s="421" t="n"/>
      <c r="J366" s="421" t="n"/>
      <c r="K366" s="421">
        <f>IFERROR(IF(A366="","",N(AE366)+N(AF366)+N(AG366)+N(AH366)),0)</f>
        <v/>
      </c>
      <c r="L366" s="421">
        <f>IFERROR(IF(A366="","",N(J366)+N(K366)),0)</f>
        <v/>
      </c>
      <c r="M366" s="421" t="n"/>
      <c r="N366" s="421" t="n"/>
      <c r="O366" s="421" t="n"/>
      <c r="P366" s="421" t="n"/>
      <c r="Q366" s="421" t="n"/>
      <c r="R366" s="421" t="n"/>
      <c r="U366" s="476" t="n"/>
      <c r="V366" s="1006">
        <f>IFERROR(IF(OR(A366="",U366="",U366=0,J366=""),"",J366/U366),"")</f>
        <v/>
      </c>
      <c r="W366" s="1006">
        <f>IFERROR(IF(V366="","",V366*12),"")</f>
        <v/>
      </c>
      <c r="X366">
        <f>IF(AND(E366&lt;&gt;"",E366&lt;&gt;"Vacant",E366&lt;&gt;"Reserved",C366&lt;&gt;"",D366&lt;&gt;""),C366&amp;"|"&amp;D366,"")</f>
        <v/>
      </c>
      <c r="Y366">
        <f>IF(AND(C366&lt;&gt;"",D366&lt;&gt;""),C366&amp;"|"&amp;D366,"")</f>
        <v/>
      </c>
      <c r="AA366" s="421">
        <f>IFERROR(IF(OR(A366="",I366="",J366=""),"",I366-J366),"")</f>
        <v/>
      </c>
      <c r="AB366" s="479">
        <f>IFERROR(IF(OR(AA366="",I366=0,I366=""),"",AA366/I366),"")</f>
        <v/>
      </c>
      <c r="AC366" s="421" t="n"/>
      <c r="AD366" s="462" t="n"/>
      <c r="AE366" s="421" t="n"/>
      <c r="AF366" s="421" t="n"/>
      <c r="AG366" s="421" t="n"/>
      <c r="AH366" s="421" t="n"/>
      <c r="AI366" s="421" t="n"/>
      <c r="AJ366" s="421" t="n"/>
      <c r="AK366" s="421" t="n"/>
      <c r="AL366" s="421" t="n"/>
      <c r="AM366" s="421" t="n"/>
      <c r="AN366" s="421" t="n"/>
      <c r="AO366" s="483" t="n"/>
      <c r="AP366" s="1007">
        <f>SUM(AJ366:AN366)</f>
        <v/>
      </c>
      <c r="AQ366" s="485" t="n"/>
      <c r="AS366" s="1006" t="n"/>
      <c r="AT366">
        <f t="array" ref="AT366">IF(E366&lt;&gt;"Occupied","",_xlfn.IFS(AND(ISNUMBER(AC366),AC366&lt;&gt;0),"Structured",ISNUMBER(SEARCH("/mo con",T366)),"Notes-parsed",ISNUMBER(SEARCH("step",T366)),"Step-up",ISNUMBER(SEARCH("swap",T366)),"Rate-swap",AND(ISNUMBER(I366),ISNUMBER(J366),I366&gt;J366),"Implied",TRUE,""))</f>
        <v/>
      </c>
      <c r="AU366" s="421" t="n"/>
    </row>
    <row r="367" outlineLevel="1" s="923">
      <c r="G367" s="462" t="n"/>
      <c r="H367" s="462" t="n"/>
      <c r="I367" s="421" t="n"/>
      <c r="J367" s="421" t="n"/>
      <c r="K367" s="421">
        <f>IFERROR(IF(A367="","",N(AE367)+N(AF367)+N(AG367)+N(AH367)),0)</f>
        <v/>
      </c>
      <c r="L367" s="421">
        <f>IFERROR(IF(A367="","",N(J367)+N(K367)),0)</f>
        <v/>
      </c>
      <c r="M367" s="421" t="n"/>
      <c r="N367" s="421" t="n"/>
      <c r="O367" s="421" t="n"/>
      <c r="P367" s="421" t="n"/>
      <c r="Q367" s="421" t="n"/>
      <c r="R367" s="421" t="n"/>
      <c r="U367" s="476" t="n"/>
      <c r="V367" s="1006">
        <f>IFERROR(IF(OR(A367="",U367="",U367=0,J367=""),"",J367/U367),"")</f>
        <v/>
      </c>
      <c r="W367" s="1006">
        <f>IFERROR(IF(V367="","",V367*12),"")</f>
        <v/>
      </c>
      <c r="X367">
        <f>IF(AND(E367&lt;&gt;"",E367&lt;&gt;"Vacant",E367&lt;&gt;"Reserved",C367&lt;&gt;"",D367&lt;&gt;""),C367&amp;"|"&amp;D367,"")</f>
        <v/>
      </c>
      <c r="Y367">
        <f>IF(AND(C367&lt;&gt;"",D367&lt;&gt;""),C367&amp;"|"&amp;D367,"")</f>
        <v/>
      </c>
      <c r="AA367" s="421">
        <f>IFERROR(IF(OR(A367="",I367="",J367=""),"",I367-J367),"")</f>
        <v/>
      </c>
      <c r="AB367" s="479">
        <f>IFERROR(IF(OR(AA367="",I367=0,I367=""),"",AA367/I367),"")</f>
        <v/>
      </c>
      <c r="AC367" s="421" t="n"/>
      <c r="AD367" s="462" t="n"/>
      <c r="AE367" s="421" t="n"/>
      <c r="AF367" s="421" t="n"/>
      <c r="AG367" s="421" t="n"/>
      <c r="AH367" s="421" t="n"/>
      <c r="AI367" s="421" t="n"/>
      <c r="AJ367" s="421" t="n"/>
      <c r="AK367" s="421" t="n"/>
      <c r="AL367" s="421" t="n"/>
      <c r="AM367" s="421" t="n"/>
      <c r="AN367" s="421" t="n"/>
      <c r="AO367" s="483" t="n"/>
      <c r="AP367" s="1007">
        <f>SUM(AJ367:AN367)</f>
        <v/>
      </c>
      <c r="AQ367" s="485" t="n"/>
      <c r="AS367" s="1006" t="n"/>
      <c r="AT367">
        <f t="array" ref="AT367">IF(E367&lt;&gt;"Occupied","",_xlfn.IFS(AND(ISNUMBER(AC367),AC367&lt;&gt;0),"Structured",ISNUMBER(SEARCH("/mo con",T367)),"Notes-parsed",ISNUMBER(SEARCH("step",T367)),"Step-up",ISNUMBER(SEARCH("swap",T367)),"Rate-swap",AND(ISNUMBER(I367),ISNUMBER(J367),I367&gt;J367),"Implied",TRUE,""))</f>
        <v/>
      </c>
      <c r="AU367" s="421" t="n"/>
    </row>
    <row r="368" outlineLevel="1" s="923">
      <c r="G368" s="462" t="n"/>
      <c r="H368" s="462" t="n"/>
      <c r="I368" s="421" t="n"/>
      <c r="J368" s="421" t="n"/>
      <c r="K368" s="421">
        <f>IFERROR(IF(A368="","",N(AE368)+N(AF368)+N(AG368)+N(AH368)),0)</f>
        <v/>
      </c>
      <c r="L368" s="421">
        <f>IFERROR(IF(A368="","",N(J368)+N(K368)),0)</f>
        <v/>
      </c>
      <c r="M368" s="421" t="n"/>
      <c r="N368" s="421" t="n"/>
      <c r="O368" s="421" t="n"/>
      <c r="P368" s="421" t="n"/>
      <c r="Q368" s="421" t="n"/>
      <c r="R368" s="421" t="n"/>
      <c r="U368" s="476" t="n"/>
      <c r="V368" s="1006">
        <f>IFERROR(IF(OR(A368="",U368="",U368=0,J368=""),"",J368/U368),"")</f>
        <v/>
      </c>
      <c r="W368" s="1006">
        <f>IFERROR(IF(V368="","",V368*12),"")</f>
        <v/>
      </c>
      <c r="X368">
        <f>IF(AND(E368&lt;&gt;"",E368&lt;&gt;"Vacant",E368&lt;&gt;"Reserved",C368&lt;&gt;"",D368&lt;&gt;""),C368&amp;"|"&amp;D368,"")</f>
        <v/>
      </c>
      <c r="Y368">
        <f>IF(AND(C368&lt;&gt;"",D368&lt;&gt;""),C368&amp;"|"&amp;D368,"")</f>
        <v/>
      </c>
      <c r="AA368" s="421">
        <f>IFERROR(IF(OR(A368="",I368="",J368=""),"",I368-J368),"")</f>
        <v/>
      </c>
      <c r="AB368" s="479">
        <f>IFERROR(IF(OR(AA368="",I368=0,I368=""),"",AA368/I368),"")</f>
        <v/>
      </c>
      <c r="AC368" s="421" t="n"/>
      <c r="AD368" s="462" t="n"/>
      <c r="AE368" s="421" t="n"/>
      <c r="AF368" s="421" t="n"/>
      <c r="AG368" s="421" t="n"/>
      <c r="AH368" s="421" t="n"/>
      <c r="AI368" s="421" t="n"/>
      <c r="AJ368" s="421" t="n"/>
      <c r="AK368" s="421" t="n"/>
      <c r="AL368" s="421" t="n"/>
      <c r="AM368" s="421" t="n"/>
      <c r="AN368" s="421" t="n"/>
      <c r="AO368" s="483" t="n"/>
      <c r="AP368" s="1007">
        <f>SUM(AJ368:AN368)</f>
        <v/>
      </c>
      <c r="AQ368" s="485" t="n"/>
      <c r="AS368" s="1006" t="n"/>
      <c r="AT368">
        <f t="array" ref="AT368">IF(E368&lt;&gt;"Occupied","",_xlfn.IFS(AND(ISNUMBER(AC368),AC368&lt;&gt;0),"Structured",ISNUMBER(SEARCH("/mo con",T368)),"Notes-parsed",ISNUMBER(SEARCH("step",T368)),"Step-up",ISNUMBER(SEARCH("swap",T368)),"Rate-swap",AND(ISNUMBER(I368),ISNUMBER(J368),I368&gt;J368),"Implied",TRUE,""))</f>
        <v/>
      </c>
      <c r="AU368" s="421" t="n"/>
    </row>
    <row r="369" outlineLevel="1" s="923">
      <c r="G369" s="462" t="n"/>
      <c r="H369" s="462" t="n"/>
      <c r="I369" s="421" t="n"/>
      <c r="J369" s="421" t="n"/>
      <c r="K369" s="421">
        <f>IFERROR(IF(A369="","",N(AE369)+N(AF369)+N(AG369)+N(AH369)),0)</f>
        <v/>
      </c>
      <c r="L369" s="421">
        <f>IFERROR(IF(A369="","",N(J369)+N(K369)),0)</f>
        <v/>
      </c>
      <c r="M369" s="421" t="n"/>
      <c r="N369" s="421" t="n"/>
      <c r="O369" s="421" t="n"/>
      <c r="P369" s="421" t="n"/>
      <c r="Q369" s="421" t="n"/>
      <c r="R369" s="421" t="n"/>
      <c r="U369" s="476" t="n"/>
      <c r="V369" s="1006">
        <f>IFERROR(IF(OR(A369="",U369="",U369=0,J369=""),"",J369/U369),"")</f>
        <v/>
      </c>
      <c r="W369" s="1006">
        <f>IFERROR(IF(V369="","",V369*12),"")</f>
        <v/>
      </c>
      <c r="X369">
        <f>IF(AND(E369&lt;&gt;"",E369&lt;&gt;"Vacant",E369&lt;&gt;"Reserved",C369&lt;&gt;"",D369&lt;&gt;""),C369&amp;"|"&amp;D369,"")</f>
        <v/>
      </c>
      <c r="Y369">
        <f>IF(AND(C369&lt;&gt;"",D369&lt;&gt;""),C369&amp;"|"&amp;D369,"")</f>
        <v/>
      </c>
      <c r="AA369" s="421">
        <f>IFERROR(IF(OR(A369="",I369="",J369=""),"",I369-J369),"")</f>
        <v/>
      </c>
      <c r="AB369" s="479">
        <f>IFERROR(IF(OR(AA369="",I369=0,I369=""),"",AA369/I369),"")</f>
        <v/>
      </c>
      <c r="AC369" s="421" t="n"/>
      <c r="AD369" s="462" t="n"/>
      <c r="AE369" s="421" t="n"/>
      <c r="AF369" s="421" t="n"/>
      <c r="AG369" s="421" t="n"/>
      <c r="AH369" s="421" t="n"/>
      <c r="AI369" s="421" t="n"/>
      <c r="AJ369" s="421" t="n"/>
      <c r="AK369" s="421" t="n"/>
      <c r="AL369" s="421" t="n"/>
      <c r="AM369" s="421" t="n"/>
      <c r="AN369" s="421" t="n"/>
      <c r="AO369" s="483" t="n"/>
      <c r="AP369" s="1007">
        <f>SUM(AJ369:AN369)</f>
        <v/>
      </c>
      <c r="AQ369" s="485" t="n"/>
      <c r="AS369" s="1006" t="n"/>
      <c r="AT369">
        <f t="array" ref="AT369">IF(E369&lt;&gt;"Occupied","",_xlfn.IFS(AND(ISNUMBER(AC369),AC369&lt;&gt;0),"Structured",ISNUMBER(SEARCH("/mo con",T369)),"Notes-parsed",ISNUMBER(SEARCH("step",T369)),"Step-up",ISNUMBER(SEARCH("swap",T369)),"Rate-swap",AND(ISNUMBER(I369),ISNUMBER(J369),I369&gt;J369),"Implied",TRUE,""))</f>
        <v/>
      </c>
      <c r="AU369" s="421" t="n"/>
    </row>
    <row r="370" outlineLevel="1" s="923">
      <c r="G370" s="462" t="n"/>
      <c r="H370" s="462" t="n"/>
      <c r="I370" s="421" t="n"/>
      <c r="J370" s="421" t="n"/>
      <c r="K370" s="421">
        <f>IFERROR(IF(A370="","",N(AE370)+N(AF370)+N(AG370)+N(AH370)),0)</f>
        <v/>
      </c>
      <c r="L370" s="421">
        <f>IFERROR(IF(A370="","",N(J370)+N(K370)),0)</f>
        <v/>
      </c>
      <c r="M370" s="421" t="n"/>
      <c r="N370" s="421" t="n"/>
      <c r="O370" s="421" t="n"/>
      <c r="P370" s="421" t="n"/>
      <c r="Q370" s="421" t="n"/>
      <c r="R370" s="421" t="n"/>
      <c r="U370" s="476" t="n"/>
      <c r="V370" s="1006">
        <f>IFERROR(IF(OR(A370="",U370="",U370=0,J370=""),"",J370/U370),"")</f>
        <v/>
      </c>
      <c r="W370" s="1006">
        <f>IFERROR(IF(V370="","",V370*12),"")</f>
        <v/>
      </c>
      <c r="X370">
        <f>IF(AND(E370&lt;&gt;"",E370&lt;&gt;"Vacant",E370&lt;&gt;"Reserved",C370&lt;&gt;"",D370&lt;&gt;""),C370&amp;"|"&amp;D370,"")</f>
        <v/>
      </c>
      <c r="Y370">
        <f>IF(AND(C370&lt;&gt;"",D370&lt;&gt;""),C370&amp;"|"&amp;D370,"")</f>
        <v/>
      </c>
      <c r="AA370" s="421">
        <f>IFERROR(IF(OR(A370="",I370="",J370=""),"",I370-J370),"")</f>
        <v/>
      </c>
      <c r="AB370" s="479">
        <f>IFERROR(IF(OR(AA370="",I370=0,I370=""),"",AA370/I370),"")</f>
        <v/>
      </c>
      <c r="AC370" s="421" t="n"/>
      <c r="AD370" s="462" t="n"/>
      <c r="AE370" s="421" t="n"/>
      <c r="AF370" s="421" t="n"/>
      <c r="AG370" s="421" t="n"/>
      <c r="AH370" s="421" t="n"/>
      <c r="AI370" s="421" t="n"/>
      <c r="AJ370" s="421" t="n"/>
      <c r="AK370" s="421" t="n"/>
      <c r="AL370" s="421" t="n"/>
      <c r="AM370" s="421" t="n"/>
      <c r="AN370" s="421" t="n"/>
      <c r="AO370" s="483" t="n"/>
      <c r="AP370" s="1007">
        <f>SUM(AJ370:AN370)</f>
        <v/>
      </c>
      <c r="AQ370" s="485" t="n"/>
      <c r="AS370" s="1006" t="n"/>
      <c r="AT370">
        <f t="array" ref="AT370">IF(E370&lt;&gt;"Occupied","",_xlfn.IFS(AND(ISNUMBER(AC370),AC370&lt;&gt;0),"Structured",ISNUMBER(SEARCH("/mo con",T370)),"Notes-parsed",ISNUMBER(SEARCH("step",T370)),"Step-up",ISNUMBER(SEARCH("swap",T370)),"Rate-swap",AND(ISNUMBER(I370),ISNUMBER(J370),I370&gt;J370),"Implied",TRUE,""))</f>
        <v/>
      </c>
      <c r="AU370" s="421" t="n"/>
    </row>
    <row r="371" outlineLevel="1" s="923">
      <c r="G371" s="462" t="n"/>
      <c r="H371" s="462" t="n"/>
      <c r="I371" s="421" t="n"/>
      <c r="J371" s="421" t="n"/>
      <c r="K371" s="421">
        <f>IFERROR(IF(A371="","",N(AE371)+N(AF371)+N(AG371)+N(AH371)),0)</f>
        <v/>
      </c>
      <c r="L371" s="421">
        <f>IFERROR(IF(A371="","",N(J371)+N(K371)),0)</f>
        <v/>
      </c>
      <c r="M371" s="421" t="n"/>
      <c r="N371" s="421" t="n"/>
      <c r="O371" s="421" t="n"/>
      <c r="P371" s="421" t="n"/>
      <c r="Q371" s="421" t="n"/>
      <c r="R371" s="421" t="n"/>
      <c r="U371" s="476" t="n"/>
      <c r="V371" s="1006">
        <f>IFERROR(IF(OR(A371="",U371="",U371=0,J371=""),"",J371/U371),"")</f>
        <v/>
      </c>
      <c r="W371" s="1006">
        <f>IFERROR(IF(V371="","",V371*12),"")</f>
        <v/>
      </c>
      <c r="X371">
        <f>IF(AND(E371&lt;&gt;"",E371&lt;&gt;"Vacant",E371&lt;&gt;"Reserved",C371&lt;&gt;"",D371&lt;&gt;""),C371&amp;"|"&amp;D371,"")</f>
        <v/>
      </c>
      <c r="Y371">
        <f>IF(AND(C371&lt;&gt;"",D371&lt;&gt;""),C371&amp;"|"&amp;D371,"")</f>
        <v/>
      </c>
      <c r="AA371" s="421">
        <f>IFERROR(IF(OR(A371="",I371="",J371=""),"",I371-J371),"")</f>
        <v/>
      </c>
      <c r="AB371" s="479">
        <f>IFERROR(IF(OR(AA371="",I371=0,I371=""),"",AA371/I371),"")</f>
        <v/>
      </c>
      <c r="AC371" s="421" t="n"/>
      <c r="AD371" s="462" t="n"/>
      <c r="AE371" s="421" t="n"/>
      <c r="AF371" s="421" t="n"/>
      <c r="AG371" s="421" t="n"/>
      <c r="AH371" s="421" t="n"/>
      <c r="AI371" s="421" t="n"/>
      <c r="AJ371" s="421" t="n"/>
      <c r="AK371" s="421" t="n"/>
      <c r="AL371" s="421" t="n"/>
      <c r="AM371" s="421" t="n"/>
      <c r="AN371" s="421" t="n"/>
      <c r="AO371" s="483" t="n"/>
      <c r="AP371" s="1007">
        <f>SUM(AJ371:AN371)</f>
        <v/>
      </c>
      <c r="AQ371" s="485" t="n"/>
      <c r="AS371" s="1006" t="n"/>
      <c r="AT371">
        <f t="array" ref="AT371">IF(E371&lt;&gt;"Occupied","",_xlfn.IFS(AND(ISNUMBER(AC371),AC371&lt;&gt;0),"Structured",ISNUMBER(SEARCH("/mo con",T371)),"Notes-parsed",ISNUMBER(SEARCH("step",T371)),"Step-up",ISNUMBER(SEARCH("swap",T371)),"Rate-swap",AND(ISNUMBER(I371),ISNUMBER(J371),I371&gt;J371),"Implied",TRUE,""))</f>
        <v/>
      </c>
      <c r="AU371" s="421" t="n"/>
    </row>
    <row r="372" outlineLevel="1" s="923">
      <c r="G372" s="462" t="n"/>
      <c r="H372" s="462" t="n"/>
      <c r="I372" s="421" t="n"/>
      <c r="J372" s="421" t="n"/>
      <c r="K372" s="421">
        <f>IFERROR(IF(A372="","",N(AE372)+N(AF372)+N(AG372)+N(AH372)),0)</f>
        <v/>
      </c>
      <c r="L372" s="421">
        <f>IFERROR(IF(A372="","",N(J372)+N(K372)),0)</f>
        <v/>
      </c>
      <c r="M372" s="421" t="n"/>
      <c r="N372" s="421" t="n"/>
      <c r="O372" s="421" t="n"/>
      <c r="P372" s="421" t="n"/>
      <c r="Q372" s="421" t="n"/>
      <c r="R372" s="421" t="n"/>
      <c r="U372" s="476" t="n"/>
      <c r="V372" s="1006">
        <f>IFERROR(IF(OR(A372="",U372="",U372=0,J372=""),"",J372/U372),"")</f>
        <v/>
      </c>
      <c r="W372" s="1006">
        <f>IFERROR(IF(V372="","",V372*12),"")</f>
        <v/>
      </c>
      <c r="X372">
        <f>IF(AND(E372&lt;&gt;"",E372&lt;&gt;"Vacant",E372&lt;&gt;"Reserved",C372&lt;&gt;"",D372&lt;&gt;""),C372&amp;"|"&amp;D372,"")</f>
        <v/>
      </c>
      <c r="Y372">
        <f>IF(AND(C372&lt;&gt;"",D372&lt;&gt;""),C372&amp;"|"&amp;D372,"")</f>
        <v/>
      </c>
      <c r="AA372" s="421">
        <f>IFERROR(IF(OR(A372="",I372="",J372=""),"",I372-J372),"")</f>
        <v/>
      </c>
      <c r="AB372" s="479">
        <f>IFERROR(IF(OR(AA372="",I372=0,I372=""),"",AA372/I372),"")</f>
        <v/>
      </c>
      <c r="AC372" s="421" t="n"/>
      <c r="AD372" s="462" t="n"/>
      <c r="AE372" s="421" t="n"/>
      <c r="AF372" s="421" t="n"/>
      <c r="AG372" s="421" t="n"/>
      <c r="AH372" s="421" t="n"/>
      <c r="AI372" s="421" t="n"/>
      <c r="AJ372" s="421" t="n"/>
      <c r="AK372" s="421" t="n"/>
      <c r="AL372" s="421" t="n"/>
      <c r="AM372" s="421" t="n"/>
      <c r="AN372" s="421" t="n"/>
      <c r="AO372" s="483" t="n"/>
      <c r="AP372" s="1007">
        <f>SUM(AJ372:AN372)</f>
        <v/>
      </c>
      <c r="AQ372" s="485" t="n"/>
      <c r="AS372" s="1006" t="n"/>
      <c r="AT372">
        <f t="array" ref="AT372">IF(E372&lt;&gt;"Occupied","",_xlfn.IFS(AND(ISNUMBER(AC372),AC372&lt;&gt;0),"Structured",ISNUMBER(SEARCH("/mo con",T372)),"Notes-parsed",ISNUMBER(SEARCH("step",T372)),"Step-up",ISNUMBER(SEARCH("swap",T372)),"Rate-swap",AND(ISNUMBER(I372),ISNUMBER(J372),I372&gt;J372),"Implied",TRUE,""))</f>
        <v/>
      </c>
      <c r="AU372" s="421" t="n"/>
    </row>
    <row r="373" outlineLevel="1" s="923">
      <c r="G373" s="462" t="n"/>
      <c r="H373" s="462" t="n"/>
      <c r="I373" s="421" t="n"/>
      <c r="J373" s="421" t="n"/>
      <c r="K373" s="421">
        <f>IFERROR(IF(A373="","",N(AE373)+N(AF373)+N(AG373)+N(AH373)),0)</f>
        <v/>
      </c>
      <c r="L373" s="421">
        <f>IFERROR(IF(A373="","",N(J373)+N(K373)),0)</f>
        <v/>
      </c>
      <c r="M373" s="421" t="n"/>
      <c r="N373" s="421" t="n"/>
      <c r="O373" s="421" t="n"/>
      <c r="P373" s="421" t="n"/>
      <c r="Q373" s="421" t="n"/>
      <c r="R373" s="421" t="n"/>
      <c r="U373" s="476" t="n"/>
      <c r="V373" s="1006">
        <f>IFERROR(IF(OR(A373="",U373="",U373=0,J373=""),"",J373/U373),"")</f>
        <v/>
      </c>
      <c r="W373" s="1006">
        <f>IFERROR(IF(V373="","",V373*12),"")</f>
        <v/>
      </c>
      <c r="X373">
        <f>IF(AND(E373&lt;&gt;"",E373&lt;&gt;"Vacant",E373&lt;&gt;"Reserved",C373&lt;&gt;"",D373&lt;&gt;""),C373&amp;"|"&amp;D373,"")</f>
        <v/>
      </c>
      <c r="Y373">
        <f>IF(AND(C373&lt;&gt;"",D373&lt;&gt;""),C373&amp;"|"&amp;D373,"")</f>
        <v/>
      </c>
      <c r="AA373" s="421">
        <f>IFERROR(IF(OR(A373="",I373="",J373=""),"",I373-J373),"")</f>
        <v/>
      </c>
      <c r="AB373" s="479">
        <f>IFERROR(IF(OR(AA373="",I373=0,I373=""),"",AA373/I373),"")</f>
        <v/>
      </c>
      <c r="AC373" s="421" t="n"/>
      <c r="AD373" s="462" t="n"/>
      <c r="AE373" s="421" t="n"/>
      <c r="AF373" s="421" t="n"/>
      <c r="AG373" s="421" t="n"/>
      <c r="AH373" s="421" t="n"/>
      <c r="AI373" s="421" t="n"/>
      <c r="AJ373" s="421" t="n"/>
      <c r="AK373" s="421" t="n"/>
      <c r="AL373" s="421" t="n"/>
      <c r="AM373" s="421" t="n"/>
      <c r="AN373" s="421" t="n"/>
      <c r="AO373" s="483" t="n"/>
      <c r="AP373" s="1007">
        <f>SUM(AJ373:AN373)</f>
        <v/>
      </c>
      <c r="AQ373" s="485" t="n"/>
      <c r="AS373" s="1006" t="n"/>
      <c r="AT373">
        <f t="array" ref="AT373">IF(E373&lt;&gt;"Occupied","",_xlfn.IFS(AND(ISNUMBER(AC373),AC373&lt;&gt;0),"Structured",ISNUMBER(SEARCH("/mo con",T373)),"Notes-parsed",ISNUMBER(SEARCH("step",T373)),"Step-up",ISNUMBER(SEARCH("swap",T373)),"Rate-swap",AND(ISNUMBER(I373),ISNUMBER(J373),I373&gt;J373),"Implied",TRUE,""))</f>
        <v/>
      </c>
      <c r="AU373" s="421" t="n"/>
    </row>
    <row r="374" outlineLevel="1" s="923">
      <c r="G374" s="462" t="n"/>
      <c r="H374" s="462" t="n"/>
      <c r="I374" s="421" t="n"/>
      <c r="J374" s="421" t="n"/>
      <c r="K374" s="421">
        <f>IFERROR(IF(A374="","",N(AE374)+N(AF374)+N(AG374)+N(AH374)),0)</f>
        <v/>
      </c>
      <c r="L374" s="421">
        <f>IFERROR(IF(A374="","",N(J374)+N(K374)),0)</f>
        <v/>
      </c>
      <c r="M374" s="421" t="n"/>
      <c r="N374" s="421" t="n"/>
      <c r="O374" s="421" t="n"/>
      <c r="P374" s="421" t="n"/>
      <c r="Q374" s="421" t="n"/>
      <c r="R374" s="421" t="n"/>
      <c r="U374" s="476" t="n"/>
      <c r="V374" s="1006">
        <f>IFERROR(IF(OR(A374="",U374="",U374=0,J374=""),"",J374/U374),"")</f>
        <v/>
      </c>
      <c r="W374" s="1006">
        <f>IFERROR(IF(V374="","",V374*12),"")</f>
        <v/>
      </c>
      <c r="X374">
        <f>IF(AND(E374&lt;&gt;"",E374&lt;&gt;"Vacant",E374&lt;&gt;"Reserved",C374&lt;&gt;"",D374&lt;&gt;""),C374&amp;"|"&amp;D374,"")</f>
        <v/>
      </c>
      <c r="Y374">
        <f>IF(AND(C374&lt;&gt;"",D374&lt;&gt;""),C374&amp;"|"&amp;D374,"")</f>
        <v/>
      </c>
      <c r="AA374" s="421">
        <f>IFERROR(IF(OR(A374="",I374="",J374=""),"",I374-J374),"")</f>
        <v/>
      </c>
      <c r="AB374" s="479">
        <f>IFERROR(IF(OR(AA374="",I374=0,I374=""),"",AA374/I374),"")</f>
        <v/>
      </c>
      <c r="AC374" s="421" t="n"/>
      <c r="AD374" s="462" t="n"/>
      <c r="AE374" s="421" t="n"/>
      <c r="AF374" s="421" t="n"/>
      <c r="AG374" s="421" t="n"/>
      <c r="AH374" s="421" t="n"/>
      <c r="AI374" s="421" t="n"/>
      <c r="AJ374" s="421" t="n"/>
      <c r="AK374" s="421" t="n"/>
      <c r="AL374" s="421" t="n"/>
      <c r="AM374" s="421" t="n"/>
      <c r="AN374" s="421" t="n"/>
      <c r="AO374" s="483" t="n"/>
      <c r="AP374" s="1007">
        <f>SUM(AJ374:AN374)</f>
        <v/>
      </c>
      <c r="AQ374" s="485" t="n"/>
      <c r="AS374" s="1006" t="n"/>
      <c r="AT374">
        <f t="array" ref="AT374">IF(E374&lt;&gt;"Occupied","",_xlfn.IFS(AND(ISNUMBER(AC374),AC374&lt;&gt;0),"Structured",ISNUMBER(SEARCH("/mo con",T374)),"Notes-parsed",ISNUMBER(SEARCH("step",T374)),"Step-up",ISNUMBER(SEARCH("swap",T374)),"Rate-swap",AND(ISNUMBER(I374),ISNUMBER(J374),I374&gt;J374),"Implied",TRUE,""))</f>
        <v/>
      </c>
      <c r="AU374" s="421" t="n"/>
    </row>
    <row r="375" outlineLevel="1" s="923">
      <c r="G375" s="462" t="n"/>
      <c r="H375" s="462" t="n"/>
      <c r="I375" s="421" t="n"/>
      <c r="J375" s="421" t="n"/>
      <c r="K375" s="421">
        <f>IFERROR(IF(A375="","",N(AE375)+N(AF375)+N(AG375)+N(AH375)),0)</f>
        <v/>
      </c>
      <c r="L375" s="421">
        <f>IFERROR(IF(A375="","",N(J375)+N(K375)),0)</f>
        <v/>
      </c>
      <c r="M375" s="421" t="n"/>
      <c r="N375" s="421" t="n"/>
      <c r="O375" s="421" t="n"/>
      <c r="P375" s="421" t="n"/>
      <c r="Q375" s="421" t="n"/>
      <c r="R375" s="421" t="n"/>
      <c r="U375" s="476" t="n"/>
      <c r="V375" s="1006">
        <f>IFERROR(IF(OR(A375="",U375="",U375=0,J375=""),"",J375/U375),"")</f>
        <v/>
      </c>
      <c r="W375" s="1006">
        <f>IFERROR(IF(V375="","",V375*12),"")</f>
        <v/>
      </c>
      <c r="X375">
        <f>IF(AND(E375&lt;&gt;"",E375&lt;&gt;"Vacant",E375&lt;&gt;"Reserved",C375&lt;&gt;"",D375&lt;&gt;""),C375&amp;"|"&amp;D375,"")</f>
        <v/>
      </c>
      <c r="Y375">
        <f>IF(AND(C375&lt;&gt;"",D375&lt;&gt;""),C375&amp;"|"&amp;D375,"")</f>
        <v/>
      </c>
      <c r="AA375" s="421">
        <f>IFERROR(IF(OR(A375="",I375="",J375=""),"",I375-J375),"")</f>
        <v/>
      </c>
      <c r="AB375" s="479">
        <f>IFERROR(IF(OR(AA375="",I375=0,I375=""),"",AA375/I375),"")</f>
        <v/>
      </c>
      <c r="AC375" s="421" t="n"/>
      <c r="AD375" s="462" t="n"/>
      <c r="AE375" s="421" t="n"/>
      <c r="AF375" s="421" t="n"/>
      <c r="AG375" s="421" t="n"/>
      <c r="AH375" s="421" t="n"/>
      <c r="AI375" s="421" t="n"/>
      <c r="AJ375" s="421" t="n"/>
      <c r="AK375" s="421" t="n"/>
      <c r="AL375" s="421" t="n"/>
      <c r="AM375" s="421" t="n"/>
      <c r="AN375" s="421" t="n"/>
      <c r="AO375" s="483" t="n"/>
      <c r="AP375" s="1007">
        <f>SUM(AJ375:AN375)</f>
        <v/>
      </c>
      <c r="AQ375" s="485" t="n"/>
      <c r="AS375" s="1006" t="n"/>
      <c r="AT375">
        <f t="array" ref="AT375">IF(E375&lt;&gt;"Occupied","",_xlfn.IFS(AND(ISNUMBER(AC375),AC375&lt;&gt;0),"Structured",ISNUMBER(SEARCH("/mo con",T375)),"Notes-parsed",ISNUMBER(SEARCH("step",T375)),"Step-up",ISNUMBER(SEARCH("swap",T375)),"Rate-swap",AND(ISNUMBER(I375),ISNUMBER(J375),I375&gt;J375),"Implied",TRUE,""))</f>
        <v/>
      </c>
      <c r="AU375" s="421" t="n"/>
    </row>
    <row r="376" outlineLevel="1" s="923">
      <c r="G376" s="462" t="n"/>
      <c r="H376" s="462" t="n"/>
      <c r="I376" s="421" t="n"/>
      <c r="J376" s="421" t="n"/>
      <c r="K376" s="421">
        <f>IFERROR(IF(A376="","",N(AE376)+N(AF376)+N(AG376)+N(AH376)),0)</f>
        <v/>
      </c>
      <c r="L376" s="421">
        <f>IFERROR(IF(A376="","",N(J376)+N(K376)),0)</f>
        <v/>
      </c>
      <c r="M376" s="421" t="n"/>
      <c r="N376" s="421" t="n"/>
      <c r="O376" s="421" t="n"/>
      <c r="P376" s="421" t="n"/>
      <c r="Q376" s="421" t="n"/>
      <c r="R376" s="421" t="n"/>
      <c r="U376" s="476" t="n"/>
      <c r="V376" s="1006">
        <f>IFERROR(IF(OR(A376="",U376="",U376=0,J376=""),"",J376/U376),"")</f>
        <v/>
      </c>
      <c r="W376" s="1006">
        <f>IFERROR(IF(V376="","",V376*12),"")</f>
        <v/>
      </c>
      <c r="X376">
        <f>IF(AND(E376&lt;&gt;"",E376&lt;&gt;"Vacant",E376&lt;&gt;"Reserved",C376&lt;&gt;"",D376&lt;&gt;""),C376&amp;"|"&amp;D376,"")</f>
        <v/>
      </c>
      <c r="Y376">
        <f>IF(AND(C376&lt;&gt;"",D376&lt;&gt;""),C376&amp;"|"&amp;D376,"")</f>
        <v/>
      </c>
      <c r="AA376" s="421">
        <f>IFERROR(IF(OR(A376="",I376="",J376=""),"",I376-J376),"")</f>
        <v/>
      </c>
      <c r="AB376" s="479">
        <f>IFERROR(IF(OR(AA376="",I376=0,I376=""),"",AA376/I376),"")</f>
        <v/>
      </c>
      <c r="AC376" s="421" t="n"/>
      <c r="AD376" s="462" t="n"/>
      <c r="AE376" s="421" t="n"/>
      <c r="AF376" s="421" t="n"/>
      <c r="AG376" s="421" t="n"/>
      <c r="AH376" s="421" t="n"/>
      <c r="AI376" s="421" t="n"/>
      <c r="AJ376" s="421" t="n"/>
      <c r="AK376" s="421" t="n"/>
      <c r="AL376" s="421" t="n"/>
      <c r="AM376" s="421" t="n"/>
      <c r="AN376" s="421" t="n"/>
      <c r="AO376" s="483" t="n"/>
      <c r="AP376" s="1007">
        <f>SUM(AJ376:AN376)</f>
        <v/>
      </c>
      <c r="AQ376" s="485" t="n"/>
      <c r="AS376" s="1006" t="n"/>
      <c r="AT376">
        <f t="array" ref="AT376">IF(E376&lt;&gt;"Occupied","",_xlfn.IFS(AND(ISNUMBER(AC376),AC376&lt;&gt;0),"Structured",ISNUMBER(SEARCH("/mo con",T376)),"Notes-parsed",ISNUMBER(SEARCH("step",T376)),"Step-up",ISNUMBER(SEARCH("swap",T376)),"Rate-swap",AND(ISNUMBER(I376),ISNUMBER(J376),I376&gt;J376),"Implied",TRUE,""))</f>
        <v/>
      </c>
      <c r="AU376" s="421" t="n"/>
    </row>
    <row r="377" outlineLevel="1" s="923">
      <c r="G377" s="462" t="n"/>
      <c r="H377" s="462" t="n"/>
      <c r="I377" s="421" t="n"/>
      <c r="J377" s="421" t="n"/>
      <c r="K377" s="421">
        <f>IFERROR(IF(A377="","",N(AE377)+N(AF377)+N(AG377)+N(AH377)),0)</f>
        <v/>
      </c>
      <c r="L377" s="421">
        <f>IFERROR(IF(A377="","",N(J377)+N(K377)),0)</f>
        <v/>
      </c>
      <c r="M377" s="421" t="n"/>
      <c r="N377" s="421" t="n"/>
      <c r="O377" s="421" t="n"/>
      <c r="P377" s="421" t="n"/>
      <c r="Q377" s="421" t="n"/>
      <c r="R377" s="421" t="n"/>
      <c r="U377" s="476" t="n"/>
      <c r="V377" s="1006">
        <f>IFERROR(IF(OR(A377="",U377="",U377=0,J377=""),"",J377/U377),"")</f>
        <v/>
      </c>
      <c r="W377" s="1006">
        <f>IFERROR(IF(V377="","",V377*12),"")</f>
        <v/>
      </c>
      <c r="X377">
        <f>IF(AND(E377&lt;&gt;"",E377&lt;&gt;"Vacant",E377&lt;&gt;"Reserved",C377&lt;&gt;"",D377&lt;&gt;""),C377&amp;"|"&amp;D377,"")</f>
        <v/>
      </c>
      <c r="Y377">
        <f>IF(AND(C377&lt;&gt;"",D377&lt;&gt;""),C377&amp;"|"&amp;D377,"")</f>
        <v/>
      </c>
      <c r="AA377" s="421">
        <f>IFERROR(IF(OR(A377="",I377="",J377=""),"",I377-J377),"")</f>
        <v/>
      </c>
      <c r="AB377" s="479">
        <f>IFERROR(IF(OR(AA377="",I377=0,I377=""),"",AA377/I377),"")</f>
        <v/>
      </c>
      <c r="AC377" s="421" t="n"/>
      <c r="AD377" s="462" t="n"/>
      <c r="AE377" s="421" t="n"/>
      <c r="AF377" s="421" t="n"/>
      <c r="AG377" s="421" t="n"/>
      <c r="AH377" s="421" t="n"/>
      <c r="AI377" s="421" t="n"/>
      <c r="AJ377" s="421" t="n"/>
      <c r="AK377" s="421" t="n"/>
      <c r="AL377" s="421" t="n"/>
      <c r="AM377" s="421" t="n"/>
      <c r="AN377" s="421" t="n"/>
      <c r="AO377" s="483" t="n"/>
      <c r="AP377" s="1007">
        <f>SUM(AJ377:AN377)</f>
        <v/>
      </c>
      <c r="AQ377" s="485" t="n"/>
      <c r="AS377" s="1006" t="n"/>
      <c r="AT377">
        <f t="array" ref="AT377">IF(E377&lt;&gt;"Occupied","",_xlfn.IFS(AND(ISNUMBER(AC377),AC377&lt;&gt;0),"Structured",ISNUMBER(SEARCH("/mo con",T377)),"Notes-parsed",ISNUMBER(SEARCH("step",T377)),"Step-up",ISNUMBER(SEARCH("swap",T377)),"Rate-swap",AND(ISNUMBER(I377),ISNUMBER(J377),I377&gt;J377),"Implied",TRUE,""))</f>
        <v/>
      </c>
      <c r="AU377" s="421" t="n"/>
    </row>
    <row r="378" outlineLevel="1" s="923">
      <c r="G378" s="462" t="n"/>
      <c r="H378" s="462" t="n"/>
      <c r="I378" s="421" t="n"/>
      <c r="J378" s="421" t="n"/>
      <c r="K378" s="421">
        <f>IFERROR(IF(A378="","",N(AE378)+N(AF378)+N(AG378)+N(AH378)),0)</f>
        <v/>
      </c>
      <c r="L378" s="421">
        <f>IFERROR(IF(A378="","",N(J378)+N(K378)),0)</f>
        <v/>
      </c>
      <c r="M378" s="421" t="n"/>
      <c r="N378" s="421" t="n"/>
      <c r="O378" s="421" t="n"/>
      <c r="P378" s="421" t="n"/>
      <c r="Q378" s="421" t="n"/>
      <c r="R378" s="421" t="n"/>
      <c r="U378" s="476" t="n"/>
      <c r="V378" s="1006">
        <f>IFERROR(IF(OR(A378="",U378="",U378=0,J378=""),"",J378/U378),"")</f>
        <v/>
      </c>
      <c r="W378" s="1006">
        <f>IFERROR(IF(V378="","",V378*12),"")</f>
        <v/>
      </c>
      <c r="X378">
        <f>IF(AND(E378&lt;&gt;"",E378&lt;&gt;"Vacant",E378&lt;&gt;"Reserved",C378&lt;&gt;"",D378&lt;&gt;""),C378&amp;"|"&amp;D378,"")</f>
        <v/>
      </c>
      <c r="Y378">
        <f>IF(AND(C378&lt;&gt;"",D378&lt;&gt;""),C378&amp;"|"&amp;D378,"")</f>
        <v/>
      </c>
      <c r="AA378" s="421">
        <f>IFERROR(IF(OR(A378="",I378="",J378=""),"",I378-J378),"")</f>
        <v/>
      </c>
      <c r="AB378" s="479">
        <f>IFERROR(IF(OR(AA378="",I378=0,I378=""),"",AA378/I378),"")</f>
        <v/>
      </c>
      <c r="AC378" s="421" t="n"/>
      <c r="AD378" s="462" t="n"/>
      <c r="AE378" s="421" t="n"/>
      <c r="AF378" s="421" t="n"/>
      <c r="AG378" s="421" t="n"/>
      <c r="AH378" s="421" t="n"/>
      <c r="AI378" s="421" t="n"/>
      <c r="AJ378" s="421" t="n"/>
      <c r="AK378" s="421" t="n"/>
      <c r="AL378" s="421" t="n"/>
      <c r="AM378" s="421" t="n"/>
      <c r="AN378" s="421" t="n"/>
      <c r="AO378" s="483" t="n"/>
      <c r="AP378" s="1007">
        <f>SUM(AJ378:AN378)</f>
        <v/>
      </c>
      <c r="AQ378" s="485" t="n"/>
      <c r="AS378" s="1006" t="n"/>
      <c r="AT378">
        <f t="array" ref="AT378">IF(E378&lt;&gt;"Occupied","",_xlfn.IFS(AND(ISNUMBER(AC378),AC378&lt;&gt;0),"Structured",ISNUMBER(SEARCH("/mo con",T378)),"Notes-parsed",ISNUMBER(SEARCH("step",T378)),"Step-up",ISNUMBER(SEARCH("swap",T378)),"Rate-swap",AND(ISNUMBER(I378),ISNUMBER(J378),I378&gt;J378),"Implied",TRUE,""))</f>
        <v/>
      </c>
      <c r="AU378" s="421" t="n"/>
    </row>
    <row r="379" outlineLevel="1" s="923">
      <c r="G379" s="462" t="n"/>
      <c r="H379" s="462" t="n"/>
      <c r="I379" s="421" t="n"/>
      <c r="J379" s="421" t="n"/>
      <c r="K379" s="421">
        <f>IFERROR(IF(A379="","",N(AE379)+N(AF379)+N(AG379)+N(AH379)),0)</f>
        <v/>
      </c>
      <c r="L379" s="421">
        <f>IFERROR(IF(A379="","",N(J379)+N(K379)),0)</f>
        <v/>
      </c>
      <c r="M379" s="421" t="n"/>
      <c r="N379" s="421" t="n"/>
      <c r="O379" s="421" t="n"/>
      <c r="P379" s="421" t="n"/>
      <c r="Q379" s="421" t="n"/>
      <c r="R379" s="421" t="n"/>
      <c r="U379" s="476" t="n"/>
      <c r="V379" s="1006">
        <f>IFERROR(IF(OR(A379="",U379="",U379=0,J379=""),"",J379/U379),"")</f>
        <v/>
      </c>
      <c r="W379" s="1006">
        <f>IFERROR(IF(V379="","",V379*12),"")</f>
        <v/>
      </c>
      <c r="X379">
        <f>IF(AND(E379&lt;&gt;"",E379&lt;&gt;"Vacant",E379&lt;&gt;"Reserved",C379&lt;&gt;"",D379&lt;&gt;""),C379&amp;"|"&amp;D379,"")</f>
        <v/>
      </c>
      <c r="Y379">
        <f>IF(AND(C379&lt;&gt;"",D379&lt;&gt;""),C379&amp;"|"&amp;D379,"")</f>
        <v/>
      </c>
      <c r="AA379" s="421">
        <f>IFERROR(IF(OR(A379="",I379="",J379=""),"",I379-J379),"")</f>
        <v/>
      </c>
      <c r="AB379" s="479">
        <f>IFERROR(IF(OR(AA379="",I379=0,I379=""),"",AA379/I379),"")</f>
        <v/>
      </c>
      <c r="AC379" s="421" t="n"/>
      <c r="AD379" s="462" t="n"/>
      <c r="AE379" s="421" t="n"/>
      <c r="AF379" s="421" t="n"/>
      <c r="AG379" s="421" t="n"/>
      <c r="AH379" s="421" t="n"/>
      <c r="AI379" s="421" t="n"/>
      <c r="AJ379" s="421" t="n"/>
      <c r="AK379" s="421" t="n"/>
      <c r="AL379" s="421" t="n"/>
      <c r="AM379" s="421" t="n"/>
      <c r="AN379" s="421" t="n"/>
      <c r="AO379" s="483" t="n"/>
      <c r="AP379" s="1007">
        <f>SUM(AJ379:AN379)</f>
        <v/>
      </c>
      <c r="AQ379" s="485" t="n"/>
      <c r="AS379" s="1006" t="n"/>
      <c r="AT379">
        <f t="array" ref="AT379">IF(E379&lt;&gt;"Occupied","",_xlfn.IFS(AND(ISNUMBER(AC379),AC379&lt;&gt;0),"Structured",ISNUMBER(SEARCH("/mo con",T379)),"Notes-parsed",ISNUMBER(SEARCH("step",T379)),"Step-up",ISNUMBER(SEARCH("swap",T379)),"Rate-swap",AND(ISNUMBER(I379),ISNUMBER(J379),I379&gt;J379),"Implied",TRUE,""))</f>
        <v/>
      </c>
      <c r="AU379" s="421" t="n"/>
    </row>
    <row r="380" outlineLevel="1" s="923">
      <c r="G380" s="462" t="n"/>
      <c r="H380" s="462" t="n"/>
      <c r="I380" s="421" t="n"/>
      <c r="J380" s="421" t="n"/>
      <c r="K380" s="421">
        <f>IFERROR(IF(A380="","",N(AE380)+N(AF380)+N(AG380)+N(AH380)),0)</f>
        <v/>
      </c>
      <c r="L380" s="421">
        <f>IFERROR(IF(A380="","",N(J380)+N(K380)),0)</f>
        <v/>
      </c>
      <c r="M380" s="421" t="n"/>
      <c r="N380" s="421" t="n"/>
      <c r="O380" s="421" t="n"/>
      <c r="P380" s="421" t="n"/>
      <c r="Q380" s="421" t="n"/>
      <c r="R380" s="421" t="n"/>
      <c r="U380" s="476" t="n"/>
      <c r="V380" s="1006">
        <f>IFERROR(IF(OR(A380="",U380="",U380=0,J380=""),"",J380/U380),"")</f>
        <v/>
      </c>
      <c r="W380" s="1006">
        <f>IFERROR(IF(V380="","",V380*12),"")</f>
        <v/>
      </c>
      <c r="X380">
        <f>IF(AND(E380&lt;&gt;"",E380&lt;&gt;"Vacant",E380&lt;&gt;"Reserved",C380&lt;&gt;"",D380&lt;&gt;""),C380&amp;"|"&amp;D380,"")</f>
        <v/>
      </c>
      <c r="Y380">
        <f>IF(AND(C380&lt;&gt;"",D380&lt;&gt;""),C380&amp;"|"&amp;D380,"")</f>
        <v/>
      </c>
      <c r="AA380" s="421">
        <f>IFERROR(IF(OR(A380="",I380="",J380=""),"",I380-J380),"")</f>
        <v/>
      </c>
      <c r="AB380" s="479">
        <f>IFERROR(IF(OR(AA380="",I380=0,I380=""),"",AA380/I380),"")</f>
        <v/>
      </c>
      <c r="AC380" s="421" t="n"/>
      <c r="AD380" s="462" t="n"/>
      <c r="AE380" s="421" t="n"/>
      <c r="AF380" s="421" t="n"/>
      <c r="AG380" s="421" t="n"/>
      <c r="AH380" s="421" t="n"/>
      <c r="AI380" s="421" t="n"/>
      <c r="AJ380" s="421" t="n"/>
      <c r="AK380" s="421" t="n"/>
      <c r="AL380" s="421" t="n"/>
      <c r="AM380" s="421" t="n"/>
      <c r="AN380" s="421" t="n"/>
      <c r="AO380" s="483" t="n"/>
      <c r="AP380" s="1007">
        <f>SUM(AJ380:AN380)</f>
        <v/>
      </c>
      <c r="AQ380" s="485" t="n"/>
      <c r="AS380" s="1006" t="n"/>
      <c r="AT380">
        <f t="array" ref="AT380">IF(E380&lt;&gt;"Occupied","",_xlfn.IFS(AND(ISNUMBER(AC380),AC380&lt;&gt;0),"Structured",ISNUMBER(SEARCH("/mo con",T380)),"Notes-parsed",ISNUMBER(SEARCH("step",T380)),"Step-up",ISNUMBER(SEARCH("swap",T380)),"Rate-swap",AND(ISNUMBER(I380),ISNUMBER(J380),I380&gt;J380),"Implied",TRUE,""))</f>
        <v/>
      </c>
      <c r="AU380" s="421" t="n"/>
    </row>
    <row r="381" outlineLevel="1" s="923">
      <c r="G381" s="462" t="n"/>
      <c r="H381" s="462" t="n"/>
      <c r="I381" s="421" t="n"/>
      <c r="J381" s="421" t="n"/>
      <c r="K381" s="421">
        <f>IFERROR(IF(A381="","",N(AE381)+N(AF381)+N(AG381)+N(AH381)),0)</f>
        <v/>
      </c>
      <c r="L381" s="421">
        <f>IFERROR(IF(A381="","",N(J381)+N(K381)),0)</f>
        <v/>
      </c>
      <c r="M381" s="421" t="n"/>
      <c r="N381" s="421" t="n"/>
      <c r="O381" s="421" t="n"/>
      <c r="P381" s="421" t="n"/>
      <c r="Q381" s="421" t="n"/>
      <c r="R381" s="421" t="n"/>
      <c r="U381" s="476" t="n"/>
      <c r="V381" s="1006">
        <f>IFERROR(IF(OR(A381="",U381="",U381=0,J381=""),"",J381/U381),"")</f>
        <v/>
      </c>
      <c r="W381" s="1006">
        <f>IFERROR(IF(V381="","",V381*12),"")</f>
        <v/>
      </c>
      <c r="X381">
        <f>IF(AND(E381&lt;&gt;"",E381&lt;&gt;"Vacant",E381&lt;&gt;"Reserved",C381&lt;&gt;"",D381&lt;&gt;""),C381&amp;"|"&amp;D381,"")</f>
        <v/>
      </c>
      <c r="Y381">
        <f>IF(AND(C381&lt;&gt;"",D381&lt;&gt;""),C381&amp;"|"&amp;D381,"")</f>
        <v/>
      </c>
      <c r="AA381" s="421">
        <f>IFERROR(IF(OR(A381="",I381="",J381=""),"",I381-J381),"")</f>
        <v/>
      </c>
      <c r="AB381" s="479">
        <f>IFERROR(IF(OR(AA381="",I381=0,I381=""),"",AA381/I381),"")</f>
        <v/>
      </c>
      <c r="AC381" s="421" t="n"/>
      <c r="AD381" s="462" t="n"/>
      <c r="AE381" s="421" t="n"/>
      <c r="AF381" s="421" t="n"/>
      <c r="AG381" s="421" t="n"/>
      <c r="AH381" s="421" t="n"/>
      <c r="AI381" s="421" t="n"/>
      <c r="AJ381" s="421" t="n"/>
      <c r="AK381" s="421" t="n"/>
      <c r="AL381" s="421" t="n"/>
      <c r="AM381" s="421" t="n"/>
      <c r="AN381" s="421" t="n"/>
      <c r="AO381" s="483" t="n"/>
      <c r="AP381" s="1007">
        <f>SUM(AJ381:AN381)</f>
        <v/>
      </c>
      <c r="AQ381" s="485" t="n"/>
      <c r="AS381" s="1006" t="n"/>
      <c r="AT381">
        <f t="array" ref="AT381">IF(E381&lt;&gt;"Occupied","",_xlfn.IFS(AND(ISNUMBER(AC381),AC381&lt;&gt;0),"Structured",ISNUMBER(SEARCH("/mo con",T381)),"Notes-parsed",ISNUMBER(SEARCH("step",T381)),"Step-up",ISNUMBER(SEARCH("swap",T381)),"Rate-swap",AND(ISNUMBER(I381),ISNUMBER(J381),I381&gt;J381),"Implied",TRUE,""))</f>
        <v/>
      </c>
      <c r="AU381" s="421" t="n"/>
    </row>
    <row r="382" outlineLevel="1" s="923">
      <c r="G382" s="462" t="n"/>
      <c r="H382" s="462" t="n"/>
      <c r="I382" s="421" t="n"/>
      <c r="J382" s="421" t="n"/>
      <c r="K382" s="421">
        <f>IFERROR(IF(A382="","",N(AE382)+N(AF382)+N(AG382)+N(AH382)),0)</f>
        <v/>
      </c>
      <c r="L382" s="421">
        <f>IFERROR(IF(A382="","",N(J382)+N(K382)),0)</f>
        <v/>
      </c>
      <c r="M382" s="421" t="n"/>
      <c r="N382" s="421" t="n"/>
      <c r="O382" s="421" t="n"/>
      <c r="P382" s="421" t="n"/>
      <c r="Q382" s="421" t="n"/>
      <c r="R382" s="421" t="n"/>
      <c r="U382" s="476" t="n"/>
      <c r="V382" s="1006">
        <f>IFERROR(IF(OR(A382="",U382="",U382=0,J382=""),"",J382/U382),"")</f>
        <v/>
      </c>
      <c r="W382" s="1006">
        <f>IFERROR(IF(V382="","",V382*12),"")</f>
        <v/>
      </c>
      <c r="X382">
        <f>IF(AND(E382&lt;&gt;"",E382&lt;&gt;"Vacant",E382&lt;&gt;"Reserved",C382&lt;&gt;"",D382&lt;&gt;""),C382&amp;"|"&amp;D382,"")</f>
        <v/>
      </c>
      <c r="Y382">
        <f>IF(AND(C382&lt;&gt;"",D382&lt;&gt;""),C382&amp;"|"&amp;D382,"")</f>
        <v/>
      </c>
      <c r="AA382" s="421">
        <f>IFERROR(IF(OR(A382="",I382="",J382=""),"",I382-J382),"")</f>
        <v/>
      </c>
      <c r="AB382" s="479">
        <f>IFERROR(IF(OR(AA382="",I382=0,I382=""),"",AA382/I382),"")</f>
        <v/>
      </c>
      <c r="AC382" s="421" t="n"/>
      <c r="AD382" s="462" t="n"/>
      <c r="AE382" s="421" t="n"/>
      <c r="AF382" s="421" t="n"/>
      <c r="AG382" s="421" t="n"/>
      <c r="AH382" s="421" t="n"/>
      <c r="AI382" s="421" t="n"/>
      <c r="AJ382" s="421" t="n"/>
      <c r="AK382" s="421" t="n"/>
      <c r="AL382" s="421" t="n"/>
      <c r="AM382" s="421" t="n"/>
      <c r="AN382" s="421" t="n"/>
      <c r="AO382" s="483" t="n"/>
      <c r="AP382" s="1007">
        <f>SUM(AJ382:AN382)</f>
        <v/>
      </c>
      <c r="AQ382" s="485" t="n"/>
      <c r="AS382" s="1006" t="n"/>
      <c r="AT382">
        <f t="array" ref="AT382">IF(E382&lt;&gt;"Occupied","",_xlfn.IFS(AND(ISNUMBER(AC382),AC382&lt;&gt;0),"Structured",ISNUMBER(SEARCH("/mo con",T382)),"Notes-parsed",ISNUMBER(SEARCH("step",T382)),"Step-up",ISNUMBER(SEARCH("swap",T382)),"Rate-swap",AND(ISNUMBER(I382),ISNUMBER(J382),I382&gt;J382),"Implied",TRUE,""))</f>
        <v/>
      </c>
      <c r="AU382" s="421" t="n"/>
    </row>
    <row r="383" outlineLevel="1" s="923">
      <c r="G383" s="462" t="n"/>
      <c r="H383" s="462" t="n"/>
      <c r="I383" s="421" t="n"/>
      <c r="J383" s="421" t="n"/>
      <c r="K383" s="421">
        <f>IFERROR(IF(A383="","",N(AE383)+N(AF383)+N(AG383)+N(AH383)),0)</f>
        <v/>
      </c>
      <c r="L383" s="421">
        <f>IFERROR(IF(A383="","",N(J383)+N(K383)),0)</f>
        <v/>
      </c>
      <c r="M383" s="421" t="n"/>
      <c r="N383" s="421" t="n"/>
      <c r="O383" s="421" t="n"/>
      <c r="P383" s="421" t="n"/>
      <c r="Q383" s="421" t="n"/>
      <c r="R383" s="421" t="n"/>
      <c r="U383" s="476" t="n"/>
      <c r="V383" s="1006">
        <f>IFERROR(IF(OR(A383="",U383="",U383=0,J383=""),"",J383/U383),"")</f>
        <v/>
      </c>
      <c r="W383" s="1006">
        <f>IFERROR(IF(V383="","",V383*12),"")</f>
        <v/>
      </c>
      <c r="X383">
        <f>IF(AND(E383&lt;&gt;"",E383&lt;&gt;"Vacant",E383&lt;&gt;"Reserved",C383&lt;&gt;"",D383&lt;&gt;""),C383&amp;"|"&amp;D383,"")</f>
        <v/>
      </c>
      <c r="Y383">
        <f>IF(AND(C383&lt;&gt;"",D383&lt;&gt;""),C383&amp;"|"&amp;D383,"")</f>
        <v/>
      </c>
      <c r="AA383" s="421">
        <f>IFERROR(IF(OR(A383="",I383="",J383=""),"",I383-J383),"")</f>
        <v/>
      </c>
      <c r="AB383" s="479">
        <f>IFERROR(IF(OR(AA383="",I383=0,I383=""),"",AA383/I383),"")</f>
        <v/>
      </c>
      <c r="AC383" s="421" t="n"/>
      <c r="AD383" s="462" t="n"/>
      <c r="AE383" s="421" t="n"/>
      <c r="AF383" s="421" t="n"/>
      <c r="AG383" s="421" t="n"/>
      <c r="AH383" s="421" t="n"/>
      <c r="AI383" s="421" t="n"/>
      <c r="AJ383" s="421" t="n"/>
      <c r="AK383" s="421" t="n"/>
      <c r="AL383" s="421" t="n"/>
      <c r="AM383" s="421" t="n"/>
      <c r="AN383" s="421" t="n"/>
      <c r="AO383" s="483" t="n"/>
      <c r="AP383" s="1007">
        <f>SUM(AJ383:AN383)</f>
        <v/>
      </c>
      <c r="AQ383" s="485" t="n"/>
      <c r="AS383" s="1006" t="n"/>
      <c r="AT383">
        <f t="array" ref="AT383">IF(E383&lt;&gt;"Occupied","",_xlfn.IFS(AND(ISNUMBER(AC383),AC383&lt;&gt;0),"Structured",ISNUMBER(SEARCH("/mo con",T383)),"Notes-parsed",ISNUMBER(SEARCH("step",T383)),"Step-up",ISNUMBER(SEARCH("swap",T383)),"Rate-swap",AND(ISNUMBER(I383),ISNUMBER(J383),I383&gt;J383),"Implied",TRUE,""))</f>
        <v/>
      </c>
      <c r="AU383" s="421" t="n"/>
    </row>
    <row r="384" outlineLevel="1" s="923">
      <c r="G384" s="462" t="n"/>
      <c r="H384" s="462" t="n"/>
      <c r="I384" s="421" t="n"/>
      <c r="J384" s="421" t="n"/>
      <c r="K384" s="421">
        <f>IFERROR(IF(A384="","",N(AE384)+N(AF384)+N(AG384)+N(AH384)),0)</f>
        <v/>
      </c>
      <c r="L384" s="421">
        <f>IFERROR(IF(A384="","",N(J384)+N(K384)),0)</f>
        <v/>
      </c>
      <c r="M384" s="421" t="n"/>
      <c r="N384" s="421" t="n"/>
      <c r="O384" s="421" t="n"/>
      <c r="P384" s="421" t="n"/>
      <c r="Q384" s="421" t="n"/>
      <c r="R384" s="421" t="n"/>
      <c r="U384" s="476" t="n"/>
      <c r="V384" s="1006">
        <f>IFERROR(IF(OR(A384="",U384="",U384=0,J384=""),"",J384/U384),"")</f>
        <v/>
      </c>
      <c r="W384" s="1006">
        <f>IFERROR(IF(V384="","",V384*12),"")</f>
        <v/>
      </c>
      <c r="X384">
        <f>IF(AND(E384&lt;&gt;"",E384&lt;&gt;"Vacant",E384&lt;&gt;"Reserved",C384&lt;&gt;"",D384&lt;&gt;""),C384&amp;"|"&amp;D384,"")</f>
        <v/>
      </c>
      <c r="Y384">
        <f>IF(AND(C384&lt;&gt;"",D384&lt;&gt;""),C384&amp;"|"&amp;D384,"")</f>
        <v/>
      </c>
      <c r="AA384" s="421">
        <f>IFERROR(IF(OR(A384="",I384="",J384=""),"",I384-J384),"")</f>
        <v/>
      </c>
      <c r="AB384" s="479">
        <f>IFERROR(IF(OR(AA384="",I384=0,I384=""),"",AA384/I384),"")</f>
        <v/>
      </c>
      <c r="AC384" s="421" t="n"/>
      <c r="AD384" s="462" t="n"/>
      <c r="AE384" s="421" t="n"/>
      <c r="AF384" s="421" t="n"/>
      <c r="AG384" s="421" t="n"/>
      <c r="AH384" s="421" t="n"/>
      <c r="AI384" s="421" t="n"/>
      <c r="AJ384" s="421" t="n"/>
      <c r="AK384" s="421" t="n"/>
      <c r="AL384" s="421" t="n"/>
      <c r="AM384" s="421" t="n"/>
      <c r="AN384" s="421" t="n"/>
      <c r="AO384" s="483" t="n"/>
      <c r="AP384" s="1007">
        <f>SUM(AJ384:AN384)</f>
        <v/>
      </c>
      <c r="AQ384" s="485" t="n"/>
      <c r="AS384" s="1006" t="n"/>
      <c r="AT384">
        <f t="array" ref="AT384">IF(E384&lt;&gt;"Occupied","",_xlfn.IFS(AND(ISNUMBER(AC384),AC384&lt;&gt;0),"Structured",ISNUMBER(SEARCH("/mo con",T384)),"Notes-parsed",ISNUMBER(SEARCH("step",T384)),"Step-up",ISNUMBER(SEARCH("swap",T384)),"Rate-swap",AND(ISNUMBER(I384),ISNUMBER(J384),I384&gt;J384),"Implied",TRUE,""))</f>
        <v/>
      </c>
      <c r="AU384" s="421" t="n"/>
    </row>
    <row r="385" outlineLevel="1" s="923">
      <c r="G385" s="462" t="n"/>
      <c r="H385" s="462" t="n"/>
      <c r="I385" s="421" t="n"/>
      <c r="J385" s="421" t="n"/>
      <c r="K385" s="421">
        <f>IFERROR(IF(A385="","",N(AE385)+N(AF385)+N(AG385)+N(AH385)),0)</f>
        <v/>
      </c>
      <c r="L385" s="421">
        <f>IFERROR(IF(A385="","",N(J385)+N(K385)),0)</f>
        <v/>
      </c>
      <c r="M385" s="421" t="n"/>
      <c r="N385" s="421" t="n"/>
      <c r="O385" s="421" t="n"/>
      <c r="P385" s="421" t="n"/>
      <c r="Q385" s="421" t="n"/>
      <c r="R385" s="421" t="n"/>
      <c r="U385" s="476" t="n"/>
      <c r="V385" s="1006">
        <f>IFERROR(IF(OR(A385="",U385="",U385=0,J385=""),"",J385/U385),"")</f>
        <v/>
      </c>
      <c r="W385" s="1006">
        <f>IFERROR(IF(V385="","",V385*12),"")</f>
        <v/>
      </c>
      <c r="X385">
        <f>IF(AND(E385&lt;&gt;"",E385&lt;&gt;"Vacant",E385&lt;&gt;"Reserved",C385&lt;&gt;"",D385&lt;&gt;""),C385&amp;"|"&amp;D385,"")</f>
        <v/>
      </c>
      <c r="Y385">
        <f>IF(AND(C385&lt;&gt;"",D385&lt;&gt;""),C385&amp;"|"&amp;D385,"")</f>
        <v/>
      </c>
      <c r="AA385" s="421">
        <f>IFERROR(IF(OR(A385="",I385="",J385=""),"",I385-J385),"")</f>
        <v/>
      </c>
      <c r="AB385" s="479">
        <f>IFERROR(IF(OR(AA385="",I385=0,I385=""),"",AA385/I385),"")</f>
        <v/>
      </c>
      <c r="AC385" s="421" t="n"/>
      <c r="AD385" s="462" t="n"/>
      <c r="AE385" s="421" t="n"/>
      <c r="AF385" s="421" t="n"/>
      <c r="AG385" s="421" t="n"/>
      <c r="AH385" s="421" t="n"/>
      <c r="AI385" s="421" t="n"/>
      <c r="AJ385" s="421" t="n"/>
      <c r="AK385" s="421" t="n"/>
      <c r="AL385" s="421" t="n"/>
      <c r="AM385" s="421" t="n"/>
      <c r="AN385" s="421" t="n"/>
      <c r="AO385" s="483" t="n"/>
      <c r="AP385" s="1007">
        <f>SUM(AJ385:AN385)</f>
        <v/>
      </c>
      <c r="AQ385" s="485" t="n"/>
      <c r="AS385" s="1006" t="n"/>
      <c r="AT385">
        <f t="array" ref="AT385">IF(E385&lt;&gt;"Occupied","",_xlfn.IFS(AND(ISNUMBER(AC385),AC385&lt;&gt;0),"Structured",ISNUMBER(SEARCH("/mo con",T385)),"Notes-parsed",ISNUMBER(SEARCH("step",T385)),"Step-up",ISNUMBER(SEARCH("swap",T385)),"Rate-swap",AND(ISNUMBER(I385),ISNUMBER(J385),I385&gt;J385),"Implied",TRUE,""))</f>
        <v/>
      </c>
      <c r="AU385" s="421" t="n"/>
    </row>
    <row r="386" outlineLevel="1" s="923">
      <c r="G386" s="462" t="n"/>
      <c r="H386" s="462" t="n"/>
      <c r="I386" s="421" t="n"/>
      <c r="J386" s="421" t="n"/>
      <c r="K386" s="421">
        <f>IFERROR(IF(A386="","",N(AE386)+N(AF386)+N(AG386)+N(AH386)),0)</f>
        <v/>
      </c>
      <c r="L386" s="421">
        <f>IFERROR(IF(A386="","",N(J386)+N(K386)),0)</f>
        <v/>
      </c>
      <c r="M386" s="421" t="n"/>
      <c r="N386" s="421" t="n"/>
      <c r="O386" s="421" t="n"/>
      <c r="P386" s="421" t="n"/>
      <c r="Q386" s="421" t="n"/>
      <c r="R386" s="421" t="n"/>
      <c r="U386" s="476" t="n"/>
      <c r="V386" s="1006">
        <f>IFERROR(IF(OR(A386="",U386="",U386=0,J386=""),"",J386/U386),"")</f>
        <v/>
      </c>
      <c r="W386" s="1006">
        <f>IFERROR(IF(V386="","",V386*12),"")</f>
        <v/>
      </c>
      <c r="X386">
        <f>IF(AND(E386&lt;&gt;"",E386&lt;&gt;"Vacant",E386&lt;&gt;"Reserved",C386&lt;&gt;"",D386&lt;&gt;""),C386&amp;"|"&amp;D386,"")</f>
        <v/>
      </c>
      <c r="Y386">
        <f>IF(AND(C386&lt;&gt;"",D386&lt;&gt;""),C386&amp;"|"&amp;D386,"")</f>
        <v/>
      </c>
      <c r="AA386" s="421">
        <f>IFERROR(IF(OR(A386="",I386="",J386=""),"",I386-J386),"")</f>
        <v/>
      </c>
      <c r="AB386" s="479">
        <f>IFERROR(IF(OR(AA386="",I386=0,I386=""),"",AA386/I386),"")</f>
        <v/>
      </c>
      <c r="AC386" s="421" t="n"/>
      <c r="AD386" s="462" t="n"/>
      <c r="AE386" s="421" t="n"/>
      <c r="AF386" s="421" t="n"/>
      <c r="AG386" s="421" t="n"/>
      <c r="AH386" s="421" t="n"/>
      <c r="AI386" s="421" t="n"/>
      <c r="AJ386" s="421" t="n"/>
      <c r="AK386" s="421" t="n"/>
      <c r="AL386" s="421" t="n"/>
      <c r="AM386" s="421" t="n"/>
      <c r="AN386" s="421" t="n"/>
      <c r="AO386" s="483" t="n"/>
      <c r="AP386" s="1007">
        <f>SUM(AJ386:AN386)</f>
        <v/>
      </c>
      <c r="AQ386" s="485" t="n"/>
      <c r="AS386" s="1006" t="n"/>
      <c r="AT386">
        <f t="array" ref="AT386">IF(E386&lt;&gt;"Occupied","",_xlfn.IFS(AND(ISNUMBER(AC386),AC386&lt;&gt;0),"Structured",ISNUMBER(SEARCH("/mo con",T386)),"Notes-parsed",ISNUMBER(SEARCH("step",T386)),"Step-up",ISNUMBER(SEARCH("swap",T386)),"Rate-swap",AND(ISNUMBER(I386),ISNUMBER(J386),I386&gt;J386),"Implied",TRUE,""))</f>
        <v/>
      </c>
      <c r="AU386" s="421" t="n"/>
    </row>
    <row r="387" outlineLevel="1" s="923">
      <c r="G387" s="462" t="n"/>
      <c r="H387" s="462" t="n"/>
      <c r="I387" s="421" t="n"/>
      <c r="J387" s="421" t="n"/>
      <c r="K387" s="421">
        <f>IFERROR(IF(A387="","",N(AE387)+N(AF387)+N(AG387)+N(AH387)),0)</f>
        <v/>
      </c>
      <c r="L387" s="421">
        <f>IFERROR(IF(A387="","",N(J387)+N(K387)),0)</f>
        <v/>
      </c>
      <c r="M387" s="421" t="n"/>
      <c r="N387" s="421" t="n"/>
      <c r="O387" s="421" t="n"/>
      <c r="P387" s="421" t="n"/>
      <c r="Q387" s="421" t="n"/>
      <c r="R387" s="421" t="n"/>
      <c r="U387" s="476" t="n"/>
      <c r="V387" s="1006">
        <f>IFERROR(IF(OR(A387="",U387="",U387=0,J387=""),"",J387/U387),"")</f>
        <v/>
      </c>
      <c r="W387" s="1006">
        <f>IFERROR(IF(V387="","",V387*12),"")</f>
        <v/>
      </c>
      <c r="X387">
        <f>IF(AND(E387&lt;&gt;"",E387&lt;&gt;"Vacant",E387&lt;&gt;"Reserved",C387&lt;&gt;"",D387&lt;&gt;""),C387&amp;"|"&amp;D387,"")</f>
        <v/>
      </c>
      <c r="Y387">
        <f>IF(AND(C387&lt;&gt;"",D387&lt;&gt;""),C387&amp;"|"&amp;D387,"")</f>
        <v/>
      </c>
      <c r="AA387" s="421">
        <f>IFERROR(IF(OR(A387="",I387="",J387=""),"",I387-J387),"")</f>
        <v/>
      </c>
      <c r="AB387" s="479">
        <f>IFERROR(IF(OR(AA387="",I387=0,I387=""),"",AA387/I387),"")</f>
        <v/>
      </c>
      <c r="AC387" s="421" t="n"/>
      <c r="AD387" s="462" t="n"/>
      <c r="AE387" s="421" t="n"/>
      <c r="AF387" s="421" t="n"/>
      <c r="AG387" s="421" t="n"/>
      <c r="AH387" s="421" t="n"/>
      <c r="AI387" s="421" t="n"/>
      <c r="AJ387" s="421" t="n"/>
      <c r="AK387" s="421" t="n"/>
      <c r="AL387" s="421" t="n"/>
      <c r="AM387" s="421" t="n"/>
      <c r="AN387" s="421" t="n"/>
      <c r="AO387" s="483" t="n"/>
      <c r="AP387" s="1007">
        <f>SUM(AJ387:AN387)</f>
        <v/>
      </c>
      <c r="AQ387" s="485" t="n"/>
      <c r="AS387" s="1006" t="n"/>
      <c r="AT387">
        <f t="array" ref="AT387">IF(E387&lt;&gt;"Occupied","",_xlfn.IFS(AND(ISNUMBER(AC387),AC387&lt;&gt;0),"Structured",ISNUMBER(SEARCH("/mo con",T387)),"Notes-parsed",ISNUMBER(SEARCH("step",T387)),"Step-up",ISNUMBER(SEARCH("swap",T387)),"Rate-swap",AND(ISNUMBER(I387),ISNUMBER(J387),I387&gt;J387),"Implied",TRUE,""))</f>
        <v/>
      </c>
      <c r="AU387" s="421" t="n"/>
    </row>
    <row r="388" outlineLevel="1" s="923">
      <c r="G388" s="462" t="n"/>
      <c r="H388" s="462" t="n"/>
      <c r="I388" s="421" t="n"/>
      <c r="J388" s="421" t="n"/>
      <c r="K388" s="421">
        <f>IFERROR(IF(A388="","",N(AE388)+N(AF388)+N(AG388)+N(AH388)),0)</f>
        <v/>
      </c>
      <c r="L388" s="421">
        <f>IFERROR(IF(A388="","",N(J388)+N(K388)),0)</f>
        <v/>
      </c>
      <c r="M388" s="421" t="n"/>
      <c r="N388" s="421" t="n"/>
      <c r="O388" s="421" t="n"/>
      <c r="P388" s="421" t="n"/>
      <c r="Q388" s="421" t="n"/>
      <c r="R388" s="421" t="n"/>
      <c r="U388" s="476" t="n"/>
      <c r="V388" s="1006">
        <f>IFERROR(IF(OR(A388="",U388="",U388=0,J388=""),"",J388/U388),"")</f>
        <v/>
      </c>
      <c r="W388" s="1006">
        <f>IFERROR(IF(V388="","",V388*12),"")</f>
        <v/>
      </c>
      <c r="X388">
        <f>IF(AND(E388&lt;&gt;"",E388&lt;&gt;"Vacant",E388&lt;&gt;"Reserved",C388&lt;&gt;"",D388&lt;&gt;""),C388&amp;"|"&amp;D388,"")</f>
        <v/>
      </c>
      <c r="Y388">
        <f>IF(AND(C388&lt;&gt;"",D388&lt;&gt;""),C388&amp;"|"&amp;D388,"")</f>
        <v/>
      </c>
      <c r="AA388" s="421">
        <f>IFERROR(IF(OR(A388="",I388="",J388=""),"",I388-J388),"")</f>
        <v/>
      </c>
      <c r="AB388" s="479">
        <f>IFERROR(IF(OR(AA388="",I388=0,I388=""),"",AA388/I388),"")</f>
        <v/>
      </c>
      <c r="AC388" s="421" t="n"/>
      <c r="AD388" s="462" t="n"/>
      <c r="AE388" s="421" t="n"/>
      <c r="AF388" s="421" t="n"/>
      <c r="AG388" s="421" t="n"/>
      <c r="AH388" s="421" t="n"/>
      <c r="AI388" s="421" t="n"/>
      <c r="AJ388" s="421" t="n"/>
      <c r="AK388" s="421" t="n"/>
      <c r="AL388" s="421" t="n"/>
      <c r="AM388" s="421" t="n"/>
      <c r="AN388" s="421" t="n"/>
      <c r="AO388" s="483" t="n"/>
      <c r="AP388" s="1007">
        <f>SUM(AJ388:AN388)</f>
        <v/>
      </c>
      <c r="AQ388" s="485" t="n"/>
      <c r="AS388" s="1006" t="n"/>
      <c r="AT388">
        <f t="array" ref="AT388">IF(E388&lt;&gt;"Occupied","",_xlfn.IFS(AND(ISNUMBER(AC388),AC388&lt;&gt;0),"Structured",ISNUMBER(SEARCH("/mo con",T388)),"Notes-parsed",ISNUMBER(SEARCH("step",T388)),"Step-up",ISNUMBER(SEARCH("swap",T388)),"Rate-swap",AND(ISNUMBER(I388),ISNUMBER(J388),I388&gt;J388),"Implied",TRUE,""))</f>
        <v/>
      </c>
      <c r="AU388" s="421" t="n"/>
    </row>
    <row r="389" outlineLevel="1" s="923">
      <c r="G389" s="462" t="n"/>
      <c r="H389" s="462" t="n"/>
      <c r="I389" s="421" t="n"/>
      <c r="J389" s="421" t="n"/>
      <c r="K389" s="421">
        <f>IFERROR(IF(A389="","",N(AE389)+N(AF389)+N(AG389)+N(AH389)),0)</f>
        <v/>
      </c>
      <c r="L389" s="421">
        <f>IFERROR(IF(A389="","",N(J389)+N(K389)),0)</f>
        <v/>
      </c>
      <c r="M389" s="421" t="n"/>
      <c r="N389" s="421" t="n"/>
      <c r="O389" s="421" t="n"/>
      <c r="P389" s="421" t="n"/>
      <c r="Q389" s="421" t="n"/>
      <c r="R389" s="421" t="n"/>
      <c r="U389" s="476" t="n"/>
      <c r="V389" s="1006">
        <f>IFERROR(IF(OR(A389="",U389="",U389=0,J389=""),"",J389/U389),"")</f>
        <v/>
      </c>
      <c r="W389" s="1006">
        <f>IFERROR(IF(V389="","",V389*12),"")</f>
        <v/>
      </c>
      <c r="X389">
        <f>IF(AND(E389&lt;&gt;"",E389&lt;&gt;"Vacant",E389&lt;&gt;"Reserved",C389&lt;&gt;"",D389&lt;&gt;""),C389&amp;"|"&amp;D389,"")</f>
        <v/>
      </c>
      <c r="Y389">
        <f>IF(AND(C389&lt;&gt;"",D389&lt;&gt;""),C389&amp;"|"&amp;D389,"")</f>
        <v/>
      </c>
      <c r="AA389" s="421">
        <f>IFERROR(IF(OR(A389="",I389="",J389=""),"",I389-J389),"")</f>
        <v/>
      </c>
      <c r="AB389" s="479">
        <f>IFERROR(IF(OR(AA389="",I389=0,I389=""),"",AA389/I389),"")</f>
        <v/>
      </c>
      <c r="AC389" s="421" t="n"/>
      <c r="AD389" s="462" t="n"/>
      <c r="AE389" s="421" t="n"/>
      <c r="AF389" s="421" t="n"/>
      <c r="AG389" s="421" t="n"/>
      <c r="AH389" s="421" t="n"/>
      <c r="AI389" s="421" t="n"/>
      <c r="AJ389" s="421" t="n"/>
      <c r="AK389" s="421" t="n"/>
      <c r="AL389" s="421" t="n"/>
      <c r="AM389" s="421" t="n"/>
      <c r="AN389" s="421" t="n"/>
      <c r="AO389" s="483" t="n"/>
      <c r="AP389" s="1007">
        <f>SUM(AJ389:AN389)</f>
        <v/>
      </c>
      <c r="AQ389" s="485" t="n"/>
      <c r="AS389" s="1006" t="n"/>
      <c r="AT389">
        <f t="array" ref="AT389">IF(E389&lt;&gt;"Occupied","",_xlfn.IFS(AND(ISNUMBER(AC389),AC389&lt;&gt;0),"Structured",ISNUMBER(SEARCH("/mo con",T389)),"Notes-parsed",ISNUMBER(SEARCH("step",T389)),"Step-up",ISNUMBER(SEARCH("swap",T389)),"Rate-swap",AND(ISNUMBER(I389),ISNUMBER(J389),I389&gt;J389),"Implied",TRUE,""))</f>
        <v/>
      </c>
      <c r="AU389" s="421" t="n"/>
    </row>
    <row r="390" outlineLevel="1" s="923">
      <c r="X390">
        <f>IF(AND(E390&lt;&gt;"",E390&lt;&gt;"Vacant",E390&lt;&gt;"Reserved",C390&lt;&gt;"",D390&lt;&gt;""),C390&amp;"|"&amp;D390,"")</f>
        <v/>
      </c>
      <c r="Y390">
        <f>IF(AND(C390&lt;&gt;"",D390&lt;&gt;""),C390&amp;"|"&amp;D390,"")</f>
        <v/>
      </c>
      <c r="AA390" s="421" t="n"/>
      <c r="AB390" s="479" t="n"/>
      <c r="AP390" s="1007">
        <f>SUM(AJ390:AN390)</f>
        <v/>
      </c>
      <c r="AT390">
        <f t="array" ref="AT390">IF(E390&lt;&gt;"Occupied","",_xlfn.IFS(AND(ISNUMBER(AC390),AC390&lt;&gt;0),"Structured",ISNUMBER(SEARCH("/mo con",T390)),"Notes-parsed",ISNUMBER(SEARCH("step",T390)),"Step-up",ISNUMBER(SEARCH("swap",T390)),"Rate-swap",AND(ISNUMBER(I390),ISNUMBER(J390),I390&gt;J390),"Implied",TRUE,""))</f>
        <v/>
      </c>
      <c r="AU390" s="421" t="n"/>
    </row>
    <row r="391" outlineLevel="1" s="923">
      <c r="X391">
        <f>IF(AND(E391&lt;&gt;"",E391&lt;&gt;"Vacant",E391&lt;&gt;"Reserved",C391&lt;&gt;"",D391&lt;&gt;""),C391&amp;"|"&amp;D391,"")</f>
        <v/>
      </c>
      <c r="Y391">
        <f>IF(AND(C391&lt;&gt;"",D391&lt;&gt;""),C391&amp;"|"&amp;D391,"")</f>
        <v/>
      </c>
      <c r="AA391" s="421" t="n"/>
      <c r="AB391" s="479" t="n"/>
      <c r="AP391" s="1007">
        <f>SUM(AJ391:AN391)</f>
        <v/>
      </c>
      <c r="AT391">
        <f t="array" ref="AT391">IF(E391&lt;&gt;"Occupied","",_xlfn.IFS(AND(ISNUMBER(AC391),AC391&lt;&gt;0),"Structured",ISNUMBER(SEARCH("/mo con",T391)),"Notes-parsed",ISNUMBER(SEARCH("step",T391)),"Step-up",ISNUMBER(SEARCH("swap",T391)),"Rate-swap",AND(ISNUMBER(I391),ISNUMBER(J391),I391&gt;J391),"Implied",TRUE,""))</f>
        <v/>
      </c>
      <c r="AU391" s="421" t="n"/>
    </row>
    <row r="392" outlineLevel="1" s="923">
      <c r="X392">
        <f>IF(AND(E392&lt;&gt;"",E392&lt;&gt;"Vacant",E392&lt;&gt;"Reserved",C392&lt;&gt;"",D392&lt;&gt;""),C392&amp;"|"&amp;D392,"")</f>
        <v/>
      </c>
      <c r="Y392">
        <f>IF(AND(C392&lt;&gt;"",D392&lt;&gt;""),C392&amp;"|"&amp;D392,"")</f>
        <v/>
      </c>
      <c r="AA392" s="421" t="n"/>
      <c r="AB392" s="479" t="n"/>
      <c r="AP392" s="1007">
        <f>SUM(AJ392:AN392)</f>
        <v/>
      </c>
      <c r="AT392">
        <f t="array" ref="AT392">IF(E392&lt;&gt;"Occupied","",_xlfn.IFS(AND(ISNUMBER(AC392),AC392&lt;&gt;0),"Structured",ISNUMBER(SEARCH("/mo con",T392)),"Notes-parsed",ISNUMBER(SEARCH("step",T392)),"Step-up",ISNUMBER(SEARCH("swap",T392)),"Rate-swap",AND(ISNUMBER(I392),ISNUMBER(J392),I392&gt;J392),"Implied",TRUE,""))</f>
        <v/>
      </c>
      <c r="AU392" s="421" t="n"/>
    </row>
    <row r="393" outlineLevel="1" s="923">
      <c r="X393">
        <f>IF(AND(E393&lt;&gt;"",E393&lt;&gt;"Vacant",E393&lt;&gt;"Reserved",C393&lt;&gt;"",D393&lt;&gt;""),C393&amp;"|"&amp;D393,"")</f>
        <v/>
      </c>
      <c r="Y393">
        <f>IF(AND(C393&lt;&gt;"",D393&lt;&gt;""),C393&amp;"|"&amp;D393,"")</f>
        <v/>
      </c>
      <c r="AA393" s="421" t="n"/>
      <c r="AB393" s="479" t="n"/>
      <c r="AP393" s="1007">
        <f>SUM(AJ393:AN393)</f>
        <v/>
      </c>
      <c r="AT393">
        <f t="array" ref="AT393">IF(E393&lt;&gt;"Occupied","",_xlfn.IFS(AND(ISNUMBER(AC393),AC393&lt;&gt;0),"Structured",ISNUMBER(SEARCH("/mo con",T393)),"Notes-parsed",ISNUMBER(SEARCH("step",T393)),"Step-up",ISNUMBER(SEARCH("swap",T393)),"Rate-swap",AND(ISNUMBER(I393),ISNUMBER(J393),I393&gt;J393),"Implied",TRUE,""))</f>
        <v/>
      </c>
      <c r="AU393" s="421" t="n"/>
    </row>
    <row r="394" outlineLevel="1" s="923">
      <c r="X394">
        <f>IF(AND(E394&lt;&gt;"",E394&lt;&gt;"Vacant",E394&lt;&gt;"Reserved",C394&lt;&gt;"",D394&lt;&gt;""),C394&amp;"|"&amp;D394,"")</f>
        <v/>
      </c>
      <c r="Y394">
        <f>IF(AND(C394&lt;&gt;"",D394&lt;&gt;""),C394&amp;"|"&amp;D394,"")</f>
        <v/>
      </c>
      <c r="AA394" s="421" t="n"/>
      <c r="AB394" s="479" t="n"/>
      <c r="AP394" s="1007">
        <f>SUM(AJ394:AN394)</f>
        <v/>
      </c>
      <c r="AT394">
        <f t="array" ref="AT394">IF(E394&lt;&gt;"Occupied","",_xlfn.IFS(AND(ISNUMBER(AC394),AC394&lt;&gt;0),"Structured",ISNUMBER(SEARCH("/mo con",T394)),"Notes-parsed",ISNUMBER(SEARCH("step",T394)),"Step-up",ISNUMBER(SEARCH("swap",T394)),"Rate-swap",AND(ISNUMBER(I394),ISNUMBER(J394),I394&gt;J394),"Implied",TRUE,""))</f>
        <v/>
      </c>
      <c r="AU394" s="421" t="n"/>
    </row>
    <row r="395" outlineLevel="1" s="923">
      <c r="X395">
        <f>IF(AND(E395&lt;&gt;"",E395&lt;&gt;"Vacant",E395&lt;&gt;"Reserved",C395&lt;&gt;"",D395&lt;&gt;""),C395&amp;"|"&amp;D395,"")</f>
        <v/>
      </c>
      <c r="Y395">
        <f>IF(AND(C395&lt;&gt;"",D395&lt;&gt;""),C395&amp;"|"&amp;D395,"")</f>
        <v/>
      </c>
      <c r="AA395" s="421" t="n"/>
      <c r="AB395" s="479" t="n"/>
      <c r="AP395" s="1007">
        <f>SUM(AJ395:AN395)</f>
        <v/>
      </c>
      <c r="AT395">
        <f t="array" ref="AT395">IF(E395&lt;&gt;"Occupied","",_xlfn.IFS(AND(ISNUMBER(AC395),AC395&lt;&gt;0),"Structured",ISNUMBER(SEARCH("/mo con",T395)),"Notes-parsed",ISNUMBER(SEARCH("step",T395)),"Step-up",ISNUMBER(SEARCH("swap",T395)),"Rate-swap",AND(ISNUMBER(I395),ISNUMBER(J395),I395&gt;J395),"Implied",TRUE,""))</f>
        <v/>
      </c>
      <c r="AU395" s="421" t="n"/>
    </row>
    <row r="396" outlineLevel="1" s="923">
      <c r="X396">
        <f>IF(AND(E396&lt;&gt;"",E396&lt;&gt;"Vacant",E396&lt;&gt;"Reserved",C396&lt;&gt;"",D396&lt;&gt;""),C396&amp;"|"&amp;D396,"")</f>
        <v/>
      </c>
      <c r="Y396">
        <f>IF(AND(C396&lt;&gt;"",D396&lt;&gt;""),C396&amp;"|"&amp;D396,"")</f>
        <v/>
      </c>
      <c r="AA396" s="421" t="n"/>
      <c r="AB396" s="479" t="n"/>
      <c r="AP396" s="1007">
        <f>SUM(AJ396:AN396)</f>
        <v/>
      </c>
      <c r="AT396">
        <f t="array" ref="AT396">IF(E396&lt;&gt;"Occupied","",_xlfn.IFS(AND(ISNUMBER(AC396),AC396&lt;&gt;0),"Structured",ISNUMBER(SEARCH("/mo con",T396)),"Notes-parsed",ISNUMBER(SEARCH("step",T396)),"Step-up",ISNUMBER(SEARCH("swap",T396)),"Rate-swap",AND(ISNUMBER(I396),ISNUMBER(J396),I396&gt;J396),"Implied",TRUE,""))</f>
        <v/>
      </c>
      <c r="AU396" s="421" t="n"/>
    </row>
    <row r="397" outlineLevel="1" s="923">
      <c r="X397">
        <f>IF(AND(E397&lt;&gt;"",E397&lt;&gt;"Vacant",E397&lt;&gt;"Reserved",C397&lt;&gt;"",D397&lt;&gt;""),C397&amp;"|"&amp;D397,"")</f>
        <v/>
      </c>
      <c r="Y397">
        <f>IF(AND(C397&lt;&gt;"",D397&lt;&gt;""),C397&amp;"|"&amp;D397,"")</f>
        <v/>
      </c>
      <c r="AA397" s="421" t="n"/>
      <c r="AB397" s="479" t="n"/>
      <c r="AP397" s="1007">
        <f>SUM(AJ397:AN397)</f>
        <v/>
      </c>
      <c r="AT397">
        <f t="array" ref="AT397">IF(E397&lt;&gt;"Occupied","",_xlfn.IFS(AND(ISNUMBER(AC397),AC397&lt;&gt;0),"Structured",ISNUMBER(SEARCH("/mo con",T397)),"Notes-parsed",ISNUMBER(SEARCH("step",T397)),"Step-up",ISNUMBER(SEARCH("swap",T397)),"Rate-swap",AND(ISNUMBER(I397),ISNUMBER(J397),I397&gt;J397),"Implied",TRUE,""))</f>
        <v/>
      </c>
      <c r="AU397" s="421" t="n"/>
    </row>
    <row r="398" outlineLevel="1" s="923">
      <c r="X398">
        <f>IF(AND(E398&lt;&gt;"",E398&lt;&gt;"Vacant",E398&lt;&gt;"Reserved",C398&lt;&gt;"",D398&lt;&gt;""),C398&amp;"|"&amp;D398,"")</f>
        <v/>
      </c>
      <c r="Y398">
        <f>IF(AND(C398&lt;&gt;"",D398&lt;&gt;""),C398&amp;"|"&amp;D398,"")</f>
        <v/>
      </c>
      <c r="AA398" s="421" t="n"/>
      <c r="AB398" s="479" t="n"/>
      <c r="AP398" s="1007">
        <f>SUM(AJ398:AN398)</f>
        <v/>
      </c>
      <c r="AT398">
        <f t="array" ref="AT398">IF(E398&lt;&gt;"Occupied","",_xlfn.IFS(AND(ISNUMBER(AC398),AC398&lt;&gt;0),"Structured",ISNUMBER(SEARCH("/mo con",T398)),"Notes-parsed",ISNUMBER(SEARCH("step",T398)),"Step-up",ISNUMBER(SEARCH("swap",T398)),"Rate-swap",AND(ISNUMBER(I398),ISNUMBER(J398),I398&gt;J398),"Implied",TRUE,""))</f>
        <v/>
      </c>
      <c r="AU398" s="421" t="n"/>
    </row>
    <row r="399" outlineLevel="1" s="923">
      <c r="X399">
        <f>IF(AND(E399&lt;&gt;"",E399&lt;&gt;"Vacant",E399&lt;&gt;"Reserved",C399&lt;&gt;"",D399&lt;&gt;""),C399&amp;"|"&amp;D399,"")</f>
        <v/>
      </c>
      <c r="Y399">
        <f>IF(AND(C399&lt;&gt;"",D399&lt;&gt;""),C399&amp;"|"&amp;D399,"")</f>
        <v/>
      </c>
      <c r="AA399" s="421" t="n"/>
      <c r="AB399" s="479" t="n"/>
      <c r="AP399" s="1007">
        <f>SUM(AJ399:AN399)</f>
        <v/>
      </c>
      <c r="AT399">
        <f t="array" ref="AT399">IF(E399&lt;&gt;"Occupied","",_xlfn.IFS(AND(ISNUMBER(AC399),AC399&lt;&gt;0),"Structured",ISNUMBER(SEARCH("/mo con",T399)),"Notes-parsed",ISNUMBER(SEARCH("step",T399)),"Step-up",ISNUMBER(SEARCH("swap",T399)),"Rate-swap",AND(ISNUMBER(I399),ISNUMBER(J399),I399&gt;J399),"Implied",TRUE,""))</f>
        <v/>
      </c>
      <c r="AU399" s="421" t="n"/>
    </row>
    <row r="400" outlineLevel="1" s="923">
      <c r="X400">
        <f>IF(AND(E400&lt;&gt;"",E400&lt;&gt;"Vacant",E400&lt;&gt;"Reserved",C400&lt;&gt;"",D400&lt;&gt;""),C400&amp;"|"&amp;D400,"")</f>
        <v/>
      </c>
      <c r="Y400">
        <f>IF(AND(C400&lt;&gt;"",D400&lt;&gt;""),C400&amp;"|"&amp;D400,"")</f>
        <v/>
      </c>
      <c r="AA400" s="421" t="n"/>
      <c r="AB400" s="479" t="n"/>
      <c r="AP400" s="1007">
        <f>SUM(AJ400:AN400)</f>
        <v/>
      </c>
      <c r="AT400">
        <f t="array" ref="AT400">IF(E400&lt;&gt;"Occupied","",_xlfn.IFS(AND(ISNUMBER(AC400),AC400&lt;&gt;0),"Structured",ISNUMBER(SEARCH("/mo con",T400)),"Notes-parsed",ISNUMBER(SEARCH("step",T400)),"Step-up",ISNUMBER(SEARCH("swap",T400)),"Rate-swap",AND(ISNUMBER(I400),ISNUMBER(J400),I400&gt;J400),"Implied",TRUE,""))</f>
        <v/>
      </c>
      <c r="AU400" s="421" t="n"/>
    </row>
    <row r="401" outlineLevel="1" s="923">
      <c r="X401">
        <f>IF(AND(E401&lt;&gt;"",E401&lt;&gt;"Vacant",E401&lt;&gt;"Reserved",C401&lt;&gt;"",D401&lt;&gt;""),C401&amp;"|"&amp;D401,"")</f>
        <v/>
      </c>
      <c r="Y401">
        <f>IF(AND(C401&lt;&gt;"",D401&lt;&gt;""),C401&amp;"|"&amp;D401,"")</f>
        <v/>
      </c>
      <c r="AA401" s="421" t="n"/>
      <c r="AB401" s="479" t="n"/>
      <c r="AP401" s="1007">
        <f>SUM(AJ401:AN401)</f>
        <v/>
      </c>
      <c r="AT401">
        <f t="array" ref="AT401">IF(E401&lt;&gt;"Occupied","",_xlfn.IFS(AND(ISNUMBER(AC401),AC401&lt;&gt;0),"Structured",ISNUMBER(SEARCH("/mo con",T401)),"Notes-parsed",ISNUMBER(SEARCH("step",T401)),"Step-up",ISNUMBER(SEARCH("swap",T401)),"Rate-swap",AND(ISNUMBER(I401),ISNUMBER(J401),I401&gt;J401),"Implied",TRUE,""))</f>
        <v/>
      </c>
      <c r="AU401" s="421" t="n"/>
    </row>
    <row r="402" outlineLevel="1" s="923">
      <c r="X402">
        <f>IF(AND(E402&lt;&gt;"",E402&lt;&gt;"Vacant",E402&lt;&gt;"Reserved",C402&lt;&gt;"",D402&lt;&gt;""),C402&amp;"|"&amp;D402,"")</f>
        <v/>
      </c>
      <c r="Y402">
        <f>IF(AND(C402&lt;&gt;"",D402&lt;&gt;""),C402&amp;"|"&amp;D402,"")</f>
        <v/>
      </c>
      <c r="AA402" s="421" t="n"/>
      <c r="AB402" s="479" t="n"/>
      <c r="AP402" s="1007">
        <f>SUM(AJ402:AN402)</f>
        <v/>
      </c>
      <c r="AT402">
        <f t="array" ref="AT402">IF(E402&lt;&gt;"Occupied","",_xlfn.IFS(AND(ISNUMBER(AC402),AC402&lt;&gt;0),"Structured",ISNUMBER(SEARCH("/mo con",T402)),"Notes-parsed",ISNUMBER(SEARCH("step",T402)),"Step-up",ISNUMBER(SEARCH("swap",T402)),"Rate-swap",AND(ISNUMBER(I402),ISNUMBER(J402),I402&gt;J402),"Implied",TRUE,""))</f>
        <v/>
      </c>
      <c r="AU402" s="421" t="n"/>
    </row>
    <row r="403" outlineLevel="1" s="923">
      <c r="X403">
        <f>IF(AND(E403&lt;&gt;"",E403&lt;&gt;"Vacant",E403&lt;&gt;"Reserved",C403&lt;&gt;"",D403&lt;&gt;""),C403&amp;"|"&amp;D403,"")</f>
        <v/>
      </c>
      <c r="Y403">
        <f>IF(AND(C403&lt;&gt;"",D403&lt;&gt;""),C403&amp;"|"&amp;D403,"")</f>
        <v/>
      </c>
      <c r="AA403" s="421" t="n"/>
      <c r="AB403" s="479" t="n"/>
      <c r="AP403" s="1007">
        <f>SUM(AJ403:AN403)</f>
        <v/>
      </c>
      <c r="AT403">
        <f t="array" ref="AT403">IF(E403&lt;&gt;"Occupied","",_xlfn.IFS(AND(ISNUMBER(AC403),AC403&lt;&gt;0),"Structured",ISNUMBER(SEARCH("/mo con",T403)),"Notes-parsed",ISNUMBER(SEARCH("step",T403)),"Step-up",ISNUMBER(SEARCH("swap",T403)),"Rate-swap",AND(ISNUMBER(I403),ISNUMBER(J403),I403&gt;J403),"Implied",TRUE,""))</f>
        <v/>
      </c>
      <c r="AU403" s="421" t="n"/>
    </row>
    <row r="404" outlineLevel="1" s="923">
      <c r="X404">
        <f>IF(AND(E404&lt;&gt;"",E404&lt;&gt;"Vacant",E404&lt;&gt;"Reserved",C404&lt;&gt;"",D404&lt;&gt;""),C404&amp;"|"&amp;D404,"")</f>
        <v/>
      </c>
      <c r="Y404">
        <f>IF(AND(C404&lt;&gt;"",D404&lt;&gt;""),C404&amp;"|"&amp;D404,"")</f>
        <v/>
      </c>
      <c r="AA404" s="421" t="n"/>
      <c r="AB404" s="479" t="n"/>
      <c r="AP404" s="1007">
        <f>SUM(AJ404:AN404)</f>
        <v/>
      </c>
      <c r="AT404">
        <f t="array" ref="AT404">IF(E404&lt;&gt;"Occupied","",_xlfn.IFS(AND(ISNUMBER(AC404),AC404&lt;&gt;0),"Structured",ISNUMBER(SEARCH("/mo con",T404)),"Notes-parsed",ISNUMBER(SEARCH("step",T404)),"Step-up",ISNUMBER(SEARCH("swap",T404)),"Rate-swap",AND(ISNUMBER(I404),ISNUMBER(J404),I404&gt;J404),"Implied",TRUE,""))</f>
        <v/>
      </c>
      <c r="AU404" s="421" t="n"/>
    </row>
    <row r="405" outlineLevel="1" s="923">
      <c r="X405">
        <f>IF(AND(E405&lt;&gt;"",E405&lt;&gt;"Vacant",E405&lt;&gt;"Reserved",C405&lt;&gt;"",D405&lt;&gt;""),C405&amp;"|"&amp;D405,"")</f>
        <v/>
      </c>
      <c r="Y405">
        <f>IF(AND(C405&lt;&gt;"",D405&lt;&gt;""),C405&amp;"|"&amp;D405,"")</f>
        <v/>
      </c>
      <c r="AA405" s="421" t="n"/>
      <c r="AB405" s="479" t="n"/>
      <c r="AP405" s="1007">
        <f>SUM(AJ405:AN405)</f>
        <v/>
      </c>
      <c r="AT405">
        <f t="array" ref="AT405">IF(E405&lt;&gt;"Occupied","",_xlfn.IFS(AND(ISNUMBER(AC405),AC405&lt;&gt;0),"Structured",ISNUMBER(SEARCH("/mo con",T405)),"Notes-parsed",ISNUMBER(SEARCH("step",T405)),"Step-up",ISNUMBER(SEARCH("swap",T405)),"Rate-swap",AND(ISNUMBER(I405),ISNUMBER(J405),I405&gt;J405),"Implied",TRUE,""))</f>
        <v/>
      </c>
      <c r="AU405" s="421" t="n"/>
    </row>
    <row r="406" outlineLevel="1" s="923">
      <c r="X406">
        <f>IF(AND(E406&lt;&gt;"",E406&lt;&gt;"Vacant",E406&lt;&gt;"Reserved",C406&lt;&gt;"",D406&lt;&gt;""),C406&amp;"|"&amp;D406,"")</f>
        <v/>
      </c>
      <c r="Y406">
        <f>IF(AND(C406&lt;&gt;"",D406&lt;&gt;""),C406&amp;"|"&amp;D406,"")</f>
        <v/>
      </c>
      <c r="AA406" s="421" t="n"/>
      <c r="AB406" s="479" t="n"/>
      <c r="AP406" s="1007">
        <f>SUM(AJ406:AN406)</f>
        <v/>
      </c>
      <c r="AT406">
        <f t="array" ref="AT406">IF(E406&lt;&gt;"Occupied","",_xlfn.IFS(AND(ISNUMBER(AC406),AC406&lt;&gt;0),"Structured",ISNUMBER(SEARCH("/mo con",T406)),"Notes-parsed",ISNUMBER(SEARCH("step",T406)),"Step-up",ISNUMBER(SEARCH("swap",T406)),"Rate-swap",AND(ISNUMBER(I406),ISNUMBER(J406),I406&gt;J406),"Implied",TRUE,""))</f>
        <v/>
      </c>
      <c r="AU406" s="421" t="n"/>
    </row>
    <row r="407" outlineLevel="1" s="923">
      <c r="X407">
        <f>IF(AND(E407&lt;&gt;"",E407&lt;&gt;"Vacant",E407&lt;&gt;"Reserved",C407&lt;&gt;"",D407&lt;&gt;""),C407&amp;"|"&amp;D407,"")</f>
        <v/>
      </c>
      <c r="Y407">
        <f>IF(AND(C407&lt;&gt;"",D407&lt;&gt;""),C407&amp;"|"&amp;D407,"")</f>
        <v/>
      </c>
      <c r="AA407" s="421" t="n"/>
      <c r="AB407" s="479" t="n"/>
      <c r="AP407" s="1007">
        <f>SUM(AJ407:AN407)</f>
        <v/>
      </c>
      <c r="AT407">
        <f t="array" ref="AT407">IF(E407&lt;&gt;"Occupied","",_xlfn.IFS(AND(ISNUMBER(AC407),AC407&lt;&gt;0),"Structured",ISNUMBER(SEARCH("/mo con",T407)),"Notes-parsed",ISNUMBER(SEARCH("step",T407)),"Step-up",ISNUMBER(SEARCH("swap",T407)),"Rate-swap",AND(ISNUMBER(I407),ISNUMBER(J407),I407&gt;J407),"Implied",TRUE,""))</f>
        <v/>
      </c>
      <c r="AU407" s="421" t="n"/>
    </row>
    <row r="408" outlineLevel="1" s="923">
      <c r="X408">
        <f>IF(AND(E408&lt;&gt;"",E408&lt;&gt;"Vacant",E408&lt;&gt;"Reserved",C408&lt;&gt;"",D408&lt;&gt;""),C408&amp;"|"&amp;D408,"")</f>
        <v/>
      </c>
      <c r="Y408">
        <f>IF(AND(C408&lt;&gt;"",D408&lt;&gt;""),C408&amp;"|"&amp;D408,"")</f>
        <v/>
      </c>
      <c r="AA408" s="421" t="n"/>
      <c r="AB408" s="479" t="n"/>
      <c r="AP408" s="1007">
        <f>SUM(AJ408:AN408)</f>
        <v/>
      </c>
      <c r="AT408">
        <f t="array" ref="AT408">IF(E408&lt;&gt;"Occupied","",_xlfn.IFS(AND(ISNUMBER(AC408),AC408&lt;&gt;0),"Structured",ISNUMBER(SEARCH("/mo con",T408)),"Notes-parsed",ISNUMBER(SEARCH("step",T408)),"Step-up",ISNUMBER(SEARCH("swap",T408)),"Rate-swap",AND(ISNUMBER(I408),ISNUMBER(J408),I408&gt;J408),"Implied",TRUE,""))</f>
        <v/>
      </c>
      <c r="AU408" s="421" t="n"/>
    </row>
    <row r="409" outlineLevel="1" s="923">
      <c r="X409">
        <f>IF(AND(E409&lt;&gt;"",E409&lt;&gt;"Vacant",E409&lt;&gt;"Reserved",C409&lt;&gt;"",D409&lt;&gt;""),C409&amp;"|"&amp;D409,"")</f>
        <v/>
      </c>
      <c r="Y409">
        <f>IF(AND(C409&lt;&gt;"",D409&lt;&gt;""),C409&amp;"|"&amp;D409,"")</f>
        <v/>
      </c>
      <c r="AA409" s="421" t="n"/>
      <c r="AB409" s="479" t="n"/>
      <c r="AP409" s="1007">
        <f>SUM(AJ409:AN409)</f>
        <v/>
      </c>
      <c r="AT409">
        <f t="array" ref="AT409">IF(E409&lt;&gt;"Occupied","",_xlfn.IFS(AND(ISNUMBER(AC409),AC409&lt;&gt;0),"Structured",ISNUMBER(SEARCH("/mo con",T409)),"Notes-parsed",ISNUMBER(SEARCH("step",T409)),"Step-up",ISNUMBER(SEARCH("swap",T409)),"Rate-swap",AND(ISNUMBER(I409),ISNUMBER(J409),I409&gt;J409),"Implied",TRUE,""))</f>
        <v/>
      </c>
      <c r="AU409" s="421" t="n"/>
    </row>
    <row r="410" outlineLevel="1" s="923">
      <c r="X410">
        <f>IF(AND(E410&lt;&gt;"",E410&lt;&gt;"Vacant",E410&lt;&gt;"Reserved",C410&lt;&gt;"",D410&lt;&gt;""),C410&amp;"|"&amp;D410,"")</f>
        <v/>
      </c>
      <c r="Y410">
        <f>IF(AND(C410&lt;&gt;"",D410&lt;&gt;""),C410&amp;"|"&amp;D410,"")</f>
        <v/>
      </c>
      <c r="AA410" s="421" t="n"/>
      <c r="AB410" s="479" t="n"/>
      <c r="AP410" s="1007">
        <f>SUM(AJ410:AN410)</f>
        <v/>
      </c>
      <c r="AT410">
        <f t="array" ref="AT410">IF(E410&lt;&gt;"Occupied","",_xlfn.IFS(AND(ISNUMBER(AC410),AC410&lt;&gt;0),"Structured",ISNUMBER(SEARCH("/mo con",T410)),"Notes-parsed",ISNUMBER(SEARCH("step",T410)),"Step-up",ISNUMBER(SEARCH("swap",T410)),"Rate-swap",AND(ISNUMBER(I410),ISNUMBER(J410),I410&gt;J410),"Implied",TRUE,""))</f>
        <v/>
      </c>
      <c r="AU410" s="421" t="n"/>
    </row>
    <row r="411" outlineLevel="1" s="923">
      <c r="X411">
        <f>IF(AND(E411&lt;&gt;"",E411&lt;&gt;"Vacant",E411&lt;&gt;"Reserved",C411&lt;&gt;"",D411&lt;&gt;""),C411&amp;"|"&amp;D411,"")</f>
        <v/>
      </c>
      <c r="Y411">
        <f>IF(AND(C411&lt;&gt;"",D411&lt;&gt;""),C411&amp;"|"&amp;D411,"")</f>
        <v/>
      </c>
      <c r="AA411" s="421" t="n"/>
      <c r="AB411" s="479" t="n"/>
      <c r="AP411" s="1007">
        <f>SUM(AJ411:AN411)</f>
        <v/>
      </c>
      <c r="AT411">
        <f t="array" ref="AT411">IF(E411&lt;&gt;"Occupied","",_xlfn.IFS(AND(ISNUMBER(AC411),AC411&lt;&gt;0),"Structured",ISNUMBER(SEARCH("/mo con",T411)),"Notes-parsed",ISNUMBER(SEARCH("step",T411)),"Step-up",ISNUMBER(SEARCH("swap",T411)),"Rate-swap",AND(ISNUMBER(I411),ISNUMBER(J411),I411&gt;J411),"Implied",TRUE,""))</f>
        <v/>
      </c>
      <c r="AU411" s="421" t="n"/>
    </row>
    <row r="412" outlineLevel="1" s="923">
      <c r="X412">
        <f>IF(AND(E412&lt;&gt;"",E412&lt;&gt;"Vacant",E412&lt;&gt;"Reserved",C412&lt;&gt;"",D412&lt;&gt;""),C412&amp;"|"&amp;D412,"")</f>
        <v/>
      </c>
      <c r="Y412">
        <f>IF(AND(C412&lt;&gt;"",D412&lt;&gt;""),C412&amp;"|"&amp;D412,"")</f>
        <v/>
      </c>
      <c r="AA412" s="421" t="n"/>
      <c r="AB412" s="479" t="n"/>
      <c r="AP412" s="1007">
        <f>SUM(AJ412:AN412)</f>
        <v/>
      </c>
      <c r="AT412">
        <f t="array" ref="AT412">IF(E412&lt;&gt;"Occupied","",_xlfn.IFS(AND(ISNUMBER(AC412),AC412&lt;&gt;0),"Structured",ISNUMBER(SEARCH("/mo con",T412)),"Notes-parsed",ISNUMBER(SEARCH("step",T412)),"Step-up",ISNUMBER(SEARCH("swap",T412)),"Rate-swap",AND(ISNUMBER(I412),ISNUMBER(J412),I412&gt;J412),"Implied",TRUE,""))</f>
        <v/>
      </c>
      <c r="AU412" s="421" t="n"/>
    </row>
    <row r="413" outlineLevel="1" s="923">
      <c r="X413">
        <f>IF(AND(E413&lt;&gt;"",E413&lt;&gt;"Vacant",E413&lt;&gt;"Reserved",C413&lt;&gt;"",D413&lt;&gt;""),C413&amp;"|"&amp;D413,"")</f>
        <v/>
      </c>
      <c r="Y413">
        <f>IF(AND(C413&lt;&gt;"",D413&lt;&gt;""),C413&amp;"|"&amp;D413,"")</f>
        <v/>
      </c>
      <c r="AA413" s="421" t="n"/>
      <c r="AB413" s="479" t="n"/>
      <c r="AP413" s="1007">
        <f>SUM(AJ413:AN413)</f>
        <v/>
      </c>
      <c r="AT413">
        <f t="array" ref="AT413">IF(E413&lt;&gt;"Occupied","",_xlfn.IFS(AND(ISNUMBER(AC413),AC413&lt;&gt;0),"Structured",ISNUMBER(SEARCH("/mo con",T413)),"Notes-parsed",ISNUMBER(SEARCH("step",T413)),"Step-up",ISNUMBER(SEARCH("swap",T413)),"Rate-swap",AND(ISNUMBER(I413),ISNUMBER(J413),I413&gt;J413),"Implied",TRUE,""))</f>
        <v/>
      </c>
      <c r="AU413" s="421" t="n"/>
    </row>
    <row r="414" outlineLevel="1" s="923">
      <c r="X414">
        <f>IF(AND(E414&lt;&gt;"",E414&lt;&gt;"Vacant",E414&lt;&gt;"Reserved",C414&lt;&gt;"",D414&lt;&gt;""),C414&amp;"|"&amp;D414,"")</f>
        <v/>
      </c>
      <c r="Y414">
        <f>IF(AND(C414&lt;&gt;"",D414&lt;&gt;""),C414&amp;"|"&amp;D414,"")</f>
        <v/>
      </c>
      <c r="AA414" s="421" t="n"/>
      <c r="AB414" s="479" t="n"/>
      <c r="AP414" s="1007">
        <f>SUM(AJ414:AN414)</f>
        <v/>
      </c>
      <c r="AT414">
        <f t="array" ref="AT414">IF(E414&lt;&gt;"Occupied","",_xlfn.IFS(AND(ISNUMBER(AC414),AC414&lt;&gt;0),"Structured",ISNUMBER(SEARCH("/mo con",T414)),"Notes-parsed",ISNUMBER(SEARCH("step",T414)),"Step-up",ISNUMBER(SEARCH("swap",T414)),"Rate-swap",AND(ISNUMBER(I414),ISNUMBER(J414),I414&gt;J414),"Implied",TRUE,""))</f>
        <v/>
      </c>
      <c r="AU414" s="421" t="n"/>
    </row>
    <row r="415" outlineLevel="1" s="923">
      <c r="X415">
        <f>IF(AND(E415&lt;&gt;"",E415&lt;&gt;"Vacant",E415&lt;&gt;"Reserved",C415&lt;&gt;"",D415&lt;&gt;""),C415&amp;"|"&amp;D415,"")</f>
        <v/>
      </c>
      <c r="Y415">
        <f>IF(AND(C415&lt;&gt;"",D415&lt;&gt;""),C415&amp;"|"&amp;D415,"")</f>
        <v/>
      </c>
      <c r="AA415" s="421" t="n"/>
      <c r="AB415" s="479" t="n"/>
      <c r="AP415" s="1007">
        <f>SUM(AJ415:AN415)</f>
        <v/>
      </c>
      <c r="AT415">
        <f t="array" ref="AT415">IF(E415&lt;&gt;"Occupied","",_xlfn.IFS(AND(ISNUMBER(AC415),AC415&lt;&gt;0),"Structured",ISNUMBER(SEARCH("/mo con",T415)),"Notes-parsed",ISNUMBER(SEARCH("step",T415)),"Step-up",ISNUMBER(SEARCH("swap",T415)),"Rate-swap",AND(ISNUMBER(I415),ISNUMBER(J415),I415&gt;J415),"Implied",TRUE,""))</f>
        <v/>
      </c>
      <c r="AU415" s="421" t="n"/>
    </row>
    <row r="416" outlineLevel="1" s="923">
      <c r="X416">
        <f>IF(AND(E416&lt;&gt;"",E416&lt;&gt;"Vacant",E416&lt;&gt;"Reserved",C416&lt;&gt;"",D416&lt;&gt;""),C416&amp;"|"&amp;D416,"")</f>
        <v/>
      </c>
      <c r="Y416">
        <f>IF(AND(C416&lt;&gt;"",D416&lt;&gt;""),C416&amp;"|"&amp;D416,"")</f>
        <v/>
      </c>
      <c r="AA416" s="421" t="n"/>
      <c r="AB416" s="479" t="n"/>
      <c r="AP416" s="1007">
        <f>SUM(AJ416:AN416)</f>
        <v/>
      </c>
      <c r="AT416">
        <f t="array" ref="AT416">IF(E416&lt;&gt;"Occupied","",_xlfn.IFS(AND(ISNUMBER(AC416),AC416&lt;&gt;0),"Structured",ISNUMBER(SEARCH("/mo con",T416)),"Notes-parsed",ISNUMBER(SEARCH("step",T416)),"Step-up",ISNUMBER(SEARCH("swap",T416)),"Rate-swap",AND(ISNUMBER(I416),ISNUMBER(J416),I416&gt;J416),"Implied",TRUE,""))</f>
        <v/>
      </c>
      <c r="AU416" s="421" t="n"/>
    </row>
    <row r="417" outlineLevel="1" s="923">
      <c r="X417">
        <f>IF(AND(E417&lt;&gt;"",E417&lt;&gt;"Vacant",E417&lt;&gt;"Reserved",C417&lt;&gt;"",D417&lt;&gt;""),C417&amp;"|"&amp;D417,"")</f>
        <v/>
      </c>
      <c r="Y417">
        <f>IF(AND(C417&lt;&gt;"",D417&lt;&gt;""),C417&amp;"|"&amp;D417,"")</f>
        <v/>
      </c>
      <c r="AA417" s="421" t="n"/>
      <c r="AB417" s="479" t="n"/>
      <c r="AP417" s="1007">
        <f>SUM(AJ417:AN417)</f>
        <v/>
      </c>
      <c r="AT417">
        <f t="array" ref="AT417">IF(E417&lt;&gt;"Occupied","",_xlfn.IFS(AND(ISNUMBER(AC417),AC417&lt;&gt;0),"Structured",ISNUMBER(SEARCH("/mo con",T417)),"Notes-parsed",ISNUMBER(SEARCH("step",T417)),"Step-up",ISNUMBER(SEARCH("swap",T417)),"Rate-swap",AND(ISNUMBER(I417),ISNUMBER(J417),I417&gt;J417),"Implied",TRUE,""))</f>
        <v/>
      </c>
      <c r="AU417" s="421" t="n"/>
    </row>
    <row r="418" outlineLevel="1" s="923">
      <c r="X418">
        <f>IF(AND(E418&lt;&gt;"",E418&lt;&gt;"Vacant",E418&lt;&gt;"Reserved",C418&lt;&gt;"",D418&lt;&gt;""),C418&amp;"|"&amp;D418,"")</f>
        <v/>
      </c>
      <c r="Y418">
        <f>IF(AND(C418&lt;&gt;"",D418&lt;&gt;""),C418&amp;"|"&amp;D418,"")</f>
        <v/>
      </c>
      <c r="AA418" s="421" t="n"/>
      <c r="AB418" s="479" t="n"/>
      <c r="AP418" s="1007">
        <f>SUM(AJ418:AN418)</f>
        <v/>
      </c>
      <c r="AT418">
        <f t="array" ref="AT418">IF(E418&lt;&gt;"Occupied","",_xlfn.IFS(AND(ISNUMBER(AC418),AC418&lt;&gt;0),"Structured",ISNUMBER(SEARCH("/mo con",T418)),"Notes-parsed",ISNUMBER(SEARCH("step",T418)),"Step-up",ISNUMBER(SEARCH("swap",T418)),"Rate-swap",AND(ISNUMBER(I418),ISNUMBER(J418),I418&gt;J418),"Implied",TRUE,""))</f>
        <v/>
      </c>
      <c r="AU418" s="421" t="n"/>
    </row>
    <row r="419" outlineLevel="1" s="923">
      <c r="X419">
        <f>IF(AND(E419&lt;&gt;"",E419&lt;&gt;"Vacant",E419&lt;&gt;"Reserved",C419&lt;&gt;"",D419&lt;&gt;""),C419&amp;"|"&amp;D419,"")</f>
        <v/>
      </c>
      <c r="Y419">
        <f>IF(AND(C419&lt;&gt;"",D419&lt;&gt;""),C419&amp;"|"&amp;D419,"")</f>
        <v/>
      </c>
      <c r="AA419" s="421" t="n"/>
      <c r="AB419" s="479" t="n"/>
      <c r="AP419" s="1007">
        <f>SUM(AJ419:AN419)</f>
        <v/>
      </c>
      <c r="AT419">
        <f t="array" ref="AT419">IF(E419&lt;&gt;"Occupied","",_xlfn.IFS(AND(ISNUMBER(AC419),AC419&lt;&gt;0),"Structured",ISNUMBER(SEARCH("/mo con",T419)),"Notes-parsed",ISNUMBER(SEARCH("step",T419)),"Step-up",ISNUMBER(SEARCH("swap",T419)),"Rate-swap",AND(ISNUMBER(I419),ISNUMBER(J419),I419&gt;J419),"Implied",TRUE,""))</f>
        <v/>
      </c>
      <c r="AU419" s="421" t="n"/>
    </row>
    <row r="420" outlineLevel="1" s="923">
      <c r="X420">
        <f>IF(AND(E420&lt;&gt;"",E420&lt;&gt;"Vacant",E420&lt;&gt;"Reserved",C420&lt;&gt;"",D420&lt;&gt;""),C420&amp;"|"&amp;D420,"")</f>
        <v/>
      </c>
      <c r="Y420">
        <f>IF(AND(C420&lt;&gt;"",D420&lt;&gt;""),C420&amp;"|"&amp;D420,"")</f>
        <v/>
      </c>
      <c r="AA420" s="421" t="n"/>
      <c r="AB420" s="479" t="n"/>
      <c r="AP420" s="1007">
        <f>SUM(AJ420:AN420)</f>
        <v/>
      </c>
      <c r="AT420">
        <f t="array" ref="AT420">IF(E420&lt;&gt;"Occupied","",_xlfn.IFS(AND(ISNUMBER(AC420),AC420&lt;&gt;0),"Structured",ISNUMBER(SEARCH("/mo con",T420)),"Notes-parsed",ISNUMBER(SEARCH("step",T420)),"Step-up",ISNUMBER(SEARCH("swap",T420)),"Rate-swap",AND(ISNUMBER(I420),ISNUMBER(J420),I420&gt;J420),"Implied",TRUE,""))</f>
        <v/>
      </c>
      <c r="AU420" s="421" t="n"/>
    </row>
    <row r="421" outlineLevel="1" s="923">
      <c r="X421">
        <f>IF(AND(E421&lt;&gt;"",E421&lt;&gt;"Vacant",E421&lt;&gt;"Reserved",C421&lt;&gt;"",D421&lt;&gt;""),C421&amp;"|"&amp;D421,"")</f>
        <v/>
      </c>
      <c r="Y421">
        <f>IF(AND(C421&lt;&gt;"",D421&lt;&gt;""),C421&amp;"|"&amp;D421,"")</f>
        <v/>
      </c>
      <c r="AA421" s="421" t="n"/>
      <c r="AB421" s="479" t="n"/>
      <c r="AP421" s="1007">
        <f>SUM(AJ421:AN421)</f>
        <v/>
      </c>
      <c r="AT421">
        <f t="array" ref="AT421">IF(E421&lt;&gt;"Occupied","",_xlfn.IFS(AND(ISNUMBER(AC421),AC421&lt;&gt;0),"Structured",ISNUMBER(SEARCH("/mo con",T421)),"Notes-parsed",ISNUMBER(SEARCH("step",T421)),"Step-up",ISNUMBER(SEARCH("swap",T421)),"Rate-swap",AND(ISNUMBER(I421),ISNUMBER(J421),I421&gt;J421),"Implied",TRUE,""))</f>
        <v/>
      </c>
      <c r="AU421" s="421" t="n"/>
    </row>
    <row r="422" outlineLevel="1" s="923">
      <c r="X422">
        <f>IF(AND(E422&lt;&gt;"",E422&lt;&gt;"Vacant",E422&lt;&gt;"Reserved",C422&lt;&gt;"",D422&lt;&gt;""),C422&amp;"|"&amp;D422,"")</f>
        <v/>
      </c>
      <c r="Y422">
        <f>IF(AND(C422&lt;&gt;"",D422&lt;&gt;""),C422&amp;"|"&amp;D422,"")</f>
        <v/>
      </c>
      <c r="AA422" s="421" t="n"/>
      <c r="AB422" s="479" t="n"/>
      <c r="AP422" s="1007">
        <f>SUM(AJ422:AN422)</f>
        <v/>
      </c>
      <c r="AT422">
        <f t="array" ref="AT422">IF(E422&lt;&gt;"Occupied","",_xlfn.IFS(AND(ISNUMBER(AC422),AC422&lt;&gt;0),"Structured",ISNUMBER(SEARCH("/mo con",T422)),"Notes-parsed",ISNUMBER(SEARCH("step",T422)),"Step-up",ISNUMBER(SEARCH("swap",T422)),"Rate-swap",AND(ISNUMBER(I422),ISNUMBER(J422),I422&gt;J422),"Implied",TRUE,""))</f>
        <v/>
      </c>
      <c r="AU422" s="421" t="n"/>
    </row>
    <row r="423" outlineLevel="1" s="923">
      <c r="X423">
        <f>IF(AND(E423&lt;&gt;"",E423&lt;&gt;"Vacant",E423&lt;&gt;"Reserved",C423&lt;&gt;"",D423&lt;&gt;""),C423&amp;"|"&amp;D423,"")</f>
        <v/>
      </c>
      <c r="Y423">
        <f>IF(AND(C423&lt;&gt;"",D423&lt;&gt;""),C423&amp;"|"&amp;D423,"")</f>
        <v/>
      </c>
      <c r="AA423" s="421" t="n"/>
      <c r="AB423" s="479" t="n"/>
      <c r="AP423" s="1007">
        <f>SUM(AJ423:AN423)</f>
        <v/>
      </c>
      <c r="AT423">
        <f t="array" ref="AT423">IF(E423&lt;&gt;"Occupied","",_xlfn.IFS(AND(ISNUMBER(AC423),AC423&lt;&gt;0),"Structured",ISNUMBER(SEARCH("/mo con",T423)),"Notes-parsed",ISNUMBER(SEARCH("step",T423)),"Step-up",ISNUMBER(SEARCH("swap",T423)),"Rate-swap",AND(ISNUMBER(I423),ISNUMBER(J423),I423&gt;J423),"Implied",TRUE,""))</f>
        <v/>
      </c>
      <c r="AU423" s="421" t="n"/>
    </row>
    <row r="424" outlineLevel="1" s="923">
      <c r="X424">
        <f>IF(AND(E424&lt;&gt;"",E424&lt;&gt;"Vacant",E424&lt;&gt;"Reserved",C424&lt;&gt;"",D424&lt;&gt;""),C424&amp;"|"&amp;D424,"")</f>
        <v/>
      </c>
      <c r="Y424">
        <f>IF(AND(C424&lt;&gt;"",D424&lt;&gt;""),C424&amp;"|"&amp;D424,"")</f>
        <v/>
      </c>
      <c r="AA424" s="421" t="n"/>
      <c r="AB424" s="479" t="n"/>
      <c r="AP424" s="1007">
        <f>SUM(AJ424:AN424)</f>
        <v/>
      </c>
      <c r="AT424">
        <f t="array" ref="AT424">IF(E424&lt;&gt;"Occupied","",_xlfn.IFS(AND(ISNUMBER(AC424),AC424&lt;&gt;0),"Structured",ISNUMBER(SEARCH("/mo con",T424)),"Notes-parsed",ISNUMBER(SEARCH("step",T424)),"Step-up",ISNUMBER(SEARCH("swap",T424)),"Rate-swap",AND(ISNUMBER(I424),ISNUMBER(J424),I424&gt;J424),"Implied",TRUE,""))</f>
        <v/>
      </c>
      <c r="AU424" s="421" t="n"/>
    </row>
    <row r="425" outlineLevel="1" s="923">
      <c r="X425">
        <f>IF(AND(E425&lt;&gt;"",E425&lt;&gt;"Vacant",E425&lt;&gt;"Reserved",C425&lt;&gt;"",D425&lt;&gt;""),C425&amp;"|"&amp;D425,"")</f>
        <v/>
      </c>
      <c r="Y425">
        <f>IF(AND(C425&lt;&gt;"",D425&lt;&gt;""),C425&amp;"|"&amp;D425,"")</f>
        <v/>
      </c>
      <c r="AA425" s="421" t="n"/>
      <c r="AB425" s="479" t="n"/>
      <c r="AP425" s="1007">
        <f>SUM(AJ425:AN425)</f>
        <v/>
      </c>
      <c r="AT425">
        <f t="array" ref="AT425">IF(E425&lt;&gt;"Occupied","",_xlfn.IFS(AND(ISNUMBER(AC425),AC425&lt;&gt;0),"Structured",ISNUMBER(SEARCH("/mo con",T425)),"Notes-parsed",ISNUMBER(SEARCH("step",T425)),"Step-up",ISNUMBER(SEARCH("swap",T425)),"Rate-swap",AND(ISNUMBER(I425),ISNUMBER(J425),I425&gt;J425),"Implied",TRUE,""))</f>
        <v/>
      </c>
      <c r="AU425" s="421" t="n"/>
    </row>
    <row r="426" outlineLevel="1" s="923">
      <c r="X426">
        <f>IF(AND(E426&lt;&gt;"",E426&lt;&gt;"Vacant",E426&lt;&gt;"Reserved",C426&lt;&gt;"",D426&lt;&gt;""),C426&amp;"|"&amp;D426,"")</f>
        <v/>
      </c>
      <c r="Y426">
        <f>IF(AND(C426&lt;&gt;"",D426&lt;&gt;""),C426&amp;"|"&amp;D426,"")</f>
        <v/>
      </c>
      <c r="AA426" s="421" t="n"/>
      <c r="AB426" s="479" t="n"/>
      <c r="AP426" s="1007">
        <f>SUM(AJ426:AN426)</f>
        <v/>
      </c>
      <c r="AT426">
        <f t="array" ref="AT426">IF(E426&lt;&gt;"Occupied","",_xlfn.IFS(AND(ISNUMBER(AC426),AC426&lt;&gt;0),"Structured",ISNUMBER(SEARCH("/mo con",T426)),"Notes-parsed",ISNUMBER(SEARCH("step",T426)),"Step-up",ISNUMBER(SEARCH("swap",T426)),"Rate-swap",AND(ISNUMBER(I426),ISNUMBER(J426),I426&gt;J426),"Implied",TRUE,""))</f>
        <v/>
      </c>
      <c r="AU426" s="421">
        <f>IF(AC426&lt;&gt;"",AC426,IF(AT426="Implied",-(I426-J426),IF(OR(AT426="Step-up",AT426="Rate-swap"),"see notes","")))</f>
        <v/>
      </c>
    </row>
    <row r="427" outlineLevel="1" s="923">
      <c r="X427">
        <f>IF(AND(E427&lt;&gt;"",E427&lt;&gt;"Vacant",E427&lt;&gt;"Reserved",C427&lt;&gt;"",D427&lt;&gt;""),C427&amp;"|"&amp;D427,"")</f>
        <v/>
      </c>
      <c r="Y427">
        <f>IF(AND(C427&lt;&gt;"",D427&lt;&gt;""),C427&amp;"|"&amp;D427,"")</f>
        <v/>
      </c>
      <c r="AA427" s="421" t="n"/>
      <c r="AB427" s="479" t="n"/>
      <c r="AP427" s="1007">
        <f>SUM(AJ427:AN427)</f>
        <v/>
      </c>
      <c r="AT427">
        <f t="array" ref="AT427">IF(E427&lt;&gt;"Occupied","",_xlfn.IFS(AND(ISNUMBER(AC427),AC427&lt;&gt;0),"Structured",ISNUMBER(SEARCH("/mo con",T427)),"Notes-parsed",ISNUMBER(SEARCH("step",T427)),"Step-up",ISNUMBER(SEARCH("swap",T427)),"Rate-swap",AND(ISNUMBER(I427),ISNUMBER(J427),I427&gt;J427),"Implied",TRUE,""))</f>
        <v/>
      </c>
      <c r="AU427" s="421">
        <f>IF(AC427&lt;&gt;"",AC427,IF(AT427="Implied",-(I427-J427),IF(OR(AT427="Step-up",AT427="Rate-swap"),"see notes","")))</f>
        <v/>
      </c>
    </row>
    <row r="428" outlineLevel="1" s="923">
      <c r="X428">
        <f>IF(AND(E428&lt;&gt;"",E428&lt;&gt;"Vacant",E428&lt;&gt;"Reserved",C428&lt;&gt;"",D428&lt;&gt;""),C428&amp;"|"&amp;D428,"")</f>
        <v/>
      </c>
      <c r="Y428">
        <f>IF(AND(C428&lt;&gt;"",D428&lt;&gt;""),C428&amp;"|"&amp;D428,"")</f>
        <v/>
      </c>
      <c r="AA428" s="421" t="n"/>
      <c r="AB428" s="479" t="n"/>
      <c r="AP428" s="1007">
        <f>SUM(AJ428:AN428)</f>
        <v/>
      </c>
      <c r="AT428">
        <f t="array" ref="AT428">IF(E428&lt;&gt;"Occupied","",_xlfn.IFS(AND(ISNUMBER(AC428),AC428&lt;&gt;0),"Structured",ISNUMBER(SEARCH("/mo con",T428)),"Notes-parsed",ISNUMBER(SEARCH("step",T428)),"Step-up",ISNUMBER(SEARCH("swap",T428)),"Rate-swap",AND(ISNUMBER(I428),ISNUMBER(J428),I428&gt;J428),"Implied",TRUE,""))</f>
        <v/>
      </c>
      <c r="AU428" s="421">
        <f>IF(AC428&lt;&gt;"",AC428,IF(AT428="Implied",-(I428-J428),IF(OR(AT428="Step-up",AT428="Rate-swap"),"see notes","")))</f>
        <v/>
      </c>
    </row>
    <row r="429" outlineLevel="1" s="923">
      <c r="X429">
        <f>IF(AND(E429&lt;&gt;"",E429&lt;&gt;"Vacant",E429&lt;&gt;"Reserved",C429&lt;&gt;"",D429&lt;&gt;""),C429&amp;"|"&amp;D429,"")</f>
        <v/>
      </c>
      <c r="Y429">
        <f>IF(AND(C429&lt;&gt;"",D429&lt;&gt;""),C429&amp;"|"&amp;D429,"")</f>
        <v/>
      </c>
      <c r="AA429" s="421" t="n"/>
      <c r="AB429" s="479" t="n"/>
      <c r="AP429" s="1007">
        <f>SUM(AJ429:AN429)</f>
        <v/>
      </c>
      <c r="AT429">
        <f t="array" ref="AT429">IF(E429&lt;&gt;"Occupied","",_xlfn.IFS(AND(ISNUMBER(AC429),AC429&lt;&gt;0),"Structured",ISNUMBER(SEARCH("/mo con",T429)),"Notes-parsed",ISNUMBER(SEARCH("step",T429)),"Step-up",ISNUMBER(SEARCH("swap",T429)),"Rate-swap",AND(ISNUMBER(I429),ISNUMBER(J429),I429&gt;J429),"Implied",TRUE,""))</f>
        <v/>
      </c>
      <c r="AU429" s="421">
        <f>IF(AC429&lt;&gt;"",AC429,IF(AT429="Implied",-(I429-J429),IF(OR(AT429="Step-up",AT429="Rate-swap"),"see notes","")))</f>
        <v/>
      </c>
    </row>
    <row r="430" outlineLevel="1" s="923">
      <c r="X430">
        <f>IF(AND(E430&lt;&gt;"",E430&lt;&gt;"Vacant",E430&lt;&gt;"Reserved",C430&lt;&gt;"",D430&lt;&gt;""),C430&amp;"|"&amp;D430,"")</f>
        <v/>
      </c>
      <c r="Y430">
        <f>IF(AND(C430&lt;&gt;"",D430&lt;&gt;""),C430&amp;"|"&amp;D430,"")</f>
        <v/>
      </c>
      <c r="AA430" s="421" t="n"/>
      <c r="AB430" s="479" t="n"/>
      <c r="AP430" s="1007">
        <f>SUM(AJ430:AN430)</f>
        <v/>
      </c>
      <c r="AT430">
        <f t="array" ref="AT430">IF(E430&lt;&gt;"Occupied","",_xlfn.IFS(AND(ISNUMBER(AC430),AC430&lt;&gt;0),"Structured",ISNUMBER(SEARCH("/mo con",T430)),"Notes-parsed",ISNUMBER(SEARCH("step",T430)),"Step-up",ISNUMBER(SEARCH("swap",T430)),"Rate-swap",AND(ISNUMBER(I430),ISNUMBER(J430),I430&gt;J430),"Implied",TRUE,""))</f>
        <v/>
      </c>
      <c r="AU430" s="421">
        <f>IF(AC430&lt;&gt;"",AC430,IF(AT430="Implied",-(I430-J430),IF(OR(AT430="Step-up",AT430="Rate-swap"),"see notes","")))</f>
        <v/>
      </c>
    </row>
    <row r="431" outlineLevel="1" s="923">
      <c r="X431">
        <f>IF(AND(E431&lt;&gt;"",E431&lt;&gt;"Vacant",E431&lt;&gt;"Reserved",C431&lt;&gt;"",D431&lt;&gt;""),C431&amp;"|"&amp;D431,"")</f>
        <v/>
      </c>
      <c r="Y431">
        <f>IF(AND(C431&lt;&gt;"",D431&lt;&gt;""),C431&amp;"|"&amp;D431,"")</f>
        <v/>
      </c>
      <c r="AA431" s="421" t="n"/>
      <c r="AB431" s="479" t="n"/>
      <c r="AP431" s="1007">
        <f>SUM(AJ431:AN431)</f>
        <v/>
      </c>
      <c r="AT431">
        <f t="array" ref="AT431">IF(E431&lt;&gt;"Occupied","",_xlfn.IFS(AND(ISNUMBER(AC431),AC431&lt;&gt;0),"Structured",ISNUMBER(SEARCH("/mo con",T431)),"Notes-parsed",ISNUMBER(SEARCH("step",T431)),"Step-up",ISNUMBER(SEARCH("swap",T431)),"Rate-swap",AND(ISNUMBER(I431),ISNUMBER(J431),I431&gt;J431),"Implied",TRUE,""))</f>
        <v/>
      </c>
      <c r="AU431" s="421">
        <f>IF(AC431&lt;&gt;"",AC431,IF(AT431="Implied",-(I431-J431),IF(OR(AT431="Step-up",AT431="Rate-swap"),"see notes","")))</f>
        <v/>
      </c>
    </row>
    <row r="432" outlineLevel="1" s="923">
      <c r="X432">
        <f>IF(AND(E432&lt;&gt;"",E432&lt;&gt;"Vacant",E432&lt;&gt;"Reserved",C432&lt;&gt;"",D432&lt;&gt;""),C432&amp;"|"&amp;D432,"")</f>
        <v/>
      </c>
      <c r="Y432">
        <f>IF(AND(C432&lt;&gt;"",D432&lt;&gt;""),C432&amp;"|"&amp;D432,"")</f>
        <v/>
      </c>
      <c r="AA432" s="421" t="n"/>
      <c r="AB432" s="479" t="n"/>
      <c r="AP432" s="1007">
        <f>SUM(AJ432:AN432)</f>
        <v/>
      </c>
      <c r="AT432">
        <f t="array" ref="AT432">IF(E432&lt;&gt;"Occupied","",_xlfn.IFS(AND(ISNUMBER(AC432),AC432&lt;&gt;0),"Structured",ISNUMBER(SEARCH("/mo con",T432)),"Notes-parsed",ISNUMBER(SEARCH("step",T432)),"Step-up",ISNUMBER(SEARCH("swap",T432)),"Rate-swap",AND(ISNUMBER(I432),ISNUMBER(J432),I432&gt;J432),"Implied",TRUE,""))</f>
        <v/>
      </c>
      <c r="AU432" s="421">
        <f>IF(AC432&lt;&gt;"",AC432,IF(AT432="Implied",-(I432-J432),IF(OR(AT432="Step-up",AT432="Rate-swap"),"see notes","")))</f>
        <v/>
      </c>
    </row>
    <row r="433" outlineLevel="1" s="923">
      <c r="X433">
        <f>IF(AND(E433&lt;&gt;"",E433&lt;&gt;"Vacant",E433&lt;&gt;"Reserved",C433&lt;&gt;"",D433&lt;&gt;""),C433&amp;"|"&amp;D433,"")</f>
        <v/>
      </c>
      <c r="Y433">
        <f>IF(AND(C433&lt;&gt;"",D433&lt;&gt;""),C433&amp;"|"&amp;D433,"")</f>
        <v/>
      </c>
      <c r="AA433" s="421" t="n"/>
      <c r="AB433" s="479" t="n"/>
      <c r="AP433" s="1007">
        <f>SUM(AJ433:AN433)</f>
        <v/>
      </c>
      <c r="AT433">
        <f t="array" ref="AT433">IF(E433&lt;&gt;"Occupied","",_xlfn.IFS(AND(ISNUMBER(AC433),AC433&lt;&gt;0),"Structured",ISNUMBER(SEARCH("/mo con",T433)),"Notes-parsed",ISNUMBER(SEARCH("step",T433)),"Step-up",ISNUMBER(SEARCH("swap",T433)),"Rate-swap",AND(ISNUMBER(I433),ISNUMBER(J433),I433&gt;J433),"Implied",TRUE,""))</f>
        <v/>
      </c>
      <c r="AU433" s="421">
        <f>IF(AC433&lt;&gt;"",AC433,IF(AT433="Implied",-(I433-J433),IF(OR(AT433="Step-up",AT433="Rate-swap"),"see notes","")))</f>
        <v/>
      </c>
    </row>
    <row r="434" outlineLevel="1" s="923">
      <c r="X434">
        <f>IF(AND(E434&lt;&gt;"",E434&lt;&gt;"Vacant",E434&lt;&gt;"Reserved",C434&lt;&gt;"",D434&lt;&gt;""),C434&amp;"|"&amp;D434,"")</f>
        <v/>
      </c>
      <c r="Y434">
        <f>IF(AND(C434&lt;&gt;"",D434&lt;&gt;""),C434&amp;"|"&amp;D434,"")</f>
        <v/>
      </c>
      <c r="AA434" s="421" t="n"/>
      <c r="AB434" s="479" t="n"/>
      <c r="AP434" s="1007">
        <f>SUM(AJ434:AN434)</f>
        <v/>
      </c>
      <c r="AT434">
        <f t="array" ref="AT434">IF(E434&lt;&gt;"Occupied","",_xlfn.IFS(AND(ISNUMBER(AC434),AC434&lt;&gt;0),"Structured",ISNUMBER(SEARCH("/mo con",T434)),"Notes-parsed",ISNUMBER(SEARCH("step",T434)),"Step-up",ISNUMBER(SEARCH("swap",T434)),"Rate-swap",AND(ISNUMBER(I434),ISNUMBER(J434),I434&gt;J434),"Implied",TRUE,""))</f>
        <v/>
      </c>
      <c r="AU434" s="421">
        <f>IF(AC434&lt;&gt;"",AC434,IF(AT434="Implied",-(I434-J434),IF(OR(AT434="Step-up",AT434="Rate-swap"),"see notes","")))</f>
        <v/>
      </c>
    </row>
    <row r="435" outlineLevel="1" s="923">
      <c r="X435">
        <f>IF(AND(E435&lt;&gt;"",E435&lt;&gt;"Vacant",E435&lt;&gt;"Reserved",C435&lt;&gt;"",D435&lt;&gt;""),C435&amp;"|"&amp;D435,"")</f>
        <v/>
      </c>
      <c r="Y435">
        <f>IF(AND(C435&lt;&gt;"",D435&lt;&gt;""),C435&amp;"|"&amp;D435,"")</f>
        <v/>
      </c>
      <c r="AA435" s="421" t="n"/>
      <c r="AB435" s="479" t="n"/>
      <c r="AP435" s="1007">
        <f>SUM(AJ435:AN435)</f>
        <v/>
      </c>
      <c r="AT435">
        <f t="array" ref="AT435">IF(E435&lt;&gt;"Occupied","",_xlfn.IFS(AND(ISNUMBER(AC435),AC435&lt;&gt;0),"Structured",ISNUMBER(SEARCH("/mo con",T435)),"Notes-parsed",ISNUMBER(SEARCH("step",T435)),"Step-up",ISNUMBER(SEARCH("swap",T435)),"Rate-swap",AND(ISNUMBER(I435),ISNUMBER(J435),I435&gt;J435),"Implied",TRUE,""))</f>
        <v/>
      </c>
      <c r="AU435" s="421">
        <f>IF(AC435&lt;&gt;"",AC435,IF(AT435="Implied",-(I435-J435),IF(OR(AT435="Step-up",AT435="Rate-swap"),"see notes","")))</f>
        <v/>
      </c>
    </row>
    <row r="436" outlineLevel="1" s="923">
      <c r="X436">
        <f>IF(AND(E436&lt;&gt;"",E436&lt;&gt;"Vacant",E436&lt;&gt;"Reserved",C436&lt;&gt;"",D436&lt;&gt;""),C436&amp;"|"&amp;D436,"")</f>
        <v/>
      </c>
      <c r="Y436">
        <f>IF(AND(C436&lt;&gt;"",D436&lt;&gt;""),C436&amp;"|"&amp;D436,"")</f>
        <v/>
      </c>
      <c r="AA436" s="421" t="n"/>
      <c r="AB436" s="479" t="n"/>
      <c r="AP436" s="1007">
        <f>SUM(AJ436:AN436)</f>
        <v/>
      </c>
      <c r="AT436">
        <f t="array" ref="AT436">IF(E436&lt;&gt;"Occupied","",_xlfn.IFS(AND(ISNUMBER(AC436),AC436&lt;&gt;0),"Structured",ISNUMBER(SEARCH("/mo con",T436)),"Notes-parsed",ISNUMBER(SEARCH("step",T436)),"Step-up",ISNUMBER(SEARCH("swap",T436)),"Rate-swap",AND(ISNUMBER(I436),ISNUMBER(J436),I436&gt;J436),"Implied",TRUE,""))</f>
        <v/>
      </c>
      <c r="AU436" s="421">
        <f>IF(AC436&lt;&gt;"",AC436,IF(AT436="Implied",-(I436-J436),IF(OR(AT436="Step-up",AT436="Rate-swap"),"see notes","")))</f>
        <v/>
      </c>
    </row>
    <row r="437" outlineLevel="1" s="923">
      <c r="X437">
        <f>IF(AND(E437&lt;&gt;"",E437&lt;&gt;"Vacant",E437&lt;&gt;"Reserved",C437&lt;&gt;"",D437&lt;&gt;""),C437&amp;"|"&amp;D437,"")</f>
        <v/>
      </c>
      <c r="Y437">
        <f>IF(AND(C437&lt;&gt;"",D437&lt;&gt;""),C437&amp;"|"&amp;D437,"")</f>
        <v/>
      </c>
      <c r="AA437" s="421" t="n"/>
      <c r="AB437" s="479" t="n"/>
      <c r="AP437" s="1007">
        <f>SUM(AJ437:AN437)</f>
        <v/>
      </c>
      <c r="AT437">
        <f t="array" ref="AT437">IF(E437&lt;&gt;"Occupied","",_xlfn.IFS(AND(ISNUMBER(AC437),AC437&lt;&gt;0),"Structured",ISNUMBER(SEARCH("/mo con",T437)),"Notes-parsed",ISNUMBER(SEARCH("step",T437)),"Step-up",ISNUMBER(SEARCH("swap",T437)),"Rate-swap",AND(ISNUMBER(I437),ISNUMBER(J437),I437&gt;J437),"Implied",TRUE,""))</f>
        <v/>
      </c>
      <c r="AU437" s="421">
        <f>IF(AC437&lt;&gt;"",AC437,IF(AT437="Implied",-(I437-J437),IF(OR(AT437="Step-up",AT437="Rate-swap"),"see notes","")))</f>
        <v/>
      </c>
    </row>
    <row r="438" outlineLevel="1" s="923">
      <c r="X438">
        <f>IF(AND(E438&lt;&gt;"",E438&lt;&gt;"Vacant",E438&lt;&gt;"Reserved",C438&lt;&gt;"",D438&lt;&gt;""),C438&amp;"|"&amp;D438,"")</f>
        <v/>
      </c>
      <c r="Y438">
        <f>IF(AND(C438&lt;&gt;"",D438&lt;&gt;""),C438&amp;"|"&amp;D438,"")</f>
        <v/>
      </c>
      <c r="AA438" s="421" t="n"/>
      <c r="AB438" s="479" t="n"/>
      <c r="AP438" s="1007">
        <f>SUM(AJ438:AN438)</f>
        <v/>
      </c>
      <c r="AT438">
        <f t="array" ref="AT438">IF(E438&lt;&gt;"Occupied","",_xlfn.IFS(AND(ISNUMBER(AC438),AC438&lt;&gt;0),"Structured",ISNUMBER(SEARCH("/mo con",T438)),"Notes-parsed",ISNUMBER(SEARCH("step",T438)),"Step-up",ISNUMBER(SEARCH("swap",T438)),"Rate-swap",AND(ISNUMBER(I438),ISNUMBER(J438),I438&gt;J438),"Implied",TRUE,""))</f>
        <v/>
      </c>
      <c r="AU438" s="421">
        <f>IF(AC438&lt;&gt;"",AC438,IF(AT438="Implied",-(I438-J438),IF(OR(AT438="Step-up",AT438="Rate-swap"),"see notes","")))</f>
        <v/>
      </c>
    </row>
    <row r="439" outlineLevel="1" s="923">
      <c r="X439">
        <f>IF(AND(E439&lt;&gt;"",E439&lt;&gt;"Vacant",E439&lt;&gt;"Reserved",C439&lt;&gt;"",D439&lt;&gt;""),C439&amp;"|"&amp;D439,"")</f>
        <v/>
      </c>
      <c r="Y439">
        <f>IF(AND(C439&lt;&gt;"",D439&lt;&gt;""),C439&amp;"|"&amp;D439,"")</f>
        <v/>
      </c>
      <c r="AA439" s="421" t="n"/>
      <c r="AB439" s="479" t="n"/>
      <c r="AP439" s="1007">
        <f>SUM(AJ439:AN439)</f>
        <v/>
      </c>
      <c r="AT439">
        <f t="array" ref="AT439">IF(E439&lt;&gt;"Occupied","",_xlfn.IFS(AND(ISNUMBER(AC439),AC439&lt;&gt;0),"Structured",ISNUMBER(SEARCH("/mo con",T439)),"Notes-parsed",ISNUMBER(SEARCH("step",T439)),"Step-up",ISNUMBER(SEARCH("swap",T439)),"Rate-swap",AND(ISNUMBER(I439),ISNUMBER(J439),I439&gt;J439),"Implied",TRUE,""))</f>
        <v/>
      </c>
      <c r="AU439" s="421">
        <f>IF(AC439&lt;&gt;"",AC439,IF(AT439="Implied",-(I439-J439),IF(OR(AT439="Step-up",AT439="Rate-swap"),"see notes","")))</f>
        <v/>
      </c>
    </row>
    <row r="440" outlineLevel="1" s="923">
      <c r="X440">
        <f>IF(AND(E440&lt;&gt;"",E440&lt;&gt;"Vacant",E440&lt;&gt;"Reserved",C440&lt;&gt;"",D440&lt;&gt;""),C440&amp;"|"&amp;D440,"")</f>
        <v/>
      </c>
      <c r="Y440">
        <f>IF(AND(C440&lt;&gt;"",D440&lt;&gt;""),C440&amp;"|"&amp;D440,"")</f>
        <v/>
      </c>
      <c r="AA440" s="421" t="n"/>
      <c r="AB440" s="479" t="n"/>
      <c r="AP440" s="1007">
        <f>SUM(AJ440:AN440)</f>
        <v/>
      </c>
      <c r="AT440">
        <f t="array" ref="AT440">IF(E440&lt;&gt;"Occupied","",_xlfn.IFS(AND(ISNUMBER(AC440),AC440&lt;&gt;0),"Structured",ISNUMBER(SEARCH("/mo con",T440)),"Notes-parsed",ISNUMBER(SEARCH("step",T440)),"Step-up",ISNUMBER(SEARCH("swap",T440)),"Rate-swap",AND(ISNUMBER(I440),ISNUMBER(J440),I440&gt;J440),"Implied",TRUE,""))</f>
        <v/>
      </c>
      <c r="AU440" s="421">
        <f>IF(AC440&lt;&gt;"",AC440,IF(AT440="Implied",-(I440-J440),IF(OR(AT440="Step-up",AT440="Rate-swap"),"see notes","")))</f>
        <v/>
      </c>
    </row>
    <row r="441" outlineLevel="1" s="923">
      <c r="X441">
        <f>IF(AND(E441&lt;&gt;"",E441&lt;&gt;"Vacant",E441&lt;&gt;"Reserved",C441&lt;&gt;"",D441&lt;&gt;""),C441&amp;"|"&amp;D441,"")</f>
        <v/>
      </c>
      <c r="Y441">
        <f>IF(AND(C441&lt;&gt;"",D441&lt;&gt;""),C441&amp;"|"&amp;D441,"")</f>
        <v/>
      </c>
      <c r="AA441" s="421" t="n"/>
      <c r="AB441" s="479" t="n"/>
      <c r="AP441" s="1007">
        <f>SUM(AJ441:AN441)</f>
        <v/>
      </c>
      <c r="AT441">
        <f t="array" ref="AT441">IF(E441&lt;&gt;"Occupied","",_xlfn.IFS(AND(ISNUMBER(AC441),AC441&lt;&gt;0),"Structured",ISNUMBER(SEARCH("/mo con",T441)),"Notes-parsed",ISNUMBER(SEARCH("step",T441)),"Step-up",ISNUMBER(SEARCH("swap",T441)),"Rate-swap",AND(ISNUMBER(I441),ISNUMBER(J441),I441&gt;J441),"Implied",TRUE,""))</f>
        <v/>
      </c>
      <c r="AU441" s="421">
        <f>IF(AC441&lt;&gt;"",AC441,IF(AT441="Implied",-(I441-J441),IF(OR(AT441="Step-up",AT441="Rate-swap"),"see notes","")))</f>
        <v/>
      </c>
    </row>
    <row r="442" outlineLevel="1" s="923">
      <c r="X442">
        <f>IF(AND(E442&lt;&gt;"",E442&lt;&gt;"Vacant",E442&lt;&gt;"Reserved",C442&lt;&gt;"",D442&lt;&gt;""),C442&amp;"|"&amp;D442,"")</f>
        <v/>
      </c>
      <c r="Y442">
        <f>IF(AND(C442&lt;&gt;"",D442&lt;&gt;""),C442&amp;"|"&amp;D442,"")</f>
        <v/>
      </c>
      <c r="AA442" s="421" t="n"/>
      <c r="AB442" s="479" t="n"/>
      <c r="AP442" s="1007">
        <f>SUM(AJ442:AN442)</f>
        <v/>
      </c>
      <c r="AT442">
        <f t="array" ref="AT442">IF(E442&lt;&gt;"Occupied","",_xlfn.IFS(AND(ISNUMBER(AC442),AC442&lt;&gt;0),"Structured",ISNUMBER(SEARCH("/mo con",T442)),"Notes-parsed",ISNUMBER(SEARCH("step",T442)),"Step-up",ISNUMBER(SEARCH("swap",T442)),"Rate-swap",AND(ISNUMBER(I442),ISNUMBER(J442),I442&gt;J442),"Implied",TRUE,""))</f>
        <v/>
      </c>
      <c r="AU442" s="421">
        <f>IF(AC442&lt;&gt;"",AC442,IF(AT442="Implied",-(I442-J442),IF(OR(AT442="Step-up",AT442="Rate-swap"),"see notes","")))</f>
        <v/>
      </c>
    </row>
    <row r="443" outlineLevel="1" s="923">
      <c r="X443">
        <f>IF(AND(E443&lt;&gt;"",E443&lt;&gt;"Vacant",E443&lt;&gt;"Reserved",C443&lt;&gt;"",D443&lt;&gt;""),C443&amp;"|"&amp;D443,"")</f>
        <v/>
      </c>
      <c r="Y443">
        <f>IF(AND(C443&lt;&gt;"",D443&lt;&gt;""),C443&amp;"|"&amp;D443,"")</f>
        <v/>
      </c>
      <c r="AA443" s="421" t="n"/>
      <c r="AB443" s="479" t="n"/>
      <c r="AP443" s="1007">
        <f>SUM(AJ443:AN443)</f>
        <v/>
      </c>
      <c r="AT443">
        <f t="array" ref="AT443">IF(E443&lt;&gt;"Occupied","",_xlfn.IFS(AND(ISNUMBER(AC443),AC443&lt;&gt;0),"Structured",ISNUMBER(SEARCH("/mo con",T443)),"Notes-parsed",ISNUMBER(SEARCH("step",T443)),"Step-up",ISNUMBER(SEARCH("swap",T443)),"Rate-swap",AND(ISNUMBER(I443),ISNUMBER(J443),I443&gt;J443),"Implied",TRUE,""))</f>
        <v/>
      </c>
      <c r="AU443" s="421">
        <f>IF(AC443&lt;&gt;"",AC443,IF(AT443="Implied",-(I443-J443),IF(OR(AT443="Step-up",AT443="Rate-swap"),"see notes","")))</f>
        <v/>
      </c>
    </row>
    <row r="444" outlineLevel="1" s="923">
      <c r="X444">
        <f>IF(AND(E444&lt;&gt;"",E444&lt;&gt;"Vacant",E444&lt;&gt;"Reserved",C444&lt;&gt;"",D444&lt;&gt;""),C444&amp;"|"&amp;D444,"")</f>
        <v/>
      </c>
      <c r="Y444">
        <f>IF(AND(C444&lt;&gt;"",D444&lt;&gt;""),C444&amp;"|"&amp;D444,"")</f>
        <v/>
      </c>
      <c r="AA444" s="421" t="n"/>
      <c r="AB444" s="479" t="n"/>
      <c r="AP444" s="1007">
        <f>SUM(AJ444:AN444)</f>
        <v/>
      </c>
      <c r="AT444">
        <f t="array" ref="AT444">IF(E444&lt;&gt;"Occupied","",_xlfn.IFS(AND(ISNUMBER(AC444),AC444&lt;&gt;0),"Structured",ISNUMBER(SEARCH("/mo con",T444)),"Notes-parsed",ISNUMBER(SEARCH("step",T444)),"Step-up",ISNUMBER(SEARCH("swap",T444)),"Rate-swap",AND(ISNUMBER(I444),ISNUMBER(J444),I444&gt;J444),"Implied",TRUE,""))</f>
        <v/>
      </c>
      <c r="AU444" s="421">
        <f>IF(AC444&lt;&gt;"",AC444,IF(AT444="Implied",-(I444-J444),IF(OR(AT444="Step-up",AT444="Rate-swap"),"see notes","")))</f>
        <v/>
      </c>
    </row>
    <row r="445" outlineLevel="1" s="923">
      <c r="X445">
        <f>IF(AND(E445&lt;&gt;"",E445&lt;&gt;"Vacant",E445&lt;&gt;"Reserved",C445&lt;&gt;"",D445&lt;&gt;""),C445&amp;"|"&amp;D445,"")</f>
        <v/>
      </c>
      <c r="Y445">
        <f>IF(AND(C445&lt;&gt;"",D445&lt;&gt;""),C445&amp;"|"&amp;D445,"")</f>
        <v/>
      </c>
      <c r="AA445" s="421">
        <f>IF(AND(J445&gt;0,I445&gt;0),I445-J445,"")</f>
        <v/>
      </c>
      <c r="AB445" s="479">
        <f>IF(AND(J445&gt;0,I445&gt;0),(I445-J445)/I445,"")</f>
        <v/>
      </c>
      <c r="AP445" s="1007">
        <f>SUM(AJ445:AN445)</f>
        <v/>
      </c>
      <c r="AT445">
        <f t="array" ref="AT445">IF(E445&lt;&gt;"Occupied","",_xlfn.IFS(AND(ISNUMBER(AC445),AC445&lt;&gt;0),"Structured",ISNUMBER(SEARCH("/mo con",T445)),"Notes-parsed",ISNUMBER(SEARCH("step",T445)),"Step-up",ISNUMBER(SEARCH("swap",T445)),"Rate-swap",AND(ISNUMBER(I445),ISNUMBER(J445),I445&gt;J445),"Implied",TRUE,""))</f>
        <v/>
      </c>
      <c r="AU445" s="421">
        <f>IF(AC445&lt;&gt;"",AC445,IF(AT445="Implied",-(I445-J445),IF(OR(AT445="Step-up",AT445="Rate-swap"),"see notes","")))</f>
        <v/>
      </c>
    </row>
    <row r="446" outlineLevel="1" s="923">
      <c r="X446">
        <f>IF(AND(E446&lt;&gt;"",E446&lt;&gt;"Vacant",E446&lt;&gt;"Reserved",C446&lt;&gt;"",D446&lt;&gt;""),C446&amp;"|"&amp;D446,"")</f>
        <v/>
      </c>
      <c r="Y446">
        <f>IF(AND(C446&lt;&gt;"",D446&lt;&gt;""),C446&amp;"|"&amp;D446,"")</f>
        <v/>
      </c>
      <c r="AA446" s="421">
        <f>IF(AND(J446&gt;0,I446&gt;0),I446-J446,"")</f>
        <v/>
      </c>
      <c r="AB446" s="479">
        <f>IF(AND(J446&gt;0,I446&gt;0),(I446-J446)/I446,"")</f>
        <v/>
      </c>
      <c r="AP446" s="1007">
        <f>SUM(AJ446:AN446)</f>
        <v/>
      </c>
      <c r="AT446">
        <f t="array" ref="AT446">IF(E446&lt;&gt;"Occupied","",_xlfn.IFS(AND(ISNUMBER(AC446),AC446&lt;&gt;0),"Structured",ISNUMBER(SEARCH("/mo con",T446)),"Notes-parsed",ISNUMBER(SEARCH("step",T446)),"Step-up",ISNUMBER(SEARCH("swap",T446)),"Rate-swap",AND(ISNUMBER(I446),ISNUMBER(J446),I446&gt;J446),"Implied",TRUE,""))</f>
        <v/>
      </c>
      <c r="AU446" s="421">
        <f>IF(AC446&lt;&gt;"",AC446,IF(AT446="Implied",-(I446-J446),IF(OR(AT446="Step-up",AT446="Rate-swap"),"see notes","")))</f>
        <v/>
      </c>
    </row>
    <row r="447" outlineLevel="1" s="923">
      <c r="X447">
        <f>IF(AND(E447&lt;&gt;"",E447&lt;&gt;"Vacant",E447&lt;&gt;"Reserved",C447&lt;&gt;"",D447&lt;&gt;""),C447&amp;"|"&amp;D447,"")</f>
        <v/>
      </c>
      <c r="Y447">
        <f>IF(AND(C447&lt;&gt;"",D447&lt;&gt;""),C447&amp;"|"&amp;D447,"")</f>
        <v/>
      </c>
      <c r="AA447" s="421">
        <f>IF(AND(J447&gt;0,I447&gt;0),I447-J447,"")</f>
        <v/>
      </c>
      <c r="AB447" s="479">
        <f>IF(AND(J447&gt;0,I447&gt;0),(I447-J447)/I447,"")</f>
        <v/>
      </c>
      <c r="AP447" s="1007">
        <f>SUM(AJ447:AN447)</f>
        <v/>
      </c>
      <c r="AT447">
        <f t="array" ref="AT447">IF(E447&lt;&gt;"Occupied","",_xlfn.IFS(AND(ISNUMBER(AC447),AC447&lt;&gt;0),"Structured",ISNUMBER(SEARCH("/mo con",T447)),"Notes-parsed",ISNUMBER(SEARCH("step",T447)),"Step-up",ISNUMBER(SEARCH("swap",T447)),"Rate-swap",AND(ISNUMBER(I447),ISNUMBER(J447),I447&gt;J447),"Implied",TRUE,""))</f>
        <v/>
      </c>
      <c r="AU447" s="421">
        <f>IF(AC447&lt;&gt;"",AC447,IF(AT447="Implied",-(I447-J447),IF(OR(AT447="Step-up",AT447="Rate-swap"),"see notes","")))</f>
        <v/>
      </c>
    </row>
    <row r="448" outlineLevel="1" s="923">
      <c r="X448">
        <f>IF(AND(E448&lt;&gt;"",E448&lt;&gt;"Vacant",E448&lt;&gt;"Reserved",C448&lt;&gt;"",D448&lt;&gt;""),C448&amp;"|"&amp;D448,"")</f>
        <v/>
      </c>
      <c r="Y448">
        <f>IF(AND(C448&lt;&gt;"",D448&lt;&gt;""),C448&amp;"|"&amp;D448,"")</f>
        <v/>
      </c>
      <c r="AA448" s="421">
        <f>IF(AND(J448&gt;0,I448&gt;0),I448-J448,"")</f>
        <v/>
      </c>
      <c r="AB448" s="479">
        <f>IF(AND(J448&gt;0,I448&gt;0),(I448-J448)/I448,"")</f>
        <v/>
      </c>
      <c r="AP448" s="1007">
        <f>SUM(AJ448:AN448)</f>
        <v/>
      </c>
      <c r="AT448">
        <f t="array" ref="AT448">IF(E448&lt;&gt;"Occupied","",_xlfn.IFS(AND(ISNUMBER(AC448),AC448&lt;&gt;0),"Structured",ISNUMBER(SEARCH("/mo con",T448)),"Notes-parsed",ISNUMBER(SEARCH("step",T448)),"Step-up",ISNUMBER(SEARCH("swap",T448)),"Rate-swap",AND(ISNUMBER(I448),ISNUMBER(J448),I448&gt;J448),"Implied",TRUE,""))</f>
        <v/>
      </c>
      <c r="AU448" s="421">
        <f>IF(AC448&lt;&gt;"",AC448,IF(AT448="Implied",-(I448-J448),IF(OR(AT448="Step-up",AT448="Rate-swap"),"see notes","")))</f>
        <v/>
      </c>
    </row>
    <row r="449" outlineLevel="1" s="923">
      <c r="X449">
        <f>IF(AND(E449&lt;&gt;"",E449&lt;&gt;"Vacant",E449&lt;&gt;"Reserved",C449&lt;&gt;"",D449&lt;&gt;""),C449&amp;"|"&amp;D449,"")</f>
        <v/>
      </c>
      <c r="Y449">
        <f>IF(AND(C449&lt;&gt;"",D449&lt;&gt;""),C449&amp;"|"&amp;D449,"")</f>
        <v/>
      </c>
      <c r="AA449" s="421">
        <f>IF(AND(J449&gt;0,I449&gt;0),I449-J449,"")</f>
        <v/>
      </c>
      <c r="AB449" s="479">
        <f>IF(AND(J449&gt;0,I449&gt;0),(I449-J449)/I449,"")</f>
        <v/>
      </c>
      <c r="AP449" s="1007">
        <f>SUM(AJ449:AN449)</f>
        <v/>
      </c>
      <c r="AT449">
        <f t="array" ref="AT449">IF(E449&lt;&gt;"Occupied","",_xlfn.IFS(AND(ISNUMBER(AC449),AC449&lt;&gt;0),"Structured",ISNUMBER(SEARCH("/mo con",T449)),"Notes-parsed",ISNUMBER(SEARCH("step",T449)),"Step-up",ISNUMBER(SEARCH("swap",T449)),"Rate-swap",AND(ISNUMBER(I449),ISNUMBER(J449),I449&gt;J449),"Implied",TRUE,""))</f>
        <v/>
      </c>
      <c r="AU449" s="421">
        <f>IF(AC449&lt;&gt;"",AC449,IF(AT449="Implied",-(I449-J449),IF(OR(AT449="Step-up",AT449="Rate-swap"),"see notes","")))</f>
        <v/>
      </c>
    </row>
    <row r="450" outlineLevel="1" s="923">
      <c r="X450">
        <f>IF(AND(E450&lt;&gt;"",E450&lt;&gt;"Vacant",E450&lt;&gt;"Reserved",C450&lt;&gt;"",D450&lt;&gt;""),C450&amp;"|"&amp;D450,"")</f>
        <v/>
      </c>
      <c r="Y450">
        <f>IF(AND(C450&lt;&gt;"",D450&lt;&gt;""),C450&amp;"|"&amp;D450,"")</f>
        <v/>
      </c>
      <c r="AA450" s="421">
        <f>IF(AND(J450&gt;0,I450&gt;0),I450-J450,"")</f>
        <v/>
      </c>
      <c r="AB450" s="479">
        <f>IF(AND(J450&gt;0,I450&gt;0),(I450-J450)/I450,"")</f>
        <v/>
      </c>
      <c r="AP450" s="1007">
        <f>SUM(AJ450:AN450)</f>
        <v/>
      </c>
      <c r="AT450">
        <f t="array" ref="AT450">IF(E450&lt;&gt;"Occupied","",_xlfn.IFS(AND(ISNUMBER(AC450),AC450&lt;&gt;0),"Structured",ISNUMBER(SEARCH("/mo con",T450)),"Notes-parsed",ISNUMBER(SEARCH("step",T450)),"Step-up",ISNUMBER(SEARCH("swap",T450)),"Rate-swap",AND(ISNUMBER(I450),ISNUMBER(J450),I450&gt;J450),"Implied",TRUE,""))</f>
        <v/>
      </c>
      <c r="AU450" s="421">
        <f>IF(AC450&lt;&gt;"",AC450,IF(AT450="Implied",-(I450-J450),IF(OR(AT450="Step-up",AT450="Rate-swap"),"see notes","")))</f>
        <v/>
      </c>
    </row>
    <row r="451" outlineLevel="1" s="923">
      <c r="X451">
        <f>IF(AND(E451&lt;&gt;"",E451&lt;&gt;"Vacant",E451&lt;&gt;"Reserved",C451&lt;&gt;"",D451&lt;&gt;""),C451&amp;"|"&amp;D451,"")</f>
        <v/>
      </c>
      <c r="Y451">
        <f>IF(AND(C451&lt;&gt;"",D451&lt;&gt;""),C451&amp;"|"&amp;D451,"")</f>
        <v/>
      </c>
      <c r="AA451" s="421">
        <f>IF(AND(J451&gt;0,I451&gt;0),I451-J451,"")</f>
        <v/>
      </c>
      <c r="AB451" s="479">
        <f>IF(AND(J451&gt;0,I451&gt;0),(I451-J451)/I451,"")</f>
        <v/>
      </c>
      <c r="AP451" s="1007">
        <f>SUM(AJ451:AN451)</f>
        <v/>
      </c>
      <c r="AT451">
        <f t="array" ref="AT451">IF(E451&lt;&gt;"Occupied","",_xlfn.IFS(AND(ISNUMBER(AC451),AC451&lt;&gt;0),"Structured",ISNUMBER(SEARCH("/mo con",T451)),"Notes-parsed",ISNUMBER(SEARCH("step",T451)),"Step-up",ISNUMBER(SEARCH("swap",T451)),"Rate-swap",AND(ISNUMBER(I451),ISNUMBER(J451),I451&gt;J451),"Implied",TRUE,""))</f>
        <v/>
      </c>
      <c r="AU451" s="421">
        <f>IF(AC451&lt;&gt;"",AC451,IF(AT451="Implied",-(I451-J451),IF(OR(AT451="Step-up",AT451="Rate-swap"),"see notes","")))</f>
        <v/>
      </c>
    </row>
    <row r="452" outlineLevel="1" s="923">
      <c r="X452">
        <f>IF(AND(E452&lt;&gt;"",E452&lt;&gt;"Vacant",E452&lt;&gt;"Reserved",C452&lt;&gt;"",D452&lt;&gt;""),C452&amp;"|"&amp;D452,"")</f>
        <v/>
      </c>
      <c r="Y452">
        <f>IF(AND(C452&lt;&gt;"",D452&lt;&gt;""),C452&amp;"|"&amp;D452,"")</f>
        <v/>
      </c>
      <c r="AA452" s="421">
        <f>IF(AND(J452&gt;0,I452&gt;0),I452-J452,"")</f>
        <v/>
      </c>
      <c r="AB452" s="479">
        <f>IF(AND(J452&gt;0,I452&gt;0),(I452-J452)/I452,"")</f>
        <v/>
      </c>
      <c r="AP452" s="1007">
        <f>SUM(AJ452:AN452)</f>
        <v/>
      </c>
      <c r="AT452">
        <f t="array" ref="AT452">IF(E452&lt;&gt;"Occupied","",_xlfn.IFS(AND(ISNUMBER(AC452),AC452&lt;&gt;0),"Structured",ISNUMBER(SEARCH("/mo con",T452)),"Notes-parsed",ISNUMBER(SEARCH("step",T452)),"Step-up",ISNUMBER(SEARCH("swap",T452)),"Rate-swap",AND(ISNUMBER(I452),ISNUMBER(J452),I452&gt;J452),"Implied",TRUE,""))</f>
        <v/>
      </c>
      <c r="AU452" s="421">
        <f>IF(AC452&lt;&gt;"",AC452,IF(AT452="Implied",-(I452-J452),IF(OR(AT452="Step-up",AT452="Rate-swap"),"see notes","")))</f>
        <v/>
      </c>
    </row>
    <row r="453" outlineLevel="1" s="923">
      <c r="X453">
        <f>IF(AND(E453&lt;&gt;"",E453&lt;&gt;"Vacant",E453&lt;&gt;"Reserved",C453&lt;&gt;"",D453&lt;&gt;""),C453&amp;"|"&amp;D453,"")</f>
        <v/>
      </c>
      <c r="Y453">
        <f>IF(AND(C453&lt;&gt;"",D453&lt;&gt;""),C453&amp;"|"&amp;D453,"")</f>
        <v/>
      </c>
      <c r="AA453" s="421">
        <f>IF(AND(J453&gt;0,I453&gt;0),I453-J453,"")</f>
        <v/>
      </c>
      <c r="AB453" s="479">
        <f>IF(AND(J453&gt;0,I453&gt;0),(I453-J453)/I453,"")</f>
        <v/>
      </c>
      <c r="AP453" s="1007">
        <f>SUM(AJ453:AN453)</f>
        <v/>
      </c>
      <c r="AT453">
        <f t="array" ref="AT453">IF(E453&lt;&gt;"Occupied","",_xlfn.IFS(AND(ISNUMBER(AC453),AC453&lt;&gt;0),"Structured",ISNUMBER(SEARCH("/mo con",T453)),"Notes-parsed",ISNUMBER(SEARCH("step",T453)),"Step-up",ISNUMBER(SEARCH("swap",T453)),"Rate-swap",AND(ISNUMBER(I453),ISNUMBER(J453),I453&gt;J453),"Implied",TRUE,""))</f>
        <v/>
      </c>
      <c r="AU453" s="421">
        <f>IF(AC453&lt;&gt;"",AC453,IF(AT453="Implied",-(I453-J453),IF(OR(AT453="Step-up",AT453="Rate-swap"),"see notes","")))</f>
        <v/>
      </c>
    </row>
    <row r="454" outlineLevel="1" s="923">
      <c r="X454">
        <f>IF(AND(E454&lt;&gt;"",E454&lt;&gt;"Vacant",E454&lt;&gt;"Reserved",C454&lt;&gt;"",D454&lt;&gt;""),C454&amp;"|"&amp;D454,"")</f>
        <v/>
      </c>
      <c r="Y454">
        <f>IF(AND(C454&lt;&gt;"",D454&lt;&gt;""),C454&amp;"|"&amp;D454,"")</f>
        <v/>
      </c>
      <c r="AA454" s="421">
        <f>IF(AND(J454&gt;0,I454&gt;0),I454-J454,"")</f>
        <v/>
      </c>
      <c r="AB454" s="479">
        <f>IF(AND(J454&gt;0,I454&gt;0),(I454-J454)/I454,"")</f>
        <v/>
      </c>
      <c r="AP454" s="1007">
        <f>SUM(AJ454:AN454)</f>
        <v/>
      </c>
      <c r="AT454">
        <f t="array" ref="AT454">IF(E454&lt;&gt;"Occupied","",_xlfn.IFS(AND(ISNUMBER(AC454),AC454&lt;&gt;0),"Structured",ISNUMBER(SEARCH("/mo con",T454)),"Notes-parsed",ISNUMBER(SEARCH("step",T454)),"Step-up",ISNUMBER(SEARCH("swap",T454)),"Rate-swap",AND(ISNUMBER(I454),ISNUMBER(J454),I454&gt;J454),"Implied",TRUE,""))</f>
        <v/>
      </c>
      <c r="AU454" s="421">
        <f>IF(AC454&lt;&gt;"",AC454,IF(AT454="Implied",-(I454-J454),IF(OR(AT454="Step-up",AT454="Rate-swap"),"see notes","")))</f>
        <v/>
      </c>
    </row>
    <row r="455" outlineLevel="1" s="923">
      <c r="X455">
        <f>IF(AND(E455&lt;&gt;"",E455&lt;&gt;"Vacant",E455&lt;&gt;"Reserved",C455&lt;&gt;"",D455&lt;&gt;""),C455&amp;"|"&amp;D455,"")</f>
        <v/>
      </c>
      <c r="Y455">
        <f>IF(AND(C455&lt;&gt;"",D455&lt;&gt;""),C455&amp;"|"&amp;D455,"")</f>
        <v/>
      </c>
      <c r="AA455" s="421">
        <f>IF(AND(J455&gt;0,I455&gt;0),I455-J455,"")</f>
        <v/>
      </c>
      <c r="AB455" s="479">
        <f>IF(AND(J455&gt;0,I455&gt;0),(I455-J455)/I455,"")</f>
        <v/>
      </c>
      <c r="AP455" s="1007">
        <f>SUM(AJ455:AN455)</f>
        <v/>
      </c>
      <c r="AT455">
        <f t="array" ref="AT455">IF(E455&lt;&gt;"Occupied","",_xlfn.IFS(AND(ISNUMBER(AC455),AC455&lt;&gt;0),"Structured",ISNUMBER(SEARCH("/mo con",T455)),"Notes-parsed",ISNUMBER(SEARCH("step",T455)),"Step-up",ISNUMBER(SEARCH("swap",T455)),"Rate-swap",AND(ISNUMBER(I455),ISNUMBER(J455),I455&gt;J455),"Implied",TRUE,""))</f>
        <v/>
      </c>
      <c r="AU455" s="421">
        <f>IF(AC455&lt;&gt;"",AC455,IF(AT455="Implied",-(I455-J455),IF(OR(AT455="Step-up",AT455="Rate-swap"),"see notes","")))</f>
        <v/>
      </c>
    </row>
    <row r="456" outlineLevel="1" s="923">
      <c r="X456">
        <f>IF(AND(E456&lt;&gt;"",E456&lt;&gt;"Vacant",E456&lt;&gt;"Reserved",C456&lt;&gt;"",D456&lt;&gt;""),C456&amp;"|"&amp;D456,"")</f>
        <v/>
      </c>
      <c r="Y456">
        <f>IF(AND(C456&lt;&gt;"",D456&lt;&gt;""),C456&amp;"|"&amp;D456,"")</f>
        <v/>
      </c>
      <c r="AA456" s="421">
        <f>IF(AND(J456&gt;0,I456&gt;0),I456-J456,"")</f>
        <v/>
      </c>
      <c r="AB456" s="479">
        <f>IF(AND(J456&gt;0,I456&gt;0),(I456-J456)/I456,"")</f>
        <v/>
      </c>
      <c r="AP456" s="1007">
        <f>SUM(AJ456:AN456)</f>
        <v/>
      </c>
      <c r="AT456">
        <f t="array" ref="AT456">IF(E456&lt;&gt;"Occupied","",_xlfn.IFS(AND(ISNUMBER(AC456),AC456&lt;&gt;0),"Structured",ISNUMBER(SEARCH("/mo con",T456)),"Notes-parsed",ISNUMBER(SEARCH("step",T456)),"Step-up",ISNUMBER(SEARCH("swap",T456)),"Rate-swap",AND(ISNUMBER(I456),ISNUMBER(J456),I456&gt;J456),"Implied",TRUE,""))</f>
        <v/>
      </c>
      <c r="AU456" s="421">
        <f>IF(AC456&lt;&gt;"",AC456,IF(AT456="Implied",-(I456-J456),IF(OR(AT456="Step-up",AT456="Rate-swap"),"see notes","")))</f>
        <v/>
      </c>
    </row>
    <row r="457" outlineLevel="1" s="923">
      <c r="X457">
        <f>IF(AND(E457&lt;&gt;"",E457&lt;&gt;"Vacant",E457&lt;&gt;"Reserved",C457&lt;&gt;"",D457&lt;&gt;""),C457&amp;"|"&amp;D457,"")</f>
        <v/>
      </c>
      <c r="Y457">
        <f>IF(AND(C457&lt;&gt;"",D457&lt;&gt;""),C457&amp;"|"&amp;D457,"")</f>
        <v/>
      </c>
      <c r="AA457" s="421">
        <f>IF(AND(J457&gt;0,I457&gt;0),I457-J457,"")</f>
        <v/>
      </c>
      <c r="AB457" s="479">
        <f>IF(AND(J457&gt;0,I457&gt;0),(I457-J457)/I457,"")</f>
        <v/>
      </c>
      <c r="AP457" s="1007">
        <f>SUM(AJ457:AN457)</f>
        <v/>
      </c>
      <c r="AT457">
        <f t="array" ref="AT457">IF(E457&lt;&gt;"Occupied","",_xlfn.IFS(AND(ISNUMBER(AC457),AC457&lt;&gt;0),"Structured",ISNUMBER(SEARCH("/mo con",T457)),"Notes-parsed",ISNUMBER(SEARCH("step",T457)),"Step-up",ISNUMBER(SEARCH("swap",T457)),"Rate-swap",AND(ISNUMBER(I457),ISNUMBER(J457),I457&gt;J457),"Implied",TRUE,""))</f>
        <v/>
      </c>
      <c r="AU457" s="421">
        <f>IF(AC457&lt;&gt;"",AC457,IF(AT457="Implied",-(I457-J457),IF(OR(AT457="Step-up",AT457="Rate-swap"),"see notes","")))</f>
        <v/>
      </c>
    </row>
    <row r="458" outlineLevel="1" s="923">
      <c r="X458">
        <f>IF(AND(E458&lt;&gt;"",E458&lt;&gt;"Vacant",E458&lt;&gt;"Reserved",C458&lt;&gt;"",D458&lt;&gt;""),C458&amp;"|"&amp;D458,"")</f>
        <v/>
      </c>
      <c r="Y458">
        <f>IF(AND(C458&lt;&gt;"",D458&lt;&gt;""),C458&amp;"|"&amp;D458,"")</f>
        <v/>
      </c>
      <c r="AA458" s="421">
        <f>IF(AND(J458&gt;0,I458&gt;0),I458-J458,"")</f>
        <v/>
      </c>
      <c r="AB458" s="479">
        <f>IF(AND(J458&gt;0,I458&gt;0),(I458-J458)/I458,"")</f>
        <v/>
      </c>
      <c r="AP458" s="1007">
        <f>SUM(AJ458:AN458)</f>
        <v/>
      </c>
      <c r="AT458">
        <f t="array" ref="AT458">IF(E458&lt;&gt;"Occupied","",_xlfn.IFS(AND(ISNUMBER(AC458),AC458&lt;&gt;0),"Structured",ISNUMBER(SEARCH("/mo con",T458)),"Notes-parsed",ISNUMBER(SEARCH("step",T458)),"Step-up",ISNUMBER(SEARCH("swap",T458)),"Rate-swap",AND(ISNUMBER(I458),ISNUMBER(J458),I458&gt;J458),"Implied",TRUE,""))</f>
        <v/>
      </c>
      <c r="AU458" s="421">
        <f>IF(AC458&lt;&gt;"",AC458,IF(AT458="Implied",-(I458-J458),IF(OR(AT458="Step-up",AT458="Rate-swap"),"see notes","")))</f>
        <v/>
      </c>
    </row>
    <row r="459" outlineLevel="1" s="923">
      <c r="X459">
        <f>IF(AND(E459&lt;&gt;"",E459&lt;&gt;"Vacant",E459&lt;&gt;"Reserved",C459&lt;&gt;"",D459&lt;&gt;""),C459&amp;"|"&amp;D459,"")</f>
        <v/>
      </c>
      <c r="Y459">
        <f>IF(AND(C459&lt;&gt;"",D459&lt;&gt;""),C459&amp;"|"&amp;D459,"")</f>
        <v/>
      </c>
      <c r="AA459" s="421">
        <f>IF(AND(J459&gt;0,I459&gt;0),I459-J459,"")</f>
        <v/>
      </c>
      <c r="AB459" s="479">
        <f>IF(AND(J459&gt;0,I459&gt;0),(I459-J459)/I459,"")</f>
        <v/>
      </c>
      <c r="AP459" s="1007">
        <f>SUM(AJ459:AN459)</f>
        <v/>
      </c>
      <c r="AT459">
        <f t="array" ref="AT459">IF(E459&lt;&gt;"Occupied","",_xlfn.IFS(AND(ISNUMBER(AC459),AC459&lt;&gt;0),"Structured",ISNUMBER(SEARCH("/mo con",T459)),"Notes-parsed",ISNUMBER(SEARCH("step",T459)),"Step-up",ISNUMBER(SEARCH("swap",T459)),"Rate-swap",AND(ISNUMBER(I459),ISNUMBER(J459),I459&gt;J459),"Implied",TRUE,""))</f>
        <v/>
      </c>
      <c r="AU459" s="421">
        <f>IF(AC459&lt;&gt;"",AC459,IF(AT459="Implied",-(I459-J459),IF(OR(AT459="Step-up",AT459="Rate-swap"),"see notes","")))</f>
        <v/>
      </c>
    </row>
    <row r="460" outlineLevel="1" s="923">
      <c r="X460">
        <f>IF(AND(E460&lt;&gt;"",E460&lt;&gt;"Vacant",E460&lt;&gt;"Reserved",C460&lt;&gt;"",D460&lt;&gt;""),C460&amp;"|"&amp;D460,"")</f>
        <v/>
      </c>
      <c r="Y460">
        <f>IF(AND(C460&lt;&gt;"",D460&lt;&gt;""),C460&amp;"|"&amp;D460,"")</f>
        <v/>
      </c>
      <c r="AA460" s="421">
        <f>IF(AND(J460&gt;0,I460&gt;0),I460-J460,"")</f>
        <v/>
      </c>
      <c r="AB460" s="479">
        <f>IF(AND(J460&gt;0,I460&gt;0),(I460-J460)/I460,"")</f>
        <v/>
      </c>
      <c r="AP460" s="1007">
        <f>SUM(AJ460:AN460)</f>
        <v/>
      </c>
      <c r="AT460">
        <f t="array" ref="AT460">IF(E460&lt;&gt;"Occupied","",_xlfn.IFS(AND(ISNUMBER(AC460),AC460&lt;&gt;0),"Structured",ISNUMBER(SEARCH("/mo con",T460)),"Notes-parsed",ISNUMBER(SEARCH("step",T460)),"Step-up",ISNUMBER(SEARCH("swap",T460)),"Rate-swap",AND(ISNUMBER(I460),ISNUMBER(J460),I460&gt;J460),"Implied",TRUE,""))</f>
        <v/>
      </c>
      <c r="AU460" s="421">
        <f>IF(AC460&lt;&gt;"",AC460,IF(AT460="Implied",-(I460-J460),IF(OR(AT460="Step-up",AT460="Rate-swap"),"see notes","")))</f>
        <v/>
      </c>
    </row>
    <row r="461" outlineLevel="1" s="923">
      <c r="X461">
        <f>IF(AND(E461&lt;&gt;"",E461&lt;&gt;"Vacant",E461&lt;&gt;"Reserved",C461&lt;&gt;"",D461&lt;&gt;""),C461&amp;"|"&amp;D461,"")</f>
        <v/>
      </c>
      <c r="Y461">
        <f>IF(AND(C461&lt;&gt;"",D461&lt;&gt;""),C461&amp;"|"&amp;D461,"")</f>
        <v/>
      </c>
      <c r="AA461" s="421">
        <f>IF(AND(J461&gt;0,I461&gt;0),I461-J461,"")</f>
        <v/>
      </c>
      <c r="AB461" s="479">
        <f>IF(AND(J461&gt;0,I461&gt;0),(I461-J461)/I461,"")</f>
        <v/>
      </c>
      <c r="AP461" s="1007">
        <f>SUM(AJ461:AN461)</f>
        <v/>
      </c>
      <c r="AT461">
        <f t="array" ref="AT461">IF(E461&lt;&gt;"Occupied","",_xlfn.IFS(AND(ISNUMBER(AC461),AC461&lt;&gt;0),"Structured",ISNUMBER(SEARCH("/mo con",T461)),"Notes-parsed",ISNUMBER(SEARCH("step",T461)),"Step-up",ISNUMBER(SEARCH("swap",T461)),"Rate-swap",AND(ISNUMBER(I461),ISNUMBER(J461),I461&gt;J461),"Implied",TRUE,""))</f>
        <v/>
      </c>
      <c r="AU461" s="421">
        <f>IF(AC461&lt;&gt;"",AC461,IF(AT461="Implied",-(I461-J461),IF(OR(AT461="Step-up",AT461="Rate-swap"),"see notes","")))</f>
        <v/>
      </c>
    </row>
    <row r="462" outlineLevel="1" s="923">
      <c r="X462">
        <f>IF(AND(E462&lt;&gt;"",E462&lt;&gt;"Vacant",E462&lt;&gt;"Reserved",C462&lt;&gt;"",D462&lt;&gt;""),C462&amp;"|"&amp;D462,"")</f>
        <v/>
      </c>
      <c r="Y462">
        <f>IF(AND(C462&lt;&gt;"",D462&lt;&gt;""),C462&amp;"|"&amp;D462,"")</f>
        <v/>
      </c>
      <c r="AA462" s="421">
        <f>IF(AND(J462&gt;0,I462&gt;0),I462-J462,"")</f>
        <v/>
      </c>
      <c r="AB462" s="479">
        <f>IF(AND(J462&gt;0,I462&gt;0),(I462-J462)/I462,"")</f>
        <v/>
      </c>
      <c r="AP462" s="1007">
        <f>SUM(AJ462:AN462)</f>
        <v/>
      </c>
      <c r="AT462">
        <f t="array" ref="AT462">IF(E462&lt;&gt;"Occupied","",_xlfn.IFS(AND(ISNUMBER(AC462),AC462&lt;&gt;0),"Structured",ISNUMBER(SEARCH("/mo con",T462)),"Notes-parsed",ISNUMBER(SEARCH("step",T462)),"Step-up",ISNUMBER(SEARCH("swap",T462)),"Rate-swap",AND(ISNUMBER(I462),ISNUMBER(J462),I462&gt;J462),"Implied",TRUE,""))</f>
        <v/>
      </c>
      <c r="AU462" s="421">
        <f>IF(AC462&lt;&gt;"",AC462,IF(AT462="Implied",-(I462-J462),IF(OR(AT462="Step-up",AT462="Rate-swap"),"see notes","")))</f>
        <v/>
      </c>
    </row>
    <row r="463" outlineLevel="1" s="923">
      <c r="X463">
        <f>IF(AND(E463&lt;&gt;"",E463&lt;&gt;"Vacant",E463&lt;&gt;"Reserved",C463&lt;&gt;"",D463&lt;&gt;""),C463&amp;"|"&amp;D463,"")</f>
        <v/>
      </c>
      <c r="Y463">
        <f>IF(AND(C463&lt;&gt;"",D463&lt;&gt;""),C463&amp;"|"&amp;D463,"")</f>
        <v/>
      </c>
      <c r="AA463" s="421">
        <f>IF(AND(J463&gt;0,I463&gt;0),I463-J463,"")</f>
        <v/>
      </c>
      <c r="AB463" s="479">
        <f>IF(AND(J463&gt;0,I463&gt;0),(I463-J463)/I463,"")</f>
        <v/>
      </c>
      <c r="AP463" s="1007">
        <f>SUM(AJ463:AN463)</f>
        <v/>
      </c>
      <c r="AT463">
        <f t="array" ref="AT463">IF(E463&lt;&gt;"Occupied","",_xlfn.IFS(AND(ISNUMBER(AC463),AC463&lt;&gt;0),"Structured",ISNUMBER(SEARCH("/mo con",T463)),"Notes-parsed",ISNUMBER(SEARCH("step",T463)),"Step-up",ISNUMBER(SEARCH("swap",T463)),"Rate-swap",AND(ISNUMBER(I463),ISNUMBER(J463),I463&gt;J463),"Implied",TRUE,""))</f>
        <v/>
      </c>
      <c r="AU463" s="421">
        <f>IF(AC463&lt;&gt;"",AC463,IF(AT463="Implied",-(I463-J463),IF(OR(AT463="Step-up",AT463="Rate-swap"),"see notes","")))</f>
        <v/>
      </c>
    </row>
    <row r="464" outlineLevel="1" s="923">
      <c r="X464">
        <f>IF(AND(E464&lt;&gt;"",E464&lt;&gt;"Vacant",E464&lt;&gt;"Reserved",C464&lt;&gt;"",D464&lt;&gt;""),C464&amp;"|"&amp;D464,"")</f>
        <v/>
      </c>
      <c r="Y464">
        <f>IF(AND(C464&lt;&gt;"",D464&lt;&gt;""),C464&amp;"|"&amp;D464,"")</f>
        <v/>
      </c>
      <c r="AA464" s="421">
        <f>IF(AND(J464&gt;0,I464&gt;0),I464-J464,"")</f>
        <v/>
      </c>
      <c r="AB464" s="479">
        <f>IF(AND(J464&gt;0,I464&gt;0),(I464-J464)/I464,"")</f>
        <v/>
      </c>
      <c r="AP464" s="1007">
        <f>SUM(AJ464:AN464)</f>
        <v/>
      </c>
      <c r="AT464">
        <f t="array" ref="AT464">IF(E464&lt;&gt;"Occupied","",_xlfn.IFS(AND(ISNUMBER(AC464),AC464&lt;&gt;0),"Structured",ISNUMBER(SEARCH("/mo con",T464)),"Notes-parsed",ISNUMBER(SEARCH("step",T464)),"Step-up",ISNUMBER(SEARCH("swap",T464)),"Rate-swap",AND(ISNUMBER(I464),ISNUMBER(J464),I464&gt;J464),"Implied",TRUE,""))</f>
        <v/>
      </c>
      <c r="AU464" s="421">
        <f>IF(AC464&lt;&gt;"",AC464,IF(AT464="Implied",-(I464-J464),IF(OR(AT464="Step-up",AT464="Rate-swap"),"see notes","")))</f>
        <v/>
      </c>
    </row>
    <row r="465" outlineLevel="1" s="923">
      <c r="X465">
        <f>IF(AND(E465&lt;&gt;"",E465&lt;&gt;"Vacant",E465&lt;&gt;"Reserved",C465&lt;&gt;"",D465&lt;&gt;""),C465&amp;"|"&amp;D465,"")</f>
        <v/>
      </c>
      <c r="Y465">
        <f>IF(AND(C465&lt;&gt;"",D465&lt;&gt;""),C465&amp;"|"&amp;D465,"")</f>
        <v/>
      </c>
      <c r="AA465" s="421">
        <f>IF(AND(J465&gt;0,I465&gt;0),I465-J465,"")</f>
        <v/>
      </c>
      <c r="AB465" s="479">
        <f>IF(AND(J465&gt;0,I465&gt;0),(I465-J465)/I465,"")</f>
        <v/>
      </c>
      <c r="AP465" s="1007">
        <f>SUM(AJ465:AN465)</f>
        <v/>
      </c>
      <c r="AT465">
        <f t="array" ref="AT465">IF(E465&lt;&gt;"Occupied","",_xlfn.IFS(AND(ISNUMBER(AC465),AC465&lt;&gt;0),"Structured",ISNUMBER(SEARCH("/mo con",T465)),"Notes-parsed",ISNUMBER(SEARCH("step",T465)),"Step-up",ISNUMBER(SEARCH("swap",T465)),"Rate-swap",AND(ISNUMBER(I465),ISNUMBER(J465),I465&gt;J465),"Implied",TRUE,""))</f>
        <v/>
      </c>
      <c r="AU465" s="421">
        <f>IF(AC465&lt;&gt;"",AC465,IF(AT465="Implied",-(I465-J465),IF(OR(AT465="Step-up",AT465="Rate-swap"),"see notes","")))</f>
        <v/>
      </c>
    </row>
    <row r="466" outlineLevel="1" s="923">
      <c r="X466">
        <f>IF(AND(E466&lt;&gt;"",E466&lt;&gt;"Vacant",E466&lt;&gt;"Reserved",C466&lt;&gt;"",D466&lt;&gt;""),C466&amp;"|"&amp;D466,"")</f>
        <v/>
      </c>
      <c r="Y466">
        <f>IF(AND(C466&lt;&gt;"",D466&lt;&gt;""),C466&amp;"|"&amp;D466,"")</f>
        <v/>
      </c>
      <c r="AA466" s="421">
        <f>IF(AND(J466&gt;0,I466&gt;0),I466-J466,"")</f>
        <v/>
      </c>
      <c r="AB466" s="479">
        <f>IF(AND(J466&gt;0,I466&gt;0),(I466-J466)/I466,"")</f>
        <v/>
      </c>
      <c r="AP466" s="1007">
        <f>SUM(AJ466:AN466)</f>
        <v/>
      </c>
      <c r="AT466">
        <f t="array" ref="AT466">IF(E466&lt;&gt;"Occupied","",_xlfn.IFS(AND(ISNUMBER(AC466),AC466&lt;&gt;0),"Structured",ISNUMBER(SEARCH("/mo con",T466)),"Notes-parsed",ISNUMBER(SEARCH("step",T466)),"Step-up",ISNUMBER(SEARCH("swap",T466)),"Rate-swap",AND(ISNUMBER(I466),ISNUMBER(J466),I466&gt;J466),"Implied",TRUE,""))</f>
        <v/>
      </c>
      <c r="AU466" s="421">
        <f>IF(AC466&lt;&gt;"",AC466,IF(AT466="Implied",-(I466-J466),IF(OR(AT466="Step-up",AT466="Rate-swap"),"see notes","")))</f>
        <v/>
      </c>
    </row>
    <row r="467" outlineLevel="1" s="923">
      <c r="X467">
        <f>IF(AND(E467&lt;&gt;"",E467&lt;&gt;"Vacant",E467&lt;&gt;"Reserved",C467&lt;&gt;"",D467&lt;&gt;""),C467&amp;"|"&amp;D467,"")</f>
        <v/>
      </c>
      <c r="Y467">
        <f>IF(AND(C467&lt;&gt;"",D467&lt;&gt;""),C467&amp;"|"&amp;D467,"")</f>
        <v/>
      </c>
      <c r="AA467" s="421">
        <f>IF(AND(J467&gt;0,I467&gt;0),I467-J467,"")</f>
        <v/>
      </c>
      <c r="AB467" s="479">
        <f>IF(AND(J467&gt;0,I467&gt;0),(I467-J467)/I467,"")</f>
        <v/>
      </c>
      <c r="AP467" s="1007">
        <f>SUM(AJ467:AN467)</f>
        <v/>
      </c>
      <c r="AT467">
        <f t="array" ref="AT467">IF(E467&lt;&gt;"Occupied","",_xlfn.IFS(AND(ISNUMBER(AC467),AC467&lt;&gt;0),"Structured",ISNUMBER(SEARCH("/mo con",T467)),"Notes-parsed",ISNUMBER(SEARCH("step",T467)),"Step-up",ISNUMBER(SEARCH("swap",T467)),"Rate-swap",AND(ISNUMBER(I467),ISNUMBER(J467),I467&gt;J467),"Implied",TRUE,""))</f>
        <v/>
      </c>
      <c r="AU467" s="421">
        <f>IF(AC467&lt;&gt;"",AC467,IF(AT467="Implied",-(I467-J467),IF(OR(AT467="Step-up",AT467="Rate-swap"),"see notes","")))</f>
        <v/>
      </c>
    </row>
    <row r="468" outlineLevel="1" s="923">
      <c r="X468">
        <f>IF(AND(E468&lt;&gt;"",E468&lt;&gt;"Vacant",E468&lt;&gt;"Reserved",C468&lt;&gt;"",D468&lt;&gt;""),C468&amp;"|"&amp;D468,"")</f>
        <v/>
      </c>
      <c r="Y468">
        <f>IF(AND(C468&lt;&gt;"",D468&lt;&gt;""),C468&amp;"|"&amp;D468,"")</f>
        <v/>
      </c>
      <c r="AA468" s="421">
        <f>IF(AND(J468&gt;0,I468&gt;0),I468-J468,"")</f>
        <v/>
      </c>
      <c r="AB468" s="479">
        <f>IF(AND(J468&gt;0,I468&gt;0),(I468-J468)/I468,"")</f>
        <v/>
      </c>
      <c r="AP468" s="1007">
        <f>SUM(AJ468:AN468)</f>
        <v/>
      </c>
      <c r="AT468">
        <f t="array" ref="AT468">IF(E468&lt;&gt;"Occupied","",_xlfn.IFS(AND(ISNUMBER(AC468),AC468&lt;&gt;0),"Structured",ISNUMBER(SEARCH("/mo con",T468)),"Notes-parsed",ISNUMBER(SEARCH("step",T468)),"Step-up",ISNUMBER(SEARCH("swap",T468)),"Rate-swap",AND(ISNUMBER(I468),ISNUMBER(J468),I468&gt;J468),"Implied",TRUE,""))</f>
        <v/>
      </c>
      <c r="AU468" s="421">
        <f>IF(AC468&lt;&gt;"",AC468,IF(AT468="Implied",-(I468-J468),IF(OR(AT468="Step-up",AT468="Rate-swap"),"see notes","")))</f>
        <v/>
      </c>
    </row>
    <row r="469" outlineLevel="1" s="923">
      <c r="X469">
        <f>IF(AND(E469&lt;&gt;"",E469&lt;&gt;"Vacant",E469&lt;&gt;"Reserved",C469&lt;&gt;"",D469&lt;&gt;""),C469&amp;"|"&amp;D469,"")</f>
        <v/>
      </c>
      <c r="Y469">
        <f>IF(AND(C469&lt;&gt;"",D469&lt;&gt;""),C469&amp;"|"&amp;D469,"")</f>
        <v/>
      </c>
      <c r="AA469" s="421">
        <f>IF(AND(J469&gt;0,I469&gt;0),I469-J469,"")</f>
        <v/>
      </c>
      <c r="AB469" s="479">
        <f>IF(AND(J469&gt;0,I469&gt;0),(I469-J469)/I469,"")</f>
        <v/>
      </c>
      <c r="AP469" s="1007">
        <f>SUM(AJ469:AN469)</f>
        <v/>
      </c>
      <c r="AT469">
        <f t="array" ref="AT469">IF(E469&lt;&gt;"Occupied","",_xlfn.IFS(AND(ISNUMBER(AC469),AC469&lt;&gt;0),"Structured",ISNUMBER(SEARCH("/mo con",T469)),"Notes-parsed",ISNUMBER(SEARCH("step",T469)),"Step-up",ISNUMBER(SEARCH("swap",T469)),"Rate-swap",AND(ISNUMBER(I469),ISNUMBER(J469),I469&gt;J469),"Implied",TRUE,""))</f>
        <v/>
      </c>
      <c r="AU469" s="421">
        <f>IF(AC469&lt;&gt;"",AC469,IF(AT469="Implied",-(I469-J469),IF(OR(AT469="Step-up",AT469="Rate-swap"),"see notes","")))</f>
        <v/>
      </c>
    </row>
    <row r="470" outlineLevel="1" s="923">
      <c r="X470">
        <f>IF(AND(E470&lt;&gt;"",E470&lt;&gt;"Vacant",E470&lt;&gt;"Reserved",C470&lt;&gt;"",D470&lt;&gt;""),C470&amp;"|"&amp;D470,"")</f>
        <v/>
      </c>
      <c r="Y470">
        <f>IF(AND(C470&lt;&gt;"",D470&lt;&gt;""),C470&amp;"|"&amp;D470,"")</f>
        <v/>
      </c>
      <c r="AA470" s="421">
        <f>IF(AND(J470&gt;0,I470&gt;0),I470-J470,"")</f>
        <v/>
      </c>
      <c r="AB470" s="479">
        <f>IF(AND(J470&gt;0,I470&gt;0),(I470-J470)/I470,"")</f>
        <v/>
      </c>
      <c r="AP470" s="1007">
        <f>SUM(AJ470:AN470)</f>
        <v/>
      </c>
      <c r="AT470">
        <f t="array" ref="AT470">IF(E470&lt;&gt;"Occupied","",_xlfn.IFS(AND(ISNUMBER(AC470),AC470&lt;&gt;0),"Structured",ISNUMBER(SEARCH("/mo con",T470)),"Notes-parsed",ISNUMBER(SEARCH("step",T470)),"Step-up",ISNUMBER(SEARCH("swap",T470)),"Rate-swap",AND(ISNUMBER(I470),ISNUMBER(J470),I470&gt;J470),"Implied",TRUE,""))</f>
        <v/>
      </c>
      <c r="AU470" s="421">
        <f>IF(AC470&lt;&gt;"",AC470,IF(AT470="Implied",-(I470-J470),IF(OR(AT470="Step-up",AT470="Rate-swap"),"see notes","")))</f>
        <v/>
      </c>
    </row>
    <row r="471" outlineLevel="1" s="923">
      <c r="X471">
        <f>IF(AND(E471&lt;&gt;"",E471&lt;&gt;"Vacant",E471&lt;&gt;"Reserved",C471&lt;&gt;"",D471&lt;&gt;""),C471&amp;"|"&amp;D471,"")</f>
        <v/>
      </c>
      <c r="Y471">
        <f>IF(AND(C471&lt;&gt;"",D471&lt;&gt;""),C471&amp;"|"&amp;D471,"")</f>
        <v/>
      </c>
      <c r="AA471" s="421">
        <f>IF(AND(J471&gt;0,I471&gt;0),I471-J471,"")</f>
        <v/>
      </c>
      <c r="AB471" s="479">
        <f>IF(AND(J471&gt;0,I471&gt;0),(I471-J471)/I471,"")</f>
        <v/>
      </c>
      <c r="AP471" s="1007">
        <f>SUM(AJ471:AN471)</f>
        <v/>
      </c>
      <c r="AT471">
        <f t="array" ref="AT471">IF(E471&lt;&gt;"Occupied","",_xlfn.IFS(AND(ISNUMBER(AC471),AC471&lt;&gt;0),"Structured",ISNUMBER(SEARCH("/mo con",T471)),"Notes-parsed",ISNUMBER(SEARCH("step",T471)),"Step-up",ISNUMBER(SEARCH("swap",T471)),"Rate-swap",AND(ISNUMBER(I471),ISNUMBER(J471),I471&gt;J471),"Implied",TRUE,""))</f>
        <v/>
      </c>
      <c r="AU471" s="421">
        <f>IF(AC471&lt;&gt;"",AC471,IF(AT471="Implied",-(I471-J471),IF(OR(AT471="Step-up",AT471="Rate-swap"),"see notes","")))</f>
        <v/>
      </c>
    </row>
    <row r="472" outlineLevel="1" s="923">
      <c r="X472">
        <f>IF(AND(E472&lt;&gt;"",E472&lt;&gt;"Vacant",E472&lt;&gt;"Reserved",C472&lt;&gt;"",D472&lt;&gt;""),C472&amp;"|"&amp;D472,"")</f>
        <v/>
      </c>
      <c r="Y472">
        <f>IF(AND(C472&lt;&gt;"",D472&lt;&gt;""),C472&amp;"|"&amp;D472,"")</f>
        <v/>
      </c>
      <c r="AA472" s="421">
        <f>IF(AND(J472&gt;0,I472&gt;0),I472-J472,"")</f>
        <v/>
      </c>
      <c r="AB472" s="479">
        <f>IF(AND(J472&gt;0,I472&gt;0),(I472-J472)/I472,"")</f>
        <v/>
      </c>
      <c r="AP472" s="1007">
        <f>SUM(AJ472:AN472)</f>
        <v/>
      </c>
      <c r="AT472">
        <f t="array" ref="AT472">IF(E472&lt;&gt;"Occupied","",_xlfn.IFS(AND(ISNUMBER(AC472),AC472&lt;&gt;0),"Structured",ISNUMBER(SEARCH("/mo con",T472)),"Notes-parsed",ISNUMBER(SEARCH("step",T472)),"Step-up",ISNUMBER(SEARCH("swap",T472)),"Rate-swap",AND(ISNUMBER(I472),ISNUMBER(J472),I472&gt;J472),"Implied",TRUE,""))</f>
        <v/>
      </c>
      <c r="AU472" s="421">
        <f>IF(AC472&lt;&gt;"",AC472,IF(AT472="Implied",-(I472-J472),IF(OR(AT472="Step-up",AT472="Rate-swap"),"see notes","")))</f>
        <v/>
      </c>
    </row>
    <row r="473" outlineLevel="1" s="923">
      <c r="X473">
        <f>IF(AND(E473&lt;&gt;"",E473&lt;&gt;"Vacant",E473&lt;&gt;"Reserved",C473&lt;&gt;"",D473&lt;&gt;""),C473&amp;"|"&amp;D473,"")</f>
        <v/>
      </c>
      <c r="Y473">
        <f>IF(AND(C473&lt;&gt;"",D473&lt;&gt;""),C473&amp;"|"&amp;D473,"")</f>
        <v/>
      </c>
      <c r="AA473" s="421">
        <f>IF(AND(J473&gt;0,I473&gt;0),I473-J473,"")</f>
        <v/>
      </c>
      <c r="AB473" s="479">
        <f>IF(AND(J473&gt;0,I473&gt;0),(I473-J473)/I473,"")</f>
        <v/>
      </c>
      <c r="AP473" s="1007">
        <f>SUM(AJ473:AN473)</f>
        <v/>
      </c>
      <c r="AT473">
        <f t="array" ref="AT473">IF(E473&lt;&gt;"Occupied","",_xlfn.IFS(AND(ISNUMBER(AC473),AC473&lt;&gt;0),"Structured",ISNUMBER(SEARCH("/mo con",T473)),"Notes-parsed",ISNUMBER(SEARCH("step",T473)),"Step-up",ISNUMBER(SEARCH("swap",T473)),"Rate-swap",AND(ISNUMBER(I473),ISNUMBER(J473),I473&gt;J473),"Implied",TRUE,""))</f>
        <v/>
      </c>
      <c r="AU473" s="421">
        <f>IF(AC473&lt;&gt;"",AC473,IF(AT473="Implied",-(I473-J473),IF(OR(AT473="Step-up",AT473="Rate-swap"),"see notes","")))</f>
        <v/>
      </c>
    </row>
    <row r="474" outlineLevel="1" s="923">
      <c r="X474">
        <f>IF(AND(E474&lt;&gt;"",E474&lt;&gt;"Vacant",E474&lt;&gt;"Reserved",C474&lt;&gt;"",D474&lt;&gt;""),C474&amp;"|"&amp;D474,"")</f>
        <v/>
      </c>
      <c r="Y474">
        <f>IF(AND(C474&lt;&gt;"",D474&lt;&gt;""),C474&amp;"|"&amp;D474,"")</f>
        <v/>
      </c>
      <c r="AA474" s="421">
        <f>IF(AND(J474&gt;0,I474&gt;0),I474-J474,"")</f>
        <v/>
      </c>
      <c r="AB474" s="479">
        <f>IF(AND(J474&gt;0,I474&gt;0),(I474-J474)/I474,"")</f>
        <v/>
      </c>
      <c r="AP474" s="1007">
        <f>SUM(AJ474:AN474)</f>
        <v/>
      </c>
      <c r="AT474">
        <f t="array" ref="AT474">IF(E474&lt;&gt;"Occupied","",_xlfn.IFS(AND(ISNUMBER(AC474),AC474&lt;&gt;0),"Structured",ISNUMBER(SEARCH("/mo con",T474)),"Notes-parsed",ISNUMBER(SEARCH("step",T474)),"Step-up",ISNUMBER(SEARCH("swap",T474)),"Rate-swap",AND(ISNUMBER(I474),ISNUMBER(J474),I474&gt;J474),"Implied",TRUE,""))</f>
        <v/>
      </c>
      <c r="AU474" s="421">
        <f>IF(AC474&lt;&gt;"",AC474,IF(AT474="Implied",-(I474-J474),IF(OR(AT474="Step-up",AT474="Rate-swap"),"see notes","")))</f>
        <v/>
      </c>
    </row>
    <row r="475" outlineLevel="1" s="923">
      <c r="X475">
        <f>IF(AND(E475&lt;&gt;"",E475&lt;&gt;"Vacant",E475&lt;&gt;"Reserved",C475&lt;&gt;"",D475&lt;&gt;""),C475&amp;"|"&amp;D475,"")</f>
        <v/>
      </c>
      <c r="Y475">
        <f>IF(AND(C475&lt;&gt;"",D475&lt;&gt;""),C475&amp;"|"&amp;D475,"")</f>
        <v/>
      </c>
      <c r="AA475" s="421">
        <f>IF(AND(J475&gt;0,I475&gt;0),I475-J475,"")</f>
        <v/>
      </c>
      <c r="AB475" s="479">
        <f>IF(AND(J475&gt;0,I475&gt;0),(I475-J475)/I475,"")</f>
        <v/>
      </c>
      <c r="AP475" s="1007">
        <f>SUM(AJ475:AN475)</f>
        <v/>
      </c>
      <c r="AT475">
        <f t="array" ref="AT475">IF(E475&lt;&gt;"Occupied","",_xlfn.IFS(AND(ISNUMBER(AC475),AC475&lt;&gt;0),"Structured",ISNUMBER(SEARCH("/mo con",T475)),"Notes-parsed",ISNUMBER(SEARCH("step",T475)),"Step-up",ISNUMBER(SEARCH("swap",T475)),"Rate-swap",AND(ISNUMBER(I475),ISNUMBER(J475),I475&gt;J475),"Implied",TRUE,""))</f>
        <v/>
      </c>
      <c r="AU475" s="421">
        <f>IF(AC475&lt;&gt;"",AC475,IF(AT475="Implied",-(I475-J475),IF(OR(AT475="Step-up",AT475="Rate-swap"),"see notes","")))</f>
        <v/>
      </c>
    </row>
    <row r="476" outlineLevel="1" s="923">
      <c r="X476">
        <f>IF(AND(E476&lt;&gt;"",E476&lt;&gt;"Vacant",E476&lt;&gt;"Reserved",C476&lt;&gt;"",D476&lt;&gt;""),C476&amp;"|"&amp;D476,"")</f>
        <v/>
      </c>
      <c r="Y476">
        <f>IF(AND(C476&lt;&gt;"",D476&lt;&gt;""),C476&amp;"|"&amp;D476,"")</f>
        <v/>
      </c>
      <c r="AA476" s="421">
        <f>IF(AND(J476&gt;0,I476&gt;0),I476-J476,"")</f>
        <v/>
      </c>
      <c r="AB476" s="479">
        <f>IF(AND(J476&gt;0,I476&gt;0),(I476-J476)/I476,"")</f>
        <v/>
      </c>
      <c r="AP476" s="1007">
        <f>SUM(AJ476:AN476)</f>
        <v/>
      </c>
      <c r="AT476">
        <f t="array" ref="AT476">IF(E476&lt;&gt;"Occupied","",_xlfn.IFS(AND(ISNUMBER(AC476),AC476&lt;&gt;0),"Structured",ISNUMBER(SEARCH("/mo con",T476)),"Notes-parsed",ISNUMBER(SEARCH("step",T476)),"Step-up",ISNUMBER(SEARCH("swap",T476)),"Rate-swap",AND(ISNUMBER(I476),ISNUMBER(J476),I476&gt;J476),"Implied",TRUE,""))</f>
        <v/>
      </c>
      <c r="AU476" s="421">
        <f>IF(AC476&lt;&gt;"",AC476,IF(AT476="Implied",-(I476-J476),IF(OR(AT476="Step-up",AT476="Rate-swap"),"see notes","")))</f>
        <v/>
      </c>
    </row>
    <row r="477" outlineLevel="1" s="923">
      <c r="X477">
        <f>IF(AND(E477&lt;&gt;"",E477&lt;&gt;"Vacant",E477&lt;&gt;"Reserved",C477&lt;&gt;"",D477&lt;&gt;""),C477&amp;"|"&amp;D477,"")</f>
        <v/>
      </c>
      <c r="Y477">
        <f>IF(AND(C477&lt;&gt;"",D477&lt;&gt;""),C477&amp;"|"&amp;D477,"")</f>
        <v/>
      </c>
      <c r="AA477" s="421">
        <f>IF(AND(J477&gt;0,I477&gt;0),I477-J477,"")</f>
        <v/>
      </c>
      <c r="AB477" s="479">
        <f>IF(AND(J477&gt;0,I477&gt;0),(I477-J477)/I477,"")</f>
        <v/>
      </c>
      <c r="AP477" s="1007">
        <f>SUM(AJ477:AN477)</f>
        <v/>
      </c>
      <c r="AT477">
        <f t="array" ref="AT477">IF(E477&lt;&gt;"Occupied","",_xlfn.IFS(AND(ISNUMBER(AC477),AC477&lt;&gt;0),"Structured",ISNUMBER(SEARCH("/mo con",T477)),"Notes-parsed",ISNUMBER(SEARCH("step",T477)),"Step-up",ISNUMBER(SEARCH("swap",T477)),"Rate-swap",AND(ISNUMBER(I477),ISNUMBER(J477),I477&gt;J477),"Implied",TRUE,""))</f>
        <v/>
      </c>
      <c r="AU477" s="421">
        <f>IF(AC477&lt;&gt;"",AC477,IF(AT477="Implied",-(I477-J477),IF(OR(AT477="Step-up",AT477="Rate-swap"),"see notes","")))</f>
        <v/>
      </c>
    </row>
    <row r="478" outlineLevel="1" s="923">
      <c r="X478">
        <f>IF(AND(E478&lt;&gt;"",E478&lt;&gt;"Vacant",E478&lt;&gt;"Reserved",C478&lt;&gt;"",D478&lt;&gt;""),C478&amp;"|"&amp;D478,"")</f>
        <v/>
      </c>
      <c r="Y478">
        <f>IF(AND(C478&lt;&gt;"",D478&lt;&gt;""),C478&amp;"|"&amp;D478,"")</f>
        <v/>
      </c>
      <c r="AA478" s="421">
        <f>IF(AND(J478&gt;0,I478&gt;0),I478-J478,"")</f>
        <v/>
      </c>
      <c r="AB478" s="479">
        <f>IF(AND(J478&gt;0,I478&gt;0),(I478-J478)/I478,"")</f>
        <v/>
      </c>
      <c r="AP478" s="1007">
        <f>SUM(AJ478:AN478)</f>
        <v/>
      </c>
      <c r="AT478">
        <f t="array" ref="AT478">IF(E478&lt;&gt;"Occupied","",_xlfn.IFS(AND(ISNUMBER(AC478),AC478&lt;&gt;0),"Structured",ISNUMBER(SEARCH("/mo con",T478)),"Notes-parsed",ISNUMBER(SEARCH("step",T478)),"Step-up",ISNUMBER(SEARCH("swap",T478)),"Rate-swap",AND(ISNUMBER(I478),ISNUMBER(J478),I478&gt;J478),"Implied",TRUE,""))</f>
        <v/>
      </c>
      <c r="AU478" s="421">
        <f>IF(AC478&lt;&gt;"",AC478,IF(AT478="Implied",-(I478-J478),IF(OR(AT478="Step-up",AT478="Rate-swap"),"see notes","")))</f>
        <v/>
      </c>
    </row>
    <row r="479" outlineLevel="1" s="923">
      <c r="X479">
        <f>IF(AND(E479&lt;&gt;"",E479&lt;&gt;"Vacant",E479&lt;&gt;"Reserved",C479&lt;&gt;"",D479&lt;&gt;""),C479&amp;"|"&amp;D479,"")</f>
        <v/>
      </c>
      <c r="Y479">
        <f>IF(AND(C479&lt;&gt;"",D479&lt;&gt;""),C479&amp;"|"&amp;D479,"")</f>
        <v/>
      </c>
      <c r="AA479" s="421">
        <f>IF(AND(J479&gt;0,I479&gt;0),I479-J479,"")</f>
        <v/>
      </c>
      <c r="AB479" s="479">
        <f>IF(AND(J479&gt;0,I479&gt;0),(I479-J479)/I479,"")</f>
        <v/>
      </c>
      <c r="AP479" s="1007">
        <f>SUM(AJ479:AN479)</f>
        <v/>
      </c>
      <c r="AT479">
        <f t="array" ref="AT479">IF(E479&lt;&gt;"Occupied","",_xlfn.IFS(AND(ISNUMBER(AC479),AC479&lt;&gt;0),"Structured",ISNUMBER(SEARCH("/mo con",T479)),"Notes-parsed",ISNUMBER(SEARCH("step",T479)),"Step-up",ISNUMBER(SEARCH("swap",T479)),"Rate-swap",AND(ISNUMBER(I479),ISNUMBER(J479),I479&gt;J479),"Implied",TRUE,""))</f>
        <v/>
      </c>
      <c r="AU479" s="421">
        <f>IF(AC479&lt;&gt;"",AC479,IF(AT479="Implied",-(I479-J479),IF(OR(AT479="Step-up",AT479="Rate-swap"),"see notes","")))</f>
        <v/>
      </c>
    </row>
    <row r="480" outlineLevel="1" s="923">
      <c r="X480">
        <f>IF(AND(E480&lt;&gt;"",E480&lt;&gt;"Vacant",E480&lt;&gt;"Reserved",C480&lt;&gt;"",D480&lt;&gt;""),C480&amp;"|"&amp;D480,"")</f>
        <v/>
      </c>
      <c r="Y480">
        <f>IF(AND(C480&lt;&gt;"",D480&lt;&gt;""),C480&amp;"|"&amp;D480,"")</f>
        <v/>
      </c>
      <c r="AA480" s="421">
        <f>IF(AND(J480&gt;0,I480&gt;0),I480-J480,"")</f>
        <v/>
      </c>
      <c r="AB480" s="479">
        <f>IF(AND(J480&gt;0,I480&gt;0),(I480-J480)/I480,"")</f>
        <v/>
      </c>
      <c r="AP480" s="1007">
        <f>SUM(AJ480:AN480)</f>
        <v/>
      </c>
      <c r="AT480">
        <f t="array" ref="AT480">IF(E480&lt;&gt;"Occupied","",_xlfn.IFS(AND(ISNUMBER(AC480),AC480&lt;&gt;0),"Structured",ISNUMBER(SEARCH("/mo con",T480)),"Notes-parsed",ISNUMBER(SEARCH("step",T480)),"Step-up",ISNUMBER(SEARCH("swap",T480)),"Rate-swap",AND(ISNUMBER(I480),ISNUMBER(J480),I480&gt;J480),"Implied",TRUE,""))</f>
        <v/>
      </c>
      <c r="AU480" s="421">
        <f>IF(AC480&lt;&gt;"",AC480,IF(AT480="Implied",-(I480-J480),IF(OR(AT480="Step-up",AT480="Rate-swap"),"see notes","")))</f>
        <v/>
      </c>
    </row>
    <row r="481" outlineLevel="1" s="923">
      <c r="X481">
        <f>IF(AND(E481&lt;&gt;"",E481&lt;&gt;"Vacant",E481&lt;&gt;"Reserved",C481&lt;&gt;"",D481&lt;&gt;""),C481&amp;"|"&amp;D481,"")</f>
        <v/>
      </c>
      <c r="Y481">
        <f>IF(AND(C481&lt;&gt;"",D481&lt;&gt;""),C481&amp;"|"&amp;D481,"")</f>
        <v/>
      </c>
      <c r="AA481" s="421">
        <f>IF(AND(J481&gt;0,I481&gt;0),I481-J481,"")</f>
        <v/>
      </c>
      <c r="AB481" s="479">
        <f>IF(AND(J481&gt;0,I481&gt;0),(I481-J481)/I481,"")</f>
        <v/>
      </c>
      <c r="AP481" s="1007">
        <f>SUM(AJ481:AN481)</f>
        <v/>
      </c>
      <c r="AT481">
        <f t="array" ref="AT481">IF(E481&lt;&gt;"Occupied","",_xlfn.IFS(AND(ISNUMBER(AC481),AC481&lt;&gt;0),"Structured",ISNUMBER(SEARCH("/mo con",T481)),"Notes-parsed",ISNUMBER(SEARCH("step",T481)),"Step-up",ISNUMBER(SEARCH("swap",T481)),"Rate-swap",AND(ISNUMBER(I481),ISNUMBER(J481),I481&gt;J481),"Implied",TRUE,""))</f>
        <v/>
      </c>
      <c r="AU481" s="421">
        <f>IF(AC481&lt;&gt;"",AC481,IF(AT481="Implied",-(I481-J481),IF(OR(AT481="Step-up",AT481="Rate-swap"),"see notes","")))</f>
        <v/>
      </c>
    </row>
    <row r="482" outlineLevel="1" s="923">
      <c r="X482">
        <f>IF(AND(E482&lt;&gt;"",E482&lt;&gt;"Vacant",E482&lt;&gt;"Reserved",C482&lt;&gt;"",D482&lt;&gt;""),C482&amp;"|"&amp;D482,"")</f>
        <v/>
      </c>
      <c r="Y482">
        <f>IF(AND(C482&lt;&gt;"",D482&lt;&gt;""),C482&amp;"|"&amp;D482,"")</f>
        <v/>
      </c>
      <c r="AA482" s="421">
        <f>IF(AND(J482&gt;0,I482&gt;0),I482-J482,"")</f>
        <v/>
      </c>
      <c r="AB482" s="479">
        <f>IF(AND(J482&gt;0,I482&gt;0),(I482-J482)/I482,"")</f>
        <v/>
      </c>
      <c r="AP482" s="1007">
        <f>SUM(AJ482:AN482)</f>
        <v/>
      </c>
      <c r="AT482">
        <f t="array" ref="AT482">IF(E482&lt;&gt;"Occupied","",_xlfn.IFS(AND(ISNUMBER(AC482),AC482&lt;&gt;0),"Structured",ISNUMBER(SEARCH("/mo con",T482)),"Notes-parsed",ISNUMBER(SEARCH("step",T482)),"Step-up",ISNUMBER(SEARCH("swap",T482)),"Rate-swap",AND(ISNUMBER(I482),ISNUMBER(J482),I482&gt;J482),"Implied",TRUE,""))</f>
        <v/>
      </c>
      <c r="AU482" s="421">
        <f>IF(AC482&lt;&gt;"",AC482,IF(AT482="Implied",-(I482-J482),IF(OR(AT482="Step-up",AT482="Rate-swap"),"see notes","")))</f>
        <v/>
      </c>
    </row>
    <row r="483" outlineLevel="1" s="923">
      <c r="X483">
        <f>IF(AND(E483&lt;&gt;"",E483&lt;&gt;"Vacant",E483&lt;&gt;"Reserved",C483&lt;&gt;"",D483&lt;&gt;""),C483&amp;"|"&amp;D483,"")</f>
        <v/>
      </c>
      <c r="Y483">
        <f>IF(AND(C483&lt;&gt;"",D483&lt;&gt;""),C483&amp;"|"&amp;D483,"")</f>
        <v/>
      </c>
      <c r="AA483" s="421">
        <f>IF(AND(J483&gt;0,I483&gt;0),I483-J483,"")</f>
        <v/>
      </c>
      <c r="AB483" s="479">
        <f>IF(AND(J483&gt;0,I483&gt;0),(I483-J483)/I483,"")</f>
        <v/>
      </c>
      <c r="AP483" s="1007">
        <f>SUM(AJ483:AN483)</f>
        <v/>
      </c>
      <c r="AT483">
        <f t="array" ref="AT483">IF(E483&lt;&gt;"Occupied","",_xlfn.IFS(AND(ISNUMBER(AC483),AC483&lt;&gt;0),"Structured",ISNUMBER(SEARCH("/mo con",T483)),"Notes-parsed",ISNUMBER(SEARCH("step",T483)),"Step-up",ISNUMBER(SEARCH("swap",T483)),"Rate-swap",AND(ISNUMBER(I483),ISNUMBER(J483),I483&gt;J483),"Implied",TRUE,""))</f>
        <v/>
      </c>
      <c r="AU483" s="421">
        <f>IF(AC483&lt;&gt;"",AC483,IF(AT483="Implied",-(I483-J483),IF(OR(AT483="Step-up",AT483="Rate-swap"),"see notes","")))</f>
        <v/>
      </c>
    </row>
    <row r="484" outlineLevel="1" s="923">
      <c r="X484">
        <f>IF(AND(E484&lt;&gt;"",E484&lt;&gt;"Vacant",E484&lt;&gt;"Reserved",C484&lt;&gt;"",D484&lt;&gt;""),C484&amp;"|"&amp;D484,"")</f>
        <v/>
      </c>
      <c r="Y484">
        <f>IF(AND(C484&lt;&gt;"",D484&lt;&gt;""),C484&amp;"|"&amp;D484,"")</f>
        <v/>
      </c>
      <c r="AA484" s="421">
        <f>IF(AND(J484&gt;0,I484&gt;0),I484-J484,"")</f>
        <v/>
      </c>
      <c r="AB484" s="479">
        <f>IF(AND(J484&gt;0,I484&gt;0),(I484-J484)/I484,"")</f>
        <v/>
      </c>
      <c r="AP484" s="1007">
        <f>SUM(AJ484:AN484)</f>
        <v/>
      </c>
      <c r="AT484">
        <f t="array" ref="AT484">IF(E484&lt;&gt;"Occupied","",_xlfn.IFS(AND(ISNUMBER(AC484),AC484&lt;&gt;0),"Structured",ISNUMBER(SEARCH("/mo con",T484)),"Notes-parsed",ISNUMBER(SEARCH("step",T484)),"Step-up",ISNUMBER(SEARCH("swap",T484)),"Rate-swap",AND(ISNUMBER(I484),ISNUMBER(J484),I484&gt;J484),"Implied",TRUE,""))</f>
        <v/>
      </c>
      <c r="AU484" s="421">
        <f>IF(AC484&lt;&gt;"",AC484,IF(AT484="Implied",-(I484-J484),IF(OR(AT484="Step-up",AT484="Rate-swap"),"see notes","")))</f>
        <v/>
      </c>
    </row>
    <row r="485" outlineLevel="1" s="923">
      <c r="X485">
        <f>IF(AND(E485&lt;&gt;"",E485&lt;&gt;"Vacant",E485&lt;&gt;"Reserved",C485&lt;&gt;"",D485&lt;&gt;""),C485&amp;"|"&amp;D485,"")</f>
        <v/>
      </c>
      <c r="Y485">
        <f>IF(AND(C485&lt;&gt;"",D485&lt;&gt;""),C485&amp;"|"&amp;D485,"")</f>
        <v/>
      </c>
      <c r="AA485" s="421">
        <f>IF(AND(J485&gt;0,I485&gt;0),I485-J485,"")</f>
        <v/>
      </c>
      <c r="AB485" s="479">
        <f>IF(AND(J485&gt;0,I485&gt;0),(I485-J485)/I485,"")</f>
        <v/>
      </c>
      <c r="AP485" s="1007">
        <f>SUM(AJ485:AN485)</f>
        <v/>
      </c>
      <c r="AT485">
        <f t="array" ref="AT485">IF(E485&lt;&gt;"Occupied","",_xlfn.IFS(AND(ISNUMBER(AC485),AC485&lt;&gt;0),"Structured",ISNUMBER(SEARCH("/mo con",T485)),"Notes-parsed",ISNUMBER(SEARCH("step",T485)),"Step-up",ISNUMBER(SEARCH("swap",T485)),"Rate-swap",AND(ISNUMBER(I485),ISNUMBER(J485),I485&gt;J485),"Implied",TRUE,""))</f>
        <v/>
      </c>
      <c r="AU485" s="421">
        <f>IF(AC485&lt;&gt;"",AC485,IF(AT485="Implied",-(I485-J485),IF(OR(AT485="Step-up",AT485="Rate-swap"),"see notes","")))</f>
        <v/>
      </c>
    </row>
    <row r="486" outlineLevel="1" s="923">
      <c r="X486">
        <f>IF(AND(E486&lt;&gt;"",E486&lt;&gt;"Vacant",E486&lt;&gt;"Reserved",C486&lt;&gt;"",D486&lt;&gt;""),C486&amp;"|"&amp;D486,"")</f>
        <v/>
      </c>
      <c r="Y486">
        <f>IF(AND(C486&lt;&gt;"",D486&lt;&gt;""),C486&amp;"|"&amp;D486,"")</f>
        <v/>
      </c>
      <c r="AA486" s="421">
        <f>IF(AND(J486&gt;0,I486&gt;0),I486-J486,"")</f>
        <v/>
      </c>
      <c r="AB486" s="479">
        <f>IF(AND(J486&gt;0,I486&gt;0),(I486-J486)/I486,"")</f>
        <v/>
      </c>
      <c r="AP486" s="1007">
        <f>SUM(AJ486:AN486)</f>
        <v/>
      </c>
      <c r="AT486">
        <f t="array" ref="AT486">IF(E486&lt;&gt;"Occupied","",_xlfn.IFS(AND(ISNUMBER(AC486),AC486&lt;&gt;0),"Structured",ISNUMBER(SEARCH("/mo con",T486)),"Notes-parsed",ISNUMBER(SEARCH("step",T486)),"Step-up",ISNUMBER(SEARCH("swap",T486)),"Rate-swap",AND(ISNUMBER(I486),ISNUMBER(J486),I486&gt;J486),"Implied",TRUE,""))</f>
        <v/>
      </c>
      <c r="AU486" s="421">
        <f>IF(AC486&lt;&gt;"",AC486,IF(AT486="Implied",-(I486-J486),IF(OR(AT486="Step-up",AT486="Rate-swap"),"see notes","")))</f>
        <v/>
      </c>
    </row>
    <row r="487" outlineLevel="1" s="923">
      <c r="X487">
        <f>IF(AND(E487&lt;&gt;"",E487&lt;&gt;"Vacant",E487&lt;&gt;"Reserved",C487&lt;&gt;"",D487&lt;&gt;""),C487&amp;"|"&amp;D487,"")</f>
        <v/>
      </c>
      <c r="Y487">
        <f>IF(AND(C487&lt;&gt;"",D487&lt;&gt;""),C487&amp;"|"&amp;D487,"")</f>
        <v/>
      </c>
      <c r="AA487" s="421">
        <f>IF(AND(J487&gt;0,I487&gt;0),I487-J487,"")</f>
        <v/>
      </c>
      <c r="AB487" s="479">
        <f>IF(AND(J487&gt;0,I487&gt;0),(I487-J487)/I487,"")</f>
        <v/>
      </c>
      <c r="AP487" s="1007">
        <f>SUM(AJ487:AN487)</f>
        <v/>
      </c>
      <c r="AT487">
        <f t="array" ref="AT487">IF(E487&lt;&gt;"Occupied","",_xlfn.IFS(AND(ISNUMBER(AC487),AC487&lt;&gt;0),"Structured",ISNUMBER(SEARCH("/mo con",T487)),"Notes-parsed",ISNUMBER(SEARCH("step",T487)),"Step-up",ISNUMBER(SEARCH("swap",T487)),"Rate-swap",AND(ISNUMBER(I487),ISNUMBER(J487),I487&gt;J487),"Implied",TRUE,""))</f>
        <v/>
      </c>
      <c r="AU487" s="421">
        <f>IF(AC487&lt;&gt;"",AC487,IF(AT487="Implied",-(I487-J487),IF(OR(AT487="Step-up",AT487="Rate-swap"),"see notes","")))</f>
        <v/>
      </c>
    </row>
    <row r="488" outlineLevel="1" s="923">
      <c r="X488">
        <f>IF(AND(E488&lt;&gt;"",E488&lt;&gt;"Vacant",E488&lt;&gt;"Reserved",C488&lt;&gt;"",D488&lt;&gt;""),C488&amp;"|"&amp;D488,"")</f>
        <v/>
      </c>
      <c r="Y488">
        <f>IF(AND(C488&lt;&gt;"",D488&lt;&gt;""),C488&amp;"|"&amp;D488,"")</f>
        <v/>
      </c>
      <c r="AA488" s="421">
        <f>IF(AND(J488&gt;0,I488&gt;0),I488-J488,"")</f>
        <v/>
      </c>
      <c r="AB488" s="479">
        <f>IF(AND(J488&gt;0,I488&gt;0),(I488-J488)/I488,"")</f>
        <v/>
      </c>
      <c r="AP488" s="1007">
        <f>SUM(AJ488:AN488)</f>
        <v/>
      </c>
      <c r="AT488">
        <f t="array" ref="AT488">IF(E488&lt;&gt;"Occupied","",_xlfn.IFS(AND(ISNUMBER(AC488),AC488&lt;&gt;0),"Structured",ISNUMBER(SEARCH("/mo con",T488)),"Notes-parsed",ISNUMBER(SEARCH("step",T488)),"Step-up",ISNUMBER(SEARCH("swap",T488)),"Rate-swap",AND(ISNUMBER(I488),ISNUMBER(J488),I488&gt;J488),"Implied",TRUE,""))</f>
        <v/>
      </c>
      <c r="AU488" s="421">
        <f>IF(AC488&lt;&gt;"",AC488,IF(AT488="Implied",-(I488-J488),IF(OR(AT488="Step-up",AT488="Rate-swap"),"see notes","")))</f>
        <v/>
      </c>
    </row>
    <row r="489" outlineLevel="1" s="923">
      <c r="X489">
        <f>IF(AND(E489&lt;&gt;"",E489&lt;&gt;"Vacant",E489&lt;&gt;"Reserved",C489&lt;&gt;"",D489&lt;&gt;""),C489&amp;"|"&amp;D489,"")</f>
        <v/>
      </c>
      <c r="Y489">
        <f>IF(AND(C489&lt;&gt;"",D489&lt;&gt;""),C489&amp;"|"&amp;D489,"")</f>
        <v/>
      </c>
      <c r="AA489" s="421">
        <f>IF(AND(J489&gt;0,I489&gt;0),I489-J489,"")</f>
        <v/>
      </c>
      <c r="AB489" s="479">
        <f>IF(AND(J489&gt;0,I489&gt;0),(I489-J489)/I489,"")</f>
        <v/>
      </c>
      <c r="AP489" s="1007">
        <f>SUM(AJ489:AN489)</f>
        <v/>
      </c>
      <c r="AT489">
        <f t="array" ref="AT489">IF(E489&lt;&gt;"Occupied","",_xlfn.IFS(AND(ISNUMBER(AC489),AC489&lt;&gt;0),"Structured",ISNUMBER(SEARCH("/mo con",T489)),"Notes-parsed",ISNUMBER(SEARCH("step",T489)),"Step-up",ISNUMBER(SEARCH("swap",T489)),"Rate-swap",AND(ISNUMBER(I489),ISNUMBER(J489),I489&gt;J489),"Implied",TRUE,""))</f>
        <v/>
      </c>
      <c r="AU489" s="421">
        <f>IF(AC489&lt;&gt;"",AC489,IF(AT489="Implied",-(I489-J489),IF(OR(AT489="Step-up",AT489="Rate-swap"),"see notes","")))</f>
        <v/>
      </c>
    </row>
    <row r="490" outlineLevel="1" s="923">
      <c r="X490">
        <f>IF(AND(E490&lt;&gt;"",E490&lt;&gt;"Vacant",E490&lt;&gt;"Reserved",C490&lt;&gt;"",D490&lt;&gt;""),C490&amp;"|"&amp;D490,"")</f>
        <v/>
      </c>
      <c r="Y490">
        <f>IF(AND(C490&lt;&gt;"",D490&lt;&gt;""),C490&amp;"|"&amp;D490,"")</f>
        <v/>
      </c>
      <c r="AA490" s="421">
        <f>IF(AND(J490&gt;0,I490&gt;0),I490-J490,"")</f>
        <v/>
      </c>
      <c r="AB490" s="479">
        <f>IF(AND(J490&gt;0,I490&gt;0),(I490-J490)/I490,"")</f>
        <v/>
      </c>
      <c r="AP490" s="1007">
        <f>SUM(AJ490:AN490)</f>
        <v/>
      </c>
      <c r="AT490">
        <f t="array" ref="AT490">IF(E490&lt;&gt;"Occupied","",_xlfn.IFS(AND(ISNUMBER(AC490),AC490&lt;&gt;0),"Structured",ISNUMBER(SEARCH("/mo con",T490)),"Notes-parsed",ISNUMBER(SEARCH("step",T490)),"Step-up",ISNUMBER(SEARCH("swap",T490)),"Rate-swap",AND(ISNUMBER(I490),ISNUMBER(J490),I490&gt;J490),"Implied",TRUE,""))</f>
        <v/>
      </c>
      <c r="AU490" s="421">
        <f>IF(AC490&lt;&gt;"",AC490,IF(AT490="Implied",-(I490-J490),IF(OR(AT490="Step-up",AT490="Rate-swap"),"see notes","")))</f>
        <v/>
      </c>
    </row>
    <row r="491" outlineLevel="1" s="923">
      <c r="X491">
        <f>IF(AND(E491&lt;&gt;"",E491&lt;&gt;"Vacant",E491&lt;&gt;"Reserved",C491&lt;&gt;"",D491&lt;&gt;""),C491&amp;"|"&amp;D491,"")</f>
        <v/>
      </c>
      <c r="Y491">
        <f>IF(AND(C491&lt;&gt;"",D491&lt;&gt;""),C491&amp;"|"&amp;D491,"")</f>
        <v/>
      </c>
      <c r="AA491" s="421">
        <f>IF(AND(J491&gt;0,I491&gt;0),I491-J491,"")</f>
        <v/>
      </c>
      <c r="AB491" s="479">
        <f>IF(AND(J491&gt;0,I491&gt;0),(I491-J491)/I491,"")</f>
        <v/>
      </c>
      <c r="AP491" s="1007">
        <f>SUM(AJ491:AN491)</f>
        <v/>
      </c>
      <c r="AT491">
        <f t="array" ref="AT491">IF(E491&lt;&gt;"Occupied","",_xlfn.IFS(AND(ISNUMBER(AC491),AC491&lt;&gt;0),"Structured",ISNUMBER(SEARCH("/mo con",T491)),"Notes-parsed",ISNUMBER(SEARCH("step",T491)),"Step-up",ISNUMBER(SEARCH("swap",T491)),"Rate-swap",AND(ISNUMBER(I491),ISNUMBER(J491),I491&gt;J491),"Implied",TRUE,""))</f>
        <v/>
      </c>
      <c r="AU491" s="421">
        <f>IF(AC491&lt;&gt;"",AC491,IF(AT491="Implied",-(I491-J491),IF(OR(AT491="Step-up",AT491="Rate-swap"),"see notes","")))</f>
        <v/>
      </c>
    </row>
    <row r="492" outlineLevel="1" s="923">
      <c r="X492">
        <f>IF(AND(E492&lt;&gt;"",E492&lt;&gt;"Vacant",E492&lt;&gt;"Reserved",C492&lt;&gt;"",D492&lt;&gt;""),C492&amp;"|"&amp;D492,"")</f>
        <v/>
      </c>
      <c r="Y492">
        <f>IF(AND(C492&lt;&gt;"",D492&lt;&gt;""),C492&amp;"|"&amp;D492,"")</f>
        <v/>
      </c>
      <c r="AA492" s="421">
        <f>IF(AND(J492&gt;0,I492&gt;0),I492-J492,"")</f>
        <v/>
      </c>
      <c r="AB492" s="479">
        <f>IF(AND(J492&gt;0,I492&gt;0),(I492-J492)/I492,"")</f>
        <v/>
      </c>
      <c r="AP492" s="1007">
        <f>SUM(AJ492:AN492)</f>
        <v/>
      </c>
      <c r="AT492">
        <f t="array" ref="AT492">IF(E492&lt;&gt;"Occupied","",_xlfn.IFS(AND(ISNUMBER(AC492),AC492&lt;&gt;0),"Structured",ISNUMBER(SEARCH("/mo con",T492)),"Notes-parsed",ISNUMBER(SEARCH("step",T492)),"Step-up",ISNUMBER(SEARCH("swap",T492)),"Rate-swap",AND(ISNUMBER(I492),ISNUMBER(J492),I492&gt;J492),"Implied",TRUE,""))</f>
        <v/>
      </c>
      <c r="AU492" s="421">
        <f>IF(AC492&lt;&gt;"",AC492,IF(AT492="Implied",-(I492-J492),IF(OR(AT492="Step-up",AT492="Rate-swap"),"see notes","")))</f>
        <v/>
      </c>
    </row>
    <row r="493" outlineLevel="1" s="923">
      <c r="X493">
        <f>IF(AND(E493&lt;&gt;"",E493&lt;&gt;"Vacant",E493&lt;&gt;"Reserved",C493&lt;&gt;"",D493&lt;&gt;""),C493&amp;"|"&amp;D493,"")</f>
        <v/>
      </c>
      <c r="Y493">
        <f>IF(AND(C493&lt;&gt;"",D493&lt;&gt;""),C493&amp;"|"&amp;D493,"")</f>
        <v/>
      </c>
      <c r="AA493" s="421">
        <f>IF(AND(J493&gt;0,I493&gt;0),I493-J493,"")</f>
        <v/>
      </c>
      <c r="AB493" s="479">
        <f>IF(AND(J493&gt;0,I493&gt;0),(I493-J493)/I493,"")</f>
        <v/>
      </c>
      <c r="AP493" s="1007">
        <f>SUM(AJ493:AN493)</f>
        <v/>
      </c>
      <c r="AT493">
        <f t="array" ref="AT493">IF(E493&lt;&gt;"Occupied","",_xlfn.IFS(AND(ISNUMBER(AC493),AC493&lt;&gt;0),"Structured",ISNUMBER(SEARCH("/mo con",T493)),"Notes-parsed",ISNUMBER(SEARCH("step",T493)),"Step-up",ISNUMBER(SEARCH("swap",T493)),"Rate-swap",AND(ISNUMBER(I493),ISNUMBER(J493),I493&gt;J493),"Implied",TRUE,""))</f>
        <v/>
      </c>
      <c r="AU493" s="421">
        <f>IF(AC493&lt;&gt;"",AC493,IF(AT493="Implied",-(I493-J493),IF(OR(AT493="Step-up",AT493="Rate-swap"),"see notes","")))</f>
        <v/>
      </c>
    </row>
    <row r="494" outlineLevel="1" s="923">
      <c r="X494">
        <f>IF(AND(E494&lt;&gt;"",E494&lt;&gt;"Vacant",E494&lt;&gt;"Reserved",C494&lt;&gt;"",D494&lt;&gt;""),C494&amp;"|"&amp;D494,"")</f>
        <v/>
      </c>
      <c r="Y494">
        <f>IF(AND(C494&lt;&gt;"",D494&lt;&gt;""),C494&amp;"|"&amp;D494,"")</f>
        <v/>
      </c>
      <c r="AA494" s="421">
        <f>IF(AND(J494&gt;0,I494&gt;0),I494-J494,"")</f>
        <v/>
      </c>
      <c r="AB494" s="479">
        <f>IF(AND(J494&gt;0,I494&gt;0),(I494-J494)/I494,"")</f>
        <v/>
      </c>
      <c r="AP494" s="1007">
        <f>SUM(AJ494:AN494)</f>
        <v/>
      </c>
      <c r="AT494">
        <f t="array" ref="AT494">IF(E494&lt;&gt;"Occupied","",_xlfn.IFS(AND(ISNUMBER(AC494),AC494&lt;&gt;0),"Structured",ISNUMBER(SEARCH("/mo con",T494)),"Notes-parsed",ISNUMBER(SEARCH("step",T494)),"Step-up",ISNUMBER(SEARCH("swap",T494)),"Rate-swap",AND(ISNUMBER(I494),ISNUMBER(J494),I494&gt;J494),"Implied",TRUE,""))</f>
        <v/>
      </c>
      <c r="AU494" s="421">
        <f>IF(AC494&lt;&gt;"",AC494,IF(AT494="Implied",-(I494-J494),IF(OR(AT494="Step-up",AT494="Rate-swap"),"see notes","")))</f>
        <v/>
      </c>
    </row>
    <row r="495" outlineLevel="1" s="923">
      <c r="X495">
        <f>IF(AND(E495&lt;&gt;"",E495&lt;&gt;"Vacant",E495&lt;&gt;"Reserved",C495&lt;&gt;"",D495&lt;&gt;""),C495&amp;"|"&amp;D495,"")</f>
        <v/>
      </c>
      <c r="Y495">
        <f>IF(AND(C495&lt;&gt;"",D495&lt;&gt;""),C495&amp;"|"&amp;D495,"")</f>
        <v/>
      </c>
      <c r="AA495" s="421">
        <f>IF(AND(J495&gt;0,I495&gt;0),I495-J495,"")</f>
        <v/>
      </c>
      <c r="AB495" s="479">
        <f>IF(AND(J495&gt;0,I495&gt;0),(I495-J495)/I495,"")</f>
        <v/>
      </c>
      <c r="AP495" s="1007">
        <f>SUM(AJ495:AN495)</f>
        <v/>
      </c>
      <c r="AT495">
        <f t="array" ref="AT495">IF(E495&lt;&gt;"Occupied","",_xlfn.IFS(AND(ISNUMBER(AC495),AC495&lt;&gt;0),"Structured",ISNUMBER(SEARCH("/mo con",T495)),"Notes-parsed",ISNUMBER(SEARCH("step",T495)),"Step-up",ISNUMBER(SEARCH("swap",T495)),"Rate-swap",AND(ISNUMBER(I495),ISNUMBER(J495),I495&gt;J495),"Implied",TRUE,""))</f>
        <v/>
      </c>
      <c r="AU495" s="421">
        <f>IF(AC495&lt;&gt;"",AC495,IF(AT495="Implied",-(I495-J495),IF(OR(AT495="Step-up",AT495="Rate-swap"),"see notes","")))</f>
        <v/>
      </c>
    </row>
    <row r="496" outlineLevel="1" s="923">
      <c r="X496">
        <f>IF(AND(E496&lt;&gt;"",E496&lt;&gt;"Vacant",E496&lt;&gt;"Reserved",C496&lt;&gt;"",D496&lt;&gt;""),C496&amp;"|"&amp;D496,"")</f>
        <v/>
      </c>
      <c r="Y496">
        <f>IF(AND(C496&lt;&gt;"",D496&lt;&gt;""),C496&amp;"|"&amp;D496,"")</f>
        <v/>
      </c>
      <c r="AA496" s="421">
        <f>IF(AND(J496&gt;0,I496&gt;0),I496-J496,"")</f>
        <v/>
      </c>
      <c r="AB496" s="479">
        <f>IF(AND(J496&gt;0,I496&gt;0),(I496-J496)/I496,"")</f>
        <v/>
      </c>
      <c r="AP496" s="1007">
        <f>SUM(AJ496:AN496)</f>
        <v/>
      </c>
      <c r="AT496">
        <f t="array" ref="AT496">IF(E496&lt;&gt;"Occupied","",_xlfn.IFS(AND(ISNUMBER(AC496),AC496&lt;&gt;0),"Structured",ISNUMBER(SEARCH("/mo con",T496)),"Notes-parsed",ISNUMBER(SEARCH("step",T496)),"Step-up",ISNUMBER(SEARCH("swap",T496)),"Rate-swap",AND(ISNUMBER(I496),ISNUMBER(J496),I496&gt;J496),"Implied",TRUE,""))</f>
        <v/>
      </c>
      <c r="AU496" s="421">
        <f>IF(AC496&lt;&gt;"",AC496,IF(AT496="Implied",-(I496-J496),IF(OR(AT496="Step-up",AT496="Rate-swap"),"see notes","")))</f>
        <v/>
      </c>
    </row>
    <row r="497" outlineLevel="1" s="923">
      <c r="X497">
        <f>IF(AND(E497&lt;&gt;"",E497&lt;&gt;"Vacant",E497&lt;&gt;"Reserved",C497&lt;&gt;"",D497&lt;&gt;""),C497&amp;"|"&amp;D497,"")</f>
        <v/>
      </c>
      <c r="Y497">
        <f>IF(AND(C497&lt;&gt;"",D497&lt;&gt;""),C497&amp;"|"&amp;D497,"")</f>
        <v/>
      </c>
      <c r="AA497" s="421">
        <f>IF(AND(J497&gt;0,I497&gt;0),I497-J497,"")</f>
        <v/>
      </c>
      <c r="AB497" s="479">
        <f>IF(AND(J497&gt;0,I497&gt;0),(I497-J497)/I497,"")</f>
        <v/>
      </c>
      <c r="AP497" s="1007">
        <f>SUM(AJ497:AN497)</f>
        <v/>
      </c>
      <c r="AT497">
        <f t="array" ref="AT497">IF(E497&lt;&gt;"Occupied","",_xlfn.IFS(AND(ISNUMBER(AC497),AC497&lt;&gt;0),"Structured",ISNUMBER(SEARCH("/mo con",T497)),"Notes-parsed",ISNUMBER(SEARCH("step",T497)),"Step-up",ISNUMBER(SEARCH("swap",T497)),"Rate-swap",AND(ISNUMBER(I497),ISNUMBER(J497),I497&gt;J497),"Implied",TRUE,""))</f>
        <v/>
      </c>
      <c r="AU497" s="421">
        <f>IF(AC497&lt;&gt;"",AC497,IF(AT497="Implied",-(I497-J497),IF(OR(AT497="Step-up",AT497="Rate-swap"),"see notes","")))</f>
        <v/>
      </c>
    </row>
    <row r="498" outlineLevel="1" s="923">
      <c r="X498">
        <f>IF(AND(E498&lt;&gt;"",E498&lt;&gt;"Vacant",E498&lt;&gt;"Reserved",C498&lt;&gt;"",D498&lt;&gt;""),C498&amp;"|"&amp;D498,"")</f>
        <v/>
      </c>
      <c r="Y498">
        <f>IF(AND(C498&lt;&gt;"",D498&lt;&gt;""),C498&amp;"|"&amp;D498,"")</f>
        <v/>
      </c>
      <c r="AA498" s="421">
        <f>IF(AND(J498&gt;0,I498&gt;0),I498-J498,"")</f>
        <v/>
      </c>
      <c r="AB498" s="479">
        <f>IF(AND(J498&gt;0,I498&gt;0),(I498-J498)/I498,"")</f>
        <v/>
      </c>
      <c r="AP498" s="1007">
        <f>SUM(AJ498:AN498)</f>
        <v/>
      </c>
      <c r="AT498">
        <f t="array" ref="AT498">IF(E498&lt;&gt;"Occupied","",_xlfn.IFS(AND(ISNUMBER(AC498),AC498&lt;&gt;0),"Structured",ISNUMBER(SEARCH("/mo con",T498)),"Notes-parsed",ISNUMBER(SEARCH("step",T498)),"Step-up",ISNUMBER(SEARCH("swap",T498)),"Rate-swap",AND(ISNUMBER(I498),ISNUMBER(J498),I498&gt;J498),"Implied",TRUE,""))</f>
        <v/>
      </c>
      <c r="AU498" s="421">
        <f>IF(AC498&lt;&gt;"",AC498,IF(AT498="Implied",-(I498-J498),IF(OR(AT498="Step-up",AT498="Rate-swap"),"see notes","")))</f>
        <v/>
      </c>
    </row>
    <row r="499" outlineLevel="1" s="923">
      <c r="X499">
        <f>IF(AND(E499&lt;&gt;"",E499&lt;&gt;"Vacant",E499&lt;&gt;"Reserved",C499&lt;&gt;"",D499&lt;&gt;""),C499&amp;"|"&amp;D499,"")</f>
        <v/>
      </c>
      <c r="Y499">
        <f>IF(AND(C499&lt;&gt;"",D499&lt;&gt;""),C499&amp;"|"&amp;D499,"")</f>
        <v/>
      </c>
      <c r="AA499" s="421">
        <f>IF(AND(J499&gt;0,I499&gt;0),I499-J499,"")</f>
        <v/>
      </c>
      <c r="AB499" s="479">
        <f>IF(AND(J499&gt;0,I499&gt;0),(I499-J499)/I499,"")</f>
        <v/>
      </c>
      <c r="AP499" s="1007">
        <f>SUM(AJ499:AN499)</f>
        <v/>
      </c>
      <c r="AT499">
        <f t="array" ref="AT499">IF(E499&lt;&gt;"Occupied","",_xlfn.IFS(AND(ISNUMBER(AC499),AC499&lt;&gt;0),"Structured",ISNUMBER(SEARCH("/mo con",T499)),"Notes-parsed",ISNUMBER(SEARCH("step",T499)),"Step-up",ISNUMBER(SEARCH("swap",T499)),"Rate-swap",AND(ISNUMBER(I499),ISNUMBER(J499),I499&gt;J499),"Implied",TRUE,""))</f>
        <v/>
      </c>
      <c r="AU499" s="421">
        <f>IF(AC499&lt;&gt;"",AC499,IF(AT499="Implied",-(I499-J499),IF(OR(AT499="Step-up",AT499="Rate-swap"),"see notes","")))</f>
        <v/>
      </c>
    </row>
    <row r="500" outlineLevel="1" s="923">
      <c r="X500">
        <f>IF(AND(E500&lt;&gt;"",E500&lt;&gt;"Vacant",E500&lt;&gt;"Reserved",C500&lt;&gt;"",D500&lt;&gt;""),C500&amp;"|"&amp;D500,"")</f>
        <v/>
      </c>
      <c r="Y500">
        <f>IF(AND(C500&lt;&gt;"",D500&lt;&gt;""),C500&amp;"|"&amp;D500,"")</f>
        <v/>
      </c>
      <c r="AA500" s="421">
        <f>IF(AND(J500&gt;0,I500&gt;0),I500-J500,"")</f>
        <v/>
      </c>
      <c r="AB500" s="479">
        <f>IF(AND(J500&gt;0,I500&gt;0),(I500-J500)/I500,"")</f>
        <v/>
      </c>
      <c r="AP500" s="1007">
        <f>SUM(AJ500:AN500)</f>
        <v/>
      </c>
      <c r="AT500">
        <f t="array" ref="AT500">IF(E500&lt;&gt;"Occupied","",_xlfn.IFS(AND(ISNUMBER(AC500),AC500&lt;&gt;0),"Structured",ISNUMBER(SEARCH("/mo con",T500)),"Notes-parsed",ISNUMBER(SEARCH("step",T500)),"Step-up",ISNUMBER(SEARCH("swap",T500)),"Rate-swap",AND(ISNUMBER(I500),ISNUMBER(J500),I500&gt;J500),"Implied",TRUE,""))</f>
        <v/>
      </c>
      <c r="AU500" s="421">
        <f>IF(AC500&lt;&gt;"",AC500,IF(AT500="Implied",-(I500-J500),IF(OR(AT500="Step-up",AT500="Rate-swap"),"see notes","")))</f>
        <v/>
      </c>
    </row>
    <row r="501" outlineLevel="1" s="923">
      <c r="X501">
        <f>IF(AND(E501&lt;&gt;"",E501&lt;&gt;"Vacant",E501&lt;&gt;"Reserved",C501&lt;&gt;"",D501&lt;&gt;""),C501&amp;"|"&amp;D501,"")</f>
        <v/>
      </c>
      <c r="Y501">
        <f>IF(AND(C501&lt;&gt;"",D501&lt;&gt;""),C501&amp;"|"&amp;D501,"")</f>
        <v/>
      </c>
      <c r="AA501" s="421">
        <f>IF(AND(J501&gt;0,I501&gt;0),I501-J501,"")</f>
        <v/>
      </c>
      <c r="AB501" s="479">
        <f>IF(AND(J501&gt;0,I501&gt;0),(I501-J501)/I501,"")</f>
        <v/>
      </c>
      <c r="AP501" s="1007">
        <f>SUM(AJ501:AN501)</f>
        <v/>
      </c>
      <c r="AT501">
        <f t="array" ref="AT501">IF(E501&lt;&gt;"Occupied","",_xlfn.IFS(AND(ISNUMBER(AC501),AC501&lt;&gt;0),"Structured",ISNUMBER(SEARCH("/mo con",T501)),"Notes-parsed",ISNUMBER(SEARCH("step",T501)),"Step-up",ISNUMBER(SEARCH("swap",T501)),"Rate-swap",AND(ISNUMBER(I501),ISNUMBER(J501),I501&gt;J501),"Implied",TRUE,""))</f>
        <v/>
      </c>
      <c r="AU501" s="421">
        <f>IF(AC501&lt;&gt;"",AC501,IF(AT501="Implied",-(I501-J501),IF(OR(AT501="Step-up",AT501="Rate-swap"),"see notes","")))</f>
        <v/>
      </c>
    </row>
    <row r="502" outlineLevel="1" s="923">
      <c r="X502">
        <f>IF(AND(E502&lt;&gt;"",E502&lt;&gt;"Vacant",E502&lt;&gt;"Reserved",C502&lt;&gt;"",D502&lt;&gt;""),C502&amp;"|"&amp;D502,"")</f>
        <v/>
      </c>
      <c r="Y502">
        <f>IF(AND(C502&lt;&gt;"",D502&lt;&gt;""),C502&amp;"|"&amp;D502,"")</f>
        <v/>
      </c>
      <c r="AA502" s="421">
        <f>IF(AND(J502&gt;0,I502&gt;0),I502-J502,"")</f>
        <v/>
      </c>
      <c r="AB502" s="479">
        <f>IF(AND(J502&gt;0,I502&gt;0),(I502-J502)/I502,"")</f>
        <v/>
      </c>
      <c r="AP502" s="1007">
        <f>SUM(AJ502:AN502)</f>
        <v/>
      </c>
      <c r="AT502">
        <f t="array" ref="AT502">IF(E502&lt;&gt;"Occupied","",_xlfn.IFS(AND(ISNUMBER(AC502),AC502&lt;&gt;0),"Structured",ISNUMBER(SEARCH("/mo con",T502)),"Notes-parsed",ISNUMBER(SEARCH("step",T502)),"Step-up",ISNUMBER(SEARCH("swap",T502)),"Rate-swap",AND(ISNUMBER(I502),ISNUMBER(J502),I502&gt;J502),"Implied",TRUE,""))</f>
        <v/>
      </c>
      <c r="AU502" s="421">
        <f>IF(AC502&lt;&gt;"",AC502,IF(AT502="Implied",-(I502-J502),IF(OR(AT502="Step-up",AT502="Rate-swap"),"see notes","")))</f>
        <v/>
      </c>
    </row>
    <row r="503" outlineLevel="1" s="923">
      <c r="X503">
        <f>IF(AND(E503&lt;&gt;"",E503&lt;&gt;"Vacant",E503&lt;&gt;"Reserved",C503&lt;&gt;"",D503&lt;&gt;""),C503&amp;"|"&amp;D503,"")</f>
        <v/>
      </c>
      <c r="Y503">
        <f>IF(AND(C503&lt;&gt;"",D503&lt;&gt;""),C503&amp;"|"&amp;D503,"")</f>
        <v/>
      </c>
      <c r="AA503" s="421">
        <f>IF(AND(J503&gt;0,I503&gt;0),I503-J503,"")</f>
        <v/>
      </c>
      <c r="AB503" s="479">
        <f>IF(AND(J503&gt;0,I503&gt;0),(I503-J503)/I503,"")</f>
        <v/>
      </c>
      <c r="AP503" s="1007">
        <f>SUM(AJ503:AN503)</f>
        <v/>
      </c>
      <c r="AT503">
        <f t="array" ref="AT503">IF(E503&lt;&gt;"Occupied","",_xlfn.IFS(AND(ISNUMBER(AC503),AC503&lt;&gt;0),"Structured",ISNUMBER(SEARCH("/mo con",T503)),"Notes-parsed",ISNUMBER(SEARCH("step",T503)),"Step-up",ISNUMBER(SEARCH("swap",T503)),"Rate-swap",AND(ISNUMBER(I503),ISNUMBER(J503),I503&gt;J503),"Implied",TRUE,""))</f>
        <v/>
      </c>
      <c r="AU503" s="421">
        <f>IF(AC503&lt;&gt;"",AC503,IF(AT503="Implied",-(I503-J503),IF(OR(AT503="Step-up",AT503="Rate-swap"),"see notes","")))</f>
        <v/>
      </c>
    </row>
    <row r="504" outlineLevel="1" s="923">
      <c r="X504">
        <f>IF(AND(E504&lt;&gt;"",E504&lt;&gt;"Vacant",E504&lt;&gt;"Reserved",C504&lt;&gt;"",D504&lt;&gt;""),C504&amp;"|"&amp;D504,"")</f>
        <v/>
      </c>
      <c r="Y504">
        <f>IF(AND(C504&lt;&gt;"",D504&lt;&gt;""),C504&amp;"|"&amp;D504,"")</f>
        <v/>
      </c>
      <c r="AA504" s="421">
        <f>IF(AND(J504&gt;0,I504&gt;0),I504-J504,"")</f>
        <v/>
      </c>
      <c r="AB504" s="479">
        <f>IF(AND(J504&gt;0,I504&gt;0),(I504-J504)/I504,"")</f>
        <v/>
      </c>
      <c r="AP504" s="1007">
        <f>SUM(AJ504:AN504)</f>
        <v/>
      </c>
      <c r="AT504">
        <f t="array" ref="AT504">IF(E504&lt;&gt;"Occupied","",_xlfn.IFS(AND(ISNUMBER(AC504),AC504&lt;&gt;0),"Structured",ISNUMBER(SEARCH("/mo con",T504)),"Notes-parsed",ISNUMBER(SEARCH("step",T504)),"Step-up",ISNUMBER(SEARCH("swap",T504)),"Rate-swap",AND(ISNUMBER(I504),ISNUMBER(J504),I504&gt;J504),"Implied",TRUE,""))</f>
        <v/>
      </c>
      <c r="AU504" s="421">
        <f>IF(AC504&lt;&gt;"",AC504,IF(AT504="Implied",-(I504-J504),IF(OR(AT504="Step-up",AT504="Rate-swap"),"see notes","")))</f>
        <v/>
      </c>
    </row>
    <row r="505" outlineLevel="1" s="923">
      <c r="X505">
        <f>IF(AND(E505&lt;&gt;"",E505&lt;&gt;"Vacant",E505&lt;&gt;"Reserved",C505&lt;&gt;"",D505&lt;&gt;""),C505&amp;"|"&amp;D505,"")</f>
        <v/>
      </c>
      <c r="Y505">
        <f>IF(AND(C505&lt;&gt;"",D505&lt;&gt;""),C505&amp;"|"&amp;D505,"")</f>
        <v/>
      </c>
      <c r="AA505" s="421">
        <f>IF(AND(J505&gt;0,I505&gt;0),I505-J505,"")</f>
        <v/>
      </c>
      <c r="AB505" s="479">
        <f>IF(AND(J505&gt;0,I505&gt;0),(I505-J505)/I505,"")</f>
        <v/>
      </c>
      <c r="AP505" s="1007">
        <f>SUM(AJ505:AN505)</f>
        <v/>
      </c>
      <c r="AT505">
        <f t="array" ref="AT505">IF(E505&lt;&gt;"Occupied","",_xlfn.IFS(AND(ISNUMBER(AC505),AC505&lt;&gt;0),"Structured",ISNUMBER(SEARCH("/mo con",T505)),"Notes-parsed",ISNUMBER(SEARCH("step",T505)),"Step-up",ISNUMBER(SEARCH("swap",T505)),"Rate-swap",AND(ISNUMBER(I505),ISNUMBER(J505),I505&gt;J505),"Implied",TRUE,""))</f>
        <v/>
      </c>
      <c r="AU505" s="421">
        <f>IF(AC505&lt;&gt;"",AC505,IF(AT505="Implied",-(I505-J505),IF(OR(AT505="Step-up",AT505="Rate-swap"),"see notes","")))</f>
        <v/>
      </c>
    </row>
    <row r="506" outlineLevel="1" s="923">
      <c r="X506">
        <f>IF(AND(E506&lt;&gt;"",E506&lt;&gt;"Vacant",E506&lt;&gt;"Reserved",C506&lt;&gt;"",D506&lt;&gt;""),C506&amp;"|"&amp;D506,"")</f>
        <v/>
      </c>
      <c r="Y506">
        <f>IF(AND(C506&lt;&gt;"",D506&lt;&gt;""),C506&amp;"|"&amp;D506,"")</f>
        <v/>
      </c>
      <c r="AA506" s="421">
        <f>IF(AND(J506&gt;0,I506&gt;0),I506-J506,"")</f>
        <v/>
      </c>
      <c r="AB506" s="479">
        <f>IF(AND(J506&gt;0,I506&gt;0),(I506-J506)/I506,"")</f>
        <v/>
      </c>
      <c r="AP506" s="1007">
        <f>SUM(AJ506:AN506)</f>
        <v/>
      </c>
      <c r="AT506">
        <f t="array" ref="AT506">IF(E506&lt;&gt;"Occupied","",_xlfn.IFS(AND(ISNUMBER(AC506),AC506&lt;&gt;0),"Structured",ISNUMBER(SEARCH("/mo con",T506)),"Notes-parsed",ISNUMBER(SEARCH("step",T506)),"Step-up",ISNUMBER(SEARCH("swap",T506)),"Rate-swap",AND(ISNUMBER(I506),ISNUMBER(J506),I506&gt;J506),"Implied",TRUE,""))</f>
        <v/>
      </c>
      <c r="AU506" s="421">
        <f>IF(AC506&lt;&gt;"",AC506,IF(AT506="Implied",-(I506-J506),IF(OR(AT506="Step-up",AT506="Rate-swap"),"see notes","")))</f>
        <v/>
      </c>
    </row>
    <row r="507" outlineLevel="1" s="923">
      <c r="X507">
        <f>IF(AND(E507&lt;&gt;"",E507&lt;&gt;"Vacant",E507&lt;&gt;"Reserved",C507&lt;&gt;"",D507&lt;&gt;""),C507&amp;"|"&amp;D507,"")</f>
        <v/>
      </c>
      <c r="Y507">
        <f>IF(AND(C507&lt;&gt;"",D507&lt;&gt;""),C507&amp;"|"&amp;D507,"")</f>
        <v/>
      </c>
      <c r="AA507" s="421">
        <f>IF(AND(J507&gt;0,I507&gt;0),I507-J507,"")</f>
        <v/>
      </c>
      <c r="AB507" s="479">
        <f>IF(AND(J507&gt;0,I507&gt;0),(I507-J507)/I507,"")</f>
        <v/>
      </c>
      <c r="AP507" s="1007">
        <f>SUM(AJ507:AN507)</f>
        <v/>
      </c>
      <c r="AT507">
        <f t="array" ref="AT507">IF(E507&lt;&gt;"Occupied","",_xlfn.IFS(AND(ISNUMBER(AC507),AC507&lt;&gt;0),"Structured",ISNUMBER(SEARCH("/mo con",T507)),"Notes-parsed",ISNUMBER(SEARCH("step",T507)),"Step-up",ISNUMBER(SEARCH("swap",T507)),"Rate-swap",AND(ISNUMBER(I507),ISNUMBER(J507),I507&gt;J507),"Implied",TRUE,""))</f>
        <v/>
      </c>
      <c r="AU507" s="421">
        <f>IF(AC507&lt;&gt;"",AC507,IF(AT507="Implied",-(I507-J507),IF(OR(AT507="Step-up",AT507="Rate-swap"),"see notes","")))</f>
        <v/>
      </c>
    </row>
    <row r="508" outlineLevel="1" s="923">
      <c r="X508">
        <f>IF(AND(E508&lt;&gt;"",E508&lt;&gt;"Vacant",E508&lt;&gt;"Reserved",C508&lt;&gt;"",D508&lt;&gt;""),C508&amp;"|"&amp;D508,"")</f>
        <v/>
      </c>
      <c r="Y508">
        <f>IF(AND(C508&lt;&gt;"",D508&lt;&gt;""),C508&amp;"|"&amp;D508,"")</f>
        <v/>
      </c>
      <c r="AA508" s="421">
        <f>IF(AND(J508&gt;0,I508&gt;0),I508-J508,"")</f>
        <v/>
      </c>
      <c r="AB508" s="479">
        <f>IF(AND(J508&gt;0,I508&gt;0),(I508-J508)/I508,"")</f>
        <v/>
      </c>
      <c r="AP508" s="1007">
        <f>SUM(AJ508:AN508)</f>
        <v/>
      </c>
      <c r="AT508">
        <f t="array" ref="AT508">IF(E508&lt;&gt;"Occupied","",_xlfn.IFS(AND(ISNUMBER(AC508),AC508&lt;&gt;0),"Structured",ISNUMBER(SEARCH("/mo con",T508)),"Notes-parsed",ISNUMBER(SEARCH("step",T508)),"Step-up",ISNUMBER(SEARCH("swap",T508)),"Rate-swap",AND(ISNUMBER(I508),ISNUMBER(J508),I508&gt;J508),"Implied",TRUE,""))</f>
        <v/>
      </c>
      <c r="AU508" s="421">
        <f>IF(AC508&lt;&gt;"",AC508,IF(AT508="Implied",-(I508-J508),IF(OR(AT508="Step-up",AT508="Rate-swap"),"see notes","")))</f>
        <v/>
      </c>
    </row>
    <row r="509" outlineLevel="1" s="923">
      <c r="X509">
        <f>IF(AND(E509&lt;&gt;"",E509&lt;&gt;"Vacant",E509&lt;&gt;"Reserved",C509&lt;&gt;"",D509&lt;&gt;""),C509&amp;"|"&amp;D509,"")</f>
        <v/>
      </c>
      <c r="Y509">
        <f>IF(AND(C509&lt;&gt;"",D509&lt;&gt;""),C509&amp;"|"&amp;D509,"")</f>
        <v/>
      </c>
      <c r="AA509" s="421">
        <f>IF(AND(J509&gt;0,I509&gt;0),I509-J509,"")</f>
        <v/>
      </c>
      <c r="AB509" s="479">
        <f>IF(AND(J509&gt;0,I509&gt;0),(I509-J509)/I509,"")</f>
        <v/>
      </c>
      <c r="AP509" s="1007">
        <f>SUM(AJ509:AN509)</f>
        <v/>
      </c>
      <c r="AT509">
        <f t="array" ref="AT509">IF(E509&lt;&gt;"Occupied","",_xlfn.IFS(AND(ISNUMBER(AC509),AC509&lt;&gt;0),"Structured",ISNUMBER(SEARCH("/mo con",T509)),"Notes-parsed",ISNUMBER(SEARCH("step",T509)),"Step-up",ISNUMBER(SEARCH("swap",T509)),"Rate-swap",AND(ISNUMBER(I509),ISNUMBER(J509),I509&gt;J509),"Implied",TRUE,""))</f>
        <v/>
      </c>
      <c r="AU509" s="421">
        <f>IF(AC509&lt;&gt;"",AC509,IF(AT509="Implied",-(I509-J509),IF(OR(AT509="Step-up",AT509="Rate-swap"),"see notes","")))</f>
        <v/>
      </c>
    </row>
    <row r="510" outlineLevel="1" s="923">
      <c r="X510">
        <f>IF(AND(E510&lt;&gt;"",E510&lt;&gt;"Vacant",E510&lt;&gt;"Reserved",C510&lt;&gt;"",D510&lt;&gt;""),C510&amp;"|"&amp;D510,"")</f>
        <v/>
      </c>
      <c r="Y510">
        <f>IF(AND(C510&lt;&gt;"",D510&lt;&gt;""),C510&amp;"|"&amp;D510,"")</f>
        <v/>
      </c>
      <c r="AA510" s="421">
        <f>IF(AND(J510&gt;0,I510&gt;0),I510-J510,"")</f>
        <v/>
      </c>
      <c r="AB510" s="479">
        <f>IF(AND(J510&gt;0,I510&gt;0),(I510-J510)/I510,"")</f>
        <v/>
      </c>
      <c r="AP510" s="1007">
        <f>SUM(AJ510:AN510)</f>
        <v/>
      </c>
      <c r="AT510">
        <f t="array" ref="AT510">IF(E510&lt;&gt;"Occupied","",_xlfn.IFS(AND(ISNUMBER(AC510),AC510&lt;&gt;0),"Structured",ISNUMBER(SEARCH("/mo con",T510)),"Notes-parsed",ISNUMBER(SEARCH("step",T510)),"Step-up",ISNUMBER(SEARCH("swap",T510)),"Rate-swap",AND(ISNUMBER(I510),ISNUMBER(J510),I510&gt;J510),"Implied",TRUE,""))</f>
        <v/>
      </c>
      <c r="AU510" s="421">
        <f>IF(AC510&lt;&gt;"",AC510,IF(AT510="Implied",-(I510-J510),IF(OR(AT510="Step-up",AT510="Rate-swap"),"see notes","")))</f>
        <v/>
      </c>
    </row>
    <row r="511" outlineLevel="1" s="923">
      <c r="X511">
        <f>IF(AND(E511&lt;&gt;"",E511&lt;&gt;"Vacant",E511&lt;&gt;"Reserved",C511&lt;&gt;"",D511&lt;&gt;""),C511&amp;"|"&amp;D511,"")</f>
        <v/>
      </c>
      <c r="Y511">
        <f>IF(AND(C511&lt;&gt;"",D511&lt;&gt;""),C511&amp;"|"&amp;D511,"")</f>
        <v/>
      </c>
      <c r="AA511" s="421">
        <f>IF(AND(J511&gt;0,I511&gt;0),I511-J511,"")</f>
        <v/>
      </c>
      <c r="AB511" s="479">
        <f>IF(AND(J511&gt;0,I511&gt;0),(I511-J511)/I511,"")</f>
        <v/>
      </c>
      <c r="AP511" s="1007">
        <f>SUM(AJ511:AN511)</f>
        <v/>
      </c>
      <c r="AT511">
        <f t="array" ref="AT511">IF(E511&lt;&gt;"Occupied","",_xlfn.IFS(AND(ISNUMBER(AC511),AC511&lt;&gt;0),"Structured",ISNUMBER(SEARCH("/mo con",T511)),"Notes-parsed",ISNUMBER(SEARCH("step",T511)),"Step-up",ISNUMBER(SEARCH("swap",T511)),"Rate-swap",AND(ISNUMBER(I511),ISNUMBER(J511),I511&gt;J511),"Implied",TRUE,""))</f>
        <v/>
      </c>
      <c r="AU511" s="421">
        <f>IF(AC511&lt;&gt;"",AC511,IF(AT511="Implied",-(I511-J511),IF(OR(AT511="Step-up",AT511="Rate-swap"),"see notes","")))</f>
        <v/>
      </c>
    </row>
    <row r="512" outlineLevel="1" s="923">
      <c r="X512">
        <f>IF(AND(E512&lt;&gt;"",E512&lt;&gt;"Vacant",E512&lt;&gt;"Reserved",C512&lt;&gt;"",D512&lt;&gt;""),C512&amp;"|"&amp;D512,"")</f>
        <v/>
      </c>
      <c r="Y512">
        <f>IF(AND(C512&lt;&gt;"",D512&lt;&gt;""),C512&amp;"|"&amp;D512,"")</f>
        <v/>
      </c>
      <c r="AA512" s="421">
        <f>IF(AND(J512&gt;0,I512&gt;0),I512-J512,"")</f>
        <v/>
      </c>
      <c r="AB512" s="479">
        <f>IF(AND(J512&gt;0,I512&gt;0),(I512-J512)/I512,"")</f>
        <v/>
      </c>
      <c r="AP512" s="1007">
        <f>SUM(AJ512:AN512)</f>
        <v/>
      </c>
      <c r="AT512">
        <f t="array" ref="AT512">IF(E512&lt;&gt;"Occupied","",_xlfn.IFS(AND(ISNUMBER(AC512),AC512&lt;&gt;0),"Structured",ISNUMBER(SEARCH("/mo con",T512)),"Notes-parsed",ISNUMBER(SEARCH("step",T512)),"Step-up",ISNUMBER(SEARCH("swap",T512)),"Rate-swap",AND(ISNUMBER(I512),ISNUMBER(J512),I512&gt;J512),"Implied",TRUE,""))</f>
        <v/>
      </c>
      <c r="AU512" s="421">
        <f>IF(AC512&lt;&gt;"",AC512,IF(AT512="Implied",-(I512-J512),IF(OR(AT512="Step-up",AT512="Rate-swap"),"see notes","")))</f>
        <v/>
      </c>
    </row>
    <row r="513" outlineLevel="1" s="923">
      <c r="X513">
        <f>IF(AND(E513&lt;&gt;"",E513&lt;&gt;"Vacant",E513&lt;&gt;"Reserved",C513&lt;&gt;"",D513&lt;&gt;""),C513&amp;"|"&amp;D513,"")</f>
        <v/>
      </c>
      <c r="Y513">
        <f>IF(AND(C513&lt;&gt;"",D513&lt;&gt;""),C513&amp;"|"&amp;D513,"")</f>
        <v/>
      </c>
      <c r="AA513" s="421">
        <f>IF(AND(J513&gt;0,I513&gt;0),I513-J513,"")</f>
        <v/>
      </c>
      <c r="AB513" s="479">
        <f>IF(AND(J513&gt;0,I513&gt;0),(I513-J513)/I513,"")</f>
        <v/>
      </c>
      <c r="AP513" s="1007">
        <f>SUM(AJ513:AN513)</f>
        <v/>
      </c>
      <c r="AT513">
        <f t="array" ref="AT513">IF(E513&lt;&gt;"Occupied","",_xlfn.IFS(AND(ISNUMBER(AC513),AC513&lt;&gt;0),"Structured",ISNUMBER(SEARCH("/mo con",T513)),"Notes-parsed",ISNUMBER(SEARCH("step",T513)),"Step-up",ISNUMBER(SEARCH("swap",T513)),"Rate-swap",AND(ISNUMBER(I513),ISNUMBER(J513),I513&gt;J513),"Implied",TRUE,""))</f>
        <v/>
      </c>
      <c r="AU513" s="421">
        <f>IF(AC513&lt;&gt;"",AC513,IF(AT513="Implied",-(I513-J513),IF(OR(AT513="Step-up",AT513="Rate-swap"),"see notes","")))</f>
        <v/>
      </c>
    </row>
    <row r="514" outlineLevel="1" s="923">
      <c r="X514">
        <f>IF(AND(E514&lt;&gt;"",E514&lt;&gt;"Vacant",E514&lt;&gt;"Reserved",C514&lt;&gt;"",D514&lt;&gt;""),C514&amp;"|"&amp;D514,"")</f>
        <v/>
      </c>
      <c r="Y514">
        <f>IF(AND(C514&lt;&gt;"",D514&lt;&gt;""),C514&amp;"|"&amp;D514,"")</f>
        <v/>
      </c>
      <c r="AA514" s="421">
        <f>IF(AND(J514&gt;0,I514&gt;0),I514-J514,"")</f>
        <v/>
      </c>
      <c r="AB514" s="479">
        <f>IF(AND(J514&gt;0,I514&gt;0),(I514-J514)/I514,"")</f>
        <v/>
      </c>
      <c r="AP514" s="1007">
        <f>SUM(AJ514:AN514)</f>
        <v/>
      </c>
      <c r="AT514">
        <f t="array" ref="AT514">IF(E514&lt;&gt;"Occupied","",_xlfn.IFS(AND(ISNUMBER(AC514),AC514&lt;&gt;0),"Structured",ISNUMBER(SEARCH("/mo con",T514)),"Notes-parsed",ISNUMBER(SEARCH("step",T514)),"Step-up",ISNUMBER(SEARCH("swap",T514)),"Rate-swap",AND(ISNUMBER(I514),ISNUMBER(J514),I514&gt;J514),"Implied",TRUE,""))</f>
        <v/>
      </c>
      <c r="AU514" s="421">
        <f>IF(AC514&lt;&gt;"",AC514,IF(AT514="Implied",-(I514-J514),IF(OR(AT514="Step-up",AT514="Rate-swap"),"see notes","")))</f>
        <v/>
      </c>
    </row>
    <row r="515" outlineLevel="1" s="923">
      <c r="X515">
        <f>IF(AND(E515&lt;&gt;"",E515&lt;&gt;"Vacant",E515&lt;&gt;"Reserved",C515&lt;&gt;"",D515&lt;&gt;""),C515&amp;"|"&amp;D515,"")</f>
        <v/>
      </c>
      <c r="Y515">
        <f>IF(AND(C515&lt;&gt;"",D515&lt;&gt;""),C515&amp;"|"&amp;D515,"")</f>
        <v/>
      </c>
      <c r="AA515" s="421">
        <f>IF(AND(J515&gt;0,I515&gt;0),I515-J515,"")</f>
        <v/>
      </c>
      <c r="AB515" s="479">
        <f>IF(AND(J515&gt;0,I515&gt;0),(I515-J515)/I515,"")</f>
        <v/>
      </c>
      <c r="AP515" s="1007">
        <f>SUM(AJ515:AN515)</f>
        <v/>
      </c>
      <c r="AT515">
        <f t="array" ref="AT515">IF(E515&lt;&gt;"Occupied","",_xlfn.IFS(AND(ISNUMBER(AC515),AC515&lt;&gt;0),"Structured",ISNUMBER(SEARCH("/mo con",T515)),"Notes-parsed",ISNUMBER(SEARCH("step",T515)),"Step-up",ISNUMBER(SEARCH("swap",T515)),"Rate-swap",AND(ISNUMBER(I515),ISNUMBER(J515),I515&gt;J515),"Implied",TRUE,""))</f>
        <v/>
      </c>
      <c r="AU515" s="421">
        <f>IF(AC515&lt;&gt;"",AC515,IF(AT515="Implied",-(I515-J515),IF(OR(AT515="Step-up",AT515="Rate-swap"),"see notes","")))</f>
        <v/>
      </c>
    </row>
    <row r="516" outlineLevel="1" s="923">
      <c r="X516">
        <f>IF(AND(E516&lt;&gt;"",E516&lt;&gt;"Vacant",E516&lt;&gt;"Reserved",C516&lt;&gt;"",D516&lt;&gt;""),C516&amp;"|"&amp;D516,"")</f>
        <v/>
      </c>
      <c r="Y516">
        <f>IF(AND(C516&lt;&gt;"",D516&lt;&gt;""),C516&amp;"|"&amp;D516,"")</f>
        <v/>
      </c>
      <c r="AA516" s="421">
        <f>IF(AND(J516&gt;0,I516&gt;0),I516-J516,"")</f>
        <v/>
      </c>
      <c r="AB516" s="479">
        <f>IF(AND(J516&gt;0,I516&gt;0),(I516-J516)/I516,"")</f>
        <v/>
      </c>
      <c r="AP516" s="1007">
        <f>SUM(AJ516:AN516)</f>
        <v/>
      </c>
      <c r="AT516">
        <f t="array" ref="AT516">IF(E516&lt;&gt;"Occupied","",_xlfn.IFS(AND(ISNUMBER(AC516),AC516&lt;&gt;0),"Structured",ISNUMBER(SEARCH("/mo con",T516)),"Notes-parsed",ISNUMBER(SEARCH("step",T516)),"Step-up",ISNUMBER(SEARCH("swap",T516)),"Rate-swap",AND(ISNUMBER(I516),ISNUMBER(J516),I516&gt;J516),"Implied",TRUE,""))</f>
        <v/>
      </c>
      <c r="AU516" s="421">
        <f>IF(AC516&lt;&gt;"",AC516,IF(AT516="Implied",-(I516-J516),IF(OR(AT516="Step-up",AT516="Rate-swap"),"see notes","")))</f>
        <v/>
      </c>
    </row>
    <row r="517" outlineLevel="1" s="923">
      <c r="X517">
        <f>IF(AND(E517&lt;&gt;"",E517&lt;&gt;"Vacant",E517&lt;&gt;"Reserved",C517&lt;&gt;"",D517&lt;&gt;""),C517&amp;"|"&amp;D517,"")</f>
        <v/>
      </c>
      <c r="Y517">
        <f>IF(AND(C517&lt;&gt;"",D517&lt;&gt;""),C517&amp;"|"&amp;D517,"")</f>
        <v/>
      </c>
      <c r="AA517" s="421">
        <f>IF(AND(J517&gt;0,I517&gt;0),I517-J517,"")</f>
        <v/>
      </c>
      <c r="AB517" s="479">
        <f>IF(AND(J517&gt;0,I517&gt;0),(I517-J517)/I517,"")</f>
        <v/>
      </c>
      <c r="AP517" s="1007">
        <f>SUM(AJ517:AN517)</f>
        <v/>
      </c>
      <c r="AT517">
        <f t="array" ref="AT517">IF(E517&lt;&gt;"Occupied","",_xlfn.IFS(AND(ISNUMBER(AC517),AC517&lt;&gt;0),"Structured",ISNUMBER(SEARCH("/mo con",T517)),"Notes-parsed",ISNUMBER(SEARCH("step",T517)),"Step-up",ISNUMBER(SEARCH("swap",T517)),"Rate-swap",AND(ISNUMBER(I517),ISNUMBER(J517),I517&gt;J517),"Implied",TRUE,""))</f>
        <v/>
      </c>
      <c r="AU517" s="421">
        <f>IF(AC517&lt;&gt;"",AC517,IF(AT517="Implied",-(I517-J517),IF(OR(AT517="Step-up",AT517="Rate-swap"),"see notes","")))</f>
        <v/>
      </c>
    </row>
    <row r="518" outlineLevel="1" s="923">
      <c r="X518">
        <f>IF(AND(E518&lt;&gt;"",E518&lt;&gt;"Vacant",E518&lt;&gt;"Reserved",C518&lt;&gt;"",D518&lt;&gt;""),C518&amp;"|"&amp;D518,"")</f>
        <v/>
      </c>
      <c r="Y518">
        <f>IF(AND(C518&lt;&gt;"",D518&lt;&gt;""),C518&amp;"|"&amp;D518,"")</f>
        <v/>
      </c>
      <c r="AA518" s="421">
        <f>IF(AND(J518&gt;0,I518&gt;0),I518-J518,"")</f>
        <v/>
      </c>
      <c r="AB518" s="479">
        <f>IF(AND(J518&gt;0,I518&gt;0),(I518-J518)/I518,"")</f>
        <v/>
      </c>
      <c r="AP518" s="1007">
        <f>SUM(AJ518:AN518)</f>
        <v/>
      </c>
      <c r="AT518">
        <f t="array" ref="AT518">IF(E518&lt;&gt;"Occupied","",_xlfn.IFS(AND(ISNUMBER(AC518),AC518&lt;&gt;0),"Structured",ISNUMBER(SEARCH("/mo con",T518)),"Notes-parsed",ISNUMBER(SEARCH("step",T518)),"Step-up",ISNUMBER(SEARCH("swap",T518)),"Rate-swap",AND(ISNUMBER(I518),ISNUMBER(J518),I518&gt;J518),"Implied",TRUE,""))</f>
        <v/>
      </c>
      <c r="AU518" s="421">
        <f>IF(AC518&lt;&gt;"",AC518,IF(AT518="Implied",-(I518-J518),IF(OR(AT518="Step-up",AT518="Rate-swap"),"see notes","")))</f>
        <v/>
      </c>
    </row>
    <row r="519" outlineLevel="1" s="923">
      <c r="X519">
        <f>IF(AND(E519&lt;&gt;"",E519&lt;&gt;"Vacant",E519&lt;&gt;"Reserved",C519&lt;&gt;"",D519&lt;&gt;""),C519&amp;"|"&amp;D519,"")</f>
        <v/>
      </c>
      <c r="Y519">
        <f>IF(AND(C519&lt;&gt;"",D519&lt;&gt;""),C519&amp;"|"&amp;D519,"")</f>
        <v/>
      </c>
      <c r="AA519" s="421">
        <f>IF(AND(J519&gt;0,I519&gt;0),I519-J519,"")</f>
        <v/>
      </c>
      <c r="AB519" s="479">
        <f>IF(AND(J519&gt;0,I519&gt;0),(I519-J519)/I519,"")</f>
        <v/>
      </c>
      <c r="AP519" s="1007">
        <f>SUM(AJ519:AN519)</f>
        <v/>
      </c>
      <c r="AT519">
        <f t="array" ref="AT519">IF(E519&lt;&gt;"Occupied","",_xlfn.IFS(AND(ISNUMBER(AC519),AC519&lt;&gt;0),"Structured",ISNUMBER(SEARCH("/mo con",T519)),"Notes-parsed",ISNUMBER(SEARCH("step",T519)),"Step-up",ISNUMBER(SEARCH("swap",T519)),"Rate-swap",AND(ISNUMBER(I519),ISNUMBER(J519),I519&gt;J519),"Implied",TRUE,""))</f>
        <v/>
      </c>
      <c r="AU519" s="421">
        <f>IF(AC519&lt;&gt;"",AC519,IF(AT519="Implied",-(I519-J519),IF(OR(AT519="Step-up",AT519="Rate-swap"),"see notes","")))</f>
        <v/>
      </c>
    </row>
    <row r="520" outlineLevel="1" s="923">
      <c r="X520">
        <f>IF(AND(E520&lt;&gt;"",E520&lt;&gt;"Vacant",E520&lt;&gt;"Reserved",C520&lt;&gt;"",D520&lt;&gt;""),C520&amp;"|"&amp;D520,"")</f>
        <v/>
      </c>
      <c r="Y520">
        <f>IF(AND(C520&lt;&gt;"",D520&lt;&gt;""),C520&amp;"|"&amp;D520,"")</f>
        <v/>
      </c>
      <c r="AA520" s="421">
        <f>IF(AND(J520&gt;0,I520&gt;0),I520-J520,"")</f>
        <v/>
      </c>
      <c r="AB520" s="479">
        <f>IF(AND(J520&gt;0,I520&gt;0),(I520-J520)/I520,"")</f>
        <v/>
      </c>
      <c r="AP520" s="1007">
        <f>SUM(AJ520:AN520)</f>
        <v/>
      </c>
      <c r="AT520">
        <f t="array" ref="AT520">IF(E520&lt;&gt;"Occupied","",_xlfn.IFS(AND(ISNUMBER(AC520),AC520&lt;&gt;0),"Structured",ISNUMBER(SEARCH("/mo con",T520)),"Notes-parsed",ISNUMBER(SEARCH("step",T520)),"Step-up",ISNUMBER(SEARCH("swap",T520)),"Rate-swap",AND(ISNUMBER(I520),ISNUMBER(J520),I520&gt;J520),"Implied",TRUE,""))</f>
        <v/>
      </c>
      <c r="AU520" s="421">
        <f>IF(AC520&lt;&gt;"",AC520,IF(AT520="Implied",-(I520-J520),IF(OR(AT520="Step-up",AT520="Rate-swap"),"see notes","")))</f>
        <v/>
      </c>
    </row>
    <row r="521" outlineLevel="1" s="923">
      <c r="X521">
        <f>IF(AND(E521&lt;&gt;"",E521&lt;&gt;"Vacant",E521&lt;&gt;"Reserved",C521&lt;&gt;"",D521&lt;&gt;""),C521&amp;"|"&amp;D521,"")</f>
        <v/>
      </c>
      <c r="Y521">
        <f>IF(AND(C521&lt;&gt;"",D521&lt;&gt;""),C521&amp;"|"&amp;D521,"")</f>
        <v/>
      </c>
      <c r="AA521" s="421">
        <f>IF(AND(J521&gt;0,I521&gt;0),I521-J521,"")</f>
        <v/>
      </c>
      <c r="AB521" s="479">
        <f>IF(AND(J521&gt;0,I521&gt;0),(I521-J521)/I521,"")</f>
        <v/>
      </c>
      <c r="AP521" s="1007">
        <f>SUM(AJ521:AN521)</f>
        <v/>
      </c>
      <c r="AT521">
        <f t="array" ref="AT521">IF(E521&lt;&gt;"Occupied","",_xlfn.IFS(AND(ISNUMBER(AC521),AC521&lt;&gt;0),"Structured",ISNUMBER(SEARCH("/mo con",T521)),"Notes-parsed",ISNUMBER(SEARCH("step",T521)),"Step-up",ISNUMBER(SEARCH("swap",T521)),"Rate-swap",AND(ISNUMBER(I521),ISNUMBER(J521),I521&gt;J521),"Implied",TRUE,""))</f>
        <v/>
      </c>
      <c r="AU521" s="421">
        <f>IF(AC521&lt;&gt;"",AC521,IF(AT521="Implied",-(I521-J521),IF(OR(AT521="Step-up",AT521="Rate-swap"),"see notes","")))</f>
        <v/>
      </c>
    </row>
    <row r="522" outlineLevel="1" s="923">
      <c r="X522">
        <f>IF(AND(E522&lt;&gt;"",E522&lt;&gt;"Vacant",E522&lt;&gt;"Reserved",C522&lt;&gt;"",D522&lt;&gt;""),C522&amp;"|"&amp;D522,"")</f>
        <v/>
      </c>
      <c r="Y522">
        <f>IF(AND(C522&lt;&gt;"",D522&lt;&gt;""),C522&amp;"|"&amp;D522,"")</f>
        <v/>
      </c>
      <c r="AA522" s="421">
        <f>IF(AND(J522&gt;0,I522&gt;0),I522-J522,"")</f>
        <v/>
      </c>
      <c r="AB522" s="479">
        <f>IF(AND(J522&gt;0,I522&gt;0),(I522-J522)/I522,"")</f>
        <v/>
      </c>
      <c r="AP522" s="1007">
        <f>SUM(AJ522:AN522)</f>
        <v/>
      </c>
      <c r="AT522">
        <f t="array" ref="AT522">IF(E522&lt;&gt;"Occupied","",_xlfn.IFS(AND(ISNUMBER(AC522),AC522&lt;&gt;0),"Structured",ISNUMBER(SEARCH("/mo con",T522)),"Notes-parsed",ISNUMBER(SEARCH("step",T522)),"Step-up",ISNUMBER(SEARCH("swap",T522)),"Rate-swap",AND(ISNUMBER(I522),ISNUMBER(J522),I522&gt;J522),"Implied",TRUE,""))</f>
        <v/>
      </c>
      <c r="AU522" s="421">
        <f>IF(AC522&lt;&gt;"",AC522,IF(AT522="Implied",-(I522-J522),IF(OR(AT522="Step-up",AT522="Rate-swap"),"see notes","")))</f>
        <v/>
      </c>
    </row>
    <row r="523" outlineLevel="1" s="923">
      <c r="X523">
        <f>IF(AND(E523&lt;&gt;"",E523&lt;&gt;"Vacant",E523&lt;&gt;"Reserved",C523&lt;&gt;"",D523&lt;&gt;""),C523&amp;"|"&amp;D523,"")</f>
        <v/>
      </c>
      <c r="Y523">
        <f>IF(AND(C523&lt;&gt;"",D523&lt;&gt;""),C523&amp;"|"&amp;D523,"")</f>
        <v/>
      </c>
      <c r="AA523" s="421">
        <f>IF(AND(J523&gt;0,I523&gt;0),I523-J523,"")</f>
        <v/>
      </c>
      <c r="AB523" s="479">
        <f>IF(AND(J523&gt;0,I523&gt;0),(I523-J523)/I523,"")</f>
        <v/>
      </c>
      <c r="AP523" s="1007">
        <f>SUM(AJ523:AN523)</f>
        <v/>
      </c>
      <c r="AT523">
        <f t="array" ref="AT523">IF(E523&lt;&gt;"Occupied","",_xlfn.IFS(AND(ISNUMBER(AC523),AC523&lt;&gt;0),"Structured",ISNUMBER(SEARCH("/mo con",T523)),"Notes-parsed",ISNUMBER(SEARCH("step",T523)),"Step-up",ISNUMBER(SEARCH("swap",T523)),"Rate-swap",AND(ISNUMBER(I523),ISNUMBER(J523),I523&gt;J523),"Implied",TRUE,""))</f>
        <v/>
      </c>
      <c r="AU523" s="421">
        <f>IF(AC523&lt;&gt;"",AC523,IF(AT523="Implied",-(I523-J523),IF(OR(AT523="Step-up",AT523="Rate-swap"),"see notes","")))</f>
        <v/>
      </c>
    </row>
    <row r="524" outlineLevel="1" s="923">
      <c r="X524">
        <f>IF(AND(E524&lt;&gt;"",E524&lt;&gt;"Vacant",E524&lt;&gt;"Reserved",C524&lt;&gt;"",D524&lt;&gt;""),C524&amp;"|"&amp;D524,"")</f>
        <v/>
      </c>
      <c r="Y524">
        <f>IF(AND(C524&lt;&gt;"",D524&lt;&gt;""),C524&amp;"|"&amp;D524,"")</f>
        <v/>
      </c>
      <c r="AA524" s="421">
        <f>IF(AND(J524&gt;0,I524&gt;0),I524-J524,"")</f>
        <v/>
      </c>
      <c r="AB524" s="479">
        <f>IF(AND(J524&gt;0,I524&gt;0),(I524-J524)/I524,"")</f>
        <v/>
      </c>
      <c r="AP524" s="1007">
        <f>SUM(AJ524:AN524)</f>
        <v/>
      </c>
      <c r="AT524">
        <f t="array" ref="AT524">IF(E524&lt;&gt;"Occupied","",_xlfn.IFS(AND(ISNUMBER(AC524),AC524&lt;&gt;0),"Structured",ISNUMBER(SEARCH("/mo con",T524)),"Notes-parsed",ISNUMBER(SEARCH("step",T524)),"Step-up",ISNUMBER(SEARCH("swap",T524)),"Rate-swap",AND(ISNUMBER(I524),ISNUMBER(J524),I524&gt;J524),"Implied",TRUE,""))</f>
        <v/>
      </c>
      <c r="AU524" s="421">
        <f>IF(AC524&lt;&gt;"",AC524,IF(AT524="Implied",-(I524-J524),IF(OR(AT524="Step-up",AT524="Rate-swap"),"see notes","")))</f>
        <v/>
      </c>
    </row>
    <row r="525" outlineLevel="1" s="923">
      <c r="X525">
        <f>IF(AND(E525&lt;&gt;"",E525&lt;&gt;"Vacant",E525&lt;&gt;"Reserved",C525&lt;&gt;"",D525&lt;&gt;""),C525&amp;"|"&amp;D525,"")</f>
        <v/>
      </c>
      <c r="Y525">
        <f>IF(AND(C525&lt;&gt;"",D525&lt;&gt;""),C525&amp;"|"&amp;D525,"")</f>
        <v/>
      </c>
      <c r="AA525" s="421">
        <f>IF(AND(J525&gt;0,I525&gt;0),I525-J525,"")</f>
        <v/>
      </c>
      <c r="AB525" s="479">
        <f>IF(AND(J525&gt;0,I525&gt;0),(I525-J525)/I525,"")</f>
        <v/>
      </c>
      <c r="AP525" s="1007">
        <f>SUM(AJ525:AN525)</f>
        <v/>
      </c>
      <c r="AT525">
        <f t="array" ref="AT525">IF(E525&lt;&gt;"Occupied","",_xlfn.IFS(AND(ISNUMBER(AC525),AC525&lt;&gt;0),"Structured",ISNUMBER(SEARCH("/mo con",T525)),"Notes-parsed",ISNUMBER(SEARCH("step",T525)),"Step-up",ISNUMBER(SEARCH("swap",T525)),"Rate-swap",AND(ISNUMBER(I525),ISNUMBER(J525),I525&gt;J525),"Implied",TRUE,""))</f>
        <v/>
      </c>
      <c r="AU525" s="421">
        <f>IF(AC525&lt;&gt;"",AC525,IF(AT525="Implied",-(I525-J525),IF(OR(AT525="Step-up",AT525="Rate-swap"),"see notes","")))</f>
        <v/>
      </c>
    </row>
    <row r="526" outlineLevel="1" s="923">
      <c r="X526">
        <f>IF(AND(E526&lt;&gt;"",E526&lt;&gt;"Vacant",E526&lt;&gt;"Reserved",C526&lt;&gt;"",D526&lt;&gt;""),C526&amp;"|"&amp;D526,"")</f>
        <v/>
      </c>
      <c r="Y526">
        <f>IF(AND(C526&lt;&gt;"",D526&lt;&gt;""),C526&amp;"|"&amp;D526,"")</f>
        <v/>
      </c>
      <c r="AA526" s="421">
        <f>IF(AND(J526&gt;0,I526&gt;0),I526-J526,"")</f>
        <v/>
      </c>
      <c r="AB526" s="479">
        <f>IF(AND(J526&gt;0,I526&gt;0),(I526-J526)/I526,"")</f>
        <v/>
      </c>
      <c r="AP526" s="1007">
        <f>SUM(AJ526:AN526)</f>
        <v/>
      </c>
      <c r="AT526">
        <f t="array" ref="AT526">IF(E526&lt;&gt;"Occupied","",_xlfn.IFS(AND(ISNUMBER(AC526),AC526&lt;&gt;0),"Structured",ISNUMBER(SEARCH("/mo con",T526)),"Notes-parsed",ISNUMBER(SEARCH("step",T526)),"Step-up",ISNUMBER(SEARCH("swap",T526)),"Rate-swap",AND(ISNUMBER(I526),ISNUMBER(J526),I526&gt;J526),"Implied",TRUE,""))</f>
        <v/>
      </c>
      <c r="AU526" s="421">
        <f>IF(AC526&lt;&gt;"",AC526,IF(AT526="Implied",-(I526-J526),IF(OR(AT526="Step-up",AT526="Rate-swap"),"see notes","")))</f>
        <v/>
      </c>
    </row>
    <row r="527" outlineLevel="1" s="923">
      <c r="X527">
        <f>IF(AND(E527&lt;&gt;"",E527&lt;&gt;"Vacant",E527&lt;&gt;"Reserved",C527&lt;&gt;"",D527&lt;&gt;""),C527&amp;"|"&amp;D527,"")</f>
        <v/>
      </c>
      <c r="Y527">
        <f>IF(AND(C527&lt;&gt;"",D527&lt;&gt;""),C527&amp;"|"&amp;D527,"")</f>
        <v/>
      </c>
      <c r="AA527" s="421">
        <f>IF(AND(J527&gt;0,I527&gt;0),I527-J527,"")</f>
        <v/>
      </c>
      <c r="AB527" s="479">
        <f>IF(AND(J527&gt;0,I527&gt;0),(I527-J527)/I527,"")</f>
        <v/>
      </c>
      <c r="AP527" s="1007">
        <f>SUM(AJ527:AN527)</f>
        <v/>
      </c>
      <c r="AT527">
        <f t="array" ref="AT527">IF(E527&lt;&gt;"Occupied","",_xlfn.IFS(AND(ISNUMBER(AC527),AC527&lt;&gt;0),"Structured",ISNUMBER(SEARCH("/mo con",T527)),"Notes-parsed",ISNUMBER(SEARCH("step",T527)),"Step-up",ISNUMBER(SEARCH("swap",T527)),"Rate-swap",AND(ISNUMBER(I527),ISNUMBER(J527),I527&gt;J527),"Implied",TRUE,""))</f>
        <v/>
      </c>
      <c r="AU527" s="421">
        <f>IF(AC527&lt;&gt;"",AC527,IF(AT527="Implied",-(I527-J527),IF(OR(AT527="Step-up",AT527="Rate-swap"),"see notes","")))</f>
        <v/>
      </c>
    </row>
    <row r="528" outlineLevel="1" s="923">
      <c r="X528">
        <f>IF(AND(E528&lt;&gt;"",E528&lt;&gt;"Vacant",E528&lt;&gt;"Reserved",C528&lt;&gt;"",D528&lt;&gt;""),C528&amp;"|"&amp;D528,"")</f>
        <v/>
      </c>
      <c r="Y528">
        <f>IF(AND(C528&lt;&gt;"",D528&lt;&gt;""),C528&amp;"|"&amp;D528,"")</f>
        <v/>
      </c>
      <c r="AA528" s="421">
        <f>IF(AND(J528&gt;0,I528&gt;0),I528-J528,"")</f>
        <v/>
      </c>
      <c r="AB528" s="479">
        <f>IF(AND(J528&gt;0,I528&gt;0),(I528-J528)/I528,"")</f>
        <v/>
      </c>
      <c r="AP528" s="1007">
        <f>SUM(AJ528:AN528)</f>
        <v/>
      </c>
      <c r="AT528">
        <f t="array" ref="AT528">IF(E528&lt;&gt;"Occupied","",_xlfn.IFS(AND(ISNUMBER(AC528),AC528&lt;&gt;0),"Structured",ISNUMBER(SEARCH("/mo con",T528)),"Notes-parsed",ISNUMBER(SEARCH("step",T528)),"Step-up",ISNUMBER(SEARCH("swap",T528)),"Rate-swap",AND(ISNUMBER(I528),ISNUMBER(J528),I528&gt;J528),"Implied",TRUE,""))</f>
        <v/>
      </c>
      <c r="AU528" s="421">
        <f>IF(AC528&lt;&gt;"",AC528,IF(AT528="Implied",-(I528-J528),IF(OR(AT528="Step-up",AT528="Rate-swap"),"see notes","")))</f>
        <v/>
      </c>
    </row>
    <row r="529" outlineLevel="1" s="923">
      <c r="X529">
        <f>IF(AND(E529&lt;&gt;"",E529&lt;&gt;"Vacant",E529&lt;&gt;"Reserved",C529&lt;&gt;"",D529&lt;&gt;""),C529&amp;"|"&amp;D529,"")</f>
        <v/>
      </c>
      <c r="Y529">
        <f>IF(AND(C529&lt;&gt;"",D529&lt;&gt;""),C529&amp;"|"&amp;D529,"")</f>
        <v/>
      </c>
      <c r="AA529" s="421">
        <f>IF(AND(J529&gt;0,I529&gt;0),I529-J529,"")</f>
        <v/>
      </c>
      <c r="AB529" s="479">
        <f>IF(AND(J529&gt;0,I529&gt;0),(I529-J529)/I529,"")</f>
        <v/>
      </c>
      <c r="AP529" s="1007">
        <f>SUM(AJ529:AN529)</f>
        <v/>
      </c>
      <c r="AT529">
        <f t="array" ref="AT529">IF(E529&lt;&gt;"Occupied","",_xlfn.IFS(AND(ISNUMBER(AC529),AC529&lt;&gt;0),"Structured",ISNUMBER(SEARCH("/mo con",T529)),"Notes-parsed",ISNUMBER(SEARCH("step",T529)),"Step-up",ISNUMBER(SEARCH("swap",T529)),"Rate-swap",AND(ISNUMBER(I529),ISNUMBER(J529),I529&gt;J529),"Implied",TRUE,""))</f>
        <v/>
      </c>
      <c r="AU529" s="421">
        <f>IF(AC529&lt;&gt;"",AC529,IF(AT529="Implied",-(I529-J529),IF(OR(AT529="Step-up",AT529="Rate-swap"),"see notes","")))</f>
        <v/>
      </c>
    </row>
    <row r="530" outlineLevel="1" s="923">
      <c r="X530">
        <f>IF(AND(E530&lt;&gt;"",E530&lt;&gt;"Vacant",E530&lt;&gt;"Reserved",C530&lt;&gt;"",D530&lt;&gt;""),C530&amp;"|"&amp;D530,"")</f>
        <v/>
      </c>
      <c r="Y530">
        <f>IF(AND(C530&lt;&gt;"",D530&lt;&gt;""),C530&amp;"|"&amp;D530,"")</f>
        <v/>
      </c>
      <c r="AA530" s="421">
        <f>IF(AND(J530&gt;0,I530&gt;0),I530-J530,"")</f>
        <v/>
      </c>
      <c r="AB530" s="479">
        <f>IF(AND(J530&gt;0,I530&gt;0),(I530-J530)/I530,"")</f>
        <v/>
      </c>
      <c r="AP530" s="1007">
        <f>SUM(AJ530:AN530)</f>
        <v/>
      </c>
      <c r="AT530">
        <f t="array" ref="AT530">IF(E530&lt;&gt;"Occupied","",_xlfn.IFS(AND(ISNUMBER(AC530),AC530&lt;&gt;0),"Structured",ISNUMBER(SEARCH("/mo con",T530)),"Notes-parsed",ISNUMBER(SEARCH("step",T530)),"Step-up",ISNUMBER(SEARCH("swap",T530)),"Rate-swap",AND(ISNUMBER(I530),ISNUMBER(J530),I530&gt;J530),"Implied",TRUE,""))</f>
        <v/>
      </c>
      <c r="AU530" s="421">
        <f>IF(AC530&lt;&gt;"",AC530,IF(AT530="Implied",-(I530-J530),IF(OR(AT530="Step-up",AT530="Rate-swap"),"see notes","")))</f>
        <v/>
      </c>
    </row>
    <row r="531" outlineLevel="1" s="923">
      <c r="X531">
        <f>IF(AND(E531&lt;&gt;"",E531&lt;&gt;"Vacant",E531&lt;&gt;"Reserved",C531&lt;&gt;"",D531&lt;&gt;""),C531&amp;"|"&amp;D531,"")</f>
        <v/>
      </c>
      <c r="Y531">
        <f>IF(AND(C531&lt;&gt;"",D531&lt;&gt;""),C531&amp;"|"&amp;D531,"")</f>
        <v/>
      </c>
      <c r="AA531" s="421">
        <f>IF(AND(J531&gt;0,I531&gt;0),I531-J531,"")</f>
        <v/>
      </c>
      <c r="AB531" s="479">
        <f>IF(AND(J531&gt;0,I531&gt;0),(I531-J531)/I531,"")</f>
        <v/>
      </c>
      <c r="AP531" s="1007">
        <f>SUM(AJ531:AN531)</f>
        <v/>
      </c>
      <c r="AT531">
        <f t="array" ref="AT531">IF(E531&lt;&gt;"Occupied","",_xlfn.IFS(AND(ISNUMBER(AC531),AC531&lt;&gt;0),"Structured",ISNUMBER(SEARCH("/mo con",T531)),"Notes-parsed",ISNUMBER(SEARCH("step",T531)),"Step-up",ISNUMBER(SEARCH("swap",T531)),"Rate-swap",AND(ISNUMBER(I531),ISNUMBER(J531),I531&gt;J531),"Implied",TRUE,""))</f>
        <v/>
      </c>
      <c r="AU531" s="421">
        <f>IF(AC531&lt;&gt;"",AC531,IF(AT531="Implied",-(I531-J531),IF(OR(AT531="Step-up",AT531="Rate-swap"),"see notes","")))</f>
        <v/>
      </c>
    </row>
    <row r="532" outlineLevel="1" s="923">
      <c r="X532">
        <f>IF(AND(E532&lt;&gt;"",E532&lt;&gt;"Vacant",E532&lt;&gt;"Reserved",C532&lt;&gt;"",D532&lt;&gt;""),C532&amp;"|"&amp;D532,"")</f>
        <v/>
      </c>
      <c r="Y532">
        <f>IF(AND(C532&lt;&gt;"",D532&lt;&gt;""),C532&amp;"|"&amp;D532,"")</f>
        <v/>
      </c>
      <c r="AA532" s="421">
        <f>IF(AND(J532&gt;0,I532&gt;0),I532-J532,"")</f>
        <v/>
      </c>
      <c r="AB532" s="479">
        <f>IF(AND(J532&gt;0,I532&gt;0),(I532-J532)/I532,"")</f>
        <v/>
      </c>
      <c r="AP532" s="1007">
        <f>SUM(AJ532:AN532)</f>
        <v/>
      </c>
      <c r="AT532">
        <f t="array" ref="AT532">IF(E532&lt;&gt;"Occupied","",_xlfn.IFS(AND(ISNUMBER(AC532),AC532&lt;&gt;0),"Structured",ISNUMBER(SEARCH("/mo con",T532)),"Notes-parsed",ISNUMBER(SEARCH("step",T532)),"Step-up",ISNUMBER(SEARCH("swap",T532)),"Rate-swap",AND(ISNUMBER(I532),ISNUMBER(J532),I532&gt;J532),"Implied",TRUE,""))</f>
        <v/>
      </c>
      <c r="AU532" s="421">
        <f>IF(AC532&lt;&gt;"",AC532,IF(AT532="Implied",-(I532-J532),IF(OR(AT532="Step-up",AT532="Rate-swap"),"see notes","")))</f>
        <v/>
      </c>
    </row>
    <row r="533" outlineLevel="1" s="923">
      <c r="X533">
        <f>IF(AND(E533&lt;&gt;"",E533&lt;&gt;"Vacant",E533&lt;&gt;"Reserved",C533&lt;&gt;"",D533&lt;&gt;""),C533&amp;"|"&amp;D533,"")</f>
        <v/>
      </c>
      <c r="Y533">
        <f>IF(AND(C533&lt;&gt;"",D533&lt;&gt;""),C533&amp;"|"&amp;D533,"")</f>
        <v/>
      </c>
      <c r="AA533" s="421">
        <f>IF(AND(J533&gt;0,I533&gt;0),I533-J533,"")</f>
        <v/>
      </c>
      <c r="AB533" s="479">
        <f>IF(AND(J533&gt;0,I533&gt;0),(I533-J533)/I533,"")</f>
        <v/>
      </c>
      <c r="AP533" s="1007">
        <f>SUM(AJ533:AN533)</f>
        <v/>
      </c>
      <c r="AT533">
        <f t="array" ref="AT533">IF(E533&lt;&gt;"Occupied","",_xlfn.IFS(AND(ISNUMBER(AC533),AC533&lt;&gt;0),"Structured",ISNUMBER(SEARCH("/mo con",T533)),"Notes-parsed",ISNUMBER(SEARCH("step",T533)),"Step-up",ISNUMBER(SEARCH("swap",T533)),"Rate-swap",AND(ISNUMBER(I533),ISNUMBER(J533),I533&gt;J533),"Implied",TRUE,""))</f>
        <v/>
      </c>
      <c r="AU533" s="421">
        <f>IF(AC533&lt;&gt;"",AC533,IF(AT533="Implied",-(I533-J533),IF(OR(AT533="Step-up",AT533="Rate-swap"),"see notes","")))</f>
        <v/>
      </c>
    </row>
    <row r="534" outlineLevel="1" s="923">
      <c r="X534">
        <f>IF(AND(E534&lt;&gt;"",E534&lt;&gt;"Vacant",E534&lt;&gt;"Reserved",C534&lt;&gt;"",D534&lt;&gt;""),C534&amp;"|"&amp;D534,"")</f>
        <v/>
      </c>
      <c r="Y534">
        <f>IF(AND(C534&lt;&gt;"",D534&lt;&gt;""),C534&amp;"|"&amp;D534,"")</f>
        <v/>
      </c>
      <c r="AA534" s="421">
        <f>IF(AND(J534&gt;0,I534&gt;0),I534-J534,"")</f>
        <v/>
      </c>
      <c r="AB534" s="479">
        <f>IF(AND(J534&gt;0,I534&gt;0),(I534-J534)/I534,"")</f>
        <v/>
      </c>
      <c r="AP534" s="1007">
        <f>SUM(AJ534:AN534)</f>
        <v/>
      </c>
      <c r="AT534">
        <f t="array" ref="AT534">IF(E534&lt;&gt;"Occupied","",_xlfn.IFS(AND(ISNUMBER(AC534),AC534&lt;&gt;0),"Structured",ISNUMBER(SEARCH("/mo con",T534)),"Notes-parsed",ISNUMBER(SEARCH("step",T534)),"Step-up",ISNUMBER(SEARCH("swap",T534)),"Rate-swap",AND(ISNUMBER(I534),ISNUMBER(J534),I534&gt;J534),"Implied",TRUE,""))</f>
        <v/>
      </c>
      <c r="AU534" s="421">
        <f>IF(AC534&lt;&gt;"",AC534,IF(AT534="Implied",-(I534-J534),IF(OR(AT534="Step-up",AT534="Rate-swap"),"see notes","")))</f>
        <v/>
      </c>
    </row>
    <row r="535" outlineLevel="1" s="923">
      <c r="X535">
        <f>IF(AND(E535&lt;&gt;"",E535&lt;&gt;"Vacant",E535&lt;&gt;"Reserved",C535&lt;&gt;"",D535&lt;&gt;""),C535&amp;"|"&amp;D535,"")</f>
        <v/>
      </c>
      <c r="Y535">
        <f>IF(AND(C535&lt;&gt;"",D535&lt;&gt;""),C535&amp;"|"&amp;D535,"")</f>
        <v/>
      </c>
      <c r="AA535" s="421">
        <f>IF(AND(J535&gt;0,I535&gt;0),I535-J535,"")</f>
        <v/>
      </c>
      <c r="AB535" s="479">
        <f>IF(AND(J535&gt;0,I535&gt;0),(I535-J535)/I535,"")</f>
        <v/>
      </c>
      <c r="AP535" s="1007">
        <f>SUM(AJ535:AN535)</f>
        <v/>
      </c>
      <c r="AT535">
        <f t="array" ref="AT535">IF(E535&lt;&gt;"Occupied","",_xlfn.IFS(AND(ISNUMBER(AC535),AC535&lt;&gt;0),"Structured",ISNUMBER(SEARCH("/mo con",T535)),"Notes-parsed",ISNUMBER(SEARCH("step",T535)),"Step-up",ISNUMBER(SEARCH("swap",T535)),"Rate-swap",AND(ISNUMBER(I535),ISNUMBER(J535),I535&gt;J535),"Implied",TRUE,""))</f>
        <v/>
      </c>
      <c r="AU535" s="421">
        <f>IF(AC535&lt;&gt;"",AC535,IF(AT535="Implied",-(I535-J535),IF(OR(AT535="Step-up",AT535="Rate-swap"),"see notes","")))</f>
        <v/>
      </c>
    </row>
    <row r="536" outlineLevel="1" s="923">
      <c r="X536">
        <f>IF(AND(E536&lt;&gt;"",E536&lt;&gt;"Vacant",E536&lt;&gt;"Reserved",C536&lt;&gt;"",D536&lt;&gt;""),C536&amp;"|"&amp;D536,"")</f>
        <v/>
      </c>
      <c r="Y536">
        <f>IF(AND(C536&lt;&gt;"",D536&lt;&gt;""),C536&amp;"|"&amp;D536,"")</f>
        <v/>
      </c>
      <c r="AA536" s="421">
        <f>IF(AND(J536&gt;0,I536&gt;0),I536-J536,"")</f>
        <v/>
      </c>
      <c r="AB536" s="479">
        <f>IF(AND(J536&gt;0,I536&gt;0),(I536-J536)/I536,"")</f>
        <v/>
      </c>
      <c r="AP536" s="1007">
        <f>SUM(AJ536:AN536)</f>
        <v/>
      </c>
      <c r="AT536">
        <f t="array" ref="AT536">IF(E536&lt;&gt;"Occupied","",_xlfn.IFS(AND(ISNUMBER(AC536),AC536&lt;&gt;0),"Structured",ISNUMBER(SEARCH("/mo con",T536)),"Notes-parsed",ISNUMBER(SEARCH("step",T536)),"Step-up",ISNUMBER(SEARCH("swap",T536)),"Rate-swap",AND(ISNUMBER(I536),ISNUMBER(J536),I536&gt;J536),"Implied",TRUE,""))</f>
        <v/>
      </c>
      <c r="AU536" s="421">
        <f>IF(AC536&lt;&gt;"",AC536,IF(AT536="Implied",-(I536-J536),IF(OR(AT536="Step-up",AT536="Rate-swap"),"see notes","")))</f>
        <v/>
      </c>
    </row>
    <row r="537" outlineLevel="1" s="923">
      <c r="X537">
        <f>IF(AND(E537&lt;&gt;"",E537&lt;&gt;"Vacant",E537&lt;&gt;"Reserved",C537&lt;&gt;"",D537&lt;&gt;""),C537&amp;"|"&amp;D537,"")</f>
        <v/>
      </c>
      <c r="Y537">
        <f>IF(AND(C537&lt;&gt;"",D537&lt;&gt;""),C537&amp;"|"&amp;D537,"")</f>
        <v/>
      </c>
      <c r="AA537" s="421">
        <f>IF(AND(J537&gt;0,I537&gt;0),I537-J537,"")</f>
        <v/>
      </c>
      <c r="AB537" s="479">
        <f>IF(AND(J537&gt;0,I537&gt;0),(I537-J537)/I537,"")</f>
        <v/>
      </c>
      <c r="AP537" s="1007">
        <f>SUM(AJ537:AN537)</f>
        <v/>
      </c>
      <c r="AT537">
        <f t="array" ref="AT537">IF(E537&lt;&gt;"Occupied","",_xlfn.IFS(AND(ISNUMBER(AC537),AC537&lt;&gt;0),"Structured",ISNUMBER(SEARCH("/mo con",T537)),"Notes-parsed",ISNUMBER(SEARCH("step",T537)),"Step-up",ISNUMBER(SEARCH("swap",T537)),"Rate-swap",AND(ISNUMBER(I537),ISNUMBER(J537),I537&gt;J537),"Implied",TRUE,""))</f>
        <v/>
      </c>
      <c r="AU537" s="421">
        <f>IF(AC537&lt;&gt;"",AC537,IF(AT537="Implied",-(I537-J537),IF(OR(AT537="Step-up",AT537="Rate-swap"),"see notes","")))</f>
        <v/>
      </c>
    </row>
    <row r="538" outlineLevel="1" s="923">
      <c r="X538">
        <f>IF(AND(E538&lt;&gt;"",E538&lt;&gt;"Vacant",E538&lt;&gt;"Reserved",C538&lt;&gt;"",D538&lt;&gt;""),C538&amp;"|"&amp;D538,"")</f>
        <v/>
      </c>
      <c r="Y538">
        <f>IF(AND(C538&lt;&gt;"",D538&lt;&gt;""),C538&amp;"|"&amp;D538,"")</f>
        <v/>
      </c>
      <c r="AA538" s="421">
        <f>IF(AND(J538&gt;0,I538&gt;0),I538-J538,"")</f>
        <v/>
      </c>
      <c r="AB538" s="479">
        <f>IF(AND(J538&gt;0,I538&gt;0),(I538-J538)/I538,"")</f>
        <v/>
      </c>
      <c r="AP538" s="1007">
        <f>SUM(AJ538:AN538)</f>
        <v/>
      </c>
      <c r="AT538">
        <f t="array" ref="AT538">IF(E538&lt;&gt;"Occupied","",_xlfn.IFS(AND(ISNUMBER(AC538),AC538&lt;&gt;0),"Structured",ISNUMBER(SEARCH("/mo con",T538)),"Notes-parsed",ISNUMBER(SEARCH("step",T538)),"Step-up",ISNUMBER(SEARCH("swap",T538)),"Rate-swap",AND(ISNUMBER(I538),ISNUMBER(J538),I538&gt;J538),"Implied",TRUE,""))</f>
        <v/>
      </c>
      <c r="AU538" s="421">
        <f>IF(AC538&lt;&gt;"",AC538,IF(AT538="Implied",-(I538-J538),IF(OR(AT538="Step-up",AT538="Rate-swap"),"see notes","")))</f>
        <v/>
      </c>
    </row>
    <row r="539" outlineLevel="1" s="923">
      <c r="X539">
        <f>IF(AND(E539&lt;&gt;"",E539&lt;&gt;"Vacant",E539&lt;&gt;"Reserved",C539&lt;&gt;"",D539&lt;&gt;""),C539&amp;"|"&amp;D539,"")</f>
        <v/>
      </c>
      <c r="Y539">
        <f>IF(AND(C539&lt;&gt;"",D539&lt;&gt;""),C539&amp;"|"&amp;D539,"")</f>
        <v/>
      </c>
      <c r="AA539" s="421">
        <f>IF(AND(J539&gt;0,I539&gt;0),I539-J539,"")</f>
        <v/>
      </c>
      <c r="AB539" s="479">
        <f>IF(AND(J539&gt;0,I539&gt;0),(I539-J539)/I539,"")</f>
        <v/>
      </c>
      <c r="AP539" s="1007">
        <f>SUM(AJ539:AN539)</f>
        <v/>
      </c>
      <c r="AT539">
        <f t="array" ref="AT539">IF(E539&lt;&gt;"Occupied","",_xlfn.IFS(AND(ISNUMBER(AC539),AC539&lt;&gt;0),"Structured",ISNUMBER(SEARCH("/mo con",T539)),"Notes-parsed",ISNUMBER(SEARCH("step",T539)),"Step-up",ISNUMBER(SEARCH("swap",T539)),"Rate-swap",AND(ISNUMBER(I539),ISNUMBER(J539),I539&gt;J539),"Implied",TRUE,""))</f>
        <v/>
      </c>
      <c r="AU539" s="421">
        <f>IF(AC539&lt;&gt;"",AC539,IF(AT539="Implied",-(I539-J539),IF(OR(AT539="Step-up",AT539="Rate-swap"),"see notes","")))</f>
        <v/>
      </c>
    </row>
    <row r="540" outlineLevel="1" s="923">
      <c r="X540">
        <f>IF(AND(E540&lt;&gt;"",E540&lt;&gt;"Vacant",E540&lt;&gt;"Reserved",C540&lt;&gt;"",D540&lt;&gt;""),C540&amp;"|"&amp;D540,"")</f>
        <v/>
      </c>
      <c r="Y540">
        <f>IF(AND(C540&lt;&gt;"",D540&lt;&gt;""),C540&amp;"|"&amp;D540,"")</f>
        <v/>
      </c>
      <c r="AA540" s="421">
        <f>IF(AND(J540&gt;0,I540&gt;0),I540-J540,"")</f>
        <v/>
      </c>
      <c r="AB540" s="479">
        <f>IF(AND(J540&gt;0,I540&gt;0),(I540-J540)/I540,"")</f>
        <v/>
      </c>
      <c r="AP540" s="1007">
        <f>SUM(AJ540:AN540)</f>
        <v/>
      </c>
      <c r="AT540">
        <f t="array" ref="AT540">IF(E540&lt;&gt;"Occupied","",_xlfn.IFS(AND(ISNUMBER(AC540),AC540&lt;&gt;0),"Structured",ISNUMBER(SEARCH("/mo con",T540)),"Notes-parsed",ISNUMBER(SEARCH("step",T540)),"Step-up",ISNUMBER(SEARCH("swap",T540)),"Rate-swap",AND(ISNUMBER(I540),ISNUMBER(J540),I540&gt;J540),"Implied",TRUE,""))</f>
        <v/>
      </c>
      <c r="AU540" s="421">
        <f>IF(AC540&lt;&gt;"",AC540,IF(AT540="Implied",-(I540-J540),IF(OR(AT540="Step-up",AT540="Rate-swap"),"see notes","")))</f>
        <v/>
      </c>
    </row>
    <row r="541" outlineLevel="1" s="923">
      <c r="X541">
        <f>IF(AND(E541&lt;&gt;"",E541&lt;&gt;"Vacant",E541&lt;&gt;"Reserved",C541&lt;&gt;"",D541&lt;&gt;""),C541&amp;"|"&amp;D541,"")</f>
        <v/>
      </c>
      <c r="Y541">
        <f>IF(AND(C541&lt;&gt;"",D541&lt;&gt;""),C541&amp;"|"&amp;D541,"")</f>
        <v/>
      </c>
      <c r="AA541" s="421">
        <f>IF(AND(J541&gt;0,I541&gt;0),I541-J541,"")</f>
        <v/>
      </c>
      <c r="AB541" s="479">
        <f>IF(AND(J541&gt;0,I541&gt;0),(I541-J541)/I541,"")</f>
        <v/>
      </c>
      <c r="AP541" s="1007">
        <f>SUM(AJ541:AN541)</f>
        <v/>
      </c>
      <c r="AT541">
        <f t="array" ref="AT541">IF(E541&lt;&gt;"Occupied","",_xlfn.IFS(AND(ISNUMBER(AC541),AC541&lt;&gt;0),"Structured",ISNUMBER(SEARCH("/mo con",T541)),"Notes-parsed",ISNUMBER(SEARCH("step",T541)),"Step-up",ISNUMBER(SEARCH("swap",T541)),"Rate-swap",AND(ISNUMBER(I541),ISNUMBER(J541),I541&gt;J541),"Implied",TRUE,""))</f>
        <v/>
      </c>
      <c r="AU541" s="421">
        <f>IF(AC541&lt;&gt;"",AC541,IF(AT541="Implied",-(I541-J541),IF(OR(AT541="Step-up",AT541="Rate-swap"),"see notes","")))</f>
        <v/>
      </c>
    </row>
    <row r="542" outlineLevel="1" s="923">
      <c r="X542">
        <f>IF(AND(E542&lt;&gt;"",E542&lt;&gt;"Vacant",E542&lt;&gt;"Reserved",C542&lt;&gt;"",D542&lt;&gt;""),C542&amp;"|"&amp;D542,"")</f>
        <v/>
      </c>
      <c r="Y542">
        <f>IF(AND(C542&lt;&gt;"",D542&lt;&gt;""),C542&amp;"|"&amp;D542,"")</f>
        <v/>
      </c>
      <c r="AA542" s="421">
        <f>IF(AND(J542&gt;0,I542&gt;0),I542-J542,"")</f>
        <v/>
      </c>
      <c r="AB542" s="479">
        <f>IF(AND(J542&gt;0,I542&gt;0),(I542-J542)/I542,"")</f>
        <v/>
      </c>
      <c r="AP542" s="1007">
        <f>SUM(AJ542:AN542)</f>
        <v/>
      </c>
      <c r="AT542">
        <f t="array" ref="AT542">IF(E542&lt;&gt;"Occupied","",_xlfn.IFS(AND(ISNUMBER(AC542),AC542&lt;&gt;0),"Structured",ISNUMBER(SEARCH("/mo con",T542)),"Notes-parsed",ISNUMBER(SEARCH("step",T542)),"Step-up",ISNUMBER(SEARCH("swap",T542)),"Rate-swap",AND(ISNUMBER(I542),ISNUMBER(J542),I542&gt;J542),"Implied",TRUE,""))</f>
        <v/>
      </c>
      <c r="AU542" s="421">
        <f>IF(AC542&lt;&gt;"",AC542,IF(AT542="Implied",-(I542-J542),IF(OR(AT542="Step-up",AT542="Rate-swap"),"see notes","")))</f>
        <v/>
      </c>
    </row>
    <row r="543" outlineLevel="1" s="923">
      <c r="X543">
        <f>IF(AND(E543&lt;&gt;"",E543&lt;&gt;"Vacant",E543&lt;&gt;"Reserved",C543&lt;&gt;"",D543&lt;&gt;""),C543&amp;"|"&amp;D543,"")</f>
        <v/>
      </c>
      <c r="Y543">
        <f>IF(AND(C543&lt;&gt;"",D543&lt;&gt;""),C543&amp;"|"&amp;D543,"")</f>
        <v/>
      </c>
      <c r="AA543" s="421">
        <f>IF(AND(J543&gt;0,I543&gt;0),I543-J543,"")</f>
        <v/>
      </c>
      <c r="AB543" s="479">
        <f>IF(AND(J543&gt;0,I543&gt;0),(I543-J543)/I543,"")</f>
        <v/>
      </c>
      <c r="AP543" s="1007">
        <f>SUM(AJ543:AN543)</f>
        <v/>
      </c>
      <c r="AT543">
        <f t="array" ref="AT543">IF(E543&lt;&gt;"Occupied","",_xlfn.IFS(AND(ISNUMBER(AC543),AC543&lt;&gt;0),"Structured",ISNUMBER(SEARCH("/mo con",T543)),"Notes-parsed",ISNUMBER(SEARCH("step",T543)),"Step-up",ISNUMBER(SEARCH("swap",T543)),"Rate-swap",AND(ISNUMBER(I543),ISNUMBER(J543),I543&gt;J543),"Implied",TRUE,""))</f>
        <v/>
      </c>
      <c r="AU543" s="421">
        <f>IF(AC543&lt;&gt;"",AC543,IF(AT543="Implied",-(I543-J543),IF(OR(AT543="Step-up",AT543="Rate-swap"),"see notes","")))</f>
        <v/>
      </c>
    </row>
    <row r="544" outlineLevel="1" s="923">
      <c r="X544">
        <f>IF(AND(E544&lt;&gt;"",E544&lt;&gt;"Vacant",E544&lt;&gt;"Reserved",C544&lt;&gt;"",D544&lt;&gt;""),C544&amp;"|"&amp;D544,"")</f>
        <v/>
      </c>
      <c r="Y544">
        <f>IF(AND(C544&lt;&gt;"",D544&lt;&gt;""),C544&amp;"|"&amp;D544,"")</f>
        <v/>
      </c>
      <c r="AA544" s="421">
        <f>IF(AND(J544&gt;0,I544&gt;0),I544-J544,"")</f>
        <v/>
      </c>
      <c r="AB544" s="479">
        <f>IF(AND(J544&gt;0,I544&gt;0),(I544-J544)/I544,"")</f>
        <v/>
      </c>
      <c r="AP544" s="1007">
        <f>SUM(AJ544:AN544)</f>
        <v/>
      </c>
      <c r="AT544">
        <f t="array" ref="AT544">IF(E544&lt;&gt;"Occupied","",_xlfn.IFS(AND(ISNUMBER(AC544),AC544&lt;&gt;0),"Structured",ISNUMBER(SEARCH("/mo con",T544)),"Notes-parsed",ISNUMBER(SEARCH("step",T544)),"Step-up",ISNUMBER(SEARCH("swap",T544)),"Rate-swap",AND(ISNUMBER(I544),ISNUMBER(J544),I544&gt;J544),"Implied",TRUE,""))</f>
        <v/>
      </c>
      <c r="AU544" s="421">
        <f>IF(AC544&lt;&gt;"",AC544,IF(AT544="Implied",-(I544-J544),IF(OR(AT544="Step-up",AT544="Rate-swap"),"see notes","")))</f>
        <v/>
      </c>
    </row>
    <row r="545" outlineLevel="1" s="923">
      <c r="X545">
        <f>IF(AND(E545&lt;&gt;"",E545&lt;&gt;"Vacant",E545&lt;&gt;"Reserved",C545&lt;&gt;"",D545&lt;&gt;""),C545&amp;"|"&amp;D545,"")</f>
        <v/>
      </c>
      <c r="Y545">
        <f>IF(AND(C545&lt;&gt;"",D545&lt;&gt;""),C545&amp;"|"&amp;D545,"")</f>
        <v/>
      </c>
      <c r="AA545" s="421">
        <f>IF(AND(J545&gt;0,I545&gt;0),I545-J545,"")</f>
        <v/>
      </c>
      <c r="AB545" s="479">
        <f>IF(AND(J545&gt;0,I545&gt;0),(I545-J545)/I545,"")</f>
        <v/>
      </c>
      <c r="AP545" s="1007">
        <f>SUM(AJ545:AN545)</f>
        <v/>
      </c>
      <c r="AT545">
        <f t="array" ref="AT545">IF(E545&lt;&gt;"Occupied","",_xlfn.IFS(AND(ISNUMBER(AC545),AC545&lt;&gt;0),"Structured",ISNUMBER(SEARCH("/mo con",T545)),"Notes-parsed",ISNUMBER(SEARCH("step",T545)),"Step-up",ISNUMBER(SEARCH("swap",T545)),"Rate-swap",AND(ISNUMBER(I545),ISNUMBER(J545),I545&gt;J545),"Implied",TRUE,""))</f>
        <v/>
      </c>
      <c r="AU545" s="421">
        <f>IF(AC545&lt;&gt;"",AC545,IF(AT545="Implied",-(I545-J545),IF(OR(AT545="Step-up",AT545="Rate-swap"),"see notes","")))</f>
        <v/>
      </c>
    </row>
    <row r="546" outlineLevel="1" s="923">
      <c r="X546">
        <f>IF(AND(E546&lt;&gt;"",E546&lt;&gt;"Vacant",E546&lt;&gt;"Reserved",C546&lt;&gt;"",D546&lt;&gt;""),C546&amp;"|"&amp;D546,"")</f>
        <v/>
      </c>
      <c r="Y546">
        <f>IF(AND(C546&lt;&gt;"",D546&lt;&gt;""),C546&amp;"|"&amp;D546,"")</f>
        <v/>
      </c>
      <c r="AA546" s="421">
        <f>IF(AND(J546&gt;0,I546&gt;0),I546-J546,"")</f>
        <v/>
      </c>
      <c r="AB546" s="479">
        <f>IF(AND(J546&gt;0,I546&gt;0),(I546-J546)/I546,"")</f>
        <v/>
      </c>
      <c r="AP546" s="1007">
        <f>SUM(AJ546:AN546)</f>
        <v/>
      </c>
      <c r="AT546">
        <f t="array" ref="AT546">IF(E546&lt;&gt;"Occupied","",_xlfn.IFS(AND(ISNUMBER(AC546),AC546&lt;&gt;0),"Structured",ISNUMBER(SEARCH("/mo con",T546)),"Notes-parsed",ISNUMBER(SEARCH("step",T546)),"Step-up",ISNUMBER(SEARCH("swap",T546)),"Rate-swap",AND(ISNUMBER(I546),ISNUMBER(J546),I546&gt;J546),"Implied",TRUE,""))</f>
        <v/>
      </c>
      <c r="AU546" s="421">
        <f>IF(AC546&lt;&gt;"",AC546,IF(AT546="Implied",-(I546-J546),IF(OR(AT546="Step-up",AT546="Rate-swap"),"see notes","")))</f>
        <v/>
      </c>
    </row>
    <row r="547" outlineLevel="1" s="923">
      <c r="X547">
        <f>IF(AND(E547&lt;&gt;"",E547&lt;&gt;"Vacant",E547&lt;&gt;"Reserved",C547&lt;&gt;"",D547&lt;&gt;""),C547&amp;"|"&amp;D547,"")</f>
        <v/>
      </c>
      <c r="Y547">
        <f>IF(AND(C547&lt;&gt;"",D547&lt;&gt;""),C547&amp;"|"&amp;D547,"")</f>
        <v/>
      </c>
      <c r="AA547" s="421">
        <f>IF(AND(J547&gt;0,I547&gt;0),I547-J547,"")</f>
        <v/>
      </c>
      <c r="AB547" s="479">
        <f>IF(AND(J547&gt;0,I547&gt;0),(I547-J547)/I547,"")</f>
        <v/>
      </c>
      <c r="AP547" s="1007">
        <f>SUM(AJ547:AN547)</f>
        <v/>
      </c>
      <c r="AT547">
        <f t="array" ref="AT547">IF(E547&lt;&gt;"Occupied","",_xlfn.IFS(AND(ISNUMBER(AC547),AC547&lt;&gt;0),"Structured",ISNUMBER(SEARCH("/mo con",T547)),"Notes-parsed",ISNUMBER(SEARCH("step",T547)),"Step-up",ISNUMBER(SEARCH("swap",T547)),"Rate-swap",AND(ISNUMBER(I547),ISNUMBER(J547),I547&gt;J547),"Implied",TRUE,""))</f>
        <v/>
      </c>
      <c r="AU547" s="421">
        <f>IF(AC547&lt;&gt;"",AC547,IF(AT547="Implied",-(I547-J547),IF(OR(AT547="Step-up",AT547="Rate-swap"),"see notes","")))</f>
        <v/>
      </c>
    </row>
    <row r="548" outlineLevel="1" s="923">
      <c r="X548">
        <f>IF(AND(E548&lt;&gt;"",E548&lt;&gt;"Vacant",E548&lt;&gt;"Reserved",C548&lt;&gt;"",D548&lt;&gt;""),C548&amp;"|"&amp;D548,"")</f>
        <v/>
      </c>
      <c r="Y548">
        <f>IF(AND(C548&lt;&gt;"",D548&lt;&gt;""),C548&amp;"|"&amp;D548,"")</f>
        <v/>
      </c>
      <c r="AA548" s="421">
        <f>IF(AND(J548&gt;0,I548&gt;0),I548-J548,"")</f>
        <v/>
      </c>
      <c r="AB548" s="479">
        <f>IF(AND(J548&gt;0,I548&gt;0),(I548-J548)/I548,"")</f>
        <v/>
      </c>
      <c r="AP548" s="1007">
        <f>SUM(AJ548:AN548)</f>
        <v/>
      </c>
      <c r="AT548">
        <f t="array" ref="AT548">IF(E548&lt;&gt;"Occupied","",_xlfn.IFS(AND(ISNUMBER(AC548),AC548&lt;&gt;0),"Structured",ISNUMBER(SEARCH("/mo con",T548)),"Notes-parsed",ISNUMBER(SEARCH("step",T548)),"Step-up",ISNUMBER(SEARCH("swap",T548)),"Rate-swap",AND(ISNUMBER(I548),ISNUMBER(J548),I548&gt;J548),"Implied",TRUE,""))</f>
        <v/>
      </c>
      <c r="AU548" s="421">
        <f>IF(AC548&lt;&gt;"",AC548,IF(AT548="Implied",-(I548-J548),IF(OR(AT548="Step-up",AT548="Rate-swap"),"see notes","")))</f>
        <v/>
      </c>
    </row>
    <row r="549" outlineLevel="1" s="923">
      <c r="X549">
        <f>IF(AND(E549&lt;&gt;"",E549&lt;&gt;"Vacant",E549&lt;&gt;"Reserved",C549&lt;&gt;"",D549&lt;&gt;""),C549&amp;"|"&amp;D549,"")</f>
        <v/>
      </c>
      <c r="Y549">
        <f>IF(AND(C549&lt;&gt;"",D549&lt;&gt;""),C549&amp;"|"&amp;D549,"")</f>
        <v/>
      </c>
      <c r="AA549" s="421">
        <f>IF(AND(J549&gt;0,I549&gt;0),I549-J549,"")</f>
        <v/>
      </c>
      <c r="AB549" s="479">
        <f>IF(AND(J549&gt;0,I549&gt;0),(I549-J549)/I549,"")</f>
        <v/>
      </c>
      <c r="AP549" s="1007">
        <f>SUM(AJ549:AN549)</f>
        <v/>
      </c>
      <c r="AT549">
        <f t="array" ref="AT549">IF(E549&lt;&gt;"Occupied","",_xlfn.IFS(AND(ISNUMBER(AC549),AC549&lt;&gt;0),"Structured",ISNUMBER(SEARCH("/mo con",T549)),"Notes-parsed",ISNUMBER(SEARCH("step",T549)),"Step-up",ISNUMBER(SEARCH("swap",T549)),"Rate-swap",AND(ISNUMBER(I549),ISNUMBER(J549),I549&gt;J549),"Implied",TRUE,""))</f>
        <v/>
      </c>
      <c r="AU549" s="421">
        <f>IF(AC549&lt;&gt;"",AC549,IF(AT549="Implied",-(I549-J549),IF(OR(AT549="Step-up",AT549="Rate-swap"),"see notes","")))</f>
        <v/>
      </c>
    </row>
    <row r="550" outlineLevel="1" s="923">
      <c r="X550">
        <f>IF(AND(E550&lt;&gt;"",E550&lt;&gt;"Vacant",E550&lt;&gt;"Reserved",C550&lt;&gt;"",D550&lt;&gt;""),C550&amp;"|"&amp;D550,"")</f>
        <v/>
      </c>
      <c r="Y550">
        <f>IF(AND(C550&lt;&gt;"",D550&lt;&gt;""),C550&amp;"|"&amp;D550,"")</f>
        <v/>
      </c>
      <c r="AA550" s="421">
        <f>IF(AND(J550&gt;0,I550&gt;0),I550-J550,"")</f>
        <v/>
      </c>
      <c r="AB550" s="479">
        <f>IF(AND(J550&gt;0,I550&gt;0),(I550-J550)/I550,"")</f>
        <v/>
      </c>
      <c r="AP550" s="1007">
        <f>SUM(AJ550:AN550)</f>
        <v/>
      </c>
      <c r="AT550">
        <f t="array" ref="AT550">IF(E550&lt;&gt;"Occupied","",_xlfn.IFS(AND(ISNUMBER(AC550),AC550&lt;&gt;0),"Structured",ISNUMBER(SEARCH("/mo con",T550)),"Notes-parsed",ISNUMBER(SEARCH("step",T550)),"Step-up",ISNUMBER(SEARCH("swap",T550)),"Rate-swap",AND(ISNUMBER(I550),ISNUMBER(J550),I550&gt;J550),"Implied",TRUE,""))</f>
        <v/>
      </c>
      <c r="AU550" s="421">
        <f>IF(AC550&lt;&gt;"",AC550,IF(AT550="Implied",-(I550-J550),IF(OR(AT550="Step-up",AT550="Rate-swap"),"see notes","")))</f>
        <v/>
      </c>
    </row>
    <row r="551" outlineLevel="1" s="923">
      <c r="X551">
        <f>IF(AND(E551&lt;&gt;"",E551&lt;&gt;"Vacant",E551&lt;&gt;"Reserved",C551&lt;&gt;"",D551&lt;&gt;""),C551&amp;"|"&amp;D551,"")</f>
        <v/>
      </c>
      <c r="Y551">
        <f>IF(AND(C551&lt;&gt;"",D551&lt;&gt;""),C551&amp;"|"&amp;D551,"")</f>
        <v/>
      </c>
      <c r="AA551" s="421">
        <f>IF(AND(J551&gt;0,I551&gt;0),I551-J551,"")</f>
        <v/>
      </c>
      <c r="AB551" s="479">
        <f>IF(AND(J551&gt;0,I551&gt;0),(I551-J551)/I551,"")</f>
        <v/>
      </c>
      <c r="AP551" s="1007">
        <f>SUM(AJ551:AN551)</f>
        <v/>
      </c>
      <c r="AT551">
        <f t="array" ref="AT551">IF(E551&lt;&gt;"Occupied","",_xlfn.IFS(AND(ISNUMBER(AC551),AC551&lt;&gt;0),"Structured",ISNUMBER(SEARCH("/mo con",T551)),"Notes-parsed",ISNUMBER(SEARCH("step",T551)),"Step-up",ISNUMBER(SEARCH("swap",T551)),"Rate-swap",AND(ISNUMBER(I551),ISNUMBER(J551),I551&gt;J551),"Implied",TRUE,""))</f>
        <v/>
      </c>
      <c r="AU551" s="421">
        <f>IF(AC551&lt;&gt;"",AC551,IF(AT551="Implied",-(I551-J551),IF(OR(AT551="Step-up",AT551="Rate-swap"),"see notes","")))</f>
        <v/>
      </c>
    </row>
    <row r="552" outlineLevel="1" s="923">
      <c r="X552">
        <f>IF(AND(E552&lt;&gt;"",E552&lt;&gt;"Vacant",E552&lt;&gt;"Reserved",C552&lt;&gt;"",D552&lt;&gt;""),C552&amp;"|"&amp;D552,"")</f>
        <v/>
      </c>
      <c r="Y552">
        <f>IF(AND(C552&lt;&gt;"",D552&lt;&gt;""),C552&amp;"|"&amp;D552,"")</f>
        <v/>
      </c>
      <c r="AA552" s="421">
        <f>IF(AND(J552&gt;0,I552&gt;0),I552-J552,"")</f>
        <v/>
      </c>
      <c r="AB552" s="479">
        <f>IF(AND(J552&gt;0,I552&gt;0),(I552-J552)/I552,"")</f>
        <v/>
      </c>
      <c r="AP552" s="1007">
        <f>SUM(AJ552:AN552)</f>
        <v/>
      </c>
      <c r="AT552">
        <f t="array" ref="AT552">IF(E552&lt;&gt;"Occupied","",_xlfn.IFS(AND(ISNUMBER(AC552),AC552&lt;&gt;0),"Structured",ISNUMBER(SEARCH("/mo con",T552)),"Notes-parsed",ISNUMBER(SEARCH("step",T552)),"Step-up",ISNUMBER(SEARCH("swap",T552)),"Rate-swap",AND(ISNUMBER(I552),ISNUMBER(J552),I552&gt;J552),"Implied",TRUE,""))</f>
        <v/>
      </c>
      <c r="AU552" s="421">
        <f>IF(AC552&lt;&gt;"",AC552,IF(AT552="Implied",-(I552-J552),IF(OR(AT552="Step-up",AT552="Rate-swap"),"see notes","")))</f>
        <v/>
      </c>
    </row>
    <row r="553" outlineLevel="1" s="923">
      <c r="X553">
        <f>IF(AND(E553&lt;&gt;"",E553&lt;&gt;"Vacant",E553&lt;&gt;"Reserved",C553&lt;&gt;"",D553&lt;&gt;""),C553&amp;"|"&amp;D553,"")</f>
        <v/>
      </c>
      <c r="Y553">
        <f>IF(AND(C553&lt;&gt;"",D553&lt;&gt;""),C553&amp;"|"&amp;D553,"")</f>
        <v/>
      </c>
      <c r="AA553" s="421">
        <f>IF(AND(J553&gt;0,I553&gt;0),I553-J553,"")</f>
        <v/>
      </c>
      <c r="AB553" s="479">
        <f>IF(AND(J553&gt;0,I553&gt;0),(I553-J553)/I553,"")</f>
        <v/>
      </c>
      <c r="AP553" s="1007">
        <f>SUM(AJ553:AN553)</f>
        <v/>
      </c>
      <c r="AT553">
        <f t="array" ref="AT553">IF(E553&lt;&gt;"Occupied","",_xlfn.IFS(AND(ISNUMBER(AC553),AC553&lt;&gt;0),"Structured",ISNUMBER(SEARCH("/mo con",T553)),"Notes-parsed",ISNUMBER(SEARCH("step",T553)),"Step-up",ISNUMBER(SEARCH("swap",T553)),"Rate-swap",AND(ISNUMBER(I553),ISNUMBER(J553),I553&gt;J553),"Implied",TRUE,""))</f>
        <v/>
      </c>
      <c r="AU553" s="421">
        <f>IF(AC553&lt;&gt;"",AC553,IF(AT553="Implied",-(I553-J553),IF(OR(AT553="Step-up",AT553="Rate-swap"),"see notes","")))</f>
        <v/>
      </c>
    </row>
    <row r="554" outlineLevel="1" s="923">
      <c r="X554">
        <f>IF(AND(E554&lt;&gt;"",E554&lt;&gt;"Vacant",E554&lt;&gt;"Reserved",C554&lt;&gt;"",D554&lt;&gt;""),C554&amp;"|"&amp;D554,"")</f>
        <v/>
      </c>
      <c r="Y554">
        <f>IF(AND(C554&lt;&gt;"",D554&lt;&gt;""),C554&amp;"|"&amp;D554,"")</f>
        <v/>
      </c>
      <c r="AA554" s="421">
        <f>IF(AND(J554&gt;0,I554&gt;0),I554-J554,"")</f>
        <v/>
      </c>
      <c r="AB554" s="479">
        <f>IF(AND(J554&gt;0,I554&gt;0),(I554-J554)/I554,"")</f>
        <v/>
      </c>
      <c r="AP554" s="1007">
        <f>SUM(AJ554:AN554)</f>
        <v/>
      </c>
      <c r="AT554">
        <f t="array" ref="AT554">IF(E554&lt;&gt;"Occupied","",_xlfn.IFS(AND(ISNUMBER(AC554),AC554&lt;&gt;0),"Structured",ISNUMBER(SEARCH("/mo con",T554)),"Notes-parsed",ISNUMBER(SEARCH("step",T554)),"Step-up",ISNUMBER(SEARCH("swap",T554)),"Rate-swap",AND(ISNUMBER(I554),ISNUMBER(J554),I554&gt;J554),"Implied",TRUE,""))</f>
        <v/>
      </c>
      <c r="AU554" s="421">
        <f>IF(AC554&lt;&gt;"",AC554,IF(AT554="Implied",-(I554-J554),IF(OR(AT554="Step-up",AT554="Rate-swap"),"see notes","")))</f>
        <v/>
      </c>
    </row>
    <row r="555" outlineLevel="1" s="923">
      <c r="X555">
        <f>IF(AND(E555&lt;&gt;"",E555&lt;&gt;"Vacant",E555&lt;&gt;"Reserved",C555&lt;&gt;"",D555&lt;&gt;""),C555&amp;"|"&amp;D555,"")</f>
        <v/>
      </c>
      <c r="Y555">
        <f>IF(AND(C555&lt;&gt;"",D555&lt;&gt;""),C555&amp;"|"&amp;D555,"")</f>
        <v/>
      </c>
      <c r="AA555" s="421">
        <f>IF(AND(J555&gt;0,I555&gt;0),I555-J555,"")</f>
        <v/>
      </c>
      <c r="AB555" s="479">
        <f>IF(AND(J555&gt;0,I555&gt;0),(I555-J555)/I555,"")</f>
        <v/>
      </c>
      <c r="AP555" s="1007">
        <f>SUM(AJ555:AN555)</f>
        <v/>
      </c>
      <c r="AT555">
        <f t="array" ref="AT555">IF(E555&lt;&gt;"Occupied","",_xlfn.IFS(AND(ISNUMBER(AC555),AC555&lt;&gt;0),"Structured",ISNUMBER(SEARCH("/mo con",T555)),"Notes-parsed",ISNUMBER(SEARCH("step",T555)),"Step-up",ISNUMBER(SEARCH("swap",T555)),"Rate-swap",AND(ISNUMBER(I555),ISNUMBER(J555),I555&gt;J555),"Implied",TRUE,""))</f>
        <v/>
      </c>
      <c r="AU555" s="421">
        <f>IF(AC555&lt;&gt;"",AC555,IF(AT555="Implied",-(I555-J555),IF(OR(AT555="Step-up",AT555="Rate-swap"),"see notes","")))</f>
        <v/>
      </c>
    </row>
    <row r="556" outlineLevel="1" s="923">
      <c r="X556">
        <f>IF(AND(E556&lt;&gt;"",E556&lt;&gt;"Vacant",E556&lt;&gt;"Reserved",C556&lt;&gt;"",D556&lt;&gt;""),C556&amp;"|"&amp;D556,"")</f>
        <v/>
      </c>
      <c r="Y556">
        <f>IF(AND(C556&lt;&gt;"",D556&lt;&gt;""),C556&amp;"|"&amp;D556,"")</f>
        <v/>
      </c>
      <c r="AA556" s="421">
        <f>IF(AND(J556&gt;0,I556&gt;0),I556-J556,"")</f>
        <v/>
      </c>
      <c r="AB556" s="479">
        <f>IF(AND(J556&gt;0,I556&gt;0),(I556-J556)/I556,"")</f>
        <v/>
      </c>
      <c r="AP556" s="1007">
        <f>SUM(AJ556:AN556)</f>
        <v/>
      </c>
      <c r="AT556">
        <f t="array" ref="AT556">IF(E556&lt;&gt;"Occupied","",_xlfn.IFS(AND(ISNUMBER(AC556),AC556&lt;&gt;0),"Structured",ISNUMBER(SEARCH("/mo con",T556)),"Notes-parsed",ISNUMBER(SEARCH("step",T556)),"Step-up",ISNUMBER(SEARCH("swap",T556)),"Rate-swap",AND(ISNUMBER(I556),ISNUMBER(J556),I556&gt;J556),"Implied",TRUE,""))</f>
        <v/>
      </c>
      <c r="AU556" s="421">
        <f>IF(AC556&lt;&gt;"",AC556,IF(AT556="Implied",-(I556-J556),IF(OR(AT556="Step-up",AT556="Rate-swap"),"see notes","")))</f>
        <v/>
      </c>
    </row>
    <row r="557" outlineLevel="1" s="923">
      <c r="X557">
        <f>IF(AND(E557&lt;&gt;"",E557&lt;&gt;"Vacant",E557&lt;&gt;"Reserved",C557&lt;&gt;"",D557&lt;&gt;""),C557&amp;"|"&amp;D557,"")</f>
        <v/>
      </c>
      <c r="Y557">
        <f>IF(AND(C557&lt;&gt;"",D557&lt;&gt;""),C557&amp;"|"&amp;D557,"")</f>
        <v/>
      </c>
      <c r="AA557" s="421">
        <f>IF(AND(J557&gt;0,I557&gt;0),I557-J557,"")</f>
        <v/>
      </c>
      <c r="AB557" s="479">
        <f>IF(AND(J557&gt;0,I557&gt;0),(I557-J557)/I557,"")</f>
        <v/>
      </c>
      <c r="AP557" s="1007">
        <f>SUM(AJ557:AN557)</f>
        <v/>
      </c>
      <c r="AT557">
        <f t="array" ref="AT557">IF(E557&lt;&gt;"Occupied","",_xlfn.IFS(AND(ISNUMBER(AC557),AC557&lt;&gt;0),"Structured",ISNUMBER(SEARCH("/mo con",T557)),"Notes-parsed",ISNUMBER(SEARCH("step",T557)),"Step-up",ISNUMBER(SEARCH("swap",T557)),"Rate-swap",AND(ISNUMBER(I557),ISNUMBER(J557),I557&gt;J557),"Implied",TRUE,""))</f>
        <v/>
      </c>
      <c r="AU557" s="421">
        <f>IF(AC557&lt;&gt;"",AC557,IF(AT557="Implied",-(I557-J557),IF(OR(AT557="Step-up",AT557="Rate-swap"),"see notes","")))</f>
        <v/>
      </c>
    </row>
    <row r="558" outlineLevel="1" s="923">
      <c r="X558">
        <f>IF(AND(E558&lt;&gt;"",E558&lt;&gt;"Vacant",E558&lt;&gt;"Reserved",C558&lt;&gt;"",D558&lt;&gt;""),C558&amp;"|"&amp;D558,"")</f>
        <v/>
      </c>
      <c r="Y558">
        <f>IF(AND(C558&lt;&gt;"",D558&lt;&gt;""),C558&amp;"|"&amp;D558,"")</f>
        <v/>
      </c>
      <c r="AA558" s="421">
        <f>IF(AND(J558&gt;0,I558&gt;0),I558-J558,"")</f>
        <v/>
      </c>
      <c r="AB558" s="479">
        <f>IF(AND(J558&gt;0,I558&gt;0),(I558-J558)/I558,"")</f>
        <v/>
      </c>
      <c r="AP558" s="1007">
        <f>SUM(AJ558:AN558)</f>
        <v/>
      </c>
      <c r="AT558">
        <f t="array" ref="AT558">IF(E558&lt;&gt;"Occupied","",_xlfn.IFS(AND(ISNUMBER(AC558),AC558&lt;&gt;0),"Structured",ISNUMBER(SEARCH("/mo con",T558)),"Notes-parsed",ISNUMBER(SEARCH("step",T558)),"Step-up",ISNUMBER(SEARCH("swap",T558)),"Rate-swap",AND(ISNUMBER(I558),ISNUMBER(J558),I558&gt;J558),"Implied",TRUE,""))</f>
        <v/>
      </c>
      <c r="AU558" s="421">
        <f>IF(AC558&lt;&gt;"",AC558,IF(AT558="Implied",-(I558-J558),IF(OR(AT558="Step-up",AT558="Rate-swap"),"see notes","")))</f>
        <v/>
      </c>
    </row>
    <row r="559" outlineLevel="1" s="923">
      <c r="X559">
        <f>IF(AND(E559&lt;&gt;"",E559&lt;&gt;"Vacant",E559&lt;&gt;"Reserved",C559&lt;&gt;"",D559&lt;&gt;""),C559&amp;"|"&amp;D559,"")</f>
        <v/>
      </c>
      <c r="Y559">
        <f>IF(AND(C559&lt;&gt;"",D559&lt;&gt;""),C559&amp;"|"&amp;D559,"")</f>
        <v/>
      </c>
      <c r="AA559" s="421">
        <f>IF(AND(J559&gt;0,I559&gt;0),I559-J559,"")</f>
        <v/>
      </c>
      <c r="AB559" s="479">
        <f>IF(AND(J559&gt;0,I559&gt;0),(I559-J559)/I559,"")</f>
        <v/>
      </c>
      <c r="AP559" s="1007">
        <f>SUM(AJ559:AN559)</f>
        <v/>
      </c>
      <c r="AT559">
        <f t="array" ref="AT559">IF(E559&lt;&gt;"Occupied","",_xlfn.IFS(AND(ISNUMBER(AC559),AC559&lt;&gt;0),"Structured",ISNUMBER(SEARCH("/mo con",T559)),"Notes-parsed",ISNUMBER(SEARCH("step",T559)),"Step-up",ISNUMBER(SEARCH("swap",T559)),"Rate-swap",AND(ISNUMBER(I559),ISNUMBER(J559),I559&gt;J559),"Implied",TRUE,""))</f>
        <v/>
      </c>
      <c r="AU559" s="421">
        <f>IF(AC559&lt;&gt;"",AC559,IF(AT559="Implied",-(I559-J559),IF(OR(AT559="Step-up",AT559="Rate-swap"),"see notes","")))</f>
        <v/>
      </c>
    </row>
    <row r="560" outlineLevel="1" s="923">
      <c r="X560">
        <f>IF(AND(E560&lt;&gt;"",E560&lt;&gt;"Vacant",E560&lt;&gt;"Reserved",C560&lt;&gt;"",D560&lt;&gt;""),C560&amp;"|"&amp;D560,"")</f>
        <v/>
      </c>
      <c r="Y560">
        <f>IF(AND(C560&lt;&gt;"",D560&lt;&gt;""),C560&amp;"|"&amp;D560,"")</f>
        <v/>
      </c>
      <c r="AA560" s="421">
        <f>IF(AND(J560&gt;0,I560&gt;0),I560-J560,"")</f>
        <v/>
      </c>
      <c r="AB560" s="479">
        <f>IF(AND(J560&gt;0,I560&gt;0),(I560-J560)/I560,"")</f>
        <v/>
      </c>
      <c r="AP560" s="1007">
        <f>SUM(AJ560:AN560)</f>
        <v/>
      </c>
      <c r="AT560">
        <f t="array" ref="AT560">IF(E560&lt;&gt;"Occupied","",_xlfn.IFS(AND(ISNUMBER(AC560),AC560&lt;&gt;0),"Structured",ISNUMBER(SEARCH("/mo con",T560)),"Notes-parsed",ISNUMBER(SEARCH("step",T560)),"Step-up",ISNUMBER(SEARCH("swap",T560)),"Rate-swap",AND(ISNUMBER(I560),ISNUMBER(J560),I560&gt;J560),"Implied",TRUE,""))</f>
        <v/>
      </c>
      <c r="AU560" s="421">
        <f>IF(AC560&lt;&gt;"",AC560,IF(AT560="Implied",-(I560-J560),IF(OR(AT560="Step-up",AT560="Rate-swap"),"see notes","")))</f>
        <v/>
      </c>
    </row>
    <row r="561" outlineLevel="1" s="923">
      <c r="X561">
        <f>IF(AND(E561&lt;&gt;"",E561&lt;&gt;"Vacant",E561&lt;&gt;"Reserved",C561&lt;&gt;"",D561&lt;&gt;""),C561&amp;"|"&amp;D561,"")</f>
        <v/>
      </c>
      <c r="Y561">
        <f>IF(AND(C561&lt;&gt;"",D561&lt;&gt;""),C561&amp;"|"&amp;D561,"")</f>
        <v/>
      </c>
      <c r="AA561" s="421">
        <f>IF(AND(J561&gt;0,I561&gt;0),I561-J561,"")</f>
        <v/>
      </c>
      <c r="AB561" s="479">
        <f>IF(AND(J561&gt;0,I561&gt;0),(I561-J561)/I561,"")</f>
        <v/>
      </c>
      <c r="AP561" s="1007">
        <f>SUM(AJ561:AN561)</f>
        <v/>
      </c>
      <c r="AT561">
        <f t="array" ref="AT561">IF(E561&lt;&gt;"Occupied","",_xlfn.IFS(AND(ISNUMBER(AC561),AC561&lt;&gt;0),"Structured",ISNUMBER(SEARCH("/mo con",T561)),"Notes-parsed",ISNUMBER(SEARCH("step",T561)),"Step-up",ISNUMBER(SEARCH("swap",T561)),"Rate-swap",AND(ISNUMBER(I561),ISNUMBER(J561),I561&gt;J561),"Implied",TRUE,""))</f>
        <v/>
      </c>
      <c r="AU561" s="421">
        <f>IF(AC561&lt;&gt;"",AC561,IF(AT561="Implied",-(I561-J561),IF(OR(AT561="Step-up",AT561="Rate-swap"),"see notes","")))</f>
        <v/>
      </c>
    </row>
    <row r="562" outlineLevel="1" s="923">
      <c r="X562">
        <f>IF(AND(E562&lt;&gt;"",E562&lt;&gt;"Vacant",E562&lt;&gt;"Reserved",C562&lt;&gt;"",D562&lt;&gt;""),C562&amp;"|"&amp;D562,"")</f>
        <v/>
      </c>
      <c r="Y562">
        <f>IF(AND(C562&lt;&gt;"",D562&lt;&gt;""),C562&amp;"|"&amp;D562,"")</f>
        <v/>
      </c>
      <c r="AA562" s="421">
        <f>IF(AND(J562&gt;0,I562&gt;0),I562-J562,"")</f>
        <v/>
      </c>
      <c r="AB562" s="479">
        <f>IF(AND(J562&gt;0,I562&gt;0),(I562-J562)/I562,"")</f>
        <v/>
      </c>
      <c r="AP562" s="1007">
        <f>SUM(AJ562:AN562)</f>
        <v/>
      </c>
      <c r="AT562">
        <f t="array" ref="AT562">IF(E562&lt;&gt;"Occupied","",_xlfn.IFS(AND(ISNUMBER(AC562),AC562&lt;&gt;0),"Structured",ISNUMBER(SEARCH("/mo con",T562)),"Notes-parsed",ISNUMBER(SEARCH("step",T562)),"Step-up",ISNUMBER(SEARCH("swap",T562)),"Rate-swap",AND(ISNUMBER(I562),ISNUMBER(J562),I562&gt;J562),"Implied",TRUE,""))</f>
        <v/>
      </c>
      <c r="AU562" s="421">
        <f>IF(AC562&lt;&gt;"",AC562,IF(AT562="Implied",-(I562-J562),IF(OR(AT562="Step-up",AT562="Rate-swap"),"see notes","")))</f>
        <v/>
      </c>
    </row>
    <row r="563" outlineLevel="1" s="923">
      <c r="X563">
        <f>IF(AND(E563&lt;&gt;"",E563&lt;&gt;"Vacant",E563&lt;&gt;"Reserved",C563&lt;&gt;"",D563&lt;&gt;""),C563&amp;"|"&amp;D563,"")</f>
        <v/>
      </c>
      <c r="Y563">
        <f>IF(AND(C563&lt;&gt;"",D563&lt;&gt;""),C563&amp;"|"&amp;D563,"")</f>
        <v/>
      </c>
      <c r="AA563" s="421">
        <f>IF(AND(J563&gt;0,I563&gt;0),I563-J563,"")</f>
        <v/>
      </c>
      <c r="AB563" s="479">
        <f>IF(AND(J563&gt;0,I563&gt;0),(I563-J563)/I563,"")</f>
        <v/>
      </c>
      <c r="AP563" s="1007">
        <f>SUM(AJ563:AN563)</f>
        <v/>
      </c>
      <c r="AT563">
        <f t="array" ref="AT563">IF(E563&lt;&gt;"Occupied","",_xlfn.IFS(AND(ISNUMBER(AC563),AC563&lt;&gt;0),"Structured",ISNUMBER(SEARCH("/mo con",T563)),"Notes-parsed",ISNUMBER(SEARCH("step",T563)),"Step-up",ISNUMBER(SEARCH("swap",T563)),"Rate-swap",AND(ISNUMBER(I563),ISNUMBER(J563),I563&gt;J563),"Implied",TRUE,""))</f>
        <v/>
      </c>
      <c r="AU563" s="421">
        <f>IF(AC563&lt;&gt;"",AC563,IF(AT563="Implied",-(I563-J563),IF(OR(AT563="Step-up",AT563="Rate-swap"),"see notes","")))</f>
        <v/>
      </c>
    </row>
    <row r="564" outlineLevel="1" s="923">
      <c r="X564">
        <f>IF(AND(E564&lt;&gt;"",E564&lt;&gt;"Vacant",E564&lt;&gt;"Reserved",C564&lt;&gt;"",D564&lt;&gt;""),C564&amp;"|"&amp;D564,"")</f>
        <v/>
      </c>
      <c r="Y564">
        <f>IF(AND(C564&lt;&gt;"",D564&lt;&gt;""),C564&amp;"|"&amp;D564,"")</f>
        <v/>
      </c>
      <c r="AA564" s="421">
        <f>IF(AND(J564&gt;0,I564&gt;0),I564-J564,"")</f>
        <v/>
      </c>
      <c r="AB564" s="479">
        <f>IF(AND(J564&gt;0,I564&gt;0),(I564-J564)/I564,"")</f>
        <v/>
      </c>
      <c r="AP564" s="1007">
        <f>SUM(AJ564:AN564)</f>
        <v/>
      </c>
      <c r="AT564">
        <f t="array" ref="AT564">IF(E564&lt;&gt;"Occupied","",_xlfn.IFS(AND(ISNUMBER(AC564),AC564&lt;&gt;0),"Structured",ISNUMBER(SEARCH("/mo con",T564)),"Notes-parsed",ISNUMBER(SEARCH("step",T564)),"Step-up",ISNUMBER(SEARCH("swap",T564)),"Rate-swap",AND(ISNUMBER(I564),ISNUMBER(J564),I564&gt;J564),"Implied",TRUE,""))</f>
        <v/>
      </c>
      <c r="AU564" s="421">
        <f>IF(AC564&lt;&gt;"",AC564,IF(AT564="Implied",-(I564-J564),IF(OR(AT564="Step-up",AT564="Rate-swap"),"see notes","")))</f>
        <v/>
      </c>
    </row>
    <row r="565" outlineLevel="1" s="923">
      <c r="X565">
        <f>IF(AND(E565&lt;&gt;"",E565&lt;&gt;"Vacant",E565&lt;&gt;"Reserved",C565&lt;&gt;"",D565&lt;&gt;""),C565&amp;"|"&amp;D565,"")</f>
        <v/>
      </c>
      <c r="Y565">
        <f>IF(AND(C565&lt;&gt;"",D565&lt;&gt;""),C565&amp;"|"&amp;D565,"")</f>
        <v/>
      </c>
      <c r="AA565" s="421">
        <f>IF(AND(J565&gt;0,I565&gt;0),I565-J565,"")</f>
        <v/>
      </c>
      <c r="AB565" s="479">
        <f>IF(AND(J565&gt;0,I565&gt;0),(I565-J565)/I565,"")</f>
        <v/>
      </c>
      <c r="AP565" s="1007">
        <f>SUM(AJ565:AN565)</f>
        <v/>
      </c>
      <c r="AT565">
        <f t="array" ref="AT565">IF(E565&lt;&gt;"Occupied","",_xlfn.IFS(AND(ISNUMBER(AC565),AC565&lt;&gt;0),"Structured",ISNUMBER(SEARCH("/mo con",T565)),"Notes-parsed",ISNUMBER(SEARCH("step",T565)),"Step-up",ISNUMBER(SEARCH("swap",T565)),"Rate-swap",AND(ISNUMBER(I565),ISNUMBER(J565),I565&gt;J565),"Implied",TRUE,""))</f>
        <v/>
      </c>
      <c r="AU565" s="421">
        <f>IF(AC565&lt;&gt;"",AC565,IF(AT565="Implied",-(I565-J565),IF(OR(AT565="Step-up",AT565="Rate-swap"),"see notes","")))</f>
        <v/>
      </c>
    </row>
    <row r="566" outlineLevel="1" s="923">
      <c r="X566">
        <f>IF(AND(E566&lt;&gt;"",E566&lt;&gt;"Vacant",E566&lt;&gt;"Reserved",C566&lt;&gt;"",D566&lt;&gt;""),C566&amp;"|"&amp;D566,"")</f>
        <v/>
      </c>
      <c r="Y566">
        <f>IF(AND(C566&lt;&gt;"",D566&lt;&gt;""),C566&amp;"|"&amp;D566,"")</f>
        <v/>
      </c>
      <c r="AA566" s="421">
        <f>IF(AND(J566&gt;0,I566&gt;0),I566-J566,"")</f>
        <v/>
      </c>
      <c r="AB566" s="479">
        <f>IF(AND(J566&gt;0,I566&gt;0),(I566-J566)/I566,"")</f>
        <v/>
      </c>
      <c r="AP566" s="1007">
        <f>SUM(AJ566:AN566)</f>
        <v/>
      </c>
      <c r="AT566">
        <f t="array" ref="AT566">IF(E566&lt;&gt;"Occupied","",_xlfn.IFS(AND(ISNUMBER(AC566),AC566&lt;&gt;0),"Structured",ISNUMBER(SEARCH("/mo con",T566)),"Notes-parsed",ISNUMBER(SEARCH("step",T566)),"Step-up",ISNUMBER(SEARCH("swap",T566)),"Rate-swap",AND(ISNUMBER(I566),ISNUMBER(J566),I566&gt;J566),"Implied",TRUE,""))</f>
        <v/>
      </c>
      <c r="AU566" s="421">
        <f>IF(AC566&lt;&gt;"",AC566,IF(AT566="Implied",-(I566-J566),IF(OR(AT566="Step-up",AT566="Rate-swap"),"see notes","")))</f>
        <v/>
      </c>
    </row>
    <row r="567" outlineLevel="1" s="923">
      <c r="X567">
        <f>IF(AND(E567&lt;&gt;"",E567&lt;&gt;"Vacant",E567&lt;&gt;"Reserved",C567&lt;&gt;"",D567&lt;&gt;""),C567&amp;"|"&amp;D567,"")</f>
        <v/>
      </c>
      <c r="Y567">
        <f>IF(AND(C567&lt;&gt;"",D567&lt;&gt;""),C567&amp;"|"&amp;D567,"")</f>
        <v/>
      </c>
      <c r="AA567" s="421">
        <f>IF(AND(J567&gt;0,I567&gt;0),I567-J567,"")</f>
        <v/>
      </c>
      <c r="AB567" s="479">
        <f>IF(AND(J567&gt;0,I567&gt;0),(I567-J567)/I567,"")</f>
        <v/>
      </c>
      <c r="AP567" s="1007">
        <f>SUM(AJ567:AN567)</f>
        <v/>
      </c>
      <c r="AT567">
        <f t="array" ref="AT567">IF(E567&lt;&gt;"Occupied","",_xlfn.IFS(AND(ISNUMBER(AC567),AC567&lt;&gt;0),"Structured",ISNUMBER(SEARCH("/mo con",T567)),"Notes-parsed",ISNUMBER(SEARCH("step",T567)),"Step-up",ISNUMBER(SEARCH("swap",T567)),"Rate-swap",AND(ISNUMBER(I567),ISNUMBER(J567),I567&gt;J567),"Implied",TRUE,""))</f>
        <v/>
      </c>
      <c r="AU567" s="421">
        <f>IF(AC567&lt;&gt;"",AC567,IF(AT567="Implied",-(I567-J567),IF(OR(AT567="Step-up",AT567="Rate-swap"),"see notes","")))</f>
        <v/>
      </c>
    </row>
    <row r="568" outlineLevel="1" s="923">
      <c r="X568">
        <f>IF(AND(E568&lt;&gt;"",E568&lt;&gt;"Vacant",E568&lt;&gt;"Reserved",C568&lt;&gt;"",D568&lt;&gt;""),C568&amp;"|"&amp;D568,"")</f>
        <v/>
      </c>
      <c r="Y568">
        <f>IF(AND(C568&lt;&gt;"",D568&lt;&gt;""),C568&amp;"|"&amp;D568,"")</f>
        <v/>
      </c>
      <c r="AA568" s="421">
        <f>IF(AND(J568&gt;0,I568&gt;0),I568-J568,"")</f>
        <v/>
      </c>
      <c r="AB568" s="479">
        <f>IF(AND(J568&gt;0,I568&gt;0),(I568-J568)/I568,"")</f>
        <v/>
      </c>
      <c r="AP568" s="1007">
        <f>SUM(AJ568:AN568)</f>
        <v/>
      </c>
      <c r="AT568">
        <f t="array" ref="AT568">IF(E568&lt;&gt;"Occupied","",_xlfn.IFS(AND(ISNUMBER(AC568),AC568&lt;&gt;0),"Structured",ISNUMBER(SEARCH("/mo con",T568)),"Notes-parsed",ISNUMBER(SEARCH("step",T568)),"Step-up",ISNUMBER(SEARCH("swap",T568)),"Rate-swap",AND(ISNUMBER(I568),ISNUMBER(J568),I568&gt;J568),"Implied",TRUE,""))</f>
        <v/>
      </c>
      <c r="AU568" s="421">
        <f>IF(AC568&lt;&gt;"",AC568,IF(AT568="Implied",-(I568-J568),IF(OR(AT568="Step-up",AT568="Rate-swap"),"see notes","")))</f>
        <v/>
      </c>
    </row>
    <row r="569" outlineLevel="1" s="923">
      <c r="X569">
        <f>IF(AND(E569&lt;&gt;"",E569&lt;&gt;"Vacant",E569&lt;&gt;"Reserved",C569&lt;&gt;"",D569&lt;&gt;""),C569&amp;"|"&amp;D569,"")</f>
        <v/>
      </c>
      <c r="Y569">
        <f>IF(AND(C569&lt;&gt;"",D569&lt;&gt;""),C569&amp;"|"&amp;D569,"")</f>
        <v/>
      </c>
      <c r="AA569" s="421">
        <f>IF(AND(J569&gt;0,I569&gt;0),I569-J569,"")</f>
        <v/>
      </c>
      <c r="AB569" s="479">
        <f>IF(AND(J569&gt;0,I569&gt;0),(I569-J569)/I569,"")</f>
        <v/>
      </c>
      <c r="AP569" s="1007">
        <f>SUM(AJ569:AN569)</f>
        <v/>
      </c>
      <c r="AT569">
        <f t="array" ref="AT569">IF(E569&lt;&gt;"Occupied","",_xlfn.IFS(AND(ISNUMBER(AC569),AC569&lt;&gt;0),"Structured",ISNUMBER(SEARCH("/mo con",T569)),"Notes-parsed",ISNUMBER(SEARCH("step",T569)),"Step-up",ISNUMBER(SEARCH("swap",T569)),"Rate-swap",AND(ISNUMBER(I569),ISNUMBER(J569),I569&gt;J569),"Implied",TRUE,""))</f>
        <v/>
      </c>
      <c r="AU569" s="421">
        <f>IF(AC569&lt;&gt;"",AC569,IF(AT569="Implied",-(I569-J569),IF(OR(AT569="Step-up",AT569="Rate-swap"),"see notes","")))</f>
        <v/>
      </c>
    </row>
    <row r="570" outlineLevel="1" s="923">
      <c r="X570">
        <f>IF(AND(E570&lt;&gt;"",E570&lt;&gt;"Vacant",E570&lt;&gt;"Reserved",C570&lt;&gt;"",D570&lt;&gt;""),C570&amp;"|"&amp;D570,"")</f>
        <v/>
      </c>
      <c r="Y570">
        <f>IF(AND(C570&lt;&gt;"",D570&lt;&gt;""),C570&amp;"|"&amp;D570,"")</f>
        <v/>
      </c>
      <c r="AA570" s="421">
        <f>IF(AND(J570&gt;0,I570&gt;0),I570-J570,"")</f>
        <v/>
      </c>
      <c r="AB570" s="479">
        <f>IF(AND(J570&gt;0,I570&gt;0),(I570-J570)/I570,"")</f>
        <v/>
      </c>
      <c r="AP570" s="1007">
        <f>SUM(AJ570:AN570)</f>
        <v/>
      </c>
      <c r="AT570">
        <f t="array" ref="AT570">IF(E570&lt;&gt;"Occupied","",_xlfn.IFS(AND(ISNUMBER(AC570),AC570&lt;&gt;0),"Structured",ISNUMBER(SEARCH("/mo con",T570)),"Notes-parsed",ISNUMBER(SEARCH("step",T570)),"Step-up",ISNUMBER(SEARCH("swap",T570)),"Rate-swap",AND(ISNUMBER(I570),ISNUMBER(J570),I570&gt;J570),"Implied",TRUE,""))</f>
        <v/>
      </c>
      <c r="AU570" s="421">
        <f>IF(AC570&lt;&gt;"",AC570,IF(AT570="Implied",-(I570-J570),IF(OR(AT570="Step-up",AT570="Rate-swap"),"see notes","")))</f>
        <v/>
      </c>
    </row>
    <row r="571" outlineLevel="1" s="923">
      <c r="X571">
        <f>IF(AND(E571&lt;&gt;"",E571&lt;&gt;"Vacant",E571&lt;&gt;"Reserved",C571&lt;&gt;"",D571&lt;&gt;""),C571&amp;"|"&amp;D571,"")</f>
        <v/>
      </c>
      <c r="Y571">
        <f>IF(AND(C571&lt;&gt;"",D571&lt;&gt;""),C571&amp;"|"&amp;D571,"")</f>
        <v/>
      </c>
      <c r="AA571" s="421">
        <f>IF(AND(J571&gt;0,I571&gt;0),I571-J571,"")</f>
        <v/>
      </c>
      <c r="AB571" s="479">
        <f>IF(AND(J571&gt;0,I571&gt;0),(I571-J571)/I571,"")</f>
        <v/>
      </c>
      <c r="AP571" s="1007">
        <f>SUM(AJ571:AN571)</f>
        <v/>
      </c>
      <c r="AT571">
        <f t="array" ref="AT571">IF(E571&lt;&gt;"Occupied","",_xlfn.IFS(AND(ISNUMBER(AC571),AC571&lt;&gt;0),"Structured",ISNUMBER(SEARCH("/mo con",T571)),"Notes-parsed",ISNUMBER(SEARCH("step",T571)),"Step-up",ISNUMBER(SEARCH("swap",T571)),"Rate-swap",AND(ISNUMBER(I571),ISNUMBER(J571),I571&gt;J571),"Implied",TRUE,""))</f>
        <v/>
      </c>
      <c r="AU571" s="421">
        <f>IF(AC571&lt;&gt;"",AC571,IF(AT571="Implied",-(I571-J571),IF(OR(AT571="Step-up",AT571="Rate-swap"),"see notes","")))</f>
        <v/>
      </c>
    </row>
    <row r="572" outlineLevel="1" s="923">
      <c r="X572">
        <f>IF(AND(E572&lt;&gt;"",E572&lt;&gt;"Vacant",E572&lt;&gt;"Reserved",C572&lt;&gt;"",D572&lt;&gt;""),C572&amp;"|"&amp;D572,"")</f>
        <v/>
      </c>
      <c r="Y572">
        <f>IF(AND(C572&lt;&gt;"",D572&lt;&gt;""),C572&amp;"|"&amp;D572,"")</f>
        <v/>
      </c>
      <c r="AA572" s="421">
        <f>IF(AND(J572&gt;0,I572&gt;0),I572-J572,"")</f>
        <v/>
      </c>
      <c r="AB572" s="479">
        <f>IF(AND(J572&gt;0,I572&gt;0),(I572-J572)/I572,"")</f>
        <v/>
      </c>
      <c r="AP572" s="1007">
        <f>SUM(AJ572:AN572)</f>
        <v/>
      </c>
      <c r="AT572">
        <f t="array" ref="AT572">IF(E572&lt;&gt;"Occupied","",_xlfn.IFS(AND(ISNUMBER(AC572),AC572&lt;&gt;0),"Structured",ISNUMBER(SEARCH("/mo con",T572)),"Notes-parsed",ISNUMBER(SEARCH("step",T572)),"Step-up",ISNUMBER(SEARCH("swap",T572)),"Rate-swap",AND(ISNUMBER(I572),ISNUMBER(J572),I572&gt;J572),"Implied",TRUE,""))</f>
        <v/>
      </c>
      <c r="AU572" s="421">
        <f>IF(AC572&lt;&gt;"",AC572,IF(AT572="Implied",-(I572-J572),IF(OR(AT572="Step-up",AT572="Rate-swap"),"see notes","")))</f>
        <v/>
      </c>
    </row>
    <row r="573" outlineLevel="1" s="923">
      <c r="X573">
        <f>IF(AND(E573&lt;&gt;"",E573&lt;&gt;"Vacant",E573&lt;&gt;"Reserved",C573&lt;&gt;"",D573&lt;&gt;""),C573&amp;"|"&amp;D573,"")</f>
        <v/>
      </c>
      <c r="Y573">
        <f>IF(AND(C573&lt;&gt;"",D573&lt;&gt;""),C573&amp;"|"&amp;D573,"")</f>
        <v/>
      </c>
      <c r="AA573" s="421">
        <f>IF(AND(J573&gt;0,I573&gt;0),I573-J573,"")</f>
        <v/>
      </c>
      <c r="AB573" s="479">
        <f>IF(AND(J573&gt;0,I573&gt;0),(I573-J573)/I573,"")</f>
        <v/>
      </c>
      <c r="AP573" s="1007">
        <f>SUM(AJ573:AN573)</f>
        <v/>
      </c>
      <c r="AT573">
        <f t="array" ref="AT573">IF(E573&lt;&gt;"Occupied","",_xlfn.IFS(AND(ISNUMBER(AC573),AC573&lt;&gt;0),"Structured",ISNUMBER(SEARCH("/mo con",T573)),"Notes-parsed",ISNUMBER(SEARCH("step",T573)),"Step-up",ISNUMBER(SEARCH("swap",T573)),"Rate-swap",AND(ISNUMBER(I573),ISNUMBER(J573),I573&gt;J573),"Implied",TRUE,""))</f>
        <v/>
      </c>
      <c r="AU573" s="421">
        <f>IF(AC573&lt;&gt;"",AC573,IF(AT573="Implied",-(I573-J573),IF(OR(AT573="Step-up",AT573="Rate-swap"),"see notes","")))</f>
        <v/>
      </c>
    </row>
    <row r="574" outlineLevel="1" s="923">
      <c r="X574">
        <f>IF(AND(E574&lt;&gt;"",E574&lt;&gt;"Vacant",E574&lt;&gt;"Reserved",C574&lt;&gt;"",D574&lt;&gt;""),C574&amp;"|"&amp;D574,"")</f>
        <v/>
      </c>
      <c r="Y574">
        <f>IF(AND(C574&lt;&gt;"",D574&lt;&gt;""),C574&amp;"|"&amp;D574,"")</f>
        <v/>
      </c>
      <c r="AA574" s="421">
        <f>IF(AND(J574&gt;0,I574&gt;0),I574-J574,"")</f>
        <v/>
      </c>
      <c r="AB574" s="479">
        <f>IF(AND(J574&gt;0,I574&gt;0),(I574-J574)/I574,"")</f>
        <v/>
      </c>
      <c r="AP574" s="1007">
        <f>SUM(AJ574:AN574)</f>
        <v/>
      </c>
      <c r="AT574">
        <f t="array" ref="AT574">IF(E574&lt;&gt;"Occupied","",_xlfn.IFS(AND(ISNUMBER(AC574),AC574&lt;&gt;0),"Structured",ISNUMBER(SEARCH("/mo con",T574)),"Notes-parsed",ISNUMBER(SEARCH("step",T574)),"Step-up",ISNUMBER(SEARCH("swap",T574)),"Rate-swap",AND(ISNUMBER(I574),ISNUMBER(J574),I574&gt;J574),"Implied",TRUE,""))</f>
        <v/>
      </c>
      <c r="AU574" s="421">
        <f>IF(AC574&lt;&gt;"",AC574,IF(AT574="Implied",-(I574-J574),IF(OR(AT574="Step-up",AT574="Rate-swap"),"see notes","")))</f>
        <v/>
      </c>
    </row>
    <row r="575" outlineLevel="1" s="923">
      <c r="X575">
        <f>IF(AND(E575&lt;&gt;"",E575&lt;&gt;"Vacant",E575&lt;&gt;"Reserved",C575&lt;&gt;"",D575&lt;&gt;""),C575&amp;"|"&amp;D575,"")</f>
        <v/>
      </c>
      <c r="Y575">
        <f>IF(AND(C575&lt;&gt;"",D575&lt;&gt;""),C575&amp;"|"&amp;D575,"")</f>
        <v/>
      </c>
      <c r="AA575" s="421">
        <f>IF(AND(J575&gt;0,I575&gt;0),I575-J575,"")</f>
        <v/>
      </c>
      <c r="AB575" s="479">
        <f>IF(AND(J575&gt;0,I575&gt;0),(I575-J575)/I575,"")</f>
        <v/>
      </c>
      <c r="AP575" s="1007">
        <f>SUM(AJ575:AN575)</f>
        <v/>
      </c>
      <c r="AT575">
        <f t="array" ref="AT575">IF(E575&lt;&gt;"Occupied","",_xlfn.IFS(AND(ISNUMBER(AC575),AC575&lt;&gt;0),"Structured",ISNUMBER(SEARCH("/mo con",T575)),"Notes-parsed",ISNUMBER(SEARCH("step",T575)),"Step-up",ISNUMBER(SEARCH("swap",T575)),"Rate-swap",AND(ISNUMBER(I575),ISNUMBER(J575),I575&gt;J575),"Implied",TRUE,""))</f>
        <v/>
      </c>
      <c r="AU575" s="421">
        <f>IF(AC575&lt;&gt;"",AC575,IF(AT575="Implied",-(I575-J575),IF(OR(AT575="Step-up",AT575="Rate-swap"),"see notes","")))</f>
        <v/>
      </c>
    </row>
    <row r="576" outlineLevel="1" s="923">
      <c r="X576">
        <f>IF(AND(E576&lt;&gt;"",E576&lt;&gt;"Vacant",E576&lt;&gt;"Reserved",C576&lt;&gt;"",D576&lt;&gt;""),C576&amp;"|"&amp;D576,"")</f>
        <v/>
      </c>
      <c r="Y576">
        <f>IF(AND(C576&lt;&gt;"",D576&lt;&gt;""),C576&amp;"|"&amp;D576,"")</f>
        <v/>
      </c>
      <c r="AA576" s="421">
        <f>IF(AND(J576&gt;0,I576&gt;0),I576-J576,"")</f>
        <v/>
      </c>
      <c r="AB576" s="479">
        <f>IF(AND(J576&gt;0,I576&gt;0),(I576-J576)/I576,"")</f>
        <v/>
      </c>
      <c r="AP576" s="1007">
        <f>SUM(AJ576:AN576)</f>
        <v/>
      </c>
      <c r="AT576">
        <f t="array" ref="AT576">IF(E576&lt;&gt;"Occupied","",_xlfn.IFS(AND(ISNUMBER(AC576),AC576&lt;&gt;0),"Structured",ISNUMBER(SEARCH("/mo con",T576)),"Notes-parsed",ISNUMBER(SEARCH("step",T576)),"Step-up",ISNUMBER(SEARCH("swap",T576)),"Rate-swap",AND(ISNUMBER(I576),ISNUMBER(J576),I576&gt;J576),"Implied",TRUE,""))</f>
        <v/>
      </c>
      <c r="AU576" s="421">
        <f>IF(AC576&lt;&gt;"",AC576,IF(AT576="Implied",-(I576-J576),IF(OR(AT576="Step-up",AT576="Rate-swap"),"see notes","")))</f>
        <v/>
      </c>
    </row>
    <row r="577" outlineLevel="1" s="923">
      <c r="X577">
        <f>IF(AND(E577&lt;&gt;"",E577&lt;&gt;"Vacant",E577&lt;&gt;"Reserved",C577&lt;&gt;"",D577&lt;&gt;""),C577&amp;"|"&amp;D577,"")</f>
        <v/>
      </c>
      <c r="Y577">
        <f>IF(AND(C577&lt;&gt;"",D577&lt;&gt;""),C577&amp;"|"&amp;D577,"")</f>
        <v/>
      </c>
      <c r="AA577" s="421">
        <f>IF(AND(J577&gt;0,I577&gt;0),I577-J577,"")</f>
        <v/>
      </c>
      <c r="AB577" s="479">
        <f>IF(AND(J577&gt;0,I577&gt;0),(I577-J577)/I577,"")</f>
        <v/>
      </c>
      <c r="AP577" s="1007">
        <f>SUM(AJ577:AN577)</f>
        <v/>
      </c>
      <c r="AT577">
        <f t="array" ref="AT577">IF(E577&lt;&gt;"Occupied","",_xlfn.IFS(AND(ISNUMBER(AC577),AC577&lt;&gt;0),"Structured",ISNUMBER(SEARCH("/mo con",T577)),"Notes-parsed",ISNUMBER(SEARCH("step",T577)),"Step-up",ISNUMBER(SEARCH("swap",T577)),"Rate-swap",AND(ISNUMBER(I577),ISNUMBER(J577),I577&gt;J577),"Implied",TRUE,""))</f>
        <v/>
      </c>
      <c r="AU577" s="421">
        <f>IF(AC577&lt;&gt;"",AC577,IF(AT577="Implied",-(I577-J577),IF(OR(AT577="Step-up",AT577="Rate-swap"),"see notes","")))</f>
        <v/>
      </c>
    </row>
    <row r="578" outlineLevel="1" s="923">
      <c r="X578">
        <f>IF(AND(E578&lt;&gt;"",E578&lt;&gt;"Vacant",E578&lt;&gt;"Reserved",C578&lt;&gt;"",D578&lt;&gt;""),C578&amp;"|"&amp;D578,"")</f>
        <v/>
      </c>
      <c r="Y578">
        <f>IF(AND(C578&lt;&gt;"",D578&lt;&gt;""),C578&amp;"|"&amp;D578,"")</f>
        <v/>
      </c>
      <c r="AA578" s="421">
        <f>IF(AND(J578&gt;0,I578&gt;0),I578-J578,"")</f>
        <v/>
      </c>
      <c r="AB578" s="479">
        <f>IF(AND(J578&gt;0,I578&gt;0),(I578-J578)/I578,"")</f>
        <v/>
      </c>
      <c r="AP578" s="1007">
        <f>SUM(AJ578:AN578)</f>
        <v/>
      </c>
      <c r="AT578">
        <f t="array" ref="AT578">IF(E578&lt;&gt;"Occupied","",_xlfn.IFS(AND(ISNUMBER(AC578),AC578&lt;&gt;0),"Structured",ISNUMBER(SEARCH("/mo con",T578)),"Notes-parsed",ISNUMBER(SEARCH("step",T578)),"Step-up",ISNUMBER(SEARCH("swap",T578)),"Rate-swap",AND(ISNUMBER(I578),ISNUMBER(J578),I578&gt;J578),"Implied",TRUE,""))</f>
        <v/>
      </c>
      <c r="AU578" s="421">
        <f>IF(AC578&lt;&gt;"",AC578,IF(AT578="Implied",-(I578-J578),IF(OR(AT578="Step-up",AT578="Rate-swap"),"see notes","")))</f>
        <v/>
      </c>
    </row>
    <row r="579" outlineLevel="1" s="923">
      <c r="X579">
        <f>IF(AND(E579&lt;&gt;"",E579&lt;&gt;"Vacant",E579&lt;&gt;"Reserved",C579&lt;&gt;"",D579&lt;&gt;""),C579&amp;"|"&amp;D579,"")</f>
        <v/>
      </c>
      <c r="Y579">
        <f>IF(AND(C579&lt;&gt;"",D579&lt;&gt;""),C579&amp;"|"&amp;D579,"")</f>
        <v/>
      </c>
      <c r="AA579" s="421">
        <f>IF(AND(J579&gt;0,I579&gt;0),I579-J579,"")</f>
        <v/>
      </c>
      <c r="AB579" s="479">
        <f>IF(AND(J579&gt;0,I579&gt;0),(I579-J579)/I579,"")</f>
        <v/>
      </c>
      <c r="AP579" s="1007">
        <f>SUM(AJ579:AN579)</f>
        <v/>
      </c>
      <c r="AT579">
        <f t="array" ref="AT579">IF(E579&lt;&gt;"Occupied","",_xlfn.IFS(AND(ISNUMBER(AC579),AC579&lt;&gt;0),"Structured",ISNUMBER(SEARCH("/mo con",T579)),"Notes-parsed",ISNUMBER(SEARCH("step",T579)),"Step-up",ISNUMBER(SEARCH("swap",T579)),"Rate-swap",AND(ISNUMBER(I579),ISNUMBER(J579),I579&gt;J579),"Implied",TRUE,""))</f>
        <v/>
      </c>
      <c r="AU579" s="421">
        <f>IF(AC579&lt;&gt;"",AC579,IF(AT579="Implied",-(I579-J579),IF(OR(AT579="Step-up",AT579="Rate-swap"),"see notes","")))</f>
        <v/>
      </c>
    </row>
    <row r="580" outlineLevel="1" s="923">
      <c r="X580">
        <f>IF(AND(E580&lt;&gt;"",E580&lt;&gt;"Vacant",E580&lt;&gt;"Reserved",C580&lt;&gt;"",D580&lt;&gt;""),C580&amp;"|"&amp;D580,"")</f>
        <v/>
      </c>
      <c r="Y580">
        <f>IF(AND(C580&lt;&gt;"",D580&lt;&gt;""),C580&amp;"|"&amp;D580,"")</f>
        <v/>
      </c>
      <c r="AA580" s="421">
        <f>IF(AND(J580&gt;0,I580&gt;0),I580-J580,"")</f>
        <v/>
      </c>
      <c r="AB580" s="479">
        <f>IF(AND(J580&gt;0,I580&gt;0),(I580-J580)/I580,"")</f>
        <v/>
      </c>
      <c r="AP580" s="1007">
        <f>SUM(AJ580:AN580)</f>
        <v/>
      </c>
      <c r="AT580">
        <f t="array" ref="AT580">IF(E580&lt;&gt;"Occupied","",_xlfn.IFS(AND(ISNUMBER(AC580),AC580&lt;&gt;0),"Structured",ISNUMBER(SEARCH("/mo con",T580)),"Notes-parsed",ISNUMBER(SEARCH("step",T580)),"Step-up",ISNUMBER(SEARCH("swap",T580)),"Rate-swap",AND(ISNUMBER(I580),ISNUMBER(J580),I580&gt;J580),"Implied",TRUE,""))</f>
        <v/>
      </c>
      <c r="AU580" s="421">
        <f>IF(AC580&lt;&gt;"",AC580,IF(AT580="Implied",-(I580-J580),IF(OR(AT580="Step-up",AT580="Rate-swap"),"see notes","")))</f>
        <v/>
      </c>
    </row>
    <row r="581" outlineLevel="1" s="923">
      <c r="X581">
        <f>IF(AND(E581&lt;&gt;"",E581&lt;&gt;"Vacant",E581&lt;&gt;"Reserved",C581&lt;&gt;"",D581&lt;&gt;""),C581&amp;"|"&amp;D581,"")</f>
        <v/>
      </c>
      <c r="Y581">
        <f>IF(AND(C581&lt;&gt;"",D581&lt;&gt;""),C581&amp;"|"&amp;D581,"")</f>
        <v/>
      </c>
      <c r="AA581" s="421">
        <f>IF(AND(J581&gt;0,I581&gt;0),I581-J581,"")</f>
        <v/>
      </c>
      <c r="AB581" s="479">
        <f>IF(AND(J581&gt;0,I581&gt;0),(I581-J581)/I581,"")</f>
        <v/>
      </c>
      <c r="AP581" s="1007">
        <f>SUM(AJ581:AN581)</f>
        <v/>
      </c>
      <c r="AT581">
        <f t="array" ref="AT581">IF(E581&lt;&gt;"Occupied","",_xlfn.IFS(AND(ISNUMBER(AC581),AC581&lt;&gt;0),"Structured",ISNUMBER(SEARCH("/mo con",T581)),"Notes-parsed",ISNUMBER(SEARCH("step",T581)),"Step-up",ISNUMBER(SEARCH("swap",T581)),"Rate-swap",AND(ISNUMBER(I581),ISNUMBER(J581),I581&gt;J581),"Implied",TRUE,""))</f>
        <v/>
      </c>
      <c r="AU581" s="421">
        <f>IF(AC581&lt;&gt;"",AC581,IF(AT581="Implied",-(I581-J581),IF(OR(AT581="Step-up",AT581="Rate-swap"),"see notes","")))</f>
        <v/>
      </c>
    </row>
    <row r="582" outlineLevel="1" s="923">
      <c r="X582">
        <f>IF(AND(E582&lt;&gt;"",E582&lt;&gt;"Vacant",E582&lt;&gt;"Reserved",C582&lt;&gt;"",D582&lt;&gt;""),C582&amp;"|"&amp;D582,"")</f>
        <v/>
      </c>
      <c r="Y582">
        <f>IF(AND(C582&lt;&gt;"",D582&lt;&gt;""),C582&amp;"|"&amp;D582,"")</f>
        <v/>
      </c>
      <c r="AA582" s="421">
        <f>IF(AND(J582&gt;0,I582&gt;0),I582-J582,"")</f>
        <v/>
      </c>
      <c r="AB582" s="479">
        <f>IF(AND(J582&gt;0,I582&gt;0),(I582-J582)/I582,"")</f>
        <v/>
      </c>
      <c r="AP582" s="1007">
        <f>SUM(AJ582:AN582)</f>
        <v/>
      </c>
      <c r="AT582">
        <f t="array" ref="AT582">IF(E582&lt;&gt;"Occupied","",_xlfn.IFS(AND(ISNUMBER(AC582),AC582&lt;&gt;0),"Structured",ISNUMBER(SEARCH("/mo con",T582)),"Notes-parsed",ISNUMBER(SEARCH("step",T582)),"Step-up",ISNUMBER(SEARCH("swap",T582)),"Rate-swap",AND(ISNUMBER(I582),ISNUMBER(J582),I582&gt;J582),"Implied",TRUE,""))</f>
        <v/>
      </c>
      <c r="AU582" s="421">
        <f>IF(AC582&lt;&gt;"",AC582,IF(AT582="Implied",-(I582-J582),IF(OR(AT582="Step-up",AT582="Rate-swap"),"see notes","")))</f>
        <v/>
      </c>
    </row>
    <row r="583" outlineLevel="1" s="923">
      <c r="X583">
        <f>IF(AND(E583&lt;&gt;"",E583&lt;&gt;"Vacant",E583&lt;&gt;"Reserved",C583&lt;&gt;"",D583&lt;&gt;""),C583&amp;"|"&amp;D583,"")</f>
        <v/>
      </c>
      <c r="Y583">
        <f>IF(AND(C583&lt;&gt;"",D583&lt;&gt;""),C583&amp;"|"&amp;D583,"")</f>
        <v/>
      </c>
      <c r="AA583" s="421">
        <f>IF(AND(J583&gt;0,I583&gt;0),I583-J583,"")</f>
        <v/>
      </c>
      <c r="AB583" s="479">
        <f>IF(AND(J583&gt;0,I583&gt;0),(I583-J583)/I583,"")</f>
        <v/>
      </c>
      <c r="AP583" s="1007">
        <f>SUM(AJ583:AN583)</f>
        <v/>
      </c>
      <c r="AT583">
        <f t="array" ref="AT583">IF(E583&lt;&gt;"Occupied","",_xlfn.IFS(AND(ISNUMBER(AC583),AC583&lt;&gt;0),"Structured",ISNUMBER(SEARCH("/mo con",T583)),"Notes-parsed",ISNUMBER(SEARCH("step",T583)),"Step-up",ISNUMBER(SEARCH("swap",T583)),"Rate-swap",AND(ISNUMBER(I583),ISNUMBER(J583),I583&gt;J583),"Implied",TRUE,""))</f>
        <v/>
      </c>
      <c r="AU583" s="421">
        <f>IF(AC583&lt;&gt;"",AC583,IF(AT583="Implied",-(I583-J583),IF(OR(AT583="Step-up",AT583="Rate-swap"),"see notes","")))</f>
        <v/>
      </c>
    </row>
    <row r="584" outlineLevel="1" s="923">
      <c r="X584">
        <f>IF(AND(E584&lt;&gt;"",E584&lt;&gt;"Vacant",E584&lt;&gt;"Reserved",C584&lt;&gt;"",D584&lt;&gt;""),C584&amp;"|"&amp;D584,"")</f>
        <v/>
      </c>
      <c r="Y584">
        <f>IF(AND(C584&lt;&gt;"",D584&lt;&gt;""),C584&amp;"|"&amp;D584,"")</f>
        <v/>
      </c>
      <c r="AA584" s="421">
        <f>IF(AND(J584&gt;0,I584&gt;0),I584-J584,"")</f>
        <v/>
      </c>
      <c r="AB584" s="479">
        <f>IF(AND(J584&gt;0,I584&gt;0),(I584-J584)/I584,"")</f>
        <v/>
      </c>
      <c r="AP584" s="1007">
        <f>SUM(AJ584:AN584)</f>
        <v/>
      </c>
      <c r="AT584">
        <f t="array" ref="AT584">IF(E584&lt;&gt;"Occupied","",_xlfn.IFS(AND(ISNUMBER(AC584),AC584&lt;&gt;0),"Structured",ISNUMBER(SEARCH("/mo con",T584)),"Notes-parsed",ISNUMBER(SEARCH("step",T584)),"Step-up",ISNUMBER(SEARCH("swap",T584)),"Rate-swap",AND(ISNUMBER(I584),ISNUMBER(J584),I584&gt;J584),"Implied",TRUE,""))</f>
        <v/>
      </c>
      <c r="AU584" s="421">
        <f>IF(AC584&lt;&gt;"",AC584,IF(AT584="Implied",-(I584-J584),IF(OR(AT584="Step-up",AT584="Rate-swap"),"see notes","")))</f>
        <v/>
      </c>
    </row>
    <row r="585" outlineLevel="1" s="923">
      <c r="X585">
        <f>IF(AND(E585&lt;&gt;"",E585&lt;&gt;"Vacant",E585&lt;&gt;"Reserved",C585&lt;&gt;"",D585&lt;&gt;""),C585&amp;"|"&amp;D585,"")</f>
        <v/>
      </c>
      <c r="Y585">
        <f>IF(AND(C585&lt;&gt;"",D585&lt;&gt;""),C585&amp;"|"&amp;D585,"")</f>
        <v/>
      </c>
      <c r="AA585" s="421">
        <f>IF(AND(J585&gt;0,I585&gt;0),I585-J585,"")</f>
        <v/>
      </c>
      <c r="AB585" s="479">
        <f>IF(AND(J585&gt;0,I585&gt;0),(I585-J585)/I585,"")</f>
        <v/>
      </c>
      <c r="AP585" s="1007">
        <f>SUM(AJ585:AN585)</f>
        <v/>
      </c>
      <c r="AT585">
        <f t="array" ref="AT585">IF(E585&lt;&gt;"Occupied","",_xlfn.IFS(AND(ISNUMBER(AC585),AC585&lt;&gt;0),"Structured",ISNUMBER(SEARCH("/mo con",T585)),"Notes-parsed",ISNUMBER(SEARCH("step",T585)),"Step-up",ISNUMBER(SEARCH("swap",T585)),"Rate-swap",AND(ISNUMBER(I585),ISNUMBER(J585),I585&gt;J585),"Implied",TRUE,""))</f>
        <v/>
      </c>
      <c r="AU585" s="421">
        <f>IF(AC585&lt;&gt;"",AC585,IF(AT585="Implied",-(I585-J585),IF(OR(AT585="Step-up",AT585="Rate-swap"),"see notes","")))</f>
        <v/>
      </c>
    </row>
    <row r="586" outlineLevel="1" s="923">
      <c r="X586">
        <f>IF(AND(E586&lt;&gt;"",E586&lt;&gt;"Vacant",E586&lt;&gt;"Reserved",C586&lt;&gt;"",D586&lt;&gt;""),C586&amp;"|"&amp;D586,"")</f>
        <v/>
      </c>
      <c r="Y586">
        <f>IF(AND(C586&lt;&gt;"",D586&lt;&gt;""),C586&amp;"|"&amp;D586,"")</f>
        <v/>
      </c>
      <c r="AA586" s="421">
        <f>IF(AND(J586&gt;0,I586&gt;0),I586-J586,"")</f>
        <v/>
      </c>
      <c r="AB586" s="479">
        <f>IF(AND(J586&gt;0,I586&gt;0),(I586-J586)/I586,"")</f>
        <v/>
      </c>
      <c r="AP586" s="1007">
        <f>SUM(AJ586:AN586)</f>
        <v/>
      </c>
      <c r="AT586">
        <f t="array" ref="AT586">IF(E586&lt;&gt;"Occupied","",_xlfn.IFS(AND(ISNUMBER(AC586),AC586&lt;&gt;0),"Structured",ISNUMBER(SEARCH("/mo con",T586)),"Notes-parsed",ISNUMBER(SEARCH("step",T586)),"Step-up",ISNUMBER(SEARCH("swap",T586)),"Rate-swap",AND(ISNUMBER(I586),ISNUMBER(J586),I586&gt;J586),"Implied",TRUE,""))</f>
        <v/>
      </c>
      <c r="AU586" s="421">
        <f>IF(AC586&lt;&gt;"",AC586,IF(AT586="Implied",-(I586-J586),IF(OR(AT586="Step-up",AT586="Rate-swap"),"see notes","")))</f>
        <v/>
      </c>
    </row>
    <row r="587" outlineLevel="1" s="923">
      <c r="X587">
        <f>IF(AND(E587&lt;&gt;"",E587&lt;&gt;"Vacant",E587&lt;&gt;"Reserved",C587&lt;&gt;"",D587&lt;&gt;""),C587&amp;"|"&amp;D587,"")</f>
        <v/>
      </c>
      <c r="Y587">
        <f>IF(AND(C587&lt;&gt;"",D587&lt;&gt;""),C587&amp;"|"&amp;D587,"")</f>
        <v/>
      </c>
      <c r="AA587" s="421">
        <f>IF(AND(J587&gt;0,I587&gt;0),I587-J587,"")</f>
        <v/>
      </c>
      <c r="AB587" s="479">
        <f>IF(AND(J587&gt;0,I587&gt;0),(I587-J587)/I587,"")</f>
        <v/>
      </c>
      <c r="AP587" s="1007">
        <f>SUM(AJ587:AN587)</f>
        <v/>
      </c>
      <c r="AT587">
        <f t="array" ref="AT587">IF(E587&lt;&gt;"Occupied","",_xlfn.IFS(AND(ISNUMBER(AC587),AC587&lt;&gt;0),"Structured",ISNUMBER(SEARCH("/mo con",T587)),"Notes-parsed",ISNUMBER(SEARCH("step",T587)),"Step-up",ISNUMBER(SEARCH("swap",T587)),"Rate-swap",AND(ISNUMBER(I587),ISNUMBER(J587),I587&gt;J587),"Implied",TRUE,""))</f>
        <v/>
      </c>
      <c r="AU587" s="421">
        <f>IF(AC587&lt;&gt;"",AC587,IF(AT587="Implied",-(I587-J587),IF(OR(AT587="Step-up",AT587="Rate-swap"),"see notes","")))</f>
        <v/>
      </c>
    </row>
    <row r="588" outlineLevel="1" s="923">
      <c r="X588">
        <f>IF(AND(E588&lt;&gt;"",E588&lt;&gt;"Vacant",E588&lt;&gt;"Reserved",C588&lt;&gt;"",D588&lt;&gt;""),C588&amp;"|"&amp;D588,"")</f>
        <v/>
      </c>
      <c r="Y588">
        <f>IF(AND(C588&lt;&gt;"",D588&lt;&gt;""),C588&amp;"|"&amp;D588,"")</f>
        <v/>
      </c>
      <c r="AA588" s="421">
        <f>IF(AND(J588&gt;0,I588&gt;0),I588-J588,"")</f>
        <v/>
      </c>
      <c r="AB588" s="479">
        <f>IF(AND(J588&gt;0,I588&gt;0),(I588-J588)/I588,"")</f>
        <v/>
      </c>
      <c r="AP588" s="1007">
        <f>SUM(AJ588:AN588)</f>
        <v/>
      </c>
      <c r="AT588">
        <f t="array" ref="AT588">IF(E588&lt;&gt;"Occupied","",_xlfn.IFS(AND(ISNUMBER(AC588),AC588&lt;&gt;0),"Structured",ISNUMBER(SEARCH("/mo con",T588)),"Notes-parsed",ISNUMBER(SEARCH("step",T588)),"Step-up",ISNUMBER(SEARCH("swap",T588)),"Rate-swap",AND(ISNUMBER(I588),ISNUMBER(J588),I588&gt;J588),"Implied",TRUE,""))</f>
        <v/>
      </c>
      <c r="AU588" s="421">
        <f>IF(AC588&lt;&gt;"",AC588,IF(AT588="Implied",-(I588-J588),IF(OR(AT588="Step-up",AT588="Rate-swap"),"see notes","")))</f>
        <v/>
      </c>
    </row>
    <row r="589" outlineLevel="1" s="923">
      <c r="X589">
        <f>IF(AND(E589&lt;&gt;"",E589&lt;&gt;"Vacant",E589&lt;&gt;"Reserved",C589&lt;&gt;"",D589&lt;&gt;""),C589&amp;"|"&amp;D589,"")</f>
        <v/>
      </c>
      <c r="Y589">
        <f>IF(AND(C589&lt;&gt;"",D589&lt;&gt;""),C589&amp;"|"&amp;D589,"")</f>
        <v/>
      </c>
      <c r="AA589" s="421">
        <f>IF(AND(J589&gt;0,I589&gt;0),I589-J589,"")</f>
        <v/>
      </c>
      <c r="AB589" s="479">
        <f>IF(AND(J589&gt;0,I589&gt;0),(I589-J589)/I589,"")</f>
        <v/>
      </c>
      <c r="AP589" s="1007">
        <f>SUM(AJ589:AN589)</f>
        <v/>
      </c>
      <c r="AT589">
        <f t="array" ref="AT589">IF(E589&lt;&gt;"Occupied","",_xlfn.IFS(AND(ISNUMBER(AC589),AC589&lt;&gt;0),"Structured",ISNUMBER(SEARCH("/mo con",T589)),"Notes-parsed",ISNUMBER(SEARCH("step",T589)),"Step-up",ISNUMBER(SEARCH("swap",T589)),"Rate-swap",AND(ISNUMBER(I589),ISNUMBER(J589),I589&gt;J589),"Implied",TRUE,""))</f>
        <v/>
      </c>
      <c r="AU589" s="421">
        <f>IF(AC589&lt;&gt;"",AC589,IF(AT589="Implied",-(I589-J589),IF(OR(AT589="Step-up",AT589="Rate-swap"),"see notes","")))</f>
        <v/>
      </c>
    </row>
    <row r="590" outlineLevel="1" s="923">
      <c r="X590">
        <f>IF(AND(E590&lt;&gt;"",E590&lt;&gt;"Vacant",E590&lt;&gt;"Reserved",C590&lt;&gt;"",D590&lt;&gt;""),C590&amp;"|"&amp;D590,"")</f>
        <v/>
      </c>
      <c r="Y590">
        <f>IF(AND(C590&lt;&gt;"",D590&lt;&gt;""),C590&amp;"|"&amp;D590,"")</f>
        <v/>
      </c>
      <c r="AA590" s="421">
        <f>IF(AND(J590&gt;0,I590&gt;0),I590-J590,"")</f>
        <v/>
      </c>
      <c r="AB590" s="479">
        <f>IF(AND(J590&gt;0,I590&gt;0),(I590-J590)/I590,"")</f>
        <v/>
      </c>
      <c r="AP590" s="1007">
        <f>SUM(AJ590:AN590)</f>
        <v/>
      </c>
      <c r="AT590">
        <f t="array" ref="AT590">IF(E590&lt;&gt;"Occupied","",_xlfn.IFS(AND(ISNUMBER(AC590),AC590&lt;&gt;0),"Structured",ISNUMBER(SEARCH("/mo con",T590)),"Notes-parsed",ISNUMBER(SEARCH("step",T590)),"Step-up",ISNUMBER(SEARCH("swap",T590)),"Rate-swap",AND(ISNUMBER(I590),ISNUMBER(J590),I590&gt;J590),"Implied",TRUE,""))</f>
        <v/>
      </c>
      <c r="AU590" s="421">
        <f>IF(AC590&lt;&gt;"",AC590,IF(AT590="Implied",-(I590-J590),IF(OR(AT590="Step-up",AT590="Rate-swap"),"see notes","")))</f>
        <v/>
      </c>
    </row>
    <row r="591" outlineLevel="1" s="923">
      <c r="X591">
        <f>IF(AND(E591&lt;&gt;"",E591&lt;&gt;"Vacant",E591&lt;&gt;"Reserved",C591&lt;&gt;"",D591&lt;&gt;""),C591&amp;"|"&amp;D591,"")</f>
        <v/>
      </c>
      <c r="Y591">
        <f>IF(AND(C591&lt;&gt;"",D591&lt;&gt;""),C591&amp;"|"&amp;D591,"")</f>
        <v/>
      </c>
      <c r="AA591" s="421">
        <f>IF(AND(J591&gt;0,I591&gt;0),I591-J591,"")</f>
        <v/>
      </c>
      <c r="AB591" s="479">
        <f>IF(AND(J591&gt;0,I591&gt;0),(I591-J591)/I591,"")</f>
        <v/>
      </c>
      <c r="AP591" s="1007">
        <f>SUM(AJ591:AN591)</f>
        <v/>
      </c>
      <c r="AT591">
        <f t="array" ref="AT591">IF(E591&lt;&gt;"Occupied","",_xlfn.IFS(AND(ISNUMBER(AC591),AC591&lt;&gt;0),"Structured",ISNUMBER(SEARCH("/mo con",T591)),"Notes-parsed",ISNUMBER(SEARCH("step",T591)),"Step-up",ISNUMBER(SEARCH("swap",T591)),"Rate-swap",AND(ISNUMBER(I591),ISNUMBER(J591),I591&gt;J591),"Implied",TRUE,""))</f>
        <v/>
      </c>
      <c r="AU591" s="421">
        <f>IF(AC591&lt;&gt;"",AC591,IF(AT591="Implied",-(I591-J591),IF(OR(AT591="Step-up",AT591="Rate-swap"),"see notes","")))</f>
        <v/>
      </c>
    </row>
    <row r="592" outlineLevel="1" s="923">
      <c r="X592">
        <f>IF(AND(E592&lt;&gt;"",E592&lt;&gt;"Vacant",E592&lt;&gt;"Reserved",C592&lt;&gt;"",D592&lt;&gt;""),C592&amp;"|"&amp;D592,"")</f>
        <v/>
      </c>
      <c r="Y592">
        <f>IF(AND(C592&lt;&gt;"",D592&lt;&gt;""),C592&amp;"|"&amp;D592,"")</f>
        <v/>
      </c>
      <c r="AA592" s="421">
        <f>IF(AND(J592&gt;0,I592&gt;0),I592-J592,"")</f>
        <v/>
      </c>
      <c r="AB592" s="479">
        <f>IF(AND(J592&gt;0,I592&gt;0),(I592-J592)/I592,"")</f>
        <v/>
      </c>
      <c r="AP592" s="1007">
        <f>SUM(AJ592:AN592)</f>
        <v/>
      </c>
      <c r="AT592">
        <f t="array" ref="AT592">IF(E592&lt;&gt;"Occupied","",_xlfn.IFS(AND(ISNUMBER(AC592),AC592&lt;&gt;0),"Structured",ISNUMBER(SEARCH("/mo con",T592)),"Notes-parsed",ISNUMBER(SEARCH("step",T592)),"Step-up",ISNUMBER(SEARCH("swap",T592)),"Rate-swap",AND(ISNUMBER(I592),ISNUMBER(J592),I592&gt;J592),"Implied",TRUE,""))</f>
        <v/>
      </c>
      <c r="AU592" s="421">
        <f>IF(AC592&lt;&gt;"",AC592,IF(AT592="Implied",-(I592-J592),IF(OR(AT592="Step-up",AT592="Rate-swap"),"see notes","")))</f>
        <v/>
      </c>
    </row>
    <row r="593" outlineLevel="1" s="923">
      <c r="X593">
        <f>IF(AND(E593&lt;&gt;"",E593&lt;&gt;"Vacant",E593&lt;&gt;"Reserved",C593&lt;&gt;"",D593&lt;&gt;""),C593&amp;"|"&amp;D593,"")</f>
        <v/>
      </c>
      <c r="Y593">
        <f>IF(AND(C593&lt;&gt;"",D593&lt;&gt;""),C593&amp;"|"&amp;D593,"")</f>
        <v/>
      </c>
      <c r="AA593" s="421">
        <f>IF(AND(J593&gt;0,I593&gt;0),I593-J593,"")</f>
        <v/>
      </c>
      <c r="AB593" s="479">
        <f>IF(AND(J593&gt;0,I593&gt;0),(I593-J593)/I593,"")</f>
        <v/>
      </c>
      <c r="AP593" s="1007">
        <f>SUM(AJ593:AN593)</f>
        <v/>
      </c>
      <c r="AT593">
        <f t="array" ref="AT593">IF(E593&lt;&gt;"Occupied","",_xlfn.IFS(AND(ISNUMBER(AC593),AC593&lt;&gt;0),"Structured",ISNUMBER(SEARCH("/mo con",T593)),"Notes-parsed",ISNUMBER(SEARCH("step",T593)),"Step-up",ISNUMBER(SEARCH("swap",T593)),"Rate-swap",AND(ISNUMBER(I593),ISNUMBER(J593),I593&gt;J593),"Implied",TRUE,""))</f>
        <v/>
      </c>
      <c r="AU593" s="421">
        <f>IF(AC593&lt;&gt;"",AC593,IF(AT593="Implied",-(I593-J593),IF(OR(AT593="Step-up",AT593="Rate-swap"),"see notes","")))</f>
        <v/>
      </c>
    </row>
    <row r="594" outlineLevel="1" s="923">
      <c r="X594">
        <f>IF(AND(E594&lt;&gt;"",E594&lt;&gt;"Vacant",E594&lt;&gt;"Reserved",C594&lt;&gt;"",D594&lt;&gt;""),C594&amp;"|"&amp;D594,"")</f>
        <v/>
      </c>
      <c r="Y594">
        <f>IF(AND(C594&lt;&gt;"",D594&lt;&gt;""),C594&amp;"|"&amp;D594,"")</f>
        <v/>
      </c>
      <c r="AA594" s="421">
        <f>IF(AND(J594&gt;0,I594&gt;0),I594-J594,"")</f>
        <v/>
      </c>
      <c r="AB594" s="479">
        <f>IF(AND(J594&gt;0,I594&gt;0),(I594-J594)/I594,"")</f>
        <v/>
      </c>
      <c r="AP594" s="1007">
        <f>SUM(AJ594:AN594)</f>
        <v/>
      </c>
      <c r="AT594">
        <f t="array" ref="AT594">IF(E594&lt;&gt;"Occupied","",_xlfn.IFS(AND(ISNUMBER(AC594),AC594&lt;&gt;0),"Structured",ISNUMBER(SEARCH("/mo con",T594)),"Notes-parsed",ISNUMBER(SEARCH("step",T594)),"Step-up",ISNUMBER(SEARCH("swap",T594)),"Rate-swap",AND(ISNUMBER(I594),ISNUMBER(J594),I594&gt;J594),"Implied",TRUE,""))</f>
        <v/>
      </c>
      <c r="AU594" s="421">
        <f>IF(AC594&lt;&gt;"",AC594,IF(AT594="Implied",-(I594-J594),IF(OR(AT594="Step-up",AT594="Rate-swap"),"see notes","")))</f>
        <v/>
      </c>
    </row>
    <row r="595" outlineLevel="1" s="923">
      <c r="X595">
        <f>IF(AND(E595&lt;&gt;"",E595&lt;&gt;"Vacant",E595&lt;&gt;"Reserved",C595&lt;&gt;"",D595&lt;&gt;""),C595&amp;"|"&amp;D595,"")</f>
        <v/>
      </c>
      <c r="Y595">
        <f>IF(AND(C595&lt;&gt;"",D595&lt;&gt;""),C595&amp;"|"&amp;D595,"")</f>
        <v/>
      </c>
      <c r="AA595" s="421">
        <f>IF(AND(J595&gt;0,I595&gt;0),I595-J595,"")</f>
        <v/>
      </c>
      <c r="AB595" s="479">
        <f>IF(AND(J595&gt;0,I595&gt;0),(I595-J595)/I595,"")</f>
        <v/>
      </c>
      <c r="AP595" s="1007">
        <f>SUM(AJ595:AN595)</f>
        <v/>
      </c>
      <c r="AT595">
        <f t="array" ref="AT595">IF(E595&lt;&gt;"Occupied","",_xlfn.IFS(AND(ISNUMBER(AC595),AC595&lt;&gt;0),"Structured",ISNUMBER(SEARCH("/mo con",T595)),"Notes-parsed",ISNUMBER(SEARCH("step",T595)),"Step-up",ISNUMBER(SEARCH("swap",T595)),"Rate-swap",AND(ISNUMBER(I595),ISNUMBER(J595),I595&gt;J595),"Implied",TRUE,""))</f>
        <v/>
      </c>
      <c r="AU595" s="421">
        <f>IF(AC595&lt;&gt;"",AC595,IF(AT595="Implied",-(I595-J595),IF(OR(AT595="Step-up",AT595="Rate-swap"),"see notes","")))</f>
        <v/>
      </c>
    </row>
    <row r="596" outlineLevel="1" s="923">
      <c r="X596">
        <f>IF(AND(E596&lt;&gt;"",E596&lt;&gt;"Vacant",E596&lt;&gt;"Reserved",C596&lt;&gt;"",D596&lt;&gt;""),C596&amp;"|"&amp;D596,"")</f>
        <v/>
      </c>
      <c r="Y596">
        <f>IF(AND(C596&lt;&gt;"",D596&lt;&gt;""),C596&amp;"|"&amp;D596,"")</f>
        <v/>
      </c>
      <c r="AA596" s="421">
        <f>IF(AND(J596&gt;0,I596&gt;0),I596-J596,"")</f>
        <v/>
      </c>
      <c r="AB596" s="479">
        <f>IF(AND(J596&gt;0,I596&gt;0),(I596-J596)/I596,"")</f>
        <v/>
      </c>
      <c r="AP596" s="1007">
        <f>SUM(AJ596:AN596)</f>
        <v/>
      </c>
      <c r="AT596">
        <f t="array" ref="AT596">IF(E596&lt;&gt;"Occupied","",_xlfn.IFS(AND(ISNUMBER(AC596),AC596&lt;&gt;0),"Structured",ISNUMBER(SEARCH("/mo con",T596)),"Notes-parsed",ISNUMBER(SEARCH("step",T596)),"Step-up",ISNUMBER(SEARCH("swap",T596)),"Rate-swap",AND(ISNUMBER(I596),ISNUMBER(J596),I596&gt;J596),"Implied",TRUE,""))</f>
        <v/>
      </c>
      <c r="AU596" s="421">
        <f>IF(AC596&lt;&gt;"",AC596,IF(AT596="Implied",-(I596-J596),IF(OR(AT596="Step-up",AT596="Rate-swap"),"see notes","")))</f>
        <v/>
      </c>
    </row>
    <row r="597" outlineLevel="1" s="923">
      <c r="X597">
        <f>IF(AND(E597&lt;&gt;"",E597&lt;&gt;"Vacant",E597&lt;&gt;"Reserved",C597&lt;&gt;"",D597&lt;&gt;""),C597&amp;"|"&amp;D597,"")</f>
        <v/>
      </c>
      <c r="Y597">
        <f>IF(AND(C597&lt;&gt;"",D597&lt;&gt;""),C597&amp;"|"&amp;D597,"")</f>
        <v/>
      </c>
      <c r="AA597" s="421">
        <f>IF(AND(J597&gt;0,I597&gt;0),I597-J597,"")</f>
        <v/>
      </c>
      <c r="AB597" s="479">
        <f>IF(AND(J597&gt;0,I597&gt;0),(I597-J597)/I597,"")</f>
        <v/>
      </c>
      <c r="AP597" s="1007">
        <f>SUM(AJ597:AN597)</f>
        <v/>
      </c>
      <c r="AT597">
        <f t="array" ref="AT597">IF(E597&lt;&gt;"Occupied","",_xlfn.IFS(AND(ISNUMBER(AC597),AC597&lt;&gt;0),"Structured",ISNUMBER(SEARCH("/mo con",T597)),"Notes-parsed",ISNUMBER(SEARCH("step",T597)),"Step-up",ISNUMBER(SEARCH("swap",T597)),"Rate-swap",AND(ISNUMBER(I597),ISNUMBER(J597),I597&gt;J597),"Implied",TRUE,""))</f>
        <v/>
      </c>
      <c r="AU597" s="421">
        <f>IF(AC597&lt;&gt;"",AC597,IF(AT597="Implied",-(I597-J597),IF(OR(AT597="Step-up",AT597="Rate-swap"),"see notes","")))</f>
        <v/>
      </c>
    </row>
    <row r="598" outlineLevel="1" s="923">
      <c r="X598">
        <f>IF(AND(E598&lt;&gt;"",E598&lt;&gt;"Vacant",E598&lt;&gt;"Reserved",C598&lt;&gt;"",D598&lt;&gt;""),C598&amp;"|"&amp;D598,"")</f>
        <v/>
      </c>
      <c r="Y598">
        <f>IF(AND(C598&lt;&gt;"",D598&lt;&gt;""),C598&amp;"|"&amp;D598,"")</f>
        <v/>
      </c>
      <c r="AA598" s="421">
        <f>IF(AND(J598&gt;0,I598&gt;0),I598-J598,"")</f>
        <v/>
      </c>
      <c r="AB598" s="479">
        <f>IF(AND(J598&gt;0,I598&gt;0),(I598-J598)/I598,"")</f>
        <v/>
      </c>
      <c r="AP598" s="1007">
        <f>SUM(AJ598:AN598)</f>
        <v/>
      </c>
      <c r="AT598">
        <f t="array" ref="AT598">IF(E598&lt;&gt;"Occupied","",_xlfn.IFS(AND(ISNUMBER(AC598),AC598&lt;&gt;0),"Structured",ISNUMBER(SEARCH("/mo con",T598)),"Notes-parsed",ISNUMBER(SEARCH("step",T598)),"Step-up",ISNUMBER(SEARCH("swap",T598)),"Rate-swap",AND(ISNUMBER(I598),ISNUMBER(J598),I598&gt;J598),"Implied",TRUE,""))</f>
        <v/>
      </c>
      <c r="AU598" s="421">
        <f>IF(AC598&lt;&gt;"",AC598,IF(AT598="Implied",-(I598-J598),IF(OR(AT598="Step-up",AT598="Rate-swap"),"see notes","")))</f>
        <v/>
      </c>
    </row>
    <row r="599" outlineLevel="1" s="923">
      <c r="X599">
        <f>IF(AND(E599&lt;&gt;"",E599&lt;&gt;"Vacant",E599&lt;&gt;"Reserved",C599&lt;&gt;"",D599&lt;&gt;""),C599&amp;"|"&amp;D599,"")</f>
        <v/>
      </c>
      <c r="Y599">
        <f>IF(AND(C599&lt;&gt;"",D599&lt;&gt;""),C599&amp;"|"&amp;D599,"")</f>
        <v/>
      </c>
      <c r="AA599" s="421">
        <f>IF(AND(J599&gt;0,I599&gt;0),I599-J599,"")</f>
        <v/>
      </c>
      <c r="AB599" s="479">
        <f>IF(AND(J599&gt;0,I599&gt;0),(I599-J599)/I599,"")</f>
        <v/>
      </c>
      <c r="AP599" s="1007">
        <f>SUM(AJ599:AN599)</f>
        <v/>
      </c>
      <c r="AT599">
        <f t="array" ref="AT599">IF(E599&lt;&gt;"Occupied","",_xlfn.IFS(AND(ISNUMBER(AC599),AC599&lt;&gt;0),"Structured",ISNUMBER(SEARCH("/mo con",T599)),"Notes-parsed",ISNUMBER(SEARCH("step",T599)),"Step-up",ISNUMBER(SEARCH("swap",T599)),"Rate-swap",AND(ISNUMBER(I599),ISNUMBER(J599),I599&gt;J599),"Implied",TRUE,""))</f>
        <v/>
      </c>
      <c r="AU599" s="421">
        <f>IF(AC599&lt;&gt;"",AC599,IF(AT599="Implied",-(I599-J599),IF(OR(AT599="Step-up",AT599="Rate-swap"),"see notes","")))</f>
        <v/>
      </c>
    </row>
    <row r="600" outlineLevel="1" s="923">
      <c r="X600">
        <f>IF(AND(E600&lt;&gt;"",E600&lt;&gt;"Vacant",E600&lt;&gt;"Reserved",C600&lt;&gt;"",D600&lt;&gt;""),C600&amp;"|"&amp;D600,"")</f>
        <v/>
      </c>
      <c r="Y600">
        <f>IF(AND(C600&lt;&gt;"",D600&lt;&gt;""),C600&amp;"|"&amp;D600,"")</f>
        <v/>
      </c>
      <c r="AA600" s="421">
        <f>IF(AND(J600&gt;0,I600&gt;0),I600-J600,"")</f>
        <v/>
      </c>
      <c r="AB600" s="479">
        <f>IF(AND(J600&gt;0,I600&gt;0),(I600-J600)/I600,"")</f>
        <v/>
      </c>
      <c r="AP600" s="1007">
        <f>SUM(AJ600:AN600)</f>
        <v/>
      </c>
      <c r="AT600">
        <f t="array" ref="AT600">IF(E600&lt;&gt;"Occupied","",_xlfn.IFS(AND(ISNUMBER(AC600),AC600&lt;&gt;0),"Structured",ISNUMBER(SEARCH("/mo con",T600)),"Notes-parsed",ISNUMBER(SEARCH("step",T600)),"Step-up",ISNUMBER(SEARCH("swap",T600)),"Rate-swap",AND(ISNUMBER(I600),ISNUMBER(J600),I600&gt;J600),"Implied",TRUE,""))</f>
        <v/>
      </c>
      <c r="AU600" s="421">
        <f>IF(AC600&lt;&gt;"",AC600,IF(AT600="Implied",-(I600-J600),IF(OR(AT600="Step-up",AT600="Rate-swap"),"see notes","")))</f>
        <v/>
      </c>
    </row>
    <row r="601" outlineLevel="1" s="923">
      <c r="X601">
        <f>IF(AND(E601&lt;&gt;"",E601&lt;&gt;"Vacant",E601&lt;&gt;"Reserved",C601&lt;&gt;"",D601&lt;&gt;""),C601&amp;"|"&amp;D601,"")</f>
        <v/>
      </c>
      <c r="Y601">
        <f>IF(AND(C601&lt;&gt;"",D601&lt;&gt;""),C601&amp;"|"&amp;D601,"")</f>
        <v/>
      </c>
      <c r="AA601" s="421">
        <f>IF(AND(J601&gt;0,I601&gt;0),I601-J601,"")</f>
        <v/>
      </c>
      <c r="AB601" s="479">
        <f>IF(AND(J601&gt;0,I601&gt;0),(I601-J601)/I601,"")</f>
        <v/>
      </c>
      <c r="AP601" s="1007">
        <f>SUM(AJ601:AN601)</f>
        <v/>
      </c>
      <c r="AT601">
        <f t="array" ref="AT601">IF(E601&lt;&gt;"Occupied","",_xlfn.IFS(AND(ISNUMBER(AC601),AC601&lt;&gt;0),"Structured",ISNUMBER(SEARCH("/mo con",T601)),"Notes-parsed",ISNUMBER(SEARCH("step",T601)),"Step-up",ISNUMBER(SEARCH("swap",T601)),"Rate-swap",AND(ISNUMBER(I601),ISNUMBER(J601),I601&gt;J601),"Implied",TRUE,""))</f>
        <v/>
      </c>
      <c r="AU601" s="421">
        <f>IF(AC601&lt;&gt;"",AC601,IF(AT601="Implied",-(I601-J601),IF(OR(AT601="Step-up",AT601="Rate-swap"),"see notes","")))</f>
        <v/>
      </c>
    </row>
    <row r="602" outlineLevel="1" s="923">
      <c r="X602">
        <f>IF(AND(E602&lt;&gt;"",E602&lt;&gt;"Vacant",E602&lt;&gt;"Reserved",C602&lt;&gt;"",D602&lt;&gt;""),C602&amp;"|"&amp;D602,"")</f>
        <v/>
      </c>
      <c r="Y602">
        <f>IF(AND(C602&lt;&gt;"",D602&lt;&gt;""),C602&amp;"|"&amp;D602,"")</f>
        <v/>
      </c>
      <c r="AA602" s="421">
        <f>IF(AND(J602&gt;0,I602&gt;0),I602-J602,"")</f>
        <v/>
      </c>
      <c r="AB602" s="479">
        <f>IF(AND(J602&gt;0,I602&gt;0),(I602-J602)/I602,"")</f>
        <v/>
      </c>
      <c r="AP602" s="1007">
        <f>SUM(AJ602:AN602)</f>
        <v/>
      </c>
      <c r="AT602">
        <f t="array" ref="AT602">IF(E602&lt;&gt;"Occupied","",_xlfn.IFS(AND(ISNUMBER(AC602),AC602&lt;&gt;0),"Structured",ISNUMBER(SEARCH("/mo con",T602)),"Notes-parsed",ISNUMBER(SEARCH("step",T602)),"Step-up",ISNUMBER(SEARCH("swap",T602)),"Rate-swap",AND(ISNUMBER(I602),ISNUMBER(J602),I602&gt;J602),"Implied",TRUE,""))</f>
        <v/>
      </c>
      <c r="AU602" s="421">
        <f>IF(AC602&lt;&gt;"",AC602,IF(AT602="Implied",-(I602-J602),IF(OR(AT602="Step-up",AT602="Rate-swap"),"see notes","")))</f>
        <v/>
      </c>
    </row>
    <row r="603" outlineLevel="1" s="923">
      <c r="X603">
        <f>IF(AND(E603&lt;&gt;"",E603&lt;&gt;"Vacant",E603&lt;&gt;"Reserved",C603&lt;&gt;"",D603&lt;&gt;""),C603&amp;"|"&amp;D603,"")</f>
        <v/>
      </c>
      <c r="Y603">
        <f>IF(AND(C603&lt;&gt;"",D603&lt;&gt;""),C603&amp;"|"&amp;D603,"")</f>
        <v/>
      </c>
      <c r="AA603" s="421">
        <f>IF(AND(J603&gt;0,I603&gt;0),I603-J603,"")</f>
        <v/>
      </c>
      <c r="AB603" s="479">
        <f>IF(AND(J603&gt;0,I603&gt;0),(I603-J603)/I603,"")</f>
        <v/>
      </c>
      <c r="AP603" s="1007">
        <f>SUM(AJ603:AN603)</f>
        <v/>
      </c>
      <c r="AT603">
        <f t="array" ref="AT603">IF(E603&lt;&gt;"Occupied","",_xlfn.IFS(AND(ISNUMBER(AC603),AC603&lt;&gt;0),"Structured",ISNUMBER(SEARCH("/mo con",T603)),"Notes-parsed",ISNUMBER(SEARCH("step",T603)),"Step-up",ISNUMBER(SEARCH("swap",T603)),"Rate-swap",AND(ISNUMBER(I603),ISNUMBER(J603),I603&gt;J603),"Implied",TRUE,""))</f>
        <v/>
      </c>
      <c r="AU603" s="421">
        <f>IF(AC603&lt;&gt;"",AC603,IF(AT603="Implied",-(I603-J603),IF(OR(AT603="Step-up",AT603="Rate-swap"),"see notes","")))</f>
        <v/>
      </c>
    </row>
    <row r="604" outlineLevel="1" s="923">
      <c r="X604">
        <f>IF(AND(E604&lt;&gt;"",E604&lt;&gt;"Vacant",E604&lt;&gt;"Reserved",C604&lt;&gt;"",D604&lt;&gt;""),C604&amp;"|"&amp;D604,"")</f>
        <v/>
      </c>
      <c r="Y604">
        <f>IF(AND(C604&lt;&gt;"",D604&lt;&gt;""),C604&amp;"|"&amp;D604,"")</f>
        <v/>
      </c>
      <c r="AA604" s="421">
        <f>IF(AND(J604&gt;0,I604&gt;0),I604-J604,"")</f>
        <v/>
      </c>
      <c r="AB604" s="479">
        <f>IF(AND(J604&gt;0,I604&gt;0),(I604-J604)/I604,"")</f>
        <v/>
      </c>
      <c r="AP604" s="1007">
        <f>SUM(AJ604:AN604)</f>
        <v/>
      </c>
      <c r="AT604">
        <f t="array" ref="AT604">IF(E604&lt;&gt;"Occupied","",_xlfn.IFS(AND(ISNUMBER(AC604),AC604&lt;&gt;0),"Structured",ISNUMBER(SEARCH("/mo con",T604)),"Notes-parsed",ISNUMBER(SEARCH("step",T604)),"Step-up",ISNUMBER(SEARCH("swap",T604)),"Rate-swap",AND(ISNUMBER(I604),ISNUMBER(J604),I604&gt;J604),"Implied",TRUE,""))</f>
        <v/>
      </c>
      <c r="AU604" s="421">
        <f>IF(AC604&lt;&gt;"",AC604,IF(AT604="Implied",-(I604-J604),IF(OR(AT604="Step-up",AT604="Rate-swap"),"see notes","")))</f>
        <v/>
      </c>
    </row>
    <row r="605" outlineLevel="1" s="923">
      <c r="X605">
        <f>IF(AND(E605&lt;&gt;"",E605&lt;&gt;"Vacant",E605&lt;&gt;"Reserved",C605&lt;&gt;"",D605&lt;&gt;""),C605&amp;"|"&amp;D605,"")</f>
        <v/>
      </c>
      <c r="Y605">
        <f>IF(AND(C605&lt;&gt;"",D605&lt;&gt;""),C605&amp;"|"&amp;D605,"")</f>
        <v/>
      </c>
      <c r="AA605" s="421">
        <f>IF(AND(J605&gt;0,I605&gt;0),I605-J605,"")</f>
        <v/>
      </c>
      <c r="AB605" s="479">
        <f>IF(AND(J605&gt;0,I605&gt;0),(I605-J605)/I605,"")</f>
        <v/>
      </c>
      <c r="AP605" s="1007">
        <f>SUM(AJ605:AN605)</f>
        <v/>
      </c>
      <c r="AT605">
        <f t="array" ref="AT605">IF(E605&lt;&gt;"Occupied","",_xlfn.IFS(AND(ISNUMBER(AC605),AC605&lt;&gt;0),"Structured",ISNUMBER(SEARCH("/mo con",T605)),"Notes-parsed",ISNUMBER(SEARCH("step",T605)),"Step-up",ISNUMBER(SEARCH("swap",T605)),"Rate-swap",AND(ISNUMBER(I605),ISNUMBER(J605),I605&gt;J605),"Implied",TRUE,""))</f>
        <v/>
      </c>
      <c r="AU605" s="421">
        <f>IF(AC605&lt;&gt;"",AC605,IF(AT605="Implied",-(I605-J605),IF(OR(AT605="Step-up",AT605="Rate-swap"),"see notes","")))</f>
        <v/>
      </c>
    </row>
    <row r="606" outlineLevel="1" s="923">
      <c r="X606">
        <f>IF(AND(E606&lt;&gt;"",E606&lt;&gt;"Vacant",E606&lt;&gt;"Reserved",C606&lt;&gt;"",D606&lt;&gt;""),C606&amp;"|"&amp;D606,"")</f>
        <v/>
      </c>
      <c r="Y606">
        <f>IF(AND(C606&lt;&gt;"",D606&lt;&gt;""),C606&amp;"|"&amp;D606,"")</f>
        <v/>
      </c>
      <c r="AA606" s="421">
        <f>IF(AND(J606&gt;0,I606&gt;0),I606-J606,"")</f>
        <v/>
      </c>
      <c r="AB606" s="479">
        <f>IF(AND(J606&gt;0,I606&gt;0),(I606-J606)/I606,"")</f>
        <v/>
      </c>
      <c r="AP606" s="1007">
        <f>SUM(AJ606:AN606)</f>
        <v/>
      </c>
      <c r="AT606">
        <f t="array" ref="AT606">IF(E606&lt;&gt;"Occupied","",_xlfn.IFS(AND(ISNUMBER(AC606),AC606&lt;&gt;0),"Structured",ISNUMBER(SEARCH("/mo con",T606)),"Notes-parsed",ISNUMBER(SEARCH("step",T606)),"Step-up",ISNUMBER(SEARCH("swap",T606)),"Rate-swap",AND(ISNUMBER(I606),ISNUMBER(J606),I606&gt;J606),"Implied",TRUE,""))</f>
        <v/>
      </c>
      <c r="AU606" s="421">
        <f>IF(AC606&lt;&gt;"",AC606,IF(AT606="Implied",-(I606-J606),IF(OR(AT606="Step-up",AT606="Rate-swap"),"see notes","")))</f>
        <v/>
      </c>
    </row>
    <row r="607" outlineLevel="1" s="923">
      <c r="X607">
        <f>IF(AND(E607&lt;&gt;"",E607&lt;&gt;"Vacant",E607&lt;&gt;"Reserved",C607&lt;&gt;"",D607&lt;&gt;""),C607&amp;"|"&amp;D607,"")</f>
        <v/>
      </c>
      <c r="Y607">
        <f>IF(AND(C607&lt;&gt;"",D607&lt;&gt;""),C607&amp;"|"&amp;D607,"")</f>
        <v/>
      </c>
      <c r="AA607" s="421">
        <f>IF(AND(J607&gt;0,I607&gt;0),I607-J607,"")</f>
        <v/>
      </c>
      <c r="AB607" s="479">
        <f>IF(AND(J607&gt;0,I607&gt;0),(I607-J607)/I607,"")</f>
        <v/>
      </c>
      <c r="AP607" s="1007">
        <f>SUM(AJ607:AN607)</f>
        <v/>
      </c>
      <c r="AT607">
        <f t="array" ref="AT607">IF(E607&lt;&gt;"Occupied","",_xlfn.IFS(AND(ISNUMBER(AC607),AC607&lt;&gt;0),"Structured",ISNUMBER(SEARCH("/mo con",T607)),"Notes-parsed",ISNUMBER(SEARCH("step",T607)),"Step-up",ISNUMBER(SEARCH("swap",T607)),"Rate-swap",AND(ISNUMBER(I607),ISNUMBER(J607),I607&gt;J607),"Implied",TRUE,""))</f>
        <v/>
      </c>
      <c r="AU607" s="421">
        <f>IF(AC607&lt;&gt;"",AC607,IF(AT607="Implied",-(I607-J607),IF(OR(AT607="Step-up",AT607="Rate-swap"),"see notes","")))</f>
        <v/>
      </c>
    </row>
    <row r="608" outlineLevel="1" s="923">
      <c r="X608">
        <f>IF(AND(E608&lt;&gt;"",E608&lt;&gt;"Vacant",E608&lt;&gt;"Reserved",C608&lt;&gt;"",D608&lt;&gt;""),C608&amp;"|"&amp;D608,"")</f>
        <v/>
      </c>
      <c r="Y608">
        <f>IF(AND(C608&lt;&gt;"",D608&lt;&gt;""),C608&amp;"|"&amp;D608,"")</f>
        <v/>
      </c>
      <c r="AA608" s="421">
        <f>IF(AND(J608&gt;0,I608&gt;0),I608-J608,"")</f>
        <v/>
      </c>
      <c r="AB608" s="479">
        <f>IF(AND(J608&gt;0,I608&gt;0),(I608-J608)/I608,"")</f>
        <v/>
      </c>
      <c r="AP608" s="1007">
        <f>SUM(AJ608:AN608)</f>
        <v/>
      </c>
      <c r="AT608">
        <f t="array" ref="AT608">IF(E608&lt;&gt;"Occupied","",_xlfn.IFS(AND(ISNUMBER(AC608),AC608&lt;&gt;0),"Structured",ISNUMBER(SEARCH("/mo con",T608)),"Notes-parsed",ISNUMBER(SEARCH("step",T608)),"Step-up",ISNUMBER(SEARCH("swap",T608)),"Rate-swap",AND(ISNUMBER(I608),ISNUMBER(J608),I608&gt;J608),"Implied",TRUE,""))</f>
        <v/>
      </c>
      <c r="AU608" s="421">
        <f>IF(AC608&lt;&gt;"",AC608,IF(AT608="Implied",-(I608-J608),IF(OR(AT608="Step-up",AT608="Rate-swap"),"see notes","")))</f>
        <v/>
      </c>
    </row>
    <row r="609" outlineLevel="1" s="923">
      <c r="X609">
        <f>IF(AND(E609&lt;&gt;"",E609&lt;&gt;"Vacant",E609&lt;&gt;"Reserved",C609&lt;&gt;"",D609&lt;&gt;""),C609&amp;"|"&amp;D609,"")</f>
        <v/>
      </c>
      <c r="Y609">
        <f>IF(AND(C609&lt;&gt;"",D609&lt;&gt;""),C609&amp;"|"&amp;D609,"")</f>
        <v/>
      </c>
      <c r="AA609" s="421">
        <f>IF(AND(J609&gt;0,I609&gt;0),I609-J609,"")</f>
        <v/>
      </c>
      <c r="AB609" s="479">
        <f>IF(AND(J609&gt;0,I609&gt;0),(I609-J609)/I609,"")</f>
        <v/>
      </c>
      <c r="AP609" s="1007">
        <f>SUM(AJ609:AN609)</f>
        <v/>
      </c>
      <c r="AT609">
        <f t="array" ref="AT609">IF(E609&lt;&gt;"Occupied","",_xlfn.IFS(AND(ISNUMBER(AC609),AC609&lt;&gt;0),"Structured",ISNUMBER(SEARCH("/mo con",T609)),"Notes-parsed",ISNUMBER(SEARCH("step",T609)),"Step-up",ISNUMBER(SEARCH("swap",T609)),"Rate-swap",AND(ISNUMBER(I609),ISNUMBER(J609),I609&gt;J609),"Implied",TRUE,""))</f>
        <v/>
      </c>
      <c r="AU609" s="421">
        <f>IF(AC609&lt;&gt;"",AC609,IF(AT609="Implied",-(I609-J609),IF(OR(AT609="Step-up",AT609="Rate-swap"),"see notes","")))</f>
        <v/>
      </c>
    </row>
    <row r="610" outlineLevel="1" s="923">
      <c r="X610">
        <f>IF(AND(E610&lt;&gt;"",E610&lt;&gt;"Vacant",E610&lt;&gt;"Reserved",C610&lt;&gt;"",D610&lt;&gt;""),C610&amp;"|"&amp;D610,"")</f>
        <v/>
      </c>
      <c r="Y610">
        <f>IF(AND(C610&lt;&gt;"",D610&lt;&gt;""),C610&amp;"|"&amp;D610,"")</f>
        <v/>
      </c>
      <c r="AA610" s="421">
        <f>IF(AND(J610&gt;0,I610&gt;0),I610-J610,"")</f>
        <v/>
      </c>
      <c r="AB610" s="479">
        <f>IF(AND(J610&gt;0,I610&gt;0),(I610-J610)/I610,"")</f>
        <v/>
      </c>
      <c r="AP610" s="1007">
        <f>SUM(AJ610:AN610)</f>
        <v/>
      </c>
      <c r="AT610">
        <f t="array" ref="AT610">IF(E610&lt;&gt;"Occupied","",_xlfn.IFS(AND(ISNUMBER(AC610),AC610&lt;&gt;0),"Structured",ISNUMBER(SEARCH("/mo con",T610)),"Notes-parsed",ISNUMBER(SEARCH("step",T610)),"Step-up",ISNUMBER(SEARCH("swap",T610)),"Rate-swap",AND(ISNUMBER(I610),ISNUMBER(J610),I610&gt;J610),"Implied",TRUE,""))</f>
        <v/>
      </c>
      <c r="AU610" s="421">
        <f>IF(AC610&lt;&gt;"",AC610,IF(AT610="Implied",-(I610-J610),IF(OR(AT610="Step-up",AT610="Rate-swap"),"see notes","")))</f>
        <v/>
      </c>
    </row>
    <row r="611" outlineLevel="1" s="923">
      <c r="X611">
        <f>IF(AND(E611&lt;&gt;"",E611&lt;&gt;"Vacant",E611&lt;&gt;"Reserved",C611&lt;&gt;"",D611&lt;&gt;""),C611&amp;"|"&amp;D611,"")</f>
        <v/>
      </c>
      <c r="Y611">
        <f>IF(AND(C611&lt;&gt;"",D611&lt;&gt;""),C611&amp;"|"&amp;D611,"")</f>
        <v/>
      </c>
      <c r="AA611" s="421">
        <f>IF(AND(J611&gt;0,I611&gt;0),I611-J611,"")</f>
        <v/>
      </c>
      <c r="AB611" s="479">
        <f>IF(AND(J611&gt;0,I611&gt;0),(I611-J611)/I611,"")</f>
        <v/>
      </c>
      <c r="AP611" s="1007">
        <f>SUM(AJ611:AN611)</f>
        <v/>
      </c>
      <c r="AT611">
        <f t="array" ref="AT611">IF(E611&lt;&gt;"Occupied","",_xlfn.IFS(AND(ISNUMBER(AC611),AC611&lt;&gt;0),"Structured",ISNUMBER(SEARCH("/mo con",T611)),"Notes-parsed",ISNUMBER(SEARCH("step",T611)),"Step-up",ISNUMBER(SEARCH("swap",T611)),"Rate-swap",AND(ISNUMBER(I611),ISNUMBER(J611),I611&gt;J611),"Implied",TRUE,""))</f>
        <v/>
      </c>
      <c r="AU611" s="421">
        <f>IF(AC611&lt;&gt;"",AC611,IF(AT611="Implied",-(I611-J611),IF(OR(AT611="Step-up",AT611="Rate-swap"),"see notes","")))</f>
        <v/>
      </c>
    </row>
    <row r="612" outlineLevel="1" s="923">
      <c r="X612">
        <f>IF(AND(E612&lt;&gt;"",E612&lt;&gt;"Vacant",E612&lt;&gt;"Reserved",C612&lt;&gt;"",D612&lt;&gt;""),C612&amp;"|"&amp;D612,"")</f>
        <v/>
      </c>
      <c r="Y612">
        <f>IF(AND(C612&lt;&gt;"",D612&lt;&gt;""),C612&amp;"|"&amp;D612,"")</f>
        <v/>
      </c>
      <c r="AA612" s="421">
        <f>IF(AND(J612&gt;0,I612&gt;0),I612-J612,"")</f>
        <v/>
      </c>
      <c r="AB612" s="479">
        <f>IF(AND(J612&gt;0,I612&gt;0),(I612-J612)/I612,"")</f>
        <v/>
      </c>
      <c r="AP612" s="1007">
        <f>SUM(AJ612:AN612)</f>
        <v/>
      </c>
      <c r="AT612">
        <f t="array" ref="AT612">IF(E612&lt;&gt;"Occupied","",_xlfn.IFS(AND(ISNUMBER(AC612),AC612&lt;&gt;0),"Structured",ISNUMBER(SEARCH("/mo con",T612)),"Notes-parsed",ISNUMBER(SEARCH("step",T612)),"Step-up",ISNUMBER(SEARCH("swap",T612)),"Rate-swap",AND(ISNUMBER(I612),ISNUMBER(J612),I612&gt;J612),"Implied",TRUE,""))</f>
        <v/>
      </c>
      <c r="AU612" s="421">
        <f>IF(AC612&lt;&gt;"",AC612,IF(AT612="Implied",-(I612-J612),IF(OR(AT612="Step-up",AT612="Rate-swap"),"see notes","")))</f>
        <v/>
      </c>
    </row>
    <row r="613" outlineLevel="1" s="923">
      <c r="X613">
        <f>IF(AND(E613&lt;&gt;"",E613&lt;&gt;"Vacant",E613&lt;&gt;"Reserved",C613&lt;&gt;"",D613&lt;&gt;""),C613&amp;"|"&amp;D613,"")</f>
        <v/>
      </c>
      <c r="Y613">
        <f>IF(AND(C613&lt;&gt;"",D613&lt;&gt;""),C613&amp;"|"&amp;D613,"")</f>
        <v/>
      </c>
      <c r="AA613" s="421">
        <f>IF(AND(J613&gt;0,I613&gt;0),I613-J613,"")</f>
        <v/>
      </c>
      <c r="AB613" s="479">
        <f>IF(AND(J613&gt;0,I613&gt;0),(I613-J613)/I613,"")</f>
        <v/>
      </c>
      <c r="AP613" s="1007">
        <f>SUM(AJ613:AN613)</f>
        <v/>
      </c>
      <c r="AT613">
        <f t="array" ref="AT613">IF(E613&lt;&gt;"Occupied","",_xlfn.IFS(AND(ISNUMBER(AC613),AC613&lt;&gt;0),"Structured",ISNUMBER(SEARCH("/mo con",T613)),"Notes-parsed",ISNUMBER(SEARCH("step",T613)),"Step-up",ISNUMBER(SEARCH("swap",T613)),"Rate-swap",AND(ISNUMBER(I613),ISNUMBER(J613),I613&gt;J613),"Implied",TRUE,""))</f>
        <v/>
      </c>
      <c r="AU613" s="421">
        <f>IF(AC613&lt;&gt;"",AC613,IF(AT613="Implied",-(I613-J613),IF(OR(AT613="Step-up",AT613="Rate-swap"),"see notes","")))</f>
        <v/>
      </c>
    </row>
  </sheetData>
  <mergeCells count="35">
    <mergeCell ref="A2:V2"/>
    <mergeCell ref="A71:V71"/>
    <mergeCell ref="G175:I175"/>
    <mergeCell ref="A137:L137"/>
    <mergeCell ref="A89:L89"/>
    <mergeCell ref="A97:V97"/>
    <mergeCell ref="D175:F175"/>
    <mergeCell ref="A62:V62"/>
    <mergeCell ref="J175:L175"/>
    <mergeCell ref="A4:V4"/>
    <mergeCell ref="A26:L26"/>
    <mergeCell ref="A175:C175"/>
    <mergeCell ref="A165:V165"/>
    <mergeCell ref="A28:V28"/>
    <mergeCell ref="A155:V155"/>
    <mergeCell ref="A15:V15"/>
    <mergeCell ref="M175:O175"/>
    <mergeCell ref="A156:L156"/>
    <mergeCell ref="A72:L72"/>
    <mergeCell ref="R175:S175"/>
    <mergeCell ref="A1:V1"/>
    <mergeCell ref="A110:V110"/>
    <mergeCell ref="A111:L111"/>
    <mergeCell ref="A88:V88"/>
    <mergeCell ref="P175:Q175"/>
    <mergeCell ref="A7:V7"/>
    <mergeCell ref="A166:L166"/>
    <mergeCell ref="A128:V128"/>
    <mergeCell ref="A41:V41"/>
    <mergeCell ref="A98:L98"/>
    <mergeCell ref="A51:L51"/>
    <mergeCell ref="T175:V175"/>
    <mergeCell ref="A50:V50"/>
    <mergeCell ref="A120:V120"/>
    <mergeCell ref="A136:V13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4"/>
  <sheetViews>
    <sheetView tabSelected="1" topLeftCell="L1" zoomScaleNormal="100" workbookViewId="0">
      <selection activeCell="AB31" sqref="AB31"/>
    </sheetView>
  </sheetViews>
  <sheetFormatPr baseColWidth="10" defaultColWidth="8.83203125" defaultRowHeight="15"/>
  <cols>
    <col width="20" customWidth="1" style="923" min="1" max="1"/>
    <col width="8" customWidth="1" style="923" min="2" max="4"/>
    <col width="25" customWidth="1" style="923" min="5" max="5"/>
    <col width="12" customWidth="1" style="923" min="6" max="7"/>
    <col width="14" customWidth="1" style="923" min="8" max="12"/>
    <col width="10.5" bestFit="1" customWidth="1" style="923" min="14" max="14"/>
    <col width="8" bestFit="1" customWidth="1" style="923" min="15" max="15"/>
    <col width="28" customWidth="1" style="923" min="16" max="16"/>
    <col width="10.5" customWidth="1" style="923" min="17" max="18"/>
    <col width="15.1640625" customWidth="1" style="923" min="19" max="19"/>
    <col width="16.33203125" customWidth="1" style="923" min="20" max="20"/>
    <col width="12.83203125" customWidth="1" style="923" min="21" max="21"/>
    <col width="15.1640625" customWidth="1" style="923" min="22" max="22"/>
    <col width="11.6640625" customWidth="1" style="923" min="23" max="23"/>
    <col width="15.1640625" customWidth="1" style="923" min="24" max="24"/>
    <col width="16.33203125" customWidth="1" style="923" min="25" max="25"/>
    <col width="12.83203125" customWidth="1" style="923" min="26" max="26"/>
    <col width="42" customWidth="1" style="923" min="27" max="27"/>
    <col width="16.33203125" customWidth="1" style="923" min="28" max="28"/>
    <col width="42" customWidth="1" style="923" min="29" max="29"/>
  </cols>
  <sheetData>
    <row r="1" ht="22" customHeight="1" s="923">
      <c r="A1" s="938" t="inlineStr">
        <is>
          <t>RENTAL COMPS — BY CARE LEVEL</t>
        </is>
      </c>
      <c r="P1" s="935" t="inlineStr">
        <is>
          <t>UNIT MIX &amp; TARGET RENT ANALYSIS  —  Reference only. Blue = input · Green = formula · Target defaults to comp avg for care level.</t>
        </is>
      </c>
      <c r="Q1" s="936" t="n"/>
      <c r="R1" s="936" t="n"/>
      <c r="S1" s="936" t="n"/>
      <c r="T1" s="936" t="n"/>
      <c r="U1" s="936" t="n"/>
      <c r="V1" s="936" t="n"/>
      <c r="W1" s="936" t="n"/>
      <c r="X1" s="936" t="n"/>
      <c r="Y1" s="936" t="n"/>
      <c r="Z1" s="936" t="n"/>
      <c r="AA1" s="937" t="n"/>
      <c r="AB1" s="559" t="n"/>
      <c r="AC1" s="563" t="n"/>
    </row>
    <row r="2" ht="15.75" customHeight="1" s="923">
      <c r="A2" s="934" t="inlineStr">
        <is>
          <t xml:space="preserve">  Enter up to 12 comps per care level. Summary auto-calculates averages and rate position vs. subject property.</t>
        </is>
      </c>
      <c r="N2" s="535" t="inlineStr">
        <is>
          <t>Rent Basis:</t>
        </is>
      </c>
      <c r="O2" s="536" t="inlineStr">
        <is>
          <t>Max</t>
        </is>
      </c>
      <c r="P2" s="560" t="inlineStr">
        <is>
          <t>Unit Type</t>
        </is>
      </c>
      <c r="Q2" s="611" t="inlineStr">
        <is>
          <t>Sq Ft</t>
        </is>
      </c>
      <c r="R2" s="618" t="inlineStr">
        <is>
          <t># Units</t>
        </is>
      </c>
      <c r="S2" s="925" t="inlineStr">
        <is>
          <t>Current Rent</t>
        </is>
      </c>
      <c r="T2" s="926" t="n"/>
      <c r="U2" s="927" t="n"/>
      <c r="V2" s="925" t="inlineStr">
        <is>
          <t>Target Rent</t>
        </is>
      </c>
      <c r="W2" s="926" t="n"/>
      <c r="X2" s="926" t="n"/>
      <c r="Y2" s="926" t="n"/>
      <c r="Z2" s="927" t="n"/>
      <c r="AA2" s="638" t="inlineStr">
        <is>
          <t>Notes</t>
        </is>
      </c>
      <c r="AB2" s="557" t="n"/>
      <c r="AC2" s="564" t="n"/>
    </row>
    <row r="3" ht="15.75" customHeight="1" s="923">
      <c r="A3" s="202" t="inlineStr">
        <is>
          <t>SUBJECT PROPERTY →</t>
        </is>
      </c>
      <c r="E3" s="203">
        <f>'Prop Info'!B2</f>
        <v/>
      </c>
      <c r="F3" s="204">
        <f>Scenarios!F38</f>
        <v/>
      </c>
      <c r="G3" s="204">
        <f>Scenarios!F38</f>
        <v/>
      </c>
      <c r="H3" s="204">
        <f>Scenarios!F38</f>
        <v/>
      </c>
      <c r="P3" s="560" t="inlineStr">
        <is>
          <t>Type</t>
        </is>
      </c>
      <c r="Q3" s="611" t="inlineStr">
        <is>
          <t>Sq Ft</t>
        </is>
      </c>
      <c r="R3" s="618" t="inlineStr">
        <is>
          <t># Units</t>
        </is>
      </c>
      <c r="S3" s="925" t="inlineStr">
        <is>
          <t>Avg / mo</t>
        </is>
      </c>
      <c r="T3" s="553" t="inlineStr">
        <is>
          <t>Total / mo</t>
        </is>
      </c>
      <c r="U3" s="627" t="inlineStr">
        <is>
          <t>$ / Sq Ft</t>
        </is>
      </c>
      <c r="V3" s="925" t="inlineStr">
        <is>
          <t>Target / mo</t>
        </is>
      </c>
      <c r="W3" s="553" t="inlineStr">
        <is>
          <t>Delta %</t>
        </is>
      </c>
      <c r="X3" s="553" t="inlineStr">
        <is>
          <t>Delta $</t>
        </is>
      </c>
      <c r="Y3" s="553" t="inlineStr">
        <is>
          <t>Total / mo</t>
        </is>
      </c>
      <c r="Z3" s="611" t="inlineStr">
        <is>
          <t>$ / Sq Ft</t>
        </is>
      </c>
      <c r="AA3" s="638" t="inlineStr">
        <is>
          <t>Notes</t>
        </is>
      </c>
      <c r="AB3" s="557" t="n"/>
      <c r="AC3" s="564" t="n"/>
    </row>
    <row r="4" ht="18" customHeight="1" s="923">
      <c r="P4" s="931" t="inlineStr">
        <is>
          <t xml:space="preserve">  IL — INDEPENDENT LIVING</t>
        </is>
      </c>
      <c r="Q4" s="932" t="n"/>
      <c r="R4" s="932" t="n"/>
      <c r="S4" s="932" t="n"/>
      <c r="T4" s="932" t="n"/>
      <c r="U4" s="932" t="n"/>
      <c r="V4" s="932" t="n"/>
      <c r="W4" s="932" t="n"/>
      <c r="X4" s="932" t="n"/>
      <c r="Y4" s="932" t="n"/>
      <c r="Z4" s="932" t="n"/>
      <c r="AA4" s="933" t="n"/>
      <c r="AB4" s="556" t="n"/>
      <c r="AC4" s="565" t="n"/>
    </row>
    <row r="5" ht="16" customHeight="1" s="923">
      <c r="A5" s="938" t="inlineStr">
        <is>
          <t>INDEPENDENT LIVING (IL) COMPS</t>
        </is>
      </c>
      <c r="P5" s="567" t="inlineStr">
        <is>
          <t>IL Studio</t>
        </is>
      </c>
      <c r="Q5" s="612">
        <f>IFERROR(AVERAGEIFS('Rent Roll Analysis'!T:T,'Rent Roll Analysis'!Y:Y,"IL|Studio",'Rent Roll Analysis'!T:T,"&gt;0"),0)</f>
        <v/>
      </c>
      <c r="R5" s="619">
        <f>COUNTIF('Rent Roll Analysis'!Y:Y,"IL|Studio")</f>
        <v/>
      </c>
      <c r="S5" s="663">
        <f>IFERROR(IF($O$2="Max",_xlfn.MAXIFS('Rent Roll Analysis'!I:I,'Rent Roll Analysis'!X:X,"IL|Studio"),AVERAGEIFS('Rent Roll Analysis'!I:I,'Rent Roll Analysis'!X:X,"IL|Studio",'Rent Roll Analysis'!I:I,"&gt;0")),0)</f>
        <v/>
      </c>
      <c r="T5" s="568">
        <f>IFERROR(S5*R5,0)</f>
        <v/>
      </c>
      <c r="U5" s="628">
        <f>IFERROR(S5/Q5,0)</f>
        <v/>
      </c>
      <c r="V5" s="615">
        <f>IFERROR(H19,0)</f>
        <v/>
      </c>
      <c r="W5" s="569">
        <f>IFERROR(V5/S5-1,"")</f>
        <v/>
      </c>
      <c r="X5" s="568">
        <f>IFERROR(V5-S5,"")</f>
        <v/>
      </c>
      <c r="Y5" s="568">
        <f>IFERROR(V5*R5,0)</f>
        <v/>
      </c>
      <c r="Z5" s="635">
        <f>IFERROR(V5/Q5,0)</f>
        <v/>
      </c>
      <c r="AA5" s="673" t="n"/>
      <c r="AB5" s="570" t="n"/>
      <c r="AC5" s="571" t="n"/>
    </row>
    <row r="6" ht="16" customHeight="1" s="923">
      <c r="A6" s="32" t="inlineStr">
        <is>
          <t>Distance (mi)</t>
        </is>
      </c>
      <c r="B6" s="32" t="inlineStr">
        <is>
          <t>Vintage</t>
        </is>
      </c>
      <c r="C6" s="32" t="inlineStr">
        <is>
          <t>Units</t>
        </is>
      </c>
      <c r="D6" s="32" t="inlineStr">
        <is>
          <t>Type</t>
        </is>
      </c>
      <c r="E6" s="32" t="inlineStr">
        <is>
          <t>Property Name</t>
        </is>
      </c>
      <c r="F6" s="32" t="inlineStr">
        <is>
          <t>Base Rent/mo</t>
        </is>
      </c>
      <c r="G6" s="32" t="inlineStr">
        <is>
          <t>Care Fee/mo</t>
        </is>
      </c>
      <c r="H6" s="32" t="inlineStr">
        <is>
          <t>All-In Rate</t>
        </is>
      </c>
      <c r="I6" s="32" t="inlineStr">
        <is>
          <t>Occupancy %</t>
        </is>
      </c>
      <c r="J6" s="32" t="inlineStr">
        <is>
          <t>Sq Ft</t>
        </is>
      </c>
      <c r="K6" s="32" t="inlineStr">
        <is>
          <t>$/Sq Ft</t>
        </is>
      </c>
      <c r="L6" s="32" t="inlineStr">
        <is>
          <t>Notes</t>
        </is>
      </c>
      <c r="P6" s="572" t="inlineStr">
        <is>
          <t>IL 1-Bed</t>
        </is>
      </c>
      <c r="Q6" s="613">
        <f>IFERROR(AVERAGEIFS('Rent Roll Analysis'!T:T,'Rent Roll Analysis'!Y:Y,"IL|1 Bedroom",'Rent Roll Analysis'!T:T,"&gt;0"),0)</f>
        <v/>
      </c>
      <c r="R6" s="620">
        <f>COUNTIF('Rent Roll Analysis'!Y:Y,"IL|1 Bedroom")</f>
        <v/>
      </c>
      <c r="S6" s="664">
        <f>IFERROR(IF($O$2="Max",_xlfn.MAXIFS('Rent Roll Analysis'!I:I,'Rent Roll Analysis'!X:X,"IL|1 Bedroom"),AVERAGEIFS('Rent Roll Analysis'!I:I,'Rent Roll Analysis'!X:X,"IL|1 Bedroom",'Rent Roll Analysis'!I:I,"&gt;0")),0)</f>
        <v/>
      </c>
      <c r="T6" s="573">
        <f>IFERROR(S6*R6,0)</f>
        <v/>
      </c>
      <c r="U6" s="629">
        <f>IFERROR(S6/Q6,0)</f>
        <v/>
      </c>
      <c r="V6" s="616">
        <f>IFERROR(H19,0)</f>
        <v/>
      </c>
      <c r="W6" s="574">
        <f>IFERROR(V6/S6-1,"")</f>
        <v/>
      </c>
      <c r="X6" s="573">
        <f>IFERROR(V6-S6,"")</f>
        <v/>
      </c>
      <c r="Y6" s="573">
        <f>IFERROR(V6*R6,0)</f>
        <v/>
      </c>
      <c r="Z6" s="636">
        <f>IFERROR(V6/Q6,0)</f>
        <v/>
      </c>
      <c r="AA6" s="674" t="n"/>
      <c r="AB6" s="575" t="n"/>
      <c r="AC6" s="576" t="n"/>
    </row>
    <row r="7" ht="16" customHeight="1" s="923">
      <c r="A7" s="68" t="n"/>
      <c r="B7" s="68" t="n"/>
      <c r="C7" s="68" t="n"/>
      <c r="D7" s="205" t="n"/>
      <c r="E7" s="206" t="n"/>
      <c r="F7" s="63" t="n"/>
      <c r="G7" s="63" t="n"/>
      <c r="H7" s="72">
        <f>IFERROR(F7+G7,0)</f>
        <v/>
      </c>
      <c r="I7" s="70" t="n"/>
      <c r="J7" s="68" t="n"/>
      <c r="K7" s="160">
        <f>IFERROR(F7/J7,0)</f>
        <v/>
      </c>
      <c r="L7" s="206" t="n"/>
      <c r="P7" s="572" t="inlineStr">
        <is>
          <t>IL 2-Bed</t>
        </is>
      </c>
      <c r="Q7" s="613">
        <f>IFERROR(AVERAGEIFS('Rent Roll Analysis'!T:T,'Rent Roll Analysis'!Y:Y,"IL|2 Bedroom",'Rent Roll Analysis'!T:T,"&gt;0"),0)</f>
        <v/>
      </c>
      <c r="R7" s="620">
        <f>COUNTIF('Rent Roll Analysis'!Y:Y,"IL|2 Bedroom")</f>
        <v/>
      </c>
      <c r="S7" s="664">
        <f>IFERROR(IF($O$2="Max",_xlfn.MAXIFS('Rent Roll Analysis'!I:I,'Rent Roll Analysis'!X:X,"IL|2 Bedroom"),AVERAGEIFS('Rent Roll Analysis'!I:I,'Rent Roll Analysis'!X:X,"IL|2 Bedroom",'Rent Roll Analysis'!I:I,"&gt;0")),0)</f>
        <v/>
      </c>
      <c r="T7" s="573">
        <f>IFERROR(S7*R7,0)</f>
        <v/>
      </c>
      <c r="U7" s="629">
        <f>IFERROR(S7/Q7,0)</f>
        <v/>
      </c>
      <c r="V7" s="616">
        <f>IFERROR(H19,0)</f>
        <v/>
      </c>
      <c r="W7" s="574">
        <f>IFERROR(V7/S7-1,"")</f>
        <v/>
      </c>
      <c r="X7" s="573">
        <f>IFERROR(V7-S7,"")</f>
        <v/>
      </c>
      <c r="Y7" s="573">
        <f>IFERROR(V7*R7,0)</f>
        <v/>
      </c>
      <c r="Z7" s="636">
        <f>IFERROR(V7/Q7,0)</f>
        <v/>
      </c>
      <c r="AA7" s="674" t="n"/>
      <c r="AB7" s="575" t="n"/>
      <c r="AC7" s="576" t="n"/>
    </row>
    <row r="8" ht="18" customHeight="1" s="923">
      <c r="A8" s="93" t="n"/>
      <c r="B8" s="93" t="n"/>
      <c r="C8" s="93" t="n"/>
      <c r="D8" s="207" t="n"/>
      <c r="E8" s="208" t="n"/>
      <c r="F8" s="66" t="n"/>
      <c r="G8" s="66" t="n"/>
      <c r="H8" s="69">
        <f>IFERROR(F8+G8,0)</f>
        <v/>
      </c>
      <c r="I8" s="74" t="n"/>
      <c r="J8" s="93" t="n"/>
      <c r="K8" s="165">
        <f>IFERROR(F8/J8,0)</f>
        <v/>
      </c>
      <c r="L8" s="208" t="n"/>
      <c r="P8" s="928" t="inlineStr">
        <is>
          <t xml:space="preserve">  AL — ASSISTED LIVING</t>
        </is>
      </c>
      <c r="Q8" s="929" t="n"/>
      <c r="R8" s="929" t="n"/>
      <c r="S8" s="929" t="n"/>
      <c r="T8" s="929" t="n"/>
      <c r="U8" s="929" t="n"/>
      <c r="V8" s="929" t="n"/>
      <c r="W8" s="929" t="n"/>
      <c r="X8" s="929" t="n"/>
      <c r="Y8" s="929" t="n"/>
      <c r="Z8" s="929" t="n"/>
      <c r="AA8" s="930" t="n"/>
      <c r="AB8" s="577" t="n"/>
      <c r="AC8" s="578" t="n"/>
    </row>
    <row r="9" ht="16" customHeight="1" s="923">
      <c r="A9" s="68" t="n"/>
      <c r="B9" s="68" t="n"/>
      <c r="C9" s="68" t="n"/>
      <c r="D9" s="205" t="n"/>
      <c r="E9" s="206" t="n"/>
      <c r="F9" s="63" t="n"/>
      <c r="G9" s="63" t="n"/>
      <c r="H9" s="72">
        <f>IFERROR(F9+G9,0)</f>
        <v/>
      </c>
      <c r="I9" s="70" t="n"/>
      <c r="J9" s="68" t="n"/>
      <c r="K9" s="160">
        <f>IFERROR(F9/J9,0)</f>
        <v/>
      </c>
      <c r="L9" s="206" t="n"/>
      <c r="P9" s="572" t="inlineStr">
        <is>
          <t>AL Studio (Pvt)</t>
        </is>
      </c>
      <c r="Q9" s="613">
        <f>IFERROR(AVERAGEIFS('Rent Roll Analysis'!T:T,'Rent Roll Analysis'!Y:Y,"AL|Studio",'Rent Roll Analysis'!T:T,"&gt;0"),0)</f>
        <v/>
      </c>
      <c r="R9" s="620">
        <f>COUNTIF('Rent Roll Analysis'!Y:Y,"AL|Studio")</f>
        <v/>
      </c>
      <c r="S9" s="664">
        <f>IFERROR(IF($O$2="Max",_xlfn.MAXIFS('Rent Roll Analysis'!I:I,'Rent Roll Analysis'!X:X,"AL|Studio"),AVERAGEIFS('Rent Roll Analysis'!I:I,'Rent Roll Analysis'!X:X,"AL|Studio",'Rent Roll Analysis'!I:I,"&gt;0")),0)</f>
        <v/>
      </c>
      <c r="T9" s="573">
        <f>IFERROR(S9*R9,0)</f>
        <v/>
      </c>
      <c r="U9" s="629">
        <f>IFERROR(S9/Q9,0)</f>
        <v/>
      </c>
      <c r="V9" s="616">
        <f>IFERROR(H36,0)</f>
        <v/>
      </c>
      <c r="W9" s="574">
        <f>IFERROR(V9/S9-1,"")</f>
        <v/>
      </c>
      <c r="X9" s="573">
        <f>IFERROR(V9-S9,"")</f>
        <v/>
      </c>
      <c r="Y9" s="573">
        <f>IFERROR(V9*R9,0)</f>
        <v/>
      </c>
      <c r="Z9" s="636">
        <f>IFERROR(V9/Q9,0)</f>
        <v/>
      </c>
      <c r="AA9" s="674" t="n"/>
      <c r="AB9" s="575" t="n"/>
      <c r="AC9" s="576" t="n"/>
    </row>
    <row r="10" ht="16" customHeight="1" s="923">
      <c r="A10" s="93" t="n"/>
      <c r="B10" s="93" t="n"/>
      <c r="C10" s="93" t="n"/>
      <c r="D10" s="207" t="n"/>
      <c r="E10" s="208" t="n"/>
      <c r="F10" s="66" t="n"/>
      <c r="G10" s="66" t="n"/>
      <c r="H10" s="69">
        <f>IFERROR(F10+G10,0)</f>
        <v/>
      </c>
      <c r="I10" s="74" t="n"/>
      <c r="J10" s="93" t="n"/>
      <c r="K10" s="165">
        <f>IFERROR(F10/J10,0)</f>
        <v/>
      </c>
      <c r="L10" s="208" t="n"/>
      <c r="P10" s="572" t="inlineStr">
        <is>
          <t>AL Semi-Private</t>
        </is>
      </c>
      <c r="Q10" s="613">
        <f>IFERROR(AVERAGEIFS('Rent Roll Analysis'!T:T,'Rent Roll Analysis'!Y:Y,"AL|Semi-Private",'Rent Roll Analysis'!T:T,"&gt;0"),0)</f>
        <v/>
      </c>
      <c r="R10" s="620">
        <f>COUNTIF('Rent Roll Analysis'!Y:Y,"AL|Semi-Private")</f>
        <v/>
      </c>
      <c r="S10" s="664">
        <f>IFERROR(IF($O$2="Max",_xlfn.MAXIFS('Rent Roll Analysis'!I:I,'Rent Roll Analysis'!X:X,"AL|Semi-Private"),AVERAGEIFS('Rent Roll Analysis'!I:I,'Rent Roll Analysis'!X:X,"AL|Semi-Private",'Rent Roll Analysis'!I:I,"&gt;0")),0)</f>
        <v/>
      </c>
      <c r="T10" s="573">
        <f>IFERROR(S10*R10,0)</f>
        <v/>
      </c>
      <c r="U10" s="629">
        <f>IFERROR(S10/Q10,0)</f>
        <v/>
      </c>
      <c r="V10" s="616">
        <f>IFERROR(H36,0)</f>
        <v/>
      </c>
      <c r="W10" s="574">
        <f>IFERROR(V10/S10-1,"")</f>
        <v/>
      </c>
      <c r="X10" s="573">
        <f>IFERROR(V10-S10,"")</f>
        <v/>
      </c>
      <c r="Y10" s="573">
        <f>IFERROR(V10*R10,0)</f>
        <v/>
      </c>
      <c r="Z10" s="636">
        <f>IFERROR(V10/Q10,0)</f>
        <v/>
      </c>
      <c r="AA10" s="674" t="n"/>
      <c r="AB10" s="575" t="n"/>
      <c r="AC10" s="576" t="n"/>
    </row>
    <row r="11" ht="16" customHeight="1" s="923">
      <c r="A11" s="68" t="n"/>
      <c r="B11" s="68" t="n"/>
      <c r="C11" s="68" t="n"/>
      <c r="D11" s="205" t="n"/>
      <c r="E11" s="206" t="n"/>
      <c r="F11" s="63" t="n"/>
      <c r="G11" s="63" t="n"/>
      <c r="H11" s="72">
        <f>IFERROR(F11+G11,0)</f>
        <v/>
      </c>
      <c r="I11" s="70" t="n"/>
      <c r="J11" s="68" t="n"/>
      <c r="K11" s="160">
        <f>IFERROR(F11/J11,0)</f>
        <v/>
      </c>
      <c r="L11" s="206" t="n"/>
      <c r="P11" s="572" t="inlineStr">
        <is>
          <t>AL 1-Bed</t>
        </is>
      </c>
      <c r="Q11" s="613">
        <f>IFERROR(AVERAGEIFS('Rent Roll Analysis'!T:T,'Rent Roll Analysis'!Y:Y,"AL|1 Bedroom",'Rent Roll Analysis'!T:T,"&gt;0"),0)</f>
        <v/>
      </c>
      <c r="R11" s="620">
        <f>COUNTIF('Rent Roll Analysis'!Y:Y,"AL|1 Bedroom")</f>
        <v/>
      </c>
      <c r="S11" s="664">
        <f>IFERROR(IF($O$2="Max",_xlfn.MAXIFS('Rent Roll Analysis'!I:I,'Rent Roll Analysis'!X:X,"AL|1 Bedroom"),AVERAGEIFS('Rent Roll Analysis'!I:I,'Rent Roll Analysis'!X:X,"AL|1 Bedroom",'Rent Roll Analysis'!I:I,"&gt;0")),0)</f>
        <v/>
      </c>
      <c r="T11" s="573">
        <f>IFERROR(S11*R11,0)</f>
        <v/>
      </c>
      <c r="U11" s="629">
        <f>IFERROR(S11/Q11,0)</f>
        <v/>
      </c>
      <c r="V11" s="616">
        <f>IFERROR(H36,0)</f>
        <v/>
      </c>
      <c r="W11" s="574">
        <f>IFERROR(V11/S11-1,"")</f>
        <v/>
      </c>
      <c r="X11" s="573">
        <f>IFERROR(V11-S11,"")</f>
        <v/>
      </c>
      <c r="Y11" s="573">
        <f>IFERROR(V11*R11,0)</f>
        <v/>
      </c>
      <c r="Z11" s="636">
        <f>IFERROR(V11/Q11,0)</f>
        <v/>
      </c>
      <c r="AA11" s="674" t="n"/>
      <c r="AB11" s="575" t="n"/>
      <c r="AC11" s="576" t="n"/>
    </row>
    <row r="12" ht="18" customHeight="1" s="923">
      <c r="A12" s="93" t="n"/>
      <c r="B12" s="93" t="n"/>
      <c r="C12" s="93" t="n"/>
      <c r="D12" s="207" t="n"/>
      <c r="E12" s="208" t="n"/>
      <c r="F12" s="66" t="n"/>
      <c r="G12" s="66" t="n"/>
      <c r="H12" s="69">
        <f>IFERROR(F12+G12,0)</f>
        <v/>
      </c>
      <c r="I12" s="74" t="n"/>
      <c r="J12" s="93" t="n"/>
      <c r="K12" s="165">
        <f>IFERROR(F12/J12,0)</f>
        <v/>
      </c>
      <c r="L12" s="208" t="n"/>
      <c r="P12" s="928" t="inlineStr">
        <is>
          <t xml:space="preserve">  MC — MEMORY CARE</t>
        </is>
      </c>
      <c r="Q12" s="929" t="n"/>
      <c r="R12" s="929" t="n"/>
      <c r="S12" s="929" t="n"/>
      <c r="T12" s="929" t="n"/>
      <c r="U12" s="929" t="n"/>
      <c r="V12" s="929" t="n"/>
      <c r="W12" s="929" t="n"/>
      <c r="X12" s="929" t="n"/>
      <c r="Y12" s="929" t="n"/>
      <c r="Z12" s="929" t="n"/>
      <c r="AA12" s="930" t="n"/>
      <c r="AB12" s="577" t="n"/>
      <c r="AC12" s="578" t="n"/>
    </row>
    <row r="13" ht="16" customHeight="1" s="923">
      <c r="A13" s="68" t="n"/>
      <c r="B13" s="68" t="n"/>
      <c r="C13" s="68" t="n"/>
      <c r="D13" s="205" t="n"/>
      <c r="E13" s="206" t="n"/>
      <c r="F13" s="63" t="n"/>
      <c r="G13" s="63" t="n"/>
      <c r="H13" s="72">
        <f>IFERROR(F13+G13,0)</f>
        <v/>
      </c>
      <c r="I13" s="70" t="n"/>
      <c r="J13" s="68" t="n"/>
      <c r="K13" s="160">
        <f>IFERROR(F13/J13,0)</f>
        <v/>
      </c>
      <c r="L13" s="206" t="n"/>
      <c r="P13" s="572" t="inlineStr">
        <is>
          <t>MC Studio (Pvt)</t>
        </is>
      </c>
      <c r="Q13" s="613">
        <f>IFERROR(AVERAGEIFS('Rent Roll Analysis'!T:T,'Rent Roll Analysis'!Y:Y,"MC|Studio",'Rent Roll Analysis'!T:T,"&gt;0"),0)</f>
        <v/>
      </c>
      <c r="R13" s="620">
        <f>COUNTIF('Rent Roll Analysis'!Y:Y,"MC|Studio")</f>
        <v/>
      </c>
      <c r="S13" s="664">
        <f>IFERROR(IF($O$2="Max",_xlfn.MAXIFS('Rent Roll Analysis'!I:I,'Rent Roll Analysis'!X:X,"MC|Studio"),AVERAGEIFS('Rent Roll Analysis'!I:I,'Rent Roll Analysis'!X:X,"MC|Studio",'Rent Roll Analysis'!I:I,"&gt;0")),0)</f>
        <v/>
      </c>
      <c r="T13" s="573">
        <f>IFERROR(S13*R13,0)</f>
        <v/>
      </c>
      <c r="U13" s="629">
        <f>IFERROR(S13/Q13,0)</f>
        <v/>
      </c>
      <c r="V13" s="616">
        <f>IFERROR(H53,0)</f>
        <v/>
      </c>
      <c r="W13" s="574">
        <f>IFERROR(V13/S13-1,"")</f>
        <v/>
      </c>
      <c r="X13" s="573">
        <f>IFERROR(V13-S13,"")</f>
        <v/>
      </c>
      <c r="Y13" s="573">
        <f>IFERROR(V13*R13,0)</f>
        <v/>
      </c>
      <c r="Z13" s="636">
        <f>IFERROR(V13/Q13,0)</f>
        <v/>
      </c>
      <c r="AA13" s="674" t="n"/>
      <c r="AB13" s="575" t="n"/>
      <c r="AC13" s="576" t="n"/>
    </row>
    <row r="14" ht="16" customHeight="1" s="923">
      <c r="A14" s="93" t="n"/>
      <c r="B14" s="93" t="n"/>
      <c r="C14" s="93" t="n"/>
      <c r="D14" s="207" t="n"/>
      <c r="E14" s="208" t="n"/>
      <c r="F14" s="66" t="n"/>
      <c r="G14" s="66" t="n"/>
      <c r="H14" s="69">
        <f>IFERROR(F14+G14,0)</f>
        <v/>
      </c>
      <c r="I14" s="74" t="n"/>
      <c r="J14" s="93" t="n"/>
      <c r="K14" s="165">
        <f>IFERROR(F14/J14,0)</f>
        <v/>
      </c>
      <c r="L14" s="208" t="n"/>
      <c r="P14" s="572" t="inlineStr">
        <is>
          <t>MC Semi-Private</t>
        </is>
      </c>
      <c r="Q14" s="613">
        <f>IFERROR(AVERAGEIFS('Rent Roll Analysis'!T:T,'Rent Roll Analysis'!Y:Y,"MC|Semi-Private",'Rent Roll Analysis'!T:T,"&gt;0"),0)</f>
        <v/>
      </c>
      <c r="R14" s="620">
        <f>COUNTIF('Rent Roll Analysis'!Y:Y,"MC|Semi-Private")</f>
        <v/>
      </c>
      <c r="S14" s="664">
        <f>IFERROR(IF($O$2="Max",_xlfn.MAXIFS('Rent Roll Analysis'!I:I,'Rent Roll Analysis'!X:X,"MC|Semi-Private"),AVERAGEIFS('Rent Roll Analysis'!I:I,'Rent Roll Analysis'!X:X,"MC|Semi-Private",'Rent Roll Analysis'!I:I,"&gt;0")),0)</f>
        <v/>
      </c>
      <c r="T14" s="573">
        <f>IFERROR(S14*R14,0)</f>
        <v/>
      </c>
      <c r="U14" s="629">
        <f>IFERROR(S14/Q14,0)</f>
        <v/>
      </c>
      <c r="V14" s="616">
        <f>IFERROR(H53,0)</f>
        <v/>
      </c>
      <c r="W14" s="574">
        <f>IFERROR(V14/S14-1,"")</f>
        <v/>
      </c>
      <c r="X14" s="573">
        <f>IFERROR(V14-S14,"")</f>
        <v/>
      </c>
      <c r="Y14" s="573">
        <f>IFERROR(V14*R14,0)</f>
        <v/>
      </c>
      <c r="Z14" s="636">
        <f>IFERROR(V14/Q14,0)</f>
        <v/>
      </c>
      <c r="AA14" s="674" t="n"/>
      <c r="AB14" s="575" t="n"/>
      <c r="AC14" s="576" t="n"/>
    </row>
    <row r="15" ht="16" customHeight="1" s="923">
      <c r="A15" s="68" t="n"/>
      <c r="B15" s="68" t="n"/>
      <c r="C15" s="68" t="n"/>
      <c r="D15" s="205" t="n"/>
      <c r="E15" s="206" t="n"/>
      <c r="F15" s="63" t="n"/>
      <c r="G15" s="63" t="n"/>
      <c r="H15" s="72">
        <f>IFERROR(F15+G15,0)</f>
        <v/>
      </c>
      <c r="I15" s="70" t="n"/>
      <c r="J15" s="68" t="n"/>
      <c r="K15" s="160">
        <f>IFERROR(F15/J15,0)</f>
        <v/>
      </c>
      <c r="L15" s="206" t="n"/>
      <c r="P15" s="572" t="inlineStr">
        <is>
          <t>Other</t>
        </is>
      </c>
      <c r="Q15" s="613">
        <f>IFERROR(AVERAGEIFS('Rent Roll Analysis'!T:T,'Rent Roll Analysis'!Y:Y,"&lt;&gt;",'Rent Roll Analysis'!Y:Y,"&lt;&gt;IL|Studio",'Rent Roll Analysis'!Y:Y,"&lt;&gt;IL|1 Bedroom",'Rent Roll Analysis'!Y:Y,"&lt;&gt;IL|2 Bedroom",'Rent Roll Analysis'!Y:Y,"&lt;&gt;AL|Studio",'Rent Roll Analysis'!Y:Y,"&lt;&gt;AL|Semi-Private",'Rent Roll Analysis'!Y:Y,"&lt;&gt;AL|1 Bedroom",'Rent Roll Analysis'!Y:Y,"&lt;&gt;MC|Studio",'Rent Roll Analysis'!Y:Y,"&lt;&gt;MC|Semi-Private",'Rent Roll Analysis'!T:T,"&gt;0"),0)</f>
        <v/>
      </c>
      <c r="R15" s="620">
        <f>COUNTIF('Rent Roll Analysis'!Y:Y,"?*")-R5-R6-R7-R9-R10-R11-R13-R14</f>
        <v/>
      </c>
      <c r="S15" s="664">
        <f>IFERROR(IF($O$2="Max",_xlfn.MAXIFS('Rent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Analysis'!X:X,"&lt;&gt;MC|Semi-Private"),AVERAGEIFS('Rent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Analysis'!X:X,"&lt;&gt;MC|Semi-Private",'Rent Roll Analysis'!I:I,"&gt;0")),0)</f>
        <v/>
      </c>
      <c r="T15" s="573">
        <f>IFERROR(S15*R15,0)</f>
        <v/>
      </c>
      <c r="U15" s="629">
        <f>IFERROR(S15/Q15,0)</f>
        <v/>
      </c>
      <c r="V15" s="616">
        <f>IFERROR(AVERAGE(H19,H36,H53),0)</f>
        <v/>
      </c>
      <c r="W15" s="574">
        <f>IFERROR(V15/S15-1,"")</f>
        <v/>
      </c>
      <c r="X15" s="573">
        <f>IFERROR(V15-S15,"")</f>
        <v/>
      </c>
      <c r="Y15" s="573">
        <f>IFERROR(V15*R15,0)</f>
        <v/>
      </c>
      <c r="Z15" s="636">
        <f>IFERROR(V15/Q15,0)</f>
        <v/>
      </c>
      <c r="AA15" s="674" t="n"/>
      <c r="AB15" s="575" t="n"/>
      <c r="AC15" s="576" t="n"/>
    </row>
    <row r="16" ht="18" customHeight="1" s="923">
      <c r="A16" s="93" t="n"/>
      <c r="B16" s="93" t="n"/>
      <c r="C16" s="93" t="n"/>
      <c r="D16" s="207" t="n"/>
      <c r="E16" s="208" t="n"/>
      <c r="F16" s="66" t="n"/>
      <c r="G16" s="66" t="n"/>
      <c r="H16" s="69">
        <f>IFERROR(F16+G16,0)</f>
        <v/>
      </c>
      <c r="I16" s="74" t="n"/>
      <c r="J16" s="93" t="n"/>
      <c r="K16" s="165">
        <f>IFERROR(F16/J16,0)</f>
        <v/>
      </c>
      <c r="L16" s="208" t="n"/>
      <c r="P16" s="579" t="inlineStr">
        <is>
          <t>Total / Average</t>
        </is>
      </c>
      <c r="Q16" s="614">
        <f>IFERROR((Q5*R5+Q6*R6+Q7*R7+Q9*R9+Q10*R10+Q11*R11+Q13*R13+Q14*R14+Q15*R15)/(R5+R6+R7+R9+R10+R11+R13+R14+R15),0)</f>
        <v/>
      </c>
      <c r="R16" s="622">
        <f>IFERROR(R5+R6+R7+R9+R10+R11+R13+R14+R15,0)</f>
        <v/>
      </c>
      <c r="S16" s="617">
        <f>IFERROR((R5*S5+R6*S6+R7*S7+R9*S9+R10*S10+R11*S11+R13*S13+R14*S14+R15*S15)/(R5+R6+R7+R9+R10+R11+R13+R14+R15),0)</f>
        <v/>
      </c>
      <c r="T16" s="580">
        <f>IFERROR(T5+T6+T7+T9+T10+T11+T13+T14+T15,0)</f>
        <v/>
      </c>
      <c r="U16" s="630">
        <f>IFERROR(T16/Q16,0)</f>
        <v/>
      </c>
      <c r="V16" s="617">
        <f>IFERROR((R5*V5+R6*V6+R7*V7+R9*V9+R10*V10+R11*V11+R13*V13+R14*V14+R15*V15)/(R5+R6+R7+R9+R10+R11+R13+R14+R15),0)</f>
        <v/>
      </c>
      <c r="W16" s="581">
        <f>IFERROR(V16/S16-1,"")</f>
        <v/>
      </c>
      <c r="X16" s="580">
        <f>IFERROR(V16-S16,"")</f>
        <v/>
      </c>
      <c r="Y16" s="580">
        <f>IFERROR(Y5+Y6+Y7+Y9+Y10+Y11+Y13+Y14+Y15,0)</f>
        <v/>
      </c>
      <c r="Z16" s="637">
        <f>IFERROR(Y16/Q16,0)</f>
        <v/>
      </c>
      <c r="AA16" s="675" t="n"/>
      <c r="AB16" s="582" t="n"/>
      <c r="AC16" s="583" t="n"/>
    </row>
    <row r="17" ht="22" customHeight="1" s="923">
      <c r="A17" s="68" t="n"/>
      <c r="B17" s="68" t="n"/>
      <c r="C17" s="68" t="n"/>
      <c r="D17" s="205" t="n"/>
      <c r="E17" s="206" t="n"/>
      <c r="F17" s="63" t="n"/>
      <c r="G17" s="63" t="n"/>
      <c r="H17" s="72">
        <f>IFERROR(F17+G17,0)</f>
        <v/>
      </c>
      <c r="I17" s="70" t="n"/>
      <c r="J17" s="68" t="n"/>
      <c r="K17" s="160">
        <f>IFERROR(F17/J17,0)</f>
        <v/>
      </c>
      <c r="L17" s="206" t="n"/>
      <c r="P17" s="561" t="inlineStr">
        <is>
          <t>VALUE-ADD UNITS  (manual inputs — negative R = removed, positive R = added)</t>
        </is>
      </c>
      <c r="Q17" s="558" t="n"/>
      <c r="R17" s="562" t="n"/>
      <c r="S17" s="558" t="n"/>
      <c r="T17" s="558" t="n"/>
      <c r="U17" s="566" t="n"/>
      <c r="V17" s="558" t="n"/>
      <c r="W17" s="558" t="n"/>
      <c r="X17" s="558" t="n"/>
      <c r="Y17" s="558" t="n"/>
      <c r="Z17" s="558" t="n"/>
      <c r="AA17" s="639" t="n"/>
      <c r="AB17" s="558" t="n"/>
      <c r="AC17" s="566" t="n"/>
    </row>
    <row r="18" ht="18" customHeight="1" s="923">
      <c r="A18" s="93" t="n"/>
      <c r="B18" s="93" t="n"/>
      <c r="C18" s="93" t="n"/>
      <c r="D18" s="207" t="n"/>
      <c r="E18" s="208" t="n"/>
      <c r="F18" s="66" t="n"/>
      <c r="G18" s="66" t="n"/>
      <c r="H18" s="69">
        <f>IFERROR(F18+G18,0)</f>
        <v/>
      </c>
      <c r="I18" s="74" t="n"/>
      <c r="J18" s="93" t="n"/>
      <c r="K18" s="165">
        <f>IFERROR(F18/J18,0)</f>
        <v/>
      </c>
      <c r="L18" s="208" t="n"/>
      <c r="P18" s="584" t="inlineStr">
        <is>
          <t xml:space="preserve">  IL — Value-Add</t>
        </is>
      </c>
      <c r="Q18" s="585" t="n"/>
      <c r="R18" s="623" t="n"/>
      <c r="S18" s="585" t="n"/>
      <c r="T18" s="585" t="n"/>
      <c r="U18" s="586" t="n"/>
      <c r="V18" s="585" t="n"/>
      <c r="W18" s="585" t="n"/>
      <c r="X18" s="585" t="n"/>
      <c r="Y18" s="585" t="n"/>
      <c r="Z18" s="585" t="n"/>
      <c r="AA18" s="640" t="n"/>
      <c r="AB18" s="585" t="n"/>
      <c r="AC18" s="586" t="n"/>
    </row>
    <row r="19" ht="16" customHeight="1" s="923">
      <c r="A19" s="112" t="inlineStr">
        <is>
          <t xml:space="preserve">  AVG — IN</t>
        </is>
      </c>
      <c r="F19" s="76">
        <f>IFERROR(AVERAGEIF(F7:F18,"&gt;"&amp;0),0)</f>
        <v/>
      </c>
      <c r="G19" s="76">
        <f>IFERROR(AVERAGEIF(G7:G18,"&gt;"&amp;0),0)</f>
        <v/>
      </c>
      <c r="H19" s="76">
        <f>IFERROR(AVERAGEIF(H7:H18,"&gt;"&amp;0),0)</f>
        <v/>
      </c>
      <c r="I19" s="117">
        <f>IFERROR(AVERAGEIF(I7:I18,"&gt;"&amp;0),0)</f>
        <v/>
      </c>
      <c r="P19" s="587" t="inlineStr">
        <is>
          <t xml:space="preserve">  Add row 1 (label me)</t>
        </is>
      </c>
      <c r="Q19" s="588" t="n"/>
      <c r="R19" s="624" t="n"/>
      <c r="S19" s="589" t="n"/>
      <c r="T19" s="590">
        <f>IFERROR(S19*R19,0)</f>
        <v/>
      </c>
      <c r="U19" s="631">
        <f>IFERROR(S19/Q19,0)</f>
        <v/>
      </c>
      <c r="V19" s="592">
        <f>IFERROR(H19,0)</f>
        <v/>
      </c>
      <c r="W19" s="593">
        <f>IFERROR(V19/S19-1,"")</f>
        <v/>
      </c>
      <c r="X19" s="590">
        <f>IFERROR(V19-S19,"")</f>
        <v/>
      </c>
      <c r="Y19" s="590">
        <f>IFERROR(V19*R19,0)</f>
        <v/>
      </c>
      <c r="Z19" s="591">
        <f>IFERROR(V19/Q19,0)</f>
        <v/>
      </c>
      <c r="AA19" s="641" t="n"/>
      <c r="AB19" s="575" t="n"/>
      <c r="AC19" s="576" t="n"/>
    </row>
    <row r="20" ht="16" customHeight="1" s="923">
      <c r="A20" s="210" t="inlineStr">
        <is>
          <t xml:space="preserve">  Subj. vs. Avg IN Rent</t>
        </is>
      </c>
      <c r="F20" s="204">
        <f>Scenarios!F38-F19</f>
        <v/>
      </c>
      <c r="P20" s="587" t="inlineStr">
        <is>
          <t xml:space="preserve">  Add row 2 (label me)</t>
        </is>
      </c>
      <c r="Q20" s="588" t="n"/>
      <c r="R20" s="624" t="n"/>
      <c r="S20" s="589" t="n"/>
      <c r="T20" s="590">
        <f>IFERROR(S20*R20,0)</f>
        <v/>
      </c>
      <c r="U20" s="631">
        <f>IFERROR(S20/Q20,0)</f>
        <v/>
      </c>
      <c r="V20" s="592">
        <f>IFERROR(H19,0)</f>
        <v/>
      </c>
      <c r="W20" s="593">
        <f>IFERROR(V20/S20-1,"")</f>
        <v/>
      </c>
      <c r="X20" s="590">
        <f>IFERROR(V20-S20,"")</f>
        <v/>
      </c>
      <c r="Y20" s="590">
        <f>IFERROR(V20*R20,0)</f>
        <v/>
      </c>
      <c r="Z20" s="591">
        <f>IFERROR(V20/Q20,0)</f>
        <v/>
      </c>
      <c r="AA20" s="641" t="n"/>
      <c r="AB20" s="575" t="n"/>
      <c r="AC20" s="576" t="n"/>
    </row>
    <row r="21" ht="18" customHeight="1" s="923">
      <c r="P21" s="594" t="inlineStr">
        <is>
          <t xml:space="preserve">  AL — Value-Add</t>
        </is>
      </c>
      <c r="Q21" s="577" t="n"/>
      <c r="R21" s="621" t="n"/>
      <c r="S21" s="577" t="n"/>
      <c r="T21" s="577" t="n"/>
      <c r="U21" s="578" t="n"/>
      <c r="V21" s="577" t="n"/>
      <c r="W21" s="577" t="n"/>
      <c r="X21" s="577" t="n"/>
      <c r="Y21" s="577" t="n"/>
      <c r="Z21" s="577" t="n"/>
      <c r="AA21" s="642" t="n"/>
      <c r="AB21" s="577" t="n"/>
      <c r="AC21" s="578" t="n"/>
    </row>
    <row r="22" ht="16" customHeight="1" s="923">
      <c r="A22" s="922" t="inlineStr">
        <is>
          <t>ASSISTED LIVING (AL) COMPS</t>
        </is>
      </c>
      <c r="P22" s="587" t="inlineStr">
        <is>
          <t xml:space="preserve">  Add row 1 (label me)</t>
        </is>
      </c>
      <c r="Q22" s="588" t="n"/>
      <c r="R22" s="624" t="n"/>
      <c r="S22" s="589" t="n"/>
      <c r="T22" s="590">
        <f>IFERROR(S22*R22,0)</f>
        <v/>
      </c>
      <c r="U22" s="631">
        <f>IFERROR(S22/Q22,0)</f>
        <v/>
      </c>
      <c r="V22" s="592">
        <f>IFERROR(H36,0)</f>
        <v/>
      </c>
      <c r="W22" s="593">
        <f>IFERROR(V22/S22-1,"")</f>
        <v/>
      </c>
      <c r="X22" s="590">
        <f>IFERROR(V22-S22,"")</f>
        <v/>
      </c>
      <c r="Y22" s="590">
        <f>IFERROR(V22*R22,0)</f>
        <v/>
      </c>
      <c r="Z22" s="591">
        <f>IFERROR(V22/Q22,0)</f>
        <v/>
      </c>
      <c r="AA22" s="641" t="n"/>
      <c r="AB22" s="575" t="n"/>
      <c r="AC22" s="576" t="n"/>
    </row>
    <row r="23" ht="16" customHeight="1" s="923">
      <c r="A23" s="19" t="inlineStr">
        <is>
          <t>Distance (mi)</t>
        </is>
      </c>
      <c r="B23" s="19" t="inlineStr">
        <is>
          <t>Vintage</t>
        </is>
      </c>
      <c r="C23" s="19" t="inlineStr">
        <is>
          <t>Units</t>
        </is>
      </c>
      <c r="D23" s="19" t="inlineStr">
        <is>
          <t>Type</t>
        </is>
      </c>
      <c r="E23" s="19" t="inlineStr">
        <is>
          <t>Property Name</t>
        </is>
      </c>
      <c r="F23" s="19" t="inlineStr">
        <is>
          <t>Base Rent/mo</t>
        </is>
      </c>
      <c r="G23" s="19" t="inlineStr">
        <is>
          <t>Care Fee/mo</t>
        </is>
      </c>
      <c r="H23" s="19" t="inlineStr">
        <is>
          <t>All-In Rate</t>
        </is>
      </c>
      <c r="I23" s="19" t="inlineStr">
        <is>
          <t>Occupancy %</t>
        </is>
      </c>
      <c r="J23" s="19" t="inlineStr">
        <is>
          <t>Sq Ft</t>
        </is>
      </c>
      <c r="K23" s="19" t="inlineStr">
        <is>
          <t>$/Sq Ft</t>
        </is>
      </c>
      <c r="L23" s="19" t="inlineStr">
        <is>
          <t>Notes</t>
        </is>
      </c>
      <c r="P23" s="587" t="inlineStr">
        <is>
          <t xml:space="preserve">  Add row 2 (label me)</t>
        </is>
      </c>
      <c r="Q23" s="588" t="n"/>
      <c r="R23" s="624" t="n"/>
      <c r="S23" s="589" t="n"/>
      <c r="T23" s="590">
        <f>IFERROR(S23*R23,0)</f>
        <v/>
      </c>
      <c r="U23" s="631">
        <f>IFERROR(S23/Q23,0)</f>
        <v/>
      </c>
      <c r="V23" s="592">
        <f>IFERROR(H36,0)</f>
        <v/>
      </c>
      <c r="W23" s="593">
        <f>IFERROR(V23/S23-1,"")</f>
        <v/>
      </c>
      <c r="X23" s="590">
        <f>IFERROR(V23-S23,"")</f>
        <v/>
      </c>
      <c r="Y23" s="590">
        <f>IFERROR(V23*R23,0)</f>
        <v/>
      </c>
      <c r="Z23" s="591">
        <f>IFERROR(V23/Q23,0)</f>
        <v/>
      </c>
      <c r="AA23" s="641" t="n"/>
      <c r="AB23" s="575" t="n"/>
      <c r="AC23" s="576" t="n"/>
    </row>
    <row r="24" ht="18" customHeight="1" s="923">
      <c r="A24" s="68" t="n"/>
      <c r="B24" s="68" t="n"/>
      <c r="C24" s="68" t="n"/>
      <c r="D24" s="205" t="n"/>
      <c r="E24" s="206" t="n"/>
      <c r="F24" s="63" t="n"/>
      <c r="G24" s="63" t="n"/>
      <c r="H24" s="72">
        <f>IFERROR(F24+G24,0)</f>
        <v/>
      </c>
      <c r="I24" s="70" t="n"/>
      <c r="J24" s="68" t="n"/>
      <c r="K24" s="160">
        <f>IFERROR(F24/J24,0)</f>
        <v/>
      </c>
      <c r="L24" s="206" t="n"/>
      <c r="P24" s="594" t="inlineStr">
        <is>
          <t xml:space="preserve">  MC — Value-Add</t>
        </is>
      </c>
      <c r="Q24" s="577" t="n"/>
      <c r="R24" s="621" t="n"/>
      <c r="S24" s="595" t="n"/>
      <c r="T24" s="596" t="n"/>
      <c r="U24" s="632" t="n"/>
      <c r="V24" s="577" t="n"/>
      <c r="W24" s="577" t="n"/>
      <c r="X24" s="577" t="n"/>
      <c r="Y24" s="577" t="n"/>
      <c r="Z24" s="577" t="n"/>
      <c r="AA24" s="642" t="n"/>
      <c r="AB24" s="577" t="n"/>
      <c r="AC24" s="578" t="n"/>
    </row>
    <row r="25" ht="16" customHeight="1" s="923">
      <c r="A25" s="93" t="n"/>
      <c r="B25" s="93" t="n"/>
      <c r="C25" s="93" t="n"/>
      <c r="D25" s="207" t="n"/>
      <c r="E25" s="208" t="n"/>
      <c r="F25" s="66" t="n"/>
      <c r="G25" s="66" t="n"/>
      <c r="H25" s="69">
        <f>IFERROR(F25+G25,0)</f>
        <v/>
      </c>
      <c r="I25" s="74" t="n"/>
      <c r="J25" s="93" t="n"/>
      <c r="K25" s="165">
        <f>IFERROR(F25/J25,0)</f>
        <v/>
      </c>
      <c r="L25" s="208" t="n"/>
      <c r="P25" s="587" t="inlineStr">
        <is>
          <t xml:space="preserve">  Add row 1 (label me)</t>
        </is>
      </c>
      <c r="Q25" s="588" t="n"/>
      <c r="R25" s="624" t="n"/>
      <c r="S25" s="589" t="n"/>
      <c r="T25" s="590">
        <f>IFERROR(S25*R25,0)</f>
        <v/>
      </c>
      <c r="U25" s="631">
        <f>IFERROR(S25/Q25,0)</f>
        <v/>
      </c>
      <c r="V25" s="592">
        <f>IFERROR(H53,0)</f>
        <v/>
      </c>
      <c r="W25" s="593">
        <f>IFERROR(V25/S25-1,"")</f>
        <v/>
      </c>
      <c r="X25" s="590">
        <f>IFERROR(V25-S25,"")</f>
        <v/>
      </c>
      <c r="Y25" s="590">
        <f>IFERROR(V25*R25,0)</f>
        <v/>
      </c>
      <c r="Z25" s="591">
        <f>IFERROR(V25/Q25,0)</f>
        <v/>
      </c>
      <c r="AA25" s="641" t="n"/>
      <c r="AB25" s="575" t="n"/>
      <c r="AC25" s="576" t="n"/>
    </row>
    <row r="26" ht="18" customHeight="1" s="923">
      <c r="A26" s="68" t="n"/>
      <c r="B26" s="68" t="n"/>
      <c r="C26" s="68" t="n"/>
      <c r="D26" s="205" t="n"/>
      <c r="E26" s="206" t="n"/>
      <c r="F26" s="63" t="n"/>
      <c r="G26" s="63" t="n"/>
      <c r="H26" s="72">
        <f>IFERROR(F26+G26,0)</f>
        <v/>
      </c>
      <c r="I26" s="70" t="n"/>
      <c r="J26" s="68" t="n"/>
      <c r="K26" s="160">
        <f>IFERROR(F26/J26,0)</f>
        <v/>
      </c>
      <c r="L26" s="206" t="n"/>
      <c r="P26" s="597" t="inlineStr">
        <is>
          <t xml:space="preserve">  Subtotal — Value-Add</t>
        </is>
      </c>
      <c r="Q26" s="598">
        <f t="array" ref="Q26">IFERROR(SUMPRODUCT(Q19:Q25,ABS(R19:R25))/SUMPRODUCT(ABS(R19:R25)),0)</f>
        <v/>
      </c>
      <c r="R26" s="625">
        <f>SUM(R19:R25)</f>
        <v/>
      </c>
      <c r="S26" s="599">
        <f t="array" ref="S26">IFERROR(SUMPRODUCT(S19:S25,ABS(R19:R25))/SUMPRODUCT(ABS(R19:R25)),0)</f>
        <v/>
      </c>
      <c r="T26" s="599">
        <f>SUM(T19:T25)</f>
        <v/>
      </c>
      <c r="U26" s="633">
        <f>IFERROR(T26/(Q26*R26),0)</f>
        <v/>
      </c>
      <c r="V26" s="599">
        <f t="array" ref="V26">IFERROR(SUMPRODUCT(V19:V25,ABS(R19:R25))/SUMPRODUCT(ABS(R19:R25)),0)</f>
        <v/>
      </c>
      <c r="W26" s="601">
        <f>IFERROR(V26/S26-1,"")</f>
        <v/>
      </c>
      <c r="X26" s="599">
        <f>IFERROR(V26-S26,"")</f>
        <v/>
      </c>
      <c r="Y26" s="599">
        <f>SUM(Y19:Y25)</f>
        <v/>
      </c>
      <c r="Z26" s="600">
        <f>IFERROR(Y26/(Q26*R26),0)</f>
        <v/>
      </c>
      <c r="AA26" s="643" t="n"/>
      <c r="AB26" s="602" t="n"/>
      <c r="AC26" s="603" t="n"/>
    </row>
    <row r="27" ht="20" customHeight="1" s="923" thickBot="1">
      <c r="A27" s="93" t="n"/>
      <c r="B27" s="93" t="n"/>
      <c r="C27" s="93" t="n"/>
      <c r="D27" s="207" t="n"/>
      <c r="E27" s="208" t="n"/>
      <c r="F27" s="66" t="n"/>
      <c r="G27" s="66" t="n"/>
      <c r="H27" s="69">
        <f>IFERROR(F27+G27,0)</f>
        <v/>
      </c>
      <c r="I27" s="74" t="n"/>
      <c r="J27" s="93" t="n"/>
      <c r="K27" s="165">
        <f>IFERROR(F27/J27,0)</f>
        <v/>
      </c>
      <c r="L27" s="208" t="n"/>
      <c r="P27" s="604" t="inlineStr">
        <is>
          <t>TOTAL — STABILIZED  (In-Place + Value-Add)</t>
        </is>
      </c>
      <c r="Q27" s="605">
        <f>IFERROR((Q16*R16+Q26*R26)/(R16+R26),0)</f>
        <v/>
      </c>
      <c r="R27" s="626">
        <f>R16+R26</f>
        <v/>
      </c>
      <c r="S27" s="606">
        <f>IFERROR((S16*R16+S26*R26)/(R16+R26),0)</f>
        <v/>
      </c>
      <c r="T27" s="606">
        <f>T16+T26</f>
        <v/>
      </c>
      <c r="U27" s="634">
        <f>IFERROR(T27/(Q27*R27),0)</f>
        <v/>
      </c>
      <c r="V27" s="606">
        <f>IFERROR((V16*R16+V26*R26)/(R16+R26),0)</f>
        <v/>
      </c>
      <c r="W27" s="608">
        <f>IFERROR(V27/S27-1,"")</f>
        <v/>
      </c>
      <c r="X27" s="606">
        <f>IFERROR(V27-S27,"")</f>
        <v/>
      </c>
      <c r="Y27" s="606">
        <f>Y16+Y26</f>
        <v/>
      </c>
      <c r="Z27" s="607">
        <f>IFERROR(Y27/(Q27*R27),0)</f>
        <v/>
      </c>
      <c r="AA27" s="644" t="n"/>
      <c r="AB27" s="609" t="n"/>
      <c r="AC27" s="610" t="n"/>
    </row>
    <row r="28" ht="8" customHeight="1" s="923" thickBot="1">
      <c r="A28" s="68" t="n"/>
      <c r="B28" s="68" t="n"/>
      <c r="C28" s="68" t="n"/>
      <c r="D28" s="205" t="n"/>
      <c r="E28" s="206" t="n"/>
      <c r="F28" s="63" t="n"/>
      <c r="G28" s="63" t="n"/>
      <c r="H28" s="72">
        <f>IFERROR(F28+G28,0)</f>
        <v/>
      </c>
      <c r="I28" s="70" t="n"/>
      <c r="J28" s="68" t="n"/>
      <c r="K28" s="160">
        <f>IFERROR(F28/J28,0)</f>
        <v/>
      </c>
      <c r="L28" s="206" t="n"/>
      <c r="P28" s="555" t="n"/>
      <c r="Q28" s="555" t="n"/>
      <c r="R28" s="555" t="n"/>
      <c r="S28" s="555" t="n"/>
      <c r="T28" s="555" t="n"/>
      <c r="U28" s="555" t="n"/>
      <c r="V28" s="555" t="n"/>
      <c r="W28" s="555" t="n"/>
      <c r="X28" s="555" t="n"/>
      <c r="Y28" s="555" t="n"/>
      <c r="Z28" s="555" t="n"/>
      <c r="AA28" s="555" t="n"/>
      <c r="AB28" s="555" t="n"/>
      <c r="AC28" s="555" t="n"/>
    </row>
    <row r="29" ht="22" customHeight="1" s="923">
      <c r="A29" s="93" t="n"/>
      <c r="B29" s="93" t="n"/>
      <c r="C29" s="93" t="n"/>
      <c r="D29" s="207" t="n"/>
      <c r="E29" s="208" t="n"/>
      <c r="F29" s="66" t="n"/>
      <c r="G29" s="66" t="n"/>
      <c r="H29" s="69">
        <f>IFERROR(F29+G29,0)</f>
        <v/>
      </c>
      <c r="I29" s="74" t="n"/>
      <c r="J29" s="93" t="n"/>
      <c r="K29" s="165">
        <f>IFERROR(F29/J29,0)</f>
        <v/>
      </c>
      <c r="L29" s="208" t="n"/>
      <c r="P29" s="647" t="inlineStr">
        <is>
          <t>SUMMARY</t>
        </is>
      </c>
      <c r="Q29" s="646" t="inlineStr">
        <is>
          <t>Toggle Avg/Max at O2 to flex Current rents</t>
        </is>
      </c>
      <c r="R29" s="646" t="n"/>
      <c r="S29" s="658" t="n"/>
      <c r="T29" s="646" t="n"/>
      <c r="U29" s="646" t="n"/>
      <c r="V29" s="658" t="n"/>
      <c r="W29" s="646" t="n"/>
      <c r="X29" s="646" t="n"/>
      <c r="Y29" s="658" t="n"/>
      <c r="Z29" s="646" t="n"/>
      <c r="AA29" s="646" t="n"/>
      <c r="AB29" s="658" t="n"/>
      <c r="AC29" s="649" t="n"/>
    </row>
    <row r="30" ht="20" customHeight="1" s="923">
      <c r="A30" s="68" t="n"/>
      <c r="B30" s="68" t="n"/>
      <c r="C30" s="68" t="n"/>
      <c r="D30" s="205" t="n"/>
      <c r="E30" s="206" t="n"/>
      <c r="F30" s="63" t="n"/>
      <c r="G30" s="63" t="n"/>
      <c r="H30" s="72">
        <f>IFERROR(F30+G30,0)</f>
        <v/>
      </c>
      <c r="I30" s="70" t="n"/>
      <c r="J30" s="68" t="n"/>
      <c r="K30" s="160">
        <f>IFERROR(F30/J30,0)</f>
        <v/>
      </c>
      <c r="L30" s="206" t="n"/>
      <c r="P30" s="648" t="n"/>
      <c r="S30" s="659" t="inlineStr">
        <is>
          <t>Current (In-Place)</t>
        </is>
      </c>
      <c r="V30" s="659" t="inlineStr">
        <is>
          <t>Target (Comp Repriced)</t>
        </is>
      </c>
      <c r="Y30" s="659" t="inlineStr">
        <is>
          <t>Projected (Stabilized)</t>
        </is>
      </c>
      <c r="AB30" s="659" t="inlineStr">
        <is>
          <t>T-12 Actual</t>
        </is>
      </c>
      <c r="AC30" s="650" t="n"/>
    </row>
    <row r="31" ht="17" customHeight="1" s="923">
      <c r="A31" s="93" t="n"/>
      <c r="B31" s="93" t="n"/>
      <c r="C31" s="93" t="n"/>
      <c r="D31" s="207" t="n"/>
      <c r="E31" s="208" t="n"/>
      <c r="F31" s="66" t="n"/>
      <c r="G31" s="66" t="n"/>
      <c r="H31" s="69">
        <f>IFERROR(F31+G31,0)</f>
        <v/>
      </c>
      <c r="I31" s="74" t="n"/>
      <c r="J31" s="93" t="n"/>
      <c r="K31" s="165">
        <f>IFERROR(F31/J31,0)</f>
        <v/>
      </c>
      <c r="L31" s="208" t="n"/>
      <c r="P31" s="651" t="inlineStr">
        <is>
          <t>Gross Potential Revenue / mo</t>
        </is>
      </c>
      <c r="Q31" s="652" t="n"/>
      <c r="R31" s="652" t="n"/>
      <c r="S31" s="660">
        <f>IFERROR(T16,0)</f>
        <v/>
      </c>
      <c r="T31" s="652" t="n"/>
      <c r="U31" s="652" t="n"/>
      <c r="V31" s="660">
        <f>IFERROR(Y16,0)</f>
        <v/>
      </c>
      <c r="W31" s="652" t="n"/>
      <c r="X31" s="652" t="n"/>
      <c r="Y31" s="660">
        <f>IFERROR(T27,0)</f>
        <v/>
      </c>
      <c r="Z31" s="652" t="n"/>
      <c r="AA31" s="652" t="inlineStr">
        <is>
          <t>Sum of In-Place rows T5:T15 (Avg/Max toggle drives this)</t>
        </is>
      </c>
      <c r="AB31" s="660">
        <f>IFERROR('T-12 Analysis'!N83/12,0)</f>
        <v/>
      </c>
      <c r="AC31" s="669" t="inlineStr">
        <is>
          <t>T-12 historical GPR (12-mo billed rent before vacancy/LtL)</t>
        </is>
      </c>
    </row>
    <row r="32" ht="17" customHeight="1" s="923">
      <c r="A32" s="68" t="n"/>
      <c r="B32" s="68" t="n"/>
      <c r="C32" s="68" t="n"/>
      <c r="D32" s="205" t="n"/>
      <c r="E32" s="206" t="n"/>
      <c r="F32" s="63" t="n"/>
      <c r="G32" s="63" t="n"/>
      <c r="H32" s="72">
        <f>IFERROR(F32+G32,0)</f>
        <v/>
      </c>
      <c r="I32" s="70" t="n"/>
      <c r="J32" s="68" t="n"/>
      <c r="K32" s="160">
        <f>IFERROR(F32/J32,0)</f>
        <v/>
      </c>
      <c r="L32" s="206" t="n"/>
      <c r="P32" s="653" t="inlineStr">
        <is>
          <t>Gross Potential Revenue / yr (annualized)</t>
        </is>
      </c>
      <c r="Q32" s="575" t="n"/>
      <c r="R32" s="575" t="n"/>
      <c r="S32" s="661">
        <f>IFERROR(S31*12,0)</f>
        <v/>
      </c>
      <c r="T32" s="575" t="n"/>
      <c r="U32" s="575" t="n"/>
      <c r="V32" s="661">
        <f>IFERROR(V31*12,0)</f>
        <v/>
      </c>
      <c r="W32" s="575" t="n"/>
      <c r="X32" s="575" t="n"/>
      <c r="Y32" s="661">
        <f>IFERROR(Y31*12,0)</f>
        <v/>
      </c>
      <c r="Z32" s="575" t="n"/>
      <c r="AA32" s="654" t="inlineStr">
        <is>
          <t>row 31 x 12</t>
        </is>
      </c>
      <c r="AB32" s="661">
        <f>IFERROR('T-12 Analysis'!N83,0)</f>
        <v/>
      </c>
      <c r="AC32" s="670" t="inlineStr">
        <is>
          <t>From T-12!N58 Gross Potential Rent</t>
        </is>
      </c>
    </row>
    <row r="33" ht="17" customHeight="1" s="923">
      <c r="A33" s="93" t="n"/>
      <c r="B33" s="93" t="n"/>
      <c r="C33" s="93" t="n"/>
      <c r="D33" s="207" t="n"/>
      <c r="E33" s="208" t="n"/>
      <c r="F33" s="66" t="n"/>
      <c r="G33" s="66" t="n"/>
      <c r="H33" s="69">
        <f>IFERROR(F33+G33,0)</f>
        <v/>
      </c>
      <c r="I33" s="74" t="n"/>
      <c r="J33" s="93" t="n"/>
      <c r="K33" s="165">
        <f>IFERROR(F33/J33,0)</f>
        <v/>
      </c>
      <c r="L33" s="208" t="n"/>
      <c r="P33" s="655" t="inlineStr">
        <is>
          <t>Implied Avg Rate / Bed / mo</t>
        </is>
      </c>
      <c r="Q33" s="656" t="n"/>
      <c r="R33" s="656" t="n"/>
      <c r="S33" s="662">
        <f>IFERROR(S31/R16,0)</f>
        <v/>
      </c>
      <c r="T33" s="656" t="n"/>
      <c r="U33" s="656" t="n"/>
      <c r="V33" s="662">
        <f>IFERROR(V31/R16,0)</f>
        <v/>
      </c>
      <c r="W33" s="656" t="n"/>
      <c r="X33" s="656" t="n"/>
      <c r="Y33" s="662">
        <f>IFERROR(Y31/R27,0)</f>
        <v/>
      </c>
      <c r="Z33" s="656" t="n"/>
      <c r="AA33" s="657" t="inlineStr">
        <is>
          <t>row 31 / R16 (in-place); Projected uses R27 (stabilized)</t>
        </is>
      </c>
      <c r="AB33" s="662">
        <f>IFERROR('T-12 Analysis'!N83/12/'Prop Info'!B15,0)</f>
        <v/>
      </c>
      <c r="AC33" s="671" t="inlineStr">
        <is>
          <t>divided by 12 / licensed beds</t>
        </is>
      </c>
    </row>
    <row r="34" ht="17" customHeight="1" s="923" thickBot="1">
      <c r="A34" s="68" t="n"/>
      <c r="B34" s="68" t="n"/>
      <c r="C34" s="68" t="n"/>
      <c r="D34" s="205" t="n"/>
      <c r="E34" s="206" t="n"/>
      <c r="F34" s="63" t="n"/>
      <c r="G34" s="63" t="n"/>
      <c r="H34" s="72">
        <f>IFERROR(F34+G34,0)</f>
        <v/>
      </c>
      <c r="I34" s="70" t="n"/>
      <c r="J34" s="68" t="n"/>
      <c r="K34" s="160">
        <f>IFERROR(F34/J34,0)</f>
        <v/>
      </c>
      <c r="L34" s="206" t="n"/>
      <c r="P34" s="665" t="inlineStr">
        <is>
          <t>Gap vs Current ($/mo)</t>
        </is>
      </c>
      <c r="Q34" s="666" t="n"/>
      <c r="R34" s="666" t="n"/>
      <c r="S34" s="667" t="inlineStr">
        <is>
          <t>-</t>
        </is>
      </c>
      <c r="T34" s="666" t="n"/>
      <c r="U34" s="666" t="n"/>
      <c r="V34" s="667">
        <f>IFERROR(V31-S31,"")</f>
        <v/>
      </c>
      <c r="W34" s="666" t="n"/>
      <c r="X34" s="666" t="n"/>
      <c r="Y34" s="667">
        <f>IFERROR(Y31-S31,"")</f>
        <v/>
      </c>
      <c r="Z34" s="666" t="n"/>
      <c r="AA34" s="668" t="inlineStr">
        <is>
          <t>Uplift opportunity vs in-place</t>
        </is>
      </c>
      <c r="AB34" s="667">
        <f>IFERROR(AB31-S31,"")</f>
        <v/>
      </c>
      <c r="AC34" s="672" t="inlineStr">
        <is>
          <t>Positive = current rent roll below historical; negative = above</t>
        </is>
      </c>
    </row>
    <row r="35" ht="18" customHeight="1" s="923">
      <c r="A35" s="93" t="n"/>
      <c r="B35" s="93" t="n"/>
      <c r="C35" s="93" t="n"/>
      <c r="D35" s="207" t="n"/>
      <c r="E35" s="208" t="n"/>
      <c r="F35" s="66" t="n"/>
      <c r="G35" s="66" t="n"/>
      <c r="H35" s="69">
        <f>IFERROR(F35+G35,0)</f>
        <v/>
      </c>
      <c r="I35" s="74" t="n"/>
      <c r="J35" s="93" t="n"/>
      <c r="K35" s="165">
        <f>IFERROR(F35/J35,0)</f>
        <v/>
      </c>
      <c r="L35" s="208" t="n"/>
    </row>
    <row r="36" ht="18" customHeight="1" s="923">
      <c r="A36" s="112" t="inlineStr">
        <is>
          <t xml:space="preserve">  AVG — AS</t>
        </is>
      </c>
      <c r="F36" s="76">
        <f>IFERROR(AVERAGEIF(F24:F35,"&gt;"&amp;0),0)</f>
        <v/>
      </c>
      <c r="G36" s="76">
        <f>IFERROR(AVERAGEIF(G24:G35,"&gt;"&amp;0),0)</f>
        <v/>
      </c>
      <c r="H36" s="76">
        <f>IFERROR(AVERAGEIF(H24:H35,"&gt;"&amp;0),0)</f>
        <v/>
      </c>
      <c r="I36" s="117">
        <f>IFERROR(AVERAGEIF(I24:I35,"&gt;"&amp;0),0)</f>
        <v/>
      </c>
    </row>
    <row r="37" ht="18" customHeight="1" s="923">
      <c r="A37" s="210" t="inlineStr">
        <is>
          <t xml:space="preserve">  Subj. vs. Avg AS Rent</t>
        </is>
      </c>
      <c r="F37" s="204">
        <f>Scenarios!F38-F36</f>
        <v/>
      </c>
    </row>
    <row r="39" ht="24" customHeight="1" s="923">
      <c r="A39" s="924" t="inlineStr">
        <is>
          <t>MEMORY CARE (MC) COMPS</t>
        </is>
      </c>
    </row>
    <row r="40" ht="30" customHeight="1" s="923">
      <c r="A40" s="178" t="inlineStr">
        <is>
          <t>Distance (mi)</t>
        </is>
      </c>
      <c r="B40" s="178" t="inlineStr">
        <is>
          <t>Vintage</t>
        </is>
      </c>
      <c r="C40" s="178" t="inlineStr">
        <is>
          <t>Units</t>
        </is>
      </c>
      <c r="D40" s="178" t="inlineStr">
        <is>
          <t>Type</t>
        </is>
      </c>
      <c r="E40" s="178" t="inlineStr">
        <is>
          <t>Property Name</t>
        </is>
      </c>
      <c r="F40" s="178" t="inlineStr">
        <is>
          <t>Base Rent/mo</t>
        </is>
      </c>
      <c r="G40" s="178" t="inlineStr">
        <is>
          <t>Care Fee/mo</t>
        </is>
      </c>
      <c r="H40" s="178" t="inlineStr">
        <is>
          <t>All-In Rate</t>
        </is>
      </c>
      <c r="I40" s="178" t="inlineStr">
        <is>
          <t>Occupancy %</t>
        </is>
      </c>
      <c r="J40" s="178" t="inlineStr">
        <is>
          <t>Sq Ft</t>
        </is>
      </c>
      <c r="K40" s="178" t="inlineStr">
        <is>
          <t>$/Sq Ft</t>
        </is>
      </c>
      <c r="L40" s="178" t="inlineStr">
        <is>
          <t>Notes</t>
        </is>
      </c>
    </row>
    <row r="41" ht="18" customHeight="1" s="923">
      <c r="A41" s="68" t="n"/>
      <c r="B41" s="68" t="n"/>
      <c r="C41" s="68" t="n"/>
      <c r="D41" s="205" t="n"/>
      <c r="E41" s="206" t="n"/>
      <c r="F41" s="63" t="n"/>
      <c r="G41" s="63" t="n"/>
      <c r="H41" s="72">
        <f>IFERROR(F41+G41,0)</f>
        <v/>
      </c>
      <c r="I41" s="70" t="n"/>
      <c r="J41" s="68" t="n"/>
      <c r="K41" s="160">
        <f>IFERROR(F41/J41,0)</f>
        <v/>
      </c>
      <c r="L41" s="206" t="n"/>
    </row>
    <row r="42" ht="18" customHeight="1" s="923">
      <c r="A42" s="93" t="n"/>
      <c r="B42" s="93" t="n"/>
      <c r="C42" s="93" t="n"/>
      <c r="D42" s="207" t="n"/>
      <c r="E42" s="208" t="n"/>
      <c r="F42" s="66" t="n"/>
      <c r="G42" s="66" t="n"/>
      <c r="H42" s="69">
        <f>IFERROR(F42+G42,0)</f>
        <v/>
      </c>
      <c r="I42" s="74" t="n"/>
      <c r="J42" s="93" t="n"/>
      <c r="K42" s="165">
        <f>IFERROR(F42/J42,0)</f>
        <v/>
      </c>
      <c r="L42" s="208" t="n"/>
    </row>
    <row r="43" ht="18" customHeight="1" s="923">
      <c r="A43" s="68" t="n"/>
      <c r="B43" s="68" t="n"/>
      <c r="C43" s="68" t="n"/>
      <c r="D43" s="205" t="n"/>
      <c r="E43" s="206" t="n"/>
      <c r="F43" s="63" t="n"/>
      <c r="G43" s="63" t="n"/>
      <c r="H43" s="72">
        <f>IFERROR(F43+G43,0)</f>
        <v/>
      </c>
      <c r="I43" s="70" t="n"/>
      <c r="J43" s="68" t="n"/>
      <c r="K43" s="160">
        <f>IFERROR(F43/J43,0)</f>
        <v/>
      </c>
      <c r="L43" s="206" t="n"/>
    </row>
    <row r="44" ht="18" customHeight="1" s="923">
      <c r="A44" s="93" t="n"/>
      <c r="B44" s="93" t="n"/>
      <c r="C44" s="93" t="n"/>
      <c r="D44" s="207" t="n"/>
      <c r="E44" s="208" t="n"/>
      <c r="F44" s="66" t="n"/>
      <c r="G44" s="66" t="n"/>
      <c r="H44" s="69">
        <f>IFERROR(F44+G44,0)</f>
        <v/>
      </c>
      <c r="I44" s="74" t="n"/>
      <c r="J44" s="93" t="n"/>
      <c r="K44" s="165">
        <f>IFERROR(F44/J44,0)</f>
        <v/>
      </c>
      <c r="L44" s="208" t="n"/>
    </row>
    <row r="45" ht="18" customHeight="1" s="923">
      <c r="A45" s="68" t="n"/>
      <c r="B45" s="68" t="n"/>
      <c r="C45" s="68" t="n"/>
      <c r="D45" s="205" t="n"/>
      <c r="E45" s="206" t="n"/>
      <c r="F45" s="63" t="n"/>
      <c r="G45" s="63" t="n"/>
      <c r="H45" s="72">
        <f>IFERROR(F45+G45,0)</f>
        <v/>
      </c>
      <c r="I45" s="70" t="n"/>
      <c r="J45" s="68" t="n"/>
      <c r="K45" s="160">
        <f>IFERROR(F45/J45,0)</f>
        <v/>
      </c>
      <c r="L45" s="206" t="n"/>
    </row>
    <row r="46" ht="18" customHeight="1" s="923">
      <c r="A46" s="93" t="n"/>
      <c r="B46" s="93" t="n"/>
      <c r="C46" s="93" t="n"/>
      <c r="D46" s="207" t="n"/>
      <c r="E46" s="208" t="n"/>
      <c r="F46" s="66" t="n"/>
      <c r="G46" s="66" t="n"/>
      <c r="H46" s="69">
        <f>IFERROR(F46+G46,0)</f>
        <v/>
      </c>
      <c r="I46" s="74" t="n"/>
      <c r="J46" s="93" t="n"/>
      <c r="K46" s="165">
        <f>IFERROR(F46/J46,0)</f>
        <v/>
      </c>
      <c r="L46" s="208" t="n"/>
    </row>
    <row r="47" ht="18" customHeight="1" s="923">
      <c r="A47" s="68" t="n"/>
      <c r="B47" s="68" t="n"/>
      <c r="C47" s="68" t="n"/>
      <c r="D47" s="205" t="n"/>
      <c r="E47" s="206" t="n"/>
      <c r="F47" s="63" t="n"/>
      <c r="G47" s="63" t="n"/>
      <c r="H47" s="72">
        <f>IFERROR(F47+G47,0)</f>
        <v/>
      </c>
      <c r="I47" s="70" t="n"/>
      <c r="J47" s="68" t="n"/>
      <c r="K47" s="160">
        <f>IFERROR(F47/J47,0)</f>
        <v/>
      </c>
      <c r="L47" s="206" t="n"/>
    </row>
    <row r="48" ht="18" customHeight="1" s="923">
      <c r="A48" s="93" t="n"/>
      <c r="B48" s="93" t="n"/>
      <c r="C48" s="93" t="n"/>
      <c r="D48" s="207" t="n"/>
      <c r="E48" s="208" t="n"/>
      <c r="F48" s="66" t="n"/>
      <c r="G48" s="66" t="n"/>
      <c r="H48" s="69">
        <f>IFERROR(F48+G48,0)</f>
        <v/>
      </c>
      <c r="I48" s="74" t="n"/>
      <c r="J48" s="93" t="n"/>
      <c r="K48" s="165">
        <f>IFERROR(F48/J48,0)</f>
        <v/>
      </c>
      <c r="L48" s="208" t="n"/>
    </row>
    <row r="49" ht="18" customHeight="1" s="923">
      <c r="A49" s="68" t="n"/>
      <c r="B49" s="68" t="n"/>
      <c r="C49" s="68" t="n"/>
      <c r="D49" s="205" t="n"/>
      <c r="E49" s="206" t="n"/>
      <c r="F49" s="63" t="n"/>
      <c r="G49" s="63" t="n"/>
      <c r="H49" s="72">
        <f>IFERROR(F49+G49,0)</f>
        <v/>
      </c>
      <c r="I49" s="70" t="n"/>
      <c r="J49" s="68" t="n"/>
      <c r="K49" s="160">
        <f>IFERROR(F49/J49,0)</f>
        <v/>
      </c>
      <c r="L49" s="206" t="n"/>
    </row>
    <row r="50" ht="18" customHeight="1" s="923">
      <c r="A50" s="93" t="n"/>
      <c r="B50" s="93" t="n"/>
      <c r="C50" s="93" t="n"/>
      <c r="D50" s="207" t="n"/>
      <c r="E50" s="208" t="n"/>
      <c r="F50" s="66" t="n"/>
      <c r="G50" s="66" t="n"/>
      <c r="H50" s="69">
        <f>IFERROR(F50+G50,0)</f>
        <v/>
      </c>
      <c r="I50" s="74" t="n"/>
      <c r="J50" s="93" t="n"/>
      <c r="K50" s="165">
        <f>IFERROR(F50/J50,0)</f>
        <v/>
      </c>
      <c r="L50" s="208" t="n"/>
    </row>
    <row r="51" ht="18" customHeight="1" s="923">
      <c r="A51" s="68" t="n"/>
      <c r="B51" s="68" t="n"/>
      <c r="C51" s="68" t="n"/>
      <c r="D51" s="205" t="n"/>
      <c r="E51" s="206" t="n"/>
      <c r="F51" s="63" t="n"/>
      <c r="G51" s="63" t="n"/>
      <c r="H51" s="72">
        <f>IFERROR(F51+G51,0)</f>
        <v/>
      </c>
      <c r="I51" s="70" t="n"/>
      <c r="J51" s="68" t="n"/>
      <c r="K51" s="160">
        <f>IFERROR(F51/J51,0)</f>
        <v/>
      </c>
      <c r="L51" s="206" t="n"/>
    </row>
    <row r="52" ht="18" customHeight="1" s="923">
      <c r="A52" s="93" t="n"/>
      <c r="B52" s="93" t="n"/>
      <c r="C52" s="93" t="n"/>
      <c r="D52" s="207" t="n"/>
      <c r="E52" s="208" t="n"/>
      <c r="F52" s="66" t="n"/>
      <c r="G52" s="66" t="n"/>
      <c r="H52" s="69">
        <f>IFERROR(F52+G52,0)</f>
        <v/>
      </c>
      <c r="I52" s="74" t="n"/>
      <c r="J52" s="93" t="n"/>
      <c r="K52" s="165">
        <f>IFERROR(F52/J52,0)</f>
        <v/>
      </c>
      <c r="L52" s="208" t="n"/>
    </row>
    <row r="53" ht="18" customHeight="1" s="923">
      <c r="A53" s="112" t="inlineStr">
        <is>
          <t xml:space="preserve">  AVG — ME</t>
        </is>
      </c>
      <c r="F53" s="76">
        <f>IFERROR(AVERAGEIF(F41:F52,"&gt;"&amp;0),0)</f>
        <v/>
      </c>
      <c r="G53" s="76">
        <f>IFERROR(AVERAGEIF(G41:G52,"&gt;"&amp;0),0)</f>
        <v/>
      </c>
      <c r="H53" s="76">
        <f>IFERROR(AVERAGEIF(H41:H52,"&gt;"&amp;0),0)</f>
        <v/>
      </c>
      <c r="I53" s="117">
        <f>IFERROR(AVERAGEIF(I41:I52,"&gt;"&amp;0),0)</f>
        <v/>
      </c>
    </row>
    <row r="54" ht="18" customHeight="1" s="923">
      <c r="A54" s="210" t="inlineStr">
        <is>
          <t xml:space="preserve">  Subj. vs. Avg ME Rent</t>
        </is>
      </c>
      <c r="F54" s="204">
        <f>Scenarios!F38-F53</f>
        <v/>
      </c>
    </row>
  </sheetData>
  <mergeCells count="11">
    <mergeCell ref="A2:L2"/>
    <mergeCell ref="P1:AA1"/>
    <mergeCell ref="V2:Z2"/>
    <mergeCell ref="P8:AA8"/>
    <mergeCell ref="A1:L1"/>
    <mergeCell ref="A5:L5"/>
    <mergeCell ref="A22:L22"/>
    <mergeCell ref="A39:L39"/>
    <mergeCell ref="S2:U2"/>
    <mergeCell ref="P12:AA12"/>
    <mergeCell ref="P4:AA4"/>
  </mergeCells>
  <dataValidations disablePrompts="1" count="1">
    <dataValidation sqref="O2" showDropDown="0" showInputMessage="1" showErrorMessage="1" allowBlank="1" errorTitle="Rent Basis" error="Choose Average or Max" type="list">
      <formula1>"Average,Max"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zoomScaleNormal="100" workbookViewId="0">
      <selection activeCell="D52" sqref="D52"/>
    </sheetView>
  </sheetViews>
  <sheetFormatPr baseColWidth="10" defaultColWidth="8.83203125" defaultRowHeight="15"/>
  <cols>
    <col width="32" customWidth="1" style="923" min="1" max="1"/>
    <col width="10" customWidth="1" style="923" min="2" max="2"/>
    <col width="14" customWidth="1" style="923" min="3" max="7"/>
  </cols>
  <sheetData>
    <row r="1" ht="24" customHeight="1" s="923">
      <c r="A1" s="938" t="inlineStr">
        <is>
          <t>CAPITAL EXPENDITURE BUDGET — DETAILED BREAKDOWN</t>
        </is>
      </c>
    </row>
    <row r="2" ht="15.75" customHeight="1" s="923">
      <c r="A2" s="934" t="inlineStr">
        <is>
          <t xml:space="preserve">  Classify each item as Value-Add (VA) or Maintenance (M). VA flows into LTC; Maintenance is operating reserve.</t>
        </is>
      </c>
    </row>
    <row r="3" ht="30" customHeight="1" s="923">
      <c r="A3" s="32" t="inlineStr">
        <is>
          <t>Item</t>
        </is>
      </c>
      <c r="B3" s="32" t="inlineStr">
        <is>
          <t>Qty</t>
        </is>
      </c>
      <c r="C3" s="32" t="inlineStr">
        <is>
          <t>Unit Cost</t>
        </is>
      </c>
      <c r="D3" s="32" t="inlineStr">
        <is>
          <t>Total Cost</t>
        </is>
      </c>
      <c r="E3" s="32" t="inlineStr">
        <is>
          <t>VA or M?</t>
        </is>
      </c>
      <c r="F3" s="32" t="inlineStr">
        <is>
          <t>Funded By</t>
        </is>
      </c>
      <c r="G3" s="32" t="inlineStr">
        <is>
          <t>Notes</t>
        </is>
      </c>
    </row>
    <row r="4" ht="19.5" customHeight="1" s="923">
      <c r="A4" s="945" t="inlineStr">
        <is>
          <t xml:space="preserve">  EXTERIOR &amp; GROUNDS</t>
        </is>
      </c>
    </row>
    <row r="5" ht="18" customHeight="1" s="923">
      <c r="A5" s="62" t="inlineStr">
        <is>
          <t>Roof Replacement</t>
        </is>
      </c>
      <c r="B5" s="68" t="n"/>
      <c r="C5" s="63" t="n"/>
      <c r="D5" s="72">
        <f>B5*C5</f>
        <v/>
      </c>
      <c r="E5" s="205" t="n"/>
      <c r="F5" s="205" t="n"/>
    </row>
    <row r="6" ht="18" customHeight="1" s="923">
      <c r="A6" s="65" t="inlineStr">
        <is>
          <t>Parking Lot Resurface</t>
        </is>
      </c>
      <c r="B6" s="93" t="n"/>
      <c r="C6" s="66" t="n"/>
      <c r="D6" s="69">
        <f>B6*C6</f>
        <v/>
      </c>
      <c r="E6" s="207" t="n"/>
      <c r="F6" s="207" t="n"/>
    </row>
    <row r="7" ht="18" customHeight="1" s="923">
      <c r="A7" s="62" t="inlineStr">
        <is>
          <t>Landscaping / Curb Appeal</t>
        </is>
      </c>
      <c r="B7" s="68" t="n"/>
      <c r="C7" s="63" t="n"/>
      <c r="D7" s="72">
        <f>B7*C7</f>
        <v/>
      </c>
      <c r="E7" s="205" t="n"/>
      <c r="F7" s="205" t="n"/>
    </row>
    <row r="8" ht="18" customHeight="1" s="923">
      <c r="A8" s="65" t="inlineStr">
        <is>
          <t>Signage</t>
        </is>
      </c>
      <c r="B8" s="93" t="n"/>
      <c r="C8" s="66" t="n"/>
      <c r="D8" s="69">
        <f>B8*C8</f>
        <v/>
      </c>
      <c r="E8" s="207" t="n"/>
      <c r="F8" s="207" t="n"/>
    </row>
    <row r="9" ht="18" customHeight="1" s="923">
      <c r="A9" s="62" t="inlineStr">
        <is>
          <t>Exterior Paint / Siding</t>
        </is>
      </c>
      <c r="B9" s="68" t="n"/>
      <c r="C9" s="63" t="n"/>
      <c r="D9" s="72">
        <f>B9*C9</f>
        <v/>
      </c>
      <c r="E9" s="205" t="n"/>
      <c r="F9" s="205" t="n"/>
    </row>
    <row r="10" ht="18" customHeight="1" s="923">
      <c r="A10" s="65" t="inlineStr">
        <is>
          <t>Lighting (exterior)</t>
        </is>
      </c>
      <c r="B10" s="93" t="n"/>
      <c r="C10" s="66" t="n"/>
      <c r="D10" s="69">
        <f>B10*C10</f>
        <v/>
      </c>
      <c r="E10" s="207" t="n"/>
      <c r="F10" s="207" t="n"/>
    </row>
    <row r="11" ht="18" customHeight="1" s="923">
      <c r="A11" s="119" t="inlineStr">
        <is>
          <t xml:space="preserve">  Subtotal — EXTERIOR &amp; GROUNDS</t>
        </is>
      </c>
      <c r="D11" s="75">
        <f>SUM(D5:D10)</f>
        <v/>
      </c>
    </row>
    <row r="13" ht="19.5" customHeight="1" s="923">
      <c r="A13" s="945" t="inlineStr">
        <is>
          <t xml:space="preserve">  COMMON AREAS</t>
        </is>
      </c>
    </row>
    <row r="14" ht="18" customHeight="1" s="923">
      <c r="A14" s="62" t="inlineStr">
        <is>
          <t>Lobby / Reception Renovation</t>
        </is>
      </c>
      <c r="B14" s="68" t="n">
        <v>1</v>
      </c>
      <c r="C14" s="63" t="n"/>
      <c r="D14" s="72">
        <f>B14*C14</f>
        <v/>
      </c>
      <c r="E14" s="205" t="inlineStr">
        <is>
          <t>M</t>
        </is>
      </c>
      <c r="F14" s="205" t="n"/>
      <c r="G14" t="inlineStr">
        <is>
          <t>Placeholders</t>
        </is>
      </c>
    </row>
    <row r="15" ht="18" customHeight="1" s="923">
      <c r="A15" s="65" t="inlineStr">
        <is>
          <t>Dining Room Renovation</t>
        </is>
      </c>
      <c r="B15" s="93" t="n"/>
      <c r="C15" s="66" t="n"/>
      <c r="D15" s="69">
        <f>B15*C15</f>
        <v/>
      </c>
      <c r="E15" s="207" t="n"/>
      <c r="F15" s="207" t="n"/>
      <c r="G15" t="inlineStr">
        <is>
          <t>Placeholders</t>
        </is>
      </c>
    </row>
    <row r="16" ht="18" customHeight="1" s="923">
      <c r="A16" s="62" t="inlineStr">
        <is>
          <t>Activity Room Renovation</t>
        </is>
      </c>
      <c r="B16" s="68" t="n"/>
      <c r="C16" s="63" t="n"/>
      <c r="D16" s="72">
        <f>B16*C16</f>
        <v/>
      </c>
      <c r="E16" s="205" t="n"/>
      <c r="F16" s="205" t="n"/>
      <c r="G16" t="inlineStr">
        <is>
          <t>Placeholders</t>
        </is>
      </c>
    </row>
    <row r="17" ht="18" customHeight="1" s="923">
      <c r="A17" s="65" t="inlineStr">
        <is>
          <t>Hallway Flooring</t>
        </is>
      </c>
      <c r="B17" s="93" t="n"/>
      <c r="C17" s="66" t="n"/>
      <c r="D17" s="69">
        <f>B17*C17</f>
        <v/>
      </c>
      <c r="E17" s="207" t="n"/>
      <c r="F17" s="207" t="n"/>
    </row>
    <row r="18" ht="18" customHeight="1" s="923">
      <c r="A18" s="62" t="inlineStr">
        <is>
          <t>Common Area Furniture (FF&amp;E)</t>
        </is>
      </c>
      <c r="B18" s="68" t="n"/>
      <c r="C18" s="63" t="n"/>
      <c r="D18" s="72">
        <f>B18*C18</f>
        <v/>
      </c>
      <c r="E18" s="205" t="n"/>
      <c r="F18" s="205" t="n"/>
      <c r="G18" t="inlineStr">
        <is>
          <t>placehodlers</t>
        </is>
      </c>
    </row>
    <row r="19" ht="18" customHeight="1" s="923">
      <c r="A19" s="65" t="inlineStr">
        <is>
          <t>Elevator Modernization</t>
        </is>
      </c>
      <c r="B19" s="93" t="n"/>
      <c r="C19" s="66" t="n"/>
      <c r="D19" s="69">
        <f>B19*C19</f>
        <v/>
      </c>
      <c r="E19" s="207" t="n"/>
      <c r="F19" s="207" t="n"/>
    </row>
    <row r="20" ht="18" customHeight="1" s="923">
      <c r="A20" s="119" t="inlineStr">
        <is>
          <t xml:space="preserve">  Subtotal — COMMON AREAS</t>
        </is>
      </c>
      <c r="D20" s="75">
        <f>SUM(D14:D19)</f>
        <v/>
      </c>
    </row>
    <row r="22" ht="19.5" customHeight="1" s="923">
      <c r="A22" s="945" t="inlineStr">
        <is>
          <t xml:space="preserve">  UNIT INTERIORS</t>
        </is>
      </c>
    </row>
    <row r="23" ht="18" customHeight="1" s="923">
      <c r="A23" s="62" t="inlineStr">
        <is>
          <t>Unit Flooring (per unit)</t>
        </is>
      </c>
      <c r="B23" s="68" t="n"/>
      <c r="C23" s="63" t="n"/>
      <c r="D23" s="72">
        <f>B23*C23</f>
        <v/>
      </c>
      <c r="E23" s="205" t="n"/>
      <c r="F23" s="205" t="n"/>
    </row>
    <row r="24" ht="18" customHeight="1" s="923">
      <c r="A24" s="65" t="inlineStr">
        <is>
          <t>Unit Paint (per unit)</t>
        </is>
      </c>
      <c r="B24" s="93" t="n"/>
      <c r="C24" s="66" t="n"/>
      <c r="D24" s="69">
        <f>B24*C24</f>
        <v/>
      </c>
      <c r="E24" s="207" t="n"/>
      <c r="F24" s="207" t="n"/>
    </row>
    <row r="25" ht="18" customHeight="1" s="923">
      <c r="A25" s="62" t="inlineStr">
        <is>
          <t>Bathroom Grab Bars / ADA (per unit)</t>
        </is>
      </c>
      <c r="B25" s="68" t="n"/>
      <c r="C25" s="63" t="n"/>
      <c r="D25" s="72">
        <f>B25*C25</f>
        <v/>
      </c>
      <c r="E25" s="205" t="n"/>
      <c r="F25" s="205" t="n"/>
    </row>
    <row r="26" ht="18" customHeight="1" s="923">
      <c r="A26" s="65" t="inlineStr">
        <is>
          <t>Kitchen Appliances (per unit)</t>
        </is>
      </c>
      <c r="B26" s="93" t="n"/>
      <c r="C26" s="66" t="n"/>
      <c r="D26" s="69">
        <f>B26*C26</f>
        <v/>
      </c>
      <c r="E26" s="207" t="n"/>
      <c r="F26" s="207" t="n"/>
    </row>
    <row r="27" ht="18" customHeight="1" s="923">
      <c r="A27" s="62" t="inlineStr">
        <is>
          <t>Unit Door / Hardware Upgrade</t>
        </is>
      </c>
      <c r="B27" s="68" t="n"/>
      <c r="C27" s="63" t="n"/>
      <c r="D27" s="72">
        <f>B27*C27</f>
        <v/>
      </c>
      <c r="E27" s="205" t="n"/>
      <c r="F27" s="205" t="n"/>
    </row>
    <row r="28" ht="18" customHeight="1" s="923">
      <c r="A28" s="65" t="inlineStr">
        <is>
          <t>Window Replacement (per unit)</t>
        </is>
      </c>
      <c r="B28" s="93" t="n"/>
      <c r="C28" s="66" t="n"/>
      <c r="D28" s="69">
        <f>B28*C28</f>
        <v/>
      </c>
      <c r="E28" s="207" t="n"/>
      <c r="F28" s="207" t="n"/>
    </row>
    <row r="29" ht="18" customHeight="1" s="923">
      <c r="A29" s="119" t="inlineStr">
        <is>
          <t xml:space="preserve">  Subtotal — UNIT INTERIORS</t>
        </is>
      </c>
      <c r="D29" s="75">
        <f>SUM(D23:D28)</f>
        <v/>
      </c>
    </row>
    <row r="31" ht="19.5" customHeight="1" s="923">
      <c r="A31" s="945" t="inlineStr">
        <is>
          <t xml:space="preserve">  MEDICAL &amp; SAFETY</t>
        </is>
      </c>
    </row>
    <row r="32" ht="18" customHeight="1" s="923">
      <c r="A32" s="62" t="inlineStr">
        <is>
          <t>Nurse Call System Upgrade</t>
        </is>
      </c>
      <c r="B32" s="68" t="n"/>
      <c r="C32" s="63" t="n"/>
      <c r="D32" s="72">
        <f>B32*C32</f>
        <v/>
      </c>
      <c r="E32" s="205" t="n"/>
      <c r="F32" s="205" t="n"/>
    </row>
    <row r="33" ht="18" customHeight="1" s="923">
      <c r="A33" s="65" t="inlineStr">
        <is>
          <t>Fire Suppression / Sprinklers</t>
        </is>
      </c>
      <c r="B33" s="93" t="n"/>
      <c r="C33" s="66" t="n"/>
      <c r="D33" s="69">
        <f>B33*C33</f>
        <v/>
      </c>
      <c r="E33" s="207" t="n"/>
      <c r="F33" s="207" t="n"/>
    </row>
    <row r="34" ht="18" customHeight="1" s="923">
      <c r="A34" s="62" t="inlineStr">
        <is>
          <t>HVAC Units</t>
        </is>
      </c>
      <c r="B34" s="68" t="n"/>
      <c r="C34" s="63" t="n"/>
      <c r="D34" s="72">
        <f>B34*C34</f>
        <v/>
      </c>
      <c r="E34" s="205" t="n"/>
      <c r="F34" s="205" t="n"/>
    </row>
    <row r="35" ht="18" customHeight="1" s="923">
      <c r="A35" s="65" t="inlineStr">
        <is>
          <t>Emergency Generator</t>
        </is>
      </c>
      <c r="B35" s="93" t="n"/>
      <c r="C35" s="66" t="n"/>
      <c r="D35" s="69">
        <f>B35*C35</f>
        <v/>
      </c>
      <c r="E35" s="207" t="n"/>
      <c r="F35" s="207" t="n"/>
    </row>
    <row r="36" ht="18" customHeight="1" s="923">
      <c r="A36" s="62" t="inlineStr">
        <is>
          <t>Security Camera System</t>
        </is>
      </c>
      <c r="B36" s="68" t="n"/>
      <c r="C36" s="63" t="n"/>
      <c r="D36" s="72">
        <f>B36*C36</f>
        <v/>
      </c>
      <c r="E36" s="205" t="n"/>
      <c r="F36" s="205" t="n"/>
    </row>
    <row r="37" ht="18" customHeight="1" s="923">
      <c r="A37" s="65" t="inlineStr">
        <is>
          <t>Medication Management System</t>
        </is>
      </c>
      <c r="B37" s="93" t="n"/>
      <c r="C37" s="66" t="n"/>
      <c r="D37" s="69">
        <f>B37*C37</f>
        <v/>
      </c>
      <c r="E37" s="207" t="n"/>
      <c r="F37" s="207" t="n"/>
    </row>
    <row r="38" ht="18" customHeight="1" s="923">
      <c r="A38" s="119" t="inlineStr">
        <is>
          <t xml:space="preserve">  Subtotal — MEDICAL &amp; SAFETY</t>
        </is>
      </c>
      <c r="D38" s="75">
        <f>SUM(D32:D37)</f>
        <v/>
      </c>
    </row>
    <row r="40" ht="19.5" customHeight="1" s="923">
      <c r="A40" s="945" t="inlineStr">
        <is>
          <t xml:space="preserve">  TECHNOLOGY &amp; SYSTEMS</t>
        </is>
      </c>
    </row>
    <row r="41" ht="18" customHeight="1" s="923">
      <c r="A41" s="62" t="inlineStr">
        <is>
          <t>EHR / Resident Mgmt Software</t>
        </is>
      </c>
      <c r="B41" s="68" t="n"/>
      <c r="C41" s="63" t="n"/>
      <c r="D41" s="72">
        <f>B41*C41</f>
        <v/>
      </c>
      <c r="E41" s="205" t="n"/>
      <c r="F41" s="205" t="n"/>
    </row>
    <row r="42" ht="18" customHeight="1" s="923">
      <c r="A42" s="65" t="inlineStr">
        <is>
          <t>WiFi Infrastructure</t>
        </is>
      </c>
      <c r="B42" s="93" t="n"/>
      <c r="C42" s="66" t="n"/>
      <c r="D42" s="69">
        <f>B42*C42</f>
        <v/>
      </c>
      <c r="E42" s="207" t="n"/>
      <c r="F42" s="207" t="n"/>
    </row>
    <row r="43" ht="18" customHeight="1" s="923">
      <c r="A43" s="62" t="inlineStr">
        <is>
          <t>Telephone / Intercom System</t>
        </is>
      </c>
      <c r="B43" s="68" t="n"/>
      <c r="C43" s="63" t="n"/>
      <c r="D43" s="72">
        <f>B43*C43</f>
        <v/>
      </c>
      <c r="E43" s="205" t="n"/>
      <c r="F43" s="205" t="n"/>
    </row>
    <row r="44" ht="18" customHeight="1" s="923">
      <c r="A44" s="65" t="inlineStr">
        <is>
          <t>Access Control / Key Card</t>
        </is>
      </c>
      <c r="B44" s="93" t="n"/>
      <c r="C44" s="66" t="n"/>
      <c r="D44" s="69">
        <f>B44*C44</f>
        <v/>
      </c>
      <c r="E44" s="207" t="n"/>
      <c r="F44" s="207" t="n"/>
    </row>
    <row r="45" ht="18" customHeight="1" s="923">
      <c r="A45" s="119" t="inlineStr">
        <is>
          <t xml:space="preserve">  Subtotal — TECHNOLOGY &amp; SYSTEMS</t>
        </is>
      </c>
      <c r="D45" s="75">
        <f>SUM(D41:D44)</f>
        <v/>
      </c>
    </row>
    <row r="47" ht="19.5" customHeight="1" s="923">
      <c r="A47" s="945" t="inlineStr">
        <is>
          <t xml:space="preserve">  CONTINGENCY</t>
        </is>
      </c>
    </row>
    <row r="48" ht="18" customHeight="1" s="923">
      <c r="A48" s="62" t="inlineStr">
        <is>
          <t>Contingency (10%)</t>
        </is>
      </c>
      <c r="B48" s="68" t="n"/>
      <c r="D48" s="72">
        <f>(D11+D20+D29+D38+D45)*0.1</f>
        <v/>
      </c>
      <c r="E48" s="205" t="n"/>
      <c r="F48" s="205" t="n"/>
    </row>
    <row r="49" ht="18" customHeight="1" s="923">
      <c r="A49" s="119" t="inlineStr">
        <is>
          <t xml:space="preserve">  Subtotal — CONTINGENCY</t>
        </is>
      </c>
      <c r="D49" s="75">
        <f>SUM(D48:D48)</f>
        <v/>
      </c>
    </row>
    <row r="51" ht="18" customHeight="1" s="923">
      <c r="A51" s="951" t="inlineStr">
        <is>
          <t>TOTAL CAPEX BUDGET</t>
        </is>
      </c>
      <c r="D51" s="142">
        <f>SUM(D11,D20,D29,D38,D45,D49)</f>
        <v/>
      </c>
    </row>
    <row r="52" ht="18" customHeight="1" s="923">
      <c r="A52" s="211" t="inlineStr">
        <is>
          <t xml:space="preserve">  Value-Add CapEx (VA)</t>
        </is>
      </c>
      <c r="D52" s="64">
        <f>SUMIF(E4:E50,"VA",D4:D50)</f>
        <v/>
      </c>
    </row>
    <row r="53" ht="18" customHeight="1" s="923">
      <c r="A53" s="8" t="inlineStr">
        <is>
          <t xml:space="preserve">  Maintenance CapEx (M)</t>
        </is>
      </c>
      <c r="D53" s="72">
        <f>SUMIF(E4:E50,"M",D4:D50)</f>
        <v/>
      </c>
    </row>
  </sheetData>
  <mergeCells count="8">
    <mergeCell ref="A13:G13"/>
    <mergeCell ref="A1:G1"/>
    <mergeCell ref="A40:G40"/>
    <mergeCell ref="A31:G31"/>
    <mergeCell ref="A22:G22"/>
    <mergeCell ref="A4:G4"/>
    <mergeCell ref="A2:G2"/>
    <mergeCell ref="A47:G47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2"/>
  <sheetViews>
    <sheetView zoomScale="120" zoomScaleNormal="120" workbookViewId="0">
      <selection activeCell="H5" sqref="H5"/>
    </sheetView>
  </sheetViews>
  <sheetFormatPr baseColWidth="10" defaultColWidth="8.83203125" defaultRowHeight="15"/>
  <cols>
    <col width="40" customWidth="1" style="923" min="1" max="1"/>
    <col width="12.5" customWidth="1" style="923" min="2" max="2"/>
    <col width="20.83203125" customWidth="1" style="923" min="3" max="3"/>
    <col width="3" customWidth="1" style="923" min="4" max="4"/>
    <col width="40" customWidth="1" style="923" min="5" max="5"/>
    <col width="12.5" customWidth="1" style="923" min="6" max="6"/>
    <col width="20.83203125" customWidth="1" style="923" min="7" max="7"/>
    <col width="12.5" customWidth="1" style="923" min="8" max="8"/>
    <col width="6" customWidth="1" style="923" min="9" max="11"/>
  </cols>
  <sheetData>
    <row r="1" ht="24" customHeight="1" s="923">
      <c r="A1" s="975" t="inlineStr">
        <is>
          <t>EXIT STRATEGY — REFINANCE &amp; SALE ANALYSIS</t>
        </is>
      </c>
      <c r="D1" s="975" t="n"/>
      <c r="E1" s="975" t="n"/>
      <c r="F1" s="975" t="n"/>
      <c r="G1" s="975" t="n"/>
      <c r="H1" s="975" t="n"/>
    </row>
    <row r="2" ht="6" customHeight="1" s="923">
      <c r="A2" s="680" t="n"/>
      <c r="B2" s="679" t="n"/>
      <c r="C2" s="679" t="n"/>
      <c r="D2" s="679" t="n"/>
      <c r="E2" s="679" t="n"/>
      <c r="F2" s="679" t="n"/>
      <c r="G2" s="679" t="n"/>
      <c r="H2" s="679" t="n"/>
    </row>
    <row r="3" ht="6" customHeight="1" s="923">
      <c r="A3" s="679" t="n"/>
      <c r="B3" s="679" t="n"/>
      <c r="C3" s="679" t="n"/>
      <c r="D3" s="679" t="n"/>
      <c r="E3" s="679" t="n"/>
      <c r="F3" s="679" t="n"/>
      <c r="G3" s="679" t="n"/>
      <c r="H3" s="679" t="n"/>
    </row>
    <row r="4" ht="20" customHeight="1" s="923">
      <c r="A4" s="969">
        <f>IF(ISNUMBER(C5),"Refi - Year "&amp;C5,"Refinance (set Refi Year below)")</f>
        <v/>
      </c>
      <c r="B4" s="969" t="n"/>
      <c r="C4" s="969" t="n"/>
      <c r="D4" s="679" t="n"/>
      <c r="E4" s="970">
        <f>IF(ISNUMBER(Scenarios!F135),"Sale - Year "&amp;Scenarios!F135,"Sale (set Exit Year in Scenarios)")</f>
        <v/>
      </c>
      <c r="F4" s="970" t="n"/>
      <c r="G4" s="970" t="n"/>
      <c r="H4" s="970" t="n"/>
      <c r="I4" s="212" t="n"/>
      <c r="J4" s="141" t="n"/>
      <c r="K4" s="213" t="n"/>
    </row>
    <row r="5" ht="16" customHeight="1" s="923">
      <c r="A5" s="682" t="inlineStr">
        <is>
          <t>Refi Year (or NA)</t>
        </is>
      </c>
      <c r="B5" s="537" t="n"/>
      <c r="C5" s="690" t="inlineStr">
        <is>
          <t>NA</t>
        </is>
      </c>
      <c r="D5" s="679" t="n"/>
      <c r="E5" s="682" t="inlineStr">
        <is>
          <t>Net Operating Income</t>
        </is>
      </c>
      <c r="F5" s="700" t="n"/>
      <c r="G5" s="701">
        <f>IFERROR(INDEX('P&amp;L'!D97:M97,1,Scenarios!F135),0)</f>
        <v/>
      </c>
      <c r="H5" s="537" t="n"/>
      <c r="I5" s="12" t="n"/>
      <c r="J5" s="12" t="n"/>
      <c r="K5" s="215" t="n"/>
    </row>
    <row r="6" ht="16" customHeight="1" s="923">
      <c r="A6" s="683" t="inlineStr">
        <is>
          <t>Net Operating Income</t>
        </is>
      </c>
      <c r="B6" s="645" t="n"/>
      <c r="C6" s="684">
        <f>IFERROR(IF(ISNUMBER(C5),_xlfn.SINGLE(INDEX('P&amp;L'!D97:M97,1,C5)),0),0)</f>
        <v/>
      </c>
      <c r="D6" s="679" t="n"/>
      <c r="E6" s="683" t="inlineStr">
        <is>
          <t>Cap Rate</t>
        </is>
      </c>
      <c r="F6" s="702" t="n"/>
      <c r="G6" s="706">
        <f>Scenarios!F136</f>
        <v/>
      </c>
      <c r="H6" s="645" t="n"/>
      <c r="I6" s="12" t="n"/>
      <c r="J6" s="12" t="n"/>
      <c r="K6" s="217" t="n"/>
    </row>
    <row r="7" ht="16" customHeight="1" s="923">
      <c r="A7" s="682" t="inlineStr">
        <is>
          <t>Cap Rate at Re-Finance</t>
        </is>
      </c>
      <c r="B7" s="537" t="n"/>
      <c r="C7" s="691" t="n">
        <v>0.06</v>
      </c>
      <c r="D7" s="679" t="n"/>
      <c r="E7" s="682" t="inlineStr">
        <is>
          <t>Insurance/Tax/Lender Escrows</t>
        </is>
      </c>
      <c r="F7" s="703" t="n"/>
      <c r="G7" s="701">
        <f>SUM('Acquisition Costs'!D35:D36)</f>
        <v/>
      </c>
      <c r="H7" s="537" t="n"/>
      <c r="I7" s="12" t="n"/>
      <c r="J7" s="12" t="n"/>
      <c r="K7" s="219" t="n"/>
    </row>
    <row r="8" ht="16" customHeight="1" s="923">
      <c r="A8" s="695" t="inlineStr">
        <is>
          <t>Appraised Value</t>
        </is>
      </c>
      <c r="B8" s="538" t="n"/>
      <c r="C8" s="696">
        <f>IFERROR(C6/C7,0)</f>
        <v/>
      </c>
      <c r="D8" s="679" t="n"/>
      <c r="E8" s="683" t="inlineStr">
        <is>
          <t>Operating Reserves remaining</t>
        </is>
      </c>
      <c r="F8" s="702" t="n"/>
      <c r="G8" s="685">
        <f>IFERROR(INDEX('P&amp;L'!D108:M108,1,Scenarios!F135),0)</f>
        <v/>
      </c>
      <c r="H8" s="704" t="n"/>
      <c r="I8" s="221" t="inlineStr">
        <is>
          <t>Remaining capital in account for operating reserves</t>
        </is>
      </c>
      <c r="J8" s="222" t="n"/>
      <c r="K8" s="215" t="n"/>
    </row>
    <row r="9" ht="16" customHeight="1" s="923">
      <c r="A9" s="682" t="inlineStr">
        <is>
          <t>Re-Finance LTV</t>
        </is>
      </c>
      <c r="B9" s="537" t="n"/>
      <c r="C9" s="691" t="n">
        <v>0.75</v>
      </c>
      <c r="D9" s="679" t="n"/>
      <c r="E9" s="695" t="inlineStr">
        <is>
          <t>Sales Price</t>
        </is>
      </c>
      <c r="F9" s="707" t="n"/>
      <c r="G9" s="696">
        <f>IFERROR(G5/G6,0)</f>
        <v/>
      </c>
      <c r="H9" s="538" t="n"/>
      <c r="I9" s="12" t="n"/>
      <c r="J9" s="12" t="n"/>
      <c r="K9" s="223" t="n"/>
    </row>
    <row r="10" ht="16" customHeight="1" s="923">
      <c r="A10" s="683" t="inlineStr">
        <is>
          <t>Interest Rate</t>
        </is>
      </c>
      <c r="B10" s="645" t="n"/>
      <c r="C10" s="692" t="n">
        <v>0.07000000000000001</v>
      </c>
      <c r="D10" s="679" t="n"/>
      <c r="E10" s="683" t="inlineStr">
        <is>
          <t>Sales Cost</t>
        </is>
      </c>
      <c r="F10" s="705" t="n">
        <v>0.03</v>
      </c>
      <c r="G10" s="685">
        <f>-G9*F10</f>
        <v/>
      </c>
      <c r="H10" s="645" t="n"/>
      <c r="I10" s="12" t="n"/>
      <c r="J10" s="225" t="n"/>
      <c r="K10" s="226" t="n"/>
    </row>
    <row r="11" ht="16" customHeight="1" s="923">
      <c r="A11" s="682" t="inlineStr">
        <is>
          <t>Term / Amortization (Years)</t>
        </is>
      </c>
      <c r="B11" s="537" t="n"/>
      <c r="C11" s="690" t="n">
        <v>30</v>
      </c>
      <c r="D11" s="679" t="n"/>
      <c r="E11" s="682" t="inlineStr">
        <is>
          <t>Outstanding Loan Balance</t>
        </is>
      </c>
      <c r="F11" s="686" t="n"/>
      <c r="G11" s="701">
        <f>-(IFERROR(INDEX(Loans!J43:S43,1,Scenarios!F135),0))</f>
        <v/>
      </c>
      <c r="H11" s="537" t="n"/>
      <c r="I11" s="12" t="n"/>
      <c r="J11" s="12" t="n"/>
      <c r="K11" s="226" t="n"/>
    </row>
    <row r="12" ht="16" customHeight="1" s="923">
      <c r="A12" s="695" t="inlineStr">
        <is>
          <t>Re-Finance Loan Amount</t>
        </is>
      </c>
      <c r="B12" s="538" t="n"/>
      <c r="C12" s="697">
        <f>IFERROR(C8*C9,0)</f>
        <v/>
      </c>
      <c r="D12" s="679" t="n"/>
      <c r="E12" s="695" t="inlineStr">
        <is>
          <t>Total Equity</t>
        </is>
      </c>
      <c r="F12" s="708" t="n"/>
      <c r="G12" s="696">
        <f>G9+G10+G11+G7+G8</f>
        <v/>
      </c>
      <c r="H12" s="538" t="n"/>
      <c r="I12" s="12" t="n"/>
      <c r="J12" s="12" t="n"/>
      <c r="K12" s="223" t="n"/>
    </row>
    <row r="13" ht="16" customHeight="1" s="923">
      <c r="A13" s="682" t="inlineStr">
        <is>
          <t xml:space="preserve">  - Re-Finance Costs</t>
        </is>
      </c>
      <c r="B13" s="694" t="n">
        <v>0.02</v>
      </c>
      <c r="C13" s="678">
        <f>-C12*B13</f>
        <v/>
      </c>
      <c r="D13" s="679" t="n"/>
      <c r="E13" s="682" t="inlineStr">
        <is>
          <t xml:space="preserve">  - Return of Member Capital</t>
        </is>
      </c>
      <c r="F13" s="686" t="n"/>
      <c r="G13" s="701">
        <f>Scenarios!F33+Scenarios!F34</f>
        <v/>
      </c>
      <c r="H13" s="537" t="n"/>
      <c r="I13" s="12" t="n"/>
      <c r="J13" s="12" t="n"/>
      <c r="K13" s="215" t="n"/>
    </row>
    <row r="14" ht="16" customHeight="1" s="923">
      <c r="A14" s="683" t="inlineStr">
        <is>
          <t xml:space="preserve">  - Prepayment Penalty</t>
        </is>
      </c>
      <c r="B14" s="645" t="n"/>
      <c r="C14" s="684" t="n">
        <v>0</v>
      </c>
      <c r="D14" s="679" t="n"/>
      <c r="E14" s="683" t="inlineStr">
        <is>
          <t xml:space="preserve">  - Members Preferred Return Deficiency</t>
        </is>
      </c>
      <c r="F14" s="702" t="n"/>
      <c r="G14" s="685">
        <f>IFERROR(MAX((Waterfall!M39+Waterfall!M41)-(Waterfall!M40+Waterfall!M42),0),0)</f>
        <v/>
      </c>
      <c r="H14" s="645" t="n"/>
      <c r="I14" s="12" t="n"/>
      <c r="J14" s="12" t="n"/>
      <c r="K14" s="215" t="n"/>
    </row>
    <row r="15" ht="16" customHeight="1" s="923">
      <c r="A15" s="682" t="inlineStr">
        <is>
          <t xml:space="preserve">  - Repay Outstanding Loan Balance</t>
        </is>
      </c>
      <c r="B15" s="686" t="n"/>
      <c r="C15" s="678">
        <f>-(IFERROR(INDEX(Loans!J43:S43,1,C5),0))</f>
        <v/>
      </c>
      <c r="D15" s="679" t="n"/>
      <c r="E15" s="695" t="inlineStr">
        <is>
          <t>Net Proceeds/Profit from Sale</t>
        </is>
      </c>
      <c r="F15" s="708" t="n"/>
      <c r="G15" s="696">
        <f>G12-G13-G14</f>
        <v/>
      </c>
      <c r="H15" s="538" t="n"/>
      <c r="I15" s="12" t="n"/>
      <c r="J15" s="12" t="n"/>
      <c r="K15" s="223" t="n"/>
    </row>
    <row r="16" ht="16" customHeight="1" s="923">
      <c r="A16" s="695" t="inlineStr">
        <is>
          <t>Gross Proceeds from Re-Finance</t>
        </is>
      </c>
      <c r="B16" s="538" t="n"/>
      <c r="C16" s="697">
        <f>IFERROR(C12+C13+C14+C15,0)</f>
        <v/>
      </c>
      <c r="D16" s="679" t="n"/>
      <c r="E16" s="683" t="inlineStr">
        <is>
          <t xml:space="preserve">    Principal Reduction</t>
        </is>
      </c>
      <c r="F16" s="702" t="n"/>
      <c r="G16" s="685">
        <f>IFERROR(Scenarios!F141-INDEX(Loans!J43:S43,1,Scenarios!F135),0)</f>
        <v/>
      </c>
      <c r="H16" s="645" t="n"/>
      <c r="I16" s="12" t="n"/>
      <c r="J16" s="12" t="n"/>
      <c r="K16" s="233" t="n"/>
    </row>
    <row r="17" ht="16" customHeight="1" s="923">
      <c r="A17" s="682" t="inlineStr">
        <is>
          <t xml:space="preserve">  - Return of Member Capital</t>
        </is>
      </c>
      <c r="B17" s="537" t="n"/>
      <c r="C17" s="678">
        <f>IFERROR(MIN(C16,Scenarios!$F$33+Scenarios!$F$34),0)</f>
        <v/>
      </c>
      <c r="D17" s="679" t="n"/>
      <c r="E17" s="682" t="inlineStr">
        <is>
          <t xml:space="preserve">    Appreciation</t>
        </is>
      </c>
      <c r="F17" s="686" t="n"/>
      <c r="G17" s="701">
        <f>G15-G16</f>
        <v/>
      </c>
      <c r="H17" s="537" t="n"/>
      <c r="I17" s="12" t="n"/>
      <c r="J17" s="12" t="n"/>
      <c r="K17" s="233" t="n"/>
    </row>
    <row r="18" ht="16" customHeight="1" s="923">
      <c r="A18" s="977" t="inlineStr">
        <is>
          <t>Capital Account Balance After Re-Fi</t>
        </is>
      </c>
      <c r="C18" s="685">
        <f>IFERROR(MAX(Scenarios!$F$33+Scenarios!$F$34-C17,0),0)</f>
        <v/>
      </c>
      <c r="D18" s="679" t="n"/>
      <c r="E18" s="683" t="inlineStr">
        <is>
          <t>Capital Transaction Fee to Mgr</t>
        </is>
      </c>
      <c r="F18" s="705" t="n">
        <v>0.01</v>
      </c>
      <c r="G18" s="685">
        <f>G9*F18</f>
        <v/>
      </c>
      <c r="H18" s="645" t="n"/>
      <c r="I18" s="12" t="n"/>
      <c r="J18" s="225" t="n"/>
      <c r="K18" s="215" t="n"/>
    </row>
    <row r="19" ht="16" customHeight="1" s="923">
      <c r="A19" s="976" t="inlineStr">
        <is>
          <t xml:space="preserve">  % of Initial Investment Returned</t>
        </is>
      </c>
      <c r="C19" s="687">
        <f>IFERROR(C17/(Scenarios!$F$33+Scenarios!$F$34),0)</f>
        <v/>
      </c>
      <c r="D19" s="679" t="n"/>
      <c r="E19" s="682" t="inlineStr">
        <is>
          <t>Net Proceeds/Profit Paid to Members</t>
        </is>
      </c>
      <c r="F19" s="689">
        <f>1-Scenarios!F36</f>
        <v/>
      </c>
      <c r="G19" s="701">
        <f>(G15-G18)*(1-Scenarios!F36)</f>
        <v/>
      </c>
      <c r="H19" s="537" t="n"/>
      <c r="I19" s="12" t="n"/>
      <c r="J19" s="235" t="n"/>
      <c r="K19" s="223" t="n"/>
    </row>
    <row r="20" ht="16" customHeight="1" s="923">
      <c r="A20" s="695" t="inlineStr">
        <is>
          <t>Net Proceeds/Profit from Re-Finance</t>
        </is>
      </c>
      <c r="B20" s="538" t="n"/>
      <c r="C20" s="697">
        <f>IFERROR(C16-C17,0)</f>
        <v/>
      </c>
      <c r="D20" s="679" t="n"/>
      <c r="E20" s="683" t="inlineStr">
        <is>
          <t>Net Proceeds/Profit Paid to Manager</t>
        </is>
      </c>
      <c r="F20" s="688">
        <f>Scenarios!F36</f>
        <v/>
      </c>
      <c r="G20" s="685">
        <f>(G15-G18)*Scenarios!F36</f>
        <v/>
      </c>
      <c r="H20" s="645" t="n"/>
      <c r="I20" s="12" t="n"/>
      <c r="J20" s="235" t="n"/>
      <c r="K20" s="223" t="n"/>
    </row>
    <row r="21" ht="20" customHeight="1" s="923">
      <c r="A21" s="682" t="inlineStr">
        <is>
          <t xml:space="preserve">    Principal Reduction</t>
        </is>
      </c>
      <c r="B21" s="537" t="n"/>
      <c r="C21" s="678">
        <f>IFERROR(Scenarios!F141-INDEX(Loans!J43:S43,1,C5),0)</f>
        <v/>
      </c>
      <c r="D21" s="679" t="n"/>
      <c r="E21" s="979" t="inlineStr">
        <is>
          <t>Total Cash to Members at Sale  (Init. Cptl. + Apprec.)</t>
        </is>
      </c>
      <c r="G21" s="710">
        <f>G13+G19</f>
        <v/>
      </c>
      <c r="H21" s="709" t="n"/>
      <c r="I21" s="237" t="n"/>
      <c r="J21" s="141" t="n"/>
      <c r="K21" s="238" t="n"/>
    </row>
    <row r="22" ht="16" customHeight="1" s="923">
      <c r="A22" s="683" t="inlineStr">
        <is>
          <t xml:space="preserve">    Appreciation</t>
        </is>
      </c>
      <c r="B22" s="645" t="n"/>
      <c r="C22" s="684">
        <f>IFERROR(MAX(C20-C21,0),0)</f>
        <v/>
      </c>
      <c r="D22" s="679" t="n"/>
      <c r="E22" s="679" t="n"/>
      <c r="F22" s="679" t="n"/>
      <c r="G22" s="679" t="n"/>
      <c r="H22" s="679" t="n"/>
      <c r="I22" s="141" t="n"/>
      <c r="J22" s="141" t="n"/>
      <c r="K22" s="141" t="n"/>
    </row>
    <row r="23" ht="20" customHeight="1" s="923">
      <c r="A23" s="682" t="inlineStr">
        <is>
          <t>Capital Transaction Fee to Mgr</t>
        </is>
      </c>
      <c r="B23" s="694" t="n">
        <v>0.01</v>
      </c>
      <c r="C23" s="678">
        <f>C8*B23</f>
        <v/>
      </c>
      <c r="D23" s="679" t="n"/>
      <c r="E23" s="974" t="inlineStr">
        <is>
          <t>After Final Disposition</t>
        </is>
      </c>
      <c r="H23" s="540" t="n"/>
      <c r="I23" s="212" t="n"/>
      <c r="J23" s="141" t="n"/>
      <c r="K23" s="141" t="n"/>
    </row>
    <row r="24" ht="16" customHeight="1" s="923">
      <c r="A24" s="683" t="inlineStr">
        <is>
          <t>Net Proceeds/Profit Paid to Members</t>
        </is>
      </c>
      <c r="B24" s="688">
        <f>1-Scenarios!F36</f>
        <v/>
      </c>
      <c r="C24" s="684">
        <f>(C20-C23)*(1-Scenarios!F36)</f>
        <v/>
      </c>
      <c r="D24" s="679" t="n"/>
      <c r="E24" s="683" t="inlineStr">
        <is>
          <t>Total Profits from Appreciation Paid to Members</t>
        </is>
      </c>
      <c r="F24" s="683" t="n"/>
      <c r="G24" s="439">
        <f>G19</f>
        <v/>
      </c>
      <c r="H24" s="645" t="n"/>
      <c r="I24" s="12" t="n"/>
      <c r="J24" s="12" t="n"/>
      <c r="K24" s="215" t="n"/>
    </row>
    <row r="25" ht="16" customHeight="1" s="923">
      <c r="A25" s="682" t="inlineStr">
        <is>
          <t>Net Proceeds/Profit Paid to Manager</t>
        </is>
      </c>
      <c r="B25" s="689">
        <f>Scenarios!F36</f>
        <v/>
      </c>
      <c r="C25" s="678">
        <f>(C20-C23)*Scenarios!F36</f>
        <v/>
      </c>
      <c r="D25" s="679" t="n"/>
      <c r="E25" s="682" t="inlineStr">
        <is>
          <t>Total Cash to Members</t>
        </is>
      </c>
      <c r="F25" s="682" t="n"/>
      <c r="G25" s="441">
        <f>G21</f>
        <v/>
      </c>
      <c r="H25" s="537" t="n"/>
      <c r="I25" s="12" t="n"/>
      <c r="J25" s="12" t="n"/>
      <c r="K25" s="223" t="n"/>
    </row>
    <row r="26" ht="16" customHeight="1" s="923">
      <c r="A26" s="974" t="inlineStr">
        <is>
          <t>Total Cash to Members at Refi  (Init. Cptl. + Apprec.)</t>
        </is>
      </c>
      <c r="C26" s="699">
        <f>C17+C24</f>
        <v/>
      </c>
      <c r="D26" s="679" t="n"/>
      <c r="E26" s="978" t="inlineStr">
        <is>
          <t>Internal Rate of Return (IRR)  — Class A LP</t>
        </is>
      </c>
      <c r="G26" s="712">
        <f>'XIRR Analysis'!H54</f>
        <v/>
      </c>
      <c r="H26" s="538" t="n"/>
      <c r="I26" s="240" t="n"/>
      <c r="J26" s="141" t="n"/>
      <c r="K26" s="241" t="n"/>
    </row>
    <row r="27" ht="16" customHeight="1" s="923">
      <c r="A27" s="682" t="inlineStr">
        <is>
          <t>Ending Capital Account Balance</t>
        </is>
      </c>
      <c r="B27" s="537" t="n"/>
      <c r="C27" s="678">
        <f>IFERROR(MAX(Scenarios!$F$33+Scenarios!$F$34-C26,0),0)</f>
        <v/>
      </c>
      <c r="D27" s="679" t="n"/>
      <c r="E27" s="976" t="inlineStr">
        <is>
          <t>Average Cash on Cash Return  — Class A LP</t>
        </is>
      </c>
      <c r="G27" s="711">
        <f>'LP Return Illustration'!B30</f>
        <v/>
      </c>
      <c r="H27" s="537" t="n"/>
      <c r="I27" s="240" t="n"/>
      <c r="J27" s="141" t="n"/>
      <c r="K27" s="241" t="n"/>
    </row>
    <row r="28" ht="16" customHeight="1" s="923">
      <c r="A28" s="683" t="inlineStr">
        <is>
          <t>Re-Finance IO Period</t>
        </is>
      </c>
      <c r="B28" s="645" t="n"/>
      <c r="C28" s="693" t="n">
        <v>12</v>
      </c>
      <c r="D28" s="679" t="n"/>
      <c r="E28" s="679" t="n"/>
      <c r="F28" s="679" t="n"/>
      <c r="G28" s="679" t="n"/>
      <c r="H28" s="679" t="n"/>
    </row>
    <row r="29">
      <c r="A29" s="679" t="n"/>
      <c r="B29" s="679" t="n"/>
      <c r="C29" s="679" t="n"/>
      <c r="D29" s="679" t="n"/>
      <c r="E29" s="679" t="n"/>
      <c r="F29" s="679" t="n"/>
      <c r="G29" s="679" t="n"/>
      <c r="H29" s="679" t="n"/>
    </row>
    <row r="30">
      <c r="A30" s="679" t="n"/>
      <c r="B30" s="679" t="n"/>
      <c r="C30" s="679" t="n"/>
      <c r="D30" s="679" t="n"/>
      <c r="E30" s="679" t="n"/>
      <c r="F30" s="679" t="n"/>
      <c r="G30" s="679" t="n"/>
      <c r="H30" s="679" t="n"/>
    </row>
    <row r="31">
      <c r="A31" s="676" t="inlineStr">
        <is>
          <t>Scenarios Tab</t>
        </is>
      </c>
    </row>
    <row r="32">
      <c r="A32" s="676" t="inlineStr">
        <is>
          <t>Loans Tab</t>
        </is>
      </c>
    </row>
  </sheetData>
  <mergeCells count="8">
    <mergeCell ref="A26:B26"/>
    <mergeCell ref="A1:C1"/>
    <mergeCell ref="A19:B19"/>
    <mergeCell ref="E23:G23"/>
    <mergeCell ref="E27:F27"/>
    <mergeCell ref="A18:B18"/>
    <mergeCell ref="E26:F26"/>
    <mergeCell ref="E21:F21"/>
  </mergeCells>
  <dataValidations count="1">
    <dataValidation sqref="C5" showDropDown="0" showInputMessage="1" showErrorMessage="1" allowBlank="1" promptTitle="Refi Year" prompt="Choose NA to skip the cash-out refi, or a hold year 1–10." type="list">
      <formula1>"NA,1,2,3,4,5,6,7,8,9,10"</formula1>
    </dataValidation>
  </dataValidations>
  <hyperlinks>
    <hyperlink ref="A31" location="Scenarios!A1" display="Scenarios Tab"/>
    <hyperlink ref="A32" location="Loans!A1" display="Loans Tab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01"/>
  <sheetViews>
    <sheetView zoomScale="120" zoomScaleNormal="120" workbookViewId="0">
      <pane xSplit="1" ySplit="7" topLeftCell="B80" activePane="bottomRight" state="frozen"/>
      <selection pane="topRight" activeCell="B1" sqref="B1"/>
      <selection pane="bottomLeft" activeCell="A8" sqref="A8"/>
      <selection pane="bottomRight" activeCell="E69" sqref="E69"/>
    </sheetView>
  </sheetViews>
  <sheetFormatPr baseColWidth="10" defaultColWidth="8.83203125" defaultRowHeight="15"/>
  <cols>
    <col width="36.6640625" customWidth="1" style="923" min="1" max="1"/>
    <col width="15" customWidth="1" style="923" min="2" max="11"/>
    <col width="16" customWidth="1" style="923" min="12" max="13"/>
    <col width="10.1640625" customWidth="1" style="923" min="14" max="14"/>
  </cols>
  <sheetData>
    <row r="1" ht="24" customHeight="1" s="923">
      <c r="A1" s="938" t="inlineStr">
        <is>
          <t>WATERFALL &amp; RETURNS — DYNAMIC DISTRIBUTION MODEL</t>
        </is>
      </c>
    </row>
    <row r="2" ht="15.75" customHeight="1" s="923">
      <c r="A2" s="934" t="inlineStr">
        <is>
          <t xml:space="preserve">  Inputs at top. All distributions cascade automatically. Class A/B LP toggle in row 7. Active Scenario drives equity and NOI.</t>
        </is>
      </c>
    </row>
    <row r="4" ht="24" customHeight="1" s="923">
      <c r="A4" s="922" t="inlineStr">
        <is>
          <t>WATERFALL INPUTS (auto-linked to active scenario — override here if needed)</t>
        </is>
      </c>
    </row>
    <row r="5" ht="15.75" customHeight="1" s="923">
      <c r="A5" s="62" t="inlineStr">
        <is>
          <t>Hold Period (years)</t>
        </is>
      </c>
      <c r="B5" s="33">
        <f>Scenarios!F135</f>
        <v/>
      </c>
      <c r="C5" s="934" t="inlineStr">
        <is>
          <t>From Scenarios — selectable exit year</t>
        </is>
      </c>
    </row>
    <row r="6" ht="15.75" customHeight="1" s="923">
      <c r="A6" s="65" t="inlineStr">
        <is>
          <t>Exit Cap Rate</t>
        </is>
      </c>
      <c r="B6" s="30">
        <f>Scenarios!F136</f>
        <v/>
      </c>
      <c r="C6" s="982" t="inlineStr">
        <is>
          <t>Applied to Y{hold} NOI</t>
        </is>
      </c>
    </row>
    <row r="7" ht="15.75" customHeight="1" s="923">
      <c r="A7" s="62" t="inlineStr">
        <is>
          <t>Selling Costs at Exit</t>
        </is>
      </c>
      <c r="B7" s="70" t="n">
        <v>0.03</v>
      </c>
      <c r="C7" s="934" t="inlineStr">
        <is>
          <t>2.5% of gross sale price</t>
        </is>
      </c>
    </row>
    <row r="8" ht="15.75" customHeight="1" s="923">
      <c r="A8" s="65" t="inlineStr">
        <is>
          <t>GP Equity</t>
        </is>
      </c>
      <c r="B8" s="23">
        <f>Scenarios!F32</f>
        <v/>
      </c>
      <c r="C8" s="982" t="inlineStr">
        <is>
          <t>Co-invest; promote governed by tiers below</t>
        </is>
      </c>
    </row>
    <row r="9" ht="15.75" customHeight="1" s="923">
      <c r="A9" s="62" t="inlineStr">
        <is>
          <t>Class A LP Equity</t>
        </is>
      </c>
      <c r="B9" s="21">
        <f>Scenarios!F33</f>
        <v/>
      </c>
      <c r="C9" s="934" t="inlineStr">
        <is>
          <t>Preferred equity — priority capital return</t>
        </is>
      </c>
    </row>
    <row r="10" ht="15.75" customHeight="1" s="923">
      <c r="A10" s="65" t="inlineStr">
        <is>
          <t>Class B LP Equity</t>
        </is>
      </c>
      <c r="B10" s="23">
        <f>Scenarios!F34</f>
        <v/>
      </c>
      <c r="C10" s="982" t="inlineStr">
        <is>
          <t>Common equity — participates in promote</t>
        </is>
      </c>
    </row>
    <row r="11" ht="15.75" customHeight="1" s="923">
      <c r="A11" s="62" t="inlineStr">
        <is>
          <t>Class A Preferred Return %</t>
        </is>
      </c>
      <c r="B11" s="28">
        <f>Scenarios!F35</f>
        <v/>
      </c>
      <c r="C11" s="934" t="inlineStr">
        <is>
          <t>Annual pref on Class A equity</t>
        </is>
      </c>
    </row>
    <row r="12" ht="15.75" customHeight="1" s="923">
      <c r="A12" s="65" t="inlineStr">
        <is>
          <t>Class B Preferred Return %</t>
        </is>
      </c>
      <c r="B12" s="74" t="n">
        <v>0</v>
      </c>
      <c r="C12" s="982" t="inlineStr">
        <is>
          <t>Annual pref on Class B equity</t>
        </is>
      </c>
      <c r="D12" s="242" t="inlineStr">
        <is>
          <t>Class B Treatment →</t>
        </is>
      </c>
      <c r="E12" s="243" t="inlineStr">
        <is>
          <t>Pref Only</t>
        </is>
      </c>
      <c r="F12" s="984" t="inlineStr">
        <is>
          <t>Pref Only = Class B pref only, no promote.  Common Equity = Class B shares LP promote proportionally by equity.</t>
        </is>
      </c>
    </row>
    <row r="13" ht="15.75" customHeight="1" s="923">
      <c r="A13" s="62" t="inlineStr">
        <is>
          <t>GP Preferred Return %</t>
        </is>
      </c>
      <c r="B13" s="70" t="n">
        <v>0</v>
      </c>
      <c r="C13" s="934" t="inlineStr">
        <is>
          <t>Set 0 if GP pref not negotiated</t>
        </is>
      </c>
    </row>
    <row r="14" ht="15.75" customHeight="1" s="923">
      <c r="A14" s="65" t="inlineStr">
        <is>
          <t>Use Two LP Classes? (YES/NO)</t>
        </is>
      </c>
      <c r="B14" s="91" t="inlineStr">
        <is>
          <t>=IF(Scenarios!F34&gt;0,"YES","NO")</t>
        </is>
      </c>
      <c r="C14" s="982" t="inlineStr">
        <is>
          <t>Auto: YES only when Class B equity &gt; 0</t>
        </is>
      </c>
    </row>
    <row r="15" ht="15.75" customHeight="1" s="923">
      <c r="A15" s="62" t="inlineStr">
        <is>
          <t>Tier 1 LP Split %</t>
        </is>
      </c>
      <c r="B15" s="70">
        <f>Scenarios!F29</f>
        <v/>
      </c>
      <c r="C15" s="934" t="inlineStr">
        <is>
          <t>LP share above pref, below Tier 1 hurdle</t>
        </is>
      </c>
    </row>
    <row r="16" ht="15.75" customHeight="1" s="923">
      <c r="A16" s="65" t="inlineStr">
        <is>
          <t>Tier 1 GP Split %</t>
        </is>
      </c>
      <c r="B16" s="30">
        <f>1-B15</f>
        <v/>
      </c>
      <c r="C16" s="982" t="inlineStr">
        <is>
          <t>Auto = 1 - LP %</t>
        </is>
      </c>
    </row>
    <row r="17" ht="15.75" customHeight="1" s="923">
      <c r="A17" s="62" t="inlineStr">
        <is>
          <t>Tier 1 IRR Hurdle</t>
        </is>
      </c>
      <c r="B17" s="70" t="n">
        <v>0</v>
      </c>
      <c r="C17" s="934" t="inlineStr">
        <is>
          <t>LP blended IRR to trigger Tier 2</t>
        </is>
      </c>
    </row>
    <row r="18" ht="15.75" customHeight="1" s="923">
      <c r="A18" s="65" t="inlineStr">
        <is>
          <t>Tier 2 LP Split %</t>
        </is>
      </c>
      <c r="B18" s="74">
        <f>B15</f>
        <v/>
      </c>
      <c r="C18" s="982" t="inlineStr">
        <is>
          <t>Above Tier 1 hurdle</t>
        </is>
      </c>
    </row>
    <row r="19" ht="15.75" customHeight="1" s="923">
      <c r="A19" s="62" t="inlineStr">
        <is>
          <t>Tier 2 GP Split %</t>
        </is>
      </c>
      <c r="B19" s="28">
        <f>1-B18</f>
        <v/>
      </c>
      <c r="C19" s="934" t="inlineStr">
        <is>
          <t>GP promote above Tier 1</t>
        </is>
      </c>
    </row>
    <row r="20" ht="15.75" customHeight="1" s="923">
      <c r="A20" s="65" t="inlineStr">
        <is>
          <t>Tier 2 IRR Hurdle</t>
        </is>
      </c>
      <c r="B20" s="74" t="n">
        <v>0</v>
      </c>
      <c r="C20" s="982" t="inlineStr">
        <is>
          <t>LP blended IRR to trigger Tier 3</t>
        </is>
      </c>
    </row>
    <row r="21" ht="15.75" customHeight="1" s="923">
      <c r="A21" s="62" t="inlineStr">
        <is>
          <t>Tier 3 LP Split %</t>
        </is>
      </c>
      <c r="B21" s="70">
        <f>B18</f>
        <v/>
      </c>
      <c r="C21" s="934" t="inlineStr">
        <is>
          <t>Above Tier 2 hurdle</t>
        </is>
      </c>
    </row>
    <row r="22" ht="15.75" customHeight="1" s="923">
      <c r="A22" s="65" t="inlineStr">
        <is>
          <t>Tier 3 GP Split %</t>
        </is>
      </c>
      <c r="B22" s="30">
        <f>1-B21</f>
        <v/>
      </c>
      <c r="C22" s="982" t="inlineStr">
        <is>
          <t>Super-promote above Tier 2</t>
        </is>
      </c>
    </row>
    <row r="23" ht="18" customHeight="1" s="923">
      <c r="A23" s="244" t="inlineStr">
        <is>
          <t>Refi Proceeds Treatment</t>
        </is>
      </c>
      <c r="B23" s="245" t="inlineStr">
        <is>
          <t>Return of Capital</t>
        </is>
      </c>
      <c r="C23" s="246" t="inlineStr">
        <is>
          <t>Options: "Return of Capital"  or  "Waterfall"  — controls how refi cash-out is treated</t>
        </is>
      </c>
    </row>
    <row r="24" ht="24" customHeight="1" s="923">
      <c r="A24" s="938" t="inlineStr">
        <is>
          <t>ANNUAL CASH FLOW &amp; DISTRIBUTION WATERFALL</t>
        </is>
      </c>
    </row>
    <row r="25" ht="30" customHeight="1" s="923">
      <c r="A25" s="32" t="inlineStr">
        <is>
          <t>Line Item</t>
        </is>
      </c>
      <c r="B25" s="32" t="inlineStr">
        <is>
          <t>Year 1</t>
        </is>
      </c>
      <c r="C25" s="32" t="inlineStr">
        <is>
          <t>Year 2</t>
        </is>
      </c>
      <c r="D25" s="32" t="inlineStr">
        <is>
          <t>Year 3</t>
        </is>
      </c>
      <c r="E25" s="32" t="inlineStr">
        <is>
          <t>Year 4</t>
        </is>
      </c>
      <c r="F25" s="32" t="inlineStr">
        <is>
          <t>Year 5</t>
        </is>
      </c>
      <c r="G25" s="32" t="inlineStr">
        <is>
          <t>Year 6</t>
        </is>
      </c>
      <c r="H25" s="32" t="inlineStr">
        <is>
          <t>Year 7</t>
        </is>
      </c>
      <c r="I25" s="32" t="inlineStr">
        <is>
          <t>Year 8</t>
        </is>
      </c>
      <c r="J25" s="32" t="inlineStr">
        <is>
          <t>Year 9</t>
        </is>
      </c>
      <c r="K25" s="32" t="inlineStr">
        <is>
          <t>Year 10</t>
        </is>
      </c>
      <c r="L25" s="19" t="inlineStr">
        <is>
          <t>Exit
Proceeds</t>
        </is>
      </c>
      <c r="M25" s="32" t="inlineStr">
        <is>
          <t>Total ($)</t>
        </is>
      </c>
    </row>
    <row r="26" ht="18" customHeight="1" s="923">
      <c r="A26" s="8" t="inlineStr">
        <is>
          <t>NOI (from P&amp;L)</t>
        </is>
      </c>
      <c r="B26" s="72">
        <f>IF(1&gt;$B$5,0,'P&amp;L'!D97)</f>
        <v/>
      </c>
      <c r="C26" s="72">
        <f>IF(2&gt;$B$5,0,'P&amp;L'!E97)</f>
        <v/>
      </c>
      <c r="D26" s="72">
        <f>IF(3&gt;$B$5,0,'P&amp;L'!F97)</f>
        <v/>
      </c>
      <c r="E26" s="72">
        <f>IF(4&gt;$B$5,0,'P&amp;L'!G97)</f>
        <v/>
      </c>
      <c r="F26" s="72">
        <f>IF(5&gt;$B$5,0,'P&amp;L'!H97)</f>
        <v/>
      </c>
      <c r="G26" s="72">
        <f>IF(6&gt;$B$5,0,'P&amp;L'!I97)</f>
        <v/>
      </c>
      <c r="H26" s="72">
        <f>IF(7&gt;$B$5,0,'P&amp;L'!J97)</f>
        <v/>
      </c>
      <c r="I26" s="72">
        <f>IF(8&gt;$B$5,0,'P&amp;L'!K97)</f>
        <v/>
      </c>
      <c r="J26" s="72">
        <f>IF(9&gt;$B$5,0,'P&amp;L'!L97)</f>
        <v/>
      </c>
      <c r="K26" s="72">
        <f>IF(10&gt;$B$5,0,'P&amp;L'!M97)</f>
        <v/>
      </c>
      <c r="M26" s="72">
        <f>SUM(B26:K26)</f>
        <v/>
      </c>
    </row>
    <row r="27" ht="18" customHeight="1" s="923">
      <c r="A27" s="8" t="inlineStr">
        <is>
          <t>Less: Debt Service (annual)</t>
        </is>
      </c>
      <c r="B27" s="72">
        <f>IF(1&gt;$B$5,0,-INDEX(Loans!$J$42:$S$42,1,1))</f>
        <v/>
      </c>
      <c r="C27" s="72">
        <f>IF(2&gt;$B$5,0,-INDEX(Loans!$J$42:$S$42,1,2))</f>
        <v/>
      </c>
      <c r="D27" s="72">
        <f>IF(3&gt;$B$5,0,-INDEX(Loans!$J$42:$S$42,1,3))</f>
        <v/>
      </c>
      <c r="E27" s="72">
        <f>IF(4&gt;$B$5,0,-INDEX(Loans!$J$42:$S$42,1,4))</f>
        <v/>
      </c>
      <c r="F27" s="72">
        <f>IF(5&gt;$B$5,0,-INDEX(Loans!$J$42:$S$42,1,5))</f>
        <v/>
      </c>
      <c r="G27" s="72">
        <f>IF(6&gt;$B$5,0,-INDEX(Loans!$J$42:$S$42,1,6))</f>
        <v/>
      </c>
      <c r="H27" s="72">
        <f>IF(7&gt;$B$5,0,-INDEX(Loans!$J$42:$S$42,1,7))</f>
        <v/>
      </c>
      <c r="I27" s="72">
        <f>IF(8&gt;$B$5,0,-INDEX(Loans!$J$42:$S$42,1,8))</f>
        <v/>
      </c>
      <c r="J27" s="72">
        <f>IF(9&gt;$B$5,0,-INDEX(Loans!$J$42:$S$42,1,9))</f>
        <v/>
      </c>
      <c r="K27" s="72">
        <f>IF(10&gt;$B$5,0,-INDEX(Loans!$J$42:$S$42,1,10))</f>
        <v/>
      </c>
      <c r="M27" s="72">
        <f>SUM(B27:K27)</f>
        <v/>
      </c>
    </row>
    <row r="28" ht="18" customHeight="1" s="923">
      <c r="A28" s="112" t="inlineStr">
        <is>
          <t>Free Cash Flow (FCF)</t>
        </is>
      </c>
      <c r="B28" s="64">
        <f>IF(1&gt;$B$5,0,IFERROR(B26+B27-'P&amp;L'!D111+IF($B$23="Waterfall",IF(ISNUMBER('Exit Strategy'!$C$5),IF(1='Exit Strategy'!$C$5,'Exit Strategy'!$C$16,0),0),0),0))</f>
        <v/>
      </c>
      <c r="C28" s="64">
        <f>IF(2&gt;$B$5,0,IFERROR(C26+C27-'P&amp;L'!E111+IF($B$23="Waterfall",IF(ISNUMBER('Exit Strategy'!$C$5),IF(2='Exit Strategy'!$C$5,'Exit Strategy'!$C$16,0),0),0),0))</f>
        <v/>
      </c>
      <c r="D28" s="64">
        <f>IF(3&gt;$B$5,0,IFERROR(D26+D27-'P&amp;L'!F111+IF($B$23="Waterfall",IF(ISNUMBER('Exit Strategy'!$C$5),IF(3='Exit Strategy'!$C$5,'Exit Strategy'!$C$16,0),0),0),0))</f>
        <v/>
      </c>
      <c r="E28" s="64">
        <f>IF(4&gt;$B$5,0,IFERROR(E26+E27-'P&amp;L'!G111+IF($B$23="Waterfall",IF(ISNUMBER('Exit Strategy'!$C$5),IF(4='Exit Strategy'!$C$5,'Exit Strategy'!$C$16,0),0),0),0))</f>
        <v/>
      </c>
      <c r="F28" s="64">
        <f>IF(5&gt;$B$5,0,IFERROR(F26+F27-'P&amp;L'!H111+IF($B$23="Waterfall",IF(ISNUMBER('Exit Strategy'!$C$5),IF(5='Exit Strategy'!$C$5,'Exit Strategy'!$C$16,0),0),0),0))</f>
        <v/>
      </c>
      <c r="G28" s="64">
        <f>IF(6&gt;$B$5,0,IFERROR(G26+G27-'P&amp;L'!I111+IF($B$23="Waterfall",IF(ISNUMBER('Exit Strategy'!$C$5),IF(6='Exit Strategy'!$C$5,'Exit Strategy'!$C$16,0),0),0),0))</f>
        <v/>
      </c>
      <c r="H28" s="64">
        <f>IF(7&gt;$B$5,0,IFERROR(H26+H27-'P&amp;L'!J111+IF($B$23="Waterfall",IF(ISNUMBER('Exit Strategy'!$C$5),IF(7='Exit Strategy'!$C$5,'Exit Strategy'!$C$16,0),0),0),0))</f>
        <v/>
      </c>
      <c r="I28" s="64">
        <f>IF(8&gt;$B$5,0,IFERROR(I26+I27-'P&amp;L'!K111+IF($B$23="Waterfall",IF(ISNUMBER('Exit Strategy'!$C$5),IF(8='Exit Strategy'!$C$5,'Exit Strategy'!$C$16,0),0),0),0))</f>
        <v/>
      </c>
      <c r="J28" s="64">
        <f>IF(9&gt;$B$5,0,IFERROR(J26+J27-'P&amp;L'!L111+IF($B$23="Waterfall",IF(ISNUMBER('Exit Strategy'!$C$5),IF(9='Exit Strategy'!$C$5,'Exit Strategy'!$C$16,0),0),0),0))</f>
        <v/>
      </c>
      <c r="K28" s="64">
        <f>IF(10&gt;$B$5,0,IFERROR(K26+K27-'P&amp;L'!M111+IF($B$23="Waterfall",IF(ISNUMBER('Exit Strategy'!$C$5),IF(10='Exit Strategy'!$C$5,'Exit Strategy'!$C$16,0),0),0),0))</f>
        <v/>
      </c>
      <c r="M28" s="76">
        <f>SUM(B28:K28)</f>
        <v/>
      </c>
    </row>
    <row r="30" ht="24" customHeight="1" s="923">
      <c r="A30" s="922" t="inlineStr">
        <is>
          <t>EXIT PROCEEDS ANALYSIS</t>
        </is>
      </c>
    </row>
    <row r="31" ht="18" customHeight="1" s="923">
      <c r="A31" s="103" t="inlineStr">
        <is>
          <t>Exit Year NOI</t>
        </is>
      </c>
      <c r="B31" s="21">
        <f>'Exit Strategy'!G5</f>
        <v/>
      </c>
    </row>
    <row r="32" ht="18" customHeight="1" s="923">
      <c r="A32" s="103" t="inlineStr">
        <is>
          <t>Gross Sale Price (NOI ÷ Exit Cap)</t>
        </is>
      </c>
      <c r="B32" s="72">
        <f>'Exit Strategy'!G9</f>
        <v/>
      </c>
    </row>
    <row r="33" ht="18" customHeight="1" s="923">
      <c r="A33" s="103" t="inlineStr">
        <is>
          <t>Less: Selling Costs + Disposition Fee</t>
        </is>
      </c>
      <c r="B33" s="72">
        <f>'Exit Strategy'!G10+'Exit Strategy'!G18</f>
        <v/>
      </c>
    </row>
    <row r="34" ht="18" customHeight="1" s="923">
      <c r="A34" s="103" t="inlineStr">
        <is>
          <t>Less: Loan Payoff</t>
        </is>
      </c>
      <c r="B34" s="21">
        <f>'Exit Strategy'!G11</f>
        <v/>
      </c>
    </row>
    <row r="35" ht="18" customHeight="1" s="923">
      <c r="A35" s="112" t="inlineStr">
        <is>
          <t>NET SALE PROCEEDS</t>
        </is>
      </c>
      <c r="B35" s="76">
        <f>B32+B33+B34</f>
        <v/>
      </c>
    </row>
    <row r="36" ht="16.5" customHeight="1" s="923">
      <c r="A36" s="991" t="inlineStr">
        <is>
          <t xml:space="preserve">  Return of Capital — Class A LP</t>
        </is>
      </c>
      <c r="B36" s="677">
        <f>IF(1&gt;$B$5,0,MIN($B$9,IF(AND($B$23="Return of Capital",ISNUMBER('Exit Strategy'!$C$5),1='Exit Strategy'!$C$5),MAX('Exit Strategy'!$C$16,0),0)))</f>
        <v/>
      </c>
      <c r="C36" s="677">
        <f>IF(2&gt;$B$5,0,MIN($B$9,IF(AND($B$23="Return of Capital",ISNUMBER('Exit Strategy'!$C$5),2='Exit Strategy'!$C$5),MAX('Exit Strategy'!$C$16,0),0)))</f>
        <v/>
      </c>
      <c r="D36" s="677">
        <f>IF(3&gt;$B$5,0,MIN($B$9,IF(AND($B$23="Return of Capital",ISNUMBER('Exit Strategy'!$C$5),3='Exit Strategy'!$C$5),MAX('Exit Strategy'!$C$16,0),0)))</f>
        <v/>
      </c>
      <c r="E36" s="677">
        <f>IF(4&gt;$B$5,0,MIN($B$9,IF(AND($B$23="Return of Capital",ISNUMBER('Exit Strategy'!$C$5),4='Exit Strategy'!$C$5),MAX('Exit Strategy'!$C$16,0),0)))</f>
        <v/>
      </c>
      <c r="F36" s="677">
        <f>IF(5&gt;$B$5,0,MIN($B$9,IF(AND($B$23="Return of Capital",ISNUMBER('Exit Strategy'!$C$5),5='Exit Strategy'!$C$5),MAX('Exit Strategy'!$C$16,0),0)))</f>
        <v/>
      </c>
      <c r="G36" s="677">
        <f>IF(6&gt;$B$5,0,MIN($B$9,IF(AND($B$23="Return of Capital",ISNUMBER('Exit Strategy'!$C$5),6='Exit Strategy'!$C$5),MAX('Exit Strategy'!$C$16,0),0)))</f>
        <v/>
      </c>
      <c r="H36" s="677">
        <f>IF(7&gt;$B$5,0,MIN($B$9,IF(AND($B$23="Return of Capital",ISNUMBER('Exit Strategy'!$C$5),7='Exit Strategy'!$C$5),MAX('Exit Strategy'!$C$16,0),0)))</f>
        <v/>
      </c>
      <c r="I36" s="677">
        <f>IF(8&gt;$B$5,0,MIN($B$9,IF(AND($B$23="Return of Capital",ISNUMBER('Exit Strategy'!$C$5),8='Exit Strategy'!$C$5),MAX('Exit Strategy'!$C$16,0),0)))</f>
        <v/>
      </c>
      <c r="J36" s="677">
        <f>IF(9&gt;$B$5,0,MIN($B$9,IF(AND($B$23="Return of Capital",ISNUMBER('Exit Strategy'!$C$5),9='Exit Strategy'!$C$5),MAX('Exit Strategy'!$C$16,0),0)))</f>
        <v/>
      </c>
      <c r="K36" s="677">
        <f>IF(10&gt;$B$5,0,MIN($B$9,IF(AND($B$23="Return of Capital",ISNUMBER('Exit Strategy'!$C$5),10='Exit Strategy'!$C$5),MAX('Exit Strategy'!$C$16,0),0)))</f>
        <v/>
      </c>
      <c r="L36" s="677">
        <f>MIN(B9,MAX(B35,0))</f>
        <v/>
      </c>
      <c r="M36" s="677">
        <f>SUM(B36:L36)</f>
        <v/>
      </c>
    </row>
    <row r="37" ht="16.5" customHeight="1" s="923">
      <c r="A37" s="993" t="inlineStr">
        <is>
          <t xml:space="preserve">  Return of Capital — Class B LP</t>
        </is>
      </c>
      <c r="B37" s="134">
        <f>IF(1&gt;$B$5,0,IF($B$14="YES",MIN($B$10,MAX(IF(AND($B$23="Return of Capital",ISNUMBER('Exit Strategy'!$C$5),1='Exit Strategy'!$C$5),MAX('Exit Strategy'!$C$16,0),0)-B36,0)),0))</f>
        <v/>
      </c>
      <c r="C37" s="134">
        <f>IF(2&gt;$B$5,0,IF($B$14="YES",MIN($B$10,MAX(IF(AND($B$23="Return of Capital",ISNUMBER('Exit Strategy'!$C$5),2='Exit Strategy'!$C$5),MAX('Exit Strategy'!$C$16,0),0)-C36,0)),0))</f>
        <v/>
      </c>
      <c r="D37" s="134">
        <f>IF(3&gt;$B$5,0,IF($B$14="YES",MIN($B$10,MAX(IF(AND($B$23="Return of Capital",ISNUMBER('Exit Strategy'!$C$5),3='Exit Strategy'!$C$5),MAX('Exit Strategy'!$C$16,0),0)-D36,0)),0))</f>
        <v/>
      </c>
      <c r="E37" s="134">
        <f>IF(4&gt;$B$5,0,IF($B$14="YES",MIN($B$10,MAX(IF(AND($B$23="Return of Capital",ISNUMBER('Exit Strategy'!$C$5),4='Exit Strategy'!$C$5),MAX('Exit Strategy'!$C$16,0),0)-E36,0)),0))</f>
        <v/>
      </c>
      <c r="F37" s="134">
        <f>IF(5&gt;$B$5,0,IF($B$14="YES",MIN($B$10,MAX(IF(AND($B$23="Return of Capital",ISNUMBER('Exit Strategy'!$C$5),5='Exit Strategy'!$C$5),MAX('Exit Strategy'!$C$16,0),0)-F36,0)),0))</f>
        <v/>
      </c>
      <c r="G37" s="134">
        <f>IF(6&gt;$B$5,0,IF($B$14="YES",MIN($B$10,MAX(IF(AND($B$23="Return of Capital",ISNUMBER('Exit Strategy'!$C$5),6='Exit Strategy'!$C$5),MAX('Exit Strategy'!$C$16,0),0)-G36,0)),0))</f>
        <v/>
      </c>
      <c r="H37" s="134">
        <f>IF(7&gt;$B$5,0,IF($B$14="YES",MIN($B$10,MAX(IF(AND($B$23="Return of Capital",ISNUMBER('Exit Strategy'!$C$5),7='Exit Strategy'!$C$5),MAX('Exit Strategy'!$C$16,0),0)-H36,0)),0))</f>
        <v/>
      </c>
      <c r="I37" s="134">
        <f>IF(8&gt;$B$5,0,IF($B$14="YES",MIN($B$10,MAX(IF(AND($B$23="Return of Capital",ISNUMBER('Exit Strategy'!$C$5),8='Exit Strategy'!$C$5),MAX('Exit Strategy'!$C$16,0),0)-I36,0)),0))</f>
        <v/>
      </c>
      <c r="J37" s="134">
        <f>IF(9&gt;$B$5,0,IF($B$14="YES",MIN($B$10,MAX(IF(AND($B$23="Return of Capital",ISNUMBER('Exit Strategy'!$C$5),9='Exit Strategy'!$C$5),MAX('Exit Strategy'!$C$16,0),0)-J36,0)),0))</f>
        <v/>
      </c>
      <c r="K37" s="134">
        <f>IF(10&gt;$B$5,0,IF($B$14="YES",MIN($B$10,MAX(IF(AND($B$23="Return of Capital",ISNUMBER('Exit Strategy'!$C$5),10='Exit Strategy'!$C$5),MAX('Exit Strategy'!$C$16,0),0)-K36,0)),0))</f>
        <v/>
      </c>
      <c r="L37" s="134">
        <f>IF(B14="YES",MIN(B10,MAX(MAX(B35,0)-L36,0)),0)</f>
        <v/>
      </c>
      <c r="M37" s="134">
        <f>SUM(B37:L37)</f>
        <v/>
      </c>
    </row>
    <row r="38" ht="16.5" customHeight="1" s="923">
      <c r="A38" s="991" t="inlineStr">
        <is>
          <t xml:space="preserve">  Return of Capital — GP</t>
        </is>
      </c>
      <c r="B38" s="677">
        <f>IF(1&gt;$B$5,0,MIN($B$8,MAX(IF(AND($B$23="Return of Capital",ISNUMBER('Exit Strategy'!$C$5),1='Exit Strategy'!$C$5),MAX('Exit Strategy'!$C$16,0),0)-B36-B37,0)))</f>
        <v/>
      </c>
      <c r="C38" s="677">
        <f>IF(2&gt;$B$5,0,MIN($B$8,MAX(IF(AND($B$23="Return of Capital",ISNUMBER('Exit Strategy'!$C$5),2='Exit Strategy'!$C$5),MAX('Exit Strategy'!$C$16,0),0)-C36-C37,0)))</f>
        <v/>
      </c>
      <c r="D38" s="677">
        <f>IF(3&gt;$B$5,0,MIN($B$8,MAX(IF(AND($B$23="Return of Capital",ISNUMBER('Exit Strategy'!$C$5),3='Exit Strategy'!$C$5),MAX('Exit Strategy'!$C$16,0),0)-D36-D37,0)))</f>
        <v/>
      </c>
      <c r="E38" s="677">
        <f>IF(4&gt;$B$5,0,MIN($B$8,MAX(IF(AND($B$23="Return of Capital",ISNUMBER('Exit Strategy'!$C$5),4='Exit Strategy'!$C$5),MAX('Exit Strategy'!$C$16,0),0)-E36-E37,0)))</f>
        <v/>
      </c>
      <c r="F38" s="677">
        <f>IF(5&gt;$B$5,0,MIN($B$8,MAX(IF(AND($B$23="Return of Capital",ISNUMBER('Exit Strategy'!$C$5),5='Exit Strategy'!$C$5),MAX('Exit Strategy'!$C$16,0),0)-F36-F37,0)))</f>
        <v/>
      </c>
      <c r="G38" s="677">
        <f>IF(6&gt;$B$5,0,MIN($B$8,MAX(IF(AND($B$23="Return of Capital",ISNUMBER('Exit Strategy'!$C$5),6='Exit Strategy'!$C$5),MAX('Exit Strategy'!$C$16,0),0)-G36-G37,0)))</f>
        <v/>
      </c>
      <c r="H38" s="677">
        <f>IF(7&gt;$B$5,0,MIN($B$8,MAX(IF(AND($B$23="Return of Capital",ISNUMBER('Exit Strategy'!$C$5),7='Exit Strategy'!$C$5),MAX('Exit Strategy'!$C$16,0),0)-H36-H37,0)))</f>
        <v/>
      </c>
      <c r="I38" s="677">
        <f>IF(8&gt;$B$5,0,MIN($B$8,MAX(IF(AND($B$23="Return of Capital",ISNUMBER('Exit Strategy'!$C$5),8='Exit Strategy'!$C$5),MAX('Exit Strategy'!$C$16,0),0)-I36-I37,0)))</f>
        <v/>
      </c>
      <c r="J38" s="677">
        <f>IF(9&gt;$B$5,0,MIN($B$8,MAX(IF(AND($B$23="Return of Capital",ISNUMBER('Exit Strategy'!$C$5),9='Exit Strategy'!$C$5),MAX('Exit Strategy'!$C$16,0),0)-J36-J37,0)))</f>
        <v/>
      </c>
      <c r="K38" s="677">
        <f>IF(10&gt;$B$5,0,MIN($B$8,MAX(IF(AND($B$23="Return of Capital",ISNUMBER('Exit Strategy'!$C$5),10='Exit Strategy'!$C$5),MAX('Exit Strategy'!$C$16,0),0)-K36-K37,0)))</f>
        <v/>
      </c>
      <c r="L38" s="677">
        <f>MIN(B8,MAX(MAX(B35,0)-L36-L37,0))</f>
        <v/>
      </c>
      <c r="M38" s="677">
        <f>SUM(B38:L38)</f>
        <v/>
      </c>
    </row>
    <row r="39" ht="18" customHeight="1" s="923"/>
    <row r="40" ht="18" customHeight="1" s="923">
      <c r="A40" s="938" t="inlineStr">
        <is>
          <t>ANNUAL DISTRIBUTION WATERFALL</t>
        </is>
      </c>
    </row>
    <row r="41" ht="18" customHeight="1" s="923">
      <c r="A41" s="32" t="inlineStr">
        <is>
          <t>Distribution Tier</t>
        </is>
      </c>
      <c r="B41" s="32" t="inlineStr">
        <is>
          <t>Year 1</t>
        </is>
      </c>
      <c r="C41" s="32" t="inlineStr">
        <is>
          <t>Year 2</t>
        </is>
      </c>
      <c r="D41" s="32" t="inlineStr">
        <is>
          <t>Year 3</t>
        </is>
      </c>
      <c r="E41" s="32" t="inlineStr">
        <is>
          <t>Year 4</t>
        </is>
      </c>
      <c r="F41" s="32" t="inlineStr">
        <is>
          <t>Year 5</t>
        </is>
      </c>
      <c r="G41" s="32" t="inlineStr">
        <is>
          <t>Year 6</t>
        </is>
      </c>
      <c r="H41" s="32" t="inlineStr">
        <is>
          <t>Year 7</t>
        </is>
      </c>
      <c r="I41" s="32" t="inlineStr">
        <is>
          <t>Year 8</t>
        </is>
      </c>
      <c r="J41" s="32" t="inlineStr">
        <is>
          <t>Year 9</t>
        </is>
      </c>
      <c r="K41" s="32" t="inlineStr">
        <is>
          <t>Year 10</t>
        </is>
      </c>
      <c r="L41" s="19" t="inlineStr">
        <is>
          <t>Exit Proceeds</t>
        </is>
      </c>
      <c r="M41" s="32" t="inlineStr">
        <is>
          <t>Total ($)</t>
        </is>
      </c>
    </row>
    <row r="42" ht="18" customHeight="1" s="923">
      <c r="A42" s="8" t="inlineStr">
        <is>
          <t>Class A LP Preferred Return</t>
        </is>
      </c>
      <c r="B42" s="72">
        <f>IF(1&gt;$B$5,0,B9*B11)</f>
        <v/>
      </c>
      <c r="C42" s="72">
        <f>IF(2&gt;$B$5,0,B9*B11)</f>
        <v/>
      </c>
      <c r="D42" s="72">
        <f>IF(3&gt;$B$5,0,B9*B11)</f>
        <v/>
      </c>
      <c r="E42" s="72">
        <f>IF(4&gt;$B$5,0,B9*B11)</f>
        <v/>
      </c>
      <c r="F42" s="72">
        <f>IF(5&gt;$B$5,0,B9*B11)</f>
        <v/>
      </c>
      <c r="G42" s="72">
        <f>IF(6&gt;$B$5,0,B9*B11)</f>
        <v/>
      </c>
      <c r="H42" s="72">
        <f>IF(7&gt;$B$5,0,B9*B11)</f>
        <v/>
      </c>
      <c r="I42" s="72">
        <f>IF(8&gt;$B$5,0,B9*B11)</f>
        <v/>
      </c>
      <c r="J42" s="72">
        <f>IF(9&gt;$B$5,0,B9*B11)</f>
        <v/>
      </c>
      <c r="K42" s="72">
        <f>IF(10&gt;$B$5,0,B9*B11)</f>
        <v/>
      </c>
      <c r="L42" s="72" t="n">
        <v>0</v>
      </c>
      <c r="M42" s="72">
        <f>SUM(B42:K42)</f>
        <v/>
      </c>
    </row>
    <row r="43" ht="18" customHeight="1" s="923">
      <c r="A43" s="248" t="inlineStr">
        <is>
          <t xml:space="preserve">  Class A Pref Distributed</t>
        </is>
      </c>
      <c r="B43" s="101">
        <f>MAX(MIN(B28,B42),0)</f>
        <v/>
      </c>
      <c r="C43" s="101">
        <f>MAX(MIN(C28,C42),0)</f>
        <v/>
      </c>
      <c r="D43" s="101">
        <f>MAX(MIN(D28,D42),0)</f>
        <v/>
      </c>
      <c r="E43" s="101">
        <f>MAX(MIN(E28,E42),0)</f>
        <v/>
      </c>
      <c r="F43" s="101">
        <f>MAX(MIN(F28,F42),0)</f>
        <v/>
      </c>
      <c r="G43" s="101">
        <f>MAX(MIN(G28,G42),0)</f>
        <v/>
      </c>
      <c r="H43" s="101">
        <f>MAX(MIN(H28,H42),0)</f>
        <v/>
      </c>
      <c r="I43" s="101">
        <f>MAX(MIN(I28,I42),0)</f>
        <v/>
      </c>
      <c r="J43" s="101">
        <f>MAX(MIN(J28,J42),0)</f>
        <v/>
      </c>
      <c r="K43" s="101">
        <f>MAX(MIN(K28,K42),0)</f>
        <v/>
      </c>
      <c r="L43" s="101" t="n">
        <v>0</v>
      </c>
      <c r="M43" s="101">
        <f>SUM(B43:K43)</f>
        <v/>
      </c>
    </row>
    <row r="44">
      <c r="A44" s="8" t="inlineStr">
        <is>
          <t>Class B LP Preferred Return</t>
        </is>
      </c>
      <c r="B44" s="72">
        <f>IF(1&gt;$B$5,0,IF(B14="YES",B10*B12,0))</f>
        <v/>
      </c>
      <c r="C44" s="72">
        <f>IF(2&gt;$B$5,0,IF(B14="YES",B10*B12,0))</f>
        <v/>
      </c>
      <c r="D44" s="72">
        <f>IF(3&gt;$B$5,0,IF(B14="YES",B10*B12,0))</f>
        <v/>
      </c>
      <c r="E44" s="72">
        <f>IF(4&gt;$B$5,0,IF(B14="YES",B10*B12,0))</f>
        <v/>
      </c>
      <c r="F44" s="72">
        <f>IF(5&gt;$B$5,0,IF(B14="YES",B10*B12,0))</f>
        <v/>
      </c>
      <c r="G44" s="72">
        <f>IF(6&gt;$B$5,0,IF(B14="YES",B10*B12,0))</f>
        <v/>
      </c>
      <c r="H44" s="72">
        <f>IF(7&gt;$B$5,0,IF(B14="YES",B10*B12,0))</f>
        <v/>
      </c>
      <c r="I44" s="72">
        <f>IF(8&gt;$B$5,0,IF(B14="YES",B10*B12,0))</f>
        <v/>
      </c>
      <c r="J44" s="72">
        <f>IF(9&gt;$B$5,0,IF(B14="YES",B10*B12,0))</f>
        <v/>
      </c>
      <c r="K44" s="72">
        <f>IF(10&gt;$B$5,0,IF(B14="YES",B10*B12,0))</f>
        <v/>
      </c>
      <c r="L44" s="72" t="n">
        <v>0</v>
      </c>
      <c r="M44" s="72">
        <f>SUM(B44:K44)</f>
        <v/>
      </c>
    </row>
    <row r="45" ht="18" customHeight="1" s="923">
      <c r="A45" s="248" t="inlineStr">
        <is>
          <t xml:space="preserve">  Class B Pref Distributed</t>
        </is>
      </c>
      <c r="B45" s="101">
        <f>IF(B14="YES",MIN(MAX(B28-B43,0),B44),0)</f>
        <v/>
      </c>
      <c r="C45" s="101">
        <f>IF(B14="YES",MIN(MAX(C28-C43,0),C44),0)</f>
        <v/>
      </c>
      <c r="D45" s="101">
        <f>IF(B14="YES",MIN(MAX(D28-D43,0),D44),0)</f>
        <v/>
      </c>
      <c r="E45" s="101">
        <f>IF(B14="YES",MIN(MAX(E28-E43,0),E44),0)</f>
        <v/>
      </c>
      <c r="F45" s="101">
        <f>IF(B14="YES",MIN(MAX(F28-F43,0),F44),0)</f>
        <v/>
      </c>
      <c r="G45" s="101">
        <f>IF(B14="YES",MIN(MAX(G28-G43,0),G44),0)</f>
        <v/>
      </c>
      <c r="H45" s="101">
        <f>IF(B14="YES",MIN(MAX(H28-H43,0),H44),0)</f>
        <v/>
      </c>
      <c r="I45" s="101">
        <f>IF(B14="YES",MIN(MAX(I28-I43,0),I44),0)</f>
        <v/>
      </c>
      <c r="J45" s="101">
        <f>IF(B14="YES",MIN(MAX(J28-J43,0),J44),0)</f>
        <v/>
      </c>
      <c r="K45" s="101">
        <f>IF(B14="YES",MIN(MAX(K28-K43,0),K44),0)</f>
        <v/>
      </c>
      <c r="L45" s="101" t="n">
        <v>0</v>
      </c>
      <c r="M45" s="101">
        <f>SUM(B45:K45)</f>
        <v/>
      </c>
    </row>
    <row r="46" ht="18" customHeight="1" s="923">
      <c r="A46" s="112" t="inlineStr">
        <is>
          <t>FCF Remaining After Prefs</t>
        </is>
      </c>
      <c r="B46" s="76">
        <f>MAX(B28-B43-B45,0)</f>
        <v/>
      </c>
      <c r="C46" s="76">
        <f>MAX(C28-C43-C45,0)</f>
        <v/>
      </c>
      <c r="D46" s="76">
        <f>MAX(D28-D43-D45,0)</f>
        <v/>
      </c>
      <c r="E46" s="76">
        <f>MAX(E28-E43-E45,0)</f>
        <v/>
      </c>
      <c r="F46" s="76">
        <f>MAX(F28-F43-F45,0)</f>
        <v/>
      </c>
      <c r="G46" s="76">
        <f>MAX(G28-G43-G45,0)</f>
        <v/>
      </c>
      <c r="H46" s="76">
        <f>MAX(H28-H43-H45,0)</f>
        <v/>
      </c>
      <c r="I46" s="76">
        <f>MAX(I28-I43-I45,0)</f>
        <v/>
      </c>
      <c r="J46" s="76">
        <f>MAX(J28-J43-J45,0)</f>
        <v/>
      </c>
      <c r="K46" s="76">
        <f>MAX(K28-K43-K45,0)</f>
        <v/>
      </c>
      <c r="L46" s="76">
        <f>MAX(B35,0)</f>
        <v/>
      </c>
      <c r="M46" s="76">
        <f>SUM(B46:L46)</f>
        <v/>
      </c>
    </row>
    <row r="48" ht="18" customHeight="1" s="923">
      <c r="A48" s="8" t="inlineStr">
        <is>
          <t>Tier 1 — LP Share (FCF)</t>
        </is>
      </c>
      <c r="B48" s="72">
        <f>B46*B15</f>
        <v/>
      </c>
      <c r="C48" s="72">
        <f>C46*B15</f>
        <v/>
      </c>
      <c r="D48" s="72">
        <f>D46*B15</f>
        <v/>
      </c>
      <c r="E48" s="72">
        <f>E46*B15</f>
        <v/>
      </c>
      <c r="F48" s="72">
        <f>F46*B15</f>
        <v/>
      </c>
      <c r="G48" s="72">
        <f>G46*B15</f>
        <v/>
      </c>
      <c r="H48" s="72">
        <f>H46*B15</f>
        <v/>
      </c>
      <c r="I48" s="72">
        <f>I46*B15</f>
        <v/>
      </c>
      <c r="J48" s="72">
        <f>J46*B15</f>
        <v/>
      </c>
      <c r="K48" s="72">
        <f>K46*B15</f>
        <v/>
      </c>
      <c r="L48" s="72">
        <f>MAX(L46-L36-L37-L38,0)*B15</f>
        <v/>
      </c>
      <c r="M48" s="72">
        <f>SUM(B48:L48)</f>
        <v/>
      </c>
    </row>
    <row r="49" ht="18" customHeight="1" s="923">
      <c r="A49" s="8" t="inlineStr">
        <is>
          <t>Tier 1 — GP Share (FCF)</t>
        </is>
      </c>
      <c r="B49" s="72">
        <f>B46*(1-B15)</f>
        <v/>
      </c>
      <c r="C49" s="72">
        <f>C46*(1-B15)</f>
        <v/>
      </c>
      <c r="D49" s="72">
        <f>D46*(1-B15)</f>
        <v/>
      </c>
      <c r="E49" s="72">
        <f>E46*(1-B15)</f>
        <v/>
      </c>
      <c r="F49" s="72">
        <f>F46*(1-B15)</f>
        <v/>
      </c>
      <c r="G49" s="72">
        <f>G46*(1-B15)</f>
        <v/>
      </c>
      <c r="H49" s="72">
        <f>H46*(1-B15)</f>
        <v/>
      </c>
      <c r="I49" s="72">
        <f>I46*(1-B15)</f>
        <v/>
      </c>
      <c r="J49" s="72">
        <f>J46*(1-B15)</f>
        <v/>
      </c>
      <c r="K49" s="72">
        <f>K46*(1-B15)</f>
        <v/>
      </c>
      <c r="L49" s="72">
        <f>MAX(L46-L36-L37-L38,0)*(1-B15)</f>
        <v/>
      </c>
      <c r="M49" s="72">
        <f>SUM(B49:L49)</f>
        <v/>
      </c>
    </row>
    <row r="50" ht="18" customHeight="1" s="923"/>
    <row r="51" ht="6" customHeight="1" s="923">
      <c r="A51" s="248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 ht="6" customHeight="1" s="923">
      <c r="A52" s="248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 ht="6" customHeight="1" s="923">
      <c r="A53" s="248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 ht="18" customHeight="1" s="923"/>
    <row r="55" ht="18" customHeight="1" s="923">
      <c r="A55" s="950" t="inlineStr">
        <is>
          <t>TOTAL CLASS A LP DISTRIBUTIONS</t>
        </is>
      </c>
      <c r="B55" s="249">
        <f>IF($E$12="Common Equity",B43+B48*IFERROR($B$9/($B$9+$B$10),1),B43+B48)</f>
        <v/>
      </c>
      <c r="C55" s="249">
        <f>IF($E$12="Common Equity",C43+C48*IFERROR($B$9/($B$9+$B$10),1),C43+C48)</f>
        <v/>
      </c>
      <c r="D55" s="249">
        <f>IF($E$12="Common Equity",D43+D48*IFERROR($B$9/($B$9+$B$10),1),D43+D48)</f>
        <v/>
      </c>
      <c r="E55" s="249">
        <f>IF($E$12="Common Equity",E43+E48*IFERROR($B$9/($B$9+$B$10),1),E43+E48)</f>
        <v/>
      </c>
      <c r="F55" s="249">
        <f>IF($E$12="Common Equity",F43+F48*IFERROR($B$9/($B$9+$B$10),1),F43+F48)</f>
        <v/>
      </c>
      <c r="G55" s="249">
        <f>IF($E$12="Common Equity",G43+G48*IFERROR($B$9/($B$9+$B$10),1),G43+G48)</f>
        <v/>
      </c>
      <c r="H55" s="249">
        <f>IF($E$12="Common Equity",H43+H48*IFERROR($B$9/($B$9+$B$10),1),H43+H48)</f>
        <v/>
      </c>
      <c r="I55" s="249">
        <f>IF($E$12="Common Equity",I43+I48*IFERROR($B$9/($B$9+$B$10),1),I43+I48)</f>
        <v/>
      </c>
      <c r="J55" s="249">
        <f>IF($E$12="Common Equity",J43+J48*IFERROR($B$9/($B$9+$B$10),1),J43+J48)</f>
        <v/>
      </c>
      <c r="K55" s="249">
        <f>IF($E$12="Common Equity",K43+K48*IFERROR($B$9/($B$9+$B$10),1),K43+K48)</f>
        <v/>
      </c>
      <c r="L55" s="249">
        <f>IF($E$12="Common Equity",L43+L48*IFERROR($B$9/($B$9+$B$10),1)+L36,L43+L48+L36)</f>
        <v/>
      </c>
      <c r="M55" s="250">
        <f>SUM(B55:L55)</f>
        <v/>
      </c>
    </row>
    <row r="56">
      <c r="A56" s="966" t="inlineStr">
        <is>
          <t>TOTAL CLASS B LP DISTRIBUTIONS</t>
        </is>
      </c>
      <c r="B56" s="251">
        <f>IF($E$12="Common Equity",B45+B48*IFERROR($B$10/($B$9+$B$10),0),B45)</f>
        <v/>
      </c>
      <c r="C56" s="251">
        <f>IF($E$12="Common Equity",C45+C48*IFERROR($B$10/($B$9+$B$10),0),C45)</f>
        <v/>
      </c>
      <c r="D56" s="251">
        <f>IF($E$12="Common Equity",D45+D48*IFERROR($B$10/($B$9+$B$10),0),D45)</f>
        <v/>
      </c>
      <c r="E56" s="251">
        <f>IF($E$12="Common Equity",E45+E48*IFERROR($B$10/($B$9+$B$10),0),E45)</f>
        <v/>
      </c>
      <c r="F56" s="251">
        <f>IF($E$12="Common Equity",F45+F48*IFERROR($B$10/($B$9+$B$10),0),F45)</f>
        <v/>
      </c>
      <c r="G56" s="251">
        <f>IF($E$12="Common Equity",G45+G48*IFERROR($B$10/($B$9+$B$10),0),G45)</f>
        <v/>
      </c>
      <c r="H56" s="251">
        <f>IF($E$12="Common Equity",H45+H48*IFERROR($B$10/($B$9+$B$10),0),H45)</f>
        <v/>
      </c>
      <c r="I56" s="251">
        <f>IF($E$12="Common Equity",I45+I48*IFERROR($B$10/($B$9+$B$10),0),I45)</f>
        <v/>
      </c>
      <c r="J56" s="251">
        <f>IF($E$12="Common Equity",J45+J48*IFERROR($B$10/($B$9+$B$10),0),J45)</f>
        <v/>
      </c>
      <c r="K56" s="251">
        <f>IF($E$12="Common Equity",K45+K48*IFERROR($B$10/($B$9+$B$10),0),K45)</f>
        <v/>
      </c>
      <c r="L56" s="251">
        <f>IF($E$12="Common Equity",L45+L48*IFERROR($B$10/($B$9+$B$10),0)+L37,L45+L37)</f>
        <v/>
      </c>
      <c r="M56" s="252">
        <f>SUM(B56:L56)</f>
        <v/>
      </c>
    </row>
    <row r="57" ht="24" customHeight="1" s="923">
      <c r="A57" s="946" t="inlineStr">
        <is>
          <t>TOTAL LP DISTRIBUTIONS (A+B)</t>
        </is>
      </c>
      <c r="B57" s="88">
        <f>B55+B56</f>
        <v/>
      </c>
      <c r="C57" s="88">
        <f>C55+C56</f>
        <v/>
      </c>
      <c r="D57" s="88">
        <f>D55+D56</f>
        <v/>
      </c>
      <c r="E57" s="88">
        <f>E55+E56</f>
        <v/>
      </c>
      <c r="F57" s="88">
        <f>F55+F56</f>
        <v/>
      </c>
      <c r="G57" s="134">
        <f>G55+G56</f>
        <v/>
      </c>
      <c r="H57" s="134">
        <f>H55+H56</f>
        <v/>
      </c>
      <c r="I57" s="134">
        <f>I55+I56</f>
        <v/>
      </c>
      <c r="J57" s="134">
        <f>J55+J56</f>
        <v/>
      </c>
      <c r="K57" s="134">
        <f>K55+K56</f>
        <v/>
      </c>
      <c r="L57" s="134">
        <f>L55+L56</f>
        <v/>
      </c>
      <c r="M57" s="423">
        <f>SUM(B57:L57)</f>
        <v/>
      </c>
    </row>
    <row r="58" ht="30" customHeight="1" s="923">
      <c r="A58" s="951" t="inlineStr">
        <is>
          <t>TOTAL GP DISTRIBUTIONS</t>
        </is>
      </c>
      <c r="B58" s="142">
        <f>B49</f>
        <v/>
      </c>
      <c r="C58" s="142">
        <f>C49</f>
        <v/>
      </c>
      <c r="D58" s="142">
        <f>D49</f>
        <v/>
      </c>
      <c r="E58" s="142">
        <f>E49</f>
        <v/>
      </c>
      <c r="F58" s="142">
        <f>F49</f>
        <v/>
      </c>
      <c r="L58" s="134">
        <f>L49+L38</f>
        <v/>
      </c>
      <c r="M58" s="142">
        <f>SUM(B58:L58)</f>
        <v/>
      </c>
    </row>
    <row r="59" ht="18" customHeight="1" s="923"/>
    <row r="60" ht="18" customHeight="1" s="923">
      <c r="A60" s="938" t="inlineStr">
        <is>
          <t>INVESTOR RETURNS SUMMARY</t>
        </is>
      </c>
    </row>
    <row r="61" ht="18" customHeight="1" s="923">
      <c r="A61" s="32" t="inlineStr">
        <is>
          <t>Metric</t>
        </is>
      </c>
      <c r="B61" s="19" t="inlineStr">
        <is>
          <t>Class A LP</t>
        </is>
      </c>
      <c r="C61" s="178" t="inlineStr">
        <is>
          <t>Class B LP</t>
        </is>
      </c>
      <c r="D61" s="60" t="inlineStr">
        <is>
          <t>LP (Combined)</t>
        </is>
      </c>
      <c r="E61" s="32" t="inlineStr">
        <is>
          <t>GP</t>
        </is>
      </c>
      <c r="F61" s="59" t="inlineStr">
        <is>
          <t>Notes</t>
        </is>
      </c>
    </row>
    <row r="62" ht="18" customHeight="1" s="923">
      <c r="A62" s="8" t="inlineStr">
        <is>
          <t xml:space="preserve">  [IRR Helper] Class A LP Cash Flows</t>
        </is>
      </c>
      <c r="B62" s="253">
        <f>-B9</f>
        <v/>
      </c>
      <c r="C62" s="253">
        <f>IF(1&gt;$B$5,0,B55+IF(1=$B$5,L55,0))</f>
        <v/>
      </c>
      <c r="D62" s="253">
        <f>IF(2&gt;$B$5,0,C55+IF(2=$B$5,L55,0))</f>
        <v/>
      </c>
      <c r="E62" s="253">
        <f>IF(3&gt;$B$5,0,D55+IF(3=$B$5,L55,0))</f>
        <v/>
      </c>
      <c r="F62" s="253">
        <f>IF(4&gt;$B$5,0,E55+IF(4=$B$5,L55,0))</f>
        <v/>
      </c>
      <c r="G62" s="253">
        <f>IF(5&gt;$B$5,0,F55+IF(5=$B$5,L55,0))</f>
        <v/>
      </c>
      <c r="H62" s="253">
        <f>IF(6&gt;$B$5,0,G55+IF(6=$B$5,L55,0))</f>
        <v/>
      </c>
      <c r="I62" s="253">
        <f>IF(7&gt;$B$5,0,H55+IF(7=$B$5,L55,0))</f>
        <v/>
      </c>
      <c r="J62" s="253">
        <f>IF(8&gt;$B$5,0,I55+IF(8=$B$5,L55,0))</f>
        <v/>
      </c>
      <c r="K62" s="253">
        <f>IF(9&gt;$B$5,0,J55+IF(9=$B$5,L55,0))</f>
        <v/>
      </c>
      <c r="L62" s="253">
        <f>IF(10&gt;$B$5,0,K55+IF(10=$B$5,L55,0))</f>
        <v/>
      </c>
      <c r="M62" s="253" t="n"/>
    </row>
    <row r="63" ht="18" customHeight="1" s="923">
      <c r="A63" s="8" t="inlineStr">
        <is>
          <t xml:space="preserve">  [IRR Helper] Class B LP Cash Flows</t>
        </is>
      </c>
      <c r="B63" s="253">
        <f>-B10</f>
        <v/>
      </c>
      <c r="C63" s="253">
        <f>IF(1&gt;$B$5,0,B56+IF(1=$B$5,L56,0))</f>
        <v/>
      </c>
      <c r="D63" s="253">
        <f>IF(2&gt;$B$5,0,C56+IF(2=$B$5,L56,0))</f>
        <v/>
      </c>
      <c r="E63" s="253">
        <f>IF(3&gt;$B$5,0,D56+IF(3=$B$5,L56,0))</f>
        <v/>
      </c>
      <c r="F63" s="253">
        <f>IF(4&gt;$B$5,0,E56+IF(4=$B$5,L56,0))</f>
        <v/>
      </c>
      <c r="G63" s="253">
        <f>IF(5&gt;$B$5,0,F56+IF(5=$B$5,L56,0))</f>
        <v/>
      </c>
      <c r="H63" s="253">
        <f>IF(6&gt;$B$5,0,G56+IF(6=$B$5,L56,0))</f>
        <v/>
      </c>
      <c r="I63" s="253">
        <f>IF(7&gt;$B$5,0,H56+IF(7=$B$5,L56,0))</f>
        <v/>
      </c>
      <c r="J63" s="253">
        <f>IF(8&gt;$B$5,0,I56+IF(8=$B$5,L56,0))</f>
        <v/>
      </c>
      <c r="K63" s="253">
        <f>IF(9&gt;$B$5,0,J56+IF(9=$B$5,L56,0))</f>
        <v/>
      </c>
      <c r="L63" s="253">
        <f>IF(10&gt;$B$5,0,K56+IF(10=$B$5,L56,0))</f>
        <v/>
      </c>
      <c r="M63" s="253" t="n"/>
    </row>
    <row r="64" ht="18" customHeight="1" s="923">
      <c r="A64" s="8" t="inlineStr">
        <is>
          <t xml:space="preserve">  [IRR Helper] GP Cash Flows</t>
        </is>
      </c>
      <c r="B64" s="253">
        <f>-B8</f>
        <v/>
      </c>
      <c r="C64" s="253">
        <f>IF(1&gt;$B$5,0,B58+IF(1=$B$5,L58,0))</f>
        <v/>
      </c>
      <c r="D64" s="253">
        <f>IF(2&gt;$B$5,0,C58+IF(2=$B$5,L58,0))</f>
        <v/>
      </c>
      <c r="E64" s="253">
        <f>IF(3&gt;$B$5,0,D58+IF(3=$B$5,L58,0))</f>
        <v/>
      </c>
      <c r="F64" s="253">
        <f>IF(4&gt;$B$5,0,E58+IF(4=$B$5,L58,0))</f>
        <v/>
      </c>
      <c r="G64" s="253">
        <f>IF(5&gt;$B$5,0,F58+IF(5=$B$5,L58,0))</f>
        <v/>
      </c>
      <c r="H64" s="253">
        <f>IF(6&gt;$B$5,0,G58+IF(6=$B$5,L58,0))</f>
        <v/>
      </c>
      <c r="I64" s="253">
        <f>IF(7&gt;$B$5,0,H58+IF(7=$B$5,L58,0))</f>
        <v/>
      </c>
      <c r="J64" s="253">
        <f>IF(8&gt;$B$5,0,I58+IF(8=$B$5,L58,0))</f>
        <v/>
      </c>
      <c r="K64" s="253">
        <f>IF(9&gt;$B$5,0,J58+IF(9=$B$5,L58,0))</f>
        <v/>
      </c>
      <c r="L64" s="253">
        <f>IF(10&gt;$B$5,0,K58+IF(10=$B$5,L58,0))</f>
        <v/>
      </c>
      <c r="M64" s="253" t="n"/>
    </row>
    <row r="65" ht="18" customHeight="1" s="923">
      <c r="A65" s="8" t="inlineStr">
        <is>
          <t>Total Equity Invested</t>
        </is>
      </c>
      <c r="B65" s="72">
        <f>B9</f>
        <v/>
      </c>
      <c r="C65" s="72">
        <f>B10</f>
        <v/>
      </c>
      <c r="D65" s="72">
        <f>B9+B10</f>
        <v/>
      </c>
      <c r="E65" s="72">
        <f>B8</f>
        <v/>
      </c>
    </row>
    <row r="66" ht="18" customHeight="1" s="923">
      <c r="A66" s="10" t="inlineStr">
        <is>
          <t>Total Distributions</t>
        </is>
      </c>
      <c r="B66" s="69">
        <f>M55</f>
        <v/>
      </c>
      <c r="C66" s="69">
        <f>M56</f>
        <v/>
      </c>
      <c r="D66" s="69">
        <f>M57</f>
        <v/>
      </c>
      <c r="E66" s="69">
        <f>M58</f>
        <v/>
      </c>
    </row>
    <row r="67" ht="15.75" customHeight="1" s="923">
      <c r="A67" s="8" t="inlineStr">
        <is>
          <t>Equity Multiple (EM)</t>
        </is>
      </c>
      <c r="B67" s="254">
        <f>IFERROR(B66/B65,0)</f>
        <v/>
      </c>
      <c r="C67" s="254">
        <f>IFERROR(C66/C65,0)</f>
        <v/>
      </c>
      <c r="D67" s="254">
        <f>IFERROR(D66/D65,0)</f>
        <v/>
      </c>
      <c r="E67" s="254">
        <f>IFERROR(E66/E65,0)</f>
        <v/>
      </c>
    </row>
    <row r="68">
      <c r="A68" s="10" t="inlineStr">
        <is>
          <t>Net Profit</t>
        </is>
      </c>
      <c r="B68" s="69">
        <f>B66-B65</f>
        <v/>
      </c>
      <c r="C68" s="69">
        <f>C66-C65</f>
        <v/>
      </c>
      <c r="D68" s="69">
        <f>D66-D65</f>
        <v/>
      </c>
      <c r="E68" s="69">
        <f>E66-E65</f>
        <v/>
      </c>
    </row>
    <row r="69">
      <c r="A69" s="8" t="inlineStr">
        <is>
          <t>IRR</t>
        </is>
      </c>
      <c r="B69" s="255">
        <f>IFERROR(IRR(B62:M62),0)</f>
        <v/>
      </c>
      <c r="C69" s="255">
        <f>IFERROR(IRR(B63:M63),0)</f>
        <v/>
      </c>
      <c r="D69" s="255">
        <f>IFERROR(IF(B10=0,B69,IRR(B70:M70)),0)</f>
        <v/>
      </c>
      <c r="E69" s="255">
        <f>IFERROR(IRR(B64:M64),0)</f>
        <v/>
      </c>
    </row>
    <row r="70" ht="21.75" customHeight="1" s="923">
      <c r="A70" s="983" t="inlineStr">
        <is>
          <t xml:space="preserve">  [IRR Helper] Combined LP Cash Flows</t>
        </is>
      </c>
    </row>
    <row r="71" ht="15.75" customHeight="1" s="923"/>
    <row r="72" ht="18" customHeight="1" s="923"/>
    <row r="73" ht="18" customHeight="1" s="923">
      <c r="A73" s="938" t="inlineStr">
        <is>
          <t>LP CAPITAL BALANCE TRACKER  (Unreturned Capital by Year)</t>
        </is>
      </c>
    </row>
    <row r="74" ht="18" customHeight="1" s="923">
      <c r="A74" s="256" t="inlineStr">
        <is>
          <t>Party</t>
        </is>
      </c>
      <c r="B74" s="41" t="inlineStr">
        <is>
          <t>Y0 (Invested)</t>
        </is>
      </c>
      <c r="C74" s="41" t="inlineStr">
        <is>
          <t>Y1</t>
        </is>
      </c>
      <c r="D74" s="41" t="inlineStr">
        <is>
          <t>Y2</t>
        </is>
      </c>
      <c r="E74" s="41" t="inlineStr">
        <is>
          <t>Y3</t>
        </is>
      </c>
      <c r="F74" s="41" t="inlineStr">
        <is>
          <t>Y4</t>
        </is>
      </c>
      <c r="G74" s="41" t="inlineStr">
        <is>
          <t>Y5</t>
        </is>
      </c>
      <c r="H74" s="41" t="inlineStr">
        <is>
          <t>Y6</t>
        </is>
      </c>
      <c r="I74" s="41" t="inlineStr">
        <is>
          <t>Y7</t>
        </is>
      </c>
      <c r="J74" s="41" t="inlineStr">
        <is>
          <t>Y8</t>
        </is>
      </c>
      <c r="K74" s="41" t="inlineStr">
        <is>
          <t>Y9</t>
        </is>
      </c>
      <c r="L74" s="41" t="inlineStr">
        <is>
          <t>Y10</t>
        </is>
      </c>
      <c r="M74" s="41" t="inlineStr">
        <is>
          <t>Exit</t>
        </is>
      </c>
    </row>
    <row r="75">
      <c r="A75" s="119" t="inlineStr">
        <is>
          <t>Class A LP — Invested Capital</t>
        </is>
      </c>
      <c r="B75" s="257">
        <f>B9</f>
        <v/>
      </c>
      <c r="C75" s="258">
        <f>IF(1&gt;$B$5,0,MAX(B75-IF($B$23="Return of Capital",IF(ISNUMBER('Exit Strategy'!$C$5),IF(1='Exit Strategy'!$C$5,'Exit Strategy'!$C$16*IFERROR($B$9/($B$9+$B$10),1),0),0),0),0))</f>
        <v/>
      </c>
      <c r="D75" s="258">
        <f>IF(2&gt;$B$5,0,MAX(C75-IF($B$23="Return of Capital",IF(ISNUMBER('Exit Strategy'!$C$5),IF(2='Exit Strategy'!$C$5,'Exit Strategy'!$C$16*IFERROR($B$9/($B$9+$B$10),1),0),0),0),0))</f>
        <v/>
      </c>
      <c r="E75" s="258">
        <f>IF(3&gt;$B$5,0,MAX(D75-IF($B$23="Return of Capital",IF(ISNUMBER('Exit Strategy'!$C$5),IF(3='Exit Strategy'!$C$5,'Exit Strategy'!$C$16*IFERROR($B$9/($B$9+$B$10),1),0),0),0),0))</f>
        <v/>
      </c>
      <c r="F75" s="258">
        <f>IF(4&gt;$B$5,0,MAX(E75-IF($B$23="Return of Capital",IF(ISNUMBER('Exit Strategy'!$C$5),IF(4='Exit Strategy'!$C$5,'Exit Strategy'!$C$16*IFERROR($B$9/($B$9+$B$10),1),0),0),0),0))</f>
        <v/>
      </c>
      <c r="G75" s="258">
        <f>IF(5&gt;$B$5,0,MAX(F75-IF($B$23="Return of Capital",IF(ISNUMBER('Exit Strategy'!$C$5),IF(5='Exit Strategy'!$C$5,'Exit Strategy'!$C$16*IFERROR($B$9/($B$9+$B$10),1),0),0),0),0))</f>
        <v/>
      </c>
      <c r="H75" s="258">
        <f>IF(6&gt;$B$5,0,MAX(G75-IF($B$23="Return of Capital",IF(ISNUMBER('Exit Strategy'!$C$5),IF(6='Exit Strategy'!$C$5,'Exit Strategy'!$C$16*IFERROR($B$9/($B$9+$B$10),1),0),0),0),0))</f>
        <v/>
      </c>
      <c r="I75" s="258">
        <f>IF(7&gt;$B$5,0,MAX(H75-IF($B$23="Return of Capital",IF(ISNUMBER('Exit Strategy'!$C$5),IF(7='Exit Strategy'!$C$5,'Exit Strategy'!$C$16*IFERROR($B$9/($B$9+$B$10),1),0),0),0),0))</f>
        <v/>
      </c>
      <c r="J75" s="258">
        <f>IF(8&gt;$B$5,0,MAX(I75-IF($B$23="Return of Capital",IF(ISNUMBER('Exit Strategy'!$C$5),IF(8='Exit Strategy'!$C$5,'Exit Strategy'!$C$16*IFERROR($B$9/($B$9+$B$10),1),0),0),0),0))</f>
        <v/>
      </c>
      <c r="K75" s="258">
        <f>IF(9&gt;$B$5,0,MAX(J75-IF($B$23="Return of Capital",IF(ISNUMBER('Exit Strategy'!$C$5),IF(9='Exit Strategy'!$C$5,'Exit Strategy'!$C$16*IFERROR($B$9/($B$9+$B$10),1),0),0),0),0))</f>
        <v/>
      </c>
      <c r="L75" s="258">
        <f>IF(10&gt;$B$5,0,MAX(K75-IF($B$23="Return of Capital",IF(ISNUMBER('Exit Strategy'!$C$5),IF(10='Exit Strategy'!$C$5,'Exit Strategy'!$C$16*IFERROR($B$9/($B$9+$B$10),1),0),0),0),0))</f>
        <v/>
      </c>
      <c r="M75" s="257">
        <f>B75</f>
        <v/>
      </c>
      <c r="N75" s="257">
        <f>MAX(K75-L51,0)</f>
        <v/>
      </c>
    </row>
    <row r="76" ht="18" customHeight="1" s="923">
      <c r="A76" s="980" t="inlineStr">
        <is>
          <t xml:space="preserve">  Less: Refi — Return of Capital</t>
        </is>
      </c>
      <c r="B76" s="260" t="inlineStr">
        <is>
          <t>—</t>
        </is>
      </c>
      <c r="C76" s="261">
        <f>IF($B$23="Return of Capital",IF(ISNUMBER('Exit Strategy'!$C$5),IF(1='Exit Strategy'!$C$5,'Exit Strategy'!$C$16*IFERROR($B$9/($B$9+$B$10),1),0),0),0)</f>
        <v/>
      </c>
      <c r="D76" s="261">
        <f>IF($B$23="Return of Capital",IF(ISNUMBER('Exit Strategy'!$C$5),IF(2='Exit Strategy'!$C$5,'Exit Strategy'!$C$16*IFERROR($B$9/($B$9+$B$10),1),0),0),0)</f>
        <v/>
      </c>
      <c r="E76" s="261">
        <f>IF($B$23="Return of Capital",IF(ISNUMBER('Exit Strategy'!$C$5),IF(3='Exit Strategy'!$C$5,'Exit Strategy'!$C$16*IFERROR($B$9/($B$9+$B$10),1),0),0),0)</f>
        <v/>
      </c>
      <c r="F76" s="261">
        <f>IF($B$23="Return of Capital",IF(ISNUMBER('Exit Strategy'!$C$5),IF(4='Exit Strategy'!$C$5,'Exit Strategy'!$C$16*IFERROR($B$9/($B$9+$B$10),1),0),0),0)</f>
        <v/>
      </c>
      <c r="G76" s="261">
        <f>IF($B$23="Return of Capital",IF(ISNUMBER('Exit Strategy'!$C$5),IF(5='Exit Strategy'!$C$5,'Exit Strategy'!$C$16*IFERROR($B$9/($B$9+$B$10),1),0),0),0)</f>
        <v/>
      </c>
      <c r="H76" s="261">
        <f>IF($B$23="Return of Capital",IF(ISNUMBER('Exit Strategy'!$C$5),IF(6='Exit Strategy'!$C$5,'Exit Strategy'!$C$16*IFERROR($B$9/($B$9+$B$10),1),0),0),0)</f>
        <v/>
      </c>
      <c r="I76" s="261">
        <f>IF($B$23="Return of Capital",IF(ISNUMBER('Exit Strategy'!$C$5),IF(7='Exit Strategy'!$C$5,'Exit Strategy'!$C$16*IFERROR($B$9/($B$9+$B$10),1),0),0),0)</f>
        <v/>
      </c>
      <c r="J76" s="261">
        <f>IF($B$23="Return of Capital",IF(ISNUMBER('Exit Strategy'!$C$5),IF(8='Exit Strategy'!$C$5,'Exit Strategy'!$C$16*IFERROR($B$9/($B$9+$B$10),1),0),0),0)</f>
        <v/>
      </c>
      <c r="K76" s="261">
        <f>IF($B$23="Return of Capital",IF(ISNUMBER('Exit Strategy'!$C$5),IF(9='Exit Strategy'!$C$5,'Exit Strategy'!$C$16*IFERROR($B$9/($B$9+$B$10),1),0),0),0)</f>
        <v/>
      </c>
      <c r="L76" s="261">
        <f>IF($B$23="Return of Capital",IF(ISNUMBER('Exit Strategy'!$C$5),IF(10='Exit Strategy'!$C$5,'Exit Strategy'!$C$16*IFERROR($B$9/($B$9+$B$10),1),0),0),0)</f>
        <v/>
      </c>
      <c r="M76" s="261">
        <f>SUM(C76:L76)</f>
        <v/>
      </c>
      <c r="N76" s="261">
        <f>L51</f>
        <v/>
      </c>
    </row>
    <row r="77" ht="18" customHeight="1" s="923">
      <c r="A77" s="262" t="inlineStr">
        <is>
          <t xml:space="preserve">  Closing Balance</t>
        </is>
      </c>
      <c r="B77" s="263">
        <f>B75</f>
        <v/>
      </c>
      <c r="C77" s="263">
        <f>C75</f>
        <v/>
      </c>
      <c r="D77" s="263">
        <f>D75</f>
        <v/>
      </c>
      <c r="E77" s="263">
        <f>E75</f>
        <v/>
      </c>
      <c r="F77" s="263">
        <f>F75</f>
        <v/>
      </c>
      <c r="G77" s="263">
        <f>G75</f>
        <v/>
      </c>
      <c r="H77" s="263">
        <f>H75</f>
        <v/>
      </c>
      <c r="I77" s="263">
        <f>I75</f>
        <v/>
      </c>
      <c r="J77" s="263">
        <f>J75</f>
        <v/>
      </c>
      <c r="K77" s="263">
        <f>K75</f>
        <v/>
      </c>
      <c r="L77" s="263">
        <f>L75</f>
        <v/>
      </c>
      <c r="M77" s="263">
        <f>M75</f>
        <v/>
      </c>
    </row>
    <row r="78" ht="18" customHeight="1" s="923"/>
    <row r="79">
      <c r="A79" s="119" t="inlineStr">
        <is>
          <t>Total LP — Invested Capital</t>
        </is>
      </c>
      <c r="B79" s="257">
        <f>B9+B10</f>
        <v/>
      </c>
      <c r="C79" s="258">
        <f>IF(1&gt;$B$5,0,MAX(B79-IF($B$23="Return of Capital",IF(ISNUMBER('Exit Strategy'!$C$5),IF(1='Exit Strategy'!$C$5,'Exit Strategy'!$C$16,0),0),0),0))</f>
        <v/>
      </c>
      <c r="D79" s="258">
        <f>IF(2&gt;$B$5,0,MAX(C79-IF($B$23="Return of Capital",IF(ISNUMBER('Exit Strategy'!$C$5),IF(2='Exit Strategy'!$C$5,'Exit Strategy'!$C$16,0),0),0),0))</f>
        <v/>
      </c>
      <c r="E79" s="258">
        <f>IF(3&gt;$B$5,0,MAX(D79-IF($B$23="Return of Capital",IF(ISNUMBER('Exit Strategy'!$C$5),IF(3='Exit Strategy'!$C$5,'Exit Strategy'!$C$16,0),0),0),0))</f>
        <v/>
      </c>
      <c r="F79" s="258">
        <f>IF(4&gt;$B$5,0,MAX(E79-IF($B$23="Return of Capital",IF(ISNUMBER('Exit Strategy'!$C$5),IF(4='Exit Strategy'!$C$5,'Exit Strategy'!$C$16,0),0),0),0))</f>
        <v/>
      </c>
      <c r="G79" s="258">
        <f>IF(5&gt;$B$5,0,MAX(F79-IF($B$23="Return of Capital",IF(ISNUMBER('Exit Strategy'!$C$5),IF(5='Exit Strategy'!$C$5,'Exit Strategy'!$C$16,0),0),0),0))</f>
        <v/>
      </c>
      <c r="H79" s="258">
        <f>IF(6&gt;$B$5,0,MAX(G79-IF($B$23="Return of Capital",IF(ISNUMBER('Exit Strategy'!$C$5),IF(6='Exit Strategy'!$C$5,'Exit Strategy'!$C$16,0),0),0),0))</f>
        <v/>
      </c>
      <c r="I79" s="258">
        <f>IF(7&gt;$B$5,0,MAX(H79-IF($B$23="Return of Capital",IF(ISNUMBER('Exit Strategy'!$C$5),IF(7='Exit Strategy'!$C$5,'Exit Strategy'!$C$16,0),0),0),0))</f>
        <v/>
      </c>
      <c r="J79" s="258">
        <f>IF(8&gt;$B$5,0,MAX(I79-IF($B$23="Return of Capital",IF(ISNUMBER('Exit Strategy'!$C$5),IF(8='Exit Strategy'!$C$5,'Exit Strategy'!$C$16,0),0),0),0))</f>
        <v/>
      </c>
      <c r="K79" s="258">
        <f>IF(9&gt;$B$5,0,MAX(J79-IF($B$23="Return of Capital",IF(ISNUMBER('Exit Strategy'!$C$5),IF(9='Exit Strategy'!$C$5,'Exit Strategy'!$C$16,0),0),0),0))</f>
        <v/>
      </c>
      <c r="L79" s="258">
        <f>IF(10&gt;$B$5,0,MAX(K79-IF($B$23="Return of Capital",IF(ISNUMBER('Exit Strategy'!$C$5),IF(10='Exit Strategy'!$C$5,'Exit Strategy'!$C$16,0),0),0),0))</f>
        <v/>
      </c>
      <c r="M79" s="257">
        <f>B79</f>
        <v/>
      </c>
      <c r="N79" s="257">
        <f>MAX(K79-L51-L52,0)</f>
        <v/>
      </c>
    </row>
    <row r="80" ht="27.75" customHeight="1" s="923">
      <c r="A80" s="980" t="inlineStr">
        <is>
          <t xml:space="preserve">  Less: Refi — Return of Capital (Total LP)</t>
        </is>
      </c>
    </row>
    <row r="81">
      <c r="A81" s="262" t="inlineStr">
        <is>
          <t xml:space="preserve">  Closing Balance (Total LP)</t>
        </is>
      </c>
      <c r="B81" s="263">
        <f>B79</f>
        <v/>
      </c>
      <c r="C81" s="263">
        <f>C79</f>
        <v/>
      </c>
      <c r="D81" s="263">
        <f>D79</f>
        <v/>
      </c>
      <c r="E81" s="263">
        <f>E79</f>
        <v/>
      </c>
      <c r="F81" s="263">
        <f>F79</f>
        <v/>
      </c>
      <c r="G81" s="263">
        <f>G79</f>
        <v/>
      </c>
      <c r="H81" s="263">
        <f>H79</f>
        <v/>
      </c>
      <c r="I81" s="263">
        <f>I79</f>
        <v/>
      </c>
      <c r="J81" s="263">
        <f>J79</f>
        <v/>
      </c>
      <c r="K81" s="263">
        <f>K79</f>
        <v/>
      </c>
      <c r="L81" s="263">
        <f>L79</f>
        <v/>
      </c>
      <c r="M81" s="263">
        <f>M79</f>
        <v/>
      </c>
    </row>
    <row r="82" ht="21.75" customHeight="1" s="923"/>
    <row r="83" ht="15.75" customHeight="1" s="923">
      <c r="A83" s="934" t="inlineStr">
        <is>
          <t xml:space="preserve">  Note: When toggle = "Return of Capital", refi proceeds reduce LP capital balance and are excluded from operating FCF waterfall. When toggle = "Waterfall", refi proceeds flow through the distribution cascade as additional FCF.</t>
        </is>
      </c>
    </row>
    <row r="84" ht="18" customHeight="1" s="923"/>
    <row r="85" ht="18" customHeight="1" s="923">
      <c r="A85" s="264" t="inlineStr">
        <is>
          <t>GP ECONOMICS SUMMARY  —  All Income Streams by Year</t>
        </is>
      </c>
    </row>
    <row r="86" ht="18" customHeight="1" s="923">
      <c r="A86" s="42" t="inlineStr">
        <is>
          <t>Income Source</t>
        </is>
      </c>
      <c r="B86" s="41" t="inlineStr">
        <is>
          <t>Y1</t>
        </is>
      </c>
      <c r="C86" s="41" t="inlineStr">
        <is>
          <t>Y2</t>
        </is>
      </c>
      <c r="D86" s="41" t="inlineStr">
        <is>
          <t>Y3</t>
        </is>
      </c>
      <c r="E86" s="41" t="inlineStr">
        <is>
          <t>Y4</t>
        </is>
      </c>
      <c r="F86" s="41" t="inlineStr">
        <is>
          <t>Y5</t>
        </is>
      </c>
      <c r="G86" s="41" t="inlineStr">
        <is>
          <t>Y6</t>
        </is>
      </c>
      <c r="H86" s="41" t="inlineStr">
        <is>
          <t>Y7</t>
        </is>
      </c>
      <c r="I86" s="41" t="inlineStr">
        <is>
          <t>Y8</t>
        </is>
      </c>
      <c r="J86" s="41" t="inlineStr">
        <is>
          <t>Y9</t>
        </is>
      </c>
      <c r="K86" s="41" t="inlineStr">
        <is>
          <t>Y10</t>
        </is>
      </c>
      <c r="L86" s="41" t="inlineStr">
        <is>
          <t>Exit</t>
        </is>
      </c>
      <c r="M86" s="41" t="inlineStr">
        <is>
          <t>TOTAL ($)</t>
        </is>
      </c>
    </row>
    <row r="87" ht="18" customHeight="1" s="923">
      <c r="A87" s="981" t="inlineStr">
        <is>
          <t>Acquisition Fee  (one-time at close)</t>
        </is>
      </c>
      <c r="B87" s="266">
        <f>Scenarios!F16</f>
        <v/>
      </c>
      <c r="C87" s="267" t="n">
        <v>0</v>
      </c>
      <c r="D87" s="267" t="n">
        <v>0</v>
      </c>
      <c r="E87" s="267" t="n">
        <v>0</v>
      </c>
      <c r="F87" s="267" t="n">
        <v>0</v>
      </c>
      <c r="G87" s="267" t="n">
        <v>0</v>
      </c>
      <c r="H87" s="267" t="n">
        <v>0</v>
      </c>
      <c r="I87" s="267" t="n">
        <v>0</v>
      </c>
      <c r="J87" s="267" t="n">
        <v>0</v>
      </c>
      <c r="K87" s="267" t="n">
        <v>0</v>
      </c>
      <c r="L87" s="267" t="n">
        <v>0</v>
      </c>
      <c r="M87" s="268">
        <f>Scenarios!F16</f>
        <v/>
      </c>
    </row>
    <row r="88" ht="18" customHeight="1" s="923">
      <c r="A88" s="981" t="inlineStr">
        <is>
          <t>Asset Management Fee  (annual)</t>
        </is>
      </c>
      <c r="B88" s="266">
        <f>IF(1&gt;$B$5,0,IFERROR('P&amp;L'!D111,0))</f>
        <v/>
      </c>
      <c r="C88" s="266">
        <f>IF(2&gt;$B$5,0,IFERROR('P&amp;L'!E111,0))</f>
        <v/>
      </c>
      <c r="D88" s="266">
        <f>IF(3&gt;$B$5,0,IFERROR('P&amp;L'!F111,0))</f>
        <v/>
      </c>
      <c r="E88" s="266">
        <f>IF(4&gt;$B$5,0,IFERROR('P&amp;L'!G111,0))</f>
        <v/>
      </c>
      <c r="F88" s="266">
        <f>IF(5&gt;$B$5,0,IFERROR('P&amp;L'!H111,0))</f>
        <v/>
      </c>
      <c r="G88" s="266">
        <f>IF(6&gt;$B$5,0,IFERROR('P&amp;L'!I111,0))</f>
        <v/>
      </c>
      <c r="H88" s="266">
        <f>IF(7&gt;$B$5,0,IFERROR('P&amp;L'!J111,0))</f>
        <v/>
      </c>
      <c r="I88" s="266">
        <f>IF(8&gt;$B$5,0,IFERROR('P&amp;L'!K111,0))</f>
        <v/>
      </c>
      <c r="J88" s="266">
        <f>IF(9&gt;$B$5,0,IFERROR('P&amp;L'!L111,0))</f>
        <v/>
      </c>
      <c r="K88" s="266">
        <f>IF(10&gt;$B$5,0,IFERROR('P&amp;L'!M111,0))</f>
        <v/>
      </c>
      <c r="L88" s="267" t="n">
        <v>0</v>
      </c>
      <c r="M88" s="268">
        <f>SUM(B88:L88)</f>
        <v/>
      </c>
    </row>
    <row r="89" ht="18" customHeight="1" s="923">
      <c r="A89" s="981" t="inlineStr">
        <is>
          <t>Operating Promote  (Waterfall — annual)</t>
        </is>
      </c>
      <c r="B89" s="266">
        <f>B49</f>
        <v/>
      </c>
      <c r="C89" s="266">
        <f>C49</f>
        <v/>
      </c>
      <c r="D89" s="266">
        <f>D49</f>
        <v/>
      </c>
      <c r="E89" s="266">
        <f>E49</f>
        <v/>
      </c>
      <c r="F89" s="266">
        <f>F49</f>
        <v/>
      </c>
      <c r="G89" s="266">
        <f>G49</f>
        <v/>
      </c>
      <c r="H89" s="266">
        <f>H49</f>
        <v/>
      </c>
      <c r="I89" s="266">
        <f>I49</f>
        <v/>
      </c>
      <c r="J89" s="266">
        <f>J49</f>
        <v/>
      </c>
      <c r="K89" s="266">
        <f>K49</f>
        <v/>
      </c>
      <c r="L89" s="266">
        <f>L49</f>
        <v/>
      </c>
      <c r="M89" s="268">
        <f>SUM(B89:L89)</f>
        <v/>
      </c>
    </row>
    <row r="90">
      <c r="A90" s="981" t="inlineStr">
        <is>
          <t>Disposition Fee  (at exit)</t>
        </is>
      </c>
      <c r="B90" s="267" t="n">
        <v>0</v>
      </c>
      <c r="C90" s="267" t="n">
        <v>0</v>
      </c>
      <c r="D90" s="267" t="n">
        <v>0</v>
      </c>
      <c r="E90" s="267" t="n">
        <v>0</v>
      </c>
      <c r="F90" s="267" t="n">
        <v>0</v>
      </c>
      <c r="G90" s="267" t="n">
        <v>0</v>
      </c>
      <c r="H90" s="267" t="n">
        <v>0</v>
      </c>
      <c r="I90" s="267" t="n">
        <v>0</v>
      </c>
      <c r="J90" s="267" t="n">
        <v>0</v>
      </c>
      <c r="K90" s="267" t="n">
        <v>0</v>
      </c>
      <c r="L90" s="266">
        <f>'Exit Strategy'!G18</f>
        <v/>
      </c>
      <c r="M90" s="268">
        <f>'Exit Strategy'!G18</f>
        <v/>
      </c>
    </row>
    <row r="91" ht="21.75" customHeight="1" s="923">
      <c r="A91" s="981" t="inlineStr">
        <is>
          <t>GP Co-invest Return  (at exit)</t>
        </is>
      </c>
      <c r="F91" s="267" t="n">
        <v>0</v>
      </c>
      <c r="G91" s="267" t="n">
        <v>0</v>
      </c>
      <c r="H91" s="267" t="n">
        <v>0</v>
      </c>
      <c r="I91" s="267" t="n">
        <v>0</v>
      </c>
      <c r="J91" s="267" t="n">
        <v>0</v>
      </c>
      <c r="K91" s="267" t="n">
        <v>0</v>
      </c>
      <c r="L91" s="266">
        <f>L38</f>
        <v/>
      </c>
      <c r="M91" s="268">
        <f>L38</f>
        <v/>
      </c>
    </row>
    <row r="92" ht="15.75" customHeight="1" s="923">
      <c r="A92" s="269" t="inlineStr">
        <is>
          <t>TOTAL GP ECONOMICS</t>
        </is>
      </c>
      <c r="B92" s="270">
        <f>B87+B88+B89+B90+B91</f>
        <v/>
      </c>
      <c r="C92" s="270">
        <f>C87+C88+C89+C90+C91</f>
        <v/>
      </c>
      <c r="D92" s="270">
        <f>D87+D88+D89+D90+D91</f>
        <v/>
      </c>
      <c r="E92" s="270">
        <f>E87+E88+E89+E90+E91</f>
        <v/>
      </c>
      <c r="F92" s="270">
        <f>F87+F88+F89+F90+F91</f>
        <v/>
      </c>
      <c r="G92" s="270">
        <f>G87+G88+G89+G90+G91</f>
        <v/>
      </c>
      <c r="H92" s="270">
        <f>H87+H88+H89+H90+H91</f>
        <v/>
      </c>
      <c r="I92" s="270">
        <f>I87+I88+I89+I90+I91</f>
        <v/>
      </c>
      <c r="J92" s="270">
        <f>J87+J88+J89+J90+J91</f>
        <v/>
      </c>
      <c r="K92" s="270">
        <f>K87+K88+K89+K90+K91</f>
        <v/>
      </c>
      <c r="L92" s="270">
        <f>L87+L88+L89+L90+L91</f>
        <v/>
      </c>
      <c r="M92" s="270">
        <f>M87+M88+M89+M90+M91</f>
        <v/>
      </c>
    </row>
    <row r="93" ht="18" customHeight="1" s="923"/>
    <row r="94" ht="18" customHeight="1" s="923">
      <c r="A94" s="271" t="inlineStr">
        <is>
          <t>GP ECONOMICS — BREAKDOWN BY TYPE</t>
        </is>
      </c>
      <c r="M94" s="73" t="n"/>
    </row>
    <row r="95" ht="18" customHeight="1" s="923">
      <c r="A95" s="42" t="inlineStr">
        <is>
          <t>Category</t>
        </is>
      </c>
      <c r="B95" s="41" t="inlineStr">
        <is>
          <t>Total ($)</t>
        </is>
      </c>
      <c r="C95" s="41" t="inlineStr">
        <is>
          <t>% of GP Economics</t>
        </is>
      </c>
      <c r="D95" s="41" t="inlineStr">
        <is>
          <t>Notes</t>
        </is>
      </c>
    </row>
    <row r="96" ht="18" customHeight="1" s="923">
      <c r="A96" s="981" t="inlineStr">
        <is>
          <t>Total Fees  (Acq + Mgmt + Disposition)</t>
        </is>
      </c>
      <c r="B96" s="266">
        <f>M87+M88+M90</f>
        <v/>
      </c>
      <c r="C96" s="272">
        <f>IFERROR(B96/M92,0)</f>
        <v/>
      </c>
      <c r="D96" s="273" t="inlineStr">
        <is>
          <t>One-time + annual + exit fees</t>
        </is>
      </c>
    </row>
    <row r="97">
      <c r="A97" s="981" t="inlineStr">
        <is>
          <t>Total Promote  (operating waterfall)</t>
        </is>
      </c>
      <c r="B97" s="266">
        <f>M89</f>
        <v/>
      </c>
      <c r="C97" s="272">
        <f>IFERROR(B97/M92,0)</f>
        <v/>
      </c>
      <c r="D97" s="273" t="inlineStr">
        <is>
          <t>GP share of FCF above LP pref</t>
        </is>
      </c>
    </row>
    <row r="98" ht="15.75" customHeight="1" s="923">
      <c r="A98" s="981" t="inlineStr">
        <is>
          <t>Co-invest Return  (capital returned at exit)</t>
        </is>
      </c>
    </row>
    <row r="99">
      <c r="A99" s="269" t="inlineStr">
        <is>
          <t>GRAND TOTAL</t>
        </is>
      </c>
      <c r="B99" s="270">
        <f>M92</f>
        <v/>
      </c>
      <c r="C99" s="274" t="n">
        <v>1</v>
      </c>
      <c r="D99" s="269" t="inlineStr">
        <is>
          <t>All GP income streams combined</t>
        </is>
      </c>
    </row>
    <row r="101">
      <c r="A101" s="934" t="inlineStr">
        <is>
      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      </is>
      </c>
    </row>
  </sheetData>
  <mergeCells count="28">
    <mergeCell ref="C6:M6"/>
    <mergeCell ref="C15:M15"/>
    <mergeCell ref="A4:M4"/>
    <mergeCell ref="C5:M5"/>
    <mergeCell ref="C14:M14"/>
    <mergeCell ref="A70:N70"/>
    <mergeCell ref="F12:M12"/>
    <mergeCell ref="C20:M20"/>
    <mergeCell ref="C10:M10"/>
    <mergeCell ref="C16:M16"/>
    <mergeCell ref="A30:M30"/>
    <mergeCell ref="C22:M22"/>
    <mergeCell ref="A24:M24"/>
    <mergeCell ref="C9:M9"/>
    <mergeCell ref="A82:M82"/>
    <mergeCell ref="A80:N80"/>
    <mergeCell ref="A98:M98"/>
    <mergeCell ref="A1:M1"/>
    <mergeCell ref="C21:M21"/>
    <mergeCell ref="C11:M11"/>
    <mergeCell ref="C17:M17"/>
    <mergeCell ref="A91:E91"/>
    <mergeCell ref="C8:M8"/>
    <mergeCell ref="C7:M7"/>
    <mergeCell ref="C19:M19"/>
    <mergeCell ref="C13:M13"/>
    <mergeCell ref="A2:M2"/>
    <mergeCell ref="C18:M18"/>
  </mergeCells>
  <dataValidations count="1">
    <dataValidation sqref="E12" showDropDown="0" showInputMessage="0" showErrorMessage="0" allowBlank="0" type="list">
      <formula1>"Pref Only,Common Equity"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5"/>
  <sheetViews>
    <sheetView topLeftCell="A20" zoomScale="125" zoomScaleNormal="125" workbookViewId="0">
      <selection activeCell="B35" sqref="B35"/>
    </sheetView>
  </sheetViews>
  <sheetFormatPr baseColWidth="10" defaultColWidth="8.83203125" defaultRowHeight="15"/>
  <cols>
    <col width="43.83203125" customWidth="1" style="923" min="1" max="1"/>
    <col width="12" customWidth="1" style="923" min="2" max="2"/>
    <col width="19.6640625" customWidth="1" style="923" min="3" max="3"/>
    <col width="12" customWidth="1" style="923" min="4" max="4"/>
    <col width="21.5" customWidth="1" style="923" min="5" max="5"/>
    <col width="12" customWidth="1" style="923" min="6" max="11"/>
    <col width="13" customWidth="1" style="923" min="12" max="12"/>
    <col width="11" customWidth="1" style="923" min="13" max="13"/>
  </cols>
  <sheetData>
    <row r="1" ht="27.75" customHeight="1" s="923">
      <c r="A1" s="1008" t="inlineStr">
        <is>
          <t>LP RETURN ILLUSTRATION</t>
        </is>
      </c>
      <c r="B1" s="926" t="n"/>
      <c r="C1" s="926" t="n"/>
      <c r="D1" s="926" t="n"/>
      <c r="E1" s="926" t="n"/>
      <c r="F1" s="926" t="n"/>
      <c r="G1" s="926" t="n"/>
      <c r="H1" s="926" t="n"/>
      <c r="I1" s="926" t="n"/>
      <c r="J1" s="926" t="n"/>
      <c r="K1" s="926" t="n"/>
      <c r="L1" s="926" t="n"/>
      <c r="M1" s="927" t="n"/>
    </row>
    <row r="2" ht="18" customHeight="1" s="923">
      <c r="A2" s="991" t="inlineStr">
        <is>
          <t>Investment Amount</t>
        </is>
      </c>
      <c r="B2" s="286">
        <f>Total_LPA_Equity</f>
        <v/>
      </c>
      <c r="C2" s="1009" t="inlineStr">
        <is>
          <t>← Change this to illustrate any LP</t>
        </is>
      </c>
      <c r="D2" s="926" t="n"/>
      <c r="E2" s="926" t="n"/>
      <c r="F2" s="926" t="n"/>
      <c r="G2" s="926" t="n"/>
      <c r="H2" s="926" t="n"/>
      <c r="I2" s="926" t="n"/>
      <c r="J2" s="926" t="n"/>
      <c r="K2" s="926" t="n"/>
      <c r="L2" s="926" t="n"/>
      <c r="M2" s="927" t="n"/>
    </row>
    <row r="3" ht="18" customHeight="1" s="923">
      <c r="A3" s="991" t="inlineStr">
        <is>
          <t>LP Class</t>
        </is>
      </c>
      <c r="B3" s="288" t="inlineStr">
        <is>
          <t>Class A</t>
        </is>
      </c>
      <c r="C3" s="1009" t="inlineStr">
        <is>
          <t>← Select Class A or Class B</t>
        </is>
      </c>
      <c r="D3" s="927" t="n"/>
      <c r="E3" s="209" t="inlineStr">
        <is>
          <t>Ownership % of LP Pool</t>
        </is>
      </c>
      <c r="F3" s="289">
        <f>IFERROR($B$2/IF($B$3="Class A",Waterfall!$B$9,Waterfall!$B$10),0)</f>
        <v/>
      </c>
      <c r="G3" s="209" t="inlineStr">
        <is>
          <t>Pref Rate</t>
        </is>
      </c>
      <c r="H3" s="290">
        <f>IF($B$3="Class A",Waterfall!$B$11,Waterfall!$B$12)</f>
        <v/>
      </c>
      <c r="I3" s="991" t="n"/>
      <c r="J3" s="991" t="n"/>
      <c r="K3" s="991" t="n"/>
      <c r="L3" s="991" t="n"/>
      <c r="M3" s="991" t="n"/>
    </row>
    <row r="4">
      <c r="A4" s="291" t="n"/>
      <c r="B4" s="291" t="n"/>
      <c r="C4" s="291" t="n"/>
      <c r="D4" s="291" t="n"/>
      <c r="E4" s="291" t="n"/>
      <c r="F4" s="291" t="n"/>
      <c r="G4" s="291" t="n"/>
      <c r="H4" s="291" t="n"/>
      <c r="I4" s="291" t="n"/>
      <c r="J4" s="291" t="n"/>
      <c r="K4" s="291" t="n"/>
      <c r="L4" s="291" t="n"/>
      <c r="M4" s="291" t="n"/>
    </row>
    <row r="5" ht="21.75" customHeight="1" s="923">
      <c r="A5" s="292" t="inlineStr">
        <is>
          <t>Member Returns Based On Specific $ Invested</t>
        </is>
      </c>
      <c r="B5" s="293" t="n">
        <v>1</v>
      </c>
      <c r="C5" s="293" t="n">
        <v>2</v>
      </c>
      <c r="D5" s="293" t="n">
        <v>3</v>
      </c>
      <c r="E5" s="293" t="n">
        <v>4</v>
      </c>
      <c r="F5" s="293" t="n">
        <v>5</v>
      </c>
      <c r="G5" s="293" t="n">
        <v>6</v>
      </c>
      <c r="H5" s="293" t="n">
        <v>7</v>
      </c>
      <c r="I5" s="293" t="n">
        <v>8</v>
      </c>
      <c r="J5" s="293" t="n">
        <v>9</v>
      </c>
      <c r="K5" s="293" t="n">
        <v>10</v>
      </c>
      <c r="L5" s="992" t="inlineStr">
        <is>
          <t>Return $</t>
        </is>
      </c>
      <c r="M5" s="992" t="inlineStr">
        <is>
          <t>Return %</t>
        </is>
      </c>
    </row>
    <row r="6" ht="19.5" customHeight="1" s="923">
      <c r="A6" s="1010" t="inlineStr">
        <is>
          <t xml:space="preserve">  A.  INVESTED CAPITAL</t>
        </is>
      </c>
      <c r="B6" s="926" t="n"/>
      <c r="C6" s="926" t="n"/>
      <c r="D6" s="926" t="n"/>
      <c r="E6" s="926" t="n"/>
      <c r="F6" s="926" t="n"/>
      <c r="G6" s="926" t="n"/>
      <c r="H6" s="926" t="n"/>
      <c r="I6" s="926" t="n"/>
      <c r="J6" s="926" t="n"/>
      <c r="K6" s="926" t="n"/>
      <c r="L6" s="926" t="n"/>
      <c r="M6" s="927" t="n"/>
    </row>
    <row r="7" ht="16.5" customHeight="1" s="923">
      <c r="A7" s="993" t="inlineStr">
        <is>
          <t>Beginning Member Capital Account Balance</t>
        </is>
      </c>
      <c r="B7" s="295">
        <f>IF(1&gt;Waterfall!$B$5,0,$B$2)</f>
        <v/>
      </c>
      <c r="C7" s="295">
        <f>IF(2&gt;Waterfall!$B$5,0,$B$2)</f>
        <v/>
      </c>
      <c r="D7" s="295">
        <f>IF(3&gt;Waterfall!$B$5,0,$B$2)</f>
        <v/>
      </c>
      <c r="E7" s="295">
        <f>IF(4&gt;Waterfall!$B$5,0,$B$2)</f>
        <v/>
      </c>
      <c r="F7" s="295">
        <f>IF(5&gt;Waterfall!$B$5,0,$B$2)</f>
        <v/>
      </c>
      <c r="G7" s="295">
        <f>IF(6&gt;Waterfall!$B$5,0,$B$2)</f>
        <v/>
      </c>
      <c r="H7" s="295">
        <f>IF(7&gt;Waterfall!$B$5,0,$B$2)</f>
        <v/>
      </c>
      <c r="I7" s="295">
        <f>IF(8&gt;Waterfall!$B$5,0,$B$2)</f>
        <v/>
      </c>
      <c r="J7" s="295">
        <f>IF(9&gt;Waterfall!$B$5,0,$B$2)</f>
        <v/>
      </c>
      <c r="K7" s="295">
        <f>IF(10&gt;Waterfall!$B$5,0,$B$2)</f>
        <v/>
      </c>
      <c r="L7" s="295" t="n"/>
      <c r="M7" s="295" t="n"/>
    </row>
    <row r="8" ht="16.5" customHeight="1" s="923">
      <c r="A8" s="991" t="inlineStr">
        <is>
          <t>% of Overall LP Pool Ownership for $ Invested</t>
        </is>
      </c>
      <c r="B8" s="296">
        <f>IF(1&gt;Waterfall!$B$5,"",IFERROR($B$2/IF($B$3="Class A",Waterfall!$B$9,Waterfall!$B$10),0))</f>
        <v/>
      </c>
      <c r="C8" s="296">
        <f>IF(2&gt;Waterfall!$B$5,"",IFERROR($B$2/IF($B$3="Class A",Waterfall!$B$9,Waterfall!$B$10),0))</f>
        <v/>
      </c>
      <c r="D8" s="296">
        <f>IF(3&gt;Waterfall!$B$5,"",IFERROR($B$2/IF($B$3="Class A",Waterfall!$B$9,Waterfall!$B$10),0))</f>
        <v/>
      </c>
      <c r="E8" s="296">
        <f>IF(4&gt;Waterfall!$B$5,"",IFERROR($B$2/IF($B$3="Class A",Waterfall!$B$9,Waterfall!$B$10),0))</f>
        <v/>
      </c>
      <c r="F8" s="296">
        <f>IF(5&gt;Waterfall!$B$5,"",IFERROR($B$2/IF($B$3="Class A",Waterfall!$B$9,Waterfall!$B$10),0))</f>
        <v/>
      </c>
      <c r="G8" s="296">
        <f>IF(6&gt;Waterfall!$B$5,"",IFERROR($B$2/IF($B$3="Class A",Waterfall!$B$9,Waterfall!$B$10),0))</f>
        <v/>
      </c>
      <c r="H8" s="296">
        <f>IF(7&gt;Waterfall!$B$5,"",IFERROR($B$2/IF($B$3="Class A",Waterfall!$B$9,Waterfall!$B$10),0))</f>
        <v/>
      </c>
      <c r="I8" s="296">
        <f>IF(8&gt;Waterfall!$B$5,"",IFERROR($B$2/IF($B$3="Class A",Waterfall!$B$9,Waterfall!$B$10),0))</f>
        <v/>
      </c>
      <c r="J8" s="296">
        <f>IF(9&gt;Waterfall!$B$5,"",IFERROR($B$2/IF($B$3="Class A",Waterfall!$B$9,Waterfall!$B$10),0))</f>
        <v/>
      </c>
      <c r="K8" s="296">
        <f>IF(10&gt;Waterfall!$B$5,"",IFERROR($B$2/IF($B$3="Class A",Waterfall!$B$9,Waterfall!$B$10),0))</f>
        <v/>
      </c>
      <c r="L8" s="296" t="n"/>
      <c r="M8" s="296" t="n"/>
    </row>
    <row r="9" ht="19.5" customHeight="1" s="923">
      <c r="A9" s="1010" t="inlineStr">
        <is>
          <t xml:space="preserve">  B.  PREFERRED RETURN TRACKING</t>
        </is>
      </c>
      <c r="B9" s="926" t="n"/>
      <c r="C9" s="926" t="n"/>
      <c r="D9" s="926" t="n"/>
      <c r="E9" s="926" t="n"/>
      <c r="F9" s="926" t="n"/>
      <c r="G9" s="926" t="n"/>
      <c r="H9" s="926" t="n"/>
      <c r="I9" s="926" t="n"/>
      <c r="J9" s="926" t="n"/>
      <c r="K9" s="926" t="n"/>
      <c r="L9" s="926" t="n"/>
      <c r="M9" s="927" t="n"/>
    </row>
    <row r="10" ht="16.5" customHeight="1" s="923">
      <c r="A10" s="991" t="inlineStr">
        <is>
          <t>Preferred Return Accrued (Annual Target)</t>
        </is>
      </c>
      <c r="B10" s="247">
        <f>IF(1&gt;Waterfall!$B$5,0,$B$2*IF($B$3="Class A",Waterfall!$B$11,Waterfall!$B$12))</f>
        <v/>
      </c>
      <c r="C10" s="247">
        <f>IF(2&gt;Waterfall!$B$5,0,$B$2*IF($B$3="Class A",Waterfall!$B$11,Waterfall!$B$12))</f>
        <v/>
      </c>
      <c r="D10" s="247">
        <f>IF(3&gt;Waterfall!$B$5,0,$B$2*IF($B$3="Class A",Waterfall!$B$11,Waterfall!$B$12))</f>
        <v/>
      </c>
      <c r="E10" s="247">
        <f>IF(4&gt;Waterfall!$B$5,0,$B$2*IF($B$3="Class A",Waterfall!$B$11,Waterfall!$B$12))</f>
        <v/>
      </c>
      <c r="F10" s="247">
        <f>IF(5&gt;Waterfall!$B$5,0,$B$2*IF($B$3="Class A",Waterfall!$B$11,Waterfall!$B$12))</f>
        <v/>
      </c>
      <c r="G10" s="247">
        <f>IF(6&gt;Waterfall!$B$5,0,$B$2*IF($B$3="Class A",Waterfall!$B$11,Waterfall!$B$12))</f>
        <v/>
      </c>
      <c r="H10" s="247">
        <f>IF(7&gt;Waterfall!$B$5,0,$B$2*IF($B$3="Class A",Waterfall!$B$11,Waterfall!$B$12))</f>
        <v/>
      </c>
      <c r="I10" s="247">
        <f>IF(8&gt;Waterfall!$B$5,0,$B$2*IF($B$3="Class A",Waterfall!$B$11,Waterfall!$B$12))</f>
        <v/>
      </c>
      <c r="J10" s="247">
        <f>IF(9&gt;Waterfall!$B$5,0,$B$2*IF($B$3="Class A",Waterfall!$B$11,Waterfall!$B$12))</f>
        <v/>
      </c>
      <c r="K10" s="247">
        <f>IF(10&gt;Waterfall!$B$5,0,$B$2*IF($B$3="Class A",Waterfall!$B$11,Waterfall!$B$12))</f>
        <v/>
      </c>
      <c r="L10" s="247" t="n"/>
      <c r="M10" s="247">
        <f>SUM(B10:K10)</f>
        <v/>
      </c>
    </row>
    <row r="11" ht="16.5" customHeight="1" s="923">
      <c r="A11" s="993" t="inlineStr">
        <is>
          <t>Preferred Return Paid (Actual Distributed)</t>
        </is>
      </c>
      <c r="B11" s="295">
        <f>IF(1&gt;Waterfall!$B$5,0,IFERROR($B$2/IF($B$3="Class A",Waterfall!$B$9,Waterfall!$B$10),0)*IF($B$3="Class A",Waterfall!B43,Waterfall!B45))</f>
        <v/>
      </c>
      <c r="C11" s="295">
        <f>IF(2&gt;Waterfall!$B$5,0,IFERROR($B$2/IF($B$3="Class A",Waterfall!$B$9,Waterfall!$B$10),0)*IF($B$3="Class A",Waterfall!C43,Waterfall!C45))</f>
        <v/>
      </c>
      <c r="D11" s="295">
        <f>IF(3&gt;Waterfall!$B$5,0,IFERROR($B$2/IF($B$3="Class A",Waterfall!$B$9,Waterfall!$B$10),0)*IF($B$3="Class A",Waterfall!D43,Waterfall!D45))</f>
        <v/>
      </c>
      <c r="E11" s="295">
        <f>IF(4&gt;Waterfall!$B$5,0,IFERROR($B$2/IF($B$3="Class A",Waterfall!$B$9,Waterfall!$B$10),0)*IF($B$3="Class A",Waterfall!E43,Waterfall!E45))</f>
        <v/>
      </c>
      <c r="F11" s="295">
        <f>IF(5&gt;Waterfall!$B$5,0,IFERROR($B$2/IF($B$3="Class A",Waterfall!$B$9,Waterfall!$B$10),0)*IF($B$3="Class A",Waterfall!F43,Waterfall!F45))</f>
        <v/>
      </c>
      <c r="G11" s="295">
        <f>IF(6&gt;Waterfall!$B$5,0,IFERROR($B$2/IF($B$3="Class A",Waterfall!$B$9,Waterfall!$B$10),0)*IF($B$3="Class A",Waterfall!G43,Waterfall!G45))</f>
        <v/>
      </c>
      <c r="H11" s="295">
        <f>IF(7&gt;Waterfall!$B$5,0,IFERROR($B$2/IF($B$3="Class A",Waterfall!$B$9,Waterfall!$B$10),0)*IF($B$3="Class A",Waterfall!H43,Waterfall!H45))</f>
        <v/>
      </c>
      <c r="I11" s="295">
        <f>IF(8&gt;Waterfall!$B$5,0,IFERROR($B$2/IF($B$3="Class A",Waterfall!$B$9,Waterfall!$B$10),0)*IF($B$3="Class A",Waterfall!I43,Waterfall!I45))</f>
        <v/>
      </c>
      <c r="J11" s="295">
        <f>IF(9&gt;Waterfall!$B$5,0,IFERROR($B$2/IF($B$3="Class A",Waterfall!$B$9,Waterfall!$B$10),0)*IF($B$3="Class A",Waterfall!J43,Waterfall!J45))</f>
        <v/>
      </c>
      <c r="K11" s="295">
        <f>IF(10&gt;Waterfall!$B$5,0,IFERROR($B$2/IF($B$3="Class A",Waterfall!$B$9,Waterfall!$B$10),0)*IF($B$3="Class A",Waterfall!K43,Waterfall!K45))</f>
        <v/>
      </c>
      <c r="L11" s="295" t="n"/>
      <c r="M11" s="295">
        <f>SUM(B11:K11)</f>
        <v/>
      </c>
    </row>
    <row r="12" ht="16.5" customHeight="1" s="923">
      <c r="A12" s="297" t="inlineStr">
        <is>
          <t>Cumulative Preferred Return Shortfall</t>
        </is>
      </c>
      <c r="B12" s="298">
        <f>IF(1&gt;Waterfall!$B$5,0,MAX(B10-B11,0))</f>
        <v/>
      </c>
      <c r="C12" s="298">
        <f>IF(2&gt;Waterfall!$B$5,0,MAX(B12+C10-C11,0))</f>
        <v/>
      </c>
      <c r="D12" s="298">
        <f>IF(3&gt;Waterfall!$B$5,0,MAX(C12+D10-D11,0))</f>
        <v/>
      </c>
      <c r="E12" s="298">
        <f>IF(4&gt;Waterfall!$B$5,0,MAX(D12+E10-E11,0))</f>
        <v/>
      </c>
      <c r="F12" s="298">
        <f>IF(5&gt;Waterfall!$B$5,0,MAX(E12+F10-F11,0))</f>
        <v/>
      </c>
      <c r="G12" s="298">
        <f>IF(6&gt;Waterfall!$B$5,0,MAX(F12+G10-G11,0))</f>
        <v/>
      </c>
      <c r="H12" s="298">
        <f>IF(7&gt;Waterfall!$B$5,0,MAX(G12+H10-H11,0))</f>
        <v/>
      </c>
      <c r="I12" s="298">
        <f>IF(8&gt;Waterfall!$B$5,0,MAX(H12+I10-I11,0))</f>
        <v/>
      </c>
      <c r="J12" s="298">
        <f>IF(9&gt;Waterfall!$B$5,0,MAX(I12+J10-J11,0))</f>
        <v/>
      </c>
      <c r="K12" s="298">
        <f>IF(10&gt;Waterfall!$B$5,0,MAX(J12+K10-K11,0))</f>
        <v/>
      </c>
      <c r="L12" s="298" t="n"/>
      <c r="M12" s="298">
        <f>INDEX(B12:K12,MIN(Waterfall!$B$5,10))</f>
        <v/>
      </c>
    </row>
    <row r="13" ht="19.5" customHeight="1" s="923">
      <c r="A13" s="1010" t="inlineStr">
        <is>
          <t xml:space="preserve">  C.  ANNUAL CASH DISTRIBUTIONS</t>
        </is>
      </c>
      <c r="B13" s="926" t="n"/>
      <c r="C13" s="926" t="n"/>
      <c r="D13" s="926" t="n"/>
      <c r="E13" s="926" t="n"/>
      <c r="F13" s="926" t="n"/>
      <c r="G13" s="926" t="n"/>
      <c r="H13" s="926" t="n"/>
      <c r="I13" s="926" t="n"/>
      <c r="J13" s="926" t="n"/>
      <c r="K13" s="926" t="n"/>
      <c r="L13" s="926" t="n"/>
      <c r="M13" s="927" t="n"/>
    </row>
    <row r="14" ht="16.5" customHeight="1" s="923">
      <c r="A14" s="991" t="inlineStr">
        <is>
          <t>Member Cashflow  (Total Distribution)</t>
        </is>
      </c>
      <c r="B14" s="247">
        <f>IF(1&gt;Waterfall!$B$5,0,IFERROR($B$2/IF($B$3="Class A",Waterfall!$B$9,Waterfall!$B$10),0)*IF($B$3="Class A",Waterfall!B55,Waterfall!B56))</f>
        <v/>
      </c>
      <c r="C14" s="247">
        <f>IF(2&gt;Waterfall!$B$5,0,IFERROR($B$2/IF($B$3="Class A",Waterfall!$B$9,Waterfall!$B$10),0)*IF($B$3="Class A",Waterfall!C55,Waterfall!C56))</f>
        <v/>
      </c>
      <c r="D14" s="247">
        <f>IF(3&gt;Waterfall!$B$5,0,IFERROR($B$2/IF($B$3="Class A",Waterfall!$B$9,Waterfall!$B$10),0)*IF($B$3="Class A",Waterfall!D55,Waterfall!D56))</f>
        <v/>
      </c>
      <c r="E14" s="247">
        <f>IF(4&gt;Waterfall!$B$5,0,IFERROR($B$2/IF($B$3="Class A",Waterfall!$B$9,Waterfall!$B$10),0)*IF($B$3="Class A",Waterfall!E55,Waterfall!E56))</f>
        <v/>
      </c>
      <c r="F14" s="247">
        <f>IF(5&gt;Waterfall!$B$5,0,IFERROR($B$2/IF($B$3="Class A",Waterfall!$B$9,Waterfall!$B$10),0)*IF($B$3="Class A",Waterfall!F55,Waterfall!F56))</f>
        <v/>
      </c>
      <c r="G14" s="247">
        <f>IF(6&gt;Waterfall!$B$5,0,IFERROR($B$2/IF($B$3="Class A",Waterfall!$B$9,Waterfall!$B$10),0)*IF($B$3="Class A",Waterfall!G55,Waterfall!G56))</f>
        <v/>
      </c>
      <c r="H14" s="247">
        <f>IF(7&gt;Waterfall!$B$5,0,IFERROR($B$2/IF($B$3="Class A",Waterfall!$B$9,Waterfall!$B$10),0)*IF($B$3="Class A",Waterfall!H55,Waterfall!H56))</f>
        <v/>
      </c>
      <c r="I14" s="247">
        <f>IF(8&gt;Waterfall!$B$5,0,IFERROR($B$2/IF($B$3="Class A",Waterfall!$B$9,Waterfall!$B$10),0)*IF($B$3="Class A",Waterfall!I55,Waterfall!I56))</f>
        <v/>
      </c>
      <c r="J14" s="247">
        <f>IF(9&gt;Waterfall!$B$5,0,IFERROR($B$2/IF($B$3="Class A",Waterfall!$B$9,Waterfall!$B$10),0)*IF($B$3="Class A",Waterfall!J55,Waterfall!J56))</f>
        <v/>
      </c>
      <c r="K14" s="247">
        <f>IF(10&gt;Waterfall!$B$5,0,IFERROR($B$2/IF($B$3="Class A",Waterfall!$B$9,Waterfall!$B$10),0)*IF($B$3="Class A",Waterfall!K55,Waterfall!K56))</f>
        <v/>
      </c>
      <c r="L14" s="247">
        <f>SUM(B14:K14)</f>
        <v/>
      </c>
      <c r="M14" s="247">
        <f>SUM(B14:K14)</f>
        <v/>
      </c>
    </row>
    <row r="15" ht="16.5" customHeight="1" s="923">
      <c r="A15" s="993" t="inlineStr">
        <is>
          <t>Cash on Cash Return</t>
        </is>
      </c>
      <c r="B15" s="218">
        <f>IF(1&gt;Waterfall!$B$5,0,IFERROR(B14/$B$2,0))</f>
        <v/>
      </c>
      <c r="C15" s="218">
        <f>IF(2&gt;Waterfall!$B$5,0,IFERROR(C14/$B$2,0))</f>
        <v/>
      </c>
      <c r="D15" s="218">
        <f>IF(3&gt;Waterfall!$B$5,0,IFERROR(D14/$B$2,0))</f>
        <v/>
      </c>
      <c r="E15" s="218">
        <f>IF(4&gt;Waterfall!$B$5,0,IFERROR(E14/$B$2,0))</f>
        <v/>
      </c>
      <c r="F15" s="218">
        <f>IF(5&gt;Waterfall!$B$5,0,IFERROR(F14/$B$2,0))</f>
        <v/>
      </c>
      <c r="G15" s="218">
        <f>IF(6&gt;Waterfall!$B$5,0,IFERROR(G14/$B$2,0))</f>
        <v/>
      </c>
      <c r="H15" s="218">
        <f>IF(7&gt;Waterfall!$B$5,0,IFERROR(H14/$B$2,0))</f>
        <v/>
      </c>
      <c r="I15" s="218">
        <f>IF(8&gt;Waterfall!$B$5,0,IFERROR(I14/$B$2,0))</f>
        <v/>
      </c>
      <c r="J15" s="218">
        <f>IF(9&gt;Waterfall!$B$5,0,IFERROR(J14/$B$2,0))</f>
        <v/>
      </c>
      <c r="K15" s="218">
        <f>IF(10&gt;Waterfall!$B$5,0,IFERROR(K14/$B$2,0))</f>
        <v/>
      </c>
      <c r="L15" s="218" t="n"/>
      <c r="M15" s="218" t="n"/>
    </row>
    <row r="16" ht="16.5" customHeight="1" s="923">
      <c r="A16" s="991" t="inlineStr">
        <is>
          <t>Average Cash on Cash Return to Date</t>
        </is>
      </c>
      <c r="B16" s="296">
        <f>IF(1&gt;Waterfall!$B$5,0,IFERROR(SUM($B$14:B14)/(1*$B$2),0))</f>
        <v/>
      </c>
      <c r="C16" s="296">
        <f>IF(2&gt;Waterfall!$B$5,0,IFERROR(SUM($B$14:C14)/(2*$B$2),0))</f>
        <v/>
      </c>
      <c r="D16" s="296">
        <f>IF(3&gt;Waterfall!$B$5,0,IFERROR(SUM($B$14:D14)/(3*$B$2),0))</f>
        <v/>
      </c>
      <c r="E16" s="296">
        <f>IF(4&gt;Waterfall!$B$5,0,IFERROR(SUM($B$14:E14)/(4*$B$2),0))</f>
        <v/>
      </c>
      <c r="F16" s="296">
        <f>IF(5&gt;Waterfall!$B$5,0,IFERROR(SUM($B$14:F14)/(5*$B$2),0))</f>
        <v/>
      </c>
      <c r="G16" s="296">
        <f>IF(6&gt;Waterfall!$B$5,0,IFERROR(SUM($B$14:G14)/(6*$B$2),0))</f>
        <v/>
      </c>
      <c r="H16" s="296">
        <f>IF(7&gt;Waterfall!$B$5,0,IFERROR(SUM($B$14:H14)/(7*$B$2),0))</f>
        <v/>
      </c>
      <c r="I16" s="296">
        <f>IF(8&gt;Waterfall!$B$5,0,IFERROR(SUM($B$14:I14)/(8*$B$2),0))</f>
        <v/>
      </c>
      <c r="J16" s="296">
        <f>IF(9&gt;Waterfall!$B$5,0,IFERROR(SUM($B$14:J14)/(9*$B$2),0))</f>
        <v/>
      </c>
      <c r="K16" s="296">
        <f>IF(10&gt;Waterfall!$B$5,0,IFERROR(SUM($B$14:K14)/(10*$B$2),0))</f>
        <v/>
      </c>
      <c r="L16" s="296" t="n"/>
      <c r="M16" s="296" t="n"/>
    </row>
    <row r="17" ht="19.5" customHeight="1" s="923">
      <c r="A17" s="1010" t="inlineStr">
        <is>
          <t xml:space="preserve">  D.  CAPITAL EVENTS</t>
        </is>
      </c>
      <c r="B17" s="926" t="n"/>
      <c r="C17" s="926" t="n"/>
      <c r="D17" s="926" t="n"/>
      <c r="E17" s="926" t="n"/>
      <c r="F17" s="926" t="n"/>
      <c r="G17" s="926" t="n"/>
      <c r="H17" s="926" t="n"/>
      <c r="I17" s="926" t="n"/>
      <c r="J17" s="926" t="n"/>
      <c r="K17" s="926" t="n"/>
      <c r="L17" s="926" t="n"/>
      <c r="M17" s="927" t="n"/>
    </row>
    <row r="18" ht="16.5" customHeight="1" s="923">
      <c r="A18" s="991" t="inlineStr">
        <is>
          <t>Net Proceeds from Refinance or Sale</t>
        </is>
      </c>
      <c r="B18" s="247">
        <f>IF(1=Waterfall!$B$5,IFERROR($B$2/IF($B$3="Class A",Waterfall!$B$9,Waterfall!$B$10),0)*IF($B$3="Class A",'Exit Strategy'!$G$19,'Exit Strategy'!$G$19*IFERROR(Waterfall!$B$10/(Waterfall!$B$9+Waterfall!$B$10),0)),IF(AND(ISNUMBER('Exit Strategy'!$C$5),1='Exit Strategy'!$C$5,Waterfall!$B$23="Return of Capital"),IFERROR($B$2/IF($B$3="Class A",Waterfall!$B$9,Waterfall!$B$10),0)*'Exit Strategy'!$C$24,0))</f>
        <v/>
      </c>
      <c r="C18" s="247">
        <f>IF(2=Waterfall!$B$5,IFERROR($B$2/IF($B$3="Class A",Waterfall!$B$9,Waterfall!$B$10),0)*IF($B$3="Class A",'Exit Strategy'!$G$19,'Exit Strategy'!$G$19*IFERROR(Waterfall!$B$10/(Waterfall!$B$9+Waterfall!$B$10),0)),IF(AND(ISNUMBER('Exit Strategy'!$C$5),2='Exit Strategy'!$C$5,Waterfall!$B$23="Return of Capital"),IFERROR($B$2/IF($B$3="Class A",Waterfall!$B$9,Waterfall!$B$10),0)*'Exit Strategy'!$C$24,0))</f>
        <v/>
      </c>
      <c r="D18" s="247">
        <f>IF(3=Waterfall!$B$5,IFERROR($B$2/IF($B$3="Class A",Waterfall!$B$9,Waterfall!$B$10),0)*IF($B$3="Class A",'Exit Strategy'!$G$19,'Exit Strategy'!$G$19*IFERROR(Waterfall!$B$10/(Waterfall!$B$9+Waterfall!$B$10),0)),IF(AND(ISNUMBER('Exit Strategy'!$C$5),3='Exit Strategy'!$C$5,Waterfall!$B$23="Return of Capital"),IFERROR($B$2/IF($B$3="Class A",Waterfall!$B$9,Waterfall!$B$10),0)*'Exit Strategy'!$C$24,0))</f>
        <v/>
      </c>
      <c r="E18" s="247">
        <f>IF(4=Waterfall!$B$5,IFERROR($B$2/IF($B$3="Class A",Waterfall!$B$9,Waterfall!$B$10),0)*IF($B$3="Class A",'Exit Strategy'!$G$19,'Exit Strategy'!$G$19*IFERROR(Waterfall!$B$10/(Waterfall!$B$9+Waterfall!$B$10),0)),IF(AND(ISNUMBER('Exit Strategy'!$C$5),4='Exit Strategy'!$C$5,Waterfall!$B$23="Return of Capital"),IFERROR($B$2/IF($B$3="Class A",Waterfall!$B$9,Waterfall!$B$10),0)*'Exit Strategy'!$C$24,0))</f>
        <v/>
      </c>
      <c r="F18" s="247">
        <f>IF(5=Waterfall!$B$5,IFERROR($B$2/IF($B$3="Class A",Waterfall!$B$9,Waterfall!$B$10),0)*IF($B$3="Class A",'Exit Strategy'!$G$19,'Exit Strategy'!$G$19*IFERROR(Waterfall!$B$10/(Waterfall!$B$9+Waterfall!$B$10),0)),IF(AND(ISNUMBER('Exit Strategy'!$C$5),5='Exit Strategy'!$C$5,Waterfall!$B$23="Return of Capital"),IFERROR($B$2/IF($B$3="Class A",Waterfall!$B$9,Waterfall!$B$10),0)*'Exit Strategy'!$C$24,0))</f>
        <v/>
      </c>
      <c r="G18" s="247">
        <f>IF(6=Waterfall!$B$5,IFERROR($B$2/IF($B$3="Class A",Waterfall!$B$9,Waterfall!$B$10),0)*IF($B$3="Class A",'Exit Strategy'!$G$19,'Exit Strategy'!$G$19*IFERROR(Waterfall!$B$10/(Waterfall!$B$9+Waterfall!$B$10),0)),IF(AND(ISNUMBER('Exit Strategy'!$C$5),6='Exit Strategy'!$C$5,Waterfall!$B$23="Return of Capital"),IFERROR($B$2/IF($B$3="Class A",Waterfall!$B$9,Waterfall!$B$10),0)*'Exit Strategy'!$C$24,0))</f>
        <v/>
      </c>
      <c r="H18" s="247">
        <f>IF(7=Waterfall!$B$5,IFERROR($B$2/IF($B$3="Class A",Waterfall!$B$9,Waterfall!$B$10),0)*IF($B$3="Class A",'Exit Strategy'!$G$19,'Exit Strategy'!$G$19*IFERROR(Waterfall!$B$10/(Waterfall!$B$9+Waterfall!$B$10),0)),IF(AND(ISNUMBER('Exit Strategy'!$C$5),7='Exit Strategy'!$C$5,Waterfall!$B$23="Return of Capital"),IFERROR($B$2/IF($B$3="Class A",Waterfall!$B$9,Waterfall!$B$10),0)*'Exit Strategy'!$C$24,0))</f>
        <v/>
      </c>
      <c r="I18" s="247">
        <f>IF(8=Waterfall!$B$5,IFERROR($B$2/IF($B$3="Class A",Waterfall!$B$9,Waterfall!$B$10),0)*IF($B$3="Class A",'Exit Strategy'!$G$19,'Exit Strategy'!$G$19*IFERROR(Waterfall!$B$10/(Waterfall!$B$9+Waterfall!$B$10),0)),IF(AND(ISNUMBER('Exit Strategy'!$C$5),8='Exit Strategy'!$C$5,Waterfall!$B$23="Return of Capital"),IFERROR($B$2/IF($B$3="Class A",Waterfall!$B$9,Waterfall!$B$10),0)*'Exit Strategy'!$C$24,0))</f>
        <v/>
      </c>
      <c r="J18" s="247">
        <f>IF(9=Waterfall!$B$5,IFERROR($B$2/IF($B$3="Class A",Waterfall!$B$9,Waterfall!$B$10),0)*IF($B$3="Class A",'Exit Strategy'!$G$19,'Exit Strategy'!$G$19*IFERROR(Waterfall!$B$10/(Waterfall!$B$9+Waterfall!$B$10),0)),IF(AND(ISNUMBER('Exit Strategy'!$C$5),9='Exit Strategy'!$C$5,Waterfall!$B$23="Return of Capital"),IFERROR($B$2/IF($B$3="Class A",Waterfall!$B$9,Waterfall!$B$10),0)*'Exit Strategy'!$C$24,0))</f>
        <v/>
      </c>
      <c r="K18" s="247">
        <f>IF(10=Waterfall!$B$5,IFERROR($B$2/IF($B$3="Class A",Waterfall!$B$9,Waterfall!$B$10),0)*IF($B$3="Class A",'Exit Strategy'!$G$19,'Exit Strategy'!$G$19*IFERROR(Waterfall!$B$10/(Waterfall!$B$9+Waterfall!$B$10),0)),IF(AND(ISNUMBER('Exit Strategy'!$C$5),10='Exit Strategy'!$C$5,Waterfall!$B$23="Return of Capital"),IFERROR($B$2/IF($B$3="Class A",Waterfall!$B$9,Waterfall!$B$10),0)*'Exit Strategy'!$C$24,0))</f>
        <v/>
      </c>
      <c r="L18" s="247" t="n"/>
      <c r="M18" s="247">
        <f>SUM(B18:K18)</f>
        <v/>
      </c>
    </row>
    <row r="19" ht="16.5" customHeight="1" s="923">
      <c r="A19" s="993" t="inlineStr">
        <is>
          <t>Return of Member Capital</t>
        </is>
      </c>
      <c r="B19" s="295">
        <f>IF(1=Waterfall!$B$5,IFERROR($B$2/IF($B$3="Class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Strategy'!$C$5),1='Exit Strategy'!$C$5,Waterfall!$B$23="Return of Capital"),IFERROR($B$2/IF($B$3="Class A",Waterfall!$B$9,Waterfall!$B$10),0)*'Exit Strategy'!$C$17,0))</f>
        <v/>
      </c>
      <c r="C19" s="295">
        <f>IF(2=Waterfall!$B$5,IFERROR($B$2/IF($B$3="Class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Strategy'!$C$5),2='Exit Strategy'!$C$5,Waterfall!$B$23="Return of Capital"),IFERROR($B$2/IF($B$3="Class A",Waterfall!$B$9,Waterfall!$B$10),0)*'Exit Strategy'!$C$17,0))</f>
        <v/>
      </c>
      <c r="D19" s="295">
        <f>IF(3=Waterfall!$B$5,IFERROR($B$2/IF($B$3="Class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Strategy'!$C$5),3='Exit Strategy'!$C$5,Waterfall!$B$23="Return of Capital"),IFERROR($B$2/IF($B$3="Class A",Waterfall!$B$9,Waterfall!$B$10),0)*'Exit Strategy'!$C$17,0))</f>
        <v/>
      </c>
      <c r="E19" s="295">
        <f>IF(4=Waterfall!$B$5,IFERROR($B$2/IF($B$3="Class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Strategy'!$C$5),4='Exit Strategy'!$C$5,Waterfall!$B$23="Return of Capital"),IFERROR($B$2/IF($B$3="Class A",Waterfall!$B$9,Waterfall!$B$10),0)*'Exit Strategy'!$C$17,0))</f>
        <v/>
      </c>
      <c r="F19" s="295">
        <f>IF(5=Waterfall!$B$5,IFERROR($B$2/IF($B$3="Class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Strategy'!$C$5),5='Exit Strategy'!$C$5,Waterfall!$B$23="Return of Capital"),IFERROR($B$2/IF($B$3="Class A",Waterfall!$B$9,Waterfall!$B$10),0)*'Exit Strategy'!$C$17,0))</f>
        <v/>
      </c>
      <c r="G19" s="295">
        <f>IF(6=Waterfall!$B$5,IFERROR($B$2/IF($B$3="Class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Strategy'!$C$5),6='Exit Strategy'!$C$5,Waterfall!$B$23="Return of Capital"),IFERROR($B$2/IF($B$3="Class A",Waterfall!$B$9,Waterfall!$B$10),0)*'Exit Strategy'!$C$17,0))</f>
        <v/>
      </c>
      <c r="H19" s="295">
        <f>IF(7=Waterfall!$B$5,IFERROR($B$2/IF($B$3="Class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Strategy'!$C$5),7='Exit Strategy'!$C$5,Waterfall!$B$23="Return of Capital"),IFERROR($B$2/IF($B$3="Class A",Waterfall!$B$9,Waterfall!$B$10),0)*'Exit Strategy'!$C$17,0))</f>
        <v/>
      </c>
      <c r="I19" s="295">
        <f>IF(8=Waterfall!$B$5,IFERROR($B$2/IF($B$3="Class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Strategy'!$C$5),8='Exit Strategy'!$C$5,Waterfall!$B$23="Return of Capital"),IFERROR($B$2/IF($B$3="Class A",Waterfall!$B$9,Waterfall!$B$10),0)*'Exit Strategy'!$C$17,0))</f>
        <v/>
      </c>
      <c r="J19" s="295">
        <f>IF(9=Waterfall!$B$5,IFERROR($B$2/IF($B$3="Class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Strategy'!$C$5),9='Exit Strategy'!$C$5,Waterfall!$B$23="Return of Capital"),IFERROR($B$2/IF($B$3="Class A",Waterfall!$B$9,Waterfall!$B$10),0)*'Exit Strategy'!$C$17,0))</f>
        <v/>
      </c>
      <c r="K19" s="295">
        <f>IF(10=Waterfall!$B$5,IFERROR($B$2/IF($B$3="Class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Strategy'!$C$5),10='Exit Strategy'!$C$5,Waterfall!$B$23="Return of Capital"),IFERROR($B$2/IF($B$3="Class A",Waterfall!$B$9,Waterfall!$B$10),0)*'Exit Strategy'!$C$17,0))</f>
        <v/>
      </c>
      <c r="L19" s="295" t="n"/>
      <c r="M19" s="295">
        <f>SUM(B19:K19)</f>
        <v/>
      </c>
    </row>
    <row r="20" ht="16.5" customHeight="1" s="923">
      <c r="A20" s="991" t="inlineStr">
        <is>
          <t>Cumulative Capital Returned</t>
        </is>
      </c>
      <c r="B20" s="247">
        <f>IF(1&gt;Waterfall!$B$5,0,SUM($B$19:B19))</f>
        <v/>
      </c>
      <c r="C20" s="247">
        <f>IF(2&gt;Waterfall!$B$5,0,SUM($B$19:C19))</f>
        <v/>
      </c>
      <c r="D20" s="247">
        <f>IF(3&gt;Waterfall!$B$5,0,SUM($B$19:D19))</f>
        <v/>
      </c>
      <c r="E20" s="247">
        <f>IF(4&gt;Waterfall!$B$5,0,SUM($B$19:E19))</f>
        <v/>
      </c>
      <c r="F20" s="247">
        <f>IF(5&gt;Waterfall!$B$5,0,SUM($B$19:F19))</f>
        <v/>
      </c>
      <c r="G20" s="247">
        <f>IF(6&gt;Waterfall!$B$5,0,SUM($B$19:G19))</f>
        <v/>
      </c>
      <c r="H20" s="247">
        <f>IF(7&gt;Waterfall!$B$5,0,SUM($B$19:H19))</f>
        <v/>
      </c>
      <c r="I20" s="247">
        <f>IF(8&gt;Waterfall!$B$5,0,SUM($B$19:I19))</f>
        <v/>
      </c>
      <c r="J20" s="247">
        <f>IF(9&gt;Waterfall!$B$5,0,SUM($B$19:J19))</f>
        <v/>
      </c>
      <c r="K20" s="247">
        <f>IF(10&gt;Waterfall!$B$5,0,SUM($B$19:K19))</f>
        <v/>
      </c>
      <c r="L20" s="247" t="n"/>
      <c r="M20" s="247" t="n"/>
    </row>
    <row r="21" ht="16.5" customHeight="1" s="923">
      <c r="A21" s="993" t="inlineStr">
        <is>
          <t>Ending Member Capital Account Balance</t>
        </is>
      </c>
      <c r="B21" s="295">
        <f>IF(1&gt;=Waterfall!$B$5,0,MAX($B$2-B20,0))</f>
        <v/>
      </c>
      <c r="C21" s="295">
        <f>IF(2&gt;=Waterfall!$B$5,0,MAX($B$2-C20,0))</f>
        <v/>
      </c>
      <c r="D21" s="295">
        <f>IF(3&gt;=Waterfall!$B$5,0,MAX($B$2-D20,0))</f>
        <v/>
      </c>
      <c r="E21" s="295">
        <f>IF(4&gt;=Waterfall!$B$5,0,MAX($B$2-E20,0))</f>
        <v/>
      </c>
      <c r="F21" s="295">
        <f>IF(5&gt;=Waterfall!$B$5,0,MAX($B$2-F20,0))</f>
        <v/>
      </c>
      <c r="G21" s="295">
        <f>IF(6&gt;=Waterfall!$B$5,0,MAX($B$2-G20,0))</f>
        <v/>
      </c>
      <c r="H21" s="295">
        <f>IF(7&gt;=Waterfall!$B$5,0,MAX($B$2-H20,0))</f>
        <v/>
      </c>
      <c r="I21" s="295">
        <f>IF(8&gt;=Waterfall!$B$5,0,MAX($B$2-I20,0))</f>
        <v/>
      </c>
      <c r="J21" s="295">
        <f>IF(9&gt;=Waterfall!$B$5,0,MAX($B$2-J20,0))</f>
        <v/>
      </c>
      <c r="K21" s="295">
        <f>IF(10&gt;=Waterfall!$B$5,0,MAX($B$2-K20,0))</f>
        <v/>
      </c>
      <c r="L21" s="295" t="n"/>
      <c r="M21" s="295" t="n"/>
    </row>
    <row r="22" ht="19.5" customHeight="1" s="923">
      <c r="A22" s="1010" t="inlineStr">
        <is>
          <t xml:space="preserve">  E.  CUMULATIVE TOTALS</t>
        </is>
      </c>
      <c r="B22" s="926" t="n"/>
      <c r="C22" s="926" t="n"/>
      <c r="D22" s="926" t="n"/>
      <c r="E22" s="926" t="n"/>
      <c r="F22" s="926" t="n"/>
      <c r="G22" s="926" t="n"/>
      <c r="H22" s="926" t="n"/>
      <c r="I22" s="926" t="n"/>
      <c r="J22" s="926" t="n"/>
      <c r="K22" s="926" t="n"/>
      <c r="L22" s="926" t="n"/>
      <c r="M22" s="927" t="n"/>
    </row>
    <row r="23" ht="16.5" customHeight="1" s="923">
      <c r="A23" s="993" t="inlineStr">
        <is>
          <t>Cumulative Cash Received  (Distributions + ROC)</t>
        </is>
      </c>
      <c r="B23" s="295">
        <f>IF(1&gt;Waterfall!$B$5,0,SUM($B$14:B14)+SUM($B$18:B18)+SUM($B$19:B19))</f>
        <v/>
      </c>
      <c r="C23" s="295">
        <f>IF(2&gt;Waterfall!$B$5,0,SUM($B$14:C14)+SUM($B$18:C18)+SUM($B$19:C19))</f>
        <v/>
      </c>
      <c r="D23" s="295">
        <f>IF(3&gt;Waterfall!$B$5,0,SUM($B$14:D14)+SUM($B$18:D18)+SUM($B$19:D19))</f>
        <v/>
      </c>
      <c r="E23" s="295">
        <f>IF(4&gt;Waterfall!$B$5,0,SUM($B$14:E14)+SUM($B$18:E18)+SUM($B$19:E19))</f>
        <v/>
      </c>
      <c r="F23" s="295">
        <f>IF(5&gt;Waterfall!$B$5,0,SUM($B$14:F14)+SUM($B$18:F18)+SUM($B$19:F19))</f>
        <v/>
      </c>
      <c r="G23" s="295">
        <f>IF(6&gt;Waterfall!$B$5,0,SUM($B$14:G14)+SUM($B$18:G18)+SUM($B$19:G19))</f>
        <v/>
      </c>
      <c r="H23" s="295">
        <f>IF(7&gt;Waterfall!$B$5,0,SUM($B$14:H14)+SUM($B$18:H18)+SUM($B$19:H19))</f>
        <v/>
      </c>
      <c r="I23" s="295">
        <f>IF(8&gt;Waterfall!$B$5,0,SUM($B$14:I14)+SUM($B$18:I18)+SUM($B$19:I19))</f>
        <v/>
      </c>
      <c r="J23" s="295">
        <f>IF(9&gt;Waterfall!$B$5,0,SUM($B$14:J14)+SUM($B$18:J18)+SUM($B$19:J19))</f>
        <v/>
      </c>
      <c r="K23" s="295">
        <f>IF(10&gt;Waterfall!$B$5,0,SUM($B$14:K14)+SUM($B$18:K18)+SUM($B$19:K19))</f>
        <v/>
      </c>
      <c r="L23" s="295" t="n"/>
      <c r="M23" s="295" t="n"/>
    </row>
    <row r="24" ht="16.5" customHeight="1" s="923">
      <c r="A24" s="991" t="inlineStr">
        <is>
          <t>Average Annual Return to Date</t>
        </is>
      </c>
      <c r="B24" s="296">
        <f>IF(1&gt;Waterfall!$B$5,0,IFERROR((SUM($B$14:B14)+SUM($B$18:B18))/(1*$B$2),0))</f>
        <v/>
      </c>
      <c r="C24" s="296">
        <f>IF(2&gt;Waterfall!$B$5,0,IFERROR((SUM($B$14:C14)+SUM($B$18:C18))/(2*$B$2),0))</f>
        <v/>
      </c>
      <c r="D24" s="296">
        <f>IF(3&gt;Waterfall!$B$5,0,IFERROR((SUM($B$14:D14)+SUM($B$18:D18))/(3*$B$2),0))</f>
        <v/>
      </c>
      <c r="E24" s="296">
        <f>IF(4&gt;Waterfall!$B$5,0,IFERROR((SUM($B$14:E14)+SUM($B$18:E18))/(4*$B$2),0))</f>
        <v/>
      </c>
      <c r="F24" s="296">
        <f>IF(5&gt;Waterfall!$B$5,0,IFERROR((SUM($B$14:F14)+SUM($B$18:F18))/(5*$B$2),0))</f>
        <v/>
      </c>
      <c r="G24" s="296">
        <f>IF(6&gt;Waterfall!$B$5,0,IFERROR((SUM($B$14:G14)+SUM($B$18:G18))/(6*$B$2),0))</f>
        <v/>
      </c>
      <c r="H24" s="296">
        <f>IF(7&gt;Waterfall!$B$5,0,IFERROR((SUM($B$14:H14)+SUM($B$18:H18))/(7*$B$2),0))</f>
        <v/>
      </c>
      <c r="I24" s="296">
        <f>IF(8&gt;Waterfall!$B$5,0,IFERROR((SUM($B$14:I14)+SUM($B$18:I18))/(8*$B$2),0))</f>
        <v/>
      </c>
      <c r="J24" s="296">
        <f>IF(9&gt;Waterfall!$B$5,0,IFERROR((SUM($B$14:J14)+SUM($B$18:J18))/(9*$B$2),0))</f>
        <v/>
      </c>
      <c r="K24" s="296">
        <f>IF(10&gt;Waterfall!$B$5,0,IFERROR((SUM($B$14:K14)+SUM($B$18:K18))/(10*$B$2),0))</f>
        <v/>
      </c>
      <c r="L24" s="296" t="n"/>
      <c r="M24" s="296" t="n"/>
    </row>
    <row r="25" ht="21.75" customHeight="1" s="923">
      <c r="A25" s="49" t="inlineStr">
        <is>
          <t>Total Return in Investment</t>
        </is>
      </c>
      <c r="B25" s="299">
        <f>B14+B18+B19</f>
        <v/>
      </c>
      <c r="C25" s="299">
        <f>C14+C18+C19</f>
        <v/>
      </c>
      <c r="D25" s="299">
        <f>D14+D18+D19</f>
        <v/>
      </c>
      <c r="E25" s="299">
        <f>E14+E18+E19</f>
        <v/>
      </c>
      <c r="F25" s="299">
        <f>F14+F18+F19</f>
        <v/>
      </c>
      <c r="G25" s="299">
        <f>G14+G18+G19</f>
        <v/>
      </c>
      <c r="H25" s="299">
        <f>H14+H18+H19</f>
        <v/>
      </c>
      <c r="I25" s="299">
        <f>I14+I18+I19</f>
        <v/>
      </c>
      <c r="J25" s="299">
        <f>J14+J18+J19</f>
        <v/>
      </c>
      <c r="K25" s="299">
        <f>K14+K18+K19</f>
        <v/>
      </c>
      <c r="L25" s="299">
        <f>SUM(B25:K25)</f>
        <v/>
      </c>
      <c r="M25" s="300">
        <f>IFERROR(L25/$B$2,0)</f>
        <v/>
      </c>
    </row>
    <row r="26" ht="6" customHeight="1" s="923">
      <c r="A26" s="291" t="n"/>
      <c r="B26" s="301">
        <f>-$B$2</f>
        <v/>
      </c>
      <c r="C26" s="301">
        <f>B25</f>
        <v/>
      </c>
      <c r="D26" s="301">
        <f>C25</f>
        <v/>
      </c>
      <c r="E26" s="301">
        <f>D25</f>
        <v/>
      </c>
      <c r="F26" s="301">
        <f>E25</f>
        <v/>
      </c>
      <c r="G26" s="301">
        <f>F25</f>
        <v/>
      </c>
      <c r="H26" s="301">
        <f>G25</f>
        <v/>
      </c>
      <c r="I26" s="301">
        <f>H25</f>
        <v/>
      </c>
      <c r="J26" s="301">
        <f>I25</f>
        <v/>
      </c>
      <c r="K26" s="301">
        <f>J25</f>
        <v/>
      </c>
      <c r="L26" s="301">
        <f>K25</f>
        <v/>
      </c>
      <c r="M26" s="291" t="n"/>
    </row>
    <row r="27" ht="21.75" customHeight="1" s="923">
      <c r="A27" s="302" t="inlineStr">
        <is>
          <t>Average Annual Return</t>
        </is>
      </c>
      <c r="B27" s="303">
        <f>IFERROR(L25/(Waterfall!$B$5*$B$2),0)</f>
        <v/>
      </c>
      <c r="C27" s="926" t="n"/>
      <c r="D27" s="926" t="n"/>
      <c r="E27" s="926" t="n"/>
      <c r="F27" s="926" t="n"/>
      <c r="G27" s="926" t="n"/>
      <c r="H27" s="926" t="n"/>
      <c r="I27" s="926" t="n"/>
      <c r="J27" s="926" t="n"/>
      <c r="K27" s="926" t="n"/>
      <c r="L27" s="927" t="n"/>
    </row>
    <row r="28" ht="21.75" customHeight="1" s="923">
      <c r="A28" s="302" t="inlineStr">
        <is>
          <t>IRR</t>
        </is>
      </c>
      <c r="B28" s="303">
        <f>IFERROR(IRR(B26:L26),0)</f>
        <v/>
      </c>
      <c r="C28" s="926" t="n"/>
      <c r="D28" s="926" t="n"/>
      <c r="E28" s="926" t="n"/>
      <c r="F28" s="926" t="n"/>
      <c r="G28" s="926" t="n"/>
      <c r="H28" s="926" t="n"/>
      <c r="I28" s="926" t="n"/>
      <c r="J28" s="926" t="n"/>
      <c r="K28" s="926" t="n"/>
      <c r="L28" s="927" t="n"/>
    </row>
    <row r="29" ht="21.75" customHeight="1" s="923">
      <c r="A29" s="306" t="inlineStr">
        <is>
          <t>XIRR</t>
        </is>
      </c>
      <c r="B29" s="303">
        <f>'XIRR Analysis'!H54</f>
        <v/>
      </c>
      <c r="C29" s="926" t="n"/>
      <c r="D29" s="926" t="n"/>
      <c r="E29" s="926" t="n"/>
      <c r="F29" s="926" t="n"/>
      <c r="G29" s="926" t="n"/>
      <c r="H29" s="926" t="n"/>
      <c r="I29" s="926" t="n"/>
      <c r="J29" s="926" t="n"/>
      <c r="K29" s="926" t="n"/>
      <c r="L29" s="927" t="n"/>
    </row>
    <row r="30" ht="21.75" customHeight="1" s="923">
      <c r="A30" s="302" t="inlineStr">
        <is>
          <t>Average Cash on Cash Return</t>
        </is>
      </c>
      <c r="B30" s="303">
        <f>IFERROR(SUM(B14:K14)/(MIN(Waterfall!$B$5,10)*$B$2),0)</f>
        <v/>
      </c>
      <c r="C30" s="926" t="n"/>
      <c r="D30" s="926" t="n"/>
      <c r="E30" s="926" t="n"/>
      <c r="F30" s="926" t="n"/>
      <c r="G30" s="926" t="n"/>
      <c r="H30" s="926" t="n"/>
      <c r="I30" s="926" t="n"/>
      <c r="J30" s="926" t="n"/>
      <c r="K30" s="926" t="n"/>
      <c r="L30" s="927" t="n"/>
    </row>
    <row r="31" ht="21.75" customHeight="1" s="923">
      <c r="A31" s="302" t="inlineStr">
        <is>
          <t>Equity Multiple (EM)</t>
        </is>
      </c>
      <c r="B31" s="307">
        <f>IFERROR(L25/$B$2+1,0)</f>
        <v/>
      </c>
      <c r="C31" s="926" t="n"/>
      <c r="D31" s="926" t="n"/>
      <c r="E31" s="926" t="n"/>
      <c r="F31" s="926" t="n"/>
      <c r="G31" s="926" t="n"/>
      <c r="H31" s="926" t="n"/>
      <c r="I31" s="926" t="n"/>
      <c r="J31" s="926" t="n"/>
      <c r="K31" s="926" t="n"/>
      <c r="L31" s="927" t="n"/>
    </row>
    <row r="32" ht="7.5" customHeight="1" s="923">
      <c r="A32" s="291" t="n"/>
      <c r="B32" s="291" t="n"/>
      <c r="C32" s="291" t="n"/>
      <c r="D32" s="291" t="n"/>
      <c r="E32" s="291" t="n"/>
      <c r="F32" s="291" t="n"/>
      <c r="G32" s="291" t="n"/>
      <c r="H32" s="291" t="n"/>
      <c r="I32" s="291" t="n"/>
      <c r="J32" s="291" t="n"/>
      <c r="K32" s="291" t="n"/>
      <c r="L32" s="291" t="n"/>
      <c r="M32" s="291" t="n"/>
    </row>
    <row r="33" ht="19.5" customHeight="1" s="923">
      <c r="A33" s="1010" t="inlineStr">
        <is>
          <t xml:space="preserve">  F.  TARGET RETURN ANALYSIS  —  How much do I need to invest?</t>
        </is>
      </c>
      <c r="B33" s="926" t="n"/>
      <c r="C33" s="926" t="n"/>
      <c r="D33" s="926" t="n"/>
      <c r="E33" s="926" t="n"/>
      <c r="F33" s="926" t="n"/>
      <c r="G33" s="926" t="n"/>
      <c r="H33" s="926" t="n"/>
      <c r="I33" s="926" t="n"/>
      <c r="J33" s="926" t="n"/>
      <c r="K33" s="926" t="n"/>
      <c r="L33" s="926" t="n"/>
      <c r="M33" s="927" t="n"/>
    </row>
    <row r="34" ht="16.5" customHeight="1" s="923">
      <c r="A34" s="201" t="inlineStr">
        <is>
          <t>Target</t>
        </is>
      </c>
      <c r="B34" s="201" t="inlineStr">
        <is>
          <t>Your Target</t>
        </is>
      </c>
      <c r="C34" s="201" t="inlineStr">
        <is>
          <t>Required Investment</t>
        </is>
      </c>
      <c r="D34" s="201" t="inlineStr">
        <is>
          <t>At $100k →</t>
        </is>
      </c>
      <c r="E34" s="201" t="inlineStr">
        <is>
          <t>vs Target</t>
        </is>
      </c>
      <c r="F34" s="291" t="n"/>
      <c r="G34" s="291" t="n"/>
      <c r="H34" s="291" t="n"/>
      <c r="I34" s="291" t="n"/>
      <c r="J34" s="291" t="n"/>
      <c r="K34" s="291" t="n"/>
      <c r="L34" s="291" t="n"/>
      <c r="M34" s="291" t="n"/>
    </row>
    <row r="35" ht="16.5" customHeight="1" s="923">
      <c r="A35" s="991" t="inlineStr">
        <is>
          <t>Annual Pref Income ($/yr)</t>
        </is>
      </c>
      <c r="B35" s="308" t="n">
        <v>8000</v>
      </c>
      <c r="C35" s="309">
        <f>IFERROR(B35/(IF($B$3="Class A",Waterfall!$B$11,Waterfall!$B$12)),0)</f>
        <v/>
      </c>
      <c r="D35" s="310">
        <f>$B$2*IF($B$3="Class A",Waterfall!$B$11,Waterfall!$B$12)</f>
        <v/>
      </c>
      <c r="E35" s="311">
        <f>IFERROR(IF(D35&gt;=B35,"✓ Meets target","Need "&amp;TEXT(C35-$B$2,"$#,##0")&amp;" more"),"")</f>
        <v/>
      </c>
      <c r="F35" s="991" t="n"/>
      <c r="G35" s="991" t="n"/>
      <c r="H35" s="991" t="n"/>
      <c r="I35" s="991" t="n"/>
      <c r="J35" s="991" t="n"/>
      <c r="K35" s="991" t="n"/>
      <c r="L35" s="991" t="n"/>
      <c r="M35" s="991" t="n"/>
    </row>
    <row r="36" ht="16.5" customHeight="1" s="923">
      <c r="A36" s="993" t="inlineStr">
        <is>
          <t>Target Equity Multiple</t>
        </is>
      </c>
      <c r="B36" s="312" t="n">
        <v>2</v>
      </c>
      <c r="C36" s="313" t="inlineStr">
        <is>
          <t>EM scales with deal, not investment size</t>
        </is>
      </c>
      <c r="D36" s="993" t="n"/>
      <c r="E36" s="314">
        <f>IFERROR(IF(IFERROR(L25/$B$2+1,0)&gt;=B36,"✓ Deal hits target","Deal at "&amp;TEXT(IFERROR(L25/$B$2+1,0),"0.00x")&amp;" vs "&amp;TEXT(B36,"0.00x")),"")</f>
        <v/>
      </c>
      <c r="F36" s="993" t="n"/>
      <c r="G36" s="993" t="n"/>
      <c r="H36" s="993" t="n"/>
      <c r="I36" s="993" t="n"/>
      <c r="J36" s="993" t="n"/>
      <c r="K36" s="993" t="n"/>
      <c r="L36" s="993" t="n"/>
      <c r="M36" s="993" t="n"/>
    </row>
    <row r="37" ht="16.5" customHeight="1" s="923">
      <c r="A37" s="991" t="inlineStr">
        <is>
          <t>Target IRR</t>
        </is>
      </c>
      <c r="B37" s="315" t="n">
        <v>0.15</v>
      </c>
      <c r="C37" s="316" t="inlineStr">
        <is>
          <t>IRR is deal-level — same at any investment size</t>
        </is>
      </c>
      <c r="D37" s="991" t="n"/>
      <c r="E37" s="311">
        <f>IFERROR(IF(IF($B$3="Class A",Waterfall!B69,Waterfall!C69)&gt;=B37,"✓ Deal hits target","Deal at "&amp;TEXT(IF($B$3="Class A",Waterfall!B69,Waterfall!C69),"0.0%")&amp;" vs "&amp;TEXT(B37,"0.0%")),"")</f>
        <v/>
      </c>
      <c r="F37" s="991" t="n"/>
      <c r="G37" s="991" t="n"/>
      <c r="H37" s="991" t="n"/>
      <c r="I37" s="991" t="n"/>
      <c r="J37" s="991" t="n"/>
      <c r="K37" s="991" t="n"/>
      <c r="L37" s="991" t="n"/>
      <c r="M37" s="991" t="n"/>
    </row>
    <row r="38" ht="16.5" customHeight="1" s="923">
      <c r="A38" s="993" t="inlineStr">
        <is>
          <t>Target Total Cash Back ($)</t>
        </is>
      </c>
      <c r="B38" s="286" t="n">
        <v>150000</v>
      </c>
      <c r="C38" s="317">
        <f>IFERROR(B38/(L25/$B$2),0)</f>
        <v/>
      </c>
      <c r="D38" s="318">
        <f>L25</f>
        <v/>
      </c>
      <c r="E38" s="314">
        <f>IFERROR(IF(L25&gt;=$B$2*(B38/$B$2),"✓ Meets target","Need "&amp;TEXT(C38-$B$2,"$#,##0")&amp;" more"),"")</f>
        <v/>
      </c>
      <c r="F38" s="993" t="n"/>
      <c r="G38" s="993" t="n"/>
      <c r="H38" s="993" t="n"/>
      <c r="I38" s="993" t="n"/>
      <c r="J38" s="993" t="n"/>
      <c r="K38" s="993" t="n"/>
      <c r="L38" s="993" t="n"/>
      <c r="M38" s="993" t="n"/>
    </row>
    <row r="39" ht="7.5" customHeight="1" s="923">
      <c r="A39" s="291" t="n"/>
      <c r="B39" s="291" t="n"/>
      <c r="C39" s="291" t="n"/>
      <c r="D39" s="291" t="n"/>
      <c r="E39" s="291" t="n"/>
      <c r="F39" s="291" t="n"/>
      <c r="G39" s="291" t="n"/>
      <c r="H39" s="291" t="n"/>
      <c r="I39" s="291" t="n"/>
      <c r="J39" s="291" t="n"/>
      <c r="K39" s="291" t="n"/>
      <c r="L39" s="291" t="n"/>
      <c r="M39" s="291" t="n"/>
    </row>
    <row r="40" ht="19.5" customHeight="1" s="923">
      <c r="A40" s="1010" t="inlineStr">
        <is>
          <t xml:space="preserve">  G.  SENSITIVITY ANALYSIS  —  Your Returns at Different Exit Cap Rates</t>
        </is>
      </c>
      <c r="B40" s="926" t="n"/>
      <c r="C40" s="926" t="n"/>
      <c r="D40" s="926" t="n"/>
      <c r="E40" s="926" t="n"/>
      <c r="F40" s="926" t="n"/>
      <c r="G40" s="926" t="n"/>
      <c r="H40" s="926" t="n"/>
      <c r="I40" s="926" t="n"/>
      <c r="J40" s="926" t="n"/>
      <c r="K40" s="926" t="n"/>
      <c r="L40" s="926" t="n"/>
      <c r="M40" s="927" t="n"/>
    </row>
    <row r="41" ht="16.5" customHeight="1" s="923">
      <c r="A41" s="1011" t="inlineStr">
        <is>
          <t xml:space="preserve">  Assumes operating distributions unchanged. Only exit proceeds vary with cap rate.</t>
        </is>
      </c>
      <c r="B41" s="926" t="n"/>
      <c r="C41" s="926" t="n"/>
      <c r="D41" s="926" t="n"/>
      <c r="E41" s="926" t="n"/>
      <c r="F41" s="926" t="n"/>
      <c r="G41" s="926" t="n"/>
      <c r="H41" s="926" t="n"/>
      <c r="I41" s="926" t="n"/>
      <c r="J41" s="926" t="n"/>
      <c r="K41" s="926" t="n"/>
      <c r="L41" s="926" t="n"/>
      <c r="M41" s="927" t="n"/>
    </row>
    <row r="42" ht="16.5" customHeight="1" s="923">
      <c r="A42" s="201" t="inlineStr">
        <is>
          <t>Exit Cap Rate</t>
        </is>
      </c>
      <c r="B42" s="201" t="inlineStr">
        <is>
          <t>Gross Sale Price</t>
        </is>
      </c>
      <c r="C42" s="201" t="inlineStr">
        <is>
          <t>Net Proceeds to LP (exit)</t>
        </is>
      </c>
      <c r="D42" s="201" t="inlineStr">
        <is>
          <t>Your Exit $</t>
        </is>
      </c>
      <c r="E42" s="201" t="inlineStr">
        <is>
          <t>Total Received</t>
        </is>
      </c>
      <c r="F42" s="201" t="inlineStr">
        <is>
          <t>Net Profit</t>
        </is>
      </c>
      <c r="G42" s="201" t="inlineStr">
        <is>
          <t>Equity Multiple</t>
        </is>
      </c>
      <c r="H42" s="201" t="inlineStr">
        <is>
          <t>vs Base EM</t>
        </is>
      </c>
      <c r="I42" s="291" t="n"/>
      <c r="J42" s="291" t="n"/>
      <c r="K42" s="291" t="n"/>
      <c r="L42" s="291" t="n"/>
      <c r="M42" s="291" t="n"/>
    </row>
    <row r="43" ht="16.5" customHeight="1" s="923">
      <c r="A43" s="319" t="n">
        <v>0.06</v>
      </c>
      <c r="B43" s="247">
        <f>IFERROR((IFERROR(INDEX('P&amp;L'!D115:M116,1,Waterfall!$B$5),0)+IFERROR(INDEX('P&amp;L'!D112:M113,1,Waterfall!$B$5),0))/0.06,0)</f>
        <v/>
      </c>
      <c r="C43" s="247">
        <f>IFERROR(MAX(B43*(1-Waterfall!$B$7-'Exit Strategy'!$F$18)-IFERROR(INDEX(Loans!$J$43:$S$43,1,Waterfall!$B$5),0),0)*Waterfall!$B$15,0)</f>
        <v/>
      </c>
      <c r="D43" s="247">
        <f>IFERROR(IFERROR($B$2/IF($B$3="Class A",Waterfall!$B$9,Waterfall!$B$10),0)*C43,0)</f>
        <v/>
      </c>
      <c r="E43" s="247">
        <f>IFERROR(L14+L18+D43,0)</f>
        <v/>
      </c>
      <c r="F43" s="247">
        <f>IFERROR(E43-$B$2,0)</f>
        <v/>
      </c>
      <c r="G43" s="320">
        <f>IFERROR(E43/$B$2,0)</f>
        <v/>
      </c>
      <c r="H43" s="321">
        <f>IFERROR(G43-L25/$B$2,0)</f>
        <v/>
      </c>
      <c r="I43" s="991" t="n"/>
      <c r="J43" s="991" t="n"/>
      <c r="K43" s="991" t="n"/>
      <c r="L43" s="991" t="n"/>
      <c r="M43" s="991" t="n"/>
    </row>
    <row r="44" ht="16.5" customHeight="1" s="923">
      <c r="A44" s="322" t="n">
        <v>0.065</v>
      </c>
      <c r="B44" s="295">
        <f>IFERROR((IFERROR(INDEX('P&amp;L'!D115:M116,1,Waterfall!$B$5),0)+IFERROR(INDEX('P&amp;L'!D112:M113,1,Waterfall!$B$5),0))/0.065,0)</f>
        <v/>
      </c>
      <c r="C44" s="295">
        <f>IFERROR(MAX(B44*(1-Waterfall!$B$7-'Exit Strategy'!$F$18)-IFERROR(INDEX(Loans!$J$43:$S$43,1,Waterfall!$B$5),0),0)*Waterfall!$B$15,0)</f>
        <v/>
      </c>
      <c r="D44" s="295">
        <f>IFERROR(IFERROR($B$2/IF($B$3="Class A",Waterfall!$B$9,Waterfall!$B$10),0)*C44,0)</f>
        <v/>
      </c>
      <c r="E44" s="295">
        <f>IFERROR(L14+L18+D44,0)</f>
        <v/>
      </c>
      <c r="F44" s="295">
        <f>IFERROR(E44-$B$2,0)</f>
        <v/>
      </c>
      <c r="G44" s="323">
        <f>IFERROR(E44/$B$2,0)</f>
        <v/>
      </c>
      <c r="H44" s="324">
        <f>IFERROR(G44-L25/$B$2,0)</f>
        <v/>
      </c>
      <c r="I44" s="993" t="n"/>
      <c r="J44" s="993" t="n"/>
      <c r="K44" s="993" t="n"/>
      <c r="L44" s="993" t="n"/>
      <c r="M44" s="993" t="n"/>
    </row>
    <row r="45" ht="16.5" customHeight="1" s="923">
      <c r="A45" s="319" t="n">
        <v>0.07000000000000001</v>
      </c>
      <c r="B45" s="247">
        <f>IFERROR((IFERROR(INDEX('P&amp;L'!D115:M116,1,Waterfall!$B$5),0)+IFERROR(INDEX('P&amp;L'!D112:M113,1,Waterfall!$B$5),0))/0.07,0)</f>
        <v/>
      </c>
      <c r="C45" s="247">
        <f>IFERROR(MAX(B45*(1-Waterfall!$B$7-'Exit Strategy'!$F$18)-IFERROR(INDEX(Loans!$J$43:$S$43,1,Waterfall!$B$5),0),0)*Waterfall!$B$15,0)</f>
        <v/>
      </c>
      <c r="D45" s="247">
        <f>IFERROR(IFERROR($B$2/IF($B$3="Class A",Waterfall!$B$9,Waterfall!$B$10),0)*C45,0)</f>
        <v/>
      </c>
      <c r="E45" s="247">
        <f>IFERROR(L14+L18+D45,0)</f>
        <v/>
      </c>
      <c r="F45" s="247">
        <f>IFERROR(E45-$B$2,0)</f>
        <v/>
      </c>
      <c r="G45" s="320">
        <f>IFERROR(E45/$B$2,0)</f>
        <v/>
      </c>
      <c r="H45" s="321">
        <f>IFERROR(G45-L25/$B$2,0)</f>
        <v/>
      </c>
      <c r="I45" s="991" t="n"/>
      <c r="J45" s="991" t="n"/>
      <c r="K45" s="991" t="n"/>
      <c r="L45" s="991" t="n"/>
      <c r="M45" s="991" t="n"/>
    </row>
    <row r="46" ht="16.5" customHeight="1" s="923">
      <c r="A46" s="322" t="n">
        <v>0.075</v>
      </c>
      <c r="B46" s="295">
        <f>IFERROR((IFERROR(INDEX('P&amp;L'!D115:M116,1,Waterfall!$B$5),0)+IFERROR(INDEX('P&amp;L'!D112:M113,1,Waterfall!$B$5),0))/0.075,0)</f>
        <v/>
      </c>
      <c r="C46" s="295">
        <f>IFERROR(MAX(B46*(1-Waterfall!$B$7-'Exit Strategy'!$F$18)-IFERROR(INDEX(Loans!$J$43:$S$43,1,Waterfall!$B$5),0),0)*Waterfall!$B$15,0)</f>
        <v/>
      </c>
      <c r="D46" s="295">
        <f>IFERROR(IFERROR($B$2/IF($B$3="Class A",Waterfall!$B$9,Waterfall!$B$10),0)*C46,0)</f>
        <v/>
      </c>
      <c r="E46" s="295">
        <f>IFERROR(L14+L18+D46,0)</f>
        <v/>
      </c>
      <c r="F46" s="295">
        <f>IFERROR(E46-$B$2,0)</f>
        <v/>
      </c>
      <c r="G46" s="323">
        <f>IFERROR(E46/$B$2,0)</f>
        <v/>
      </c>
      <c r="H46" s="324">
        <f>IFERROR(G46-L25/$B$2,0)</f>
        <v/>
      </c>
      <c r="I46" s="993" t="n"/>
      <c r="J46" s="993" t="n"/>
      <c r="K46" s="993" t="n"/>
      <c r="L46" s="993" t="n"/>
      <c r="M46" s="993" t="n"/>
    </row>
    <row r="47" ht="16.5" customHeight="1" s="923">
      <c r="A47" s="325" t="n">
        <v>0.08</v>
      </c>
      <c r="B47" s="299">
        <f>IFERROR((IFERROR(INDEX('P&amp;L'!D115:M116,1,Waterfall!$B$5),0)+IFERROR(INDEX('P&amp;L'!D112:M113,1,Waterfall!$B$5),0))/0.08,0)</f>
        <v/>
      </c>
      <c r="C47" s="299">
        <f>IFERROR(MAX(B47*(1-Waterfall!$B$7-'Exit Strategy'!$F$18)-IFERROR(INDEX(Loans!$J$43:$S$43,1,Waterfall!$B$5),0),0)*Waterfall!$B$15,0)</f>
        <v/>
      </c>
      <c r="D47" s="299">
        <f>IFERROR(IFERROR($B$2/IF($B$3="Class A",Waterfall!$B$9,Waterfall!$B$10),0)*C47,0)</f>
        <v/>
      </c>
      <c r="E47" s="299">
        <f>IFERROR(L14+L18+D47,0)</f>
        <v/>
      </c>
      <c r="F47" s="299">
        <f>IFERROR(E47-$B$2,0)</f>
        <v/>
      </c>
      <c r="G47" s="326">
        <f>IFERROR(E47/$B$2,0)</f>
        <v/>
      </c>
      <c r="H47" s="327">
        <f>IFERROR(G47-L25/$B$2,0)</f>
        <v/>
      </c>
      <c r="I47" s="51" t="n"/>
      <c r="J47" s="51" t="n"/>
      <c r="K47" s="51" t="n"/>
      <c r="L47" s="51" t="n"/>
      <c r="M47" s="51" t="n"/>
    </row>
    <row r="48" ht="16.5" customHeight="1" s="923">
      <c r="A48" s="322" t="n">
        <v>0.08500000000000001</v>
      </c>
      <c r="B48" s="295">
        <f>IFERROR((IFERROR(INDEX('P&amp;L'!D115:M116,1,Waterfall!$B$5),0)+IFERROR(INDEX('P&amp;L'!D112:M113,1,Waterfall!$B$5),0))/0.085,0)</f>
        <v/>
      </c>
      <c r="C48" s="295">
        <f>IFERROR(MAX(B48*(1-Waterfall!$B$7-'Exit Strategy'!$F$18)-IFERROR(INDEX(Loans!$J$43:$S$43,1,Waterfall!$B$5),0),0)*Waterfall!$B$15,0)</f>
        <v/>
      </c>
      <c r="D48" s="295">
        <f>IFERROR(IFERROR($B$2/IF($B$3="Class A",Waterfall!$B$9,Waterfall!$B$10),0)*C48,0)</f>
        <v/>
      </c>
      <c r="E48" s="295">
        <f>IFERROR(L14+L18+D48,0)</f>
        <v/>
      </c>
      <c r="F48" s="295">
        <f>IFERROR(E48-$B$2,0)</f>
        <v/>
      </c>
      <c r="G48" s="323">
        <f>IFERROR(E48/$B$2,0)</f>
        <v/>
      </c>
      <c r="H48" s="324">
        <f>IFERROR(G48-L25/$B$2,0)</f>
        <v/>
      </c>
      <c r="I48" s="993" t="n"/>
      <c r="J48" s="993" t="n"/>
      <c r="K48" s="993" t="n"/>
      <c r="L48" s="993" t="n"/>
      <c r="M48" s="993" t="n"/>
    </row>
    <row r="49" ht="16.5" customHeight="1" s="923">
      <c r="A49" s="319" t="n">
        <v>0.09</v>
      </c>
      <c r="B49" s="247">
        <f>IFERROR((IFERROR(INDEX('P&amp;L'!D115:M116,1,Waterfall!$B$5),0)+IFERROR(INDEX('P&amp;L'!D112:M113,1,Waterfall!$B$5),0))/0.09,0)</f>
        <v/>
      </c>
      <c r="C49" s="247">
        <f>IFERROR(MAX(B49*(1-Waterfall!$B$7-'Exit Strategy'!$F$18)-IFERROR(INDEX(Loans!$J$43:$S$43,1,Waterfall!$B$5),0),0)*Waterfall!$B$15,0)</f>
        <v/>
      </c>
      <c r="D49" s="247">
        <f>IFERROR(IFERROR($B$2/IF($B$3="Class A",Waterfall!$B$9,Waterfall!$B$10),0)*C49,0)</f>
        <v/>
      </c>
      <c r="E49" s="247">
        <f>IFERROR(L14+L18+D49,0)</f>
        <v/>
      </c>
      <c r="F49" s="247">
        <f>IFERROR(E49-$B$2,0)</f>
        <v/>
      </c>
      <c r="G49" s="320">
        <f>IFERROR(E49/$B$2,0)</f>
        <v/>
      </c>
      <c r="H49" s="321">
        <f>IFERROR(G49-L25/$B$2,0)</f>
        <v/>
      </c>
      <c r="I49" s="991" t="n"/>
      <c r="J49" s="991" t="n"/>
      <c r="K49" s="991" t="n"/>
      <c r="L49" s="991" t="n"/>
      <c r="M49" s="991" t="n"/>
    </row>
    <row r="50" ht="16.5" customHeight="1" s="923">
      <c r="A50" s="322" t="n">
        <v>0.095</v>
      </c>
      <c r="B50" s="295">
        <f>IFERROR((IFERROR(INDEX('P&amp;L'!D115:M116,1,Waterfall!$B$5),0)+IFERROR(INDEX('P&amp;L'!D112:M113,1,Waterfall!$B$5),0))/0.095,0)</f>
        <v/>
      </c>
      <c r="C50" s="295">
        <f>IFERROR(MAX(B50*(1-Waterfall!$B$7-'Exit Strategy'!$F$18)-IFERROR(INDEX(Loans!$J$43:$S$43,1,Waterfall!$B$5),0),0)*Waterfall!$B$15,0)</f>
        <v/>
      </c>
      <c r="D50" s="295">
        <f>IFERROR(IFERROR($B$2/IF($B$3="Class A",Waterfall!$B$9,Waterfall!$B$10),0)*C50,0)</f>
        <v/>
      </c>
      <c r="E50" s="295">
        <f>IFERROR(L14+L18+D50,0)</f>
        <v/>
      </c>
      <c r="F50" s="295">
        <f>IFERROR(E50-$B$2,0)</f>
        <v/>
      </c>
      <c r="G50" s="323">
        <f>IFERROR(E50/$B$2,0)</f>
        <v/>
      </c>
      <c r="H50" s="324">
        <f>IFERROR(G50-L25/$B$2,0)</f>
        <v/>
      </c>
      <c r="I50" s="993" t="n"/>
      <c r="J50" s="993" t="n"/>
      <c r="K50" s="993" t="n"/>
      <c r="L50" s="993" t="n"/>
      <c r="M50" s="993" t="n"/>
    </row>
    <row r="51" ht="6" customHeight="1" s="923">
      <c r="A51" s="291" t="n"/>
      <c r="B51" s="291" t="n"/>
      <c r="C51" s="291" t="n"/>
      <c r="D51" s="291" t="n"/>
      <c r="E51" s="291" t="n"/>
      <c r="F51" s="291" t="n"/>
      <c r="G51" s="291" t="n"/>
      <c r="H51" s="291" t="n"/>
      <c r="I51" s="291" t="n"/>
      <c r="J51" s="291" t="n"/>
      <c r="K51" s="291" t="n"/>
      <c r="L51" s="291" t="n"/>
      <c r="M51" s="291" t="n"/>
    </row>
    <row r="52" ht="16.5" customHeight="1" s="923">
      <c r="A52" s="1011" t="inlineStr">
        <is>
          <t xml:space="preserve">  Base case (0.08 cap rate) highlighted. Selling costs and disposition fee deducted from sale price before LP split.</t>
        </is>
      </c>
      <c r="B52" s="926" t="n"/>
      <c r="C52" s="926" t="n"/>
      <c r="D52" s="926" t="n"/>
      <c r="E52" s="926" t="n"/>
      <c r="F52" s="926" t="n"/>
      <c r="G52" s="926" t="n"/>
      <c r="H52" s="926" t="n"/>
      <c r="I52" s="926" t="n"/>
      <c r="J52" s="926" t="n"/>
      <c r="K52" s="926" t="n"/>
      <c r="L52" s="926" t="n"/>
      <c r="M52" s="927" t="n"/>
    </row>
    <row r="53" ht="16.5" customHeight="1" s="923">
      <c r="A53" s="291" t="n"/>
      <c r="B53" s="291" t="n"/>
      <c r="C53" s="291" t="n"/>
      <c r="D53" s="291" t="n"/>
      <c r="E53" s="291" t="n"/>
      <c r="F53" s="291" t="n"/>
      <c r="G53" s="291" t="n"/>
      <c r="H53" s="291" t="n"/>
      <c r="I53" s="291" t="n"/>
      <c r="J53" s="291" t="n"/>
      <c r="K53" s="291" t="n"/>
      <c r="L53" s="291" t="n"/>
      <c r="M53" s="291" t="n"/>
    </row>
    <row r="54" ht="16.5" customHeight="1" s="923">
      <c r="A54" s="291" t="n"/>
      <c r="B54" s="291" t="n"/>
      <c r="C54" s="291" t="n"/>
      <c r="D54" s="291" t="n"/>
      <c r="E54" s="291" t="n"/>
      <c r="F54" s="291" t="n"/>
      <c r="G54" s="291" t="n"/>
      <c r="H54" s="291" t="n"/>
      <c r="I54" s="291" t="n"/>
      <c r="J54" s="291" t="n"/>
      <c r="K54" s="291" t="n"/>
      <c r="L54" s="291" t="n"/>
      <c r="M54" s="291" t="n"/>
    </row>
    <row r="55" ht="16.5" customHeight="1" s="923">
      <c r="A55" s="291" t="n"/>
      <c r="B55" s="291" t="n"/>
      <c r="C55" s="291" t="n"/>
      <c r="D55" s="291" t="n"/>
      <c r="E55" s="291" t="n"/>
      <c r="F55" s="291" t="n"/>
      <c r="G55" s="291" t="n"/>
      <c r="H55" s="291" t="n"/>
      <c r="I55" s="291" t="n"/>
      <c r="J55" s="291" t="n"/>
      <c r="K55" s="291" t="n"/>
      <c r="L55" s="291" t="n"/>
      <c r="M55" s="291" t="n"/>
    </row>
    <row r="56" ht="16.5" customHeight="1" s="923">
      <c r="A56" s="291" t="n"/>
      <c r="B56" s="291" t="n"/>
      <c r="C56" s="291" t="n"/>
      <c r="D56" s="291" t="n"/>
      <c r="E56" s="291" t="n"/>
      <c r="F56" s="291" t="n"/>
      <c r="G56" s="291" t="n"/>
      <c r="H56" s="291" t="n"/>
      <c r="I56" s="291" t="n"/>
      <c r="J56" s="291" t="n"/>
      <c r="K56" s="291" t="n"/>
      <c r="L56" s="291" t="n"/>
      <c r="M56" s="291" t="n"/>
    </row>
    <row r="57" ht="16.5" customHeight="1" s="923">
      <c r="A57" s="291" t="n"/>
      <c r="B57" s="291" t="n"/>
      <c r="C57" s="291" t="n"/>
      <c r="D57" s="291" t="n"/>
      <c r="E57" s="291" t="n"/>
      <c r="F57" s="291" t="n"/>
      <c r="G57" s="291" t="n"/>
      <c r="H57" s="291" t="n"/>
      <c r="I57" s="291" t="n"/>
      <c r="J57" s="291" t="n"/>
      <c r="K57" s="291" t="n"/>
      <c r="L57" s="291" t="n"/>
      <c r="M57" s="291" t="n"/>
    </row>
    <row r="58" ht="16.5" customHeight="1" s="923">
      <c r="A58" s="291" t="n"/>
      <c r="B58" s="291" t="n"/>
      <c r="C58" s="291" t="n"/>
      <c r="D58" s="291" t="n"/>
      <c r="E58" s="291" t="n"/>
      <c r="F58" s="291" t="n"/>
      <c r="G58" s="291" t="n"/>
      <c r="H58" s="291" t="n"/>
      <c r="I58" s="291" t="n"/>
      <c r="J58" s="291" t="n"/>
      <c r="K58" s="291" t="n"/>
      <c r="L58" s="291" t="n"/>
      <c r="M58" s="291" t="n"/>
    </row>
    <row r="59" ht="16.5" customHeight="1" s="923">
      <c r="A59" s="291" t="n"/>
      <c r="B59" s="291" t="n"/>
      <c r="C59" s="291" t="n"/>
      <c r="D59" s="291" t="n"/>
      <c r="E59" s="291" t="n"/>
      <c r="F59" s="291" t="n"/>
      <c r="G59" s="291" t="n"/>
      <c r="H59" s="291" t="n"/>
      <c r="I59" s="291" t="n"/>
      <c r="J59" s="291" t="n"/>
      <c r="K59" s="291" t="n"/>
      <c r="L59" s="291" t="n"/>
      <c r="M59" s="291" t="n"/>
    </row>
    <row r="60" ht="16.5" customHeight="1" s="923">
      <c r="A60" s="291" t="n"/>
      <c r="B60" s="291" t="n"/>
      <c r="C60" s="291" t="n"/>
      <c r="D60" s="291" t="n"/>
      <c r="E60" s="291" t="n"/>
      <c r="F60" s="291" t="n"/>
      <c r="G60" s="291" t="n"/>
      <c r="H60" s="291" t="n"/>
      <c r="I60" s="291" t="n"/>
      <c r="J60" s="291" t="n"/>
      <c r="K60" s="291" t="n"/>
      <c r="L60" s="291" t="n"/>
      <c r="M60" s="291" t="n"/>
    </row>
    <row r="61" ht="16.5" customHeight="1" s="923">
      <c r="A61" s="291" t="n"/>
      <c r="B61" s="291" t="n"/>
      <c r="C61" s="291" t="n"/>
      <c r="D61" s="291" t="n"/>
      <c r="E61" s="291" t="n"/>
      <c r="F61" s="291" t="n"/>
      <c r="G61" s="291" t="n"/>
      <c r="H61" s="291" t="n"/>
      <c r="I61" s="291" t="n"/>
      <c r="J61" s="291" t="n"/>
      <c r="K61" s="291" t="n"/>
      <c r="L61" s="291" t="n"/>
      <c r="M61" s="291" t="n"/>
    </row>
    <row r="62" ht="16.5" customHeight="1" s="923">
      <c r="A62" s="291" t="n"/>
      <c r="B62" s="291" t="n"/>
      <c r="C62" s="291" t="n"/>
      <c r="D62" s="291" t="n"/>
      <c r="E62" s="291" t="n"/>
      <c r="F62" s="291" t="n"/>
      <c r="G62" s="291" t="n"/>
      <c r="H62" s="291" t="n"/>
      <c r="I62" s="291" t="n"/>
      <c r="J62" s="291" t="n"/>
      <c r="K62" s="291" t="n"/>
      <c r="L62" s="291" t="n"/>
      <c r="M62" s="291" t="n"/>
    </row>
    <row r="63" ht="16.5" customHeight="1" s="923">
      <c r="A63" s="291" t="n"/>
      <c r="B63" s="291" t="n"/>
      <c r="C63" s="291" t="n"/>
      <c r="D63" s="291" t="n"/>
      <c r="E63" s="291" t="n"/>
      <c r="F63" s="291" t="n"/>
      <c r="G63" s="291" t="n"/>
      <c r="H63" s="291" t="n"/>
      <c r="I63" s="291" t="n"/>
      <c r="J63" s="291" t="n"/>
      <c r="K63" s="291" t="n"/>
      <c r="L63" s="291" t="n"/>
      <c r="M63" s="291" t="n"/>
    </row>
    <row r="64" ht="16.5" customHeight="1" s="923">
      <c r="A64" s="291" t="n"/>
      <c r="B64" s="291" t="n"/>
      <c r="C64" s="291" t="n"/>
      <c r="D64" s="291" t="n"/>
      <c r="E64" s="291" t="n"/>
      <c r="F64" s="291" t="n"/>
      <c r="G64" s="291" t="n"/>
      <c r="H64" s="291" t="n"/>
      <c r="I64" s="291" t="n"/>
      <c r="J64" s="291" t="n"/>
      <c r="K64" s="291" t="n"/>
      <c r="L64" s="291" t="n"/>
      <c r="M64" s="291" t="n"/>
    </row>
    <row r="65" ht="16.5" customHeight="1" s="923">
      <c r="A65" s="291" t="n"/>
      <c r="B65" s="291" t="n"/>
      <c r="C65" s="291" t="n"/>
      <c r="D65" s="291" t="n"/>
      <c r="E65" s="291" t="n"/>
      <c r="F65" s="291" t="n"/>
      <c r="G65" s="291" t="n"/>
      <c r="H65" s="291" t="n"/>
      <c r="I65" s="291" t="n"/>
      <c r="J65" s="291" t="n"/>
      <c r="K65" s="291" t="n"/>
      <c r="L65" s="291" t="n"/>
      <c r="M65" s="291" t="n"/>
    </row>
  </sheetData>
  <mergeCells count="12">
    <mergeCell ref="A13:M13"/>
    <mergeCell ref="A1:M1"/>
    <mergeCell ref="A6:M6"/>
    <mergeCell ref="A22:M22"/>
    <mergeCell ref="A40:M40"/>
    <mergeCell ref="A17:M17"/>
    <mergeCell ref="A9:M9"/>
    <mergeCell ref="C2:M2"/>
    <mergeCell ref="A41:M41"/>
    <mergeCell ref="C3:D3"/>
    <mergeCell ref="A33:M33"/>
    <mergeCell ref="A52:M52"/>
  </mergeCells>
  <dataValidations count="1">
    <dataValidation sqref="B3 B6" showDropDown="0" showInputMessage="0" showErrorMessage="0" allowBlank="0" type="list">
      <formula1>"Class A,Class B"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4"/>
  <sheetViews>
    <sheetView zoomScale="113" zoomScaleNormal="113" workbookViewId="0">
      <selection activeCell="I27" sqref="I27"/>
    </sheetView>
  </sheetViews>
  <sheetFormatPr baseColWidth="10" defaultColWidth="8.83203125" defaultRowHeight="15"/>
  <cols>
    <col width="30" customWidth="1" style="923" min="1" max="1"/>
    <col width="14" customWidth="1" style="923" min="2" max="10"/>
  </cols>
  <sheetData>
    <row r="1" ht="24" customHeight="1" s="923">
      <c r="A1" s="938" t="inlineStr">
        <is>
          <t>SENSITIVITY ANALYSIS — THREE KEY TRADE-OFF TABLES</t>
        </is>
      </c>
    </row>
    <row r="2" ht="15.75" customHeight="1" s="923">
      <c r="A2" s="934" t="inlineStr">
        <is>
          <t xml:space="preserve">  Green = meets investment threshold. Yellow = marginal. Red = below threshold. All cells are live formulas.</t>
        </is>
      </c>
    </row>
    <row r="4" ht="24" customHeight="1" s="923">
      <c r="A4" s="938" t="inlineStr">
        <is>
          <t>TABLE 1 — OCCUPANCY vs EXIT CAP RATE → LP IRR (MOIC approximation)</t>
        </is>
      </c>
    </row>
    <row r="5">
      <c r="A5" s="275" t="inlineStr">
        <is>
          <t>Occ % \ Exit Cap →</t>
        </is>
      </c>
      <c r="B5" s="276">
        <f>$K$5+0*$M$5</f>
        <v/>
      </c>
      <c r="C5" s="276">
        <f>$K$5+1*$M$5</f>
        <v/>
      </c>
      <c r="D5" s="276">
        <f>$K$5+2*$M$5</f>
        <v/>
      </c>
      <c r="E5" s="276">
        <f>$K$5+3*$M$5</f>
        <v/>
      </c>
      <c r="F5" s="276">
        <f>$K$5+4*$M$5</f>
        <v/>
      </c>
      <c r="G5" s="276">
        <f>$K$5+5*$M$5</f>
        <v/>
      </c>
      <c r="H5" s="276">
        <f>$K$5+6*$M$5</f>
        <v/>
      </c>
      <c r="J5" s="277" t="inlineStr">
        <is>
          <t>Cap Start →</t>
        </is>
      </c>
      <c r="K5" s="278" t="n">
        <v>0.075</v>
      </c>
      <c r="L5" s="277" t="inlineStr">
        <is>
          <t>Step →</t>
        </is>
      </c>
      <c r="M5" s="278" t="n">
        <v>0.005</v>
      </c>
      <c r="N5" s="277" t="inlineStr">
        <is>
          <t>Occ Start →</t>
        </is>
      </c>
      <c r="O5" s="224" t="n">
        <v>0.7</v>
      </c>
      <c r="P5" s="277" t="inlineStr">
        <is>
          <t>Occ Step →</t>
        </is>
      </c>
      <c r="Q5" s="224" t="n">
        <v>0.025</v>
      </c>
    </row>
    <row r="6">
      <c r="A6" s="279">
        <f>$O$5+0*$Q$5</f>
        <v/>
      </c>
      <c r="B6" s="280">
        <f>IFERROR(((('P&amp;L'!H97*(A6/(1-Scenarios!F45)))/B5*(1-0.025)-Scenarios!F150)/Scenarios!F31)^(1/5)-1,"")</f>
        <v/>
      </c>
      <c r="C6" s="280">
        <f>IFERROR(((('P&amp;L'!H97*(A6/(1-Scenarios!F45)))/C5*(1-0.025)-Scenarios!F150)/Scenarios!F31)^(1/5)-1,"")</f>
        <v/>
      </c>
      <c r="D6" s="280">
        <f>IFERROR(((('P&amp;L'!H97*(A6/(1-Scenarios!F45)))/D5*(1-0.025)-Scenarios!F150)/Scenarios!F31)^(1/5)-1,"")</f>
        <v/>
      </c>
      <c r="E6" s="280">
        <f>IFERROR(((('P&amp;L'!H97*(A6/(1-Scenarios!F45)))/E5*(1-0.025)-Scenarios!F150)/Scenarios!F31)^(1/5)-1,"")</f>
        <v/>
      </c>
      <c r="F6" s="280">
        <f>IFERROR(((('P&amp;L'!H97*(A6/(1-Scenarios!F45)))/F5*(1-0.025)-Scenarios!F150)/Scenarios!F31)^(1/5)-1,"")</f>
        <v/>
      </c>
      <c r="G6" s="280">
        <f>IFERROR(((('P&amp;L'!H97*(A6/(1-Scenarios!F45)))/G5*(1-0.025)-Scenarios!F150)/Scenarios!F31)^(1/5)-1,"")</f>
        <v/>
      </c>
      <c r="H6" s="280">
        <f>IFERROR(((('P&amp;L'!H97*(A6/(1-Scenarios!F45)))/H5*(1-0.025)-Scenarios!F150)/Scenarios!F31)^(1/5)-1,"")</f>
        <v/>
      </c>
    </row>
    <row r="7">
      <c r="A7" s="279">
        <f>$O$5+1*$Q$5</f>
        <v/>
      </c>
      <c r="B7" s="280">
        <f>IFERROR(((('P&amp;L'!H97*(A7/(1-Scenarios!F45)))/B5*(1-0.025)-Scenarios!F150)/Scenarios!F31)^(1/5)-1,"")</f>
        <v/>
      </c>
      <c r="C7" s="280">
        <f>IFERROR(((('P&amp;L'!H97*(A7/(1-Scenarios!F45)))/C5*(1-0.025)-Scenarios!F150)/Scenarios!F31)^(1/5)-1,"")</f>
        <v/>
      </c>
      <c r="D7" s="280">
        <f>IFERROR(((('P&amp;L'!H97*(A7/(1-Scenarios!F45)))/D5*(1-0.025)-Scenarios!F150)/Scenarios!F31)^(1/5)-1,"")</f>
        <v/>
      </c>
      <c r="E7" s="280">
        <f>IFERROR(((('P&amp;L'!H97*(A7/(1-Scenarios!F45)))/E5*(1-0.025)-Scenarios!F150)/Scenarios!F31)^(1/5)-1,"")</f>
        <v/>
      </c>
      <c r="F7" s="280">
        <f>IFERROR(((('P&amp;L'!H97*(A7/(1-Scenarios!F45)))/F5*(1-0.025)-Scenarios!F150)/Scenarios!F31)^(1/5)-1,"")</f>
        <v/>
      </c>
      <c r="G7" s="280">
        <f>IFERROR(((('P&amp;L'!H97*(A7/(1-Scenarios!F45)))/G5*(1-0.025)-Scenarios!F150)/Scenarios!F31)^(1/5)-1,"")</f>
        <v/>
      </c>
      <c r="H7" s="280">
        <f>IFERROR(((('P&amp;L'!H97*(A7/(1-Scenarios!F45)))/H5*(1-0.025)-Scenarios!F150)/Scenarios!F31)^(1/5)-1,"")</f>
        <v/>
      </c>
    </row>
    <row r="8">
      <c r="A8" s="279">
        <f>$O$5+2*$Q$5</f>
        <v/>
      </c>
      <c r="B8" s="281">
        <f>IFERROR(((('P&amp;L'!H97*(A8/(1-Scenarios!F45)))/B5*(1-0.025)-Scenarios!F150)/Scenarios!F31)^(1/5)-1,"")</f>
        <v/>
      </c>
      <c r="C8" s="281">
        <f>IFERROR(((('P&amp;L'!H97*(A8/(1-Scenarios!F45)))/C5*(1-0.025)-Scenarios!F150)/Scenarios!F31)^(1/5)-1,"")</f>
        <v/>
      </c>
      <c r="D8" s="281">
        <f>IFERROR(((('P&amp;L'!H97*(A8/(1-Scenarios!F45)))/D5*(1-0.025)-Scenarios!F150)/Scenarios!F31)^(1/5)-1,"")</f>
        <v/>
      </c>
      <c r="E8" s="281">
        <f>IFERROR(((('P&amp;L'!H97*(A8/(1-Scenarios!F45)))/E5*(1-0.025)-Scenarios!F150)/Scenarios!F31)^(1/5)-1,"")</f>
        <v/>
      </c>
      <c r="F8" s="281">
        <f>IFERROR(((('P&amp;L'!H97*(A8/(1-Scenarios!F45)))/F5*(1-0.025)-Scenarios!F150)/Scenarios!F31)^(1/5)-1,"")</f>
        <v/>
      </c>
      <c r="G8" s="281">
        <f>IFERROR(((('P&amp;L'!H97*(A8/(1-Scenarios!F45)))/G5*(1-0.025)-Scenarios!F150)/Scenarios!F31)^(1/5)-1,"")</f>
        <v/>
      </c>
      <c r="H8" s="280">
        <f>IFERROR(((('P&amp;L'!H97*(A8/(1-Scenarios!F45)))/H5*(1-0.025)-Scenarios!F150)/Scenarios!F31)^(1/5)-1,"")</f>
        <v/>
      </c>
    </row>
    <row r="9">
      <c r="A9" s="279">
        <f>$O$5+3*$Q$5</f>
        <v/>
      </c>
      <c r="B9" s="281">
        <f>IFERROR(((('P&amp;L'!H97*(A9/(1-Scenarios!F45)))/B5*(1-0.025)-Scenarios!F150)/Scenarios!F31)^(1/5)-1,"")</f>
        <v/>
      </c>
      <c r="C9" s="281">
        <f>IFERROR(((('P&amp;L'!H97*(A9/(1-Scenarios!F45)))/C5*(1-0.025)-Scenarios!F150)/Scenarios!F31)^(1/5)-1,"")</f>
        <v/>
      </c>
      <c r="D9" s="281">
        <f>IFERROR(((('P&amp;L'!H97*(A9/(1-Scenarios!F45)))/D5*(1-0.025)-Scenarios!F150)/Scenarios!F31)^(1/5)-1,"")</f>
        <v/>
      </c>
      <c r="E9" s="281">
        <f>IFERROR(((('P&amp;L'!H97*(A9/(1-Scenarios!F45)))/E5*(1-0.025)-Scenarios!F150)/Scenarios!F31)^(1/5)-1,"")</f>
        <v/>
      </c>
      <c r="F9" s="281">
        <f>IFERROR(((('P&amp;L'!H97*(A9/(1-Scenarios!F45)))/F5*(1-0.025)-Scenarios!F150)/Scenarios!F31)^(1/5)-1,"")</f>
        <v/>
      </c>
      <c r="G9" s="281">
        <f>IFERROR(((('P&amp;L'!H97*(A9/(1-Scenarios!F45)))/G5*(1-0.025)-Scenarios!F150)/Scenarios!F31)^(1/5)-1,"")</f>
        <v/>
      </c>
      <c r="H9" s="280">
        <f>IFERROR(((('P&amp;L'!H97*(A9/(1-Scenarios!F45)))/H5*(1-0.025)-Scenarios!F150)/Scenarios!F31)^(1/5)-1,"")</f>
        <v/>
      </c>
    </row>
    <row r="10">
      <c r="A10" s="279">
        <f>$O$5+4*$Q$5</f>
        <v/>
      </c>
      <c r="B10" s="282">
        <f>IFERROR(((('P&amp;L'!H97*(A10/(1-Scenarios!F45)))/B5*(1-0.025)-Scenarios!F150)/Scenarios!F31)^(1/5)-1,"")</f>
        <v/>
      </c>
      <c r="C10" s="282">
        <f>IFERROR(((('P&amp;L'!H97*(A10/(1-Scenarios!F45)))/C5*(1-0.025)-Scenarios!F150)/Scenarios!F31)^(1/5)-1,"")</f>
        <v/>
      </c>
      <c r="D10" s="282">
        <f>IFERROR(((('P&amp;L'!H97*(A10/(1-Scenarios!F45)))/D5*(1-0.025)-Scenarios!F150)/Scenarios!F31)^(1/5)-1,"")</f>
        <v/>
      </c>
      <c r="E10" s="282">
        <f>IFERROR(((('P&amp;L'!H97*(A10/(1-Scenarios!F45)))/E5*(1-0.025)-Scenarios!F150)/Scenarios!F31)^(1/5)-1,"")</f>
        <v/>
      </c>
      <c r="F10" s="281">
        <f>IFERROR(((('P&amp;L'!H97*(A10/(1-Scenarios!F45)))/F5*(1-0.025)-Scenarios!F150)/Scenarios!F31)^(1/5)-1,"")</f>
        <v/>
      </c>
      <c r="G10" s="281">
        <f>IFERROR(((('P&amp;L'!H97*(A10/(1-Scenarios!F45)))/G5*(1-0.025)-Scenarios!F150)/Scenarios!F31)^(1/5)-1,"")</f>
        <v/>
      </c>
      <c r="H10" s="280">
        <f>IFERROR(((('P&amp;L'!H97*(A10/(1-Scenarios!F45)))/H5*(1-0.025)-Scenarios!F150)/Scenarios!F31)^(1/5)-1,"")</f>
        <v/>
      </c>
    </row>
    <row r="11">
      <c r="A11" s="279">
        <f>$O$5+5*$Q$5</f>
        <v/>
      </c>
      <c r="B11" s="282">
        <f>IFERROR(((('P&amp;L'!H97*(A11/(1-Scenarios!F45)))/B5*(1-0.025)-Scenarios!F150)/Scenarios!F31)^(1/5)-1,"")</f>
        <v/>
      </c>
      <c r="C11" s="282">
        <f>IFERROR(((('P&amp;L'!H97*(A11/(1-Scenarios!F45)))/C5*(1-0.025)-Scenarios!F150)/Scenarios!F31)^(1/5)-1,"")</f>
        <v/>
      </c>
      <c r="D11" s="282">
        <f>IFERROR(((('P&amp;L'!H97*(A11/(1-Scenarios!F45)))/D5*(1-0.025)-Scenarios!F150)/Scenarios!F31)^(1/5)-1,"")</f>
        <v/>
      </c>
      <c r="E11" s="282">
        <f>IFERROR(((('P&amp;L'!H97*(A11/(1-Scenarios!F45)))/E5*(1-0.025)-Scenarios!F150)/Scenarios!F31)^(1/5)-1,"")</f>
        <v/>
      </c>
      <c r="F11" s="281">
        <f>IFERROR(((('P&amp;L'!H97*(A11/(1-Scenarios!F45)))/F5*(1-0.025)-Scenarios!F150)/Scenarios!F31)^(1/5)-1,"")</f>
        <v/>
      </c>
      <c r="G11" s="281">
        <f>IFERROR(((('P&amp;L'!H97*(A11/(1-Scenarios!F45)))/G5*(1-0.025)-Scenarios!F150)/Scenarios!F31)^(1/5)-1,"")</f>
        <v/>
      </c>
      <c r="H11" s="280">
        <f>IFERROR(((('P&amp;L'!H97*(A11/(1-Scenarios!F45)))/H5*(1-0.025)-Scenarios!F150)/Scenarios!F31)^(1/5)-1,"")</f>
        <v/>
      </c>
    </row>
    <row r="12">
      <c r="A12" s="279">
        <f>$O$5+6*$Q$5</f>
        <v/>
      </c>
      <c r="B12" s="282">
        <f>IFERROR(((('P&amp;L'!H97*(A12/(1-Scenarios!F45)))/B5*(1-0.025)-Scenarios!F150)/Scenarios!F31)^(1/5)-1,"")</f>
        <v/>
      </c>
      <c r="C12" s="282">
        <f>IFERROR(((('P&amp;L'!H97*(A12/(1-Scenarios!F45)))/C5*(1-0.025)-Scenarios!F150)/Scenarios!F31)^(1/5)-1,"")</f>
        <v/>
      </c>
      <c r="D12" s="282">
        <f>IFERROR(((('P&amp;L'!H97*(A12/(1-Scenarios!F45)))/D5*(1-0.025)-Scenarios!F150)/Scenarios!F31)^(1/5)-1,"")</f>
        <v/>
      </c>
      <c r="E12" s="282">
        <f>IFERROR(((('P&amp;L'!H97*(A12/(1-Scenarios!F45)))/E5*(1-0.025)-Scenarios!F150)/Scenarios!F31)^(1/5)-1,"")</f>
        <v/>
      </c>
      <c r="F12" s="281">
        <f>IFERROR(((('P&amp;L'!H97*(A12/(1-Scenarios!F45)))/F5*(1-0.025)-Scenarios!F150)/Scenarios!F31)^(1/5)-1,"")</f>
        <v/>
      </c>
      <c r="G12" s="281">
        <f>IFERROR(((('P&amp;L'!H97*(A12/(1-Scenarios!F45)))/G5*(1-0.025)-Scenarios!F150)/Scenarios!F31)^(1/5)-1,"")</f>
        <v/>
      </c>
      <c r="H12" s="280">
        <f>IFERROR(((('P&amp;L'!H97*(A12/(1-Scenarios!F45)))/H5*(1-0.025)-Scenarios!F150)/Scenarios!F31)^(1/5)-1,"")</f>
        <v/>
      </c>
    </row>
    <row r="13">
      <c r="A13" s="279">
        <f>$O$5+7*$Q$5</f>
        <v/>
      </c>
      <c r="B13" s="282">
        <f>IFERROR(((('P&amp;L'!H97*(A13/(1-Scenarios!F45)))/B5*(1-0.025)-Scenarios!F150)/Scenarios!F31)^(1/5)-1,"")</f>
        <v/>
      </c>
      <c r="C13" s="282">
        <f>IFERROR(((('P&amp;L'!H97*(A13/(1-Scenarios!F45)))/C5*(1-0.025)-Scenarios!F150)/Scenarios!F31)^(1/5)-1,"")</f>
        <v/>
      </c>
      <c r="D13" s="282">
        <f>IFERROR(((('P&amp;L'!H97*(A13/(1-Scenarios!F45)))/D5*(1-0.025)-Scenarios!F150)/Scenarios!F31)^(1/5)-1,"")</f>
        <v/>
      </c>
      <c r="E13" s="282">
        <f>IFERROR(((('P&amp;L'!H97*(A13/(1-Scenarios!F45)))/E5*(1-0.025)-Scenarios!F150)/Scenarios!F31)^(1/5)-1,"")</f>
        <v/>
      </c>
      <c r="F13" s="281">
        <f>IFERROR(((('P&amp;L'!H97*(A13/(1-Scenarios!F45)))/F5*(1-0.025)-Scenarios!F150)/Scenarios!F31)^(1/5)-1,"")</f>
        <v/>
      </c>
      <c r="G13" s="281">
        <f>IFERROR(((('P&amp;L'!H97*(A13/(1-Scenarios!F45)))/G5*(1-0.025)-Scenarios!F150)/Scenarios!F31)^(1/5)-1,"")</f>
        <v/>
      </c>
      <c r="H13" s="280">
        <f>IFERROR(((('P&amp;L'!H97*(A13/(1-Scenarios!F45)))/H5*(1-0.025)-Scenarios!F150)/Scenarios!F31)^(1/5)-1,"")</f>
        <v/>
      </c>
    </row>
    <row r="15" ht="24" customHeight="1" s="923">
      <c r="A15" s="922" t="inlineStr">
        <is>
          <t>TABLE 2 — RATE GROWTH vs EXPENSE GROWTH → NOI MARGIN (Year 5)</t>
        </is>
      </c>
    </row>
    <row r="16">
      <c r="A16" s="283" t="inlineStr">
        <is>
          <t>Rate Gr. \ Exp Gr. →</t>
        </is>
      </c>
      <c r="B16" s="279">
        <f>$K$16+0*$M$16</f>
        <v/>
      </c>
      <c r="C16" s="279">
        <f>$K$16+1*$M$16</f>
        <v/>
      </c>
      <c r="D16" s="279">
        <f>$K$16+2*$M$16</f>
        <v/>
      </c>
      <c r="E16" s="279">
        <f>$K$16+3*$M$16</f>
        <v/>
      </c>
      <c r="F16" s="279">
        <f>$K$16+4*$M$16</f>
        <v/>
      </c>
      <c r="G16" s="279">
        <f>$K$16+5*$M$16</f>
        <v/>
      </c>
      <c r="H16" s="279">
        <f>$K$16+6*$M$16</f>
        <v/>
      </c>
      <c r="J16" s="277" t="inlineStr">
        <is>
          <t>Exp Gr Start →</t>
        </is>
      </c>
      <c r="K16" s="224" t="n">
        <v>0.03</v>
      </c>
      <c r="L16" s="277" t="inlineStr">
        <is>
          <t>Step →</t>
        </is>
      </c>
      <c r="M16" s="224" t="n">
        <v>0.005</v>
      </c>
      <c r="N16" s="277" t="inlineStr">
        <is>
          <t>Rate Gr Start →</t>
        </is>
      </c>
      <c r="O16" s="224" t="n">
        <v>0.02</v>
      </c>
      <c r="P16" s="277" t="inlineStr">
        <is>
          <t>Step →</t>
        </is>
      </c>
      <c r="Q16" s="224" t="n">
        <v>0.005</v>
      </c>
    </row>
    <row r="17">
      <c r="A17" s="279">
        <f>$O$16+0*$Q$16</f>
        <v/>
      </c>
      <c r="B17" s="281">
        <f>IFERROR(('P&amp;L'!H50*(1+$A17)^5-'P&amp;L'!H95*(1+B16)^5)/('P&amp;L'!H50*(1+$A17)^5),"")</f>
        <v/>
      </c>
      <c r="C17" s="281">
        <f>IFERROR(('P&amp;L'!H50*(1+$A17)^5-'P&amp;L'!H95*(1+C16)^5)/('P&amp;L'!H50*(1+$A17)^5),"")</f>
        <v/>
      </c>
      <c r="D17" s="281">
        <f>IFERROR(('P&amp;L'!H50*(1+$A17)^5-'P&amp;L'!H95*(1+D16)^5)/('P&amp;L'!H50*(1+$A17)^5),"")</f>
        <v/>
      </c>
      <c r="E17" s="281">
        <f>IFERROR(('P&amp;L'!H50*(1+$A17)^5-'P&amp;L'!H95*(1+E16)^5)/('P&amp;L'!H50*(1+$A17)^5),"")</f>
        <v/>
      </c>
      <c r="F17" s="281">
        <f>IFERROR(('P&amp;L'!H50*(1+$A17)^5-'P&amp;L'!H95*(1+F16)^5)/('P&amp;L'!H50*(1+$A17)^5),"")</f>
        <v/>
      </c>
      <c r="G17" s="280">
        <f>IFERROR(('P&amp;L'!H50*(1+$A17)^5-'P&amp;L'!H95*(1+G16)^5)/('P&amp;L'!H50*(1+$A17)^5),"")</f>
        <v/>
      </c>
      <c r="H17" s="280">
        <f>IFERROR(('P&amp;L'!H50*(1+$A17)^5-'P&amp;L'!H95*(1+H16)^5)/('P&amp;L'!H50*(1+$A17)^5),"")</f>
        <v/>
      </c>
    </row>
    <row r="18">
      <c r="A18" s="279">
        <f>$O$16+1*$Q$16</f>
        <v/>
      </c>
      <c r="B18" s="281">
        <f>IFERROR(('P&amp;L'!H50*(1+$A18)^5-'P&amp;L'!H95*(1+B16)^5)/('P&amp;L'!H50*(1+$A18)^5),"")</f>
        <v/>
      </c>
      <c r="C18" s="281">
        <f>IFERROR(('P&amp;L'!H50*(1+$A18)^5-'P&amp;L'!H95*(1+C16)^5)/('P&amp;L'!H50*(1+$A18)^5),"")</f>
        <v/>
      </c>
      <c r="D18" s="281">
        <f>IFERROR(('P&amp;L'!H50*(1+$A18)^5-'P&amp;L'!H95*(1+D16)^5)/('P&amp;L'!H50*(1+$A18)^5),"")</f>
        <v/>
      </c>
      <c r="E18" s="281">
        <f>IFERROR(('P&amp;L'!H50*(1+$A18)^5-'P&amp;L'!H95*(1+E16)^5)/('P&amp;L'!H50*(1+$A18)^5),"")</f>
        <v/>
      </c>
      <c r="F18" s="281">
        <f>IFERROR(('P&amp;L'!H50*(1+$A18)^5-'P&amp;L'!H95*(1+F16)^5)/('P&amp;L'!H50*(1+$A18)^5),"")</f>
        <v/>
      </c>
      <c r="G18" s="281">
        <f>IFERROR(('P&amp;L'!H50*(1+$A18)^5-'P&amp;L'!H95*(1+G16)^5)/('P&amp;L'!H50*(1+$A18)^5),"")</f>
        <v/>
      </c>
      <c r="H18" s="281">
        <f>IFERROR(('P&amp;L'!H50*(1+$A18)^5-'P&amp;L'!H95*(1+H16)^5)/('P&amp;L'!H50*(1+$A18)^5),"")</f>
        <v/>
      </c>
    </row>
    <row r="19">
      <c r="A19" s="279">
        <f>$O$16+2*$Q$16</f>
        <v/>
      </c>
      <c r="B19" s="282">
        <f>IFERROR(('P&amp;L'!H50*(1+$A19)^5-'P&amp;L'!H95*(1+B16)^5)/('P&amp;L'!H50*(1+$A19)^5),"")</f>
        <v/>
      </c>
      <c r="C19" s="282">
        <f>IFERROR(('P&amp;L'!H50*(1+$A19)^5-'P&amp;L'!H95*(1+C16)^5)/('P&amp;L'!H50*(1+$A19)^5),"")</f>
        <v/>
      </c>
      <c r="D19" s="282">
        <f>IFERROR(('P&amp;L'!H50*(1+$A19)^5-'P&amp;L'!H95*(1+D16)^5)/('P&amp;L'!H50*(1+$A19)^5),"")</f>
        <v/>
      </c>
      <c r="E19" s="281">
        <f>IFERROR(('P&amp;L'!H50*(1+$A19)^5-'P&amp;L'!H95*(1+E16)^5)/('P&amp;L'!H50*(1+$A19)^5),"")</f>
        <v/>
      </c>
      <c r="F19" s="281">
        <f>IFERROR(('P&amp;L'!H50*(1+$A19)^5-'P&amp;L'!H95*(1+F16)^5)/('P&amp;L'!H50*(1+$A19)^5),"")</f>
        <v/>
      </c>
      <c r="G19" s="281">
        <f>IFERROR(('P&amp;L'!H50*(1+$A19)^5-'P&amp;L'!H95*(1+G16)^5)/('P&amp;L'!H50*(1+$A19)^5),"")</f>
        <v/>
      </c>
      <c r="H19" s="281">
        <f>IFERROR(('P&amp;L'!H50*(1+$A19)^5-'P&amp;L'!H95*(1+H16)^5)/('P&amp;L'!H50*(1+$A19)^5),"")</f>
        <v/>
      </c>
    </row>
    <row r="20">
      <c r="A20" s="279">
        <f>$O$16+3*$Q$16</f>
        <v/>
      </c>
      <c r="B20" s="282">
        <f>IFERROR(('P&amp;L'!H50*(1+$A20)^5-'P&amp;L'!H95*(1+B16)^5)/('P&amp;L'!H50*(1+$A20)^5),"")</f>
        <v/>
      </c>
      <c r="C20" s="282">
        <f>IFERROR(('P&amp;L'!H50*(1+$A20)^5-'P&amp;L'!H95*(1+C16)^5)/('P&amp;L'!H50*(1+$A20)^5),"")</f>
        <v/>
      </c>
      <c r="D20" s="282">
        <f>IFERROR(('P&amp;L'!H50*(1+$A20)^5-'P&amp;L'!H95*(1+D16)^5)/('P&amp;L'!H50*(1+$A20)^5),"")</f>
        <v/>
      </c>
      <c r="E20" s="281">
        <f>IFERROR(('P&amp;L'!H50*(1+$A20)^5-'P&amp;L'!H95*(1+E16)^5)/('P&amp;L'!H50*(1+$A20)^5),"")</f>
        <v/>
      </c>
      <c r="F20" s="281">
        <f>IFERROR(('P&amp;L'!H50*(1+$A20)^5-'P&amp;L'!H95*(1+F16)^5)/('P&amp;L'!H50*(1+$A20)^5),"")</f>
        <v/>
      </c>
      <c r="G20" s="281">
        <f>IFERROR(('P&amp;L'!H50*(1+$A20)^5-'P&amp;L'!H95*(1+G16)^5)/('P&amp;L'!H50*(1+$A20)^5),"")</f>
        <v/>
      </c>
      <c r="H20" s="281">
        <f>IFERROR(('P&amp;L'!H50*(1+$A20)^5-'P&amp;L'!H95*(1+H16)^5)/('P&amp;L'!H50*(1+$A20)^5),"")</f>
        <v/>
      </c>
    </row>
    <row r="21">
      <c r="A21" s="279">
        <f>$O$16+4*$Q$16</f>
        <v/>
      </c>
      <c r="B21" s="282">
        <f>IFERROR(('P&amp;L'!H50*(1+$A21)^5-'P&amp;L'!H95*(1+B16)^5)/('P&amp;L'!H50*(1+$A21)^5),"")</f>
        <v/>
      </c>
      <c r="C21" s="282">
        <f>IFERROR(('P&amp;L'!H50*(1+$A21)^5-'P&amp;L'!H95*(1+C16)^5)/('P&amp;L'!H50*(1+$A21)^5),"")</f>
        <v/>
      </c>
      <c r="D21" s="282">
        <f>IFERROR(('P&amp;L'!H50*(1+$A21)^5-'P&amp;L'!H95*(1+D16)^5)/('P&amp;L'!H50*(1+$A21)^5),"")</f>
        <v/>
      </c>
      <c r="E21" s="281">
        <f>IFERROR(('P&amp;L'!H50*(1+$A21)^5-'P&amp;L'!H95*(1+E16)^5)/('P&amp;L'!H50*(1+$A21)^5),"")</f>
        <v/>
      </c>
      <c r="F21" s="281">
        <f>IFERROR(('P&amp;L'!H50*(1+$A21)^5-'P&amp;L'!H95*(1+F16)^5)/('P&amp;L'!H50*(1+$A21)^5),"")</f>
        <v/>
      </c>
      <c r="G21" s="281">
        <f>IFERROR(('P&amp;L'!H50*(1+$A21)^5-'P&amp;L'!H95*(1+G16)^5)/('P&amp;L'!H50*(1+$A21)^5),"")</f>
        <v/>
      </c>
      <c r="H21" s="281">
        <f>IFERROR(('P&amp;L'!H50*(1+$A21)^5-'P&amp;L'!H95*(1+H16)^5)/('P&amp;L'!H50*(1+$A21)^5),"")</f>
        <v/>
      </c>
    </row>
    <row r="22">
      <c r="A22" s="279">
        <f>$O$16+5*$Q$16</f>
        <v/>
      </c>
      <c r="B22" s="282">
        <f>IFERROR(('P&amp;L'!H50*(1+$A22)^5-'P&amp;L'!H95*(1+B16)^5)/('P&amp;L'!H50*(1+$A22)^5),"")</f>
        <v/>
      </c>
      <c r="C22" s="282">
        <f>IFERROR(('P&amp;L'!H50*(1+$A22)^5-'P&amp;L'!H95*(1+C16)^5)/('P&amp;L'!H50*(1+$A22)^5),"")</f>
        <v/>
      </c>
      <c r="D22" s="282">
        <f>IFERROR(('P&amp;L'!H50*(1+$A22)^5-'P&amp;L'!H95*(1+D16)^5)/('P&amp;L'!H50*(1+$A22)^5),"")</f>
        <v/>
      </c>
      <c r="E22" s="281">
        <f>IFERROR(('P&amp;L'!H50*(1+$A22)^5-'P&amp;L'!H95*(1+E16)^5)/('P&amp;L'!H50*(1+$A22)^5),"")</f>
        <v/>
      </c>
      <c r="F22" s="281">
        <f>IFERROR(('P&amp;L'!H50*(1+$A22)^5-'P&amp;L'!H95*(1+F16)^5)/('P&amp;L'!H50*(1+$A22)^5),"")</f>
        <v/>
      </c>
      <c r="G22" s="281">
        <f>IFERROR(('P&amp;L'!H50*(1+$A22)^5-'P&amp;L'!H95*(1+G16)^5)/('P&amp;L'!H50*(1+$A22)^5),"")</f>
        <v/>
      </c>
      <c r="H22" s="281">
        <f>IFERROR(('P&amp;L'!H50*(1+$A22)^5-'P&amp;L'!H95*(1+H16)^5)/('P&amp;L'!H50*(1+$A22)^5),"")</f>
        <v/>
      </c>
    </row>
    <row r="23">
      <c r="A23" s="279">
        <f>$O$16+6*$Q$16</f>
        <v/>
      </c>
      <c r="B23" s="282">
        <f>IFERROR(('P&amp;L'!H50*(1+$A23)^5-'P&amp;L'!H95*(1+B16)^5)/('P&amp;L'!H50*(1+$A23)^5),"")</f>
        <v/>
      </c>
      <c r="C23" s="282">
        <f>IFERROR(('P&amp;L'!H50*(1+$A23)^5-'P&amp;L'!H95*(1+C16)^5)/('P&amp;L'!H50*(1+$A23)^5),"")</f>
        <v/>
      </c>
      <c r="D23" s="282">
        <f>IFERROR(('P&amp;L'!H50*(1+$A23)^5-'P&amp;L'!H95*(1+D16)^5)/('P&amp;L'!H50*(1+$A23)^5),"")</f>
        <v/>
      </c>
      <c r="E23" s="281">
        <f>IFERROR(('P&amp;L'!H50*(1+$A23)^5-'P&amp;L'!H95*(1+E16)^5)/('P&amp;L'!H50*(1+$A23)^5),"")</f>
        <v/>
      </c>
      <c r="F23" s="281">
        <f>IFERROR(('P&amp;L'!H50*(1+$A23)^5-'P&amp;L'!H95*(1+F16)^5)/('P&amp;L'!H50*(1+$A23)^5),"")</f>
        <v/>
      </c>
      <c r="G23" s="281">
        <f>IFERROR(('P&amp;L'!H50*(1+$A23)^5-'P&amp;L'!H95*(1+G16)^5)/('P&amp;L'!H50*(1+$A23)^5),"")</f>
        <v/>
      </c>
      <c r="H23" s="281">
        <f>IFERROR(('P&amp;L'!H50*(1+$A23)^5-'P&amp;L'!H95*(1+H16)^5)/('P&amp;L'!H50*(1+$A23)^5),"")</f>
        <v/>
      </c>
    </row>
    <row r="25" ht="24" customHeight="1" s="923">
      <c r="A25" s="954" t="inlineStr">
        <is>
          <t>TABLE 3 — PURCHASE PRICE MULTIPLE vs NOI MULTIPLE → GOING-IN CAP RATE</t>
        </is>
      </c>
    </row>
    <row r="26">
      <c r="A26" s="275" t="inlineStr">
        <is>
          <t>PP Mult \ NOI Mult →</t>
        </is>
      </c>
      <c r="B26" s="284">
        <f>$K$26+0*$M$26</f>
        <v/>
      </c>
      <c r="C26" s="284">
        <f>$K$26+1*$M$26</f>
        <v/>
      </c>
      <c r="D26" s="284">
        <f>$K$26+2*$M$26</f>
        <v/>
      </c>
      <c r="E26" s="284">
        <f>$K$26+3*$M$26</f>
        <v/>
      </c>
      <c r="F26" s="284">
        <f>$K$26+4*$M$26</f>
        <v/>
      </c>
      <c r="G26" s="284">
        <f>$K$26+5*$M$26</f>
        <v/>
      </c>
      <c r="H26" s="284">
        <f>$K$26+6*$M$26</f>
        <v/>
      </c>
      <c r="I26" s="284">
        <f>$K$26+7*$M$26</f>
        <v/>
      </c>
      <c r="J26" s="277" t="inlineStr">
        <is>
          <t>NOI Mult Start →</t>
        </is>
      </c>
      <c r="K26" s="285" t="n">
        <v>0.8</v>
      </c>
      <c r="L26" s="277" t="inlineStr">
        <is>
          <t>Step →</t>
        </is>
      </c>
      <c r="M26" s="285" t="n">
        <v>0.05</v>
      </c>
      <c r="N26" s="277" t="inlineStr">
        <is>
          <t>PP Mult Start →</t>
        </is>
      </c>
      <c r="O26" s="285" t="n">
        <v>0.75</v>
      </c>
      <c r="P26" s="277" t="inlineStr">
        <is>
          <t>Step →</t>
        </is>
      </c>
      <c r="Q26" s="285" t="n">
        <v>0.05</v>
      </c>
    </row>
    <row r="27">
      <c r="A27" s="284">
        <f>$O$26+0*$Q$26</f>
        <v/>
      </c>
      <c r="B27" s="280">
        <f>IFERROR('P&amp;L'!D97*B26/(Scenarios!F7*$A27),"")</f>
        <v/>
      </c>
      <c r="C27" s="280">
        <f>IFERROR('P&amp;L'!D97*C26/(Scenarios!F7*$A27),"")</f>
        <v/>
      </c>
      <c r="D27" s="280">
        <f>IFERROR('P&amp;L'!D97*D26/(Scenarios!F7*$A27),"")</f>
        <v/>
      </c>
      <c r="E27" s="280">
        <f>IFERROR('P&amp;L'!D97*E26/(Scenarios!F7*$A27),"")</f>
        <v/>
      </c>
      <c r="F27" s="280">
        <f>IFERROR('P&amp;L'!D97*F26/(Scenarios!F7*$A27),"")</f>
        <v/>
      </c>
      <c r="G27" s="280">
        <f>IFERROR('P&amp;L'!D97*G26/(Scenarios!F7*$A27),"")</f>
        <v/>
      </c>
      <c r="H27" s="280">
        <f>IFERROR('P&amp;L'!D97*H26/(Scenarios!F7*$A27),"")</f>
        <v/>
      </c>
      <c r="I27" s="280">
        <f>IFERROR('P&amp;L'!D97*I26/(Scenarios!F7*$A27),"")</f>
        <v/>
      </c>
    </row>
    <row r="28">
      <c r="A28" s="284">
        <f>$O$26+1*$Q$26</f>
        <v/>
      </c>
      <c r="B28" s="280">
        <f>IFERROR('P&amp;L'!D97*B26/(Scenarios!F7*$A28),"")</f>
        <v/>
      </c>
      <c r="C28" s="280">
        <f>IFERROR('P&amp;L'!D97*C26/(Scenarios!F7*$A28),"")</f>
        <v/>
      </c>
      <c r="D28" s="280">
        <f>IFERROR('P&amp;L'!D97*D26/(Scenarios!F7*$A28),"")</f>
        <v/>
      </c>
      <c r="E28" s="280">
        <f>IFERROR('P&amp;L'!D97*E26/(Scenarios!F7*$A28),"")</f>
        <v/>
      </c>
      <c r="F28" s="280">
        <f>IFERROR('P&amp;L'!D97*F26/(Scenarios!F7*$A28),"")</f>
        <v/>
      </c>
      <c r="G28" s="280">
        <f>IFERROR('P&amp;L'!D97*G26/(Scenarios!F7*$A28),"")</f>
        <v/>
      </c>
      <c r="H28" s="280">
        <f>IFERROR('P&amp;L'!D97*H26/(Scenarios!F7*$A28),"")</f>
        <v/>
      </c>
      <c r="I28" s="280">
        <f>IFERROR('P&amp;L'!D97*I26/(Scenarios!F7*$A28),"")</f>
        <v/>
      </c>
    </row>
    <row r="29">
      <c r="A29" s="284">
        <f>$O$26+2*$Q$26</f>
        <v/>
      </c>
      <c r="B29" s="280">
        <f>IFERROR('P&amp;L'!D97*B26/(Scenarios!F7*$A29),"")</f>
        <v/>
      </c>
      <c r="C29" s="281">
        <f>IFERROR('P&amp;L'!D97*C26/(Scenarios!F7*$A29),"")</f>
        <v/>
      </c>
      <c r="D29" s="281">
        <f>IFERROR('P&amp;L'!D97*D26/(Scenarios!F7*$A29),"")</f>
        <v/>
      </c>
      <c r="E29" s="281">
        <f>IFERROR('P&amp;L'!D97*E26/(Scenarios!F7*$A29),"")</f>
        <v/>
      </c>
      <c r="F29" s="281">
        <f>IFERROR('P&amp;L'!D97*F26/(Scenarios!F7*$A29),"")</f>
        <v/>
      </c>
      <c r="G29" s="281">
        <f>IFERROR('P&amp;L'!D97*G26/(Scenarios!F7*$A29),"")</f>
        <v/>
      </c>
      <c r="H29" s="281">
        <f>IFERROR('P&amp;L'!D97*H26/(Scenarios!F7*$A29),"")</f>
        <v/>
      </c>
      <c r="I29" s="281">
        <f>IFERROR('P&amp;L'!D97*I26/(Scenarios!F7*$A29),"")</f>
        <v/>
      </c>
    </row>
    <row r="30">
      <c r="A30" s="284">
        <f>$O$26+3*$Q$26</f>
        <v/>
      </c>
      <c r="B30" s="280">
        <f>IFERROR('P&amp;L'!D97*B26/(Scenarios!F7*$A30),"")</f>
        <v/>
      </c>
      <c r="C30" s="281">
        <f>IFERROR('P&amp;L'!D97*C26/(Scenarios!F7*$A30),"")</f>
        <v/>
      </c>
      <c r="D30" s="281">
        <f>IFERROR('P&amp;L'!D97*D26/(Scenarios!F7*$A30),"")</f>
        <v/>
      </c>
      <c r="E30" s="281">
        <f>IFERROR('P&amp;L'!D97*E26/(Scenarios!F7*$A30),"")</f>
        <v/>
      </c>
      <c r="F30" s="281">
        <f>IFERROR('P&amp;L'!D97*F26/(Scenarios!F7*$A30),"")</f>
        <v/>
      </c>
      <c r="G30" s="281">
        <f>IFERROR('P&amp;L'!D97*G26/(Scenarios!F7*$A30),"")</f>
        <v/>
      </c>
      <c r="H30" s="281">
        <f>IFERROR('P&amp;L'!D97*H26/(Scenarios!F7*$A30),"")</f>
        <v/>
      </c>
      <c r="I30" s="281">
        <f>IFERROR('P&amp;L'!D97*I26/(Scenarios!F7*$A30),"")</f>
        <v/>
      </c>
    </row>
    <row r="31">
      <c r="A31" s="284">
        <f>$O$26+4*$Q$26</f>
        <v/>
      </c>
      <c r="B31" s="280">
        <f>IFERROR('P&amp;L'!D97*B26/(Scenarios!F7*$A31),"")</f>
        <v/>
      </c>
      <c r="C31" s="281">
        <f>IFERROR('P&amp;L'!D97*C26/(Scenarios!F7*$A31),"")</f>
        <v/>
      </c>
      <c r="D31" s="281">
        <f>IFERROR('P&amp;L'!D97*D26/(Scenarios!F7*$A31),"")</f>
        <v/>
      </c>
      <c r="E31" s="281">
        <f>IFERROR('P&amp;L'!D97*E26/(Scenarios!F7*$A31),"")</f>
        <v/>
      </c>
      <c r="F31" s="282">
        <f>IFERROR('P&amp;L'!D97*F26/(Scenarios!F7*$A31),"")</f>
        <v/>
      </c>
      <c r="G31" s="282">
        <f>IFERROR('P&amp;L'!D97*G26/(Scenarios!F7*$A31),"")</f>
        <v/>
      </c>
      <c r="H31" s="282">
        <f>IFERROR('P&amp;L'!D97*H26/(Scenarios!F7*$A31),"")</f>
        <v/>
      </c>
      <c r="I31" s="282">
        <f>IFERROR('P&amp;L'!D97*I26/(Scenarios!F7*$A31),"")</f>
        <v/>
      </c>
    </row>
    <row r="32">
      <c r="A32" s="284">
        <f>$O$26+5*$Q$26</f>
        <v/>
      </c>
      <c r="B32" s="280">
        <f>IFERROR('P&amp;L'!D97*B26/(Scenarios!F7*$A32),"")</f>
        <v/>
      </c>
      <c r="C32" s="281">
        <f>IFERROR('P&amp;L'!D97*C26/(Scenarios!F7*$A32),"")</f>
        <v/>
      </c>
      <c r="D32" s="281">
        <f>IFERROR('P&amp;L'!D97*D26/(Scenarios!F7*$A32),"")</f>
        <v/>
      </c>
      <c r="E32" s="281">
        <f>IFERROR('P&amp;L'!D97*E26/(Scenarios!F7*$A32),"")</f>
        <v/>
      </c>
      <c r="F32" s="282">
        <f>IFERROR('P&amp;L'!D97*F26/(Scenarios!F7*$A32),"")</f>
        <v/>
      </c>
      <c r="G32" s="282">
        <f>IFERROR('P&amp;L'!D97*G26/(Scenarios!F7*$A32),"")</f>
        <v/>
      </c>
      <c r="H32" s="282">
        <f>IFERROR('P&amp;L'!D97*H26/(Scenarios!F7*$A32),"")</f>
        <v/>
      </c>
      <c r="I32" s="282">
        <f>IFERROR('P&amp;L'!D97*I26/(Scenarios!F7*$A32),"")</f>
        <v/>
      </c>
    </row>
    <row r="33">
      <c r="A33" s="284">
        <f>$O$26+6*$Q$26</f>
        <v/>
      </c>
      <c r="B33" s="280">
        <f>IFERROR('P&amp;L'!D97*B26/(Scenarios!F7*$A33),"")</f>
        <v/>
      </c>
      <c r="C33" s="281">
        <f>IFERROR('P&amp;L'!D97*C26/(Scenarios!F7*$A33),"")</f>
        <v/>
      </c>
      <c r="D33" s="281">
        <f>IFERROR('P&amp;L'!D97*D26/(Scenarios!F7*$A33),"")</f>
        <v/>
      </c>
      <c r="E33" s="281">
        <f>IFERROR('P&amp;L'!D97*E26/(Scenarios!F7*$A33),"")</f>
        <v/>
      </c>
      <c r="F33" s="282">
        <f>IFERROR('P&amp;L'!D97*F26/(Scenarios!F7*$A33),"")</f>
        <v/>
      </c>
      <c r="G33" s="282">
        <f>IFERROR('P&amp;L'!D97*G26/(Scenarios!F7*$A33),"")</f>
        <v/>
      </c>
      <c r="H33" s="282">
        <f>IFERROR('P&amp;L'!D97*H26/(Scenarios!F7*$A33),"")</f>
        <v/>
      </c>
      <c r="I33" s="282">
        <f>IFERROR('P&amp;L'!D97*I26/(Scenarios!F7*$A33),"")</f>
        <v/>
      </c>
    </row>
    <row r="34">
      <c r="A34" s="284">
        <f>$O$26+7*$Q$26</f>
        <v/>
      </c>
      <c r="B34" s="280">
        <f>IFERROR('P&amp;L'!D97*B26/(Scenarios!F7*$A34),"")</f>
        <v/>
      </c>
      <c r="C34" s="281">
        <f>IFERROR('P&amp;L'!D97*C26/(Scenarios!F7*$A34),"")</f>
        <v/>
      </c>
      <c r="D34" s="281">
        <f>IFERROR('P&amp;L'!D97*D26/(Scenarios!F7*$A34),"")</f>
        <v/>
      </c>
      <c r="E34" s="281">
        <f>IFERROR('P&amp;L'!D97*E26/(Scenarios!F7*$A34),"")</f>
        <v/>
      </c>
      <c r="F34" s="282">
        <f>IFERROR('P&amp;L'!D97*F26/(Scenarios!F7*$A34),"")</f>
        <v/>
      </c>
      <c r="G34" s="282">
        <f>IFERROR('P&amp;L'!D97*G26/(Scenarios!F7*$A34),"")</f>
        <v/>
      </c>
      <c r="H34" s="282">
        <f>IFERROR('P&amp;L'!D97*H26/(Scenarios!F7*$A34),"")</f>
        <v/>
      </c>
      <c r="I34" s="282">
        <f>IFERROR('P&amp;L'!D97*I26/(Scenarios!F7*$A34),"")</f>
        <v/>
      </c>
    </row>
  </sheetData>
  <mergeCells count="5">
    <mergeCell ref="A1:J1"/>
    <mergeCell ref="A15:J15"/>
    <mergeCell ref="A4:J4"/>
    <mergeCell ref="A2:J2"/>
    <mergeCell ref="A25:J25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30" zoomScaleNormal="100" workbookViewId="0">
      <selection activeCell="E17" sqref="E17"/>
    </sheetView>
  </sheetViews>
  <sheetFormatPr baseColWidth="10" defaultColWidth="8.6640625" defaultRowHeight="15"/>
  <cols>
    <col width="7" customWidth="1" style="923" min="1" max="1"/>
    <col width="10" customWidth="1" style="923" min="2" max="2"/>
    <col width="14" customWidth="1" style="923" min="3" max="3"/>
    <col width="16" customWidth="1" style="923" min="4" max="8"/>
    <col width="22" customWidth="1" style="923" min="9" max="9"/>
  </cols>
  <sheetData>
    <row r="1" ht="27.75" customHeight="1" s="923">
      <c r="A1" s="1008" t="inlineStr">
        <is>
          <t>XIRR ANALYSIS — QUARTERLY DISTRIBUTION SCHEDULE</t>
        </is>
      </c>
      <c r="B1" s="926" t="n"/>
      <c r="C1" s="926" t="n"/>
      <c r="D1" s="926" t="n"/>
      <c r="E1" s="926" t="n"/>
      <c r="F1" s="926" t="n"/>
      <c r="G1" s="926" t="n"/>
      <c r="H1" s="926" t="n"/>
      <c r="I1" s="927" t="n"/>
    </row>
    <row r="2" ht="6" customHeight="1" s="923"/>
    <row r="3" ht="19.5" customHeight="1" s="923">
      <c r="A3" s="1010" t="inlineStr">
        <is>
          <t xml:space="preserve">  INPUTS</t>
        </is>
      </c>
      <c r="B3" s="926" t="n"/>
      <c r="C3" s="926" t="n"/>
      <c r="D3" s="926" t="n"/>
      <c r="E3" s="926" t="n"/>
      <c r="F3" s="926" t="n"/>
      <c r="G3" s="926" t="n"/>
      <c r="H3" s="926" t="n"/>
      <c r="I3" s="927" t="n"/>
    </row>
    <row r="4" ht="16.5" customHeight="1" s="923">
      <c r="A4" s="991" t="inlineStr">
        <is>
          <t>Close / Funding Date</t>
        </is>
      </c>
      <c r="B4" s="328" t="n">
        <v>46117</v>
      </c>
      <c r="C4" s="1009" t="inlineStr">
        <is>
          <t>← Today's date. Change to actual close date.</t>
        </is>
      </c>
      <c r="D4" s="926" t="n"/>
      <c r="E4" s="927" t="n"/>
      <c r="F4" s="991" t="inlineStr">
        <is>
          <t>LP Class</t>
        </is>
      </c>
      <c r="G4" s="288">
        <f>'LP Return Illustration'!$B$3</f>
        <v/>
      </c>
      <c r="H4" s="1009" t="inlineStr">
        <is>
          <t>← Change in LP Return sheet</t>
        </is>
      </c>
      <c r="I4" s="927" t="n"/>
    </row>
    <row r="5" ht="16.5" customHeight="1" s="923">
      <c r="A5" s="991" t="inlineStr">
        <is>
          <t>Investment Amount</t>
        </is>
      </c>
      <c r="B5" s="286">
        <f>'LP Return Illustration'!$B$2</f>
        <v/>
      </c>
      <c r="C5" s="1009" t="inlineStr">
        <is>
          <t>← Change in LP Return sheet</t>
        </is>
      </c>
      <c r="D5" s="926" t="n"/>
      <c r="E5" s="927" t="n"/>
      <c r="F5" s="991" t="inlineStr">
        <is>
          <t>Hold Period</t>
        </is>
      </c>
      <c r="G5" s="329">
        <f>Waterfall!$B$5</f>
        <v/>
      </c>
      <c r="H5" s="991" t="inlineStr">
        <is>
          <t>Yrs  |  Pref Rate:</t>
        </is>
      </c>
      <c r="I5" s="290">
        <f>'LP Return Illustration'!$G$3</f>
        <v/>
      </c>
    </row>
    <row r="6" ht="6" customHeight="1" s="923"/>
    <row r="7" ht="15.75" customHeight="1" s="923">
      <c r="A7" s="330" t="inlineStr">
        <is>
          <t>Legend:</t>
        </is>
      </c>
      <c r="B7" s="331" t="inlineStr">
        <is>
          <t>Blue = editable</t>
        </is>
      </c>
      <c r="C7" s="1012" t="inlineStr">
        <is>
          <t>Yellow = model ref (read-only)</t>
        </is>
      </c>
      <c r="D7" s="926" t="n"/>
      <c r="E7" s="927" t="n"/>
      <c r="F7" s="1009" t="inlineStr">
        <is>
          <t>Quarterly Dist = Annual ÷ 4 by default. Override any cell in col E.</t>
        </is>
      </c>
      <c r="G7" s="926" t="n"/>
      <c r="H7" s="926" t="n"/>
      <c r="I7" s="927" t="n"/>
    </row>
    <row r="8" ht="30" customHeight="1" s="923">
      <c r="A8" s="332" t="inlineStr">
        <is>
          <t>Year</t>
        </is>
      </c>
      <c r="B8" s="332" t="inlineStr">
        <is>
          <t>Quarter</t>
        </is>
      </c>
      <c r="C8" s="332" t="inlineStr">
        <is>
          <t>XIRR Date</t>
        </is>
      </c>
      <c r="D8" s="332" t="inlineStr">
        <is>
          <t>Annual Dist
(from model)</t>
        </is>
      </c>
      <c r="E8" s="332" t="inlineStr">
        <is>
          <t>Quarterly Dist
(editable ↓)</t>
        </is>
      </c>
      <c r="F8" s="332" t="inlineStr">
        <is>
          <t>Exit / Refi
Proceeds</t>
        </is>
      </c>
      <c r="G8" s="332" t="inlineStr">
        <is>
          <t>Total CF
(XIRR input)</t>
        </is>
      </c>
      <c r="H8" s="332" t="inlineStr">
        <is>
          <t>Cumulative
Cash Received</t>
        </is>
      </c>
      <c r="I8" s="332" t="inlineStr">
        <is>
          <t>Notes</t>
        </is>
      </c>
    </row>
    <row r="9" ht="16.5" customHeight="1" s="923">
      <c r="A9" s="333" t="inlineStr">
        <is>
          <t>0</t>
        </is>
      </c>
      <c r="B9" s="333" t="inlineStr">
        <is>
          <t>Invest</t>
        </is>
      </c>
      <c r="C9" s="334">
        <f>$B$4</f>
        <v/>
      </c>
      <c r="D9" s="991" t="n"/>
      <c r="E9" s="991" t="n"/>
      <c r="F9" s="991" t="n"/>
      <c r="G9" s="335">
        <f>-'LP Return Illustration'!$B$2</f>
        <v/>
      </c>
      <c r="H9" s="247">
        <f>G9</f>
        <v/>
      </c>
      <c r="I9" s="986" t="inlineStr">
        <is>
          <t>Initial member contribution</t>
        </is>
      </c>
    </row>
    <row r="10" ht="16.5" customHeight="1" s="923">
      <c r="A10" s="336" t="n">
        <v>1</v>
      </c>
      <c r="B10" s="337" t="inlineStr">
        <is>
          <t>Q1</t>
        </is>
      </c>
      <c r="C10" s="338">
        <f>EDATE($B$4,3)</f>
        <v/>
      </c>
      <c r="D10" s="339">
        <f>'LP Return Illustration'!B14</f>
        <v/>
      </c>
      <c r="E10" s="340">
        <f>IFERROR($D$10/4,0)</f>
        <v/>
      </c>
      <c r="F10" s="232" t="n">
        <v>0</v>
      </c>
      <c r="G10" s="295">
        <f>E10+F10</f>
        <v/>
      </c>
      <c r="H10" s="295">
        <f>H9+G10</f>
        <v/>
      </c>
      <c r="I10" s="341" t="inlineStr">
        <is>
          <t>Distributions begin</t>
        </is>
      </c>
    </row>
    <row r="11" ht="16.5" customHeight="1" s="923">
      <c r="A11" s="342" t="n"/>
      <c r="B11" s="337" t="inlineStr">
        <is>
          <t>Q2</t>
        </is>
      </c>
      <c r="C11" s="338">
        <f>EDATE($B$4,6)</f>
        <v/>
      </c>
      <c r="D11" s="343" t="n"/>
      <c r="E11" s="340">
        <f>IFERROR($D$10/4,0)</f>
        <v/>
      </c>
      <c r="F11" s="232" t="n">
        <v>0</v>
      </c>
      <c r="G11" s="295">
        <f>E11+F11</f>
        <v/>
      </c>
      <c r="H11" s="295">
        <f>H10+G11</f>
        <v/>
      </c>
      <c r="I11" s="341" t="n"/>
    </row>
    <row r="12" ht="16.5" customHeight="1" s="923">
      <c r="A12" s="342" t="n"/>
      <c r="B12" s="337" t="inlineStr">
        <is>
          <t>Q3</t>
        </is>
      </c>
      <c r="C12" s="338">
        <f>EDATE($B$4,9)</f>
        <v/>
      </c>
      <c r="D12" s="343" t="n"/>
      <c r="E12" s="340">
        <f>IFERROR($D$10/4,0)</f>
        <v/>
      </c>
      <c r="F12" s="232" t="n">
        <v>0</v>
      </c>
      <c r="G12" s="295">
        <f>E12+F12</f>
        <v/>
      </c>
      <c r="H12" s="295">
        <f>H11+G12</f>
        <v/>
      </c>
      <c r="I12" s="341" t="n"/>
    </row>
    <row r="13" ht="16.5" customHeight="1" s="923">
      <c r="A13" s="342" t="n"/>
      <c r="B13" s="337" t="inlineStr">
        <is>
          <t>Q4</t>
        </is>
      </c>
      <c r="C13" s="338">
        <f>EDATE($B$4,12)</f>
        <v/>
      </c>
      <c r="D13" s="343" t="n"/>
      <c r="E13" s="340">
        <f>IFERROR($D$10/4,0)</f>
        <v/>
      </c>
      <c r="F13" s="339">
        <f>IFERROR('LP Return Illustration'!B18+'LP Return Illustration'!B19,0)</f>
        <v/>
      </c>
      <c r="G13" s="295">
        <f>E13+F13</f>
        <v/>
      </c>
      <c r="H13" s="295">
        <f>H12+G13</f>
        <v/>
      </c>
      <c r="I13" s="341" t="n"/>
    </row>
    <row r="14" ht="16.5" customHeight="1" s="923">
      <c r="A14" s="344" t="n">
        <v>2</v>
      </c>
      <c r="B14" s="345" t="inlineStr">
        <is>
          <t>Q1</t>
        </is>
      </c>
      <c r="C14" s="346">
        <f>EDATE($B$4,15)</f>
        <v/>
      </c>
      <c r="D14" s="339">
        <f>'LP Return Illustration'!C14</f>
        <v/>
      </c>
      <c r="E14" s="340">
        <f>IFERROR($D$14/4,0)</f>
        <v/>
      </c>
      <c r="F14" s="234" t="n">
        <v>0</v>
      </c>
      <c r="G14" s="247">
        <f>E14+F14</f>
        <v/>
      </c>
      <c r="H14" s="247">
        <f>H13+G14</f>
        <v/>
      </c>
      <c r="I14" s="986" t="n"/>
    </row>
    <row r="15" ht="16.5" customHeight="1" s="923">
      <c r="A15" s="347" t="n"/>
      <c r="B15" s="345" t="inlineStr">
        <is>
          <t>Q2</t>
        </is>
      </c>
      <c r="C15" s="346">
        <f>EDATE($B$4,18)</f>
        <v/>
      </c>
      <c r="D15" s="343" t="n"/>
      <c r="E15" s="340">
        <f>IFERROR($D$14/4,0)</f>
        <v/>
      </c>
      <c r="F15" s="234" t="n">
        <v>0</v>
      </c>
      <c r="G15" s="247">
        <f>E15+F15</f>
        <v/>
      </c>
      <c r="H15" s="247">
        <f>H14+G15</f>
        <v/>
      </c>
      <c r="I15" s="986" t="n"/>
    </row>
    <row r="16" ht="16.5" customHeight="1" s="923">
      <c r="A16" s="347" t="n"/>
      <c r="B16" s="345" t="inlineStr">
        <is>
          <t>Q3</t>
        </is>
      </c>
      <c r="C16" s="346">
        <f>EDATE($B$4,21)</f>
        <v/>
      </c>
      <c r="D16" s="343" t="n"/>
      <c r="E16" s="340">
        <f>IFERROR($D$14/4,0)</f>
        <v/>
      </c>
      <c r="F16" s="234" t="n">
        <v>0</v>
      </c>
      <c r="G16" s="247">
        <f>E16+F16</f>
        <v/>
      </c>
      <c r="H16" s="247">
        <f>H15+G16</f>
        <v/>
      </c>
      <c r="I16" s="986" t="n"/>
    </row>
    <row r="17" ht="16.5" customHeight="1" s="923">
      <c r="A17" s="347" t="n"/>
      <c r="B17" s="345" t="inlineStr">
        <is>
          <t>Q4</t>
        </is>
      </c>
      <c r="C17" s="346">
        <f>EDATE($B$4,24)</f>
        <v/>
      </c>
      <c r="D17" s="343" t="n"/>
      <c r="E17" s="340">
        <f>IFERROR($D$14/4,0)</f>
        <v/>
      </c>
      <c r="F17" s="339">
        <f>IFERROR('LP Return Illustration'!C18+'LP Return Illustration'!C19,0)</f>
        <v/>
      </c>
      <c r="G17" s="247">
        <f>E17+F17</f>
        <v/>
      </c>
      <c r="H17" s="247">
        <f>H16+G17</f>
        <v/>
      </c>
      <c r="I17" s="986" t="n"/>
    </row>
    <row r="18" ht="16.5" customHeight="1" s="923">
      <c r="A18" s="336" t="n">
        <v>3</v>
      </c>
      <c r="B18" s="337" t="inlineStr">
        <is>
          <t>Q1</t>
        </is>
      </c>
      <c r="C18" s="338">
        <f>EDATE($B$4,27)</f>
        <v/>
      </c>
      <c r="D18" s="339">
        <f>'LP Return Illustration'!D14</f>
        <v/>
      </c>
      <c r="E18" s="340">
        <f>IFERROR($D$18/4,0)</f>
        <v/>
      </c>
      <c r="F18" s="232" t="n">
        <v>0</v>
      </c>
      <c r="G18" s="295">
        <f>E18+F18</f>
        <v/>
      </c>
      <c r="H18" s="295">
        <f>H17+G18</f>
        <v/>
      </c>
      <c r="I18" s="341" t="n"/>
    </row>
    <row r="19" ht="16.5" customHeight="1" s="923">
      <c r="A19" s="342" t="n"/>
      <c r="B19" s="337" t="inlineStr">
        <is>
          <t>Q2</t>
        </is>
      </c>
      <c r="C19" s="338">
        <f>EDATE($B$4,30)</f>
        <v/>
      </c>
      <c r="D19" s="343" t="n"/>
      <c r="E19" s="340">
        <f>IFERROR($D$18/4,0)</f>
        <v/>
      </c>
      <c r="F19" s="232" t="n">
        <v>0</v>
      </c>
      <c r="G19" s="295">
        <f>E19+F19</f>
        <v/>
      </c>
      <c r="H19" s="295">
        <f>H18+G19</f>
        <v/>
      </c>
      <c r="I19" s="341" t="n"/>
    </row>
    <row r="20" ht="16.5" customHeight="1" s="923">
      <c r="A20" s="342" t="n"/>
      <c r="B20" s="337" t="inlineStr">
        <is>
          <t>Q3</t>
        </is>
      </c>
      <c r="C20" s="338">
        <f>EDATE($B$4,33)</f>
        <v/>
      </c>
      <c r="D20" s="343" t="n"/>
      <c r="E20" s="340">
        <f>IFERROR($D$18/4,0)</f>
        <v/>
      </c>
      <c r="F20" s="232" t="n">
        <v>0</v>
      </c>
      <c r="G20" s="295">
        <f>E20+F20</f>
        <v/>
      </c>
      <c r="H20" s="295">
        <f>H19+G20</f>
        <v/>
      </c>
      <c r="I20" s="341" t="n"/>
    </row>
    <row r="21" ht="16.5" customHeight="1" s="923">
      <c r="A21" s="342" t="n"/>
      <c r="B21" s="337" t="inlineStr">
        <is>
          <t>Q4</t>
        </is>
      </c>
      <c r="C21" s="338">
        <f>EDATE($B$4,36)</f>
        <v/>
      </c>
      <c r="D21" s="343" t="n"/>
      <c r="E21" s="340">
        <f>IFERROR($D$18/4,0)</f>
        <v/>
      </c>
      <c r="F21" s="339">
        <f>IFERROR('LP Return Illustration'!D18+'LP Return Illustration'!D19,0)</f>
        <v/>
      </c>
      <c r="G21" s="295">
        <f>E21+F21</f>
        <v/>
      </c>
      <c r="H21" s="295">
        <f>H20+G21</f>
        <v/>
      </c>
      <c r="I21" s="341" t="n"/>
    </row>
    <row r="22" ht="16.5" customHeight="1" s="923">
      <c r="A22" s="344" t="n">
        <v>4</v>
      </c>
      <c r="B22" s="345" t="inlineStr">
        <is>
          <t>Q1</t>
        </is>
      </c>
      <c r="C22" s="346">
        <f>EDATE($B$4,39)</f>
        <v/>
      </c>
      <c r="D22" s="339">
        <f>'LP Return Illustration'!E14</f>
        <v/>
      </c>
      <c r="E22" s="340">
        <f>IFERROR($D$22/4,0)</f>
        <v/>
      </c>
      <c r="F22" s="234" t="n">
        <v>0</v>
      </c>
      <c r="G22" s="247">
        <f>E22+F22</f>
        <v/>
      </c>
      <c r="H22" s="247">
        <f>H21+G22</f>
        <v/>
      </c>
      <c r="I22" s="986" t="n"/>
    </row>
    <row r="23" ht="16.5" customHeight="1" s="923">
      <c r="A23" s="347" t="n"/>
      <c r="B23" s="345" t="inlineStr">
        <is>
          <t>Q2</t>
        </is>
      </c>
      <c r="C23" s="346">
        <f>EDATE($B$4,42)</f>
        <v/>
      </c>
      <c r="D23" s="343" t="n"/>
      <c r="E23" s="340">
        <f>IFERROR($D$22/4,0)</f>
        <v/>
      </c>
      <c r="F23" s="234" t="n">
        <v>0</v>
      </c>
      <c r="G23" s="247">
        <f>E23+F23</f>
        <v/>
      </c>
      <c r="H23" s="247">
        <f>H22+G23</f>
        <v/>
      </c>
      <c r="I23" s="986" t="n"/>
    </row>
    <row r="24" ht="16.5" customHeight="1" s="923">
      <c r="A24" s="347" t="n"/>
      <c r="B24" s="345" t="inlineStr">
        <is>
          <t>Q3</t>
        </is>
      </c>
      <c r="C24" s="346">
        <f>EDATE($B$4,45)</f>
        <v/>
      </c>
      <c r="D24" s="343" t="n"/>
      <c r="E24" s="340">
        <f>IFERROR($D$22/4,0)</f>
        <v/>
      </c>
      <c r="F24" s="234" t="n">
        <v>0</v>
      </c>
      <c r="G24" s="247">
        <f>E24+F24</f>
        <v/>
      </c>
      <c r="H24" s="247">
        <f>H23+G24</f>
        <v/>
      </c>
      <c r="I24" s="986" t="n"/>
    </row>
    <row r="25" ht="16.5" customHeight="1" s="923">
      <c r="A25" s="347" t="n"/>
      <c r="B25" s="345" t="inlineStr">
        <is>
          <t>Q4</t>
        </is>
      </c>
      <c r="C25" s="346">
        <f>EDATE($B$4,48)</f>
        <v/>
      </c>
      <c r="D25" s="343" t="n"/>
      <c r="E25" s="340">
        <f>IFERROR($D$22/4,0)</f>
        <v/>
      </c>
      <c r="F25" s="339">
        <f>IFERROR('LP Return Illustration'!E18+'LP Return Illustration'!E19,0)</f>
        <v/>
      </c>
      <c r="G25" s="247">
        <f>E25+F25</f>
        <v/>
      </c>
      <c r="H25" s="247">
        <f>H24+G25</f>
        <v/>
      </c>
      <c r="I25" s="986" t="n"/>
    </row>
    <row r="26" ht="16.5" customHeight="1" s="923">
      <c r="A26" s="336" t="n">
        <v>5</v>
      </c>
      <c r="B26" s="337" t="inlineStr">
        <is>
          <t>Q1</t>
        </is>
      </c>
      <c r="C26" s="338">
        <f>EDATE($B$4,51)</f>
        <v/>
      </c>
      <c r="D26" s="339">
        <f>'LP Return Illustration'!F14</f>
        <v/>
      </c>
      <c r="E26" s="340">
        <f>IFERROR($D$26/4,0)</f>
        <v/>
      </c>
      <c r="F26" s="232" t="n">
        <v>0</v>
      </c>
      <c r="G26" s="295">
        <f>E26+F26</f>
        <v/>
      </c>
      <c r="H26" s="295">
        <f>H25+G26</f>
        <v/>
      </c>
      <c r="I26" s="341" t="n"/>
    </row>
    <row r="27" ht="16.5" customHeight="1" s="923">
      <c r="A27" s="342" t="n"/>
      <c r="B27" s="337" t="inlineStr">
        <is>
          <t>Q2</t>
        </is>
      </c>
      <c r="C27" s="338">
        <f>EDATE($B$4,54)</f>
        <v/>
      </c>
      <c r="D27" s="343" t="n"/>
      <c r="E27" s="340">
        <f>IFERROR($D$26/4,0)</f>
        <v/>
      </c>
      <c r="F27" s="232" t="n">
        <v>0</v>
      </c>
      <c r="G27" s="295">
        <f>E27+F27</f>
        <v/>
      </c>
      <c r="H27" s="295">
        <f>H26+G27</f>
        <v/>
      </c>
      <c r="I27" s="341" t="n"/>
    </row>
    <row r="28" ht="16.5" customHeight="1" s="923">
      <c r="A28" s="342" t="n"/>
      <c r="B28" s="337" t="inlineStr">
        <is>
          <t>Q3</t>
        </is>
      </c>
      <c r="C28" s="338">
        <f>EDATE($B$4,57)</f>
        <v/>
      </c>
      <c r="D28" s="343" t="n"/>
      <c r="E28" s="340">
        <f>IFERROR($D$26/4,0)</f>
        <v/>
      </c>
      <c r="F28" s="232" t="n">
        <v>0</v>
      </c>
      <c r="G28" s="295">
        <f>E28+F28</f>
        <v/>
      </c>
      <c r="H28" s="295">
        <f>H27+G28</f>
        <v/>
      </c>
      <c r="I28" s="341" t="n"/>
    </row>
    <row r="29" ht="16.5" customHeight="1" s="923">
      <c r="A29" s="342" t="n"/>
      <c r="B29" s="337" t="inlineStr">
        <is>
          <t>Q4</t>
        </is>
      </c>
      <c r="C29" s="338">
        <f>EDATE($B$4,60)</f>
        <v/>
      </c>
      <c r="D29" s="343" t="n"/>
      <c r="E29" s="340">
        <f>IFERROR($D$26/4,0)</f>
        <v/>
      </c>
      <c r="F29" s="339">
        <f>IFERROR('LP Return Illustration'!F18+'LP Return Illustration'!F19,0)</f>
        <v/>
      </c>
      <c r="G29" s="295">
        <f>E29+F29</f>
        <v/>
      </c>
      <c r="H29" s="295">
        <f>H28+G29</f>
        <v/>
      </c>
      <c r="I29" s="341" t="n"/>
    </row>
    <row r="30" ht="16.5" customHeight="1" s="923">
      <c r="A30" s="344" t="n">
        <v>6</v>
      </c>
      <c r="B30" s="345" t="inlineStr">
        <is>
          <t>Q1</t>
        </is>
      </c>
      <c r="C30" s="346">
        <f>EDATE($B$4,63)</f>
        <v/>
      </c>
      <c r="D30" s="339">
        <f>'LP Return Illustration'!G14</f>
        <v/>
      </c>
      <c r="E30" s="340">
        <f>IFERROR($D$30/4,0)</f>
        <v/>
      </c>
      <c r="F30" s="234" t="n">
        <v>0</v>
      </c>
      <c r="G30" s="247">
        <f>E30+F30</f>
        <v/>
      </c>
      <c r="H30" s="247">
        <f>H29+G30</f>
        <v/>
      </c>
      <c r="I30" s="986" t="n"/>
    </row>
    <row r="31" ht="16.5" customHeight="1" s="923">
      <c r="A31" s="347" t="n"/>
      <c r="B31" s="345" t="inlineStr">
        <is>
          <t>Q2</t>
        </is>
      </c>
      <c r="C31" s="346">
        <f>EDATE($B$4,66)</f>
        <v/>
      </c>
      <c r="D31" s="343" t="n"/>
      <c r="E31" s="340">
        <f>IFERROR($D$30/4,0)</f>
        <v/>
      </c>
      <c r="F31" s="234" t="n">
        <v>0</v>
      </c>
      <c r="G31" s="247">
        <f>E31+F31</f>
        <v/>
      </c>
      <c r="H31" s="247">
        <f>H30+G31</f>
        <v/>
      </c>
      <c r="I31" s="986" t="n"/>
    </row>
    <row r="32" ht="16.5" customHeight="1" s="923">
      <c r="A32" s="347" t="n"/>
      <c r="B32" s="345" t="inlineStr">
        <is>
          <t>Q3</t>
        </is>
      </c>
      <c r="C32" s="346">
        <f>EDATE($B$4,69)</f>
        <v/>
      </c>
      <c r="D32" s="343" t="n"/>
      <c r="E32" s="340">
        <f>IFERROR($D$30/4,0)</f>
        <v/>
      </c>
      <c r="F32" s="234" t="n">
        <v>0</v>
      </c>
      <c r="G32" s="247">
        <f>E32+F32</f>
        <v/>
      </c>
      <c r="H32" s="247">
        <f>H31+G32</f>
        <v/>
      </c>
      <c r="I32" s="986" t="n"/>
    </row>
    <row r="33" ht="16.5" customHeight="1" s="923">
      <c r="A33" s="347" t="n"/>
      <c r="B33" s="345" t="inlineStr">
        <is>
          <t>Q4</t>
        </is>
      </c>
      <c r="C33" s="346">
        <f>EDATE($B$4,72)</f>
        <v/>
      </c>
      <c r="D33" s="343" t="n"/>
      <c r="E33" s="340">
        <f>IFERROR($D$30/4,0)</f>
        <v/>
      </c>
      <c r="F33" s="339">
        <f>IFERROR('LP Return Illustration'!G18+'LP Return Illustration'!G19,0)</f>
        <v/>
      </c>
      <c r="G33" s="247">
        <f>E33+F33</f>
        <v/>
      </c>
      <c r="H33" s="247">
        <f>H32+G33</f>
        <v/>
      </c>
      <c r="I33" s="986" t="n"/>
    </row>
    <row r="34" ht="16.5" customHeight="1" s="923">
      <c r="A34" s="336" t="n">
        <v>7</v>
      </c>
      <c r="B34" s="337" t="inlineStr">
        <is>
          <t>Q1</t>
        </is>
      </c>
      <c r="C34" s="338">
        <f>EDATE($B$4,75)</f>
        <v/>
      </c>
      <c r="D34" s="339">
        <f>'LP Return Illustration'!H14</f>
        <v/>
      </c>
      <c r="E34" s="340">
        <f>IFERROR($D$34/4,0)</f>
        <v/>
      </c>
      <c r="F34" s="232" t="n">
        <v>0</v>
      </c>
      <c r="G34" s="295">
        <f>E34+F34</f>
        <v/>
      </c>
      <c r="H34" s="295">
        <f>H33+G34</f>
        <v/>
      </c>
      <c r="I34" s="341" t="n"/>
    </row>
    <row r="35" ht="16.5" customHeight="1" s="923">
      <c r="A35" s="342" t="n"/>
      <c r="B35" s="337" t="inlineStr">
        <is>
          <t>Q2</t>
        </is>
      </c>
      <c r="C35" s="338">
        <f>EDATE($B$4,78)</f>
        <v/>
      </c>
      <c r="D35" s="343" t="n"/>
      <c r="E35" s="340">
        <f>IFERROR($D$34/4,0)</f>
        <v/>
      </c>
      <c r="F35" s="232" t="n">
        <v>0</v>
      </c>
      <c r="G35" s="295">
        <f>E35+F35</f>
        <v/>
      </c>
      <c r="H35" s="295">
        <f>H34+G35</f>
        <v/>
      </c>
      <c r="I35" s="341" t="n"/>
    </row>
    <row r="36" ht="16.5" customHeight="1" s="923">
      <c r="A36" s="342" t="n"/>
      <c r="B36" s="337" t="inlineStr">
        <is>
          <t>Q3</t>
        </is>
      </c>
      <c r="C36" s="338">
        <f>EDATE($B$4,81)</f>
        <v/>
      </c>
      <c r="D36" s="343" t="n"/>
      <c r="E36" s="340">
        <f>IFERROR($D$34/4,0)</f>
        <v/>
      </c>
      <c r="F36" s="232" t="n">
        <v>0</v>
      </c>
      <c r="G36" s="295">
        <f>E36+F36</f>
        <v/>
      </c>
      <c r="H36" s="295">
        <f>H35+G36</f>
        <v/>
      </c>
      <c r="I36" s="341" t="n"/>
    </row>
    <row r="37" ht="16.5" customHeight="1" s="923">
      <c r="A37" s="342" t="n"/>
      <c r="B37" s="337" t="inlineStr">
        <is>
          <t>Q4</t>
        </is>
      </c>
      <c r="C37" s="338">
        <f>EDATE($B$4,84)</f>
        <v/>
      </c>
      <c r="D37" s="343" t="n"/>
      <c r="E37" s="340">
        <f>IFERROR($D$34/4,0)</f>
        <v/>
      </c>
      <c r="F37" s="339">
        <f>IFERROR('LP Return Illustration'!H18+'LP Return Illustration'!H19,0)</f>
        <v/>
      </c>
      <c r="G37" s="295">
        <f>E37+F37</f>
        <v/>
      </c>
      <c r="H37" s="295">
        <f>H36+G37</f>
        <v/>
      </c>
      <c r="I37" s="341" t="n"/>
    </row>
    <row r="38" ht="16.5" customHeight="1" s="923">
      <c r="A38" s="344" t="n">
        <v>8</v>
      </c>
      <c r="B38" s="345" t="inlineStr">
        <is>
          <t>Q1</t>
        </is>
      </c>
      <c r="C38" s="346">
        <f>EDATE($B$4,87)</f>
        <v/>
      </c>
      <c r="D38" s="339">
        <f>'LP Return Illustration'!I14</f>
        <v/>
      </c>
      <c r="E38" s="340">
        <f>IFERROR($D$38/4,0)</f>
        <v/>
      </c>
      <c r="F38" s="234" t="n">
        <v>0</v>
      </c>
      <c r="G38" s="247">
        <f>E38+F38</f>
        <v/>
      </c>
      <c r="H38" s="247">
        <f>H37+G38</f>
        <v/>
      </c>
      <c r="I38" s="986" t="n"/>
    </row>
    <row r="39" ht="16.5" customHeight="1" s="923">
      <c r="A39" s="347" t="n"/>
      <c r="B39" s="345" t="inlineStr">
        <is>
          <t>Q2</t>
        </is>
      </c>
      <c r="C39" s="346">
        <f>EDATE($B$4,90)</f>
        <v/>
      </c>
      <c r="D39" s="343" t="n"/>
      <c r="E39" s="340">
        <f>IFERROR($D$38/4,0)</f>
        <v/>
      </c>
      <c r="F39" s="234" t="n">
        <v>0</v>
      </c>
      <c r="G39" s="247">
        <f>E39+F39</f>
        <v/>
      </c>
      <c r="H39" s="247">
        <f>H38+G39</f>
        <v/>
      </c>
      <c r="I39" s="986" t="n"/>
    </row>
    <row r="40" ht="16.5" customHeight="1" s="923">
      <c r="A40" s="347" t="n"/>
      <c r="B40" s="345" t="inlineStr">
        <is>
          <t>Q3</t>
        </is>
      </c>
      <c r="C40" s="346">
        <f>EDATE($B$4,93)</f>
        <v/>
      </c>
      <c r="D40" s="343" t="n"/>
      <c r="E40" s="340">
        <f>IFERROR($D$38/4,0)</f>
        <v/>
      </c>
      <c r="F40" s="234" t="n">
        <v>0</v>
      </c>
      <c r="G40" s="247">
        <f>E40+F40</f>
        <v/>
      </c>
      <c r="H40" s="247">
        <f>H39+G40</f>
        <v/>
      </c>
      <c r="I40" s="986" t="n"/>
    </row>
    <row r="41" ht="16.5" customHeight="1" s="923">
      <c r="A41" s="347" t="n"/>
      <c r="B41" s="345" t="inlineStr">
        <is>
          <t>Q4</t>
        </is>
      </c>
      <c r="C41" s="346">
        <f>EDATE($B$4,96)</f>
        <v/>
      </c>
      <c r="D41" s="343" t="n"/>
      <c r="E41" s="340">
        <f>IFERROR($D$38/4,0)</f>
        <v/>
      </c>
      <c r="F41" s="339">
        <f>IFERROR('LP Return Illustration'!I18+'LP Return Illustration'!I19,0)</f>
        <v/>
      </c>
      <c r="G41" s="247">
        <f>E41+F41</f>
        <v/>
      </c>
      <c r="H41" s="247">
        <f>H40+G41</f>
        <v/>
      </c>
      <c r="I41" s="986" t="n"/>
    </row>
    <row r="42" ht="16.5" customHeight="1" s="923">
      <c r="A42" s="336" t="n">
        <v>9</v>
      </c>
      <c r="B42" s="337" t="inlineStr">
        <is>
          <t>Q1</t>
        </is>
      </c>
      <c r="C42" s="338">
        <f>EDATE($B$4,99)</f>
        <v/>
      </c>
      <c r="D42" s="339">
        <f>'LP Return Illustration'!J14</f>
        <v/>
      </c>
      <c r="E42" s="340">
        <f>IFERROR($D$42/4,0)</f>
        <v/>
      </c>
      <c r="F42" s="232" t="n">
        <v>0</v>
      </c>
      <c r="G42" s="295">
        <f>E42+F42</f>
        <v/>
      </c>
      <c r="H42" s="295">
        <f>H41+G42</f>
        <v/>
      </c>
      <c r="I42" s="341" t="n"/>
    </row>
    <row r="43" ht="16.5" customHeight="1" s="923">
      <c r="A43" s="342" t="n"/>
      <c r="B43" s="337" t="inlineStr">
        <is>
          <t>Q2</t>
        </is>
      </c>
      <c r="C43" s="338">
        <f>EDATE($B$4,102)</f>
        <v/>
      </c>
      <c r="D43" s="343" t="n"/>
      <c r="E43" s="340">
        <f>IFERROR($D$42/4,0)</f>
        <v/>
      </c>
      <c r="F43" s="232" t="n">
        <v>0</v>
      </c>
      <c r="G43" s="295">
        <f>E43+F43</f>
        <v/>
      </c>
      <c r="H43" s="295">
        <f>H42+G43</f>
        <v/>
      </c>
      <c r="I43" s="341" t="n"/>
    </row>
    <row r="44" ht="16.5" customHeight="1" s="923">
      <c r="A44" s="342" t="n"/>
      <c r="B44" s="337" t="inlineStr">
        <is>
          <t>Q3</t>
        </is>
      </c>
      <c r="C44" s="338">
        <f>EDATE($B$4,105)</f>
        <v/>
      </c>
      <c r="D44" s="343" t="n"/>
      <c r="E44" s="340">
        <f>IFERROR($D$42/4,0)</f>
        <v/>
      </c>
      <c r="F44" s="232" t="n">
        <v>0</v>
      </c>
      <c r="G44" s="295">
        <f>E44+F44</f>
        <v/>
      </c>
      <c r="H44" s="295">
        <f>H43+G44</f>
        <v/>
      </c>
      <c r="I44" s="341" t="n"/>
    </row>
    <row r="45" ht="16.5" customHeight="1" s="923">
      <c r="A45" s="342" t="n"/>
      <c r="B45" s="337" t="inlineStr">
        <is>
          <t>Q4</t>
        </is>
      </c>
      <c r="C45" s="338">
        <f>EDATE($B$4,108)</f>
        <v/>
      </c>
      <c r="D45" s="343" t="n"/>
      <c r="E45" s="340">
        <f>IFERROR($D$42/4,0)</f>
        <v/>
      </c>
      <c r="F45" s="339">
        <f>IFERROR('LP Return Illustration'!J18+'LP Return Illustration'!J19,0)</f>
        <v/>
      </c>
      <c r="G45" s="295">
        <f>E45+F45</f>
        <v/>
      </c>
      <c r="H45" s="295">
        <f>H44+G45</f>
        <v/>
      </c>
      <c r="I45" s="341" t="n"/>
    </row>
    <row r="46" ht="16.5" customHeight="1" s="923">
      <c r="A46" s="344" t="n">
        <v>10</v>
      </c>
      <c r="B46" s="345" t="inlineStr">
        <is>
          <t>Q1</t>
        </is>
      </c>
      <c r="C46" s="346">
        <f>EDATE($B$4,111)</f>
        <v/>
      </c>
      <c r="D46" s="339">
        <f>'LP Return Illustration'!K14</f>
        <v/>
      </c>
      <c r="E46" s="340">
        <f>IFERROR($D$46/4,0)</f>
        <v/>
      </c>
      <c r="F46" s="234" t="n">
        <v>0</v>
      </c>
      <c r="G46" s="247">
        <f>E46+F46</f>
        <v/>
      </c>
      <c r="H46" s="247">
        <f>H45+G46</f>
        <v/>
      </c>
      <c r="I46" s="986" t="n"/>
    </row>
    <row r="47" ht="16.5" customHeight="1" s="923">
      <c r="A47" s="347" t="n"/>
      <c r="B47" s="345" t="inlineStr">
        <is>
          <t>Q2</t>
        </is>
      </c>
      <c r="C47" s="346">
        <f>EDATE($B$4,114)</f>
        <v/>
      </c>
      <c r="D47" s="343" t="n"/>
      <c r="E47" s="340">
        <f>IFERROR($D$46/4,0)</f>
        <v/>
      </c>
      <c r="F47" s="234" t="n">
        <v>0</v>
      </c>
      <c r="G47" s="247">
        <f>E47+F47</f>
        <v/>
      </c>
      <c r="H47" s="247">
        <f>H46+G47</f>
        <v/>
      </c>
      <c r="I47" s="986" t="n"/>
    </row>
    <row r="48" ht="16.5" customHeight="1" s="923">
      <c r="A48" s="347" t="n"/>
      <c r="B48" s="345" t="inlineStr">
        <is>
          <t>Q3</t>
        </is>
      </c>
      <c r="C48" s="346">
        <f>EDATE($B$4,117)</f>
        <v/>
      </c>
      <c r="D48" s="343" t="n"/>
      <c r="E48" s="340">
        <f>IFERROR($D$46/4,0)</f>
        <v/>
      </c>
      <c r="F48" s="234" t="n">
        <v>0</v>
      </c>
      <c r="G48" s="247">
        <f>E48+F48</f>
        <v/>
      </c>
      <c r="H48" s="247">
        <f>H47+G48</f>
        <v/>
      </c>
      <c r="I48" s="986" t="n"/>
    </row>
    <row r="49" ht="16.5" customHeight="1" s="923">
      <c r="A49" s="347" t="n"/>
      <c r="B49" s="345" t="inlineStr">
        <is>
          <t>Q4</t>
        </is>
      </c>
      <c r="C49" s="346">
        <f>EDATE($B$4,120)</f>
        <v/>
      </c>
      <c r="D49" s="343" t="n"/>
      <c r="E49" s="340">
        <f>IFERROR($D$46/4,0)</f>
        <v/>
      </c>
      <c r="F49" s="339">
        <f>IFERROR('LP Return Illustration'!K18+'LP Return Illustration'!K19,0)</f>
        <v/>
      </c>
      <c r="G49" s="247">
        <f>E49+F49</f>
        <v/>
      </c>
      <c r="H49" s="247">
        <f>H48+G49</f>
        <v/>
      </c>
      <c r="I49" s="986" t="n"/>
    </row>
    <row r="50" ht="7.5" customHeight="1" s="923"/>
    <row r="51" ht="21.75" customHeight="1" s="923">
      <c r="A51" s="1013" t="inlineStr">
        <is>
          <t>TOTALS</t>
        </is>
      </c>
      <c r="B51" s="927" t="n"/>
      <c r="C51" s="348" t="n"/>
      <c r="D51" s="348" t="n"/>
      <c r="E51" s="349">
        <f>SUM(E10:E49)</f>
        <v/>
      </c>
      <c r="F51" s="349">
        <f>SUM(F10:F49)</f>
        <v/>
      </c>
      <c r="G51" s="349">
        <f>SUM(G9:G49)</f>
        <v/>
      </c>
      <c r="H51" s="349">
        <f>H49</f>
        <v/>
      </c>
      <c r="I51" s="348" t="n"/>
    </row>
    <row r="52" ht="7.5" customHeight="1" s="923"/>
    <row r="53" ht="19.5" customHeight="1" s="923">
      <c r="A53" s="1010" t="inlineStr">
        <is>
          <t xml:space="preserve">  RETURN SUMMARY</t>
        </is>
      </c>
      <c r="B53" s="926" t="n"/>
      <c r="C53" s="926" t="n"/>
      <c r="D53" s="926" t="n"/>
      <c r="E53" s="926" t="n"/>
      <c r="F53" s="926" t="n"/>
      <c r="G53" s="926" t="n"/>
      <c r="H53" s="926" t="n"/>
      <c r="I53" s="927" t="n"/>
    </row>
    <row r="54" ht="19.5" customHeight="1" s="923">
      <c r="A54" s="1014" t="inlineStr">
        <is>
          <t>XIRR  (quarterly distributions)</t>
        </is>
      </c>
      <c r="B54" s="926" t="n"/>
      <c r="C54" s="926" t="n"/>
      <c r="D54" s="926" t="n"/>
      <c r="E54" s="926" t="n"/>
      <c r="F54" s="926" t="n"/>
      <c r="G54" s="927" t="n"/>
      <c r="H54" s="239">
        <f>IFERROR(XIRR(G9:G49,C9:C49,0.1),0)</f>
        <v/>
      </c>
      <c r="I54" s="350" t="n"/>
    </row>
    <row r="55" ht="16.5" customHeight="1" s="923">
      <c r="A55" s="1015" t="inlineStr">
        <is>
          <t>Standard IRR  (annual, year-end)</t>
        </is>
      </c>
      <c r="B55" s="926" t="n"/>
      <c r="C55" s="926" t="n"/>
      <c r="D55" s="926" t="n"/>
      <c r="E55" s="926" t="n"/>
      <c r="F55" s="926" t="n"/>
      <c r="G55" s="927" t="n"/>
      <c r="H55" s="351">
        <f>IFERROR('LP Return Illustration'!B28,0)</f>
        <v/>
      </c>
      <c r="I55" s="993" t="n"/>
    </row>
    <row r="56" ht="16.5" customHeight="1" s="923">
      <c r="A56" s="1016" t="inlineStr">
        <is>
          <t>Difference  (XIRR − IRR)</t>
        </is>
      </c>
      <c r="B56" s="926" t="n"/>
      <c r="C56" s="926" t="n"/>
      <c r="D56" s="926" t="n"/>
      <c r="E56" s="926" t="n"/>
      <c r="F56" s="926" t="n"/>
      <c r="G56" s="927" t="n"/>
      <c r="H56" s="352">
        <f>IFERROR(B54-B55,0)</f>
        <v/>
      </c>
      <c r="I56" s="991" t="n"/>
    </row>
    <row r="57" ht="16.5" customHeight="1" s="923">
      <c r="A57" s="1015" t="inlineStr">
        <is>
          <t>Equity Multiple  (XIRR basis)</t>
        </is>
      </c>
      <c r="B57" s="926" t="n"/>
      <c r="C57" s="926" t="n"/>
      <c r="D57" s="926" t="n"/>
      <c r="E57" s="926" t="n"/>
      <c r="F57" s="926" t="n"/>
      <c r="G57" s="927" t="n"/>
      <c r="H57" s="353">
        <f>IFERROR((H49+'LP Return Illustration'!$B$2)/'LP Return Illustration'!$B$2,0)</f>
        <v/>
      </c>
      <c r="I57" s="993" t="n"/>
    </row>
    <row r="58" ht="16.5" customHeight="1" s="923">
      <c r="A58" s="1016" t="inlineStr">
        <is>
          <t>Total Cash Received</t>
        </is>
      </c>
      <c r="B58" s="926" t="n"/>
      <c r="C58" s="926" t="n"/>
      <c r="D58" s="926" t="n"/>
      <c r="E58" s="926" t="n"/>
      <c r="F58" s="926" t="n"/>
      <c r="G58" s="927" t="n"/>
      <c r="H58" s="220">
        <f>H49+ABS(G9)</f>
        <v/>
      </c>
      <c r="I58" s="991" t="n"/>
    </row>
  </sheetData>
  <mergeCells count="14">
    <mergeCell ref="A58:G58"/>
    <mergeCell ref="C5:E5"/>
    <mergeCell ref="A56:G56"/>
    <mergeCell ref="F7:I7"/>
    <mergeCell ref="A51:B51"/>
    <mergeCell ref="A55:G55"/>
    <mergeCell ref="A1:I1"/>
    <mergeCell ref="C4:E4"/>
    <mergeCell ref="A54:G54"/>
    <mergeCell ref="A3:I3"/>
    <mergeCell ref="H4:I4"/>
    <mergeCell ref="A53:I53"/>
    <mergeCell ref="A57:G57"/>
    <mergeCell ref="C7:E7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0"/>
  <sheetViews>
    <sheetView zoomScale="115" zoomScaleNormal="115" workbookViewId="0">
      <selection activeCell="A1" sqref="A1:F1"/>
    </sheetView>
  </sheetViews>
  <sheetFormatPr baseColWidth="10" defaultColWidth="8.83203125" defaultRowHeight="15"/>
  <cols>
    <col width="28" customWidth="1" style="923" min="1" max="1"/>
    <col width="18" customWidth="1" style="923" min="2" max="4"/>
    <col width="16" customWidth="1" style="923" min="5" max="6"/>
    <col width="28" customWidth="1" style="923" min="9" max="9"/>
    <col width="14.83203125" bestFit="1" customWidth="1" style="923" min="10" max="17"/>
    <col width="15.83203125" bestFit="1" customWidth="1" style="923" min="18" max="19"/>
  </cols>
  <sheetData>
    <row r="1" ht="18" customHeight="1" s="923">
      <c r="A1" s="938" t="inlineStr">
        <is>
          <t>LOAN SUMMARY — THREE-TRANCHE DEBT STRUCTURE</t>
        </is>
      </c>
      <c r="I1" s="12" t="n"/>
      <c r="J1" s="354">
        <f>IF(ISNUMBER('Exit Strategy'!$C$5),IF(1='Exit Strategy'!$C$5,"REFINANCE!",IF(1=Scenarios!$F$86,"SALE!","")),IF(1=Scenarios!$F$86,"SALE!",""))</f>
        <v/>
      </c>
      <c r="K1" s="354">
        <f>IF(ISNUMBER('Exit Strategy'!$C$5),IF(2='Exit Strategy'!$C$5,"REFINANCE!",IF(2=Scenarios!$F$86,"SALE!","")),IF(2=Scenarios!$F$86,"SALE!",""))</f>
        <v/>
      </c>
      <c r="L1" s="354">
        <f>IF(ISNUMBER('Exit Strategy'!$C$5),IF(3='Exit Strategy'!$C$5,"REFINANCE!",IF(3=Scenarios!$F$86,"SALE!","")),IF(3=Scenarios!$F$86,"SALE!",""))</f>
        <v/>
      </c>
      <c r="M1" s="354">
        <f>IF(ISNUMBER('Exit Strategy'!$C$5),IF(4='Exit Strategy'!$C$5,"REFINANCE!",IF(4=Scenarios!$F$86,"SALE!","")),IF(4=Scenarios!$F$86,"SALE!",""))</f>
        <v/>
      </c>
      <c r="N1" s="354">
        <f>IF(ISNUMBER('Exit Strategy'!$C$5),IF(5='Exit Strategy'!$C$5,"REFINANCE!",IF(5=Scenarios!$F$86,"SALE!","")),IF(5=Scenarios!$F$86,"SALE!",""))</f>
        <v/>
      </c>
      <c r="O1" s="354">
        <f>IF(ISNUMBER('Exit Strategy'!$C$5),IF(6='Exit Strategy'!$C$5,"REFINANCE!",IF(6=Scenarios!$F$86,"SALE!","")),IF(6=Scenarios!$F$86,"SALE!",""))</f>
        <v/>
      </c>
      <c r="P1" s="354">
        <f>IF(ISNUMBER('Exit Strategy'!$C$5),IF(7='Exit Strategy'!$C$5,"REFINANCE!",IF(7=Scenarios!$F$86,"SALE!","")),IF(7=Scenarios!$F$86,"SALE!",""))</f>
        <v/>
      </c>
      <c r="Q1" s="354">
        <f>IF(ISNUMBER('Exit Strategy'!$C$5),IF(8='Exit Strategy'!$C$5,"REFINANCE!",IF(8=Scenarios!$F$86,"SALE!","")),IF(8=Scenarios!$F$86,"SALE!",""))</f>
        <v/>
      </c>
      <c r="R1" s="354">
        <f>IF(ISNUMBER('Exit Strategy'!$C$5),IF(9='Exit Strategy'!$C$5,"REFINANCE!",IF(9=Scenarios!$F$86,"SALE!","")),IF(9=Scenarios!$F$86,"SALE!",""))</f>
        <v/>
      </c>
      <c r="S1" s="354">
        <f>IF(ISNUMBER('Exit Strategy'!$C$5),IF(10='Exit Strategy'!$C$5,"REFINANCE!",IF(10=Scenarios!$F$86,"SALE!","")),IF(10=Scenarios!$F$86,"SALE!",""))</f>
        <v/>
      </c>
    </row>
    <row r="2">
      <c r="A2" s="934" t="inlineStr">
        <is>
          <t xml:space="preserve">  Inputs pull from active Scenario col F. Edit loan terms in the Scenarios tab per scenario.</t>
        </is>
      </c>
      <c r="I2" s="992" t="inlineStr">
        <is>
          <t>Year</t>
        </is>
      </c>
      <c r="J2" s="293" t="n">
        <v>1</v>
      </c>
      <c r="K2" s="293" t="n">
        <v>2</v>
      </c>
      <c r="L2" s="293" t="n">
        <v>3</v>
      </c>
      <c r="M2" s="293" t="n">
        <v>4</v>
      </c>
      <c r="N2" s="293" t="n">
        <v>5</v>
      </c>
      <c r="O2" s="293" t="n">
        <v>6</v>
      </c>
      <c r="P2" s="293" t="n">
        <v>7</v>
      </c>
      <c r="Q2" s="293" t="n">
        <v>8</v>
      </c>
      <c r="R2" s="293" t="n">
        <v>9</v>
      </c>
      <c r="S2" s="293" t="n">
        <v>10</v>
      </c>
    </row>
    <row r="3">
      <c r="A3" s="32" t="inlineStr">
        <is>
          <t>Metric</t>
        </is>
      </c>
      <c r="B3" s="90" t="inlineStr">
        <is>
          <t>1st Loan (Senior)</t>
        </is>
      </c>
      <c r="C3" s="19" t="inlineStr">
        <is>
          <t>2nd Loan</t>
        </is>
      </c>
      <c r="D3" s="178" t="inlineStr">
        <is>
          <t>Supplemental</t>
        </is>
      </c>
      <c r="E3" s="32" t="inlineStr">
        <is>
          <t>Total Debt</t>
        </is>
      </c>
      <c r="I3" s="355" t="n"/>
      <c r="J3" s="355" t="n"/>
      <c r="K3" s="355" t="n"/>
      <c r="L3" s="355" t="n"/>
      <c r="M3" s="355" t="n"/>
      <c r="N3" s="355" t="n"/>
      <c r="O3" s="355" t="n"/>
      <c r="P3" s="355" t="n"/>
      <c r="Q3" s="355" t="n"/>
      <c r="R3" s="355" t="n"/>
      <c r="S3" s="355" t="n"/>
    </row>
    <row r="4">
      <c r="A4" s="8" t="inlineStr">
        <is>
          <t>Loan Amount</t>
        </is>
      </c>
      <c r="B4" s="356">
        <f>Scenarios!F141</f>
        <v/>
      </c>
      <c r="C4" s="356">
        <f>Scenarios!F148</f>
        <v/>
      </c>
      <c r="D4" s="356">
        <f>Scenarios!F155</f>
        <v/>
      </c>
      <c r="E4" s="101">
        <f>B4+C4+D4</f>
        <v/>
      </c>
      <c r="I4" s="355" t="n"/>
      <c r="J4" s="355" t="n"/>
      <c r="K4" s="355" t="n"/>
      <c r="L4" s="355" t="n"/>
      <c r="M4" s="355" t="n"/>
      <c r="N4" s="355" t="n"/>
      <c r="O4" s="355" t="n"/>
      <c r="P4" s="355" t="n"/>
      <c r="Q4" s="355" t="n"/>
      <c r="R4" s="355" t="n"/>
      <c r="S4" s="355" t="n"/>
    </row>
    <row r="5">
      <c r="A5" s="10" t="inlineStr">
        <is>
          <t>Amortization (yrs)</t>
        </is>
      </c>
      <c r="B5" s="357">
        <f>Scenarios!F143</f>
        <v/>
      </c>
      <c r="C5" s="357">
        <f>Scenarios!F150</f>
        <v/>
      </c>
      <c r="D5" s="357">
        <f>Scenarios!F157</f>
        <v/>
      </c>
      <c r="E5" s="358" t="inlineStr">
        <is>
          <t>—</t>
        </is>
      </c>
      <c r="I5" s="292" t="inlineStr">
        <is>
          <t>1st Mortgage (Senior)</t>
        </is>
      </c>
      <c r="J5" s="349">
        <f>IFERROR(Scenarios!$F$141,0)</f>
        <v/>
      </c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</row>
    <row r="6">
      <c r="A6" s="8" t="inlineStr">
        <is>
          <t>Interest Rate</t>
        </is>
      </c>
      <c r="B6" s="359">
        <f>Scenarios!F142</f>
        <v/>
      </c>
      <c r="C6" s="359">
        <f>Scenarios!F149</f>
        <v/>
      </c>
      <c r="D6" s="359">
        <f>Scenarios!F156</f>
        <v/>
      </c>
      <c r="E6" s="360" t="inlineStr">
        <is>
          <t>—</t>
        </is>
      </c>
      <c r="I6" s="361" t="inlineStr">
        <is>
          <t xml:space="preserve">  Exits at Refi? →</t>
        </is>
      </c>
      <c r="J6" s="288" t="inlineStr">
        <is>
          <t>YES</t>
        </is>
      </c>
      <c r="K6" s="362" t="n"/>
      <c r="L6" s="362" t="n"/>
      <c r="M6" s="362" t="n"/>
      <c r="N6" s="362" t="n"/>
      <c r="O6" s="362" t="n"/>
      <c r="P6" s="362" t="n"/>
      <c r="Q6" s="362" t="n"/>
      <c r="R6" s="362" t="n"/>
      <c r="S6" s="362" t="n"/>
    </row>
    <row r="7">
      <c r="A7" s="10" t="inlineStr">
        <is>
          <t>Loan Term (yrs)</t>
        </is>
      </c>
      <c r="B7" s="357">
        <f>Scenarios!F144</f>
        <v/>
      </c>
      <c r="C7" s="357">
        <f>Scenarios!F151</f>
        <v/>
      </c>
      <c r="D7" s="357">
        <f>Scenarios!F158</f>
        <v/>
      </c>
      <c r="E7" s="358" t="inlineStr">
        <is>
          <t>—</t>
        </is>
      </c>
      <c r="I7" s="991" t="inlineStr">
        <is>
          <t xml:space="preserve">  Beginning Balance</t>
        </is>
      </c>
      <c r="J7" s="220">
        <f>IF(1&lt;=IF($J$6="YES",IF(AND(ISNUMBER('Exit Strategy'!$C$5),'Exit Strategy'!$C$5&gt;0),'Exit Strategy'!$C$5,Scenarios!$F$86),Scenarios!$F$86),IFERROR(Scenarios!$F$141,0),0)</f>
        <v/>
      </c>
      <c r="K7" s="220">
        <f>IF(2&lt;=IF($J$6="YES",IF(AND(ISNUMBER('Exit Strategy'!$C$5),'Exit Strategy'!$C$5&gt;0),'Exit Strategy'!$C$5,Scenarios!$F$86),Scenarios!$F$86),J11,0)</f>
        <v/>
      </c>
      <c r="L7" s="220">
        <f>IF(3&lt;=IF($J$6="YES",IF(AND(ISNUMBER('Exit Strategy'!$C$5),'Exit Strategy'!$C$5&gt;0),'Exit Strategy'!$C$5,Scenarios!$F$86),Scenarios!$F$86),K11,0)</f>
        <v/>
      </c>
      <c r="M7" s="220">
        <f>IF(4&lt;=IF($J$6="YES",IF(AND(ISNUMBER('Exit Strategy'!$C$5),'Exit Strategy'!$C$5&gt;0),'Exit Strategy'!$C$5,Scenarios!$F$86),Scenarios!$F$86),L11,0)</f>
        <v/>
      </c>
      <c r="N7" s="220">
        <f>IF(5&lt;=IF($J$6="YES",IF(AND(ISNUMBER('Exit Strategy'!$C$5),'Exit Strategy'!$C$5&gt;0),'Exit Strategy'!$C$5,Scenarios!$F$86),Scenarios!$F$86),M11,0)</f>
        <v/>
      </c>
      <c r="O7" s="220">
        <f>IF(6&lt;=IF($J$6="YES",IF(AND(ISNUMBER('Exit Strategy'!$C$5),'Exit Strategy'!$C$5&gt;0),'Exit Strategy'!$C$5,Scenarios!$F$86),Scenarios!$F$86),N11,0)</f>
        <v/>
      </c>
      <c r="P7" s="220">
        <f>IF(7&lt;=IF($J$6="YES",IF(AND(ISNUMBER('Exit Strategy'!$C$5),'Exit Strategy'!$C$5&gt;0),'Exit Strategy'!$C$5,Scenarios!$F$86),Scenarios!$F$86),O11,0)</f>
        <v/>
      </c>
      <c r="Q7" s="220">
        <f>IF(8&lt;=IF($J$6="YES",IF(AND(ISNUMBER('Exit Strategy'!$C$5),'Exit Strategy'!$C$5&gt;0),'Exit Strategy'!$C$5,Scenarios!$F$86),Scenarios!$F$86),P11,0)</f>
        <v/>
      </c>
      <c r="R7" s="220">
        <f>IF(9&lt;=IF($J$6="YES",IF(AND(ISNUMBER('Exit Strategy'!$C$5),'Exit Strategy'!$C$5&gt;0),'Exit Strategy'!$C$5,Scenarios!$F$86),Scenarios!$F$86),Q11,0)</f>
        <v/>
      </c>
      <c r="S7" s="220">
        <f>IF(10&lt;=IF($J$6="YES",IF(AND(ISNUMBER('Exit Strategy'!$C$5),'Exit Strategy'!$C$5&gt;0),'Exit Strategy'!$C$5,Scenarios!$F$86),Scenarios!$F$86),R11,0)</f>
        <v/>
      </c>
    </row>
    <row r="8">
      <c r="A8" s="8" t="inlineStr">
        <is>
          <t>Interest-Only Months</t>
        </is>
      </c>
      <c r="B8" s="363">
        <f>Scenarios!F145</f>
        <v/>
      </c>
      <c r="C8" s="363">
        <f>Scenarios!F152</f>
        <v/>
      </c>
      <c r="D8" s="363">
        <f>Scenarios!F159</f>
        <v/>
      </c>
      <c r="E8" s="358" t="inlineStr">
        <is>
          <t>—</t>
        </is>
      </c>
      <c r="I8" s="993" t="inlineStr">
        <is>
          <t xml:space="preserve">  Principal Paid</t>
        </is>
      </c>
      <c r="J8" s="229">
        <f>IF(1&gt;IF($J$6="YES",IF(AND(ISNUMBER('Exit Strategy'!$C$5),'Exit Strategy'!$C$5&gt;0),'Exit Strategy'!$C$5,Scenarios!$F$86),Scenarios!$F$86),0,IFERROR(IF(AND(ISNUMBER(Scenarios!$F$145),Scenarios!$F$145&gt;0,1*12&lt;=Scenarios!$F$145),0,-CUMPRINC(Scenarios!$F$142/12,Scenarios!$F$143*12,Scenarios!$F$141,(1-1)*12+1,1*12,0)),0))</f>
        <v/>
      </c>
      <c r="K8" s="229">
        <f>IF(2&gt;IF($J$6="YES",IF(AND(ISNUMBER('Exit Strategy'!$C$5),'Exit Strategy'!$C$5&gt;0),'Exit Strategy'!$C$5,Scenarios!$F$86),Scenarios!$F$86),0,IFERROR(IF(AND(ISNUMBER(Scenarios!$F$145),Scenarios!$F$145&gt;0,2*12&lt;=Scenarios!$F$145),0,-CUMPRINC(Scenarios!$F$142/12,Scenarios!$F$143*12,Scenarios!$F$141,(2-1)*12+1,2*12,0)),0))</f>
        <v/>
      </c>
      <c r="L8" s="229">
        <f>IF(3&gt;IF($J$6="YES",IF(AND(ISNUMBER('Exit Strategy'!$C$5),'Exit Strategy'!$C$5&gt;0),'Exit Strategy'!$C$5,Scenarios!$F$86),Scenarios!$F$86),0,IFERROR(IF(AND(ISNUMBER(Scenarios!$F$145),Scenarios!$F$145&gt;0,3*12&lt;=Scenarios!$F$145),0,-CUMPRINC(Scenarios!$F$142/12,Scenarios!$F$143*12,Scenarios!$F$141,(3-1)*12+1,3*12,0)),0))</f>
        <v/>
      </c>
      <c r="M8" s="229">
        <f>IF(4&gt;IF($J$6="YES",IF(AND(ISNUMBER('Exit Strategy'!$C$5),'Exit Strategy'!$C$5&gt;0),'Exit Strategy'!$C$5,Scenarios!$F$86),Scenarios!$F$86),0,IFERROR(IF(AND(ISNUMBER(Scenarios!$F$145),Scenarios!$F$145&gt;0,4*12&lt;=Scenarios!$F$145),0,-CUMPRINC(Scenarios!$F$142/12,Scenarios!$F$143*12,Scenarios!$F$141,(4-1)*12+1,4*12,0)),0))</f>
        <v/>
      </c>
      <c r="N8" s="229">
        <f>IF(5&gt;IF($J$6="YES",IF(AND(ISNUMBER('Exit Strategy'!$C$5),'Exit Strategy'!$C$5&gt;0),'Exit Strategy'!$C$5,Scenarios!$F$86),Scenarios!$F$86),0,IFERROR(IF(AND(ISNUMBER(Scenarios!$F$145),Scenarios!$F$145&gt;0,5*12&lt;=Scenarios!$F$145),0,-CUMPRINC(Scenarios!$F$142/12,Scenarios!$F$143*12,Scenarios!$F$141,(5-1)*12+1,5*12,0)),0))</f>
        <v/>
      </c>
      <c r="O8" s="229">
        <f>IF(6&gt;IF($J$6="YES",IF(AND(ISNUMBER('Exit Strategy'!$C$5),'Exit Strategy'!$C$5&gt;0),'Exit Strategy'!$C$5,Scenarios!$F$86),Scenarios!$F$86),0,IFERROR(IF(AND(ISNUMBER(Scenarios!$F$145),Scenarios!$F$145&gt;0,6*12&lt;=Scenarios!$F$145),0,-CUMPRINC(Scenarios!$F$142/12,Scenarios!$F$143*12,Scenarios!$F$141,(6-1)*12+1,6*12,0)),0))</f>
        <v/>
      </c>
      <c r="P8" s="229">
        <f>IF(7&gt;IF($J$6="YES",IF(AND(ISNUMBER('Exit Strategy'!$C$5),'Exit Strategy'!$C$5&gt;0),'Exit Strategy'!$C$5,Scenarios!$F$86),Scenarios!$F$86),0,IFERROR(IF(AND(ISNUMBER(Scenarios!$F$145),Scenarios!$F$145&gt;0,7*12&lt;=Scenarios!$F$145),0,-CUMPRINC(Scenarios!$F$142/12,Scenarios!$F$143*12,Scenarios!$F$141,(7-1)*12+1,7*12,0)),0))</f>
        <v/>
      </c>
      <c r="Q8" s="229">
        <f>IF(8&gt;IF($J$6="YES",IF(AND(ISNUMBER('Exit Strategy'!$C$5),'Exit Strategy'!$C$5&gt;0),'Exit Strategy'!$C$5,Scenarios!$F$86),Scenarios!$F$86),0,IFERROR(IF(AND(ISNUMBER(Scenarios!$F$145),Scenarios!$F$145&gt;0,8*12&lt;=Scenarios!$F$145),0,-CUMPRINC(Scenarios!$F$142/12,Scenarios!$F$143*12,Scenarios!$F$141,(8-1)*12+1,8*12,0)),0))</f>
        <v/>
      </c>
      <c r="R8" s="229">
        <f>IF(9&gt;IF($J$6="YES",IF(AND(ISNUMBER('Exit Strategy'!$C$5),'Exit Strategy'!$C$5&gt;0),'Exit Strategy'!$C$5,Scenarios!$F$86),Scenarios!$F$86),0,IFERROR(IF(AND(ISNUMBER(Scenarios!$F$145),Scenarios!$F$145&gt;0,9*12&lt;=Scenarios!$F$145),0,-CUMPRINC(Scenarios!$F$142/12,Scenarios!$F$143*12,Scenarios!$F$141,(9-1)*12+1,9*12,0)),0))</f>
        <v/>
      </c>
      <c r="S8" s="229">
        <f>IF(10&gt;IF($J$6="YES",IF(AND(ISNUMBER('Exit Strategy'!$C$5),'Exit Strategy'!$C$5&gt;0),'Exit Strategy'!$C$5,Scenarios!$F$86),Scenarios!$F$86),0,IFERROR(IF(AND(ISNUMBER(Scenarios!$F$145),Scenarios!$F$145&gt;0,10*12&lt;=Scenarios!$F$145),0,-CUMPRINC(Scenarios!$F$142/12,Scenarios!$F$143*12,Scenarios!$F$141,(10-1)*12+1,10*12,0)),0))</f>
        <v/>
      </c>
    </row>
    <row r="9">
      <c r="A9" s="10" t="inlineStr">
        <is>
          <t>Origination Fee %</t>
        </is>
      </c>
      <c r="B9" s="364">
        <f>Scenarios!F146</f>
        <v/>
      </c>
      <c r="C9" s="364">
        <f>Scenarios!F153</f>
        <v/>
      </c>
      <c r="D9" s="364">
        <f>Scenarios!F160</f>
        <v/>
      </c>
      <c r="E9" s="360" t="inlineStr">
        <is>
          <t>—</t>
        </is>
      </c>
      <c r="I9" s="991" t="inlineStr">
        <is>
          <t xml:space="preserve">  Interest Paid</t>
        </is>
      </c>
      <c r="J9" s="220">
        <f>IF(1&gt;IF($J$6="YES",IF(AND(ISNUMBER('Exit Strategy'!$C$5),'Exit Strategy'!$C$5&gt;0),'Exit Strategy'!$C$5,Scenarios!$F$86),Scenarios!$F$86),0,IFERROR(IF(AND(ISNUMBER(Scenarios!$F$145),Scenarios!$F$145&gt;0,1*12&lt;=Scenarios!$F$145),Scenarios!$F$141*Scenarios!$F$142,-CUMIPMT(Scenarios!$F$142/12,Scenarios!$F$143*12,Scenarios!$F$141,(1-1)*12+1,1*12,0)),0))</f>
        <v/>
      </c>
      <c r="K9" s="220">
        <f>IF(2&gt;IF($J$6="YES",IF(AND(ISNUMBER('Exit Strategy'!$C$5),'Exit Strategy'!$C$5&gt;0),'Exit Strategy'!$C$5,Scenarios!$F$86),Scenarios!$F$86),0,IFERROR(IF(AND(ISNUMBER(Scenarios!$F$145),Scenarios!$F$145&gt;0,2*12&lt;=Scenarios!$F$145),Scenarios!$F$141*Scenarios!$F$142,-CUMIPMT(Scenarios!$F$142/12,Scenarios!$F$143*12,Scenarios!$F$141,(2-1)*12+1,2*12,0)),0))</f>
        <v/>
      </c>
      <c r="L9" s="220">
        <f>IF(3&gt;IF($J$6="YES",IF(AND(ISNUMBER('Exit Strategy'!$C$5),'Exit Strategy'!$C$5&gt;0),'Exit Strategy'!$C$5,Scenarios!$F$86),Scenarios!$F$86),0,IFERROR(IF(AND(ISNUMBER(Scenarios!$F$145),Scenarios!$F$145&gt;0,3*12&lt;=Scenarios!$F$145),Scenarios!$F$141*Scenarios!$F$142,-CUMIPMT(Scenarios!$F$142/12,Scenarios!$F$143*12,Scenarios!$F$141,(3-1)*12+1,3*12,0)),0))</f>
        <v/>
      </c>
      <c r="M9" s="220">
        <f>IF(4&gt;IF($J$6="YES",IF(AND(ISNUMBER('Exit Strategy'!$C$5),'Exit Strategy'!$C$5&gt;0),'Exit Strategy'!$C$5,Scenarios!$F$86),Scenarios!$F$86),0,IFERROR(IF(AND(ISNUMBER(Scenarios!$F$145),Scenarios!$F$145&gt;0,4*12&lt;=Scenarios!$F$145),Scenarios!$F$141*Scenarios!$F$142,-CUMIPMT(Scenarios!$F$142/12,Scenarios!$F$143*12,Scenarios!$F$141,(4-1)*12+1,4*12,0)),0))</f>
        <v/>
      </c>
      <c r="N9" s="220">
        <f>IF(5&gt;IF($J$6="YES",IF(AND(ISNUMBER('Exit Strategy'!$C$5),'Exit Strategy'!$C$5&gt;0),'Exit Strategy'!$C$5,Scenarios!$F$86),Scenarios!$F$86),0,IFERROR(IF(AND(ISNUMBER(Scenarios!$F$145),Scenarios!$F$145&gt;0,5*12&lt;=Scenarios!$F$145),Scenarios!$F$141*Scenarios!$F$142,-CUMIPMT(Scenarios!$F$142/12,Scenarios!$F$143*12,Scenarios!$F$141,(5-1)*12+1,5*12,0)),0))</f>
        <v/>
      </c>
      <c r="O9" s="220">
        <f>IF(6&gt;IF($J$6="YES",IF(AND(ISNUMBER('Exit Strategy'!$C$5),'Exit Strategy'!$C$5&gt;0),'Exit Strategy'!$C$5,Scenarios!$F$86),Scenarios!$F$86),0,IFERROR(IF(AND(ISNUMBER(Scenarios!$F$145),Scenarios!$F$145&gt;0,6*12&lt;=Scenarios!$F$145),Scenarios!$F$141*Scenarios!$F$142,-CUMIPMT(Scenarios!$F$142/12,Scenarios!$F$143*12,Scenarios!$F$141,(6-1)*12+1,6*12,0)),0))</f>
        <v/>
      </c>
      <c r="P9" s="220">
        <f>IF(7&gt;IF($J$6="YES",IF(AND(ISNUMBER('Exit Strategy'!$C$5),'Exit Strategy'!$C$5&gt;0),'Exit Strategy'!$C$5,Scenarios!$F$86),Scenarios!$F$86),0,IFERROR(IF(AND(ISNUMBER(Scenarios!$F$145),Scenarios!$F$145&gt;0,7*12&lt;=Scenarios!$F$145),Scenarios!$F$141*Scenarios!$F$142,-CUMIPMT(Scenarios!$F$142/12,Scenarios!$F$143*12,Scenarios!$F$141,(7-1)*12+1,7*12,0)),0))</f>
        <v/>
      </c>
      <c r="Q9" s="220">
        <f>IF(8&gt;IF($J$6="YES",IF(AND(ISNUMBER('Exit Strategy'!$C$5),'Exit Strategy'!$C$5&gt;0),'Exit Strategy'!$C$5,Scenarios!$F$86),Scenarios!$F$86),0,IFERROR(IF(AND(ISNUMBER(Scenarios!$F$145),Scenarios!$F$145&gt;0,8*12&lt;=Scenarios!$F$145),Scenarios!$F$141*Scenarios!$F$142,-CUMIPMT(Scenarios!$F$142/12,Scenarios!$F$143*12,Scenarios!$F$141,(8-1)*12+1,8*12,0)),0))</f>
        <v/>
      </c>
      <c r="R9" s="220">
        <f>IF(9&gt;IF($J$6="YES",IF(AND(ISNUMBER('Exit Strategy'!$C$5),'Exit Strategy'!$C$5&gt;0),'Exit Strategy'!$C$5,Scenarios!$F$86),Scenarios!$F$86),0,IFERROR(IF(AND(ISNUMBER(Scenarios!$F$145),Scenarios!$F$145&gt;0,9*12&lt;=Scenarios!$F$145),Scenarios!$F$141*Scenarios!$F$142,-CUMIPMT(Scenarios!$F$142/12,Scenarios!$F$143*12,Scenarios!$F$141,(9-1)*12+1,9*12,0)),0))</f>
        <v/>
      </c>
      <c r="S9" s="220">
        <f>IF(10&gt;IF($J$6="YES",IF(AND(ISNUMBER('Exit Strategy'!$C$5),'Exit Strategy'!$C$5&gt;0),'Exit Strategy'!$C$5,Scenarios!$F$86),Scenarios!$F$86),0,IFERROR(IF(AND(ISNUMBER(Scenarios!$F$145),Scenarios!$F$145&gt;0,10*12&lt;=Scenarios!$F$145),Scenarios!$F$141*Scenarios!$F$142,-CUMIPMT(Scenarios!$F$142/12,Scenarios!$F$143*12,Scenarios!$F$141,(10-1)*12+1,10*12,0)),0))</f>
        <v/>
      </c>
    </row>
    <row r="10">
      <c r="A10" s="8" t="inlineStr">
        <is>
          <t>Origination Fee $</t>
        </is>
      </c>
      <c r="B10" s="72">
        <f>B4*B9</f>
        <v/>
      </c>
      <c r="C10" s="72">
        <f>C4*C9</f>
        <v/>
      </c>
      <c r="D10" s="72">
        <f>D4*D9</f>
        <v/>
      </c>
      <c r="E10" s="101">
        <f>B10+C10+D10</f>
        <v/>
      </c>
      <c r="I10" s="227" t="inlineStr">
        <is>
          <t xml:space="preserve">  Total Debt Service</t>
        </is>
      </c>
      <c r="J10" s="228">
        <f>J8+J9</f>
        <v/>
      </c>
      <c r="K10" s="228">
        <f>K8+K9</f>
        <v/>
      </c>
      <c r="L10" s="228">
        <f>L8+L9</f>
        <v/>
      </c>
      <c r="M10" s="228">
        <f>M8+M9</f>
        <v/>
      </c>
      <c r="N10" s="228">
        <f>N8+N9</f>
        <v/>
      </c>
      <c r="O10" s="228">
        <f>O8+O9</f>
        <v/>
      </c>
      <c r="P10" s="228">
        <f>P8+P9</f>
        <v/>
      </c>
      <c r="Q10" s="228">
        <f>Q8+Q9</f>
        <v/>
      </c>
      <c r="R10" s="228">
        <f>R8+R9</f>
        <v/>
      </c>
      <c r="S10" s="228">
        <f>S8+S9</f>
        <v/>
      </c>
    </row>
    <row r="11">
      <c r="A11" s="10" t="inlineStr">
        <is>
          <t>Annual Debt Service</t>
        </is>
      </c>
      <c r="B11" s="69">
        <f>IFERROR(IF(B4=0,0,IF(B8&gt;0,B4*B6,B12*12)),0)</f>
        <v/>
      </c>
      <c r="C11" s="69">
        <f>IFERROR(IF(C4=0,0,IF(C8&gt;0,C4*C6,C12*12)),0)</f>
        <v/>
      </c>
      <c r="D11" s="69">
        <f>IFERROR(IF(D4=0,0,IF(D8&gt;0,D4*D6,D12*12)),0)</f>
        <v/>
      </c>
      <c r="E11" s="101">
        <f>B11+C11+D11</f>
        <v/>
      </c>
      <c r="I11" s="365" t="inlineStr">
        <is>
          <t xml:space="preserve">  Ending Balance</t>
        </is>
      </c>
      <c r="J11" s="366">
        <f>J7-J8</f>
        <v/>
      </c>
      <c r="K11" s="366">
        <f>K7-K8</f>
        <v/>
      </c>
      <c r="L11" s="366">
        <f>L7-L8</f>
        <v/>
      </c>
      <c r="M11" s="366">
        <f>M7-M8</f>
        <v/>
      </c>
      <c r="N11" s="366">
        <f>N7-N8</f>
        <v/>
      </c>
      <c r="O11" s="366">
        <f>O7-O8</f>
        <v/>
      </c>
      <c r="P11" s="366">
        <f>P7-P8</f>
        <v/>
      </c>
      <c r="Q11" s="366">
        <f>Q7-Q8</f>
        <v/>
      </c>
      <c r="R11" s="366">
        <f>R7-R8</f>
        <v/>
      </c>
      <c r="S11" s="366">
        <f>S7-S8</f>
        <v/>
      </c>
    </row>
    <row r="12">
      <c r="A12" s="8" t="inlineStr">
        <is>
          <t>Monthly Payment</t>
        </is>
      </c>
      <c r="B12" s="72">
        <f>IFERROR(IF(B4=0,0,-PMT(B6/12,B5*12,B4)),0)</f>
        <v/>
      </c>
      <c r="C12" s="72">
        <f>IFERROR(IF(C4=0,0,-PMT(C6/12,C5*12,C4)),0)</f>
        <v/>
      </c>
      <c r="D12" s="72">
        <f>IFERROR(IF(D4=0,0,-PMT(D6/12,D5*12,D4)),0)</f>
        <v/>
      </c>
      <c r="E12" s="101">
        <f>B12+C12+D12</f>
        <v/>
      </c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</row>
    <row r="13">
      <c r="A13" s="10" t="inlineStr">
        <is>
          <t>Annual Interest (Y1)</t>
        </is>
      </c>
      <c r="B13" s="69">
        <f>IFERROR(B4*B6,0)</f>
        <v/>
      </c>
      <c r="C13" s="69">
        <f>IFERROR(C4*C6,0)</f>
        <v/>
      </c>
      <c r="D13" s="69">
        <f>IFERROR(D4*D6,0)</f>
        <v/>
      </c>
      <c r="E13" s="101">
        <f>B13+C13+D13</f>
        <v/>
      </c>
      <c r="I13" s="367" t="inlineStr">
        <is>
          <t>2nd Mortgage</t>
        </is>
      </c>
      <c r="J13" s="368">
        <f>IFERROR(Scenarios!$F$148,0)</f>
        <v/>
      </c>
      <c r="K13" s="369" t="n"/>
      <c r="L13" s="369" t="n"/>
      <c r="M13" s="369" t="n"/>
      <c r="N13" s="369" t="n"/>
      <c r="O13" s="369" t="n"/>
      <c r="P13" s="369" t="n"/>
      <c r="Q13" s="369" t="n"/>
      <c r="R13" s="369" t="n"/>
      <c r="S13" s="369" t="n"/>
    </row>
    <row r="14">
      <c r="A14" s="8" t="inlineStr">
        <is>
          <t>Annual Principal (Y1)</t>
        </is>
      </c>
      <c r="B14" s="72">
        <f>IFERROR(ABS(B11)-B13,0)</f>
        <v/>
      </c>
      <c r="C14" s="72">
        <f>IFERROR(ABS(C11)-C13,0)</f>
        <v/>
      </c>
      <c r="D14" s="72">
        <f>IFERROR(ABS(D11)-D13,0)</f>
        <v/>
      </c>
      <c r="E14" s="101">
        <f>B14+C14+D14</f>
        <v/>
      </c>
      <c r="I14" s="361" t="inlineStr">
        <is>
          <t xml:space="preserve">  Exits at Refi? →</t>
        </is>
      </c>
      <c r="J14" s="288" t="inlineStr">
        <is>
          <t>NO</t>
        </is>
      </c>
      <c r="K14" s="362" t="n"/>
      <c r="L14" s="362" t="n"/>
      <c r="M14" s="362" t="n"/>
      <c r="N14" s="362" t="n"/>
      <c r="O14" s="362" t="n"/>
      <c r="P14" s="362" t="n"/>
      <c r="Q14" s="362" t="n"/>
      <c r="R14" s="362" t="n"/>
      <c r="S14" s="362" t="n"/>
    </row>
    <row r="15" ht="16.5" customHeight="1" s="923">
      <c r="I15" s="991" t="inlineStr">
        <is>
          <t xml:space="preserve">  Beginning Balance</t>
        </is>
      </c>
      <c r="J15" s="220">
        <f>IF(1&lt;=IF($J$14="YES",IF(AND(ISNUMBER('Exit Strategy'!$C$5),'Exit Strategy'!$C$5&gt;0),'Exit Strategy'!$C$5,Scenarios!$F$86),Scenarios!$F$86),IFERROR(Scenarios!$F$148,0),0)</f>
        <v/>
      </c>
      <c r="K15" s="220">
        <f>IF(2&lt;=IF($J$14="YES",IF(AND(ISNUMBER('Exit Strategy'!$C$5),'Exit Strategy'!$C$5&gt;0),'Exit Strategy'!$C$5,Scenarios!$F$86),Scenarios!$F$86),J19,0)</f>
        <v/>
      </c>
      <c r="L15" s="220">
        <f>IF(3&lt;=IF($J$14="YES",IF(AND(ISNUMBER('Exit Strategy'!$C$5),'Exit Strategy'!$C$5&gt;0),'Exit Strategy'!$C$5,Scenarios!$F$86),Scenarios!$F$86),K19,0)</f>
        <v/>
      </c>
      <c r="M15" s="220">
        <f>IF(4&lt;=IF($J$14="YES",IF(AND(ISNUMBER('Exit Strategy'!$C$5),'Exit Strategy'!$C$5&gt;0),'Exit Strategy'!$C$5,Scenarios!$F$86),Scenarios!$F$86),L19,0)</f>
        <v/>
      </c>
      <c r="N15" s="220">
        <f>IF(5&lt;=IF($J$14="YES",IF(AND(ISNUMBER('Exit Strategy'!$C$5),'Exit Strategy'!$C$5&gt;0),'Exit Strategy'!$C$5,Scenarios!$F$86),Scenarios!$F$86),M19,0)</f>
        <v/>
      </c>
      <c r="O15" s="220">
        <f>IF(6&lt;=IF($J$14="YES",IF(AND(ISNUMBER('Exit Strategy'!$C$5),'Exit Strategy'!$C$5&gt;0),'Exit Strategy'!$C$5,Scenarios!$F$86),Scenarios!$F$86),N19,0)</f>
        <v/>
      </c>
      <c r="P15" s="220">
        <f>IF(7&lt;=IF($J$14="YES",IF(AND(ISNUMBER('Exit Strategy'!$C$5),'Exit Strategy'!$C$5&gt;0),'Exit Strategy'!$C$5,Scenarios!$F$86),Scenarios!$F$86),O19,0)</f>
        <v/>
      </c>
      <c r="Q15" s="220">
        <f>IF(8&lt;=IF($J$14="YES",IF(AND(ISNUMBER('Exit Strategy'!$C$5),'Exit Strategy'!$C$5&gt;0),'Exit Strategy'!$C$5,Scenarios!$F$86),Scenarios!$F$86),P19,0)</f>
        <v/>
      </c>
      <c r="R15" s="220">
        <f>IF(9&lt;=IF($J$14="YES",IF(AND(ISNUMBER('Exit Strategy'!$C$5),'Exit Strategy'!$C$5&gt;0),'Exit Strategy'!$C$5,Scenarios!$F$86),Scenarios!$F$86),Q19,0)</f>
        <v/>
      </c>
      <c r="S15" s="220">
        <f>IF(10&lt;=IF($J$14="YES",IF(AND(ISNUMBER('Exit Strategy'!$C$5),'Exit Strategy'!$C$5&gt;0),'Exit Strategy'!$C$5,Scenarios!$F$86),Scenarios!$F$86),R19,0)</f>
        <v/>
      </c>
    </row>
    <row r="16" ht="16.5" customHeight="1" s="923">
      <c r="I16" s="993" t="inlineStr">
        <is>
          <t xml:space="preserve">  Principal Paid</t>
        </is>
      </c>
      <c r="J16" s="229">
        <f>IF(1&gt;IF($J$14="YES",IF(AND(ISNUMBER('Exit Strategy'!$C$5),'Exit Strategy'!$C$5&gt;0),'Exit Strategy'!$C$5,Scenarios!$F$86),Scenarios!$F$86),0,IFERROR(IF(AND(ISNUMBER(Scenarios!$F$152),Scenarios!$F$152&gt;0,1*12&lt;=Scenarios!$F$152),0,-CUMPRINC(Scenarios!$F$149/12,Scenarios!$F$150*12,Scenarios!$F$148,(1-1)*12+1,1*12,0)),0))</f>
        <v/>
      </c>
      <c r="K16" s="229">
        <f>IF(2&gt;IF($J$14="YES",IF(AND(ISNUMBER('Exit Strategy'!$C$5),'Exit Strategy'!$C$5&gt;0),'Exit Strategy'!$C$5,Scenarios!$F$86),Scenarios!$F$86),0,IFERROR(IF(AND(ISNUMBER(Scenarios!$F$152),Scenarios!$F$152&gt;0,2*12&lt;=Scenarios!$F$152),0,-CUMPRINC(Scenarios!$F$149/12,Scenarios!$F$150*12,Scenarios!$F$148,(2-1)*12+1,2*12,0)),0))</f>
        <v/>
      </c>
      <c r="L16" s="229">
        <f>IF(3&gt;IF($J$14="YES",IF(AND(ISNUMBER('Exit Strategy'!$C$5),'Exit Strategy'!$C$5&gt;0),'Exit Strategy'!$C$5,Scenarios!$F$86),Scenarios!$F$86),0,IFERROR(IF(AND(ISNUMBER(Scenarios!$F$152),Scenarios!$F$152&gt;0,3*12&lt;=Scenarios!$F$152),0,-CUMPRINC(Scenarios!$F$149/12,Scenarios!$F$150*12,Scenarios!$F$148,(3-1)*12+1,3*12,0)),0))</f>
        <v/>
      </c>
      <c r="M16" s="229">
        <f>IF(4&gt;IF($J$14="YES",IF(AND(ISNUMBER('Exit Strategy'!$C$5),'Exit Strategy'!$C$5&gt;0),'Exit Strategy'!$C$5,Scenarios!$F$86),Scenarios!$F$86),0,IFERROR(IF(AND(ISNUMBER(Scenarios!$F$152),Scenarios!$F$152&gt;0,4*12&lt;=Scenarios!$F$152),0,-CUMPRINC(Scenarios!$F$149/12,Scenarios!$F$150*12,Scenarios!$F$148,(4-1)*12+1,4*12,0)),0))</f>
        <v/>
      </c>
      <c r="N16" s="229">
        <f>IF(5&gt;IF($J$14="YES",IF(AND(ISNUMBER('Exit Strategy'!$C$5),'Exit Strategy'!$C$5&gt;0),'Exit Strategy'!$C$5,Scenarios!$F$86),Scenarios!$F$86),0,IFERROR(IF(AND(ISNUMBER(Scenarios!$F$152),Scenarios!$F$152&gt;0,5*12&lt;=Scenarios!$F$152),0,-CUMPRINC(Scenarios!$F$149/12,Scenarios!$F$150*12,Scenarios!$F$148,(5-1)*12+1,5*12,0)),0))</f>
        <v/>
      </c>
      <c r="O16" s="229">
        <f>IF(6&gt;IF($J$14="YES",IF(AND(ISNUMBER('Exit Strategy'!$C$5),'Exit Strategy'!$C$5&gt;0),'Exit Strategy'!$C$5,Scenarios!$F$86),Scenarios!$F$86),0,IFERROR(IF(AND(ISNUMBER(Scenarios!$F$152),Scenarios!$F$152&gt;0,6*12&lt;=Scenarios!$F$152),0,-CUMPRINC(Scenarios!$F$149/12,Scenarios!$F$150*12,Scenarios!$F$148,(6-1)*12+1,6*12,0)),0))</f>
        <v/>
      </c>
      <c r="P16" s="229">
        <f>IF(7&gt;IF($J$14="YES",IF(AND(ISNUMBER('Exit Strategy'!$C$5),'Exit Strategy'!$C$5&gt;0),'Exit Strategy'!$C$5,Scenarios!$F$86),Scenarios!$F$86),0,IFERROR(IF(AND(ISNUMBER(Scenarios!$F$152),Scenarios!$F$152&gt;0,7*12&lt;=Scenarios!$F$152),0,-CUMPRINC(Scenarios!$F$149/12,Scenarios!$F$150*12,Scenarios!$F$148,(7-1)*12+1,7*12,0)),0))</f>
        <v/>
      </c>
      <c r="Q16" s="229">
        <f>IF(8&gt;IF($J$14="YES",IF(AND(ISNUMBER('Exit Strategy'!$C$5),'Exit Strategy'!$C$5&gt;0),'Exit Strategy'!$C$5,Scenarios!$F$86),Scenarios!$F$86),0,IFERROR(IF(AND(ISNUMBER(Scenarios!$F$152),Scenarios!$F$152&gt;0,8*12&lt;=Scenarios!$F$152),0,-CUMPRINC(Scenarios!$F$149/12,Scenarios!$F$150*12,Scenarios!$F$148,(8-1)*12+1,8*12,0)),0))</f>
        <v/>
      </c>
      <c r="R16" s="229">
        <f>IF(9&gt;IF($J$14="YES",IF(AND(ISNUMBER('Exit Strategy'!$C$5),'Exit Strategy'!$C$5&gt;0),'Exit Strategy'!$C$5,Scenarios!$F$86),Scenarios!$F$86),0,IFERROR(IF(AND(ISNUMBER(Scenarios!$F$152),Scenarios!$F$152&gt;0,9*12&lt;=Scenarios!$F$152),0,-CUMPRINC(Scenarios!$F$149/12,Scenarios!$F$150*12,Scenarios!$F$148,(9-1)*12+1,9*12,0)),0))</f>
        <v/>
      </c>
      <c r="S16" s="229">
        <f>IF(10&gt;IF($J$14="YES",IF(AND(ISNUMBER('Exit Strategy'!$C$5),'Exit Strategy'!$C$5&gt;0),'Exit Strategy'!$C$5,Scenarios!$F$86),Scenarios!$F$86),0,IFERROR(IF(AND(ISNUMBER(Scenarios!$F$152),Scenarios!$F$152&gt;0,10*12&lt;=Scenarios!$F$152),0,-CUMPRINC(Scenarios!$F$149/12,Scenarios!$F$150*12,Scenarios!$F$148,(10-1)*12+1,10*12,0)),0))</f>
        <v/>
      </c>
    </row>
    <row r="17" ht="16.5" customHeight="1" s="923">
      <c r="I17" s="991" t="inlineStr">
        <is>
          <t xml:space="preserve">  Interest Paid</t>
        </is>
      </c>
      <c r="J17" s="220">
        <f>IF(1&gt;IF($J$14="YES",IF(AND(ISNUMBER('Exit Strategy'!$C$5),'Exit Strategy'!$C$5&gt;0),'Exit Strategy'!$C$5,Scenarios!$F$86),Scenarios!$F$86),0,IFERROR(IF(AND(ISNUMBER(Scenarios!$F$152),Scenarios!$F$152&gt;0,1*12&lt;=Scenarios!$F$152),Scenarios!$F$148*Scenarios!$F$149,-CUMIPMT(Scenarios!$F$149/12,Scenarios!$F$150*12,Scenarios!$F$148,(1-1)*12+1,1*12,0)),0))</f>
        <v/>
      </c>
      <c r="K17" s="220">
        <f>IF(2&gt;IF($J$14="YES",IF(AND(ISNUMBER('Exit Strategy'!$C$5),'Exit Strategy'!$C$5&gt;0),'Exit Strategy'!$C$5,Scenarios!$F$86),Scenarios!$F$86),0,IFERROR(IF(AND(ISNUMBER(Scenarios!$F$152),Scenarios!$F$152&gt;0,2*12&lt;=Scenarios!$F$152),Scenarios!$F$148*Scenarios!$F$149,-CUMIPMT(Scenarios!$F$149/12,Scenarios!$F$150*12,Scenarios!$F$148,(2-1)*12+1,2*12,0)),0))</f>
        <v/>
      </c>
      <c r="L17" s="220">
        <f>IF(3&gt;IF($J$14="YES",IF(AND(ISNUMBER('Exit Strategy'!$C$5),'Exit Strategy'!$C$5&gt;0),'Exit Strategy'!$C$5,Scenarios!$F$86),Scenarios!$F$86),0,IFERROR(IF(AND(ISNUMBER(Scenarios!$F$152),Scenarios!$F$152&gt;0,3*12&lt;=Scenarios!$F$152),Scenarios!$F$148*Scenarios!$F$149,-CUMIPMT(Scenarios!$F$149/12,Scenarios!$F$150*12,Scenarios!$F$148,(3-1)*12+1,3*12,0)),0))</f>
        <v/>
      </c>
      <c r="M17" s="220">
        <f>IF(4&gt;IF($J$14="YES",IF(AND(ISNUMBER('Exit Strategy'!$C$5),'Exit Strategy'!$C$5&gt;0),'Exit Strategy'!$C$5,Scenarios!$F$86),Scenarios!$F$86),0,IFERROR(IF(AND(ISNUMBER(Scenarios!$F$152),Scenarios!$F$152&gt;0,4*12&lt;=Scenarios!$F$152),Scenarios!$F$148*Scenarios!$F$149,-CUMIPMT(Scenarios!$F$149/12,Scenarios!$F$150*12,Scenarios!$F$148,(4-1)*12+1,4*12,0)),0))</f>
        <v/>
      </c>
      <c r="N17" s="220">
        <f>IF(5&gt;IF($J$14="YES",IF(AND(ISNUMBER('Exit Strategy'!$C$5),'Exit Strategy'!$C$5&gt;0),'Exit Strategy'!$C$5,Scenarios!$F$86),Scenarios!$F$86),0,IFERROR(IF(AND(ISNUMBER(Scenarios!$F$152),Scenarios!$F$152&gt;0,5*12&lt;=Scenarios!$F$152),Scenarios!$F$148*Scenarios!$F$149,-CUMIPMT(Scenarios!$F$149/12,Scenarios!$F$150*12,Scenarios!$F$148,(5-1)*12+1,5*12,0)),0))</f>
        <v/>
      </c>
      <c r="O17" s="220">
        <f>IF(6&gt;IF($J$14="YES",IF(AND(ISNUMBER('Exit Strategy'!$C$5),'Exit Strategy'!$C$5&gt;0),'Exit Strategy'!$C$5,Scenarios!$F$86),Scenarios!$F$86),0,IFERROR(IF(AND(ISNUMBER(Scenarios!$F$152),Scenarios!$F$152&gt;0,6*12&lt;=Scenarios!$F$152),Scenarios!$F$148*Scenarios!$F$149,-CUMIPMT(Scenarios!$F$149/12,Scenarios!$F$150*12,Scenarios!$F$148,(6-1)*12+1,6*12,0)),0))</f>
        <v/>
      </c>
      <c r="P17" s="220">
        <f>IF(7&gt;IF($J$14="YES",IF(AND(ISNUMBER('Exit Strategy'!$C$5),'Exit Strategy'!$C$5&gt;0),'Exit Strategy'!$C$5,Scenarios!$F$86),Scenarios!$F$86),0,IFERROR(IF(AND(ISNUMBER(Scenarios!$F$152),Scenarios!$F$152&gt;0,7*12&lt;=Scenarios!$F$152),Scenarios!$F$148*Scenarios!$F$149,-CUMIPMT(Scenarios!$F$149/12,Scenarios!$F$150*12,Scenarios!$F$148,(7-1)*12+1,7*12,0)),0))</f>
        <v/>
      </c>
      <c r="Q17" s="220">
        <f>IF(8&gt;IF($J$14="YES",IF(AND(ISNUMBER('Exit Strategy'!$C$5),'Exit Strategy'!$C$5&gt;0),'Exit Strategy'!$C$5,Scenarios!$F$86),Scenarios!$F$86),0,IFERROR(IF(AND(ISNUMBER(Scenarios!$F$152),Scenarios!$F$152&gt;0,8*12&lt;=Scenarios!$F$152),Scenarios!$F$148*Scenarios!$F$149,-CUMIPMT(Scenarios!$F$149/12,Scenarios!$F$150*12,Scenarios!$F$148,(8-1)*12+1,8*12,0)),0))</f>
        <v/>
      </c>
      <c r="R17" s="220">
        <f>IF(9&gt;IF($J$14="YES",IF(AND(ISNUMBER('Exit Strategy'!$C$5),'Exit Strategy'!$C$5&gt;0),'Exit Strategy'!$C$5,Scenarios!$F$86),Scenarios!$F$86),0,IFERROR(IF(AND(ISNUMBER(Scenarios!$F$152),Scenarios!$F$152&gt;0,9*12&lt;=Scenarios!$F$152),Scenarios!$F$148*Scenarios!$F$149,-CUMIPMT(Scenarios!$F$149/12,Scenarios!$F$150*12,Scenarios!$F$148,(9-1)*12+1,9*12,0)),0))</f>
        <v/>
      </c>
      <c r="S17" s="220">
        <f>IF(10&gt;IF($J$14="YES",IF(AND(ISNUMBER('Exit Strategy'!$C$5),'Exit Strategy'!$C$5&gt;0),'Exit Strategy'!$C$5,Scenarios!$F$86),Scenarios!$F$86),0,IFERROR(IF(AND(ISNUMBER(Scenarios!$F$152),Scenarios!$F$152&gt;0,10*12&lt;=Scenarios!$F$152),Scenarios!$F$148*Scenarios!$F$149,-CUMIPMT(Scenarios!$F$149/12,Scenarios!$F$150*12,Scenarios!$F$148,(10-1)*12+1,10*12,0)),0))</f>
        <v/>
      </c>
    </row>
    <row r="18" ht="16.5" customHeight="1" s="923">
      <c r="I18" s="227" t="inlineStr">
        <is>
          <t xml:space="preserve">  Total Debt Service</t>
        </is>
      </c>
      <c r="J18" s="228">
        <f>J16+J17</f>
        <v/>
      </c>
      <c r="K18" s="228">
        <f>K16+K17</f>
        <v/>
      </c>
      <c r="L18" s="228">
        <f>L16+L17</f>
        <v/>
      </c>
      <c r="M18" s="228">
        <f>M16+M17</f>
        <v/>
      </c>
      <c r="N18" s="228">
        <f>N16+N17</f>
        <v/>
      </c>
      <c r="O18" s="228">
        <f>O16+O17</f>
        <v/>
      </c>
      <c r="P18" s="228">
        <f>P16+P17</f>
        <v/>
      </c>
      <c r="Q18" s="228">
        <f>Q16+Q17</f>
        <v/>
      </c>
      <c r="R18" s="228">
        <f>R16+R17</f>
        <v/>
      </c>
      <c r="S18" s="228">
        <f>S16+S17</f>
        <v/>
      </c>
    </row>
    <row r="19" ht="16.5" customHeight="1" s="923">
      <c r="I19" s="365" t="inlineStr">
        <is>
          <t xml:space="preserve">  Ending Balance</t>
        </is>
      </c>
      <c r="J19" s="366">
        <f>J15-J16</f>
        <v/>
      </c>
      <c r="K19" s="366">
        <f>K15-K16</f>
        <v/>
      </c>
      <c r="L19" s="366">
        <f>L15-L16</f>
        <v/>
      </c>
      <c r="M19" s="366">
        <f>M15-M16</f>
        <v/>
      </c>
      <c r="N19" s="366">
        <f>N15-N16</f>
        <v/>
      </c>
      <c r="O19" s="366">
        <f>O15-O16</f>
        <v/>
      </c>
      <c r="P19" s="366">
        <f>P15-P16</f>
        <v/>
      </c>
      <c r="Q19" s="366">
        <f>Q15-Q16</f>
        <v/>
      </c>
      <c r="R19" s="366">
        <f>R15-R16</f>
        <v/>
      </c>
      <c r="S19" s="366">
        <f>S15-S16</f>
        <v/>
      </c>
    </row>
    <row r="20" ht="6" customHeight="1" s="923">
      <c r="I20" s="355" t="n"/>
      <c r="J20" s="355" t="n"/>
      <c r="K20" s="355" t="n"/>
      <c r="L20" s="355" t="n"/>
      <c r="M20" s="355" t="n"/>
      <c r="N20" s="355" t="n"/>
      <c r="O20" s="355" t="n"/>
      <c r="P20" s="355" t="n"/>
      <c r="Q20" s="355" t="n"/>
      <c r="R20" s="355" t="n"/>
      <c r="S20" s="355" t="n"/>
    </row>
    <row r="21" ht="19.5" customHeight="1" s="923">
      <c r="I21" s="370" t="inlineStr">
        <is>
          <t>Supplemental</t>
        </is>
      </c>
      <c r="J21" s="236">
        <f>IFERROR(Scenarios!$F$155,0)</f>
        <v/>
      </c>
      <c r="K21" s="371" t="n"/>
      <c r="L21" s="371" t="n"/>
      <c r="M21" s="371" t="n"/>
      <c r="N21" s="371" t="n"/>
      <c r="O21" s="371" t="n"/>
      <c r="P21" s="371" t="n"/>
      <c r="Q21" s="371" t="n"/>
      <c r="R21" s="371" t="n"/>
      <c r="S21" s="371" t="n"/>
    </row>
    <row r="22" ht="16.5" customHeight="1" s="923">
      <c r="I22" s="361" t="inlineStr">
        <is>
          <t xml:space="preserve">  Exits at Refi? →</t>
        </is>
      </c>
      <c r="J22" s="288" t="inlineStr">
        <is>
          <t>YES</t>
        </is>
      </c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</row>
    <row r="23" ht="16.5" customHeight="1" s="923">
      <c r="I23" s="991" t="inlineStr">
        <is>
          <t xml:space="preserve">  Beginning Balance</t>
        </is>
      </c>
      <c r="J23" s="220">
        <f>IF(1&lt;=IF($J$22="YES",IF(AND(ISNUMBER('Exit Strategy'!$C$5),'Exit Strategy'!$C$5&gt;0),'Exit Strategy'!$C$5,Scenarios!$F$86),Scenarios!$F$86),IFERROR(Scenarios!$F$155,0),0)</f>
        <v/>
      </c>
      <c r="K23" s="220">
        <f>IF(2&lt;=IF($J$22="YES",IF(AND(ISNUMBER('Exit Strategy'!$C$5),'Exit Strategy'!$C$5&gt;0),'Exit Strategy'!$C$5,Scenarios!$F$86),Scenarios!$F$86),J27,0)</f>
        <v/>
      </c>
      <c r="L23" s="220">
        <f>IF(3&lt;=IF($J$22="YES",IF(AND(ISNUMBER('Exit Strategy'!$C$5),'Exit Strategy'!$C$5&gt;0),'Exit Strategy'!$C$5,Scenarios!$F$86),Scenarios!$F$86),K27,0)</f>
        <v/>
      </c>
      <c r="M23" s="220">
        <f>IF(4&lt;=IF($J$22="YES",IF(AND(ISNUMBER('Exit Strategy'!$C$5),'Exit Strategy'!$C$5&gt;0),'Exit Strategy'!$C$5,Scenarios!$F$86),Scenarios!$F$86),L27,0)</f>
        <v/>
      </c>
      <c r="N23" s="220">
        <f>IF(5&lt;=IF($J$22="YES",IF(AND(ISNUMBER('Exit Strategy'!$C$5),'Exit Strategy'!$C$5&gt;0),'Exit Strategy'!$C$5,Scenarios!$F$86),Scenarios!$F$86),M27,0)</f>
        <v/>
      </c>
      <c r="O23" s="220">
        <f>IF(6&lt;=IF($J$22="YES",IF(AND(ISNUMBER('Exit Strategy'!$C$5),'Exit Strategy'!$C$5&gt;0),'Exit Strategy'!$C$5,Scenarios!$F$86),Scenarios!$F$86),N27,0)</f>
        <v/>
      </c>
      <c r="P23" s="220">
        <f>IF(7&lt;=IF($J$22="YES",IF(AND(ISNUMBER('Exit Strategy'!$C$5),'Exit Strategy'!$C$5&gt;0),'Exit Strategy'!$C$5,Scenarios!$F$86),Scenarios!$F$86),O27,0)</f>
        <v/>
      </c>
      <c r="Q23" s="220">
        <f>IF(8&lt;=IF($J$22="YES",IF(AND(ISNUMBER('Exit Strategy'!$C$5),'Exit Strategy'!$C$5&gt;0),'Exit Strategy'!$C$5,Scenarios!$F$86),Scenarios!$F$86),P27,0)</f>
        <v/>
      </c>
      <c r="R23" s="220">
        <f>IF(9&lt;=IF($J$22="YES",IF(AND(ISNUMBER('Exit Strategy'!$C$5),'Exit Strategy'!$C$5&gt;0),'Exit Strategy'!$C$5,Scenarios!$F$86),Scenarios!$F$86),Q27,0)</f>
        <v/>
      </c>
      <c r="S23" s="220">
        <f>IF(10&lt;=IF($J$22="YES",IF(AND(ISNUMBER('Exit Strategy'!$C$5),'Exit Strategy'!$C$5&gt;0),'Exit Strategy'!$C$5,Scenarios!$F$86),Scenarios!$F$86),R27,0)</f>
        <v/>
      </c>
    </row>
    <row r="24" ht="16.5" customHeight="1" s="923">
      <c r="I24" s="993" t="inlineStr">
        <is>
          <t xml:space="preserve">  Principal Paid</t>
        </is>
      </c>
      <c r="J24" s="229">
        <f>IF(1&gt;IF($J$22="YES",IF(AND(ISNUMBER('Exit Strategy'!$C$5),'Exit Strategy'!$C$5&gt;0),'Exit Strategy'!$C$5,Scenarios!$F$86),Scenarios!$F$86),0,IFERROR(IF(AND(ISNUMBER(Scenarios!$F$159),Scenarios!$F$159&gt;0,1*12&lt;=Scenarios!$F$159),0,-CUMPRINC(Scenarios!$F$156/12,Scenarios!$F$157*12,Scenarios!$F$155,(1-1)*12+1,1*12,0)),0))</f>
        <v/>
      </c>
      <c r="K24" s="229">
        <f>IF(2&gt;IF($J$22="YES",IF(AND(ISNUMBER('Exit Strategy'!$C$5),'Exit Strategy'!$C$5&gt;0),'Exit Strategy'!$C$5,Scenarios!$F$86),Scenarios!$F$86),0,IFERROR(IF(AND(ISNUMBER(Scenarios!$F$159),Scenarios!$F$159&gt;0,2*12&lt;=Scenarios!$F$159),0,-CUMPRINC(Scenarios!$F$156/12,Scenarios!$F$157*12,Scenarios!$F$155,(2-1)*12+1,2*12,0)),0))</f>
        <v/>
      </c>
      <c r="L24" s="229">
        <f>IF(3&gt;IF($J$22="YES",IF(AND(ISNUMBER('Exit Strategy'!$C$5),'Exit Strategy'!$C$5&gt;0),'Exit Strategy'!$C$5,Scenarios!$F$86),Scenarios!$F$86),0,IFERROR(IF(AND(ISNUMBER(Scenarios!$F$159),Scenarios!$F$159&gt;0,3*12&lt;=Scenarios!$F$159),0,-CUMPRINC(Scenarios!$F$156/12,Scenarios!$F$157*12,Scenarios!$F$155,(3-1)*12+1,3*12,0)),0))</f>
        <v/>
      </c>
      <c r="M24" s="229">
        <f>IF(4&gt;IF($J$22="YES",IF(AND(ISNUMBER('Exit Strategy'!$C$5),'Exit Strategy'!$C$5&gt;0),'Exit Strategy'!$C$5,Scenarios!$F$86),Scenarios!$F$86),0,IFERROR(IF(AND(ISNUMBER(Scenarios!$F$159),Scenarios!$F$159&gt;0,4*12&lt;=Scenarios!$F$159),0,-CUMPRINC(Scenarios!$F$156/12,Scenarios!$F$157*12,Scenarios!$F$155,(4-1)*12+1,4*12,0)),0))</f>
        <v/>
      </c>
      <c r="N24" s="229">
        <f>IF(5&gt;IF($J$22="YES",IF(AND(ISNUMBER('Exit Strategy'!$C$5),'Exit Strategy'!$C$5&gt;0),'Exit Strategy'!$C$5,Scenarios!$F$86),Scenarios!$F$86),0,IFERROR(IF(AND(ISNUMBER(Scenarios!$F$159),Scenarios!$F$159&gt;0,5*12&lt;=Scenarios!$F$159),0,-CUMPRINC(Scenarios!$F$156/12,Scenarios!$F$157*12,Scenarios!$F$155,(5-1)*12+1,5*12,0)),0))</f>
        <v/>
      </c>
      <c r="O24" s="229">
        <f>IF(6&gt;IF($J$22="YES",IF(AND(ISNUMBER('Exit Strategy'!$C$5),'Exit Strategy'!$C$5&gt;0),'Exit Strategy'!$C$5,Scenarios!$F$86),Scenarios!$F$86),0,IFERROR(IF(AND(ISNUMBER(Scenarios!$F$159),Scenarios!$F$159&gt;0,6*12&lt;=Scenarios!$F$159),0,-CUMPRINC(Scenarios!$F$156/12,Scenarios!$F$157*12,Scenarios!$F$155,(6-1)*12+1,6*12,0)),0))</f>
        <v/>
      </c>
      <c r="P24" s="229">
        <f>IF(7&gt;IF($J$22="YES",IF(AND(ISNUMBER('Exit Strategy'!$C$5),'Exit Strategy'!$C$5&gt;0),'Exit Strategy'!$C$5,Scenarios!$F$86),Scenarios!$F$86),0,IFERROR(IF(AND(ISNUMBER(Scenarios!$F$159),Scenarios!$F$159&gt;0,7*12&lt;=Scenarios!$F$159),0,-CUMPRINC(Scenarios!$F$156/12,Scenarios!$F$157*12,Scenarios!$F$155,(7-1)*12+1,7*12,0)),0))</f>
        <v/>
      </c>
      <c r="Q24" s="229">
        <f>IF(8&gt;IF($J$22="YES",IF(AND(ISNUMBER('Exit Strategy'!$C$5),'Exit Strategy'!$C$5&gt;0),'Exit Strategy'!$C$5,Scenarios!$F$86),Scenarios!$F$86),0,IFERROR(IF(AND(ISNUMBER(Scenarios!$F$159),Scenarios!$F$159&gt;0,8*12&lt;=Scenarios!$F$159),0,-CUMPRINC(Scenarios!$F$156/12,Scenarios!$F$157*12,Scenarios!$F$155,(8-1)*12+1,8*12,0)),0))</f>
        <v/>
      </c>
      <c r="R24" s="229">
        <f>IF(9&gt;IF($J$22="YES",IF(AND(ISNUMBER('Exit Strategy'!$C$5),'Exit Strategy'!$C$5&gt;0),'Exit Strategy'!$C$5,Scenarios!$F$86),Scenarios!$F$86),0,IFERROR(IF(AND(ISNUMBER(Scenarios!$F$159),Scenarios!$F$159&gt;0,9*12&lt;=Scenarios!$F$159),0,-CUMPRINC(Scenarios!$F$156/12,Scenarios!$F$157*12,Scenarios!$F$155,(9-1)*12+1,9*12,0)),0))</f>
        <v/>
      </c>
      <c r="S24" s="229">
        <f>IF(10&gt;IF($J$22="YES",IF(AND(ISNUMBER('Exit Strategy'!$C$5),'Exit Strategy'!$C$5&gt;0),'Exit Strategy'!$C$5,Scenarios!$F$86),Scenarios!$F$86),0,IFERROR(IF(AND(ISNUMBER(Scenarios!$F$159),Scenarios!$F$159&gt;0,10*12&lt;=Scenarios!$F$159),0,-CUMPRINC(Scenarios!$F$156/12,Scenarios!$F$157*12,Scenarios!$F$155,(10-1)*12+1,10*12,0)),0))</f>
        <v/>
      </c>
    </row>
    <row r="25" ht="16.5" customHeight="1" s="923">
      <c r="I25" s="991" t="inlineStr">
        <is>
          <t xml:space="preserve">  Interest Paid</t>
        </is>
      </c>
      <c r="J25" s="220">
        <f>IF(1&gt;IF($J$22="YES",IF(AND(ISNUMBER('Exit Strategy'!$C$5),'Exit Strategy'!$C$5&gt;0),'Exit Strategy'!$C$5,Scenarios!$F$86),Scenarios!$F$86),0,IFERROR(IF(AND(ISNUMBER(Scenarios!$F$159),Scenarios!$F$159&gt;0,1*12&lt;=Scenarios!$F$159),Scenarios!$F$155*Scenarios!$F$156,-CUMIPMT(Scenarios!$F$156/12,Scenarios!$F$157*12,Scenarios!$F$155,(1-1)*12+1,1*12,0)),0))</f>
        <v/>
      </c>
      <c r="K25" s="220">
        <f>IF(2&gt;IF($J$22="YES",IF(AND(ISNUMBER('Exit Strategy'!$C$5),'Exit Strategy'!$C$5&gt;0),'Exit Strategy'!$C$5,Scenarios!$F$86),Scenarios!$F$86),0,IFERROR(IF(AND(ISNUMBER(Scenarios!$F$159),Scenarios!$F$159&gt;0,2*12&lt;=Scenarios!$F$159),Scenarios!$F$155*Scenarios!$F$156,-CUMIPMT(Scenarios!$F$156/12,Scenarios!$F$157*12,Scenarios!$F$155,(2-1)*12+1,2*12,0)),0))</f>
        <v/>
      </c>
      <c r="L25" s="220">
        <f>IF(3&gt;IF($J$22="YES",IF(AND(ISNUMBER('Exit Strategy'!$C$5),'Exit Strategy'!$C$5&gt;0),'Exit Strategy'!$C$5,Scenarios!$F$86),Scenarios!$F$86),0,IFERROR(IF(AND(ISNUMBER(Scenarios!$F$159),Scenarios!$F$159&gt;0,3*12&lt;=Scenarios!$F$159),Scenarios!$F$155*Scenarios!$F$156,-CUMIPMT(Scenarios!$F$156/12,Scenarios!$F$157*12,Scenarios!$F$155,(3-1)*12+1,3*12,0)),0))</f>
        <v/>
      </c>
      <c r="M25" s="220">
        <f>IF(4&gt;IF($J$22="YES",IF(AND(ISNUMBER('Exit Strategy'!$C$5),'Exit Strategy'!$C$5&gt;0),'Exit Strategy'!$C$5,Scenarios!$F$86),Scenarios!$F$86),0,IFERROR(IF(AND(ISNUMBER(Scenarios!$F$159),Scenarios!$F$159&gt;0,4*12&lt;=Scenarios!$F$159),Scenarios!$F$155*Scenarios!$F$156,-CUMIPMT(Scenarios!$F$156/12,Scenarios!$F$157*12,Scenarios!$F$155,(4-1)*12+1,4*12,0)),0))</f>
        <v/>
      </c>
      <c r="N25" s="220">
        <f>IF(5&gt;IF($J$22="YES",IF(AND(ISNUMBER('Exit Strategy'!$C$5),'Exit Strategy'!$C$5&gt;0),'Exit Strategy'!$C$5,Scenarios!$F$86),Scenarios!$F$86),0,IFERROR(IF(AND(ISNUMBER(Scenarios!$F$159),Scenarios!$F$159&gt;0,5*12&lt;=Scenarios!$F$159),Scenarios!$F$155*Scenarios!$F$156,-CUMIPMT(Scenarios!$F$156/12,Scenarios!$F$157*12,Scenarios!$F$155,(5-1)*12+1,5*12,0)),0))</f>
        <v/>
      </c>
      <c r="O25" s="220">
        <f>IF(6&gt;IF($J$22="YES",IF(AND(ISNUMBER('Exit Strategy'!$C$5),'Exit Strategy'!$C$5&gt;0),'Exit Strategy'!$C$5,Scenarios!$F$86),Scenarios!$F$86),0,IFERROR(IF(AND(ISNUMBER(Scenarios!$F$159),Scenarios!$F$159&gt;0,6*12&lt;=Scenarios!$F$159),Scenarios!$F$155*Scenarios!$F$156,-CUMIPMT(Scenarios!$F$156/12,Scenarios!$F$157*12,Scenarios!$F$155,(6-1)*12+1,6*12,0)),0))</f>
        <v/>
      </c>
      <c r="P25" s="220">
        <f>IF(7&gt;IF($J$22="YES",IF(AND(ISNUMBER('Exit Strategy'!$C$5),'Exit Strategy'!$C$5&gt;0),'Exit Strategy'!$C$5,Scenarios!$F$86),Scenarios!$F$86),0,IFERROR(IF(AND(ISNUMBER(Scenarios!$F$159),Scenarios!$F$159&gt;0,7*12&lt;=Scenarios!$F$159),Scenarios!$F$155*Scenarios!$F$156,-CUMIPMT(Scenarios!$F$156/12,Scenarios!$F$157*12,Scenarios!$F$155,(7-1)*12+1,7*12,0)),0))</f>
        <v/>
      </c>
      <c r="Q25" s="220">
        <f>IF(8&gt;IF($J$22="YES",IF(AND(ISNUMBER('Exit Strategy'!$C$5),'Exit Strategy'!$C$5&gt;0),'Exit Strategy'!$C$5,Scenarios!$F$86),Scenarios!$F$86),0,IFERROR(IF(AND(ISNUMBER(Scenarios!$F$159),Scenarios!$F$159&gt;0,8*12&lt;=Scenarios!$F$159),Scenarios!$F$155*Scenarios!$F$156,-CUMIPMT(Scenarios!$F$156/12,Scenarios!$F$157*12,Scenarios!$F$155,(8-1)*12+1,8*12,0)),0))</f>
        <v/>
      </c>
      <c r="R25" s="220">
        <f>IF(9&gt;IF($J$22="YES",IF(AND(ISNUMBER('Exit Strategy'!$C$5),'Exit Strategy'!$C$5&gt;0),'Exit Strategy'!$C$5,Scenarios!$F$86),Scenarios!$F$86),0,IFERROR(IF(AND(ISNUMBER(Scenarios!$F$159),Scenarios!$F$159&gt;0,9*12&lt;=Scenarios!$F$159),Scenarios!$F$155*Scenarios!$F$156,-CUMIPMT(Scenarios!$F$156/12,Scenarios!$F$157*12,Scenarios!$F$155,(9-1)*12+1,9*12,0)),0))</f>
        <v/>
      </c>
      <c r="S25" s="220">
        <f>IF(10&gt;IF($J$22="YES",IF(AND(ISNUMBER('Exit Strategy'!$C$5),'Exit Strategy'!$C$5&gt;0),'Exit Strategy'!$C$5,Scenarios!$F$86),Scenarios!$F$86),0,IFERROR(IF(AND(ISNUMBER(Scenarios!$F$159),Scenarios!$F$159&gt;0,10*12&lt;=Scenarios!$F$159),Scenarios!$F$155*Scenarios!$F$156,-CUMIPMT(Scenarios!$F$156/12,Scenarios!$F$157*12,Scenarios!$F$155,(10-1)*12+1,10*12,0)),0))</f>
        <v/>
      </c>
    </row>
    <row r="26" ht="16.5" customHeight="1" s="923">
      <c r="I26" s="227" t="inlineStr">
        <is>
          <t xml:space="preserve">  Total Debt Service</t>
        </is>
      </c>
      <c r="J26" s="228">
        <f>J24+J25</f>
        <v/>
      </c>
      <c r="K26" s="228">
        <f>K24+K25</f>
        <v/>
      </c>
      <c r="L26" s="228">
        <f>L24+L25</f>
        <v/>
      </c>
      <c r="M26" s="228">
        <f>M24+M25</f>
        <v/>
      </c>
      <c r="N26" s="228">
        <f>N24+N25</f>
        <v/>
      </c>
      <c r="O26" s="228">
        <f>O24+O25</f>
        <v/>
      </c>
      <c r="P26" s="228">
        <f>P24+P25</f>
        <v/>
      </c>
      <c r="Q26" s="228">
        <f>Q24+Q25</f>
        <v/>
      </c>
      <c r="R26" s="228">
        <f>R24+R25</f>
        <v/>
      </c>
      <c r="S26" s="228">
        <f>S24+S25</f>
        <v/>
      </c>
    </row>
    <row r="27" ht="16.5" customHeight="1" s="923">
      <c r="I27" s="365" t="inlineStr">
        <is>
          <t xml:space="preserve">  Ending Balance</t>
        </is>
      </c>
      <c r="J27" s="366">
        <f>J23-J24</f>
        <v/>
      </c>
      <c r="K27" s="366">
        <f>K23-K24</f>
        <v/>
      </c>
      <c r="L27" s="366">
        <f>L23-L24</f>
        <v/>
      </c>
      <c r="M27" s="366">
        <f>M23-M24</f>
        <v/>
      </c>
      <c r="N27" s="366">
        <f>N23-N24</f>
        <v/>
      </c>
      <c r="O27" s="366">
        <f>O23-O24</f>
        <v/>
      </c>
      <c r="P27" s="366">
        <f>P23-P24</f>
        <v/>
      </c>
      <c r="Q27" s="366">
        <f>Q23-Q24</f>
        <v/>
      </c>
      <c r="R27" s="366">
        <f>R23-R24</f>
        <v/>
      </c>
      <c r="S27" s="366">
        <f>S23-S24</f>
        <v/>
      </c>
    </row>
    <row r="28" ht="6" customHeight="1" s="923">
      <c r="I28" s="355" t="n"/>
      <c r="J28" s="355" t="n"/>
      <c r="K28" s="355" t="n"/>
      <c r="L28" s="355" t="n"/>
      <c r="M28" s="355" t="n"/>
      <c r="N28" s="355" t="n"/>
      <c r="O28" s="355" t="n"/>
      <c r="P28" s="355" t="n"/>
      <c r="Q28" s="355" t="n"/>
      <c r="R28" s="355" t="n"/>
      <c r="S28" s="355" t="n"/>
    </row>
    <row r="29" ht="19.5" customHeight="1" s="923">
      <c r="I29" s="372" t="inlineStr">
        <is>
          <t>1st Mortgage Refi</t>
        </is>
      </c>
      <c r="J29" s="373">
        <f>IFERROR('Exit Strategy'!$C$12,0)</f>
        <v/>
      </c>
      <c r="K29" s="374" t="n"/>
      <c r="L29" s="374" t="n"/>
      <c r="M29" s="374" t="n"/>
      <c r="N29" s="374" t="n"/>
      <c r="O29" s="374" t="n"/>
      <c r="P29" s="374" t="n"/>
      <c r="Q29" s="374" t="n"/>
      <c r="R29" s="374" t="n"/>
      <c r="S29" s="374" t="n"/>
    </row>
    <row r="30" ht="16.5" customHeight="1" s="923">
      <c r="I30" s="991" t="inlineStr">
        <is>
          <t xml:space="preserve">  Beginning Balance</t>
        </is>
      </c>
      <c r="J30" s="220">
        <f>0</f>
        <v/>
      </c>
      <c r="K30" s="220">
        <f>IF(AND(ISNUMBER('Exit Strategy'!$C$5),2&gt;'Exit Strategy'!$C$5,2&lt;=Scenarios!$F$86),IF(2=IFERROR('Exit Strategy'!$C$5+1,10000),'Exit Strategy'!$C$12,J34),0)</f>
        <v/>
      </c>
      <c r="L30" s="220">
        <f>IF(AND(ISNUMBER('Exit Strategy'!$C$5),3&gt;'Exit Strategy'!$C$5,3&lt;=Scenarios!$F$86),IF(3=IFERROR('Exit Strategy'!$C$5+1,10000),'Exit Strategy'!$C$12,K34),0)</f>
        <v/>
      </c>
      <c r="M30" s="220">
        <f>IF(AND(ISNUMBER('Exit Strategy'!$C$5),4&gt;'Exit Strategy'!$C$5,4&lt;=Scenarios!$F$86),IF(4=IFERROR('Exit Strategy'!$C$5+1,10000),'Exit Strategy'!$C$12,L34),0)</f>
        <v/>
      </c>
      <c r="N30" s="220">
        <f>IF(AND(ISNUMBER('Exit Strategy'!$C$5),5&gt;'Exit Strategy'!$C$5,5&lt;=Scenarios!$F$86),IF(5=IFERROR('Exit Strategy'!$C$5+1,10000),'Exit Strategy'!$C$12,M34),0)</f>
        <v/>
      </c>
      <c r="O30" s="220">
        <f>IF(AND(ISNUMBER('Exit Strategy'!$C$5),6&gt;'Exit Strategy'!$C$5,6&lt;=Scenarios!$F$86),IF(6=IFERROR('Exit Strategy'!$C$5+1,10000),'Exit Strategy'!$C$12,N34),0)</f>
        <v/>
      </c>
      <c r="P30" s="220">
        <f>IF(AND(ISNUMBER('Exit Strategy'!$C$5),7&gt;'Exit Strategy'!$C$5,7&lt;=Scenarios!$F$86),IF(7=IFERROR('Exit Strategy'!$C$5+1,10000),'Exit Strategy'!$C$12,O34),0)</f>
        <v/>
      </c>
      <c r="Q30" s="220">
        <f>IF(AND(ISNUMBER('Exit Strategy'!$C$5),8&gt;'Exit Strategy'!$C$5,8&lt;=Scenarios!$F$86),IF(8=IFERROR('Exit Strategy'!$C$5+1,10000),'Exit Strategy'!$C$12,P34),0)</f>
        <v/>
      </c>
      <c r="R30" s="220">
        <f>IF(AND(ISNUMBER('Exit Strategy'!$C$5),9&gt;'Exit Strategy'!$C$5,9&lt;=Scenarios!$F$86),IF(9=IFERROR('Exit Strategy'!$C$5+1,10000),'Exit Strategy'!$C$12,Q34),0)</f>
        <v/>
      </c>
      <c r="S30" s="220">
        <f>IF(AND(ISNUMBER('Exit Strategy'!$C$5),10&gt;'Exit Strategy'!$C$5,10&lt;=Scenarios!$F$86),IF(10=IFERROR('Exit Strategy'!$C$5+1,10000),'Exit Strategy'!$C$12,R34),0)</f>
        <v/>
      </c>
    </row>
    <row r="31" ht="16.5" customHeight="1" s="923">
      <c r="I31" s="993" t="inlineStr">
        <is>
          <t xml:space="preserve">  Principal Paid</t>
        </is>
      </c>
      <c r="J31" s="229">
        <f>IF(AND(ISNUMBER('Exit Strategy'!$C$5),1&gt;'Exit Strategy'!$C$5,1&lt;=Scenarios!$F$86),IF((1-'Exit Strategy'!$C$5)*12&lt;=IFERROR('Exit Strategy'!$C$28,0),0,IFERROR(-CUMPRINC('Exit Strategy'!$C$10/12,'Exit Strategy'!$C$11*12,'Exit Strategy'!$C$12,MAX((1-'Exit Strategy'!$C$5-1)*12+1-IFERROR('Exit Strategy'!$C$28,0),1),(1-'Exit Strategy'!$C$5)*12-IFERROR('Exit Strategy'!$C$28,0),0),0)),0)</f>
        <v/>
      </c>
      <c r="K31" s="229">
        <f>IF(AND(ISNUMBER('Exit Strategy'!$C$5),2&gt;'Exit Strategy'!$C$5,2&lt;=Scenarios!$F$86),IF((2-'Exit Strategy'!$C$5)*12&lt;=IFERROR('Exit Strategy'!$C$28,0),0,IFERROR(-CUMPRINC('Exit Strategy'!$C$10/12,'Exit Strategy'!$C$11*12,'Exit Strategy'!$C$12,MAX((2-'Exit Strategy'!$C$5-1)*12+1-IFERROR('Exit Strategy'!$C$28,0),1),(2-'Exit Strategy'!$C$5)*12-IFERROR('Exit Strategy'!$C$28,0),0),0)),0)</f>
        <v/>
      </c>
      <c r="L31" s="229">
        <f>IF(AND(ISNUMBER('Exit Strategy'!$C$5),3&gt;'Exit Strategy'!$C$5,3&lt;=Scenarios!$F$86),IF((3-'Exit Strategy'!$C$5)*12&lt;=IFERROR('Exit Strategy'!$C$28,0),0,IFERROR(-CUMPRINC('Exit Strategy'!$C$10/12,'Exit Strategy'!$C$11*12,'Exit Strategy'!$C$12,MAX((3-'Exit Strategy'!$C$5-1)*12+1-IFERROR('Exit Strategy'!$C$28,0),1),(3-'Exit Strategy'!$C$5)*12-IFERROR('Exit Strategy'!$C$28,0),0),0)),0)</f>
        <v/>
      </c>
      <c r="M31" s="229">
        <f>IF(AND(ISNUMBER('Exit Strategy'!$C$5),4&gt;'Exit Strategy'!$C$5,4&lt;=Scenarios!$F$86),IF((4-'Exit Strategy'!$C$5)*12&lt;=IFERROR('Exit Strategy'!$C$28,0),0,IFERROR(-CUMPRINC('Exit Strategy'!$C$10/12,'Exit Strategy'!$C$11*12,'Exit Strategy'!$C$12,MAX((4-'Exit Strategy'!$C$5-1)*12+1-IFERROR('Exit Strategy'!$C$28,0),1),(4-'Exit Strategy'!$C$5)*12-IFERROR('Exit Strategy'!$C$28,0),0),0)),0)</f>
        <v/>
      </c>
      <c r="N31" s="229">
        <f>IF(AND(ISNUMBER('Exit Strategy'!$C$5),5&gt;'Exit Strategy'!$C$5,5&lt;=Scenarios!$F$86),IF((5-'Exit Strategy'!$C$5)*12&lt;=IFERROR('Exit Strategy'!$C$28,0),0,IFERROR(-CUMPRINC('Exit Strategy'!$C$10/12,'Exit Strategy'!$C$11*12,'Exit Strategy'!$C$12,MAX((5-'Exit Strategy'!$C$5-1)*12+1-IFERROR('Exit Strategy'!$C$28,0),1),(5-'Exit Strategy'!$C$5)*12-IFERROR('Exit Strategy'!$C$28,0),0),0)),0)</f>
        <v/>
      </c>
      <c r="O31" s="229">
        <f>IF(AND(ISNUMBER('Exit Strategy'!$C$5),6&gt;'Exit Strategy'!$C$5,6&lt;=Scenarios!$F$86),IF((6-'Exit Strategy'!$C$5)*12&lt;=IFERROR('Exit Strategy'!$C$28,0),0,IFERROR(-CUMPRINC('Exit Strategy'!$C$10/12,'Exit Strategy'!$C$11*12,'Exit Strategy'!$C$12,MAX((6-'Exit Strategy'!$C$5-1)*12+1-IFERROR('Exit Strategy'!$C$28,0),1),(6-'Exit Strategy'!$C$5)*12-IFERROR('Exit Strategy'!$C$28,0),0),0)),0)</f>
        <v/>
      </c>
      <c r="P31" s="229">
        <f>IF(AND(ISNUMBER('Exit Strategy'!$C$5),7&gt;'Exit Strategy'!$C$5,7&lt;=Scenarios!$F$86),IF((7-'Exit Strategy'!$C$5)*12&lt;=IFERROR('Exit Strategy'!$C$28,0),0,IFERROR(-CUMPRINC('Exit Strategy'!$C$10/12,'Exit Strategy'!$C$11*12,'Exit Strategy'!$C$12,MAX((7-'Exit Strategy'!$C$5-1)*12+1-IFERROR('Exit Strategy'!$C$28,0),1),(7-'Exit Strategy'!$C$5)*12-IFERROR('Exit Strategy'!$C$28,0),0),0)),0)</f>
        <v/>
      </c>
      <c r="Q31" s="229">
        <f>IF(AND(ISNUMBER('Exit Strategy'!$C$5),8&gt;'Exit Strategy'!$C$5,8&lt;=Scenarios!$F$86),IF((8-'Exit Strategy'!$C$5)*12&lt;=IFERROR('Exit Strategy'!$C$28,0),0,IFERROR(-CUMPRINC('Exit Strategy'!$C$10/12,'Exit Strategy'!$C$11*12,'Exit Strategy'!$C$12,MAX((8-'Exit Strategy'!$C$5-1)*12+1-IFERROR('Exit Strategy'!$C$28,0),1),(8-'Exit Strategy'!$C$5)*12-IFERROR('Exit Strategy'!$C$28,0),0),0)),0)</f>
        <v/>
      </c>
      <c r="R31" s="229">
        <f>IF(AND(ISNUMBER('Exit Strategy'!$C$5),9&gt;'Exit Strategy'!$C$5,9&lt;=Scenarios!$F$86),IF((9-'Exit Strategy'!$C$5)*12&lt;=IFERROR('Exit Strategy'!$C$28,0),0,IFERROR(-CUMPRINC('Exit Strategy'!$C$10/12,'Exit Strategy'!$C$11*12,'Exit Strategy'!$C$12,MAX((9-'Exit Strategy'!$C$5-1)*12+1-IFERROR('Exit Strategy'!$C$28,0),1),(9-'Exit Strategy'!$C$5)*12-IFERROR('Exit Strategy'!$C$28,0),0),0)),0)</f>
        <v/>
      </c>
      <c r="S31" s="229">
        <f>IF(AND(ISNUMBER('Exit Strategy'!$C$5),10&gt;'Exit Strategy'!$C$5,10&lt;=Scenarios!$F$86),IF((10-'Exit Strategy'!$C$5)*12&lt;=IFERROR('Exit Strategy'!$C$28,0),0,IFERROR(-CUMPRINC('Exit Strategy'!$C$10/12,'Exit Strategy'!$C$11*12,'Exit Strategy'!$C$12,MAX((10-'Exit Strategy'!$C$5-1)*12+1-IFERROR('Exit Strategy'!$C$28,0),1),(10-'Exit Strategy'!$C$5)*12-IFERROR('Exit Strategy'!$C$28,0),0),0)),0)</f>
        <v/>
      </c>
    </row>
    <row r="32" ht="16.5" customHeight="1" s="923">
      <c r="I32" s="991" t="inlineStr">
        <is>
          <t xml:space="preserve">  Interest Paid</t>
        </is>
      </c>
      <c r="J32" s="220">
        <f>IF(AND(ISNUMBER('Exit Strategy'!$C$5),1&gt;'Exit Strategy'!$C$5,1&lt;=Scenarios!$F$86),IF((1-'Exit Strategy'!$C$5)*12&lt;=IFERROR('Exit Strategy'!$C$28,0),'Exit Strategy'!$C$12*'Exit Strategy'!$C$10,IFERROR(-CUMIPMT('Exit Strategy'!$C$10/12,'Exit Strategy'!$C$11*12,'Exit Strategy'!$C$12,MAX((1-'Exit Strategy'!$C$5-1)*12+1-IFERROR('Exit Strategy'!$C$28,0),1),(1-'Exit Strategy'!$C$5)*12-IFERROR('Exit Strategy'!$C$28,0),0),0)),0)</f>
        <v/>
      </c>
      <c r="K32" s="220">
        <f>IF(AND(ISNUMBER('Exit Strategy'!$C$5),2&gt;'Exit Strategy'!$C$5,2&lt;=Scenarios!$F$86),IF((2-'Exit Strategy'!$C$5)*12&lt;=IFERROR('Exit Strategy'!$C$28,0),'Exit Strategy'!$C$12*'Exit Strategy'!$C$10,IFERROR(-CUMIPMT('Exit Strategy'!$C$10/12,'Exit Strategy'!$C$11*12,'Exit Strategy'!$C$12,MAX((2-'Exit Strategy'!$C$5-1)*12+1-IFERROR('Exit Strategy'!$C$28,0),1),(2-'Exit Strategy'!$C$5)*12-IFERROR('Exit Strategy'!$C$28,0),0),0)),0)</f>
        <v/>
      </c>
      <c r="L32" s="220">
        <f>IF(AND(ISNUMBER('Exit Strategy'!$C$5),3&gt;'Exit Strategy'!$C$5,3&lt;=Scenarios!$F$86),IF((3-'Exit Strategy'!$C$5)*12&lt;=IFERROR('Exit Strategy'!$C$28,0),'Exit Strategy'!$C$12*'Exit Strategy'!$C$10,IFERROR(-CUMIPMT('Exit Strategy'!$C$10/12,'Exit Strategy'!$C$11*12,'Exit Strategy'!$C$12,MAX((3-'Exit Strategy'!$C$5-1)*12+1-IFERROR('Exit Strategy'!$C$28,0),1),(3-'Exit Strategy'!$C$5)*12-IFERROR('Exit Strategy'!$C$28,0),0),0)),0)</f>
        <v/>
      </c>
      <c r="M32" s="220">
        <f>IF(AND(ISNUMBER('Exit Strategy'!$C$5),4&gt;'Exit Strategy'!$C$5,4&lt;=Scenarios!$F$86),IF((4-'Exit Strategy'!$C$5)*12&lt;=IFERROR('Exit Strategy'!$C$28,0),'Exit Strategy'!$C$12*'Exit Strategy'!$C$10,IFERROR(-CUMIPMT('Exit Strategy'!$C$10/12,'Exit Strategy'!$C$11*12,'Exit Strategy'!$C$12,MAX((4-'Exit Strategy'!$C$5-1)*12+1-IFERROR('Exit Strategy'!$C$28,0),1),(4-'Exit Strategy'!$C$5)*12-IFERROR('Exit Strategy'!$C$28,0),0),0)),0)</f>
        <v/>
      </c>
      <c r="N32" s="220">
        <f>IF(AND(ISNUMBER('Exit Strategy'!$C$5),5&gt;'Exit Strategy'!$C$5,5&lt;=Scenarios!$F$86),IF((5-'Exit Strategy'!$C$5)*12&lt;=IFERROR('Exit Strategy'!$C$28,0),'Exit Strategy'!$C$12*'Exit Strategy'!$C$10,IFERROR(-CUMIPMT('Exit Strategy'!$C$10/12,'Exit Strategy'!$C$11*12,'Exit Strategy'!$C$12,MAX((5-'Exit Strategy'!$C$5-1)*12+1-IFERROR('Exit Strategy'!$C$28,0),1),(5-'Exit Strategy'!$C$5)*12-IFERROR('Exit Strategy'!$C$28,0),0),0)),0)</f>
        <v/>
      </c>
      <c r="O32" s="220">
        <f>IF(AND(ISNUMBER('Exit Strategy'!$C$5),6&gt;'Exit Strategy'!$C$5,6&lt;=Scenarios!$F$86),IF((6-'Exit Strategy'!$C$5)*12&lt;=IFERROR('Exit Strategy'!$C$28,0),'Exit Strategy'!$C$12*'Exit Strategy'!$C$10,IFERROR(-CUMIPMT('Exit Strategy'!$C$10/12,'Exit Strategy'!$C$11*12,'Exit Strategy'!$C$12,MAX((6-'Exit Strategy'!$C$5-1)*12+1-IFERROR('Exit Strategy'!$C$28,0),1),(6-'Exit Strategy'!$C$5)*12-IFERROR('Exit Strategy'!$C$28,0),0),0)),0)</f>
        <v/>
      </c>
      <c r="P32" s="220">
        <f>IF(AND(ISNUMBER('Exit Strategy'!$C$5),7&gt;'Exit Strategy'!$C$5,7&lt;=Scenarios!$F$86),IF((7-'Exit Strategy'!$C$5)*12&lt;=IFERROR('Exit Strategy'!$C$28,0),'Exit Strategy'!$C$12*'Exit Strategy'!$C$10,IFERROR(-CUMIPMT('Exit Strategy'!$C$10/12,'Exit Strategy'!$C$11*12,'Exit Strategy'!$C$12,MAX((7-'Exit Strategy'!$C$5-1)*12+1-IFERROR('Exit Strategy'!$C$28,0),1),(7-'Exit Strategy'!$C$5)*12-IFERROR('Exit Strategy'!$C$28,0),0),0)),0)</f>
        <v/>
      </c>
      <c r="Q32" s="220">
        <f>IF(AND(ISNUMBER('Exit Strategy'!$C$5),8&gt;'Exit Strategy'!$C$5,8&lt;=Scenarios!$F$86),IF((8-'Exit Strategy'!$C$5)*12&lt;=IFERROR('Exit Strategy'!$C$28,0),'Exit Strategy'!$C$12*'Exit Strategy'!$C$10,IFERROR(-CUMIPMT('Exit Strategy'!$C$10/12,'Exit Strategy'!$C$11*12,'Exit Strategy'!$C$12,MAX((8-'Exit Strategy'!$C$5-1)*12+1-IFERROR('Exit Strategy'!$C$28,0),1),(8-'Exit Strategy'!$C$5)*12-IFERROR('Exit Strategy'!$C$28,0),0),0)),0)</f>
        <v/>
      </c>
      <c r="R32" s="220">
        <f>IF(AND(ISNUMBER('Exit Strategy'!$C$5),9&gt;'Exit Strategy'!$C$5,9&lt;=Scenarios!$F$86),IF((9-'Exit Strategy'!$C$5)*12&lt;=IFERROR('Exit Strategy'!$C$28,0),'Exit Strategy'!$C$12*'Exit Strategy'!$C$10,IFERROR(-CUMIPMT('Exit Strategy'!$C$10/12,'Exit Strategy'!$C$11*12,'Exit Strategy'!$C$12,MAX((9-'Exit Strategy'!$C$5-1)*12+1-IFERROR('Exit Strategy'!$C$28,0),1),(9-'Exit Strategy'!$C$5)*12-IFERROR('Exit Strategy'!$C$28,0),0),0)),0)</f>
        <v/>
      </c>
      <c r="S32" s="220">
        <f>IF(AND(ISNUMBER('Exit Strategy'!$C$5),10&gt;'Exit Strategy'!$C$5,10&lt;=Scenarios!$F$86),IF((10-'Exit Strategy'!$C$5)*12&lt;=IFERROR('Exit Strategy'!$C$28,0),'Exit Strategy'!$C$12*'Exit Strategy'!$C$10,IFERROR(-CUMIPMT('Exit Strategy'!$C$10/12,'Exit Strategy'!$C$11*12,'Exit Strategy'!$C$12,MAX((10-'Exit Strategy'!$C$5-1)*12+1-IFERROR('Exit Strategy'!$C$28,0),1),(10-'Exit Strategy'!$C$5)*12-IFERROR('Exit Strategy'!$C$28,0),0),0)),0)</f>
        <v/>
      </c>
    </row>
    <row r="33" ht="16.5" customHeight="1" s="923">
      <c r="I33" s="227" t="inlineStr">
        <is>
          <t xml:space="preserve">  Total Debt Service</t>
        </is>
      </c>
      <c r="J33" s="228">
        <f>J31+J32</f>
        <v/>
      </c>
      <c r="K33" s="228">
        <f>K31+K32</f>
        <v/>
      </c>
      <c r="L33" s="228">
        <f>L31+L32</f>
        <v/>
      </c>
      <c r="M33" s="228">
        <f>M31+M32</f>
        <v/>
      </c>
      <c r="N33" s="228">
        <f>N31+N32</f>
        <v/>
      </c>
      <c r="O33" s="228">
        <f>O31+O32</f>
        <v/>
      </c>
      <c r="P33" s="228">
        <f>P31+P32</f>
        <v/>
      </c>
      <c r="Q33" s="228">
        <f>Q31+Q32</f>
        <v/>
      </c>
      <c r="R33" s="228">
        <f>R31+R32</f>
        <v/>
      </c>
      <c r="S33" s="228">
        <f>S31+S32</f>
        <v/>
      </c>
    </row>
    <row r="34" ht="16.5" customHeight="1" s="923">
      <c r="I34" s="365" t="inlineStr">
        <is>
          <t xml:space="preserve">  Ending Balance</t>
        </is>
      </c>
      <c r="J34" s="366">
        <f>J30-J31</f>
        <v/>
      </c>
      <c r="K34" s="366">
        <f>K30-K31</f>
        <v/>
      </c>
      <c r="L34" s="366">
        <f>L30-L31</f>
        <v/>
      </c>
      <c r="M34" s="366">
        <f>M30-M31</f>
        <v/>
      </c>
      <c r="N34" s="366">
        <f>N30-N31</f>
        <v/>
      </c>
      <c r="O34" s="366">
        <f>O30-O31</f>
        <v/>
      </c>
      <c r="P34" s="366">
        <f>P30-P31</f>
        <v/>
      </c>
      <c r="Q34" s="366">
        <f>Q30-Q31</f>
        <v/>
      </c>
      <c r="R34" s="366">
        <f>R30-R31</f>
        <v/>
      </c>
      <c r="S34" s="366">
        <f>S30-S31</f>
        <v/>
      </c>
    </row>
    <row r="35" ht="6" customHeight="1" s="923">
      <c r="I35" s="355" t="n"/>
      <c r="J35" s="355" t="n"/>
      <c r="K35" s="355" t="n"/>
      <c r="L35" s="355" t="n"/>
      <c r="M35" s="355" t="n"/>
      <c r="N35" s="355" t="n"/>
      <c r="O35" s="355" t="n"/>
      <c r="P35" s="355" t="n"/>
      <c r="Q35" s="355" t="n"/>
      <c r="R35" s="355" t="n"/>
      <c r="S35" s="355" t="n"/>
    </row>
    <row r="36" ht="21.75" customHeight="1" s="923">
      <c r="I36" s="375" t="inlineStr">
        <is>
          <t>TOTALS</t>
        </is>
      </c>
      <c r="J36" s="348" t="n"/>
      <c r="K36" s="348" t="n"/>
      <c r="L36" s="348" t="n"/>
      <c r="M36" s="348" t="n"/>
      <c r="N36" s="348" t="n"/>
      <c r="O36" s="348" t="n"/>
      <c r="P36" s="348" t="n"/>
      <c r="Q36" s="348" t="n"/>
      <c r="R36" s="348" t="n"/>
      <c r="S36" s="348" t="n"/>
    </row>
    <row r="37" ht="16.5" customHeight="1" s="923">
      <c r="I37" s="991" t="inlineStr">
        <is>
          <t xml:space="preserve">  Beginning Balance</t>
        </is>
      </c>
      <c r="J37" s="220">
        <f>J7+J15+J23+J30</f>
        <v/>
      </c>
      <c r="K37" s="220">
        <f>K7+K15+K23+K30</f>
        <v/>
      </c>
      <c r="L37" s="220">
        <f>L7+L15+L23+L30</f>
        <v/>
      </c>
      <c r="M37" s="220">
        <f>M7+M15+M23+M30</f>
        <v/>
      </c>
      <c r="N37" s="220">
        <f>N7+N15+N23+N30</f>
        <v/>
      </c>
      <c r="O37" s="220">
        <f>O7+O15+O23+O30</f>
        <v/>
      </c>
      <c r="P37" s="220">
        <f>P7+P15+P23+P30</f>
        <v/>
      </c>
      <c r="Q37" s="220">
        <f>Q7+Q15+Q23+Q30</f>
        <v/>
      </c>
      <c r="R37" s="220">
        <f>R7+R15+R23+R30</f>
        <v/>
      </c>
      <c r="S37" s="220">
        <f>S7+S15+S23+S30</f>
        <v/>
      </c>
    </row>
    <row r="38" ht="16.5" customHeight="1" s="923">
      <c r="I38" s="993" t="inlineStr">
        <is>
          <t xml:space="preserve">  Interest Paid</t>
        </is>
      </c>
      <c r="J38" s="229">
        <f>J9+J17+J25+J32</f>
        <v/>
      </c>
      <c r="K38" s="229">
        <f>K9+K17+K25+K32</f>
        <v/>
      </c>
      <c r="L38" s="229">
        <f>L9+L17+L25+L32</f>
        <v/>
      </c>
      <c r="M38" s="229">
        <f>M9+M17+M25+M32</f>
        <v/>
      </c>
      <c r="N38" s="229">
        <f>N9+N17+N25+N32</f>
        <v/>
      </c>
      <c r="O38" s="229">
        <f>O9+O17+O25+O32</f>
        <v/>
      </c>
      <c r="P38" s="229">
        <f>P9+P17+P25+P32</f>
        <v/>
      </c>
      <c r="Q38" s="229">
        <f>Q9+Q17+Q25+Q32</f>
        <v/>
      </c>
      <c r="R38" s="229">
        <f>R9+R17+R25+R32</f>
        <v/>
      </c>
      <c r="S38" s="229">
        <f>S9+S17+S25+S32</f>
        <v/>
      </c>
    </row>
    <row r="39" ht="16.5" customHeight="1" s="923">
      <c r="I39" s="230" t="inlineStr">
        <is>
          <t xml:space="preserve">  Cumulative Interest</t>
        </is>
      </c>
      <c r="J39" s="231">
        <f>J38</f>
        <v/>
      </c>
      <c r="K39" s="231">
        <f>J39+K38</f>
        <v/>
      </c>
      <c r="L39" s="231">
        <f>K39+L38</f>
        <v/>
      </c>
      <c r="M39" s="231">
        <f>L39+M38</f>
        <v/>
      </c>
      <c r="N39" s="231">
        <f>M39+N38</f>
        <v/>
      </c>
      <c r="O39" s="231">
        <f>N39+O38</f>
        <v/>
      </c>
      <c r="P39" s="231">
        <f>O39+P38</f>
        <v/>
      </c>
      <c r="Q39" s="231">
        <f>P39+Q38</f>
        <v/>
      </c>
      <c r="R39" s="231">
        <f>Q39+R38</f>
        <v/>
      </c>
      <c r="S39" s="231">
        <f>R39+S38</f>
        <v/>
      </c>
    </row>
    <row r="40" ht="16.5" customHeight="1" s="923">
      <c r="I40" s="993" t="inlineStr">
        <is>
          <t xml:space="preserve">  Principal Paid</t>
        </is>
      </c>
      <c r="J40" s="229">
        <f>J8+J16+J24+J31</f>
        <v/>
      </c>
      <c r="K40" s="229">
        <f>K8+K16+K24+K31</f>
        <v/>
      </c>
      <c r="L40" s="229">
        <f>L8+L16+L24+L31</f>
        <v/>
      </c>
      <c r="M40" s="229">
        <f>M8+M16+M24+M31</f>
        <v/>
      </c>
      <c r="N40" s="229">
        <f>N8+N16+N24+N31</f>
        <v/>
      </c>
      <c r="O40" s="229">
        <f>O8+O16+O24+O31</f>
        <v/>
      </c>
      <c r="P40" s="229">
        <f>P8+P16+P24+P31</f>
        <v/>
      </c>
      <c r="Q40" s="229">
        <f>Q8+Q16+Q24+Q31</f>
        <v/>
      </c>
      <c r="R40" s="229">
        <f>R8+R16+R24+R31</f>
        <v/>
      </c>
      <c r="S40" s="229">
        <f>S8+S16+S24+S31</f>
        <v/>
      </c>
    </row>
    <row r="41" ht="16.5" customHeight="1" s="923">
      <c r="I41" s="230" t="inlineStr">
        <is>
          <t xml:space="preserve">  Cumulative Principal</t>
        </is>
      </c>
      <c r="J41" s="231">
        <f>J40</f>
        <v/>
      </c>
      <c r="K41" s="231">
        <f>J41+K40</f>
        <v/>
      </c>
      <c r="L41" s="231">
        <f>K41+L40</f>
        <v/>
      </c>
      <c r="M41" s="231">
        <f>L41+M40</f>
        <v/>
      </c>
      <c r="N41" s="231">
        <f>M41+N40</f>
        <v/>
      </c>
      <c r="O41" s="231">
        <f>N41+O40</f>
        <v/>
      </c>
      <c r="P41" s="231">
        <f>O41+P40</f>
        <v/>
      </c>
      <c r="Q41" s="231">
        <f>P41+Q40</f>
        <v/>
      </c>
      <c r="R41" s="231">
        <f>Q41+R40</f>
        <v/>
      </c>
      <c r="S41" s="231">
        <f>R41+S40</f>
        <v/>
      </c>
    </row>
    <row r="42" ht="16.5" customHeight="1" s="923">
      <c r="I42" s="227" t="inlineStr">
        <is>
          <t xml:space="preserve">  Total Debt Service</t>
        </is>
      </c>
      <c r="J42" s="228">
        <f>J40+J38</f>
        <v/>
      </c>
      <c r="K42" s="228">
        <f>K40+K38</f>
        <v/>
      </c>
      <c r="L42" s="228">
        <f>L40+L38</f>
        <v/>
      </c>
      <c r="M42" s="228">
        <f>M40+M38</f>
        <v/>
      </c>
      <c r="N42" s="228">
        <f>N40+N38</f>
        <v/>
      </c>
      <c r="O42" s="228">
        <f>O40+O38</f>
        <v/>
      </c>
      <c r="P42" s="228">
        <f>P40+P38</f>
        <v/>
      </c>
      <c r="Q42" s="228">
        <f>Q40+Q38</f>
        <v/>
      </c>
      <c r="R42" s="228">
        <f>R40+R38</f>
        <v/>
      </c>
      <c r="S42" s="228">
        <f>S40+S38</f>
        <v/>
      </c>
    </row>
    <row r="43" ht="16.5" customHeight="1" s="923">
      <c r="I43" s="365" t="inlineStr">
        <is>
          <t xml:space="preserve">  Ending Balance</t>
        </is>
      </c>
      <c r="J43" s="366">
        <f>J11+J19+J27+J34</f>
        <v/>
      </c>
      <c r="K43" s="366">
        <f>K11+K19+K27+K34</f>
        <v/>
      </c>
      <c r="L43" s="366">
        <f>L11+L19+L27+L34</f>
        <v/>
      </c>
      <c r="M43" s="366">
        <f>M11+M19+M27+M34</f>
        <v/>
      </c>
      <c r="N43" s="366">
        <f>N11+N19+N27+N34</f>
        <v/>
      </c>
      <c r="O43" s="366">
        <f>O11+O19+O27+O34</f>
        <v/>
      </c>
      <c r="P43" s="366">
        <f>P11+P19+P27+P34</f>
        <v/>
      </c>
      <c r="Q43" s="366">
        <f>Q11+Q19+Q27+Q34</f>
        <v/>
      </c>
      <c r="R43" s="366">
        <f>R11+R19+R27+R34</f>
        <v/>
      </c>
      <c r="S43" s="366">
        <f>S11+S19+S27+S34</f>
        <v/>
      </c>
    </row>
    <row r="44" ht="16.5" customHeight="1" s="923">
      <c r="I44" s="355" t="n"/>
      <c r="J44" s="355" t="n"/>
      <c r="K44" s="355" t="n"/>
      <c r="L44" s="355" t="n"/>
      <c r="M44" s="355" t="n"/>
      <c r="N44" s="355" t="n"/>
      <c r="O44" s="355" t="n"/>
      <c r="P44" s="355" t="n"/>
      <c r="Q44" s="355" t="n"/>
      <c r="R44" s="355" t="n"/>
      <c r="S44" s="355" t="n"/>
    </row>
    <row r="45" ht="16.5" customHeight="1" s="923">
      <c r="I45" s="355" t="n"/>
      <c r="J45" s="355" t="n"/>
      <c r="K45" s="355" t="n"/>
      <c r="L45" s="355" t="n"/>
      <c r="M45" s="355" t="n"/>
      <c r="N45" s="355" t="n"/>
      <c r="O45" s="355" t="n"/>
      <c r="P45" s="355" t="n"/>
      <c r="Q45" s="355" t="n"/>
      <c r="R45" s="355" t="n"/>
      <c r="S45" s="355" t="n"/>
    </row>
    <row r="46" ht="6" customHeight="1" s="923">
      <c r="I46" s="355" t="n"/>
      <c r="J46" s="355" t="n"/>
      <c r="K46" s="355" t="n"/>
      <c r="L46" s="355" t="n"/>
      <c r="M46" s="355" t="n"/>
      <c r="N46" s="355" t="n"/>
      <c r="O46" s="355" t="n"/>
      <c r="P46" s="355" t="n"/>
      <c r="Q46" s="355" t="n"/>
      <c r="R46" s="355" t="n"/>
      <c r="S46" s="355" t="n"/>
    </row>
    <row r="47" ht="19.5" customHeight="1" s="923">
      <c r="I47" s="355" t="n"/>
      <c r="J47" s="355" t="n"/>
      <c r="K47" s="355" t="n"/>
      <c r="L47" s="355" t="n"/>
      <c r="M47" s="355" t="n"/>
      <c r="N47" s="355" t="n"/>
      <c r="O47" s="355" t="n"/>
      <c r="P47" s="355" t="n"/>
      <c r="Q47" s="355" t="n"/>
      <c r="R47" s="355" t="n"/>
      <c r="S47" s="355" t="n"/>
    </row>
    <row r="48" ht="16.5" customHeight="1" s="923">
      <c r="I48" s="355" t="n"/>
      <c r="J48" s="355" t="n"/>
      <c r="K48" s="355" t="n"/>
      <c r="L48" s="355" t="n"/>
      <c r="M48" s="355" t="n"/>
      <c r="N48" s="355" t="n"/>
      <c r="O48" s="355" t="n"/>
      <c r="P48" s="355" t="n"/>
      <c r="Q48" s="355" t="n"/>
      <c r="R48" s="355" t="n"/>
      <c r="S48" s="355" t="n"/>
    </row>
    <row r="49" ht="16.5" customHeight="1" s="923">
      <c r="I49" s="355" t="n"/>
      <c r="J49" s="355" t="n"/>
      <c r="K49" s="355" t="n"/>
      <c r="L49" s="355" t="n"/>
      <c r="M49" s="355" t="n"/>
      <c r="N49" s="355" t="n"/>
      <c r="O49" s="355" t="n"/>
      <c r="P49" s="355" t="n"/>
      <c r="Q49" s="355" t="n"/>
      <c r="R49" s="355" t="n"/>
      <c r="S49" s="355" t="n"/>
    </row>
    <row r="50" ht="16.5" customHeight="1" s="923">
      <c r="I50" s="355" t="n"/>
      <c r="J50" s="355" t="n"/>
      <c r="K50" s="355" t="n"/>
      <c r="L50" s="355" t="n"/>
      <c r="M50" s="355" t="n"/>
      <c r="N50" s="355" t="n"/>
      <c r="O50" s="355" t="n"/>
      <c r="P50" s="355" t="n"/>
      <c r="Q50" s="355" t="n"/>
      <c r="R50" s="355" t="n"/>
      <c r="S50" s="355" t="n"/>
    </row>
    <row r="51" ht="16.5" customHeight="1" s="923">
      <c r="I51" s="355" t="n"/>
      <c r="J51" s="355" t="n"/>
      <c r="K51" s="355" t="n"/>
      <c r="L51" s="355" t="n"/>
      <c r="M51" s="355" t="n"/>
      <c r="N51" s="355" t="n"/>
      <c r="O51" s="355" t="n"/>
      <c r="P51" s="355" t="n"/>
      <c r="Q51" s="355" t="n"/>
      <c r="R51" s="355" t="n"/>
      <c r="S51" s="355" t="n"/>
    </row>
    <row r="52" ht="16.5" customHeight="1" s="923">
      <c r="I52" s="355" t="n"/>
      <c r="J52" s="355" t="n"/>
      <c r="K52" s="355" t="n"/>
      <c r="L52" s="355" t="n"/>
      <c r="M52" s="355" t="n"/>
      <c r="N52" s="355" t="n"/>
      <c r="O52" s="355" t="n"/>
      <c r="P52" s="355" t="n"/>
      <c r="Q52" s="355" t="n"/>
      <c r="R52" s="355" t="n"/>
      <c r="S52" s="355" t="n"/>
    </row>
    <row r="53" ht="6" customHeight="1" s="923">
      <c r="I53" s="355" t="n"/>
      <c r="J53" s="355" t="n"/>
      <c r="K53" s="355" t="n"/>
      <c r="L53" s="355" t="n"/>
      <c r="M53" s="355" t="n"/>
      <c r="N53" s="355" t="n"/>
      <c r="O53" s="355" t="n"/>
      <c r="P53" s="355" t="n"/>
      <c r="Q53" s="355" t="n"/>
      <c r="R53" s="355" t="n"/>
      <c r="S53" s="355" t="n"/>
    </row>
    <row r="54" ht="21.75" customHeight="1" s="923">
      <c r="I54" s="355" t="n"/>
      <c r="J54" s="355" t="n"/>
      <c r="K54" s="355" t="n"/>
      <c r="L54" s="355" t="n"/>
      <c r="M54" s="355" t="n"/>
      <c r="N54" s="355" t="n"/>
      <c r="O54" s="355" t="n"/>
      <c r="P54" s="355" t="n"/>
      <c r="Q54" s="355" t="n"/>
      <c r="R54" s="355" t="n"/>
      <c r="S54" s="355" t="n"/>
    </row>
    <row r="55" ht="16.5" customHeight="1" s="923">
      <c r="I55" s="355" t="n"/>
      <c r="J55" s="355" t="n"/>
      <c r="K55" s="355" t="n"/>
      <c r="L55" s="355" t="n"/>
      <c r="M55" s="355" t="n"/>
      <c r="N55" s="355" t="n"/>
      <c r="O55" s="355" t="n"/>
      <c r="P55" s="355" t="n"/>
      <c r="Q55" s="355" t="n"/>
      <c r="R55" s="355" t="n"/>
      <c r="S55" s="355" t="n"/>
    </row>
    <row r="56" ht="16.5" customHeight="1" s="923">
      <c r="I56" s="355" t="n"/>
      <c r="J56" s="355" t="n"/>
      <c r="K56" s="355" t="n"/>
      <c r="L56" s="355" t="n"/>
      <c r="M56" s="355" t="n"/>
      <c r="N56" s="355" t="n"/>
      <c r="O56" s="355" t="n"/>
      <c r="P56" s="355" t="n"/>
      <c r="Q56" s="355" t="n"/>
      <c r="R56" s="355" t="n"/>
      <c r="S56" s="355" t="n"/>
    </row>
    <row r="57" ht="16.5" customHeight="1" s="923">
      <c r="I57" s="355" t="n"/>
      <c r="J57" s="355" t="n"/>
      <c r="K57" s="355" t="n"/>
      <c r="L57" s="355" t="n"/>
      <c r="M57" s="355" t="n"/>
      <c r="N57" s="355" t="n"/>
      <c r="O57" s="355" t="n"/>
      <c r="P57" s="355" t="n"/>
      <c r="Q57" s="355" t="n"/>
      <c r="R57" s="355" t="n"/>
      <c r="S57" s="355" t="n"/>
    </row>
    <row r="58" ht="16.5" customHeight="1" s="923">
      <c r="I58" s="355" t="n"/>
      <c r="J58" s="355" t="n"/>
      <c r="K58" s="355" t="n"/>
      <c r="L58" s="355" t="n"/>
      <c r="M58" s="355" t="n"/>
      <c r="N58" s="355" t="n"/>
      <c r="O58" s="355" t="n"/>
      <c r="P58" s="355" t="n"/>
      <c r="Q58" s="355" t="n"/>
      <c r="R58" s="355" t="n"/>
      <c r="S58" s="355" t="n"/>
    </row>
    <row r="59" ht="16.5" customHeight="1" s="923">
      <c r="I59" s="355" t="n"/>
      <c r="J59" s="355" t="n"/>
      <c r="K59" s="355" t="n"/>
      <c r="L59" s="355" t="n"/>
      <c r="M59" s="355" t="n"/>
      <c r="N59" s="355" t="n"/>
      <c r="O59" s="355" t="n"/>
      <c r="P59" s="355" t="n"/>
      <c r="Q59" s="355" t="n"/>
      <c r="R59" s="355" t="n"/>
      <c r="S59" s="355" t="n"/>
    </row>
    <row r="60" ht="16.5" customHeight="1" s="923">
      <c r="I60" s="355" t="n"/>
      <c r="J60" s="355" t="n"/>
      <c r="K60" s="355" t="n"/>
      <c r="L60" s="355" t="n"/>
      <c r="M60" s="355" t="n"/>
      <c r="N60" s="355" t="n"/>
      <c r="O60" s="355" t="n"/>
      <c r="P60" s="355" t="n"/>
      <c r="Q60" s="355" t="n"/>
      <c r="R60" s="355" t="n"/>
      <c r="S60" s="355" t="n"/>
    </row>
    <row r="61" ht="16.5" customHeight="1" s="923">
      <c r="I61" s="355" t="n"/>
      <c r="J61" s="355" t="n"/>
      <c r="K61" s="355" t="n"/>
      <c r="L61" s="355" t="n"/>
      <c r="M61" s="355" t="n"/>
      <c r="N61" s="355" t="n"/>
      <c r="O61" s="355" t="n"/>
      <c r="P61" s="355" t="n"/>
      <c r="Q61" s="355" t="n"/>
      <c r="R61" s="355" t="n"/>
      <c r="S61" s="355" t="n"/>
    </row>
    <row r="62">
      <c r="I62" s="355" t="n"/>
      <c r="J62" s="355" t="n"/>
      <c r="K62" s="355" t="n"/>
      <c r="L62" s="355" t="n"/>
      <c r="M62" s="355" t="n"/>
      <c r="N62" s="355" t="n"/>
      <c r="O62" s="355" t="n"/>
      <c r="P62" s="355" t="n"/>
      <c r="Q62" s="355" t="n"/>
      <c r="R62" s="355" t="n"/>
      <c r="S62" s="355" t="n"/>
    </row>
    <row r="63">
      <c r="I63" s="355" t="n"/>
      <c r="J63" s="355" t="n"/>
      <c r="K63" s="355" t="n"/>
      <c r="L63" s="355" t="n"/>
      <c r="M63" s="355" t="n"/>
      <c r="N63" s="355" t="n"/>
      <c r="O63" s="355" t="n"/>
      <c r="P63" s="355" t="n"/>
      <c r="Q63" s="355" t="n"/>
      <c r="R63" s="355" t="n"/>
      <c r="S63" s="355" t="n"/>
    </row>
    <row r="64">
      <c r="I64" s="355" t="n"/>
      <c r="J64" s="355" t="n"/>
      <c r="K64" s="355" t="n"/>
      <c r="L64" s="355" t="n"/>
      <c r="M64" s="355" t="n"/>
      <c r="N64" s="355" t="n"/>
      <c r="O64" s="355" t="n"/>
      <c r="P64" s="355" t="n"/>
      <c r="Q64" s="355" t="n"/>
      <c r="R64" s="355" t="n"/>
      <c r="S64" s="355" t="n"/>
    </row>
    <row r="65">
      <c r="I65" s="355" t="n"/>
      <c r="J65" s="355" t="n"/>
      <c r="K65" s="355" t="n"/>
      <c r="L65" s="355" t="n"/>
      <c r="M65" s="355" t="n"/>
      <c r="N65" s="355" t="n"/>
      <c r="O65" s="355" t="n"/>
      <c r="P65" s="355" t="n"/>
      <c r="Q65" s="355" t="n"/>
      <c r="R65" s="355" t="n"/>
      <c r="S65" s="355" t="n"/>
    </row>
    <row r="66">
      <c r="I66" s="355" t="n"/>
      <c r="J66" s="355" t="n"/>
      <c r="K66" s="355" t="n"/>
      <c r="L66" s="355" t="n"/>
      <c r="M66" s="355" t="n"/>
      <c r="N66" s="355" t="n"/>
      <c r="O66" s="355" t="n"/>
      <c r="P66" s="355" t="n"/>
      <c r="Q66" s="355" t="n"/>
      <c r="R66" s="355" t="n"/>
      <c r="S66" s="355" t="n"/>
    </row>
    <row r="67">
      <c r="I67" s="355" t="n"/>
      <c r="J67" s="355" t="n"/>
      <c r="K67" s="355" t="n"/>
      <c r="L67" s="355" t="n"/>
      <c r="M67" s="355" t="n"/>
      <c r="N67" s="355" t="n"/>
      <c r="O67" s="355" t="n"/>
      <c r="P67" s="355" t="n"/>
      <c r="Q67" s="355" t="n"/>
      <c r="R67" s="355" t="n"/>
      <c r="S67" s="355" t="n"/>
    </row>
    <row r="68">
      <c r="I68" s="355" t="n"/>
      <c r="J68" s="355" t="n"/>
      <c r="K68" s="355" t="n"/>
      <c r="L68" s="355" t="n"/>
      <c r="M68" s="355" t="n"/>
      <c r="N68" s="355" t="n"/>
      <c r="O68" s="355" t="n"/>
      <c r="P68" s="355" t="n"/>
      <c r="Q68" s="355" t="n"/>
      <c r="R68" s="355" t="n"/>
      <c r="S68" s="355" t="n"/>
    </row>
    <row r="69">
      <c r="I69" s="355" t="n"/>
      <c r="J69" s="355" t="n"/>
      <c r="K69" s="355" t="n"/>
      <c r="L69" s="355" t="n"/>
      <c r="M69" s="355" t="n"/>
      <c r="N69" s="355" t="n"/>
      <c r="O69" s="355" t="n"/>
      <c r="P69" s="355" t="n"/>
      <c r="Q69" s="355" t="n"/>
      <c r="R69" s="355" t="n"/>
      <c r="S69" s="355" t="n"/>
    </row>
    <row r="70">
      <c r="I70" s="355" t="n"/>
      <c r="J70" s="355" t="n"/>
      <c r="K70" s="355" t="n"/>
      <c r="L70" s="355" t="n"/>
      <c r="M70" s="355" t="n"/>
      <c r="N70" s="355" t="n"/>
      <c r="O70" s="355" t="n"/>
      <c r="P70" s="355" t="n"/>
      <c r="Q70" s="355" t="n"/>
      <c r="R70" s="355" t="n"/>
      <c r="S70" s="355" t="n"/>
    </row>
  </sheetData>
  <mergeCells count="2">
    <mergeCell ref="A2:F2"/>
    <mergeCell ref="A1:F1"/>
  </mergeCells>
  <dataValidations count="1">
    <dataValidation sqref="J6 J14 J22" showDropDown="0" showInputMessage="0" showErrorMessage="0" allowBlank="0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2026-03-25T21:57:35Z</dcterms:created>
  <dcterms:modified xsi:type="dcterms:W3CDTF">2026-06-03T06:25:23Z</dcterms:modified>
  <cp:lastModifiedBy>Erik J</cp:lastModifiedBy>
  <cp:revision>0</cp:revision>
</cp:coreProperties>
</file>