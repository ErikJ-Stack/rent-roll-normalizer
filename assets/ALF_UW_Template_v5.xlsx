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qaud1c2a4gqhh8ajiflt1bewfl-my.sharepoint.com/personal/erik_jlequitiescap_com/Documents/Deals/Acquisition/_Template/ALF Templates/"/>
    </mc:Choice>
  </mc:AlternateContent>
  <xr:revisionPtr revIDLastSave="6823" documentId="8_{F6E1A26C-E995-ED4D-812A-5C1336F59E6B}" xr6:coauthVersionLast="47" xr6:coauthVersionMax="47" xr10:uidLastSave="{5673F9FF-1D44-46CC-BF9F-A9FE6AC05450}"/>
  <bookViews>
    <workbookView xWindow="25530" yWindow="30" windowWidth="34515" windowHeight="20970" tabRatio="894" activeTab="7" xr2:uid="{00000000-000D-0000-FFFF-FFFF00000000}"/>
  </bookViews>
  <sheets>
    <sheet name="Cover" sheetId="1" r:id="rId1"/>
    <sheet name="Prop Info" sheetId="2" r:id="rId2"/>
    <sheet name="Scenarios" sheetId="3" r:id="rId3"/>
    <sheet name="P&amp;L" sheetId="6" r:id="rId4"/>
    <sheet name="T-12 Analysis" sheetId="4" r:id="rId5"/>
    <sheet name="Acquisition Costs" sheetId="7" r:id="rId6"/>
    <sheet name="Staffing Matrix" sheetId="8" r:id="rId7"/>
    <sheet name="Rent Roll Analysis" sheetId="5" r:id="rId8"/>
    <sheet name="Rental Comps" sheetId="9" r:id="rId9"/>
    <sheet name="Capex" sheetId="10" r:id="rId10"/>
    <sheet name="Exit Strategy" sheetId="11" r:id="rId11"/>
    <sheet name="Waterfall" sheetId="12" r:id="rId12"/>
    <sheet name="LP Return Illustration" sheetId="14" r:id="rId13"/>
    <sheet name="Sensitivity" sheetId="13" r:id="rId14"/>
    <sheet name="XIRR Analysis" sheetId="16" r:id="rId15"/>
    <sheet name="Loans" sheetId="17" r:id="rId16"/>
  </sheets>
  <definedNames>
    <definedName name="_xlnm._FilterDatabase" localSheetId="7" hidden="1">'Rent Roll Analysis'!$A$210:$AB$387</definedName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86" i="5" l="1"/>
  <c r="AB386" i="5" s="1"/>
  <c r="Y386" i="5"/>
  <c r="X386" i="5"/>
  <c r="V386" i="5"/>
  <c r="W386" i="5" s="1"/>
  <c r="K386" i="5"/>
  <c r="L386" i="5" s="1"/>
  <c r="AA385" i="5"/>
  <c r="AB385" i="5" s="1"/>
  <c r="Y385" i="5"/>
  <c r="X385" i="5"/>
  <c r="V385" i="5"/>
  <c r="W385" i="5" s="1"/>
  <c r="K385" i="5"/>
  <c r="L385" i="5" s="1"/>
  <c r="AA384" i="5"/>
  <c r="AB384" i="5" s="1"/>
  <c r="Y384" i="5"/>
  <c r="X384" i="5"/>
  <c r="V384" i="5"/>
  <c r="W384" i="5" s="1"/>
  <c r="L384" i="5"/>
  <c r="K384" i="5"/>
  <c r="AA383" i="5"/>
  <c r="AB383" i="5" s="1"/>
  <c r="Y383" i="5"/>
  <c r="X383" i="5"/>
  <c r="V383" i="5"/>
  <c r="W383" i="5" s="1"/>
  <c r="L383" i="5"/>
  <c r="K383" i="5"/>
  <c r="AA382" i="5"/>
  <c r="AB382" i="5" s="1"/>
  <c r="Y382" i="5"/>
  <c r="X382" i="5"/>
  <c r="V382" i="5"/>
  <c r="W382" i="5" s="1"/>
  <c r="K382" i="5"/>
  <c r="L382" i="5" s="1"/>
  <c r="AA381" i="5"/>
  <c r="AB381" i="5" s="1"/>
  <c r="Y381" i="5"/>
  <c r="X381" i="5"/>
  <c r="V381" i="5"/>
  <c r="W381" i="5" s="1"/>
  <c r="K381" i="5"/>
  <c r="L381" i="5" s="1"/>
  <c r="AA380" i="5"/>
  <c r="AB380" i="5" s="1"/>
  <c r="Y380" i="5"/>
  <c r="X380" i="5"/>
  <c r="V380" i="5"/>
  <c r="W380" i="5" s="1"/>
  <c r="L380" i="5"/>
  <c r="K380" i="5"/>
  <c r="AA379" i="5"/>
  <c r="AB379" i="5" s="1"/>
  <c r="Y379" i="5"/>
  <c r="X379" i="5"/>
  <c r="V379" i="5"/>
  <c r="W379" i="5" s="1"/>
  <c r="L379" i="5"/>
  <c r="K379" i="5"/>
  <c r="AA378" i="5"/>
  <c r="AB378" i="5" s="1"/>
  <c r="Y378" i="5"/>
  <c r="X378" i="5"/>
  <c r="V378" i="5"/>
  <c r="W378" i="5" s="1"/>
  <c r="K378" i="5"/>
  <c r="L378" i="5" s="1"/>
  <c r="AA377" i="5"/>
  <c r="AB377" i="5" s="1"/>
  <c r="Y377" i="5"/>
  <c r="X377" i="5"/>
  <c r="V377" i="5"/>
  <c r="W377" i="5" s="1"/>
  <c r="K377" i="5"/>
  <c r="L377" i="5" s="1"/>
  <c r="AA376" i="5"/>
  <c r="AB376" i="5" s="1"/>
  <c r="Y376" i="5"/>
  <c r="X376" i="5"/>
  <c r="V376" i="5"/>
  <c r="W376" i="5" s="1"/>
  <c r="L376" i="5"/>
  <c r="K376" i="5"/>
  <c r="AA375" i="5"/>
  <c r="AB375" i="5" s="1"/>
  <c r="Y375" i="5"/>
  <c r="X375" i="5"/>
  <c r="V375" i="5"/>
  <c r="W375" i="5" s="1"/>
  <c r="L375" i="5"/>
  <c r="K375" i="5"/>
  <c r="AA374" i="5"/>
  <c r="AB374" i="5" s="1"/>
  <c r="Y374" i="5"/>
  <c r="X374" i="5"/>
  <c r="V374" i="5"/>
  <c r="W374" i="5" s="1"/>
  <c r="K374" i="5"/>
  <c r="L374" i="5" s="1"/>
  <c r="AA373" i="5"/>
  <c r="AB373" i="5" s="1"/>
  <c r="Y373" i="5"/>
  <c r="X373" i="5"/>
  <c r="V373" i="5"/>
  <c r="W373" i="5" s="1"/>
  <c r="K373" i="5"/>
  <c r="L373" i="5" s="1"/>
  <c r="AA372" i="5"/>
  <c r="AB372" i="5" s="1"/>
  <c r="Y372" i="5"/>
  <c r="X372" i="5"/>
  <c r="V372" i="5"/>
  <c r="W372" i="5" s="1"/>
  <c r="L372" i="5"/>
  <c r="K372" i="5"/>
  <c r="AA371" i="5"/>
  <c r="AB371" i="5" s="1"/>
  <c r="Y371" i="5"/>
  <c r="X371" i="5"/>
  <c r="V371" i="5"/>
  <c r="W371" i="5" s="1"/>
  <c r="L371" i="5"/>
  <c r="K371" i="5"/>
  <c r="AA370" i="5"/>
  <c r="AB370" i="5" s="1"/>
  <c r="Y370" i="5"/>
  <c r="X370" i="5"/>
  <c r="V370" i="5"/>
  <c r="W370" i="5" s="1"/>
  <c r="K370" i="5"/>
  <c r="L370" i="5" s="1"/>
  <c r="AA369" i="5"/>
  <c r="AB369" i="5" s="1"/>
  <c r="Y369" i="5"/>
  <c r="X369" i="5"/>
  <c r="V369" i="5"/>
  <c r="W369" i="5" s="1"/>
  <c r="K369" i="5"/>
  <c r="L369" i="5" s="1"/>
  <c r="AA368" i="5"/>
  <c r="AB368" i="5" s="1"/>
  <c r="Y368" i="5"/>
  <c r="X368" i="5"/>
  <c r="V368" i="5"/>
  <c r="W368" i="5" s="1"/>
  <c r="L368" i="5"/>
  <c r="K368" i="5"/>
  <c r="AA367" i="5"/>
  <c r="AB367" i="5" s="1"/>
  <c r="Y367" i="5"/>
  <c r="X367" i="5"/>
  <c r="V367" i="5"/>
  <c r="W367" i="5" s="1"/>
  <c r="L367" i="5"/>
  <c r="K367" i="5"/>
  <c r="AA366" i="5"/>
  <c r="AB366" i="5" s="1"/>
  <c r="Y366" i="5"/>
  <c r="X366" i="5"/>
  <c r="V366" i="5"/>
  <c r="W366" i="5" s="1"/>
  <c r="K366" i="5"/>
  <c r="L366" i="5" s="1"/>
  <c r="AA365" i="5"/>
  <c r="AB365" i="5" s="1"/>
  <c r="Y365" i="5"/>
  <c r="X365" i="5"/>
  <c r="V365" i="5"/>
  <c r="W365" i="5" s="1"/>
  <c r="K365" i="5"/>
  <c r="L365" i="5" s="1"/>
  <c r="AA364" i="5"/>
  <c r="AB364" i="5" s="1"/>
  <c r="Y364" i="5"/>
  <c r="X364" i="5"/>
  <c r="V364" i="5"/>
  <c r="W364" i="5" s="1"/>
  <c r="L364" i="5"/>
  <c r="K364" i="5"/>
  <c r="AA363" i="5"/>
  <c r="AB363" i="5" s="1"/>
  <c r="Y363" i="5"/>
  <c r="X363" i="5"/>
  <c r="V363" i="5"/>
  <c r="W363" i="5" s="1"/>
  <c r="L363" i="5"/>
  <c r="K363" i="5"/>
  <c r="AA362" i="5"/>
  <c r="AB362" i="5" s="1"/>
  <c r="Y362" i="5"/>
  <c r="X362" i="5"/>
  <c r="V362" i="5"/>
  <c r="W362" i="5" s="1"/>
  <c r="K362" i="5"/>
  <c r="L362" i="5" s="1"/>
  <c r="AA361" i="5"/>
  <c r="AB361" i="5" s="1"/>
  <c r="Y361" i="5"/>
  <c r="X361" i="5"/>
  <c r="V361" i="5"/>
  <c r="W361" i="5" s="1"/>
  <c r="K361" i="5"/>
  <c r="L361" i="5" s="1"/>
  <c r="AA360" i="5"/>
  <c r="AB360" i="5" s="1"/>
  <c r="Y360" i="5"/>
  <c r="X360" i="5"/>
  <c r="V360" i="5"/>
  <c r="W360" i="5" s="1"/>
  <c r="L360" i="5"/>
  <c r="K360" i="5"/>
  <c r="AA359" i="5"/>
  <c r="AB359" i="5" s="1"/>
  <c r="Y359" i="5"/>
  <c r="X359" i="5"/>
  <c r="V359" i="5"/>
  <c r="W359" i="5" s="1"/>
  <c r="L359" i="5"/>
  <c r="K359" i="5"/>
  <c r="AA358" i="5"/>
  <c r="AB358" i="5" s="1"/>
  <c r="Y358" i="5"/>
  <c r="X358" i="5"/>
  <c r="V358" i="5"/>
  <c r="W358" i="5" s="1"/>
  <c r="K358" i="5"/>
  <c r="L358" i="5" s="1"/>
  <c r="AA357" i="5"/>
  <c r="AB357" i="5" s="1"/>
  <c r="Y357" i="5"/>
  <c r="X357" i="5"/>
  <c r="V357" i="5"/>
  <c r="W357" i="5" s="1"/>
  <c r="K357" i="5"/>
  <c r="L357" i="5" s="1"/>
  <c r="AA356" i="5"/>
  <c r="AB356" i="5" s="1"/>
  <c r="Y356" i="5"/>
  <c r="X356" i="5"/>
  <c r="V356" i="5"/>
  <c r="W356" i="5" s="1"/>
  <c r="L356" i="5"/>
  <c r="K356" i="5"/>
  <c r="AA355" i="5"/>
  <c r="AB355" i="5" s="1"/>
  <c r="Y355" i="5"/>
  <c r="X355" i="5"/>
  <c r="V355" i="5"/>
  <c r="W355" i="5" s="1"/>
  <c r="L355" i="5"/>
  <c r="K355" i="5"/>
  <c r="AA354" i="5"/>
  <c r="AB354" i="5" s="1"/>
  <c r="Y354" i="5"/>
  <c r="X354" i="5"/>
  <c r="V354" i="5"/>
  <c r="W354" i="5" s="1"/>
  <c r="K354" i="5"/>
  <c r="L354" i="5" s="1"/>
  <c r="AA353" i="5"/>
  <c r="AB353" i="5" s="1"/>
  <c r="Y353" i="5"/>
  <c r="X353" i="5"/>
  <c r="V353" i="5"/>
  <c r="W353" i="5" s="1"/>
  <c r="K353" i="5"/>
  <c r="L353" i="5" s="1"/>
  <c r="AA352" i="5"/>
  <c r="AB352" i="5" s="1"/>
  <c r="Y352" i="5"/>
  <c r="X352" i="5"/>
  <c r="V352" i="5"/>
  <c r="W352" i="5" s="1"/>
  <c r="L352" i="5"/>
  <c r="K352" i="5"/>
  <c r="AA351" i="5"/>
  <c r="AB351" i="5" s="1"/>
  <c r="Y351" i="5"/>
  <c r="X351" i="5"/>
  <c r="V351" i="5"/>
  <c r="W351" i="5" s="1"/>
  <c r="L351" i="5"/>
  <c r="K351" i="5"/>
  <c r="AA350" i="5"/>
  <c r="AB350" i="5" s="1"/>
  <c r="Y350" i="5"/>
  <c r="X350" i="5"/>
  <c r="V350" i="5"/>
  <c r="W350" i="5" s="1"/>
  <c r="K350" i="5"/>
  <c r="L350" i="5" s="1"/>
  <c r="AA349" i="5"/>
  <c r="AB349" i="5" s="1"/>
  <c r="Y349" i="5"/>
  <c r="X349" i="5"/>
  <c r="V349" i="5"/>
  <c r="W349" i="5" s="1"/>
  <c r="K349" i="5"/>
  <c r="L349" i="5" s="1"/>
  <c r="AA348" i="5"/>
  <c r="AB348" i="5" s="1"/>
  <c r="Y348" i="5"/>
  <c r="X348" i="5"/>
  <c r="V348" i="5"/>
  <c r="W348" i="5" s="1"/>
  <c r="L348" i="5"/>
  <c r="K348" i="5"/>
  <c r="AA347" i="5"/>
  <c r="AB347" i="5" s="1"/>
  <c r="Y347" i="5"/>
  <c r="X347" i="5"/>
  <c r="V347" i="5"/>
  <c r="W347" i="5" s="1"/>
  <c r="L347" i="5"/>
  <c r="K347" i="5"/>
  <c r="AA346" i="5"/>
  <c r="AB346" i="5" s="1"/>
  <c r="Y346" i="5"/>
  <c r="X346" i="5"/>
  <c r="V346" i="5"/>
  <c r="W346" i="5" s="1"/>
  <c r="K346" i="5"/>
  <c r="L346" i="5" s="1"/>
  <c r="AA345" i="5"/>
  <c r="AB345" i="5" s="1"/>
  <c r="Y345" i="5"/>
  <c r="X345" i="5"/>
  <c r="V345" i="5"/>
  <c r="W345" i="5" s="1"/>
  <c r="K345" i="5"/>
  <c r="L345" i="5" s="1"/>
  <c r="AA344" i="5"/>
  <c r="AB344" i="5" s="1"/>
  <c r="Y344" i="5"/>
  <c r="X344" i="5"/>
  <c r="V344" i="5"/>
  <c r="W344" i="5" s="1"/>
  <c r="L344" i="5"/>
  <c r="K344" i="5"/>
  <c r="AA343" i="5"/>
  <c r="AB343" i="5" s="1"/>
  <c r="Y343" i="5"/>
  <c r="X343" i="5"/>
  <c r="V343" i="5"/>
  <c r="W343" i="5" s="1"/>
  <c r="L343" i="5"/>
  <c r="K343" i="5"/>
  <c r="AA342" i="5"/>
  <c r="AB342" i="5" s="1"/>
  <c r="Y342" i="5"/>
  <c r="X342" i="5"/>
  <c r="V342" i="5"/>
  <c r="W342" i="5" s="1"/>
  <c r="K342" i="5"/>
  <c r="L342" i="5" s="1"/>
  <c r="AA341" i="5"/>
  <c r="AB341" i="5" s="1"/>
  <c r="Y341" i="5"/>
  <c r="X341" i="5"/>
  <c r="V341" i="5"/>
  <c r="W341" i="5" s="1"/>
  <c r="K341" i="5"/>
  <c r="L341" i="5" s="1"/>
  <c r="AA340" i="5"/>
  <c r="AB340" i="5" s="1"/>
  <c r="Y340" i="5"/>
  <c r="X340" i="5"/>
  <c r="V340" i="5"/>
  <c r="W340" i="5" s="1"/>
  <c r="L340" i="5"/>
  <c r="K340" i="5"/>
  <c r="AA339" i="5"/>
  <c r="AB339" i="5" s="1"/>
  <c r="Y339" i="5"/>
  <c r="X339" i="5"/>
  <c r="V339" i="5"/>
  <c r="W339" i="5" s="1"/>
  <c r="L339" i="5"/>
  <c r="K339" i="5"/>
  <c r="AA338" i="5"/>
  <c r="AB338" i="5" s="1"/>
  <c r="Y338" i="5"/>
  <c r="X338" i="5"/>
  <c r="V338" i="5"/>
  <c r="W338" i="5" s="1"/>
  <c r="K338" i="5"/>
  <c r="L338" i="5" s="1"/>
  <c r="AA337" i="5"/>
  <c r="AB337" i="5" s="1"/>
  <c r="Y337" i="5"/>
  <c r="X337" i="5"/>
  <c r="V337" i="5"/>
  <c r="W337" i="5" s="1"/>
  <c r="K337" i="5"/>
  <c r="L337" i="5" s="1"/>
  <c r="H11" i="5" s="1"/>
  <c r="AA336" i="5"/>
  <c r="AB336" i="5" s="1"/>
  <c r="Y336" i="5"/>
  <c r="X336" i="5"/>
  <c r="V336" i="5"/>
  <c r="W336" i="5" s="1"/>
  <c r="L336" i="5"/>
  <c r="K336" i="5"/>
  <c r="AA335" i="5"/>
  <c r="AB335" i="5" s="1"/>
  <c r="Y335" i="5"/>
  <c r="X335" i="5"/>
  <c r="V335" i="5"/>
  <c r="W335" i="5" s="1"/>
  <c r="L335" i="5"/>
  <c r="K335" i="5"/>
  <c r="AB334" i="5"/>
  <c r="AA334" i="5"/>
  <c r="Y334" i="5"/>
  <c r="X334" i="5"/>
  <c r="V334" i="5"/>
  <c r="W334" i="5" s="1"/>
  <c r="K334" i="5"/>
  <c r="L334" i="5" s="1"/>
  <c r="AA333" i="5"/>
  <c r="AB333" i="5" s="1"/>
  <c r="Y333" i="5"/>
  <c r="X333" i="5"/>
  <c r="V333" i="5"/>
  <c r="W333" i="5" s="1"/>
  <c r="K333" i="5"/>
  <c r="L333" i="5" s="1"/>
  <c r="AA332" i="5"/>
  <c r="AB332" i="5" s="1"/>
  <c r="Y332" i="5"/>
  <c r="X332" i="5"/>
  <c r="V332" i="5"/>
  <c r="W332" i="5" s="1"/>
  <c r="K332" i="5"/>
  <c r="L332" i="5" s="1"/>
  <c r="AA331" i="5"/>
  <c r="AB331" i="5" s="1"/>
  <c r="Y331" i="5"/>
  <c r="X331" i="5"/>
  <c r="V331" i="5"/>
  <c r="W331" i="5" s="1"/>
  <c r="L331" i="5"/>
  <c r="K331" i="5"/>
  <c r="AA330" i="5"/>
  <c r="AB330" i="5" s="1"/>
  <c r="Y330" i="5"/>
  <c r="X330" i="5"/>
  <c r="V330" i="5"/>
  <c r="W330" i="5" s="1"/>
  <c r="K330" i="5"/>
  <c r="L330" i="5" s="1"/>
  <c r="AA329" i="5"/>
  <c r="AB329" i="5" s="1"/>
  <c r="Y329" i="5"/>
  <c r="X329" i="5"/>
  <c r="V329" i="5"/>
  <c r="W329" i="5" s="1"/>
  <c r="K329" i="5"/>
  <c r="L329" i="5" s="1"/>
  <c r="AA328" i="5"/>
  <c r="AB328" i="5" s="1"/>
  <c r="Y328" i="5"/>
  <c r="X328" i="5"/>
  <c r="V328" i="5"/>
  <c r="W328" i="5" s="1"/>
  <c r="L328" i="5"/>
  <c r="K328" i="5"/>
  <c r="AA327" i="5"/>
  <c r="AB327" i="5" s="1"/>
  <c r="Y327" i="5"/>
  <c r="X327" i="5"/>
  <c r="V327" i="5"/>
  <c r="W327" i="5" s="1"/>
  <c r="L327" i="5"/>
  <c r="K327" i="5"/>
  <c r="AA326" i="5"/>
  <c r="AB326" i="5" s="1"/>
  <c r="Y326" i="5"/>
  <c r="X326" i="5"/>
  <c r="V326" i="5"/>
  <c r="W326" i="5" s="1"/>
  <c r="K326" i="5"/>
  <c r="L326" i="5" s="1"/>
  <c r="AA325" i="5"/>
  <c r="AB325" i="5" s="1"/>
  <c r="Y325" i="5"/>
  <c r="X325" i="5"/>
  <c r="V325" i="5"/>
  <c r="W325" i="5" s="1"/>
  <c r="K325" i="5"/>
  <c r="L325" i="5" s="1"/>
  <c r="AA324" i="5"/>
  <c r="AB324" i="5" s="1"/>
  <c r="Y324" i="5"/>
  <c r="X324" i="5"/>
  <c r="V324" i="5"/>
  <c r="W324" i="5" s="1"/>
  <c r="L324" i="5"/>
  <c r="K324" i="5"/>
  <c r="AA323" i="5"/>
  <c r="AB323" i="5" s="1"/>
  <c r="Y323" i="5"/>
  <c r="X323" i="5"/>
  <c r="V323" i="5"/>
  <c r="W323" i="5" s="1"/>
  <c r="L323" i="5"/>
  <c r="K323" i="5"/>
  <c r="AA322" i="5"/>
  <c r="AB322" i="5" s="1"/>
  <c r="Y322" i="5"/>
  <c r="X322" i="5"/>
  <c r="V322" i="5"/>
  <c r="W322" i="5" s="1"/>
  <c r="K322" i="5"/>
  <c r="L322" i="5" s="1"/>
  <c r="AA321" i="5"/>
  <c r="AB321" i="5" s="1"/>
  <c r="Y321" i="5"/>
  <c r="X321" i="5"/>
  <c r="V321" i="5"/>
  <c r="W321" i="5" s="1"/>
  <c r="K321" i="5"/>
  <c r="L321" i="5" s="1"/>
  <c r="AA320" i="5"/>
  <c r="AB320" i="5" s="1"/>
  <c r="Y320" i="5"/>
  <c r="X320" i="5"/>
  <c r="V320" i="5"/>
  <c r="W320" i="5" s="1"/>
  <c r="L320" i="5"/>
  <c r="K320" i="5"/>
  <c r="AA319" i="5"/>
  <c r="AB319" i="5" s="1"/>
  <c r="Y319" i="5"/>
  <c r="X319" i="5"/>
  <c r="V319" i="5"/>
  <c r="W319" i="5" s="1"/>
  <c r="L319" i="5"/>
  <c r="K319" i="5"/>
  <c r="AA318" i="5"/>
  <c r="AB318" i="5" s="1"/>
  <c r="Y318" i="5"/>
  <c r="X318" i="5"/>
  <c r="V318" i="5"/>
  <c r="W318" i="5" s="1"/>
  <c r="K318" i="5"/>
  <c r="L318" i="5" s="1"/>
  <c r="AA317" i="5"/>
  <c r="AB317" i="5" s="1"/>
  <c r="Y317" i="5"/>
  <c r="X317" i="5"/>
  <c r="V317" i="5"/>
  <c r="W317" i="5" s="1"/>
  <c r="K317" i="5"/>
  <c r="L317" i="5" s="1"/>
  <c r="AA316" i="5"/>
  <c r="AB316" i="5" s="1"/>
  <c r="Y316" i="5"/>
  <c r="X316" i="5"/>
  <c r="V316" i="5"/>
  <c r="W316" i="5" s="1"/>
  <c r="L316" i="5"/>
  <c r="K316" i="5"/>
  <c r="AA315" i="5"/>
  <c r="AB315" i="5" s="1"/>
  <c r="Y315" i="5"/>
  <c r="X315" i="5"/>
  <c r="V315" i="5"/>
  <c r="W315" i="5" s="1"/>
  <c r="L315" i="5"/>
  <c r="K315" i="5"/>
  <c r="AA314" i="5"/>
  <c r="AB314" i="5" s="1"/>
  <c r="Y314" i="5"/>
  <c r="X314" i="5"/>
  <c r="V314" i="5"/>
  <c r="W314" i="5" s="1"/>
  <c r="K314" i="5"/>
  <c r="L314" i="5" s="1"/>
  <c r="AA313" i="5"/>
  <c r="AB313" i="5" s="1"/>
  <c r="Y313" i="5"/>
  <c r="X313" i="5"/>
  <c r="V313" i="5"/>
  <c r="W313" i="5" s="1"/>
  <c r="K313" i="5"/>
  <c r="L313" i="5" s="1"/>
  <c r="AA312" i="5"/>
  <c r="AB312" i="5" s="1"/>
  <c r="Y312" i="5"/>
  <c r="X312" i="5"/>
  <c r="V312" i="5"/>
  <c r="W312" i="5" s="1"/>
  <c r="L312" i="5"/>
  <c r="K312" i="5"/>
  <c r="AA311" i="5"/>
  <c r="AB311" i="5" s="1"/>
  <c r="Y311" i="5"/>
  <c r="X311" i="5"/>
  <c r="V311" i="5"/>
  <c r="W311" i="5" s="1"/>
  <c r="L311" i="5"/>
  <c r="K311" i="5"/>
  <c r="AA310" i="5"/>
  <c r="AB310" i="5" s="1"/>
  <c r="Y310" i="5"/>
  <c r="X310" i="5"/>
  <c r="V310" i="5"/>
  <c r="W310" i="5" s="1"/>
  <c r="K310" i="5"/>
  <c r="L310" i="5" s="1"/>
  <c r="AA309" i="5"/>
  <c r="AB309" i="5" s="1"/>
  <c r="Y309" i="5"/>
  <c r="X309" i="5"/>
  <c r="V309" i="5"/>
  <c r="W309" i="5" s="1"/>
  <c r="K309" i="5"/>
  <c r="L309" i="5" s="1"/>
  <c r="AA308" i="5"/>
  <c r="AB308" i="5" s="1"/>
  <c r="Y308" i="5"/>
  <c r="X308" i="5"/>
  <c r="V308" i="5"/>
  <c r="W308" i="5" s="1"/>
  <c r="L308" i="5"/>
  <c r="K308" i="5"/>
  <c r="AA307" i="5"/>
  <c r="AB307" i="5" s="1"/>
  <c r="Y307" i="5"/>
  <c r="X307" i="5"/>
  <c r="V307" i="5"/>
  <c r="W307" i="5" s="1"/>
  <c r="L307" i="5"/>
  <c r="K307" i="5"/>
  <c r="AA306" i="5"/>
  <c r="AB306" i="5" s="1"/>
  <c r="Y306" i="5"/>
  <c r="X306" i="5"/>
  <c r="V306" i="5"/>
  <c r="W306" i="5" s="1"/>
  <c r="K306" i="5"/>
  <c r="L306" i="5" s="1"/>
  <c r="AA305" i="5"/>
  <c r="AB305" i="5" s="1"/>
  <c r="Y305" i="5"/>
  <c r="X305" i="5"/>
  <c r="V305" i="5"/>
  <c r="W305" i="5" s="1"/>
  <c r="K305" i="5"/>
  <c r="L305" i="5" s="1"/>
  <c r="AA304" i="5"/>
  <c r="AB304" i="5" s="1"/>
  <c r="Y304" i="5"/>
  <c r="X304" i="5"/>
  <c r="V304" i="5"/>
  <c r="W304" i="5" s="1"/>
  <c r="K304" i="5"/>
  <c r="L304" i="5" s="1"/>
  <c r="AA303" i="5"/>
  <c r="AB303" i="5" s="1"/>
  <c r="Y303" i="5"/>
  <c r="X303" i="5"/>
  <c r="V303" i="5"/>
  <c r="W303" i="5" s="1"/>
  <c r="L303" i="5"/>
  <c r="K303" i="5"/>
  <c r="AA302" i="5"/>
  <c r="AB302" i="5" s="1"/>
  <c r="Y302" i="5"/>
  <c r="X302" i="5"/>
  <c r="V302" i="5"/>
  <c r="W302" i="5" s="1"/>
  <c r="K302" i="5"/>
  <c r="L302" i="5" s="1"/>
  <c r="AA301" i="5"/>
  <c r="AB301" i="5" s="1"/>
  <c r="Y301" i="5"/>
  <c r="X301" i="5"/>
  <c r="V301" i="5"/>
  <c r="W301" i="5" s="1"/>
  <c r="K301" i="5"/>
  <c r="L301" i="5" s="1"/>
  <c r="AA300" i="5"/>
  <c r="AB300" i="5" s="1"/>
  <c r="Y300" i="5"/>
  <c r="X300" i="5"/>
  <c r="V300" i="5"/>
  <c r="W300" i="5" s="1"/>
  <c r="K300" i="5"/>
  <c r="L300" i="5" s="1"/>
  <c r="AA299" i="5"/>
  <c r="AB299" i="5" s="1"/>
  <c r="Y299" i="5"/>
  <c r="X299" i="5"/>
  <c r="V299" i="5"/>
  <c r="W299" i="5" s="1"/>
  <c r="L299" i="5"/>
  <c r="K299" i="5"/>
  <c r="AA298" i="5"/>
  <c r="AB298" i="5" s="1"/>
  <c r="Y298" i="5"/>
  <c r="X298" i="5"/>
  <c r="V298" i="5"/>
  <c r="W298" i="5" s="1"/>
  <c r="K298" i="5"/>
  <c r="L298" i="5" s="1"/>
  <c r="AA297" i="5"/>
  <c r="AB297" i="5" s="1"/>
  <c r="Y297" i="5"/>
  <c r="X297" i="5"/>
  <c r="V297" i="5"/>
  <c r="W297" i="5" s="1"/>
  <c r="K297" i="5"/>
  <c r="L297" i="5" s="1"/>
  <c r="AA296" i="5"/>
  <c r="AB296" i="5" s="1"/>
  <c r="Y296" i="5"/>
  <c r="X296" i="5"/>
  <c r="V296" i="5"/>
  <c r="W296" i="5" s="1"/>
  <c r="K296" i="5"/>
  <c r="L296" i="5" s="1"/>
  <c r="AA295" i="5"/>
  <c r="AB295" i="5" s="1"/>
  <c r="Y295" i="5"/>
  <c r="X295" i="5"/>
  <c r="V295" i="5"/>
  <c r="W295" i="5" s="1"/>
  <c r="L295" i="5"/>
  <c r="K295" i="5"/>
  <c r="AA294" i="5"/>
  <c r="AB294" i="5" s="1"/>
  <c r="Y294" i="5"/>
  <c r="X294" i="5"/>
  <c r="V294" i="5"/>
  <c r="W294" i="5" s="1"/>
  <c r="K294" i="5"/>
  <c r="L294" i="5" s="1"/>
  <c r="AA293" i="5"/>
  <c r="AB293" i="5" s="1"/>
  <c r="Y293" i="5"/>
  <c r="X293" i="5"/>
  <c r="V293" i="5"/>
  <c r="W293" i="5" s="1"/>
  <c r="K293" i="5"/>
  <c r="L293" i="5" s="1"/>
  <c r="AA292" i="5"/>
  <c r="AB292" i="5" s="1"/>
  <c r="Y292" i="5"/>
  <c r="X292" i="5"/>
  <c r="V292" i="5"/>
  <c r="W292" i="5" s="1"/>
  <c r="K292" i="5"/>
  <c r="L292" i="5" s="1"/>
  <c r="AA291" i="5"/>
  <c r="AB291" i="5" s="1"/>
  <c r="Y291" i="5"/>
  <c r="X291" i="5"/>
  <c r="V291" i="5"/>
  <c r="W291" i="5" s="1"/>
  <c r="L291" i="5"/>
  <c r="K291" i="5"/>
  <c r="AA290" i="5"/>
  <c r="AB290" i="5" s="1"/>
  <c r="Y290" i="5"/>
  <c r="X290" i="5"/>
  <c r="V290" i="5"/>
  <c r="W290" i="5" s="1"/>
  <c r="K290" i="5"/>
  <c r="L290" i="5" s="1"/>
  <c r="AA289" i="5"/>
  <c r="AB289" i="5" s="1"/>
  <c r="Y289" i="5"/>
  <c r="X289" i="5"/>
  <c r="V289" i="5"/>
  <c r="W289" i="5" s="1"/>
  <c r="K289" i="5"/>
  <c r="L289" i="5" s="1"/>
  <c r="AA288" i="5"/>
  <c r="AB288" i="5" s="1"/>
  <c r="Y288" i="5"/>
  <c r="X288" i="5"/>
  <c r="V288" i="5"/>
  <c r="W288" i="5" s="1"/>
  <c r="K288" i="5"/>
  <c r="L288" i="5" s="1"/>
  <c r="AA287" i="5"/>
  <c r="AB287" i="5" s="1"/>
  <c r="Y287" i="5"/>
  <c r="X287" i="5"/>
  <c r="V287" i="5"/>
  <c r="W287" i="5" s="1"/>
  <c r="L287" i="5"/>
  <c r="K287" i="5"/>
  <c r="AA286" i="5"/>
  <c r="AB286" i="5" s="1"/>
  <c r="Y286" i="5"/>
  <c r="X286" i="5"/>
  <c r="V286" i="5"/>
  <c r="W286" i="5" s="1"/>
  <c r="K286" i="5"/>
  <c r="L286" i="5" s="1"/>
  <c r="AA285" i="5"/>
  <c r="AB285" i="5" s="1"/>
  <c r="Y285" i="5"/>
  <c r="X285" i="5"/>
  <c r="V285" i="5"/>
  <c r="W285" i="5" s="1"/>
  <c r="K285" i="5"/>
  <c r="L285" i="5" s="1"/>
  <c r="AA284" i="5"/>
  <c r="AB284" i="5" s="1"/>
  <c r="Y284" i="5"/>
  <c r="X284" i="5"/>
  <c r="V284" i="5"/>
  <c r="W284" i="5" s="1"/>
  <c r="K284" i="5"/>
  <c r="L284" i="5" s="1"/>
  <c r="AA283" i="5"/>
  <c r="AB283" i="5" s="1"/>
  <c r="Y283" i="5"/>
  <c r="X283" i="5"/>
  <c r="V283" i="5"/>
  <c r="W283" i="5" s="1"/>
  <c r="L283" i="5"/>
  <c r="K283" i="5"/>
  <c r="AA282" i="5"/>
  <c r="AB282" i="5" s="1"/>
  <c r="Y282" i="5"/>
  <c r="X282" i="5"/>
  <c r="V282" i="5"/>
  <c r="W282" i="5" s="1"/>
  <c r="K282" i="5"/>
  <c r="L282" i="5" s="1"/>
  <c r="AA281" i="5"/>
  <c r="AB281" i="5" s="1"/>
  <c r="Y281" i="5"/>
  <c r="X281" i="5"/>
  <c r="V281" i="5"/>
  <c r="W281" i="5" s="1"/>
  <c r="K281" i="5"/>
  <c r="L281" i="5" s="1"/>
  <c r="AA280" i="5"/>
  <c r="AB280" i="5" s="1"/>
  <c r="Y280" i="5"/>
  <c r="X280" i="5"/>
  <c r="V280" i="5"/>
  <c r="W280" i="5" s="1"/>
  <c r="K280" i="5"/>
  <c r="L280" i="5" s="1"/>
  <c r="E10" i="5" s="1"/>
  <c r="AA279" i="5"/>
  <c r="AB279" i="5" s="1"/>
  <c r="Y279" i="5"/>
  <c r="X279" i="5"/>
  <c r="V279" i="5"/>
  <c r="W279" i="5" s="1"/>
  <c r="L279" i="5"/>
  <c r="K279" i="5"/>
  <c r="AA278" i="5"/>
  <c r="AB278" i="5" s="1"/>
  <c r="Y278" i="5"/>
  <c r="X278" i="5"/>
  <c r="V278" i="5"/>
  <c r="W278" i="5" s="1"/>
  <c r="K278" i="5"/>
  <c r="L278" i="5" s="1"/>
  <c r="AA277" i="5"/>
  <c r="AB277" i="5" s="1"/>
  <c r="Y277" i="5"/>
  <c r="X277" i="5"/>
  <c r="V277" i="5"/>
  <c r="W277" i="5" s="1"/>
  <c r="K277" i="5"/>
  <c r="L277" i="5" s="1"/>
  <c r="AA276" i="5"/>
  <c r="AB276" i="5" s="1"/>
  <c r="Y276" i="5"/>
  <c r="X276" i="5"/>
  <c r="V276" i="5"/>
  <c r="W276" i="5" s="1"/>
  <c r="K276" i="5"/>
  <c r="L276" i="5" s="1"/>
  <c r="AA275" i="5"/>
  <c r="AB275" i="5" s="1"/>
  <c r="Y275" i="5"/>
  <c r="X275" i="5"/>
  <c r="V275" i="5"/>
  <c r="W275" i="5" s="1"/>
  <c r="L275" i="5"/>
  <c r="D18" i="5" s="1"/>
  <c r="K275" i="5"/>
  <c r="AA274" i="5"/>
  <c r="AB274" i="5" s="1"/>
  <c r="Y274" i="5"/>
  <c r="X274" i="5"/>
  <c r="V274" i="5"/>
  <c r="W274" i="5" s="1"/>
  <c r="K274" i="5"/>
  <c r="L274" i="5" s="1"/>
  <c r="AA273" i="5"/>
  <c r="AB273" i="5" s="1"/>
  <c r="Y273" i="5"/>
  <c r="X273" i="5"/>
  <c r="V273" i="5"/>
  <c r="W273" i="5" s="1"/>
  <c r="K273" i="5"/>
  <c r="L273" i="5" s="1"/>
  <c r="AA272" i="5"/>
  <c r="AB272" i="5" s="1"/>
  <c r="Y272" i="5"/>
  <c r="X272" i="5"/>
  <c r="V272" i="5"/>
  <c r="W272" i="5" s="1"/>
  <c r="K272" i="5"/>
  <c r="L272" i="5" s="1"/>
  <c r="AA271" i="5"/>
  <c r="AB271" i="5" s="1"/>
  <c r="Y271" i="5"/>
  <c r="X271" i="5"/>
  <c r="V271" i="5"/>
  <c r="W271" i="5" s="1"/>
  <c r="L271" i="5"/>
  <c r="K271" i="5"/>
  <c r="AB270" i="5"/>
  <c r="AA270" i="5"/>
  <c r="Y270" i="5"/>
  <c r="X270" i="5"/>
  <c r="V270" i="5"/>
  <c r="W270" i="5" s="1"/>
  <c r="K270" i="5"/>
  <c r="L270" i="5" s="1"/>
  <c r="AA269" i="5"/>
  <c r="AB269" i="5" s="1"/>
  <c r="Y269" i="5"/>
  <c r="X269" i="5"/>
  <c r="V269" i="5"/>
  <c r="W269" i="5" s="1"/>
  <c r="K269" i="5"/>
  <c r="L269" i="5" s="1"/>
  <c r="AA268" i="5"/>
  <c r="AB268" i="5" s="1"/>
  <c r="Y268" i="5"/>
  <c r="X268" i="5"/>
  <c r="V268" i="5"/>
  <c r="W268" i="5" s="1"/>
  <c r="K268" i="5"/>
  <c r="L268" i="5" s="1"/>
  <c r="AA267" i="5"/>
  <c r="AB267" i="5" s="1"/>
  <c r="Y267" i="5"/>
  <c r="X267" i="5"/>
  <c r="V267" i="5"/>
  <c r="W267" i="5" s="1"/>
  <c r="L267" i="5"/>
  <c r="K267" i="5"/>
  <c r="AB266" i="5"/>
  <c r="AA266" i="5"/>
  <c r="Y266" i="5"/>
  <c r="X266" i="5"/>
  <c r="V266" i="5"/>
  <c r="W266" i="5" s="1"/>
  <c r="K266" i="5"/>
  <c r="L266" i="5" s="1"/>
  <c r="AA265" i="5"/>
  <c r="AB265" i="5" s="1"/>
  <c r="Y265" i="5"/>
  <c r="X265" i="5"/>
  <c r="V265" i="5"/>
  <c r="W265" i="5" s="1"/>
  <c r="K265" i="5"/>
  <c r="L265" i="5" s="1"/>
  <c r="AA264" i="5"/>
  <c r="AB264" i="5" s="1"/>
  <c r="Y264" i="5"/>
  <c r="X264" i="5"/>
  <c r="V264" i="5"/>
  <c r="W264" i="5" s="1"/>
  <c r="K264" i="5"/>
  <c r="L264" i="5" s="1"/>
  <c r="AA263" i="5"/>
  <c r="AB263" i="5" s="1"/>
  <c r="Y263" i="5"/>
  <c r="X263" i="5"/>
  <c r="V263" i="5"/>
  <c r="W263" i="5" s="1"/>
  <c r="L263" i="5"/>
  <c r="K263" i="5"/>
  <c r="AA262" i="5"/>
  <c r="AB262" i="5" s="1"/>
  <c r="Y262" i="5"/>
  <c r="X262" i="5"/>
  <c r="V262" i="5"/>
  <c r="W262" i="5" s="1"/>
  <c r="K262" i="5"/>
  <c r="L262" i="5" s="1"/>
  <c r="AA261" i="5"/>
  <c r="AB261" i="5" s="1"/>
  <c r="Y261" i="5"/>
  <c r="X261" i="5"/>
  <c r="V261" i="5"/>
  <c r="W261" i="5" s="1"/>
  <c r="K261" i="5"/>
  <c r="L261" i="5" s="1"/>
  <c r="AA260" i="5"/>
  <c r="AB260" i="5" s="1"/>
  <c r="Y260" i="5"/>
  <c r="X260" i="5"/>
  <c r="V260" i="5"/>
  <c r="W260" i="5" s="1"/>
  <c r="K260" i="5"/>
  <c r="L260" i="5" s="1"/>
  <c r="AA259" i="5"/>
  <c r="AB259" i="5" s="1"/>
  <c r="Y259" i="5"/>
  <c r="X259" i="5"/>
  <c r="V259" i="5"/>
  <c r="W259" i="5" s="1"/>
  <c r="L259" i="5"/>
  <c r="K259" i="5"/>
  <c r="AA258" i="5"/>
  <c r="AB258" i="5" s="1"/>
  <c r="Y258" i="5"/>
  <c r="X258" i="5"/>
  <c r="V258" i="5"/>
  <c r="W258" i="5" s="1"/>
  <c r="K258" i="5"/>
  <c r="L258" i="5" s="1"/>
  <c r="AA257" i="5"/>
  <c r="AB257" i="5" s="1"/>
  <c r="Y257" i="5"/>
  <c r="X257" i="5"/>
  <c r="V257" i="5"/>
  <c r="W257" i="5" s="1"/>
  <c r="K257" i="5"/>
  <c r="L257" i="5" s="1"/>
  <c r="AA256" i="5"/>
  <c r="AB256" i="5" s="1"/>
  <c r="Y256" i="5"/>
  <c r="X256" i="5"/>
  <c r="V256" i="5"/>
  <c r="W256" i="5" s="1"/>
  <c r="K256" i="5"/>
  <c r="L256" i="5" s="1"/>
  <c r="AA255" i="5"/>
  <c r="AB255" i="5" s="1"/>
  <c r="Y255" i="5"/>
  <c r="X255" i="5"/>
  <c r="V255" i="5"/>
  <c r="W255" i="5" s="1"/>
  <c r="L255" i="5"/>
  <c r="K255" i="5"/>
  <c r="AA254" i="5"/>
  <c r="AB254" i="5" s="1"/>
  <c r="Y254" i="5"/>
  <c r="X254" i="5"/>
  <c r="V254" i="5"/>
  <c r="W254" i="5" s="1"/>
  <c r="K254" i="5"/>
  <c r="L254" i="5" s="1"/>
  <c r="AA253" i="5"/>
  <c r="AB253" i="5" s="1"/>
  <c r="Y253" i="5"/>
  <c r="X253" i="5"/>
  <c r="V253" i="5"/>
  <c r="W253" i="5" s="1"/>
  <c r="K253" i="5"/>
  <c r="L253" i="5" s="1"/>
  <c r="AA252" i="5"/>
  <c r="AB252" i="5" s="1"/>
  <c r="Y252" i="5"/>
  <c r="X252" i="5"/>
  <c r="V252" i="5"/>
  <c r="W252" i="5" s="1"/>
  <c r="K252" i="5"/>
  <c r="L252" i="5" s="1"/>
  <c r="AA251" i="5"/>
  <c r="AB251" i="5" s="1"/>
  <c r="Y251" i="5"/>
  <c r="X251" i="5"/>
  <c r="V251" i="5"/>
  <c r="W251" i="5" s="1"/>
  <c r="L251" i="5"/>
  <c r="K251" i="5"/>
  <c r="AB250" i="5"/>
  <c r="AA250" i="5"/>
  <c r="Y250" i="5"/>
  <c r="X250" i="5"/>
  <c r="V250" i="5"/>
  <c r="W250" i="5" s="1"/>
  <c r="K250" i="5"/>
  <c r="L250" i="5" s="1"/>
  <c r="AA249" i="5"/>
  <c r="AB249" i="5" s="1"/>
  <c r="Y249" i="5"/>
  <c r="X249" i="5"/>
  <c r="V249" i="5"/>
  <c r="W249" i="5" s="1"/>
  <c r="K249" i="5"/>
  <c r="L249" i="5" s="1"/>
  <c r="AA248" i="5"/>
  <c r="AB248" i="5" s="1"/>
  <c r="Y248" i="5"/>
  <c r="X248" i="5"/>
  <c r="V248" i="5"/>
  <c r="W248" i="5" s="1"/>
  <c r="K248" i="5"/>
  <c r="L248" i="5" s="1"/>
  <c r="AA247" i="5"/>
  <c r="AB247" i="5" s="1"/>
  <c r="Y247" i="5"/>
  <c r="X247" i="5"/>
  <c r="V247" i="5"/>
  <c r="W247" i="5" s="1"/>
  <c r="L247" i="5"/>
  <c r="K247" i="5"/>
  <c r="AB246" i="5"/>
  <c r="AA246" i="5"/>
  <c r="Y246" i="5"/>
  <c r="X246" i="5"/>
  <c r="V246" i="5"/>
  <c r="W246" i="5" s="1"/>
  <c r="K246" i="5"/>
  <c r="L246" i="5" s="1"/>
  <c r="AA245" i="5"/>
  <c r="AB245" i="5" s="1"/>
  <c r="Y245" i="5"/>
  <c r="X245" i="5"/>
  <c r="V245" i="5"/>
  <c r="W245" i="5" s="1"/>
  <c r="K245" i="5"/>
  <c r="L245" i="5" s="1"/>
  <c r="AA244" i="5"/>
  <c r="AB244" i="5" s="1"/>
  <c r="Y244" i="5"/>
  <c r="X244" i="5"/>
  <c r="V244" i="5"/>
  <c r="W244" i="5" s="1"/>
  <c r="K244" i="5"/>
  <c r="L244" i="5" s="1"/>
  <c r="AA243" i="5"/>
  <c r="AB243" i="5" s="1"/>
  <c r="Y243" i="5"/>
  <c r="X243" i="5"/>
  <c r="V243" i="5"/>
  <c r="W243" i="5" s="1"/>
  <c r="L243" i="5"/>
  <c r="K243" i="5"/>
  <c r="AA242" i="5"/>
  <c r="AB242" i="5" s="1"/>
  <c r="Y242" i="5"/>
  <c r="X242" i="5"/>
  <c r="V242" i="5"/>
  <c r="W242" i="5" s="1"/>
  <c r="K242" i="5"/>
  <c r="L242" i="5" s="1"/>
  <c r="AA241" i="5"/>
  <c r="AB241" i="5" s="1"/>
  <c r="Y241" i="5"/>
  <c r="X241" i="5"/>
  <c r="V241" i="5"/>
  <c r="W241" i="5" s="1"/>
  <c r="K241" i="5"/>
  <c r="L241" i="5" s="1"/>
  <c r="AA240" i="5"/>
  <c r="AB240" i="5" s="1"/>
  <c r="Y240" i="5"/>
  <c r="X240" i="5"/>
  <c r="V240" i="5"/>
  <c r="W240" i="5" s="1"/>
  <c r="K240" i="5"/>
  <c r="L240" i="5" s="1"/>
  <c r="AA239" i="5"/>
  <c r="AB239" i="5" s="1"/>
  <c r="Y239" i="5"/>
  <c r="X239" i="5"/>
  <c r="V239" i="5"/>
  <c r="W239" i="5" s="1"/>
  <c r="L239" i="5"/>
  <c r="K239" i="5"/>
  <c r="AB238" i="5"/>
  <c r="AA238" i="5"/>
  <c r="Y238" i="5"/>
  <c r="X238" i="5"/>
  <c r="V238" i="5"/>
  <c r="W238" i="5" s="1"/>
  <c r="K238" i="5"/>
  <c r="L238" i="5" s="1"/>
  <c r="AA237" i="5"/>
  <c r="AB237" i="5" s="1"/>
  <c r="Y237" i="5"/>
  <c r="X237" i="5"/>
  <c r="V237" i="5"/>
  <c r="W237" i="5" s="1"/>
  <c r="K237" i="5"/>
  <c r="L237" i="5" s="1"/>
  <c r="AA236" i="5"/>
  <c r="AB236" i="5" s="1"/>
  <c r="Y236" i="5"/>
  <c r="X236" i="5"/>
  <c r="V236" i="5"/>
  <c r="W236" i="5" s="1"/>
  <c r="K236" i="5"/>
  <c r="L236" i="5" s="1"/>
  <c r="AA235" i="5"/>
  <c r="AB235" i="5" s="1"/>
  <c r="Y235" i="5"/>
  <c r="X235" i="5"/>
  <c r="V235" i="5"/>
  <c r="W235" i="5" s="1"/>
  <c r="L235" i="5"/>
  <c r="K235" i="5"/>
  <c r="AA234" i="5"/>
  <c r="AB234" i="5" s="1"/>
  <c r="Y234" i="5"/>
  <c r="X234" i="5"/>
  <c r="V234" i="5"/>
  <c r="W234" i="5" s="1"/>
  <c r="K234" i="5"/>
  <c r="L234" i="5" s="1"/>
  <c r="AA233" i="5"/>
  <c r="AB233" i="5" s="1"/>
  <c r="Y233" i="5"/>
  <c r="X233" i="5"/>
  <c r="V233" i="5"/>
  <c r="W233" i="5" s="1"/>
  <c r="K233" i="5"/>
  <c r="L233" i="5" s="1"/>
  <c r="AA232" i="5"/>
  <c r="AB232" i="5" s="1"/>
  <c r="Y232" i="5"/>
  <c r="X232" i="5"/>
  <c r="V232" i="5"/>
  <c r="W232" i="5" s="1"/>
  <c r="K232" i="5"/>
  <c r="L232" i="5" s="1"/>
  <c r="AA231" i="5"/>
  <c r="AB231" i="5" s="1"/>
  <c r="Y231" i="5"/>
  <c r="X231" i="5"/>
  <c r="V231" i="5"/>
  <c r="W231" i="5" s="1"/>
  <c r="L231" i="5"/>
  <c r="K231" i="5"/>
  <c r="AA230" i="5"/>
  <c r="AB230" i="5" s="1"/>
  <c r="Y230" i="5"/>
  <c r="X230" i="5"/>
  <c r="V230" i="5"/>
  <c r="W230" i="5" s="1"/>
  <c r="K230" i="5"/>
  <c r="L230" i="5" s="1"/>
  <c r="AA229" i="5"/>
  <c r="AB229" i="5" s="1"/>
  <c r="Y229" i="5"/>
  <c r="X229" i="5"/>
  <c r="V229" i="5"/>
  <c r="W229" i="5" s="1"/>
  <c r="K229" i="5"/>
  <c r="L229" i="5" s="1"/>
  <c r="AA228" i="5"/>
  <c r="AB228" i="5" s="1"/>
  <c r="Y228" i="5"/>
  <c r="X228" i="5"/>
  <c r="V228" i="5"/>
  <c r="W228" i="5" s="1"/>
  <c r="K228" i="5"/>
  <c r="L228" i="5" s="1"/>
  <c r="AA227" i="5"/>
  <c r="AB227" i="5" s="1"/>
  <c r="Y227" i="5"/>
  <c r="X227" i="5"/>
  <c r="V227" i="5"/>
  <c r="W227" i="5" s="1"/>
  <c r="L227" i="5"/>
  <c r="K227" i="5"/>
  <c r="AA226" i="5"/>
  <c r="AB226" i="5" s="1"/>
  <c r="Y226" i="5"/>
  <c r="X226" i="5"/>
  <c r="V226" i="5"/>
  <c r="W226" i="5" s="1"/>
  <c r="K226" i="5"/>
  <c r="L226" i="5" s="1"/>
  <c r="AA225" i="5"/>
  <c r="AB225" i="5" s="1"/>
  <c r="Y225" i="5"/>
  <c r="X225" i="5"/>
  <c r="V225" i="5"/>
  <c r="W225" i="5" s="1"/>
  <c r="K225" i="5"/>
  <c r="L225" i="5" s="1"/>
  <c r="AA224" i="5"/>
  <c r="AB224" i="5" s="1"/>
  <c r="Y224" i="5"/>
  <c r="X224" i="5"/>
  <c r="V224" i="5"/>
  <c r="W224" i="5" s="1"/>
  <c r="K224" i="5"/>
  <c r="L224" i="5" s="1"/>
  <c r="AA223" i="5"/>
  <c r="AB223" i="5" s="1"/>
  <c r="Y223" i="5"/>
  <c r="X223" i="5"/>
  <c r="V223" i="5"/>
  <c r="W223" i="5" s="1"/>
  <c r="L223" i="5"/>
  <c r="K223" i="5"/>
  <c r="AB222" i="5"/>
  <c r="AA222" i="5"/>
  <c r="Y222" i="5"/>
  <c r="X222" i="5"/>
  <c r="V222" i="5"/>
  <c r="W222" i="5" s="1"/>
  <c r="K222" i="5"/>
  <c r="L222" i="5" s="1"/>
  <c r="AA221" i="5"/>
  <c r="AB221" i="5" s="1"/>
  <c r="Y221" i="5"/>
  <c r="X221" i="5"/>
  <c r="V221" i="5"/>
  <c r="W221" i="5" s="1"/>
  <c r="K221" i="5"/>
  <c r="L221" i="5" s="1"/>
  <c r="AA220" i="5"/>
  <c r="AB220" i="5" s="1"/>
  <c r="Y220" i="5"/>
  <c r="X220" i="5"/>
  <c r="V220" i="5"/>
  <c r="W220" i="5" s="1"/>
  <c r="K220" i="5"/>
  <c r="L220" i="5" s="1"/>
  <c r="AA219" i="5"/>
  <c r="AB219" i="5" s="1"/>
  <c r="Y219" i="5"/>
  <c r="X219" i="5"/>
  <c r="V219" i="5"/>
  <c r="W219" i="5" s="1"/>
  <c r="L219" i="5"/>
  <c r="K219" i="5"/>
  <c r="AA218" i="5"/>
  <c r="AB218" i="5" s="1"/>
  <c r="Y218" i="5"/>
  <c r="X218" i="5"/>
  <c r="V218" i="5"/>
  <c r="W218" i="5" s="1"/>
  <c r="K218" i="5"/>
  <c r="L218" i="5" s="1"/>
  <c r="AA217" i="5"/>
  <c r="AB217" i="5" s="1"/>
  <c r="Y217" i="5"/>
  <c r="X217" i="5"/>
  <c r="V217" i="5"/>
  <c r="W217" i="5" s="1"/>
  <c r="K217" i="5"/>
  <c r="L217" i="5" s="1"/>
  <c r="AA216" i="5"/>
  <c r="AB216" i="5" s="1"/>
  <c r="Y216" i="5"/>
  <c r="X216" i="5"/>
  <c r="V216" i="5"/>
  <c r="W216" i="5" s="1"/>
  <c r="K216" i="5"/>
  <c r="L216" i="5" s="1"/>
  <c r="AA215" i="5"/>
  <c r="AB215" i="5" s="1"/>
  <c r="Y215" i="5"/>
  <c r="X215" i="5"/>
  <c r="V215" i="5"/>
  <c r="W215" i="5" s="1"/>
  <c r="L215" i="5"/>
  <c r="K215" i="5"/>
  <c r="AA214" i="5"/>
  <c r="AB214" i="5" s="1"/>
  <c r="Y214" i="5"/>
  <c r="X214" i="5"/>
  <c r="V214" i="5"/>
  <c r="W214" i="5" s="1"/>
  <c r="K214" i="5"/>
  <c r="L214" i="5" s="1"/>
  <c r="AA213" i="5"/>
  <c r="AB213" i="5" s="1"/>
  <c r="Y213" i="5"/>
  <c r="X213" i="5"/>
  <c r="V213" i="5"/>
  <c r="W213" i="5" s="1"/>
  <c r="K213" i="5"/>
  <c r="L213" i="5" s="1"/>
  <c r="AA212" i="5"/>
  <c r="AB212" i="5" s="1"/>
  <c r="Y212" i="5"/>
  <c r="X212" i="5"/>
  <c r="V212" i="5"/>
  <c r="W212" i="5" s="1"/>
  <c r="K212" i="5"/>
  <c r="L212" i="5" s="1"/>
  <c r="AA211" i="5"/>
  <c r="AB211" i="5" s="1"/>
  <c r="V211" i="5"/>
  <c r="W211" i="5" s="1"/>
  <c r="L211" i="5"/>
  <c r="H9" i="5" s="1"/>
  <c r="K211" i="5"/>
  <c r="Y610" i="5"/>
  <c r="X610" i="5"/>
  <c r="Y609" i="5"/>
  <c r="X609" i="5"/>
  <c r="Y608" i="5"/>
  <c r="X608" i="5"/>
  <c r="Y607" i="5"/>
  <c r="X607" i="5"/>
  <c r="Y606" i="5"/>
  <c r="X606" i="5"/>
  <c r="Y605" i="5"/>
  <c r="X605" i="5"/>
  <c r="Y604" i="5"/>
  <c r="X604" i="5"/>
  <c r="Y603" i="5"/>
  <c r="X603" i="5"/>
  <c r="Y602" i="5"/>
  <c r="X602" i="5"/>
  <c r="Y601" i="5"/>
  <c r="X601" i="5"/>
  <c r="Y600" i="5"/>
  <c r="X600" i="5"/>
  <c r="Y599" i="5"/>
  <c r="X599" i="5"/>
  <c r="Y598" i="5"/>
  <c r="X598" i="5"/>
  <c r="Y597" i="5"/>
  <c r="X597" i="5"/>
  <c r="Y596" i="5"/>
  <c r="X596" i="5"/>
  <c r="Y595" i="5"/>
  <c r="X595" i="5"/>
  <c r="Y594" i="5"/>
  <c r="X594" i="5"/>
  <c r="Y593" i="5"/>
  <c r="X593" i="5"/>
  <c r="Y592" i="5"/>
  <c r="X592" i="5"/>
  <c r="Y591" i="5"/>
  <c r="X591" i="5"/>
  <c r="Y590" i="5"/>
  <c r="X590" i="5"/>
  <c r="Y589" i="5"/>
  <c r="X589" i="5"/>
  <c r="Y588" i="5"/>
  <c r="X588" i="5"/>
  <c r="Y587" i="5"/>
  <c r="X587" i="5"/>
  <c r="Y586" i="5"/>
  <c r="X586" i="5"/>
  <c r="Y585" i="5"/>
  <c r="X585" i="5"/>
  <c r="Y584" i="5"/>
  <c r="X584" i="5"/>
  <c r="Y583" i="5"/>
  <c r="X583" i="5"/>
  <c r="Y582" i="5"/>
  <c r="X582" i="5"/>
  <c r="Y581" i="5"/>
  <c r="X581" i="5"/>
  <c r="Y580" i="5"/>
  <c r="X580" i="5"/>
  <c r="Y579" i="5"/>
  <c r="X579" i="5"/>
  <c r="Y578" i="5"/>
  <c r="X578" i="5"/>
  <c r="Y577" i="5"/>
  <c r="X577" i="5"/>
  <c r="Y576" i="5"/>
  <c r="X576" i="5"/>
  <c r="Y575" i="5"/>
  <c r="X575" i="5"/>
  <c r="Y574" i="5"/>
  <c r="X574" i="5"/>
  <c r="Y573" i="5"/>
  <c r="X573" i="5"/>
  <c r="Y572" i="5"/>
  <c r="X572" i="5"/>
  <c r="Y571" i="5"/>
  <c r="X571" i="5"/>
  <c r="Y570" i="5"/>
  <c r="X570" i="5"/>
  <c r="Y569" i="5"/>
  <c r="X569" i="5"/>
  <c r="Y568" i="5"/>
  <c r="X568" i="5"/>
  <c r="Y567" i="5"/>
  <c r="X567" i="5"/>
  <c r="Y566" i="5"/>
  <c r="X566" i="5"/>
  <c r="Y565" i="5"/>
  <c r="X565" i="5"/>
  <c r="Y564" i="5"/>
  <c r="X564" i="5"/>
  <c r="Y563" i="5"/>
  <c r="X563" i="5"/>
  <c r="Y562" i="5"/>
  <c r="X562" i="5"/>
  <c r="Y561" i="5"/>
  <c r="X561" i="5"/>
  <c r="Y560" i="5"/>
  <c r="X560" i="5"/>
  <c r="Y559" i="5"/>
  <c r="X559" i="5"/>
  <c r="Y558" i="5"/>
  <c r="X558" i="5"/>
  <c r="Y557" i="5"/>
  <c r="X557" i="5"/>
  <c r="Y556" i="5"/>
  <c r="X556" i="5"/>
  <c r="Y555" i="5"/>
  <c r="X555" i="5"/>
  <c r="Y554" i="5"/>
  <c r="X554" i="5"/>
  <c r="Y553" i="5"/>
  <c r="X553" i="5"/>
  <c r="Y552" i="5"/>
  <c r="X552" i="5"/>
  <c r="Y551" i="5"/>
  <c r="X551" i="5"/>
  <c r="Y550" i="5"/>
  <c r="X550" i="5"/>
  <c r="Y549" i="5"/>
  <c r="X549" i="5"/>
  <c r="Y548" i="5"/>
  <c r="X548" i="5"/>
  <c r="Y547" i="5"/>
  <c r="X547" i="5"/>
  <c r="Y546" i="5"/>
  <c r="X546" i="5"/>
  <c r="Y545" i="5"/>
  <c r="X545" i="5"/>
  <c r="Y544" i="5"/>
  <c r="X544" i="5"/>
  <c r="Y543" i="5"/>
  <c r="X543" i="5"/>
  <c r="Y542" i="5"/>
  <c r="X542" i="5"/>
  <c r="Y541" i="5"/>
  <c r="X541" i="5"/>
  <c r="Y540" i="5"/>
  <c r="X540" i="5"/>
  <c r="Y539" i="5"/>
  <c r="X539" i="5"/>
  <c r="Y538" i="5"/>
  <c r="X538" i="5"/>
  <c r="Y537" i="5"/>
  <c r="X537" i="5"/>
  <c r="Y536" i="5"/>
  <c r="X536" i="5"/>
  <c r="Y535" i="5"/>
  <c r="X535" i="5"/>
  <c r="Y534" i="5"/>
  <c r="X534" i="5"/>
  <c r="Y533" i="5"/>
  <c r="X533" i="5"/>
  <c r="Y532" i="5"/>
  <c r="X532" i="5"/>
  <c r="Y531" i="5"/>
  <c r="X531" i="5"/>
  <c r="Y530" i="5"/>
  <c r="X530" i="5"/>
  <c r="Y529" i="5"/>
  <c r="X529" i="5"/>
  <c r="Y528" i="5"/>
  <c r="X528" i="5"/>
  <c r="Y527" i="5"/>
  <c r="X527" i="5"/>
  <c r="Y526" i="5"/>
  <c r="X526" i="5"/>
  <c r="Y525" i="5"/>
  <c r="X525" i="5"/>
  <c r="Y524" i="5"/>
  <c r="X524" i="5"/>
  <c r="Y523" i="5"/>
  <c r="X523" i="5"/>
  <c r="Y522" i="5"/>
  <c r="X522" i="5"/>
  <c r="Y521" i="5"/>
  <c r="X521" i="5"/>
  <c r="Y520" i="5"/>
  <c r="X520" i="5"/>
  <c r="Y519" i="5"/>
  <c r="X519" i="5"/>
  <c r="Y518" i="5"/>
  <c r="X518" i="5"/>
  <c r="Y517" i="5"/>
  <c r="X517" i="5"/>
  <c r="Y516" i="5"/>
  <c r="X516" i="5"/>
  <c r="Y515" i="5"/>
  <c r="X515" i="5"/>
  <c r="Y514" i="5"/>
  <c r="X514" i="5"/>
  <c r="Y513" i="5"/>
  <c r="X513" i="5"/>
  <c r="Y512" i="5"/>
  <c r="X512" i="5"/>
  <c r="Y511" i="5"/>
  <c r="X511" i="5"/>
  <c r="Y510" i="5"/>
  <c r="X510" i="5"/>
  <c r="Y509" i="5"/>
  <c r="X509" i="5"/>
  <c r="Y508" i="5"/>
  <c r="X508" i="5"/>
  <c r="Y507" i="5"/>
  <c r="X507" i="5"/>
  <c r="Y506" i="5"/>
  <c r="X506" i="5"/>
  <c r="Y505" i="5"/>
  <c r="X505" i="5"/>
  <c r="Y504" i="5"/>
  <c r="X504" i="5"/>
  <c r="Y503" i="5"/>
  <c r="X503" i="5"/>
  <c r="Y502" i="5"/>
  <c r="X502" i="5"/>
  <c r="Y501" i="5"/>
  <c r="X501" i="5"/>
  <c r="Y500" i="5"/>
  <c r="X500" i="5"/>
  <c r="Y499" i="5"/>
  <c r="X499" i="5"/>
  <c r="Y498" i="5"/>
  <c r="X498" i="5"/>
  <c r="Y497" i="5"/>
  <c r="X497" i="5"/>
  <c r="Y496" i="5"/>
  <c r="X496" i="5"/>
  <c r="Y495" i="5"/>
  <c r="X495" i="5"/>
  <c r="Y494" i="5"/>
  <c r="X494" i="5"/>
  <c r="Y493" i="5"/>
  <c r="X493" i="5"/>
  <c r="Y492" i="5"/>
  <c r="X492" i="5"/>
  <c r="Y491" i="5"/>
  <c r="X491" i="5"/>
  <c r="Y490" i="5"/>
  <c r="X490" i="5"/>
  <c r="Y489" i="5"/>
  <c r="X489" i="5"/>
  <c r="Y488" i="5"/>
  <c r="X488" i="5"/>
  <c r="Y487" i="5"/>
  <c r="X487" i="5"/>
  <c r="Y486" i="5"/>
  <c r="X486" i="5"/>
  <c r="Y485" i="5"/>
  <c r="X485" i="5"/>
  <c r="Y484" i="5"/>
  <c r="X484" i="5"/>
  <c r="Y483" i="5"/>
  <c r="X483" i="5"/>
  <c r="Y482" i="5"/>
  <c r="X482" i="5"/>
  <c r="Y481" i="5"/>
  <c r="X481" i="5"/>
  <c r="Y480" i="5"/>
  <c r="X480" i="5"/>
  <c r="Y479" i="5"/>
  <c r="X479" i="5"/>
  <c r="Y478" i="5"/>
  <c r="X478" i="5"/>
  <c r="Y477" i="5"/>
  <c r="X477" i="5"/>
  <c r="Y476" i="5"/>
  <c r="X476" i="5"/>
  <c r="Y475" i="5"/>
  <c r="X475" i="5"/>
  <c r="Y474" i="5"/>
  <c r="X474" i="5"/>
  <c r="Y473" i="5"/>
  <c r="X473" i="5"/>
  <c r="Y472" i="5"/>
  <c r="X472" i="5"/>
  <c r="Y471" i="5"/>
  <c r="X471" i="5"/>
  <c r="Y470" i="5"/>
  <c r="X470" i="5"/>
  <c r="Y469" i="5"/>
  <c r="X469" i="5"/>
  <c r="Y468" i="5"/>
  <c r="X468" i="5"/>
  <c r="Y467" i="5"/>
  <c r="X467" i="5"/>
  <c r="Y466" i="5"/>
  <c r="X466" i="5"/>
  <c r="Y465" i="5"/>
  <c r="X465" i="5"/>
  <c r="Y464" i="5"/>
  <c r="X464" i="5"/>
  <c r="Y463" i="5"/>
  <c r="X463" i="5"/>
  <c r="Y462" i="5"/>
  <c r="X462" i="5"/>
  <c r="Y461" i="5"/>
  <c r="X461" i="5"/>
  <c r="Y460" i="5"/>
  <c r="X460" i="5"/>
  <c r="Y459" i="5"/>
  <c r="X459" i="5"/>
  <c r="Y458" i="5"/>
  <c r="X458" i="5"/>
  <c r="Y457" i="5"/>
  <c r="X457" i="5"/>
  <c r="Y456" i="5"/>
  <c r="X456" i="5"/>
  <c r="Y455" i="5"/>
  <c r="X455" i="5"/>
  <c r="Y454" i="5"/>
  <c r="X454" i="5"/>
  <c r="Y453" i="5"/>
  <c r="X453" i="5"/>
  <c r="Y452" i="5"/>
  <c r="X452" i="5"/>
  <c r="Y451" i="5"/>
  <c r="X451" i="5"/>
  <c r="Y450" i="5"/>
  <c r="X450" i="5"/>
  <c r="Y449" i="5"/>
  <c r="X449" i="5"/>
  <c r="Y448" i="5"/>
  <c r="X448" i="5"/>
  <c r="Y447" i="5"/>
  <c r="X447" i="5"/>
  <c r="Y446" i="5"/>
  <c r="X446" i="5"/>
  <c r="Y445" i="5"/>
  <c r="X445" i="5"/>
  <c r="Y444" i="5"/>
  <c r="X444" i="5"/>
  <c r="Y443" i="5"/>
  <c r="X443" i="5"/>
  <c r="Y442" i="5"/>
  <c r="X442" i="5"/>
  <c r="Y441" i="5"/>
  <c r="X441" i="5"/>
  <c r="Y440" i="5"/>
  <c r="X440" i="5"/>
  <c r="Y439" i="5"/>
  <c r="X439" i="5"/>
  <c r="Y438" i="5"/>
  <c r="X438" i="5"/>
  <c r="Y437" i="5"/>
  <c r="X437" i="5"/>
  <c r="Y436" i="5"/>
  <c r="X436" i="5"/>
  <c r="Y435" i="5"/>
  <c r="X435" i="5"/>
  <c r="Y434" i="5"/>
  <c r="X434" i="5"/>
  <c r="Y433" i="5"/>
  <c r="X433" i="5"/>
  <c r="Y432" i="5"/>
  <c r="X432" i="5"/>
  <c r="Y431" i="5"/>
  <c r="X431" i="5"/>
  <c r="Y430" i="5"/>
  <c r="X430" i="5"/>
  <c r="Y429" i="5"/>
  <c r="X429" i="5"/>
  <c r="Y428" i="5"/>
  <c r="X428" i="5"/>
  <c r="Y427" i="5"/>
  <c r="X427" i="5"/>
  <c r="Y426" i="5"/>
  <c r="X426" i="5"/>
  <c r="Y425" i="5"/>
  <c r="X425" i="5"/>
  <c r="Y424" i="5"/>
  <c r="X424" i="5"/>
  <c r="Y423" i="5"/>
  <c r="X423" i="5"/>
  <c r="Y422" i="5"/>
  <c r="X422" i="5"/>
  <c r="Y421" i="5"/>
  <c r="X421" i="5"/>
  <c r="Y420" i="5"/>
  <c r="X420" i="5"/>
  <c r="Y419" i="5"/>
  <c r="X419" i="5"/>
  <c r="Y418" i="5"/>
  <c r="X418" i="5"/>
  <c r="Y417" i="5"/>
  <c r="X417" i="5"/>
  <c r="Y416" i="5"/>
  <c r="X416" i="5"/>
  <c r="Y415" i="5"/>
  <c r="X415" i="5"/>
  <c r="Y414" i="5"/>
  <c r="X414" i="5"/>
  <c r="Y413" i="5"/>
  <c r="X413" i="5"/>
  <c r="Y412" i="5"/>
  <c r="X412" i="5"/>
  <c r="Y411" i="5"/>
  <c r="X411" i="5"/>
  <c r="Y410" i="5"/>
  <c r="X410" i="5"/>
  <c r="Y409" i="5"/>
  <c r="X409" i="5"/>
  <c r="Y408" i="5"/>
  <c r="X408" i="5"/>
  <c r="Y407" i="5"/>
  <c r="X407" i="5"/>
  <c r="Y406" i="5"/>
  <c r="X406" i="5"/>
  <c r="Y405" i="5"/>
  <c r="X405" i="5"/>
  <c r="Y404" i="5"/>
  <c r="X404" i="5"/>
  <c r="Y403" i="5"/>
  <c r="X403" i="5"/>
  <c r="Y402" i="5"/>
  <c r="X402" i="5"/>
  <c r="Y401" i="5"/>
  <c r="X401" i="5"/>
  <c r="Y400" i="5"/>
  <c r="X400" i="5"/>
  <c r="Y399" i="5"/>
  <c r="X399" i="5"/>
  <c r="Y398" i="5"/>
  <c r="X398" i="5"/>
  <c r="Y397" i="5"/>
  <c r="X397" i="5"/>
  <c r="Y396" i="5"/>
  <c r="X396" i="5"/>
  <c r="Y395" i="5"/>
  <c r="X395" i="5"/>
  <c r="Y394" i="5"/>
  <c r="X394" i="5"/>
  <c r="Y393" i="5"/>
  <c r="X393" i="5"/>
  <c r="Y392" i="5"/>
  <c r="X392" i="5"/>
  <c r="Y391" i="5"/>
  <c r="X391" i="5"/>
  <c r="Y390" i="5"/>
  <c r="X390" i="5"/>
  <c r="Y389" i="5"/>
  <c r="X389" i="5"/>
  <c r="Y388" i="5"/>
  <c r="X388" i="5"/>
  <c r="Y387" i="5"/>
  <c r="X387" i="5"/>
  <c r="Y211" i="5"/>
  <c r="X211" i="5"/>
  <c r="AT212" i="5" a="1"/>
  <c r="AT212" i="5" s="1"/>
  <c r="AT213" i="5" a="1"/>
  <c r="AT213" i="5" s="1"/>
  <c r="AT214" i="5" a="1"/>
  <c r="AT214" i="5" s="1"/>
  <c r="AT215" i="5" a="1"/>
  <c r="AT215" i="5" s="1"/>
  <c r="AT216" i="5" a="1"/>
  <c r="AT216" i="5" s="1"/>
  <c r="AT217" i="5" a="1"/>
  <c r="AT217" i="5" s="1"/>
  <c r="AT218" i="5" a="1"/>
  <c r="AT218" i="5" s="1"/>
  <c r="AT219" i="5" a="1"/>
  <c r="AT219" i="5" s="1"/>
  <c r="AT220" i="5" a="1"/>
  <c r="AT220" i="5" s="1"/>
  <c r="AT221" i="5" a="1"/>
  <c r="AT221" i="5" s="1"/>
  <c r="AT222" i="5" a="1"/>
  <c r="AT222" i="5" s="1"/>
  <c r="AT223" i="5" a="1"/>
  <c r="AT223" i="5" s="1"/>
  <c r="AT224" i="5" a="1"/>
  <c r="AT224" i="5" s="1"/>
  <c r="AT225" i="5" a="1"/>
  <c r="AT225" i="5" s="1"/>
  <c r="AT226" i="5" a="1"/>
  <c r="AT226" i="5" s="1"/>
  <c r="AT227" i="5" a="1"/>
  <c r="AT227" i="5" s="1"/>
  <c r="AT228" i="5" a="1"/>
  <c r="AT228" i="5" s="1"/>
  <c r="AT229" i="5" a="1"/>
  <c r="AT229" i="5" s="1"/>
  <c r="AT230" i="5" a="1"/>
  <c r="AT230" i="5" s="1"/>
  <c r="AT231" i="5" a="1"/>
  <c r="AT231" i="5" s="1"/>
  <c r="AT232" i="5" a="1"/>
  <c r="AT232" i="5" s="1"/>
  <c r="AT233" i="5" a="1"/>
  <c r="AT233" i="5" s="1"/>
  <c r="AT234" i="5" a="1"/>
  <c r="AT234" i="5" s="1"/>
  <c r="AT235" i="5" a="1"/>
  <c r="AT235" i="5" s="1"/>
  <c r="AT236" i="5" a="1"/>
  <c r="AT236" i="5" s="1"/>
  <c r="AT237" i="5" a="1"/>
  <c r="AT237" i="5" s="1"/>
  <c r="AT238" i="5" a="1"/>
  <c r="AT238" i="5" s="1"/>
  <c r="AT239" i="5" a="1"/>
  <c r="AT239" i="5" s="1"/>
  <c r="AT240" i="5" a="1"/>
  <c r="AT240" i="5" s="1"/>
  <c r="AT241" i="5" a="1"/>
  <c r="AT241" i="5" s="1"/>
  <c r="AT242" i="5" a="1"/>
  <c r="AT242" i="5" s="1"/>
  <c r="AT243" i="5" a="1"/>
  <c r="AT243" i="5" s="1"/>
  <c r="AT244" i="5" a="1"/>
  <c r="AT244" i="5" s="1"/>
  <c r="AT245" i="5" a="1"/>
  <c r="AT245" i="5" s="1"/>
  <c r="AT246" i="5" a="1"/>
  <c r="AT246" i="5" s="1"/>
  <c r="AT247" i="5" a="1"/>
  <c r="AT247" i="5" s="1"/>
  <c r="AT248" i="5" a="1"/>
  <c r="AT248" i="5" s="1"/>
  <c r="AT249" i="5" a="1"/>
  <c r="AT249" i="5" s="1"/>
  <c r="AT250" i="5" a="1"/>
  <c r="AT250" i="5" s="1"/>
  <c r="AT251" i="5" a="1"/>
  <c r="AT251" i="5" s="1"/>
  <c r="AT252" i="5" a="1"/>
  <c r="AT252" i="5" s="1"/>
  <c r="AT253" i="5" a="1"/>
  <c r="AT253" i="5" s="1"/>
  <c r="AT254" i="5" a="1"/>
  <c r="AT254" i="5" s="1"/>
  <c r="AT255" i="5" a="1"/>
  <c r="AT255" i="5" s="1"/>
  <c r="AT256" i="5" a="1"/>
  <c r="AT256" i="5" s="1"/>
  <c r="AT257" i="5" a="1"/>
  <c r="AT257" i="5" s="1"/>
  <c r="AT258" i="5" a="1"/>
  <c r="AT258" i="5" s="1"/>
  <c r="AT259" i="5" a="1"/>
  <c r="AT259" i="5" s="1"/>
  <c r="AT260" i="5" a="1"/>
  <c r="AT260" i="5" s="1"/>
  <c r="AT261" i="5" a="1"/>
  <c r="AT261" i="5" s="1"/>
  <c r="AT262" i="5" a="1"/>
  <c r="AT262" i="5" s="1"/>
  <c r="AT263" i="5" a="1"/>
  <c r="AT263" i="5" s="1"/>
  <c r="AT264" i="5" a="1"/>
  <c r="AT264" i="5" s="1"/>
  <c r="AT265" i="5" a="1"/>
  <c r="AT265" i="5" s="1"/>
  <c r="AT266" i="5" a="1"/>
  <c r="AT266" i="5" s="1"/>
  <c r="AT267" i="5" a="1"/>
  <c r="AT267" i="5" s="1"/>
  <c r="AT268" i="5" a="1"/>
  <c r="AT268" i="5" s="1"/>
  <c r="AT269" i="5" a="1"/>
  <c r="AT269" i="5" s="1"/>
  <c r="AT270" i="5" a="1"/>
  <c r="AT270" i="5" s="1"/>
  <c r="AT271" i="5" a="1"/>
  <c r="AT271" i="5" s="1"/>
  <c r="AT272" i="5" a="1"/>
  <c r="AT272" i="5" s="1"/>
  <c r="AT273" i="5" a="1"/>
  <c r="AT273" i="5" s="1"/>
  <c r="AT274" i="5" a="1"/>
  <c r="AT274" i="5" s="1"/>
  <c r="AT275" i="5" a="1"/>
  <c r="AT275" i="5" s="1"/>
  <c r="AT276" i="5" a="1"/>
  <c r="AT276" i="5" s="1"/>
  <c r="AT277" i="5" a="1"/>
  <c r="AT277" i="5" s="1"/>
  <c r="AT278" i="5" a="1"/>
  <c r="AT278" i="5" s="1"/>
  <c r="AT279" i="5" a="1"/>
  <c r="AT279" i="5" s="1"/>
  <c r="AT280" i="5" a="1"/>
  <c r="AT280" i="5" s="1"/>
  <c r="AT281" i="5" a="1"/>
  <c r="AT281" i="5" s="1"/>
  <c r="AT282" i="5" a="1"/>
  <c r="AT282" i="5" s="1"/>
  <c r="AT283" i="5" a="1"/>
  <c r="AT283" i="5" s="1"/>
  <c r="AT284" i="5" a="1"/>
  <c r="AT284" i="5" s="1"/>
  <c r="AT285" i="5" a="1"/>
  <c r="AT285" i="5" s="1"/>
  <c r="AT286" i="5" a="1"/>
  <c r="AT286" i="5" s="1"/>
  <c r="AT287" i="5" a="1"/>
  <c r="AT287" i="5" s="1"/>
  <c r="AT288" i="5" a="1"/>
  <c r="AT288" i="5" s="1"/>
  <c r="AT289" i="5" a="1"/>
  <c r="AT289" i="5" s="1"/>
  <c r="AT290" i="5" a="1"/>
  <c r="AT290" i="5" s="1"/>
  <c r="AT291" i="5" a="1"/>
  <c r="AT291" i="5" s="1"/>
  <c r="AT292" i="5" a="1"/>
  <c r="AT292" i="5" s="1"/>
  <c r="AT293" i="5" a="1"/>
  <c r="AT293" i="5" s="1"/>
  <c r="AT294" i="5" a="1"/>
  <c r="AT294" i="5" s="1"/>
  <c r="AT295" i="5" a="1"/>
  <c r="AT295" i="5" s="1"/>
  <c r="AT296" i="5" a="1"/>
  <c r="AT296" i="5" s="1"/>
  <c r="AT297" i="5" a="1"/>
  <c r="AT297" i="5" s="1"/>
  <c r="AT298" i="5" a="1"/>
  <c r="AT298" i="5" s="1"/>
  <c r="AT299" i="5" a="1"/>
  <c r="AT299" i="5" s="1"/>
  <c r="AT300" i="5" a="1"/>
  <c r="AT300" i="5" s="1"/>
  <c r="AT301" i="5" a="1"/>
  <c r="AT301" i="5" s="1"/>
  <c r="AT302" i="5" a="1"/>
  <c r="AT302" i="5" s="1"/>
  <c r="AT303" i="5" a="1"/>
  <c r="AT303" i="5" s="1"/>
  <c r="AT304" i="5" a="1"/>
  <c r="AT304" i="5" s="1"/>
  <c r="AT305" i="5" a="1"/>
  <c r="AT305" i="5" s="1"/>
  <c r="AT306" i="5" a="1"/>
  <c r="AT306" i="5" s="1"/>
  <c r="AT307" i="5" a="1"/>
  <c r="AT307" i="5" s="1"/>
  <c r="AT308" i="5" a="1"/>
  <c r="AT308" i="5" s="1"/>
  <c r="AT309" i="5" a="1"/>
  <c r="AT309" i="5" s="1"/>
  <c r="AT310" i="5" a="1"/>
  <c r="AT310" i="5" s="1"/>
  <c r="AT311" i="5" a="1"/>
  <c r="AT311" i="5" s="1"/>
  <c r="AT312" i="5" a="1"/>
  <c r="AT312" i="5" s="1"/>
  <c r="AT313" i="5" a="1"/>
  <c r="AT313" i="5" s="1"/>
  <c r="AT314" i="5" a="1"/>
  <c r="AT314" i="5" s="1"/>
  <c r="AT315" i="5" a="1"/>
  <c r="AT315" i="5" s="1"/>
  <c r="AT316" i="5" a="1"/>
  <c r="AT316" i="5" s="1"/>
  <c r="AT317" i="5" a="1"/>
  <c r="AT317" i="5" s="1"/>
  <c r="AT318" i="5" a="1"/>
  <c r="AT318" i="5" s="1"/>
  <c r="AT319" i="5" a="1"/>
  <c r="AT319" i="5" s="1"/>
  <c r="AT320" i="5" a="1"/>
  <c r="AT320" i="5" s="1"/>
  <c r="AT321" i="5" a="1"/>
  <c r="AT321" i="5" s="1"/>
  <c r="AT322" i="5" a="1"/>
  <c r="AT322" i="5" s="1"/>
  <c r="AT323" i="5" a="1"/>
  <c r="AT323" i="5" s="1"/>
  <c r="AT324" i="5" a="1"/>
  <c r="AT324" i="5" s="1"/>
  <c r="AT325" i="5" a="1"/>
  <c r="AT325" i="5" s="1"/>
  <c r="AT326" i="5" a="1"/>
  <c r="AT326" i="5" s="1"/>
  <c r="AT327" i="5" a="1"/>
  <c r="AT327" i="5" s="1"/>
  <c r="AT328" i="5" a="1"/>
  <c r="AT328" i="5" s="1"/>
  <c r="AT329" i="5" a="1"/>
  <c r="AT329" i="5" s="1"/>
  <c r="AT330" i="5" a="1"/>
  <c r="AT330" i="5" s="1"/>
  <c r="AT331" i="5" a="1"/>
  <c r="AT331" i="5" s="1"/>
  <c r="AT332" i="5" a="1"/>
  <c r="AT332" i="5" s="1"/>
  <c r="AT333" i="5" a="1"/>
  <c r="AT333" i="5" s="1"/>
  <c r="AT334" i="5" a="1"/>
  <c r="AT334" i="5" s="1"/>
  <c r="AT335" i="5" a="1"/>
  <c r="AT335" i="5" s="1"/>
  <c r="AT336" i="5" a="1"/>
  <c r="AT336" i="5" s="1"/>
  <c r="AT337" i="5" a="1"/>
  <c r="AT337" i="5" s="1"/>
  <c r="AT338" i="5" a="1"/>
  <c r="AT338" i="5" s="1"/>
  <c r="AT339" i="5" a="1"/>
  <c r="AT339" i="5" s="1"/>
  <c r="AT340" i="5" a="1"/>
  <c r="AT340" i="5" s="1"/>
  <c r="AT341" i="5" a="1"/>
  <c r="AT341" i="5" s="1"/>
  <c r="AT342" i="5" a="1"/>
  <c r="AT342" i="5" s="1"/>
  <c r="AT343" i="5" a="1"/>
  <c r="AT343" i="5" s="1"/>
  <c r="AT344" i="5" a="1"/>
  <c r="AT344" i="5" s="1"/>
  <c r="AT345" i="5" a="1"/>
  <c r="AT345" i="5" s="1"/>
  <c r="AT346" i="5" a="1"/>
  <c r="AT346" i="5" s="1"/>
  <c r="AT347" i="5" a="1"/>
  <c r="AT347" i="5" s="1"/>
  <c r="AT348" i="5" a="1"/>
  <c r="AT348" i="5" s="1"/>
  <c r="AT349" i="5" a="1"/>
  <c r="AT349" i="5" s="1"/>
  <c r="AT350" i="5" a="1"/>
  <c r="AT350" i="5" s="1"/>
  <c r="AT351" i="5" a="1"/>
  <c r="AT351" i="5" s="1"/>
  <c r="AT352" i="5" a="1"/>
  <c r="AT352" i="5" s="1"/>
  <c r="AT353" i="5" a="1"/>
  <c r="AT353" i="5" s="1"/>
  <c r="AT354" i="5" a="1"/>
  <c r="AT354" i="5" s="1"/>
  <c r="AT355" i="5" a="1"/>
  <c r="AT355" i="5" s="1"/>
  <c r="AT356" i="5" a="1"/>
  <c r="AT356" i="5" s="1"/>
  <c r="AT357" i="5" a="1"/>
  <c r="AT357" i="5" s="1"/>
  <c r="AT358" i="5" a="1"/>
  <c r="AT358" i="5" s="1"/>
  <c r="AT359" i="5" a="1"/>
  <c r="AT359" i="5" s="1"/>
  <c r="AT360" i="5" a="1"/>
  <c r="AT360" i="5" s="1"/>
  <c r="AT361" i="5" a="1"/>
  <c r="AT361" i="5" s="1"/>
  <c r="AT362" i="5" a="1"/>
  <c r="AT362" i="5" s="1"/>
  <c r="AT363" i="5" a="1"/>
  <c r="AT363" i="5" s="1"/>
  <c r="AT364" i="5" a="1"/>
  <c r="AT364" i="5" s="1"/>
  <c r="AT365" i="5" a="1"/>
  <c r="AT365" i="5" s="1"/>
  <c r="AT366" i="5" a="1"/>
  <c r="AT366" i="5" s="1"/>
  <c r="AT367" i="5" a="1"/>
  <c r="AT367" i="5" s="1"/>
  <c r="AT368" i="5" a="1"/>
  <c r="AT368" i="5" s="1"/>
  <c r="AT369" i="5" a="1"/>
  <c r="AT369" i="5" s="1"/>
  <c r="AT370" i="5" a="1"/>
  <c r="AT370" i="5" s="1"/>
  <c r="AT371" i="5" a="1"/>
  <c r="AT371" i="5" s="1"/>
  <c r="AT372" i="5" a="1"/>
  <c r="AT372" i="5" s="1"/>
  <c r="AT373" i="5" a="1"/>
  <c r="AT373" i="5" s="1"/>
  <c r="AT374" i="5" a="1"/>
  <c r="AT374" i="5" s="1"/>
  <c r="AT375" i="5" a="1"/>
  <c r="AT375" i="5" s="1"/>
  <c r="AT376" i="5" a="1"/>
  <c r="AT376" i="5" s="1"/>
  <c r="AT377" i="5" a="1"/>
  <c r="AT377" i="5" s="1"/>
  <c r="AT378" i="5" a="1"/>
  <c r="AT378" i="5" s="1"/>
  <c r="AT379" i="5" a="1"/>
  <c r="AT379" i="5" s="1"/>
  <c r="AT380" i="5" a="1"/>
  <c r="AT380" i="5" s="1"/>
  <c r="AT381" i="5" a="1"/>
  <c r="AT381" i="5" s="1"/>
  <c r="AT382" i="5" a="1"/>
  <c r="AT382" i="5" s="1"/>
  <c r="AT383" i="5" a="1"/>
  <c r="AT383" i="5" s="1"/>
  <c r="AT384" i="5" a="1"/>
  <c r="AT384" i="5" s="1"/>
  <c r="AT385" i="5" a="1"/>
  <c r="AT385" i="5" s="1"/>
  <c r="AT386" i="5" a="1"/>
  <c r="AT386" i="5" s="1"/>
  <c r="AT387" i="5" a="1"/>
  <c r="AT387" i="5" s="1"/>
  <c r="AT388" i="5" a="1"/>
  <c r="AT388" i="5" s="1"/>
  <c r="AT389" i="5" a="1"/>
  <c r="AT389" i="5" s="1"/>
  <c r="AT390" i="5" a="1"/>
  <c r="AT390" i="5" s="1"/>
  <c r="AT391" i="5" a="1"/>
  <c r="AT391" i="5"/>
  <c r="AT392" i="5" a="1"/>
  <c r="AT392" i="5" s="1"/>
  <c r="AT393" i="5" a="1"/>
  <c r="AT393" i="5" s="1"/>
  <c r="AT394" i="5" a="1"/>
  <c r="AT394" i="5" s="1"/>
  <c r="AT395" i="5" a="1"/>
  <c r="AT395" i="5" s="1"/>
  <c r="AT396" i="5" a="1"/>
  <c r="AT396" i="5" s="1"/>
  <c r="AT397" i="5" a="1"/>
  <c r="AT397" i="5" s="1"/>
  <c r="AT398" i="5" a="1"/>
  <c r="AT398" i="5" s="1"/>
  <c r="AT399" i="5" a="1"/>
  <c r="AT399" i="5" s="1"/>
  <c r="AT400" i="5" a="1"/>
  <c r="AT400" i="5" s="1"/>
  <c r="AT401" i="5" a="1"/>
  <c r="AT401" i="5" s="1"/>
  <c r="AT402" i="5" a="1"/>
  <c r="AT402" i="5" s="1"/>
  <c r="AT403" i="5" a="1"/>
  <c r="AT403" i="5" s="1"/>
  <c r="AT404" i="5" a="1"/>
  <c r="AT404" i="5" s="1"/>
  <c r="AT405" i="5" a="1"/>
  <c r="AT405" i="5" s="1"/>
  <c r="AT406" i="5" a="1"/>
  <c r="AT406" i="5" s="1"/>
  <c r="AT407" i="5" a="1"/>
  <c r="AT407" i="5" s="1"/>
  <c r="AT408" i="5" a="1"/>
  <c r="AT408" i="5" s="1"/>
  <c r="AT409" i="5" a="1"/>
  <c r="AT409" i="5" s="1"/>
  <c r="AT410" i="5" a="1"/>
  <c r="AT410" i="5" s="1"/>
  <c r="AT411" i="5" a="1"/>
  <c r="AT411" i="5" s="1"/>
  <c r="AT412" i="5" a="1"/>
  <c r="AT412" i="5" s="1"/>
  <c r="AT413" i="5" a="1"/>
  <c r="AT413" i="5" s="1"/>
  <c r="AT414" i="5" a="1"/>
  <c r="AT414" i="5" s="1"/>
  <c r="AT415" i="5" a="1"/>
  <c r="AT415" i="5" s="1"/>
  <c r="AT416" i="5" a="1"/>
  <c r="AT416" i="5" s="1"/>
  <c r="AT417" i="5" a="1"/>
  <c r="AT417" i="5" s="1"/>
  <c r="AT418" i="5" a="1"/>
  <c r="AT418" i="5" s="1"/>
  <c r="AT419" i="5" a="1"/>
  <c r="AT419" i="5" s="1"/>
  <c r="AT420" i="5" a="1"/>
  <c r="AT420" i="5" s="1"/>
  <c r="AT421" i="5" a="1"/>
  <c r="AT421" i="5"/>
  <c r="AT422" i="5" a="1"/>
  <c r="AT422" i="5" s="1"/>
  <c r="AT423" i="5" a="1"/>
  <c r="AT423" i="5" s="1"/>
  <c r="AU423" i="5" s="1"/>
  <c r="AT424" i="5" a="1"/>
  <c r="AT424" i="5" s="1"/>
  <c r="AU424" i="5" s="1"/>
  <c r="AT425" i="5" a="1"/>
  <c r="AT425" i="5" s="1"/>
  <c r="AU425" i="5" s="1"/>
  <c r="AT426" i="5" a="1"/>
  <c r="AT426" i="5" s="1"/>
  <c r="AU426" i="5" s="1"/>
  <c r="AT427" i="5" a="1"/>
  <c r="AT427" i="5" s="1"/>
  <c r="AU427" i="5" s="1"/>
  <c r="AT428" i="5" a="1"/>
  <c r="AT428" i="5" s="1"/>
  <c r="AU428" i="5" s="1"/>
  <c r="AT429" i="5" a="1"/>
  <c r="AT429" i="5" s="1"/>
  <c r="AU429" i="5" s="1"/>
  <c r="AT430" i="5" a="1"/>
  <c r="AT430" i="5" s="1"/>
  <c r="AU430" i="5" s="1"/>
  <c r="AT431" i="5" a="1"/>
  <c r="AT431" i="5" s="1"/>
  <c r="AU431" i="5" s="1"/>
  <c r="AT432" i="5" a="1"/>
  <c r="AT432" i="5" s="1"/>
  <c r="AU432" i="5" s="1"/>
  <c r="AT433" i="5" a="1"/>
  <c r="AT433" i="5" s="1"/>
  <c r="AU433" i="5" s="1"/>
  <c r="AT434" i="5" a="1"/>
  <c r="AT434" i="5" s="1"/>
  <c r="AU434" i="5" s="1"/>
  <c r="AT435" i="5" a="1"/>
  <c r="AT435" i="5" s="1"/>
  <c r="AU435" i="5" s="1"/>
  <c r="AT436" i="5" a="1"/>
  <c r="AT436" i="5" s="1"/>
  <c r="AU436" i="5" s="1"/>
  <c r="AT437" i="5" a="1"/>
  <c r="AT437" i="5" s="1"/>
  <c r="AU437" i="5" s="1"/>
  <c r="AT438" i="5" a="1"/>
  <c r="AT438" i="5" s="1"/>
  <c r="AU438" i="5" s="1"/>
  <c r="AT439" i="5" a="1"/>
  <c r="AT439" i="5" s="1"/>
  <c r="AU439" i="5" s="1"/>
  <c r="AT440" i="5" a="1"/>
  <c r="AT440" i="5" s="1"/>
  <c r="AU440" i="5" s="1"/>
  <c r="AT441" i="5" a="1"/>
  <c r="AT441" i="5" s="1"/>
  <c r="AU441" i="5" s="1"/>
  <c r="AT442" i="5" a="1"/>
  <c r="AT442" i="5" s="1"/>
  <c r="AU442" i="5" s="1"/>
  <c r="AT443" i="5" a="1"/>
  <c r="AT443" i="5" s="1"/>
  <c r="AU443" i="5" s="1"/>
  <c r="AT444" i="5" a="1"/>
  <c r="AT444" i="5" s="1"/>
  <c r="AU444" i="5" s="1"/>
  <c r="AT445" i="5" a="1"/>
  <c r="AT445" i="5" s="1"/>
  <c r="AU445" i="5" s="1"/>
  <c r="AT446" i="5" a="1"/>
  <c r="AT446" i="5" s="1"/>
  <c r="AU446" i="5" s="1"/>
  <c r="AT447" i="5" a="1"/>
  <c r="AT447" i="5" s="1"/>
  <c r="AU447" i="5" s="1"/>
  <c r="AT448" i="5" a="1"/>
  <c r="AT448" i="5" s="1"/>
  <c r="AU448" i="5" s="1"/>
  <c r="AT449" i="5" a="1"/>
  <c r="AT449" i="5" s="1"/>
  <c r="AU449" i="5" s="1"/>
  <c r="AT450" i="5" a="1"/>
  <c r="AT450" i="5" s="1"/>
  <c r="AU450" i="5" s="1"/>
  <c r="AT451" i="5" a="1"/>
  <c r="AT451" i="5" s="1"/>
  <c r="AU451" i="5" s="1"/>
  <c r="AT452" i="5" a="1"/>
  <c r="AT452" i="5" s="1"/>
  <c r="AU452" i="5" s="1"/>
  <c r="AT453" i="5" a="1"/>
  <c r="AT453" i="5" s="1"/>
  <c r="AU453" i="5" s="1"/>
  <c r="AT454" i="5" a="1"/>
  <c r="AT454" i="5" s="1"/>
  <c r="AU454" i="5" s="1"/>
  <c r="AT455" i="5" a="1"/>
  <c r="AT455" i="5" s="1"/>
  <c r="AU455" i="5" s="1"/>
  <c r="AT456" i="5" a="1"/>
  <c r="AT456" i="5" s="1"/>
  <c r="AU456" i="5" s="1"/>
  <c r="AT457" i="5" a="1"/>
  <c r="AT457" i="5" s="1"/>
  <c r="AU457" i="5" s="1"/>
  <c r="AT458" i="5" a="1"/>
  <c r="AT458" i="5" s="1"/>
  <c r="AU458" i="5" s="1"/>
  <c r="AT459" i="5" a="1"/>
  <c r="AT459" i="5" s="1"/>
  <c r="AU459" i="5" s="1"/>
  <c r="AT460" i="5" a="1"/>
  <c r="AT460" i="5" s="1"/>
  <c r="AU460" i="5" s="1"/>
  <c r="AT461" i="5" a="1"/>
  <c r="AT461" i="5" s="1"/>
  <c r="AU461" i="5" s="1"/>
  <c r="AT462" i="5" a="1"/>
  <c r="AT462" i="5" s="1"/>
  <c r="AU462" i="5" s="1"/>
  <c r="AT463" i="5" a="1"/>
  <c r="AT463" i="5" s="1"/>
  <c r="AU463" i="5" s="1"/>
  <c r="AT464" i="5" a="1"/>
  <c r="AT464" i="5" s="1"/>
  <c r="AU464" i="5" s="1"/>
  <c r="AT465" i="5" a="1"/>
  <c r="AT465" i="5" s="1"/>
  <c r="AU465" i="5" s="1"/>
  <c r="AT466" i="5" a="1"/>
  <c r="AT466" i="5" s="1"/>
  <c r="AU466" i="5" s="1"/>
  <c r="AT467" i="5" a="1"/>
  <c r="AT467" i="5" s="1"/>
  <c r="AU467" i="5" s="1"/>
  <c r="AT468" i="5" a="1"/>
  <c r="AT468" i="5" s="1"/>
  <c r="AU468" i="5" s="1"/>
  <c r="AT469" i="5" a="1"/>
  <c r="AT469" i="5" s="1"/>
  <c r="AU469" i="5" s="1"/>
  <c r="AT470" i="5" a="1"/>
  <c r="AT470" i="5" s="1"/>
  <c r="AU470" i="5" s="1"/>
  <c r="AT471" i="5" a="1"/>
  <c r="AT471" i="5" s="1"/>
  <c r="AU471" i="5" s="1"/>
  <c r="AT472" i="5" a="1"/>
  <c r="AT472" i="5" s="1"/>
  <c r="AU472" i="5" s="1"/>
  <c r="AT473" i="5" a="1"/>
  <c r="AT473" i="5" s="1"/>
  <c r="AU473" i="5" s="1"/>
  <c r="AT474" i="5" a="1"/>
  <c r="AT474" i="5" s="1"/>
  <c r="AU474" i="5" s="1"/>
  <c r="AT475" i="5" a="1"/>
  <c r="AT475" i="5" s="1"/>
  <c r="AU475" i="5" s="1"/>
  <c r="AT476" i="5" a="1"/>
  <c r="AT476" i="5" s="1"/>
  <c r="AU476" i="5" s="1"/>
  <c r="AT477" i="5" a="1"/>
  <c r="AT477" i="5" s="1"/>
  <c r="AU477" i="5" s="1"/>
  <c r="AT478" i="5" a="1"/>
  <c r="AT478" i="5" s="1"/>
  <c r="AU478" i="5" s="1"/>
  <c r="AT479" i="5" a="1"/>
  <c r="AT479" i="5" s="1"/>
  <c r="AU479" i="5" s="1"/>
  <c r="AT480" i="5" a="1"/>
  <c r="AT480" i="5" s="1"/>
  <c r="AU480" i="5" s="1"/>
  <c r="AT481" i="5" a="1"/>
  <c r="AT481" i="5" s="1"/>
  <c r="AU481" i="5" s="1"/>
  <c r="AT482" i="5" a="1"/>
  <c r="AT482" i="5" s="1"/>
  <c r="AU482" i="5" s="1"/>
  <c r="AT483" i="5" a="1"/>
  <c r="AT483" i="5" s="1"/>
  <c r="AU483" i="5" s="1"/>
  <c r="AT484" i="5" a="1"/>
  <c r="AT484" i="5" s="1"/>
  <c r="AU484" i="5" s="1"/>
  <c r="AT485" i="5" a="1"/>
  <c r="AT485" i="5" s="1"/>
  <c r="AU485" i="5" s="1"/>
  <c r="AT486" i="5" a="1"/>
  <c r="AT486" i="5" s="1"/>
  <c r="AU486" i="5" s="1"/>
  <c r="AT487" i="5" a="1"/>
  <c r="AT487" i="5" s="1"/>
  <c r="AU487" i="5" s="1"/>
  <c r="AT488" i="5" a="1"/>
  <c r="AT488" i="5" s="1"/>
  <c r="AU488" i="5" s="1"/>
  <c r="AT489" i="5" a="1"/>
  <c r="AT489" i="5" s="1"/>
  <c r="AU489" i="5" s="1"/>
  <c r="AT490" i="5" a="1"/>
  <c r="AT490" i="5" s="1"/>
  <c r="AU490" i="5" s="1"/>
  <c r="AT491" i="5" a="1"/>
  <c r="AT491" i="5" s="1"/>
  <c r="AU491" i="5" s="1"/>
  <c r="AT492" i="5" a="1"/>
  <c r="AT492" i="5" s="1"/>
  <c r="AU492" i="5" s="1"/>
  <c r="AT493" i="5" a="1"/>
  <c r="AT493" i="5" s="1"/>
  <c r="AU493" i="5" s="1"/>
  <c r="AT494" i="5" a="1"/>
  <c r="AT494" i="5" s="1"/>
  <c r="AU494" i="5" s="1"/>
  <c r="AT495" i="5" a="1"/>
  <c r="AT495" i="5" s="1"/>
  <c r="AU495" i="5" s="1"/>
  <c r="AT496" i="5" a="1"/>
  <c r="AT496" i="5" s="1"/>
  <c r="AU496" i="5" s="1"/>
  <c r="AT497" i="5" a="1"/>
  <c r="AT497" i="5" s="1"/>
  <c r="AU497" i="5" s="1"/>
  <c r="AT498" i="5" a="1"/>
  <c r="AT498" i="5" s="1"/>
  <c r="AU498" i="5" s="1"/>
  <c r="AT499" i="5" a="1"/>
  <c r="AT499" i="5" s="1"/>
  <c r="AU499" i="5" s="1"/>
  <c r="AT500" i="5" a="1"/>
  <c r="AT500" i="5" s="1"/>
  <c r="AU500" i="5" s="1"/>
  <c r="AT501" i="5" a="1"/>
  <c r="AT501" i="5"/>
  <c r="AT502" i="5" a="1"/>
  <c r="AT502" i="5" s="1"/>
  <c r="AU502" i="5" s="1"/>
  <c r="AT503" i="5" a="1"/>
  <c r="AT503" i="5" s="1"/>
  <c r="AU503" i="5" s="1"/>
  <c r="AT504" i="5" a="1"/>
  <c r="AT504" i="5" s="1"/>
  <c r="AU504" i="5" s="1"/>
  <c r="AT505" i="5" a="1"/>
  <c r="AT505" i="5" s="1"/>
  <c r="AU505" i="5" s="1"/>
  <c r="AT506" i="5" a="1"/>
  <c r="AT506" i="5" s="1"/>
  <c r="AU506" i="5" s="1"/>
  <c r="AT507" i="5" a="1"/>
  <c r="AT507" i="5" s="1"/>
  <c r="AU507" i="5" s="1"/>
  <c r="AT508" i="5" a="1"/>
  <c r="AT508" i="5" s="1"/>
  <c r="AU508" i="5" s="1"/>
  <c r="AT509" i="5" a="1"/>
  <c r="AT509" i="5" s="1"/>
  <c r="AU509" i="5" s="1"/>
  <c r="AT510" i="5" a="1"/>
  <c r="AT510" i="5" s="1"/>
  <c r="AU510" i="5" s="1"/>
  <c r="AT511" i="5" a="1"/>
  <c r="AT511" i="5" s="1"/>
  <c r="AU511" i="5" s="1"/>
  <c r="AT512" i="5" a="1"/>
  <c r="AT512" i="5" s="1"/>
  <c r="AU512" i="5" s="1"/>
  <c r="AT513" i="5" a="1"/>
  <c r="AT513" i="5" s="1"/>
  <c r="AU513" i="5" s="1"/>
  <c r="AT514" i="5" a="1"/>
  <c r="AT514" i="5" s="1"/>
  <c r="AU514" i="5" s="1"/>
  <c r="AT515" i="5" a="1"/>
  <c r="AT515" i="5" s="1"/>
  <c r="AU515" i="5" s="1"/>
  <c r="AT516" i="5" a="1"/>
  <c r="AT516" i="5" s="1"/>
  <c r="AU516" i="5" s="1"/>
  <c r="AT517" i="5" a="1"/>
  <c r="AT517" i="5" s="1"/>
  <c r="AU517" i="5" s="1"/>
  <c r="AT518" i="5" a="1"/>
  <c r="AT518" i="5" s="1"/>
  <c r="AU518" i="5" s="1"/>
  <c r="AT519" i="5" a="1"/>
  <c r="AT519" i="5" s="1"/>
  <c r="AU519" i="5" s="1"/>
  <c r="AT520" i="5" a="1"/>
  <c r="AT520" i="5" s="1"/>
  <c r="AU520" i="5" s="1"/>
  <c r="AT521" i="5" a="1"/>
  <c r="AT521" i="5" s="1"/>
  <c r="AU521" i="5" s="1"/>
  <c r="AT522" i="5" a="1"/>
  <c r="AT522" i="5" s="1"/>
  <c r="AU522" i="5" s="1"/>
  <c r="AT523" i="5" a="1"/>
  <c r="AT523" i="5" s="1"/>
  <c r="AU523" i="5" s="1"/>
  <c r="AT524" i="5" a="1"/>
  <c r="AT524" i="5" s="1"/>
  <c r="AU524" i="5" s="1"/>
  <c r="AT525" i="5" a="1"/>
  <c r="AT525" i="5" s="1"/>
  <c r="AU525" i="5" s="1"/>
  <c r="AT526" i="5" a="1"/>
  <c r="AT526" i="5" s="1"/>
  <c r="AU526" i="5" s="1"/>
  <c r="AT527" i="5" a="1"/>
  <c r="AT527" i="5" s="1"/>
  <c r="AU527" i="5" s="1"/>
  <c r="AT528" i="5" a="1"/>
  <c r="AT528" i="5" s="1"/>
  <c r="AU528" i="5" s="1"/>
  <c r="AT529" i="5" a="1"/>
  <c r="AT529" i="5" s="1"/>
  <c r="AU529" i="5" s="1"/>
  <c r="AT530" i="5" a="1"/>
  <c r="AT530" i="5" s="1"/>
  <c r="AU530" i="5" s="1"/>
  <c r="AT531" i="5" a="1"/>
  <c r="AT531" i="5" s="1"/>
  <c r="AU531" i="5" s="1"/>
  <c r="AT532" i="5" a="1"/>
  <c r="AT532" i="5" s="1"/>
  <c r="AU532" i="5" s="1"/>
  <c r="AT533" i="5" a="1"/>
  <c r="AT533" i="5" s="1"/>
  <c r="AU533" i="5" s="1"/>
  <c r="AT534" i="5" a="1"/>
  <c r="AT534" i="5" s="1"/>
  <c r="AU534" i="5" s="1"/>
  <c r="AT535" i="5" a="1"/>
  <c r="AT535" i="5" s="1"/>
  <c r="AU535" i="5" s="1"/>
  <c r="AT536" i="5" a="1"/>
  <c r="AT536" i="5" s="1"/>
  <c r="AU536" i="5" s="1"/>
  <c r="AT537" i="5" a="1"/>
  <c r="AT537" i="5" s="1"/>
  <c r="AU537" i="5" s="1"/>
  <c r="AT538" i="5" a="1"/>
  <c r="AT538" i="5" s="1"/>
  <c r="AU538" i="5" s="1"/>
  <c r="AT539" i="5" a="1"/>
  <c r="AT539" i="5" s="1"/>
  <c r="AU539" i="5" s="1"/>
  <c r="AT540" i="5" a="1"/>
  <c r="AT540" i="5" s="1"/>
  <c r="AU540" i="5" s="1"/>
  <c r="AT541" i="5" a="1"/>
  <c r="AT541" i="5" s="1"/>
  <c r="AU541" i="5" s="1"/>
  <c r="AT542" i="5" a="1"/>
  <c r="AT542" i="5" s="1"/>
  <c r="AU542" i="5" s="1"/>
  <c r="AT543" i="5" a="1"/>
  <c r="AT543" i="5" s="1"/>
  <c r="AU543" i="5" s="1"/>
  <c r="AT544" i="5" a="1"/>
  <c r="AT544" i="5" s="1"/>
  <c r="AU544" i="5" s="1"/>
  <c r="AT545" i="5" a="1"/>
  <c r="AT545" i="5" s="1"/>
  <c r="AU545" i="5" s="1"/>
  <c r="AT546" i="5" a="1"/>
  <c r="AT546" i="5" s="1"/>
  <c r="AU546" i="5" s="1"/>
  <c r="AT547" i="5" a="1"/>
  <c r="AT547" i="5" s="1"/>
  <c r="AU547" i="5" s="1"/>
  <c r="AT548" i="5" a="1"/>
  <c r="AT548" i="5" s="1"/>
  <c r="AU548" i="5" s="1"/>
  <c r="AT549" i="5" a="1"/>
  <c r="AT549" i="5" s="1"/>
  <c r="AU549" i="5" s="1"/>
  <c r="AT550" i="5" a="1"/>
  <c r="AT550" i="5" s="1"/>
  <c r="AU550" i="5" s="1"/>
  <c r="AT551" i="5" a="1"/>
  <c r="AT551" i="5" s="1"/>
  <c r="AU551" i="5" s="1"/>
  <c r="AT552" i="5" a="1"/>
  <c r="AT552" i="5" s="1"/>
  <c r="AU552" i="5" s="1"/>
  <c r="AT553" i="5" a="1"/>
  <c r="AT553" i="5" s="1"/>
  <c r="AU553" i="5" s="1"/>
  <c r="AT554" i="5" a="1"/>
  <c r="AT554" i="5" s="1"/>
  <c r="AU554" i="5" s="1"/>
  <c r="AT555" i="5" a="1"/>
  <c r="AT555" i="5" s="1"/>
  <c r="AU555" i="5" s="1"/>
  <c r="AT556" i="5" a="1"/>
  <c r="AT556" i="5" s="1"/>
  <c r="AU556" i="5" s="1"/>
  <c r="AT557" i="5" a="1"/>
  <c r="AT557" i="5" s="1"/>
  <c r="AU557" i="5" s="1"/>
  <c r="AT558" i="5" a="1"/>
  <c r="AT558" i="5" s="1"/>
  <c r="AU558" i="5" s="1"/>
  <c r="AT559" i="5" a="1"/>
  <c r="AT559" i="5" s="1"/>
  <c r="AU559" i="5" s="1"/>
  <c r="AT560" i="5" a="1"/>
  <c r="AT560" i="5" s="1"/>
  <c r="AU560" i="5" s="1"/>
  <c r="AT561" i="5" a="1"/>
  <c r="AT561" i="5" s="1"/>
  <c r="AU561" i="5" s="1"/>
  <c r="AT562" i="5" a="1"/>
  <c r="AT562" i="5" s="1"/>
  <c r="AU562" i="5" s="1"/>
  <c r="AT563" i="5" a="1"/>
  <c r="AT563" i="5" s="1"/>
  <c r="AU563" i="5" s="1"/>
  <c r="AT564" i="5" a="1"/>
  <c r="AT564" i="5" s="1"/>
  <c r="AU564" i="5" s="1"/>
  <c r="AT565" i="5" a="1"/>
  <c r="AT565" i="5" s="1"/>
  <c r="AU565" i="5" s="1"/>
  <c r="AT566" i="5" a="1"/>
  <c r="AT566" i="5" s="1"/>
  <c r="AU566" i="5" s="1"/>
  <c r="AT567" i="5" a="1"/>
  <c r="AT567" i="5" s="1"/>
  <c r="AU567" i="5" s="1"/>
  <c r="AT568" i="5" a="1"/>
  <c r="AT568" i="5" s="1"/>
  <c r="AU568" i="5" s="1"/>
  <c r="AT569" i="5" a="1"/>
  <c r="AT569" i="5" s="1"/>
  <c r="AU569" i="5" s="1"/>
  <c r="AT570" i="5" a="1"/>
  <c r="AT570" i="5" s="1"/>
  <c r="AU570" i="5" s="1"/>
  <c r="AT571" i="5" a="1"/>
  <c r="AT571" i="5" s="1"/>
  <c r="AU571" i="5" s="1"/>
  <c r="AT572" i="5" a="1"/>
  <c r="AT572" i="5" s="1"/>
  <c r="AU572" i="5" s="1"/>
  <c r="AT573" i="5" a="1"/>
  <c r="AT573" i="5" s="1"/>
  <c r="AU573" i="5" s="1"/>
  <c r="AT574" i="5" a="1"/>
  <c r="AT574" i="5" s="1"/>
  <c r="AU574" i="5" s="1"/>
  <c r="AT575" i="5" a="1"/>
  <c r="AT575" i="5" s="1"/>
  <c r="AU575" i="5" s="1"/>
  <c r="AT576" i="5" a="1"/>
  <c r="AT576" i="5" s="1"/>
  <c r="AU576" i="5" s="1"/>
  <c r="AT577" i="5" a="1"/>
  <c r="AT577" i="5" s="1"/>
  <c r="AU577" i="5" s="1"/>
  <c r="AT578" i="5" a="1"/>
  <c r="AT578" i="5" s="1"/>
  <c r="AU578" i="5" s="1"/>
  <c r="AT579" i="5" a="1"/>
  <c r="AT579" i="5" s="1"/>
  <c r="AU579" i="5" s="1"/>
  <c r="AT580" i="5" a="1"/>
  <c r="AT580" i="5" s="1"/>
  <c r="AU580" i="5" s="1"/>
  <c r="AT581" i="5" a="1"/>
  <c r="AT581" i="5" s="1"/>
  <c r="AU581" i="5" s="1"/>
  <c r="AT582" i="5" a="1"/>
  <c r="AT582" i="5" s="1"/>
  <c r="AU582" i="5" s="1"/>
  <c r="AT583" i="5" a="1"/>
  <c r="AT583" i="5" s="1"/>
  <c r="AU583" i="5" s="1"/>
  <c r="AT584" i="5" a="1"/>
  <c r="AT584" i="5" s="1"/>
  <c r="AU584" i="5" s="1"/>
  <c r="AT585" i="5" a="1"/>
  <c r="AT585" i="5" s="1"/>
  <c r="AU585" i="5" s="1"/>
  <c r="AT586" i="5" a="1"/>
  <c r="AT586" i="5" s="1"/>
  <c r="AU586" i="5" s="1"/>
  <c r="AT587" i="5" a="1"/>
  <c r="AT587" i="5" s="1"/>
  <c r="AU587" i="5" s="1"/>
  <c r="AT588" i="5" a="1"/>
  <c r="AT588" i="5" s="1"/>
  <c r="AU588" i="5" s="1"/>
  <c r="AT589" i="5" a="1"/>
  <c r="AT589" i="5" s="1"/>
  <c r="AU589" i="5" s="1"/>
  <c r="AT590" i="5" a="1"/>
  <c r="AT590" i="5" s="1"/>
  <c r="AU590" i="5" s="1"/>
  <c r="AT591" i="5" a="1"/>
  <c r="AT591" i="5" s="1"/>
  <c r="AU591" i="5" s="1"/>
  <c r="AT592" i="5" a="1"/>
  <c r="AT592" i="5" s="1"/>
  <c r="AU592" i="5" s="1"/>
  <c r="AT593" i="5" a="1"/>
  <c r="AT593" i="5" s="1"/>
  <c r="AU593" i="5" s="1"/>
  <c r="AT594" i="5" a="1"/>
  <c r="AT594" i="5" s="1"/>
  <c r="AU594" i="5" s="1"/>
  <c r="AT595" i="5" a="1"/>
  <c r="AT595" i="5" s="1"/>
  <c r="AU595" i="5" s="1"/>
  <c r="AT596" i="5" a="1"/>
  <c r="AT596" i="5" s="1"/>
  <c r="AU596" i="5" s="1"/>
  <c r="AT597" i="5" a="1"/>
  <c r="AT597" i="5" s="1"/>
  <c r="AU597" i="5" s="1"/>
  <c r="AT598" i="5" a="1"/>
  <c r="AT598" i="5" s="1"/>
  <c r="AU598" i="5" s="1"/>
  <c r="AT599" i="5" a="1"/>
  <c r="AT599" i="5" s="1"/>
  <c r="AU599" i="5" s="1"/>
  <c r="AT600" i="5" a="1"/>
  <c r="AT600" i="5" s="1"/>
  <c r="AU600" i="5" s="1"/>
  <c r="AT601" i="5" a="1"/>
  <c r="AT601" i="5" s="1"/>
  <c r="AU601" i="5" s="1"/>
  <c r="AT602" i="5" a="1"/>
  <c r="AT602" i="5" s="1"/>
  <c r="AU602" i="5" s="1"/>
  <c r="AT603" i="5" a="1"/>
  <c r="AT603" i="5" s="1"/>
  <c r="AU603" i="5" s="1"/>
  <c r="AT604" i="5" a="1"/>
  <c r="AT604" i="5" s="1"/>
  <c r="AU604" i="5" s="1"/>
  <c r="AT605" i="5" a="1"/>
  <c r="AT605" i="5" s="1"/>
  <c r="AU605" i="5" s="1"/>
  <c r="AT606" i="5" a="1"/>
  <c r="AT606" i="5" s="1"/>
  <c r="AU606" i="5" s="1"/>
  <c r="AT607" i="5" a="1"/>
  <c r="AT607" i="5" s="1"/>
  <c r="AU607" i="5" s="1"/>
  <c r="AT608" i="5" a="1"/>
  <c r="AT608" i="5" s="1"/>
  <c r="AU608" i="5" s="1"/>
  <c r="AT609" i="5" a="1"/>
  <c r="AT609" i="5" s="1"/>
  <c r="AU609" i="5" s="1"/>
  <c r="AT610" i="5" a="1"/>
  <c r="AT610" i="5" s="1"/>
  <c r="AU610" i="5" s="1"/>
  <c r="AT211" i="5" a="1"/>
  <c r="AT211" i="5" s="1"/>
  <c r="M114" i="6"/>
  <c r="L114" i="6"/>
  <c r="K114" i="6"/>
  <c r="J114" i="6"/>
  <c r="I114" i="6"/>
  <c r="C35" i="3"/>
  <c r="D35" i="3" s="1"/>
  <c r="E35" i="3" s="1"/>
  <c r="A4" i="11"/>
  <c r="AU501" i="5"/>
  <c r="AP387" i="5"/>
  <c r="AP388" i="5"/>
  <c r="AP389" i="5"/>
  <c r="AP390" i="5"/>
  <c r="AP391" i="5"/>
  <c r="AP392" i="5"/>
  <c r="AP393" i="5"/>
  <c r="AP394" i="5"/>
  <c r="AP395" i="5"/>
  <c r="AP396" i="5"/>
  <c r="AP397" i="5"/>
  <c r="AP398" i="5"/>
  <c r="AP399" i="5"/>
  <c r="AP400" i="5"/>
  <c r="AP401" i="5"/>
  <c r="AP402" i="5"/>
  <c r="AP403" i="5"/>
  <c r="AP404" i="5"/>
  <c r="AP405" i="5"/>
  <c r="AP406" i="5"/>
  <c r="AP407" i="5"/>
  <c r="AP408" i="5"/>
  <c r="AP409" i="5"/>
  <c r="AP410" i="5"/>
  <c r="AP411" i="5"/>
  <c r="AP412" i="5"/>
  <c r="AP413" i="5"/>
  <c r="AP414" i="5"/>
  <c r="AP415" i="5"/>
  <c r="AP416" i="5"/>
  <c r="AP417" i="5"/>
  <c r="AP418" i="5"/>
  <c r="AP419" i="5"/>
  <c r="AP420" i="5"/>
  <c r="AP421" i="5"/>
  <c r="AP422" i="5"/>
  <c r="AP423" i="5"/>
  <c r="AP424" i="5"/>
  <c r="AP425" i="5"/>
  <c r="AP426" i="5"/>
  <c r="AP427" i="5"/>
  <c r="AP428" i="5"/>
  <c r="AP429" i="5"/>
  <c r="AP430" i="5"/>
  <c r="AP431" i="5"/>
  <c r="AP432" i="5"/>
  <c r="AP433" i="5"/>
  <c r="AP434" i="5"/>
  <c r="AP435" i="5"/>
  <c r="AP436" i="5"/>
  <c r="AP437" i="5"/>
  <c r="AP438" i="5"/>
  <c r="AP439" i="5"/>
  <c r="AP440" i="5"/>
  <c r="AP441" i="5"/>
  <c r="AP442" i="5"/>
  <c r="AP443" i="5"/>
  <c r="AP444" i="5"/>
  <c r="AP445" i="5"/>
  <c r="AP446" i="5"/>
  <c r="AP447" i="5"/>
  <c r="AP448" i="5"/>
  <c r="AP449" i="5"/>
  <c r="AP450" i="5"/>
  <c r="AP451" i="5"/>
  <c r="AP452" i="5"/>
  <c r="AP453" i="5"/>
  <c r="AP454" i="5"/>
  <c r="AP455" i="5"/>
  <c r="AP456" i="5"/>
  <c r="AP457" i="5"/>
  <c r="AP458" i="5"/>
  <c r="AP459" i="5"/>
  <c r="AP460" i="5"/>
  <c r="AP461" i="5"/>
  <c r="AP462" i="5"/>
  <c r="AP463" i="5"/>
  <c r="AP464" i="5"/>
  <c r="AP465" i="5"/>
  <c r="AP466" i="5"/>
  <c r="AP467" i="5"/>
  <c r="AP468" i="5"/>
  <c r="AP469" i="5"/>
  <c r="AP470" i="5"/>
  <c r="AP471" i="5"/>
  <c r="AP472" i="5"/>
  <c r="AP473" i="5"/>
  <c r="AP474" i="5"/>
  <c r="AP475" i="5"/>
  <c r="AP476" i="5"/>
  <c r="AP477" i="5"/>
  <c r="AP478" i="5"/>
  <c r="AP479" i="5"/>
  <c r="AP480" i="5"/>
  <c r="AP481" i="5"/>
  <c r="AP482" i="5"/>
  <c r="AP483" i="5"/>
  <c r="AP484" i="5"/>
  <c r="AP485" i="5"/>
  <c r="AP486" i="5"/>
  <c r="AP487" i="5"/>
  <c r="AP488" i="5"/>
  <c r="AP489" i="5"/>
  <c r="AP490" i="5"/>
  <c r="AP491" i="5"/>
  <c r="AP492" i="5"/>
  <c r="AP493" i="5"/>
  <c r="AP494" i="5"/>
  <c r="AP495" i="5"/>
  <c r="AP496" i="5"/>
  <c r="AP497" i="5"/>
  <c r="AP498" i="5"/>
  <c r="AP499" i="5"/>
  <c r="AP500" i="5"/>
  <c r="AP501" i="5"/>
  <c r="AP502" i="5"/>
  <c r="AP503" i="5"/>
  <c r="AP504" i="5"/>
  <c r="AP505" i="5"/>
  <c r="AP506" i="5"/>
  <c r="AP507" i="5"/>
  <c r="AP508" i="5"/>
  <c r="AP509" i="5"/>
  <c r="AP510" i="5"/>
  <c r="AP511" i="5"/>
  <c r="AP512" i="5"/>
  <c r="AP513" i="5"/>
  <c r="AP514" i="5"/>
  <c r="AP515" i="5"/>
  <c r="AP516" i="5"/>
  <c r="AP517" i="5"/>
  <c r="AP518" i="5"/>
  <c r="AP519" i="5"/>
  <c r="AP520" i="5"/>
  <c r="AP521" i="5"/>
  <c r="AP522" i="5"/>
  <c r="AP523" i="5"/>
  <c r="AP524" i="5"/>
  <c r="AP525" i="5"/>
  <c r="AP526" i="5"/>
  <c r="AP527" i="5"/>
  <c r="AP528" i="5"/>
  <c r="AP529" i="5"/>
  <c r="AP530" i="5"/>
  <c r="AP531" i="5"/>
  <c r="AP532" i="5"/>
  <c r="AP533" i="5"/>
  <c r="AP534" i="5"/>
  <c r="AP535" i="5"/>
  <c r="AP536" i="5"/>
  <c r="AP537" i="5"/>
  <c r="AP538" i="5"/>
  <c r="AP539" i="5"/>
  <c r="AP540" i="5"/>
  <c r="AP541" i="5"/>
  <c r="AP542" i="5"/>
  <c r="AP543" i="5"/>
  <c r="AP544" i="5"/>
  <c r="AP545" i="5"/>
  <c r="AP546" i="5"/>
  <c r="AP547" i="5"/>
  <c r="AP548" i="5"/>
  <c r="AP549" i="5"/>
  <c r="AP550" i="5"/>
  <c r="AP551" i="5"/>
  <c r="AP552" i="5"/>
  <c r="AP553" i="5"/>
  <c r="AP554" i="5"/>
  <c r="AP555" i="5"/>
  <c r="AP556" i="5"/>
  <c r="AP557" i="5"/>
  <c r="AP558" i="5"/>
  <c r="AP559" i="5"/>
  <c r="AP560" i="5"/>
  <c r="AP561" i="5"/>
  <c r="AP562" i="5"/>
  <c r="AP563" i="5"/>
  <c r="AP564" i="5"/>
  <c r="AP565" i="5"/>
  <c r="AP566" i="5"/>
  <c r="AP567" i="5"/>
  <c r="AP568" i="5"/>
  <c r="AP569" i="5"/>
  <c r="AP570" i="5"/>
  <c r="AP571" i="5"/>
  <c r="AP572" i="5"/>
  <c r="AP573" i="5"/>
  <c r="AP574" i="5"/>
  <c r="AP575" i="5"/>
  <c r="AP576" i="5"/>
  <c r="AP577" i="5"/>
  <c r="AP578" i="5"/>
  <c r="AP579" i="5"/>
  <c r="AP580" i="5"/>
  <c r="AP581" i="5"/>
  <c r="AP582" i="5"/>
  <c r="AP583" i="5"/>
  <c r="AP584" i="5"/>
  <c r="AP585" i="5"/>
  <c r="AP586" i="5"/>
  <c r="AP587" i="5"/>
  <c r="AP588" i="5"/>
  <c r="AP589" i="5"/>
  <c r="AP590" i="5"/>
  <c r="AP591" i="5"/>
  <c r="AP592" i="5"/>
  <c r="AP593" i="5"/>
  <c r="AP594" i="5"/>
  <c r="AP595" i="5"/>
  <c r="AP596" i="5"/>
  <c r="AP597" i="5"/>
  <c r="AP598" i="5"/>
  <c r="AP599" i="5"/>
  <c r="AP600" i="5"/>
  <c r="AP601" i="5"/>
  <c r="AP602" i="5"/>
  <c r="AP603" i="5"/>
  <c r="AP604" i="5"/>
  <c r="AP605" i="5"/>
  <c r="AP606" i="5"/>
  <c r="AP607" i="5"/>
  <c r="AP608" i="5"/>
  <c r="AP609" i="5"/>
  <c r="AP610" i="5"/>
  <c r="AB442" i="5"/>
  <c r="AB443" i="5"/>
  <c r="AB444" i="5"/>
  <c r="AB445" i="5"/>
  <c r="AB446" i="5"/>
  <c r="AB447" i="5"/>
  <c r="AB448" i="5"/>
  <c r="AB449" i="5"/>
  <c r="AB450" i="5"/>
  <c r="AB451" i="5"/>
  <c r="AB452" i="5"/>
  <c r="AB453" i="5"/>
  <c r="AB454" i="5"/>
  <c r="AB455" i="5"/>
  <c r="AB456" i="5"/>
  <c r="AB457" i="5"/>
  <c r="AB458" i="5"/>
  <c r="AB459" i="5"/>
  <c r="AB460" i="5"/>
  <c r="AB461" i="5"/>
  <c r="AB462" i="5"/>
  <c r="AB463" i="5"/>
  <c r="AB464" i="5"/>
  <c r="AB465" i="5"/>
  <c r="AB466" i="5"/>
  <c r="AB467" i="5"/>
  <c r="AB468" i="5"/>
  <c r="AB469" i="5"/>
  <c r="AB470" i="5"/>
  <c r="AB471" i="5"/>
  <c r="AB472" i="5"/>
  <c r="AB473" i="5"/>
  <c r="AB474" i="5"/>
  <c r="AB475" i="5"/>
  <c r="AB476" i="5"/>
  <c r="AB477" i="5"/>
  <c r="AB478" i="5"/>
  <c r="AB479" i="5"/>
  <c r="AB480" i="5"/>
  <c r="AB481" i="5"/>
  <c r="AB482" i="5"/>
  <c r="AB483" i="5"/>
  <c r="AB484" i="5"/>
  <c r="AB485" i="5"/>
  <c r="AB486" i="5"/>
  <c r="AB487" i="5"/>
  <c r="AB488" i="5"/>
  <c r="AB489" i="5"/>
  <c r="AB490" i="5"/>
  <c r="AB491" i="5"/>
  <c r="AB492" i="5"/>
  <c r="AB493" i="5"/>
  <c r="AB494" i="5"/>
  <c r="AB495" i="5"/>
  <c r="AB496" i="5"/>
  <c r="AB497" i="5"/>
  <c r="AB498" i="5"/>
  <c r="AB499" i="5"/>
  <c r="AB500" i="5"/>
  <c r="AB501" i="5"/>
  <c r="AB502" i="5"/>
  <c r="AB503" i="5"/>
  <c r="AB504" i="5"/>
  <c r="AB505" i="5"/>
  <c r="AB506" i="5"/>
  <c r="AB507" i="5"/>
  <c r="AB508" i="5"/>
  <c r="AB509" i="5"/>
  <c r="AB510" i="5"/>
  <c r="AB511" i="5"/>
  <c r="AB512" i="5"/>
  <c r="AB513" i="5"/>
  <c r="AB514" i="5"/>
  <c r="AB515" i="5"/>
  <c r="AB516" i="5"/>
  <c r="AB517" i="5"/>
  <c r="AB518" i="5"/>
  <c r="AB519" i="5"/>
  <c r="AB520" i="5"/>
  <c r="AB521" i="5"/>
  <c r="AB522" i="5"/>
  <c r="AB523" i="5"/>
  <c r="AB524" i="5"/>
  <c r="AB525" i="5"/>
  <c r="AB526" i="5"/>
  <c r="AB527" i="5"/>
  <c r="AB528" i="5"/>
  <c r="AB529" i="5"/>
  <c r="AB530" i="5"/>
  <c r="AB531" i="5"/>
  <c r="AB532" i="5"/>
  <c r="AB533" i="5"/>
  <c r="AB534" i="5"/>
  <c r="AB535" i="5"/>
  <c r="AB536" i="5"/>
  <c r="AB537" i="5"/>
  <c r="AB538" i="5"/>
  <c r="AB539" i="5"/>
  <c r="AB540" i="5"/>
  <c r="AB541" i="5"/>
  <c r="AB542" i="5"/>
  <c r="AB543" i="5"/>
  <c r="AB544" i="5"/>
  <c r="AB545" i="5"/>
  <c r="AB546" i="5"/>
  <c r="AB547" i="5"/>
  <c r="AB548" i="5"/>
  <c r="AB549" i="5"/>
  <c r="AB550" i="5"/>
  <c r="AB551" i="5"/>
  <c r="AB552" i="5"/>
  <c r="AB553" i="5"/>
  <c r="AB554" i="5"/>
  <c r="AB555" i="5"/>
  <c r="AB556" i="5"/>
  <c r="AB557" i="5"/>
  <c r="AB558" i="5"/>
  <c r="AB559" i="5"/>
  <c r="AB560" i="5"/>
  <c r="AB561" i="5"/>
  <c r="AB562" i="5"/>
  <c r="AB563" i="5"/>
  <c r="AB564" i="5"/>
  <c r="AB565" i="5"/>
  <c r="AB566" i="5"/>
  <c r="AB567" i="5"/>
  <c r="AB568" i="5"/>
  <c r="AB569" i="5"/>
  <c r="AB570" i="5"/>
  <c r="AB571" i="5"/>
  <c r="AB572" i="5"/>
  <c r="AB573" i="5"/>
  <c r="AB574" i="5"/>
  <c r="AB575" i="5"/>
  <c r="AB576" i="5"/>
  <c r="AB577" i="5"/>
  <c r="AB578" i="5"/>
  <c r="AB579" i="5"/>
  <c r="AB580" i="5"/>
  <c r="AB581" i="5"/>
  <c r="AB582" i="5"/>
  <c r="AB583" i="5"/>
  <c r="AB584" i="5"/>
  <c r="AB585" i="5"/>
  <c r="AB586" i="5"/>
  <c r="AB587" i="5"/>
  <c r="AB588" i="5"/>
  <c r="AB589" i="5"/>
  <c r="AB590" i="5"/>
  <c r="AB591" i="5"/>
  <c r="AB592" i="5"/>
  <c r="AB593" i="5"/>
  <c r="AB594" i="5"/>
  <c r="AB595" i="5"/>
  <c r="AB596" i="5"/>
  <c r="AB597" i="5"/>
  <c r="AB598" i="5"/>
  <c r="AB599" i="5"/>
  <c r="AB600" i="5"/>
  <c r="AB601" i="5"/>
  <c r="AB602" i="5"/>
  <c r="AB603" i="5"/>
  <c r="AB604" i="5"/>
  <c r="AB605" i="5"/>
  <c r="AB606" i="5"/>
  <c r="AB607" i="5"/>
  <c r="AB608" i="5"/>
  <c r="AB609" i="5"/>
  <c r="AB610" i="5"/>
  <c r="AA442" i="5"/>
  <c r="AA443" i="5"/>
  <c r="AA444" i="5"/>
  <c r="AA445" i="5"/>
  <c r="AA446" i="5"/>
  <c r="AA447" i="5"/>
  <c r="AA448" i="5"/>
  <c r="AA449" i="5"/>
  <c r="AA450" i="5"/>
  <c r="AA451" i="5"/>
  <c r="AA452" i="5"/>
  <c r="AA453" i="5"/>
  <c r="AA454" i="5"/>
  <c r="AA455" i="5"/>
  <c r="AA456" i="5"/>
  <c r="AA457" i="5"/>
  <c r="AA458" i="5"/>
  <c r="AA459" i="5"/>
  <c r="AA460" i="5"/>
  <c r="AA461" i="5"/>
  <c r="AA462" i="5"/>
  <c r="AA463" i="5"/>
  <c r="AA464" i="5"/>
  <c r="AA465" i="5"/>
  <c r="AA466" i="5"/>
  <c r="AA467" i="5"/>
  <c r="AA468" i="5"/>
  <c r="AA469" i="5"/>
  <c r="AA470" i="5"/>
  <c r="AA471" i="5"/>
  <c r="AA472" i="5"/>
  <c r="AA473" i="5"/>
  <c r="AA474" i="5"/>
  <c r="AA475" i="5"/>
  <c r="AA476" i="5"/>
  <c r="AA477" i="5"/>
  <c r="AA478" i="5"/>
  <c r="AA479" i="5"/>
  <c r="AA480" i="5"/>
  <c r="AA481" i="5"/>
  <c r="AA482" i="5"/>
  <c r="AA483" i="5"/>
  <c r="AA484" i="5"/>
  <c r="AA485" i="5"/>
  <c r="AA486" i="5"/>
  <c r="AA487" i="5"/>
  <c r="AA488" i="5"/>
  <c r="AA489" i="5"/>
  <c r="AA490" i="5"/>
  <c r="AA491" i="5"/>
  <c r="AA492" i="5"/>
  <c r="AA493" i="5"/>
  <c r="AA494" i="5"/>
  <c r="AA495" i="5"/>
  <c r="AA496" i="5"/>
  <c r="AA497" i="5"/>
  <c r="AA498" i="5"/>
  <c r="AA499" i="5"/>
  <c r="AA500" i="5"/>
  <c r="AA501" i="5"/>
  <c r="AA502" i="5"/>
  <c r="AA503" i="5"/>
  <c r="AA504" i="5"/>
  <c r="AA505" i="5"/>
  <c r="AA506" i="5"/>
  <c r="AA507" i="5"/>
  <c r="AA508" i="5"/>
  <c r="AA509" i="5"/>
  <c r="AA510" i="5"/>
  <c r="AA511" i="5"/>
  <c r="AA512" i="5"/>
  <c r="AA513" i="5"/>
  <c r="AA514" i="5"/>
  <c r="AA515" i="5"/>
  <c r="AA516" i="5"/>
  <c r="AA517" i="5"/>
  <c r="AA518" i="5"/>
  <c r="AA519" i="5"/>
  <c r="AA520" i="5"/>
  <c r="AA521" i="5"/>
  <c r="AA522" i="5"/>
  <c r="AA523" i="5"/>
  <c r="AA524" i="5"/>
  <c r="AA525" i="5"/>
  <c r="AA526" i="5"/>
  <c r="AA527" i="5"/>
  <c r="AA528" i="5"/>
  <c r="AA529" i="5"/>
  <c r="AA530" i="5"/>
  <c r="AA531" i="5"/>
  <c r="AA532" i="5"/>
  <c r="AA533" i="5"/>
  <c r="AA534" i="5"/>
  <c r="AA535" i="5"/>
  <c r="AA536" i="5"/>
  <c r="AA537" i="5"/>
  <c r="AA538" i="5"/>
  <c r="AA539" i="5"/>
  <c r="AA540" i="5"/>
  <c r="AA541" i="5"/>
  <c r="AA542" i="5"/>
  <c r="AA543" i="5"/>
  <c r="AA544" i="5"/>
  <c r="AA545" i="5"/>
  <c r="AA546" i="5"/>
  <c r="AA547" i="5"/>
  <c r="AA548" i="5"/>
  <c r="AA549" i="5"/>
  <c r="AA550" i="5"/>
  <c r="AA551" i="5"/>
  <c r="AA552" i="5"/>
  <c r="AA553" i="5"/>
  <c r="AA554" i="5"/>
  <c r="AA555" i="5"/>
  <c r="AA556" i="5"/>
  <c r="AA557" i="5"/>
  <c r="AA558" i="5"/>
  <c r="AA559" i="5"/>
  <c r="AA560" i="5"/>
  <c r="AA561" i="5"/>
  <c r="AA562" i="5"/>
  <c r="AA563" i="5"/>
  <c r="AA564" i="5"/>
  <c r="AA565" i="5"/>
  <c r="AA566" i="5"/>
  <c r="AA567" i="5"/>
  <c r="AA568" i="5"/>
  <c r="AA569" i="5"/>
  <c r="AA570" i="5"/>
  <c r="AA571" i="5"/>
  <c r="AA572" i="5"/>
  <c r="AA573" i="5"/>
  <c r="AA574" i="5"/>
  <c r="AA575" i="5"/>
  <c r="AA576" i="5"/>
  <c r="AA577" i="5"/>
  <c r="AA578" i="5"/>
  <c r="AA579" i="5"/>
  <c r="AA580" i="5"/>
  <c r="AA581" i="5"/>
  <c r="AA582" i="5"/>
  <c r="AA583" i="5"/>
  <c r="AA584" i="5"/>
  <c r="AA585" i="5"/>
  <c r="AA586" i="5"/>
  <c r="AA587" i="5"/>
  <c r="AA588" i="5"/>
  <c r="AA589" i="5"/>
  <c r="AA590" i="5"/>
  <c r="AA591" i="5"/>
  <c r="AA592" i="5"/>
  <c r="AA593" i="5"/>
  <c r="AA594" i="5"/>
  <c r="AA595" i="5"/>
  <c r="AA596" i="5"/>
  <c r="AA597" i="5"/>
  <c r="AA598" i="5"/>
  <c r="AA599" i="5"/>
  <c r="AA600" i="5"/>
  <c r="AA601" i="5"/>
  <c r="AA602" i="5"/>
  <c r="AA603" i="5"/>
  <c r="AA604" i="5"/>
  <c r="AA605" i="5"/>
  <c r="AA606" i="5"/>
  <c r="AA607" i="5"/>
  <c r="AA608" i="5"/>
  <c r="AA609" i="5"/>
  <c r="AA610" i="5"/>
  <c r="W187" i="5"/>
  <c r="W188" i="5"/>
  <c r="X188" i="5" s="1"/>
  <c r="B156" i="5" a="1"/>
  <c r="B157" i="5" a="1"/>
  <c r="B159" i="5" a="1"/>
  <c r="B160" i="5"/>
  <c r="B166" i="5" a="1"/>
  <c r="C166" i="5"/>
  <c r="B167" i="5" a="1"/>
  <c r="C167" i="5"/>
  <c r="B168" i="5" a="1"/>
  <c r="C168" i="5"/>
  <c r="W183" i="5"/>
  <c r="W184" i="5"/>
  <c r="W185" i="5"/>
  <c r="W186" i="5"/>
  <c r="B128" i="5" a="1"/>
  <c r="C128" i="5" a="1"/>
  <c r="D128" i="5" a="1"/>
  <c r="B129" i="5" a="1"/>
  <c r="C129" i="5" a="1"/>
  <c r="D129" i="5" a="1"/>
  <c r="B130" i="5" a="1"/>
  <c r="C130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99" i="5"/>
  <c r="C99" i="5" s="1"/>
  <c r="B107" i="5" s="1"/>
  <c r="B100" i="5"/>
  <c r="C100" i="5" s="1"/>
  <c r="D100" i="5"/>
  <c r="B101" i="5"/>
  <c r="D101" i="5"/>
  <c r="B102" i="5"/>
  <c r="D102" i="5"/>
  <c r="B103" i="5"/>
  <c r="D103" i="5"/>
  <c r="B112" i="5"/>
  <c r="D112" i="5"/>
  <c r="B113" i="5"/>
  <c r="D113" i="5"/>
  <c r="B114" i="5"/>
  <c r="D114" i="5"/>
  <c r="D115" i="5"/>
  <c r="B63" i="5" a="1"/>
  <c r="C63" i="5"/>
  <c r="D63" i="5" s="1"/>
  <c r="B64" i="5" a="1"/>
  <c r="C64" i="5"/>
  <c r="B65" i="5" a="1"/>
  <c r="C65" i="5"/>
  <c r="B66" i="5" a="1"/>
  <c r="C66" i="5"/>
  <c r="D66" i="5" s="1"/>
  <c r="B67" i="5"/>
  <c r="C67" i="5"/>
  <c r="B73" i="5" a="1"/>
  <c r="C73" i="5" a="1"/>
  <c r="D73" i="5" a="1"/>
  <c r="E73" i="5" a="1"/>
  <c r="F73" i="5" a="1"/>
  <c r="G73" i="5"/>
  <c r="H73" i="5" a="1"/>
  <c r="B74" i="5" a="1"/>
  <c r="C74" i="5" a="1"/>
  <c r="D74" i="5" a="1"/>
  <c r="E74" i="5" a="1"/>
  <c r="F74" i="5" a="1"/>
  <c r="G74" i="5"/>
  <c r="H74" i="5" a="1"/>
  <c r="B75" i="5" a="1"/>
  <c r="C75" i="5" a="1"/>
  <c r="D75" i="5" a="1"/>
  <c r="E75" i="5" a="1"/>
  <c r="F75" i="5" a="1"/>
  <c r="G75" i="5"/>
  <c r="H75" i="5" a="1"/>
  <c r="B76" i="5" a="1"/>
  <c r="C76" i="5" a="1"/>
  <c r="D76" i="5" a="1"/>
  <c r="E76" i="5" a="1"/>
  <c r="F76" i="5" a="1"/>
  <c r="G76" i="5"/>
  <c r="H76" i="5" a="1"/>
  <c r="B77" i="5" a="1"/>
  <c r="C77" i="5" a="1"/>
  <c r="D77" i="5" a="1"/>
  <c r="E77" i="5" a="1"/>
  <c r="E77" i="5" s="1"/>
  <c r="F77" i="5" a="1"/>
  <c r="F77" i="5" s="1"/>
  <c r="G77" i="5"/>
  <c r="H77" i="5" a="1"/>
  <c r="H77" i="5" s="1"/>
  <c r="B78" i="5" a="1"/>
  <c r="B78" i="5" s="1"/>
  <c r="C78" i="5" a="1"/>
  <c r="C78" i="5" s="1"/>
  <c r="D78" i="5" a="1"/>
  <c r="D78" i="5" s="1"/>
  <c r="E78" i="5" a="1"/>
  <c r="F78" i="5" a="1"/>
  <c r="G78" i="5"/>
  <c r="H78" i="5" a="1"/>
  <c r="B79" i="5" a="1"/>
  <c r="C79" i="5" a="1"/>
  <c r="D79" i="5" a="1"/>
  <c r="E79" i="5" a="1"/>
  <c r="F79" i="5" a="1"/>
  <c r="G79" i="5"/>
  <c r="H79" i="5" a="1"/>
  <c r="B80" i="5" a="1"/>
  <c r="C80" i="5" a="1"/>
  <c r="D80" i="5" a="1"/>
  <c r="E80" i="5" a="1"/>
  <c r="F80" i="5" a="1"/>
  <c r="G80" i="5"/>
  <c r="H80" i="5" a="1"/>
  <c r="B81" i="5" a="1"/>
  <c r="C81" i="5" a="1"/>
  <c r="D81" i="5" a="1"/>
  <c r="E81" i="5" a="1"/>
  <c r="F81" i="5" a="1"/>
  <c r="G81" i="5"/>
  <c r="H81" i="5" a="1"/>
  <c r="B82" i="5" a="1"/>
  <c r="C82" i="5" a="1"/>
  <c r="D82" i="5" a="1"/>
  <c r="E82" i="5" a="1"/>
  <c r="F82" i="5" a="1"/>
  <c r="G82" i="5"/>
  <c r="H82" i="5" a="1"/>
  <c r="B85" i="5" a="1"/>
  <c r="D85" i="5"/>
  <c r="B90" i="5" a="1"/>
  <c r="B91" i="5" a="1"/>
  <c r="B92" i="5" a="1"/>
  <c r="B93" i="5" a="1"/>
  <c r="B33" i="5"/>
  <c r="B39" i="5" a="1"/>
  <c r="B42" i="5" a="1"/>
  <c r="B43" i="5" a="1"/>
  <c r="B44" i="5" a="1"/>
  <c r="B45" i="5" a="1"/>
  <c r="B46" i="5" a="1"/>
  <c r="B52" i="5" a="1"/>
  <c r="D52" i="5" a="1"/>
  <c r="B53" i="5" a="1"/>
  <c r="D53" i="5" a="1"/>
  <c r="B54" i="5" a="1"/>
  <c r="D54" i="5" a="1"/>
  <c r="B55" i="5" a="1"/>
  <c r="D55" i="5" a="1"/>
  <c r="B56" i="5" a="1"/>
  <c r="D56" i="5" a="1"/>
  <c r="B57" i="5"/>
  <c r="D57" i="5"/>
  <c r="D5" i="5"/>
  <c r="F5" i="5"/>
  <c r="H5" i="5"/>
  <c r="J5" i="5" s="1"/>
  <c r="L5" i="5"/>
  <c r="O5" i="5"/>
  <c r="R5" i="5"/>
  <c r="B9" i="5"/>
  <c r="F9" i="5" s="1"/>
  <c r="C9" i="5"/>
  <c r="B10" i="5"/>
  <c r="F10" i="5" s="1"/>
  <c r="C10" i="5"/>
  <c r="B11" i="5"/>
  <c r="C11" i="5"/>
  <c r="B16" i="5"/>
  <c r="B17" i="5"/>
  <c r="D17" i="5"/>
  <c r="F17" i="5"/>
  <c r="B18" i="5"/>
  <c r="F18" i="5"/>
  <c r="B19" i="5"/>
  <c r="D19" i="5"/>
  <c r="F19" i="5"/>
  <c r="B20" i="5"/>
  <c r="D20" i="5"/>
  <c r="F20" i="5"/>
  <c r="B21" i="5"/>
  <c r="B22" i="5"/>
  <c r="B23" i="5"/>
  <c r="D23" i="5"/>
  <c r="B24" i="5"/>
  <c r="B29" i="5"/>
  <c r="AB33" i="9"/>
  <c r="AB32" i="9"/>
  <c r="AB31" i="9"/>
  <c r="U26" i="9"/>
  <c r="T26" i="9"/>
  <c r="S26" i="9" a="1"/>
  <c r="R26" i="9"/>
  <c r="Q26" i="9" a="1"/>
  <c r="V25" i="9"/>
  <c r="V20" i="9"/>
  <c r="V19" i="9"/>
  <c r="Z25" i="9"/>
  <c r="Y25" i="9"/>
  <c r="X25" i="9"/>
  <c r="W25" i="9"/>
  <c r="U25" i="9"/>
  <c r="T25" i="9"/>
  <c r="U23" i="9"/>
  <c r="T23" i="9"/>
  <c r="U22" i="9"/>
  <c r="T22" i="9"/>
  <c r="Z20" i="9"/>
  <c r="Y20" i="9"/>
  <c r="X20" i="9"/>
  <c r="W20" i="9"/>
  <c r="U20" i="9"/>
  <c r="T20" i="9"/>
  <c r="Z19" i="9"/>
  <c r="Y19" i="9"/>
  <c r="X19" i="9"/>
  <c r="W19" i="9"/>
  <c r="U19" i="9"/>
  <c r="T19" i="9"/>
  <c r="B21" i="12"/>
  <c r="B18" i="12"/>
  <c r="S25" i="17"/>
  <c r="S24" i="17"/>
  <c r="R25" i="17"/>
  <c r="R24" i="17"/>
  <c r="Q25" i="17"/>
  <c r="Q24" i="17"/>
  <c r="P25" i="17"/>
  <c r="P24" i="17"/>
  <c r="O25" i="17"/>
  <c r="O24" i="17"/>
  <c r="N25" i="17"/>
  <c r="N24" i="17"/>
  <c r="M25" i="17"/>
  <c r="M24" i="17"/>
  <c r="L25" i="17"/>
  <c r="L24" i="17"/>
  <c r="K25" i="17"/>
  <c r="K24" i="17"/>
  <c r="J25" i="17"/>
  <c r="J24" i="17"/>
  <c r="J23" i="17"/>
  <c r="J21" i="17"/>
  <c r="J13" i="17"/>
  <c r="D9" i="17"/>
  <c r="D8" i="17"/>
  <c r="D7" i="17"/>
  <c r="D6" i="17"/>
  <c r="D5" i="17"/>
  <c r="D4" i="17"/>
  <c r="C9" i="17"/>
  <c r="C8" i="17"/>
  <c r="C7" i="17"/>
  <c r="C6" i="17"/>
  <c r="C5" i="17"/>
  <c r="C4" i="17"/>
  <c r="C139" i="3"/>
  <c r="B19" i="2"/>
  <c r="M56" i="4"/>
  <c r="L56" i="4"/>
  <c r="K56" i="4"/>
  <c r="J56" i="4"/>
  <c r="I56" i="4"/>
  <c r="H56" i="4"/>
  <c r="G56" i="4"/>
  <c r="F56" i="4"/>
  <c r="E56" i="4"/>
  <c r="D56" i="4"/>
  <c r="C56" i="4"/>
  <c r="B56" i="4"/>
  <c r="AP386" i="5"/>
  <c r="AP385" i="5"/>
  <c r="AP384" i="5"/>
  <c r="AP383" i="5"/>
  <c r="AP382" i="5"/>
  <c r="AP381" i="5"/>
  <c r="AP380" i="5"/>
  <c r="AP379" i="5"/>
  <c r="AP378" i="5"/>
  <c r="AP377" i="5"/>
  <c r="AP376" i="5"/>
  <c r="AP375" i="5"/>
  <c r="AP374" i="5"/>
  <c r="AP373" i="5"/>
  <c r="AP372" i="5"/>
  <c r="AP371" i="5"/>
  <c r="AP370" i="5"/>
  <c r="AP369" i="5"/>
  <c r="AP368" i="5"/>
  <c r="AP367" i="5"/>
  <c r="AP366" i="5"/>
  <c r="AP365" i="5"/>
  <c r="AP364" i="5"/>
  <c r="AP363" i="5"/>
  <c r="AP362" i="5"/>
  <c r="AP361" i="5"/>
  <c r="AP360" i="5"/>
  <c r="AP359" i="5"/>
  <c r="AP358" i="5"/>
  <c r="AP357" i="5"/>
  <c r="AP356" i="5"/>
  <c r="AP355" i="5"/>
  <c r="AP354" i="5"/>
  <c r="AP353" i="5"/>
  <c r="AP352" i="5"/>
  <c r="AP351" i="5"/>
  <c r="AP350" i="5"/>
  <c r="AP349" i="5"/>
  <c r="AP348" i="5"/>
  <c r="AP347" i="5"/>
  <c r="AP346" i="5"/>
  <c r="AP345" i="5"/>
  <c r="AP344" i="5"/>
  <c r="AP343" i="5"/>
  <c r="AP342" i="5"/>
  <c r="AP341" i="5"/>
  <c r="AP340" i="5"/>
  <c r="AP339" i="5"/>
  <c r="AP338" i="5"/>
  <c r="AP337" i="5"/>
  <c r="AP336" i="5"/>
  <c r="AP335" i="5"/>
  <c r="AP334" i="5"/>
  <c r="AP333" i="5"/>
  <c r="AP332" i="5"/>
  <c r="AP331" i="5"/>
  <c r="AP330" i="5"/>
  <c r="AP329" i="5"/>
  <c r="AP328" i="5"/>
  <c r="AP327" i="5"/>
  <c r="AP326" i="5"/>
  <c r="AP325" i="5"/>
  <c r="AP324" i="5"/>
  <c r="AP323" i="5"/>
  <c r="AP322" i="5"/>
  <c r="AP321" i="5"/>
  <c r="AP320" i="5"/>
  <c r="AP319" i="5"/>
  <c r="AP318" i="5"/>
  <c r="AP317" i="5"/>
  <c r="AP316" i="5"/>
  <c r="AP315" i="5"/>
  <c r="AP314" i="5"/>
  <c r="AP313" i="5"/>
  <c r="AP312" i="5"/>
  <c r="AP311" i="5"/>
  <c r="AP310" i="5"/>
  <c r="AP309" i="5"/>
  <c r="AP308" i="5"/>
  <c r="AP307" i="5"/>
  <c r="AP306" i="5"/>
  <c r="AP305" i="5"/>
  <c r="AP304" i="5"/>
  <c r="AP303" i="5"/>
  <c r="AP302" i="5"/>
  <c r="AP301" i="5"/>
  <c r="AP300" i="5"/>
  <c r="AP299" i="5"/>
  <c r="AP298" i="5"/>
  <c r="AP297" i="5"/>
  <c r="AP296" i="5"/>
  <c r="AP295" i="5"/>
  <c r="AP294" i="5"/>
  <c r="AP293" i="5"/>
  <c r="AP292" i="5"/>
  <c r="AP291" i="5"/>
  <c r="AP290" i="5"/>
  <c r="AP289" i="5"/>
  <c r="AP288" i="5"/>
  <c r="AP287" i="5"/>
  <c r="AP286" i="5"/>
  <c r="AP285" i="5"/>
  <c r="AP284" i="5"/>
  <c r="AP283" i="5"/>
  <c r="AP282" i="5"/>
  <c r="AP281" i="5"/>
  <c r="AP280" i="5"/>
  <c r="AP279" i="5"/>
  <c r="AP278" i="5"/>
  <c r="AP277" i="5"/>
  <c r="AP276" i="5"/>
  <c r="AP275" i="5"/>
  <c r="AP274" i="5"/>
  <c r="AP273" i="5"/>
  <c r="AP272" i="5"/>
  <c r="AP271" i="5"/>
  <c r="AP270" i="5"/>
  <c r="AP269" i="5"/>
  <c r="AP268" i="5"/>
  <c r="AP267" i="5"/>
  <c r="AP266" i="5"/>
  <c r="AP265" i="5"/>
  <c r="AP264" i="5"/>
  <c r="AP263" i="5"/>
  <c r="AP262" i="5"/>
  <c r="AP261" i="5"/>
  <c r="AP260" i="5"/>
  <c r="AP259" i="5"/>
  <c r="AP258" i="5"/>
  <c r="AP257" i="5"/>
  <c r="AP256" i="5"/>
  <c r="AP255" i="5"/>
  <c r="AP254" i="5"/>
  <c r="AP253" i="5"/>
  <c r="AP252" i="5"/>
  <c r="AP251" i="5"/>
  <c r="AP250" i="5"/>
  <c r="AP249" i="5"/>
  <c r="AP248" i="5"/>
  <c r="AP247" i="5"/>
  <c r="AP246" i="5"/>
  <c r="AP245" i="5"/>
  <c r="AP244" i="5"/>
  <c r="AP243" i="5"/>
  <c r="AP242" i="5"/>
  <c r="AP241" i="5"/>
  <c r="AP240" i="5"/>
  <c r="AP239" i="5"/>
  <c r="AP238" i="5"/>
  <c r="AP237" i="5"/>
  <c r="AP236" i="5"/>
  <c r="AP235" i="5"/>
  <c r="AP234" i="5"/>
  <c r="AP233" i="5"/>
  <c r="AP232" i="5"/>
  <c r="AP231" i="5"/>
  <c r="AP230" i="5"/>
  <c r="AP229" i="5"/>
  <c r="AP228" i="5"/>
  <c r="AP227" i="5"/>
  <c r="AP226" i="5"/>
  <c r="AP225" i="5"/>
  <c r="AP224" i="5"/>
  <c r="AP223" i="5"/>
  <c r="AP222" i="5"/>
  <c r="AP221" i="5"/>
  <c r="AP220" i="5"/>
  <c r="AP219" i="5"/>
  <c r="AP218" i="5"/>
  <c r="AP217" i="5"/>
  <c r="AP216" i="5"/>
  <c r="AP215" i="5"/>
  <c r="AP214" i="5"/>
  <c r="AP213" i="5"/>
  <c r="AP212" i="5"/>
  <c r="AP211" i="5"/>
  <c r="B35" i="5" l="1"/>
  <c r="C114" i="5"/>
  <c r="C113" i="5"/>
  <c r="F113" i="5" s="1"/>
  <c r="C112" i="5"/>
  <c r="F112" i="5" s="1"/>
  <c r="H10" i="5"/>
  <c r="H12" i="5" s="1"/>
  <c r="E11" i="5"/>
  <c r="E9" i="5"/>
  <c r="B158" i="5" a="1"/>
  <c r="B158" i="5" s="1"/>
  <c r="D99" i="5"/>
  <c r="E99" i="5" s="1"/>
  <c r="B38" i="5" a="1"/>
  <c r="B38" i="5" s="1"/>
  <c r="B30" i="5" a="1"/>
  <c r="B30" i="5" s="1"/>
  <c r="B31" i="5" a="1"/>
  <c r="B31" i="5" s="1"/>
  <c r="C115" i="5"/>
  <c r="F115" i="5" s="1"/>
  <c r="D122" i="5" a="1"/>
  <c r="D122" i="5" s="1"/>
  <c r="E122" i="5" s="1"/>
  <c r="B120" i="5" a="1"/>
  <c r="B120" i="5" s="1"/>
  <c r="D120" i="5" a="1"/>
  <c r="D120" i="5" s="1"/>
  <c r="E120" i="5" s="1"/>
  <c r="B121" i="5" a="1"/>
  <c r="B121" i="5" s="1"/>
  <c r="C121" i="5" s="1"/>
  <c r="B122" i="5" a="1"/>
  <c r="B122" i="5" s="1"/>
  <c r="C122" i="5" s="1"/>
  <c r="E12" i="5"/>
  <c r="D123" i="5"/>
  <c r="F123" i="5" s="1"/>
  <c r="D16" i="5"/>
  <c r="D24" i="5" s="1"/>
  <c r="E24" i="5" s="1"/>
  <c r="B34" i="5"/>
  <c r="C34" i="5" s="1"/>
  <c r="C18" i="5"/>
  <c r="D104" i="5"/>
  <c r="D105" i="5" s="1"/>
  <c r="B188" i="5"/>
  <c r="B185" i="5"/>
  <c r="C185" i="5"/>
  <c r="D185" i="5" s="1"/>
  <c r="X185" i="5" s="1"/>
  <c r="B186" i="5"/>
  <c r="C187" i="5" a="1"/>
  <c r="C187" i="5" s="1"/>
  <c r="C186" i="5"/>
  <c r="D186" i="5" s="1"/>
  <c r="X186" i="5" s="1"/>
  <c r="B187" i="5"/>
  <c r="E18" i="5"/>
  <c r="E100" i="5"/>
  <c r="D67" i="5"/>
  <c r="B12" i="5"/>
  <c r="C29" i="5" s="1"/>
  <c r="G83" i="5"/>
  <c r="G84" i="5" s="1"/>
  <c r="B104" i="5"/>
  <c r="C104" i="5" s="1"/>
  <c r="D64" i="5"/>
  <c r="F100" i="5"/>
  <c r="F67" i="5"/>
  <c r="B157" i="5"/>
  <c r="B159" i="5"/>
  <c r="B168" i="5"/>
  <c r="D168" i="5" s="1"/>
  <c r="E168" i="5" s="1"/>
  <c r="F168" i="5" s="1"/>
  <c r="B167" i="5"/>
  <c r="D167" i="5" s="1"/>
  <c r="E167" i="5" s="1"/>
  <c r="F167" i="5" s="1"/>
  <c r="C169" i="5"/>
  <c r="X183" i="5"/>
  <c r="X184" i="5"/>
  <c r="B156" i="5"/>
  <c r="B166" i="5"/>
  <c r="B129" i="5"/>
  <c r="B138" i="5"/>
  <c r="C138" i="5" s="1"/>
  <c r="D138" i="5" s="1"/>
  <c r="B146" i="5"/>
  <c r="C129" i="5"/>
  <c r="B140" i="5"/>
  <c r="C140" i="5" s="1"/>
  <c r="D140" i="5" s="1"/>
  <c r="B144" i="5"/>
  <c r="C144" i="5" s="1"/>
  <c r="D144" i="5" s="1"/>
  <c r="C128" i="5"/>
  <c r="B130" i="5"/>
  <c r="B141" i="5"/>
  <c r="C141" i="5" s="1"/>
  <c r="D141" i="5" s="1"/>
  <c r="B145" i="5"/>
  <c r="C145" i="5" s="1"/>
  <c r="D145" i="5" s="1"/>
  <c r="D129" i="5"/>
  <c r="B137" i="5"/>
  <c r="B128" i="5"/>
  <c r="C130" i="5"/>
  <c r="F130" i="5" s="1"/>
  <c r="B142" i="5"/>
  <c r="C142" i="5" s="1"/>
  <c r="D142" i="5" s="1"/>
  <c r="B147" i="5"/>
  <c r="C147" i="5" s="1"/>
  <c r="D147" i="5" s="1"/>
  <c r="D128" i="5"/>
  <c r="B139" i="5"/>
  <c r="C139" i="5" s="1"/>
  <c r="D139" i="5" s="1"/>
  <c r="B143" i="5"/>
  <c r="C143" i="5" s="1"/>
  <c r="D143" i="5" s="1"/>
  <c r="B148" i="5"/>
  <c r="C148" i="5" s="1"/>
  <c r="D148" i="5" s="1"/>
  <c r="E101" i="5"/>
  <c r="F101" i="5"/>
  <c r="E102" i="5"/>
  <c r="F102" i="5"/>
  <c r="E103" i="5"/>
  <c r="F103" i="5"/>
  <c r="B91" i="5"/>
  <c r="B93" i="5"/>
  <c r="E114" i="5"/>
  <c r="F114" i="5"/>
  <c r="B115" i="5"/>
  <c r="B92" i="5"/>
  <c r="C101" i="5"/>
  <c r="C102" i="5"/>
  <c r="C103" i="5"/>
  <c r="B65" i="5"/>
  <c r="E65" i="5" s="1"/>
  <c r="B66" i="5"/>
  <c r="E66" i="5" s="1"/>
  <c r="B73" i="5"/>
  <c r="B77" i="5"/>
  <c r="H78" i="5"/>
  <c r="H79" i="5"/>
  <c r="H80" i="5"/>
  <c r="H81" i="5"/>
  <c r="H82" i="5"/>
  <c r="C79" i="5"/>
  <c r="C80" i="5"/>
  <c r="C81" i="5"/>
  <c r="C82" i="5"/>
  <c r="F85" i="5"/>
  <c r="B55" i="5"/>
  <c r="C55" i="5" s="1"/>
  <c r="D65" i="5"/>
  <c r="E73" i="5"/>
  <c r="C74" i="5"/>
  <c r="F74" i="5"/>
  <c r="H74" i="5"/>
  <c r="E75" i="5"/>
  <c r="C76" i="5"/>
  <c r="F78" i="5"/>
  <c r="F79" i="5"/>
  <c r="F80" i="5"/>
  <c r="F81" i="5"/>
  <c r="F82" i="5"/>
  <c r="B63" i="5"/>
  <c r="E63" i="5" s="1"/>
  <c r="E67" i="5"/>
  <c r="F73" i="5"/>
  <c r="D74" i="5"/>
  <c r="B75" i="5"/>
  <c r="F75" i="5"/>
  <c r="D76" i="5"/>
  <c r="C77" i="5"/>
  <c r="D79" i="5"/>
  <c r="D80" i="5"/>
  <c r="D81" i="5"/>
  <c r="D82" i="5"/>
  <c r="B90" i="5"/>
  <c r="B64" i="5"/>
  <c r="E64" i="5" s="1"/>
  <c r="D73" i="5"/>
  <c r="B74" i="5"/>
  <c r="D75" i="5"/>
  <c r="B76" i="5"/>
  <c r="F76" i="5"/>
  <c r="H76" i="5"/>
  <c r="C73" i="5"/>
  <c r="H73" i="5"/>
  <c r="E74" i="5"/>
  <c r="C75" i="5"/>
  <c r="H75" i="5"/>
  <c r="E76" i="5"/>
  <c r="D77" i="5"/>
  <c r="E78" i="5"/>
  <c r="E79" i="5"/>
  <c r="E80" i="5"/>
  <c r="E81" i="5"/>
  <c r="E82" i="5"/>
  <c r="B79" i="5"/>
  <c r="B80" i="5"/>
  <c r="B81" i="5"/>
  <c r="B82" i="5"/>
  <c r="B85" i="5"/>
  <c r="D53" i="5"/>
  <c r="B39" i="5"/>
  <c r="B42" i="5"/>
  <c r="B53" i="5"/>
  <c r="C53" i="5" s="1"/>
  <c r="C33" i="5"/>
  <c r="B44" i="5"/>
  <c r="B46" i="5"/>
  <c r="B54" i="5"/>
  <c r="C54" i="5" s="1"/>
  <c r="B45" i="5"/>
  <c r="B52" i="5"/>
  <c r="B56" i="5"/>
  <c r="C56" i="5" s="1"/>
  <c r="D56" i="5"/>
  <c r="B43" i="5"/>
  <c r="D52" i="5"/>
  <c r="C57" i="5"/>
  <c r="D54" i="5"/>
  <c r="D55" i="5"/>
  <c r="D9" i="5"/>
  <c r="G10" i="5"/>
  <c r="E17" i="5"/>
  <c r="E20" i="5"/>
  <c r="E23" i="5"/>
  <c r="F24" i="5"/>
  <c r="D10" i="5"/>
  <c r="D11" i="5"/>
  <c r="E19" i="5"/>
  <c r="C20" i="5"/>
  <c r="G9" i="5"/>
  <c r="F11" i="5"/>
  <c r="F12" i="5" s="1"/>
  <c r="G11" i="5"/>
  <c r="C17" i="5"/>
  <c r="C19" i="5"/>
  <c r="C23" i="5"/>
  <c r="C12" i="5"/>
  <c r="C35" i="5" s="1"/>
  <c r="C16" i="5"/>
  <c r="C21" i="5"/>
  <c r="C22" i="5"/>
  <c r="S26" i="9"/>
  <c r="Q26" i="9"/>
  <c r="D139" i="3"/>
  <c r="E139" i="3" s="1"/>
  <c r="E113" i="5" l="1"/>
  <c r="E123" i="5"/>
  <c r="E112" i="5"/>
  <c r="E115" i="5" s="1"/>
  <c r="F99" i="5"/>
  <c r="B32" i="5"/>
  <c r="B36" i="5"/>
  <c r="C36" i="5" s="1"/>
  <c r="E16" i="5"/>
  <c r="E104" i="5"/>
  <c r="E105" i="5" s="1"/>
  <c r="F104" i="5"/>
  <c r="F105" i="5" s="1"/>
  <c r="E185" i="5"/>
  <c r="Z173" i="5" a="1"/>
  <c r="Z173" i="5" s="1"/>
  <c r="E186" i="5"/>
  <c r="E129" i="5"/>
  <c r="B105" i="5"/>
  <c r="B131" i="5"/>
  <c r="C39" i="5"/>
  <c r="C38" i="5"/>
  <c r="E187" i="5"/>
  <c r="D187" i="5"/>
  <c r="X187" i="5" s="1"/>
  <c r="B169" i="5"/>
  <c r="D166" i="5"/>
  <c r="B151" i="5"/>
  <c r="C146" i="5"/>
  <c r="D146" i="5" s="1"/>
  <c r="B150" i="5" a="1"/>
  <c r="B150" i="5" s="1"/>
  <c r="C137" i="5"/>
  <c r="D137" i="5" s="1"/>
  <c r="D131" i="5"/>
  <c r="E128" i="5"/>
  <c r="F129" i="5"/>
  <c r="F131" i="5" s="1"/>
  <c r="C131" i="5"/>
  <c r="D91" i="5"/>
  <c r="E91" i="5" s="1"/>
  <c r="C91" i="5" a="1"/>
  <c r="C91" i="5" s="1"/>
  <c r="D93" i="5"/>
  <c r="E93" i="5" s="1"/>
  <c r="C93" i="5" a="1"/>
  <c r="C93" i="5" s="1"/>
  <c r="B123" i="5"/>
  <c r="C120" i="5"/>
  <c r="C123" i="5" s="1"/>
  <c r="D92" i="5"/>
  <c r="E92" i="5" s="1"/>
  <c r="C92" i="5" a="1"/>
  <c r="C92" i="5" s="1"/>
  <c r="E107" i="5"/>
  <c r="C105" i="5"/>
  <c r="D90" i="5"/>
  <c r="E90" i="5" s="1"/>
  <c r="C90" i="5" a="1"/>
  <c r="C90" i="5" s="1"/>
  <c r="E42" i="5" a="1"/>
  <c r="E42" i="5" s="1"/>
  <c r="D42" i="5" a="1"/>
  <c r="D42" i="5" s="1"/>
  <c r="C42" i="5"/>
  <c r="E44" i="5" a="1"/>
  <c r="E44" i="5" s="1"/>
  <c r="D44" i="5" a="1"/>
  <c r="D44" i="5" s="1"/>
  <c r="C44" i="5"/>
  <c r="E46" i="5" a="1"/>
  <c r="E46" i="5" s="1"/>
  <c r="D46" i="5" a="1"/>
  <c r="D46" i="5" s="1"/>
  <c r="C46" i="5"/>
  <c r="E45" i="5" a="1"/>
  <c r="E45" i="5" s="1"/>
  <c r="D45" i="5" a="1"/>
  <c r="D45" i="5" s="1"/>
  <c r="C45" i="5"/>
  <c r="B58" i="5"/>
  <c r="C52" i="5"/>
  <c r="C58" i="5" s="1"/>
  <c r="D43" i="5" a="1"/>
  <c r="D43" i="5" s="1"/>
  <c r="E43" i="5" a="1"/>
  <c r="E43" i="5" s="1"/>
  <c r="C43" i="5"/>
  <c r="D58" i="5"/>
  <c r="G12" i="5"/>
  <c r="D12" i="5"/>
  <c r="C30" i="5"/>
  <c r="C24" i="5"/>
  <c r="C31" i="5"/>
  <c r="B37" i="5" l="1"/>
  <c r="N173" i="5" a="1"/>
  <c r="N173" i="5" s="1"/>
  <c r="C173" i="5" a="1"/>
  <c r="C173" i="5" s="1"/>
  <c r="F173" i="5" a="1"/>
  <c r="F173" i="5" s="1"/>
  <c r="E173" i="5" a="1"/>
  <c r="E173" i="5" s="1"/>
  <c r="B173" i="5" a="1"/>
  <c r="B173" i="5" s="1"/>
  <c r="G173" i="5" a="1"/>
  <c r="G173" i="5" s="1"/>
  <c r="A173" i="5" a="1"/>
  <c r="A173" i="5" s="1"/>
  <c r="J173" i="5" a="1"/>
  <c r="J173" i="5" s="1"/>
  <c r="F43" i="5"/>
  <c r="D169" i="5"/>
  <c r="E169" i="5" s="1"/>
  <c r="E166" i="5"/>
  <c r="F166" i="5" s="1"/>
  <c r="E131" i="5"/>
  <c r="F45" i="5"/>
  <c r="F42" i="5"/>
  <c r="F44" i="5"/>
  <c r="F46" i="5"/>
  <c r="Q15" i="9"/>
  <c r="Q14" i="9"/>
  <c r="Q13" i="9"/>
  <c r="Q11" i="9"/>
  <c r="Q10" i="9"/>
  <c r="Q9" i="9"/>
  <c r="Q7" i="9"/>
  <c r="Q6" i="9"/>
  <c r="Q5" i="9"/>
  <c r="R14" i="9"/>
  <c r="R13" i="9"/>
  <c r="R11" i="9"/>
  <c r="R10" i="9"/>
  <c r="R9" i="9"/>
  <c r="R7" i="9"/>
  <c r="R6" i="9"/>
  <c r="R5" i="9"/>
  <c r="C180" i="5" l="1"/>
  <c r="J180" i="5"/>
  <c r="J181" i="5" s="1"/>
  <c r="K173" i="5" a="1"/>
  <c r="O173" i="5" a="1"/>
  <c r="N180" i="5"/>
  <c r="D173" i="5" a="1"/>
  <c r="H173" i="5" a="1"/>
  <c r="R15" i="9"/>
  <c r="K173" i="5" l="1"/>
  <c r="K180" i="5" s="1"/>
  <c r="O173" i="5"/>
  <c r="P173" i="5" s="1" a="1"/>
  <c r="D173" i="5"/>
  <c r="I173" i="5" s="1" a="1"/>
  <c r="H173" i="5"/>
  <c r="L173" i="5" l="1" a="1"/>
  <c r="L173" i="5" s="1"/>
  <c r="O180" i="5"/>
  <c r="L180" i="5"/>
  <c r="K181" i="5"/>
  <c r="P173" i="5"/>
  <c r="I173" i="5"/>
  <c r="P180" i="5" l="1"/>
  <c r="P181" i="5" s="1"/>
  <c r="O181" i="5"/>
  <c r="M180" i="5"/>
  <c r="M181" i="5" s="1"/>
  <c r="L181" i="5"/>
  <c r="M173" i="5" a="1"/>
  <c r="Q173" i="5" a="1"/>
  <c r="S14" i="9"/>
  <c r="S13" i="9"/>
  <c r="S11" i="9"/>
  <c r="S10" i="9"/>
  <c r="S9" i="9"/>
  <c r="S7" i="9"/>
  <c r="S6" i="9"/>
  <c r="S5" i="9"/>
  <c r="S15" i="9"/>
  <c r="Q180" i="5" l="1"/>
  <c r="Q181" i="5" s="1"/>
  <c r="Q173" i="5"/>
  <c r="M173" i="5"/>
  <c r="B22" i="4" l="1"/>
  <c r="B21" i="4"/>
  <c r="B16" i="4"/>
  <c r="B15" i="4"/>
  <c r="B14" i="4"/>
  <c r="B12" i="4"/>
  <c r="N111" i="4"/>
  <c r="N85" i="4"/>
  <c r="N63" i="4"/>
  <c r="N69" i="4" s="1"/>
  <c r="C49" i="6"/>
  <c r="C48" i="6"/>
  <c r="C95" i="6"/>
  <c r="C93" i="6"/>
  <c r="C92" i="6"/>
  <c r="C91" i="6"/>
  <c r="D90" i="6"/>
  <c r="C90" i="6"/>
  <c r="D89" i="6"/>
  <c r="C89" i="6"/>
  <c r="C88" i="6"/>
  <c r="D87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D74" i="6"/>
  <c r="C74" i="6"/>
  <c r="D73" i="6"/>
  <c r="C73" i="6"/>
  <c r="C72" i="6"/>
  <c r="D71" i="6"/>
  <c r="C71" i="6"/>
  <c r="C69" i="6"/>
  <c r="C68" i="6"/>
  <c r="C67" i="6"/>
  <c r="C66" i="6"/>
  <c r="C65" i="6"/>
  <c r="C64" i="6"/>
  <c r="D63" i="6"/>
  <c r="C63" i="6"/>
  <c r="C61" i="6"/>
  <c r="C60" i="6"/>
  <c r="D59" i="6"/>
  <c r="C59" i="6"/>
  <c r="C58" i="6"/>
  <c r="C57" i="6"/>
  <c r="C56" i="6"/>
  <c r="C55" i="6"/>
  <c r="C54" i="6"/>
  <c r="C53" i="6"/>
  <c r="C6" i="3"/>
  <c r="D6" i="3" s="1"/>
  <c r="C7" i="3"/>
  <c r="D7" i="3" s="1"/>
  <c r="C8" i="3"/>
  <c r="D8" i="3" s="1"/>
  <c r="G8" i="3"/>
  <c r="B9" i="3"/>
  <c r="C10" i="3"/>
  <c r="D10" i="3" s="1"/>
  <c r="E10" i="3" s="1"/>
  <c r="F10" i="3"/>
  <c r="B11" i="3"/>
  <c r="C11" i="3" s="1"/>
  <c r="B12" i="3"/>
  <c r="C12" i="3"/>
  <c r="D12" i="3"/>
  <c r="F12" i="3" s="1"/>
  <c r="E12" i="3"/>
  <c r="C15" i="3"/>
  <c r="D15" i="3" s="1"/>
  <c r="B16" i="3"/>
  <c r="B21" i="3"/>
  <c r="C21" i="3"/>
  <c r="D21" i="3"/>
  <c r="E21" i="3"/>
  <c r="F21" i="3"/>
  <c r="B22" i="3"/>
  <c r="E22" i="3"/>
  <c r="C28" i="3"/>
  <c r="B29" i="3"/>
  <c r="B30" i="3" s="1"/>
  <c r="C29" i="3"/>
  <c r="C32" i="3"/>
  <c r="F32" i="3"/>
  <c r="F35" i="3"/>
  <c r="C112" i="6" s="1"/>
  <c r="B36" i="3"/>
  <c r="C39" i="3"/>
  <c r="D39" i="3" s="1"/>
  <c r="C40" i="3"/>
  <c r="C41" i="3"/>
  <c r="D41" i="3"/>
  <c r="E41" i="3" s="1"/>
  <c r="F41" i="3"/>
  <c r="B42" i="3"/>
  <c r="C44" i="3"/>
  <c r="D44" i="3"/>
  <c r="E44" i="3"/>
  <c r="F44" i="3"/>
  <c r="C45" i="3"/>
  <c r="D45" i="3" s="1"/>
  <c r="C46" i="3"/>
  <c r="C50" i="3" s="1"/>
  <c r="D46" i="3"/>
  <c r="D50" i="3" s="1"/>
  <c r="B48" i="3"/>
  <c r="C48" i="3"/>
  <c r="B49" i="3"/>
  <c r="B50" i="3"/>
  <c r="C53" i="3"/>
  <c r="D53" i="3"/>
  <c r="E53" i="3" s="1"/>
  <c r="F53" i="3"/>
  <c r="C54" i="3"/>
  <c r="D54" i="3" s="1"/>
  <c r="C55" i="3"/>
  <c r="C70" i="3" s="1"/>
  <c r="D55" i="3"/>
  <c r="E55" i="3" s="1"/>
  <c r="C58" i="3"/>
  <c r="D58" i="3" s="1"/>
  <c r="E58" i="3" s="1"/>
  <c r="F58" i="3"/>
  <c r="C60" i="3"/>
  <c r="D60" i="3" s="1"/>
  <c r="C62" i="3"/>
  <c r="D62" i="3" s="1"/>
  <c r="E62" i="3" s="1"/>
  <c r="C64" i="3"/>
  <c r="D64" i="3" s="1"/>
  <c r="E64" i="3" s="1"/>
  <c r="F64" i="3"/>
  <c r="C65" i="3"/>
  <c r="D65" i="3" s="1"/>
  <c r="B68" i="3"/>
  <c r="B69" i="3"/>
  <c r="B70" i="3"/>
  <c r="C75" i="3"/>
  <c r="D75" i="3"/>
  <c r="E75" i="3" s="1"/>
  <c r="F75" i="3"/>
  <c r="C76" i="3"/>
  <c r="D76" i="3"/>
  <c r="E76" i="3" s="1"/>
  <c r="F76" i="3"/>
  <c r="C77" i="3"/>
  <c r="C78" i="3"/>
  <c r="D78" i="3" s="1"/>
  <c r="C79" i="3"/>
  <c r="D79" i="3" s="1"/>
  <c r="E79" i="3" s="1"/>
  <c r="F79" i="3"/>
  <c r="C80" i="3"/>
  <c r="D80" i="3"/>
  <c r="E80" i="3" s="1"/>
  <c r="F80" i="3"/>
  <c r="C81" i="3"/>
  <c r="D81" i="3" s="1"/>
  <c r="E81" i="3" s="1"/>
  <c r="F81" i="3"/>
  <c r="C82" i="3"/>
  <c r="D82" i="3" s="1"/>
  <c r="B83" i="3"/>
  <c r="C85" i="3"/>
  <c r="D85" i="3"/>
  <c r="F85" i="3"/>
  <c r="C86" i="3"/>
  <c r="D86" i="3"/>
  <c r="E86" i="3" s="1"/>
  <c r="F86" i="3"/>
  <c r="D64" i="6" s="1"/>
  <c r="C87" i="3"/>
  <c r="D87" i="3" s="1"/>
  <c r="C88" i="3"/>
  <c r="D88" i="3" s="1"/>
  <c r="E88" i="3" s="1"/>
  <c r="F88" i="3"/>
  <c r="D66" i="6" s="1"/>
  <c r="C89" i="3"/>
  <c r="D89" i="3" s="1"/>
  <c r="C90" i="3"/>
  <c r="D90" i="3" s="1"/>
  <c r="B91" i="3"/>
  <c r="C93" i="3"/>
  <c r="D93" i="3" s="1"/>
  <c r="F93" i="3"/>
  <c r="C94" i="3"/>
  <c r="D94" i="3" s="1"/>
  <c r="C95" i="3"/>
  <c r="D95" i="3" s="1"/>
  <c r="E95" i="3" s="1"/>
  <c r="F95" i="3"/>
  <c r="C96" i="3"/>
  <c r="D96" i="3"/>
  <c r="E96" i="3"/>
  <c r="F96" i="3"/>
  <c r="C97" i="3"/>
  <c r="D97" i="3" s="1"/>
  <c r="C98" i="3"/>
  <c r="D98" i="3"/>
  <c r="E98" i="3" s="1"/>
  <c r="C99" i="3"/>
  <c r="D99" i="3"/>
  <c r="F99" i="3" s="1"/>
  <c r="D77" i="6" s="1"/>
  <c r="E99" i="3"/>
  <c r="C100" i="3"/>
  <c r="D100" i="3" s="1"/>
  <c r="C101" i="3"/>
  <c r="D101" i="3"/>
  <c r="E101" i="3" s="1"/>
  <c r="F101" i="3"/>
  <c r="D79" i="6" s="1"/>
  <c r="C102" i="3"/>
  <c r="D102" i="3" s="1"/>
  <c r="C103" i="3"/>
  <c r="D103" i="3"/>
  <c r="E103" i="3"/>
  <c r="F103" i="3"/>
  <c r="D81" i="6" s="1"/>
  <c r="C104" i="3"/>
  <c r="D104" i="3" s="1"/>
  <c r="E104" i="3" s="1"/>
  <c r="F104" i="3"/>
  <c r="D36" i="7" s="1"/>
  <c r="C105" i="3"/>
  <c r="D105" i="3" s="1"/>
  <c r="C106" i="3"/>
  <c r="D106" i="3" s="1"/>
  <c r="E106" i="3" s="1"/>
  <c r="C107" i="3"/>
  <c r="D107" i="3" s="1"/>
  <c r="C108" i="3"/>
  <c r="D108" i="3" s="1"/>
  <c r="C109" i="3"/>
  <c r="D109" i="3"/>
  <c r="E109" i="3" s="1"/>
  <c r="F109" i="3"/>
  <c r="C110" i="3"/>
  <c r="D110" i="3" s="1"/>
  <c r="C111" i="3"/>
  <c r="D111" i="3"/>
  <c r="E111" i="3"/>
  <c r="F111" i="3"/>
  <c r="C112" i="3"/>
  <c r="D112" i="3" s="1"/>
  <c r="E112" i="3" s="1"/>
  <c r="F112" i="3"/>
  <c r="C113" i="3"/>
  <c r="D113" i="3" s="1"/>
  <c r="C114" i="3"/>
  <c r="D114" i="3"/>
  <c r="E114" i="3" s="1"/>
  <c r="C115" i="3"/>
  <c r="D115" i="3"/>
  <c r="F115" i="3" s="1"/>
  <c r="D93" i="6" s="1"/>
  <c r="E115" i="3"/>
  <c r="B116" i="3"/>
  <c r="C94" i="6" s="1"/>
  <c r="C127" i="3"/>
  <c r="D127" i="3" s="1"/>
  <c r="E127" i="3" s="1"/>
  <c r="F127" i="3"/>
  <c r="C129" i="3"/>
  <c r="D129" i="3" s="1"/>
  <c r="E129" i="3" s="1"/>
  <c r="F129" i="3"/>
  <c r="C130" i="3"/>
  <c r="D130" i="3" s="1"/>
  <c r="E130" i="3" s="1"/>
  <c r="F130" i="3"/>
  <c r="B135" i="3"/>
  <c r="B20" i="3" s="1"/>
  <c r="C136" i="3"/>
  <c r="D136" i="3" s="1"/>
  <c r="C137" i="3"/>
  <c r="C138" i="3"/>
  <c r="D138" i="3"/>
  <c r="F139" i="3"/>
  <c r="C140" i="3"/>
  <c r="D140" i="3" s="1"/>
  <c r="F142" i="3"/>
  <c r="F143" i="3"/>
  <c r="F144" i="3"/>
  <c r="F145" i="3"/>
  <c r="F146" i="3"/>
  <c r="F147" i="3"/>
  <c r="C149" i="3"/>
  <c r="C22" i="3" s="1"/>
  <c r="F150" i="3"/>
  <c r="F151" i="3"/>
  <c r="C152" i="3"/>
  <c r="D152" i="3" s="1"/>
  <c r="F152" i="3" s="1"/>
  <c r="F153" i="3"/>
  <c r="F154" i="3"/>
  <c r="B157" i="3"/>
  <c r="C157" i="3"/>
  <c r="D157" i="3"/>
  <c r="E157" i="3"/>
  <c r="F157" i="3"/>
  <c r="B158" i="3"/>
  <c r="C158" i="3"/>
  <c r="E158" i="3"/>
  <c r="B160" i="3"/>
  <c r="C160" i="3"/>
  <c r="D160" i="3"/>
  <c r="E160" i="3"/>
  <c r="F160" i="3"/>
  <c r="B161" i="3"/>
  <c r="C161" i="3"/>
  <c r="E161" i="3"/>
  <c r="B163" i="3"/>
  <c r="F140" i="3" l="1"/>
  <c r="E140" i="3"/>
  <c r="F138" i="3"/>
  <c r="B7" i="17" s="1"/>
  <c r="E138" i="3"/>
  <c r="B6" i="12"/>
  <c r="G6" i="11"/>
  <c r="B5" i="12"/>
  <c r="E4" i="11"/>
  <c r="F107" i="3"/>
  <c r="D85" i="6" s="1"/>
  <c r="E107" i="3"/>
  <c r="D82" i="6"/>
  <c r="N17" i="17"/>
  <c r="S17" i="17"/>
  <c r="K17" i="17"/>
  <c r="S16" i="17"/>
  <c r="K16" i="17"/>
  <c r="J15" i="17"/>
  <c r="Q17" i="17"/>
  <c r="Q16" i="17"/>
  <c r="P17" i="17"/>
  <c r="R17" i="17"/>
  <c r="J16" i="17"/>
  <c r="P16" i="17"/>
  <c r="O17" i="17"/>
  <c r="R16" i="17"/>
  <c r="J17" i="17"/>
  <c r="N16" i="17"/>
  <c r="O16" i="17"/>
  <c r="M17" i="17"/>
  <c r="M16" i="17"/>
  <c r="L16" i="17"/>
  <c r="L17" i="17"/>
  <c r="C83" i="3"/>
  <c r="C69" i="3"/>
  <c r="F136" i="3"/>
  <c r="B6" i="17" s="1"/>
  <c r="E136" i="3"/>
  <c r="B8" i="17"/>
  <c r="B71" i="3"/>
  <c r="D58" i="6"/>
  <c r="D57" i="6"/>
  <c r="D54" i="6"/>
  <c r="D53" i="6"/>
  <c r="C36" i="3"/>
  <c r="C49" i="3"/>
  <c r="C51" i="3" s="1"/>
  <c r="F50" i="3"/>
  <c r="B51" i="3"/>
  <c r="B59" i="3" s="1"/>
  <c r="C91" i="3"/>
  <c r="B118" i="3"/>
  <c r="C116" i="3"/>
  <c r="B23" i="3"/>
  <c r="E82" i="6"/>
  <c r="F82" i="6" s="1"/>
  <c r="G82" i="6" s="1"/>
  <c r="H82" i="6" s="1"/>
  <c r="E77" i="6"/>
  <c r="F77" i="6" s="1"/>
  <c r="G77" i="6" s="1"/>
  <c r="H77" i="6" s="1"/>
  <c r="E73" i="6"/>
  <c r="F73" i="6" s="1"/>
  <c r="G73" i="6" s="1"/>
  <c r="D137" i="3"/>
  <c r="E85" i="6"/>
  <c r="F85" i="6" s="1"/>
  <c r="G85" i="6" s="1"/>
  <c r="H85" i="6" s="1"/>
  <c r="E71" i="6"/>
  <c r="E64" i="6"/>
  <c r="F64" i="6" s="1"/>
  <c r="G64" i="6" s="1"/>
  <c r="E63" i="6"/>
  <c r="C96" i="6"/>
  <c r="E93" i="6"/>
  <c r="F93" i="6" s="1"/>
  <c r="G93" i="6" s="1"/>
  <c r="H93" i="6" s="1"/>
  <c r="E90" i="6"/>
  <c r="F90" i="6" s="1"/>
  <c r="G90" i="6" s="1"/>
  <c r="H90" i="6" s="1"/>
  <c r="E89" i="6"/>
  <c r="F89" i="6" s="1"/>
  <c r="G89" i="6" s="1"/>
  <c r="H89" i="6" s="1"/>
  <c r="E87" i="6"/>
  <c r="F87" i="6" s="1"/>
  <c r="G87" i="6" s="1"/>
  <c r="H87" i="6" s="1"/>
  <c r="E81" i="6"/>
  <c r="F81" i="6" s="1"/>
  <c r="G81" i="6" s="1"/>
  <c r="H81" i="6" s="1"/>
  <c r="E79" i="6"/>
  <c r="F79" i="6" s="1"/>
  <c r="G79" i="6" s="1"/>
  <c r="H79" i="6" s="1"/>
  <c r="E74" i="6"/>
  <c r="F74" i="6" s="1"/>
  <c r="E66" i="6"/>
  <c r="F66" i="6" s="1"/>
  <c r="G66" i="6" s="1"/>
  <c r="H66" i="6" s="1"/>
  <c r="E59" i="6"/>
  <c r="F59" i="6" s="1"/>
  <c r="G59" i="6" s="1"/>
  <c r="H59" i="6" s="1"/>
  <c r="D32" i="3"/>
  <c r="E32" i="3" s="1"/>
  <c r="D28" i="3"/>
  <c r="C30" i="3"/>
  <c r="B23" i="4"/>
  <c r="B25" i="4" s="1"/>
  <c r="N116" i="4"/>
  <c r="B24" i="4"/>
  <c r="B13" i="4"/>
  <c r="B9" i="4"/>
  <c r="B5" i="4"/>
  <c r="N114" i="4"/>
  <c r="N115" i="4" s="1"/>
  <c r="C9" i="3"/>
  <c r="B164" i="3"/>
  <c r="B165" i="3" s="1"/>
  <c r="C135" i="3"/>
  <c r="C16" i="3"/>
  <c r="B156" i="3"/>
  <c r="B159" i="3" s="1"/>
  <c r="B162" i="3" s="1"/>
  <c r="B124" i="3" s="1"/>
  <c r="F30" i="3"/>
  <c r="E108" i="3"/>
  <c r="F108" i="3"/>
  <c r="E78" i="3"/>
  <c r="F78" i="3"/>
  <c r="D56" i="6" s="1"/>
  <c r="E56" i="6" s="1"/>
  <c r="F56" i="6" s="1"/>
  <c r="G56" i="6" s="1"/>
  <c r="H56" i="6" s="1"/>
  <c r="E94" i="3"/>
  <c r="F94" i="3"/>
  <c r="D72" i="6" s="1"/>
  <c r="E72" i="6" s="1"/>
  <c r="F72" i="6" s="1"/>
  <c r="G72" i="6" s="1"/>
  <c r="H72" i="6" s="1"/>
  <c r="E110" i="3"/>
  <c r="F110" i="3"/>
  <c r="D88" i="6" s="1"/>
  <c r="E88" i="6" s="1"/>
  <c r="F88" i="6" s="1"/>
  <c r="G88" i="6" s="1"/>
  <c r="H88" i="6" s="1"/>
  <c r="D116" i="3"/>
  <c r="F116" i="3" s="1"/>
  <c r="D94" i="6" s="1"/>
  <c r="C59" i="3"/>
  <c r="C61" i="3"/>
  <c r="C63" i="3"/>
  <c r="E105" i="3"/>
  <c r="F105" i="3"/>
  <c r="D83" i="6" s="1"/>
  <c r="E83" i="6" s="1"/>
  <c r="F83" i="6" s="1"/>
  <c r="G83" i="6" s="1"/>
  <c r="H83" i="6" s="1"/>
  <c r="F90" i="3"/>
  <c r="D68" i="6" s="1"/>
  <c r="E68" i="6" s="1"/>
  <c r="F68" i="6" s="1"/>
  <c r="G68" i="6" s="1"/>
  <c r="H68" i="6" s="1"/>
  <c r="E90" i="3"/>
  <c r="E89" i="3"/>
  <c r="F89" i="3"/>
  <c r="D67" i="6" s="1"/>
  <c r="E67" i="6" s="1"/>
  <c r="F67" i="6" s="1"/>
  <c r="G67" i="6" s="1"/>
  <c r="H67" i="6" s="1"/>
  <c r="E45" i="3"/>
  <c r="F45" i="3"/>
  <c r="E15" i="3"/>
  <c r="F15" i="3"/>
  <c r="D16" i="3"/>
  <c r="F16" i="3" s="1"/>
  <c r="E87" i="3"/>
  <c r="F87" i="3"/>
  <c r="D65" i="6" s="1"/>
  <c r="E65" i="6" s="1"/>
  <c r="F65" i="6" s="1"/>
  <c r="E102" i="3"/>
  <c r="F102" i="3"/>
  <c r="D80" i="6" s="1"/>
  <c r="E80" i="6" s="1"/>
  <c r="F80" i="6" s="1"/>
  <c r="G80" i="6" s="1"/>
  <c r="H80" i="6" s="1"/>
  <c r="E65" i="3"/>
  <c r="F65" i="3"/>
  <c r="E70" i="3"/>
  <c r="E54" i="3"/>
  <c r="F54" i="3"/>
  <c r="D91" i="3"/>
  <c r="F91" i="3" s="1"/>
  <c r="D69" i="6" s="1"/>
  <c r="E113" i="3"/>
  <c r="F113" i="3"/>
  <c r="D91" i="6" s="1"/>
  <c r="E91" i="6" s="1"/>
  <c r="F91" i="6" s="1"/>
  <c r="G91" i="6" s="1"/>
  <c r="H91" i="6" s="1"/>
  <c r="E100" i="3"/>
  <c r="F100" i="3"/>
  <c r="D78" i="6" s="1"/>
  <c r="E78" i="6" s="1"/>
  <c r="F78" i="6" s="1"/>
  <c r="G78" i="6" s="1"/>
  <c r="H78" i="6" s="1"/>
  <c r="E39" i="3"/>
  <c r="F39" i="3"/>
  <c r="D68" i="3"/>
  <c r="D48" i="3"/>
  <c r="E82" i="3"/>
  <c r="F82" i="3"/>
  <c r="D60" i="6" s="1"/>
  <c r="E60" i="6" s="1"/>
  <c r="F60" i="6" s="1"/>
  <c r="G60" i="6" s="1"/>
  <c r="H60" i="6" s="1"/>
  <c r="E60" i="3"/>
  <c r="F60" i="3"/>
  <c r="E8" i="3"/>
  <c r="F8" i="3"/>
  <c r="E97" i="3"/>
  <c r="F97" i="3"/>
  <c r="D75" i="6" s="1"/>
  <c r="E75" i="6" s="1"/>
  <c r="F75" i="6" s="1"/>
  <c r="G75" i="6" s="1"/>
  <c r="H75" i="6" s="1"/>
  <c r="E7" i="3"/>
  <c r="F7" i="3"/>
  <c r="D9" i="3"/>
  <c r="F9" i="3" s="1"/>
  <c r="D135" i="3"/>
  <c r="D11" i="3"/>
  <c r="F11" i="3" s="1"/>
  <c r="E6" i="3"/>
  <c r="F6" i="3"/>
  <c r="C56" i="3"/>
  <c r="C57" i="3" s="1"/>
  <c r="D36" i="3"/>
  <c r="F36" i="3" s="1"/>
  <c r="F114" i="3"/>
  <c r="D92" i="6" s="1"/>
  <c r="E92" i="6" s="1"/>
  <c r="F92" i="6" s="1"/>
  <c r="G92" i="6" s="1"/>
  <c r="H92" i="6" s="1"/>
  <c r="F106" i="3"/>
  <c r="D84" i="6" s="1"/>
  <c r="E84" i="6" s="1"/>
  <c r="F84" i="6" s="1"/>
  <c r="G84" i="6" s="1"/>
  <c r="H84" i="6" s="1"/>
  <c r="F98" i="3"/>
  <c r="D76" i="6" s="1"/>
  <c r="E76" i="6" s="1"/>
  <c r="F76" i="6" s="1"/>
  <c r="G76" i="6" s="1"/>
  <c r="H76" i="6" s="1"/>
  <c r="F62" i="3"/>
  <c r="F55" i="3"/>
  <c r="F46" i="3"/>
  <c r="F28" i="3"/>
  <c r="D70" i="3"/>
  <c r="F70" i="3" s="1"/>
  <c r="E46" i="3"/>
  <c r="E50" i="3" s="1"/>
  <c r="E28" i="3"/>
  <c r="C68" i="3"/>
  <c r="C71" i="3" s="1"/>
  <c r="C42" i="3"/>
  <c r="D149" i="3"/>
  <c r="D77" i="3"/>
  <c r="E85" i="3"/>
  <c r="E93" i="3"/>
  <c r="D40" i="3"/>
  <c r="F137" i="3" l="1"/>
  <c r="E137" i="3"/>
  <c r="B9" i="17"/>
  <c r="B21" i="7"/>
  <c r="M118" i="6"/>
  <c r="D37" i="12"/>
  <c r="L118" i="6"/>
  <c r="C37" i="12"/>
  <c r="K118" i="6"/>
  <c r="B37" i="12"/>
  <c r="J118" i="6"/>
  <c r="I118" i="6"/>
  <c r="M111" i="6"/>
  <c r="L111" i="6"/>
  <c r="K111" i="6"/>
  <c r="J111" i="6"/>
  <c r="I111" i="6"/>
  <c r="K38" i="12"/>
  <c r="K37" i="12"/>
  <c r="K36" i="12"/>
  <c r="J38" i="12"/>
  <c r="J37" i="12"/>
  <c r="J36" i="12"/>
  <c r="I38" i="12"/>
  <c r="I37" i="12"/>
  <c r="I36" i="12"/>
  <c r="H38" i="12"/>
  <c r="F37" i="12"/>
  <c r="H37" i="12"/>
  <c r="H36" i="12"/>
  <c r="G38" i="12"/>
  <c r="G37" i="12"/>
  <c r="G36" i="12"/>
  <c r="E37" i="12"/>
  <c r="B13" i="3"/>
  <c r="F13" i="3" s="1"/>
  <c r="D106" i="6" s="1"/>
  <c r="B56" i="3"/>
  <c r="B57" i="3" s="1"/>
  <c r="B63" i="3"/>
  <c r="C47" i="6" s="1"/>
  <c r="B61" i="3"/>
  <c r="G16" i="3"/>
  <c r="G11" i="3"/>
  <c r="G12" i="3"/>
  <c r="G6" i="3"/>
  <c r="B24" i="3"/>
  <c r="G9" i="3"/>
  <c r="G7" i="3"/>
  <c r="H73" i="6"/>
  <c r="E58" i="6"/>
  <c r="F58" i="6" s="1"/>
  <c r="G58" i="6" s="1"/>
  <c r="H58" i="6" s="1"/>
  <c r="E57" i="6"/>
  <c r="F57" i="6" s="1"/>
  <c r="G57" i="6" s="1"/>
  <c r="H57" i="6" s="1"/>
  <c r="E54" i="6"/>
  <c r="F54" i="6" s="1"/>
  <c r="G54" i="6" s="1"/>
  <c r="H54" i="6" s="1"/>
  <c r="E53" i="6"/>
  <c r="H64" i="6"/>
  <c r="D83" i="3"/>
  <c r="B66" i="3"/>
  <c r="B120" i="3" s="1"/>
  <c r="B126" i="3" s="1"/>
  <c r="D42" i="3"/>
  <c r="F42" i="3" s="1"/>
  <c r="G50" i="3" s="1"/>
  <c r="D35" i="7"/>
  <c r="D86" i="6"/>
  <c r="E86" i="6" s="1"/>
  <c r="F86" i="6" s="1"/>
  <c r="G86" i="6" s="1"/>
  <c r="H86" i="6" s="1"/>
  <c r="F71" i="6"/>
  <c r="G71" i="6" s="1"/>
  <c r="E94" i="6"/>
  <c r="G65" i="6"/>
  <c r="H65" i="6" s="1"/>
  <c r="E69" i="6"/>
  <c r="F63" i="6"/>
  <c r="G63" i="6" s="1"/>
  <c r="G74" i="6"/>
  <c r="H74" i="6" s="1"/>
  <c r="F53" i="6"/>
  <c r="D29" i="3"/>
  <c r="F29" i="3" s="1"/>
  <c r="D30" i="3"/>
  <c r="D5" i="4"/>
  <c r="B10" i="4"/>
  <c r="B11" i="4"/>
  <c r="C20" i="3"/>
  <c r="C23" i="3" s="1"/>
  <c r="C24" i="3" s="1"/>
  <c r="C163" i="3"/>
  <c r="C164" i="3"/>
  <c r="C165" i="3" s="1"/>
  <c r="C156" i="3"/>
  <c r="C159" i="3" s="1"/>
  <c r="C162" i="3" s="1"/>
  <c r="C124" i="3" s="1"/>
  <c r="C66" i="3"/>
  <c r="C117" i="3" s="1"/>
  <c r="C118" i="3" s="1"/>
  <c r="F48" i="3"/>
  <c r="E36" i="3"/>
  <c r="E29" i="3"/>
  <c r="E30" i="3" s="1"/>
  <c r="F68" i="3"/>
  <c r="F83" i="3"/>
  <c r="D61" i="6" s="1"/>
  <c r="D163" i="3"/>
  <c r="F163" i="3" s="1"/>
  <c r="D164" i="3"/>
  <c r="F135" i="3"/>
  <c r="D156" i="3"/>
  <c r="F156" i="3" s="1"/>
  <c r="D20" i="3"/>
  <c r="E9" i="3"/>
  <c r="E135" i="3"/>
  <c r="D49" i="3"/>
  <c r="F49" i="3" s="1"/>
  <c r="E40" i="3"/>
  <c r="F40" i="3"/>
  <c r="D69" i="3"/>
  <c r="F69" i="3" s="1"/>
  <c r="E116" i="3"/>
  <c r="E16" i="3"/>
  <c r="E91" i="3"/>
  <c r="E77" i="3"/>
  <c r="E83" i="3" s="1"/>
  <c r="F77" i="3"/>
  <c r="D55" i="6" s="1"/>
  <c r="E55" i="6" s="1"/>
  <c r="E68" i="3"/>
  <c r="E48" i="3"/>
  <c r="D158" i="3"/>
  <c r="F158" i="3" s="1"/>
  <c r="D22" i="3"/>
  <c r="F22" i="3" s="1"/>
  <c r="F149" i="3"/>
  <c r="D161" i="3"/>
  <c r="F161" i="3" s="1"/>
  <c r="E11" i="3"/>
  <c r="B5" i="17" l="1"/>
  <c r="J8" i="17"/>
  <c r="C13" i="3"/>
  <c r="D13" i="3" s="1"/>
  <c r="E13" i="3" s="1"/>
  <c r="B123" i="3"/>
  <c r="B128" i="3"/>
  <c r="B125" i="3"/>
  <c r="G49" i="3"/>
  <c r="G48" i="3"/>
  <c r="D21" i="7"/>
  <c r="S9" i="17"/>
  <c r="N8" i="17"/>
  <c r="B4" i="17"/>
  <c r="Q8" i="17"/>
  <c r="O8" i="17"/>
  <c r="M9" i="17"/>
  <c r="L8" i="17"/>
  <c r="O9" i="17"/>
  <c r="P9" i="17"/>
  <c r="N9" i="17"/>
  <c r="J7" i="17"/>
  <c r="J5" i="17"/>
  <c r="Q9" i="17"/>
  <c r="R8" i="17"/>
  <c r="M8" i="17"/>
  <c r="K9" i="17"/>
  <c r="S8" i="17"/>
  <c r="P8" i="17"/>
  <c r="R9" i="17"/>
  <c r="L9" i="17"/>
  <c r="K8" i="17"/>
  <c r="J9" i="17"/>
  <c r="F94" i="6"/>
  <c r="E61" i="6"/>
  <c r="F55" i="6"/>
  <c r="G55" i="6" s="1"/>
  <c r="H55" i="6" s="1"/>
  <c r="G94" i="6"/>
  <c r="H71" i="6"/>
  <c r="G69" i="6"/>
  <c r="H63" i="6"/>
  <c r="G53" i="6"/>
  <c r="F69" i="6"/>
  <c r="D159" i="3"/>
  <c r="C120" i="3"/>
  <c r="C126" i="3" s="1"/>
  <c r="C128" i="3"/>
  <c r="C125" i="3"/>
  <c r="C123" i="3"/>
  <c r="E49" i="3"/>
  <c r="E69" i="3"/>
  <c r="E71" i="3" s="1"/>
  <c r="E156" i="3"/>
  <c r="E159" i="3" s="1"/>
  <c r="E162" i="3" s="1"/>
  <c r="E124" i="3" s="1"/>
  <c r="E163" i="3"/>
  <c r="E20" i="3"/>
  <c r="E23" i="3" s="1"/>
  <c r="E164" i="3"/>
  <c r="F159" i="3"/>
  <c r="D71" i="3"/>
  <c r="F71" i="3" s="1"/>
  <c r="E42" i="3"/>
  <c r="E51" i="3"/>
  <c r="E56" i="3"/>
  <c r="E57" i="3" s="1"/>
  <c r="F164" i="3"/>
  <c r="D165" i="3"/>
  <c r="F165" i="3" s="1"/>
  <c r="D51" i="3"/>
  <c r="F20" i="3"/>
  <c r="D23" i="3"/>
  <c r="F61" i="6" l="1"/>
  <c r="H94" i="6"/>
  <c r="H69" i="6"/>
  <c r="H53" i="6"/>
  <c r="G61" i="6"/>
  <c r="D162" i="3"/>
  <c r="F23" i="3"/>
  <c r="D5" i="7" s="1"/>
  <c r="D24" i="3"/>
  <c r="F24" i="3" s="1"/>
  <c r="D63" i="3"/>
  <c r="F63" i="3" s="1"/>
  <c r="D59" i="3"/>
  <c r="F59" i="3" s="1"/>
  <c r="F51" i="3"/>
  <c r="G51" i="3" s="1"/>
  <c r="D61" i="3"/>
  <c r="F61" i="3" s="1"/>
  <c r="G61" i="3" s="1"/>
  <c r="F162" i="3"/>
  <c r="E24" i="3"/>
  <c r="D56" i="3"/>
  <c r="E165" i="3"/>
  <c r="E59" i="3"/>
  <c r="E63" i="3"/>
  <c r="E61" i="3"/>
  <c r="G59" i="3" l="1"/>
  <c r="G63" i="3"/>
  <c r="E66" i="3"/>
  <c r="H61" i="6"/>
  <c r="D124" i="3"/>
  <c r="F124" i="3" s="1"/>
  <c r="F56" i="3"/>
  <c r="D57" i="3"/>
  <c r="E117" i="3" l="1"/>
  <c r="E118" i="3" s="1"/>
  <c r="E120" i="3" s="1"/>
  <c r="F57" i="3"/>
  <c r="G57" i="3" s="1"/>
  <c r="D66" i="3"/>
  <c r="E125" i="3" l="1"/>
  <c r="E123" i="3"/>
  <c r="D117" i="3"/>
  <c r="F66" i="3"/>
  <c r="G116" i="3" l="1"/>
  <c r="G82" i="3"/>
  <c r="G97" i="3"/>
  <c r="G115" i="3"/>
  <c r="G81" i="3"/>
  <c r="G114" i="3"/>
  <c r="G80" i="3"/>
  <c r="G108" i="3"/>
  <c r="G66" i="3"/>
  <c r="G65" i="3"/>
  <c r="G104" i="3"/>
  <c r="G103" i="3"/>
  <c r="G102" i="3"/>
  <c r="G113" i="3"/>
  <c r="G79" i="3"/>
  <c r="G109" i="3"/>
  <c r="G107" i="3"/>
  <c r="G106" i="3"/>
  <c r="G105" i="3"/>
  <c r="G112" i="3"/>
  <c r="G78" i="3"/>
  <c r="G101" i="3"/>
  <c r="G100" i="3"/>
  <c r="G111" i="3"/>
  <c r="G77" i="3"/>
  <c r="G64" i="3"/>
  <c r="G110" i="3"/>
  <c r="G75" i="3"/>
  <c r="G99" i="3"/>
  <c r="G98" i="3"/>
  <c r="G96" i="3"/>
  <c r="G95" i="3"/>
  <c r="G94" i="3"/>
  <c r="G91" i="3"/>
  <c r="G93" i="3"/>
  <c r="G90" i="3"/>
  <c r="G89" i="3"/>
  <c r="G87" i="3"/>
  <c r="G86" i="3"/>
  <c r="G85" i="3"/>
  <c r="G83" i="3"/>
  <c r="G88" i="3"/>
  <c r="G76" i="3"/>
  <c r="F117" i="3"/>
  <c r="D118" i="3"/>
  <c r="D95" i="6" l="1"/>
  <c r="D96" i="6" s="1"/>
  <c r="G117" i="3"/>
  <c r="F118" i="3"/>
  <c r="D120" i="3"/>
  <c r="G118" i="3" l="1"/>
  <c r="G13" i="3"/>
  <c r="D126" i="3"/>
  <c r="D128" i="3"/>
  <c r="F120" i="3"/>
  <c r="G120" i="3" s="1"/>
  <c r="D123" i="3"/>
  <c r="F123" i="3" s="1"/>
  <c r="D125" i="3"/>
  <c r="F125" i="3" s="1"/>
  <c r="F128" i="3" l="1"/>
  <c r="E128" i="3"/>
  <c r="F126" i="3"/>
  <c r="E126" i="3"/>
  <c r="B5" i="13"/>
  <c r="C5" i="13"/>
  <c r="D5" i="13"/>
  <c r="E5" i="13"/>
  <c r="F5" i="13"/>
  <c r="G5" i="13"/>
  <c r="H5" i="13"/>
  <c r="A6" i="13"/>
  <c r="A7" i="13"/>
  <c r="A8" i="13"/>
  <c r="A9" i="13"/>
  <c r="A10" i="13"/>
  <c r="A11" i="13"/>
  <c r="A12" i="13"/>
  <c r="A13" i="13"/>
  <c r="B16" i="13"/>
  <c r="C16" i="13"/>
  <c r="D16" i="13"/>
  <c r="E16" i="13"/>
  <c r="F16" i="13"/>
  <c r="G16" i="13"/>
  <c r="H16" i="13"/>
  <c r="A17" i="13"/>
  <c r="A18" i="13"/>
  <c r="A19" i="13"/>
  <c r="A20" i="13"/>
  <c r="A21" i="13"/>
  <c r="A22" i="13"/>
  <c r="A23" i="13"/>
  <c r="B26" i="13"/>
  <c r="C26" i="13"/>
  <c r="D26" i="13"/>
  <c r="E26" i="13"/>
  <c r="F26" i="13"/>
  <c r="G26" i="13"/>
  <c r="H26" i="13"/>
  <c r="I26" i="13"/>
  <c r="A27" i="13"/>
  <c r="A28" i="13"/>
  <c r="A29" i="13"/>
  <c r="A30" i="13"/>
  <c r="A31" i="13"/>
  <c r="A32" i="13"/>
  <c r="A33" i="13"/>
  <c r="A34" i="13"/>
  <c r="B98" i="8"/>
  <c r="B99" i="8" s="1"/>
  <c r="C9" i="8"/>
  <c r="C10" i="8"/>
  <c r="I31" i="8"/>
  <c r="J31" i="8" s="1"/>
  <c r="L31" i="8"/>
  <c r="I32" i="8"/>
  <c r="J32" i="8"/>
  <c r="L32" i="8"/>
  <c r="M32" i="8" s="1"/>
  <c r="I33" i="8"/>
  <c r="J33" i="8" s="1"/>
  <c r="L33" i="8"/>
  <c r="C34" i="8"/>
  <c r="J72" i="8" s="1"/>
  <c r="F34" i="8"/>
  <c r="F40" i="8" s="1"/>
  <c r="F67" i="8" s="1"/>
  <c r="D35" i="8"/>
  <c r="C73" i="8" s="1"/>
  <c r="G35" i="8"/>
  <c r="G40" i="8" s="1"/>
  <c r="L35" i="8"/>
  <c r="E36" i="8"/>
  <c r="E40" i="8" s="1"/>
  <c r="E67" i="8" s="1"/>
  <c r="H36" i="8"/>
  <c r="E74" i="8" s="1"/>
  <c r="C37" i="8"/>
  <c r="L37" i="8" s="1"/>
  <c r="F37" i="8"/>
  <c r="E75" i="8" s="1"/>
  <c r="D38" i="8"/>
  <c r="J76" i="8" s="1"/>
  <c r="G38" i="8"/>
  <c r="E76" i="8" s="1"/>
  <c r="L38" i="8"/>
  <c r="E39" i="8"/>
  <c r="J77" i="8" s="1"/>
  <c r="H39" i="8"/>
  <c r="I39" i="8"/>
  <c r="J39" i="8" s="1"/>
  <c r="I43" i="8"/>
  <c r="J43" i="8"/>
  <c r="L43" i="8"/>
  <c r="I44" i="8"/>
  <c r="J44" i="8" s="1"/>
  <c r="M44" i="8" s="1"/>
  <c r="L44" i="8"/>
  <c r="I45" i="8"/>
  <c r="J45" i="8" s="1"/>
  <c r="L45" i="8"/>
  <c r="I46" i="8"/>
  <c r="J46" i="8"/>
  <c r="L46" i="8"/>
  <c r="C47" i="8"/>
  <c r="D47" i="8"/>
  <c r="E47" i="8"/>
  <c r="F47" i="8"/>
  <c r="G47" i="8"/>
  <c r="H47" i="8"/>
  <c r="I47" i="8"/>
  <c r="I50" i="8"/>
  <c r="J50" i="8" s="1"/>
  <c r="L50" i="8"/>
  <c r="I51" i="8"/>
  <c r="J51" i="8" s="1"/>
  <c r="L51" i="8"/>
  <c r="I52" i="8"/>
  <c r="J52" i="8" s="1"/>
  <c r="M52" i="8" s="1"/>
  <c r="L52" i="8"/>
  <c r="C53" i="8"/>
  <c r="D53" i="8"/>
  <c r="E53" i="8"/>
  <c r="F53" i="8"/>
  <c r="G53" i="8"/>
  <c r="H53" i="8"/>
  <c r="I56" i="8"/>
  <c r="J56" i="8"/>
  <c r="L56" i="8"/>
  <c r="M56" i="8"/>
  <c r="I57" i="8"/>
  <c r="J57" i="8" s="1"/>
  <c r="M57" i="8" s="1"/>
  <c r="L57" i="8"/>
  <c r="I58" i="8"/>
  <c r="J58" i="8" s="1"/>
  <c r="L58" i="8"/>
  <c r="I59" i="8"/>
  <c r="J59" i="8" s="1"/>
  <c r="L59" i="8"/>
  <c r="I60" i="8"/>
  <c r="J60" i="8"/>
  <c r="M60" i="8" s="1"/>
  <c r="L60" i="8"/>
  <c r="I61" i="8"/>
  <c r="J61" i="8"/>
  <c r="L61" i="8"/>
  <c r="I62" i="8"/>
  <c r="J62" i="8"/>
  <c r="L62" i="8"/>
  <c r="I63" i="8"/>
  <c r="J63" i="8"/>
  <c r="M63" i="8" s="1"/>
  <c r="L63" i="8"/>
  <c r="I64" i="8"/>
  <c r="J64" i="8" s="1"/>
  <c r="L64" i="8"/>
  <c r="C65" i="8"/>
  <c r="D65" i="8"/>
  <c r="E65" i="8"/>
  <c r="F65" i="8"/>
  <c r="G65" i="8"/>
  <c r="H65" i="8"/>
  <c r="B72" i="8"/>
  <c r="C72" i="8"/>
  <c r="D72" i="8"/>
  <c r="I72" i="8" s="1"/>
  <c r="G72" i="8"/>
  <c r="B73" i="8"/>
  <c r="G73" i="8"/>
  <c r="B74" i="8"/>
  <c r="C74" i="8"/>
  <c r="D74" i="8"/>
  <c r="H74" i="8" s="1"/>
  <c r="G74" i="8"/>
  <c r="B75" i="8"/>
  <c r="G75" i="8"/>
  <c r="B76" i="8"/>
  <c r="C76" i="8"/>
  <c r="D76" i="8"/>
  <c r="G76" i="8"/>
  <c r="B77" i="8"/>
  <c r="G77" i="8"/>
  <c r="C39" i="6"/>
  <c r="C37" i="6"/>
  <c r="C35" i="6"/>
  <c r="C33" i="6"/>
  <c r="C32" i="6"/>
  <c r="C34" i="6" s="1"/>
  <c r="C29" i="6"/>
  <c r="C27" i="6"/>
  <c r="C25" i="6"/>
  <c r="C23" i="6"/>
  <c r="C22" i="6"/>
  <c r="C19" i="6"/>
  <c r="C17" i="6"/>
  <c r="C15" i="6"/>
  <c r="C13" i="6"/>
  <c r="C12" i="6"/>
  <c r="B19" i="12"/>
  <c r="B22" i="12"/>
  <c r="L37" i="12"/>
  <c r="M37" i="12" s="1"/>
  <c r="B45" i="12"/>
  <c r="C45" i="12"/>
  <c r="C56" i="12" s="1"/>
  <c r="D45" i="12"/>
  <c r="D56" i="12" s="1"/>
  <c r="E45" i="12"/>
  <c r="E56" i="12" s="1"/>
  <c r="F45" i="12"/>
  <c r="F56" i="12" s="1"/>
  <c r="G45" i="12"/>
  <c r="G56" i="12" s="1"/>
  <c r="H45" i="12"/>
  <c r="H56" i="12" s="1"/>
  <c r="I45" i="12"/>
  <c r="I56" i="12" s="1"/>
  <c r="J45" i="12"/>
  <c r="J56" i="12" s="1"/>
  <c r="K45" i="12"/>
  <c r="K56" i="12" s="1"/>
  <c r="C76" i="12"/>
  <c r="D76" i="12"/>
  <c r="F76" i="12"/>
  <c r="G76" i="12"/>
  <c r="H76" i="12"/>
  <c r="I76" i="12"/>
  <c r="J76" i="12"/>
  <c r="K76" i="12"/>
  <c r="L76" i="12"/>
  <c r="N76" i="12"/>
  <c r="C24" i="6" l="1"/>
  <c r="C14" i="6"/>
  <c r="C26" i="6"/>
  <c r="C30" i="6"/>
  <c r="C36" i="6"/>
  <c r="C40" i="6"/>
  <c r="C18" i="6"/>
  <c r="C20" i="6"/>
  <c r="C28" i="6"/>
  <c r="C38" i="6"/>
  <c r="I74" i="8"/>
  <c r="C42" i="6"/>
  <c r="M61" i="8"/>
  <c r="I37" i="8"/>
  <c r="J37" i="8" s="1"/>
  <c r="M37" i="8" s="1"/>
  <c r="F74" i="8"/>
  <c r="L36" i="8"/>
  <c r="M46" i="8"/>
  <c r="G67" i="8"/>
  <c r="H72" i="8"/>
  <c r="M58" i="8"/>
  <c r="M65" i="8" s="1"/>
  <c r="L34" i="8"/>
  <c r="M59" i="8"/>
  <c r="F72" i="8"/>
  <c r="M45" i="8"/>
  <c r="E72" i="8"/>
  <c r="I34" i="8"/>
  <c r="J34" i="8" s="1"/>
  <c r="I65" i="8"/>
  <c r="M43" i="8"/>
  <c r="M47" i="8" s="1"/>
  <c r="M33" i="8"/>
  <c r="I53" i="8"/>
  <c r="H76" i="8"/>
  <c r="J75" i="8"/>
  <c r="C40" i="8"/>
  <c r="C67" i="8" s="1"/>
  <c r="M64" i="8"/>
  <c r="L39" i="8"/>
  <c r="M39" i="8" s="1"/>
  <c r="I36" i="8"/>
  <c r="J36" i="8" s="1"/>
  <c r="M36" i="8" s="1"/>
  <c r="F75" i="8"/>
  <c r="H40" i="8"/>
  <c r="H67" i="8" s="1"/>
  <c r="D75" i="8"/>
  <c r="C75" i="8"/>
  <c r="M62" i="8"/>
  <c r="M50" i="8"/>
  <c r="J74" i="8"/>
  <c r="B114" i="8"/>
  <c r="E114" i="8" s="1"/>
  <c r="J47" i="8"/>
  <c r="M51" i="8"/>
  <c r="J53" i="8"/>
  <c r="J65" i="8"/>
  <c r="I40" i="8"/>
  <c r="I67" i="8" s="1"/>
  <c r="B82" i="8"/>
  <c r="J40" i="8"/>
  <c r="J67" i="8" s="1"/>
  <c r="C90" i="8" s="1"/>
  <c r="M31" i="8"/>
  <c r="I35" i="8"/>
  <c r="J35" i="8" s="1"/>
  <c r="M35" i="8" s="1"/>
  <c r="I38" i="8"/>
  <c r="J38" i="8" s="1"/>
  <c r="M38" i="8" s="1"/>
  <c r="D40" i="8"/>
  <c r="D67" i="8" s="1"/>
  <c r="J73" i="8"/>
  <c r="D77" i="8"/>
  <c r="F73" i="8"/>
  <c r="E73" i="8"/>
  <c r="I76" i="8"/>
  <c r="D73" i="8"/>
  <c r="E77" i="8"/>
  <c r="C77" i="8"/>
  <c r="F77" i="8"/>
  <c r="F76" i="8"/>
  <c r="L56" i="12"/>
  <c r="M45" i="12"/>
  <c r="B56" i="12"/>
  <c r="J30" i="17"/>
  <c r="H56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I5" i="16"/>
  <c r="G4" i="16"/>
  <c r="D52" i="10"/>
  <c r="D44" i="10"/>
  <c r="D43" i="10"/>
  <c r="D42" i="10"/>
  <c r="D41" i="10"/>
  <c r="D37" i="10"/>
  <c r="D36" i="10"/>
  <c r="D35" i="10"/>
  <c r="D34" i="10"/>
  <c r="D33" i="10"/>
  <c r="D32" i="10"/>
  <c r="D28" i="10"/>
  <c r="D27" i="10"/>
  <c r="D26" i="10"/>
  <c r="D25" i="10"/>
  <c r="D24" i="10"/>
  <c r="D23" i="10"/>
  <c r="D19" i="10"/>
  <c r="D18" i="10"/>
  <c r="D17" i="10"/>
  <c r="D16" i="10"/>
  <c r="D15" i="10"/>
  <c r="D14" i="10"/>
  <c r="D10" i="10"/>
  <c r="D9" i="10"/>
  <c r="D8" i="10"/>
  <c r="D7" i="10"/>
  <c r="D6" i="10"/>
  <c r="D5" i="10"/>
  <c r="I53" i="9"/>
  <c r="G53" i="9"/>
  <c r="F53" i="9"/>
  <c r="F54" i="9" s="1"/>
  <c r="K52" i="9"/>
  <c r="H52" i="9"/>
  <c r="K51" i="9"/>
  <c r="H51" i="9"/>
  <c r="K50" i="9"/>
  <c r="H50" i="9"/>
  <c r="K49" i="9"/>
  <c r="H49" i="9"/>
  <c r="K48" i="9"/>
  <c r="H48" i="9"/>
  <c r="K47" i="9"/>
  <c r="H47" i="9"/>
  <c r="K46" i="9"/>
  <c r="H46" i="9"/>
  <c r="K45" i="9"/>
  <c r="H45" i="9"/>
  <c r="K44" i="9"/>
  <c r="H44" i="9"/>
  <c r="K43" i="9"/>
  <c r="H43" i="9"/>
  <c r="K42" i="9"/>
  <c r="H42" i="9"/>
  <c r="K41" i="9"/>
  <c r="H41" i="9"/>
  <c r="I36" i="9"/>
  <c r="G36" i="9"/>
  <c r="F36" i="9"/>
  <c r="F37" i="9" s="1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9"/>
  <c r="H25" i="9"/>
  <c r="K24" i="9"/>
  <c r="H24" i="9"/>
  <c r="I19" i="9"/>
  <c r="G19" i="9"/>
  <c r="F19" i="9"/>
  <c r="F20" i="9" s="1"/>
  <c r="K18" i="9"/>
  <c r="H18" i="9"/>
  <c r="K17" i="9"/>
  <c r="H17" i="9"/>
  <c r="S16" i="9"/>
  <c r="R16" i="9"/>
  <c r="R27" i="9" s="1"/>
  <c r="Q16" i="9"/>
  <c r="K16" i="9"/>
  <c r="H16" i="9"/>
  <c r="U15" i="9"/>
  <c r="T15" i="9"/>
  <c r="K15" i="9"/>
  <c r="H15" i="9"/>
  <c r="U14" i="9"/>
  <c r="T14" i="9"/>
  <c r="K14" i="9"/>
  <c r="H14" i="9"/>
  <c r="U13" i="9"/>
  <c r="T13" i="9"/>
  <c r="K13" i="9"/>
  <c r="H13" i="9"/>
  <c r="K12" i="9"/>
  <c r="H12" i="9"/>
  <c r="U11" i="9"/>
  <c r="T11" i="9"/>
  <c r="K11" i="9"/>
  <c r="H11" i="9"/>
  <c r="U10" i="9"/>
  <c r="T10" i="9"/>
  <c r="K10" i="9"/>
  <c r="H10" i="9"/>
  <c r="U9" i="9"/>
  <c r="T9" i="9"/>
  <c r="K9" i="9"/>
  <c r="H9" i="9"/>
  <c r="K8" i="9"/>
  <c r="H8" i="9"/>
  <c r="U7" i="9"/>
  <c r="T7" i="9"/>
  <c r="K7" i="9"/>
  <c r="H7" i="9"/>
  <c r="U6" i="9"/>
  <c r="T6" i="9"/>
  <c r="U5" i="9"/>
  <c r="T5" i="9"/>
  <c r="H3" i="9"/>
  <c r="G3" i="9"/>
  <c r="F3" i="9"/>
  <c r="E3" i="9"/>
  <c r="I6" i="6"/>
  <c r="H5" i="6"/>
  <c r="I5" i="6" s="1"/>
  <c r="D30" i="1"/>
  <c r="D33" i="6"/>
  <c r="E33" i="6" s="1"/>
  <c r="F33" i="6" s="1"/>
  <c r="G33" i="6" s="1"/>
  <c r="D32" i="1"/>
  <c r="B8" i="12"/>
  <c r="F30" i="1"/>
  <c r="E30" i="1"/>
  <c r="B29" i="1"/>
  <c r="B12" i="1"/>
  <c r="B11" i="1"/>
  <c r="B10" i="1"/>
  <c r="B9" i="1"/>
  <c r="C8" i="1"/>
  <c r="B7" i="1"/>
  <c r="B6" i="1"/>
  <c r="B5" i="1"/>
  <c r="Q27" i="9" l="1"/>
  <c r="S27" i="9"/>
  <c r="C16" i="6"/>
  <c r="C43" i="6"/>
  <c r="J6" i="6"/>
  <c r="K6" i="6" s="1"/>
  <c r="L6" i="6" s="1"/>
  <c r="M6" i="6" s="1"/>
  <c r="I66" i="6"/>
  <c r="J66" i="6" s="1"/>
  <c r="K66" i="6" s="1"/>
  <c r="L66" i="6" s="1"/>
  <c r="M66" i="6" s="1"/>
  <c r="I59" i="6"/>
  <c r="J59" i="6" s="1"/>
  <c r="K59" i="6" s="1"/>
  <c r="L59" i="6" s="1"/>
  <c r="M59" i="6" s="1"/>
  <c r="I56" i="6"/>
  <c r="J56" i="6" s="1"/>
  <c r="K56" i="6" s="1"/>
  <c r="L56" i="6" s="1"/>
  <c r="M56" i="6" s="1"/>
  <c r="I72" i="6"/>
  <c r="J72" i="6" s="1"/>
  <c r="K72" i="6" s="1"/>
  <c r="L72" i="6" s="1"/>
  <c r="M72" i="6" s="1"/>
  <c r="I88" i="6"/>
  <c r="I78" i="6"/>
  <c r="I75" i="6"/>
  <c r="I84" i="6"/>
  <c r="I82" i="6"/>
  <c r="I85" i="6"/>
  <c r="I93" i="6"/>
  <c r="I90" i="6"/>
  <c r="I81" i="6"/>
  <c r="I83" i="6"/>
  <c r="I68" i="6"/>
  <c r="I67" i="6"/>
  <c r="I80" i="6"/>
  <c r="I91" i="6"/>
  <c r="I60" i="6"/>
  <c r="I92" i="6"/>
  <c r="I76" i="6"/>
  <c r="I77" i="6"/>
  <c r="I89" i="6"/>
  <c r="I87" i="6"/>
  <c r="I79" i="6"/>
  <c r="J79" i="6" s="1"/>
  <c r="K79" i="6" s="1"/>
  <c r="L79" i="6" s="1"/>
  <c r="M79" i="6" s="1"/>
  <c r="I54" i="6"/>
  <c r="I73" i="6"/>
  <c r="I58" i="6"/>
  <c r="I57" i="6"/>
  <c r="I64" i="6"/>
  <c r="I86" i="6"/>
  <c r="I65" i="6"/>
  <c r="I74" i="6"/>
  <c r="I55" i="6"/>
  <c r="I71" i="6"/>
  <c r="I63" i="6"/>
  <c r="I53" i="6"/>
  <c r="H33" i="6"/>
  <c r="I33" i="6" s="1"/>
  <c r="B107" i="8"/>
  <c r="C107" i="8"/>
  <c r="F107" i="8" s="1"/>
  <c r="B105" i="8"/>
  <c r="C105" i="8"/>
  <c r="F105" i="8" s="1"/>
  <c r="H36" i="9"/>
  <c r="B11" i="12"/>
  <c r="C35" i="14" s="1"/>
  <c r="D11" i="10"/>
  <c r="H75" i="8"/>
  <c r="I75" i="8"/>
  <c r="C46" i="6"/>
  <c r="C45" i="6"/>
  <c r="D49" i="6"/>
  <c r="M34" i="8"/>
  <c r="B84" i="8"/>
  <c r="B83" i="8"/>
  <c r="D45" i="10"/>
  <c r="F82" i="8"/>
  <c r="E82" i="8"/>
  <c r="E84" i="8"/>
  <c r="F84" i="8"/>
  <c r="F83" i="8"/>
  <c r="E83" i="8"/>
  <c r="M40" i="8"/>
  <c r="I73" i="8"/>
  <c r="H73" i="8"/>
  <c r="I77" i="8"/>
  <c r="H77" i="8"/>
  <c r="M53" i="8"/>
  <c r="M56" i="12"/>
  <c r="C66" i="12" s="1"/>
  <c r="B48" i="1"/>
  <c r="B22" i="1"/>
  <c r="D28" i="1"/>
  <c r="D22" i="6"/>
  <c r="C31" i="1"/>
  <c r="H53" i="9"/>
  <c r="V14" i="9" s="1"/>
  <c r="H19" i="9"/>
  <c r="V7" i="9" s="1"/>
  <c r="B64" i="12"/>
  <c r="E65" i="12"/>
  <c r="D23" i="6"/>
  <c r="E23" i="6" s="1"/>
  <c r="F23" i="6" s="1"/>
  <c r="G23" i="6" s="1"/>
  <c r="H23" i="6" s="1"/>
  <c r="I23" i="6" s="1"/>
  <c r="D29" i="10"/>
  <c r="J5" i="6"/>
  <c r="K5" i="6" s="1"/>
  <c r="L5" i="6" s="1"/>
  <c r="M5" i="6" s="1"/>
  <c r="D35" i="6"/>
  <c r="D25" i="6"/>
  <c r="D13" i="6"/>
  <c r="E13" i="6" s="1"/>
  <c r="F13" i="6" s="1"/>
  <c r="G13" i="6" s="1"/>
  <c r="H13" i="6" s="1"/>
  <c r="I13" i="6" s="1"/>
  <c r="D32" i="6"/>
  <c r="K1" i="17"/>
  <c r="R1" i="17"/>
  <c r="P1" i="17"/>
  <c r="O1" i="17"/>
  <c r="N1" i="17"/>
  <c r="M1" i="17"/>
  <c r="B46" i="1"/>
  <c r="J31" i="17"/>
  <c r="J34" i="17" s="1"/>
  <c r="E20" i="1"/>
  <c r="K30" i="17"/>
  <c r="S1" i="17"/>
  <c r="Q1" i="17"/>
  <c r="L1" i="17"/>
  <c r="J1" i="17"/>
  <c r="V5" i="9"/>
  <c r="V6" i="9"/>
  <c r="C33" i="1"/>
  <c r="B24" i="1"/>
  <c r="B8" i="7"/>
  <c r="D38" i="10"/>
  <c r="C10" i="17"/>
  <c r="C11" i="17"/>
  <c r="B15" i="12"/>
  <c r="B16" i="12" s="1"/>
  <c r="O6" i="6"/>
  <c r="C12" i="17"/>
  <c r="B31" i="1"/>
  <c r="T16" i="9"/>
  <c r="S31" i="9" s="1"/>
  <c r="D20" i="10"/>
  <c r="D53" i="10"/>
  <c r="B30" i="1"/>
  <c r="V11" i="9" l="1"/>
  <c r="V10" i="9"/>
  <c r="V23" i="9"/>
  <c r="V22" i="9"/>
  <c r="V15" i="9"/>
  <c r="V9" i="9"/>
  <c r="J88" i="6"/>
  <c r="K88" i="6" s="1"/>
  <c r="L88" i="6" s="1"/>
  <c r="M88" i="6" s="1"/>
  <c r="J78" i="6"/>
  <c r="K78" i="6" s="1"/>
  <c r="L78" i="6" s="1"/>
  <c r="M78" i="6" s="1"/>
  <c r="J75" i="6"/>
  <c r="K75" i="6" s="1"/>
  <c r="L75" i="6" s="1"/>
  <c r="M75" i="6" s="1"/>
  <c r="J84" i="6"/>
  <c r="K84" i="6" s="1"/>
  <c r="L84" i="6" s="1"/>
  <c r="M84" i="6" s="1"/>
  <c r="J82" i="6"/>
  <c r="K82" i="6" s="1"/>
  <c r="L82" i="6" s="1"/>
  <c r="M82" i="6" s="1"/>
  <c r="J85" i="6"/>
  <c r="K85" i="6" s="1"/>
  <c r="L85" i="6" s="1"/>
  <c r="M85" i="6" s="1"/>
  <c r="J93" i="6"/>
  <c r="K93" i="6" s="1"/>
  <c r="L93" i="6" s="1"/>
  <c r="M93" i="6" s="1"/>
  <c r="J90" i="6"/>
  <c r="K90" i="6" s="1"/>
  <c r="L90" i="6" s="1"/>
  <c r="M90" i="6" s="1"/>
  <c r="J81" i="6"/>
  <c r="K81" i="6" s="1"/>
  <c r="L81" i="6" s="1"/>
  <c r="M81" i="6" s="1"/>
  <c r="J83" i="6"/>
  <c r="K83" i="6" s="1"/>
  <c r="L83" i="6" s="1"/>
  <c r="M83" i="6" s="1"/>
  <c r="J68" i="6"/>
  <c r="K68" i="6" s="1"/>
  <c r="L68" i="6" s="1"/>
  <c r="M68" i="6" s="1"/>
  <c r="J67" i="6"/>
  <c r="K67" i="6" s="1"/>
  <c r="L67" i="6" s="1"/>
  <c r="M67" i="6" s="1"/>
  <c r="J80" i="6"/>
  <c r="K80" i="6" s="1"/>
  <c r="L80" i="6" s="1"/>
  <c r="M80" i="6" s="1"/>
  <c r="J91" i="6"/>
  <c r="K91" i="6" s="1"/>
  <c r="L91" i="6" s="1"/>
  <c r="M91" i="6" s="1"/>
  <c r="J60" i="6"/>
  <c r="K60" i="6" s="1"/>
  <c r="L60" i="6" s="1"/>
  <c r="M60" i="6" s="1"/>
  <c r="J92" i="6"/>
  <c r="K92" i="6" s="1"/>
  <c r="L92" i="6" s="1"/>
  <c r="M92" i="6" s="1"/>
  <c r="J76" i="6"/>
  <c r="K76" i="6" s="1"/>
  <c r="L76" i="6" s="1"/>
  <c r="M76" i="6" s="1"/>
  <c r="J77" i="6"/>
  <c r="K77" i="6" s="1"/>
  <c r="L77" i="6" s="1"/>
  <c r="M77" i="6" s="1"/>
  <c r="J89" i="6"/>
  <c r="K89" i="6" s="1"/>
  <c r="L89" i="6" s="1"/>
  <c r="M89" i="6" s="1"/>
  <c r="J87" i="6"/>
  <c r="K87" i="6" s="1"/>
  <c r="L87" i="6" s="1"/>
  <c r="M87" i="6" s="1"/>
  <c r="J54" i="6"/>
  <c r="K54" i="6" s="1"/>
  <c r="L54" i="6" s="1"/>
  <c r="M54" i="6" s="1"/>
  <c r="J73" i="6"/>
  <c r="K73" i="6" s="1"/>
  <c r="L73" i="6" s="1"/>
  <c r="M73" i="6" s="1"/>
  <c r="J58" i="6"/>
  <c r="K58" i="6" s="1"/>
  <c r="L58" i="6" s="1"/>
  <c r="M58" i="6" s="1"/>
  <c r="J57" i="6"/>
  <c r="K57" i="6" s="1"/>
  <c r="L57" i="6" s="1"/>
  <c r="M57" i="6" s="1"/>
  <c r="J64" i="6"/>
  <c r="K64" i="6" s="1"/>
  <c r="L64" i="6" s="1"/>
  <c r="M64" i="6" s="1"/>
  <c r="J86" i="6"/>
  <c r="K86" i="6" s="1"/>
  <c r="L86" i="6" s="1"/>
  <c r="M86" i="6" s="1"/>
  <c r="J65" i="6"/>
  <c r="K65" i="6" s="1"/>
  <c r="L65" i="6" s="1"/>
  <c r="M65" i="6" s="1"/>
  <c r="J74" i="6"/>
  <c r="K74" i="6" s="1"/>
  <c r="L74" i="6" s="1"/>
  <c r="M74" i="6" s="1"/>
  <c r="J55" i="6"/>
  <c r="K55" i="6" s="1"/>
  <c r="L55" i="6" s="1"/>
  <c r="M55" i="6" s="1"/>
  <c r="C44" i="6"/>
  <c r="C10" i="6"/>
  <c r="S32" i="9"/>
  <c r="S33" i="9"/>
  <c r="AB34" i="9"/>
  <c r="U16" i="9"/>
  <c r="T27" i="9"/>
  <c r="Y31" i="9" s="1"/>
  <c r="I94" i="6"/>
  <c r="J71" i="6"/>
  <c r="I69" i="6"/>
  <c r="J63" i="6"/>
  <c r="I61" i="6"/>
  <c r="J53" i="6"/>
  <c r="H3" i="14"/>
  <c r="D10" i="17"/>
  <c r="D13" i="17"/>
  <c r="J13" i="6"/>
  <c r="K13" i="6" s="1"/>
  <c r="L13" i="6" s="1"/>
  <c r="M13" i="6" s="1"/>
  <c r="J23" i="6"/>
  <c r="K23" i="6" s="1"/>
  <c r="L23" i="6" s="1"/>
  <c r="M23" i="6" s="1"/>
  <c r="P26" i="17"/>
  <c r="B104" i="8"/>
  <c r="C104" i="8"/>
  <c r="E32" i="6"/>
  <c r="D34" i="6"/>
  <c r="D36" i="6" s="1"/>
  <c r="E22" i="6"/>
  <c r="D24" i="6"/>
  <c r="D26" i="6" s="1"/>
  <c r="Q26" i="17"/>
  <c r="E25" i="6"/>
  <c r="B127" i="8"/>
  <c r="D127" i="8"/>
  <c r="E35" i="6"/>
  <c r="E49" i="6"/>
  <c r="F49" i="6" s="1"/>
  <c r="G49" i="6" s="1"/>
  <c r="H49" i="6" s="1"/>
  <c r="I49" i="6" s="1"/>
  <c r="J49" i="6" s="1"/>
  <c r="K49" i="6" s="1"/>
  <c r="L49" i="6" s="1"/>
  <c r="M49" i="6" s="1"/>
  <c r="J33" i="6"/>
  <c r="K33" i="6" s="1"/>
  <c r="L33" i="6" s="1"/>
  <c r="M33" i="6" s="1"/>
  <c r="B106" i="8"/>
  <c r="C106" i="8"/>
  <c r="F106" i="8" s="1"/>
  <c r="V13" i="9"/>
  <c r="M67" i="8"/>
  <c r="B87" i="12"/>
  <c r="M87" i="12"/>
  <c r="D48" i="10"/>
  <c r="D49" i="10" s="1"/>
  <c r="B25" i="11"/>
  <c r="F19" i="11"/>
  <c r="F20" i="11"/>
  <c r="B24" i="11"/>
  <c r="B19" i="1"/>
  <c r="B16" i="1"/>
  <c r="C5" i="8"/>
  <c r="I44" i="12"/>
  <c r="H63" i="12"/>
  <c r="B18" i="14"/>
  <c r="E19" i="14"/>
  <c r="J44" i="12"/>
  <c r="I63" i="12"/>
  <c r="H64" i="12"/>
  <c r="K44" i="12"/>
  <c r="J63" i="12"/>
  <c r="G19" i="14"/>
  <c r="K63" i="12"/>
  <c r="J19" i="14"/>
  <c r="H19" i="14"/>
  <c r="L63" i="12"/>
  <c r="I19" i="14"/>
  <c r="K19" i="14"/>
  <c r="I64" i="12"/>
  <c r="C18" i="14"/>
  <c r="J64" i="12"/>
  <c r="K64" i="12"/>
  <c r="L64" i="12"/>
  <c r="E18" i="14"/>
  <c r="G18" i="14"/>
  <c r="B44" i="12"/>
  <c r="H18" i="14"/>
  <c r="C44" i="12"/>
  <c r="I18" i="14"/>
  <c r="D44" i="12"/>
  <c r="C63" i="12"/>
  <c r="J18" i="14"/>
  <c r="E44" i="12"/>
  <c r="D63" i="12"/>
  <c r="K18" i="14"/>
  <c r="F44" i="12"/>
  <c r="E63" i="12"/>
  <c r="G44" i="12"/>
  <c r="B19" i="14"/>
  <c r="F63" i="12"/>
  <c r="C19" i="14"/>
  <c r="H44" i="12"/>
  <c r="G63" i="12"/>
  <c r="K26" i="17"/>
  <c r="J26" i="17"/>
  <c r="O5" i="6"/>
  <c r="O26" i="17"/>
  <c r="N26" i="17"/>
  <c r="L18" i="17"/>
  <c r="Q18" i="17"/>
  <c r="J18" i="17"/>
  <c r="N18" i="17"/>
  <c r="O18" i="17"/>
  <c r="R18" i="17"/>
  <c r="D51" i="10"/>
  <c r="L26" i="17"/>
  <c r="J37" i="17"/>
  <c r="J11" i="17"/>
  <c r="K7" i="17" s="1"/>
  <c r="G5" i="16"/>
  <c r="J40" i="17"/>
  <c r="D100" i="6" s="1"/>
  <c r="J10" i="17"/>
  <c r="S18" i="17"/>
  <c r="J19" i="17"/>
  <c r="K15" i="17" s="1"/>
  <c r="K19" i="17" s="1"/>
  <c r="J27" i="17"/>
  <c r="K23" i="17" s="1"/>
  <c r="K27" i="17" s="1"/>
  <c r="D48" i="6"/>
  <c r="L10" i="17"/>
  <c r="M26" i="17"/>
  <c r="N10" i="17"/>
  <c r="K18" i="17"/>
  <c r="O10" i="17"/>
  <c r="K10" i="17"/>
  <c r="D8" i="7"/>
  <c r="P10" i="17"/>
  <c r="X13" i="9"/>
  <c r="Z13" i="9"/>
  <c r="Y13" i="9"/>
  <c r="W13" i="9"/>
  <c r="Z6" i="9"/>
  <c r="Y6" i="9"/>
  <c r="X6" i="9"/>
  <c r="W6" i="9"/>
  <c r="Q10" i="17"/>
  <c r="M10" i="17"/>
  <c r="D12" i="6"/>
  <c r="Z5" i="9"/>
  <c r="Y5" i="9"/>
  <c r="X5" i="9"/>
  <c r="W5" i="9"/>
  <c r="V16" i="9"/>
  <c r="Z7" i="9"/>
  <c r="W7" i="9"/>
  <c r="Y7" i="9"/>
  <c r="X7" i="9"/>
  <c r="P18" i="17"/>
  <c r="R26" i="17"/>
  <c r="R10" i="17"/>
  <c r="S26" i="17"/>
  <c r="Z14" i="9"/>
  <c r="Y14" i="9"/>
  <c r="X14" i="9"/>
  <c r="W14" i="9"/>
  <c r="S10" i="17"/>
  <c r="D26" i="7"/>
  <c r="C16" i="1"/>
  <c r="B15" i="1"/>
  <c r="D23" i="7"/>
  <c r="D4" i="7"/>
  <c r="D12" i="17"/>
  <c r="D11" i="17" s="1"/>
  <c r="M18" i="17"/>
  <c r="E38" i="1"/>
  <c r="D15" i="6"/>
  <c r="C32" i="1"/>
  <c r="Y9" i="9" l="1"/>
  <c r="X9" i="9"/>
  <c r="Z9" i="9"/>
  <c r="W9" i="9"/>
  <c r="W15" i="9"/>
  <c r="Z15" i="9"/>
  <c r="Y15" i="9"/>
  <c r="X15" i="9"/>
  <c r="Z22" i="9"/>
  <c r="Y22" i="9"/>
  <c r="X22" i="9"/>
  <c r="W22" i="9"/>
  <c r="V26" i="9" a="1"/>
  <c r="V26" i="9" s="1"/>
  <c r="V27" i="9" s="1"/>
  <c r="Y23" i="9"/>
  <c r="X23" i="9"/>
  <c r="W23" i="9"/>
  <c r="Z23" i="9"/>
  <c r="W10" i="9"/>
  <c r="Z10" i="9"/>
  <c r="Y10" i="9"/>
  <c r="X10" i="9"/>
  <c r="W11" i="9"/>
  <c r="Z11" i="9"/>
  <c r="Y11" i="9"/>
  <c r="X11" i="9"/>
  <c r="C50" i="6"/>
  <c r="L15" i="17"/>
  <c r="L23" i="17"/>
  <c r="Y32" i="9"/>
  <c r="Y33" i="9"/>
  <c r="Y34" i="9"/>
  <c r="U27" i="9"/>
  <c r="J94" i="6"/>
  <c r="K71" i="6"/>
  <c r="K63" i="6"/>
  <c r="J69" i="6"/>
  <c r="K53" i="6"/>
  <c r="J61" i="6"/>
  <c r="D14" i="17"/>
  <c r="C97" i="6"/>
  <c r="C123" i="6" s="1"/>
  <c r="K37" i="17"/>
  <c r="K11" i="17"/>
  <c r="L7" i="17" s="1"/>
  <c r="L11" i="17" s="1"/>
  <c r="C20" i="14"/>
  <c r="B20" i="14"/>
  <c r="N49" i="6"/>
  <c r="O49" i="6"/>
  <c r="P49" i="6" s="1"/>
  <c r="E48" i="6"/>
  <c r="F48" i="6" s="1"/>
  <c r="G48" i="6" s="1"/>
  <c r="H48" i="6" s="1"/>
  <c r="I48" i="6" s="1"/>
  <c r="J48" i="6" s="1"/>
  <c r="K48" i="6" s="1"/>
  <c r="L48" i="6" s="1"/>
  <c r="M48" i="6" s="1"/>
  <c r="F35" i="6"/>
  <c r="D39" i="6"/>
  <c r="D29" i="6"/>
  <c r="D19" i="6"/>
  <c r="D37" i="6"/>
  <c r="D27" i="6"/>
  <c r="D17" i="6"/>
  <c r="F25" i="6"/>
  <c r="G25" i="6" s="1"/>
  <c r="B122" i="8"/>
  <c r="B108" i="8"/>
  <c r="B115" i="8"/>
  <c r="C108" i="8"/>
  <c r="E24" i="6"/>
  <c r="E26" i="6" s="1"/>
  <c r="F22" i="6"/>
  <c r="D42" i="6"/>
  <c r="E12" i="6"/>
  <c r="D14" i="6"/>
  <c r="D16" i="6" s="1"/>
  <c r="D44" i="6" s="1"/>
  <c r="E34" i="6"/>
  <c r="F32" i="6"/>
  <c r="E15" i="6"/>
  <c r="D129" i="8"/>
  <c r="B129" i="8"/>
  <c r="F104" i="8"/>
  <c r="N56" i="8"/>
  <c r="B85" i="8"/>
  <c r="C89" i="8"/>
  <c r="C91" i="8"/>
  <c r="N34" i="8"/>
  <c r="N52" i="8"/>
  <c r="N61" i="8"/>
  <c r="N33" i="8"/>
  <c r="N62" i="8"/>
  <c r="N46" i="8"/>
  <c r="N60" i="8"/>
  <c r="N36" i="8"/>
  <c r="N50" i="8"/>
  <c r="N44" i="8"/>
  <c r="N43" i="8"/>
  <c r="N59" i="8"/>
  <c r="N45" i="8"/>
  <c r="N63" i="8"/>
  <c r="N37" i="8"/>
  <c r="N58" i="8"/>
  <c r="N57" i="8"/>
  <c r="N32" i="8"/>
  <c r="N64" i="8"/>
  <c r="N39" i="8"/>
  <c r="N35" i="8"/>
  <c r="N51" i="8"/>
  <c r="N38" i="8"/>
  <c r="N31" i="8"/>
  <c r="B8" i="1"/>
  <c r="M44" i="12"/>
  <c r="F49" i="16"/>
  <c r="F41" i="16"/>
  <c r="F25" i="16"/>
  <c r="F45" i="16"/>
  <c r="F17" i="16"/>
  <c r="X16" i="9"/>
  <c r="W16" i="9"/>
  <c r="J43" i="17"/>
  <c r="G7" i="11"/>
  <c r="F28" i="1"/>
  <c r="D37" i="7"/>
  <c r="F13" i="16"/>
  <c r="J41" i="17"/>
  <c r="F37" i="16"/>
  <c r="F33" i="16"/>
  <c r="F29" i="1"/>
  <c r="Y16" i="9" l="1"/>
  <c r="Z16" i="9" s="1"/>
  <c r="X27" i="9"/>
  <c r="W27" i="9"/>
  <c r="Y26" i="9"/>
  <c r="Z26" i="9" s="1"/>
  <c r="X26" i="9"/>
  <c r="W26" i="9"/>
  <c r="L19" i="17"/>
  <c r="L27" i="17"/>
  <c r="M15" i="17"/>
  <c r="M7" i="17"/>
  <c r="K94" i="6"/>
  <c r="L71" i="6"/>
  <c r="K69" i="6"/>
  <c r="L63" i="6"/>
  <c r="L53" i="6"/>
  <c r="K61" i="6"/>
  <c r="C124" i="6"/>
  <c r="C104" i="6"/>
  <c r="C122" i="6"/>
  <c r="B14" i="3"/>
  <c r="B17" i="3" s="1"/>
  <c r="C14" i="3"/>
  <c r="C17" i="3" s="1"/>
  <c r="D14" i="3"/>
  <c r="E14" i="3"/>
  <c r="E17" i="3" s="1"/>
  <c r="F12" i="6"/>
  <c r="E14" i="6"/>
  <c r="E43" i="6" s="1"/>
  <c r="E42" i="6"/>
  <c r="O42" i="6"/>
  <c r="P42" i="6"/>
  <c r="N42" i="6"/>
  <c r="F24" i="6"/>
  <c r="F26" i="6" s="1"/>
  <c r="G22" i="6"/>
  <c r="B128" i="8"/>
  <c r="D128" i="8"/>
  <c r="F108" i="8"/>
  <c r="E115" i="8"/>
  <c r="D130" i="8"/>
  <c r="B130" i="8"/>
  <c r="H25" i="6"/>
  <c r="I25" i="6" s="1"/>
  <c r="J25" i="6" s="1"/>
  <c r="K25" i="6" s="1"/>
  <c r="L25" i="6" s="1"/>
  <c r="M25" i="6" s="1"/>
  <c r="E17" i="6"/>
  <c r="D18" i="6"/>
  <c r="E27" i="6"/>
  <c r="D28" i="6"/>
  <c r="D38" i="6"/>
  <c r="E37" i="6"/>
  <c r="F15" i="6"/>
  <c r="E19" i="6"/>
  <c r="D20" i="6"/>
  <c r="G32" i="6"/>
  <c r="F34" i="6"/>
  <c r="F36" i="6" s="1"/>
  <c r="D30" i="6"/>
  <c r="E29" i="6"/>
  <c r="D40" i="6"/>
  <c r="E39" i="6"/>
  <c r="E36" i="6"/>
  <c r="G35" i="6"/>
  <c r="N48" i="6"/>
  <c r="O48" i="6"/>
  <c r="P48" i="6" s="1"/>
  <c r="D43" i="6"/>
  <c r="E85" i="8"/>
  <c r="F85" i="8"/>
  <c r="D47" i="6"/>
  <c r="D9" i="7"/>
  <c r="D7" i="7"/>
  <c r="B47" i="1"/>
  <c r="E21" i="1"/>
  <c r="V31" i="9" l="1"/>
  <c r="V32" i="9" s="1"/>
  <c r="Y27" i="9"/>
  <c r="Z27" i="9" s="1"/>
  <c r="M23" i="17"/>
  <c r="M19" i="17"/>
  <c r="N15" i="17"/>
  <c r="M11" i="17"/>
  <c r="N7" i="17" s="1"/>
  <c r="M71" i="6"/>
  <c r="M94" i="6" s="1"/>
  <c r="L94" i="6"/>
  <c r="L69" i="6"/>
  <c r="M63" i="6"/>
  <c r="M69" i="6" s="1"/>
  <c r="L61" i="6"/>
  <c r="M53" i="6"/>
  <c r="M61" i="6" s="1"/>
  <c r="E31" i="3"/>
  <c r="E25" i="3"/>
  <c r="E166" i="3"/>
  <c r="F14" i="3"/>
  <c r="G14" i="3" s="1"/>
  <c r="D17" i="3"/>
  <c r="E16" i="6"/>
  <c r="E44" i="6" s="1"/>
  <c r="C31" i="3"/>
  <c r="C25" i="3"/>
  <c r="C166" i="3"/>
  <c r="B31" i="3"/>
  <c r="B25" i="3"/>
  <c r="B166" i="3"/>
  <c r="D45" i="6"/>
  <c r="F27" i="6"/>
  <c r="E28" i="6"/>
  <c r="E18" i="6"/>
  <c r="F17" i="6"/>
  <c r="G24" i="6"/>
  <c r="G26" i="6" s="1"/>
  <c r="H22" i="6"/>
  <c r="E30" i="6"/>
  <c r="F29" i="6"/>
  <c r="E47" i="6"/>
  <c r="F47" i="6" s="1"/>
  <c r="G47" i="6" s="1"/>
  <c r="H47" i="6" s="1"/>
  <c r="I47" i="6" s="1"/>
  <c r="J47" i="6" s="1"/>
  <c r="K47" i="6" s="1"/>
  <c r="L47" i="6" s="1"/>
  <c r="M47" i="6" s="1"/>
  <c r="H32" i="6"/>
  <c r="G34" i="6"/>
  <c r="G36" i="6" s="1"/>
  <c r="D46" i="6"/>
  <c r="F19" i="6"/>
  <c r="E20" i="6"/>
  <c r="G15" i="6"/>
  <c r="H35" i="6"/>
  <c r="E40" i="6"/>
  <c r="F39" i="6"/>
  <c r="E38" i="6"/>
  <c r="F37" i="6"/>
  <c r="G37" i="6" s="1"/>
  <c r="H37" i="6" s="1"/>
  <c r="E10" i="6"/>
  <c r="F42" i="6"/>
  <c r="G12" i="6"/>
  <c r="F14" i="6"/>
  <c r="F16" i="6" s="1"/>
  <c r="F44" i="6" s="1"/>
  <c r="D10" i="6"/>
  <c r="E12" i="1"/>
  <c r="D12" i="1"/>
  <c r="V33" i="9" l="1"/>
  <c r="V34" i="9"/>
  <c r="M27" i="17"/>
  <c r="N23" i="17"/>
  <c r="N27" i="17" s="1"/>
  <c r="N19" i="17"/>
  <c r="K31" i="17"/>
  <c r="L32" i="17"/>
  <c r="L38" i="17" s="1"/>
  <c r="F101" i="6" s="1"/>
  <c r="K32" i="17"/>
  <c r="K38" i="17" s="1"/>
  <c r="E101" i="6" s="1"/>
  <c r="J32" i="17"/>
  <c r="M31" i="17"/>
  <c r="M40" i="17" s="1"/>
  <c r="G100" i="6" s="1"/>
  <c r="L31" i="17"/>
  <c r="N11" i="17"/>
  <c r="O7" i="17" s="1"/>
  <c r="D50" i="6"/>
  <c r="C33" i="3"/>
  <c r="C34" i="3"/>
  <c r="D31" i="3"/>
  <c r="F17" i="3"/>
  <c r="G17" i="3" s="1"/>
  <c r="D166" i="3"/>
  <c r="F166" i="3" s="1"/>
  <c r="D25" i="3"/>
  <c r="F25" i="3" s="1"/>
  <c r="B33" i="3"/>
  <c r="B34" i="3"/>
  <c r="E33" i="3"/>
  <c r="E34" i="3"/>
  <c r="F38" i="6"/>
  <c r="E45" i="6"/>
  <c r="N47" i="6"/>
  <c r="I35" i="6"/>
  <c r="G38" i="6"/>
  <c r="H15" i="6"/>
  <c r="G19" i="6"/>
  <c r="F20" i="6"/>
  <c r="O47" i="6"/>
  <c r="P47" i="6" s="1"/>
  <c r="F43" i="6"/>
  <c r="G42" i="6"/>
  <c r="G14" i="6"/>
  <c r="G43" i="6" s="1"/>
  <c r="H12" i="6"/>
  <c r="I37" i="6"/>
  <c r="E46" i="6"/>
  <c r="H34" i="6"/>
  <c r="H36" i="6" s="1"/>
  <c r="I32" i="6"/>
  <c r="H24" i="6"/>
  <c r="N24" i="6" s="1"/>
  <c r="I22" i="6"/>
  <c r="F30" i="6"/>
  <c r="G29" i="6"/>
  <c r="G17" i="6"/>
  <c r="F18" i="6"/>
  <c r="G39" i="6"/>
  <c r="F40" i="6"/>
  <c r="G27" i="6"/>
  <c r="F28" i="6"/>
  <c r="D97" i="6" l="1"/>
  <c r="D111" i="6"/>
  <c r="O15" i="17"/>
  <c r="O23" i="17"/>
  <c r="K34" i="17"/>
  <c r="K33" i="17"/>
  <c r="K40" i="17"/>
  <c r="J33" i="17"/>
  <c r="J38" i="17"/>
  <c r="L40" i="17"/>
  <c r="L33" i="17"/>
  <c r="O19" i="17"/>
  <c r="Q43" i="6"/>
  <c r="Q47" i="6"/>
  <c r="Q45" i="6"/>
  <c r="Q34" i="6"/>
  <c r="D131" i="8"/>
  <c r="Q24" i="6"/>
  <c r="Q49" i="6"/>
  <c r="C119" i="8"/>
  <c r="Q46" i="6"/>
  <c r="Q50" i="6"/>
  <c r="B131" i="8"/>
  <c r="Q48" i="6"/>
  <c r="Q44" i="6"/>
  <c r="C122" i="8"/>
  <c r="E122" i="8" s="1"/>
  <c r="B119" i="8"/>
  <c r="Q14" i="6"/>
  <c r="F31" i="3"/>
  <c r="D33" i="3"/>
  <c r="F33" i="3" s="1"/>
  <c r="D34" i="3"/>
  <c r="F34" i="3" s="1"/>
  <c r="H38" i="6"/>
  <c r="F46" i="6"/>
  <c r="N34" i="6"/>
  <c r="G10" i="6"/>
  <c r="G16" i="6"/>
  <c r="G44" i="6" s="1"/>
  <c r="I15" i="6"/>
  <c r="H29" i="6"/>
  <c r="G30" i="6"/>
  <c r="J37" i="6"/>
  <c r="H42" i="6"/>
  <c r="I12" i="6"/>
  <c r="H14" i="6"/>
  <c r="H43" i="6" s="1"/>
  <c r="N43" i="6" s="1"/>
  <c r="H39" i="6"/>
  <c r="G40" i="6"/>
  <c r="J35" i="6"/>
  <c r="G28" i="6"/>
  <c r="H27" i="6"/>
  <c r="F10" i="6"/>
  <c r="H19" i="6"/>
  <c r="G20" i="6"/>
  <c r="H17" i="6"/>
  <c r="G18" i="6"/>
  <c r="H26" i="6"/>
  <c r="E50" i="6"/>
  <c r="E111" i="6" s="1"/>
  <c r="F45" i="6"/>
  <c r="J22" i="6"/>
  <c r="I24" i="6"/>
  <c r="I26" i="6" s="1"/>
  <c r="I34" i="6"/>
  <c r="I36" i="6" s="1"/>
  <c r="J32" i="6"/>
  <c r="B28" i="1"/>
  <c r="K43" i="17" l="1"/>
  <c r="L30" i="17"/>
  <c r="K41" i="17"/>
  <c r="L41" i="17" s="1"/>
  <c r="M41" i="17" s="1"/>
  <c r="K42" i="17"/>
  <c r="C27" i="12" s="1"/>
  <c r="E100" i="6"/>
  <c r="E102" i="6" s="1"/>
  <c r="D101" i="6"/>
  <c r="D102" i="6" s="1"/>
  <c r="J39" i="17"/>
  <c r="K39" i="17" s="1"/>
  <c r="L39" i="17" s="1"/>
  <c r="J42" i="17"/>
  <c r="B27" i="12" s="1"/>
  <c r="L42" i="17"/>
  <c r="D27" i="12" s="1"/>
  <c r="F100" i="6"/>
  <c r="F102" i="6" s="1"/>
  <c r="O27" i="17"/>
  <c r="P15" i="17"/>
  <c r="Q111" i="6"/>
  <c r="B88" i="12"/>
  <c r="O11" i="17"/>
  <c r="P7" i="17" s="1"/>
  <c r="E95" i="6"/>
  <c r="E96" i="6" s="1"/>
  <c r="F50" i="6"/>
  <c r="N14" i="6"/>
  <c r="H28" i="6"/>
  <c r="I27" i="6"/>
  <c r="K32" i="6"/>
  <c r="J34" i="6"/>
  <c r="J38" i="6" s="1"/>
  <c r="C88" i="12"/>
  <c r="K35" i="6"/>
  <c r="L35" i="6" s="1"/>
  <c r="J24" i="6"/>
  <c r="J26" i="6" s="1"/>
  <c r="K22" i="6"/>
  <c r="H30" i="6"/>
  <c r="I29" i="6"/>
  <c r="I38" i="6"/>
  <c r="H16" i="6"/>
  <c r="H44" i="6" s="1"/>
  <c r="J15" i="6"/>
  <c r="H10" i="6"/>
  <c r="H40" i="6"/>
  <c r="I39" i="6"/>
  <c r="J39" i="6" s="1"/>
  <c r="B120" i="8"/>
  <c r="C120" i="8"/>
  <c r="Q95" i="6"/>
  <c r="K37" i="6"/>
  <c r="I17" i="6"/>
  <c r="H18" i="6"/>
  <c r="G46" i="6"/>
  <c r="I14" i="6"/>
  <c r="I16" i="6" s="1"/>
  <c r="I44" i="6" s="1"/>
  <c r="I42" i="6"/>
  <c r="J12" i="6"/>
  <c r="G45" i="6"/>
  <c r="I19" i="6"/>
  <c r="H20" i="6"/>
  <c r="B13" i="17"/>
  <c r="B12" i="17"/>
  <c r="E12" i="17" s="1"/>
  <c r="E4" i="17"/>
  <c r="J36" i="6" l="1"/>
  <c r="F95" i="6"/>
  <c r="F96" i="6" s="1"/>
  <c r="F111" i="6"/>
  <c r="E121" i="6"/>
  <c r="L37" i="17"/>
  <c r="L34" i="17"/>
  <c r="Q102" i="6"/>
  <c r="D121" i="6"/>
  <c r="P23" i="17"/>
  <c r="P19" i="17"/>
  <c r="D88" i="12"/>
  <c r="N44" i="6"/>
  <c r="E97" i="6"/>
  <c r="F121" i="6"/>
  <c r="F97" i="6"/>
  <c r="C6" i="11" s="1"/>
  <c r="C8" i="11" s="1"/>
  <c r="B11" i="17"/>
  <c r="D122" i="6"/>
  <c r="B26" i="12"/>
  <c r="H45" i="6"/>
  <c r="N45" i="6" s="1"/>
  <c r="M35" i="6"/>
  <c r="J40" i="6"/>
  <c r="K39" i="6"/>
  <c r="I40" i="6"/>
  <c r="I30" i="6"/>
  <c r="J29" i="6"/>
  <c r="I43" i="6"/>
  <c r="K15" i="6"/>
  <c r="K24" i="6"/>
  <c r="K26" i="6" s="1"/>
  <c r="L22" i="6"/>
  <c r="K12" i="6"/>
  <c r="J42" i="6"/>
  <c r="J14" i="6"/>
  <c r="J43" i="6" s="1"/>
  <c r="G50" i="6"/>
  <c r="L37" i="6"/>
  <c r="H46" i="6"/>
  <c r="B31" i="13"/>
  <c r="C31" i="13"/>
  <c r="D31" i="13"/>
  <c r="E31" i="13"/>
  <c r="F31" i="13"/>
  <c r="G31" i="13"/>
  <c r="H31" i="13"/>
  <c r="E27" i="13"/>
  <c r="I31" i="13"/>
  <c r="F27" i="13"/>
  <c r="G27" i="13"/>
  <c r="B32" i="13"/>
  <c r="H27" i="13"/>
  <c r="C32" i="13"/>
  <c r="I27" i="13"/>
  <c r="D32" i="13"/>
  <c r="E32" i="13"/>
  <c r="B28" i="13"/>
  <c r="C28" i="13"/>
  <c r="D28" i="13"/>
  <c r="B34" i="13"/>
  <c r="E28" i="13"/>
  <c r="D34" i="13"/>
  <c r="F28" i="13"/>
  <c r="E34" i="13"/>
  <c r="G28" i="13"/>
  <c r="F34" i="13"/>
  <c r="H28" i="13"/>
  <c r="G34" i="13"/>
  <c r="I28" i="13"/>
  <c r="H34" i="13"/>
  <c r="I34" i="13"/>
  <c r="B30" i="13"/>
  <c r="C30" i="13"/>
  <c r="D30" i="13"/>
  <c r="E30" i="13"/>
  <c r="F30" i="13"/>
  <c r="G30" i="13"/>
  <c r="H30" i="13"/>
  <c r="I30" i="13"/>
  <c r="B121" i="8"/>
  <c r="D33" i="13"/>
  <c r="C27" i="13"/>
  <c r="G32" i="13"/>
  <c r="C34" i="13"/>
  <c r="B27" i="13"/>
  <c r="H29" i="13"/>
  <c r="C29" i="13"/>
  <c r="I33" i="13"/>
  <c r="F33" i="13"/>
  <c r="C33" i="13"/>
  <c r="G29" i="13"/>
  <c r="D27" i="13"/>
  <c r="H33" i="13"/>
  <c r="B29" i="13"/>
  <c r="B33" i="13"/>
  <c r="C121" i="8"/>
  <c r="F29" i="13"/>
  <c r="I29" i="13"/>
  <c r="H32" i="13"/>
  <c r="E33" i="13"/>
  <c r="G33" i="13"/>
  <c r="F32" i="13"/>
  <c r="I32" i="13"/>
  <c r="D29" i="13"/>
  <c r="E29" i="13"/>
  <c r="D104" i="6"/>
  <c r="D107" i="6" s="1"/>
  <c r="D108" i="6" s="1"/>
  <c r="E106" i="6" s="1"/>
  <c r="Q97" i="6"/>
  <c r="D98" i="6"/>
  <c r="L32" i="6"/>
  <c r="K34" i="6"/>
  <c r="K36" i="6" s="1"/>
  <c r="J19" i="6"/>
  <c r="I20" i="6"/>
  <c r="J17" i="6"/>
  <c r="I18" i="6"/>
  <c r="I28" i="6"/>
  <c r="J27" i="6"/>
  <c r="D6" i="7"/>
  <c r="B18" i="1"/>
  <c r="C12" i="11" l="1"/>
  <c r="C23" i="11"/>
  <c r="G95" i="6"/>
  <c r="G96" i="6" s="1"/>
  <c r="G111" i="6"/>
  <c r="Q104" i="6"/>
  <c r="D118" i="6"/>
  <c r="M30" i="17"/>
  <c r="L43" i="17"/>
  <c r="Q121" i="6"/>
  <c r="P27" i="17"/>
  <c r="Q15" i="17"/>
  <c r="P11" i="17"/>
  <c r="Q7" i="17" s="1"/>
  <c r="H50" i="6"/>
  <c r="B14" i="17"/>
  <c r="E11" i="17"/>
  <c r="G97" i="6"/>
  <c r="F122" i="6"/>
  <c r="D26" i="12"/>
  <c r="D28" i="12" s="1"/>
  <c r="B28" i="12"/>
  <c r="F98" i="6"/>
  <c r="N46" i="6"/>
  <c r="K38" i="6"/>
  <c r="F104" i="6"/>
  <c r="M37" i="6"/>
  <c r="J10" i="6"/>
  <c r="L24" i="6"/>
  <c r="L26" i="6" s="1"/>
  <c r="M22" i="6"/>
  <c r="M24" i="6" s="1"/>
  <c r="L15" i="6"/>
  <c r="I10" i="6"/>
  <c r="J30" i="6"/>
  <c r="K29" i="6"/>
  <c r="L39" i="6"/>
  <c r="K40" i="6"/>
  <c r="K42" i="6"/>
  <c r="L12" i="6"/>
  <c r="K14" i="6"/>
  <c r="K43" i="6" s="1"/>
  <c r="J28" i="6"/>
  <c r="K27" i="6"/>
  <c r="K17" i="6"/>
  <c r="J18" i="6"/>
  <c r="I45" i="6"/>
  <c r="I46" i="6"/>
  <c r="J16" i="6"/>
  <c r="J44" i="6" s="1"/>
  <c r="K19" i="6"/>
  <c r="J20" i="6"/>
  <c r="M32" i="6"/>
  <c r="M34" i="6" s="1"/>
  <c r="L34" i="6"/>
  <c r="L36" i="6" s="1"/>
  <c r="E28" i="1"/>
  <c r="D123" i="6"/>
  <c r="Q123" i="6" s="1"/>
  <c r="D120" i="6"/>
  <c r="Q120" i="6" s="1"/>
  <c r="Q122" i="6"/>
  <c r="B23" i="1"/>
  <c r="D124" i="6"/>
  <c r="Q124" i="6" s="1"/>
  <c r="F118" i="6" l="1"/>
  <c r="R32" i="17"/>
  <c r="R38" i="17" s="1"/>
  <c r="L101" i="6" s="1"/>
  <c r="S32" i="17"/>
  <c r="S38" i="17" s="1"/>
  <c r="M101" i="6" s="1"/>
  <c r="R31" i="17"/>
  <c r="Q32" i="17"/>
  <c r="Q38" i="17" s="1"/>
  <c r="K101" i="6" s="1"/>
  <c r="S31" i="17"/>
  <c r="C13" i="11"/>
  <c r="J29" i="17"/>
  <c r="O31" i="17"/>
  <c r="N32" i="17"/>
  <c r="N38" i="17" s="1"/>
  <c r="H101" i="6" s="1"/>
  <c r="O32" i="17"/>
  <c r="O38" i="17" s="1"/>
  <c r="I101" i="6" s="1"/>
  <c r="P31" i="17"/>
  <c r="P32" i="17"/>
  <c r="P38" i="17" s="1"/>
  <c r="J101" i="6" s="1"/>
  <c r="N31" i="17"/>
  <c r="Q31" i="17"/>
  <c r="M32" i="17"/>
  <c r="E88" i="12"/>
  <c r="H95" i="6"/>
  <c r="H96" i="6" s="1"/>
  <c r="H97" i="6" s="1"/>
  <c r="G5" i="11" s="1"/>
  <c r="B31" i="12" s="1"/>
  <c r="H111" i="6"/>
  <c r="F88" i="12" s="1"/>
  <c r="C21" i="11"/>
  <c r="C15" i="11"/>
  <c r="C16" i="11" s="1"/>
  <c r="M34" i="17"/>
  <c r="M37" i="17"/>
  <c r="Q23" i="17"/>
  <c r="Q19" i="17"/>
  <c r="N50" i="6"/>
  <c r="E122" i="6"/>
  <c r="C26" i="12"/>
  <c r="J45" i="6"/>
  <c r="J46" i="6"/>
  <c r="K16" i="6"/>
  <c r="K44" i="6" s="1"/>
  <c r="O34" i="6"/>
  <c r="P34" i="6" s="1"/>
  <c r="I50" i="6"/>
  <c r="I95" i="6" s="1"/>
  <c r="I96" i="6" s="1"/>
  <c r="E98" i="6"/>
  <c r="E104" i="6"/>
  <c r="E107" i="6" s="1"/>
  <c r="E108" i="6" s="1"/>
  <c r="F106" i="6" s="1"/>
  <c r="G88" i="12"/>
  <c r="M15" i="6"/>
  <c r="M36" i="6"/>
  <c r="M26" i="6"/>
  <c r="O24" i="6"/>
  <c r="P24" i="6" s="1"/>
  <c r="L19" i="6"/>
  <c r="K20" i="6"/>
  <c r="L40" i="6"/>
  <c r="M39" i="6"/>
  <c r="M40" i="6" s="1"/>
  <c r="K10" i="6"/>
  <c r="L42" i="6"/>
  <c r="M12" i="6"/>
  <c r="L14" i="6"/>
  <c r="L43" i="6" s="1"/>
  <c r="L38" i="6"/>
  <c r="L29" i="6"/>
  <c r="K30" i="6"/>
  <c r="M38" i="6"/>
  <c r="L17" i="6"/>
  <c r="K18" i="6"/>
  <c r="L27" i="6"/>
  <c r="K28" i="6"/>
  <c r="E124" i="6"/>
  <c r="E120" i="6"/>
  <c r="E123" i="6"/>
  <c r="D29" i="1"/>
  <c r="C13" i="17"/>
  <c r="E29" i="1"/>
  <c r="B10" i="17"/>
  <c r="E10" i="17" s="1"/>
  <c r="D10" i="7"/>
  <c r="D11" i="7" s="1"/>
  <c r="F23" i="13" l="1"/>
  <c r="C17" i="13"/>
  <c r="E21" i="13"/>
  <c r="H21" i="13"/>
  <c r="D18" i="13"/>
  <c r="D23" i="13"/>
  <c r="E17" i="13"/>
  <c r="E19" i="13"/>
  <c r="C23" i="13"/>
  <c r="F22" i="13"/>
  <c r="G19" i="13"/>
  <c r="G20" i="13"/>
  <c r="D21" i="13"/>
  <c r="C22" i="13"/>
  <c r="C19" i="13"/>
  <c r="B22" i="13"/>
  <c r="D20" i="13"/>
  <c r="E23" i="13"/>
  <c r="B23" i="13"/>
  <c r="F17" i="13"/>
  <c r="H23" i="13"/>
  <c r="C21" i="13"/>
  <c r="B21" i="13"/>
  <c r="B17" i="13"/>
  <c r="D19" i="13"/>
  <c r="G22" i="13"/>
  <c r="F19" i="13"/>
  <c r="G21" i="13"/>
  <c r="B20" i="13"/>
  <c r="G23" i="13"/>
  <c r="H20" i="13"/>
  <c r="C18" i="13"/>
  <c r="D17" i="13"/>
  <c r="C20" i="13"/>
  <c r="E22" i="13"/>
  <c r="D22" i="13"/>
  <c r="G18" i="13"/>
  <c r="B18" i="13"/>
  <c r="H18" i="13"/>
  <c r="E18" i="13"/>
  <c r="H22" i="13"/>
  <c r="B19" i="13"/>
  <c r="E20" i="13"/>
  <c r="H19" i="13"/>
  <c r="F20" i="13"/>
  <c r="H17" i="13"/>
  <c r="F18" i="13"/>
  <c r="G17" i="13"/>
  <c r="F21" i="13"/>
  <c r="F107" i="6"/>
  <c r="R33" i="17"/>
  <c r="R40" i="17"/>
  <c r="S40" i="17"/>
  <c r="S33" i="17"/>
  <c r="O33" i="17"/>
  <c r="O40" i="17"/>
  <c r="P33" i="17"/>
  <c r="P40" i="17"/>
  <c r="N33" i="17"/>
  <c r="N40" i="17"/>
  <c r="Q40" i="17"/>
  <c r="Q33" i="17"/>
  <c r="M33" i="17"/>
  <c r="M38" i="17"/>
  <c r="E118" i="6"/>
  <c r="N30" i="17"/>
  <c r="M43" i="17"/>
  <c r="Q27" i="17"/>
  <c r="R15" i="17"/>
  <c r="Q11" i="17"/>
  <c r="R7" i="17" s="1"/>
  <c r="J50" i="6"/>
  <c r="J95" i="6" s="1"/>
  <c r="J96" i="6" s="1"/>
  <c r="I97" i="6"/>
  <c r="L16" i="6"/>
  <c r="L44" i="6" s="1"/>
  <c r="C28" i="12"/>
  <c r="H122" i="6"/>
  <c r="F26" i="12"/>
  <c r="K46" i="6"/>
  <c r="M19" i="6"/>
  <c r="L20" i="6"/>
  <c r="K45" i="6"/>
  <c r="N95" i="6"/>
  <c r="L28" i="6"/>
  <c r="M27" i="6"/>
  <c r="M28" i="6" s="1"/>
  <c r="M29" i="6"/>
  <c r="M30" i="6" s="1"/>
  <c r="L30" i="6"/>
  <c r="M17" i="6"/>
  <c r="L18" i="6"/>
  <c r="H98" i="6"/>
  <c r="L10" i="6"/>
  <c r="M14" i="6"/>
  <c r="M16" i="6" s="1"/>
  <c r="M44" i="6" s="1"/>
  <c r="M42" i="6"/>
  <c r="E11" i="13"/>
  <c r="B10" i="12"/>
  <c r="F124" i="6"/>
  <c r="F120" i="6"/>
  <c r="F123" i="6"/>
  <c r="C29" i="1"/>
  <c r="C30" i="1"/>
  <c r="B20" i="1"/>
  <c r="B17" i="1"/>
  <c r="C28" i="1"/>
  <c r="C14" i="17"/>
  <c r="E14" i="17" s="1"/>
  <c r="E13" i="17"/>
  <c r="F108" i="6" l="1"/>
  <c r="G106" i="6" s="1"/>
  <c r="L100" i="6"/>
  <c r="L102" i="6" s="1"/>
  <c r="R42" i="17"/>
  <c r="J27" i="12" s="1"/>
  <c r="M100" i="6"/>
  <c r="M102" i="6" s="1"/>
  <c r="S42" i="17"/>
  <c r="K27" i="12" s="1"/>
  <c r="I100" i="6"/>
  <c r="I102" i="6" s="1"/>
  <c r="I121" i="6" s="1"/>
  <c r="O42" i="17"/>
  <c r="G27" i="12" s="1"/>
  <c r="J100" i="6"/>
  <c r="J102" i="6" s="1"/>
  <c r="P42" i="17"/>
  <c r="H27" i="12" s="1"/>
  <c r="N41" i="17"/>
  <c r="O41" i="17" s="1"/>
  <c r="P41" i="17" s="1"/>
  <c r="Q41" i="17" s="1"/>
  <c r="R41" i="17" s="1"/>
  <c r="S41" i="17" s="1"/>
  <c r="H100" i="6"/>
  <c r="N42" i="17"/>
  <c r="F27" i="12" s="1"/>
  <c r="F28" i="12" s="1"/>
  <c r="K100" i="6"/>
  <c r="K102" i="6" s="1"/>
  <c r="Q42" i="17"/>
  <c r="I27" i="12" s="1"/>
  <c r="M39" i="17"/>
  <c r="N39" i="17" s="1"/>
  <c r="O39" i="17" s="1"/>
  <c r="P39" i="17" s="1"/>
  <c r="Q39" i="17" s="1"/>
  <c r="R39" i="17" s="1"/>
  <c r="S39" i="17" s="1"/>
  <c r="M42" i="17"/>
  <c r="E27" i="12" s="1"/>
  <c r="G101" i="6"/>
  <c r="N34" i="17"/>
  <c r="N37" i="17"/>
  <c r="R23" i="17"/>
  <c r="R19" i="17"/>
  <c r="K50" i="6"/>
  <c r="K95" i="6" s="1"/>
  <c r="K96" i="6" s="1"/>
  <c r="J97" i="6"/>
  <c r="O44" i="6"/>
  <c r="P44" i="6" s="1"/>
  <c r="H88" i="12"/>
  <c r="G122" i="6"/>
  <c r="E26" i="12"/>
  <c r="I122" i="6"/>
  <c r="G26" i="12"/>
  <c r="G28" i="12" s="1"/>
  <c r="F6" i="13"/>
  <c r="H12" i="13"/>
  <c r="H26" i="12"/>
  <c r="H28" i="12" s="1"/>
  <c r="I98" i="6"/>
  <c r="D9" i="13"/>
  <c r="D11" i="13"/>
  <c r="B6" i="13"/>
  <c r="H10" i="13"/>
  <c r="D6" i="13"/>
  <c r="D8" i="13"/>
  <c r="G10" i="13"/>
  <c r="B8" i="13"/>
  <c r="E10" i="13"/>
  <c r="C13" i="13"/>
  <c r="D13" i="13"/>
  <c r="E9" i="13"/>
  <c r="E13" i="13"/>
  <c r="G8" i="13"/>
  <c r="F8" i="13"/>
  <c r="D10" i="13"/>
  <c r="B11" i="13"/>
  <c r="C10" i="13"/>
  <c r="B10" i="13"/>
  <c r="L45" i="6"/>
  <c r="F12" i="13"/>
  <c r="M18" i="6"/>
  <c r="M45" i="6" s="1"/>
  <c r="G7" i="13"/>
  <c r="H7" i="13"/>
  <c r="C8" i="13"/>
  <c r="D12" i="13"/>
  <c r="E6" i="13"/>
  <c r="C11" i="13"/>
  <c r="H8" i="13"/>
  <c r="F10" i="13"/>
  <c r="M43" i="6"/>
  <c r="O14" i="6"/>
  <c r="P14" i="6" s="1"/>
  <c r="F7" i="13"/>
  <c r="G12" i="13"/>
  <c r="E7" i="13"/>
  <c r="B12" i="13"/>
  <c r="E8" i="13"/>
  <c r="E12" i="13"/>
  <c r="C12" i="13"/>
  <c r="G11" i="13"/>
  <c r="D7" i="13"/>
  <c r="H9" i="13"/>
  <c r="H6" i="13"/>
  <c r="G98" i="6"/>
  <c r="N97" i="6"/>
  <c r="N98" i="6" s="1"/>
  <c r="F13" i="13"/>
  <c r="B13" i="13"/>
  <c r="H11" i="13"/>
  <c r="H13" i="13"/>
  <c r="F11" i="13"/>
  <c r="F9" i="13"/>
  <c r="C7" i="13"/>
  <c r="B7" i="13"/>
  <c r="G13" i="13"/>
  <c r="G6" i="13"/>
  <c r="L46" i="6"/>
  <c r="C6" i="13"/>
  <c r="G9" i="13"/>
  <c r="B9" i="13"/>
  <c r="C9" i="13"/>
  <c r="M20" i="6"/>
  <c r="M46" i="6" s="1"/>
  <c r="C65" i="12"/>
  <c r="B63" i="12"/>
  <c r="C69" i="12" s="1"/>
  <c r="B2" i="14"/>
  <c r="B9" i="12"/>
  <c r="G13" i="11"/>
  <c r="C17" i="11"/>
  <c r="H123" i="6"/>
  <c r="H124" i="6"/>
  <c r="B21" i="1"/>
  <c r="C34" i="1"/>
  <c r="B34" i="1"/>
  <c r="B32" i="1"/>
  <c r="B33" i="1"/>
  <c r="M27" i="12" l="1"/>
  <c r="F19" i="14"/>
  <c r="O100" i="6"/>
  <c r="H102" i="6"/>
  <c r="N100" i="6"/>
  <c r="G102" i="6"/>
  <c r="N101" i="6"/>
  <c r="O101" i="6"/>
  <c r="J121" i="6"/>
  <c r="I104" i="6"/>
  <c r="F36" i="12"/>
  <c r="F38" i="12" s="1"/>
  <c r="E36" i="12"/>
  <c r="E38" i="12" s="1"/>
  <c r="C36" i="12"/>
  <c r="C38" i="12" s="1"/>
  <c r="B36" i="12"/>
  <c r="B38" i="12" s="1"/>
  <c r="E76" i="12"/>
  <c r="M76" i="12" s="1"/>
  <c r="D36" i="12"/>
  <c r="D38" i="12" s="1"/>
  <c r="O30" i="17"/>
  <c r="N43" i="17"/>
  <c r="R27" i="17"/>
  <c r="S15" i="17"/>
  <c r="C18" i="11"/>
  <c r="D19" i="14"/>
  <c r="I88" i="12"/>
  <c r="Q118" i="6"/>
  <c r="K121" i="6"/>
  <c r="K97" i="6"/>
  <c r="R11" i="17"/>
  <c r="S7" i="17" s="1"/>
  <c r="K42" i="12"/>
  <c r="C42" i="12"/>
  <c r="C43" i="12" s="1"/>
  <c r="E112" i="6" s="1"/>
  <c r="H42" i="12"/>
  <c r="H43" i="12" s="1"/>
  <c r="J112" i="6" s="1"/>
  <c r="G42" i="12"/>
  <c r="G43" i="12" s="1"/>
  <c r="I112" i="6" s="1"/>
  <c r="B42" i="12"/>
  <c r="D42" i="12"/>
  <c r="D43" i="12" s="1"/>
  <c r="I42" i="12"/>
  <c r="E42" i="12"/>
  <c r="F42" i="12"/>
  <c r="F43" i="12" s="1"/>
  <c r="H112" i="6" s="1"/>
  <c r="J42" i="12"/>
  <c r="D10" i="14"/>
  <c r="D8" i="14"/>
  <c r="K10" i="14"/>
  <c r="F10" i="14"/>
  <c r="D7" i="14"/>
  <c r="I10" i="14"/>
  <c r="H7" i="14"/>
  <c r="C10" i="14"/>
  <c r="B7" i="14"/>
  <c r="C8" i="14"/>
  <c r="E10" i="14"/>
  <c r="G7" i="14"/>
  <c r="B10" i="14"/>
  <c r="G10" i="14"/>
  <c r="H8" i="14"/>
  <c r="J10" i="14"/>
  <c r="C7" i="14"/>
  <c r="E8" i="14"/>
  <c r="F8" i="14"/>
  <c r="F7" i="14"/>
  <c r="H10" i="14"/>
  <c r="I7" i="14"/>
  <c r="K7" i="14"/>
  <c r="G8" i="14"/>
  <c r="E7" i="14"/>
  <c r="K8" i="14"/>
  <c r="I8" i="14"/>
  <c r="J8" i="14"/>
  <c r="J7" i="14"/>
  <c r="B8" i="14"/>
  <c r="B21" i="14"/>
  <c r="C21" i="14"/>
  <c r="E28" i="12"/>
  <c r="O45" i="6"/>
  <c r="P45" i="6" s="1"/>
  <c r="J122" i="6"/>
  <c r="J104" i="6"/>
  <c r="J98" i="6"/>
  <c r="L50" i="6"/>
  <c r="L95" i="6" s="1"/>
  <c r="L96" i="6" s="1"/>
  <c r="M50" i="6"/>
  <c r="M95" i="6" s="1"/>
  <c r="M96" i="6" s="1"/>
  <c r="M10" i="6"/>
  <c r="O43" i="6"/>
  <c r="P43" i="6" s="1"/>
  <c r="O46" i="6"/>
  <c r="P46" i="6" s="1"/>
  <c r="C19" i="11"/>
  <c r="C20" i="11"/>
  <c r="B75" i="12"/>
  <c r="C75" i="12" s="1"/>
  <c r="B79" i="12"/>
  <c r="C79" i="12" s="1"/>
  <c r="B62" i="12"/>
  <c r="B65" i="12"/>
  <c r="D65" i="12"/>
  <c r="F3" i="14"/>
  <c r="D35" i="14"/>
  <c r="E35" i="14" s="1"/>
  <c r="B26" i="14"/>
  <c r="C67" i="12"/>
  <c r="C68" i="12"/>
  <c r="G9" i="16"/>
  <c r="B5" i="16"/>
  <c r="C42" i="1"/>
  <c r="C44" i="1"/>
  <c r="C38" i="1"/>
  <c r="E24" i="1"/>
  <c r="D38" i="1"/>
  <c r="B38" i="1"/>
  <c r="G123" i="6"/>
  <c r="G124" i="6"/>
  <c r="I124" i="6"/>
  <c r="I120" i="6"/>
  <c r="I123" i="6"/>
  <c r="H120" i="6" l="1"/>
  <c r="H104" i="6"/>
  <c r="H121" i="6"/>
  <c r="G104" i="6"/>
  <c r="G107" i="6" s="1"/>
  <c r="G108" i="6" s="1"/>
  <c r="H106" i="6" s="1"/>
  <c r="G121" i="6"/>
  <c r="N102" i="6"/>
  <c r="O102" i="6"/>
  <c r="G120" i="6"/>
  <c r="D46" i="12"/>
  <c r="F112" i="6"/>
  <c r="O34" i="17"/>
  <c r="O37" i="17"/>
  <c r="G11" i="11"/>
  <c r="B34" i="12" s="1"/>
  <c r="G16" i="11"/>
  <c r="S23" i="17"/>
  <c r="M19" i="14"/>
  <c r="F20" i="14"/>
  <c r="F21" i="14" s="1"/>
  <c r="K20" i="14"/>
  <c r="K21" i="14" s="1"/>
  <c r="H20" i="14"/>
  <c r="H21" i="14" s="1"/>
  <c r="G20" i="14"/>
  <c r="G21" i="14" s="1"/>
  <c r="J20" i="14"/>
  <c r="J21" i="14" s="1"/>
  <c r="D20" i="14"/>
  <c r="D21" i="14" s="1"/>
  <c r="E20" i="14"/>
  <c r="E21" i="14" s="1"/>
  <c r="I20" i="14"/>
  <c r="I21" i="14" s="1"/>
  <c r="S19" i="17"/>
  <c r="L121" i="6"/>
  <c r="L97" i="6"/>
  <c r="M121" i="6"/>
  <c r="M97" i="6"/>
  <c r="C46" i="12"/>
  <c r="C11" i="14"/>
  <c r="D11" i="14"/>
  <c r="G46" i="12"/>
  <c r="G11" i="14"/>
  <c r="H11" i="14"/>
  <c r="H46" i="12"/>
  <c r="M10" i="14"/>
  <c r="F11" i="14"/>
  <c r="F46" i="12"/>
  <c r="M42" i="12"/>
  <c r="G14" i="11" s="1"/>
  <c r="B43" i="12"/>
  <c r="D112" i="6" s="1"/>
  <c r="C81" i="12"/>
  <c r="D79" i="12"/>
  <c r="C77" i="12"/>
  <c r="D75" i="12"/>
  <c r="K122" i="6"/>
  <c r="I26" i="12"/>
  <c r="E43" i="12"/>
  <c r="G112" i="6" s="1"/>
  <c r="K98" i="6"/>
  <c r="K104" i="6"/>
  <c r="K88" i="12"/>
  <c r="O50" i="6"/>
  <c r="P50" i="6" s="1"/>
  <c r="J88" i="12"/>
  <c r="M79" i="12"/>
  <c r="M81" i="12" s="1"/>
  <c r="B81" i="12"/>
  <c r="B77" i="12"/>
  <c r="M75" i="12"/>
  <c r="M77" i="12" s="1"/>
  <c r="C24" i="11"/>
  <c r="C25" i="11"/>
  <c r="C22" i="11"/>
  <c r="G9" i="11"/>
  <c r="B32" i="12" s="1"/>
  <c r="H9" i="16"/>
  <c r="H118" i="6" l="1"/>
  <c r="H107" i="6"/>
  <c r="H108" i="6" s="1"/>
  <c r="G8" i="11" s="1"/>
  <c r="N104" i="6"/>
  <c r="G118" i="6"/>
  <c r="D119" i="6" s="1"/>
  <c r="Q119" i="6" s="1"/>
  <c r="E22" i="1"/>
  <c r="B49" i="1"/>
  <c r="D49" i="12"/>
  <c r="D48" i="12"/>
  <c r="D55" i="12" s="1"/>
  <c r="F113" i="6" s="1"/>
  <c r="B50" i="1"/>
  <c r="Q112" i="6"/>
  <c r="O43" i="17"/>
  <c r="P30" i="17"/>
  <c r="S27" i="17"/>
  <c r="C26" i="11"/>
  <c r="C27" i="11" s="1"/>
  <c r="D18" i="14"/>
  <c r="S11" i="17"/>
  <c r="G48" i="12"/>
  <c r="G55" i="12" s="1"/>
  <c r="I113" i="6" s="1"/>
  <c r="I115" i="6" s="1"/>
  <c r="G49" i="12"/>
  <c r="G89" i="12" s="1"/>
  <c r="G92" i="12" s="1"/>
  <c r="C48" i="12"/>
  <c r="C55" i="12" s="1"/>
  <c r="E113" i="6" s="1"/>
  <c r="C49" i="12"/>
  <c r="H49" i="12"/>
  <c r="H89" i="12" s="1"/>
  <c r="H92" i="12" s="1"/>
  <c r="H48" i="12"/>
  <c r="H55" i="12" s="1"/>
  <c r="J113" i="6" s="1"/>
  <c r="J115" i="6" s="1"/>
  <c r="M88" i="12"/>
  <c r="D77" i="12"/>
  <c r="E75" i="12"/>
  <c r="D81" i="12"/>
  <c r="E79" i="12"/>
  <c r="B46" i="12"/>
  <c r="B11" i="14"/>
  <c r="B12" i="14" s="1"/>
  <c r="C12" i="14" s="1"/>
  <c r="D12" i="14" s="1"/>
  <c r="F49" i="12"/>
  <c r="F48" i="12"/>
  <c r="F55" i="12" s="1"/>
  <c r="H113" i="6" s="1"/>
  <c r="E46" i="12"/>
  <c r="E11" i="14"/>
  <c r="I28" i="12"/>
  <c r="K26" i="12"/>
  <c r="K28" i="12" s="1"/>
  <c r="K43" i="12" s="1"/>
  <c r="M112" i="6" s="1"/>
  <c r="G10" i="11"/>
  <c r="G18" i="11"/>
  <c r="J123" i="6"/>
  <c r="J124" i="6"/>
  <c r="J120" i="6"/>
  <c r="K120" i="6"/>
  <c r="K124" i="6"/>
  <c r="K123" i="6"/>
  <c r="I106" i="6" l="1"/>
  <c r="I107" i="6" s="1"/>
  <c r="I108" i="6" s="1"/>
  <c r="J106" i="6" s="1"/>
  <c r="B33" i="12"/>
  <c r="B35" i="12" s="1"/>
  <c r="E62" i="12"/>
  <c r="D57" i="12"/>
  <c r="D14" i="14"/>
  <c r="D15" i="14" s="1"/>
  <c r="D58" i="12"/>
  <c r="D89" i="12"/>
  <c r="D92" i="12" s="1"/>
  <c r="L36" i="12"/>
  <c r="M36" i="12" s="1"/>
  <c r="B51" i="1"/>
  <c r="E23" i="1"/>
  <c r="L46" i="12"/>
  <c r="E64" i="12"/>
  <c r="F114" i="6"/>
  <c r="F115" i="6" s="1"/>
  <c r="P34" i="17"/>
  <c r="P37" i="17"/>
  <c r="F21" i="16"/>
  <c r="G14" i="14"/>
  <c r="G57" i="12"/>
  <c r="H62" i="12"/>
  <c r="C58" i="12"/>
  <c r="C57" i="12"/>
  <c r="C14" i="14"/>
  <c r="D62" i="12"/>
  <c r="C89" i="12"/>
  <c r="C92" i="12" s="1"/>
  <c r="H57" i="12"/>
  <c r="H14" i="14"/>
  <c r="I62" i="12"/>
  <c r="E12" i="14"/>
  <c r="F12" i="14" s="1"/>
  <c r="G12" i="14" s="1"/>
  <c r="H12" i="14" s="1"/>
  <c r="B48" i="12"/>
  <c r="B55" i="12" s="1"/>
  <c r="D113" i="6" s="1"/>
  <c r="B49" i="12"/>
  <c r="F14" i="14"/>
  <c r="F57" i="12"/>
  <c r="H128" i="6" s="1"/>
  <c r="E81" i="12"/>
  <c r="F79" i="12"/>
  <c r="E77" i="12"/>
  <c r="F75" i="12"/>
  <c r="F58" i="12"/>
  <c r="H114" i="6" s="1"/>
  <c r="H115" i="6" s="1"/>
  <c r="F89" i="12"/>
  <c r="F92" i="12" s="1"/>
  <c r="D25" i="14"/>
  <c r="E26" i="14" s="1"/>
  <c r="I43" i="12"/>
  <c r="K112" i="6" s="1"/>
  <c r="K46" i="12"/>
  <c r="K11" i="14"/>
  <c r="E49" i="12"/>
  <c r="E48" i="12"/>
  <c r="E55" i="12" s="1"/>
  <c r="M122" i="6"/>
  <c r="M98" i="6"/>
  <c r="M104" i="6"/>
  <c r="O95" i="6"/>
  <c r="P95" i="6" s="1"/>
  <c r="L90" i="12"/>
  <c r="M90" i="12"/>
  <c r="I126" i="6"/>
  <c r="J126" i="6"/>
  <c r="C43" i="1"/>
  <c r="C40" i="1"/>
  <c r="C39" i="1"/>
  <c r="F126" i="6"/>
  <c r="E126" i="6"/>
  <c r="H126" i="6"/>
  <c r="D18" i="16" l="1"/>
  <c r="J107" i="6"/>
  <c r="J108" i="6" s="1"/>
  <c r="K106" i="6" s="1"/>
  <c r="F128" i="6"/>
  <c r="L38" i="12"/>
  <c r="B43" i="14"/>
  <c r="C43" i="14" s="1"/>
  <c r="D43" i="14" s="1"/>
  <c r="B44" i="14"/>
  <c r="C44" i="14" s="1"/>
  <c r="D44" i="14" s="1"/>
  <c r="B48" i="14"/>
  <c r="C48" i="14" s="1"/>
  <c r="D48" i="14" s="1"/>
  <c r="B50" i="14"/>
  <c r="C50" i="14" s="1"/>
  <c r="D50" i="14" s="1"/>
  <c r="B49" i="14"/>
  <c r="C49" i="14" s="1"/>
  <c r="D49" i="14" s="1"/>
  <c r="B46" i="14"/>
  <c r="C46" i="14" s="1"/>
  <c r="D46" i="14" s="1"/>
  <c r="B47" i="14"/>
  <c r="C47" i="14" s="1"/>
  <c r="D47" i="14" s="1"/>
  <c r="B45" i="14"/>
  <c r="C45" i="14" s="1"/>
  <c r="D45" i="14" s="1"/>
  <c r="G126" i="6"/>
  <c r="G113" i="6"/>
  <c r="D64" i="12"/>
  <c r="E114" i="6"/>
  <c r="E115" i="6" s="1"/>
  <c r="E19" i="1" s="1"/>
  <c r="Q113" i="6"/>
  <c r="Q30" i="17"/>
  <c r="P43" i="17"/>
  <c r="D30" i="16"/>
  <c r="G25" i="14"/>
  <c r="H26" i="14" s="1"/>
  <c r="G15" i="14"/>
  <c r="I128" i="6"/>
  <c r="E128" i="6"/>
  <c r="C25" i="14"/>
  <c r="C15" i="14"/>
  <c r="D14" i="16"/>
  <c r="H15" i="14"/>
  <c r="D34" i="16"/>
  <c r="H25" i="14"/>
  <c r="I26" i="14" s="1"/>
  <c r="J128" i="6"/>
  <c r="F81" i="12"/>
  <c r="G79" i="12"/>
  <c r="F15" i="14"/>
  <c r="D26" i="16"/>
  <c r="E20" i="16"/>
  <c r="G20" i="16" s="1"/>
  <c r="E18" i="16"/>
  <c r="G18" i="16" s="1"/>
  <c r="E21" i="16"/>
  <c r="G21" i="16" s="1"/>
  <c r="E19" i="16"/>
  <c r="G19" i="16" s="1"/>
  <c r="F77" i="12"/>
  <c r="G75" i="12"/>
  <c r="B58" i="12"/>
  <c r="B89" i="12"/>
  <c r="B92" i="12" s="1"/>
  <c r="B57" i="12"/>
  <c r="C62" i="12"/>
  <c r="B14" i="14"/>
  <c r="L122" i="6"/>
  <c r="J26" i="12"/>
  <c r="K49" i="12"/>
  <c r="K89" i="12" s="1"/>
  <c r="K92" i="12" s="1"/>
  <c r="K48" i="12"/>
  <c r="K55" i="12" s="1"/>
  <c r="M113" i="6" s="1"/>
  <c r="E89" i="12"/>
  <c r="E92" i="12" s="1"/>
  <c r="E58" i="12"/>
  <c r="I46" i="12"/>
  <c r="I11" i="14"/>
  <c r="I12" i="14" s="1"/>
  <c r="E57" i="12"/>
  <c r="G128" i="6" s="1"/>
  <c r="F62" i="12"/>
  <c r="E14" i="14"/>
  <c r="L104" i="6"/>
  <c r="L98" i="6"/>
  <c r="O97" i="6"/>
  <c r="B96" i="12"/>
  <c r="D126" i="6"/>
  <c r="C41" i="1"/>
  <c r="L120" i="6"/>
  <c r="L124" i="6"/>
  <c r="L123" i="6"/>
  <c r="K107" i="6" l="1"/>
  <c r="K108" i="6" s="1"/>
  <c r="L106" i="6" s="1"/>
  <c r="L107" i="6" s="1"/>
  <c r="L108" i="6" s="1"/>
  <c r="M106" i="6" s="1"/>
  <c r="G12" i="11"/>
  <c r="G15" i="11" s="1"/>
  <c r="G17" i="11" s="1"/>
  <c r="P97" i="6"/>
  <c r="O98" i="6"/>
  <c r="M38" i="12"/>
  <c r="L91" i="12"/>
  <c r="M91" i="12"/>
  <c r="L49" i="12"/>
  <c r="L48" i="12"/>
  <c r="L55" i="12" s="1"/>
  <c r="F64" i="12"/>
  <c r="G114" i="6"/>
  <c r="G115" i="6" s="1"/>
  <c r="C64" i="12"/>
  <c r="D114" i="6"/>
  <c r="Q34" i="17"/>
  <c r="Q37" i="17"/>
  <c r="E31" i="16"/>
  <c r="G31" i="16" s="1"/>
  <c r="E33" i="16"/>
  <c r="G33" i="16" s="1"/>
  <c r="E32" i="16"/>
  <c r="G32" i="16" s="1"/>
  <c r="E30" i="16"/>
  <c r="G30" i="16" s="1"/>
  <c r="D26" i="14"/>
  <c r="E16" i="16"/>
  <c r="G16" i="16" s="1"/>
  <c r="E14" i="16"/>
  <c r="E15" i="16"/>
  <c r="G15" i="16" s="1"/>
  <c r="E17" i="16"/>
  <c r="G17" i="16" s="1"/>
  <c r="E34" i="16"/>
  <c r="G34" i="16" s="1"/>
  <c r="E36" i="16"/>
  <c r="G36" i="16" s="1"/>
  <c r="E35" i="16"/>
  <c r="G35" i="16" s="1"/>
  <c r="E37" i="16"/>
  <c r="G37" i="16" s="1"/>
  <c r="H75" i="12"/>
  <c r="G77" i="12"/>
  <c r="B15" i="14"/>
  <c r="B25" i="14"/>
  <c r="C26" i="14" s="1"/>
  <c r="B24" i="14"/>
  <c r="D10" i="16"/>
  <c r="B23" i="14"/>
  <c r="B16" i="14"/>
  <c r="D24" i="14"/>
  <c r="D16" i="14"/>
  <c r="C23" i="14"/>
  <c r="C24" i="14"/>
  <c r="C16" i="14"/>
  <c r="D23" i="14"/>
  <c r="E26" i="16"/>
  <c r="G26" i="16" s="1"/>
  <c r="E27" i="16"/>
  <c r="G27" i="16" s="1"/>
  <c r="E29" i="16"/>
  <c r="E28" i="16"/>
  <c r="G28" i="16" s="1"/>
  <c r="G81" i="12"/>
  <c r="H79" i="12"/>
  <c r="K57" i="12"/>
  <c r="M128" i="6" s="1"/>
  <c r="K14" i="14"/>
  <c r="L62" i="12"/>
  <c r="M126" i="6"/>
  <c r="E15" i="14"/>
  <c r="D22" i="16"/>
  <c r="E25" i="14"/>
  <c r="H23" i="14"/>
  <c r="E23" i="14"/>
  <c r="G24" i="14"/>
  <c r="H24" i="14"/>
  <c r="E16" i="14"/>
  <c r="H16" i="14"/>
  <c r="G23" i="14"/>
  <c r="E24" i="14"/>
  <c r="G16" i="14"/>
  <c r="F16" i="14"/>
  <c r="I48" i="12"/>
  <c r="I49" i="12"/>
  <c r="J28" i="12"/>
  <c r="M26" i="12"/>
  <c r="M115" i="6"/>
  <c r="O104" i="6"/>
  <c r="D128" i="6"/>
  <c r="D127" i="6"/>
  <c r="Q126" i="6"/>
  <c r="E18" i="1"/>
  <c r="G20" i="11" l="1"/>
  <c r="G19" i="11"/>
  <c r="G24" i="11" s="1"/>
  <c r="M107" i="6"/>
  <c r="M108" i="6" s="1"/>
  <c r="L89" i="12"/>
  <c r="L92" i="12" s="1"/>
  <c r="L58" i="12"/>
  <c r="L57" i="12"/>
  <c r="G62" i="12"/>
  <c r="D115" i="6"/>
  <c r="Q114" i="6"/>
  <c r="Q43" i="17"/>
  <c r="R30" i="17"/>
  <c r="E43" i="1"/>
  <c r="G14" i="16"/>
  <c r="I79" i="12"/>
  <c r="H81" i="12"/>
  <c r="E12" i="16"/>
  <c r="G12" i="16" s="1"/>
  <c r="E11" i="16"/>
  <c r="G11" i="16" s="1"/>
  <c r="E13" i="16"/>
  <c r="G13" i="16" s="1"/>
  <c r="E10" i="16"/>
  <c r="G10" i="16" s="1"/>
  <c r="H10" i="16" s="1"/>
  <c r="H77" i="12"/>
  <c r="I75" i="12"/>
  <c r="E25" i="16"/>
  <c r="G25" i="16" s="1"/>
  <c r="E22" i="16"/>
  <c r="E23" i="16"/>
  <c r="G23" i="16" s="1"/>
  <c r="E24" i="16"/>
  <c r="G24" i="16" s="1"/>
  <c r="I55" i="12"/>
  <c r="K113" i="6" s="1"/>
  <c r="K115" i="6" s="1"/>
  <c r="J43" i="12"/>
  <c r="L112" i="6" s="1"/>
  <c r="M28" i="12"/>
  <c r="I89" i="12"/>
  <c r="F26" i="14"/>
  <c r="K15" i="14"/>
  <c r="K25" i="14"/>
  <c r="L26" i="14" s="1"/>
  <c r="D46" i="16"/>
  <c r="D129" i="6"/>
  <c r="Q128" i="6"/>
  <c r="Q127" i="6"/>
  <c r="B44" i="1"/>
  <c r="M123" i="6"/>
  <c r="M124" i="6"/>
  <c r="M120" i="6"/>
  <c r="F18" i="14" l="1"/>
  <c r="F29" i="16" s="1"/>
  <c r="G21" i="11"/>
  <c r="G25" i="11" s="1"/>
  <c r="F23" i="14"/>
  <c r="F24" i="14"/>
  <c r="M58" i="12"/>
  <c r="G64" i="12"/>
  <c r="E69" i="12" s="1"/>
  <c r="E42" i="1" s="1"/>
  <c r="Q115" i="6"/>
  <c r="N115" i="6"/>
  <c r="R34" i="17"/>
  <c r="R37" i="17"/>
  <c r="H11" i="16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J75" i="12"/>
  <c r="I77" i="12"/>
  <c r="J79" i="12"/>
  <c r="I81" i="12"/>
  <c r="E46" i="16"/>
  <c r="G46" i="16" s="1"/>
  <c r="E49" i="16"/>
  <c r="G49" i="16" s="1"/>
  <c r="E48" i="16"/>
  <c r="G48" i="16" s="1"/>
  <c r="E47" i="16"/>
  <c r="G47" i="16" s="1"/>
  <c r="I92" i="12"/>
  <c r="I57" i="12"/>
  <c r="I14" i="14"/>
  <c r="J62" i="12"/>
  <c r="K126" i="6"/>
  <c r="G22" i="16"/>
  <c r="J46" i="12"/>
  <c r="J11" i="14"/>
  <c r="M43" i="12"/>
  <c r="Q129" i="6"/>
  <c r="D44" i="1"/>
  <c r="M18" i="14" l="1"/>
  <c r="F25" i="14"/>
  <c r="G26" i="14" s="1"/>
  <c r="G29" i="16"/>
  <c r="F51" i="16"/>
  <c r="E40" i="1"/>
  <c r="E39" i="1"/>
  <c r="E66" i="12"/>
  <c r="S30" i="17"/>
  <c r="R43" i="17"/>
  <c r="K79" i="12"/>
  <c r="J81" i="12"/>
  <c r="K75" i="12"/>
  <c r="J77" i="12"/>
  <c r="M11" i="14"/>
  <c r="J12" i="14"/>
  <c r="K12" i="14" s="1"/>
  <c r="M12" i="14" s="1"/>
  <c r="J48" i="12"/>
  <c r="J49" i="12"/>
  <c r="M46" i="12"/>
  <c r="I15" i="14"/>
  <c r="D38" i="16"/>
  <c r="I25" i="14"/>
  <c r="I16" i="14"/>
  <c r="I24" i="14"/>
  <c r="I23" i="14"/>
  <c r="K128" i="6"/>
  <c r="H22" i="16"/>
  <c r="H23" i="16" s="1"/>
  <c r="H24" i="16" s="1"/>
  <c r="H25" i="16" s="1"/>
  <c r="H26" i="16" s="1"/>
  <c r="H27" i="16" s="1"/>
  <c r="H28" i="16" s="1"/>
  <c r="H29" i="16" l="1"/>
  <c r="H30" i="16" s="1"/>
  <c r="H31" i="16" s="1"/>
  <c r="H32" i="16" s="1"/>
  <c r="H33" i="16" s="1"/>
  <c r="H34" i="16" s="1"/>
  <c r="H35" i="16" s="1"/>
  <c r="H36" i="16" s="1"/>
  <c r="H37" i="16" s="1"/>
  <c r="E16" i="1"/>
  <c r="E68" i="12"/>
  <c r="E67" i="12"/>
  <c r="E41" i="1" s="1"/>
  <c r="S34" i="17"/>
  <c r="S43" i="17" s="1"/>
  <c r="S37" i="17"/>
  <c r="K77" i="12"/>
  <c r="L75" i="12"/>
  <c r="L77" i="12" s="1"/>
  <c r="N75" i="12"/>
  <c r="K81" i="12"/>
  <c r="L79" i="12"/>
  <c r="L81" i="12" s="1"/>
  <c r="N79" i="12"/>
  <c r="J26" i="14"/>
  <c r="E40" i="16"/>
  <c r="G40" i="16" s="1"/>
  <c r="E38" i="16"/>
  <c r="E41" i="16"/>
  <c r="G41" i="16" s="1"/>
  <c r="E39" i="16"/>
  <c r="G39" i="16" s="1"/>
  <c r="J89" i="12"/>
  <c r="M49" i="12"/>
  <c r="J55" i="12"/>
  <c r="M48" i="12"/>
  <c r="E44" i="1" l="1"/>
  <c r="L113" i="6"/>
  <c r="L115" i="6" s="1"/>
  <c r="O115" i="6" s="1"/>
  <c r="J92" i="12"/>
  <c r="M89" i="12"/>
  <c r="G38" i="16"/>
  <c r="J57" i="12"/>
  <c r="J14" i="14"/>
  <c r="K62" i="12"/>
  <c r="B69" i="12" s="1"/>
  <c r="L126" i="6"/>
  <c r="M55" i="12"/>
  <c r="D69" i="12" l="1"/>
  <c r="D42" i="1" s="1"/>
  <c r="B42" i="1"/>
  <c r="E37" i="14"/>
  <c r="E15" i="1"/>
  <c r="B66" i="12"/>
  <c r="B40" i="1"/>
  <c r="B43" i="1"/>
  <c r="B39" i="1"/>
  <c r="J15" i="14"/>
  <c r="D42" i="16"/>
  <c r="J25" i="14"/>
  <c r="L14" i="14"/>
  <c r="B30" i="14"/>
  <c r="G27" i="11" s="1"/>
  <c r="K23" i="14"/>
  <c r="J23" i="14"/>
  <c r="M14" i="14"/>
  <c r="J16" i="14"/>
  <c r="K24" i="14"/>
  <c r="K16" i="14"/>
  <c r="J24" i="14"/>
  <c r="L128" i="6"/>
  <c r="M57" i="12"/>
  <c r="H38" i="16"/>
  <c r="H39" i="16" s="1"/>
  <c r="H40" i="16" s="1"/>
  <c r="H41" i="16" s="1"/>
  <c r="B97" i="12"/>
  <c r="M92" i="12"/>
  <c r="C97" i="12" l="1"/>
  <c r="D66" i="12"/>
  <c r="D39" i="1"/>
  <c r="D43" i="1"/>
  <c r="D40" i="1"/>
  <c r="E42" i="16"/>
  <c r="E44" i="16"/>
  <c r="G44" i="16" s="1"/>
  <c r="E43" i="16"/>
  <c r="G43" i="16" s="1"/>
  <c r="E45" i="16"/>
  <c r="G45" i="16" s="1"/>
  <c r="B67" i="12"/>
  <c r="B68" i="12"/>
  <c r="B99" i="12"/>
  <c r="C96" i="12"/>
  <c r="E46" i="14"/>
  <c r="E49" i="14"/>
  <c r="E43" i="14"/>
  <c r="E50" i="14"/>
  <c r="E47" i="14"/>
  <c r="E48" i="14"/>
  <c r="E44" i="14"/>
  <c r="E45" i="14"/>
  <c r="K26" i="14"/>
  <c r="B28" i="14" s="1"/>
  <c r="H55" i="16" s="1"/>
  <c r="L25" i="14"/>
  <c r="F50" i="14" l="1"/>
  <c r="G50" i="14"/>
  <c r="H50" i="14" s="1"/>
  <c r="G47" i="14"/>
  <c r="H47" i="14" s="1"/>
  <c r="F47" i="14"/>
  <c r="F45" i="14"/>
  <c r="G45" i="14"/>
  <c r="H45" i="14" s="1"/>
  <c r="F48" i="14"/>
  <c r="G48" i="14"/>
  <c r="H48" i="14" s="1"/>
  <c r="F43" i="14"/>
  <c r="G43" i="14"/>
  <c r="H43" i="14" s="1"/>
  <c r="B41" i="1"/>
  <c r="E17" i="1"/>
  <c r="G42" i="16"/>
  <c r="E51" i="16"/>
  <c r="G49" i="14"/>
  <c r="H49" i="14" s="1"/>
  <c r="F49" i="14"/>
  <c r="D38" i="14"/>
  <c r="M25" i="14"/>
  <c r="B27" i="14"/>
  <c r="B31" i="14"/>
  <c r="E36" i="14"/>
  <c r="C38" i="14"/>
  <c r="E38" i="14" s="1"/>
  <c r="F44" i="14"/>
  <c r="G44" i="14"/>
  <c r="H44" i="14" s="1"/>
  <c r="G46" i="14"/>
  <c r="H46" i="14" s="1"/>
  <c r="F46" i="14"/>
  <c r="D68" i="12"/>
  <c r="D67" i="12"/>
  <c r="D41" i="1" s="1"/>
  <c r="G51" i="16" l="1"/>
  <c r="H54" i="16"/>
  <c r="H42" i="16"/>
  <c r="H43" i="16" s="1"/>
  <c r="H44" i="16" s="1"/>
  <c r="H45" i="16" s="1"/>
  <c r="H46" i="16" s="1"/>
  <c r="H47" i="16" s="1"/>
  <c r="H48" i="16" s="1"/>
  <c r="H49" i="16" s="1"/>
  <c r="G26" i="11" l="1"/>
  <c r="B29" i="14"/>
  <c r="H57" i="16"/>
  <c r="H58" i="16"/>
  <c r="H5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Annual 2nd person revenue. Formula: # double-occupied units × monthly fee × 12. E.g., 8 couples × $1,200/mo × 12 = $115,200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N59" authorId="0" shapeId="0" xr:uid="{A84634C4-022D-44DC-A935-2B5EDEC856E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Analyzer LtL was -$332,093 = beds priced ABOVE market = positive adjustment. Entered as positive here.</t>
        </r>
      </text>
    </comment>
    <comment ref="N62" authorId="0" shapeId="0" xr:uid="{E70414BB-3043-4BB0-86EE-54EEE4832551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Bad debt moved to expense side row 106</t>
        </r>
      </text>
    </comment>
    <comment ref="N116" authorId="0" shapeId="0" xr:uid="{A72C78A3-30E0-48EC-8DA6-49ABFC102037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EBITDARM = EGI - Labor - Non-Labor (BEFORE management fee)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D5" authorId="0" shapeId="0" xr:uid="{4EBECE6B-2B06-4C7A-8480-418B7DAA279A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Total debt (all tranches) from Scenarios!F23</t>
        </r>
      </text>
    </comment>
    <comment ref="B21" authorId="0" shapeId="0" xr:uid="{4CC2EA92-5970-4969-81F9-D5CBEE576AB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% — 1st loan from Scenarios!F140</t>
        </r>
      </text>
    </comment>
    <comment ref="D21" authorId="0" shapeId="0" xr:uid="{B6F357A2-9DF5-4AFC-93A5-AC3E801D4E5E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$ = sum across all 3 tranches (1st, 2nd, Supplemental)</t>
        </r>
      </text>
    </comment>
    <comment ref="D35" authorId="0" shapeId="0" xr:uid="{68C887C4-8E06-4230-8DE9-520586442EE5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RE Tax reserve: 3 months of annual RE Tax (Scenarios!F108)</t>
        </r>
      </text>
    </comment>
    <comment ref="D36" authorId="0" shapeId="0" xr:uid="{D3B6E145-F558-4D30-93CA-A9C6ABD08B7B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Insurance reserve: 3 months of annual P&amp;C Insurance (Scenarios!F104)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O2" authorId="0" shapeId="0" xr:uid="{8558B9BC-77E2-5548-90B1-62BB9BE9470D}">
      <text>
        <r>
          <rPr>
            <b/>
            <sz val="10"/>
            <color rgb="FF000000"/>
            <rFont val="Tahoma"/>
            <family val="2"/>
          </rPr>
          <t>Erik Javellana: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Toggle between Average and Max. Drives S5:S15 below. Valid values: Average, Max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A00-000001000000}">
      <text>
        <r>
          <rPr>
            <sz val="11"/>
            <color rgb="FF000000"/>
            <rFont val="Calibri"/>
            <family val="2"/>
            <charset val="1"/>
          </rPr>
          <t xml:space="preserve">Erik Javellana:
</t>
        </r>
        <r>
          <rPr>
            <sz val="11"/>
            <color rgb="FF000000"/>
            <rFont val="Calibri"/>
            <family val="2"/>
            <charset val="1"/>
          </rPr>
          <t xml:space="preserve">  Model both a cash-out refi before exit AND final disposition. Set refi year to NA to skip.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<sst xmlns="http://schemas.openxmlformats.org/spreadsheetml/2006/main" count="2072" uniqueCount="1593">
  <si>
    <t>RENT ROLL ANALYSIS  —  Diagnostic Layer (Senior Living)</t>
  </si>
  <si>
    <t>ANALYSIS on top. Raw rent roll below — paste from RentrollApp-Cl output. AR aging columns Q–T blank (paste from Analyzer AR Input or operator AR aging report). Care level: IL = Independent Living · AL = Assisted Living · MC = Memory Care.</t>
  </si>
  <si>
    <t>B.  HEALTH CHECK  —  RR vs. Prop Info reconciliation</t>
  </si>
  <si>
    <t>Date:</t>
  </si>
  <si>
    <t>Property:</t>
  </si>
  <si>
    <t>Lic Beds (Prop):</t>
  </si>
  <si>
    <t>Lic Beds (RR):</t>
  </si>
  <si>
    <t>Match:</t>
  </si>
  <si>
    <t>Total AR:</t>
  </si>
  <si>
    <t>On Notice:</t>
  </si>
  <si>
    <t>Occupied:</t>
  </si>
  <si>
    <t>C.  CARE LEVEL CENSUS  —  Licensed beds, occupancy, and rate by level</t>
  </si>
  <si>
    <t>Care Level</t>
  </si>
  <si>
    <t>Licensed Beds</t>
  </si>
  <si>
    <t>Occupied Beds</t>
  </si>
  <si>
    <t>Occupancy %</t>
  </si>
  <si>
    <t>Avg Monthly Rate</t>
  </si>
  <si>
    <t>GPR (ann.)</t>
  </si>
  <si>
    <t>Avg LOC Rev/Bed</t>
  </si>
  <si>
    <t>Total Revenue</t>
  </si>
  <si>
    <t>IL — Independent Living</t>
  </si>
  <si>
    <t>AL — Assisted Living</t>
  </si>
  <si>
    <t>MC — Memory Care</t>
  </si>
  <si>
    <t>TOTAL</t>
  </si>
  <si>
    <t>D.  RESIDENT STATUS TAXONOMY  —  Where everyone stands</t>
  </si>
  <si>
    <t>Status Bucket</t>
  </si>
  <si>
    <t># Beds</t>
  </si>
  <si>
    <t>% of Total</t>
  </si>
  <si>
    <t>Sched Charges ($/mo)</t>
  </si>
  <si>
    <t>Avg Rate/Bed</t>
  </si>
  <si>
    <t>AR Balance</t>
  </si>
  <si>
    <t>Occupied — Current (paying, no balance)</t>
  </si>
  <si>
    <t>Occupied — Delinquent (30+ days past due)</t>
  </si>
  <si>
    <t>Occupied — On Notice (30-day notice given)</t>
  </si>
  <si>
    <t>Occupied — Respite / Short-term</t>
  </si>
  <si>
    <t>Occupied — Hospice</t>
  </si>
  <si>
    <t>Vacant — Turned (ready)</t>
  </si>
  <si>
    <t>Vacant — Not Turned</t>
  </si>
  <si>
    <t>Reserved / Pre-Admitted (signed, not in)</t>
  </si>
  <si>
    <t xml:space="preserve">  Tie-out: Occ + Vacant + Reserved = Licensed Beds  |  Occ Mkt + Vac Loss should tie to Section E GPR</t>
  </si>
  <si>
    <t>E.  GPR RECONCILIATION  —  Three views of potential revenue</t>
  </si>
  <si>
    <t>Metric</t>
  </si>
  <si>
    <t>Annual Amount</t>
  </si>
  <si>
    <t>Per Bed/Mo</t>
  </si>
  <si>
    <t>Notes</t>
  </si>
  <si>
    <t>Market GPR  (all licensed beds × market rate × 12)</t>
  </si>
  <si>
    <t>Max revenue at 100% occupancy</t>
  </si>
  <si>
    <t>Scheduled GPR  (occupied × sched charges × 12)</t>
  </si>
  <si>
    <t>Contracted charges on occupied beds</t>
  </si>
  <si>
    <t>Loss to Lease %</t>
  </si>
  <si>
    <t>Vacancy Loss  (vacant beds × market rate × 12)</t>
  </si>
  <si>
    <t>Lost revenue from empty beds</t>
  </si>
  <si>
    <t>Bad Debt Risk  (delinquent + on-notice × sched × 12)</t>
  </si>
  <si>
    <t>Annualized at-risk revenue</t>
  </si>
  <si>
    <t>LOC / Care Services Revenue  (Analyzer UW Output)</t>
  </si>
  <si>
    <t>Add-on care charges — source from Analyzer</t>
  </si>
  <si>
    <t>Economic GPR  (Market − LTL − Vac − Bad Debt + LOC)</t>
  </si>
  <si>
    <t>Realistic collected revenue estimate</t>
  </si>
  <si>
    <t>Economic Occupancy %  (Econ GPR / Market GPR)</t>
  </si>
  <si>
    <t>Compare to physical occupancy above</t>
  </si>
  <si>
    <t>Current RR GPR — Occupied Scheduled (point-in-time)</t>
  </si>
  <si>
    <t>Scheduled rent × occupied beds × 12</t>
  </si>
  <si>
    <t>F.  LENGTH OF STAY COHORT  —  How long residents have been here</t>
  </si>
  <si>
    <t>Tenure</t>
  </si>
  <si>
    <t># Residents</t>
  </si>
  <si>
    <t>% Occupied</t>
  </si>
  <si>
    <t>Avg Sched Rate</t>
  </si>
  <si>
    <t>Avg Market Rate</t>
  </si>
  <si>
    <t>LTL/mo/bed</t>
  </si>
  <si>
    <t>Read</t>
  </si>
  <si>
    <t>0–6 months</t>
  </si>
  <si>
    <t>Recent admissions — high care needs assessment period</t>
  </si>
  <si>
    <t>6–12 months</t>
  </si>
  <si>
    <t>Stabilizing</t>
  </si>
  <si>
    <t>1–2 years</t>
  </si>
  <si>
    <t>Established residents</t>
  </si>
  <si>
    <t>2–3 years</t>
  </si>
  <si>
    <t>Likely below market rate</t>
  </si>
  <si>
    <t>3+ years</t>
  </si>
  <si>
    <t>Deep below market — rate increase opportunity</t>
  </si>
  <si>
    <t>G.  DAYS VACANT TRACKER  —  How long have the empty beds been empty?</t>
  </si>
  <si>
    <t xml:space="preserve">  Calculated from last discharge / move-out date. Blank discharge = unknown duration.</t>
  </si>
  <si>
    <t>Vacancy Bucket</t>
  </si>
  <si>
    <t>% of Vacant</t>
  </si>
  <si>
    <t>Lost Revenue ($/yr)</t>
  </si>
  <si>
    <t>Est. Turn Scope</t>
  </si>
  <si>
    <t>0–30 days since discharge</t>
  </si>
  <si>
    <t>Standard turn</t>
  </si>
  <si>
    <t>31–90 days</t>
  </si>
  <si>
    <t>Light to medium refurb</t>
  </si>
  <si>
    <t>90–180 days</t>
  </si>
  <si>
    <t>Medium refurb likely</t>
  </si>
  <si>
    <t>180–365 days</t>
  </si>
  <si>
    <t>Heavy refurb / deep clean</t>
  </si>
  <si>
    <t>365+ days</t>
  </si>
  <si>
    <t>Assess for off-line / renovation</t>
  </si>
  <si>
    <t>Discharge date unknown</t>
  </si>
  <si>
    <t>Investigate</t>
  </si>
  <si>
    <t>Total Lost Annual Revenue</t>
  </si>
  <si>
    <t>H.  DELINQUENCY  —  AR aging summary  (paste from Analyzer AR Input or operator aging report into cols Q–T)</t>
  </si>
  <si>
    <t>Aging Bucket</t>
  </si>
  <si>
    <t>Total $</t>
  </si>
  <si>
    <t>% of Total AR</t>
  </si>
  <si>
    <t>Avg per Resident</t>
  </si>
  <si>
    <t>Payer Mix Flag</t>
  </si>
  <si>
    <t>0–30 Days</t>
  </si>
  <si>
    <t>31–60 Days</t>
  </si>
  <si>
    <t>61–90 Days</t>
  </si>
  <si>
    <t>90+ Days</t>
  </si>
  <si>
    <t>Total AR (from balance col)</t>
  </si>
  <si>
    <t>I.  TOP-10 DELINQUENT RESIDENTS  —  Highest AR balances</t>
  </si>
  <si>
    <t xml:space="preserve">  Sorted by Balance descending. ✱✱ prefix = operator flagged for legal/collections action.</t>
  </si>
  <si>
    <t>Rank</t>
  </si>
  <si>
    <t>Wing</t>
  </si>
  <si>
    <t>Bed</t>
  </si>
  <si>
    <t>Resident</t>
  </si>
  <si>
    <t>Payer Type</t>
  </si>
  <si>
    <t>Market Rate</t>
  </si>
  <si>
    <t>Deposit</t>
  </si>
  <si>
    <t>Net Exposure</t>
  </si>
  <si>
    <t>Top 10 Total</t>
  </si>
  <si>
    <t>Top 10 as % of total AR</t>
  </si>
  <si>
    <t>Collections-flagged Residents (count)</t>
  </si>
  <si>
    <t>Collections $ Exposure</t>
  </si>
  <si>
    <t>J.  ADMISSION VELOCITY  —  Recent move-ins (how fast is this property leasing?)</t>
  </si>
  <si>
    <t xml:space="preserve">  Move-ins within last N days. Annualized pace helps benchmark against stabilized absorption assumptions.</t>
  </si>
  <si>
    <t>Window</t>
  </si>
  <si>
    <t># New Admissions</t>
  </si>
  <si>
    <t>Avg Rate Achieved</t>
  </si>
  <si>
    <t>Annualized Pace (beds/yr)</t>
  </si>
  <si>
    <t>Mo to Stabilize at Pace</t>
  </si>
  <si>
    <t>Last 30 days</t>
  </si>
  <si>
    <t>Last 60 days</t>
  </si>
  <si>
    <t>Last 90 days</t>
  </si>
  <si>
    <t>Last 180 days</t>
  </si>
  <si>
    <t>K.  PAYER MIX  —  Revenue resilience and reimbursement risk</t>
  </si>
  <si>
    <t xml:space="preserve">  Medicaid/Medicare are government-backed (lower default risk). Private pay is market-sensitive. LTC Insurance is contractual but requires prior auth.</t>
  </si>
  <si>
    <t>Monthly Revenue</t>
  </si>
  <si>
    <t>Annual Revenue</t>
  </si>
  <si>
    <t>% of Sched</t>
  </si>
  <si>
    <t>Reliability</t>
  </si>
  <si>
    <t>90+ AR $</t>
  </si>
  <si>
    <t>Private Pay</t>
  </si>
  <si>
    <t>🟡 market-sensitive</t>
  </si>
  <si>
    <t>Medicaid</t>
  </si>
  <si>
    <t>🟢 govt-backed</t>
  </si>
  <si>
    <t>Medicare</t>
  </si>
  <si>
    <t>🟢 govt-backed (episodic)</t>
  </si>
  <si>
    <t>VA Benefits</t>
  </si>
  <si>
    <t>LTC Insurance</t>
  </si>
  <si>
    <t>🟡 contractual / prior-auth risk</t>
  </si>
  <si>
    <t>Other / Unknown</t>
  </si>
  <si>
    <t>Private Pay Concentration:</t>
  </si>
  <si>
    <t>Govt-backed (Medicaid+Medicare+VA):</t>
  </si>
  <si>
    <t>L.  RATE PER BED BY CARE LEVEL  —  Pricing posture vs. comp set</t>
  </si>
  <si>
    <t xml:space="preserve">  Compare avg scheduled rate to market rate from Rental Comps tab. &gt;5% below market = recapture opportunity.</t>
  </si>
  <si>
    <t># Occupied</t>
  </si>
  <si>
    <t>LTL/mo</t>
  </si>
  <si>
    <t>LTL %</t>
  </si>
  <si>
    <t>Annual Recapture</t>
  </si>
  <si>
    <t>vs Comp Flag</t>
  </si>
  <si>
    <t>— see Rental Comps —</t>
  </si>
  <si>
    <t>M.  CHARGE VARIANCE  —  Actual vs. Scheduled  (catches billing errors / undocumented concessions)</t>
  </si>
  <si>
    <t>Variance Bucket</t>
  </si>
  <si>
    <t>Total Variance ($/mo)</t>
  </si>
  <si>
    <t>Annualized</t>
  </si>
  <si>
    <t>Actual &gt; Scheduled (over-billed?)</t>
  </si>
  <si>
    <t>Actual = Scheduled (clean)</t>
  </si>
  <si>
    <t>Actual &lt; Scheduled (under-billed / concession)</t>
  </si>
  <si>
    <t>Net Variance (Actual − Scheduled, all occupied)</t>
  </si>
  <si>
    <t>N.  DEPOSIT COVERAGE ON DELINQUENT RESIDENTS  —  Recovery expectation at move-out</t>
  </si>
  <si>
    <t>Coverage Bucket</t>
  </si>
  <si>
    <t>Total Balance</t>
  </si>
  <si>
    <t>Total Deposits</t>
  </si>
  <si>
    <t>Coverage %</t>
  </si>
  <si>
    <t>Uncovered $</t>
  </si>
  <si>
    <t>Fully covered  (deposit ≥ balance)</t>
  </si>
  <si>
    <t>Partially covered  (0 &lt; deposit &lt; balance)</t>
  </si>
  <si>
    <t>Zero deposit + balance owed</t>
  </si>
  <si>
    <t>Total: Occupied with positive balance</t>
  </si>
  <si>
    <t>O.  MOVE-IN SEASONALITY  —  When did current residents sign on?</t>
  </si>
  <si>
    <t xml:space="preserve">  Distribution of current occupied residents by month-of-move-in. Predicts expiration clusters and occupancy seasonality.</t>
  </si>
  <si>
    <t>Move-In Month</t>
  </si>
  <si>
    <t>Bar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</si>
  <si>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</si>
  <si>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</si>
  <si>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</si>
  <si>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</si>
  <si>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</si>
  <si>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</si>
  <si>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</si>
  <si>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</si>
  <si>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</si>
  <si>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</si>
  <si>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</si>
  <si>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</si>
  <si>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Peak move-in month</t>
  </si>
  <si>
    <t>—</t>
  </si>
  <si>
    <t>Q4 (Oct–Dec) % — typical SL peak</t>
  </si>
  <si>
    <t>P.  PRE-ADMISSION PIPELINE  —  Deposits paid / signed, not yet moved in</t>
  </si>
  <si>
    <t xml:space="preserve">  Detected as residents with Lease Start / Admission date in the future or with "Reserved" status in raw roll.</t>
  </si>
  <si>
    <t>Pipeline Metric</t>
  </si>
  <si>
    <t>Value</t>
  </si>
  <si>
    <t>Note</t>
  </si>
  <si>
    <t>Pre-admitted residents  (deposit paid)</t>
  </si>
  <si>
    <t>Count of pending admissions</t>
  </si>
  <si>
    <t>Pre-admitted on currently vacant beds</t>
  </si>
  <si>
    <t>Vacant beds already committed</t>
  </si>
  <si>
    <t>Total committed monthly revenue (annualized)</t>
  </si>
  <si>
    <t>Revenue locked in pre-occupancy</t>
  </si>
  <si>
    <t>Days to soonest admission</t>
  </si>
  <si>
    <t>How fast occupancy increases</t>
  </si>
  <si>
    <t>Avg days until pre-admission start</t>
  </si>
  <si>
    <t>Lead time on pipeline</t>
  </si>
  <si>
    <t>Q.  WING / CARE-LEVEL VACANCY CONCENTRATION  —  Catches localized issues</t>
  </si>
  <si>
    <t xml:space="preserve">  Vacancy clustered in one wing or care level often signals a localized problem (staffing, reputation, systems). Flag if any wing &gt; 50% vacant.</t>
  </si>
  <si>
    <t>Wing / Level</t>
  </si>
  <si>
    <t>Total Beds</t>
  </si>
  <si>
    <t>Occupied</t>
  </si>
  <si>
    <t>Vacant</t>
  </si>
  <si>
    <t>Vac %</t>
  </si>
  <si>
    <t>Collections Cases</t>
  </si>
  <si>
    <t>IL Wing</t>
  </si>
  <si>
    <t>ok</t>
  </si>
  <si>
    <t>AL Wing</t>
  </si>
  <si>
    <t>MC Wing</t>
  </si>
  <si>
    <t>Status</t>
  </si>
  <si>
    <t>Move-In Date</t>
  </si>
  <si>
    <t>Discharge Date</t>
  </si>
  <si>
    <t>Actual Charges</t>
  </si>
  <si>
    <t>LOC Revenue</t>
  </si>
  <si>
    <t>Total Sched (Base+LOC)</t>
  </si>
  <si>
    <t>31–60</t>
  </si>
  <si>
    <t>61–90</t>
  </si>
  <si>
    <t>90+</t>
  </si>
  <si>
    <t>ASSISTED LIVING FACILITY — INVESTMENT SUMMARY</t>
  </si>
  <si>
    <t>Confidential — For Authorized Recipients Only</t>
  </si>
  <si>
    <t>PROPERTY INFORMATION</t>
  </si>
  <si>
    <t>Property Name</t>
  </si>
  <si>
    <t>Location</t>
  </si>
  <si>
    <t>Year Built</t>
  </si>
  <si>
    <t>Total Units  (physical rooms)</t>
  </si>
  <si>
    <t>Gross Sq Ft</t>
  </si>
  <si>
    <t>Asset Class</t>
  </si>
  <si>
    <t>Active Scenario</t>
  </si>
  <si>
    <t>Licensed Beds  /  Occupied Beds (Y1)</t>
  </si>
  <si>
    <t xml:space="preserve"> / </t>
  </si>
  <si>
    <t>KEY DEAL METRICS</t>
  </si>
  <si>
    <t>/ Beds</t>
  </si>
  <si>
    <t>Returns Metric</t>
  </si>
  <si>
    <t>Purchase Price</t>
  </si>
  <si>
    <t>LP IRR</t>
  </si>
  <si>
    <t>Price Per Room  /  Per Bed</t>
  </si>
  <si>
    <t>GP IRR</t>
  </si>
  <si>
    <t>Total Acquisition Cost</t>
  </si>
  <si>
    <t>LP Equity Multiple</t>
  </si>
  <si>
    <t>Loan Amount (Total)</t>
  </si>
  <si>
    <t>Y1 Cash-on-Cash</t>
  </si>
  <si>
    <t>LTV</t>
  </si>
  <si>
    <t>Year 5 NOI</t>
  </si>
  <si>
    <t>LTC</t>
  </si>
  <si>
    <t>Exit Year</t>
  </si>
  <si>
    <t>Equity Required</t>
  </si>
  <si>
    <t>Exit Cap Rate</t>
  </si>
  <si>
    <t>Down Payment %</t>
  </si>
  <si>
    <t>Gross Sale Price</t>
  </si>
  <si>
    <t>Entry Cap Rate</t>
  </si>
  <si>
    <t>Net to Equity (Exit)</t>
  </si>
  <si>
    <t>Stabilized Cap Rate (Y5)</t>
  </si>
  <si>
    <t>Avg Annual Return (LP)</t>
  </si>
  <si>
    <t>CAPITAL STACK</t>
  </si>
  <si>
    <t>Tranche</t>
  </si>
  <si>
    <t>Amount</t>
  </si>
  <si>
    <t>%</t>
  </si>
  <si>
    <t>Rate</t>
  </si>
  <si>
    <t>Term (yrs)</t>
  </si>
  <si>
    <t>Amort (yrs)</t>
  </si>
  <si>
    <t>Senior Loan (1st)</t>
  </si>
  <si>
    <t>2nd Loan</t>
  </si>
  <si>
    <t>Supplemental</t>
  </si>
  <si>
    <t>GP Equity</t>
  </si>
  <si>
    <t>Class A LP Equity</t>
  </si>
  <si>
    <t>Class B LP Equity</t>
  </si>
  <si>
    <t>INVESTOR RETURNS SUMMARY</t>
  </si>
  <si>
    <t>Class A LP</t>
  </si>
  <si>
    <t>Class B LP</t>
  </si>
  <si>
    <t>LP Combined</t>
  </si>
  <si>
    <t>GP</t>
  </si>
  <si>
    <t>Total Equity Invested</t>
  </si>
  <si>
    <t>Capital contributed by each party</t>
  </si>
  <si>
    <t>Total Distributions</t>
  </si>
  <si>
    <t>Operating CF + exit proceeds</t>
  </si>
  <si>
    <t>Net Profit</t>
  </si>
  <si>
    <t>Equity Multiple (EM)</t>
  </si>
  <si>
    <t>Total value returned / capital in</t>
  </si>
  <si>
    <t>IRR</t>
  </si>
  <si>
    <t>Includes exit proceeds</t>
  </si>
  <si>
    <t>Avg Annual Return  (simple, incl. exit)</t>
  </si>
  <si>
    <t>Simple: (total distributions − equity) ÷ equity ÷ hold yrs. Not compounded.</t>
  </si>
  <si>
    <t>Avg Cash-on-Cash Return</t>
  </si>
  <si>
    <t>Annual operating cash ÷ equity invested</t>
  </si>
  <si>
    <t>EXIT &amp; DEAL METRICS</t>
  </si>
  <si>
    <t>Hold Period (yrs)</t>
  </si>
  <si>
    <t>Exit Year NOI</t>
  </si>
  <si>
    <t>Y5 NOI</t>
  </si>
  <si>
    <t>NOI ÷ exit cap</t>
  </si>
  <si>
    <t>Less: Loan Payoff</t>
  </si>
  <si>
    <t>Amortized balance</t>
  </si>
  <si>
    <t>Net Sale Proceeds</t>
  </si>
  <si>
    <t>After selling costs &amp; loan</t>
  </si>
  <si>
    <t>PROPERTY INFORMATION &amp; MARKET DATA</t>
  </si>
  <si>
    <t xml:space="preserve">  Blue = manual input. Use the AI Market Research tool (separate app) to auto-populate market fields.</t>
  </si>
  <si>
    <t xml:space="preserve">  PROPERTY DETAILS</t>
  </si>
  <si>
    <t>Location / Address</t>
  </si>
  <si>
    <t># Units</t>
  </si>
  <si>
    <t># Buildings</t>
  </si>
  <si>
    <t>Height (stories)</t>
  </si>
  <si>
    <t>Lot Size (acres)</t>
  </si>
  <si>
    <t>Parking Spaces</t>
  </si>
  <si>
    <t>Asset Class (IL/AL/MC/Mix)</t>
  </si>
  <si>
    <t>License Type</t>
  </si>
  <si>
    <t>Licensed Bed Count</t>
  </si>
  <si>
    <t>IL Units</t>
  </si>
  <si>
    <t>AL Units</t>
  </si>
  <si>
    <t>MC Units</t>
  </si>
  <si>
    <t xml:space="preserve">  MARKET DATA</t>
  </si>
  <si>
    <t>City / Market</t>
  </si>
  <si>
    <t>MSA Name</t>
  </si>
  <si>
    <t>MSA Population</t>
  </si>
  <si>
    <t>City Population</t>
  </si>
  <si>
    <t>Population Growth Rate</t>
  </si>
  <si>
    <t>Senior 65+ Population</t>
  </si>
  <si>
    <t>Senior 65+ Growth Rate</t>
  </si>
  <si>
    <t>Avg Household Income</t>
  </si>
  <si>
    <t>Median Income</t>
  </si>
  <si>
    <t>School Ratings (1-10)</t>
  </si>
  <si>
    <t xml:space="preserve">  COMPETITIVE MARKET</t>
  </si>
  <si>
    <t>Avg Monthly Base Rent — IL</t>
  </si>
  <si>
    <t>Avg Monthly Base Rent — AL</t>
  </si>
  <si>
    <t>Avg Monthly Base Rent — MC</t>
  </si>
  <si>
    <t>Avg Care Services Fee</t>
  </si>
  <si>
    <t>Competitor Occupancy Rate</t>
  </si>
  <si>
    <t>New Supply — Beds Under Construction</t>
  </si>
  <si>
    <t>Market Penetration Rate</t>
  </si>
  <si>
    <t xml:space="preserve">  UTILITIES</t>
  </si>
  <si>
    <t>Electric Meter</t>
  </si>
  <si>
    <t>Water Meter</t>
  </si>
  <si>
    <t>Gas</t>
  </si>
  <si>
    <t>Trash</t>
  </si>
  <si>
    <t xml:space="preserve">  OTHER NOTES</t>
  </si>
  <si>
    <t>Other Property Information</t>
  </si>
  <si>
    <t>Other Market Information</t>
  </si>
  <si>
    <t>Survey / Regulatory Notes</t>
  </si>
  <si>
    <t>Value-Add Thesis</t>
  </si>
  <si>
    <t>SIDE-BY-SIDE SCENARIO ANALYSIS  —  "The 10-Minute Offer"</t>
  </si>
  <si>
    <t>Active Scenario →</t>
  </si>
  <si>
    <t>3. Projected</t>
  </si>
  <si>
    <t xml:space="preserve">  Selecting an active scenario drives P&amp;L, Cover Sheet, and Waterfall calculations. All 4 columns always visible for comparison.</t>
  </si>
  <si>
    <t>Line Item</t>
  </si>
  <si>
    <t>2. My Version</t>
  </si>
  <si>
    <t>4. Best Scenario</t>
  </si>
  <si>
    <t>Active
Scenario</t>
  </si>
  <si>
    <t>Licensed Beds / $/Bed</t>
  </si>
  <si>
    <t>Benchmark</t>
  </si>
  <si>
    <t>ACQUISITION</t>
  </si>
  <si>
    <t>Asking Price</t>
  </si>
  <si>
    <t>$8–16M typical 60-unit AL/MC</t>
  </si>
  <si>
    <t>Purchase Price / Offer</t>
  </si>
  <si>
    <t>Offer 5–15% below ask; value-add</t>
  </si>
  <si>
    <t># Units  (rooms)  /  Licensed Beds</t>
  </si>
  <si>
    <t>Licensed beds from Prop Info — drives GPR. Units = physical rooms.</t>
  </si>
  <si>
    <t>Price Per Unit  (physical room)</t>
  </si>
  <si>
    <t>Price per licensed bed = purchase price ÷ licensed beds</t>
  </si>
  <si>
    <t>25–35% down; 65–75% LTV target</t>
  </si>
  <si>
    <t>Down Payment $</t>
  </si>
  <si>
    <t>Auto-calculated from down payment</t>
  </si>
  <si>
    <t>Repairs / CapEx at Close</t>
  </si>
  <si>
    <t>Get contractor bid at LOI stage</t>
  </si>
  <si>
    <t>Operating Reserves</t>
  </si>
  <si>
    <t>3–6 months operating expenses</t>
  </si>
  <si>
    <t>Est. Closing Costs</t>
  </si>
  <si>
    <t>1.5–2.5% of purchase price</t>
  </si>
  <si>
    <t>Acquisition Fee (%)</t>
  </si>
  <si>
    <t>0.5–1.5% acq fee standard</t>
  </si>
  <si>
    <t>Acquisition Fee ($)</t>
  </si>
  <si>
    <t>Auto-calculated</t>
  </si>
  <si>
    <t>TOTAL ACQUISITION COST</t>
  </si>
  <si>
    <t>Auto-calculated total cost</t>
  </si>
  <si>
    <t>DEBT STRUCTURE</t>
  </si>
  <si>
    <t>Loan Amount (1st)</t>
  </si>
  <si>
    <t>60–70% LTV senior; 75% bridge max</t>
  </si>
  <si>
    <t>Loan Amount (2nd)</t>
  </si>
  <si>
    <t>$0 if no mezz; up to 10% of stack</t>
  </si>
  <si>
    <t>Supplemental Loan</t>
  </si>
  <si>
    <t>$0 supplemental; add if SBA/seller</t>
  </si>
  <si>
    <t>Total Debt</t>
  </si>
  <si>
    <t>Auto-calculated total debt</t>
  </si>
  <si>
    <t>LTV (Loan/Purchase Price)</t>
  </si>
  <si>
    <t>Target ≤70% LTV (senior only)</t>
  </si>
  <si>
    <t>LTC (Loan/Total Acq. Cost)</t>
  </si>
  <si>
    <t>Target ≤80–85% LTC (value-add)</t>
  </si>
  <si>
    <t>EQUITY STRUCTURE</t>
  </si>
  <si>
    <t>GP Ownership %</t>
  </si>
  <si>
    <t>GP co-invest 5–15% of total equity</t>
  </si>
  <si>
    <t>Class A LP %</t>
  </si>
  <si>
    <t>Class A LP 40–65% of total equity</t>
  </si>
  <si>
    <t>Class B LP % (auto)</t>
  </si>
  <si>
    <t>Class B LP 20–40% of total equity</t>
  </si>
  <si>
    <t>Total Equity (Acq Cost − Debt)</t>
  </si>
  <si>
    <t>GP Equity ($)</t>
  </si>
  <si>
    <t>Enter GP co-invest $ directly — not tied to GP Ownership %</t>
  </si>
  <si>
    <t>Class A LP Equity ($)</t>
  </si>
  <si>
    <t>Total Equity − GP co-invest. GP can be $0 (all-LP deal).</t>
  </si>
  <si>
    <t>Class B LP Equity ($)</t>
  </si>
  <si>
    <t>Class A Preferred Return %</t>
  </si>
  <si>
    <t>Class A pref: 6–9% typical</t>
  </si>
  <si>
    <t>GP Promote % (defaults to GP% — edit to override)</t>
  </si>
  <si>
    <t>Promote: 20–30% GP typical. Edit directly.</t>
  </si>
  <si>
    <t>INCOME (YEAR 1 SNAPSHOT)  —  4-Scenario Model</t>
  </si>
  <si>
    <t>── LICENSED BEDS BY CARE LEVEL ──</t>
  </si>
  <si>
    <t xml:space="preserve">  Licensed Beds — IL</t>
  </si>
  <si>
    <t>Independent Living bed count</t>
  </si>
  <si>
    <t xml:space="preserve">  Licensed Beds — AL</t>
  </si>
  <si>
    <t>Assisted Living bed count</t>
  </si>
  <si>
    <t xml:space="preserve">  Licensed Beds — MC</t>
  </si>
  <si>
    <t>Memory Care bed count</t>
  </si>
  <si>
    <t xml:space="preserve">  Total Licensed Beds</t>
  </si>
  <si>
    <t>── AVERAGE MONTHLY RATE / BED ──</t>
  </si>
  <si>
    <t xml:space="preserve">  Avg Monthly Rate — IL</t>
  </si>
  <si>
    <t xml:space="preserve">  Avg Monthly Rate — AL</t>
  </si>
  <si>
    <t xml:space="preserve">  Avg Monthly Rate — MC</t>
  </si>
  <si>
    <t>── GROSS POTENTIAL RENT BY CARE LEVEL ──</t>
  </si>
  <si>
    <t xml:space="preserve">  GPR — IL</t>
  </si>
  <si>
    <t xml:space="preserve">  GPR — AL</t>
  </si>
  <si>
    <t xml:space="preserve">  GPR — MC</t>
  </si>
  <si>
    <t>TOTAL GROSS POTENTIAL RENT</t>
  </si>
  <si>
    <t>beds × rate × 12 by level</t>
  </si>
  <si>
    <t>── VACANCY BY CARE LEVEL ──</t>
  </si>
  <si>
    <t xml:space="preserve">  Vacancy % — IL</t>
  </si>
  <si>
    <t>10% typical stabilized</t>
  </si>
  <si>
    <t xml:space="preserve">  Vacancy % — AL</t>
  </si>
  <si>
    <t>12% typical value-add</t>
  </si>
  <si>
    <t xml:space="preserve">  Vacancy % — MC</t>
  </si>
  <si>
    <t>MC typically tighter</t>
  </si>
  <si>
    <t xml:space="preserve">  Blended Vacancy % (GPR-Wtd)</t>
  </si>
  <si>
    <t>GPR-weighted: (IL_vac%×IL_GPR + AL%×AL_GPR + MC%×MC_GPR) ÷ Total_GPR</t>
  </si>
  <si>
    <t xml:space="preserve">  Vacancy ($)</t>
  </si>
  <si>
    <t xml:space="preserve">  Loss to Lease %</t>
  </si>
  <si>
    <t xml:space="preserve">  Loss to Lease ($)</t>
  </si>
  <si>
    <t xml:space="preserve">  Concessions / Bad Debt %</t>
  </si>
  <si>
    <t xml:space="preserve">  Concessions / Bad Debt ($)</t>
  </si>
  <si>
    <t xml:space="preserve">  Care Services Fees %</t>
  </si>
  <si>
    <t xml:space="preserve">  Care Services Fees ($)</t>
  </si>
  <si>
    <t xml:space="preserve">  2nd Person Revenue</t>
  </si>
  <si>
    <t>Spousal/couples fee</t>
  </si>
  <si>
    <t xml:space="preserve">  Other Income</t>
  </si>
  <si>
    <t>Ancillary services, beauty, etc.</t>
  </si>
  <si>
    <t>EFFECTIVE GROSS INCOME</t>
  </si>
  <si>
    <t>── OCCUPIED BEDS BY CARE LEVEL ──</t>
  </si>
  <si>
    <t xml:space="preserve">  Occupied Beds — IL</t>
  </si>
  <si>
    <t xml:space="preserve">  Occupied Beds — AL</t>
  </si>
  <si>
    <t xml:space="preserve">  Occupied Beds — MC</t>
  </si>
  <si>
    <t>Total Occupied Beds</t>
  </si>
  <si>
    <t>EXPENSES (YEAR 1)</t>
  </si>
  <si>
    <t>4. Offer</t>
  </si>
  <si>
    <t>$/Bed | % EGI</t>
  </si>
  <si>
    <t>Insurance</t>
  </si>
  <si>
    <t>Real Estate Taxes</t>
  </si>
  <si>
    <t>Management Fee</t>
  </si>
  <si>
    <t>TOTAL EXPENSES</t>
  </si>
  <si>
    <t>NET OPERATING INCOME</t>
  </si>
  <si>
    <t>DEAL SUMMARY METRICS</t>
  </si>
  <si>
    <t>Cap Rate (NOI/Purchase Price)</t>
  </si>
  <si>
    <t>Debt Service (Annual)</t>
  </si>
  <si>
    <t>DSCR target ≥1.20x; watch Y1</t>
  </si>
  <si>
    <t>Cash Flow After Debt Service</t>
  </si>
  <si>
    <t>Positive Y2+ for value-add</t>
  </si>
  <si>
    <t>Debt Coverage Ratio</t>
  </si>
  <si>
    <t>≥1.20x required; ≥1.35x preferred</t>
  </si>
  <si>
    <t>Market Cap Rate</t>
  </si>
  <si>
    <t>6.5–8.5% AL/MC market cap rate</t>
  </si>
  <si>
    <t>Fair Market Value (NOI/Mkt Cap)</t>
  </si>
  <si>
    <t>Hold: 3–7 years typical PE</t>
  </si>
  <si>
    <t>Exit cap: entry cap + 25–75 bps</t>
  </si>
  <si>
    <t>DEBT STRUCTURE — PER-SCENARIO LOAN INPUTS  (drives Loans, Waterfall &amp; P&amp;L)</t>
  </si>
  <si>
    <t xml:space="preserve">  Blue = input per scenario. Active scenario col F feeds all downstream sheets. Use $0 for unused tranches.</t>
  </si>
  <si>
    <t xml:space="preserve">  1ST LOAN — SENIOR / PRIMARY</t>
  </si>
  <si>
    <t>Loan Amount — 1st ($)</t>
  </si>
  <si>
    <t>60–70% LTV first lien; $0 to disable</t>
  </si>
  <si>
    <t>Interest Rate — 1st (%)</t>
  </si>
  <si>
    <t>Bridge: 6.5–8%; perm: 5.5–6.5%</t>
  </si>
  <si>
    <t>Amortization (years) — 1st</t>
  </si>
  <si>
    <t>25–30yr amortization standard</t>
  </si>
  <si>
    <t>Loan Term (years) — 1st</t>
  </si>
  <si>
    <t>Match hold period</t>
  </si>
  <si>
    <t>Interest-Only Period (months) — 1st</t>
  </si>
  <si>
    <t>IO 0–24 months; 0=fully amortizing</t>
  </si>
  <si>
    <t>Origination Fee % — 1st</t>
  </si>
  <si>
    <t>0.5–1.5% origination fee typical</t>
  </si>
  <si>
    <t xml:space="preserve">  2ND LOAN — MEZZANINE / BRIDGE</t>
  </si>
  <si>
    <t>Loan Amount — 2nd ($)</t>
  </si>
  <si>
    <t>Interest Rate — 2nd (%)</t>
  </si>
  <si>
    <t>Mezz: 8–12% typical</t>
  </si>
  <si>
    <t>Amortization (years) — 2nd</t>
  </si>
  <si>
    <t>Loan Term (years) — 2nd</t>
  </si>
  <si>
    <t>Interest-Only Period (months) — 2nd</t>
  </si>
  <si>
    <t>Origination Fee % — 2nd</t>
  </si>
  <si>
    <t xml:space="preserve">  SUPPLEMENTAL — SBA / SELLER CARRY</t>
  </si>
  <si>
    <t>Loan Amount — Supplemental ($)</t>
  </si>
  <si>
    <t>$0 if no supplemental tranche</t>
  </si>
  <si>
    <t>Interest Rate — Supplemental (%)</t>
  </si>
  <si>
    <t>Amortization (years) — Supplemental</t>
  </si>
  <si>
    <t>Loan Term (years) — Supplemental</t>
  </si>
  <si>
    <t>Interest-Only Period (months) — Supplemental</t>
  </si>
  <si>
    <t>Origination Fee % — Supplemental</t>
  </si>
  <si>
    <t xml:space="preserve">  CALCULATED METRICS (auto — do not edit)</t>
  </si>
  <si>
    <t xml:space="preserve">  Monthly Payment — 1st</t>
  </si>
  <si>
    <t xml:space="preserve">  Monthly Payment — 2nd</t>
  </si>
  <si>
    <t xml:space="preserve">  Monthly Payment — Supplemental</t>
  </si>
  <si>
    <t>Annual DS — 1st</t>
  </si>
  <si>
    <t>Annual DS — 2nd</t>
  </si>
  <si>
    <t>Annual DS — Supplemental</t>
  </si>
  <si>
    <t>TOTAL ANNUAL DEBT SERVICE</t>
  </si>
  <si>
    <t>Auto-calculated total DS</t>
  </si>
  <si>
    <t>Total Loan Balance at Exit (payoff)</t>
  </si>
  <si>
    <t>CUMPRINC-based balloon payoff</t>
  </si>
  <si>
    <t>Total Debt — All Tranches</t>
  </si>
  <si>
    <t>LTV — Total Debt / Purchase Price</t>
  </si>
  <si>
    <t>LTC — Total Debt / Total Acquisition Cost</t>
  </si>
  <si>
    <t>T-12 ANALYSIS  —  Trailing 12 Diagnostic Layer (Senior Living)</t>
  </si>
  <si>
    <t>ANALYSIS on top. Standardized aggregation (Layer 3) and raw paste block (Layer 1) below — scroll down to access data. Per Bed/Month uses occupied beds from Rent Roll Analysis. Benchmarks calibrated to assisted/memory care community norms.</t>
  </si>
  <si>
    <t>B.  RECONCILIATION CHECK  —  Are all raw lines mapped?</t>
  </si>
  <si>
    <t>EGI:</t>
  </si>
  <si>
    <t>OpEx:</t>
  </si>
  <si>
    <t>EBITDAR:</t>
  </si>
  <si>
    <t>Unmapped $:</t>
  </si>
  <si>
    <t>🟢 all mapped</t>
  </si>
  <si>
    <t>EGI / Occ Bed / Mo:</t>
  </si>
  <si>
    <t>C.  TREND ANALYSIS  —  T-3 vs. T-6 vs. T-12 (annualized)</t>
  </si>
  <si>
    <t>T-12 Actual</t>
  </si>
  <si>
    <t>T-6 Annlzd</t>
  </si>
  <si>
    <t>T-3 Annlzd</t>
  </si>
  <si>
    <t>T-3 vs T-12 Δ$</t>
  </si>
  <si>
    <t>T-3 vs T-12 Δ%</t>
  </si>
  <si>
    <t>Direction</t>
  </si>
  <si>
    <t>EGI</t>
  </si>
  <si>
    <t>→ stable</t>
  </si>
  <si>
    <t>stable</t>
  </si>
  <si>
    <t>Total OpEx</t>
  </si>
  <si>
    <t>EBITDAR</t>
  </si>
  <si>
    <t>Bad Debt + Write-offs</t>
  </si>
  <si>
    <t>Total Labor &amp; Burden</t>
  </si>
  <si>
    <t>Food Cost</t>
  </si>
  <si>
    <t>Utilities</t>
  </si>
  <si>
    <t>Overtime Wages</t>
  </si>
  <si>
    <t>D.  ECONOMIC vs. PHYSICAL OCCUPANCY RECONCILIATION</t>
  </si>
  <si>
    <t>Licensed Beds (IL + AL + MC)</t>
  </si>
  <si>
    <t>Physically Occupied Beds</t>
  </si>
  <si>
    <t>Physical Occupancy %</t>
  </si>
  <si>
    <t>Gross Potential Rent / GPR (annual)</t>
  </si>
  <si>
    <t>Net Rent Revenue (billed)</t>
  </si>
  <si>
    <t>Total Revenue / EGI</t>
  </si>
  <si>
    <t>Economic Occupancy % (Net Rent / GPR)</t>
  </si>
  <si>
    <t>Economic vs. Physical Gap</t>
  </si>
  <si>
    <t xml:space="preserve">  → Lost Revenue from Gap ($)</t>
  </si>
  <si>
    <t>E.  BAD DEBT &amp; WRITE-OFF LAYERED ANALYSIS</t>
  </si>
  <si>
    <t>Component</t>
  </si>
  <si>
    <t>% of GPR</t>
  </si>
  <si>
    <t>Vacancy Loss</t>
  </si>
  <si>
    <t>5–10% GPR</t>
  </si>
  <si>
    <t>Bad Debt / Write-offs</t>
  </si>
  <si>
    <t>1–3% GPR</t>
  </si>
  <si>
    <t>Concessions &amp; Specials</t>
  </si>
  <si>
    <t>0.5–2% GPR</t>
  </si>
  <si>
    <t>Delinquency Change</t>
  </si>
  <si>
    <t>&lt;2% GPR</t>
  </si>
  <si>
    <t>Total Rent Reductions</t>
  </si>
  <si>
    <t>F.  TAX &amp; INSURANCE ACCRUAL CHECK</t>
  </si>
  <si>
    <t>T-12 actuals rarely equal pro forma. Triangulate RE taxes with reassessment estimate; insurance with lender quote.</t>
  </si>
  <si>
    <t xml:space="preserve">  T-12 Actual</t>
  </si>
  <si>
    <t xml:space="preserve">  Pro Forma Estimate</t>
  </si>
  <si>
    <t xml:space="preserve">  Variance (Actual − PF)</t>
  </si>
  <si>
    <t xml:space="preserve">  Status</t>
  </si>
  <si>
    <t>⚠ not in T-12 — verify with operator / broker</t>
  </si>
  <si>
    <t>P&amp;C Insurance</t>
  </si>
  <si>
    <t>↓  ↓  ↓   DATA TIER BELOW — Standardized Aggregation (Layer 3) and Raw T-12 (Layer 1)   ↓  ↓  ↓</t>
  </si>
  <si>
    <t>H.  LAYER 3: STANDARDIZED AGGREGATION  —  Bucket-level detail (paste from Analyzer UW Export, col E)</t>
  </si>
  <si>
    <t>Standardized Bucket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</si>
  <si>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</si>
  <si>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</si>
  <si>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</si>
  <si>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</si>
  <si>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</si>
  <si>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</si>
  <si>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</si>
  <si>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</si>
  <si>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</si>
  <si>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</si>
  <si>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</si>
  <si>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</si>
  <si>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T-12 Total</t>
  </si>
  <si>
    <t>% of EGI</t>
  </si>
  <si>
    <t>Bench Flag</t>
  </si>
  <si>
    <t>INCOME</t>
  </si>
  <si>
    <t>Gross Potential Rent (GPR)</t>
  </si>
  <si>
    <t xml:space="preserve">  Loss to Lease</t>
  </si>
  <si>
    <t xml:space="preserve">  Vacancy Loss</t>
  </si>
  <si>
    <t xml:space="preserve">  Concessions &amp; Specials</t>
  </si>
  <si>
    <t xml:space="preserve">  Bad Debt / Write-offs</t>
  </si>
  <si>
    <t>Net Rent Revenue</t>
  </si>
  <si>
    <t>LOC / Care Services Revenue</t>
  </si>
  <si>
    <t xml:space="preserve">  Community / Move-in Fees</t>
  </si>
  <si>
    <t xml:space="preserve">  Respite Care Revenue</t>
  </si>
  <si>
    <t xml:space="preserve">  Other Community Revenue</t>
  </si>
  <si>
    <t>EFFECTIVE GROSS INCOME (EGI)</t>
  </si>
  <si>
    <t>LABOR  —  Wages &amp; Burden</t>
  </si>
  <si>
    <t>Care Staff Labor</t>
  </si>
  <si>
    <t>&lt; $500/bed/mo target</t>
  </si>
  <si>
    <t xml:space="preserve">  Wellness / Care Coordinators</t>
  </si>
  <si>
    <t xml:space="preserve">  Contract / Agency Labor</t>
  </si>
  <si>
    <t>&lt; 2% of total labor ✓</t>
  </si>
  <si>
    <t xml:space="preserve">  Activities Labor</t>
  </si>
  <si>
    <t xml:space="preserve">  Dining / Food Service Labor</t>
  </si>
  <si>
    <t xml:space="preserve">  Maintenance &amp; HK Labor</t>
  </si>
  <si>
    <t xml:space="preserve">  Administrative Labor</t>
  </si>
  <si>
    <t xml:space="preserve">  Bonus Wages</t>
  </si>
  <si>
    <t xml:space="preserve">  Overtime Wages</t>
  </si>
  <si>
    <t>&lt; 6% of labor ✓; &gt; 8% ✗</t>
  </si>
  <si>
    <t xml:space="preserve">  PTO Wages</t>
  </si>
  <si>
    <t xml:space="preserve">  Payroll Taxes</t>
  </si>
  <si>
    <t>~7.65% of gross wages</t>
  </si>
  <si>
    <t xml:space="preserve">  Employee Benefits</t>
  </si>
  <si>
    <t xml:space="preserve">  Workers' Comp Insurance</t>
  </si>
  <si>
    <t xml:space="preserve">  Employee 401(k)</t>
  </si>
  <si>
    <t>TOTAL LABOR &amp; BURDEN</t>
  </si>
  <si>
    <t>&lt; 55% EGI ✓; &gt; 60% ✗</t>
  </si>
  <si>
    <t>NON-LABOR OPERATING EXPENSES</t>
  </si>
  <si>
    <t>&lt; $200/bed/mo ✓; &gt; $250 ✗</t>
  </si>
  <si>
    <t xml:space="preserve">  Dining &amp; Kitchen Supplies</t>
  </si>
  <si>
    <t xml:space="preserve">  Nursing &amp; Care Supplies</t>
  </si>
  <si>
    <t xml:space="preserve">  Recreation Supplies</t>
  </si>
  <si>
    <t>R&amp;M — Fixed</t>
  </si>
  <si>
    <t xml:space="preserve">  R&amp;M — Variable</t>
  </si>
  <si>
    <t xml:space="preserve">  HK &amp; Laundry Supplies</t>
  </si>
  <si>
    <t>Sales, Adv. &amp; Marketing</t>
  </si>
  <si>
    <t xml:space="preserve">  Referral Fees</t>
  </si>
  <si>
    <t>&lt; 3% EGI ✓; &gt; 5% ✗</t>
  </si>
  <si>
    <t xml:space="preserve">  Telephone / IT</t>
  </si>
  <si>
    <t xml:space="preserve">  Auto Insurance</t>
  </si>
  <si>
    <t xml:space="preserve">  Fire / Security Monitoring</t>
  </si>
  <si>
    <t xml:space="preserve">  Pest Elimination</t>
  </si>
  <si>
    <t xml:space="preserve">  Personal Property Taxes</t>
  </si>
  <si>
    <t xml:space="preserve">  Legal Expenses</t>
  </si>
  <si>
    <t xml:space="preserve">  Professional Services</t>
  </si>
  <si>
    <t>Bad Debt Expense</t>
  </si>
  <si>
    <t>&lt; 1% EGI ✓; &gt; 3% ✗</t>
  </si>
  <si>
    <t xml:space="preserve">  Permits, Licenses &amp; Dues</t>
  </si>
  <si>
    <t>Office, Admin &amp; G&amp;A</t>
  </si>
  <si>
    <t xml:space="preserve">  Other / Miscellaneous</t>
  </si>
  <si>
    <t xml:space="preserve">  Lease / Ground Lease</t>
  </si>
  <si>
    <t>TOTAL NON-LABOR</t>
  </si>
  <si>
    <t>MANAGEMENT &amp; NOI</t>
  </si>
  <si>
    <t>TOTAL OPERATING EXPENSES</t>
  </si>
  <si>
    <t>EBITDARM</t>
  </si>
  <si>
    <t>EBITDAR  (= NOI)</t>
  </si>
  <si>
    <t>I.  LAYER 1: RAW T-12  (paste operator data here, then map column P to Layer 3 bucket)</t>
  </si>
  <si>
    <t>Acct #</t>
  </si>
  <si>
    <t>Account Name (raw)</t>
  </si>
  <si>
    <t>→ MAPPING</t>
  </si>
  <si>
    <t>Variance</t>
  </si>
  <si>
    <t>Community / Move-in Fees</t>
  </si>
  <si>
    <t>Respite Care Revenue</t>
  </si>
  <si>
    <t>2nd Person Revenue</t>
  </si>
  <si>
    <t>Other Community Revenue</t>
  </si>
  <si>
    <t>Wellness / Care Coordinators</t>
  </si>
  <si>
    <t>Contract / Agency Labor</t>
  </si>
  <si>
    <t>Activities Labor</t>
  </si>
  <si>
    <t>Dining / Food Service Labor</t>
  </si>
  <si>
    <t>Maintenance &amp; HK Labor</t>
  </si>
  <si>
    <t>Administrative Labor</t>
  </si>
  <si>
    <t>PTO Wages</t>
  </si>
  <si>
    <t>Bonus Wages</t>
  </si>
  <si>
    <t>Payroll Taxes</t>
  </si>
  <si>
    <t>Employee Benefits</t>
  </si>
  <si>
    <t>Workers' Comp Insurance</t>
  </si>
  <si>
    <t>Employee 401(k)</t>
  </si>
  <si>
    <t>Dining &amp; Kitchen Supplies</t>
  </si>
  <si>
    <t>Nursing &amp; Care Supplies</t>
  </si>
  <si>
    <t>Recreation Supplies</t>
  </si>
  <si>
    <t>R&amp;M — Variable</t>
  </si>
  <si>
    <t>HK &amp; Laundry Supplies</t>
  </si>
  <si>
    <t>Referral Fees</t>
  </si>
  <si>
    <t>Telephone / IT</t>
  </si>
  <si>
    <t>Personal Property Taxes</t>
  </si>
  <si>
    <t>Legal Expenses</t>
  </si>
  <si>
    <t>Professional Services</t>
  </si>
  <si>
    <t>Permits, Licenses &amp; Dues</t>
  </si>
  <si>
    <t>Other / Miscellaneous</t>
  </si>
  <si>
    <t>J.  RAW TOTALS  —  Source-of-truth sums (should match Section H subtotals)</t>
  </si>
  <si>
    <t>Total Revenue (raw, income-mapped)</t>
  </si>
  <si>
    <t>Total OpEx (raw, expense-mapped)</t>
  </si>
  <si>
    <t>Unmapped lines:</t>
  </si>
  <si>
    <t>P&amp;L — 10-YEAR PRO FORMA PROJECTIONS  (Active Scenario drives all inputs)</t>
  </si>
  <si>
    <t xml:space="preserve">  Blue = input | Black = formula | Green = cross-sheet. Escalators auto-pulled from annual averages. Override any cell and highlight yellow.</t>
  </si>
  <si>
    <t>ESCALATORS &amp; ASSUMPTIONS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</si>
  <si>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</si>
  <si>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</si>
  <si>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</si>
  <si>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</si>
  <si>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</si>
  <si>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</si>
  <si>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</si>
  <si>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</si>
  <si>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</si>
  <si>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</si>
  <si>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Annual Revenue Escalator</t>
  </si>
  <si>
    <t>Avg:</t>
  </si>
  <si>
    <t>Annual Expense Escalator</t>
  </si>
  <si>
    <t>Total
(Y1–Y5)</t>
  </si>
  <si>
    <t>Total
(Y1–Y10)</t>
  </si>
  <si>
    <t>Avg / Yr</t>
  </si>
  <si>
    <t>Y1 % EGI
/ Y1 Value</t>
  </si>
  <si>
    <t>Avg. Rent / Bed</t>
  </si>
  <si>
    <t>Care Services Fees</t>
  </si>
  <si>
    <t>Other Income</t>
  </si>
  <si>
    <t>EXPENSES</t>
  </si>
  <si>
    <t>NET OPERATING INCOME (NOI)</t>
  </si>
  <si>
    <t>Operating Margin</t>
  </si>
  <si>
    <t>DEBT SERVICE</t>
  </si>
  <si>
    <t>CASH FLOW AFTER DEBT SERVICE</t>
  </si>
  <si>
    <t>DISTRIBUTIONS FROM CASH FLOW</t>
  </si>
  <si>
    <t>Asset Mgmt Fee (2.0% equity)</t>
  </si>
  <si>
    <t>Class A LP Preferred Return</t>
  </si>
  <si>
    <t>LP Excess CF Share (1 - GP Promote %)</t>
  </si>
  <si>
    <t>GP Excess CF Share (GP Promote %)</t>
  </si>
  <si>
    <t>KEY METRICS &amp; BREAKEVEN ANALYSIS</t>
  </si>
  <si>
    <t>Cash on Cash Return</t>
  </si>
  <si>
    <t>Average Cash on Cash (Y1–Y10)</t>
  </si>
  <si>
    <t>Breakeven Occupancy %</t>
  </si>
  <si>
    <t>NOI Margin</t>
  </si>
  <si>
    <t>Cap Rate (on Purchase Price)</t>
  </si>
  <si>
    <t>Property Value (@ 7% cap)</t>
  </si>
  <si>
    <t>LP-SPECIFIC CASH YIELD  (from Waterfall distributions ÷ LP equity)</t>
  </si>
  <si>
    <t>Class A LP Cash Yield (annual)</t>
  </si>
  <si>
    <t xml:space="preserve">  Avg Class A LP Cash Yield (hold period)</t>
  </si>
  <si>
    <t>Total LP Cash Yield  (Class A + B)</t>
  </si>
  <si>
    <t xml:space="preserve">  Avg Total LP Cash Yield (hold period)</t>
  </si>
  <si>
    <t xml:space="preserve">  Note: LP Cash Yield uses actual Waterfall distributions (after pref + promote). Deal-level CoC (R51) uses total pre-distribution CF — different denominator and numerator.</t>
  </si>
  <si>
    <t>ACQUISITION COSTS — USE OF CAPITAL</t>
  </si>
  <si>
    <t>USE OF CAPITAL SUMMARY</t>
  </si>
  <si>
    <t>Less: Total Loan Amount</t>
  </si>
  <si>
    <t>Down Payment Required</t>
  </si>
  <si>
    <t>Closing Costs</t>
  </si>
  <si>
    <t>Acquisition Fee</t>
  </si>
  <si>
    <t>Repair Escrow / CapEx</t>
  </si>
  <si>
    <t>TOTAL CASH AT CLOSE</t>
  </si>
  <si>
    <t>CLOSING COSTS DETAIL</t>
  </si>
  <si>
    <t>Item</t>
  </si>
  <si>
    <t>Rate/Factor</t>
  </si>
  <si>
    <t>LENDER FEES &amp; THIRD-PARTY COSTS</t>
  </si>
  <si>
    <t>Environmental (EDR)</t>
  </si>
  <si>
    <t>Appraisal</t>
  </si>
  <si>
    <t>Structural Inspection</t>
  </si>
  <si>
    <t>Lender Legal Fees</t>
  </si>
  <si>
    <t>Bank Doc Prep Fee</t>
  </si>
  <si>
    <t>Origination Fee</t>
  </si>
  <si>
    <t>Total origination fees — all tranches</t>
  </si>
  <si>
    <t>TITLE &amp; CLOSING COSTS</t>
  </si>
  <si>
    <t>Title Policy</t>
  </si>
  <si>
    <t>0.30% of purchase price</t>
  </si>
  <si>
    <t>Survey</t>
  </si>
  <si>
    <t>Recording</t>
  </si>
  <si>
    <t>Transfer Taxes</t>
  </si>
  <si>
    <t>0.35% of purchase price</t>
  </si>
  <si>
    <t>Title Processing Fee</t>
  </si>
  <si>
    <t>Title Search</t>
  </si>
  <si>
    <t>Attorney Fees</t>
  </si>
  <si>
    <t>OTHER COSTS</t>
  </si>
  <si>
    <t>Legal (LLC, PPM, OA)</t>
  </si>
  <si>
    <t>Property Inspection</t>
  </si>
  <si>
    <t>Travel</t>
  </si>
  <si>
    <t>Miscellaneous</t>
  </si>
  <si>
    <t>RE Taxes</t>
  </si>
  <si>
    <t>TOTAL CLOSING &amp; OTHER COSTS</t>
  </si>
  <si>
    <t>STAFFING MATRIX — PER-SHIFT | FTE BUILD | HPPD | TOTAL PAYROLL → P&amp;L R28</t>
  </si>
  <si>
    <t xml:space="preserve">  Blue=Input | Black=Formula | Green=Cross-sheet. Cell M69 (Total Payroll) feeds P&amp;L!C28 automatically. Census pulled from Scenarios sheet.</t>
  </si>
  <si>
    <t>SECTION 1 — CENSUS &amp; STAFFING RATE ASSUMPTIONS</t>
  </si>
  <si>
    <t>Total Units  (physical rooms, from Scenarios)</t>
  </si>
  <si>
    <t>Physical rooms ≠ licensed beds — see Prop Info for bed count</t>
  </si>
  <si>
    <t>AL Occupied Beds  (Y1 census)</t>
  </si>
  <si>
    <t>Enter occupied bed count, not room count</t>
  </si>
  <si>
    <t>MC Occupied Beds  (Y1 census)</t>
  </si>
  <si>
    <t>IL Occupied Beds  (Y1 census)</t>
  </si>
  <si>
    <t>Total Care Residents  (AL + MC occupied beds)</t>
  </si>
  <si>
    <t>Licensed Beds  (from Prop Info — regulatory ceiling)</t>
  </si>
  <si>
    <t>Licensed beds = regulatory max. Occupied beds ≤ licensed beds.</t>
  </si>
  <si>
    <t>Rate &amp; Cost Assumptions</t>
  </si>
  <si>
    <t>Benefits Load (FICA + health + 401k)</t>
  </si>
  <si>
    <t>Typical 18–22%</t>
  </si>
  <si>
    <t>Overtime Load</t>
  </si>
  <si>
    <t>5% of base wages; AL/MC often higher</t>
  </si>
  <si>
    <t>Eve Differential ($/hr premium)</t>
  </si>
  <si>
    <t>3p–11p shift</t>
  </si>
  <si>
    <t>Night Differential ($/hr premium)</t>
  </si>
  <si>
    <t>11p–7a shift</t>
  </si>
  <si>
    <t>Weekend Premium ($/hr)</t>
  </si>
  <si>
    <t>Added to shift differential</t>
  </si>
  <si>
    <t>Target Staffing Ratios (residents : 1 staff)</t>
  </si>
  <si>
    <t xml:space="preserve">  Ratio-driven CNA rows auto-calculate headcount. Verify against your state DOH minimum requirements.</t>
  </si>
  <si>
    <t>AL — Day Shift (1:X residents per aide)</t>
  </si>
  <si>
    <t>1:6 day; increase MC urgency</t>
  </si>
  <si>
    <t>AL — Evening Shift (1:X)</t>
  </si>
  <si>
    <t>1:7 eve; lighter acuity overnight</t>
  </si>
  <si>
    <t>AL — Night Shift (1:X)</t>
  </si>
  <si>
    <t>1:10 night minimum</t>
  </si>
  <si>
    <t>MC — Day Shift (1:X)</t>
  </si>
  <si>
    <t>1:5 MC day; CMS recommends closer to 1:4</t>
  </si>
  <si>
    <t>MC — Evening Shift (1:X)</t>
  </si>
  <si>
    <t>1:6 MC eve</t>
  </si>
  <si>
    <t>MC — Night Shift (1:X)</t>
  </si>
  <si>
    <t>1:8 MC night</t>
  </si>
  <si>
    <t>SECTION 2 — PER-SHIFT HEADCOUNT MATRIX  (staff per shift × 6 shifts)</t>
  </si>
  <si>
    <t>WEEKDAY</t>
  </si>
  <si>
    <t>WEEKEND</t>
  </si>
  <si>
    <t>Hrs/Wk</t>
  </si>
  <si>
    <t>FTEs</t>
  </si>
  <si>
    <t>Base
$/hr</t>
  </si>
  <si>
    <t>Shift-Adj
$/hr</t>
  </si>
  <si>
    <t>Annual
Cost ($)</t>
  </si>
  <si>
    <t>% Total
Payroll</t>
  </si>
  <si>
    <t>Position</t>
  </si>
  <si>
    <t>Dept</t>
  </si>
  <si>
    <t>Day
7a–3p</t>
  </si>
  <si>
    <t>Eve
3p–11p</t>
  </si>
  <si>
    <t>Night
11p–7a</t>
  </si>
  <si>
    <t xml:space="preserve">  Care Staff</t>
  </si>
  <si>
    <t>Director of Nursing</t>
  </si>
  <si>
    <t>Care</t>
  </si>
  <si>
    <t>RN / Asst DON</t>
  </si>
  <si>
    <t>Med Tech / CMA</t>
  </si>
  <si>
    <t>CNA — Day (AL)</t>
  </si>
  <si>
    <t>CNA — Eve (AL)</t>
  </si>
  <si>
    <t>CNA — Night (AL)</t>
  </si>
  <si>
    <t>CNA — Day (MC)</t>
  </si>
  <si>
    <t>CNA — Eve (MC)</t>
  </si>
  <si>
    <t>CNA — Night (MC)</t>
  </si>
  <si>
    <t xml:space="preserve">  Subtotal — Care Staff</t>
  </si>
  <si>
    <t xml:space="preserve">  Dining</t>
  </si>
  <si>
    <t>Dining Manager / Chef</t>
  </si>
  <si>
    <t>Dining</t>
  </si>
  <si>
    <t>Cook</t>
  </si>
  <si>
    <t>Dietary Aide / Server</t>
  </si>
  <si>
    <t>Dishwasher</t>
  </si>
  <si>
    <t xml:space="preserve">  Subtotal — Dining</t>
  </si>
  <si>
    <t xml:space="preserve">  Housekeeping / Laundry</t>
  </si>
  <si>
    <t>Housekeeper Sup.</t>
  </si>
  <si>
    <t>H/K</t>
  </si>
  <si>
    <t>Housekeeper</t>
  </si>
  <si>
    <t>Laundry Aide</t>
  </si>
  <si>
    <t xml:space="preserve">  Subtotal — Housekeeping / Laundry</t>
  </si>
  <si>
    <t xml:space="preserve">  Maintenance, Activities &amp; Admin</t>
  </si>
  <si>
    <t>Maintenance Sup.</t>
  </si>
  <si>
    <t>Maint</t>
  </si>
  <si>
    <t>Maintenance Tech</t>
  </si>
  <si>
    <t>Activities Director</t>
  </si>
  <si>
    <t>Admin</t>
  </si>
  <si>
    <t>Activities Aide</t>
  </si>
  <si>
    <t>Sales / Mktg Director</t>
  </si>
  <si>
    <t>Business Office Mgr</t>
  </si>
  <si>
    <t>Receptionist</t>
  </si>
  <si>
    <t>Transportation Driver</t>
  </si>
  <si>
    <t>Executive Director</t>
  </si>
  <si>
    <t xml:space="preserve">  Subtotal — Maintenance, Activities &amp; Admin</t>
  </si>
  <si>
    <t>TOTAL PAYROLL — ALL DEPARTMENTS  →→  feeds P&amp;L row 28</t>
  </si>
  <si>
    <t>Manual Entry</t>
  </si>
  <si>
    <t>SECTION 3 — STAFFING LOAD HEATMAP  (actual vs. target ratios per shift)</t>
  </si>
  <si>
    <t xml:space="preserve">  Green=at/below target | Orange=10–20% over target | Red=&gt;20% over (understaffing risk)</t>
  </si>
  <si>
    <t>Shift</t>
  </si>
  <si>
    <t>Residents</t>
  </si>
  <si>
    <t>WD Staff</t>
  </si>
  <si>
    <t>WD Ratio
(R:S)</t>
  </si>
  <si>
    <t>WE Staff</t>
  </si>
  <si>
    <t>WE Ratio
(R:S)</t>
  </si>
  <si>
    <t>Target
Ratio</t>
  </si>
  <si>
    <t>WD vs
Target</t>
  </si>
  <si>
    <t>HPPD</t>
  </si>
  <si>
    <t>AL — Day   (7a–3p)</t>
  </si>
  <si>
    <t>AL — Eve   (3p–11p)</t>
  </si>
  <si>
    <t>AL — Night (11p–7a)</t>
  </si>
  <si>
    <t>MC — Day   (7a–3p)</t>
  </si>
  <si>
    <t>MC — Eve   (3p–11p)</t>
  </si>
  <si>
    <t>MC — Night (11p–7a)</t>
  </si>
  <si>
    <t>SECTION 4 — HPPD TRACKER  (Hours Per Patient Day)</t>
  </si>
  <si>
    <t xml:space="preserve">  HPPD = care staff FTEs × 2080 ÷ 365 ÷ occupied beds. Benchmark: AL 2.5–3.5 | MC 3.5–4.5. Watched by buyers, lenders, and surveyors.</t>
  </si>
  <si>
    <t>Calculated</t>
  </si>
  <si>
    <t>Bench Low</t>
  </si>
  <si>
    <t>Bench High</t>
  </si>
  <si>
    <t>Delta vs Mid</t>
  </si>
  <si>
    <t>Care HPPD — AL</t>
  </si>
  <si>
    <t>Care HPPD — MC</t>
  </si>
  <si>
    <t>Care HPPD — Combined</t>
  </si>
  <si>
    <t>Labor Cost / Resident / Day ($)</t>
  </si>
  <si>
    <t>SECTION 5 — PAYROLL OUTPUT  →  P&amp;L FEED</t>
  </si>
  <si>
    <t xml:space="preserve">  Total Payroll (cell M67) feeds P&amp;L sheet row 28 automatically. Verify the P&amp;L Payroll row shows a green formula.</t>
  </si>
  <si>
    <t>Total Annual Payroll (all departments)</t>
  </si>
  <si>
    <t>← This value feeds P&amp;L!C28 (Year 1 Payroll)</t>
  </si>
  <si>
    <t>P&amp;L formula in C28: ='Staffing Matrix'!M67</t>
  </si>
  <si>
    <t>Total FTEs (all departments)</t>
  </si>
  <si>
    <t>Full-time equivalents across all 6 shifts</t>
  </si>
  <si>
    <t>Avg Annual Cost per FTE</t>
  </si>
  <si>
    <t>Loaded cost: wages + benefits + OT</t>
  </si>
  <si>
    <t>SECTION 6 — COST PER RESIDENT DAY (PRD) &amp; LABOR INTENSITY ANALYSIS</t>
  </si>
  <si>
    <t xml:space="preserve">  PRD ties labor cost to census — the lens operators and lenders use alongside HPPD. All figures are annual / occupied-bed based. Enter agency spend below; everything else auto-calculates.</t>
  </si>
  <si>
    <t xml:space="preserve">  A.  BASE — OCCUPIED RESIDENTS &amp; ANNUAL RESIDENT DAYS</t>
  </si>
  <si>
    <t>Total Occupied Residents  (AL + MC + IL)</t>
  </si>
  <si>
    <t>From Section 1 census inputs</t>
  </si>
  <si>
    <t>Annual Resident Days  (residents × 365)</t>
  </si>
  <si>
    <t>Denominator for all PRD metrics below</t>
  </si>
  <si>
    <t xml:space="preserve">  B.  LABOR COST PER RESIDENT DAY — BY DEPARTMENT  ($)</t>
  </si>
  <si>
    <t xml:space="preserve">  Benchmarks: NIC/Argentum/LeadingAge AL industry data. MC typically runs 25–40% higher.</t>
  </si>
  <si>
    <t>Department</t>
  </si>
  <si>
    <t>Annual Payroll ($)</t>
  </si>
  <si>
    <t>PRD Cost ($/day)</t>
  </si>
  <si>
    <t>Care Staff  (DON, RN, Med Tech, CNAs)</t>
  </si>
  <si>
    <t>Dining / Food Service</t>
  </si>
  <si>
    <t>Housekeeping &amp; Laundry</t>
  </si>
  <si>
    <t>Maintenance, Activities &amp; Admin</t>
  </si>
  <si>
    <t>TOTAL LABOR PRD  (all departments)</t>
  </si>
  <si>
    <t xml:space="preserve">  C.  CONTRACT / AGENCY LABOR EXPOSURE</t>
  </si>
  <si>
    <t xml:space="preserve">  Agency &gt;10–15% of total payroll is flagged by lenders and operators as a census-instability risk. Enter annual agency spend — PRD and exposure % calculate automatically.</t>
  </si>
  <si>
    <t>Contract / Agency Labor — Annual ($)  ← enter here</t>
  </si>
  <si>
    <t>Blue cell — enter actual or budgeted agency spend</t>
  </si>
  <si>
    <t>Agency Labor PRD  ($/resident day)</t>
  </si>
  <si>
    <t>Agency as % of Total Payroll</t>
  </si>
  <si>
    <t xml:space="preserve">  D.  REVENUE &amp; NOI PER RESIDENT DAY  (operational context)</t>
  </si>
  <si>
    <t>Annual ($)</t>
  </si>
  <si>
    <t>Per Resident Day</t>
  </si>
  <si>
    <t>Effective Gross Income (EGI)</t>
  </si>
  <si>
    <t>Total Operating Expenses</t>
  </si>
  <si>
    <t>Net Operating Income (NOI)</t>
  </si>
  <si>
    <t>Total Labor Cost as % of EGI</t>
  </si>
  <si>
    <t xml:space="preserve">  E.  KEY RATIOS — INVESTOR / LENDER WATCHLIST</t>
  </si>
  <si>
    <t xml:space="preserve">  Five ratios cross-checked at IC and in lender underwriting. Deviations signal operational opportunity or risk.</t>
  </si>
  <si>
    <t>This Property</t>
  </si>
  <si>
    <t>Target / Benchmark</t>
  </si>
  <si>
    <t>Signal</t>
  </si>
  <si>
    <t>Care HPPD — Combined (from Section 4)</t>
  </si>
  <si>
    <t>≥3.0 AL  /  ≥3.8 MC</t>
  </si>
  <si>
    <t>Total Labor PRD  ($/res day)</t>
  </si>
  <si>
    <t>$85 – $130  (AL/MC blended)</t>
  </si>
  <si>
    <t>Direct Care Labor PRD  ($/res day)</t>
  </si>
  <si>
    <t>$45 – $75</t>
  </si>
  <si>
    <t>&lt; 10%  (flag if &gt; 15%)</t>
  </si>
  <si>
    <t>Labor as % of EGI</t>
  </si>
  <si>
    <t>50% – 65%</t>
  </si>
  <si>
    <t>RENTAL COMPS — BY CARE LEVEL</t>
  </si>
  <si>
    <t>UNIT MIX &amp; TARGET RENT ANALYSIS  —  Reference only. Blue = input · Green = formula · Target defaults to comp avg for care level.</t>
  </si>
  <si>
    <t xml:space="preserve">  Enter up to 12 comps per care level. Summary auto-calculates averages and rate position vs. subject property.</t>
  </si>
  <si>
    <t>Unit Type</t>
  </si>
  <si>
    <t>Sq Ft</t>
  </si>
  <si>
    <t>Current Rent</t>
  </si>
  <si>
    <t>Target Rent</t>
  </si>
  <si>
    <t>SUBJECT PROPERTY →</t>
  </si>
  <si>
    <t>Type</t>
  </si>
  <si>
    <t>Avg / mo</t>
  </si>
  <si>
    <t>Total / mo</t>
  </si>
  <si>
    <t>$ / Sq Ft</t>
  </si>
  <si>
    <t>Target / mo</t>
  </si>
  <si>
    <t>Delta %</t>
  </si>
  <si>
    <t>Delta $</t>
  </si>
  <si>
    <t xml:space="preserve">  IL — INDEPENDENT LIVING</t>
  </si>
  <si>
    <t>INDEPENDENT LIVING (IL) COMPS</t>
  </si>
  <si>
    <t>IL Studio</t>
  </si>
  <si>
    <t>Distance (mi)</t>
  </si>
  <si>
    <t>Vintage</t>
  </si>
  <si>
    <t>Units</t>
  </si>
  <si>
    <t>Base Rent/mo</t>
  </si>
  <si>
    <t>Care Fee/mo</t>
  </si>
  <si>
    <t>All-In Rate</t>
  </si>
  <si>
    <t>$/Sq Ft</t>
  </si>
  <si>
    <t>IL 1-Bed</t>
  </si>
  <si>
    <t>IL 2-Bed</t>
  </si>
  <si>
    <t xml:space="preserve">  AL — ASSISTED LIVING</t>
  </si>
  <si>
    <t>AL Studio (Pvt)</t>
  </si>
  <si>
    <t>AL Semi-Private</t>
  </si>
  <si>
    <t>AL 1-Bed</t>
  </si>
  <si>
    <t xml:space="preserve">  MC — MEMORY CARE</t>
  </si>
  <si>
    <t>MC Studio (Pvt)</t>
  </si>
  <si>
    <t>MC Semi-Private</t>
  </si>
  <si>
    <t>Other</t>
  </si>
  <si>
    <t>Total / Average</t>
  </si>
  <si>
    <t>Current</t>
  </si>
  <si>
    <t>Target</t>
  </si>
  <si>
    <t xml:space="preserve">  AVG — IN</t>
  </si>
  <si>
    <t>Gross Potential Revenue / mo</t>
  </si>
  <si>
    <t xml:space="preserve">  Subj. vs. Avg IN Rent</t>
  </si>
  <si>
    <t>Implied Avg Rate / Bed / mo</t>
  </si>
  <si>
    <t>ASSISTED LIVING (AL) COMPS</t>
  </si>
  <si>
    <t xml:space="preserve">  AVG — AS</t>
  </si>
  <si>
    <t xml:space="preserve">  Subj. vs. Avg AS Rent</t>
  </si>
  <si>
    <t>MEMORY CARE (MC) COMPS</t>
  </si>
  <si>
    <t xml:space="preserve">  AVG — ME</t>
  </si>
  <si>
    <t xml:space="preserve">  Subj. vs. Avg ME Rent</t>
  </si>
  <si>
    <t>CAPITAL EXPENDITURE BUDGET — DETAILED BREAKDOWN</t>
  </si>
  <si>
    <t xml:space="preserve">  Classify each item as Value-Add (VA) or Maintenance (M). VA flows into LTC; Maintenance is operating reserve.</t>
  </si>
  <si>
    <t>Qty</t>
  </si>
  <si>
    <t>Unit Cost</t>
  </si>
  <si>
    <t>Total Cost</t>
  </si>
  <si>
    <t>VA or M?</t>
  </si>
  <si>
    <t>Funded By</t>
  </si>
  <si>
    <t xml:space="preserve">  EXTERIOR &amp; GROUNDS</t>
  </si>
  <si>
    <t>Roof Replacement</t>
  </si>
  <si>
    <t>Parking Lot Resurface</t>
  </si>
  <si>
    <t>Landscaping / Curb Appeal</t>
  </si>
  <si>
    <t>Signage</t>
  </si>
  <si>
    <t>Exterior Paint / Siding</t>
  </si>
  <si>
    <t>Lighting (exterior)</t>
  </si>
  <si>
    <t xml:space="preserve">  Subtotal — EXTERIOR &amp; GROUNDS</t>
  </si>
  <si>
    <t xml:space="preserve">  COMMON AREAS</t>
  </si>
  <si>
    <t>Lobby / Reception Renovation</t>
  </si>
  <si>
    <t>M</t>
  </si>
  <si>
    <t>Placeholders</t>
  </si>
  <si>
    <t>Dining Room Renovation</t>
  </si>
  <si>
    <t>Activity Room Renovation</t>
  </si>
  <si>
    <t>Hallway Flooring</t>
  </si>
  <si>
    <t>Common Area Furniture (FF&amp;E)</t>
  </si>
  <si>
    <t>placehodlers</t>
  </si>
  <si>
    <t>Elevator Modernization</t>
  </si>
  <si>
    <t xml:space="preserve">  Subtotal — COMMON AREAS</t>
  </si>
  <si>
    <t xml:space="preserve">  UNIT INTERIORS</t>
  </si>
  <si>
    <t>Unit Flooring (per unit)</t>
  </si>
  <si>
    <t>Unit Paint (per unit)</t>
  </si>
  <si>
    <t>Bathroom Grab Bars / ADA (per unit)</t>
  </si>
  <si>
    <t>Kitchen Appliances (per unit)</t>
  </si>
  <si>
    <t>Unit Door / Hardware Upgrade</t>
  </si>
  <si>
    <t>Window Replacement (per unit)</t>
  </si>
  <si>
    <t xml:space="preserve">  Subtotal — UNIT INTERIORS</t>
  </si>
  <si>
    <t xml:space="preserve">  MEDICAL &amp; SAFETY</t>
  </si>
  <si>
    <t>Nurse Call System Upgrade</t>
  </si>
  <si>
    <t>Fire Suppression / Sprinklers</t>
  </si>
  <si>
    <t>HVAC Units</t>
  </si>
  <si>
    <t>Emergency Generator</t>
  </si>
  <si>
    <t>Security Camera System</t>
  </si>
  <si>
    <t>Medication Management System</t>
  </si>
  <si>
    <t xml:space="preserve">  Subtotal — MEDICAL &amp; SAFETY</t>
  </si>
  <si>
    <t xml:space="preserve">  TECHNOLOGY &amp; SYSTEMS</t>
  </si>
  <si>
    <t>EHR / Resident Mgmt Software</t>
  </si>
  <si>
    <t>WiFi Infrastructure</t>
  </si>
  <si>
    <t>Telephone / Intercom System</t>
  </si>
  <si>
    <t>Access Control / Key Card</t>
  </si>
  <si>
    <t xml:space="preserve">  Subtotal — TECHNOLOGY &amp; SYSTEMS</t>
  </si>
  <si>
    <t xml:space="preserve">  CONTINGENCY</t>
  </si>
  <si>
    <t>Contingency (10%)</t>
  </si>
  <si>
    <t xml:space="preserve">  Subtotal — CONTINGENCY</t>
  </si>
  <si>
    <t>TOTAL CAPEX BUDGET</t>
  </si>
  <si>
    <t xml:space="preserve">  Value-Add CapEx (VA)</t>
  </si>
  <si>
    <t xml:space="preserve">  Maintenance CapEx (M)</t>
  </si>
  <si>
    <t>EXIT STRATEGY — REFINANCE &amp; SALE ANALYSIS</t>
  </si>
  <si>
    <t>Refi Year (or NA)</t>
  </si>
  <si>
    <t>Net Operating Income</t>
  </si>
  <si>
    <t>Cap Rate</t>
  </si>
  <si>
    <t>Cap Rate at Re-Finance</t>
  </si>
  <si>
    <t>Insurance/Tax/Lender Escrows</t>
  </si>
  <si>
    <t>Appraised Value</t>
  </si>
  <si>
    <t>Operating Reserves remaining</t>
  </si>
  <si>
    <t>Remaining capital in account for operating reserves</t>
  </si>
  <si>
    <t>Re-Finance LTV</t>
  </si>
  <si>
    <t>Sales Price</t>
  </si>
  <si>
    <t>Interest Rate</t>
  </si>
  <si>
    <t>Sales Cost</t>
  </si>
  <si>
    <t>Term / Amortization (Years)</t>
  </si>
  <si>
    <t>Outstanding Loan Balance</t>
  </si>
  <si>
    <t>Re-Finance Loan Amount</t>
  </si>
  <si>
    <t>Total Equity</t>
  </si>
  <si>
    <t xml:space="preserve">  - Re-Finance Costs</t>
  </si>
  <si>
    <t xml:space="preserve">  - Return of Member Capital</t>
  </si>
  <si>
    <t xml:space="preserve">  - Prepayment Penalty</t>
  </si>
  <si>
    <t xml:space="preserve">  - Members Preferred Return Deficiency</t>
  </si>
  <si>
    <t xml:space="preserve">  - Repay Outstanding Loan Balance</t>
  </si>
  <si>
    <t>Net Proceeds/Profit from Sale</t>
  </si>
  <si>
    <t>Gross Proceeds from Re-Finance</t>
  </si>
  <si>
    <t xml:space="preserve">    Principal Reduction</t>
  </si>
  <si>
    <t xml:space="preserve">    Appreciation</t>
  </si>
  <si>
    <t>Capital Account Balance After Re-Fi</t>
  </si>
  <si>
    <t>Capital Transaction Fee to Mgr</t>
  </si>
  <si>
    <t xml:space="preserve">  % of Initial Investment Returned</t>
  </si>
  <si>
    <t>Net Proceeds/Profit Paid to Members</t>
  </si>
  <si>
    <t>Net Proceeds/Profit from Re-Finance</t>
  </si>
  <si>
    <t>Net Proceeds/Profit Paid to Manager</t>
  </si>
  <si>
    <t>Total Cash to Members at Sale  (Init. Cptl. + Apprec.)</t>
  </si>
  <si>
    <t>After Final Disposition</t>
  </si>
  <si>
    <t>Total Profits from Appreciation Paid to Members</t>
  </si>
  <si>
    <t>Total Cash to Members</t>
  </si>
  <si>
    <t>Total Cash to Members at Refi  (Init. Cptl. + Apprec.)</t>
  </si>
  <si>
    <t>Internal Rate of Return (IRR)  — Class A LP</t>
  </si>
  <si>
    <t>Ending Capital Account Balance</t>
  </si>
  <si>
    <t>Average Cash on Cash Return  — Class A LP</t>
  </si>
  <si>
    <t>Re-Finance IO Period</t>
  </si>
  <si>
    <t>WATERFALL &amp; RETURNS — DYNAMIC DISTRIBUTION MODEL</t>
  </si>
  <si>
    <t xml:space="preserve">  Inputs at top. All distributions cascade automatically. Class A/B LP toggle in row 7. Active Scenario drives equity and NOI.</t>
  </si>
  <si>
    <t>WATERFALL INPUTS (auto-linked to active scenario — override here if needed)</t>
  </si>
  <si>
    <t>Hold Period (years)</t>
  </si>
  <si>
    <t>From Scenarios — selectable exit year</t>
  </si>
  <si>
    <t>Applied to Y{hold} NOI</t>
  </si>
  <si>
    <t>Selling Costs at Exit</t>
  </si>
  <si>
    <t>2.5% of gross sale price</t>
  </si>
  <si>
    <t>Co-invest; promote governed by tiers below</t>
  </si>
  <si>
    <t>Preferred equity — priority capital return</t>
  </si>
  <si>
    <t>Common equity — participates in promote</t>
  </si>
  <si>
    <t>Annual pref on Class A equity</t>
  </si>
  <si>
    <t>Class B Preferred Return %</t>
  </si>
  <si>
    <t>Annual pref on Class B equity</t>
  </si>
  <si>
    <t>Class B Treatment →</t>
  </si>
  <si>
    <t>Pref Only</t>
  </si>
  <si>
    <t>Pref Only = Class B pref only, no promote.  Common Equity = Class B shares LP promote proportionally by equity.</t>
  </si>
  <si>
    <t>GP Preferred Return %</t>
  </si>
  <si>
    <t>Set 0 if GP pref not negotiated</t>
  </si>
  <si>
    <t>Use Two LP Classes? (YES/NO)</t>
  </si>
  <si>
    <t>Auto: YES only when Class B equity &gt; 0</t>
  </si>
  <si>
    <t>Tier 1 LP Split %</t>
  </si>
  <si>
    <t>LP share above pref, below Tier 1 hurdle</t>
  </si>
  <si>
    <t>Tier 1 GP Split %</t>
  </si>
  <si>
    <t>Auto = 1 - LP %</t>
  </si>
  <si>
    <t>Tier 1 IRR Hurdle</t>
  </si>
  <si>
    <t>LP blended IRR to trigger Tier 2</t>
  </si>
  <si>
    <t>Tier 2 LP Split %</t>
  </si>
  <si>
    <t>Above Tier 1 hurdle</t>
  </si>
  <si>
    <t>Tier 2 GP Split %</t>
  </si>
  <si>
    <t>GP promote above Tier 1</t>
  </si>
  <si>
    <t>Tier 2 IRR Hurdle</t>
  </si>
  <si>
    <t>LP blended IRR to trigger Tier 3</t>
  </si>
  <si>
    <t>Tier 3 LP Split %</t>
  </si>
  <si>
    <t>Above Tier 2 hurdle</t>
  </si>
  <si>
    <t>Tier 3 GP Split %</t>
  </si>
  <si>
    <t>Super-promote above Tier 2</t>
  </si>
  <si>
    <t>Refi Proceeds Treatment</t>
  </si>
  <si>
    <t>Return of Capital</t>
  </si>
  <si>
    <t>Options: "Return of Capital"  or  "Waterfall"  — controls how refi cash-out is treated</t>
  </si>
  <si>
    <t>ANNUAL CASH FLOW &amp; DISTRIBUTION WATERFALL</t>
  </si>
  <si>
    <t>Exit
Proceeds</t>
  </si>
  <si>
    <t>Total ($)</t>
  </si>
  <si>
    <t>NOI (from P&amp;L)</t>
  </si>
  <si>
    <t>Less: Debt Service (annual)</t>
  </si>
  <si>
    <t>Free Cash Flow (FCF)</t>
  </si>
  <si>
    <t>EXIT PROCEEDS ANALYSIS</t>
  </si>
  <si>
    <t>Gross Sale Price (NOI ÷ Exit Cap)</t>
  </si>
  <si>
    <t>Less: Selling Costs + Disposition Fee</t>
  </si>
  <si>
    <t>NET SALE PROCEEDS</t>
  </si>
  <si>
    <t xml:space="preserve">  Return of Capital — Class A LP</t>
  </si>
  <si>
    <t xml:space="preserve">  Return of Capital — Class B LP</t>
  </si>
  <si>
    <t xml:space="preserve">  Return of Capital — GP</t>
  </si>
  <si>
    <t>ANNUAL DISTRIBUTION WATERFALL</t>
  </si>
  <si>
    <t>Distribution Tier</t>
  </si>
  <si>
    <t>Exit Proceeds</t>
  </si>
  <si>
    <t xml:space="preserve">  Class A Pref Distributed</t>
  </si>
  <si>
    <t>Class B LP Preferred Return</t>
  </si>
  <si>
    <t xml:space="preserve">  Class B Pref Distributed</t>
  </si>
  <si>
    <t>FCF Remaining After Prefs</t>
  </si>
  <si>
    <t>Tier 1 — LP Share (FCF)</t>
  </si>
  <si>
    <t>Tier 1 — GP Share (FCF)</t>
  </si>
  <si>
    <t>TOTAL CLASS A LP DISTRIBUTIONS</t>
  </si>
  <si>
    <t>TOTAL CLASS B LP DISTRIBUTIONS</t>
  </si>
  <si>
    <t>TOTAL LP DISTRIBUTIONS (A+B)</t>
  </si>
  <si>
    <t>TOTAL GP DISTRIBUTIONS</t>
  </si>
  <si>
    <t>LP (Combined)</t>
  </si>
  <si>
    <t xml:space="preserve">  [IRR Helper] Class A LP Cash Flows</t>
  </si>
  <si>
    <t xml:space="preserve">  [IRR Helper] Class B LP Cash Flows</t>
  </si>
  <si>
    <t xml:space="preserve">  [IRR Helper] GP Cash Flows</t>
  </si>
  <si>
    <t xml:space="preserve">  [IRR Helper] Combined LP Cash Flows</t>
  </si>
  <si>
    <t>LP CAPITAL BALANCE TRACKER  (Unreturned Capital by Year)</t>
  </si>
  <si>
    <t>Party</t>
  </si>
  <si>
    <t>Y0 (Invested)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</si>
  <si>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</si>
  <si>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</si>
  <si>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</si>
  <si>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</si>
  <si>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</si>
  <si>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</si>
  <si>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</si>
  <si>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</si>
  <si>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</si>
  <si>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</si>
  <si>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Exit</t>
  </si>
  <si>
    <t>Class A LP — Invested Capital</t>
  </si>
  <si>
    <t xml:space="preserve">  Less: Refi — Return of Capital</t>
  </si>
  <si>
    <t xml:space="preserve">  Closing Balance</t>
  </si>
  <si>
    <t>Total LP — Invested Capital</t>
  </si>
  <si>
    <t xml:space="preserve">  Less: Refi — Return of Capital (Total LP)</t>
  </si>
  <si>
    <t xml:space="preserve">  Closing Balance (Total LP)</t>
  </si>
  <si>
    <t xml:space="preserve">  Note: When toggle = "Return of Capital", refi proceeds reduce LP capital balance and are excluded from operating FCF waterfall. When toggle = "Waterfall", refi proceeds flow through the distribution cascade as additional FCF.</t>
  </si>
  <si>
    <t>GP ECONOMICS SUMMARY  —  All Income Streams by Year</t>
  </si>
  <si>
    <t>Income Source</t>
  </si>
  <si>
    <t>TOTAL ($)</t>
  </si>
  <si>
    <t>Acquisition Fee  (one-time at close)</t>
  </si>
  <si>
    <t>Asset Management Fee  (annual)</t>
  </si>
  <si>
    <t>Operating Promote  (Waterfall — annual)</t>
  </si>
  <si>
    <t>Disposition Fee  (at exit)</t>
  </si>
  <si>
    <t>GP Co-invest Return  (at exit)</t>
  </si>
  <si>
    <t>TOTAL GP ECONOMICS</t>
  </si>
  <si>
    <t>GP ECONOMICS — BREAKDOWN BY TYPE</t>
  </si>
  <si>
    <t>Category</t>
  </si>
  <si>
    <t>% of GP Economics</t>
  </si>
  <si>
    <t>Total Fees  (Acq + Mgmt + Disposition)</t>
  </si>
  <si>
    <t>One-time + annual + exit fees</t>
  </si>
  <si>
    <t>Total Promote  (operating waterfall)</t>
  </si>
  <si>
    <t>GP share of FCF above LP pref</t>
  </si>
  <si>
    <t>Co-invest Return  (capital returned at exit)</t>
  </si>
  <si>
    <t>GRAND TOTAL</t>
  </si>
  <si>
    <t>All GP income streams combined</t>
  </si>
  <si>
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</si>
  <si>
    <t>SENSITIVITY ANALYSIS — THREE KEY TRADE-OFF TABLES</t>
  </si>
  <si>
    <t xml:space="preserve">  Green = meets investment threshold. Yellow = marginal. Red = below threshold. All cells are live formulas.</t>
  </si>
  <si>
    <t>TABLE 1 — OCCUPANCY vs EXIT CAP RATE → LP IRR (MOIC approximation)</t>
  </si>
  <si>
    <t>Occ % \ Exit Cap →</t>
  </si>
  <si>
    <t>Cap Start →</t>
  </si>
  <si>
    <t>Step →</t>
  </si>
  <si>
    <t>Occ Start →</t>
  </si>
  <si>
    <t>Occ Step →</t>
  </si>
  <si>
    <t>TABLE 2 — RATE GROWTH vs EXPENSE GROWTH → NOI MARGIN (Year 5)</t>
  </si>
  <si>
    <t>Rate Gr. \ Exp Gr. →</t>
  </si>
  <si>
    <t>Exp Gr Start →</t>
  </si>
  <si>
    <t>Rate Gr Start →</t>
  </si>
  <si>
    <t>TABLE 3 — PURCHASE PRICE MULTIPLE vs NOI MULTIPLE → GOING-IN CAP RATE</t>
  </si>
  <si>
    <t>PP Mult \ NOI Mult →</t>
  </si>
  <si>
    <t>NOI Mult Start →</t>
  </si>
  <si>
    <t>PP Mult Start →</t>
  </si>
  <si>
    <t>LP RETURN ILLUSTRATION</t>
  </si>
  <si>
    <t>Investment Amount</t>
  </si>
  <si>
    <t>← Change this to illustrate any LP</t>
  </si>
  <si>
    <t>LP Class</t>
  </si>
  <si>
    <t>Class A</t>
  </si>
  <si>
    <t>← Select Class A or Class B</t>
  </si>
  <si>
    <t>Ownership % of LP Pool</t>
  </si>
  <si>
    <t>Pref Rate</t>
  </si>
  <si>
    <t>Member Returns Based On Specific $ Invested</t>
  </si>
  <si>
    <t>Return $</t>
  </si>
  <si>
    <t>Return %</t>
  </si>
  <si>
    <t xml:space="preserve">  A.  INVESTED CAPITAL</t>
  </si>
  <si>
    <t>Beginning Member Capital Account Balance</t>
  </si>
  <si>
    <t>% of Overall LP Pool Ownership for $ Invested</t>
  </si>
  <si>
    <t xml:space="preserve">  B.  PREFERRED RETURN TRACKING</t>
  </si>
  <si>
    <t>Preferred Return Accrued (Annual Target)</t>
  </si>
  <si>
    <t>Preferred Return Paid (Actual Distributed)</t>
  </si>
  <si>
    <t>Cumulative Preferred Return Shortfall</t>
  </si>
  <si>
    <t xml:space="preserve">  C.  ANNUAL CASH DISTRIBUTIONS</t>
  </si>
  <si>
    <t>Member Cashflow  (Total Distribution)</t>
  </si>
  <si>
    <t>Average Cash on Cash Return to Date</t>
  </si>
  <si>
    <t xml:space="preserve">  D.  CAPITAL EVENTS</t>
  </si>
  <si>
    <t>Net Proceeds from Refinance or Sale</t>
  </si>
  <si>
    <t>Return of Member Capital</t>
  </si>
  <si>
    <t>Cumulative Capital Returned</t>
  </si>
  <si>
    <t>Ending Member Capital Account Balance</t>
  </si>
  <si>
    <t xml:space="preserve">  E.  CUMULATIVE TOTALS</t>
  </si>
  <si>
    <t>Cumulative Cash Received  (Distributions + ROC)</t>
  </si>
  <si>
    <t>Average Annual Return to Date</t>
  </si>
  <si>
    <t>Total Return in Investment</t>
  </si>
  <si>
    <t>Average Annual Return</t>
  </si>
  <si>
    <t>XIRR</t>
  </si>
  <si>
    <t>Average Cash on Cash Return</t>
  </si>
  <si>
    <t xml:space="preserve">  F.  TARGET RETURN ANALYSIS  —  How much do I need to invest?</t>
  </si>
  <si>
    <t>Your Target</t>
  </si>
  <si>
    <t>Required Investment</t>
  </si>
  <si>
    <t>At $100k →</t>
  </si>
  <si>
    <t>vs Target</t>
  </si>
  <si>
    <t>Annual Pref Income ($/yr)</t>
  </si>
  <si>
    <t>Target Equity Multiple</t>
  </si>
  <si>
    <t>EM scales with deal, not investment size</t>
  </si>
  <si>
    <t>Target IRR</t>
  </si>
  <si>
    <t>IRR is deal-level — same at any investment size</t>
  </si>
  <si>
    <t>Target Total Cash Back ($)</t>
  </si>
  <si>
    <t xml:space="preserve">  G.  SENSITIVITY ANALYSIS  —  Your Returns at Different Exit Cap Rates</t>
  </si>
  <si>
    <t xml:space="preserve">  Assumes operating distributions unchanged. Only exit proceeds vary with cap rate.</t>
  </si>
  <si>
    <t>Net Proceeds to LP (exit)</t>
  </si>
  <si>
    <t>Your Exit $</t>
  </si>
  <si>
    <t>Total Received</t>
  </si>
  <si>
    <t>Equity Multiple</t>
  </si>
  <si>
    <t>vs Base EM</t>
  </si>
  <si>
    <t xml:space="preserve">  Base case (0.08 cap rate) highlighted. Selling costs and disposition fee deducted from sale price before LP split.</t>
  </si>
  <si>
    <t>XIRR ANALYSIS — QUARTERLY DISTRIBUTION SCHEDULE</t>
  </si>
  <si>
    <t xml:space="preserve">  INPUTS</t>
  </si>
  <si>
    <t>Close / Funding Date</t>
  </si>
  <si>
    <t>← Today's date. Change to actual close date.</t>
  </si>
  <si>
    <t>← Change in LP Return sheet</t>
  </si>
  <si>
    <t>Hold Period</t>
  </si>
  <si>
    <t>Yrs  |  Pref Rate:</t>
  </si>
  <si>
    <t>Legend:</t>
  </si>
  <si>
    <t>Blue = editable</t>
  </si>
  <si>
    <t>Yellow = model ref (read-only)</t>
  </si>
  <si>
    <t>Quarterly Dist = Annual ÷ 4 by default. Override any cell in col E.</t>
  </si>
  <si>
    <t>Year</t>
  </si>
  <si>
    <t>Quarter</t>
  </si>
  <si>
    <t>XIRR Date</t>
  </si>
  <si>
    <t>Annual Dist
(from model)</t>
  </si>
  <si>
    <t>Quarterly Dist
(editable ↓)</t>
  </si>
  <si>
    <t>Exit / Refi
Proceeds</t>
  </si>
  <si>
    <t>Total CF
(XIRR input)</t>
  </si>
  <si>
    <t>Cumulative
Cash Received</t>
  </si>
  <si>
    <t>0</t>
  </si>
  <si>
    <t>Invest</t>
  </si>
  <si>
    <t>Initial member contribution</t>
  </si>
  <si>
    <t>Q1</t>
  </si>
  <si>
    <t>Distributions begin</t>
  </si>
  <si>
    <t>Q2</t>
  </si>
  <si>
    <t>Q3</t>
  </si>
  <si>
    <t>Q4</t>
  </si>
  <si>
    <t>TOTALS</t>
  </si>
  <si>
    <t xml:space="preserve">  RETURN SUMMARY</t>
  </si>
  <si>
    <t>XIRR  (quarterly distributions)</t>
  </si>
  <si>
    <t>Standard IRR  (annual, year-end)</t>
  </si>
  <si>
    <t>Difference  (XIRR − IRR)</t>
  </si>
  <si>
    <t>Equity Multiple  (XIRR basis)</t>
  </si>
  <si>
    <t>Total Cash Received</t>
  </si>
  <si>
    <t>LOAN SUMMARY — THREE-TRANCHE DEBT STRUCTURE</t>
  </si>
  <si>
    <t xml:space="preserve">  Inputs pull from active Scenario col F. Edit loan terms in the Scenarios tab per scenario.</t>
  </si>
  <si>
    <t>1st Loan (Senior)</t>
  </si>
  <si>
    <t>Loan Amount</t>
  </si>
  <si>
    <t>Amortization (yrs)</t>
  </si>
  <si>
    <t>1st Mortgage (Senior)</t>
  </si>
  <si>
    <t xml:space="preserve">  Exits at Refi? →</t>
  </si>
  <si>
    <t>NO</t>
  </si>
  <si>
    <t>Loan Term (yrs)</t>
  </si>
  <si>
    <t xml:space="preserve">  Beginning Balance</t>
  </si>
  <si>
    <t>Interest-Only Months</t>
  </si>
  <si>
    <t xml:space="preserve">  Principal Paid</t>
  </si>
  <si>
    <t>Origination Fee %</t>
  </si>
  <si>
    <t xml:space="preserve">  Interest Paid</t>
  </si>
  <si>
    <t>Origination Fee $</t>
  </si>
  <si>
    <t xml:space="preserve">  Total Debt Service</t>
  </si>
  <si>
    <t>Annual Debt Service</t>
  </si>
  <si>
    <t xml:space="preserve">  Ending Balance</t>
  </si>
  <si>
    <t>Monthly Payment</t>
  </si>
  <si>
    <t>Annual Interest (Y1)</t>
  </si>
  <si>
    <t>2nd Mortgage</t>
  </si>
  <si>
    <t>Annual Principal (Y1)</t>
  </si>
  <si>
    <t>YES</t>
  </si>
  <si>
    <t>1st Mortgage Refi</t>
  </si>
  <si>
    <t xml:space="preserve">  Cumulative Interest</t>
  </si>
  <si>
    <t xml:space="preserve">  Cumulative Principal</t>
  </si>
  <si>
    <t>=IF(Scenarios!F34&gt;0,"YES","NO")</t>
  </si>
  <si>
    <t>── INDEPENDENT LIVING (IL) ──</t>
  </si>
  <si>
    <t xml:space="preserve">    Vacancy % — IL</t>
  </si>
  <si>
    <t xml:space="preserve">    Less: Vacancy — IL</t>
  </si>
  <si>
    <t xml:space="preserve">    Loss to Lease % — IL</t>
  </si>
  <si>
    <t xml:space="preserve">    Less: Loss to Lease — IL</t>
  </si>
  <si>
    <t xml:space="preserve">    Bad Debt / Concessions % — IL</t>
  </si>
  <si>
    <t xml:space="preserve">    Less: Concessions/Bad Debt — IL</t>
  </si>
  <si>
    <t>── ASSISTED LIVING (AL) ──</t>
  </si>
  <si>
    <t xml:space="preserve">    Vacancy % — AL</t>
  </si>
  <si>
    <t xml:space="preserve">    Less: Vacancy — AL</t>
  </si>
  <si>
    <t xml:space="preserve">    Loss to Lease % — AL</t>
  </si>
  <si>
    <t xml:space="preserve">    Less: Loss to Lease — AL</t>
  </si>
  <si>
    <t xml:space="preserve">    Bad Debt / Concessions % — AL</t>
  </si>
  <si>
    <t xml:space="preserve">    Less: Concessions/Bad Debt — AL</t>
  </si>
  <si>
    <t>── MEMORY CARE (MC) ──</t>
  </si>
  <si>
    <t xml:space="preserve">    Vacancy % — MC</t>
  </si>
  <si>
    <t xml:space="preserve">    Less: Vacancy — MC</t>
  </si>
  <si>
    <t xml:space="preserve">    Loss to Lease % — MC</t>
  </si>
  <si>
    <t xml:space="preserve">    Less: Loss to Lease — MC</t>
  </si>
  <si>
    <t xml:space="preserve">    Bad Debt / Concessions % — MC</t>
  </si>
  <si>
    <t xml:space="preserve">    Less: Concessions/Bad Debt — MC</t>
  </si>
  <si>
    <t>── SUMMARY ROLLUP ──</t>
  </si>
  <si>
    <t>Total Licensed Beds</t>
  </si>
  <si>
    <t xml:space="preserve">  Less: Total Vacancy</t>
  </si>
  <si>
    <t xml:space="preserve">  Less: Total Loss to Lease</t>
  </si>
  <si>
    <t xml:space="preserve">  Less: Total Concessions/Bad Debt</t>
  </si>
  <si>
    <t>── DIRECT LABOR ──</t>
  </si>
  <si>
    <t xml:space="preserve">  Care staff labor (AL / MC / IL)</t>
  </si>
  <si>
    <t xml:space="preserve">  Wellness / care coordinators</t>
  </si>
  <si>
    <t xml:space="preserve">  Contract / agency labor</t>
  </si>
  <si>
    <t xml:space="preserve">  Activities labor</t>
  </si>
  <si>
    <t xml:space="preserve">  Dining / food service labor</t>
  </si>
  <si>
    <t xml:space="preserve">  Maintenance &amp; housekeeping labor</t>
  </si>
  <si>
    <t xml:space="preserve">  Administrative labor</t>
  </si>
  <si>
    <t xml:space="preserve">  Bonus wages</t>
  </si>
  <si>
    <t>Total Direct Labor</t>
  </si>
  <si>
    <t>── PAYROLL BURDEN ──</t>
  </si>
  <si>
    <t xml:space="preserve">  Overtime wages</t>
  </si>
  <si>
    <t xml:space="preserve">  PTO wages</t>
  </si>
  <si>
    <t xml:space="preserve">  Payroll taxes</t>
  </si>
  <si>
    <t xml:space="preserve">  Employee benefits (health/dental/vision)</t>
  </si>
  <si>
    <t xml:space="preserve">  Workers' comp insurance</t>
  </si>
  <si>
    <t xml:space="preserve">  Employee 401(k) / retirement</t>
  </si>
  <si>
    <t>Total Payroll Burden</t>
  </si>
  <si>
    <t>── NON-LABOR OPEX ──</t>
  </si>
  <si>
    <t xml:space="preserve">  Food cost</t>
  </si>
  <si>
    <t xml:space="preserve">  Dining &amp; kitchen supplies</t>
  </si>
  <si>
    <t xml:space="preserve">  Nursing &amp; care supplies</t>
  </si>
  <si>
    <t xml:space="preserve">  Recreation &amp; activity supplies</t>
  </si>
  <si>
    <t xml:space="preserve">  R&amp;M — fixed (contracts)</t>
  </si>
  <si>
    <t xml:space="preserve">  R&amp;M — variable (repairs)</t>
  </si>
  <si>
    <t xml:space="preserve">  Housekeeping &amp; laundry supplies</t>
  </si>
  <si>
    <t xml:space="preserve">  Sales, advertising &amp; marketing</t>
  </si>
  <si>
    <t xml:space="preserve">  Referral fees</t>
  </si>
  <si>
    <t xml:space="preserve">  Utilities (electric, gas, water, trash)</t>
  </si>
  <si>
    <t xml:space="preserve">  Telephone / IT / technology</t>
  </si>
  <si>
    <t xml:space="preserve">  P&amp;C insurance (bundled)</t>
  </si>
  <si>
    <t xml:space="preserve">  Auto insurance</t>
  </si>
  <si>
    <t xml:space="preserve">  Fire / security monitoring</t>
  </si>
  <si>
    <t xml:space="preserve">  Pest elimination</t>
  </si>
  <si>
    <t xml:space="preserve">  Real estate taxes</t>
  </si>
  <si>
    <t xml:space="preserve">  Personal property taxes</t>
  </si>
  <si>
    <t xml:space="preserve">  Legal expenses</t>
  </si>
  <si>
    <t xml:space="preserve">  Professional services (acctg/consulting)</t>
  </si>
  <si>
    <t xml:space="preserve">  Bad debt expense</t>
  </si>
  <si>
    <t xml:space="preserve">  Permits, licenses &amp; dues</t>
  </si>
  <si>
    <t xml:space="preserve">  Office, admin &amp; G&amp;A</t>
  </si>
  <si>
    <t xml:space="preserve">  Other / miscellaneous</t>
  </si>
  <si>
    <t>Total Non-Labor OpEx</t>
  </si>
  <si>
    <t>Actuals (T-12)</t>
  </si>
  <si>
    <t/>
  </si>
  <si>
    <t xml:space="preserve">  Care staff labor</t>
  </si>
  <si>
    <t xml:space="preserve">  Employee benefits</t>
  </si>
  <si>
    <t xml:space="preserve">  R&amp;M — fixed</t>
  </si>
  <si>
    <t xml:space="preserve">  R&amp;M — variable</t>
  </si>
  <si>
    <t xml:space="preserve">  Utilities</t>
  </si>
  <si>
    <t xml:space="preserve">  P&amp;C insurance</t>
  </si>
  <si>
    <t xml:space="preserve">  Professional services</t>
  </si>
  <si>
    <t>As of date for diagnostic</t>
  </si>
  <si>
    <t>Watch</t>
  </si>
  <si>
    <t>Escalate</t>
  </si>
  <si>
    <t>Collections</t>
  </si>
  <si>
    <t>Flag</t>
  </si>
  <si>
    <t>Loss to Lease  (achievable rate − in-place scheduled, occupied)</t>
  </si>
  <si>
    <t>Achievable = max scheduled rate within same care level (peer ceiling per CL)</t>
  </si>
  <si>
    <t>LTL as % of scheduled GPR</t>
  </si>
  <si>
    <t>Sq Ft (est)</t>
  </si>
  <si>
    <t>$/SqFt/Mo</t>
  </si>
  <si>
    <t>$/SqFt/Yr</t>
  </si>
  <si>
    <t>Avg $/SqFt/Mo</t>
  </si>
  <si>
    <t>Unit/Bed</t>
  </si>
  <si>
    <t>Est. Sq Ft</t>
  </si>
  <si>
    <t>Min Base Rent</t>
  </si>
  <si>
    <t>Avg Base Rent</t>
  </si>
  <si>
    <t>Max Base Rent</t>
  </si>
  <si>
    <t>R.  UNIT TYPE PRICING BY CARE LEVEL  —  Min/avg/max rent by care level × unit type</t>
  </si>
  <si>
    <t xml:space="preserve">  ⓘ Dynamic — pulls care level + unit types directly from the rent roll. Sq Ft uses standard IL sizes (Studio 450 · 1BR 700 · 2BR 1,000 · 3BR 1,300 · Suite 350 · Cottage 900). Override col D inline for actuals.</t>
  </si>
  <si>
    <t>Spread</t>
  </si>
  <si>
    <t>Care|UnitType</t>
  </si>
  <si>
    <t>_key</t>
  </si>
  <si>
    <t>Current Total Sched</t>
  </si>
  <si>
    <t>Max Collectable</t>
  </si>
  <si>
    <t>Upside ($)</t>
  </si>
  <si>
    <t>Upside %</t>
  </si>
  <si>
    <t>TOTAL (annualized)</t>
  </si>
  <si>
    <t>Care|Unit (all)</t>
  </si>
  <si>
    <t>Max @ Full Occ</t>
  </si>
  <si>
    <t>Total Upside ($)</t>
  </si>
  <si>
    <t>Total Upside %</t>
  </si>
  <si>
    <t>Market vs Actual Collected  (operator posted rate − actual charges, occupied)</t>
  </si>
  <si>
    <t>Negative = collecting MORE than posted market (over-billing or care fees in I). Positive = collecting LESS than posted market (concessions / discounts in actuals).</t>
  </si>
  <si>
    <t>Concession $</t>
  </si>
  <si>
    <t>Concession End</t>
  </si>
  <si>
    <t>Care Level $</t>
  </si>
  <si>
    <t>Med Mgmt $</t>
  </si>
  <si>
    <t>Pharmacy $</t>
  </si>
  <si>
    <t>Other LOC $</t>
  </si>
  <si>
    <t>2nd Person $</t>
  </si>
  <si>
    <t>Meal Plan $</t>
  </si>
  <si>
    <t>Scooter $</t>
  </si>
  <si>
    <t>Housekeeping $</t>
  </si>
  <si>
    <t>Laundry $</t>
  </si>
  <si>
    <t>Pet $</t>
  </si>
  <si>
    <t>ACH</t>
  </si>
  <si>
    <t>Market PSF</t>
  </si>
  <si>
    <t>Mkt-Actual $</t>
  </si>
  <si>
    <t>Mkt-Actual %</t>
  </si>
  <si>
    <t>Conc Source</t>
  </si>
  <si>
    <t>Effective Conc $</t>
  </si>
  <si>
    <t>S.  CONCESSIONS AUDIT  —  Logged, parsed, and implied rate reductions</t>
  </si>
  <si>
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</si>
  <si>
    <t>Source</t>
  </si>
  <si>
    <t>Total Monthly</t>
  </si>
  <si>
    <t>Structured (in col AD)</t>
  </si>
  <si>
    <t>Explicit concession entries from operator</t>
  </si>
  <si>
    <t>Notes-parsed (now backfilled)</t>
  </si>
  <si>
    <t>$X/mo con' wording parsed from Notes col S and written to AD</t>
  </si>
  <si>
    <t>Implied (market−actual gap)</t>
  </si>
  <si>
    <t>⚠ Undocumented rent reductions — likely legacy rates, downgrades, or unlogged concessions</t>
  </si>
  <si>
    <t>Step-up / Rate-swap (need formulas)</t>
  </si>
  <si>
    <t>see notes col S</t>
  </si>
  <si>
    <t>Quarterly step-ups or % rate substitutions — current effective amount depends on date</t>
  </si>
  <si>
    <t>Care Level Tier</t>
  </si>
  <si>
    <t>Total Ancillary $</t>
  </si>
  <si>
    <t>Preleased Date</t>
  </si>
  <si>
    <t>Total Operating Expenses (excl. mgmt)</t>
  </si>
  <si>
    <t>EBITDA</t>
  </si>
  <si>
    <t>Occupied Beds — Total</t>
  </si>
  <si>
    <t>Occupied Beds — IL</t>
  </si>
  <si>
    <t>Occupied Beds — AL</t>
  </si>
  <si>
    <t>Occupied Beds — MC</t>
  </si>
  <si>
    <t>Sum of IL+AL+MC licensed beds — must match Prop Info!B15</t>
  </si>
  <si>
    <t>IL blended market rate — pull from rent roll</t>
  </si>
  <si>
    <t>AL median ~$4,774/mo nationally (2024); local range varies</t>
  </si>
  <si>
    <t>MC ~$6,160/mo nationally (2024); premium 25-40% over AL</t>
  </si>
  <si>
    <t>GPR = beds × monthly rate × 12 (100% occupied)</t>
  </si>
  <si>
    <t>Annual gross potential rent at full IL occupancy</t>
  </si>
  <si>
    <t>Annual gross potential rent at full AL occupancy</t>
  </si>
  <si>
    <t>Annual gross potential rent at full MC occupancy</t>
  </si>
  <si>
    <t>Vacancy losses by care level — drives blended vacancy</t>
  </si>
  <si>
    <t>Vacancy $ = blended vac% × Total GPR (negative)</t>
  </si>
  <si>
    <t>Loss-to-lease: rate concessions vs market rate</t>
  </si>
  <si>
    <t>Loss to lease $ = -LtL% × Total GPR</t>
  </si>
  <si>
    <t>Concessions/bad debt: 1-3% of GPR typical</t>
  </si>
  <si>
    <t>Concessions $ = -Conc% × Total GPR</t>
  </si>
  <si>
    <t>Care services upcharges by acuity level</t>
  </si>
  <si>
    <t>Care services $ = % × Total GPR (positive add-back)</t>
  </si>
  <si>
    <t>EGI = GPR less vacancy/LtL/conc plus care/2P/other</t>
  </si>
  <si>
    <t>Occupied beds = Licensed beds × (1 − vacancy%)</t>
  </si>
  <si>
    <t>IL occupied = IL beds × (1 − IL vac%)</t>
  </si>
  <si>
    <t>AL occupied = AL beds × (1 − AL vac%)</t>
  </si>
  <si>
    <t>MC occupied = MC beds × (1 − MC vac%)</t>
  </si>
  <si>
    <t>Total occupied beds — drives census-based metrics</t>
  </si>
  <si>
    <t>AL/MC cap rate: 6.5-8.5% stabilized; higher value-add</t>
  </si>
  <si>
    <t>Implied FMV at market cap — sanity check vs offer</t>
  </si>
  <si>
    <t>Care labor: 20-30% EGI — largest line; tracks acuity &amp; ratios</t>
  </si>
  <si>
    <t>Wellness/nursing leads: 2-4% EGI — RN/LPN salaries</t>
  </si>
  <si>
    <t>Agency labor: 0-5% EGI stabilized; can spike 5-15% in lease-up</t>
  </si>
  <si>
    <t>Activities labor: 1-2% EGI — life enrichment program</t>
  </si>
  <si>
    <t>Dining labor: 4-6% EGI — chef, cooks, servers, dishwashers</t>
  </si>
  <si>
    <t>Maintenance &amp; housekeeping labor: 2-4% EGI</t>
  </si>
  <si>
    <t>Administrative labor: 3-5% EGI — ED, business office, sales</t>
  </si>
  <si>
    <t>Bonus wages: 0-1% EGI — incentive comp</t>
  </si>
  <si>
    <t>Total Direct Labor: 35-45% EGI stabilized AL/MC</t>
  </si>
  <si>
    <t>Overtime: 1-3% EGI — agency/turnover leading indicator</t>
  </si>
  <si>
    <t>PTO accrual: 1-2% EGI — vacation/sick wages</t>
  </si>
  <si>
    <t>Payroll taxes: 3-4% EGI (~8-10% of wages: FICA/SUTA/FUTA)</t>
  </si>
  <si>
    <t>Health/dental/vision: 4-7% EGI (15-25% of base wages)</t>
  </si>
  <si>
    <t>Workers' comp: 1-2% EGI (2-5% of wages; high in care)</t>
  </si>
  <si>
    <t>401(k)/retirement match: 0-1% EGI (1-4% of wages)</t>
  </si>
  <si>
    <t>Total Payroll Burden: 10-15% EGI (25-35% load on labor)</t>
  </si>
  <si>
    <t>Food cost: 4-6% EGI — $8-12 per resident per day target</t>
  </si>
  <si>
    <t>Dining/kitchen supplies: 0.5-1% EGI — consumables, smallwares</t>
  </si>
  <si>
    <t>Nursing/care supplies: 1-2% EGI — incontinence, PPE, wound</t>
  </si>
  <si>
    <t>Activity supplies: 0.2-0.5% EGI — programming materials</t>
  </si>
  <si>
    <t>R&amp;M fixed: 1-2% EGI — HVAC, elevator, fire/life contracts</t>
  </si>
  <si>
    <t>R&amp;M variable: 1-2% EGI — repairs, parts, ad-hoc service</t>
  </si>
  <si>
    <t>Housekeeping/laundry supplies: 0.5-1% EGI — chemicals, linens</t>
  </si>
  <si>
    <t>Marketing: 2-4% EGI stabilized; 4-8% in lease-up</t>
  </si>
  <si>
    <t>Referral fees: 1-3% EGI; ~5% of new-move-in revenue</t>
  </si>
  <si>
    <t>Utilities: 3-5% EGI — $3-6/sf annually for senior housing</t>
  </si>
  <si>
    <t>Telephone/IT: 1-2% EGI — internet, phone, software</t>
  </si>
  <si>
    <t>P&amp;C insurance: 2-4% EGI — GL + property; rising sharply</t>
  </si>
  <si>
    <t>Auto insurance: 0.1-0.3% EGI — community vehicle/bus</t>
  </si>
  <si>
    <t>Fire/security monitoring: 0.2-0.5% EGI — life safety contracts</t>
  </si>
  <si>
    <t>Pest control: 0.1-0.3% EGI — quarterly service</t>
  </si>
  <si>
    <t>Real estate taxes: 3-6% EGI — confirm assessor portal</t>
  </si>
  <si>
    <t>Personal property taxes: 0-0.5% EGI — FF&amp;E if applicable</t>
  </si>
  <si>
    <t>Legal: 0.2-0.5% EGI — corporate, employment, regulatory</t>
  </si>
  <si>
    <t>Professional services: 0.3-0.7% EGI — accounting, consulting</t>
  </si>
  <si>
    <t>Bad debt: 0.5-1.5% EGI — uncollected resident receivables</t>
  </si>
  <si>
    <t>Permits/licenses/dues: 0.2-0.5% EGI — state licensing</t>
  </si>
  <si>
    <t>Office admin/G&amp;A: 0.5-1% EGI — supplies, postage, dues</t>
  </si>
  <si>
    <t>Misc/other: &lt;1% EGI — unallocated catch-all</t>
  </si>
  <si>
    <t>Total Non-Labor OpEx: 25-35% EGI stabilized</t>
  </si>
  <si>
    <t>Management fee: 4-7% EGI for 3rd-party operators</t>
  </si>
  <si>
    <t>TOTAL EXPENSES: 70-78% EGI stabilized; 80%+ value-add/lease-up</t>
  </si>
  <si>
    <t>NOI margin: 25-35% EGI target stabilized AL/MC</t>
  </si>
  <si>
    <t>Annual Principal Payment</t>
  </si>
  <si>
    <t>Annual Intereset Payment</t>
  </si>
  <si>
    <t>Annual Total Debt Service</t>
  </si>
  <si>
    <t>Rent Basis:</t>
  </si>
  <si>
    <t>Max</t>
  </si>
  <si>
    <t>VALUE-ADD UNITS  (manual inputs — negative R = removed, positive R = added)</t>
  </si>
  <si>
    <t xml:space="preserve">  IL — Value-Add</t>
  </si>
  <si>
    <t xml:space="preserve">  Add row 1 (label me)</t>
  </si>
  <si>
    <t xml:space="preserve">  Add row 2 (label me)</t>
  </si>
  <si>
    <t xml:space="preserve">  AL — Value-Add</t>
  </si>
  <si>
    <t xml:space="preserve">  MC — Value-Add</t>
  </si>
  <si>
    <t xml:space="preserve">  Subtotal — Value-Add</t>
  </si>
  <si>
    <t>TOTAL — STABILIZED  (In-Place + Value-Add)</t>
  </si>
  <si>
    <t>SUMMARY</t>
  </si>
  <si>
    <t>Current (In-Place)</t>
  </si>
  <si>
    <t>Target (Comp Repriced)</t>
  </si>
  <si>
    <t>Projected (Stabilized)</t>
  </si>
  <si>
    <t>Gross Potential Revenue / yr (annualized)</t>
  </si>
  <si>
    <t>Toggle Avg/Max at O2 to flex Current rents</t>
  </si>
  <si>
    <t>row 31 x 12</t>
  </si>
  <si>
    <t>Uplift opportunity vs in-place</t>
  </si>
  <si>
    <t>Gap vs Current ($/mo)</t>
  </si>
  <si>
    <t>-</t>
  </si>
  <si>
    <t>T-12 historical GPR (12-mo billed rent before vacancy/LtL)</t>
  </si>
  <si>
    <t>From T-12!N58 Gross Potential Rent</t>
  </si>
  <si>
    <t>divided by 12 / licensed beds</t>
  </si>
  <si>
    <t>Positive = current rent roll below historical; negative = above</t>
  </si>
  <si>
    <t>Sum of In-Place rows T5:T15 (Avg/Max toggle drives this)</t>
  </si>
  <si>
    <t>row 31 / R16 (in-place); Projected uses R27 (stabilized)</t>
  </si>
  <si>
    <t>=IFERROR(IF(LEFT(INDEX($S$211:$S$610,MATCH(LARGE($L$211:$L$610+ROW($L$211:$L$610)/1000000,ROW()-72),$L$211:$L$610+ROW($L$211:$L$610)/1000000,0)),2)="✱✱","✱✱",""),"")</t>
  </si>
  <si>
    <t>Loans Tab</t>
  </si>
  <si>
    <t>Scenarios Tab</t>
  </si>
  <si>
    <t>OPERATING RESERVE TRACKER</t>
  </si>
  <si>
    <t>Opening Reserve Balance</t>
  </si>
  <si>
    <t>Reserve Draw (CF deficit cover)</t>
  </si>
  <si>
    <t>Ending Reserve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</si>
</sst>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.00"/>
    <numFmt numFmtId="179" formatCode="\$#,##0;&quot;($&quot;#,##0\)"/>
    <numFmt numFmtId="180" formatCode="0.000%"/>
    <numFmt numFmtId="181" formatCode="\$#,##0"/>
    <numFmt numFmtId="182" formatCode="\+0.00\x;\-0.00\x"/>
    <numFmt numFmtId="183" formatCode="0&quot; yrs&quot;"/>
    <numFmt numFmtId="184" formatCode="\+0.00%;\-0.00%"/>
    <numFmt numFmtId="185" formatCode="\$#,##0;\(\$#,##0\)"/>
    <numFmt numFmtId="186" formatCode="&quot;$&quot;#,##0;\(&quot;$&quot;#,##0\);\-"/>
    <numFmt numFmtId="187" formatCode="&quot;$&quot;#,##0.00"/>
    <numFmt numFmtId="188" formatCode="&quot;$&quot;#,##0"/>
    <numFmt numFmtId="189" formatCode="&quot;$&quot;#,##0;\(&quot;$&quot;#,##0\)"/>
    <numFmt numFmtId="190" formatCode="mm/dd/yyyy"/>
    <numFmt numFmtId="191" formatCode="0.0"/>
    <numFmt numFmtId="192" formatCode="&quot;$&quot;0.00"/>
    <numFmt numFmtId="193" formatCode="0.0&quot; mo&quot;"/>
    <numFmt numFmtId="194" formatCode="&quot;$&quot;#,##0.00;\(&quot;$&quot;#,##0.00\);\-"/>
  </numFmts>
  <fonts count="109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6100"/>
      <name val="Arial"/>
      <family val="2"/>
      <charset val="1"/>
    </font>
    <font>
      <i/>
      <sz val="10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b/>
      <sz val="9"/>
      <color rgb="FFFFFFFF"/>
      <name val="Arial"/>
      <family val="2"/>
      <charset val="1"/>
    </font>
    <font>
      <b/>
      <i/>
      <sz val="9"/>
      <color rgb="FF595959"/>
      <name val="Arial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i/>
      <sz val="9"/>
      <color rgb="FF006100"/>
      <name val="Arial"/>
      <family val="2"/>
      <charset val="1"/>
    </font>
    <font>
      <sz val="10"/>
      <color rgb="FF7F6000"/>
      <name val="Arial"/>
      <family val="2"/>
      <charset val="1"/>
    </font>
    <font>
      <i/>
      <sz val="10"/>
      <color rgb="FF0000FF"/>
      <name val="Arial"/>
      <family val="2"/>
      <charset val="1"/>
    </font>
    <font>
      <sz val="11"/>
      <color rgb="FF7030A0"/>
      <name val="Calibri"/>
      <family val="2"/>
      <charset val="1"/>
    </font>
    <font>
      <b/>
      <sz val="10"/>
      <color theme="0"/>
      <name val="Arial"/>
      <family val="2"/>
      <charset val="1"/>
    </font>
    <font>
      <i/>
      <sz val="9"/>
      <color theme="0"/>
      <name val="Arial"/>
      <family val="2"/>
      <charset val="1"/>
    </font>
    <font>
      <sz val="10"/>
      <color rgb="FFBFBFBF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9"/>
      <color rgb="FF0000FF"/>
      <name val="Arial"/>
      <family val="2"/>
      <charset val="1"/>
    </font>
    <font>
      <b/>
      <sz val="10"/>
      <color rgb="FF375623"/>
      <name val="Arial"/>
      <family val="2"/>
      <charset val="1"/>
    </font>
    <font>
      <i/>
      <sz val="10"/>
      <color rgb="FF375623"/>
      <name val="Arial"/>
      <family val="2"/>
      <charset val="1"/>
    </font>
    <font>
      <sz val="10"/>
      <color rgb="FF375623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9"/>
      <color rgb="FF375623"/>
      <name val="Arial"/>
      <family val="2"/>
      <charset val="1"/>
    </font>
    <font>
      <i/>
      <sz val="9"/>
      <color rgb="FF7030A0"/>
      <name val="Arial"/>
      <family val="2"/>
      <charset val="1"/>
    </font>
    <font>
      <i/>
      <sz val="10"/>
      <color rgb="FF7F6000"/>
      <name val="Arial"/>
      <family val="2"/>
      <charset val="1"/>
    </font>
    <font>
      <b/>
      <sz val="10"/>
      <color rgb="FF1F3864"/>
      <name val="Arial"/>
      <family val="2"/>
      <charset val="1"/>
    </font>
    <font>
      <sz val="8"/>
      <color theme="0" tint="-0.249977111117893"/>
      <name val="Arial"/>
      <family val="2"/>
      <charset val="1"/>
    </font>
    <font>
      <sz val="10"/>
      <color rgb="FFFF0000"/>
      <name val="Arial"/>
      <family val="2"/>
      <charset val="1"/>
    </font>
    <font>
      <b/>
      <sz val="11"/>
      <color rgb="FF375623"/>
      <name val="Arial"/>
      <family val="2"/>
      <charset val="1"/>
    </font>
    <font>
      <i/>
      <sz val="9"/>
      <color rgb="FF7F6000"/>
      <name val="Arial"/>
      <family val="2"/>
      <charset val="1"/>
    </font>
    <font>
      <b/>
      <sz val="10"/>
      <color rgb="FF7F6000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13"/>
      <color rgb="FFFFFFFF"/>
      <name val="Arial"/>
      <family val="2"/>
      <charset val="1"/>
    </font>
    <font>
      <sz val="6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B050"/>
      <name val="Calibri"/>
      <family val="2"/>
    </font>
    <font>
      <sz val="10"/>
      <color rgb="FF595959"/>
      <name val="Calibri"/>
      <family val="2"/>
    </font>
    <font>
      <i/>
      <sz val="10"/>
      <color rgb="FF000000"/>
      <name val="Calibri"/>
      <family val="2"/>
    </font>
    <font>
      <i/>
      <sz val="10"/>
      <color rgb="FFC00000"/>
      <name val="Calibri"/>
      <family val="2"/>
    </font>
    <font>
      <b/>
      <sz val="10"/>
      <color rgb="FF595959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9"/>
      <color rgb="FF595959"/>
      <name val="Calibri"/>
      <family val="2"/>
    </font>
    <font>
      <sz val="9"/>
      <color rgb="FF1F386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9"/>
      <color rgb="FF1F3864"/>
      <name val="Calibri"/>
      <family val="2"/>
    </font>
    <font>
      <i/>
      <sz val="8"/>
      <color rgb="FF595959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6100"/>
      <name val="Arial"/>
      <family val="2"/>
    </font>
    <font>
      <b/>
      <sz val="10"/>
      <color rgb="FF006100"/>
      <name val="Arial"/>
      <family val="2"/>
    </font>
    <font>
      <b/>
      <sz val="10"/>
      <color rgb="FFFFFFFF"/>
      <name val="Arial"/>
      <family val="2"/>
    </font>
    <font>
      <b/>
      <i/>
      <sz val="9"/>
      <color rgb="FF595959"/>
      <name val="Arial"/>
      <family val="2"/>
    </font>
    <font>
      <i/>
      <sz val="9"/>
      <color rgb="FF595959"/>
      <name val="Arial"/>
      <family val="2"/>
    </font>
    <font>
      <b/>
      <i/>
      <sz val="9"/>
      <color rgb="FF006100"/>
      <name val="Arial"/>
      <family val="2"/>
    </font>
    <font>
      <i/>
      <sz val="9"/>
      <color rgb="FF006100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sz val="11"/>
      <color rgb="FF0000FF"/>
      <name val="Calibri"/>
      <family val="2"/>
    </font>
    <font>
      <sz val="10"/>
      <color rgb="FF0000FF"/>
      <name val="Calibri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1"/>
      <color theme="1"/>
      <name val="Calibri"/>
      <family val="2"/>
      <charset val="1"/>
    </font>
    <font>
      <b/>
      <sz val="9"/>
      <color rgb="FF0000FF"/>
      <name val="Calibri"/>
      <family val="2"/>
    </font>
    <font>
      <i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Arial"/>
      <family val="2"/>
    </font>
    <font>
      <i/>
      <sz val="9"/>
      <color rgb="FF595959"/>
      <name val="Calibri"/>
      <family val="2"/>
      <charset val="1"/>
    </font>
    <font>
      <b/>
      <sz val="9"/>
      <color rgb="FFFFFFFF"/>
      <name val="Arial"/>
      <family val="2"/>
    </font>
    <font>
      <b/>
      <sz val="10"/>
      <color rgb="FF1F3864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rgb="FFFFFFFF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1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</borders>
  <cellStyleXfs count="4">
    <xf numFmtId="0" fontId="0" fillId="0" borderId="0"/>
    <xf numFmtId="172" fontId="51" fillId="0" borderId="0"/>
    <xf numFmtId="9" fontId="51" fillId="0" borderId="0"/>
    <xf numFmtId="0" fontId="92" fillId="0" borderId="0" applyNumberFormat="0" applyFill="0" applyBorder="0" applyAlignment="0" applyProtection="0"/>
  </cellStyleXfs>
  <cellXfs count="905">
    <xf numFmtId="0" fontId="0" fillId="0" borderId="0" xfId="0"/>
    <xf numFmtId="0" fontId="5" fillId="4" borderId="0" xfId="0" applyFont="1" applyFill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49" fontId="5" fillId="4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1"/>
    </xf>
    <xf numFmtId="49" fontId="5" fillId="5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/>
    </xf>
    <xf numFmtId="164" fontId="5" fillId="5" borderId="0" xfId="0" applyNumberFormat="1" applyFont="1" applyFill="1" applyAlignment="1">
      <alignment horizontal="right" vertical="center"/>
    </xf>
    <xf numFmtId="164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right" vertical="center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166" fontId="5" fillId="4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6" fontId="5" fillId="5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10" fillId="4" borderId="0" xfId="0" applyFont="1" applyFill="1" applyAlignment="1">
      <alignment horizontal="left" vertical="center"/>
    </xf>
    <xf numFmtId="167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165" fontId="5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right" vertical="center"/>
    </xf>
    <xf numFmtId="167" fontId="5" fillId="5" borderId="0" xfId="0" applyNumberFormat="1" applyFont="1" applyFill="1" applyAlignment="1">
      <alignment horizontal="right" vertical="center"/>
    </xf>
    <xf numFmtId="49" fontId="7" fillId="5" borderId="0" xfId="0" applyNumberFormat="1" applyFont="1" applyFill="1" applyAlignment="1">
      <alignment horizontal="right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165" fontId="12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10" fillId="4" borderId="0" xfId="0" applyFont="1" applyFill="1" applyAlignment="1">
      <alignment horizontal="left" vertical="center" indent="2"/>
    </xf>
    <xf numFmtId="0" fontId="14" fillId="7" borderId="0" xfId="0" applyFont="1" applyFill="1" applyAlignment="1">
      <alignment horizontal="left" vertical="center" indent="2"/>
    </xf>
    <xf numFmtId="169" fontId="12" fillId="7" borderId="0" xfId="0" applyNumberFormat="1" applyFont="1" applyFill="1" applyAlignment="1">
      <alignment horizontal="right" vertical="center"/>
    </xf>
    <xf numFmtId="167" fontId="12" fillId="7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left" vertical="center" indent="2"/>
    </xf>
    <xf numFmtId="0" fontId="6" fillId="7" borderId="0" xfId="0" applyFont="1" applyFill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170" fontId="15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3" fontId="5" fillId="4" borderId="0" xfId="0" applyNumberFormat="1" applyFont="1" applyFill="1" applyAlignment="1">
      <alignment horizontal="right" vertical="center"/>
    </xf>
    <xf numFmtId="0" fontId="14" fillId="8" borderId="0" xfId="0" applyFont="1" applyFill="1" applyAlignment="1">
      <alignment horizontal="left" vertical="center" indent="2"/>
    </xf>
    <xf numFmtId="166" fontId="12" fillId="8" borderId="0" xfId="0" applyNumberFormat="1" applyFont="1" applyFill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left" vertical="center" indent="1"/>
    </xf>
    <xf numFmtId="0" fontId="15" fillId="11" borderId="0" xfId="0" applyFont="1" applyFill="1"/>
    <xf numFmtId="0" fontId="16" fillId="11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 indent="2"/>
    </xf>
    <xf numFmtId="166" fontId="16" fillId="4" borderId="0" xfId="0" applyNumberFormat="1" applyFont="1" applyFill="1" applyAlignment="1">
      <alignment horizontal="right" vertical="center"/>
    </xf>
    <xf numFmtId="166" fontId="4" fillId="8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2"/>
    </xf>
    <xf numFmtId="166" fontId="16" fillId="5" borderId="0" xfId="0" applyNumberFormat="1" applyFont="1" applyFill="1" applyAlignment="1">
      <alignment horizontal="right" vertical="center"/>
    </xf>
    <xf numFmtId="0" fontId="13" fillId="5" borderId="0" xfId="0" applyFont="1" applyFill="1" applyAlignment="1">
      <alignment horizontal="left" vertical="center" indent="1"/>
    </xf>
    <xf numFmtId="164" fontId="16" fillId="4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64" fontId="12" fillId="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right" vertical="center"/>
    </xf>
    <xf numFmtId="166" fontId="12" fillId="8" borderId="0" xfId="0" applyNumberFormat="1" applyFont="1" applyFill="1" applyAlignment="1">
      <alignment horizontal="center" vertical="center"/>
    </xf>
    <xf numFmtId="165" fontId="16" fillId="4" borderId="0" xfId="0" applyNumberFormat="1" applyFont="1" applyFill="1" applyAlignment="1">
      <alignment horizontal="right" vertical="center"/>
    </xf>
    <xf numFmtId="165" fontId="4" fillId="8" borderId="0" xfId="0" applyNumberFormat="1" applyFont="1" applyFill="1" applyAlignment="1">
      <alignment horizontal="right" vertical="center"/>
    </xf>
    <xf numFmtId="166" fontId="4" fillId="4" borderId="0" xfId="0" applyNumberFormat="1" applyFont="1" applyFill="1" applyAlignment="1">
      <alignment horizontal="right" vertical="center"/>
    </xf>
    <xf numFmtId="171" fontId="0" fillId="0" borderId="0" xfId="0" applyNumberFormat="1"/>
    <xf numFmtId="170" fontId="4" fillId="8" borderId="0" xfId="0" applyNumberFormat="1" applyFont="1" applyFill="1" applyAlignment="1">
      <alignment horizontal="right" vertical="center"/>
    </xf>
    <xf numFmtId="165" fontId="16" fillId="5" borderId="0" xfId="0" applyNumberFormat="1" applyFont="1" applyFill="1" applyAlignment="1">
      <alignment horizontal="right" vertical="center"/>
    </xf>
    <xf numFmtId="166" fontId="15" fillId="7" borderId="0" xfId="0" applyNumberFormat="1" applyFont="1" applyFill="1" applyAlignment="1">
      <alignment horizontal="right" vertical="center"/>
    </xf>
    <xf numFmtId="166" fontId="15" fillId="8" borderId="0" xfId="0" applyNumberFormat="1" applyFont="1" applyFill="1" applyAlignment="1">
      <alignment horizontal="right" vertical="center"/>
    </xf>
    <xf numFmtId="166" fontId="5" fillId="8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right" vertical="center"/>
    </xf>
    <xf numFmtId="165" fontId="18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left" vertical="center" indent="2"/>
    </xf>
    <xf numFmtId="166" fontId="15" fillId="8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right" vertical="center"/>
    </xf>
    <xf numFmtId="166" fontId="1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66" fontId="5" fillId="7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left" vertical="center"/>
    </xf>
    <xf numFmtId="166" fontId="4" fillId="7" borderId="0" xfId="0" applyNumberFormat="1" applyFont="1" applyFill="1" applyAlignment="1">
      <alignment horizontal="center" vertical="center"/>
    </xf>
    <xf numFmtId="165" fontId="16" fillId="5" borderId="0" xfId="0" applyNumberFormat="1" applyFont="1" applyFill="1" applyAlignment="1">
      <alignment horizontal="center" vertical="center"/>
    </xf>
    <xf numFmtId="0" fontId="20" fillId="11" borderId="0" xfId="0" applyFont="1" applyFill="1" applyAlignment="1">
      <alignment horizontal="left" vertical="center" indent="2"/>
    </xf>
    <xf numFmtId="165" fontId="21" fillId="11" borderId="0" xfId="0" applyNumberFormat="1" applyFont="1" applyFill="1" applyAlignment="1">
      <alignment horizontal="center" vertical="center"/>
    </xf>
    <xf numFmtId="0" fontId="13" fillId="11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172" fontId="51" fillId="0" borderId="0" xfId="1"/>
    <xf numFmtId="0" fontId="4" fillId="8" borderId="0" xfId="0" applyFont="1" applyFill="1" applyAlignment="1">
      <alignment horizontal="left" vertical="center" indent="2"/>
    </xf>
    <xf numFmtId="164" fontId="4" fillId="11" borderId="0" xfId="0" applyNumberFormat="1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173" fontId="4" fillId="4" borderId="0" xfId="0" applyNumberFormat="1" applyFont="1" applyFill="1" applyAlignment="1">
      <alignment horizontal="right" vertical="center"/>
    </xf>
    <xf numFmtId="164" fontId="16" fillId="5" borderId="0" xfId="0" applyNumberFormat="1" applyFont="1" applyFill="1" applyAlignment="1">
      <alignment horizontal="right" vertical="center"/>
    </xf>
    <xf numFmtId="166" fontId="16" fillId="5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center" vertical="center"/>
    </xf>
    <xf numFmtId="167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center" vertical="center"/>
    </xf>
    <xf numFmtId="164" fontId="16" fillId="5" borderId="0" xfId="0" applyNumberFormat="1" applyFont="1" applyFill="1" applyAlignment="1">
      <alignment horizontal="center" vertical="center"/>
    </xf>
    <xf numFmtId="164" fontId="16" fillId="4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left" vertical="center" indent="2"/>
    </xf>
    <xf numFmtId="166" fontId="23" fillId="2" borderId="0" xfId="0" applyNumberFormat="1" applyFont="1" applyFill="1" applyAlignment="1">
      <alignment horizontal="right" vertical="center"/>
    </xf>
    <xf numFmtId="0" fontId="24" fillId="2" borderId="0" xfId="0" applyFont="1" applyFill="1" applyAlignment="1">
      <alignment horizontal="left" vertical="center" indent="1"/>
    </xf>
    <xf numFmtId="166" fontId="15" fillId="11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 indent="2"/>
    </xf>
    <xf numFmtId="166" fontId="4" fillId="7" borderId="0" xfId="0" applyNumberFormat="1" applyFont="1" applyFill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 indent="1"/>
    </xf>
    <xf numFmtId="165" fontId="25" fillId="10" borderId="0" xfId="0" applyNumberFormat="1" applyFont="1" applyFill="1" applyAlignment="1">
      <alignment horizontal="center" vertical="center"/>
    </xf>
    <xf numFmtId="170" fontId="26" fillId="7" borderId="0" xfId="0" applyNumberFormat="1" applyFont="1" applyFill="1" applyAlignment="1">
      <alignment horizontal="center" vertical="center"/>
    </xf>
    <xf numFmtId="174" fontId="0" fillId="0" borderId="0" xfId="0" applyNumberFormat="1" applyAlignment="1">
      <alignment horizontal="center"/>
    </xf>
    <xf numFmtId="175" fontId="13" fillId="15" borderId="0" xfId="0" applyNumberFormat="1" applyFont="1" applyFill="1" applyAlignment="1">
      <alignment horizontal="center" vertical="center"/>
    </xf>
    <xf numFmtId="166" fontId="13" fillId="15" borderId="0" xfId="0" applyNumberFormat="1" applyFont="1" applyFill="1" applyAlignment="1">
      <alignment horizontal="center" vertical="center"/>
    </xf>
    <xf numFmtId="172" fontId="13" fillId="15" borderId="0" xfId="1" applyFont="1" applyFill="1" applyAlignment="1">
      <alignment horizontal="center" vertical="center"/>
    </xf>
    <xf numFmtId="175" fontId="13" fillId="15" borderId="0" xfId="0" applyNumberFormat="1" applyFont="1" applyFill="1" applyAlignment="1">
      <alignment horizontal="right" vertical="center"/>
    </xf>
    <xf numFmtId="170" fontId="4" fillId="4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left" vertical="center" indent="1"/>
    </xf>
    <xf numFmtId="165" fontId="15" fillId="7" borderId="0" xfId="0" applyNumberFormat="1" applyFont="1" applyFill="1" applyAlignment="1">
      <alignment horizontal="right" vertical="center"/>
    </xf>
    <xf numFmtId="0" fontId="15" fillId="14" borderId="0" xfId="0" applyFont="1" applyFill="1" applyAlignment="1">
      <alignment horizontal="left" vertical="center" indent="1"/>
    </xf>
    <xf numFmtId="166" fontId="11" fillId="12" borderId="0" xfId="0" applyNumberFormat="1" applyFont="1" applyFill="1" applyAlignment="1">
      <alignment horizontal="right" vertical="center"/>
    </xf>
    <xf numFmtId="166" fontId="16" fillId="10" borderId="0" xfId="0" applyNumberFormat="1" applyFont="1" applyFill="1" applyAlignment="1">
      <alignment horizontal="center" vertical="center"/>
    </xf>
    <xf numFmtId="165" fontId="15" fillId="8" borderId="0" xfId="0" applyNumberFormat="1" applyFont="1" applyFill="1" applyAlignment="1">
      <alignment horizontal="right" vertical="center"/>
    </xf>
    <xf numFmtId="10" fontId="51" fillId="0" borderId="0" xfId="2" applyNumberFormat="1" applyAlignment="1">
      <alignment horizontal="center"/>
    </xf>
    <xf numFmtId="0" fontId="15" fillId="7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176" fontId="5" fillId="4" borderId="0" xfId="0" applyNumberFormat="1" applyFont="1" applyFill="1" applyAlignment="1">
      <alignment horizontal="right" vertical="center"/>
    </xf>
    <xf numFmtId="176" fontId="4" fillId="4" borderId="0" xfId="0" applyNumberFormat="1" applyFont="1" applyFill="1" applyAlignment="1">
      <alignment horizontal="right" vertical="center"/>
    </xf>
    <xf numFmtId="0" fontId="15" fillId="11" borderId="0" xfId="0" applyFont="1" applyFill="1" applyAlignment="1">
      <alignment horizontal="left" vertical="center" indent="1"/>
    </xf>
    <xf numFmtId="165" fontId="15" fillId="11" borderId="0" xfId="0" applyNumberFormat="1" applyFont="1" applyFill="1" applyAlignment="1">
      <alignment horizontal="right" vertical="center"/>
    </xf>
    <xf numFmtId="167" fontId="4" fillId="4" borderId="0" xfId="0" applyNumberFormat="1" applyFont="1" applyFill="1" applyAlignment="1">
      <alignment horizontal="right" vertical="center"/>
    </xf>
    <xf numFmtId="0" fontId="28" fillId="8" borderId="0" xfId="0" applyFont="1" applyFill="1" applyAlignment="1">
      <alignment horizontal="left" vertical="center" indent="2"/>
    </xf>
    <xf numFmtId="167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3"/>
    </xf>
    <xf numFmtId="167" fontId="30" fillId="8" borderId="0" xfId="0" applyNumberFormat="1" applyFont="1" applyFill="1" applyAlignment="1">
      <alignment horizontal="right" vertical="center"/>
    </xf>
    <xf numFmtId="167" fontId="15" fillId="7" borderId="0" xfId="0" applyNumberFormat="1" applyFont="1" applyFill="1" applyAlignment="1">
      <alignment horizontal="right" vertical="center"/>
    </xf>
    <xf numFmtId="0" fontId="31" fillId="7" borderId="0" xfId="0" applyFont="1" applyFill="1" applyAlignment="1">
      <alignment horizontal="left" vertical="center" indent="3"/>
    </xf>
    <xf numFmtId="167" fontId="4" fillId="7" borderId="0" xfId="0" applyNumberFormat="1" applyFont="1" applyFill="1" applyAlignment="1">
      <alignment horizontal="right" vertical="center"/>
    </xf>
    <xf numFmtId="166" fontId="0" fillId="0" borderId="0" xfId="0" applyNumberFormat="1"/>
    <xf numFmtId="10" fontId="51" fillId="0" borderId="0" xfId="2" applyNumberFormat="1"/>
    <xf numFmtId="0" fontId="0" fillId="5" borderId="0" xfId="0" applyFill="1" applyAlignment="1">
      <alignment horizontal="right"/>
    </xf>
    <xf numFmtId="0" fontId="0" fillId="4" borderId="0" xfId="0" applyFill="1"/>
    <xf numFmtId="49" fontId="6" fillId="4" borderId="0" xfId="0" applyNumberFormat="1" applyFont="1" applyFill="1" applyAlignment="1">
      <alignment horizontal="left" vertical="center" indent="1"/>
    </xf>
    <xf numFmtId="167" fontId="16" fillId="4" borderId="0" xfId="0" applyNumberFormat="1" applyFont="1" applyFill="1" applyAlignment="1">
      <alignment horizontal="right" vertical="center"/>
    </xf>
    <xf numFmtId="167" fontId="16" fillId="5" borderId="0" xfId="0" applyNumberFormat="1" applyFont="1" applyFill="1" applyAlignment="1">
      <alignment horizontal="right" vertical="center"/>
    </xf>
    <xf numFmtId="0" fontId="0" fillId="5" borderId="0" xfId="0" applyFill="1"/>
    <xf numFmtId="166" fontId="11" fillId="2" borderId="0" xfId="0" applyNumberFormat="1" applyFont="1" applyFill="1" applyAlignment="1">
      <alignment horizontal="right" vertical="center"/>
    </xf>
    <xf numFmtId="0" fontId="4" fillId="7" borderId="0" xfId="0" applyFont="1" applyFill="1" applyAlignment="1">
      <alignment horizontal="left" vertical="center"/>
    </xf>
    <xf numFmtId="164" fontId="12" fillId="11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0" fontId="4" fillId="4" borderId="0" xfId="0" applyFont="1" applyFill="1" applyAlignment="1">
      <alignment horizontal="left" vertical="center"/>
    </xf>
    <xf numFmtId="164" fontId="16" fillId="11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164" fontId="5" fillId="8" borderId="0" xfId="0" applyNumberFormat="1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 indent="1"/>
    </xf>
    <xf numFmtId="0" fontId="32" fillId="4" borderId="0" xfId="0" applyFont="1" applyFill="1" applyAlignment="1">
      <alignment horizontal="left" vertical="center" indent="1"/>
    </xf>
    <xf numFmtId="0" fontId="32" fillId="5" borderId="0" xfId="0" applyFont="1" applyFill="1" applyAlignment="1">
      <alignment horizontal="left" vertical="center" indent="1"/>
    </xf>
    <xf numFmtId="177" fontId="16" fillId="4" borderId="0" xfId="0" applyNumberFormat="1" applyFont="1" applyFill="1" applyAlignment="1">
      <alignment horizontal="center" vertical="center"/>
    </xf>
    <xf numFmtId="177" fontId="16" fillId="5" borderId="0" xfId="0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right" vertical="center"/>
    </xf>
    <xf numFmtId="177" fontId="16" fillId="10" borderId="0" xfId="0" applyNumberFormat="1" applyFont="1" applyFill="1" applyAlignment="1">
      <alignment horizontal="center" vertical="center"/>
    </xf>
    <xf numFmtId="177" fontId="4" fillId="4" borderId="0" xfId="0" applyNumberFormat="1" applyFont="1" applyFill="1" applyAlignment="1">
      <alignment horizontal="right" vertical="center"/>
    </xf>
    <xf numFmtId="0" fontId="33" fillId="5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right" vertical="center"/>
    </xf>
    <xf numFmtId="176" fontId="4" fillId="5" borderId="0" xfId="0" applyNumberFormat="1" applyFont="1" applyFill="1" applyAlignment="1">
      <alignment horizontal="right" vertical="center"/>
    </xf>
    <xf numFmtId="177" fontId="4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center" vertical="center"/>
    </xf>
    <xf numFmtId="164" fontId="15" fillId="7" borderId="0" xfId="0" applyNumberFormat="1" applyFont="1" applyFill="1" applyAlignment="1">
      <alignment horizontal="right" vertical="center"/>
    </xf>
    <xf numFmtId="176" fontId="15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1" fillId="2" borderId="0" xfId="0" applyNumberFormat="1" applyFont="1" applyFill="1" applyAlignment="1">
      <alignment horizontal="right" vertical="center"/>
    </xf>
    <xf numFmtId="176" fontId="11" fillId="2" borderId="0" xfId="0" applyNumberFormat="1" applyFont="1" applyFill="1" applyAlignment="1">
      <alignment horizontal="right" vertical="center"/>
    </xf>
    <xf numFmtId="0" fontId="0" fillId="2" borderId="0" xfId="0" applyFill="1"/>
    <xf numFmtId="171" fontId="0" fillId="16" borderId="2" xfId="0" applyNumberFormat="1" applyFill="1" applyBorder="1"/>
    <xf numFmtId="0" fontId="0" fillId="0" borderId="2" xfId="0" applyBorder="1"/>
    <xf numFmtId="176" fontId="16" fillId="4" borderId="0" xfId="0" applyNumberFormat="1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 wrapText="1"/>
    </xf>
    <xf numFmtId="176" fontId="15" fillId="4" borderId="0" xfId="0" applyNumberFormat="1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177" fontId="15" fillId="5" borderId="0" xfId="0" applyNumberFormat="1" applyFont="1" applyFill="1" applyAlignment="1">
      <alignment horizontal="right" vertical="center"/>
    </xf>
    <xf numFmtId="166" fontId="28" fillId="8" borderId="0" xfId="0" applyNumberFormat="1" applyFont="1" applyFill="1" applyAlignment="1">
      <alignment horizontal="right" vertical="center"/>
    </xf>
    <xf numFmtId="0" fontId="32" fillId="8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177" fontId="5" fillId="4" borderId="0" xfId="0" applyNumberFormat="1" applyFont="1" applyFill="1" applyAlignment="1">
      <alignment horizontal="right" vertical="center"/>
    </xf>
    <xf numFmtId="177" fontId="6" fillId="4" borderId="0" xfId="0" applyNumberFormat="1" applyFont="1" applyFill="1" applyAlignment="1">
      <alignment horizontal="center" vertical="center"/>
    </xf>
    <xf numFmtId="0" fontId="11" fillId="12" borderId="0" xfId="0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4" fillId="11" borderId="0" xfId="0" applyFont="1" applyFill="1" applyAlignment="1">
      <alignment horizontal="left" vertical="center" indent="2"/>
    </xf>
    <xf numFmtId="166" fontId="16" fillId="11" borderId="0" xfId="0" applyNumberFormat="1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 indent="1"/>
    </xf>
    <xf numFmtId="165" fontId="6" fillId="4" borderId="0" xfId="0" applyNumberFormat="1" applyFont="1" applyFill="1" applyAlignment="1">
      <alignment horizontal="center" vertical="center"/>
    </xf>
    <xf numFmtId="165" fontId="28" fillId="8" borderId="0" xfId="0" applyNumberFormat="1" applyFont="1" applyFill="1" applyAlignment="1">
      <alignment horizontal="right" vertical="center"/>
    </xf>
    <xf numFmtId="165" fontId="30" fillId="8" borderId="0" xfId="0" applyNumberFormat="1" applyFont="1" applyFill="1" applyAlignment="1">
      <alignment horizontal="right" vertical="center"/>
    </xf>
    <xf numFmtId="4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left" vertical="center" indent="1"/>
    </xf>
    <xf numFmtId="177" fontId="28" fillId="8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37" fillId="0" borderId="0" xfId="0" applyFont="1"/>
    <xf numFmtId="0" fontId="5" fillId="11" borderId="0" xfId="0" applyFont="1" applyFill="1" applyAlignment="1">
      <alignment horizontal="right" vertical="center"/>
    </xf>
    <xf numFmtId="166" fontId="5" fillId="11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right" vertical="center"/>
    </xf>
    <xf numFmtId="0" fontId="16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4" fillId="11" borderId="0" xfId="0" applyFont="1" applyFill="1" applyAlignment="1">
      <alignment horizontal="left" vertical="center" indent="1"/>
    </xf>
    <xf numFmtId="0" fontId="4" fillId="8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79" fontId="4" fillId="5" borderId="0" xfId="0" applyNumberFormat="1" applyFont="1" applyFill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0" fontId="4" fillId="5" borderId="0" xfId="0" applyNumberFormat="1" applyFont="1" applyFill="1" applyAlignment="1">
      <alignment horizontal="right" vertical="center"/>
    </xf>
    <xf numFmtId="10" fontId="10" fillId="5" borderId="1" xfId="0" applyNumberFormat="1" applyFont="1" applyFill="1" applyBorder="1" applyAlignment="1">
      <alignment horizontal="right" vertical="center"/>
    </xf>
    <xf numFmtId="179" fontId="26" fillId="5" borderId="0" xfId="0" applyNumberFormat="1" applyFont="1" applyFill="1" applyAlignment="1">
      <alignment horizontal="right" vertical="center"/>
    </xf>
    <xf numFmtId="179" fontId="4" fillId="4" borderId="1" xfId="0" applyNumberFormat="1" applyFont="1" applyFill="1" applyBorder="1" applyAlignment="1">
      <alignment horizontal="right" vertical="center"/>
    </xf>
    <xf numFmtId="0" fontId="38" fillId="5" borderId="0" xfId="0" applyFont="1" applyFill="1" applyAlignment="1">
      <alignment horizontal="left" vertical="center"/>
    </xf>
    <xf numFmtId="0" fontId="33" fillId="5" borderId="0" xfId="0" applyFont="1" applyFill="1" applyAlignment="1">
      <alignment horizontal="left" vertical="center"/>
    </xf>
    <xf numFmtId="179" fontId="15" fillId="5" borderId="0" xfId="0" applyNumberFormat="1" applyFont="1" applyFill="1" applyAlignment="1">
      <alignment horizontal="right" vertical="center"/>
    </xf>
    <xf numFmtId="170" fontId="26" fillId="15" borderId="0" xfId="0" applyNumberFormat="1" applyFont="1" applyFill="1" applyAlignment="1">
      <alignment horizontal="center" vertical="center"/>
    </xf>
    <xf numFmtId="170" fontId="26" fillId="5" borderId="0" xfId="0" applyNumberFormat="1" applyFont="1" applyFill="1" applyAlignment="1">
      <alignment horizontal="center" vertical="center"/>
    </xf>
    <xf numFmtId="179" fontId="39" fillId="5" borderId="0" xfId="0" applyNumberFormat="1" applyFont="1" applyFill="1" applyAlignment="1">
      <alignment horizontal="right" vertical="center"/>
    </xf>
    <xf numFmtId="0" fontId="15" fillId="5" borderId="1" xfId="0" applyFont="1" applyFill="1" applyBorder="1" applyAlignment="1">
      <alignment horizontal="left" vertical="center"/>
    </xf>
    <xf numFmtId="179" fontId="15" fillId="5" borderId="1" xfId="0" applyNumberFormat="1" applyFont="1" applyFill="1" applyBorder="1" applyAlignment="1">
      <alignment horizontal="right" vertical="center"/>
    </xf>
    <xf numFmtId="179" fontId="4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/>
    </xf>
    <xf numFmtId="179" fontId="15" fillId="4" borderId="1" xfId="0" applyNumberFormat="1" applyFont="1" applyFill="1" applyBorder="1" applyAlignment="1">
      <alignment horizontal="right" vertical="center"/>
    </xf>
    <xf numFmtId="179" fontId="7" fillId="5" borderId="1" xfId="0" applyNumberFormat="1" applyFont="1" applyFill="1" applyBorder="1" applyAlignment="1">
      <alignment horizontal="right" vertical="center"/>
    </xf>
    <xf numFmtId="179" fontId="7" fillId="5" borderId="0" xfId="0" applyNumberFormat="1" applyFont="1" applyFill="1" applyAlignment="1">
      <alignment horizontal="right" vertical="center"/>
    </xf>
    <xf numFmtId="179" fontId="7" fillId="4" borderId="1" xfId="0" applyNumberFormat="1" applyFont="1" applyFill="1" applyBorder="1" applyAlignment="1">
      <alignment horizontal="right" vertical="center"/>
    </xf>
    <xf numFmtId="170" fontId="15" fillId="5" borderId="0" xfId="0" applyNumberFormat="1" applyFont="1" applyFill="1" applyAlignment="1">
      <alignment horizontal="center" vertical="center"/>
    </xf>
    <xf numFmtId="179" fontId="11" fillId="6" borderId="1" xfId="0" applyNumberFormat="1" applyFont="1" applyFill="1" applyBorder="1" applyAlignment="1">
      <alignment horizontal="right" vertical="center"/>
    </xf>
    <xf numFmtId="0" fontId="11" fillId="5" borderId="0" xfId="0" applyFont="1" applyFill="1" applyAlignment="1">
      <alignment horizontal="left" vertical="center" indent="1"/>
    </xf>
    <xf numFmtId="179" fontId="11" fillId="5" borderId="0" xfId="0" applyNumberFormat="1" applyFont="1" applyFill="1" applyAlignment="1">
      <alignment horizontal="right" vertical="center"/>
    </xf>
    <xf numFmtId="10" fontId="40" fillId="18" borderId="1" xfId="0" applyNumberFormat="1" applyFont="1" applyFill="1" applyBorder="1" applyAlignment="1">
      <alignment horizontal="right" vertical="center"/>
    </xf>
    <xf numFmtId="0" fontId="28" fillId="5" borderId="0" xfId="0" applyFont="1" applyFill="1" applyAlignment="1">
      <alignment horizontal="left" vertical="center" indent="1"/>
    </xf>
    <xf numFmtId="10" fontId="40" fillId="5" borderId="0" xfId="0" applyNumberFormat="1" applyFont="1" applyFill="1" applyAlignment="1">
      <alignment horizontal="right" vertical="center"/>
    </xf>
    <xf numFmtId="0" fontId="41" fillId="15" borderId="0" xfId="0" applyFont="1" applyFill="1" applyAlignment="1">
      <alignment horizontal="right" vertical="center"/>
    </xf>
    <xf numFmtId="0" fontId="26" fillId="15" borderId="0" xfId="0" applyFont="1" applyFill="1" applyAlignment="1">
      <alignment horizontal="center" vertical="center"/>
    </xf>
    <xf numFmtId="0" fontId="42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/>
    </xf>
    <xf numFmtId="179" fontId="10" fillId="4" borderId="1" xfId="0" applyNumberFormat="1" applyFont="1" applyFill="1" applyBorder="1" applyAlignment="1">
      <alignment horizontal="right" vertical="center"/>
    </xf>
    <xf numFmtId="0" fontId="4" fillId="7" borderId="0" xfId="0" applyFont="1" applyFill="1" applyAlignment="1">
      <alignment horizontal="left" vertical="center" indent="1"/>
    </xf>
    <xf numFmtId="166" fontId="4" fillId="6" borderId="0" xfId="0" applyNumberFormat="1" applyFont="1" applyFill="1" applyAlignment="1">
      <alignment horizontal="right" vertical="center"/>
    </xf>
    <xf numFmtId="166" fontId="11" fillId="6" borderId="0" xfId="0" applyNumberFormat="1" applyFont="1" applyFill="1" applyAlignment="1">
      <alignment horizontal="right" vertical="center"/>
    </xf>
    <xf numFmtId="166" fontId="4" fillId="13" borderId="0" xfId="0" applyNumberFormat="1" applyFont="1" applyFill="1" applyAlignment="1">
      <alignment horizontal="right" vertical="center"/>
    </xf>
    <xf numFmtId="166" fontId="11" fillId="13" borderId="0" xfId="0" applyNumberFormat="1" applyFont="1" applyFill="1" applyAlignment="1">
      <alignment horizontal="right" vertical="center"/>
    </xf>
    <xf numFmtId="166" fontId="13" fillId="4" borderId="0" xfId="0" applyNumberFormat="1" applyFont="1" applyFill="1" applyAlignment="1">
      <alignment horizontal="right" vertical="center"/>
    </xf>
    <xf numFmtId="168" fontId="4" fillId="4" borderId="0" xfId="0" applyNumberFormat="1" applyFont="1" applyFill="1" applyAlignment="1">
      <alignment horizontal="right" vertical="center"/>
    </xf>
    <xf numFmtId="167" fontId="14" fillId="4" borderId="0" xfId="0" applyNumberFormat="1" applyFont="1" applyFill="1" applyAlignment="1">
      <alignment horizontal="right" vertical="center"/>
    </xf>
    <xf numFmtId="0" fontId="11" fillId="2" borderId="0" xfId="0" applyFont="1" applyFill="1" applyAlignment="1">
      <alignment horizontal="center" vertical="center"/>
    </xf>
    <xf numFmtId="166" fontId="28" fillId="7" borderId="0" xfId="0" applyNumberFormat="1" applyFont="1" applyFill="1" applyAlignment="1">
      <alignment horizontal="right" vertical="center"/>
    </xf>
    <xf numFmtId="166" fontId="30" fillId="7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 indent="2"/>
    </xf>
    <xf numFmtId="0" fontId="7" fillId="4" borderId="0" xfId="0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2"/>
    </xf>
    <xf numFmtId="166" fontId="30" fillId="8" borderId="0" xfId="0" applyNumberFormat="1" applyFont="1" applyFill="1" applyAlignment="1">
      <alignment horizontal="right" vertical="center"/>
    </xf>
    <xf numFmtId="0" fontId="3" fillId="19" borderId="0" xfId="0" applyFont="1" applyFill="1" applyAlignment="1">
      <alignment horizontal="left" vertical="center" indent="1"/>
    </xf>
    <xf numFmtId="0" fontId="20" fillId="15" borderId="0" xfId="0" applyFont="1" applyFill="1" applyAlignment="1">
      <alignment horizontal="left" vertical="center" indent="1"/>
    </xf>
    <xf numFmtId="166" fontId="20" fillId="15" borderId="0" xfId="0" applyNumberFormat="1" applyFont="1" applyFill="1" applyAlignment="1">
      <alignment horizontal="right" vertical="center"/>
    </xf>
    <xf numFmtId="166" fontId="7" fillId="15" borderId="0" xfId="0" applyNumberFormat="1" applyFont="1" applyFill="1" applyAlignment="1">
      <alignment horizontal="right" vertical="center"/>
    </xf>
    <xf numFmtId="166" fontId="42" fillId="15" borderId="0" xfId="0" applyNumberFormat="1" applyFont="1" applyFill="1" applyAlignment="1">
      <alignment horizontal="right" vertical="center"/>
    </xf>
    <xf numFmtId="0" fontId="11" fillId="19" borderId="0" xfId="0" applyFont="1" applyFill="1" applyAlignment="1">
      <alignment horizontal="left" vertical="center" indent="1"/>
    </xf>
    <xf numFmtId="166" fontId="11" fillId="19" borderId="0" xfId="0" applyNumberFormat="1" applyFont="1" applyFill="1" applyAlignment="1">
      <alignment horizontal="right" vertical="center"/>
    </xf>
    <xf numFmtId="0" fontId="3" fillId="20" borderId="0" xfId="0" applyFont="1" applyFill="1" applyAlignment="1">
      <alignment horizontal="left" vertical="center" indent="1"/>
    </xf>
    <xf numFmtId="165" fontId="20" fillId="15" borderId="0" xfId="0" applyNumberFormat="1" applyFont="1" applyFill="1" applyAlignment="1">
      <alignment horizontal="right" vertical="center"/>
    </xf>
    <xf numFmtId="0" fontId="6" fillId="15" borderId="0" xfId="0" applyFont="1" applyFill="1" applyAlignment="1">
      <alignment horizontal="left" vertical="center" indent="1"/>
    </xf>
    <xf numFmtId="165" fontId="11" fillId="19" borderId="0" xfId="0" applyNumberFormat="1" applyFont="1" applyFill="1" applyAlignment="1">
      <alignment horizontal="right" vertical="center"/>
    </xf>
    <xf numFmtId="0" fontId="8" fillId="9" borderId="0" xfId="0" applyFont="1" applyFill="1" applyAlignment="1">
      <alignment horizontal="center" vertical="center"/>
    </xf>
    <xf numFmtId="10" fontId="8" fillId="2" borderId="0" xfId="0" applyNumberFormat="1" applyFont="1" applyFill="1" applyAlignment="1">
      <alignment horizontal="center" vertical="center"/>
    </xf>
    <xf numFmtId="0" fontId="43" fillId="0" borderId="0" xfId="0" applyFont="1" applyAlignment="1">
      <alignment horizontal="right" vertical="center"/>
    </xf>
    <xf numFmtId="180" fontId="26" fillId="15" borderId="0" xfId="0" applyNumberFormat="1" applyFont="1" applyFill="1" applyAlignment="1">
      <alignment horizontal="center" vertical="center"/>
    </xf>
    <xf numFmtId="170" fontId="8" fillId="2" borderId="0" xfId="0" applyNumberFormat="1" applyFont="1" applyFill="1" applyAlignment="1">
      <alignment horizontal="center" vertical="center"/>
    </xf>
    <xf numFmtId="170" fontId="0" fillId="14" borderId="0" xfId="0" applyNumberFormat="1" applyFill="1" applyAlignment="1">
      <alignment horizontal="center" vertical="center"/>
    </xf>
    <xf numFmtId="170" fontId="0" fillId="11" borderId="0" xfId="0" applyNumberFormat="1" applyFill="1" applyAlignment="1">
      <alignment horizontal="center" vertical="center"/>
    </xf>
    <xf numFmtId="170" fontId="0" fillId="21" borderId="0" xfId="0" applyNumberForma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2" borderId="0" xfId="0" applyNumberFormat="1" applyFont="1" applyFill="1" applyAlignment="1">
      <alignment horizontal="center" vertical="center"/>
    </xf>
    <xf numFmtId="9" fontId="26" fillId="15" borderId="0" xfId="0" applyNumberFormat="1" applyFont="1" applyFill="1" applyAlignment="1">
      <alignment horizontal="center" vertical="center"/>
    </xf>
    <xf numFmtId="181" fontId="26" fillId="15" borderId="1" xfId="0" applyNumberFormat="1" applyFont="1" applyFill="1" applyBorder="1" applyAlignment="1">
      <alignment horizontal="right" vertical="center"/>
    </xf>
    <xf numFmtId="0" fontId="13" fillId="4" borderId="1" xfId="0" applyFont="1" applyFill="1" applyBorder="1" applyAlignment="1">
      <alignment horizontal="left" vertical="center"/>
    </xf>
    <xf numFmtId="0" fontId="26" fillId="15" borderId="1" xfId="0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1" fillId="2" borderId="1" xfId="0" applyFont="1" applyFill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179" fontId="10" fillId="5" borderId="1" xfId="0" applyNumberFormat="1" applyFont="1" applyFill="1" applyBorder="1" applyAlignment="1">
      <alignment horizontal="right" vertical="center"/>
    </xf>
    <xf numFmtId="10" fontId="10" fillId="4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179" fontId="10" fillId="8" borderId="1" xfId="0" applyNumberFormat="1" applyFont="1" applyFill="1" applyBorder="1" applyAlignment="1">
      <alignment horizontal="right" vertical="center"/>
    </xf>
    <xf numFmtId="179" fontId="14" fillId="7" borderId="1" xfId="0" applyNumberFormat="1" applyFont="1" applyFill="1" applyBorder="1" applyAlignment="1">
      <alignment horizontal="right" vertical="center"/>
    </xf>
    <xf numFmtId="10" fontId="14" fillId="7" borderId="1" xfId="0" applyNumberFormat="1" applyFont="1" applyFill="1" applyBorder="1" applyAlignment="1">
      <alignment horizontal="right" vertical="center"/>
    </xf>
    <xf numFmtId="179" fontId="45" fillId="0" borderId="0" xfId="0" applyNumberFormat="1" applyFont="1" applyAlignment="1">
      <alignment horizontal="right" vertical="center"/>
    </xf>
    <xf numFmtId="0" fontId="11" fillId="22" borderId="1" xfId="0" applyFont="1" applyFill="1" applyBorder="1" applyAlignment="1">
      <alignment vertical="center"/>
    </xf>
    <xf numFmtId="10" fontId="11" fillId="22" borderId="1" xfId="0" applyNumberFormat="1" applyFont="1" applyFill="1" applyBorder="1" applyAlignment="1">
      <alignment horizontal="right" vertical="center"/>
    </xf>
    <xf numFmtId="0" fontId="0" fillId="0" borderId="6" xfId="0" applyBorder="1"/>
    <xf numFmtId="0" fontId="0" fillId="0" borderId="7" xfId="0" applyBorder="1"/>
    <xf numFmtId="0" fontId="11" fillId="22" borderId="1" xfId="0" applyFont="1" applyFill="1" applyBorder="1" applyAlignment="1">
      <alignment horizontal="left" vertical="center" indent="1"/>
    </xf>
    <xf numFmtId="169" fontId="11" fillId="22" borderId="1" xfId="0" applyNumberFormat="1" applyFont="1" applyFill="1" applyBorder="1" applyAlignment="1">
      <alignment horizontal="right" vertical="center"/>
    </xf>
    <xf numFmtId="181" fontId="26" fillId="15" borderId="1" xfId="2" applyNumberFormat="1" applyFont="1" applyFill="1" applyBorder="1" applyAlignment="1">
      <alignment horizontal="right" vertical="center"/>
    </xf>
    <xf numFmtId="181" fontId="46" fillId="4" borderId="1" xfId="0" applyNumberFormat="1" applyFont="1" applyFill="1" applyBorder="1" applyAlignment="1">
      <alignment horizontal="right" vertical="center"/>
    </xf>
    <xf numFmtId="181" fontId="10" fillId="4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left" vertical="center"/>
    </xf>
    <xf numFmtId="169" fontId="26" fillId="15" borderId="1" xfId="0" applyNumberFormat="1" applyFont="1" applyFill="1" applyBorder="1" applyAlignment="1">
      <alignment horizontal="right" vertical="center"/>
    </xf>
    <xf numFmtId="0" fontId="47" fillId="5" borderId="1" xfId="0" applyFont="1" applyFill="1" applyBorder="1" applyAlignment="1">
      <alignment horizontal="center" vertical="center"/>
    </xf>
    <xf numFmtId="0" fontId="47" fillId="5" borderId="1" xfId="0" applyFont="1" applyFill="1" applyBorder="1" applyAlignment="1">
      <alignment horizontal="left" vertical="center"/>
    </xf>
    <xf numFmtId="170" fontId="26" fillId="15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center" vertical="center"/>
    </xf>
    <xf numFmtId="181" fontId="46" fillId="5" borderId="1" xfId="0" applyNumberFormat="1" applyFont="1" applyFill="1" applyBorder="1" applyAlignment="1">
      <alignment horizontal="right" vertical="center"/>
    </xf>
    <xf numFmtId="181" fontId="10" fillId="5" borderId="1" xfId="0" applyNumberFormat="1" applyFont="1" applyFill="1" applyBorder="1" applyAlignment="1">
      <alignment horizontal="right" vertical="center"/>
    </xf>
    <xf numFmtId="170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right" vertical="center"/>
    </xf>
    <xf numFmtId="182" fontId="10" fillId="4" borderId="1" xfId="0" applyNumberFormat="1" applyFont="1" applyFill="1" applyBorder="1" applyAlignment="1">
      <alignment horizontal="right" vertical="center"/>
    </xf>
    <xf numFmtId="170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right" vertical="center"/>
    </xf>
    <xf numFmtId="182" fontId="10" fillId="5" borderId="1" xfId="0" applyNumberFormat="1" applyFont="1" applyFill="1" applyBorder="1" applyAlignment="1">
      <alignment horizontal="right" vertical="center"/>
    </xf>
    <xf numFmtId="170" fontId="14" fillId="7" borderId="1" xfId="0" applyNumberFormat="1" applyFont="1" applyFill="1" applyBorder="1" applyAlignment="1">
      <alignment horizontal="center" vertical="center"/>
    </xf>
    <xf numFmtId="169" fontId="14" fillId="7" borderId="1" xfId="0" applyNumberFormat="1" applyFont="1" applyFill="1" applyBorder="1" applyAlignment="1">
      <alignment horizontal="right" vertical="center"/>
    </xf>
    <xf numFmtId="182" fontId="14" fillId="7" borderId="1" xfId="0" applyNumberFormat="1" applyFont="1" applyFill="1" applyBorder="1" applyAlignment="1">
      <alignment horizontal="right" vertical="center"/>
    </xf>
    <xf numFmtId="14" fontId="26" fillId="15" borderId="1" xfId="0" applyNumberFormat="1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left" vertical="center"/>
    </xf>
    <xf numFmtId="0" fontId="27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14" fontId="14" fillId="4" borderId="1" xfId="0" applyNumberFormat="1" applyFont="1" applyFill="1" applyBorder="1" applyAlignment="1">
      <alignment horizontal="center" vertical="center"/>
    </xf>
    <xf numFmtId="179" fontId="49" fillId="4" borderId="1" xfId="0" applyNumberFormat="1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179" fontId="36" fillId="23" borderId="1" xfId="0" applyNumberFormat="1" applyFont="1" applyFill="1" applyBorder="1" applyAlignment="1">
      <alignment horizontal="right" vertical="center"/>
    </xf>
    <xf numFmtId="179" fontId="26" fillId="15" borderId="1" xfId="0" applyNumberFormat="1" applyFont="1" applyFill="1" applyBorder="1" applyAlignment="1">
      <alignment horizontal="right" vertical="center"/>
    </xf>
    <xf numFmtId="0" fontId="13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79" fontId="11" fillId="2" borderId="1" xfId="0" applyNumberFormat="1" applyFont="1" applyFill="1" applyBorder="1" applyAlignment="1">
      <alignment horizontal="right" vertical="center"/>
    </xf>
    <xf numFmtId="0" fontId="4" fillId="18" borderId="1" xfId="0" applyFont="1" applyFill="1" applyBorder="1" applyAlignment="1">
      <alignment horizontal="left" vertical="center"/>
    </xf>
    <xf numFmtId="10" fontId="4" fillId="5" borderId="1" xfId="0" applyNumberFormat="1" applyFont="1" applyFill="1" applyBorder="1" applyAlignment="1">
      <alignment horizontal="right" vertical="center"/>
    </xf>
    <xf numFmtId="184" fontId="4" fillId="4" borderId="1" xfId="0" applyNumberFormat="1" applyFont="1" applyFill="1" applyBorder="1" applyAlignment="1">
      <alignment horizontal="right" vertical="center"/>
    </xf>
    <xf numFmtId="169" fontId="4" fillId="5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center" vertical="center"/>
    </xf>
    <xf numFmtId="0" fontId="50" fillId="0" borderId="0" xfId="0" applyFont="1"/>
    <xf numFmtId="166" fontId="5" fillId="4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right" vertical="center"/>
    </xf>
    <xf numFmtId="0" fontId="41" fillId="15" borderId="1" xfId="0" applyFont="1" applyFill="1" applyBorder="1" applyAlignment="1">
      <alignment horizontal="left" vertical="center"/>
    </xf>
    <xf numFmtId="0" fontId="4" fillId="15" borderId="1" xfId="0" applyFont="1" applyFill="1" applyBorder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165" fontId="5" fillId="5" borderId="0" xfId="0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179" fontId="15" fillId="8" borderId="1" xfId="0" applyNumberFormat="1" applyFont="1" applyFill="1" applyBorder="1" applyAlignment="1">
      <alignment horizontal="right" vertical="center"/>
    </xf>
    <xf numFmtId="0" fontId="11" fillId="9" borderId="1" xfId="0" applyFont="1" applyFill="1" applyBorder="1" applyAlignment="1">
      <alignment horizontal="left" vertical="center"/>
    </xf>
    <xf numFmtId="179" fontId="11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179" fontId="11" fillId="13" borderId="1" xfId="0" applyNumberFormat="1" applyFont="1" applyFill="1" applyBorder="1" applyAlignment="1">
      <alignment horizontal="right" vertical="center"/>
    </xf>
    <xf numFmtId="0" fontId="4" fillId="1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5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left" vertical="center"/>
    </xf>
    <xf numFmtId="0" fontId="56" fillId="0" borderId="0" xfId="0" applyFont="1" applyAlignment="1">
      <alignment horizontal="left" vertical="center"/>
    </xf>
    <xf numFmtId="0" fontId="54" fillId="25" borderId="0" xfId="0" applyFont="1" applyFill="1" applyAlignment="1">
      <alignment horizontal="center" vertical="center"/>
    </xf>
    <xf numFmtId="0" fontId="55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center" vertical="center"/>
    </xf>
    <xf numFmtId="185" fontId="55" fillId="0" borderId="0" xfId="0" applyNumberFormat="1" applyFont="1" applyAlignment="1">
      <alignment horizontal="center" vertical="center"/>
    </xf>
    <xf numFmtId="170" fontId="55" fillId="0" borderId="0" xfId="0" applyNumberFormat="1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8" fillId="0" borderId="0" xfId="0" applyFont="1" applyAlignment="1">
      <alignment horizontal="left" vertical="center"/>
    </xf>
    <xf numFmtId="0" fontId="59" fillId="0" borderId="0" xfId="0" applyFont="1"/>
    <xf numFmtId="0" fontId="61" fillId="27" borderId="0" xfId="0" applyFont="1" applyFill="1" applyAlignment="1">
      <alignment horizontal="left" vertical="center"/>
    </xf>
    <xf numFmtId="0" fontId="61" fillId="27" borderId="0" xfId="0" applyFont="1" applyFill="1" applyAlignment="1">
      <alignment horizontal="center" vertical="center"/>
    </xf>
    <xf numFmtId="0" fontId="54" fillId="28" borderId="0" xfId="0" applyFont="1" applyFill="1" applyAlignment="1">
      <alignment horizontal="left" vertical="center"/>
    </xf>
    <xf numFmtId="181" fontId="55" fillId="28" borderId="0" xfId="0" applyNumberFormat="1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4" fillId="29" borderId="0" xfId="0" applyFont="1" applyFill="1" applyAlignment="1">
      <alignment horizontal="left" vertical="center"/>
    </xf>
    <xf numFmtId="181" fontId="55" fillId="29" borderId="0" xfId="0" applyNumberFormat="1" applyFont="1" applyFill="1" applyAlignment="1">
      <alignment horizontal="center" vertical="center"/>
    </xf>
    <xf numFmtId="0" fontId="64" fillId="0" borderId="0" xfId="0" applyFont="1" applyAlignment="1">
      <alignment horizontal="left" vertical="center"/>
    </xf>
    <xf numFmtId="3" fontId="55" fillId="0" borderId="0" xfId="0" applyNumberFormat="1" applyFont="1" applyAlignment="1">
      <alignment horizontal="center" vertical="center"/>
    </xf>
    <xf numFmtId="181" fontId="54" fillId="28" borderId="0" xfId="0" applyNumberFormat="1" applyFont="1" applyFill="1" applyAlignment="1">
      <alignment horizontal="center" vertical="center"/>
    </xf>
    <xf numFmtId="0" fontId="65" fillId="25" borderId="0" xfId="0" applyFont="1" applyFill="1" applyAlignment="1">
      <alignment horizontal="left" vertical="center"/>
    </xf>
    <xf numFmtId="0" fontId="65" fillId="25" borderId="0" xfId="0" applyFont="1" applyFill="1" applyAlignment="1">
      <alignment horizontal="center" vertical="center"/>
    </xf>
    <xf numFmtId="181" fontId="54" fillId="0" borderId="0" xfId="0" applyNumberFormat="1" applyFont="1" applyAlignment="1">
      <alignment horizontal="center" vertical="center"/>
    </xf>
    <xf numFmtId="3" fontId="54" fillId="0" borderId="0" xfId="0" applyNumberFormat="1" applyFont="1" applyAlignment="1">
      <alignment horizontal="center" vertical="center"/>
    </xf>
    <xf numFmtId="170" fontId="54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3" fontId="54" fillId="28" borderId="0" xfId="0" applyNumberFormat="1" applyFont="1" applyFill="1" applyAlignment="1">
      <alignment horizontal="center" vertical="center"/>
    </xf>
    <xf numFmtId="0" fontId="61" fillId="27" borderId="0" xfId="0" applyFont="1" applyFill="1" applyAlignment="1">
      <alignment horizontal="center" vertical="center" wrapText="1"/>
    </xf>
    <xf numFmtId="0" fontId="66" fillId="0" borderId="0" xfId="0" applyFont="1"/>
    <xf numFmtId="0" fontId="68" fillId="30" borderId="0" xfId="0" applyFont="1" applyFill="1" applyAlignment="1">
      <alignment horizontal="left"/>
    </xf>
    <xf numFmtId="0" fontId="69" fillId="0" borderId="0" xfId="0" applyFont="1"/>
    <xf numFmtId="0" fontId="70" fillId="31" borderId="0" xfId="0" applyFont="1" applyFill="1"/>
    <xf numFmtId="3" fontId="70" fillId="31" borderId="0" xfId="0" applyNumberFormat="1" applyFont="1" applyFill="1"/>
    <xf numFmtId="0" fontId="70" fillId="32" borderId="0" xfId="0" applyFont="1" applyFill="1"/>
    <xf numFmtId="181" fontId="70" fillId="32" borderId="0" xfId="0" applyNumberFormat="1" applyFont="1" applyFill="1"/>
    <xf numFmtId="0" fontId="66" fillId="0" borderId="0" xfId="2" applyNumberFormat="1" applyFont="1"/>
    <xf numFmtId="0" fontId="61" fillId="24" borderId="0" xfId="0" applyFont="1" applyFill="1" applyAlignment="1">
      <alignment horizontal="center"/>
    </xf>
    <xf numFmtId="0" fontId="4" fillId="4" borderId="0" xfId="0" applyFont="1" applyFill="1"/>
    <xf numFmtId="166" fontId="16" fillId="4" borderId="0" xfId="0" applyNumberFormat="1" applyFont="1" applyFill="1"/>
    <xf numFmtId="166" fontId="4" fillId="8" borderId="0" xfId="0" applyNumberFormat="1" applyFont="1" applyFill="1"/>
    <xf numFmtId="49" fontId="5" fillId="4" borderId="0" xfId="0" applyNumberFormat="1" applyFont="1" applyFill="1"/>
    <xf numFmtId="165" fontId="5" fillId="4" borderId="0" xfId="0" applyNumberFormat="1" applyFont="1" applyFill="1"/>
    <xf numFmtId="0" fontId="51" fillId="0" borderId="0" xfId="0" applyFont="1"/>
    <xf numFmtId="0" fontId="4" fillId="5" borderId="0" xfId="0" applyFont="1" applyFill="1"/>
    <xf numFmtId="166" fontId="16" fillId="5" borderId="0" xfId="0" applyNumberFormat="1" applyFont="1" applyFill="1"/>
    <xf numFmtId="165" fontId="4" fillId="4" borderId="0" xfId="0" applyNumberFormat="1" applyFont="1" applyFill="1"/>
    <xf numFmtId="166" fontId="4" fillId="4" borderId="0" xfId="0" applyNumberFormat="1" applyFont="1" applyFill="1"/>
    <xf numFmtId="170" fontId="22" fillId="0" borderId="0" xfId="0" applyNumberFormat="1" applyFont="1"/>
    <xf numFmtId="166" fontId="5" fillId="5" borderId="0" xfId="0" applyNumberFormat="1" applyFont="1" applyFill="1"/>
    <xf numFmtId="171" fontId="51" fillId="0" borderId="0" xfId="0" applyNumberFormat="1" applyFont="1"/>
    <xf numFmtId="0" fontId="71" fillId="33" borderId="0" xfId="0" applyFont="1" applyFill="1"/>
    <xf numFmtId="181" fontId="71" fillId="33" borderId="0" xfId="0" applyNumberFormat="1" applyFont="1" applyFill="1"/>
    <xf numFmtId="165" fontId="4" fillId="5" borderId="0" xfId="0" applyNumberFormat="1" applyFont="1" applyFill="1"/>
    <xf numFmtId="165" fontId="4" fillId="8" borderId="0" xfId="0" applyNumberFormat="1" applyFont="1" applyFill="1"/>
    <xf numFmtId="166" fontId="5" fillId="4" borderId="0" xfId="0" applyNumberFormat="1" applyFont="1" applyFill="1"/>
    <xf numFmtId="166" fontId="5" fillId="8" borderId="0" xfId="0" applyNumberFormat="1" applyFont="1" applyFill="1"/>
    <xf numFmtId="0" fontId="13" fillId="4" borderId="0" xfId="0" applyFont="1" applyFill="1"/>
    <xf numFmtId="166" fontId="4" fillId="5" borderId="0" xfId="0" applyNumberFormat="1" applyFont="1" applyFill="1"/>
    <xf numFmtId="0" fontId="13" fillId="5" borderId="0" xfId="0" applyFont="1" applyFill="1"/>
    <xf numFmtId="173" fontId="4" fillId="4" borderId="0" xfId="0" applyNumberFormat="1" applyFont="1" applyFill="1"/>
    <xf numFmtId="173" fontId="4" fillId="8" borderId="0" xfId="0" applyNumberFormat="1" applyFont="1" applyFill="1"/>
    <xf numFmtId="165" fontId="16" fillId="5" borderId="0" xfId="0" applyNumberFormat="1" applyFont="1" applyFill="1"/>
    <xf numFmtId="164" fontId="16" fillId="5" borderId="0" xfId="0" applyNumberFormat="1" applyFont="1" applyFill="1"/>
    <xf numFmtId="164" fontId="4" fillId="8" borderId="0" xfId="0" applyNumberFormat="1" applyFont="1" applyFill="1"/>
    <xf numFmtId="165" fontId="16" fillId="4" borderId="0" xfId="0" applyNumberFormat="1" applyFont="1" applyFill="1"/>
    <xf numFmtId="0" fontId="16" fillId="10" borderId="0" xfId="0" applyFont="1" applyFill="1" applyAlignment="1">
      <alignment vertical="center"/>
    </xf>
    <xf numFmtId="0" fontId="72" fillId="35" borderId="0" xfId="0" applyFont="1" applyFill="1" applyAlignment="1">
      <alignment horizontal="left" vertical="center" indent="2"/>
    </xf>
    <xf numFmtId="0" fontId="73" fillId="34" borderId="0" xfId="0" applyFont="1" applyFill="1" applyAlignment="1">
      <alignment horizontal="left" vertical="center" indent="2"/>
    </xf>
    <xf numFmtId="0" fontId="74" fillId="36" borderId="0" xfId="0" applyFont="1" applyFill="1" applyAlignment="1">
      <alignment horizontal="left" vertical="center" indent="2"/>
    </xf>
    <xf numFmtId="186" fontId="0" fillId="0" borderId="0" xfId="0" applyNumberFormat="1"/>
    <xf numFmtId="186" fontId="74" fillId="36" borderId="0" xfId="0" applyNumberFormat="1" applyFont="1" applyFill="1" applyAlignment="1">
      <alignment horizontal="right" vertical="center"/>
    </xf>
    <xf numFmtId="186" fontId="75" fillId="35" borderId="0" xfId="0" applyNumberFormat="1" applyFont="1" applyFill="1" applyAlignment="1">
      <alignment horizontal="right" vertical="center"/>
    </xf>
    <xf numFmtId="172" fontId="0" fillId="0" borderId="0" xfId="0" applyNumberFormat="1"/>
    <xf numFmtId="0" fontId="78" fillId="39" borderId="0" xfId="0" applyFont="1" applyFill="1" applyAlignment="1">
      <alignment horizontal="left" vertical="center" indent="2"/>
    </xf>
    <xf numFmtId="0" fontId="74" fillId="38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2"/>
    </xf>
    <xf numFmtId="0" fontId="72" fillId="38" borderId="0" xfId="0" applyFont="1" applyFill="1" applyAlignment="1">
      <alignment horizontal="left" vertical="center" indent="2"/>
    </xf>
    <xf numFmtId="0" fontId="74" fillId="35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3"/>
    </xf>
    <xf numFmtId="0" fontId="74" fillId="35" borderId="0" xfId="0" applyFont="1" applyFill="1" applyAlignment="1">
      <alignment horizontal="left" vertical="center" indent="1"/>
    </xf>
    <xf numFmtId="0" fontId="78" fillId="39" borderId="0" xfId="0" applyFont="1" applyFill="1" applyAlignment="1">
      <alignment horizontal="left" vertical="center" indent="1"/>
    </xf>
    <xf numFmtId="0" fontId="74" fillId="38" borderId="0" xfId="0" applyFont="1" applyFill="1" applyAlignment="1">
      <alignment horizontal="left" vertical="center" indent="1"/>
    </xf>
    <xf numFmtId="0" fontId="73" fillId="42" borderId="0" xfId="0" applyFont="1" applyFill="1" applyAlignment="1">
      <alignment horizontal="left" vertical="center" indent="1"/>
    </xf>
    <xf numFmtId="0" fontId="74" fillId="37" borderId="0" xfId="0" applyFont="1" applyFill="1" applyAlignment="1">
      <alignment horizontal="left" vertical="center" indent="1"/>
    </xf>
    <xf numFmtId="0" fontId="74" fillId="36" borderId="0" xfId="0" applyFont="1" applyFill="1" applyAlignment="1">
      <alignment horizontal="left" vertical="center" indent="1"/>
    </xf>
    <xf numFmtId="175" fontId="80" fillId="39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right"/>
    </xf>
    <xf numFmtId="175" fontId="81" fillId="39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right" vertical="center"/>
    </xf>
    <xf numFmtId="175" fontId="80" fillId="39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right" vertical="center"/>
    </xf>
    <xf numFmtId="175" fontId="82" fillId="39" borderId="0" xfId="0" applyNumberFormat="1" applyFont="1" applyFill="1" applyAlignment="1">
      <alignment horizontal="center"/>
    </xf>
    <xf numFmtId="175" fontId="83" fillId="39" borderId="0" xfId="0" applyNumberFormat="1" applyFont="1" applyFill="1" applyAlignment="1">
      <alignment horizontal="center"/>
    </xf>
    <xf numFmtId="175" fontId="82" fillId="39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right" vertical="center"/>
    </xf>
    <xf numFmtId="186" fontId="4" fillId="5" borderId="0" xfId="0" applyNumberFormat="1" applyFont="1" applyFill="1" applyAlignment="1">
      <alignment horizontal="right" vertical="center"/>
    </xf>
    <xf numFmtId="165" fontId="0" fillId="0" borderId="0" xfId="0" applyNumberFormat="1"/>
    <xf numFmtId="0" fontId="3" fillId="34" borderId="0" xfId="0" applyFont="1" applyFill="1" applyAlignment="1">
      <alignment horizontal="left"/>
    </xf>
    <xf numFmtId="0" fontId="15" fillId="37" borderId="0" xfId="0" applyFont="1" applyFill="1"/>
    <xf numFmtId="0" fontId="8" fillId="34" borderId="0" xfId="0" applyFont="1" applyFill="1" applyAlignment="1">
      <alignment horizontal="center" vertical="center" wrapText="1"/>
    </xf>
    <xf numFmtId="0" fontId="61" fillId="34" borderId="0" xfId="0" applyFont="1" applyFill="1" applyAlignment="1">
      <alignment horizontal="center"/>
    </xf>
    <xf numFmtId="170" fontId="84" fillId="0" borderId="0" xfId="0" applyNumberFormat="1" applyFont="1" applyAlignment="1">
      <alignment horizontal="center"/>
    </xf>
    <xf numFmtId="188" fontId="16" fillId="5" borderId="0" xfId="0" applyNumberFormat="1" applyFont="1" applyFill="1"/>
    <xf numFmtId="188" fontId="16" fillId="4" borderId="0" xfId="0" applyNumberFormat="1" applyFont="1" applyFill="1"/>
    <xf numFmtId="188" fontId="12" fillId="37" borderId="0" xfId="0" applyNumberFormat="1" applyFont="1" applyFill="1"/>
    <xf numFmtId="188" fontId="26" fillId="37" borderId="0" xfId="0" applyNumberFormat="1" applyFont="1" applyFill="1"/>
    <xf numFmtId="188" fontId="70" fillId="40" borderId="0" xfId="0" applyNumberFormat="1" applyFont="1" applyFill="1"/>
    <xf numFmtId="10" fontId="84" fillId="0" borderId="0" xfId="0" applyNumberFormat="1" applyFont="1" applyAlignment="1">
      <alignment horizontal="center"/>
    </xf>
    <xf numFmtId="0" fontId="3" fillId="34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1"/>
    </xf>
    <xf numFmtId="0" fontId="15" fillId="40" borderId="0" xfId="0" applyFont="1" applyFill="1" applyAlignment="1">
      <alignment horizontal="left" vertical="center" indent="2"/>
    </xf>
    <xf numFmtId="186" fontId="85" fillId="0" borderId="0" xfId="0" applyNumberFormat="1" applyFont="1" applyAlignment="1">
      <alignment horizontal="center" vertical="center"/>
    </xf>
    <xf numFmtId="186" fontId="54" fillId="0" borderId="0" xfId="0" applyNumberFormat="1" applyFont="1" applyAlignment="1">
      <alignment horizontal="center" vertical="center"/>
    </xf>
    <xf numFmtId="186" fontId="54" fillId="28" borderId="0" xfId="0" applyNumberFormat="1" applyFont="1" applyFill="1" applyAlignment="1">
      <alignment horizontal="center" vertical="center"/>
    </xf>
    <xf numFmtId="186" fontId="54" fillId="29" borderId="0" xfId="0" applyNumberFormat="1" applyFont="1" applyFill="1" applyAlignment="1">
      <alignment horizontal="center" vertical="center"/>
    </xf>
    <xf numFmtId="186" fontId="54" fillId="0" borderId="0" xfId="0" applyNumberFormat="1" applyFont="1" applyAlignment="1">
      <alignment horizontal="left" vertical="center"/>
    </xf>
    <xf numFmtId="186" fontId="55" fillId="0" borderId="0" xfId="0" applyNumberFormat="1" applyFont="1" applyAlignment="1">
      <alignment horizontal="center" vertical="center"/>
    </xf>
    <xf numFmtId="3" fontId="85" fillId="0" borderId="0" xfId="0" applyNumberFormat="1" applyFont="1" applyAlignment="1">
      <alignment horizontal="center" vertical="center"/>
    </xf>
    <xf numFmtId="186" fontId="16" fillId="5" borderId="0" xfId="0" applyNumberFormat="1" applyFont="1" applyFill="1" applyAlignment="1">
      <alignment horizontal="right" vertical="center"/>
    </xf>
    <xf numFmtId="10" fontId="16" fillId="4" borderId="0" xfId="0" applyNumberFormat="1" applyFont="1" applyFill="1" applyAlignment="1">
      <alignment horizontal="right" vertical="center"/>
    </xf>
    <xf numFmtId="14" fontId="0" fillId="0" borderId="0" xfId="0" applyNumberFormat="1"/>
    <xf numFmtId="190" fontId="55" fillId="0" borderId="0" xfId="0" applyNumberFormat="1" applyFont="1" applyAlignment="1">
      <alignment horizontal="center" vertical="center"/>
    </xf>
    <xf numFmtId="165" fontId="55" fillId="0" borderId="0" xfId="0" applyNumberFormat="1" applyFont="1" applyAlignment="1">
      <alignment horizontal="center" vertical="center"/>
    </xf>
    <xf numFmtId="165" fontId="54" fillId="28" borderId="0" xfId="0" applyNumberFormat="1" applyFont="1" applyFill="1" applyAlignment="1">
      <alignment horizontal="center" vertical="center"/>
    </xf>
    <xf numFmtId="49" fontId="55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left" vertical="center"/>
    </xf>
    <xf numFmtId="191" fontId="55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1" fillId="43" borderId="0" xfId="0" applyFont="1" applyFill="1" applyAlignment="1">
      <alignment horizontal="center" vertical="center" wrapText="1"/>
    </xf>
    <xf numFmtId="0" fontId="88" fillId="0" borderId="0" xfId="0" applyFont="1"/>
    <xf numFmtId="3" fontId="84" fillId="0" borderId="0" xfId="1" applyNumberFormat="1" applyFont="1" applyAlignment="1">
      <alignment horizontal="center"/>
    </xf>
    <xf numFmtId="3" fontId="66" fillId="0" borderId="0" xfId="0" applyNumberFormat="1" applyFont="1" applyAlignment="1">
      <alignment horizontal="center"/>
    </xf>
    <xf numFmtId="3" fontId="84" fillId="0" borderId="0" xfId="0" applyNumberFormat="1" applyFont="1" applyAlignment="1">
      <alignment horizontal="center"/>
    </xf>
    <xf numFmtId="187" fontId="84" fillId="0" borderId="0" xfId="0" applyNumberFormat="1" applyFont="1" applyAlignment="1">
      <alignment horizontal="center"/>
    </xf>
    <xf numFmtId="18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181" fontId="70" fillId="32" borderId="0" xfId="0" applyNumberFormat="1" applyFont="1" applyFill="1" applyAlignment="1">
      <alignment horizontal="center"/>
    </xf>
    <xf numFmtId="170" fontId="66" fillId="0" borderId="0" xfId="0" applyNumberFormat="1" applyFont="1" applyAlignment="1">
      <alignment horizontal="center"/>
    </xf>
    <xf numFmtId="170" fontId="70" fillId="31" borderId="0" xfId="0" applyNumberFormat="1" applyFont="1" applyFill="1" applyAlignment="1">
      <alignment horizontal="center"/>
    </xf>
    <xf numFmtId="189" fontId="84" fillId="0" borderId="0" xfId="0" applyNumberFormat="1" applyFont="1" applyAlignment="1">
      <alignment horizontal="center"/>
    </xf>
    <xf numFmtId="3" fontId="70" fillId="31" borderId="0" xfId="0" applyNumberFormat="1" applyFont="1" applyFill="1" applyAlignment="1">
      <alignment horizontal="center"/>
    </xf>
    <xf numFmtId="3" fontId="89" fillId="27" borderId="0" xfId="0" applyNumberFormat="1" applyFont="1" applyFill="1" applyAlignment="1">
      <alignment horizontal="center" vertical="center" wrapText="1"/>
    </xf>
    <xf numFmtId="186" fontId="61" fillId="27" borderId="0" xfId="0" applyNumberFormat="1" applyFont="1" applyFill="1" applyAlignment="1">
      <alignment horizontal="center" vertical="center" wrapText="1"/>
    </xf>
    <xf numFmtId="192" fontId="61" fillId="27" borderId="0" xfId="0" applyNumberFormat="1" applyFont="1" applyFill="1" applyAlignment="1">
      <alignment horizontal="center" vertical="center" wrapText="1"/>
    </xf>
    <xf numFmtId="3" fontId="0" fillId="0" borderId="0" xfId="0" applyNumberFormat="1"/>
    <xf numFmtId="192" fontId="0" fillId="0" borderId="0" xfId="0" applyNumberFormat="1"/>
    <xf numFmtId="3" fontId="0" fillId="0" borderId="0" xfId="0" applyNumberFormat="1" applyAlignment="1">
      <alignment horizontal="center"/>
    </xf>
    <xf numFmtId="186" fontId="88" fillId="0" borderId="0" xfId="0" applyNumberFormat="1" applyFont="1"/>
    <xf numFmtId="186" fontId="90" fillId="0" borderId="0" xfId="0" applyNumberFormat="1" applyFont="1"/>
    <xf numFmtId="165" fontId="88" fillId="0" borderId="0" xfId="0" applyNumberFormat="1" applyFont="1"/>
    <xf numFmtId="165" fontId="90" fillId="0" borderId="0" xfId="0" applyNumberFormat="1" applyFont="1"/>
    <xf numFmtId="3" fontId="88" fillId="0" borderId="0" xfId="0" applyNumberFormat="1" applyFont="1"/>
    <xf numFmtId="186" fontId="91" fillId="44" borderId="0" xfId="0" applyNumberFormat="1" applyFont="1" applyFill="1"/>
    <xf numFmtId="186" fontId="0" fillId="0" borderId="0" xfId="0" applyNumberFormat="1" applyAlignment="1">
      <alignment horizontal="center"/>
    </xf>
    <xf numFmtId="170" fontId="0" fillId="0" borderId="0" xfId="0" applyNumberFormat="1"/>
    <xf numFmtId="0" fontId="0" fillId="0" borderId="0" xfId="0" quotePrefix="1"/>
    <xf numFmtId="0" fontId="93" fillId="0" borderId="0" xfId="0" applyFont="1"/>
    <xf numFmtId="0" fontId="61" fillId="43" borderId="0" xfId="0" applyFont="1" applyFill="1" applyAlignment="1">
      <alignment horizontal="center"/>
    </xf>
    <xf numFmtId="186" fontId="95" fillId="0" borderId="0" xfId="0" applyNumberFormat="1" applyFont="1"/>
    <xf numFmtId="187" fontId="95" fillId="0" borderId="0" xfId="0" applyNumberFormat="1" applyFont="1"/>
    <xf numFmtId="190" fontId="95" fillId="0" borderId="0" xfId="0" applyNumberFormat="1" applyFont="1"/>
    <xf numFmtId="0" fontId="54" fillId="43" borderId="0" xfId="0" applyFont="1" applyFill="1" applyAlignment="1">
      <alignment horizontal="left" vertical="center"/>
    </xf>
    <xf numFmtId="186" fontId="54" fillId="43" borderId="0" xfId="0" applyNumberFormat="1" applyFont="1" applyFill="1" applyAlignment="1">
      <alignment horizontal="center" vertical="center"/>
    </xf>
    <xf numFmtId="186" fontId="55" fillId="43" borderId="0" xfId="0" applyNumberFormat="1" applyFont="1" applyFill="1" applyAlignment="1">
      <alignment horizontal="center" vertical="center"/>
    </xf>
    <xf numFmtId="17" fontId="61" fillId="27" borderId="0" xfId="0" applyNumberFormat="1" applyFont="1" applyFill="1" applyAlignment="1">
      <alignment horizontal="center" vertical="center"/>
    </xf>
    <xf numFmtId="0" fontId="72" fillId="35" borderId="0" xfId="0" applyFont="1" applyFill="1" applyAlignment="1">
      <alignment horizontal="left" vertical="center" indent="1"/>
    </xf>
    <xf numFmtId="0" fontId="72" fillId="38" borderId="0" xfId="0" applyFont="1" applyFill="1" applyAlignment="1">
      <alignment horizontal="left" vertical="center" indent="1"/>
    </xf>
    <xf numFmtId="0" fontId="96" fillId="45" borderId="0" xfId="0" applyFont="1" applyFill="1" applyAlignment="1">
      <alignment vertical="center"/>
    </xf>
    <xf numFmtId="186" fontId="72" fillId="36" borderId="0" xfId="0" applyNumberFormat="1" applyFont="1" applyFill="1" applyAlignment="1">
      <alignment horizontal="right" vertical="center"/>
    </xf>
    <xf numFmtId="193" fontId="72" fillId="36" borderId="0" xfId="0" applyNumberFormat="1" applyFont="1" applyFill="1" applyAlignment="1">
      <alignment horizontal="right" vertical="center"/>
    </xf>
    <xf numFmtId="186" fontId="72" fillId="36" borderId="0" xfId="0" applyNumberFormat="1" applyFont="1" applyFill="1" applyAlignment="1">
      <alignment horizontal="right"/>
    </xf>
    <xf numFmtId="186" fontId="74" fillId="36" borderId="0" xfId="0" applyNumberFormat="1" applyFont="1" applyFill="1" applyAlignment="1">
      <alignment horizontal="right"/>
    </xf>
    <xf numFmtId="165" fontId="72" fillId="35" borderId="0" xfId="0" applyNumberFormat="1" applyFont="1" applyFill="1" applyAlignment="1">
      <alignment horizontal="right"/>
    </xf>
    <xf numFmtId="165" fontId="72" fillId="38" borderId="0" xfId="0" applyNumberFormat="1" applyFont="1" applyFill="1" applyAlignment="1">
      <alignment horizontal="right"/>
    </xf>
    <xf numFmtId="0" fontId="79" fillId="35" borderId="0" xfId="0" applyFont="1" applyFill="1" applyAlignment="1">
      <alignment horizontal="left" wrapText="1"/>
    </xf>
    <xf numFmtId="0" fontId="79" fillId="38" borderId="0" xfId="0" applyFont="1" applyFill="1" applyAlignment="1">
      <alignment horizontal="left" wrapText="1"/>
    </xf>
    <xf numFmtId="165" fontId="79" fillId="38" borderId="0" xfId="0" applyNumberFormat="1" applyFont="1" applyFill="1" applyAlignment="1">
      <alignment horizontal="left" wrapText="1"/>
    </xf>
    <xf numFmtId="165" fontId="79" fillId="35" borderId="0" xfId="0" applyNumberFormat="1" applyFont="1" applyFill="1" applyAlignment="1">
      <alignment horizontal="left" wrapText="1"/>
    </xf>
    <xf numFmtId="171" fontId="79" fillId="38" borderId="0" xfId="0" applyNumberFormat="1" applyFont="1" applyFill="1" applyAlignment="1">
      <alignment horizontal="left" wrapText="1"/>
    </xf>
    <xf numFmtId="165" fontId="72" fillId="35" borderId="0" xfId="0" applyNumberFormat="1" applyFont="1" applyFill="1" applyAlignment="1">
      <alignment horizontal="center"/>
    </xf>
    <xf numFmtId="165" fontId="72" fillId="38" borderId="0" xfId="0" applyNumberFormat="1" applyFont="1" applyFill="1" applyAlignment="1">
      <alignment horizontal="center"/>
    </xf>
    <xf numFmtId="165" fontId="74" fillId="35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165" fontId="74" fillId="38" borderId="0" xfId="0" applyNumberFormat="1" applyFont="1" applyFill="1" applyAlignment="1">
      <alignment horizontal="center"/>
    </xf>
    <xf numFmtId="165" fontId="74" fillId="36" borderId="0" xfId="0" applyNumberFormat="1" applyFont="1" applyFill="1" applyAlignment="1">
      <alignment horizontal="center"/>
    </xf>
    <xf numFmtId="166" fontId="74" fillId="35" borderId="0" xfId="0" applyNumberFormat="1" applyFont="1" applyFill="1" applyAlignment="1">
      <alignment horizontal="right" vertical="center"/>
    </xf>
    <xf numFmtId="0" fontId="97" fillId="0" borderId="0" xfId="0" applyFont="1" applyAlignment="1">
      <alignment horizontal="left" vertical="center" indent="1"/>
    </xf>
    <xf numFmtId="0" fontId="98" fillId="0" borderId="0" xfId="0" applyFont="1" applyAlignment="1">
      <alignment horizontal="left" vertical="center" indent="1"/>
    </xf>
    <xf numFmtId="164" fontId="75" fillId="35" borderId="0" xfId="0" applyNumberFormat="1" applyFont="1" applyFill="1" applyAlignment="1">
      <alignment horizontal="center"/>
    </xf>
    <xf numFmtId="164" fontId="75" fillId="36" borderId="0" xfId="0" applyNumberFormat="1" applyFont="1" applyFill="1" applyAlignment="1">
      <alignment horizontal="center"/>
    </xf>
    <xf numFmtId="164" fontId="72" fillId="35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86" fontId="75" fillId="35" borderId="0" xfId="0" applyNumberFormat="1" applyFont="1" applyFill="1" applyAlignment="1">
      <alignment horizontal="center"/>
    </xf>
    <xf numFmtId="186" fontId="75" fillId="36" borderId="0" xfId="0" applyNumberFormat="1" applyFont="1" applyFill="1" applyAlignment="1">
      <alignment horizontal="center"/>
    </xf>
    <xf numFmtId="186" fontId="72" fillId="35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center" vertical="center"/>
    </xf>
    <xf numFmtId="186" fontId="76" fillId="36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center" vertical="center"/>
    </xf>
    <xf numFmtId="186" fontId="72" fillId="38" borderId="0" xfId="0" applyNumberFormat="1" applyFont="1" applyFill="1" applyAlignment="1">
      <alignment horizontal="center" vertical="center"/>
    </xf>
    <xf numFmtId="186" fontId="75" fillId="36" borderId="0" xfId="0" applyNumberFormat="1" applyFont="1" applyFill="1" applyAlignment="1">
      <alignment horizontal="center" vertical="center"/>
    </xf>
    <xf numFmtId="186" fontId="75" fillId="35" borderId="0" xfId="0" applyNumberFormat="1" applyFont="1" applyFill="1" applyAlignment="1">
      <alignment horizontal="center" vertical="center"/>
    </xf>
    <xf numFmtId="166" fontId="5" fillId="8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75" fillId="35" borderId="0" xfId="0" applyNumberFormat="1" applyFont="1" applyFill="1" applyAlignment="1">
      <alignment horizontal="center" vertical="center"/>
    </xf>
    <xf numFmtId="164" fontId="75" fillId="36" borderId="0" xfId="0" applyNumberFormat="1" applyFont="1" applyFill="1" applyAlignment="1">
      <alignment horizontal="center" vertical="center"/>
    </xf>
    <xf numFmtId="164" fontId="72" fillId="35" borderId="0" xfId="0" applyNumberFormat="1" applyFont="1" applyFill="1" applyAlignment="1">
      <alignment horizontal="center" vertical="center"/>
    </xf>
    <xf numFmtId="186" fontId="72" fillId="35" borderId="0" xfId="0" applyNumberFormat="1" applyFont="1" applyFill="1" applyAlignment="1">
      <alignment horizontal="center" vertical="center"/>
    </xf>
    <xf numFmtId="186" fontId="15" fillId="8" borderId="0" xfId="0" applyNumberFormat="1" applyFont="1" applyFill="1" applyAlignment="1">
      <alignment horizontal="center" vertical="center"/>
    </xf>
    <xf numFmtId="164" fontId="74" fillId="37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center" vertical="center"/>
    </xf>
    <xf numFmtId="186" fontId="74" fillId="36" borderId="0" xfId="0" applyNumberFormat="1" applyFont="1" applyFill="1" applyAlignment="1">
      <alignment horizontal="center" vertical="center"/>
    </xf>
    <xf numFmtId="186" fontId="76" fillId="35" borderId="0" xfId="0" applyNumberFormat="1" applyFont="1" applyFill="1" applyAlignment="1">
      <alignment horizontal="center" vertical="center"/>
    </xf>
    <xf numFmtId="186" fontId="4" fillId="5" borderId="0" xfId="0" applyNumberFormat="1" applyFont="1" applyFill="1" applyAlignment="1">
      <alignment horizontal="center" vertical="center"/>
    </xf>
    <xf numFmtId="186" fontId="75" fillId="38" borderId="0" xfId="0" applyNumberFormat="1" applyFont="1" applyFill="1" applyAlignment="1">
      <alignment horizontal="center"/>
    </xf>
    <xf numFmtId="186" fontId="5" fillId="8" borderId="0" xfId="0" applyNumberFormat="1" applyFont="1" applyFill="1" applyAlignment="1">
      <alignment horizontal="center" vertical="center"/>
    </xf>
    <xf numFmtId="166" fontId="15" fillId="4" borderId="0" xfId="0" applyNumberFormat="1" applyFont="1" applyFill="1" applyAlignment="1">
      <alignment horizontal="center" vertical="center"/>
    </xf>
    <xf numFmtId="186" fontId="76" fillId="40" borderId="0" xfId="0" applyNumberFormat="1" applyFont="1" applyFill="1" applyAlignment="1">
      <alignment horizontal="center" vertical="center"/>
    </xf>
    <xf numFmtId="186" fontId="15" fillId="14" borderId="0" xfId="0" applyNumberFormat="1" applyFont="1" applyFill="1" applyAlignment="1">
      <alignment horizontal="center" vertical="center"/>
    </xf>
    <xf numFmtId="166" fontId="15" fillId="14" borderId="0" xfId="0" applyNumberFormat="1" applyFont="1" applyFill="1" applyAlignment="1">
      <alignment horizontal="center" vertical="center"/>
    </xf>
    <xf numFmtId="165" fontId="15" fillId="14" borderId="0" xfId="0" applyNumberFormat="1" applyFont="1" applyFill="1" applyAlignment="1">
      <alignment horizontal="center" vertical="center"/>
    </xf>
    <xf numFmtId="166" fontId="88" fillId="0" borderId="0" xfId="0" applyNumberFormat="1" applyFont="1" applyAlignment="1">
      <alignment horizontal="center"/>
    </xf>
    <xf numFmtId="186" fontId="77" fillId="41" borderId="0" xfId="0" applyNumberFormat="1" applyFont="1" applyFill="1" applyAlignment="1">
      <alignment horizontal="center" vertical="center"/>
    </xf>
    <xf numFmtId="166" fontId="11" fillId="12" borderId="0" xfId="0" applyNumberFormat="1" applyFont="1" applyFill="1" applyAlignment="1">
      <alignment horizontal="center" vertical="center"/>
    </xf>
    <xf numFmtId="165" fontId="11" fillId="12" borderId="0" xfId="0" applyNumberFormat="1" applyFont="1" applyFill="1" applyAlignment="1">
      <alignment horizontal="center" vertical="center"/>
    </xf>
    <xf numFmtId="166" fontId="12" fillId="5" borderId="0" xfId="0" applyNumberFormat="1" applyFont="1" applyFill="1" applyAlignment="1">
      <alignment horizontal="center" vertical="center"/>
    </xf>
    <xf numFmtId="0" fontId="74" fillId="38" borderId="0" xfId="0" applyFont="1" applyFill="1" applyAlignment="1">
      <alignment horizontal="right"/>
    </xf>
    <xf numFmtId="0" fontId="99" fillId="45" borderId="0" xfId="0" applyFont="1" applyFill="1" applyAlignment="1">
      <alignment horizontal="center"/>
    </xf>
    <xf numFmtId="0" fontId="72" fillId="38" borderId="0" xfId="0" applyFont="1" applyFill="1"/>
    <xf numFmtId="0" fontId="74" fillId="37" borderId="0" xfId="0" applyFont="1" applyFill="1"/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0" fillId="0" borderId="5" xfId="0" applyBorder="1"/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55" fillId="0" borderId="5" xfId="0" applyFont="1" applyBorder="1" applyAlignment="1">
      <alignment horizontal="left" vertical="center"/>
    </xf>
    <xf numFmtId="186" fontId="0" fillId="0" borderId="5" xfId="0" applyNumberFormat="1" applyBorder="1" applyAlignment="1">
      <alignment horizontal="center"/>
    </xf>
    <xf numFmtId="0" fontId="53" fillId="0" borderId="5" xfId="0" applyFont="1" applyBorder="1" applyAlignment="1">
      <alignment horizontal="left" vertical="center"/>
    </xf>
    <xf numFmtId="0" fontId="54" fillId="28" borderId="5" xfId="0" applyFont="1" applyFill="1" applyBorder="1" applyAlignment="1">
      <alignment horizontal="left" vertical="center"/>
    </xf>
    <xf numFmtId="3" fontId="54" fillId="28" borderId="5" xfId="0" applyNumberFormat="1" applyFont="1" applyFill="1" applyBorder="1" applyAlignment="1">
      <alignment horizontal="center" vertical="center"/>
    </xf>
    <xf numFmtId="165" fontId="54" fillId="28" borderId="5" xfId="0" applyNumberFormat="1" applyFont="1" applyFill="1" applyBorder="1" applyAlignment="1">
      <alignment horizontal="center" vertical="center"/>
    </xf>
    <xf numFmtId="181" fontId="54" fillId="28" borderId="5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90" fillId="0" borderId="5" xfId="0" applyFont="1" applyBorder="1"/>
    <xf numFmtId="3" fontId="90" fillId="0" borderId="5" xfId="0" applyNumberFormat="1" applyFont="1" applyBorder="1"/>
    <xf numFmtId="186" fontId="90" fillId="0" borderId="5" xfId="0" applyNumberFormat="1" applyFont="1" applyBorder="1"/>
    <xf numFmtId="186" fontId="91" fillId="39" borderId="5" xfId="0" applyNumberFormat="1" applyFont="1" applyFill="1" applyBorder="1"/>
    <xf numFmtId="165" fontId="90" fillId="0" borderId="5" xfId="0" applyNumberFormat="1" applyFont="1" applyBorder="1"/>
    <xf numFmtId="3" fontId="0" fillId="0" borderId="5" xfId="0" applyNumberFormat="1" applyBorder="1"/>
    <xf numFmtId="0" fontId="104" fillId="34" borderId="1" xfId="0" applyFont="1" applyFill="1" applyBorder="1" applyAlignment="1">
      <alignment horizontal="center" vertical="center" wrapText="1"/>
    </xf>
    <xf numFmtId="0" fontId="104" fillId="34" borderId="7" xfId="0" applyFont="1" applyFill="1" applyBorder="1" applyAlignment="1">
      <alignment horizontal="center" vertical="center" wrapText="1"/>
    </xf>
    <xf numFmtId="0" fontId="0" fillId="38" borderId="0" xfId="0" applyFill="1"/>
    <xf numFmtId="0" fontId="105" fillId="47" borderId="0" xfId="0" applyFont="1" applyFill="1" applyAlignment="1">
      <alignment horizontal="left"/>
    </xf>
    <xf numFmtId="0" fontId="104" fillId="34" borderId="0" xfId="0" applyFont="1" applyFill="1" applyAlignment="1">
      <alignment horizontal="center" vertical="center" wrapText="1"/>
    </xf>
    <xf numFmtId="0" fontId="73" fillId="46" borderId="0" xfId="0" applyFont="1" applyFill="1" applyAlignment="1">
      <alignment horizontal="left"/>
    </xf>
    <xf numFmtId="0" fontId="73" fillId="46" borderId="9" xfId="0" applyFont="1" applyFill="1" applyBorder="1" applyAlignment="1">
      <alignment horizontal="left" vertical="center"/>
    </xf>
    <xf numFmtId="0" fontId="104" fillId="34" borderId="11" xfId="0" applyFont="1" applyFill="1" applyBorder="1" applyAlignment="1">
      <alignment horizontal="center" vertical="center" wrapText="1"/>
    </xf>
    <xf numFmtId="0" fontId="73" fillId="46" borderId="12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left"/>
    </xf>
    <xf numFmtId="0" fontId="73" fillId="46" borderId="15" xfId="0" applyFont="1" applyFill="1" applyBorder="1" applyAlignment="1">
      <alignment horizontal="left" vertical="center"/>
    </xf>
    <xf numFmtId="0" fontId="104" fillId="34" borderId="16" xfId="0" applyFont="1" applyFill="1" applyBorder="1" applyAlignment="1">
      <alignment horizontal="center" vertical="center" wrapText="1"/>
    </xf>
    <xf numFmtId="0" fontId="105" fillId="47" borderId="16" xfId="0" applyFont="1" applyFill="1" applyBorder="1" applyAlignment="1">
      <alignment horizontal="left"/>
    </xf>
    <xf numFmtId="0" fontId="73" fillId="46" borderId="16" xfId="0" applyFont="1" applyFill="1" applyBorder="1" applyAlignment="1">
      <alignment horizontal="left"/>
    </xf>
    <xf numFmtId="0" fontId="72" fillId="38" borderId="20" xfId="0" applyFont="1" applyFill="1" applyBorder="1" applyAlignment="1">
      <alignment horizontal="left" vertical="center"/>
    </xf>
    <xf numFmtId="166" fontId="72" fillId="38" borderId="21" xfId="0" applyNumberFormat="1" applyFont="1" applyFill="1" applyBorder="1" applyAlignment="1">
      <alignment horizontal="right" vertical="center"/>
    </xf>
    <xf numFmtId="165" fontId="72" fillId="38" borderId="21" xfId="0" applyNumberFormat="1" applyFont="1" applyFill="1" applyBorder="1" applyAlignment="1">
      <alignment horizontal="right" vertical="center"/>
    </xf>
    <xf numFmtId="0" fontId="72" fillId="38" borderId="22" xfId="0" applyFont="1" applyFill="1" applyBorder="1"/>
    <xf numFmtId="0" fontId="72" fillId="38" borderId="23" xfId="0" applyFont="1" applyFill="1" applyBorder="1"/>
    <xf numFmtId="0" fontId="72" fillId="38" borderId="24" xfId="0" applyFont="1" applyFill="1" applyBorder="1" applyAlignment="1">
      <alignment horizontal="left" vertical="center"/>
    </xf>
    <xf numFmtId="166" fontId="72" fillId="38" borderId="25" xfId="0" applyNumberFormat="1" applyFont="1" applyFill="1" applyBorder="1" applyAlignment="1">
      <alignment horizontal="right" vertical="center"/>
    </xf>
    <xf numFmtId="165" fontId="72" fillId="38" borderId="25" xfId="0" applyNumberFormat="1" applyFont="1" applyFill="1" applyBorder="1" applyAlignment="1">
      <alignment horizontal="right" vertical="center"/>
    </xf>
    <xf numFmtId="0" fontId="72" fillId="38" borderId="26" xfId="0" applyFont="1" applyFill="1" applyBorder="1"/>
    <xf numFmtId="0" fontId="72" fillId="38" borderId="27" xfId="0" applyFont="1" applyFill="1" applyBorder="1"/>
    <xf numFmtId="0" fontId="105" fillId="47" borderId="26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74" fillId="48" borderId="29" xfId="0" applyFont="1" applyFill="1" applyBorder="1" applyAlignment="1">
      <alignment horizontal="left" vertical="center"/>
    </xf>
    <xf numFmtId="166" fontId="74" fillId="48" borderId="30" xfId="0" applyNumberFormat="1" applyFont="1" applyFill="1" applyBorder="1" applyAlignment="1">
      <alignment horizontal="right" vertical="center"/>
    </xf>
    <xf numFmtId="165" fontId="74" fillId="48" borderId="30" xfId="0" applyNumberFormat="1" applyFont="1" applyFill="1" applyBorder="1" applyAlignment="1">
      <alignment horizontal="right" vertical="center"/>
    </xf>
    <xf numFmtId="0" fontId="74" fillId="48" borderId="31" xfId="0" applyFont="1" applyFill="1" applyBorder="1"/>
    <xf numFmtId="0" fontId="74" fillId="48" borderId="32" xfId="0" applyFont="1" applyFill="1" applyBorder="1"/>
    <xf numFmtId="0" fontId="105" fillId="47" borderId="33" xfId="0" applyFont="1" applyFill="1" applyBorder="1" applyAlignment="1">
      <alignment horizontal="left" vertical="center"/>
    </xf>
    <xf numFmtId="0" fontId="105" fillId="47" borderId="22" xfId="0" applyFont="1" applyFill="1" applyBorder="1" applyAlignment="1">
      <alignment horizontal="left"/>
    </xf>
    <xf numFmtId="0" fontId="105" fillId="47" borderId="23" xfId="0" applyFont="1" applyFill="1" applyBorder="1" applyAlignment="1">
      <alignment horizontal="left"/>
    </xf>
    <xf numFmtId="0" fontId="72" fillId="38" borderId="34" xfId="0" applyFont="1" applyFill="1" applyBorder="1" applyAlignment="1">
      <alignment horizontal="left"/>
    </xf>
    <xf numFmtId="3" fontId="96" fillId="39" borderId="26" xfId="0" applyNumberFormat="1" applyFont="1" applyFill="1" applyBorder="1" applyAlignment="1">
      <alignment horizontal="right"/>
    </xf>
    <xf numFmtId="186" fontId="96" fillId="39" borderId="26" xfId="0" applyNumberFormat="1" applyFont="1" applyFill="1" applyBorder="1" applyAlignment="1">
      <alignment horizontal="right"/>
    </xf>
    <xf numFmtId="186" fontId="72" fillId="38" borderId="26" xfId="0" applyNumberFormat="1" applyFont="1" applyFill="1" applyBorder="1" applyAlignment="1">
      <alignment horizontal="right"/>
    </xf>
    <xf numFmtId="194" fontId="72" fillId="38" borderId="26" xfId="0" applyNumberFormat="1" applyFont="1" applyFill="1" applyBorder="1" applyAlignment="1">
      <alignment horizontal="right"/>
    </xf>
    <xf numFmtId="186" fontId="96" fillId="45" borderId="26" xfId="0" applyNumberFormat="1" applyFont="1" applyFill="1" applyBorder="1" applyAlignment="1">
      <alignment horizontal="right"/>
    </xf>
    <xf numFmtId="165" fontId="72" fillId="38" borderId="26" xfId="0" applyNumberFormat="1" applyFont="1" applyFill="1" applyBorder="1" applyAlignment="1">
      <alignment horizontal="right"/>
    </xf>
    <xf numFmtId="0" fontId="105" fillId="47" borderId="34" xfId="0" applyFont="1" applyFill="1" applyBorder="1" applyAlignment="1">
      <alignment horizontal="left"/>
    </xf>
    <xf numFmtId="166" fontId="105" fillId="47" borderId="26" xfId="0" applyNumberFormat="1" applyFont="1" applyFill="1" applyBorder="1" applyAlignment="1">
      <alignment horizontal="left"/>
    </xf>
    <xf numFmtId="171" fontId="105" fillId="47" borderId="26" xfId="0" applyNumberFormat="1" applyFont="1" applyFill="1" applyBorder="1" applyAlignment="1">
      <alignment horizontal="left"/>
    </xf>
    <xf numFmtId="0" fontId="74" fillId="48" borderId="34" xfId="0" applyFont="1" applyFill="1" applyBorder="1" applyAlignment="1">
      <alignment horizontal="left"/>
    </xf>
    <xf numFmtId="3" fontId="74" fillId="48" borderId="26" xfId="0" applyNumberFormat="1" applyFont="1" applyFill="1" applyBorder="1" applyAlignment="1">
      <alignment horizontal="right"/>
    </xf>
    <xf numFmtId="186" fontId="74" fillId="48" borderId="26" xfId="0" applyNumberFormat="1" applyFont="1" applyFill="1" applyBorder="1" applyAlignment="1">
      <alignment horizontal="right"/>
    </xf>
    <xf numFmtId="194" fontId="74" fillId="48" borderId="26" xfId="0" applyNumberFormat="1" applyFont="1" applyFill="1" applyBorder="1" applyAlignment="1">
      <alignment horizontal="right"/>
    </xf>
    <xf numFmtId="165" fontId="74" fillId="48" borderId="26" xfId="0" applyNumberFormat="1" applyFont="1" applyFill="1" applyBorder="1" applyAlignment="1">
      <alignment horizontal="right"/>
    </xf>
    <xf numFmtId="0" fontId="74" fillId="48" borderId="26" xfId="0" applyFont="1" applyFill="1" applyBorder="1"/>
    <xf numFmtId="0" fontId="74" fillId="48" borderId="27" xfId="0" applyFont="1" applyFill="1" applyBorder="1"/>
    <xf numFmtId="0" fontId="73" fillId="34" borderId="35" xfId="0" applyFont="1" applyFill="1" applyBorder="1" applyAlignment="1">
      <alignment horizontal="left"/>
    </xf>
    <xf numFmtId="3" fontId="73" fillId="34" borderId="36" xfId="0" applyNumberFormat="1" applyFont="1" applyFill="1" applyBorder="1" applyAlignment="1">
      <alignment horizontal="right"/>
    </xf>
    <xf numFmtId="186" fontId="73" fillId="34" borderId="36" xfId="0" applyNumberFormat="1" applyFont="1" applyFill="1" applyBorder="1" applyAlignment="1">
      <alignment horizontal="right"/>
    </xf>
    <xf numFmtId="194" fontId="73" fillId="34" borderId="36" xfId="0" applyNumberFormat="1" applyFont="1" applyFill="1" applyBorder="1" applyAlignment="1">
      <alignment horizontal="right"/>
    </xf>
    <xf numFmtId="165" fontId="73" fillId="34" borderId="36" xfId="0" applyNumberFormat="1" applyFont="1" applyFill="1" applyBorder="1" applyAlignment="1">
      <alignment horizontal="right"/>
    </xf>
    <xf numFmtId="0" fontId="73" fillId="34" borderId="36" xfId="0" applyFont="1" applyFill="1" applyBorder="1"/>
    <xf numFmtId="0" fontId="73" fillId="34" borderId="37" xfId="0" applyFont="1" applyFill="1" applyBorder="1"/>
    <xf numFmtId="0" fontId="104" fillId="34" borderId="38" xfId="0" applyFont="1" applyFill="1" applyBorder="1" applyAlignment="1">
      <alignment horizontal="center" vertical="center" wrapText="1"/>
    </xf>
    <xf numFmtId="3" fontId="72" fillId="38" borderId="39" xfId="0" applyNumberFormat="1" applyFont="1" applyFill="1" applyBorder="1" applyAlignment="1">
      <alignment horizontal="right" vertical="center"/>
    </xf>
    <xf numFmtId="3" fontId="72" fillId="38" borderId="40" xfId="0" applyNumberFormat="1" applyFont="1" applyFill="1" applyBorder="1" applyAlignment="1">
      <alignment horizontal="right" vertical="center"/>
    </xf>
    <xf numFmtId="3" fontId="74" fillId="48" borderId="41" xfId="0" applyNumberFormat="1" applyFont="1" applyFill="1" applyBorder="1" applyAlignment="1">
      <alignment horizontal="right" vertical="center"/>
    </xf>
    <xf numFmtId="166" fontId="72" fillId="38" borderId="42" xfId="0" applyNumberFormat="1" applyFont="1" applyFill="1" applyBorder="1" applyAlignment="1">
      <alignment horizontal="right" vertical="center"/>
    </xf>
    <xf numFmtId="166" fontId="72" fillId="38" borderId="28" xfId="0" applyNumberFormat="1" applyFont="1" applyFill="1" applyBorder="1" applyAlignment="1">
      <alignment horizontal="right" vertical="center"/>
    </xf>
    <xf numFmtId="166" fontId="74" fillId="48" borderId="43" xfId="0" applyNumberFormat="1" applyFont="1" applyFill="1" applyBorder="1" applyAlignment="1">
      <alignment horizontal="right" vertical="center"/>
    </xf>
    <xf numFmtId="0" fontId="104" fillId="34" borderId="45" xfId="0" applyFont="1" applyFill="1" applyBorder="1" applyAlignment="1">
      <alignment horizontal="center" vertical="center" wrapText="1"/>
    </xf>
    <xf numFmtId="3" fontId="72" fillId="38" borderId="47" xfId="0" applyNumberFormat="1" applyFont="1" applyFill="1" applyBorder="1" applyAlignment="1">
      <alignment horizontal="right" vertical="center"/>
    </xf>
    <xf numFmtId="3" fontId="72" fillId="38" borderId="48" xfId="0" applyNumberFormat="1" applyFont="1" applyFill="1" applyBorder="1" applyAlignment="1">
      <alignment horizontal="right" vertical="center"/>
    </xf>
    <xf numFmtId="0" fontId="105" fillId="47" borderId="49" xfId="0" applyFont="1" applyFill="1" applyBorder="1" applyAlignment="1">
      <alignment horizontal="left"/>
    </xf>
    <xf numFmtId="3" fontId="74" fillId="48" borderId="50" xfId="0" applyNumberFormat="1" applyFont="1" applyFill="1" applyBorder="1" applyAlignment="1">
      <alignment horizontal="right" vertical="center"/>
    </xf>
    <xf numFmtId="0" fontId="105" fillId="47" borderId="51" xfId="0" applyFont="1" applyFill="1" applyBorder="1" applyAlignment="1">
      <alignment horizontal="left"/>
    </xf>
    <xf numFmtId="164" fontId="96" fillId="39" borderId="49" xfId="0" applyNumberFormat="1" applyFont="1" applyFill="1" applyBorder="1" applyAlignment="1">
      <alignment horizontal="right"/>
    </xf>
    <xf numFmtId="164" fontId="74" fillId="48" borderId="49" xfId="0" applyNumberFormat="1" applyFont="1" applyFill="1" applyBorder="1" applyAlignment="1">
      <alignment horizontal="right"/>
    </xf>
    <xf numFmtId="164" fontId="73" fillId="34" borderId="52" xfId="0" applyNumberFormat="1" applyFont="1" applyFill="1" applyBorder="1" applyAlignment="1">
      <alignment horizontal="right"/>
    </xf>
    <xf numFmtId="0" fontId="104" fillId="34" borderId="54" xfId="0" applyFont="1" applyFill="1" applyBorder="1" applyAlignment="1">
      <alignment horizontal="center" vertical="center" wrapText="1"/>
    </xf>
    <xf numFmtId="178" fontId="72" fillId="38" borderId="55" xfId="0" applyNumberFormat="1" applyFont="1" applyFill="1" applyBorder="1" applyAlignment="1">
      <alignment horizontal="right" vertical="center"/>
    </xf>
    <xf numFmtId="178" fontId="72" fillId="38" borderId="56" xfId="0" applyNumberFormat="1" applyFont="1" applyFill="1" applyBorder="1" applyAlignment="1">
      <alignment horizontal="right" vertical="center"/>
    </xf>
    <xf numFmtId="178" fontId="74" fillId="48" borderId="57" xfId="0" applyNumberFormat="1" applyFont="1" applyFill="1" applyBorder="1" applyAlignment="1">
      <alignment horizontal="right" vertical="center"/>
    </xf>
    <xf numFmtId="194" fontId="72" fillId="38" borderId="27" xfId="0" applyNumberFormat="1" applyFont="1" applyFill="1" applyBorder="1" applyAlignment="1">
      <alignment horizontal="right"/>
    </xf>
    <xf numFmtId="171" fontId="105" fillId="47" borderId="27" xfId="0" applyNumberFormat="1" applyFont="1" applyFill="1" applyBorder="1" applyAlignment="1">
      <alignment horizontal="left"/>
    </xf>
    <xf numFmtId="194" fontId="74" fillId="48" borderId="27" xfId="0" applyNumberFormat="1" applyFont="1" applyFill="1" applyBorder="1" applyAlignment="1">
      <alignment horizontal="right"/>
    </xf>
    <xf numFmtId="194" fontId="73" fillId="34" borderId="37" xfId="0" applyNumberFormat="1" applyFont="1" applyFill="1" applyBorder="1" applyAlignment="1">
      <alignment horizontal="right"/>
    </xf>
    <xf numFmtId="178" fontId="72" fillId="38" borderId="39" xfId="0" applyNumberFormat="1" applyFont="1" applyFill="1" applyBorder="1" applyAlignment="1">
      <alignment horizontal="right" vertical="center"/>
    </xf>
    <xf numFmtId="178" fontId="72" fillId="38" borderId="40" xfId="0" applyNumberFormat="1" applyFont="1" applyFill="1" applyBorder="1" applyAlignment="1">
      <alignment horizontal="right" vertical="center"/>
    </xf>
    <xf numFmtId="178" fontId="74" fillId="48" borderId="41" xfId="0" applyNumberFormat="1" applyFont="1" applyFill="1" applyBorder="1" applyAlignment="1">
      <alignment horizontal="right" vertical="center"/>
    </xf>
    <xf numFmtId="0" fontId="104" fillId="34" borderId="59" xfId="0" applyFont="1" applyFill="1" applyBorder="1" applyAlignment="1">
      <alignment horizontal="center" vertical="center" wrapText="1"/>
    </xf>
    <xf numFmtId="0" fontId="73" fillId="46" borderId="64" xfId="0" applyFont="1" applyFill="1" applyBorder="1" applyAlignment="1">
      <alignment horizontal="left"/>
    </xf>
    <xf numFmtId="0" fontId="105" fillId="47" borderId="65" xfId="0" applyFont="1" applyFill="1" applyBorder="1" applyAlignment="1">
      <alignment horizontal="left"/>
    </xf>
    <xf numFmtId="0" fontId="72" fillId="38" borderId="62" xfId="0" applyFont="1" applyFill="1" applyBorder="1"/>
    <xf numFmtId="0" fontId="105" fillId="47" borderId="62" xfId="0" applyFont="1" applyFill="1" applyBorder="1" applyAlignment="1">
      <alignment horizontal="left"/>
    </xf>
    <xf numFmtId="0" fontId="74" fillId="48" borderId="62" xfId="0" applyFont="1" applyFill="1" applyBorder="1"/>
    <xf numFmtId="0" fontId="73" fillId="34" borderId="66" xfId="0" applyFont="1" applyFill="1" applyBorder="1"/>
    <xf numFmtId="0" fontId="72" fillId="35" borderId="0" xfId="0" applyFont="1" applyFill="1"/>
    <xf numFmtId="0" fontId="73" fillId="46" borderId="9" xfId="0" applyFont="1" applyFill="1" applyBorder="1" applyAlignment="1">
      <alignment horizontal="left"/>
    </xf>
    <xf numFmtId="0" fontId="73" fillId="46" borderId="67" xfId="0" applyFont="1" applyFill="1" applyBorder="1" applyAlignment="1">
      <alignment horizontal="left"/>
    </xf>
    <xf numFmtId="0" fontId="0" fillId="0" borderId="13" xfId="0" applyBorder="1"/>
    <xf numFmtId="0" fontId="73" fillId="46" borderId="15" xfId="0" applyFont="1" applyFill="1" applyBorder="1" applyAlignment="1">
      <alignment horizontal="left"/>
    </xf>
    <xf numFmtId="0" fontId="0" fillId="0" borderId="16" xfId="0" applyBorder="1"/>
    <xf numFmtId="0" fontId="74" fillId="35" borderId="68" xfId="0" applyFont="1" applyFill="1" applyBorder="1" applyAlignment="1">
      <alignment horizontal="left"/>
    </xf>
    <xf numFmtId="0" fontId="72" fillId="35" borderId="22" xfId="0" applyFont="1" applyFill="1" applyBorder="1"/>
    <xf numFmtId="0" fontId="74" fillId="38" borderId="34" xfId="0" applyFont="1" applyFill="1" applyBorder="1" applyAlignment="1">
      <alignment horizontal="left"/>
    </xf>
    <xf numFmtId="0" fontId="106" fillId="38" borderId="26" xfId="0" applyFont="1" applyFill="1" applyBorder="1" applyAlignment="1">
      <alignment horizontal="left"/>
    </xf>
    <xf numFmtId="0" fontId="74" fillId="35" borderId="34" xfId="0" applyFont="1" applyFill="1" applyBorder="1" applyAlignment="1">
      <alignment horizontal="left"/>
    </xf>
    <xf numFmtId="0" fontId="72" fillId="35" borderId="26" xfId="0" applyFont="1" applyFill="1" applyBorder="1"/>
    <xf numFmtId="0" fontId="106" fillId="35" borderId="26" xfId="0" applyFont="1" applyFill="1" applyBorder="1" applyAlignment="1">
      <alignment horizontal="left"/>
    </xf>
    <xf numFmtId="0" fontId="73" fillId="46" borderId="69" xfId="0" applyFont="1" applyFill="1" applyBorder="1" applyAlignment="1">
      <alignment horizontal="left"/>
    </xf>
    <xf numFmtId="0" fontId="77" fillId="34" borderId="4" xfId="0" applyFont="1" applyFill="1" applyBorder="1" applyAlignment="1">
      <alignment horizontal="center"/>
    </xf>
    <xf numFmtId="186" fontId="74" fillId="35" borderId="70" xfId="0" applyNumberFormat="1" applyFont="1" applyFill="1" applyBorder="1" applyAlignment="1">
      <alignment horizontal="right"/>
    </xf>
    <xf numFmtId="186" fontId="74" fillId="38" borderId="28" xfId="0" applyNumberFormat="1" applyFont="1" applyFill="1" applyBorder="1" applyAlignment="1">
      <alignment horizontal="right"/>
    </xf>
    <xf numFmtId="186" fontId="72" fillId="35" borderId="28" xfId="0" applyNumberFormat="1" applyFont="1" applyFill="1" applyBorder="1" applyAlignment="1">
      <alignment horizontal="right"/>
    </xf>
    <xf numFmtId="166" fontId="74" fillId="38" borderId="42" xfId="0" applyNumberFormat="1" applyFont="1" applyFill="1" applyBorder="1" applyAlignment="1">
      <alignment horizontal="right" vertical="center"/>
    </xf>
    <xf numFmtId="166" fontId="74" fillId="38" borderId="28" xfId="0" applyNumberFormat="1" applyFont="1" applyFill="1" applyBorder="1" applyAlignment="1">
      <alignment horizontal="right" vertical="center"/>
    </xf>
    <xf numFmtId="0" fontId="74" fillId="39" borderId="35" xfId="0" applyFont="1" applyFill="1" applyBorder="1" applyAlignment="1">
      <alignment horizontal="left"/>
    </xf>
    <xf numFmtId="0" fontId="74" fillId="39" borderId="36" xfId="0" applyFont="1" applyFill="1" applyBorder="1"/>
    <xf numFmtId="186" fontId="74" fillId="39" borderId="71" xfId="0" applyNumberFormat="1" applyFont="1" applyFill="1" applyBorder="1" applyAlignment="1">
      <alignment horizontal="right"/>
    </xf>
    <xf numFmtId="0" fontId="107" fillId="39" borderId="36" xfId="0" applyFont="1" applyFill="1" applyBorder="1" applyAlignment="1">
      <alignment horizontal="left"/>
    </xf>
    <xf numFmtId="0" fontId="79" fillId="35" borderId="23" xfId="0" applyFont="1" applyFill="1" applyBorder="1" applyAlignment="1">
      <alignment horizontal="left" wrapText="1"/>
    </xf>
    <xf numFmtId="0" fontId="79" fillId="38" borderId="27" xfId="0" applyFont="1" applyFill="1" applyBorder="1" applyAlignment="1">
      <alignment horizontal="left" wrapText="1"/>
    </xf>
    <xf numFmtId="0" fontId="79" fillId="35" borderId="27" xfId="0" applyFont="1" applyFill="1" applyBorder="1" applyAlignment="1">
      <alignment horizontal="left" wrapText="1"/>
    </xf>
    <xf numFmtId="0" fontId="78" fillId="39" borderId="37" xfId="0" applyFont="1" applyFill="1" applyBorder="1" applyAlignment="1">
      <alignment horizontal="left" wrapText="1"/>
    </xf>
    <xf numFmtId="0" fontId="79" fillId="38" borderId="61" xfId="0" applyFont="1" applyFill="1" applyBorder="1" applyAlignment="1">
      <alignment horizontal="left" vertical="center" wrapText="1"/>
    </xf>
    <xf numFmtId="0" fontId="79" fillId="38" borderId="62" xfId="0" applyFont="1" applyFill="1" applyBorder="1" applyAlignment="1">
      <alignment horizontal="left" vertical="center" wrapText="1"/>
    </xf>
    <xf numFmtId="0" fontId="74" fillId="48" borderId="63" xfId="0" applyFont="1" applyFill="1" applyBorder="1" applyAlignment="1">
      <alignment horizontal="right" vertical="center" wrapText="1"/>
    </xf>
    <xf numFmtId="0" fontId="92" fillId="0" borderId="0" xfId="3"/>
    <xf numFmtId="166" fontId="10" fillId="4" borderId="1" xfId="0" applyNumberFormat="1" applyFont="1" applyFill="1" applyBorder="1" applyAlignment="1">
      <alignment horizontal="right" vertical="center"/>
    </xf>
    <xf numFmtId="186" fontId="72" fillId="38" borderId="0" xfId="1" applyNumberFormat="1" applyFont="1" applyFill="1" applyAlignment="1">
      <alignment horizontal="right"/>
    </xf>
    <xf numFmtId="0" fontId="72" fillId="0" borderId="0" xfId="0" applyFont="1"/>
    <xf numFmtId="0" fontId="72" fillId="0" borderId="0" xfId="0" applyFont="1" applyAlignment="1">
      <alignment horizontal="left" vertical="center" indent="1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/>
    </xf>
    <xf numFmtId="0" fontId="72" fillId="35" borderId="0" xfId="0" applyFont="1" applyFill="1" applyAlignment="1">
      <alignment horizontal="left" vertical="center"/>
    </xf>
    <xf numFmtId="186" fontId="72" fillId="35" borderId="0" xfId="1" applyNumberFormat="1" applyFont="1" applyFill="1" applyAlignment="1">
      <alignment horizontal="right"/>
    </xf>
    <xf numFmtId="186" fontId="72" fillId="35" borderId="0" xfId="0" applyNumberFormat="1" applyFont="1" applyFill="1" applyAlignment="1">
      <alignment horizontal="right" vertical="center"/>
    </xf>
    <xf numFmtId="166" fontId="72" fillId="38" borderId="0" xfId="0" applyNumberFormat="1" applyFont="1" applyFill="1" applyAlignment="1">
      <alignment horizontal="left" vertical="center"/>
    </xf>
    <xf numFmtId="170" fontId="72" fillId="38" borderId="0" xfId="0" applyNumberFormat="1" applyFont="1" applyFill="1" applyAlignment="1">
      <alignment horizontal="right" vertical="center"/>
    </xf>
    <xf numFmtId="170" fontId="72" fillId="35" borderId="0" xfId="0" applyNumberFormat="1" applyFont="1" applyFill="1" applyAlignment="1">
      <alignment horizontal="center" vertical="center"/>
    </xf>
    <xf numFmtId="170" fontId="72" fillId="38" borderId="0" xfId="0" applyNumberFormat="1" applyFont="1" applyFill="1" applyAlignment="1">
      <alignment horizontal="center" vertical="center"/>
    </xf>
    <xf numFmtId="1" fontId="96" fillId="38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right" vertical="center"/>
    </xf>
    <xf numFmtId="10" fontId="96" fillId="35" borderId="0" xfId="0" applyNumberFormat="1" applyFont="1" applyFill="1" applyAlignment="1">
      <alignment horizontal="right" vertical="center"/>
    </xf>
    <xf numFmtId="1" fontId="96" fillId="35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center" vertical="center"/>
    </xf>
    <xf numFmtId="0" fontId="74" fillId="37" borderId="0" xfId="0" applyFont="1" applyFill="1" applyAlignment="1">
      <alignment horizontal="left" vertical="center"/>
    </xf>
    <xf numFmtId="186" fontId="74" fillId="37" borderId="0" xfId="0" applyNumberFormat="1" applyFont="1" applyFill="1" applyAlignment="1">
      <alignment horizontal="right" vertical="center"/>
    </xf>
    <xf numFmtId="186" fontId="74" fillId="37" borderId="0" xfId="1" applyNumberFormat="1" applyFont="1" applyFill="1" applyAlignment="1">
      <alignment horizontal="right"/>
    </xf>
    <xf numFmtId="0" fontId="73" fillId="34" borderId="0" xfId="0" applyFont="1" applyFill="1" applyAlignment="1">
      <alignment horizontal="left" vertical="center" indent="1"/>
    </xf>
    <xf numFmtId="186" fontId="73" fillId="34" borderId="0" xfId="0" applyNumberFormat="1" applyFont="1" applyFill="1" applyAlignment="1">
      <alignment horizontal="right" vertical="center"/>
    </xf>
    <xf numFmtId="164" fontId="72" fillId="38" borderId="0" xfId="0" applyNumberFormat="1" applyFont="1" applyFill="1" applyAlignment="1">
      <alignment horizontal="left" vertical="center"/>
    </xf>
    <xf numFmtId="186" fontId="72" fillId="38" borderId="0" xfId="0" applyNumberFormat="1" applyFont="1" applyFill="1" applyAlignment="1">
      <alignment horizontal="right" vertical="center"/>
    </xf>
    <xf numFmtId="166" fontId="72" fillId="35" borderId="0" xfId="0" applyNumberFormat="1" applyFont="1" applyFill="1" applyAlignment="1">
      <alignment horizontal="left" vertical="center"/>
    </xf>
    <xf numFmtId="165" fontId="72" fillId="38" borderId="0" xfId="0" applyNumberFormat="1" applyFont="1" applyFill="1" applyAlignment="1">
      <alignment horizontal="left" vertical="center"/>
    </xf>
    <xf numFmtId="170" fontId="72" fillId="35" borderId="0" xfId="0" applyNumberFormat="1" applyFont="1" applyFill="1" applyAlignment="1">
      <alignment horizontal="center"/>
    </xf>
    <xf numFmtId="10" fontId="96" fillId="35" borderId="0" xfId="0" applyNumberFormat="1" applyFont="1" applyFill="1" applyAlignment="1">
      <alignment horizontal="center" vertical="center"/>
    </xf>
    <xf numFmtId="10" fontId="75" fillId="35" borderId="0" xfId="0" applyNumberFormat="1" applyFont="1" applyFill="1" applyAlignment="1">
      <alignment horizontal="right" vertical="center"/>
    </xf>
    <xf numFmtId="165" fontId="74" fillId="37" borderId="0" xfId="0" applyNumberFormat="1" applyFont="1" applyFill="1" applyAlignment="1">
      <alignment horizontal="left" vertical="center"/>
    </xf>
    <xf numFmtId="166" fontId="74" fillId="37" borderId="0" xfId="0" applyNumberFormat="1" applyFont="1" applyFill="1" applyAlignment="1">
      <alignment horizontal="left" vertical="center"/>
    </xf>
    <xf numFmtId="0" fontId="73" fillId="42" borderId="0" xfId="0" applyFont="1" applyFill="1"/>
    <xf numFmtId="186" fontId="73" fillId="42" borderId="0" xfId="0" applyNumberFormat="1" applyFont="1" applyFill="1" applyAlignment="1">
      <alignment horizontal="right" vertical="center"/>
    </xf>
    <xf numFmtId="170" fontId="74" fillId="38" borderId="0" xfId="0" applyNumberFormat="1" applyFont="1" applyFill="1" applyAlignment="1">
      <alignment horizontal="right" vertical="center"/>
    </xf>
    <xf numFmtId="170" fontId="74" fillId="37" borderId="0" xfId="0" applyNumberFormat="1" applyFont="1" applyFill="1" applyAlignment="1">
      <alignment horizontal="right" vertical="center"/>
    </xf>
    <xf numFmtId="166" fontId="73" fillId="34" borderId="0" xfId="0" applyNumberFormat="1" applyFont="1" applyFill="1" applyAlignment="1">
      <alignment horizontal="left" vertical="center"/>
    </xf>
    <xf numFmtId="166" fontId="74" fillId="38" borderId="0" xfId="0" applyNumberFormat="1" applyFont="1" applyFill="1" applyAlignment="1">
      <alignment horizontal="right" vertical="center"/>
    </xf>
    <xf numFmtId="166" fontId="74" fillId="37" borderId="0" xfId="0" applyNumberFormat="1" applyFont="1" applyFill="1" applyAlignment="1">
      <alignment horizontal="right" vertical="center"/>
    </xf>
    <xf numFmtId="0" fontId="102" fillId="46" borderId="0" xfId="0" applyFont="1" applyFill="1" applyAlignment="1">
      <alignment horizontal="left" vertical="center"/>
    </xf>
    <xf numFmtId="0" fontId="102" fillId="46" borderId="0" xfId="0" applyFont="1" applyFill="1" applyAlignment="1">
      <alignment horizontal="left"/>
    </xf>
    <xf numFmtId="0" fontId="0" fillId="0" borderId="0" xfId="0"/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63" fillId="38" borderId="0" xfId="0" applyFont="1" applyFill="1" applyAlignment="1">
      <alignment horizontal="left" vertical="center" wrapText="1"/>
    </xf>
    <xf numFmtId="0" fontId="103" fillId="38" borderId="0" xfId="0" applyFont="1" applyFill="1" applyAlignment="1">
      <alignment wrapText="1"/>
    </xf>
    <xf numFmtId="0" fontId="53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63" fillId="0" borderId="0" xfId="0" applyFont="1" applyAlignment="1">
      <alignment horizontal="right"/>
    </xf>
    <xf numFmtId="0" fontId="3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right" vertical="center"/>
    </xf>
    <xf numFmtId="0" fontId="3" fillId="6" borderId="0" xfId="0" applyFont="1" applyFill="1" applyAlignment="1">
      <alignment horizontal="left" vertical="center" indent="1"/>
    </xf>
    <xf numFmtId="0" fontId="16" fillId="10" borderId="0" xfId="0" applyFont="1" applyFill="1" applyAlignment="1">
      <alignment horizontal="left" vertical="center"/>
    </xf>
    <xf numFmtId="166" fontId="16" fillId="10" borderId="0" xfId="0" applyNumberFormat="1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 indent="1"/>
    </xf>
    <xf numFmtId="170" fontId="16" fillId="10" borderId="0" xfId="0" applyNumberFormat="1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 indent="1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67" fillId="24" borderId="0" xfId="0" applyFont="1" applyFill="1" applyAlignment="1">
      <alignment horizontal="left" vertical="center"/>
    </xf>
    <xf numFmtId="0" fontId="3" fillId="13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165" fontId="4" fillId="8" borderId="0" xfId="0" applyNumberFormat="1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0" fontId="77" fillId="42" borderId="0" xfId="0" applyFont="1" applyFill="1"/>
    <xf numFmtId="0" fontId="54" fillId="25" borderId="0" xfId="0" applyFont="1" applyFill="1" applyAlignment="1">
      <alignment horizontal="left" vertical="center"/>
    </xf>
    <xf numFmtId="0" fontId="54" fillId="26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2" fillId="24" borderId="0" xfId="0" applyFont="1" applyFill="1" applyAlignment="1">
      <alignment horizontal="left" vertical="center"/>
    </xf>
    <xf numFmtId="0" fontId="62" fillId="24" borderId="0" xfId="0" applyFont="1" applyFill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5" fillId="7" borderId="0" xfId="0" applyFont="1" applyFill="1" applyAlignment="1">
      <alignment horizontal="left" vertical="center" indent="2"/>
    </xf>
    <xf numFmtId="0" fontId="34" fillId="8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5" fillId="17" borderId="0" xfId="0" applyFont="1" applyFill="1" applyAlignment="1">
      <alignment horizontal="left" vertical="center" indent="1"/>
    </xf>
    <xf numFmtId="0" fontId="104" fillId="34" borderId="7" xfId="0" applyFont="1" applyFill="1" applyBorder="1" applyAlignment="1">
      <alignment horizontal="center" vertical="center" wrapText="1"/>
    </xf>
    <xf numFmtId="0" fontId="104" fillId="34" borderId="6" xfId="0" applyFont="1" applyFill="1" applyBorder="1" applyAlignment="1">
      <alignment horizontal="center" vertical="center" wrapText="1"/>
    </xf>
    <xf numFmtId="0" fontId="104" fillId="34" borderId="18" xfId="0" applyFont="1" applyFill="1" applyBorder="1" applyAlignment="1">
      <alignment horizontal="center" vertical="center" wrapText="1"/>
    </xf>
    <xf numFmtId="0" fontId="105" fillId="47" borderId="24" xfId="0" applyFont="1" applyFill="1" applyBorder="1" applyAlignment="1">
      <alignment horizontal="left" vertical="center" indent="1"/>
    </xf>
    <xf numFmtId="0" fontId="105" fillId="47" borderId="26" xfId="0" applyFont="1" applyFill="1" applyBorder="1" applyAlignment="1">
      <alignment horizontal="left"/>
    </xf>
    <xf numFmtId="0" fontId="105" fillId="47" borderId="49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105" fillId="47" borderId="62" xfId="0" applyFont="1" applyFill="1" applyBorder="1" applyAlignment="1">
      <alignment horizontal="left" wrapText="1"/>
    </xf>
    <xf numFmtId="0" fontId="105" fillId="47" borderId="17" xfId="0" applyFont="1" applyFill="1" applyBorder="1" applyAlignment="1">
      <alignment horizontal="left" vertical="center" indent="1"/>
    </xf>
    <xf numFmtId="0" fontId="105" fillId="47" borderId="3" xfId="0" applyFont="1" applyFill="1" applyBorder="1" applyAlignment="1">
      <alignment horizontal="left"/>
    </xf>
    <xf numFmtId="0" fontId="105" fillId="47" borderId="46" xfId="0" applyFont="1" applyFill="1" applyBorder="1" applyAlignment="1">
      <alignment horizontal="left"/>
    </xf>
    <xf numFmtId="0" fontId="105" fillId="47" borderId="19" xfId="0" applyFont="1" applyFill="1" applyBorder="1" applyAlignment="1">
      <alignment horizontal="left"/>
    </xf>
    <xf numFmtId="0" fontId="105" fillId="47" borderId="60" xfId="0" applyFont="1" applyFill="1" applyBorder="1" applyAlignment="1">
      <alignment horizontal="left"/>
    </xf>
    <xf numFmtId="0" fontId="73" fillId="46" borderId="10" xfId="0" applyFont="1" applyFill="1" applyBorder="1" applyAlignment="1">
      <alignment horizontal="left" vertical="center" indent="1"/>
    </xf>
    <xf numFmtId="0" fontId="73" fillId="46" borderId="8" xfId="0" applyFont="1" applyFill="1" applyBorder="1" applyAlignment="1">
      <alignment horizontal="left" vertical="center"/>
    </xf>
    <xf numFmtId="0" fontId="73" fillId="46" borderId="44" xfId="0" applyFont="1" applyFill="1" applyBorder="1" applyAlignment="1">
      <alignment horizontal="left" vertical="center"/>
    </xf>
    <xf numFmtId="0" fontId="73" fillId="46" borderId="53" xfId="0" applyFont="1" applyFill="1" applyBorder="1" applyAlignment="1">
      <alignment horizontal="left" vertical="center"/>
    </xf>
    <xf numFmtId="0" fontId="73" fillId="46" borderId="58" xfId="0" applyFont="1" applyFill="1" applyBorder="1" applyAlignment="1">
      <alignment horizontal="left" vertical="center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 indent="1"/>
    </xf>
    <xf numFmtId="0" fontId="72" fillId="38" borderId="0" xfId="0" applyFont="1" applyFill="1"/>
    <xf numFmtId="0" fontId="73" fillId="34" borderId="0" xfId="0" applyFont="1" applyFill="1" applyAlignment="1">
      <alignment horizontal="left" vertical="center" indent="1"/>
    </xf>
    <xf numFmtId="0" fontId="72" fillId="35" borderId="0" xfId="0" applyFont="1" applyFill="1" applyAlignment="1">
      <alignment horizontal="left" vertical="center" indent="1"/>
    </xf>
    <xf numFmtId="0" fontId="72" fillId="35" borderId="0" xfId="0" applyFont="1" applyFill="1"/>
    <xf numFmtId="0" fontId="74" fillId="37" borderId="0" xfId="0" applyFont="1" applyFill="1" applyAlignment="1">
      <alignment horizontal="left" vertical="center" indent="1"/>
    </xf>
    <xf numFmtId="0" fontId="74" fillId="37" borderId="0" xfId="0" applyFont="1" applyFill="1"/>
    <xf numFmtId="0" fontId="73" fillId="42" borderId="0" xfId="0" applyFont="1" applyFill="1" applyAlignment="1">
      <alignment horizontal="left" vertical="center" indent="1"/>
    </xf>
    <xf numFmtId="0" fontId="73" fillId="42" borderId="0" xfId="0" applyFont="1" applyFill="1"/>
    <xf numFmtId="0" fontId="73" fillId="34" borderId="0" xfId="0" applyFont="1" applyFill="1"/>
    <xf numFmtId="0" fontId="6" fillId="4" borderId="0" xfId="0" applyFont="1" applyFill="1" applyAlignment="1">
      <alignment horizontal="left" vertical="center" indent="2"/>
    </xf>
    <xf numFmtId="0" fontId="20" fillId="15" borderId="0" xfId="0" applyFont="1" applyFill="1" applyAlignment="1">
      <alignment horizontal="left" vertical="center" indent="1"/>
    </xf>
    <xf numFmtId="0" fontId="13" fillId="5" borderId="0" xfId="0" applyFont="1" applyFill="1" applyAlignment="1">
      <alignment horizontal="left" vertical="center" indent="1"/>
    </xf>
    <xf numFmtId="0" fontId="13" fillId="0" borderId="0" xfId="0" applyFont="1"/>
    <xf numFmtId="0" fontId="41" fillId="15" borderId="0" xfId="0" applyFont="1" applyFill="1" applyAlignment="1">
      <alignment horizontal="left" vertical="center"/>
    </xf>
    <xf numFmtId="0" fontId="37" fillId="7" borderId="1" xfId="0" applyFont="1" applyFill="1" applyBorder="1" applyAlignment="1">
      <alignment horizontal="left" vertical="center" indent="1"/>
    </xf>
    <xf numFmtId="0" fontId="0" fillId="0" borderId="6" xfId="0" applyBorder="1"/>
    <xf numFmtId="0" fontId="0" fillId="0" borderId="7" xfId="0" applyBorder="1"/>
    <xf numFmtId="0" fontId="13" fillId="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indent="1"/>
    </xf>
    <xf numFmtId="0" fontId="44" fillId="2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left" vertical="center"/>
    </xf>
    <xf numFmtId="0" fontId="41" fillId="2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8795C-7C36-43B9-812C-EC1291EC8109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4c467f54-c771-4074-b010-8eeee6ddc85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showGridLines="0" topLeftCell="A2" zoomScale="115" zoomScaleNormal="115" workbookViewId="0">
      <selection activeCell="B15" sqref="B15"/>
    </sheetView>
  </sheetViews>
  <sheetFormatPr defaultColWidth="8.85546875" defaultRowHeight="15" x14ac:dyDescent="0.25"/>
  <cols>
    <col min="1" max="1" width="30" customWidth="1"/>
    <col min="2" max="5" width="14" customWidth="1"/>
    <col min="6" max="6" width="30" customWidth="1"/>
  </cols>
  <sheetData>
    <row r="1" spans="1:6" ht="39.75" customHeight="1" x14ac:dyDescent="0.25">
      <c r="A1" s="825" t="s">
        <v>235</v>
      </c>
      <c r="B1" s="817"/>
      <c r="C1" s="817"/>
      <c r="D1" s="817"/>
      <c r="E1" s="826"/>
      <c r="F1" s="826"/>
    </row>
    <row r="2" spans="1:6" ht="19.5" customHeight="1" x14ac:dyDescent="0.25">
      <c r="A2" s="828" t="s">
        <v>236</v>
      </c>
      <c r="B2" s="817"/>
      <c r="C2" s="817"/>
      <c r="D2" s="817"/>
      <c r="E2" s="817"/>
      <c r="F2" s="817"/>
    </row>
    <row r="4" spans="1:6" ht="24" customHeight="1" x14ac:dyDescent="0.25">
      <c r="A4" s="827" t="s">
        <v>237</v>
      </c>
      <c r="B4" s="817"/>
      <c r="C4" s="817"/>
      <c r="D4" s="817"/>
      <c r="E4" s="817"/>
      <c r="F4" s="817"/>
    </row>
    <row r="5" spans="1:6" ht="18" customHeight="1" x14ac:dyDescent="0.25">
      <c r="A5" s="8" t="s">
        <v>238</v>
      </c>
      <c r="B5" s="9">
        <f>'Prop Info'!B4</f>
        <v>0</v>
      </c>
    </row>
    <row r="6" spans="1:6" ht="18" customHeight="1" x14ac:dyDescent="0.25">
      <c r="A6" s="10" t="s">
        <v>239</v>
      </c>
      <c r="B6" s="11">
        <f>'Prop Info'!B5</f>
        <v>0</v>
      </c>
    </row>
    <row r="7" spans="1:6" ht="18" customHeight="1" x14ac:dyDescent="0.25">
      <c r="A7" s="8" t="s">
        <v>240</v>
      </c>
      <c r="B7" s="9">
        <f>'Prop Info'!B9</f>
        <v>0</v>
      </c>
    </row>
    <row r="8" spans="1:6" ht="18" customHeight="1" x14ac:dyDescent="0.25">
      <c r="A8" s="12" t="s">
        <v>241</v>
      </c>
      <c r="B8" s="13">
        <f>Scenarios!F8</f>
        <v>0</v>
      </c>
      <c r="C8" s="14">
        <f>IFERROR('Prop Info'!$B$15,0)</f>
        <v>0</v>
      </c>
    </row>
    <row r="9" spans="1:6" ht="18" customHeight="1" x14ac:dyDescent="0.25">
      <c r="A9" s="8" t="s">
        <v>242</v>
      </c>
      <c r="B9" s="9">
        <f>'Prop Info'!B11</f>
        <v>0</v>
      </c>
    </row>
    <row r="10" spans="1:6" ht="18" customHeight="1" x14ac:dyDescent="0.25">
      <c r="A10" s="10" t="s">
        <v>243</v>
      </c>
      <c r="B10" s="11">
        <f>'Prop Info'!B13</f>
        <v>0</v>
      </c>
    </row>
    <row r="11" spans="1:6" ht="18" customHeight="1" x14ac:dyDescent="0.25">
      <c r="A11" s="8" t="s">
        <v>244</v>
      </c>
      <c r="B11" s="829" t="str">
        <f>Scenarios!B2</f>
        <v>Actuals (T-12)</v>
      </c>
      <c r="C11" s="817"/>
      <c r="D11" s="817"/>
    </row>
    <row r="12" spans="1:6" ht="18" customHeight="1" x14ac:dyDescent="0.25">
      <c r="A12" s="15" t="s">
        <v>245</v>
      </c>
      <c r="B12" s="16">
        <f>IFERROR('Prop Info'!$B$15,0)</f>
        <v>0</v>
      </c>
      <c r="C12" s="17" t="s">
        <v>246</v>
      </c>
      <c r="D12" s="16">
        <f>IFERROR(Scenarios!F51,0)</f>
        <v>0</v>
      </c>
      <c r="E12" s="18">
        <f>IFERROR(Scenarios!F51/'Prop Info'!$B$15,0)</f>
        <v>0</v>
      </c>
    </row>
    <row r="13" spans="1:6" ht="24" customHeight="1" x14ac:dyDescent="0.25">
      <c r="A13" s="830" t="s">
        <v>247</v>
      </c>
      <c r="B13" s="817"/>
      <c r="C13" s="817"/>
      <c r="D13" s="817"/>
      <c r="E13" s="817"/>
      <c r="F13" s="817"/>
    </row>
    <row r="14" spans="1:6" ht="30" customHeight="1" x14ac:dyDescent="0.25">
      <c r="A14" s="19" t="s">
        <v>41</v>
      </c>
      <c r="B14" s="19" t="s">
        <v>202</v>
      </c>
      <c r="C14" s="20" t="s">
        <v>248</v>
      </c>
      <c r="D14" s="19" t="s">
        <v>249</v>
      </c>
      <c r="E14" s="19" t="s">
        <v>202</v>
      </c>
      <c r="F14" s="19"/>
    </row>
    <row r="15" spans="1:6" ht="18" customHeight="1" x14ac:dyDescent="0.25">
      <c r="A15" s="8" t="s">
        <v>250</v>
      </c>
      <c r="B15" s="21">
        <f>Scenarios!F7</f>
        <v>0</v>
      </c>
      <c r="D15" s="8" t="s">
        <v>251</v>
      </c>
      <c r="E15" s="22">
        <f>Waterfall!B69</f>
        <v>0</v>
      </c>
    </row>
    <row r="16" spans="1:6" ht="18" customHeight="1" x14ac:dyDescent="0.25">
      <c r="A16" s="12" t="s">
        <v>252</v>
      </c>
      <c r="B16" s="23" t="e">
        <f>Scenarios!F9</f>
        <v>#DIV/0!</v>
      </c>
      <c r="C16" s="24">
        <f>IFERROR(Scenarios!F7/'Prop Info'!$B$15,0)</f>
        <v>0</v>
      </c>
      <c r="D16" s="10" t="s">
        <v>253</v>
      </c>
      <c r="E16" s="22">
        <f>Waterfall!E66</f>
        <v>0</v>
      </c>
    </row>
    <row r="17" spans="1:6" ht="18" customHeight="1" x14ac:dyDescent="0.25">
      <c r="A17" s="8" t="s">
        <v>254</v>
      </c>
      <c r="B17" s="21" t="e">
        <f>Scenarios!F17</f>
        <v>#VALUE!</v>
      </c>
      <c r="D17" s="8" t="s">
        <v>255</v>
      </c>
      <c r="E17" s="25">
        <f>IFERROR(Waterfall!B67,0)</f>
        <v>0</v>
      </c>
    </row>
    <row r="18" spans="1:6" ht="18" customHeight="1" x14ac:dyDescent="0.25">
      <c r="A18" s="10" t="s">
        <v>256</v>
      </c>
      <c r="B18" s="23">
        <f>Loans!E4</f>
        <v>0</v>
      </c>
      <c r="D18" s="26" t="s">
        <v>257</v>
      </c>
      <c r="E18" s="27">
        <f>'P&amp;L'!D126</f>
        <v>0</v>
      </c>
    </row>
    <row r="19" spans="1:6" ht="18" customHeight="1" x14ac:dyDescent="0.25">
      <c r="A19" s="8" t="s">
        <v>258</v>
      </c>
      <c r="B19" s="28">
        <f>IFERROR(Scenarios!F144/Scenarios!F7,0)</f>
        <v>0</v>
      </c>
      <c r="D19" s="8" t="s">
        <v>259</v>
      </c>
      <c r="E19" s="29">
        <f>IFERROR(INDEX('P&amp;L'!D115:M116,1,Scenarios!F80),0)+IFERROR(INDEX('P&amp;L'!D112:M113,1,Scenarios!F80),0)</f>
        <v>0</v>
      </c>
    </row>
    <row r="20" spans="1:6" ht="18" customHeight="1" x14ac:dyDescent="0.25">
      <c r="A20" s="10" t="s">
        <v>260</v>
      </c>
      <c r="B20" s="30">
        <f>IFERROR(Scenarios!F144/Scenarios!F17,0)</f>
        <v>0</v>
      </c>
      <c r="D20" s="10" t="s">
        <v>261</v>
      </c>
      <c r="E20" s="31">
        <f>Scenarios!F80</f>
        <v>0</v>
      </c>
    </row>
    <row r="21" spans="1:6" ht="18" customHeight="1" x14ac:dyDescent="0.25">
      <c r="A21" s="8" t="s">
        <v>262</v>
      </c>
      <c r="B21" s="21">
        <f>Scenarios!F31</f>
        <v>0</v>
      </c>
      <c r="D21" s="8" t="s">
        <v>263</v>
      </c>
      <c r="E21" s="22">
        <f>Waterfall!B6</f>
        <v>0</v>
      </c>
    </row>
    <row r="22" spans="1:6" ht="18" customHeight="1" x14ac:dyDescent="0.25">
      <c r="A22" s="10" t="s">
        <v>264</v>
      </c>
      <c r="B22" s="30">
        <f>Scenarios!F10</f>
        <v>0</v>
      </c>
      <c r="D22" s="10" t="s">
        <v>265</v>
      </c>
      <c r="E22" s="29">
        <f>Waterfall!B32</f>
        <v>0</v>
      </c>
    </row>
    <row r="23" spans="1:6" ht="18" customHeight="1" x14ac:dyDescent="0.25">
      <c r="A23" s="8" t="s">
        <v>266</v>
      </c>
      <c r="B23" s="28">
        <f>IFERROR('P&amp;L'!D97/Scenarios!F7,0)</f>
        <v>0</v>
      </c>
      <c r="D23" s="8" t="s">
        <v>267</v>
      </c>
      <c r="E23" s="29">
        <f>Waterfall!B35</f>
        <v>0</v>
      </c>
    </row>
    <row r="24" spans="1:6" ht="18" customHeight="1" x14ac:dyDescent="0.25">
      <c r="A24" s="10" t="s">
        <v>268</v>
      </c>
      <c r="B24" s="30">
        <f>IFERROR((IFERROR(INDEX('P&amp;L'!D115:M116,1,Scenarios!F80),0)+IFERROR(INDEX('P&amp;L'!D112:M113,1,Scenarios!F80),0))/Scenarios!F7,0)</f>
        <v>0</v>
      </c>
      <c r="D24" s="26" t="s">
        <v>269</v>
      </c>
      <c r="E24" s="27">
        <f>IFERROR((Waterfall!M54-(Waterfall!B9+Waterfall!B10))/(Waterfall!B9+Waterfall!B10)/Scenarios!F80,0)</f>
        <v>0</v>
      </c>
    </row>
    <row r="26" spans="1:6" ht="24" customHeight="1" x14ac:dyDescent="0.25">
      <c r="A26" s="827" t="s">
        <v>270</v>
      </c>
      <c r="B26" s="817"/>
      <c r="C26" s="817"/>
      <c r="D26" s="817"/>
      <c r="E26" s="817"/>
      <c r="F26" s="817"/>
    </row>
    <row r="27" spans="1:6" ht="30" customHeight="1" x14ac:dyDescent="0.25">
      <c r="A27" s="32" t="s">
        <v>271</v>
      </c>
      <c r="B27" s="32" t="s">
        <v>272</v>
      </c>
      <c r="C27" s="32" t="s">
        <v>273</v>
      </c>
      <c r="D27" s="32" t="s">
        <v>274</v>
      </c>
      <c r="E27" s="32" t="s">
        <v>275</v>
      </c>
      <c r="F27" s="32" t="s">
        <v>276</v>
      </c>
    </row>
    <row r="28" spans="1:6" ht="18" customHeight="1" x14ac:dyDescent="0.25">
      <c r="A28" s="8" t="s">
        <v>277</v>
      </c>
      <c r="B28" s="21">
        <f>Scenarios!F86</f>
        <v>0</v>
      </c>
      <c r="C28" s="28">
        <f>IFERROR(Scenarios!F86/Scenarios!F17,0)</f>
        <v>0</v>
      </c>
      <c r="D28" s="27">
        <f>Scenarios!F87</f>
        <v>0</v>
      </c>
      <c r="E28" s="33">
        <f>Scenarios!F118</f>
        <v>0</v>
      </c>
      <c r="F28" s="33">
        <f>Scenarios!F88</f>
        <v>0</v>
      </c>
    </row>
    <row r="29" spans="1:6" ht="18" customHeight="1" x14ac:dyDescent="0.25">
      <c r="A29" s="10" t="s">
        <v>278</v>
      </c>
      <c r="B29" s="23">
        <f>Scenarios!F122</f>
        <v>0</v>
      </c>
      <c r="C29" s="30">
        <f>IFERROR(Scenarios!F122/Scenarios!F17,0)</f>
        <v>0</v>
      </c>
      <c r="D29" s="34">
        <f>Scenarios!F123</f>
        <v>0</v>
      </c>
      <c r="E29" s="13">
        <f>Scenarios!F125</f>
        <v>0</v>
      </c>
      <c r="F29" s="13">
        <f>Scenarios!F124</f>
        <v>0</v>
      </c>
    </row>
    <row r="30" spans="1:6" ht="18" customHeight="1" x14ac:dyDescent="0.25">
      <c r="A30" s="8" t="s">
        <v>279</v>
      </c>
      <c r="B30" s="21">
        <f>Scenarios!F129</f>
        <v>0</v>
      </c>
      <c r="C30" s="28">
        <f>IFERROR(Scenarios!F129/Scenarios!F17,0)</f>
        <v>0</v>
      </c>
      <c r="D30" s="27">
        <f>Scenarios!F130</f>
        <v>0</v>
      </c>
      <c r="E30" s="33">
        <f>Scenarios!F132</f>
        <v>0</v>
      </c>
      <c r="F30" s="33">
        <f>Scenarios!F131</f>
        <v>0</v>
      </c>
    </row>
    <row r="31" spans="1:6" ht="18" customHeight="1" x14ac:dyDescent="0.25">
      <c r="A31" s="10" t="s">
        <v>280</v>
      </c>
      <c r="B31" s="23">
        <f>Scenarios!F32</f>
        <v>0</v>
      </c>
      <c r="C31" s="30">
        <f>Scenarios!F28</f>
        <v>0.6</v>
      </c>
      <c r="D31" s="35" t="s">
        <v>197</v>
      </c>
      <c r="E31" s="35" t="s">
        <v>197</v>
      </c>
      <c r="F31" s="35" t="s">
        <v>197</v>
      </c>
    </row>
    <row r="32" spans="1:6" ht="18" customHeight="1" x14ac:dyDescent="0.25">
      <c r="A32" s="8" t="s">
        <v>281</v>
      </c>
      <c r="B32" s="21">
        <f>Scenarios!F33</f>
        <v>0</v>
      </c>
      <c r="C32" s="28">
        <f>Scenarios!F29</f>
        <v>0.4</v>
      </c>
      <c r="D32" s="28">
        <f>Scenarios!F35</f>
        <v>0</v>
      </c>
      <c r="E32" s="36" t="s">
        <v>197</v>
      </c>
      <c r="F32" s="36" t="s">
        <v>197</v>
      </c>
    </row>
    <row r="33" spans="1:6" ht="18" customHeight="1" x14ac:dyDescent="0.25">
      <c r="A33" s="10" t="s">
        <v>282</v>
      </c>
      <c r="B33" s="23">
        <f>Scenarios!F34</f>
        <v>0</v>
      </c>
      <c r="C33" s="30">
        <f>Scenarios!F30</f>
        <v>0</v>
      </c>
      <c r="D33" s="37" t="s">
        <v>197</v>
      </c>
      <c r="E33" s="37" t="s">
        <v>197</v>
      </c>
      <c r="F33" s="37" t="s">
        <v>197</v>
      </c>
    </row>
    <row r="34" spans="1:6" ht="18" customHeight="1" x14ac:dyDescent="0.25">
      <c r="A34" s="4" t="s">
        <v>23</v>
      </c>
      <c r="B34" s="38">
        <f>Scenarios!F31</f>
        <v>0</v>
      </c>
      <c r="C34" s="39">
        <f>IFERROR(Scenarios!F31/Scenarios!F17,0)</f>
        <v>0</v>
      </c>
      <c r="D34" s="40" t="s">
        <v>197</v>
      </c>
      <c r="E34" s="40" t="s">
        <v>197</v>
      </c>
      <c r="F34" s="40" t="s">
        <v>197</v>
      </c>
    </row>
    <row r="36" spans="1:6" ht="21.75" customHeight="1" x14ac:dyDescent="0.25">
      <c r="A36" s="827" t="s">
        <v>283</v>
      </c>
      <c r="B36" s="817"/>
      <c r="C36" s="817"/>
      <c r="D36" s="817"/>
      <c r="E36" s="817"/>
      <c r="F36" s="817"/>
    </row>
    <row r="37" spans="1:6" ht="15.75" customHeight="1" x14ac:dyDescent="0.25">
      <c r="A37" s="41" t="s">
        <v>41</v>
      </c>
      <c r="B37" s="41" t="s">
        <v>284</v>
      </c>
      <c r="C37" s="41" t="s">
        <v>285</v>
      </c>
      <c r="D37" s="41" t="s">
        <v>286</v>
      </c>
      <c r="E37" s="41" t="s">
        <v>287</v>
      </c>
      <c r="F37" s="42" t="s">
        <v>44</v>
      </c>
    </row>
    <row r="38" spans="1:6" ht="18" customHeight="1" x14ac:dyDescent="0.25">
      <c r="A38" s="43" t="s">
        <v>288</v>
      </c>
      <c r="B38" s="21">
        <f>Waterfall!B9</f>
        <v>0</v>
      </c>
      <c r="C38" s="21">
        <f>Waterfall!B10</f>
        <v>0</v>
      </c>
      <c r="D38" s="21">
        <f>Waterfall!B9+Waterfall!B10</f>
        <v>0</v>
      </c>
      <c r="E38" s="21">
        <f>Waterfall!B8</f>
        <v>0</v>
      </c>
      <c r="F38" s="7" t="s">
        <v>289</v>
      </c>
    </row>
    <row r="39" spans="1:6" ht="18" customHeight="1" x14ac:dyDescent="0.25">
      <c r="A39" s="43" t="s">
        <v>290</v>
      </c>
      <c r="B39" s="21">
        <f>Waterfall!M55</f>
        <v>0</v>
      </c>
      <c r="C39" s="21">
        <f>Waterfall!M56</f>
        <v>0</v>
      </c>
      <c r="D39" s="21">
        <f>Waterfall!M57</f>
        <v>0</v>
      </c>
      <c r="E39" s="21">
        <f>Waterfall!M58</f>
        <v>0</v>
      </c>
      <c r="F39" s="7" t="s">
        <v>291</v>
      </c>
    </row>
    <row r="40" spans="1:6" ht="18" customHeight="1" x14ac:dyDescent="0.25">
      <c r="A40" s="43" t="s">
        <v>292</v>
      </c>
      <c r="B40" s="21">
        <f>Waterfall!M55-Waterfall!B9</f>
        <v>0</v>
      </c>
      <c r="C40" s="21">
        <f>IFERROR(Waterfall!M56-Waterfall!B10,0)</f>
        <v>0</v>
      </c>
      <c r="D40" s="21">
        <f>Waterfall!M57-(Waterfall!B9+Waterfall!B10)</f>
        <v>0</v>
      </c>
      <c r="E40" s="21">
        <f>Waterfall!M58-Waterfall!B8</f>
        <v>0</v>
      </c>
    </row>
    <row r="41" spans="1:6" ht="18" customHeight="1" x14ac:dyDescent="0.25">
      <c r="A41" s="44" t="s">
        <v>293</v>
      </c>
      <c r="B41" s="45">
        <f>IFERROR(Waterfall!B67,0)</f>
        <v>0</v>
      </c>
      <c r="C41" s="45">
        <f>IFERROR(Waterfall!C67,0)</f>
        <v>0</v>
      </c>
      <c r="D41" s="45">
        <f>IFERROR(Waterfall!D67,0)</f>
        <v>0</v>
      </c>
      <c r="E41" s="45">
        <f>IFERROR(Waterfall!E67,0)</f>
        <v>0</v>
      </c>
      <c r="F41" s="5" t="s">
        <v>294</v>
      </c>
    </row>
    <row r="42" spans="1:6" ht="18" customHeight="1" x14ac:dyDescent="0.25">
      <c r="A42" s="44" t="s">
        <v>295</v>
      </c>
      <c r="B42" s="46">
        <f>Waterfall!B69</f>
        <v>0</v>
      </c>
      <c r="C42" s="46">
        <f>Waterfall!C69</f>
        <v>0</v>
      </c>
      <c r="D42" s="46">
        <f>Waterfall!D69</f>
        <v>0</v>
      </c>
      <c r="E42" s="46">
        <f>Waterfall!E69</f>
        <v>0</v>
      </c>
      <c r="F42" s="5" t="s">
        <v>296</v>
      </c>
    </row>
    <row r="43" spans="1:6" ht="18" customHeight="1" x14ac:dyDescent="0.25">
      <c r="A43" s="47" t="s">
        <v>297</v>
      </c>
      <c r="B43" s="46">
        <f>IFERROR((Waterfall!M55-Waterfall!B9)/Waterfall!B9/Scenarios!F80,0)</f>
        <v>0</v>
      </c>
      <c r="C43" s="46">
        <f>IFERROR((Waterfall!M56-Waterfall!B10)/Waterfall!B10/Scenarios!F80,0)</f>
        <v>0</v>
      </c>
      <c r="D43" s="46">
        <f>IFERROR((Waterfall!M57-(Waterfall!B9+Waterfall!B10))/(Waterfall!B9+Waterfall!B10)/Scenarios!F80,0)</f>
        <v>0</v>
      </c>
      <c r="E43" s="46" t="str">
        <f>IFERROR(IF(Waterfall!B8=0,"N/A",(Waterfall!M58-Waterfall!B8)/Waterfall!B8/Scenarios!F80),0)</f>
        <v>N/A</v>
      </c>
      <c r="F43" s="48" t="s">
        <v>298</v>
      </c>
    </row>
    <row r="44" spans="1:6" ht="16.5" customHeight="1" x14ac:dyDescent="0.25">
      <c r="A44" s="49" t="s">
        <v>299</v>
      </c>
      <c r="B44" s="50">
        <f ca="1">'P&amp;L'!D127</f>
        <v>0</v>
      </c>
      <c r="C44" s="50">
        <f ca="1">IFERROR(IF(Waterfall!B10=0,0,AVERAGE(OFFSET(Waterfall!B53,0,0,1,MIN(Scenarios!F80,10)))/Waterfall!B10),0)</f>
        <v>0</v>
      </c>
      <c r="D44" s="50">
        <f ca="1">'P&amp;L'!D129</f>
        <v>0</v>
      </c>
      <c r="E44" s="50">
        <f ca="1">IFERROR(IF(Waterfall!B8=0,0,AVERAGE(OFFSET(Waterfall!B55,0,0,1,MIN(Scenarios!F80,10)))/Waterfall!B8),0)</f>
        <v>0</v>
      </c>
      <c r="F44" s="51" t="s">
        <v>300</v>
      </c>
    </row>
    <row r="45" spans="1:6" ht="21.75" customHeight="1" x14ac:dyDescent="0.25">
      <c r="A45" s="827" t="s">
        <v>301</v>
      </c>
      <c r="B45" s="817"/>
      <c r="C45" s="817"/>
      <c r="D45" s="817"/>
      <c r="E45" s="817"/>
      <c r="F45" s="817"/>
    </row>
    <row r="46" spans="1:6" ht="18" customHeight="1" x14ac:dyDescent="0.25">
      <c r="A46" s="43" t="s">
        <v>302</v>
      </c>
      <c r="B46" s="52">
        <f>Scenarios!F80</f>
        <v>0</v>
      </c>
      <c r="C46" s="1"/>
      <c r="D46" s="1"/>
      <c r="E46" s="1"/>
    </row>
    <row r="47" spans="1:6" ht="18" customHeight="1" x14ac:dyDescent="0.25">
      <c r="A47" s="43" t="s">
        <v>263</v>
      </c>
      <c r="B47" s="28">
        <f>Waterfall!B6</f>
        <v>0</v>
      </c>
      <c r="C47" s="1"/>
      <c r="D47" s="1"/>
      <c r="E47" s="1"/>
      <c r="F47" s="7"/>
    </row>
    <row r="48" spans="1:6" ht="18" customHeight="1" x14ac:dyDescent="0.25">
      <c r="A48" s="43" t="s">
        <v>303</v>
      </c>
      <c r="B48" s="21">
        <f>IFERROR(INDEX('P&amp;L'!D115:M116,1,Scenarios!F80)+INDEX('P&amp;L'!D112:M113,1,Scenarios!F80),0)</f>
        <v>0</v>
      </c>
      <c r="C48" s="1"/>
      <c r="D48" s="1"/>
      <c r="E48" s="1"/>
      <c r="F48" s="7" t="s">
        <v>304</v>
      </c>
    </row>
    <row r="49" spans="1:6" ht="18" customHeight="1" x14ac:dyDescent="0.25">
      <c r="A49" s="43" t="s">
        <v>265</v>
      </c>
      <c r="B49" s="21">
        <f>Waterfall!B32</f>
        <v>0</v>
      </c>
      <c r="C49" s="1"/>
      <c r="D49" s="1"/>
      <c r="E49" s="1"/>
      <c r="F49" s="7" t="s">
        <v>305</v>
      </c>
    </row>
    <row r="50" spans="1:6" ht="18" customHeight="1" x14ac:dyDescent="0.25">
      <c r="A50" s="43" t="s">
        <v>306</v>
      </c>
      <c r="B50" s="21">
        <f>Waterfall!B34</f>
        <v>0</v>
      </c>
      <c r="C50" s="1"/>
      <c r="D50" s="1"/>
      <c r="E50" s="1"/>
      <c r="F50" s="7" t="s">
        <v>307</v>
      </c>
    </row>
    <row r="51" spans="1:6" ht="18" customHeight="1" x14ac:dyDescent="0.25">
      <c r="A51" s="53" t="s">
        <v>308</v>
      </c>
      <c r="B51" s="54">
        <f>Waterfall!B35</f>
        <v>0</v>
      </c>
      <c r="C51" s="55"/>
      <c r="D51" s="55"/>
      <c r="E51" s="55"/>
      <c r="F51" s="56" t="s">
        <v>309</v>
      </c>
    </row>
    <row r="52" spans="1:6" ht="16.5" customHeight="1" x14ac:dyDescent="0.25"/>
  </sheetData>
  <mergeCells count="8">
    <mergeCell ref="A1:F1"/>
    <mergeCell ref="A45:F45"/>
    <mergeCell ref="A4:F4"/>
    <mergeCell ref="A26:F26"/>
    <mergeCell ref="A2:F2"/>
    <mergeCell ref="B11:D11"/>
    <mergeCell ref="A36:F36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topLeftCell="A18" zoomScaleNormal="100" workbookViewId="0">
      <selection activeCell="A34" sqref="A34:D34"/>
    </sheetView>
  </sheetViews>
  <sheetFormatPr defaultColWidth="8.85546875" defaultRowHeight="15" x14ac:dyDescent="0.25"/>
  <cols>
    <col min="1" max="1" width="30" customWidth="1"/>
    <col min="2" max="2" width="28" customWidth="1"/>
    <col min="3" max="4" width="45" customWidth="1"/>
  </cols>
  <sheetData>
    <row r="1" spans="1:4" ht="24" customHeight="1" x14ac:dyDescent="0.25">
      <c r="A1" s="827" t="s">
        <v>310</v>
      </c>
      <c r="B1" s="817"/>
      <c r="C1" s="817"/>
      <c r="D1" s="817"/>
    </row>
    <row r="2" spans="1:4" ht="15.75" customHeight="1" x14ac:dyDescent="0.25">
      <c r="A2" s="835" t="s">
        <v>311</v>
      </c>
      <c r="B2" s="817"/>
      <c r="C2" s="817"/>
      <c r="D2" s="817"/>
    </row>
    <row r="3" spans="1:4" ht="19.5" customHeight="1" x14ac:dyDescent="0.25">
      <c r="A3" s="833" t="s">
        <v>312</v>
      </c>
      <c r="B3" s="817"/>
      <c r="C3" s="817"/>
      <c r="D3" s="817"/>
    </row>
    <row r="4" spans="1:4" ht="18" customHeight="1" x14ac:dyDescent="0.25">
      <c r="A4" s="8" t="s">
        <v>238</v>
      </c>
      <c r="B4" s="464"/>
    </row>
    <row r="5" spans="1:4" ht="18" customHeight="1" x14ac:dyDescent="0.25">
      <c r="A5" s="10" t="s">
        <v>313</v>
      </c>
      <c r="B5" s="464"/>
    </row>
    <row r="6" spans="1:4" ht="18" customHeight="1" x14ac:dyDescent="0.25">
      <c r="A6" s="8" t="s">
        <v>314</v>
      </c>
      <c r="B6" s="464"/>
    </row>
    <row r="7" spans="1:4" ht="18" customHeight="1" x14ac:dyDescent="0.25">
      <c r="A7" s="10" t="s">
        <v>315</v>
      </c>
      <c r="B7" s="464"/>
    </row>
    <row r="8" spans="1:4" ht="18" customHeight="1" x14ac:dyDescent="0.25">
      <c r="A8" s="8" t="s">
        <v>316</v>
      </c>
      <c r="B8" s="464"/>
    </row>
    <row r="9" spans="1:4" ht="18" customHeight="1" x14ac:dyDescent="0.25">
      <c r="A9" s="10" t="s">
        <v>240</v>
      </c>
      <c r="B9" s="464"/>
    </row>
    <row r="10" spans="1:4" ht="18" customHeight="1" x14ac:dyDescent="0.25">
      <c r="A10" s="8" t="s">
        <v>317</v>
      </c>
      <c r="B10" s="464"/>
    </row>
    <row r="11" spans="1:4" ht="18" customHeight="1" x14ac:dyDescent="0.25">
      <c r="A11" s="10" t="s">
        <v>242</v>
      </c>
      <c r="B11" s="464"/>
    </row>
    <row r="12" spans="1:4" ht="18" customHeight="1" x14ac:dyDescent="0.25">
      <c r="A12" s="8" t="s">
        <v>318</v>
      </c>
      <c r="B12" s="464"/>
    </row>
    <row r="13" spans="1:4" ht="18" customHeight="1" x14ac:dyDescent="0.25">
      <c r="A13" s="10" t="s">
        <v>319</v>
      </c>
      <c r="B13" s="464"/>
    </row>
    <row r="14" spans="1:4" ht="18" customHeight="1" x14ac:dyDescent="0.25">
      <c r="A14" s="8" t="s">
        <v>320</v>
      </c>
      <c r="B14" s="464"/>
    </row>
    <row r="15" spans="1:4" ht="18" customHeight="1" x14ac:dyDescent="0.25">
      <c r="A15" s="10" t="s">
        <v>321</v>
      </c>
      <c r="B15" s="464"/>
    </row>
    <row r="16" spans="1:4" ht="18" customHeight="1" x14ac:dyDescent="0.25">
      <c r="A16" s="8" t="s">
        <v>322</v>
      </c>
      <c r="B16" s="464"/>
    </row>
    <row r="17" spans="1:4" ht="18" customHeight="1" x14ac:dyDescent="0.25">
      <c r="A17" s="10" t="s">
        <v>323</v>
      </c>
      <c r="B17" s="464"/>
    </row>
    <row r="18" spans="1:4" ht="18" customHeight="1" x14ac:dyDescent="0.25">
      <c r="A18" s="8" t="s">
        <v>324</v>
      </c>
      <c r="B18" s="464"/>
    </row>
    <row r="19" spans="1:4" ht="18" customHeight="1" x14ac:dyDescent="0.25">
      <c r="A19" s="566" t="s">
        <v>1486</v>
      </c>
      <c r="B19" s="568">
        <f>SUM(B20:B22)</f>
        <v>0</v>
      </c>
    </row>
    <row r="20" spans="1:4" ht="18" customHeight="1" x14ac:dyDescent="0.25">
      <c r="A20" s="567" t="s">
        <v>1487</v>
      </c>
      <c r="B20" s="568"/>
    </row>
    <row r="21" spans="1:4" ht="18" customHeight="1" x14ac:dyDescent="0.25">
      <c r="A21" s="566" t="s">
        <v>1488</v>
      </c>
      <c r="B21" s="568"/>
    </row>
    <row r="22" spans="1:4" ht="18" customHeight="1" x14ac:dyDescent="0.25">
      <c r="A22" s="567" t="s">
        <v>1489</v>
      </c>
      <c r="B22" s="568"/>
    </row>
    <row r="23" spans="1:4" ht="19.5" customHeight="1" x14ac:dyDescent="0.25">
      <c r="A23" s="833" t="s">
        <v>325</v>
      </c>
      <c r="B23" s="817"/>
      <c r="C23" s="817"/>
      <c r="D23" s="817"/>
    </row>
    <row r="24" spans="1:4" ht="18" customHeight="1" x14ac:dyDescent="0.25">
      <c r="A24" s="8" t="s">
        <v>326</v>
      </c>
      <c r="B24" s="831"/>
      <c r="C24" s="817"/>
      <c r="D24" s="817"/>
    </row>
    <row r="25" spans="1:4" ht="18" customHeight="1" x14ac:dyDescent="0.25">
      <c r="A25" s="10" t="s">
        <v>327</v>
      </c>
      <c r="B25" s="831"/>
      <c r="C25" s="817"/>
      <c r="D25" s="817"/>
    </row>
    <row r="26" spans="1:4" ht="18" customHeight="1" x14ac:dyDescent="0.25">
      <c r="A26" s="8" t="s">
        <v>328</v>
      </c>
      <c r="B26" s="831"/>
      <c r="C26" s="817"/>
      <c r="D26" s="817"/>
    </row>
    <row r="27" spans="1:4" ht="18" customHeight="1" x14ac:dyDescent="0.25">
      <c r="A27" s="10" t="s">
        <v>329</v>
      </c>
      <c r="B27" s="831"/>
      <c r="C27" s="817"/>
      <c r="D27" s="817"/>
    </row>
    <row r="28" spans="1:4" ht="18" customHeight="1" x14ac:dyDescent="0.25">
      <c r="A28" s="8" t="s">
        <v>330</v>
      </c>
      <c r="B28" s="834"/>
      <c r="C28" s="817"/>
      <c r="D28" s="817"/>
    </row>
    <row r="29" spans="1:4" ht="18" customHeight="1" x14ac:dyDescent="0.25">
      <c r="A29" s="10" t="s">
        <v>331</v>
      </c>
      <c r="B29" s="831"/>
      <c r="C29" s="817"/>
      <c r="D29" s="817"/>
    </row>
    <row r="30" spans="1:4" ht="18" customHeight="1" x14ac:dyDescent="0.25">
      <c r="A30" s="8" t="s">
        <v>332</v>
      </c>
      <c r="B30" s="834"/>
      <c r="C30" s="817"/>
      <c r="D30" s="817"/>
    </row>
    <row r="31" spans="1:4" ht="18" customHeight="1" x14ac:dyDescent="0.25">
      <c r="A31" s="10" t="s">
        <v>333</v>
      </c>
      <c r="B31" s="832"/>
      <c r="C31" s="817"/>
      <c r="D31" s="817"/>
    </row>
    <row r="32" spans="1:4" ht="18" customHeight="1" x14ac:dyDescent="0.25">
      <c r="A32" s="8" t="s">
        <v>334</v>
      </c>
      <c r="B32" s="832"/>
      <c r="C32" s="817"/>
      <c r="D32" s="817"/>
    </row>
    <row r="33" spans="1:4" ht="18" customHeight="1" x14ac:dyDescent="0.25">
      <c r="A33" s="10" t="s">
        <v>335</v>
      </c>
      <c r="B33" s="831"/>
      <c r="C33" s="817"/>
      <c r="D33" s="817"/>
    </row>
    <row r="34" spans="1:4" ht="19.5" customHeight="1" x14ac:dyDescent="0.25">
      <c r="A34" s="833" t="s">
        <v>336</v>
      </c>
      <c r="B34" s="817"/>
      <c r="C34" s="817"/>
      <c r="D34" s="817"/>
    </row>
    <row r="35" spans="1:4" ht="18" customHeight="1" x14ac:dyDescent="0.25">
      <c r="A35" s="10" t="s">
        <v>337</v>
      </c>
      <c r="B35" s="832"/>
      <c r="C35" s="817"/>
      <c r="D35" s="817"/>
    </row>
    <row r="36" spans="1:4" ht="18" customHeight="1" x14ac:dyDescent="0.25">
      <c r="A36" s="8" t="s">
        <v>338</v>
      </c>
      <c r="B36" s="832"/>
      <c r="C36" s="817"/>
      <c r="D36" s="817"/>
    </row>
    <row r="37" spans="1:4" ht="18" customHeight="1" x14ac:dyDescent="0.25">
      <c r="A37" s="10" t="s">
        <v>339</v>
      </c>
      <c r="B37" s="832"/>
      <c r="C37" s="817"/>
      <c r="D37" s="817"/>
    </row>
    <row r="38" spans="1:4" ht="18" customHeight="1" x14ac:dyDescent="0.25">
      <c r="A38" s="8" t="s">
        <v>340</v>
      </c>
      <c r="B38" s="832"/>
      <c r="C38" s="817"/>
      <c r="D38" s="817"/>
    </row>
    <row r="39" spans="1:4" ht="18" customHeight="1" x14ac:dyDescent="0.25">
      <c r="A39" s="10" t="s">
        <v>341</v>
      </c>
      <c r="B39" s="834"/>
      <c r="C39" s="817"/>
      <c r="D39" s="817"/>
    </row>
    <row r="40" spans="1:4" ht="18" customHeight="1" x14ac:dyDescent="0.25">
      <c r="A40" s="8" t="s">
        <v>342</v>
      </c>
      <c r="B40" s="831"/>
      <c r="C40" s="817"/>
      <c r="D40" s="817"/>
    </row>
    <row r="41" spans="1:4" ht="18" customHeight="1" x14ac:dyDescent="0.25">
      <c r="A41" s="10" t="s">
        <v>343</v>
      </c>
      <c r="B41" s="834"/>
      <c r="C41" s="817"/>
      <c r="D41" s="817"/>
    </row>
    <row r="42" spans="1:4" ht="19.5" customHeight="1" x14ac:dyDescent="0.25">
      <c r="A42" s="833" t="s">
        <v>344</v>
      </c>
      <c r="B42" s="817"/>
      <c r="C42" s="817"/>
      <c r="D42" s="817"/>
    </row>
    <row r="43" spans="1:4" ht="18" customHeight="1" x14ac:dyDescent="0.25">
      <c r="A43" s="10" t="s">
        <v>345</v>
      </c>
      <c r="B43" s="831"/>
      <c r="C43" s="817"/>
      <c r="D43" s="817"/>
    </row>
    <row r="44" spans="1:4" ht="18" customHeight="1" x14ac:dyDescent="0.25">
      <c r="A44" s="8" t="s">
        <v>346</v>
      </c>
      <c r="B44" s="831"/>
      <c r="C44" s="817"/>
      <c r="D44" s="817"/>
    </row>
    <row r="45" spans="1:4" ht="18" customHeight="1" x14ac:dyDescent="0.25">
      <c r="A45" s="10" t="s">
        <v>347</v>
      </c>
      <c r="B45" s="831"/>
      <c r="C45" s="817"/>
      <c r="D45" s="817"/>
    </row>
    <row r="46" spans="1:4" ht="18" customHeight="1" x14ac:dyDescent="0.25">
      <c r="A46" s="8" t="s">
        <v>348</v>
      </c>
      <c r="B46" s="831"/>
      <c r="C46" s="817"/>
      <c r="D46" s="817"/>
    </row>
    <row r="47" spans="1:4" ht="19.5" customHeight="1" x14ac:dyDescent="0.25">
      <c r="A47" s="833" t="s">
        <v>349</v>
      </c>
      <c r="B47" s="817"/>
      <c r="C47" s="817"/>
      <c r="D47" s="817"/>
    </row>
    <row r="48" spans="1:4" ht="18" customHeight="1" x14ac:dyDescent="0.25">
      <c r="A48" s="8" t="s">
        <v>350</v>
      </c>
      <c r="B48" s="831"/>
      <c r="C48" s="817"/>
      <c r="D48" s="817"/>
    </row>
    <row r="49" spans="1:4" ht="18" customHeight="1" x14ac:dyDescent="0.25">
      <c r="A49" s="10" t="s">
        <v>351</v>
      </c>
      <c r="B49" s="831"/>
      <c r="C49" s="817"/>
      <c r="D49" s="817"/>
    </row>
    <row r="50" spans="1:4" ht="18" customHeight="1" x14ac:dyDescent="0.25">
      <c r="A50" s="8" t="s">
        <v>352</v>
      </c>
      <c r="B50" s="831"/>
      <c r="C50" s="817"/>
      <c r="D50" s="817"/>
    </row>
    <row r="51" spans="1:4" ht="18" customHeight="1" x14ac:dyDescent="0.25">
      <c r="A51" s="10" t="s">
        <v>353</v>
      </c>
      <c r="B51" s="831"/>
      <c r="C51" s="817"/>
      <c r="D51" s="817"/>
    </row>
  </sheetData>
  <mergeCells count="32">
    <mergeCell ref="A1:D1"/>
    <mergeCell ref="A3:D3"/>
    <mergeCell ref="A2:D2"/>
    <mergeCell ref="A23:D23"/>
    <mergeCell ref="B33:D33"/>
    <mergeCell ref="B30:D30"/>
    <mergeCell ref="B29:D29"/>
    <mergeCell ref="B28:D28"/>
    <mergeCell ref="B24:D24"/>
    <mergeCell ref="B25:D25"/>
    <mergeCell ref="B27:D27"/>
    <mergeCell ref="B41:D41"/>
    <mergeCell ref="A34:D34"/>
    <mergeCell ref="B40:D40"/>
    <mergeCell ref="B39:D39"/>
    <mergeCell ref="B37:D37"/>
    <mergeCell ref="B51:D51"/>
    <mergeCell ref="B35:D35"/>
    <mergeCell ref="B50:D50"/>
    <mergeCell ref="B26:D26"/>
    <mergeCell ref="B31:D31"/>
    <mergeCell ref="B43:D43"/>
    <mergeCell ref="B49:D49"/>
    <mergeCell ref="B45:D45"/>
    <mergeCell ref="B36:D36"/>
    <mergeCell ref="B48:D48"/>
    <mergeCell ref="A42:D42"/>
    <mergeCell ref="A47:D47"/>
    <mergeCell ref="B44:D44"/>
    <mergeCell ref="B46:D46"/>
    <mergeCell ref="B38:D38"/>
    <mergeCell ref="B32:D3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defaultColWidth="8.85546875" defaultRowHeight="15" outlineLevelRow="2" x14ac:dyDescent="0.25"/>
  <cols>
    <col min="1" max="1" width="49.28515625" customWidth="1"/>
    <col min="2" max="5" width="18" customWidth="1"/>
    <col min="6" max="6" width="16" customWidth="1"/>
    <col min="7" max="7" width="17.140625" bestFit="1" customWidth="1"/>
    <col min="8" max="8" width="45.28515625" customWidth="1"/>
    <col min="9" max="9" width="14" customWidth="1"/>
    <col min="10" max="10" width="16" customWidth="1"/>
  </cols>
  <sheetData>
    <row r="1" spans="1:9" ht="30" customHeight="1" x14ac:dyDescent="0.25">
      <c r="A1" s="842" t="s">
        <v>354</v>
      </c>
      <c r="B1" s="817"/>
      <c r="C1" s="817"/>
      <c r="D1" s="817"/>
      <c r="E1" s="817"/>
      <c r="F1" s="817"/>
      <c r="G1" s="817"/>
      <c r="H1" s="817"/>
    </row>
    <row r="2" spans="1:9" ht="18" customHeight="1" x14ac:dyDescent="0.25">
      <c r="A2" s="57" t="s">
        <v>355</v>
      </c>
      <c r="B2" s="58" t="s">
        <v>1408</v>
      </c>
    </row>
    <row r="3" spans="1:9" ht="15.75" customHeight="1" x14ac:dyDescent="0.25">
      <c r="A3" s="835" t="s">
        <v>357</v>
      </c>
      <c r="B3" s="817"/>
      <c r="C3" s="817"/>
      <c r="D3" s="817"/>
      <c r="E3" s="817"/>
      <c r="F3" s="817"/>
      <c r="G3" s="817"/>
      <c r="H3" s="817"/>
    </row>
    <row r="4" spans="1:9" ht="30" customHeight="1" x14ac:dyDescent="0.25">
      <c r="A4" s="41" t="s">
        <v>358</v>
      </c>
      <c r="B4" s="498" t="s">
        <v>1408</v>
      </c>
      <c r="C4" s="59" t="s">
        <v>359</v>
      </c>
      <c r="D4" s="59" t="s">
        <v>356</v>
      </c>
      <c r="E4" s="59" t="s">
        <v>360</v>
      </c>
      <c r="F4" s="60" t="s">
        <v>361</v>
      </c>
      <c r="G4" s="41" t="s">
        <v>362</v>
      </c>
      <c r="H4" s="32" t="s">
        <v>363</v>
      </c>
    </row>
    <row r="5" spans="1:9" ht="24" customHeight="1" x14ac:dyDescent="0.25">
      <c r="A5" s="61" t="s">
        <v>364</v>
      </c>
      <c r="B5" s="61"/>
      <c r="C5" s="61"/>
      <c r="D5" s="61"/>
      <c r="E5" s="61"/>
      <c r="F5" s="61"/>
      <c r="G5" s="61"/>
      <c r="H5" s="61"/>
    </row>
    <row r="6" spans="1:9" ht="18" customHeight="1" x14ac:dyDescent="0.25">
      <c r="A6" s="62" t="s">
        <v>365</v>
      </c>
      <c r="B6" s="63"/>
      <c r="C6" s="63">
        <f t="shared" ref="C6:E7" si="0">B6</f>
        <v>0</v>
      </c>
      <c r="D6" s="63">
        <f t="shared" si="0"/>
        <v>0</v>
      </c>
      <c r="E6" s="63">
        <f t="shared" si="0"/>
        <v>0</v>
      </c>
      <c r="F6" s="64">
        <f>CHOOSE(MATCH(B$2,{"Actuals (T-12)","2. My Version","3. Projected","4. Offer"},0),B6,C6,D6,E6)</f>
        <v>0</v>
      </c>
      <c r="G6" s="569">
        <f>IFERROR(F6/F$8,0)</f>
        <v>0</v>
      </c>
      <c r="H6" s="7" t="s">
        <v>366</v>
      </c>
    </row>
    <row r="7" spans="1:9" ht="18" customHeight="1" x14ac:dyDescent="0.25">
      <c r="A7" s="65" t="s">
        <v>367</v>
      </c>
      <c r="B7" s="66"/>
      <c r="C7" s="66">
        <f t="shared" si="0"/>
        <v>0</v>
      </c>
      <c r="D7" s="66">
        <f t="shared" si="0"/>
        <v>0</v>
      </c>
      <c r="E7" s="66">
        <f t="shared" si="0"/>
        <v>0</v>
      </c>
      <c r="F7" s="64">
        <f>CHOOSE(MATCH(B$2,{"Actuals (T-12)","2. My Version","3. Projected","4. Offer"},0),B7,C7,D7,E7)</f>
        <v>0</v>
      </c>
      <c r="G7" s="569">
        <f>IFERROR(F7/F$8,0)</f>
        <v>0</v>
      </c>
      <c r="H7" s="67" t="s">
        <v>368</v>
      </c>
    </row>
    <row r="8" spans="1:9" ht="18" customHeight="1" x14ac:dyDescent="0.25">
      <c r="A8" s="26" t="s">
        <v>369</v>
      </c>
      <c r="B8" s="68"/>
      <c r="C8" s="68">
        <f>Units</f>
        <v>0</v>
      </c>
      <c r="D8" s="68">
        <f>C8</f>
        <v>0</v>
      </c>
      <c r="E8" s="68">
        <f>D8</f>
        <v>0</v>
      </c>
      <c r="F8" s="69">
        <f>CHOOSE(MATCH(B$2,{"Actuals (T-12)","2. My Version","3. Projected","4. Offer"},0),B8,C8,D8,E8)</f>
        <v>0</v>
      </c>
      <c r="G8" s="70">
        <f>'Prop Info'!$B$15</f>
        <v>0</v>
      </c>
      <c r="H8" s="7" t="s">
        <v>370</v>
      </c>
    </row>
    <row r="9" spans="1:9" ht="18" customHeight="1" x14ac:dyDescent="0.25">
      <c r="A9" s="12" t="s">
        <v>371</v>
      </c>
      <c r="B9" s="71" t="e">
        <f>B7/B8</f>
        <v>#DIV/0!</v>
      </c>
      <c r="C9" s="71" t="e">
        <f>C7/C8</f>
        <v>#DIV/0!</v>
      </c>
      <c r="D9" s="71" t="e">
        <f>D7/D8</f>
        <v>#DIV/0!</v>
      </c>
      <c r="E9" s="71" t="e">
        <f>E7/E8</f>
        <v>#DIV/0!</v>
      </c>
      <c r="F9" s="64" t="e">
        <f>CHOOSE(MATCH(B$2,{"Actuals (T-12)","2. My Version","3. Projected","4. Offer"},0),B9,C9,D9,E9)</f>
        <v>#DIV/0!</v>
      </c>
      <c r="G9" s="72">
        <f>IFERROR(F7/'Prop Info'!$B$15,0)</f>
        <v>0</v>
      </c>
      <c r="H9" s="67" t="s">
        <v>372</v>
      </c>
    </row>
    <row r="10" spans="1:9" ht="18" customHeight="1" x14ac:dyDescent="0.25">
      <c r="A10" s="62" t="s">
        <v>264</v>
      </c>
      <c r="B10" s="73"/>
      <c r="C10" s="73">
        <f>B10</f>
        <v>0</v>
      </c>
      <c r="D10" s="73">
        <f>C10</f>
        <v>0</v>
      </c>
      <c r="E10" s="73">
        <f>D10</f>
        <v>0</v>
      </c>
      <c r="F10" s="74">
        <f>CHOOSE(MATCH(B$2,{"Actuals (T-12)","2. My Version","3. Projected","4. Offer"},0),B10,C10,D10,E10)</f>
        <v>0</v>
      </c>
      <c r="G10" s="74"/>
      <c r="H10" s="7" t="s">
        <v>373</v>
      </c>
    </row>
    <row r="11" spans="1:9" ht="18" customHeight="1" x14ac:dyDescent="0.25">
      <c r="A11" s="65" t="s">
        <v>374</v>
      </c>
      <c r="B11" s="71">
        <f>B10*B7</f>
        <v>0</v>
      </c>
      <c r="C11" s="71">
        <f>B11</f>
        <v>0</v>
      </c>
      <c r="D11" s="71">
        <f>D10*D7</f>
        <v>0</v>
      </c>
      <c r="E11" s="71">
        <f>E10*E7</f>
        <v>0</v>
      </c>
      <c r="F11" s="64">
        <f>CHOOSE(MATCH(B$2,{"Actuals (T-12)","2. My Version","3. Projected","4. Offer"},0),B11,C11,D11,E11)</f>
        <v>0</v>
      </c>
      <c r="G11" s="569">
        <f>IFERROR(F11/F$8,0)</f>
        <v>0</v>
      </c>
      <c r="H11" s="67" t="s">
        <v>375</v>
      </c>
    </row>
    <row r="12" spans="1:9" ht="18" customHeight="1" x14ac:dyDescent="0.25">
      <c r="A12" s="62" t="s">
        <v>376</v>
      </c>
      <c r="B12" s="75">
        <f>Capex!$D$51</f>
        <v>0</v>
      </c>
      <c r="C12" s="75">
        <f>B12</f>
        <v>0</v>
      </c>
      <c r="D12" s="75">
        <f>Capex!$D$51</f>
        <v>0</v>
      </c>
      <c r="E12" s="75">
        <f>Capex!$D$51</f>
        <v>0</v>
      </c>
      <c r="F12" s="64">
        <f>CHOOSE(MATCH(B$2,{"Actuals (T-12)","2. My Version","3. Projected","4. Offer"},0),B12,C12,D12,E12)</f>
        <v>0</v>
      </c>
      <c r="G12" s="569">
        <f>IFERROR(F12/F$8,0)</f>
        <v>0</v>
      </c>
      <c r="H12" s="7" t="s">
        <v>377</v>
      </c>
    </row>
    <row r="13" spans="1:9" ht="18" customHeight="1" x14ac:dyDescent="0.25">
      <c r="A13" s="65" t="s">
        <v>378</v>
      </c>
      <c r="B13" s="71">
        <f>(B118/12)*1</f>
        <v>0</v>
      </c>
      <c r="C13" s="71">
        <f>B13</f>
        <v>0</v>
      </c>
      <c r="D13" s="71">
        <f>C13</f>
        <v>0</v>
      </c>
      <c r="E13" s="71">
        <f>D13</f>
        <v>0</v>
      </c>
      <c r="F13" s="64">
        <f>CHOOSE(MATCH(B$2,{"Actuals (T-12)","2. My Version","3. Projected","4. Offer"},0),B13,C13,D13,E13)</f>
        <v>0</v>
      </c>
      <c r="G13" s="570">
        <f>IFERROR(F13/(F$118/12),0)</f>
        <v>0</v>
      </c>
      <c r="H13" s="67" t="s">
        <v>379</v>
      </c>
      <c r="I13" s="76"/>
    </row>
    <row r="14" spans="1:9" ht="18" customHeight="1" x14ac:dyDescent="0.25">
      <c r="A14" s="62" t="s">
        <v>380</v>
      </c>
      <c r="B14" s="75" t="str">
        <f>'Acquisition Costs'!$D$37</f>
        <v/>
      </c>
      <c r="C14" s="75" t="str">
        <f>'Acquisition Costs'!$D$37</f>
        <v/>
      </c>
      <c r="D14" s="75" t="str">
        <f>'Acquisition Costs'!$D$37</f>
        <v/>
      </c>
      <c r="E14" s="75" t="str">
        <f>'Acquisition Costs'!$D$37</f>
        <v/>
      </c>
      <c r="F14" s="64" t="str">
        <f>CHOOSE(MATCH(B$2,{"Actuals (T-12)","2. My Version","3. Projected","4. Offer"},0),B14,C14,D14,E14)</f>
        <v/>
      </c>
      <c r="G14" s="77" t="e">
        <f>F14/F7</f>
        <v>#VALUE!</v>
      </c>
      <c r="H14" s="7" t="s">
        <v>381</v>
      </c>
    </row>
    <row r="15" spans="1:9" ht="18" customHeight="1" x14ac:dyDescent="0.25">
      <c r="A15" s="65" t="s">
        <v>382</v>
      </c>
      <c r="B15" s="78">
        <v>0</v>
      </c>
      <c r="C15" s="78">
        <f>B15</f>
        <v>0</v>
      </c>
      <c r="D15" s="78">
        <f>C15</f>
        <v>0</v>
      </c>
      <c r="E15" s="78">
        <f>D15</f>
        <v>0</v>
      </c>
      <c r="F15" s="74">
        <f>CHOOSE(MATCH(B$2,{"Actuals (T-12)","2. My Version","3. Projected","4. Offer"},0),B15,C15,D15,E15)</f>
        <v>0</v>
      </c>
      <c r="G15" s="74"/>
      <c r="H15" s="67" t="s">
        <v>383</v>
      </c>
    </row>
    <row r="16" spans="1:9" ht="18" customHeight="1" x14ac:dyDescent="0.25">
      <c r="A16" s="62" t="s">
        <v>384</v>
      </c>
      <c r="B16" s="75">
        <f>B15*B7</f>
        <v>0</v>
      </c>
      <c r="C16" s="75">
        <f>C15*C7</f>
        <v>0</v>
      </c>
      <c r="D16" s="75">
        <f>D15*D7</f>
        <v>0</v>
      </c>
      <c r="E16" s="75">
        <f>E15*E7</f>
        <v>0</v>
      </c>
      <c r="F16" s="64">
        <f>CHOOSE(MATCH(B$2,{"Actuals (T-12)","2. My Version","3. Projected","4. Offer"},0),B16,C16,D16,E16)</f>
        <v>0</v>
      </c>
      <c r="G16" s="569">
        <f>IFERROR(F16/F$8,0)</f>
        <v>0</v>
      </c>
      <c r="H16" s="7" t="s">
        <v>385</v>
      </c>
    </row>
    <row r="17" spans="1:8" ht="18" customHeight="1" x14ac:dyDescent="0.25">
      <c r="A17" s="47" t="s">
        <v>386</v>
      </c>
      <c r="B17" s="79" t="e">
        <f>B7+B12+B13+B14+B16</f>
        <v>#VALUE!</v>
      </c>
      <c r="C17" s="79" t="e">
        <f>C7+C12+C13+C14+C16</f>
        <v>#VALUE!</v>
      </c>
      <c r="D17" s="79" t="e">
        <f>D7+D12+D13+D14+D16</f>
        <v>#VALUE!</v>
      </c>
      <c r="E17" s="79" t="e">
        <f>E7+E12+E13+E14+E16</f>
        <v>#VALUE!</v>
      </c>
      <c r="F17" s="80" t="e">
        <f>CHOOSE(MATCH(B$2,{"Actuals (T-12)","2. My Version","3. Projected","4. Offer"},0),B17,C17,D17,E17)</f>
        <v>#VALUE!</v>
      </c>
      <c r="G17" s="469">
        <f>IFERROR(F17/F$8,0)</f>
        <v>0</v>
      </c>
      <c r="H17" s="5" t="s">
        <v>387</v>
      </c>
    </row>
    <row r="19" spans="1:8" ht="24" customHeight="1" x14ac:dyDescent="0.25">
      <c r="A19" s="830" t="s">
        <v>388</v>
      </c>
      <c r="B19" s="817"/>
      <c r="C19" s="817"/>
      <c r="D19" s="817"/>
      <c r="E19" s="817"/>
      <c r="F19" s="817"/>
      <c r="G19" s="817"/>
      <c r="H19" s="817"/>
    </row>
    <row r="20" spans="1:8" ht="18" customHeight="1" x14ac:dyDescent="0.25">
      <c r="A20" s="62" t="s">
        <v>389</v>
      </c>
      <c r="B20" s="21">
        <f>B135</f>
        <v>0</v>
      </c>
      <c r="C20" s="21">
        <f>C135</f>
        <v>0</v>
      </c>
      <c r="D20" s="21">
        <f>D135</f>
        <v>0</v>
      </c>
      <c r="E20" s="21">
        <f>E135</f>
        <v>0</v>
      </c>
      <c r="F20" s="81">
        <f>CHOOSE(MATCH(B$2,{"Actuals (T-12)","2. My Version","3. Projected","4. Offer"},0),B20,C20,D20,E20)</f>
        <v>0</v>
      </c>
      <c r="G20" s="81"/>
      <c r="H20" s="7" t="s">
        <v>390</v>
      </c>
    </row>
    <row r="21" spans="1:8" ht="18" customHeight="1" x14ac:dyDescent="0.25">
      <c r="A21" s="65" t="s">
        <v>391</v>
      </c>
      <c r="B21" s="23">
        <f>B142</f>
        <v>0</v>
      </c>
      <c r="C21" s="23">
        <f>C142</f>
        <v>0</v>
      </c>
      <c r="D21" s="23">
        <f>D142</f>
        <v>0</v>
      </c>
      <c r="E21" s="23">
        <f>E142</f>
        <v>0</v>
      </c>
      <c r="F21" s="81">
        <f>CHOOSE(MATCH(B$2,{"Actuals (T-12)","2. My Version","3. Projected","4. Offer"},0),B21,C21,D21,E21)</f>
        <v>0</v>
      </c>
      <c r="G21" s="81"/>
      <c r="H21" s="67" t="s">
        <v>392</v>
      </c>
    </row>
    <row r="22" spans="1:8" ht="18" customHeight="1" x14ac:dyDescent="0.25">
      <c r="A22" s="62" t="s">
        <v>393</v>
      </c>
      <c r="B22" s="21">
        <f>B149</f>
        <v>0</v>
      </c>
      <c r="C22" s="21">
        <f>C149</f>
        <v>0</v>
      </c>
      <c r="D22" s="21">
        <f>D149</f>
        <v>0</v>
      </c>
      <c r="E22" s="21">
        <f>E149</f>
        <v>0</v>
      </c>
      <c r="F22" s="81">
        <f>CHOOSE(MATCH(B$2,{"Actuals (T-12)","2. My Version","3. Projected","4. Offer"},0),B22,C22,D22,E22)</f>
        <v>0</v>
      </c>
      <c r="G22" s="81"/>
      <c r="H22" s="7" t="s">
        <v>394</v>
      </c>
    </row>
    <row r="23" spans="1:8" ht="18" customHeight="1" x14ac:dyDescent="0.25">
      <c r="A23" s="47" t="s">
        <v>395</v>
      </c>
      <c r="B23" s="79">
        <f>B20+B21+B22</f>
        <v>0</v>
      </c>
      <c r="C23" s="79">
        <f>C20+C21+C22</f>
        <v>0</v>
      </c>
      <c r="D23" s="79">
        <f>D20+D21+D22</f>
        <v>0</v>
      </c>
      <c r="E23" s="79">
        <f>E20+E21+E22</f>
        <v>0</v>
      </c>
      <c r="F23" s="80">
        <f>CHOOSE(MATCH(B$2,{"Actuals (T-12)","2. My Version","3. Projected","4. Offer"},0),B23,C23,D23,E23)</f>
        <v>0</v>
      </c>
      <c r="G23" s="80"/>
      <c r="H23" s="5" t="s">
        <v>396</v>
      </c>
    </row>
    <row r="24" spans="1:8" ht="18" customHeight="1" x14ac:dyDescent="0.25">
      <c r="A24" s="62" t="s">
        <v>397</v>
      </c>
      <c r="B24" s="82">
        <f>IFERROR(B23/B7,0)</f>
        <v>0</v>
      </c>
      <c r="C24" s="82">
        <f>IFERROR(C23/C7,0)</f>
        <v>0</v>
      </c>
      <c r="D24" s="82">
        <f>IFERROR(D23/D7,0)</f>
        <v>0</v>
      </c>
      <c r="E24" s="82">
        <f>IFERROR(E23/E7,0)</f>
        <v>0</v>
      </c>
      <c r="F24" s="74">
        <f>CHOOSE(MATCH(B$2,{"Actuals (T-12)","2. My Version","3. Projected","4. Offer"},0),B24,C24,D24,E24)</f>
        <v>0</v>
      </c>
      <c r="G24" s="74"/>
      <c r="H24" s="7" t="s">
        <v>398</v>
      </c>
    </row>
    <row r="25" spans="1:8" ht="18" customHeight="1" x14ac:dyDescent="0.25">
      <c r="A25" s="65" t="s">
        <v>399</v>
      </c>
      <c r="B25" s="83">
        <f>IFERROR(B23/B17,0)</f>
        <v>0</v>
      </c>
      <c r="C25" s="83">
        <f>IFERROR(C23/C17,0)</f>
        <v>0</v>
      </c>
      <c r="D25" s="83">
        <f>IFERROR(D23/D17,0)</f>
        <v>0</v>
      </c>
      <c r="E25" s="83">
        <f>IFERROR(E23/E17,0)</f>
        <v>0</v>
      </c>
      <c r="F25" s="74">
        <f>CHOOSE(MATCH(B$2,{"Actuals (T-12)","2. My Version","3. Projected","4. Offer"},0),B25,C25,D25,E25)</f>
        <v>0</v>
      </c>
      <c r="G25" s="74"/>
      <c r="H25" s="67" t="s">
        <v>400</v>
      </c>
    </row>
    <row r="27" spans="1:8" ht="24" customHeight="1" x14ac:dyDescent="0.25">
      <c r="A27" s="839" t="s">
        <v>401</v>
      </c>
      <c r="B27" s="817"/>
      <c r="C27" s="817"/>
      <c r="D27" s="817"/>
      <c r="E27" s="817"/>
      <c r="F27" s="817"/>
      <c r="G27" s="817"/>
      <c r="H27" s="817"/>
    </row>
    <row r="28" spans="1:8" ht="18" customHeight="1" x14ac:dyDescent="0.25">
      <c r="A28" s="62" t="s">
        <v>402</v>
      </c>
      <c r="B28" s="84">
        <v>0.6</v>
      </c>
      <c r="C28" s="84">
        <f>B28</f>
        <v>0.6</v>
      </c>
      <c r="D28" s="84">
        <f>C28</f>
        <v>0.6</v>
      </c>
      <c r="E28" s="84">
        <f>D28</f>
        <v>0.6</v>
      </c>
      <c r="F28" s="85">
        <f>CHOOSE(MATCH(B$2,{"Actuals (T-12)","2. My Version","3. Projected","4. Offer"},0),B28,C28,D28,E28)</f>
        <v>0.6</v>
      </c>
      <c r="G28" s="85"/>
      <c r="H28" s="7" t="s">
        <v>403</v>
      </c>
    </row>
    <row r="29" spans="1:8" ht="18" customHeight="1" x14ac:dyDescent="0.25">
      <c r="A29" s="62" t="s">
        <v>404</v>
      </c>
      <c r="B29" s="86">
        <f>1-B28</f>
        <v>0.4</v>
      </c>
      <c r="C29" s="86">
        <f>1-C28</f>
        <v>0.4</v>
      </c>
      <c r="D29" s="86">
        <f>1-D28</f>
        <v>0.4</v>
      </c>
      <c r="E29" s="86">
        <f>1-E28</f>
        <v>0.4</v>
      </c>
      <c r="F29" s="85">
        <f>CHOOSE(MATCH(B$2,{"Actuals (T-12)","2. My Version","3. Projected","4. Offer"},0),B29,C29,D29,E29)</f>
        <v>0.4</v>
      </c>
      <c r="G29" s="85"/>
      <c r="H29" s="67" t="s">
        <v>405</v>
      </c>
    </row>
    <row r="30" spans="1:8" ht="18" customHeight="1" x14ac:dyDescent="0.25">
      <c r="A30" s="62" t="s">
        <v>406</v>
      </c>
      <c r="B30" s="87">
        <f>1-B28-B29</f>
        <v>0</v>
      </c>
      <c r="C30" s="87">
        <f>1-C28-C29</f>
        <v>0</v>
      </c>
      <c r="D30" s="87">
        <f>1-D28-D29</f>
        <v>0</v>
      </c>
      <c r="E30" s="87">
        <f>1-E28-E29</f>
        <v>0</v>
      </c>
      <c r="F30" s="85">
        <f>CHOOSE(MATCH(B$2,{"Actuals (T-12)","2. My Version","3. Projected","4. Offer"},0),B30,C30,D30,E30)</f>
        <v>0</v>
      </c>
      <c r="G30" s="85"/>
      <c r="H30" s="7" t="s">
        <v>407</v>
      </c>
    </row>
    <row r="31" spans="1:8" ht="18" customHeight="1" x14ac:dyDescent="0.25">
      <c r="A31" s="88" t="s">
        <v>408</v>
      </c>
      <c r="B31" s="89">
        <f>IFERROR(B17-B164,0)</f>
        <v>0</v>
      </c>
      <c r="C31" s="89">
        <f>IFERROR(C17-C164,0)</f>
        <v>0</v>
      </c>
      <c r="D31" s="89">
        <f>IFERROR(D17-D164,0)</f>
        <v>0</v>
      </c>
      <c r="E31" s="89">
        <f>IFERROR(E17-E164,0)</f>
        <v>0</v>
      </c>
      <c r="F31" s="90">
        <f>CHOOSE(MATCH(B$2,{"Actuals (T-12)","2. My Version","3. Projected","4. Offer"},0),B31,C31,D31,E31)</f>
        <v>0</v>
      </c>
      <c r="G31" s="90"/>
      <c r="H31" s="5" t="s">
        <v>385</v>
      </c>
    </row>
    <row r="32" spans="1:8" ht="18" customHeight="1" x14ac:dyDescent="0.25">
      <c r="A32" s="62" t="s">
        <v>409</v>
      </c>
      <c r="B32" s="91"/>
      <c r="C32" s="91">
        <f>B32</f>
        <v>0</v>
      </c>
      <c r="D32" s="91">
        <f>C32</f>
        <v>0</v>
      </c>
      <c r="E32" s="91">
        <f>D32</f>
        <v>0</v>
      </c>
      <c r="F32" s="90">
        <f>CHOOSE(MATCH(B$2,{"Actuals (T-12)","2. My Version","3. Projected","4. Offer"},0),B32,C32,D32,E32)</f>
        <v>0</v>
      </c>
      <c r="G32" s="90"/>
      <c r="H32" s="92" t="s">
        <v>410</v>
      </c>
    </row>
    <row r="33" spans="1:11" ht="18" customHeight="1" x14ac:dyDescent="0.25">
      <c r="A33" s="62" t="s">
        <v>411</v>
      </c>
      <c r="B33" s="93">
        <f>B31-B32</f>
        <v>0</v>
      </c>
      <c r="C33" s="93">
        <f>C31-C32</f>
        <v>0</v>
      </c>
      <c r="D33" s="93">
        <f>D31-D32</f>
        <v>0</v>
      </c>
      <c r="E33" s="93">
        <f>E31-E32</f>
        <v>0</v>
      </c>
      <c r="F33" s="90">
        <f>CHOOSE(MATCH(B$2,{"Actuals (T-12)","2. My Version","3. Projected","4. Offer"},0),B33,C33,D33,E33)</f>
        <v>0</v>
      </c>
      <c r="G33" s="90"/>
      <c r="H33" s="94" t="s">
        <v>412</v>
      </c>
    </row>
    <row r="34" spans="1:11" ht="18" customHeight="1" x14ac:dyDescent="0.25">
      <c r="A34" s="62" t="s">
        <v>413</v>
      </c>
      <c r="B34" s="95">
        <f>B30*B31</f>
        <v>0</v>
      </c>
      <c r="C34" s="95">
        <f>C30*C31</f>
        <v>0</v>
      </c>
      <c r="D34" s="95">
        <f>D30*D31</f>
        <v>0</v>
      </c>
      <c r="E34" s="95">
        <f>E30*E31</f>
        <v>0</v>
      </c>
      <c r="F34" s="90">
        <f>CHOOSE(MATCH(B$2,{"Actuals (T-12)","2. My Version","3. Projected","4. Offer"},0),B34,C34,D34,E34)</f>
        <v>0</v>
      </c>
      <c r="G34" s="90"/>
      <c r="H34" s="7" t="s">
        <v>385</v>
      </c>
    </row>
    <row r="35" spans="1:11" ht="18" customHeight="1" x14ac:dyDescent="0.25">
      <c r="A35" s="65" t="s">
        <v>414</v>
      </c>
      <c r="B35" s="96">
        <v>0</v>
      </c>
      <c r="C35" s="96">
        <f>B35</f>
        <v>0</v>
      </c>
      <c r="D35" s="96">
        <f>C35</f>
        <v>0</v>
      </c>
      <c r="E35" s="96">
        <f>D35</f>
        <v>0</v>
      </c>
      <c r="F35" s="74">
        <f>CHOOSE(MATCH(B$2,{"Actuals (T-12)","2. My Version","3. Projected","4. Offer"},0),B35,C35,D35,E35)</f>
        <v>0</v>
      </c>
      <c r="G35" s="74"/>
      <c r="H35" s="67" t="s">
        <v>415</v>
      </c>
    </row>
    <row r="36" spans="1:11" ht="18" customHeight="1" x14ac:dyDescent="0.25">
      <c r="A36" s="97" t="s">
        <v>416</v>
      </c>
      <c r="B36" s="98">
        <f>B28</f>
        <v>0.6</v>
      </c>
      <c r="C36" s="98">
        <f>C28</f>
        <v>0.6</v>
      </c>
      <c r="D36" s="98">
        <f>D28</f>
        <v>0.6</v>
      </c>
      <c r="E36" s="98">
        <f>E28</f>
        <v>0.6</v>
      </c>
      <c r="F36" s="85">
        <f>CHOOSE(MATCH(B$2,{"Actuals (T-12)","2. My Version","3. Projected","4. Offer"},0),B36,C36,D36,E36)</f>
        <v>0.6</v>
      </c>
      <c r="G36" s="85"/>
      <c r="H36" s="99" t="s">
        <v>417</v>
      </c>
    </row>
    <row r="37" spans="1:11" ht="21.75" customHeight="1" x14ac:dyDescent="0.25">
      <c r="A37" s="838" t="s">
        <v>418</v>
      </c>
      <c r="B37" s="817"/>
      <c r="C37" s="817"/>
      <c r="D37" s="817"/>
      <c r="E37" s="817"/>
      <c r="F37" s="817"/>
      <c r="G37" s="817"/>
      <c r="H37" s="817"/>
      <c r="I37" s="427"/>
      <c r="J37" s="427"/>
      <c r="K37" s="427"/>
    </row>
    <row r="38" spans="1:11" ht="18" customHeight="1" x14ac:dyDescent="0.25">
      <c r="A38" s="428" t="s">
        <v>419</v>
      </c>
      <c r="B38" s="427"/>
      <c r="C38" s="427"/>
      <c r="D38" s="427"/>
      <c r="E38" s="427"/>
      <c r="F38" s="427"/>
      <c r="G38" s="427"/>
      <c r="H38" s="427"/>
      <c r="I38" s="427"/>
      <c r="J38" s="427"/>
      <c r="K38" s="427"/>
    </row>
    <row r="39" spans="1:11" ht="18" customHeight="1" x14ac:dyDescent="0.25">
      <c r="A39" s="427" t="s">
        <v>420</v>
      </c>
      <c r="B39" s="531"/>
      <c r="C39" s="532">
        <f t="shared" ref="C39:E41" si="1">B39</f>
        <v>0</v>
      </c>
      <c r="D39" s="532">
        <f t="shared" si="1"/>
        <v>0</v>
      </c>
      <c r="E39" s="532">
        <f t="shared" si="1"/>
        <v>0</v>
      </c>
      <c r="F39" s="532">
        <f>CHOOSE(MATCH(B$2,{"Actuals (T-12)","2. My Version","3. Projected","4. Offer"},0),B39,C39,D39,E39)</f>
        <v>0</v>
      </c>
      <c r="G39" s="427"/>
      <c r="H39" s="429" t="s">
        <v>421</v>
      </c>
      <c r="I39" s="427"/>
      <c r="J39" s="427"/>
      <c r="K39" s="427"/>
    </row>
    <row r="40" spans="1:11" ht="18" customHeight="1" x14ac:dyDescent="0.25">
      <c r="A40" s="427" t="s">
        <v>422</v>
      </c>
      <c r="B40" s="533"/>
      <c r="C40" s="532">
        <f t="shared" si="1"/>
        <v>0</v>
      </c>
      <c r="D40" s="532">
        <f t="shared" si="1"/>
        <v>0</v>
      </c>
      <c r="E40" s="532">
        <f t="shared" si="1"/>
        <v>0</v>
      </c>
      <c r="F40" s="532">
        <f>CHOOSE(MATCH(B$2,{"Actuals (T-12)","2. My Version","3. Projected","4. Offer"},0),B40,C40,D40,E40)</f>
        <v>0</v>
      </c>
      <c r="G40" s="427"/>
      <c r="H40" s="429" t="s">
        <v>423</v>
      </c>
      <c r="I40" s="427"/>
      <c r="J40" s="427"/>
      <c r="K40" s="427"/>
    </row>
    <row r="41" spans="1:11" ht="18" customHeight="1" x14ac:dyDescent="0.25">
      <c r="A41" s="427" t="s">
        <v>424</v>
      </c>
      <c r="B41" s="533"/>
      <c r="C41" s="532">
        <f t="shared" si="1"/>
        <v>0</v>
      </c>
      <c r="D41" s="532">
        <f t="shared" si="1"/>
        <v>0</v>
      </c>
      <c r="E41" s="532">
        <f t="shared" si="1"/>
        <v>0</v>
      </c>
      <c r="F41" s="532">
        <f>CHOOSE(MATCH(B$2,{"Actuals (T-12)","2. My Version","3. Projected","4. Offer"},0),B41,C41,D41,E41)</f>
        <v>0</v>
      </c>
      <c r="G41" s="427"/>
      <c r="H41" s="429" t="s">
        <v>425</v>
      </c>
      <c r="I41" s="427"/>
      <c r="J41" s="427"/>
      <c r="K41" s="427"/>
    </row>
    <row r="42" spans="1:11" ht="18" customHeight="1" x14ac:dyDescent="0.25">
      <c r="A42" s="430" t="s">
        <v>426</v>
      </c>
      <c r="B42" s="431">
        <f>B39+B40+B41</f>
        <v>0</v>
      </c>
      <c r="C42" s="431">
        <f>C39+C40+C41</f>
        <v>0</v>
      </c>
      <c r="D42" s="431">
        <f>D39+D40+D41</f>
        <v>0</v>
      </c>
      <c r="E42" s="431">
        <f>E39+E40+E41</f>
        <v>0</v>
      </c>
      <c r="F42" s="431">
        <f>CHOOSE(MATCH(B$2,{"Actuals (T-12)","2. My Version","3. Projected","4. Offer"},0),B42,C42,D42,E42)</f>
        <v>0</v>
      </c>
      <c r="G42" s="427"/>
      <c r="H42" s="575" t="s">
        <v>1490</v>
      </c>
      <c r="I42" s="427"/>
      <c r="J42" s="427"/>
      <c r="K42" s="427"/>
    </row>
    <row r="43" spans="1:11" ht="18" customHeight="1" x14ac:dyDescent="0.25">
      <c r="A43" s="428" t="s">
        <v>427</v>
      </c>
      <c r="B43" s="427"/>
      <c r="C43" s="427"/>
      <c r="D43" s="427"/>
      <c r="E43" s="427"/>
      <c r="F43" s="427"/>
      <c r="G43" s="427"/>
      <c r="H43" s="427"/>
      <c r="I43" s="427"/>
      <c r="J43" s="427"/>
      <c r="K43" s="427"/>
    </row>
    <row r="44" spans="1:11" ht="18" customHeight="1" x14ac:dyDescent="0.25">
      <c r="A44" s="427" t="s">
        <v>428</v>
      </c>
      <c r="B44" s="534"/>
      <c r="C44" s="535">
        <f t="shared" ref="C44:E46" si="2">B44</f>
        <v>0</v>
      </c>
      <c r="D44" s="535">
        <f t="shared" si="2"/>
        <v>0</v>
      </c>
      <c r="E44" s="535">
        <f t="shared" si="2"/>
        <v>0</v>
      </c>
      <c r="F44" s="535">
        <f>CHOOSE(MATCH(B$2,{"Actuals (T-12)","2. My Version","3. Projected","4. Offer"},0),B44,C44,D44,E44)</f>
        <v>0</v>
      </c>
      <c r="G44" s="427"/>
      <c r="H44" s="575" t="s">
        <v>1491</v>
      </c>
      <c r="I44" s="427"/>
      <c r="J44" s="427"/>
      <c r="K44" s="427"/>
    </row>
    <row r="45" spans="1:11" ht="18" customHeight="1" x14ac:dyDescent="0.25">
      <c r="A45" s="427" t="s">
        <v>429</v>
      </c>
      <c r="B45" s="534"/>
      <c r="C45" s="535">
        <f t="shared" si="2"/>
        <v>0</v>
      </c>
      <c r="D45" s="535">
        <f t="shared" si="2"/>
        <v>0</v>
      </c>
      <c r="E45" s="535">
        <f t="shared" si="2"/>
        <v>0</v>
      </c>
      <c r="F45" s="535">
        <f>CHOOSE(MATCH(B$2,{"Actuals (T-12)","2. My Version","3. Projected","4. Offer"},0),B45,C45,D45,E45)</f>
        <v>0</v>
      </c>
      <c r="G45" s="427"/>
      <c r="H45" s="576" t="s">
        <v>1492</v>
      </c>
      <c r="I45" s="427"/>
      <c r="J45" s="427"/>
      <c r="K45" s="427"/>
    </row>
    <row r="46" spans="1:11" ht="18" customHeight="1" x14ac:dyDescent="0.25">
      <c r="A46" s="427" t="s">
        <v>430</v>
      </c>
      <c r="B46" s="534"/>
      <c r="C46" s="535">
        <f t="shared" si="2"/>
        <v>0</v>
      </c>
      <c r="D46" s="535">
        <f t="shared" si="2"/>
        <v>0</v>
      </c>
      <c r="E46" s="535">
        <f t="shared" si="2"/>
        <v>0</v>
      </c>
      <c r="F46" s="535">
        <f>CHOOSE(MATCH(B$2,{"Actuals (T-12)","2. My Version","3. Projected","4. Offer"},0),B46,C46,D46,E46)</f>
        <v>0</v>
      </c>
      <c r="G46" s="427"/>
      <c r="H46" s="575" t="s">
        <v>1493</v>
      </c>
      <c r="I46" s="427"/>
      <c r="J46" s="427"/>
      <c r="K46" s="427"/>
    </row>
    <row r="47" spans="1:11" ht="18" customHeight="1" x14ac:dyDescent="0.25">
      <c r="A47" s="428" t="s">
        <v>431</v>
      </c>
      <c r="B47" s="536"/>
      <c r="C47" s="536"/>
      <c r="D47" s="536"/>
      <c r="E47" s="536"/>
      <c r="F47" s="536"/>
      <c r="G47" s="427"/>
      <c r="H47" s="576" t="s">
        <v>1494</v>
      </c>
      <c r="I47" s="427"/>
      <c r="J47" s="427"/>
      <c r="K47" s="427"/>
    </row>
    <row r="48" spans="1:11" ht="18" customHeight="1" x14ac:dyDescent="0.25">
      <c r="A48" s="427" t="s">
        <v>432</v>
      </c>
      <c r="B48" s="535">
        <f t="shared" ref="B48:E50" si="3">B39*B44*12</f>
        <v>0</v>
      </c>
      <c r="C48" s="535">
        <f t="shared" si="3"/>
        <v>0</v>
      </c>
      <c r="D48" s="535">
        <f t="shared" si="3"/>
        <v>0</v>
      </c>
      <c r="E48" s="535">
        <f t="shared" si="3"/>
        <v>0</v>
      </c>
      <c r="F48" s="535">
        <f>CHOOSE(MATCH(B$2,{"Actuals (T-12)","2. My Version","3. Projected","4. Offer"},0),B48,C48,D48,E48)</f>
        <v>0</v>
      </c>
      <c r="G48" s="571">
        <f>IFERROR(F48/F$42/12,0)</f>
        <v>0</v>
      </c>
      <c r="H48" s="575" t="s">
        <v>1495</v>
      </c>
      <c r="I48" s="427"/>
      <c r="J48" s="427"/>
      <c r="K48" s="427"/>
    </row>
    <row r="49" spans="1:11" ht="18" customHeight="1" x14ac:dyDescent="0.25">
      <c r="A49" s="427" t="s">
        <v>433</v>
      </c>
      <c r="B49" s="535">
        <f t="shared" si="3"/>
        <v>0</v>
      </c>
      <c r="C49" s="535">
        <f t="shared" si="3"/>
        <v>0</v>
      </c>
      <c r="D49" s="535">
        <f t="shared" si="3"/>
        <v>0</v>
      </c>
      <c r="E49" s="535">
        <f t="shared" si="3"/>
        <v>0</v>
      </c>
      <c r="F49" s="535">
        <f>CHOOSE(MATCH(B$2,{"Actuals (T-12)","2. My Version","3. Projected","4. Offer"},0),B49,C49,D49,E49)</f>
        <v>0</v>
      </c>
      <c r="G49" s="571">
        <f>IFERROR(F49/F$42/12,0)</f>
        <v>0</v>
      </c>
      <c r="H49" s="576" t="s">
        <v>1496</v>
      </c>
      <c r="I49" s="427"/>
      <c r="J49" s="427"/>
      <c r="K49" s="427"/>
    </row>
    <row r="50" spans="1:11" ht="18" customHeight="1" x14ac:dyDescent="0.25">
      <c r="A50" s="427" t="s">
        <v>434</v>
      </c>
      <c r="B50" s="535">
        <f t="shared" si="3"/>
        <v>0</v>
      </c>
      <c r="C50" s="535">
        <f t="shared" si="3"/>
        <v>0</v>
      </c>
      <c r="D50" s="535">
        <f t="shared" si="3"/>
        <v>0</v>
      </c>
      <c r="E50" s="535">
        <f t="shared" si="3"/>
        <v>0</v>
      </c>
      <c r="F50" s="535">
        <f>CHOOSE(MATCH(B$2,{"Actuals (T-12)","2. My Version","3. Projected","4. Offer"},0),B50,C50,D50,E50)</f>
        <v>0</v>
      </c>
      <c r="G50" s="571">
        <f>IFERROR(F50/F$42/12,0)</f>
        <v>0</v>
      </c>
      <c r="H50" s="575" t="s">
        <v>1497</v>
      </c>
      <c r="I50" s="427"/>
      <c r="J50" s="427"/>
      <c r="K50" s="427"/>
    </row>
    <row r="51" spans="1:11" ht="24" customHeight="1" x14ac:dyDescent="0.25">
      <c r="A51" s="432" t="s">
        <v>435</v>
      </c>
      <c r="B51" s="537">
        <f>B48+B49+B50</f>
        <v>0</v>
      </c>
      <c r="C51" s="537">
        <f>C48+C49+C50</f>
        <v>0</v>
      </c>
      <c r="D51" s="537">
        <f>D48+D49+D50</f>
        <v>0</v>
      </c>
      <c r="E51" s="537">
        <f>E48+E49+E50</f>
        <v>0</v>
      </c>
      <c r="F51" s="537">
        <f>CHOOSE(MATCH(B$2,{"Actuals (T-12)","2. My Version","3. Projected","4. Offer"},0),B51,C51,D51,E51)</f>
        <v>0</v>
      </c>
      <c r="G51" s="572">
        <f>IFERROR(F51/F$42/12,0)</f>
        <v>0</v>
      </c>
      <c r="H51" s="429" t="s">
        <v>436</v>
      </c>
      <c r="I51" s="427"/>
      <c r="J51" s="427"/>
      <c r="K51" s="427"/>
    </row>
    <row r="52" spans="1:11" ht="18" customHeight="1" x14ac:dyDescent="0.25">
      <c r="A52" s="428" t="s">
        <v>437</v>
      </c>
      <c r="B52" s="536"/>
      <c r="C52" s="536"/>
      <c r="D52" s="536"/>
      <c r="E52" s="536"/>
      <c r="F52" s="536"/>
      <c r="G52" s="427"/>
      <c r="H52" s="575" t="s">
        <v>1498</v>
      </c>
      <c r="I52" s="427"/>
      <c r="J52" s="427"/>
      <c r="K52" s="427"/>
    </row>
    <row r="53" spans="1:11" ht="18" customHeight="1" x14ac:dyDescent="0.25">
      <c r="A53" s="427" t="s">
        <v>438</v>
      </c>
      <c r="B53" s="500"/>
      <c r="C53" s="538">
        <f t="shared" ref="C53:E55" si="4">B53</f>
        <v>0</v>
      </c>
      <c r="D53" s="538">
        <f t="shared" si="4"/>
        <v>0</v>
      </c>
      <c r="E53" s="538">
        <f t="shared" si="4"/>
        <v>0</v>
      </c>
      <c r="F53" s="538">
        <f>CHOOSE(MATCH(B$2,{"Actuals (T-12)","2. My Version","3. Projected","4. Offer"},0),B53,C53,D53,E53)</f>
        <v>0</v>
      </c>
      <c r="G53" s="427"/>
      <c r="H53" s="429" t="s">
        <v>439</v>
      </c>
      <c r="I53" s="427"/>
      <c r="J53" s="427"/>
      <c r="K53" s="427"/>
    </row>
    <row r="54" spans="1:11" ht="18" customHeight="1" x14ac:dyDescent="0.25">
      <c r="A54" s="427" t="s">
        <v>440</v>
      </c>
      <c r="B54" s="500"/>
      <c r="C54" s="538">
        <f t="shared" si="4"/>
        <v>0</v>
      </c>
      <c r="D54" s="538">
        <f t="shared" si="4"/>
        <v>0</v>
      </c>
      <c r="E54" s="538">
        <f t="shared" si="4"/>
        <v>0</v>
      </c>
      <c r="F54" s="538">
        <f>CHOOSE(MATCH(B$2,{"Actuals (T-12)","2. My Version","3. Projected","4. Offer"},0),B54,C54,D54,E54)</f>
        <v>0</v>
      </c>
      <c r="G54" s="427"/>
      <c r="H54" s="429" t="s">
        <v>441</v>
      </c>
      <c r="I54" s="427"/>
      <c r="J54" s="427"/>
      <c r="K54" s="427"/>
    </row>
    <row r="55" spans="1:11" ht="18" customHeight="1" x14ac:dyDescent="0.25">
      <c r="A55" s="427" t="s">
        <v>442</v>
      </c>
      <c r="B55" s="500"/>
      <c r="C55" s="538">
        <f t="shared" si="4"/>
        <v>0</v>
      </c>
      <c r="D55" s="538">
        <f t="shared" si="4"/>
        <v>0</v>
      </c>
      <c r="E55" s="538">
        <f t="shared" si="4"/>
        <v>0</v>
      </c>
      <c r="F55" s="538">
        <f>CHOOSE(MATCH(B$2,{"Actuals (T-12)","2. My Version","3. Projected","4. Offer"},0),B55,C55,D55,E55)</f>
        <v>0</v>
      </c>
      <c r="G55" s="427"/>
      <c r="H55" s="429" t="s">
        <v>443</v>
      </c>
      <c r="I55" s="427"/>
      <c r="J55" s="427"/>
      <c r="K55" s="427"/>
    </row>
    <row r="56" spans="1:11" ht="18" customHeight="1" x14ac:dyDescent="0.25">
      <c r="A56" s="430" t="s">
        <v>444</v>
      </c>
      <c r="B56" s="539">
        <f>IFERROR((B53*B48+B54*B49+B55*B50)/B51,0)</f>
        <v>0</v>
      </c>
      <c r="C56" s="539">
        <f>IFERROR((C53*C48+C54*C49+C55*C50)/C51,0)</f>
        <v>0</v>
      </c>
      <c r="D56" s="539">
        <f>IFERROR((D53*D48+D54*D49+D55*D50)/D51,0)</f>
        <v>0</v>
      </c>
      <c r="E56" s="539">
        <f>IFERROR((E53*E48+E54*E49+E55*E50)/E51,0)</f>
        <v>0</v>
      </c>
      <c r="F56" s="539">
        <f>CHOOSE(MATCH(B$2,{"Actuals (T-12)","2. My Version","3. Projected","4. Offer"},0),B56,C56,D56,E56)</f>
        <v>0</v>
      </c>
      <c r="G56" s="427"/>
      <c r="H56" s="429" t="s">
        <v>445</v>
      </c>
      <c r="I56" s="427"/>
      <c r="J56" s="427"/>
      <c r="K56" s="427"/>
    </row>
    <row r="57" spans="1:11" ht="18" customHeight="1" x14ac:dyDescent="0.25">
      <c r="A57" s="427" t="s">
        <v>446</v>
      </c>
      <c r="B57" s="535">
        <f>-B56*B51</f>
        <v>0</v>
      </c>
      <c r="C57" s="535">
        <f>-C56*C51</f>
        <v>0</v>
      </c>
      <c r="D57" s="535">
        <f>-D56*D51</f>
        <v>0</v>
      </c>
      <c r="E57" s="535">
        <f>-E56*E51</f>
        <v>0</v>
      </c>
      <c r="F57" s="535">
        <f>CHOOSE(MATCH(B$2,{"Actuals (T-12)","2. My Version","3. Projected","4. Offer"},0),B57,C57,D57,E57)</f>
        <v>0</v>
      </c>
      <c r="G57" s="573">
        <f>IFERROR(F57/F$51,0)</f>
        <v>0</v>
      </c>
      <c r="H57" s="576" t="s">
        <v>1499</v>
      </c>
      <c r="I57" s="427"/>
      <c r="J57" s="427"/>
      <c r="K57" s="427"/>
    </row>
    <row r="58" spans="1:11" ht="18" customHeight="1" x14ac:dyDescent="0.25">
      <c r="A58" s="427" t="s">
        <v>447</v>
      </c>
      <c r="B58" s="500"/>
      <c r="C58" s="538">
        <f>B58</f>
        <v>0</v>
      </c>
      <c r="D58" s="538">
        <f>C58</f>
        <v>0</v>
      </c>
      <c r="E58" s="538">
        <f>D58</f>
        <v>0</v>
      </c>
      <c r="F58" s="538">
        <f>CHOOSE(MATCH(B$2,{"Actuals (T-12)","2. My Version","3. Projected","4. Offer"},0),B58,C58,D58,E58)</f>
        <v>0</v>
      </c>
      <c r="G58" s="427"/>
      <c r="H58" s="575" t="s">
        <v>1500</v>
      </c>
      <c r="I58" s="427"/>
      <c r="J58" s="427"/>
      <c r="K58" s="427"/>
    </row>
    <row r="59" spans="1:11" ht="18" customHeight="1" x14ac:dyDescent="0.25">
      <c r="A59" s="427" t="s">
        <v>448</v>
      </c>
      <c r="B59" s="535">
        <f>-B58*B51</f>
        <v>0</v>
      </c>
      <c r="C59" s="535">
        <f>-C58*C51</f>
        <v>0</v>
      </c>
      <c r="D59" s="535">
        <f>-D58*D51</f>
        <v>0</v>
      </c>
      <c r="E59" s="535">
        <f>-E58*E51</f>
        <v>0</v>
      </c>
      <c r="F59" s="535">
        <f>CHOOSE(MATCH(B$2,{"Actuals (T-12)","2. My Version","3. Projected","4. Offer"},0),B59,C59,D59,E59)</f>
        <v>0</v>
      </c>
      <c r="G59" s="574">
        <f>IFERROR(F59/F$51,0)</f>
        <v>0</v>
      </c>
      <c r="H59" s="576" t="s">
        <v>1501</v>
      </c>
      <c r="I59" s="427"/>
      <c r="J59" s="427"/>
      <c r="K59" s="427"/>
    </row>
    <row r="60" spans="1:11" ht="18" customHeight="1" x14ac:dyDescent="0.25">
      <c r="A60" s="427" t="s">
        <v>449</v>
      </c>
      <c r="B60" s="506"/>
      <c r="C60" s="538">
        <f>B60</f>
        <v>0</v>
      </c>
      <c r="D60" s="538">
        <f>C60</f>
        <v>0</v>
      </c>
      <c r="E60" s="538">
        <f>D60</f>
        <v>0</v>
      </c>
      <c r="F60" s="538">
        <f>CHOOSE(MATCH(B$2,{"Actuals (T-12)","2. My Version","3. Projected","4. Offer"},0),B60,C60,D60,E60)</f>
        <v>0</v>
      </c>
      <c r="G60" s="427"/>
      <c r="H60" s="575" t="s">
        <v>1502</v>
      </c>
      <c r="I60" s="427"/>
      <c r="J60" s="427"/>
      <c r="K60" s="427"/>
    </row>
    <row r="61" spans="1:11" ht="18" customHeight="1" x14ac:dyDescent="0.25">
      <c r="A61" s="427" t="s">
        <v>450</v>
      </c>
      <c r="B61" s="535">
        <f>-B60*B51</f>
        <v>0</v>
      </c>
      <c r="C61" s="535">
        <f>-C60*C51</f>
        <v>0</v>
      </c>
      <c r="D61" s="535">
        <f>-D60*D51</f>
        <v>0</v>
      </c>
      <c r="E61" s="535">
        <f>-E60*E51</f>
        <v>0</v>
      </c>
      <c r="F61" s="535">
        <f>CHOOSE(MATCH(B$2,{"Actuals (T-12)","2. My Version","3. Projected","4. Offer"},0),B61,C61,D61,E61)</f>
        <v>0</v>
      </c>
      <c r="G61" s="573">
        <f>IFERROR(F61/F$51,0)</f>
        <v>0</v>
      </c>
      <c r="H61" s="576" t="s">
        <v>1503</v>
      </c>
      <c r="I61" s="427"/>
      <c r="J61" s="427"/>
      <c r="K61" s="427"/>
    </row>
    <row r="62" spans="1:11" ht="18" customHeight="1" x14ac:dyDescent="0.25">
      <c r="A62" s="427" t="s">
        <v>451</v>
      </c>
      <c r="B62" s="500"/>
      <c r="C62" s="538">
        <f>B62</f>
        <v>0</v>
      </c>
      <c r="D62" s="538">
        <f>C62</f>
        <v>0</v>
      </c>
      <c r="E62" s="538">
        <f>D62</f>
        <v>0</v>
      </c>
      <c r="F62" s="538">
        <f>CHOOSE(MATCH(B$2,{"Actuals (T-12)","2. My Version","3. Projected","4. Offer"},0),B62,C62,D62,E62)</f>
        <v>0</v>
      </c>
      <c r="G62" s="427"/>
      <c r="H62" s="575" t="s">
        <v>1504</v>
      </c>
      <c r="I62" s="434"/>
      <c r="J62" s="427"/>
      <c r="K62" s="427"/>
    </row>
    <row r="63" spans="1:11" ht="18" customHeight="1" x14ac:dyDescent="0.25">
      <c r="A63" s="427" t="s">
        <v>452</v>
      </c>
      <c r="B63" s="535">
        <f>B62*B51</f>
        <v>0</v>
      </c>
      <c r="C63" s="535">
        <f>C62*C51</f>
        <v>0</v>
      </c>
      <c r="D63" s="535">
        <f>D62*D51</f>
        <v>0</v>
      </c>
      <c r="E63" s="535">
        <f>E62*E51</f>
        <v>0</v>
      </c>
      <c r="F63" s="535">
        <f>CHOOSE(MATCH(B$2,{"Actuals (T-12)","2. My Version","3. Projected","4. Offer"},0),B63,C63,D63,E63)</f>
        <v>0</v>
      </c>
      <c r="G63" s="574">
        <f>IFERROR(F63/F$51,0)</f>
        <v>0</v>
      </c>
      <c r="H63" s="576" t="s">
        <v>1505</v>
      </c>
      <c r="I63" s="427"/>
      <c r="J63" s="427"/>
      <c r="K63" s="427"/>
    </row>
    <row r="64" spans="1:11" ht="18" customHeight="1" x14ac:dyDescent="0.25">
      <c r="A64" s="427" t="s">
        <v>453</v>
      </c>
      <c r="B64" s="540"/>
      <c r="C64" s="535">
        <f t="shared" ref="C64:E65" si="5">B64</f>
        <v>0</v>
      </c>
      <c r="D64" s="535">
        <f t="shared" si="5"/>
        <v>0</v>
      </c>
      <c r="E64" s="535">
        <f t="shared" si="5"/>
        <v>0</v>
      </c>
      <c r="F64" s="535">
        <f>CHOOSE(MATCH(B$2,{"Actuals (T-12)","2. My Version","3. Projected","4. Offer"},0),B64,C64,D64,E64)</f>
        <v>0</v>
      </c>
      <c r="G64" s="573">
        <f>IFERROR(F64/F$66,0)</f>
        <v>0</v>
      </c>
      <c r="H64" s="429" t="s">
        <v>454</v>
      </c>
      <c r="I64" s="427"/>
      <c r="J64" s="427"/>
      <c r="K64" s="427"/>
    </row>
    <row r="65" spans="1:11" ht="18" customHeight="1" x14ac:dyDescent="0.25">
      <c r="A65" s="427" t="s">
        <v>455</v>
      </c>
      <c r="B65" s="540"/>
      <c r="C65" s="535">
        <f t="shared" si="5"/>
        <v>0</v>
      </c>
      <c r="D65" s="535">
        <f t="shared" si="5"/>
        <v>0</v>
      </c>
      <c r="E65" s="535">
        <f t="shared" si="5"/>
        <v>0</v>
      </c>
      <c r="F65" s="535">
        <f>CHOOSE(MATCH(B$2,{"Actuals (T-12)","2. My Version","3. Projected","4. Offer"},0),B65,C65,D65,E65)</f>
        <v>0</v>
      </c>
      <c r="G65" s="574">
        <f>IFERROR(F65/F$66,0)</f>
        <v>0</v>
      </c>
      <c r="H65" s="429" t="s">
        <v>456</v>
      </c>
      <c r="I65" s="427"/>
      <c r="J65" s="427"/>
      <c r="K65" s="427"/>
    </row>
    <row r="66" spans="1:11" ht="18" customHeight="1" x14ac:dyDescent="0.25">
      <c r="A66" s="432" t="s">
        <v>457</v>
      </c>
      <c r="B66" s="433">
        <f>B51+B57+B59+B61+B63+B64+B65</f>
        <v>0</v>
      </c>
      <c r="C66" s="433">
        <f>C51+C57+C59+C61+C63+C64+C65</f>
        <v>0</v>
      </c>
      <c r="D66" s="433">
        <f>D51+D57+D59+D61+D63+D64+D65</f>
        <v>0</v>
      </c>
      <c r="E66" s="433">
        <f>E51+E57+E59+E61+E63+E64+E65</f>
        <v>0</v>
      </c>
      <c r="F66" s="433">
        <f>CHOOSE(MATCH(B$2,{"Actuals (T-12)","2. My Version","3. Projected","4. Offer"},0),B66,C66,D66,E66)</f>
        <v>0</v>
      </c>
      <c r="G66" s="572">
        <f>IFERROR(F66/F$71/12,0)</f>
        <v>0</v>
      </c>
      <c r="H66" s="575" t="s">
        <v>1506</v>
      </c>
      <c r="I66" s="427"/>
      <c r="J66" s="427"/>
      <c r="K66" s="427"/>
    </row>
    <row r="67" spans="1:11" ht="18" customHeight="1" x14ac:dyDescent="0.25">
      <c r="A67" s="428" t="s">
        <v>458</v>
      </c>
      <c r="B67" s="536"/>
      <c r="C67" s="536"/>
      <c r="D67" s="536"/>
      <c r="E67" s="536"/>
      <c r="F67" s="536"/>
      <c r="G67" s="427"/>
      <c r="H67" s="576" t="s">
        <v>1507</v>
      </c>
      <c r="I67" s="427"/>
      <c r="J67" s="427"/>
      <c r="K67" s="427"/>
    </row>
    <row r="68" spans="1:11" ht="18" customHeight="1" x14ac:dyDescent="0.25">
      <c r="A68" s="427" t="s">
        <v>459</v>
      </c>
      <c r="B68" s="532">
        <f t="shared" ref="B68:E70" si="6">ROUND(B39*(1-B53),0)</f>
        <v>0</v>
      </c>
      <c r="C68" s="532">
        <f t="shared" si="6"/>
        <v>0</v>
      </c>
      <c r="D68" s="532">
        <f t="shared" si="6"/>
        <v>0</v>
      </c>
      <c r="E68" s="532">
        <f t="shared" si="6"/>
        <v>0</v>
      </c>
      <c r="F68" s="532">
        <f>CHOOSE(MATCH(B$2,{"Actuals (T-12)","2. My Version","3. Projected","4. Offer"},0),B68,C68,D68,E68)</f>
        <v>0</v>
      </c>
      <c r="G68" s="427"/>
      <c r="H68" s="575" t="s">
        <v>1508</v>
      </c>
      <c r="I68" s="427"/>
      <c r="J68" s="427"/>
      <c r="K68" s="427"/>
    </row>
    <row r="69" spans="1:11" ht="18" customHeight="1" x14ac:dyDescent="0.25">
      <c r="A69" s="427" t="s">
        <v>460</v>
      </c>
      <c r="B69" s="532">
        <f t="shared" si="6"/>
        <v>0</v>
      </c>
      <c r="C69" s="532">
        <f t="shared" si="6"/>
        <v>0</v>
      </c>
      <c r="D69" s="532">
        <f t="shared" si="6"/>
        <v>0</v>
      </c>
      <c r="E69" s="532">
        <f t="shared" si="6"/>
        <v>0</v>
      </c>
      <c r="F69" s="532">
        <f>CHOOSE(MATCH(B$2,{"Actuals (T-12)","2. My Version","3. Projected","4. Offer"},0),B69,C69,D69,E69)</f>
        <v>0</v>
      </c>
      <c r="G69" s="427"/>
      <c r="H69" s="576" t="s">
        <v>1509</v>
      </c>
      <c r="I69" s="427"/>
      <c r="J69" s="427"/>
      <c r="K69" s="427"/>
    </row>
    <row r="70" spans="1:11" ht="18" customHeight="1" x14ac:dyDescent="0.25">
      <c r="A70" s="427" t="s">
        <v>461</v>
      </c>
      <c r="B70" s="532">
        <f t="shared" si="6"/>
        <v>0</v>
      </c>
      <c r="C70" s="532">
        <f t="shared" si="6"/>
        <v>0</v>
      </c>
      <c r="D70" s="532">
        <f t="shared" si="6"/>
        <v>0</v>
      </c>
      <c r="E70" s="532">
        <f t="shared" si="6"/>
        <v>0</v>
      </c>
      <c r="F70" s="532">
        <f>CHOOSE(MATCH(B$2,{"Actuals (T-12)","2. My Version","3. Projected","4. Offer"},0),B70,C70,D70,E70)</f>
        <v>0</v>
      </c>
      <c r="G70" s="427"/>
      <c r="H70" s="575" t="s">
        <v>1510</v>
      </c>
      <c r="I70" s="427"/>
      <c r="J70" s="427"/>
      <c r="K70" s="427"/>
    </row>
    <row r="71" spans="1:11" x14ac:dyDescent="0.25">
      <c r="A71" s="430" t="s">
        <v>462</v>
      </c>
      <c r="B71" s="541">
        <f>B68+B69+B70</f>
        <v>0</v>
      </c>
      <c r="C71" s="541">
        <f>C68+C69+C70</f>
        <v>0</v>
      </c>
      <c r="D71" s="541">
        <f>D68+D69+D70</f>
        <v>0</v>
      </c>
      <c r="E71" s="541">
        <f>E68+E69+E70</f>
        <v>0</v>
      </c>
      <c r="F71" s="541">
        <f>CHOOSE(MATCH(B$2,{"Actuals (T-12)","2. My Version","3. Projected","4. Offer"},0),B71,C71,D71,E71)</f>
        <v>0</v>
      </c>
      <c r="G71" s="427"/>
      <c r="H71" s="576" t="s">
        <v>1511</v>
      </c>
      <c r="I71" s="427"/>
      <c r="J71" s="427"/>
      <c r="K71" s="427"/>
    </row>
    <row r="72" spans="1:11" ht="24" customHeight="1" x14ac:dyDescent="0.25">
      <c r="A72" s="838" t="s">
        <v>463</v>
      </c>
      <c r="B72" s="817"/>
      <c r="C72" s="817"/>
      <c r="D72" s="817"/>
      <c r="E72" s="817"/>
      <c r="F72" s="817"/>
      <c r="G72" s="817"/>
      <c r="H72" s="817"/>
      <c r="I72" s="427"/>
      <c r="J72" s="427"/>
      <c r="K72" s="427"/>
    </row>
    <row r="73" spans="1:11" ht="18" customHeight="1" x14ac:dyDescent="0.25">
      <c r="A73" s="435" t="s">
        <v>358</v>
      </c>
      <c r="B73" s="499" t="s">
        <v>1408</v>
      </c>
      <c r="C73" s="435" t="s">
        <v>359</v>
      </c>
      <c r="D73" s="435" t="s">
        <v>356</v>
      </c>
      <c r="E73" s="435" t="s">
        <v>464</v>
      </c>
      <c r="F73" s="435" t="s">
        <v>244</v>
      </c>
      <c r="G73" s="435" t="s">
        <v>465</v>
      </c>
      <c r="H73" s="435" t="s">
        <v>44</v>
      </c>
      <c r="I73" s="427"/>
      <c r="J73" s="427"/>
      <c r="K73" s="427"/>
    </row>
    <row r="74" spans="1:11" ht="18" customHeight="1" x14ac:dyDescent="0.25">
      <c r="A74" s="496" t="s">
        <v>1365</v>
      </c>
      <c r="B74" s="437"/>
      <c r="C74" s="437"/>
      <c r="D74" s="437"/>
      <c r="E74" s="437"/>
      <c r="F74" s="438"/>
      <c r="G74" s="439" t="s">
        <v>1409</v>
      </c>
      <c r="H74" s="440"/>
      <c r="I74" s="441"/>
      <c r="J74" s="427"/>
      <c r="K74" s="427"/>
    </row>
    <row r="75" spans="1:11" ht="18" customHeight="1" outlineLevel="2" x14ac:dyDescent="0.25">
      <c r="A75" s="442" t="s">
        <v>1366</v>
      </c>
      <c r="B75" s="501"/>
      <c r="C75" s="443">
        <f t="shared" ref="C75:E82" si="7">B75</f>
        <v>0</v>
      </c>
      <c r="D75" s="443">
        <f t="shared" si="7"/>
        <v>0</v>
      </c>
      <c r="E75" s="443">
        <f t="shared" si="7"/>
        <v>0</v>
      </c>
      <c r="F75" s="438">
        <f>CHOOSE(MATCH(B$2,{"Actuals (T-12)","2. My Version","3. Projected","4. Offer"},0),B75,C75,D75,E75)</f>
        <v>0</v>
      </c>
      <c r="G75" s="580">
        <f t="shared" ref="G75:G83" si="8">IFERROR(F75/F$66,0)</f>
        <v>0</v>
      </c>
      <c r="H75" s="577" t="s">
        <v>1514</v>
      </c>
      <c r="I75" s="441"/>
      <c r="J75" s="427"/>
      <c r="K75" s="427"/>
    </row>
    <row r="76" spans="1:11" ht="18" customHeight="1" outlineLevel="2" x14ac:dyDescent="0.25">
      <c r="A76" s="436" t="s">
        <v>1367</v>
      </c>
      <c r="B76" s="502"/>
      <c r="C76" s="437">
        <f t="shared" si="7"/>
        <v>0</v>
      </c>
      <c r="D76" s="437">
        <f t="shared" si="7"/>
        <v>0</v>
      </c>
      <c r="E76" s="437">
        <f t="shared" si="7"/>
        <v>0</v>
      </c>
      <c r="F76" s="438">
        <f>CHOOSE(MATCH(B$2,{"Actuals (T-12)","2. My Version","3. Projected","4. Offer"},0),B76,C76,D76,E76)</f>
        <v>0</v>
      </c>
      <c r="G76" s="581">
        <f t="shared" si="8"/>
        <v>0</v>
      </c>
      <c r="H76" s="578" t="s">
        <v>1515</v>
      </c>
      <c r="I76" s="441"/>
      <c r="J76" s="427"/>
      <c r="K76" s="427"/>
    </row>
    <row r="77" spans="1:11" ht="18" customHeight="1" outlineLevel="2" x14ac:dyDescent="0.25">
      <c r="A77" s="442" t="s">
        <v>1368</v>
      </c>
      <c r="B77" s="501"/>
      <c r="C77" s="443">
        <f t="shared" si="7"/>
        <v>0</v>
      </c>
      <c r="D77" s="443">
        <f t="shared" si="7"/>
        <v>0</v>
      </c>
      <c r="E77" s="443">
        <f t="shared" si="7"/>
        <v>0</v>
      </c>
      <c r="F77" s="438">
        <f>CHOOSE(MATCH(B$2,{"Actuals (T-12)","2. My Version","3. Projected","4. Offer"},0),B77,C77,D77,E77)</f>
        <v>0</v>
      </c>
      <c r="G77" s="580">
        <f t="shared" si="8"/>
        <v>0</v>
      </c>
      <c r="H77" s="577" t="s">
        <v>1516</v>
      </c>
      <c r="I77" s="441"/>
      <c r="J77" s="427"/>
      <c r="K77" s="427"/>
    </row>
    <row r="78" spans="1:11" ht="18" customHeight="1" outlineLevel="2" x14ac:dyDescent="0.25">
      <c r="A78" s="436" t="s">
        <v>1369</v>
      </c>
      <c r="B78" s="502"/>
      <c r="C78" s="437">
        <f t="shared" si="7"/>
        <v>0</v>
      </c>
      <c r="D78" s="437">
        <f t="shared" si="7"/>
        <v>0</v>
      </c>
      <c r="E78" s="437">
        <f t="shared" si="7"/>
        <v>0</v>
      </c>
      <c r="F78" s="438">
        <f>CHOOSE(MATCH(B$2,{"Actuals (T-12)","2. My Version","3. Projected","4. Offer"},0),B78,C78,D78,E78)</f>
        <v>0</v>
      </c>
      <c r="G78" s="581">
        <f t="shared" si="8"/>
        <v>0</v>
      </c>
      <c r="H78" s="578" t="s">
        <v>1517</v>
      </c>
      <c r="I78" s="441"/>
      <c r="J78" s="427"/>
      <c r="K78" s="427"/>
    </row>
    <row r="79" spans="1:11" ht="18" customHeight="1" outlineLevel="2" x14ac:dyDescent="0.25">
      <c r="A79" s="442" t="s">
        <v>1370</v>
      </c>
      <c r="B79" s="501"/>
      <c r="C79" s="443">
        <f t="shared" si="7"/>
        <v>0</v>
      </c>
      <c r="D79" s="443">
        <f t="shared" si="7"/>
        <v>0</v>
      </c>
      <c r="E79" s="443">
        <f t="shared" si="7"/>
        <v>0</v>
      </c>
      <c r="F79" s="438">
        <f>CHOOSE(MATCH(B$2,{"Actuals (T-12)","2. My Version","3. Projected","4. Offer"},0),B79,C79,D79,E79)</f>
        <v>0</v>
      </c>
      <c r="G79" s="580">
        <f t="shared" si="8"/>
        <v>0</v>
      </c>
      <c r="H79" s="577" t="s">
        <v>1518</v>
      </c>
      <c r="I79" s="441"/>
      <c r="J79" s="427"/>
      <c r="K79" s="427"/>
    </row>
    <row r="80" spans="1:11" ht="18" customHeight="1" outlineLevel="2" x14ac:dyDescent="0.25">
      <c r="A80" s="436" t="s">
        <v>1371</v>
      </c>
      <c r="B80" s="502"/>
      <c r="C80" s="437">
        <f t="shared" si="7"/>
        <v>0</v>
      </c>
      <c r="D80" s="437">
        <f t="shared" si="7"/>
        <v>0</v>
      </c>
      <c r="E80" s="437">
        <f t="shared" si="7"/>
        <v>0</v>
      </c>
      <c r="F80" s="438">
        <f>CHOOSE(MATCH(B$2,{"Actuals (T-12)","2. My Version","3. Projected","4. Offer"},0),B80,C80,D80,E80)</f>
        <v>0</v>
      </c>
      <c r="G80" s="581">
        <f t="shared" si="8"/>
        <v>0</v>
      </c>
      <c r="H80" s="578" t="s">
        <v>1519</v>
      </c>
      <c r="I80" s="441"/>
      <c r="J80" s="427"/>
      <c r="K80" s="427"/>
    </row>
    <row r="81" spans="1:11" ht="24.75" outlineLevel="2" x14ac:dyDescent="0.25">
      <c r="A81" s="442" t="s">
        <v>1372</v>
      </c>
      <c r="B81" s="501"/>
      <c r="C81" s="443">
        <f t="shared" si="7"/>
        <v>0</v>
      </c>
      <c r="D81" s="443">
        <f t="shared" si="7"/>
        <v>0</v>
      </c>
      <c r="E81" s="443">
        <f t="shared" si="7"/>
        <v>0</v>
      </c>
      <c r="F81" s="438">
        <f>CHOOSE(MATCH(B$2,{"Actuals (T-12)","2. My Version","3. Projected","4. Offer"},0),B81,C81,D81,E81)</f>
        <v>0</v>
      </c>
      <c r="G81" s="580">
        <f t="shared" si="8"/>
        <v>0</v>
      </c>
      <c r="H81" s="577" t="s">
        <v>1520</v>
      </c>
      <c r="I81" s="441"/>
      <c r="J81" s="427"/>
      <c r="K81" s="427"/>
    </row>
    <row r="82" spans="1:11" ht="24" customHeight="1" outlineLevel="2" x14ac:dyDescent="0.25">
      <c r="A82" s="436" t="s">
        <v>1373</v>
      </c>
      <c r="B82" s="502"/>
      <c r="C82" s="445">
        <f t="shared" si="7"/>
        <v>0</v>
      </c>
      <c r="D82" s="445">
        <f t="shared" si="7"/>
        <v>0</v>
      </c>
      <c r="E82" s="445">
        <f t="shared" si="7"/>
        <v>0</v>
      </c>
      <c r="F82" s="438">
        <f>CHOOSE(MATCH(B$2,{"Actuals (T-12)","2. My Version","3. Projected","4. Offer"},0),B82,C82,D82,E82)</f>
        <v>0</v>
      </c>
      <c r="G82" s="581">
        <f t="shared" si="8"/>
        <v>0</v>
      </c>
      <c r="H82" s="578" t="s">
        <v>1521</v>
      </c>
      <c r="I82" s="446"/>
      <c r="J82" s="427"/>
      <c r="K82" s="427"/>
    </row>
    <row r="83" spans="1:11" ht="15.75" customHeight="1" x14ac:dyDescent="0.25">
      <c r="A83" s="497" t="s">
        <v>1374</v>
      </c>
      <c r="B83" s="503">
        <f>SUM(B75:B82)</f>
        <v>0</v>
      </c>
      <c r="C83" s="447">
        <f>SUM(C75:C82)</f>
        <v>0</v>
      </c>
      <c r="D83" s="447">
        <f>SUM(D75:D82)</f>
        <v>0</v>
      </c>
      <c r="E83" s="447">
        <f>SUM(E75:E82)</f>
        <v>0</v>
      </c>
      <c r="F83" s="438">
        <f>CHOOSE(MATCH(B$2,{"Actuals (T-12)","2. My Version","3. Projected","4. Offer"},0),B83,C83,D83,E83)</f>
        <v>0</v>
      </c>
      <c r="G83" s="582">
        <f t="shared" si="8"/>
        <v>0</v>
      </c>
      <c r="H83" s="577" t="s">
        <v>1522</v>
      </c>
      <c r="I83" s="441"/>
      <c r="J83" s="427"/>
      <c r="K83" s="427"/>
    </row>
    <row r="84" spans="1:11" ht="19.5" customHeight="1" x14ac:dyDescent="0.25">
      <c r="A84" s="496" t="s">
        <v>1375</v>
      </c>
      <c r="B84" s="437"/>
      <c r="C84" s="437"/>
      <c r="D84" s="437"/>
      <c r="E84" s="437"/>
      <c r="F84" s="438"/>
      <c r="G84" s="583"/>
      <c r="H84" s="440"/>
      <c r="I84" s="441"/>
      <c r="J84" s="427"/>
      <c r="K84" s="427"/>
    </row>
    <row r="85" spans="1:11" ht="18" customHeight="1" outlineLevel="2" x14ac:dyDescent="0.25">
      <c r="A85" s="442" t="s">
        <v>1376</v>
      </c>
      <c r="B85" s="501"/>
      <c r="C85" s="443">
        <f t="shared" ref="C85:E90" si="9">B85</f>
        <v>0</v>
      </c>
      <c r="D85" s="443">
        <f t="shared" si="9"/>
        <v>0</v>
      </c>
      <c r="E85" s="443">
        <f t="shared" si="9"/>
        <v>0</v>
      </c>
      <c r="F85" s="438">
        <f>CHOOSE(MATCH(B$2,{"Actuals (T-12)","2. My Version","3. Projected","4. Offer"},0),B85,C85,D85,E85)</f>
        <v>0</v>
      </c>
      <c r="G85" s="581">
        <f t="shared" ref="G85:G91" si="10">IFERROR(F85/F$66,0)</f>
        <v>0</v>
      </c>
      <c r="H85" s="577" t="s">
        <v>1523</v>
      </c>
      <c r="I85" s="441"/>
      <c r="J85" s="427"/>
      <c r="K85" s="427"/>
    </row>
    <row r="86" spans="1:11" ht="18" customHeight="1" outlineLevel="2" x14ac:dyDescent="0.25">
      <c r="A86" s="436" t="s">
        <v>1377</v>
      </c>
      <c r="B86" s="502"/>
      <c r="C86" s="437">
        <f t="shared" si="9"/>
        <v>0</v>
      </c>
      <c r="D86" s="437">
        <f t="shared" si="9"/>
        <v>0</v>
      </c>
      <c r="E86" s="437">
        <f t="shared" si="9"/>
        <v>0</v>
      </c>
      <c r="F86" s="438">
        <f>CHOOSE(MATCH(B$2,{"Actuals (T-12)","2. My Version","3. Projected","4. Offer"},0),B86,C86,D86,E86)</f>
        <v>0</v>
      </c>
      <c r="G86" s="580">
        <f t="shared" si="10"/>
        <v>0</v>
      </c>
      <c r="H86" s="578" t="s">
        <v>1524</v>
      </c>
      <c r="I86" s="441"/>
      <c r="J86" s="427"/>
      <c r="K86" s="427"/>
    </row>
    <row r="87" spans="1:11" ht="18" customHeight="1" outlineLevel="2" x14ac:dyDescent="0.25">
      <c r="A87" s="442" t="s">
        <v>1378</v>
      </c>
      <c r="B87" s="501"/>
      <c r="C87" s="443">
        <f t="shared" si="9"/>
        <v>0</v>
      </c>
      <c r="D87" s="443">
        <f t="shared" si="9"/>
        <v>0</v>
      </c>
      <c r="E87" s="443">
        <f t="shared" si="9"/>
        <v>0</v>
      </c>
      <c r="F87" s="438">
        <f>CHOOSE(MATCH(B$2,{"Actuals (T-12)","2. My Version","3. Projected","4. Offer"},0),B87,C87,D87,E87)</f>
        <v>0</v>
      </c>
      <c r="G87" s="581">
        <f t="shared" si="10"/>
        <v>0</v>
      </c>
      <c r="H87" s="579" t="s">
        <v>1525</v>
      </c>
      <c r="I87" s="448"/>
      <c r="J87" s="427"/>
      <c r="K87" s="427"/>
    </row>
    <row r="88" spans="1:11" ht="18" customHeight="1" outlineLevel="2" x14ac:dyDescent="0.25">
      <c r="A88" s="436" t="s">
        <v>1379</v>
      </c>
      <c r="B88" s="502"/>
      <c r="C88" s="437">
        <f t="shared" si="9"/>
        <v>0</v>
      </c>
      <c r="D88" s="437">
        <f t="shared" si="9"/>
        <v>0</v>
      </c>
      <c r="E88" s="437">
        <f t="shared" si="9"/>
        <v>0</v>
      </c>
      <c r="F88" s="438">
        <f>CHOOSE(MATCH(B$2,{"Actuals (T-12)","2. My Version","3. Projected","4. Offer"},0),B88,C88,D88,E88)</f>
        <v>0</v>
      </c>
      <c r="G88" s="580">
        <f t="shared" si="10"/>
        <v>0</v>
      </c>
      <c r="H88" s="578" t="s">
        <v>1526</v>
      </c>
      <c r="I88" s="441"/>
      <c r="J88" s="427"/>
      <c r="K88" s="427"/>
    </row>
    <row r="89" spans="1:11" ht="18" customHeight="1" outlineLevel="2" x14ac:dyDescent="0.25">
      <c r="A89" s="436" t="s">
        <v>1380</v>
      </c>
      <c r="B89" s="502"/>
      <c r="C89" s="437">
        <f t="shared" si="9"/>
        <v>0</v>
      </c>
      <c r="D89" s="437">
        <f t="shared" si="9"/>
        <v>0</v>
      </c>
      <c r="E89" s="437">
        <f t="shared" si="9"/>
        <v>0</v>
      </c>
      <c r="F89" s="438">
        <f>CHOOSE(MATCH(B$2,{"Actuals (T-12)","2. My Version","3. Projected","4. Offer"},0),B89,C89,D89,E89)</f>
        <v>0</v>
      </c>
      <c r="G89" s="581">
        <f t="shared" si="10"/>
        <v>0</v>
      </c>
      <c r="H89" s="577" t="s">
        <v>1527</v>
      </c>
      <c r="I89" s="441"/>
      <c r="J89" s="427"/>
      <c r="K89" s="427"/>
    </row>
    <row r="90" spans="1:11" ht="18" customHeight="1" outlineLevel="2" x14ac:dyDescent="0.25">
      <c r="A90" s="436" t="s">
        <v>1381</v>
      </c>
      <c r="B90" s="502"/>
      <c r="C90" s="437">
        <f t="shared" si="9"/>
        <v>0</v>
      </c>
      <c r="D90" s="437">
        <f t="shared" si="9"/>
        <v>0</v>
      </c>
      <c r="E90" s="437">
        <f t="shared" si="9"/>
        <v>0</v>
      </c>
      <c r="F90" s="438">
        <f>CHOOSE(MATCH(B$2,{"Actuals (T-12)","2. My Version","3. Projected","4. Offer"},0),B90,C90,D90,E90)</f>
        <v>0</v>
      </c>
      <c r="G90" s="580">
        <f t="shared" si="10"/>
        <v>0</v>
      </c>
      <c r="H90" s="578" t="s">
        <v>1528</v>
      </c>
      <c r="I90" s="441"/>
      <c r="J90" s="427"/>
      <c r="K90" s="427"/>
    </row>
    <row r="91" spans="1:11" ht="18" customHeight="1" x14ac:dyDescent="0.25">
      <c r="A91" s="497" t="s">
        <v>1382</v>
      </c>
      <c r="B91" s="504">
        <f>SUM(B85:B90)</f>
        <v>0</v>
      </c>
      <c r="C91" s="437">
        <f>SUM(C85:C90)</f>
        <v>0</v>
      </c>
      <c r="D91" s="437">
        <f>SUM(D85:D90)</f>
        <v>0</v>
      </c>
      <c r="E91" s="437">
        <f>SUM(E85:E90)</f>
        <v>0</v>
      </c>
      <c r="F91" s="438">
        <f>CHOOSE(MATCH(B$2,{"Actuals (T-12)","2. My Version","3. Projected","4. Offer"},0),B91,C91,D91,E91)</f>
        <v>0</v>
      </c>
      <c r="G91" s="584">
        <f t="shared" si="10"/>
        <v>0</v>
      </c>
      <c r="H91" s="577" t="s">
        <v>1529</v>
      </c>
      <c r="I91" s="441"/>
      <c r="J91" s="427"/>
      <c r="K91" s="427"/>
    </row>
    <row r="92" spans="1:11" ht="18" customHeight="1" x14ac:dyDescent="0.25">
      <c r="A92" s="496" t="s">
        <v>1383</v>
      </c>
      <c r="B92" s="437"/>
      <c r="C92" s="437"/>
      <c r="D92" s="437"/>
      <c r="E92" s="437"/>
      <c r="F92" s="438"/>
      <c r="G92" s="583"/>
      <c r="H92" s="444"/>
      <c r="I92" s="441"/>
      <c r="J92" s="427"/>
      <c r="K92" s="427"/>
    </row>
    <row r="93" spans="1:11" ht="18" customHeight="1" outlineLevel="2" x14ac:dyDescent="0.25">
      <c r="A93" s="436" t="s">
        <v>1384</v>
      </c>
      <c r="B93" s="502"/>
      <c r="C93" s="437">
        <f t="shared" ref="C93:E115" si="11">B93</f>
        <v>0</v>
      </c>
      <c r="D93" s="437">
        <f t="shared" si="11"/>
        <v>0</v>
      </c>
      <c r="E93" s="437">
        <f t="shared" si="11"/>
        <v>0</v>
      </c>
      <c r="F93" s="438">
        <f>CHOOSE(MATCH(B$2,{"Actuals (T-12)","2. My Version","3. Projected","4. Offer"},0),B93,C93,D93,E93)</f>
        <v>0</v>
      </c>
      <c r="G93" s="580">
        <f t="shared" ref="G93:G118" si="12">IFERROR(F93/F$66,0)</f>
        <v>0</v>
      </c>
      <c r="H93" s="577" t="s">
        <v>1530</v>
      </c>
      <c r="I93" s="441"/>
      <c r="J93" s="427"/>
      <c r="K93" s="427"/>
    </row>
    <row r="94" spans="1:11" ht="18" customHeight="1" outlineLevel="2" x14ac:dyDescent="0.25">
      <c r="A94" s="436" t="s">
        <v>1385</v>
      </c>
      <c r="B94" s="502"/>
      <c r="C94" s="437">
        <f t="shared" si="11"/>
        <v>0</v>
      </c>
      <c r="D94" s="437">
        <f t="shared" si="11"/>
        <v>0</v>
      </c>
      <c r="E94" s="437">
        <f t="shared" si="11"/>
        <v>0</v>
      </c>
      <c r="F94" s="438">
        <f>CHOOSE(MATCH(B$2,{"Actuals (T-12)","2. My Version","3. Projected","4. Offer"},0),B94,C94,D94,E94)</f>
        <v>0</v>
      </c>
      <c r="G94" s="581">
        <f t="shared" si="12"/>
        <v>0</v>
      </c>
      <c r="H94" s="578" t="s">
        <v>1531</v>
      </c>
      <c r="I94" s="441"/>
      <c r="J94" s="427"/>
      <c r="K94" s="427"/>
    </row>
    <row r="95" spans="1:11" ht="18" customHeight="1" outlineLevel="2" x14ac:dyDescent="0.25">
      <c r="A95" s="436" t="s">
        <v>1386</v>
      </c>
      <c r="B95" s="502"/>
      <c r="C95" s="437">
        <f t="shared" si="11"/>
        <v>0</v>
      </c>
      <c r="D95" s="437">
        <f t="shared" si="11"/>
        <v>0</v>
      </c>
      <c r="E95" s="437">
        <f t="shared" si="11"/>
        <v>0</v>
      </c>
      <c r="F95" s="438">
        <f>CHOOSE(MATCH(B$2,{"Actuals (T-12)","2. My Version","3. Projected","4. Offer"},0),B95,C95,D95,E95)</f>
        <v>0</v>
      </c>
      <c r="G95" s="580">
        <f t="shared" si="12"/>
        <v>0</v>
      </c>
      <c r="H95" s="577" t="s">
        <v>1532</v>
      </c>
      <c r="I95" s="441"/>
      <c r="J95" s="427"/>
      <c r="K95" s="427"/>
    </row>
    <row r="96" spans="1:11" ht="18" customHeight="1" outlineLevel="2" x14ac:dyDescent="0.25">
      <c r="A96" s="436" t="s">
        <v>1387</v>
      </c>
      <c r="B96" s="502"/>
      <c r="C96" s="437">
        <f t="shared" si="11"/>
        <v>0</v>
      </c>
      <c r="D96" s="437">
        <f t="shared" si="11"/>
        <v>0</v>
      </c>
      <c r="E96" s="437">
        <f t="shared" si="11"/>
        <v>0</v>
      </c>
      <c r="F96" s="438">
        <f>CHOOSE(MATCH(B$2,{"Actuals (T-12)","2. My Version","3. Projected","4. Offer"},0),B96,C96,D96,E96)</f>
        <v>0</v>
      </c>
      <c r="G96" s="581">
        <f t="shared" si="12"/>
        <v>0</v>
      </c>
      <c r="H96" s="578" t="s">
        <v>1533</v>
      </c>
      <c r="I96" s="441"/>
      <c r="J96" s="427"/>
      <c r="K96" s="427"/>
    </row>
    <row r="97" spans="1:11" ht="18" customHeight="1" outlineLevel="2" x14ac:dyDescent="0.25">
      <c r="A97" s="436" t="s">
        <v>1388</v>
      </c>
      <c r="B97" s="502"/>
      <c r="C97" s="437">
        <f t="shared" si="11"/>
        <v>0</v>
      </c>
      <c r="D97" s="437">
        <f t="shared" si="11"/>
        <v>0</v>
      </c>
      <c r="E97" s="437">
        <f t="shared" si="11"/>
        <v>0</v>
      </c>
      <c r="F97" s="438">
        <f>CHOOSE(MATCH(B$2,{"Actuals (T-12)","2. My Version","3. Projected","4. Offer"},0),B97,C97,D97,E97)</f>
        <v>0</v>
      </c>
      <c r="G97" s="580">
        <f t="shared" si="12"/>
        <v>0</v>
      </c>
      <c r="H97" s="577" t="s">
        <v>1534</v>
      </c>
      <c r="I97" s="441"/>
      <c r="J97" s="427"/>
      <c r="K97" s="427"/>
    </row>
    <row r="98" spans="1:11" ht="18" customHeight="1" outlineLevel="2" x14ac:dyDescent="0.25">
      <c r="A98" s="436" t="s">
        <v>1389</v>
      </c>
      <c r="B98" s="502"/>
      <c r="C98" s="437">
        <f t="shared" si="11"/>
        <v>0</v>
      </c>
      <c r="D98" s="437">
        <f t="shared" si="11"/>
        <v>0</v>
      </c>
      <c r="E98" s="437">
        <f t="shared" si="11"/>
        <v>0</v>
      </c>
      <c r="F98" s="438">
        <f>CHOOSE(MATCH(B$2,{"Actuals (T-12)","2. My Version","3. Projected","4. Offer"},0),B98,C98,D98,E98)</f>
        <v>0</v>
      </c>
      <c r="G98" s="581">
        <f t="shared" si="12"/>
        <v>0</v>
      </c>
      <c r="H98" s="578" t="s">
        <v>1535</v>
      </c>
      <c r="I98" s="441"/>
      <c r="J98" s="427"/>
      <c r="K98" s="427"/>
    </row>
    <row r="99" spans="1:11" ht="18" customHeight="1" outlineLevel="2" x14ac:dyDescent="0.25">
      <c r="A99" s="436" t="s">
        <v>1390</v>
      </c>
      <c r="B99" s="502"/>
      <c r="C99" s="437">
        <f t="shared" si="11"/>
        <v>0</v>
      </c>
      <c r="D99" s="437">
        <f t="shared" si="11"/>
        <v>0</v>
      </c>
      <c r="E99" s="437">
        <f t="shared" si="11"/>
        <v>0</v>
      </c>
      <c r="F99" s="438">
        <f>CHOOSE(MATCH(B$2,{"Actuals (T-12)","2. My Version","3. Projected","4. Offer"},0),B99,C99,D99,E99)</f>
        <v>0</v>
      </c>
      <c r="G99" s="580">
        <f t="shared" si="12"/>
        <v>0</v>
      </c>
      <c r="H99" s="577" t="s">
        <v>1536</v>
      </c>
      <c r="I99" s="441"/>
      <c r="J99" s="427"/>
      <c r="K99" s="427"/>
    </row>
    <row r="100" spans="1:11" ht="18" customHeight="1" outlineLevel="2" x14ac:dyDescent="0.25">
      <c r="A100" s="436" t="s">
        <v>1391</v>
      </c>
      <c r="B100" s="502"/>
      <c r="C100" s="437">
        <f t="shared" si="11"/>
        <v>0</v>
      </c>
      <c r="D100" s="437">
        <f t="shared" si="11"/>
        <v>0</v>
      </c>
      <c r="E100" s="437">
        <f t="shared" si="11"/>
        <v>0</v>
      </c>
      <c r="F100" s="438">
        <f>CHOOSE(MATCH(B$2,{"Actuals (T-12)","2. My Version","3. Projected","4. Offer"},0),B100,C100,D100,E100)</f>
        <v>0</v>
      </c>
      <c r="G100" s="581">
        <f t="shared" si="12"/>
        <v>0</v>
      </c>
      <c r="H100" s="578" t="s">
        <v>1537</v>
      </c>
      <c r="I100" s="441"/>
      <c r="J100" s="427"/>
      <c r="K100" s="427"/>
    </row>
    <row r="101" spans="1:11" ht="18" customHeight="1" outlineLevel="2" x14ac:dyDescent="0.25">
      <c r="A101" s="436" t="s">
        <v>1392</v>
      </c>
      <c r="B101" s="502"/>
      <c r="C101" s="437">
        <f t="shared" si="11"/>
        <v>0</v>
      </c>
      <c r="D101" s="437">
        <f t="shared" si="11"/>
        <v>0</v>
      </c>
      <c r="E101" s="437">
        <f t="shared" si="11"/>
        <v>0</v>
      </c>
      <c r="F101" s="438">
        <f>CHOOSE(MATCH(B$2,{"Actuals (T-12)","2. My Version","3. Projected","4. Offer"},0),B101,C101,D101,E101)</f>
        <v>0</v>
      </c>
      <c r="G101" s="580">
        <f t="shared" si="12"/>
        <v>0</v>
      </c>
      <c r="H101" s="577" t="s">
        <v>1538</v>
      </c>
      <c r="I101" s="441"/>
      <c r="J101" s="427"/>
      <c r="K101" s="427"/>
    </row>
    <row r="102" spans="1:11" ht="18" customHeight="1" outlineLevel="2" x14ac:dyDescent="0.25">
      <c r="A102" s="436" t="s">
        <v>1393</v>
      </c>
      <c r="B102" s="502"/>
      <c r="C102" s="437">
        <f t="shared" si="11"/>
        <v>0</v>
      </c>
      <c r="D102" s="437">
        <f t="shared" si="11"/>
        <v>0</v>
      </c>
      <c r="E102" s="437">
        <f t="shared" si="11"/>
        <v>0</v>
      </c>
      <c r="F102" s="438">
        <f>CHOOSE(MATCH(B$2,{"Actuals (T-12)","2. My Version","3. Projected","4. Offer"},0),B102,C102,D102,E102)</f>
        <v>0</v>
      </c>
      <c r="G102" s="581">
        <f t="shared" si="12"/>
        <v>0</v>
      </c>
      <c r="H102" s="578" t="s">
        <v>1539</v>
      </c>
      <c r="I102" s="441"/>
      <c r="J102" s="427"/>
      <c r="K102" s="427"/>
    </row>
    <row r="103" spans="1:11" ht="18" customHeight="1" outlineLevel="2" x14ac:dyDescent="0.25">
      <c r="A103" s="436" t="s">
        <v>1394</v>
      </c>
      <c r="B103" s="502"/>
      <c r="C103" s="437">
        <f t="shared" si="11"/>
        <v>0</v>
      </c>
      <c r="D103" s="437">
        <f t="shared" si="11"/>
        <v>0</v>
      </c>
      <c r="E103" s="437">
        <f t="shared" si="11"/>
        <v>0</v>
      </c>
      <c r="F103" s="438">
        <f>CHOOSE(MATCH(B$2,{"Actuals (T-12)","2. My Version","3. Projected","4. Offer"},0),B103,C103,D103,E103)</f>
        <v>0</v>
      </c>
      <c r="G103" s="580">
        <f t="shared" si="12"/>
        <v>0</v>
      </c>
      <c r="H103" s="577" t="s">
        <v>1540</v>
      </c>
      <c r="I103" s="441"/>
      <c r="J103" s="427"/>
      <c r="K103" s="427"/>
    </row>
    <row r="104" spans="1:11" ht="18" customHeight="1" outlineLevel="2" x14ac:dyDescent="0.25">
      <c r="A104" s="436" t="s">
        <v>1395</v>
      </c>
      <c r="B104" s="502"/>
      <c r="C104" s="437">
        <f t="shared" si="11"/>
        <v>0</v>
      </c>
      <c r="D104" s="437">
        <f t="shared" si="11"/>
        <v>0</v>
      </c>
      <c r="E104" s="437">
        <f t="shared" si="11"/>
        <v>0</v>
      </c>
      <c r="F104" s="438">
        <f>CHOOSE(MATCH(B$2,{"Actuals (T-12)","2. My Version","3. Projected","4. Offer"},0),B104,C104,D104,E104)</f>
        <v>0</v>
      </c>
      <c r="G104" s="581">
        <f t="shared" si="12"/>
        <v>0</v>
      </c>
      <c r="H104" s="578" t="s">
        <v>1541</v>
      </c>
      <c r="I104" s="441"/>
      <c r="J104" s="427"/>
      <c r="K104" s="427"/>
    </row>
    <row r="105" spans="1:11" ht="18" customHeight="1" outlineLevel="2" x14ac:dyDescent="0.25">
      <c r="A105" s="436" t="s">
        <v>1396</v>
      </c>
      <c r="B105" s="502"/>
      <c r="C105" s="437">
        <f t="shared" si="11"/>
        <v>0</v>
      </c>
      <c r="D105" s="437">
        <f t="shared" si="11"/>
        <v>0</v>
      </c>
      <c r="E105" s="437">
        <f t="shared" si="11"/>
        <v>0</v>
      </c>
      <c r="F105" s="438">
        <f>CHOOSE(MATCH(B$2,{"Actuals (T-12)","2. My Version","3. Projected","4. Offer"},0),B105,C105,D105,E105)</f>
        <v>0</v>
      </c>
      <c r="G105" s="580">
        <f t="shared" si="12"/>
        <v>0</v>
      </c>
      <c r="H105" s="577" t="s">
        <v>1542</v>
      </c>
      <c r="I105" s="441"/>
      <c r="J105" s="427"/>
      <c r="K105" s="427"/>
    </row>
    <row r="106" spans="1:11" ht="18" customHeight="1" outlineLevel="2" x14ac:dyDescent="0.25">
      <c r="A106" s="436" t="s">
        <v>1397</v>
      </c>
      <c r="B106" s="502"/>
      <c r="C106" s="437">
        <f t="shared" si="11"/>
        <v>0</v>
      </c>
      <c r="D106" s="437">
        <f t="shared" si="11"/>
        <v>0</v>
      </c>
      <c r="E106" s="437">
        <f t="shared" si="11"/>
        <v>0</v>
      </c>
      <c r="F106" s="438">
        <f>CHOOSE(MATCH(B$2,{"Actuals (T-12)","2. My Version","3. Projected","4. Offer"},0),B106,C106,D106,E106)</f>
        <v>0</v>
      </c>
      <c r="G106" s="581">
        <f t="shared" si="12"/>
        <v>0</v>
      </c>
      <c r="H106" s="578" t="s">
        <v>1543</v>
      </c>
      <c r="I106" s="441"/>
      <c r="J106" s="427"/>
      <c r="K106" s="427"/>
    </row>
    <row r="107" spans="1:11" ht="18" customHeight="1" outlineLevel="2" x14ac:dyDescent="0.25">
      <c r="A107" s="436" t="s">
        <v>1398</v>
      </c>
      <c r="B107" s="502"/>
      <c r="C107" s="437">
        <f t="shared" si="11"/>
        <v>0</v>
      </c>
      <c r="D107" s="437">
        <f t="shared" si="11"/>
        <v>0</v>
      </c>
      <c r="E107" s="437">
        <f t="shared" si="11"/>
        <v>0</v>
      </c>
      <c r="F107" s="438">
        <f>CHOOSE(MATCH(B$2,{"Actuals (T-12)","2. My Version","3. Projected","4. Offer"},0),B107,C107,D107,E107)</f>
        <v>0</v>
      </c>
      <c r="G107" s="580">
        <f t="shared" si="12"/>
        <v>0</v>
      </c>
      <c r="H107" s="577" t="s">
        <v>1544</v>
      </c>
      <c r="I107" s="441"/>
      <c r="J107" s="427"/>
      <c r="K107" s="427"/>
    </row>
    <row r="108" spans="1:11" ht="18" customHeight="1" outlineLevel="2" x14ac:dyDescent="0.25">
      <c r="A108" s="436" t="s">
        <v>1399</v>
      </c>
      <c r="B108" s="502"/>
      <c r="C108" s="437">
        <f t="shared" si="11"/>
        <v>0</v>
      </c>
      <c r="D108" s="437">
        <f t="shared" si="11"/>
        <v>0</v>
      </c>
      <c r="E108" s="437">
        <f t="shared" si="11"/>
        <v>0</v>
      </c>
      <c r="F108" s="438">
        <f>CHOOSE(MATCH(B$2,{"Actuals (T-12)","2. My Version","3. Projected","4. Offer"},0),B108,C108,D108,E108)</f>
        <v>0</v>
      </c>
      <c r="G108" s="581">
        <f t="shared" si="12"/>
        <v>0</v>
      </c>
      <c r="H108" s="578" t="s">
        <v>1545</v>
      </c>
      <c r="I108" s="441"/>
      <c r="J108" s="427"/>
      <c r="K108" s="427"/>
    </row>
    <row r="109" spans="1:11" ht="18" customHeight="1" outlineLevel="2" x14ac:dyDescent="0.25">
      <c r="A109" s="436" t="s">
        <v>1400</v>
      </c>
      <c r="B109" s="502"/>
      <c r="C109" s="437">
        <f t="shared" si="11"/>
        <v>0</v>
      </c>
      <c r="D109" s="437">
        <f t="shared" si="11"/>
        <v>0</v>
      </c>
      <c r="E109" s="437">
        <f t="shared" si="11"/>
        <v>0</v>
      </c>
      <c r="F109" s="438">
        <f>CHOOSE(MATCH(B$2,{"Actuals (T-12)","2. My Version","3. Projected","4. Offer"},0),B109,C109,D109,E109)</f>
        <v>0</v>
      </c>
      <c r="G109" s="580">
        <f t="shared" si="12"/>
        <v>0</v>
      </c>
      <c r="H109" s="577" t="s">
        <v>1546</v>
      </c>
      <c r="I109" s="441"/>
      <c r="J109" s="427"/>
      <c r="K109" s="427"/>
    </row>
    <row r="110" spans="1:11" ht="18" customHeight="1" outlineLevel="2" x14ac:dyDescent="0.25">
      <c r="A110" s="436" t="s">
        <v>1401</v>
      </c>
      <c r="B110" s="502"/>
      <c r="C110" s="437">
        <f t="shared" si="11"/>
        <v>0</v>
      </c>
      <c r="D110" s="437">
        <f t="shared" si="11"/>
        <v>0</v>
      </c>
      <c r="E110" s="437">
        <f t="shared" si="11"/>
        <v>0</v>
      </c>
      <c r="F110" s="438">
        <f>CHOOSE(MATCH(B$2,{"Actuals (T-12)","2. My Version","3. Projected","4. Offer"},0),B110,C110,D110,E110)</f>
        <v>0</v>
      </c>
      <c r="G110" s="581">
        <f t="shared" si="12"/>
        <v>0</v>
      </c>
      <c r="H110" s="578" t="s">
        <v>1547</v>
      </c>
      <c r="I110" s="441"/>
      <c r="J110" s="427"/>
      <c r="K110" s="427"/>
    </row>
    <row r="111" spans="1:11" ht="18" customHeight="1" outlineLevel="2" x14ac:dyDescent="0.25">
      <c r="A111" s="436" t="s">
        <v>1402</v>
      </c>
      <c r="B111" s="502"/>
      <c r="C111" s="437">
        <f t="shared" si="11"/>
        <v>0</v>
      </c>
      <c r="D111" s="437">
        <f t="shared" si="11"/>
        <v>0</v>
      </c>
      <c r="E111" s="437">
        <f t="shared" si="11"/>
        <v>0</v>
      </c>
      <c r="F111" s="438">
        <f>CHOOSE(MATCH(B$2,{"Actuals (T-12)","2. My Version","3. Projected","4. Offer"},0),B111,C111,D111,E111)</f>
        <v>0</v>
      </c>
      <c r="G111" s="580">
        <f t="shared" si="12"/>
        <v>0</v>
      </c>
      <c r="H111" s="577" t="s">
        <v>1548</v>
      </c>
      <c r="I111" s="441"/>
      <c r="J111" s="427"/>
      <c r="K111" s="427"/>
    </row>
    <row r="112" spans="1:11" ht="18" customHeight="1" outlineLevel="2" x14ac:dyDescent="0.25">
      <c r="A112" s="436" t="s">
        <v>1403</v>
      </c>
      <c r="B112" s="502"/>
      <c r="C112" s="437">
        <f t="shared" si="11"/>
        <v>0</v>
      </c>
      <c r="D112" s="437">
        <f t="shared" si="11"/>
        <v>0</v>
      </c>
      <c r="E112" s="437">
        <f t="shared" si="11"/>
        <v>0</v>
      </c>
      <c r="F112" s="438">
        <f>CHOOSE(MATCH(B$2,{"Actuals (T-12)","2. My Version","3. Projected","4. Offer"},0),B112,C112,D112,E112)</f>
        <v>0</v>
      </c>
      <c r="G112" s="581">
        <f t="shared" si="12"/>
        <v>0</v>
      </c>
      <c r="H112" s="578" t="s">
        <v>1549</v>
      </c>
      <c r="I112" s="441"/>
      <c r="J112" s="427"/>
      <c r="K112" s="427"/>
    </row>
    <row r="113" spans="1:11" ht="18" customHeight="1" outlineLevel="2" x14ac:dyDescent="0.25">
      <c r="A113" s="436" t="s">
        <v>1404</v>
      </c>
      <c r="B113" s="502"/>
      <c r="C113" s="437">
        <f t="shared" si="11"/>
        <v>0</v>
      </c>
      <c r="D113" s="437">
        <f t="shared" si="11"/>
        <v>0</v>
      </c>
      <c r="E113" s="437">
        <f t="shared" si="11"/>
        <v>0</v>
      </c>
      <c r="F113" s="438">
        <f>CHOOSE(MATCH(B$2,{"Actuals (T-12)","2. My Version","3. Projected","4. Offer"},0),B113,C113,D113,E113)</f>
        <v>0</v>
      </c>
      <c r="G113" s="580">
        <f t="shared" si="12"/>
        <v>0</v>
      </c>
      <c r="H113" s="577" t="s">
        <v>1550</v>
      </c>
      <c r="I113" s="441"/>
      <c r="J113" s="427"/>
      <c r="K113" s="427"/>
    </row>
    <row r="114" spans="1:11" ht="18" customHeight="1" outlineLevel="2" x14ac:dyDescent="0.25">
      <c r="A114" s="436" t="s">
        <v>1405</v>
      </c>
      <c r="B114" s="502"/>
      <c r="C114" s="437">
        <f t="shared" si="11"/>
        <v>0</v>
      </c>
      <c r="D114" s="437">
        <f t="shared" si="11"/>
        <v>0</v>
      </c>
      <c r="E114" s="437">
        <f t="shared" si="11"/>
        <v>0</v>
      </c>
      <c r="F114" s="438">
        <f>CHOOSE(MATCH(B$2,{"Actuals (T-12)","2. My Version","3. Projected","4. Offer"},0),B114,C114,D114,E114)</f>
        <v>0</v>
      </c>
      <c r="G114" s="581">
        <f t="shared" si="12"/>
        <v>0</v>
      </c>
      <c r="H114" s="578" t="s">
        <v>1551</v>
      </c>
      <c r="I114" s="441"/>
      <c r="J114" s="427"/>
      <c r="K114" s="427"/>
    </row>
    <row r="115" spans="1:11" ht="18" customHeight="1" outlineLevel="2" x14ac:dyDescent="0.25">
      <c r="A115" s="436" t="s">
        <v>1406</v>
      </c>
      <c r="B115" s="502"/>
      <c r="C115" s="437">
        <f t="shared" si="11"/>
        <v>0</v>
      </c>
      <c r="D115" s="437">
        <f t="shared" si="11"/>
        <v>0</v>
      </c>
      <c r="E115" s="437">
        <f t="shared" si="11"/>
        <v>0</v>
      </c>
      <c r="F115" s="438">
        <f>CHOOSE(MATCH(B$2,{"Actuals (T-12)","2. My Version","3. Projected","4. Offer"},0),B115,C115,D115,E115)</f>
        <v>0</v>
      </c>
      <c r="G115" s="580">
        <f t="shared" si="12"/>
        <v>0</v>
      </c>
      <c r="H115" s="577" t="s">
        <v>1552</v>
      </c>
      <c r="I115" s="441"/>
      <c r="J115" s="427"/>
      <c r="K115" s="427"/>
    </row>
    <row r="116" spans="1:11" ht="18" customHeight="1" x14ac:dyDescent="0.25">
      <c r="A116" s="497" t="s">
        <v>1407</v>
      </c>
      <c r="B116" s="504">
        <f>SUM(B93:B115)</f>
        <v>0</v>
      </c>
      <c r="C116" s="437">
        <f>SUM(C93:C115)</f>
        <v>0</v>
      </c>
      <c r="D116" s="437">
        <f>SUM(D93:D115)</f>
        <v>0</v>
      </c>
      <c r="E116" s="437">
        <f>SUM(E93:E115)</f>
        <v>0</v>
      </c>
      <c r="F116" s="438">
        <f>CHOOSE(MATCH(B$2,{"Actuals (T-12)","2. My Version","3. Projected","4. Offer"},0),B116,C116,D116,E116)</f>
        <v>0</v>
      </c>
      <c r="G116" s="584">
        <f t="shared" si="12"/>
        <v>0</v>
      </c>
      <c r="H116" s="578" t="s">
        <v>1553</v>
      </c>
      <c r="I116" s="441"/>
      <c r="J116" s="427"/>
      <c r="K116" s="427"/>
    </row>
    <row r="117" spans="1:11" ht="18" customHeight="1" x14ac:dyDescent="0.25">
      <c r="A117" s="497" t="s">
        <v>468</v>
      </c>
      <c r="B117" s="502"/>
      <c r="C117" s="437">
        <f>C66*$I$82</f>
        <v>0</v>
      </c>
      <c r="D117" s="437">
        <f>D66*$I$82</f>
        <v>0</v>
      </c>
      <c r="E117" s="437">
        <f>E66*$I$82</f>
        <v>0</v>
      </c>
      <c r="F117" s="438">
        <f>CHOOSE(MATCH(B$2,{"Actuals (T-12)","2. My Version","3. Projected","4. Offer"},0),B117,C117,D117,E117)</f>
        <v>0</v>
      </c>
      <c r="G117" s="582">
        <f t="shared" si="12"/>
        <v>0</v>
      </c>
      <c r="H117" s="577" t="s">
        <v>1554</v>
      </c>
      <c r="I117" s="441"/>
      <c r="J117" s="427"/>
      <c r="K117" s="427"/>
    </row>
    <row r="118" spans="1:11" ht="18" customHeight="1" x14ac:dyDescent="0.25">
      <c r="A118" s="432" t="s">
        <v>469</v>
      </c>
      <c r="B118" s="505">
        <f>B83+B91+B116+B117</f>
        <v>0</v>
      </c>
      <c r="C118" s="433">
        <f>C83+C91+C116+C117</f>
        <v>0</v>
      </c>
      <c r="D118" s="433">
        <f>D83+D91+D116+D117</f>
        <v>0</v>
      </c>
      <c r="E118" s="433">
        <f>E83+E91+E116+E117</f>
        <v>0</v>
      </c>
      <c r="F118" s="433">
        <f>CHOOSE(MATCH(B$2,{"Actuals (T-12)","2. My Version","3. Projected","4. Offer"},0),B118,C118,D118,E118)</f>
        <v>0</v>
      </c>
      <c r="G118" s="584">
        <f t="shared" si="12"/>
        <v>0</v>
      </c>
      <c r="H118" s="575" t="s">
        <v>1555</v>
      </c>
      <c r="I118" s="427"/>
      <c r="J118" s="427"/>
      <c r="K118" s="427"/>
    </row>
    <row r="119" spans="1:11" ht="18" customHeight="1" x14ac:dyDescent="0.25">
      <c r="A119" s="427"/>
      <c r="B119" s="427"/>
      <c r="C119" s="427"/>
      <c r="D119" s="427"/>
      <c r="E119" s="427"/>
      <c r="F119" s="427"/>
      <c r="G119" s="427"/>
      <c r="H119" s="427"/>
      <c r="I119" s="427"/>
      <c r="J119" s="427"/>
      <c r="K119" s="427"/>
    </row>
    <row r="120" spans="1:11" ht="19.5" customHeight="1" x14ac:dyDescent="0.25">
      <c r="A120" s="449" t="s">
        <v>470</v>
      </c>
      <c r="B120" s="450">
        <f>B66-B118</f>
        <v>0</v>
      </c>
      <c r="C120" s="450">
        <f>C66-C118</f>
        <v>0</v>
      </c>
      <c r="D120" s="450">
        <f>D66-D118</f>
        <v>0</v>
      </c>
      <c r="E120" s="450">
        <f>E66-E118</f>
        <v>0</v>
      </c>
      <c r="F120" s="450">
        <f>CHOOSE(MATCH(B$2,{"Actuals (T-12)","2. My Version","3. Projected","4. Offer"},0),B120,C120,D120,E120)</f>
        <v>0</v>
      </c>
      <c r="G120" s="585">
        <f>IFERROR(F120/F$66,0)</f>
        <v>0</v>
      </c>
      <c r="H120" s="575" t="s">
        <v>1556</v>
      </c>
      <c r="I120" s="427"/>
      <c r="J120" s="427"/>
      <c r="K120" s="427"/>
    </row>
    <row r="121" spans="1:11" ht="18" customHeight="1" x14ac:dyDescent="0.25">
      <c r="A121" s="427"/>
      <c r="B121" s="427"/>
      <c r="C121" s="427"/>
      <c r="D121" s="427"/>
      <c r="E121" s="427"/>
      <c r="F121" s="427"/>
      <c r="G121" s="427"/>
      <c r="H121" s="427"/>
      <c r="I121" s="427"/>
      <c r="J121" s="427"/>
      <c r="K121" s="427"/>
    </row>
    <row r="122" spans="1:11" ht="18" customHeight="1" x14ac:dyDescent="0.25">
      <c r="A122" s="838" t="s">
        <v>471</v>
      </c>
      <c r="B122" s="817"/>
      <c r="C122" s="817"/>
      <c r="D122" s="817"/>
      <c r="E122" s="817"/>
      <c r="F122" s="817"/>
      <c r="G122" s="817"/>
      <c r="H122" s="817"/>
      <c r="I122" s="427"/>
      <c r="J122" s="427"/>
      <c r="K122" s="427"/>
    </row>
    <row r="123" spans="1:11" ht="18" customHeight="1" x14ac:dyDescent="0.25">
      <c r="A123" s="442" t="s">
        <v>472</v>
      </c>
      <c r="B123" s="451">
        <f>IFERROR(B120/B7,0)</f>
        <v>0</v>
      </c>
      <c r="C123" s="451">
        <f>IFERROR(C120/C7,0)</f>
        <v>0</v>
      </c>
      <c r="D123" s="451">
        <f>IFERROR(D120/D7,0)</f>
        <v>0</v>
      </c>
      <c r="E123" s="451">
        <f>IFERROR(E120/E7,0)</f>
        <v>0</v>
      </c>
      <c r="F123" s="452">
        <f>CHOOSE(MATCH(B$2,{"Actuals (T-12)","2. My Version","3. Projected","4. Offer"},0),B123,C123,D123,E123)</f>
        <v>0</v>
      </c>
      <c r="G123" s="452"/>
      <c r="H123" s="576" t="s">
        <v>1512</v>
      </c>
      <c r="I123" s="441"/>
      <c r="J123" s="427"/>
      <c r="K123" s="427"/>
    </row>
    <row r="124" spans="1:11" ht="18" customHeight="1" x14ac:dyDescent="0.25">
      <c r="A124" s="436" t="s">
        <v>473</v>
      </c>
      <c r="B124" s="453">
        <f>B162</f>
        <v>0</v>
      </c>
      <c r="C124" s="453">
        <f>C162</f>
        <v>0</v>
      </c>
      <c r="D124" s="453">
        <f>D162</f>
        <v>0</v>
      </c>
      <c r="E124" s="453">
        <f>E162</f>
        <v>0</v>
      </c>
      <c r="F124" s="454">
        <f>CHOOSE(MATCH(B$2,{"Actuals (T-12)","2. My Version","3. Projected","4. Offer"},0),B124,C124,D124,E124)</f>
        <v>0</v>
      </c>
      <c r="G124" s="454"/>
      <c r="H124" s="455" t="s">
        <v>474</v>
      </c>
      <c r="I124" s="441"/>
      <c r="J124" s="427"/>
      <c r="K124" s="427"/>
    </row>
    <row r="125" spans="1:11" ht="18" customHeight="1" x14ac:dyDescent="0.25">
      <c r="A125" s="442" t="s">
        <v>475</v>
      </c>
      <c r="B125" s="456">
        <f>B120-B124</f>
        <v>0</v>
      </c>
      <c r="C125" s="456">
        <f>C120-C124</f>
        <v>0</v>
      </c>
      <c r="D125" s="456">
        <f>D120-D124</f>
        <v>0</v>
      </c>
      <c r="E125" s="456">
        <f>E120-E124</f>
        <v>0</v>
      </c>
      <c r="F125" s="438">
        <f>CHOOSE(MATCH(B$2,{"Actuals (T-12)","2. My Version","3. Projected","4. Offer"},0),B125,C125,D125,E125)</f>
        <v>0</v>
      </c>
      <c r="G125" s="438"/>
      <c r="H125" s="457" t="s">
        <v>476</v>
      </c>
      <c r="I125" s="441"/>
      <c r="J125" s="427"/>
      <c r="K125" s="427"/>
    </row>
    <row r="126" spans="1:11" ht="18" customHeight="1" x14ac:dyDescent="0.25">
      <c r="A126" s="436" t="s">
        <v>477</v>
      </c>
      <c r="B126" s="458">
        <f>IFERROR(B120/B124,0)</f>
        <v>0</v>
      </c>
      <c r="C126" s="458">
        <f>IFERROR(C120/C124,0)</f>
        <v>0</v>
      </c>
      <c r="D126" s="458">
        <f>IFERROR(D120/D124,0)</f>
        <v>0</v>
      </c>
      <c r="E126" s="458">
        <f>D126</f>
        <v>0</v>
      </c>
      <c r="F126" s="459">
        <f>CHOOSE(MATCH(B$2,{"Actuals (T-12)","2. My Version","3. Projected","4. Offer"},0),B126,C126,D126,E126)</f>
        <v>0</v>
      </c>
      <c r="G126" s="459"/>
      <c r="H126" s="455" t="s">
        <v>478</v>
      </c>
      <c r="I126" s="441"/>
      <c r="J126" s="427"/>
      <c r="K126" s="427"/>
    </row>
    <row r="127" spans="1:11" ht="19.5" customHeight="1" x14ac:dyDescent="0.25">
      <c r="A127" s="442" t="s">
        <v>479</v>
      </c>
      <c r="B127" s="460"/>
      <c r="C127" s="460">
        <f>B127</f>
        <v>0</v>
      </c>
      <c r="D127" s="460">
        <f>C127</f>
        <v>0</v>
      </c>
      <c r="E127" s="460">
        <f>D127</f>
        <v>0</v>
      </c>
      <c r="F127" s="452">
        <f>CHOOSE(MATCH(B$2,{"Actuals (T-12)","2. My Version","3. Projected","4. Offer"},0),B127,C127,D127,E127)</f>
        <v>0</v>
      </c>
      <c r="G127" s="452"/>
      <c r="H127" s="457" t="s">
        <v>480</v>
      </c>
      <c r="I127" s="441"/>
      <c r="J127" s="427"/>
      <c r="K127" s="427"/>
    </row>
    <row r="128" spans="1:11" ht="18" customHeight="1" x14ac:dyDescent="0.25">
      <c r="A128" s="436" t="s">
        <v>481</v>
      </c>
      <c r="B128" s="445">
        <f>IFERROR(B120/B127,0)</f>
        <v>0</v>
      </c>
      <c r="C128" s="445">
        <f>IFERROR(C120/C127,0)</f>
        <v>0</v>
      </c>
      <c r="D128" s="445">
        <f>IFERROR(D120/D127,0)</f>
        <v>0</v>
      </c>
      <c r="E128" s="445">
        <f>D128</f>
        <v>0</v>
      </c>
      <c r="F128" s="438">
        <f>CHOOSE(MATCH(B$2,{"Actuals (T-12)","2. My Version","3. Projected","4. Offer"},0),B128,C128,D128,E128)</f>
        <v>0</v>
      </c>
      <c r="G128" s="438"/>
      <c r="H128" s="575" t="s">
        <v>1513</v>
      </c>
      <c r="I128" s="441"/>
      <c r="J128" s="427"/>
      <c r="K128" s="427"/>
    </row>
    <row r="129" spans="1:11" ht="18" customHeight="1" x14ac:dyDescent="0.25">
      <c r="A129" s="442" t="s">
        <v>261</v>
      </c>
      <c r="B129" s="461"/>
      <c r="C129" s="461">
        <f>B129</f>
        <v>0</v>
      </c>
      <c r="D129" s="461">
        <f>C129</f>
        <v>0</v>
      </c>
      <c r="E129" s="461">
        <f>D129</f>
        <v>0</v>
      </c>
      <c r="F129" s="462">
        <f>CHOOSE(MATCH(B$2,{"Actuals (T-12)","2. My Version","3. Projected","4. Offer"},0),B129,C129,D129,E129)</f>
        <v>0</v>
      </c>
      <c r="G129" s="462"/>
      <c r="H129" s="457" t="s">
        <v>482</v>
      </c>
      <c r="I129" s="441"/>
      <c r="J129" s="427"/>
      <c r="K129" s="427"/>
    </row>
    <row r="130" spans="1:11" ht="18" customHeight="1" x14ac:dyDescent="0.25">
      <c r="A130" s="436" t="s">
        <v>263</v>
      </c>
      <c r="B130" s="463"/>
      <c r="C130" s="463">
        <f>B130</f>
        <v>0</v>
      </c>
      <c r="D130" s="463">
        <f>C130</f>
        <v>0</v>
      </c>
      <c r="E130" s="463">
        <f>D130</f>
        <v>0</v>
      </c>
      <c r="F130" s="452">
        <f>CHOOSE(MATCH(B$2,{"Actuals (T-12)","2. My Version","3. Projected","4. Offer"},0),B130,C130,D130,E130)</f>
        <v>0</v>
      </c>
      <c r="G130" s="452"/>
      <c r="H130" s="455" t="s">
        <v>483</v>
      </c>
      <c r="I130" s="441"/>
      <c r="J130" s="427"/>
      <c r="K130" s="427"/>
    </row>
    <row r="131" spans="1:11" ht="18" customHeight="1" x14ac:dyDescent="0.25">
      <c r="A131" s="427"/>
      <c r="B131" s="427"/>
      <c r="C131" s="427"/>
      <c r="D131" s="427"/>
      <c r="E131" s="427"/>
      <c r="F131" s="427"/>
      <c r="G131" s="427"/>
      <c r="H131" s="427"/>
      <c r="I131" s="427"/>
      <c r="J131" s="427"/>
      <c r="K131" s="427"/>
    </row>
    <row r="132" spans="1:11" ht="18" customHeight="1" x14ac:dyDescent="0.25">
      <c r="A132" s="827" t="s">
        <v>484</v>
      </c>
      <c r="B132" s="817"/>
      <c r="C132" s="817"/>
      <c r="D132" s="817"/>
      <c r="E132" s="817"/>
      <c r="F132" s="817"/>
      <c r="G132" s="817"/>
      <c r="H132" s="817"/>
      <c r="I132" s="441"/>
      <c r="J132" s="427"/>
      <c r="K132" s="427"/>
    </row>
    <row r="133" spans="1:11" ht="18" customHeight="1" x14ac:dyDescent="0.25">
      <c r="A133" s="841" t="s">
        <v>485</v>
      </c>
      <c r="B133" s="817"/>
      <c r="C133" s="817"/>
      <c r="D133" s="817"/>
      <c r="E133" s="817"/>
      <c r="F133" s="817"/>
      <c r="G133" s="817"/>
      <c r="H133" s="817"/>
      <c r="I133" s="441"/>
      <c r="J133" s="427"/>
      <c r="K133" s="427"/>
    </row>
    <row r="134" spans="1:11" ht="19.5" customHeight="1" x14ac:dyDescent="0.25">
      <c r="A134" s="840" t="s">
        <v>486</v>
      </c>
      <c r="B134" s="817"/>
      <c r="C134" s="817"/>
      <c r="D134" s="817"/>
      <c r="E134" s="817"/>
      <c r="F134" s="817"/>
      <c r="G134" s="817"/>
      <c r="H134" s="817"/>
      <c r="I134" s="441"/>
      <c r="J134" s="427"/>
      <c r="K134" s="427"/>
    </row>
    <row r="135" spans="1:11" ht="18" customHeight="1" x14ac:dyDescent="0.25">
      <c r="A135" s="65" t="s">
        <v>487</v>
      </c>
      <c r="B135" s="108">
        <f>B7*(1-B10)</f>
        <v>0</v>
      </c>
      <c r="C135" s="108">
        <f>C7*(1-C10)</f>
        <v>0</v>
      </c>
      <c r="D135" s="108">
        <f>D7*(1-D10)</f>
        <v>0</v>
      </c>
      <c r="E135" s="108">
        <f>E7*(1-E10)</f>
        <v>0</v>
      </c>
      <c r="F135" s="109">
        <f>CHOOSE(MATCH(B$2,{"Actuals (T-12)","2. My Version","3. Projected","4. Offer"},0),B135,C135,D135,E135)</f>
        <v>0</v>
      </c>
      <c r="G135" s="109"/>
      <c r="H135" s="67" t="s">
        <v>488</v>
      </c>
      <c r="I135" s="441"/>
      <c r="J135" s="427"/>
      <c r="K135" s="427"/>
    </row>
    <row r="136" spans="1:11" ht="18" customHeight="1" x14ac:dyDescent="0.25">
      <c r="A136" s="62" t="s">
        <v>489</v>
      </c>
      <c r="B136" s="110"/>
      <c r="C136" s="110">
        <f t="shared" ref="C136:D138" si="13">B136</f>
        <v>0</v>
      </c>
      <c r="D136" s="110">
        <f t="shared" si="13"/>
        <v>0</v>
      </c>
      <c r="E136" s="84">
        <f>D136</f>
        <v>0</v>
      </c>
      <c r="F136" s="111">
        <f>CHOOSE(MATCH(B$2,{"Actuals (T-12)","2. My Version","3. Projected","4. Offer"},0),B136,C136,D136,E136)</f>
        <v>0</v>
      </c>
      <c r="G136" s="111"/>
      <c r="H136" s="7" t="s">
        <v>490</v>
      </c>
      <c r="I136" s="441"/>
      <c r="J136" s="427"/>
      <c r="K136" s="427"/>
    </row>
    <row r="137" spans="1:11" ht="18" customHeight="1" x14ac:dyDescent="0.25">
      <c r="A137" s="65" t="s">
        <v>491</v>
      </c>
      <c r="B137" s="112"/>
      <c r="C137" s="112">
        <f t="shared" si="13"/>
        <v>0</v>
      </c>
      <c r="D137" s="112">
        <f t="shared" si="13"/>
        <v>0</v>
      </c>
      <c r="E137" s="112">
        <f>D137</f>
        <v>0</v>
      </c>
      <c r="F137" s="103">
        <f>CHOOSE(MATCH(B$2,{"Actuals (T-12)","2. My Version","3. Projected","4. Offer"},0),B137,C137,D137,E137)</f>
        <v>0</v>
      </c>
      <c r="G137" s="103"/>
      <c r="H137" s="67" t="s">
        <v>492</v>
      </c>
      <c r="I137" s="441"/>
      <c r="J137" s="427"/>
      <c r="K137" s="427"/>
    </row>
    <row r="138" spans="1:11" ht="18" customHeight="1" x14ac:dyDescent="0.25">
      <c r="A138" s="62" t="s">
        <v>493</v>
      </c>
      <c r="B138" s="113"/>
      <c r="C138" s="113">
        <f>B138</f>
        <v>0</v>
      </c>
      <c r="D138" s="113">
        <f t="shared" si="13"/>
        <v>0</v>
      </c>
      <c r="E138" s="113">
        <f>D138</f>
        <v>0</v>
      </c>
      <c r="F138" s="103">
        <f>CHOOSE(MATCH(B$2,{"Actuals (T-12)","2. My Version","3. Projected","4. Offer"},0),B138,C138,D138,E138)</f>
        <v>0</v>
      </c>
      <c r="G138" s="103"/>
      <c r="H138" s="7" t="s">
        <v>494</v>
      </c>
      <c r="I138" s="441"/>
      <c r="J138" s="427"/>
      <c r="K138" s="427"/>
    </row>
    <row r="139" spans="1:11" ht="18" customHeight="1" x14ac:dyDescent="0.25">
      <c r="A139" s="65" t="s">
        <v>495</v>
      </c>
      <c r="B139" s="112"/>
      <c r="C139" s="112">
        <f>B139</f>
        <v>0</v>
      </c>
      <c r="D139" s="112">
        <f>C139</f>
        <v>0</v>
      </c>
      <c r="E139" s="112">
        <f>D139</f>
        <v>0</v>
      </c>
      <c r="F139" s="103">
        <f>CHOOSE(MATCH(B$2,{"Actuals (T-12)","2. My Version","3. Projected","4. Offer"},0),B139,C139,D139,E139)</f>
        <v>0</v>
      </c>
      <c r="G139" s="103"/>
      <c r="H139" s="67" t="s">
        <v>496</v>
      </c>
      <c r="I139" s="441"/>
      <c r="J139" s="427"/>
      <c r="K139" s="427"/>
    </row>
    <row r="140" spans="1:11" ht="18" customHeight="1" x14ac:dyDescent="0.25">
      <c r="A140" s="62" t="s">
        <v>497</v>
      </c>
      <c r="B140" s="84"/>
      <c r="C140" s="84">
        <f>B140</f>
        <v>0</v>
      </c>
      <c r="D140" s="84">
        <f>C140</f>
        <v>0</v>
      </c>
      <c r="E140" s="84">
        <f>D140</f>
        <v>0</v>
      </c>
      <c r="F140" s="111">
        <f>CHOOSE(MATCH(B$2,{"Actuals (T-12)","2. My Version","3. Projected","4. Offer"},0),B140,C140,D140,E140)</f>
        <v>0</v>
      </c>
      <c r="G140" s="111"/>
      <c r="H140" s="7" t="s">
        <v>498</v>
      </c>
      <c r="I140" s="441"/>
      <c r="J140" s="427"/>
      <c r="K140" s="427"/>
    </row>
    <row r="141" spans="1:11" ht="18" customHeight="1" x14ac:dyDescent="0.25">
      <c r="A141" s="833" t="s">
        <v>499</v>
      </c>
      <c r="B141" s="817"/>
      <c r="C141" s="817"/>
      <c r="D141" s="817"/>
      <c r="E141" s="817"/>
      <c r="F141" s="817"/>
      <c r="G141" s="817"/>
      <c r="H141" s="817"/>
      <c r="I141" s="441"/>
      <c r="J141" s="427"/>
      <c r="K141" s="427"/>
    </row>
    <row r="142" spans="1:11" ht="18" customHeight="1" x14ac:dyDescent="0.25">
      <c r="A142" s="62" t="s">
        <v>500</v>
      </c>
      <c r="B142" s="91"/>
      <c r="C142" s="91"/>
      <c r="D142" s="91"/>
      <c r="E142" s="91"/>
      <c r="F142" s="109">
        <f>CHOOSE(MATCH(B$2,{"Actuals (T-12)","2. My Version","3. Projected","4. Offer"},0),B142,C142,D142,E142)</f>
        <v>0</v>
      </c>
      <c r="G142" s="109"/>
      <c r="H142" s="7" t="s">
        <v>392</v>
      </c>
      <c r="I142" s="441"/>
      <c r="J142" s="427"/>
      <c r="K142" s="427"/>
    </row>
    <row r="143" spans="1:11" ht="18" customHeight="1" x14ac:dyDescent="0.25">
      <c r="A143" s="65" t="s">
        <v>501</v>
      </c>
      <c r="B143" s="96"/>
      <c r="C143" s="96"/>
      <c r="D143" s="96"/>
      <c r="E143" s="96"/>
      <c r="F143" s="111">
        <f>CHOOSE(MATCH(B$2,{"Actuals (T-12)","2. My Version","3. Projected","4. Offer"},0),B143,C143,D143,E143)</f>
        <v>0</v>
      </c>
      <c r="G143" s="111"/>
      <c r="H143" s="67" t="s">
        <v>502</v>
      </c>
      <c r="I143" s="441"/>
      <c r="J143" s="427"/>
      <c r="K143" s="427"/>
    </row>
    <row r="144" spans="1:11" ht="18" customHeight="1" x14ac:dyDescent="0.25">
      <c r="A144" s="62" t="s">
        <v>503</v>
      </c>
      <c r="B144" s="113"/>
      <c r="C144" s="113"/>
      <c r="D144" s="113"/>
      <c r="E144" s="113"/>
      <c r="F144" s="103">
        <f>CHOOSE(MATCH(B$2,{"Actuals (T-12)","2. My Version","3. Projected","4. Offer"},0),B144,C144,D144,E144)</f>
        <v>0</v>
      </c>
      <c r="G144" s="103"/>
      <c r="H144" s="441"/>
      <c r="I144" s="441"/>
      <c r="J144" s="427"/>
      <c r="K144" s="427"/>
    </row>
    <row r="145" spans="1:11" ht="18" customHeight="1" x14ac:dyDescent="0.25">
      <c r="A145" s="65" t="s">
        <v>504</v>
      </c>
      <c r="B145" s="112"/>
      <c r="C145" s="112"/>
      <c r="D145" s="112"/>
      <c r="E145" s="112"/>
      <c r="F145" s="103">
        <f>CHOOSE(MATCH(B$2,{"Actuals (T-12)","2. My Version","3. Projected","4. Offer"},0),B145,C145,D145,E145)</f>
        <v>0</v>
      </c>
      <c r="G145" s="103"/>
      <c r="H145" s="441"/>
      <c r="I145" s="441"/>
      <c r="J145" s="427"/>
      <c r="K145" s="427"/>
    </row>
    <row r="146" spans="1:11" x14ac:dyDescent="0.25">
      <c r="A146" s="62" t="s">
        <v>505</v>
      </c>
      <c r="B146" s="113"/>
      <c r="C146" s="113"/>
      <c r="D146" s="113"/>
      <c r="E146" s="113"/>
      <c r="F146" s="103">
        <f>CHOOSE(MATCH(B$2,{"Actuals (T-12)","2. My Version","3. Projected","4. Offer"},0),B146,C146,D146,E146)</f>
        <v>0</v>
      </c>
      <c r="G146" s="103"/>
      <c r="H146" s="441"/>
      <c r="I146" s="441"/>
      <c r="J146" s="427"/>
      <c r="K146" s="427"/>
    </row>
    <row r="147" spans="1:11" x14ac:dyDescent="0.25">
      <c r="A147" s="65" t="s">
        <v>506</v>
      </c>
      <c r="B147" s="96"/>
      <c r="C147" s="96"/>
      <c r="D147" s="96"/>
      <c r="E147" s="96"/>
      <c r="F147" s="111">
        <f>CHOOSE(MATCH(B$2,{"Actuals (T-12)","2. My Version","3. Projected","4. Offer"},0),B147,C147,D147,E147)</f>
        <v>0</v>
      </c>
      <c r="G147" s="111"/>
      <c r="H147" s="441"/>
      <c r="I147" s="441"/>
      <c r="J147" s="427"/>
      <c r="K147" s="427"/>
    </row>
    <row r="148" spans="1:11" x14ac:dyDescent="0.25">
      <c r="A148" s="837" t="s">
        <v>507</v>
      </c>
      <c r="B148" s="817"/>
      <c r="C148" s="817"/>
      <c r="D148" s="817"/>
      <c r="E148" s="817"/>
      <c r="F148" s="817"/>
      <c r="G148" s="817"/>
      <c r="H148" s="817"/>
      <c r="I148" s="441"/>
      <c r="J148" s="427"/>
      <c r="K148" s="427"/>
    </row>
    <row r="149" spans="1:11" x14ac:dyDescent="0.25">
      <c r="A149" s="65" t="s">
        <v>508</v>
      </c>
      <c r="B149" s="108"/>
      <c r="C149" s="108">
        <f>B149</f>
        <v>0</v>
      </c>
      <c r="D149" s="108">
        <f>C149</f>
        <v>0</v>
      </c>
      <c r="E149" s="108"/>
      <c r="F149" s="109">
        <f>CHOOSE(MATCH(B$2,{"Actuals (T-12)","2. My Version","3. Projected","4. Offer"},0),B149,C149,D149,E149)</f>
        <v>0</v>
      </c>
      <c r="G149" s="109"/>
      <c r="H149" s="67" t="s">
        <v>509</v>
      </c>
      <c r="I149" s="441"/>
      <c r="J149" s="427"/>
      <c r="K149" s="427"/>
    </row>
    <row r="150" spans="1:11" x14ac:dyDescent="0.25">
      <c r="A150" s="62" t="s">
        <v>510</v>
      </c>
      <c r="B150" s="84">
        <v>0</v>
      </c>
      <c r="C150" s="84"/>
      <c r="D150" s="84"/>
      <c r="E150" s="84"/>
      <c r="F150" s="111">
        <f>CHOOSE(MATCH(B$2,{"Actuals (T-12)","2. My Version","3. Projected","4. Offer"},0),B150,C150,D150,E150)</f>
        <v>0</v>
      </c>
      <c r="G150" s="111"/>
      <c r="H150" s="441"/>
      <c r="I150" s="441"/>
      <c r="J150" s="427"/>
      <c r="K150" s="427"/>
    </row>
    <row r="151" spans="1:11" x14ac:dyDescent="0.25">
      <c r="A151" s="65" t="s">
        <v>511</v>
      </c>
      <c r="B151" s="112">
        <v>0</v>
      </c>
      <c r="C151" s="112"/>
      <c r="D151" s="112"/>
      <c r="E151" s="112"/>
      <c r="F151" s="103">
        <f>CHOOSE(MATCH(B$2,{"Actuals (T-12)","2. My Version","3. Projected","4. Offer"},0),B151,C151,D151,E151)</f>
        <v>0</v>
      </c>
      <c r="G151" s="103"/>
      <c r="H151" s="441"/>
      <c r="I151" s="441"/>
      <c r="J151" s="427"/>
      <c r="K151" s="427"/>
    </row>
    <row r="152" spans="1:11" x14ac:dyDescent="0.25">
      <c r="A152" s="62" t="s">
        <v>512</v>
      </c>
      <c r="B152" s="113"/>
      <c r="C152" s="113">
        <f>B152</f>
        <v>0</v>
      </c>
      <c r="D152" s="113">
        <f>C152</f>
        <v>0</v>
      </c>
      <c r="E152" s="113"/>
      <c r="F152" s="103">
        <f>CHOOSE(MATCH(B$2,{"Actuals (T-12)","2. My Version","3. Projected","4. Offer"},0),B152,C152,D152,E152)</f>
        <v>0</v>
      </c>
      <c r="G152" s="103"/>
      <c r="H152" s="441"/>
      <c r="I152" s="441"/>
      <c r="J152" s="427"/>
      <c r="K152" s="427"/>
    </row>
    <row r="153" spans="1:11" x14ac:dyDescent="0.25">
      <c r="A153" s="65" t="s">
        <v>513</v>
      </c>
      <c r="B153" s="112"/>
      <c r="C153" s="112"/>
      <c r="D153" s="112"/>
      <c r="E153" s="112"/>
      <c r="F153" s="103">
        <f>CHOOSE(MATCH(B$2,{"Actuals (T-12)","2. My Version","3. Projected","4. Offer"},0),B153,C153,D153,E153)</f>
        <v>0</v>
      </c>
      <c r="G153" s="103"/>
      <c r="H153" s="441"/>
      <c r="I153" s="441"/>
      <c r="J153" s="427"/>
      <c r="K153" s="427"/>
    </row>
    <row r="154" spans="1:11" x14ac:dyDescent="0.25">
      <c r="A154" s="62" t="s">
        <v>514</v>
      </c>
      <c r="B154" s="84">
        <v>0</v>
      </c>
      <c r="C154" s="84"/>
      <c r="D154" s="84"/>
      <c r="E154" s="84"/>
      <c r="F154" s="111">
        <f>CHOOSE(MATCH(B$2,{"Actuals (T-12)","2. My Version","3. Projected","4. Offer"},0),B154,C154,D154,E154)</f>
        <v>0</v>
      </c>
      <c r="G154" s="111"/>
      <c r="H154" s="441"/>
      <c r="I154" s="441"/>
      <c r="J154" s="427"/>
      <c r="K154" s="427"/>
    </row>
    <row r="155" spans="1:11" x14ac:dyDescent="0.25">
      <c r="A155" s="836" t="s">
        <v>515</v>
      </c>
      <c r="B155" s="817"/>
      <c r="C155" s="817"/>
      <c r="D155" s="817"/>
      <c r="E155" s="817"/>
      <c r="F155" s="817"/>
      <c r="G155" s="817"/>
      <c r="H155" s="817"/>
      <c r="I155" s="441"/>
      <c r="J155" s="427"/>
      <c r="K155" s="427"/>
    </row>
    <row r="156" spans="1:11" x14ac:dyDescent="0.25">
      <c r="A156" s="62" t="s">
        <v>516</v>
      </c>
      <c r="B156" s="75">
        <f>IFERROR(IF(B135=0,0,IF(B139&gt;0,B135*B136/12,-PMT(B136/12,B137*12,B135))),0)</f>
        <v>0</v>
      </c>
      <c r="C156" s="75">
        <f>IFERROR(IF(C135=0,0,IF(C139&gt;0,C135*C136/12,-PMT(C136/12,C137*12,C135))),0)</f>
        <v>0</v>
      </c>
      <c r="D156" s="75">
        <f>IFERROR(IF(D135=0,0,IF(D139&gt;0,D135*D136/12,-PMT(D136/12,D137*12,D135))),0)</f>
        <v>0</v>
      </c>
      <c r="E156" s="75">
        <f>IFERROR(IF(E135=0,0,IF(E139&gt;0,E135*E136/12,-PMT(E136/12,E137*12,E135))),0)</f>
        <v>0</v>
      </c>
      <c r="F156" s="109">
        <f>CHOOSE(MATCH(B$2,{"Actuals (T-12)","2. My Version","3. Projected","4. Offer"},0),B156,C156,D156,E156)</f>
        <v>0</v>
      </c>
      <c r="G156" s="109"/>
      <c r="H156" s="441"/>
      <c r="I156" s="441"/>
      <c r="J156" s="427"/>
      <c r="K156" s="427"/>
    </row>
    <row r="157" spans="1:11" x14ac:dyDescent="0.25">
      <c r="A157" s="62" t="s">
        <v>517</v>
      </c>
      <c r="B157" s="75">
        <f>IFERROR(IF(B142=0,0,IF(B146&gt;0,B142*B143/12,-PMT(B143/12,B144*12,B142))),0)</f>
        <v>0</v>
      </c>
      <c r="C157" s="75">
        <f>IFERROR(IF(C142=0,0,IF(C146&gt;0,C142*C143/12,-PMT(C143/12,C144*12,C142))),0)</f>
        <v>0</v>
      </c>
      <c r="D157" s="75">
        <f>IFERROR(IF(D142=0,0,IF(D146&gt;0,D142*D143/12,-PMT(D143/12,D144*12,D142))),0)</f>
        <v>0</v>
      </c>
      <c r="E157" s="75">
        <f>IFERROR(IF(E142=0,0,IF(E146&gt;0,E142*E143/12,-PMT(E143/12,E144*12,E142))),0)</f>
        <v>0</v>
      </c>
      <c r="F157" s="109">
        <f>CHOOSE(MATCH(B$2,{"Actuals (T-12)","2. My Version","3. Projected","4. Offer"},0),B157,C157,D157,E157)</f>
        <v>0</v>
      </c>
      <c r="G157" s="109"/>
      <c r="H157" s="441"/>
      <c r="I157" s="441"/>
      <c r="J157" s="427"/>
      <c r="K157" s="427"/>
    </row>
    <row r="158" spans="1:11" x14ac:dyDescent="0.25">
      <c r="A158" s="62" t="s">
        <v>518</v>
      </c>
      <c r="B158" s="75">
        <f>IFERROR(IF(B149=0,0,IF(B153&gt;0,B149*B150/12,-PMT(B150/12,B151*12,B149))),0)</f>
        <v>0</v>
      </c>
      <c r="C158" s="75">
        <f>IFERROR(IF(C149=0,0,IF(C153&gt;0,C149*C150/12,-PMT(C150/12,C151*12,C149))),0)</f>
        <v>0</v>
      </c>
      <c r="D158" s="75">
        <f>IFERROR(IF(D149=0,0,IF(D153&gt;0,D149*D150/12,-PMT(D150/12,D151*12,D149))),0)</f>
        <v>0</v>
      </c>
      <c r="E158" s="75">
        <f>IFERROR(IF(E149=0,0,IF(E153&gt;0,E149*E150/12,-PMT(E150/12,E151*12,E149))),0)</f>
        <v>0</v>
      </c>
      <c r="F158" s="109">
        <f>CHOOSE(MATCH(B$2,{"Actuals (T-12)","2. My Version","3. Projected","4. Offer"},0),B158,C158,D158,E158)</f>
        <v>0</v>
      </c>
      <c r="G158" s="109"/>
      <c r="H158" s="441"/>
      <c r="I158" s="441"/>
      <c r="J158" s="427"/>
      <c r="K158" s="427"/>
    </row>
    <row r="159" spans="1:11" x14ac:dyDescent="0.25">
      <c r="A159" s="62" t="s">
        <v>519</v>
      </c>
      <c r="B159" s="75">
        <f>IFERROR(IF(B135=0,0,B156*12),0)</f>
        <v>0</v>
      </c>
      <c r="C159" s="75">
        <f>IFERROR(IF(C135=0,0,C156*12),0)</f>
        <v>0</v>
      </c>
      <c r="D159" s="75">
        <f>IFERROR(IF(D135=0,0,D156*12),0)</f>
        <v>0</v>
      </c>
      <c r="E159" s="75">
        <f>IFERROR(IF(E135=0,0,E156*12),0)</f>
        <v>0</v>
      </c>
      <c r="F159" s="109">
        <f>CHOOSE(MATCH(B$2,{"Actuals (T-12)","2. My Version","3. Projected","4. Offer"},0),B159,C159,D159,E159)</f>
        <v>0</v>
      </c>
      <c r="G159" s="109"/>
      <c r="H159" s="441"/>
      <c r="I159" s="441"/>
      <c r="J159" s="427"/>
      <c r="K159" s="427"/>
    </row>
    <row r="160" spans="1:11" x14ac:dyDescent="0.25">
      <c r="A160" s="62" t="s">
        <v>520</v>
      </c>
      <c r="B160" s="75">
        <f>IFERROR(IF(B142=0,0,B157*12),0)</f>
        <v>0</v>
      </c>
      <c r="C160" s="75">
        <f>IFERROR(IF(C142=0,0,C157*12),0)</f>
        <v>0</v>
      </c>
      <c r="D160" s="75">
        <f>IFERROR(IF(D142=0,0,D157*12),0)</f>
        <v>0</v>
      </c>
      <c r="E160" s="75">
        <f>IFERROR(IF(E142=0,0,E157*12),0)</f>
        <v>0</v>
      </c>
      <c r="F160" s="109">
        <f>CHOOSE(MATCH(B$2,{"Actuals (T-12)","2. My Version","3. Projected","4. Offer"},0),B160,C160,D160,E160)</f>
        <v>0</v>
      </c>
      <c r="G160" s="109"/>
      <c r="H160" s="441"/>
      <c r="I160" s="441"/>
      <c r="J160" s="427"/>
      <c r="K160" s="427"/>
    </row>
    <row r="161" spans="1:11" x14ac:dyDescent="0.25">
      <c r="A161" s="62" t="s">
        <v>521</v>
      </c>
      <c r="B161" s="75">
        <f>IFERROR(IF(B149=0,0,B158*12),0)</f>
        <v>0</v>
      </c>
      <c r="C161" s="75">
        <f>IFERROR(IF(C149=0,0,C158*12),0)</f>
        <v>0</v>
      </c>
      <c r="D161" s="75">
        <f>IFERROR(IF(D149=0,0,D158*12),0)</f>
        <v>0</v>
      </c>
      <c r="E161" s="75">
        <f>IFERROR(IF(E149=0,0,E158*12),0)</f>
        <v>0</v>
      </c>
      <c r="F161" s="109">
        <f>CHOOSE(MATCH(B$2,{"Actuals (T-12)","2. My Version","3. Projected","4. Offer"},0),B161,C161,D161,E161)</f>
        <v>0</v>
      </c>
      <c r="G161" s="109"/>
      <c r="H161" s="441"/>
      <c r="I161" s="441"/>
      <c r="J161" s="427"/>
      <c r="K161" s="427"/>
    </row>
    <row r="162" spans="1:11" x14ac:dyDescent="0.25">
      <c r="A162" s="114" t="s">
        <v>522</v>
      </c>
      <c r="B162" s="115">
        <f>B159+B160+B161</f>
        <v>0</v>
      </c>
      <c r="C162" s="115">
        <f>C159+C160+C161</f>
        <v>0</v>
      </c>
      <c r="D162" s="115">
        <f>D159+D160+D161</f>
        <v>0</v>
      </c>
      <c r="E162" s="115">
        <f>E159+E160+E161</f>
        <v>0</v>
      </c>
      <c r="F162" s="115">
        <f>CHOOSE(MATCH(B$2,{"Actuals (T-12)","2. My Version","3. Projected","4. Offer"},0),B162,C162,D162,E162)</f>
        <v>0</v>
      </c>
      <c r="G162" s="115"/>
      <c r="H162" s="116" t="s">
        <v>523</v>
      </c>
      <c r="I162" s="441"/>
      <c r="J162" s="427"/>
      <c r="K162" s="427"/>
    </row>
    <row r="163" spans="1:11" x14ac:dyDescent="0.25">
      <c r="A163" s="88" t="s">
        <v>524</v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>0</v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>0</v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>0</v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>0</v>
      </c>
      <c r="F163" s="117">
        <f>CHOOSE(MATCH(B$2,{"Actuals (T-12)","2. My Version","3. Projected","4. Offer"},0),B163,C163,D163,E163)</f>
        <v>0</v>
      </c>
      <c r="G163" s="117"/>
      <c r="H163" s="56" t="s">
        <v>525</v>
      </c>
      <c r="I163" s="441"/>
      <c r="J163" s="427"/>
      <c r="K163" s="427"/>
    </row>
    <row r="164" spans="1:11" x14ac:dyDescent="0.25">
      <c r="A164" s="118" t="s">
        <v>526</v>
      </c>
      <c r="B164" s="119">
        <f>B135+B142+B149</f>
        <v>0</v>
      </c>
      <c r="C164" s="119">
        <f>C135+C142+C149</f>
        <v>0</v>
      </c>
      <c r="D164" s="119">
        <f>D135+D142+D149</f>
        <v>0</v>
      </c>
      <c r="E164" s="119">
        <f>E135+E142+E149</f>
        <v>0</v>
      </c>
      <c r="F164" s="109">
        <f>CHOOSE(MATCH(B$2,{"Actuals (T-12)","2. My Version","3. Projected","4. Offer"},0),B164,C164,D164,E164)</f>
        <v>0</v>
      </c>
      <c r="G164" s="109"/>
      <c r="H164" s="5" t="s">
        <v>396</v>
      </c>
      <c r="I164" s="441"/>
      <c r="J164" s="427"/>
      <c r="K164" s="427"/>
    </row>
    <row r="165" spans="1:11" x14ac:dyDescent="0.25">
      <c r="A165" s="62" t="s">
        <v>527</v>
      </c>
      <c r="B165" s="82">
        <f>IFERROR(B164/B7,0)</f>
        <v>0</v>
      </c>
      <c r="C165" s="82">
        <f>IFERROR(C164/C7,0)</f>
        <v>0</v>
      </c>
      <c r="D165" s="82">
        <f>IFERROR(D164/D7,0)</f>
        <v>0</v>
      </c>
      <c r="E165" s="82">
        <f>IFERROR(E164/E7,0)</f>
        <v>0</v>
      </c>
      <c r="F165" s="111">
        <f>CHOOSE(MATCH(B$2,{"Actuals (T-12)","2. My Version","3. Projected","4. Offer"},0),B165,C165,D165,E165)</f>
        <v>0</v>
      </c>
      <c r="G165" s="111"/>
      <c r="H165" s="7" t="s">
        <v>398</v>
      </c>
      <c r="I165" s="441"/>
      <c r="J165" s="427"/>
      <c r="K165" s="427"/>
    </row>
    <row r="166" spans="1:11" x14ac:dyDescent="0.25">
      <c r="A166" s="102" t="s">
        <v>528</v>
      </c>
      <c r="B166" s="74">
        <f>IFERROR(B164/B17,0)</f>
        <v>0</v>
      </c>
      <c r="C166" s="74">
        <f>IFERROR(C164/C17,0)</f>
        <v>0</v>
      </c>
      <c r="D166" s="74">
        <f>IFERROR(D164/D17,0)</f>
        <v>0</v>
      </c>
      <c r="E166" s="74">
        <f>IFERROR(E164/E17,0)</f>
        <v>0</v>
      </c>
      <c r="F166" s="111">
        <f>CHOOSE(MATCH(B$2,{"Actuals (T-12)","2. My Version","3. Projected","4. Offer"},0),B166,C166,D166,E166)</f>
        <v>0</v>
      </c>
      <c r="G166" s="111"/>
      <c r="H166" s="56" t="s">
        <v>400</v>
      </c>
      <c r="I166" s="441"/>
      <c r="J166" s="427"/>
      <c r="K166" s="427"/>
    </row>
    <row r="167" spans="1:11" x14ac:dyDescent="0.25">
      <c r="A167" s="441"/>
      <c r="B167" s="441"/>
      <c r="C167" s="441"/>
      <c r="D167" s="441"/>
      <c r="E167" s="441"/>
      <c r="F167" s="441"/>
      <c r="G167" s="441"/>
      <c r="H167" s="441"/>
      <c r="I167" s="441"/>
      <c r="J167" s="427"/>
      <c r="K167" s="427"/>
    </row>
    <row r="168" spans="1:11" x14ac:dyDescent="0.25">
      <c r="A168" s="441"/>
      <c r="B168" s="441"/>
      <c r="C168" s="441"/>
      <c r="D168" s="441"/>
      <c r="E168" s="441"/>
      <c r="F168" s="441"/>
      <c r="G168" s="441"/>
      <c r="H168" s="441"/>
      <c r="I168" s="441"/>
      <c r="J168" s="427"/>
      <c r="K168" s="427"/>
    </row>
    <row r="169" spans="1:11" x14ac:dyDescent="0.25">
      <c r="A169" s="441"/>
      <c r="B169" s="441"/>
      <c r="C169" s="441"/>
      <c r="D169" s="441"/>
      <c r="E169" s="441"/>
      <c r="F169" s="441"/>
      <c r="G169" s="441"/>
      <c r="H169" s="441"/>
      <c r="I169" s="441"/>
      <c r="J169" s="427"/>
      <c r="K169" s="427"/>
    </row>
    <row r="170" spans="1:11" x14ac:dyDescent="0.25">
      <c r="A170" s="441"/>
      <c r="B170" s="441"/>
      <c r="C170" s="441"/>
      <c r="D170" s="441"/>
      <c r="E170" s="441"/>
      <c r="F170" s="441"/>
      <c r="G170" s="441"/>
      <c r="H170" s="441"/>
      <c r="I170" s="441"/>
      <c r="J170" s="427"/>
      <c r="K170" s="427"/>
    </row>
    <row r="171" spans="1:11" x14ac:dyDescent="0.25">
      <c r="A171" s="441"/>
      <c r="B171" s="441"/>
      <c r="C171" s="441"/>
      <c r="D171" s="441"/>
      <c r="E171" s="441"/>
      <c r="F171" s="441"/>
      <c r="G171" s="441"/>
      <c r="H171" s="441"/>
      <c r="I171" s="441"/>
      <c r="J171" s="427"/>
      <c r="K171" s="427"/>
    </row>
    <row r="172" spans="1:11" x14ac:dyDescent="0.25">
      <c r="A172" s="441"/>
      <c r="B172" s="441"/>
      <c r="C172" s="441"/>
      <c r="D172" s="441"/>
      <c r="E172" s="441"/>
      <c r="F172" s="441"/>
      <c r="G172" s="441"/>
      <c r="H172" s="441"/>
      <c r="I172" s="441"/>
      <c r="J172" s="427"/>
      <c r="K172" s="427"/>
    </row>
    <row r="173" spans="1:11" x14ac:dyDescent="0.25">
      <c r="A173" s="441"/>
      <c r="B173" s="441"/>
      <c r="C173" s="441"/>
      <c r="D173" s="441"/>
      <c r="E173" s="441"/>
      <c r="F173" s="441"/>
      <c r="G173" s="441"/>
      <c r="H173" s="441"/>
      <c r="I173" s="441"/>
      <c r="J173" s="427"/>
      <c r="K173" s="427"/>
    </row>
    <row r="174" spans="1:11" x14ac:dyDescent="0.25">
      <c r="A174" s="441"/>
      <c r="B174" s="441"/>
      <c r="C174" s="441"/>
      <c r="D174" s="441"/>
      <c r="E174" s="441"/>
      <c r="F174" s="441"/>
      <c r="G174" s="441"/>
      <c r="H174" s="441"/>
      <c r="I174" s="441"/>
      <c r="J174" s="427"/>
      <c r="K174" s="427"/>
    </row>
    <row r="175" spans="1:11" x14ac:dyDescent="0.25">
      <c r="A175" s="441"/>
      <c r="B175" s="441"/>
      <c r="C175" s="441"/>
      <c r="D175" s="441"/>
      <c r="E175" s="441"/>
      <c r="F175" s="441"/>
      <c r="G175" s="441"/>
      <c r="H175" s="441"/>
      <c r="I175" s="441"/>
      <c r="J175" s="427"/>
      <c r="K175" s="427"/>
    </row>
    <row r="176" spans="1:11" x14ac:dyDescent="0.25">
      <c r="A176" s="441"/>
      <c r="B176" s="441"/>
      <c r="C176" s="441"/>
      <c r="D176" s="441"/>
      <c r="E176" s="441"/>
      <c r="F176" s="441"/>
      <c r="G176" s="441"/>
      <c r="H176" s="441"/>
      <c r="I176" s="441"/>
      <c r="J176" s="427"/>
      <c r="K176" s="427"/>
    </row>
    <row r="177" spans="1:11" x14ac:dyDescent="0.25">
      <c r="A177" s="441"/>
      <c r="B177" s="441"/>
      <c r="C177" s="441"/>
      <c r="D177" s="441"/>
      <c r="E177" s="441"/>
      <c r="F177" s="441"/>
      <c r="G177" s="441"/>
      <c r="H177" s="441"/>
      <c r="I177" s="441"/>
      <c r="J177" s="427"/>
      <c r="K177" s="427"/>
    </row>
    <row r="178" spans="1:11" x14ac:dyDescent="0.25">
      <c r="A178" s="441"/>
      <c r="B178" s="441"/>
      <c r="C178" s="441"/>
      <c r="D178" s="441"/>
      <c r="E178" s="441"/>
      <c r="F178" s="441"/>
      <c r="G178" s="441"/>
      <c r="H178" s="441"/>
      <c r="I178" s="441"/>
      <c r="J178" s="427"/>
      <c r="K178" s="427"/>
    </row>
    <row r="179" spans="1:11" x14ac:dyDescent="0.25">
      <c r="A179" s="441"/>
      <c r="B179" s="441"/>
      <c r="C179" s="441"/>
      <c r="D179" s="441"/>
      <c r="E179" s="441"/>
      <c r="F179" s="441"/>
      <c r="G179" s="441"/>
      <c r="H179" s="441"/>
      <c r="I179" s="441"/>
      <c r="J179" s="427"/>
      <c r="K179" s="427"/>
    </row>
    <row r="180" spans="1:11" x14ac:dyDescent="0.25">
      <c r="A180" s="441"/>
      <c r="B180" s="441"/>
      <c r="C180" s="441"/>
      <c r="D180" s="441"/>
      <c r="E180" s="441"/>
      <c r="F180" s="441"/>
      <c r="G180" s="441"/>
      <c r="H180" s="441"/>
      <c r="I180" s="441"/>
      <c r="J180" s="427"/>
      <c r="K180" s="427"/>
    </row>
    <row r="181" spans="1:11" x14ac:dyDescent="0.25">
      <c r="A181" s="441"/>
      <c r="B181" s="441"/>
      <c r="C181" s="441"/>
      <c r="D181" s="441"/>
      <c r="E181" s="441"/>
      <c r="F181" s="441"/>
      <c r="G181" s="441"/>
      <c r="H181" s="441"/>
      <c r="I181" s="441"/>
      <c r="J181" s="427"/>
      <c r="K181" s="427"/>
    </row>
    <row r="182" spans="1:11" x14ac:dyDescent="0.25">
      <c r="A182" s="441"/>
      <c r="B182" s="441"/>
      <c r="C182" s="441"/>
      <c r="D182" s="441"/>
      <c r="E182" s="441"/>
      <c r="F182" s="441"/>
      <c r="G182" s="441"/>
      <c r="H182" s="441"/>
      <c r="I182" s="441"/>
      <c r="J182" s="427"/>
      <c r="K182" s="427"/>
    </row>
    <row r="183" spans="1:11" x14ac:dyDescent="0.25">
      <c r="A183" s="441"/>
      <c r="B183" s="441"/>
      <c r="C183" s="441"/>
      <c r="D183" s="441"/>
      <c r="E183" s="441"/>
      <c r="F183" s="441"/>
      <c r="G183" s="441"/>
      <c r="H183" s="441"/>
      <c r="I183" s="441"/>
      <c r="J183" s="427"/>
      <c r="K183" s="427"/>
    </row>
    <row r="184" spans="1:11" x14ac:dyDescent="0.25">
      <c r="A184" s="441"/>
      <c r="B184" s="441"/>
      <c r="C184" s="441"/>
      <c r="D184" s="441"/>
      <c r="E184" s="441"/>
      <c r="F184" s="441"/>
      <c r="G184" s="441"/>
      <c r="H184" s="441"/>
      <c r="I184" s="441"/>
      <c r="J184" s="427"/>
      <c r="K184" s="427"/>
    </row>
    <row r="185" spans="1:11" x14ac:dyDescent="0.25">
      <c r="A185" s="441"/>
      <c r="B185" s="441"/>
      <c r="C185" s="441"/>
      <c r="D185" s="441"/>
      <c r="E185" s="441"/>
      <c r="F185" s="441"/>
      <c r="G185" s="441"/>
      <c r="H185" s="441"/>
      <c r="I185" s="441"/>
    </row>
    <row r="186" spans="1:11" x14ac:dyDescent="0.25">
      <c r="A186" s="441"/>
      <c r="B186" s="441"/>
      <c r="C186" s="441"/>
      <c r="D186" s="441"/>
      <c r="E186" s="441"/>
      <c r="F186" s="441"/>
      <c r="G186" s="441"/>
      <c r="H186" s="441"/>
      <c r="I186" s="441"/>
    </row>
  </sheetData>
  <mergeCells count="13">
    <mergeCell ref="A3:H3"/>
    <mergeCell ref="A134:H134"/>
    <mergeCell ref="A133:H133"/>
    <mergeCell ref="A132:H132"/>
    <mergeCell ref="A1:H1"/>
    <mergeCell ref="A155:H155"/>
    <mergeCell ref="A148:H148"/>
    <mergeCell ref="A72:H72"/>
    <mergeCell ref="A141:H141"/>
    <mergeCell ref="A19:H19"/>
    <mergeCell ref="A37:H37"/>
    <mergeCell ref="A122:H122"/>
    <mergeCell ref="A27:H27"/>
  </mergeCells>
  <dataValidations disablePrompts="1" count="1">
    <dataValidation type="list" sqref="B2" xr:uid="{00000000-0002-0000-0200-000000000000}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defaultColWidth="8.85546875" defaultRowHeight="15" outlineLevelRow="1" x14ac:dyDescent="0.25"/>
  <cols>
    <col min="1" max="1" width="37.28515625" bestFit="1" customWidth="1"/>
    <col min="2" max="2" width="5.42578125" customWidth="1"/>
    <col min="3" max="3" width="15.28515625" bestFit="1" customWidth="1"/>
    <col min="4" max="8" width="15.7109375" bestFit="1" customWidth="1"/>
    <col min="9" max="13" width="17" customWidth="1"/>
    <col min="14" max="16" width="14" customWidth="1"/>
    <col min="17" max="18" width="16" customWidth="1"/>
  </cols>
  <sheetData>
    <row r="1" spans="1:18" ht="27.75" customHeight="1" x14ac:dyDescent="0.25">
      <c r="A1" s="842" t="s">
        <v>702</v>
      </c>
      <c r="B1" s="842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  <c r="P1" s="817"/>
      <c r="Q1" s="817"/>
      <c r="R1" s="817"/>
    </row>
    <row r="2" spans="1:18" ht="15.75" customHeight="1" x14ac:dyDescent="0.25">
      <c r="A2" s="835" t="s">
        <v>703</v>
      </c>
      <c r="B2" s="835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</row>
    <row r="4" spans="1:18" ht="24" customHeight="1" x14ac:dyDescent="0.25">
      <c r="A4" s="120" t="s">
        <v>704</v>
      </c>
      <c r="B4" s="120"/>
      <c r="C4" s="120"/>
      <c r="D4" s="32" t="s">
        <v>705</v>
      </c>
      <c r="E4" s="32" t="s">
        <v>706</v>
      </c>
      <c r="F4" s="32" t="s">
        <v>707</v>
      </c>
      <c r="G4" s="32" t="s">
        <v>708</v>
      </c>
      <c r="H4" s="32" t="s">
        <v>709</v>
      </c>
      <c r="I4" s="32" t="s">
        <v>710</v>
      </c>
      <c r="J4" s="32" t="s">
        <v>711</v>
      </c>
      <c r="K4" s="32" t="s">
        <v>712</v>
      </c>
      <c r="L4" s="32" t="s">
        <v>713</v>
      </c>
      <c r="M4" s="32" t="s">
        <v>714</v>
      </c>
      <c r="N4" s="120"/>
      <c r="O4" s="120"/>
      <c r="P4" s="120"/>
      <c r="Q4" s="120"/>
    </row>
    <row r="5" spans="1:18" ht="18" customHeight="1" x14ac:dyDescent="0.25">
      <c r="A5" s="121" t="s">
        <v>715</v>
      </c>
      <c r="B5" s="121"/>
      <c r="C5" s="122" t="s">
        <v>197</v>
      </c>
      <c r="D5" s="123">
        <v>0.04</v>
      </c>
      <c r="E5" s="123">
        <v>0.04</v>
      </c>
      <c r="F5" s="123">
        <v>0.04</v>
      </c>
      <c r="G5" s="123">
        <v>0.04</v>
      </c>
      <c r="H5" s="123">
        <f t="shared" ref="H5:M5" si="0">G5</f>
        <v>0.04</v>
      </c>
      <c r="I5" s="123">
        <f t="shared" si="0"/>
        <v>0.04</v>
      </c>
      <c r="J5" s="123">
        <f t="shared" si="0"/>
        <v>0.04</v>
      </c>
      <c r="K5" s="123">
        <f t="shared" si="0"/>
        <v>0.04</v>
      </c>
      <c r="L5" s="123">
        <f t="shared" si="0"/>
        <v>0.04</v>
      </c>
      <c r="M5" s="123">
        <f t="shared" si="0"/>
        <v>0.04</v>
      </c>
      <c r="N5" s="121" t="s">
        <v>716</v>
      </c>
      <c r="O5" s="843">
        <f>AVERAGE(D5:M5)</f>
        <v>3.9999999999999994E-2</v>
      </c>
      <c r="P5" s="817"/>
    </row>
    <row r="6" spans="1:18" ht="18" customHeight="1" x14ac:dyDescent="0.25">
      <c r="A6" s="121" t="s">
        <v>717</v>
      </c>
      <c r="B6" s="121"/>
      <c r="C6" s="122" t="s">
        <v>197</v>
      </c>
      <c r="D6" s="123">
        <v>0.03</v>
      </c>
      <c r="E6" s="123">
        <v>0.03</v>
      </c>
      <c r="F6" s="123">
        <v>0.03</v>
      </c>
      <c r="G6" s="123">
        <v>0.03</v>
      </c>
      <c r="H6" s="123">
        <v>0.03</v>
      </c>
      <c r="I6" s="123">
        <f>H6</f>
        <v>0.03</v>
      </c>
      <c r="J6" s="123">
        <f>I6</f>
        <v>0.03</v>
      </c>
      <c r="K6" s="123">
        <f>J6</f>
        <v>0.03</v>
      </c>
      <c r="L6" s="123">
        <f>K6</f>
        <v>0.03</v>
      </c>
      <c r="M6" s="123">
        <f>L6</f>
        <v>0.03</v>
      </c>
      <c r="N6" s="121" t="s">
        <v>716</v>
      </c>
      <c r="O6" s="843">
        <f>AVERAGE(D6:M6)</f>
        <v>3.0000000000000006E-2</v>
      </c>
      <c r="P6" s="817"/>
    </row>
    <row r="8" spans="1:18" ht="30" customHeight="1" x14ac:dyDescent="0.25">
      <c r="A8" s="41" t="s">
        <v>358</v>
      </c>
      <c r="B8" s="41"/>
      <c r="C8" s="59" t="s">
        <v>539</v>
      </c>
      <c r="D8" s="32" t="s">
        <v>705</v>
      </c>
      <c r="E8" s="32" t="s">
        <v>706</v>
      </c>
      <c r="F8" s="32" t="s">
        <v>707</v>
      </c>
      <c r="G8" s="32" t="s">
        <v>708</v>
      </c>
      <c r="H8" s="32" t="s">
        <v>709</v>
      </c>
      <c r="I8" s="32" t="s">
        <v>710</v>
      </c>
      <c r="J8" s="32" t="s">
        <v>711</v>
      </c>
      <c r="K8" s="32" t="s">
        <v>712</v>
      </c>
      <c r="L8" s="32" t="s">
        <v>713</v>
      </c>
      <c r="M8" s="32" t="s">
        <v>714</v>
      </c>
      <c r="N8" s="32" t="s">
        <v>718</v>
      </c>
      <c r="O8" s="32" t="s">
        <v>719</v>
      </c>
      <c r="P8" s="32" t="s">
        <v>720</v>
      </c>
      <c r="Q8" s="19" t="s">
        <v>721</v>
      </c>
    </row>
    <row r="9" spans="1:18" ht="24" customHeight="1" x14ac:dyDescent="0.25">
      <c r="A9" s="827" t="s">
        <v>603</v>
      </c>
      <c r="B9" s="827"/>
      <c r="C9" s="817"/>
      <c r="D9" s="817"/>
      <c r="E9" s="817"/>
      <c r="F9" s="817"/>
      <c r="G9" s="817"/>
      <c r="H9" s="817"/>
      <c r="I9" s="817"/>
      <c r="J9" s="817"/>
      <c r="K9" s="817"/>
      <c r="L9" s="817"/>
      <c r="M9" s="817"/>
      <c r="N9" s="817"/>
      <c r="O9" s="817"/>
      <c r="P9" s="817"/>
      <c r="Q9" s="817"/>
      <c r="R9" s="817"/>
    </row>
    <row r="10" spans="1:18" ht="24" customHeight="1" x14ac:dyDescent="0.25">
      <c r="A10" s="62" t="s">
        <v>722</v>
      </c>
      <c r="B10" s="62"/>
      <c r="C10" s="617">
        <f>IFERROR((C43/C42)/12,0)</f>
        <v>0</v>
      </c>
      <c r="D10" s="617">
        <f>IFERROR((D43/D42)/12,0)</f>
        <v>0</v>
      </c>
      <c r="E10" s="596">
        <f>IFERROR((E43/E42)/12,0)</f>
        <v>0</v>
      </c>
      <c r="F10" s="596">
        <f t="shared" ref="F10:M10" si="1">IFERROR((F43/F42)/12,0)</f>
        <v>0</v>
      </c>
      <c r="G10" s="596">
        <f t="shared" si="1"/>
        <v>0</v>
      </c>
      <c r="H10" s="596">
        <f t="shared" si="1"/>
        <v>0</v>
      </c>
      <c r="I10" s="596">
        <f t="shared" si="1"/>
        <v>0</v>
      </c>
      <c r="J10" s="596">
        <f t="shared" si="1"/>
        <v>0</v>
      </c>
      <c r="K10" s="596">
        <f t="shared" si="1"/>
        <v>0</v>
      </c>
      <c r="L10" s="596">
        <f t="shared" si="1"/>
        <v>0</v>
      </c>
      <c r="M10" s="596">
        <f t="shared" si="1"/>
        <v>0</v>
      </c>
    </row>
    <row r="11" spans="1:18" ht="24" customHeight="1" x14ac:dyDescent="0.25">
      <c r="A11" s="466" t="s">
        <v>1339</v>
      </c>
      <c r="B11" s="466"/>
      <c r="D11" s="124"/>
      <c r="E11" s="124"/>
      <c r="F11" s="124"/>
      <c r="G11" s="124"/>
      <c r="H11" s="124"/>
      <c r="I11" s="124"/>
      <c r="J11" s="124"/>
      <c r="K11" s="124"/>
      <c r="L11" s="124"/>
      <c r="M11" s="124"/>
    </row>
    <row r="12" spans="1:18" ht="24" customHeight="1" outlineLevel="1" x14ac:dyDescent="0.25">
      <c r="A12" s="465" t="s">
        <v>420</v>
      </c>
      <c r="B12" s="465"/>
      <c r="C12" s="589">
        <f>Scenarios!B39</f>
        <v>0</v>
      </c>
      <c r="D12" s="590">
        <f>Scenarios!F39</f>
        <v>0</v>
      </c>
      <c r="E12" s="591">
        <f>D12</f>
        <v>0</v>
      </c>
      <c r="F12" s="591">
        <f t="shared" ref="F12:M12" si="2">E12</f>
        <v>0</v>
      </c>
      <c r="G12" s="591">
        <f t="shared" si="2"/>
        <v>0</v>
      </c>
      <c r="H12" s="591">
        <f t="shared" si="2"/>
        <v>0</v>
      </c>
      <c r="I12" s="591">
        <f t="shared" si="2"/>
        <v>0</v>
      </c>
      <c r="J12" s="591">
        <f t="shared" si="2"/>
        <v>0</v>
      </c>
      <c r="K12" s="591">
        <f t="shared" si="2"/>
        <v>0</v>
      </c>
      <c r="L12" s="591">
        <f t="shared" si="2"/>
        <v>0</v>
      </c>
      <c r="M12" s="591">
        <f t="shared" si="2"/>
        <v>0</v>
      </c>
      <c r="N12" s="592"/>
      <c r="O12" s="592"/>
      <c r="P12" s="592"/>
    </row>
    <row r="13" spans="1:18" ht="24" customHeight="1" outlineLevel="1" x14ac:dyDescent="0.25">
      <c r="A13" s="465" t="s">
        <v>428</v>
      </c>
      <c r="B13" s="465"/>
      <c r="C13" s="593">
        <f>Scenarios!B44</f>
        <v>0</v>
      </c>
      <c r="D13" s="594">
        <f>Scenarios!F44</f>
        <v>0</v>
      </c>
      <c r="E13" s="595">
        <f>D13*(1+E$5)</f>
        <v>0</v>
      </c>
      <c r="F13" s="595">
        <f t="shared" ref="F13:M13" si="3">E13*(1+F$5)</f>
        <v>0</v>
      </c>
      <c r="G13" s="595">
        <f t="shared" si="3"/>
        <v>0</v>
      </c>
      <c r="H13" s="595">
        <f t="shared" si="3"/>
        <v>0</v>
      </c>
      <c r="I13" s="595">
        <f t="shared" si="3"/>
        <v>0</v>
      </c>
      <c r="J13" s="595">
        <f t="shared" si="3"/>
        <v>0</v>
      </c>
      <c r="K13" s="595">
        <f t="shared" si="3"/>
        <v>0</v>
      </c>
      <c r="L13" s="595">
        <f t="shared" si="3"/>
        <v>0</v>
      </c>
      <c r="M13" s="595">
        <f t="shared" si="3"/>
        <v>0</v>
      </c>
      <c r="N13" s="592"/>
      <c r="O13" s="592"/>
      <c r="P13" s="592"/>
    </row>
    <row r="14" spans="1:18" ht="24" customHeight="1" outlineLevel="1" x14ac:dyDescent="0.25">
      <c r="A14" s="465" t="s">
        <v>432</v>
      </c>
      <c r="B14" s="465"/>
      <c r="C14" s="595">
        <f>C12*C13*12</f>
        <v>0</v>
      </c>
      <c r="D14" s="594">
        <f>D12*D13*12</f>
        <v>0</v>
      </c>
      <c r="E14" s="595">
        <f>E12*E13*12</f>
        <v>0</v>
      </c>
      <c r="F14" s="595">
        <f t="shared" ref="F14:M14" si="4">F12*F13*12</f>
        <v>0</v>
      </c>
      <c r="G14" s="595">
        <f t="shared" si="4"/>
        <v>0</v>
      </c>
      <c r="H14" s="595">
        <f t="shared" si="4"/>
        <v>0</v>
      </c>
      <c r="I14" s="595">
        <f t="shared" si="4"/>
        <v>0</v>
      </c>
      <c r="J14" s="595">
        <f t="shared" si="4"/>
        <v>0</v>
      </c>
      <c r="K14" s="595">
        <f t="shared" si="4"/>
        <v>0</v>
      </c>
      <c r="L14" s="595">
        <f t="shared" si="4"/>
        <v>0</v>
      </c>
      <c r="M14" s="595">
        <f t="shared" si="4"/>
        <v>0</v>
      </c>
      <c r="N14" s="595">
        <f>SUM(D14:H14)</f>
        <v>0</v>
      </c>
      <c r="O14" s="595">
        <f>SUM(D14:M14)</f>
        <v>0</v>
      </c>
      <c r="P14" s="554">
        <f>IFERROR(O14/10,0)</f>
        <v>0</v>
      </c>
      <c r="Q14" s="495">
        <f>IFERROR(D14/$D$50,0)</f>
        <v>0</v>
      </c>
    </row>
    <row r="15" spans="1:18" ht="24" customHeight="1" outlineLevel="1" x14ac:dyDescent="0.25">
      <c r="A15" s="472" t="s">
        <v>1340</v>
      </c>
      <c r="B15" s="472"/>
      <c r="C15" s="484">
        <f>Scenarios!B53</f>
        <v>0</v>
      </c>
      <c r="D15" s="484">
        <f>Scenarios!F53</f>
        <v>0</v>
      </c>
      <c r="E15" s="490">
        <f>D15</f>
        <v>0</v>
      </c>
      <c r="F15" s="490">
        <f t="shared" ref="F15:M15" si="5">E15</f>
        <v>0</v>
      </c>
      <c r="G15" s="490">
        <f t="shared" si="5"/>
        <v>0</v>
      </c>
      <c r="H15" s="490">
        <f t="shared" si="5"/>
        <v>0</v>
      </c>
      <c r="I15" s="490">
        <f t="shared" si="5"/>
        <v>0</v>
      </c>
      <c r="J15" s="490">
        <f t="shared" si="5"/>
        <v>0</v>
      </c>
      <c r="K15" s="490">
        <f t="shared" si="5"/>
        <v>0</v>
      </c>
      <c r="L15" s="490">
        <f t="shared" si="5"/>
        <v>0</v>
      </c>
      <c r="M15" s="490">
        <f t="shared" si="5"/>
        <v>0</v>
      </c>
      <c r="N15" s="592"/>
      <c r="O15" s="592"/>
      <c r="P15" s="592"/>
    </row>
    <row r="16" spans="1:18" ht="24" customHeight="1" outlineLevel="1" x14ac:dyDescent="0.25">
      <c r="A16" s="473" t="s">
        <v>1341</v>
      </c>
      <c r="B16" s="473"/>
      <c r="C16" s="596">
        <f>IFERROR(-C15*C14,0)</f>
        <v>0</v>
      </c>
      <c r="D16" s="594">
        <f>IFERROR(-D15*D14,0)</f>
        <v>0</v>
      </c>
      <c r="E16" s="596">
        <f>IFERROR(-E15*E14,0)</f>
        <v>0</v>
      </c>
      <c r="F16" s="596">
        <f t="shared" ref="F16:M16" si="6">IFERROR(-F15*F14,0)</f>
        <v>0</v>
      </c>
      <c r="G16" s="596">
        <f t="shared" si="6"/>
        <v>0</v>
      </c>
      <c r="H16" s="596">
        <f t="shared" si="6"/>
        <v>0</v>
      </c>
      <c r="I16" s="596">
        <f t="shared" si="6"/>
        <v>0</v>
      </c>
      <c r="J16" s="596">
        <f t="shared" si="6"/>
        <v>0</v>
      </c>
      <c r="K16" s="596">
        <f t="shared" si="6"/>
        <v>0</v>
      </c>
      <c r="L16" s="596">
        <f t="shared" si="6"/>
        <v>0</v>
      </c>
      <c r="M16" s="596">
        <f t="shared" si="6"/>
        <v>0</v>
      </c>
      <c r="N16" s="592"/>
      <c r="O16" s="592"/>
      <c r="P16" s="592"/>
    </row>
    <row r="17" spans="1:17" ht="24" customHeight="1" outlineLevel="1" x14ac:dyDescent="0.25">
      <c r="A17" s="474" t="s">
        <v>1342</v>
      </c>
      <c r="B17" s="474"/>
      <c r="C17" s="486">
        <f>Scenarios!B58</f>
        <v>0</v>
      </c>
      <c r="D17" s="486">
        <f>Scenarios!F58</f>
        <v>0</v>
      </c>
      <c r="E17" s="491">
        <f>D17</f>
        <v>0</v>
      </c>
      <c r="F17" s="491">
        <f t="shared" ref="F17:M17" si="7">E17</f>
        <v>0</v>
      </c>
      <c r="G17" s="491">
        <f t="shared" si="7"/>
        <v>0</v>
      </c>
      <c r="H17" s="491">
        <f t="shared" si="7"/>
        <v>0</v>
      </c>
      <c r="I17" s="491">
        <f t="shared" si="7"/>
        <v>0</v>
      </c>
      <c r="J17" s="491">
        <f t="shared" si="7"/>
        <v>0</v>
      </c>
      <c r="K17" s="491">
        <f t="shared" si="7"/>
        <v>0</v>
      </c>
      <c r="L17" s="491">
        <f t="shared" si="7"/>
        <v>0</v>
      </c>
      <c r="M17" s="491">
        <f t="shared" si="7"/>
        <v>0</v>
      </c>
      <c r="N17" s="592"/>
      <c r="O17" s="592"/>
      <c r="P17" s="592"/>
    </row>
    <row r="18" spans="1:17" ht="24" customHeight="1" outlineLevel="1" x14ac:dyDescent="0.25">
      <c r="A18" s="475" t="s">
        <v>1343</v>
      </c>
      <c r="B18" s="475"/>
      <c r="C18" s="596">
        <f>IFERROR(-C17*C14,0)</f>
        <v>0</v>
      </c>
      <c r="D18" s="594">
        <f>IFERROR(-D17*D14,0)</f>
        <v>0</v>
      </c>
      <c r="E18" s="596">
        <f>IFERROR(-E17*E14,0)</f>
        <v>0</v>
      </c>
      <c r="F18" s="596">
        <f t="shared" ref="F18:M18" si="8">IFERROR(-F17*F14,0)</f>
        <v>0</v>
      </c>
      <c r="G18" s="596">
        <f t="shared" si="8"/>
        <v>0</v>
      </c>
      <c r="H18" s="596">
        <f t="shared" si="8"/>
        <v>0</v>
      </c>
      <c r="I18" s="596">
        <f t="shared" si="8"/>
        <v>0</v>
      </c>
      <c r="J18" s="596">
        <f t="shared" si="8"/>
        <v>0</v>
      </c>
      <c r="K18" s="596">
        <f t="shared" si="8"/>
        <v>0</v>
      </c>
      <c r="L18" s="596">
        <f t="shared" si="8"/>
        <v>0</v>
      </c>
      <c r="M18" s="596">
        <f t="shared" si="8"/>
        <v>0</v>
      </c>
      <c r="N18" s="592"/>
      <c r="O18" s="592"/>
      <c r="P18" s="592"/>
    </row>
    <row r="19" spans="1:17" ht="24" customHeight="1" outlineLevel="1" x14ac:dyDescent="0.25">
      <c r="A19" s="474" t="s">
        <v>1344</v>
      </c>
      <c r="B19" s="474"/>
      <c r="C19" s="486">
        <f>Scenarios!B60</f>
        <v>0</v>
      </c>
      <c r="D19" s="486">
        <f>Scenarios!F60</f>
        <v>0</v>
      </c>
      <c r="E19" s="491">
        <f>D19</f>
        <v>0</v>
      </c>
      <c r="F19" s="491">
        <f t="shared" ref="F19:M19" si="9">E19</f>
        <v>0</v>
      </c>
      <c r="G19" s="491">
        <f t="shared" si="9"/>
        <v>0</v>
      </c>
      <c r="H19" s="491">
        <f t="shared" si="9"/>
        <v>0</v>
      </c>
      <c r="I19" s="491">
        <f t="shared" si="9"/>
        <v>0</v>
      </c>
      <c r="J19" s="491">
        <f t="shared" si="9"/>
        <v>0</v>
      </c>
      <c r="K19" s="491">
        <f t="shared" si="9"/>
        <v>0</v>
      </c>
      <c r="L19" s="491">
        <f t="shared" si="9"/>
        <v>0</v>
      </c>
      <c r="M19" s="491">
        <f t="shared" si="9"/>
        <v>0</v>
      </c>
      <c r="N19" s="592"/>
      <c r="O19" s="592"/>
      <c r="P19" s="592"/>
    </row>
    <row r="20" spans="1:17" ht="24" customHeight="1" outlineLevel="1" x14ac:dyDescent="0.25">
      <c r="A20" s="473" t="s">
        <v>1345</v>
      </c>
      <c r="B20" s="473"/>
      <c r="C20" s="596">
        <f>IFERROR(-C19*C14,0)</f>
        <v>0</v>
      </c>
      <c r="D20" s="594">
        <f>IFERROR(-D19*D14,0)</f>
        <v>0</v>
      </c>
      <c r="E20" s="596">
        <f>IFERROR(-E19*E14,0)</f>
        <v>0</v>
      </c>
      <c r="F20" s="596">
        <f t="shared" ref="F20:M20" si="10">IFERROR(-F19*F14,0)</f>
        <v>0</v>
      </c>
      <c r="G20" s="596">
        <f t="shared" si="10"/>
        <v>0</v>
      </c>
      <c r="H20" s="596">
        <f t="shared" si="10"/>
        <v>0</v>
      </c>
      <c r="I20" s="596">
        <f t="shared" si="10"/>
        <v>0</v>
      </c>
      <c r="J20" s="596">
        <f t="shared" si="10"/>
        <v>0</v>
      </c>
      <c r="K20" s="596">
        <f t="shared" si="10"/>
        <v>0</v>
      </c>
      <c r="L20" s="596">
        <f t="shared" si="10"/>
        <v>0</v>
      </c>
      <c r="M20" s="596">
        <f t="shared" si="10"/>
        <v>0</v>
      </c>
      <c r="N20" s="592"/>
      <c r="O20" s="592"/>
      <c r="P20" s="592"/>
    </row>
    <row r="21" spans="1:17" ht="24" customHeight="1" x14ac:dyDescent="0.25">
      <c r="A21" s="466" t="s">
        <v>1346</v>
      </c>
      <c r="B21" s="466"/>
      <c r="C21" s="595"/>
      <c r="D21" s="595"/>
      <c r="E21" s="595"/>
      <c r="F21" s="595"/>
      <c r="G21" s="595"/>
      <c r="H21" s="595"/>
      <c r="I21" s="595"/>
      <c r="J21" s="595"/>
      <c r="K21" s="595"/>
      <c r="L21" s="595"/>
      <c r="M21" s="595"/>
      <c r="N21" s="592"/>
      <c r="O21" s="592"/>
      <c r="P21" s="592"/>
    </row>
    <row r="22" spans="1:17" ht="24" customHeight="1" outlineLevel="1" x14ac:dyDescent="0.25">
      <c r="A22" s="465" t="s">
        <v>422</v>
      </c>
      <c r="B22" s="465"/>
      <c r="C22" s="589">
        <f>Scenarios!B40</f>
        <v>0</v>
      </c>
      <c r="D22" s="590">
        <f>Scenarios!F40</f>
        <v>0</v>
      </c>
      <c r="E22" s="591">
        <f>D22</f>
        <v>0</v>
      </c>
      <c r="F22" s="591">
        <f t="shared" ref="F22:M22" si="11">E22</f>
        <v>0</v>
      </c>
      <c r="G22" s="591">
        <f t="shared" si="11"/>
        <v>0</v>
      </c>
      <c r="H22" s="591">
        <f t="shared" si="11"/>
        <v>0</v>
      </c>
      <c r="I22" s="591">
        <f t="shared" si="11"/>
        <v>0</v>
      </c>
      <c r="J22" s="591">
        <f t="shared" si="11"/>
        <v>0</v>
      </c>
      <c r="K22" s="591">
        <f t="shared" si="11"/>
        <v>0</v>
      </c>
      <c r="L22" s="591">
        <f t="shared" si="11"/>
        <v>0</v>
      </c>
      <c r="M22" s="591">
        <f t="shared" si="11"/>
        <v>0</v>
      </c>
      <c r="N22" s="592"/>
      <c r="O22" s="592"/>
      <c r="P22" s="592"/>
    </row>
    <row r="23" spans="1:17" ht="24" customHeight="1" outlineLevel="1" x14ac:dyDescent="0.25">
      <c r="A23" s="465" t="s">
        <v>429</v>
      </c>
      <c r="B23" s="465"/>
      <c r="C23" s="593">
        <f>Scenarios!B45</f>
        <v>0</v>
      </c>
      <c r="D23" s="594">
        <f>Scenarios!F45</f>
        <v>0</v>
      </c>
      <c r="E23" s="595">
        <f>D23*(1+E$5)</f>
        <v>0</v>
      </c>
      <c r="F23" s="595">
        <f t="shared" ref="F23:M23" si="12">E23*(1+F$5)</f>
        <v>0</v>
      </c>
      <c r="G23" s="595">
        <f t="shared" si="12"/>
        <v>0</v>
      </c>
      <c r="H23" s="595">
        <f t="shared" si="12"/>
        <v>0</v>
      </c>
      <c r="I23" s="595">
        <f t="shared" si="12"/>
        <v>0</v>
      </c>
      <c r="J23" s="595">
        <f t="shared" si="12"/>
        <v>0</v>
      </c>
      <c r="K23" s="595">
        <f t="shared" si="12"/>
        <v>0</v>
      </c>
      <c r="L23" s="595">
        <f t="shared" si="12"/>
        <v>0</v>
      </c>
      <c r="M23" s="595">
        <f t="shared" si="12"/>
        <v>0</v>
      </c>
      <c r="N23" s="592"/>
      <c r="O23" s="592"/>
      <c r="P23" s="592"/>
    </row>
    <row r="24" spans="1:17" ht="18" customHeight="1" outlineLevel="1" x14ac:dyDescent="0.25">
      <c r="A24" s="476" t="s">
        <v>433</v>
      </c>
      <c r="B24" s="476"/>
      <c r="C24" s="597">
        <f>C22*C23*12</f>
        <v>0</v>
      </c>
      <c r="D24" s="598">
        <f>D22*D23*12</f>
        <v>0</v>
      </c>
      <c r="E24" s="597">
        <f>E22*E23*12</f>
        <v>0</v>
      </c>
      <c r="F24" s="597">
        <f t="shared" ref="F24:M24" si="13">F22*F23*12</f>
        <v>0</v>
      </c>
      <c r="G24" s="597">
        <f t="shared" si="13"/>
        <v>0</v>
      </c>
      <c r="H24" s="597">
        <f t="shared" si="13"/>
        <v>0</v>
      </c>
      <c r="I24" s="597">
        <f t="shared" si="13"/>
        <v>0</v>
      </c>
      <c r="J24" s="597">
        <f t="shared" si="13"/>
        <v>0</v>
      </c>
      <c r="K24" s="597">
        <f t="shared" si="13"/>
        <v>0</v>
      </c>
      <c r="L24" s="597">
        <f t="shared" si="13"/>
        <v>0</v>
      </c>
      <c r="M24" s="597">
        <f t="shared" si="13"/>
        <v>0</v>
      </c>
      <c r="N24" s="599">
        <f>SUM(D24:H24)</f>
        <v>0</v>
      </c>
      <c r="O24" s="599">
        <f>SUM(D24:M24)</f>
        <v>0</v>
      </c>
      <c r="P24" s="599">
        <f>IFERROR(O24/10,0)</f>
        <v>0</v>
      </c>
      <c r="Q24" s="82">
        <f>IFERROR(D24/$D$50,0)</f>
        <v>0</v>
      </c>
    </row>
    <row r="25" spans="1:17" ht="15" customHeight="1" outlineLevel="1" x14ac:dyDescent="0.25">
      <c r="A25" s="477" t="s">
        <v>1347</v>
      </c>
      <c r="B25" s="477"/>
      <c r="C25" s="488">
        <f>Scenarios!B54</f>
        <v>0</v>
      </c>
      <c r="D25" s="488">
        <f>Scenarios!F54</f>
        <v>0</v>
      </c>
      <c r="E25" s="492">
        <f>D25</f>
        <v>0</v>
      </c>
      <c r="F25" s="492">
        <f t="shared" ref="F25:M25" si="14">E25</f>
        <v>0</v>
      </c>
      <c r="G25" s="492">
        <f t="shared" si="14"/>
        <v>0</v>
      </c>
      <c r="H25" s="492">
        <f t="shared" si="14"/>
        <v>0</v>
      </c>
      <c r="I25" s="492">
        <f t="shared" si="14"/>
        <v>0</v>
      </c>
      <c r="J25" s="492">
        <f t="shared" si="14"/>
        <v>0</v>
      </c>
      <c r="K25" s="492">
        <f t="shared" si="14"/>
        <v>0</v>
      </c>
      <c r="L25" s="492">
        <f t="shared" si="14"/>
        <v>0</v>
      </c>
      <c r="M25" s="492">
        <f t="shared" si="14"/>
        <v>0</v>
      </c>
      <c r="N25" s="125"/>
      <c r="O25" s="125"/>
      <c r="P25" s="126"/>
      <c r="Q25" s="125"/>
    </row>
    <row r="26" spans="1:17" ht="18" customHeight="1" outlineLevel="1" x14ac:dyDescent="0.25">
      <c r="A26" s="475" t="s">
        <v>1348</v>
      </c>
      <c r="B26" s="475"/>
      <c r="C26" s="600">
        <f>IFERROR(-C25*C24,0)</f>
        <v>0</v>
      </c>
      <c r="D26" s="598">
        <f>IFERROR(-D25*D24,0)</f>
        <v>0</v>
      </c>
      <c r="E26" s="600">
        <f>IFERROR(-E25*E24,0)</f>
        <v>0</v>
      </c>
      <c r="F26" s="600">
        <f t="shared" ref="F26:M26" si="15">IFERROR(-F25*F24,0)</f>
        <v>0</v>
      </c>
      <c r="G26" s="600">
        <f t="shared" si="15"/>
        <v>0</v>
      </c>
      <c r="H26" s="600">
        <f t="shared" si="15"/>
        <v>0</v>
      </c>
      <c r="I26" s="600">
        <f t="shared" si="15"/>
        <v>0</v>
      </c>
      <c r="J26" s="600">
        <f t="shared" si="15"/>
        <v>0</v>
      </c>
      <c r="K26" s="600">
        <f t="shared" si="15"/>
        <v>0</v>
      </c>
      <c r="L26" s="600">
        <f t="shared" si="15"/>
        <v>0</v>
      </c>
      <c r="M26" s="600">
        <f t="shared" si="15"/>
        <v>0</v>
      </c>
      <c r="N26" s="127"/>
      <c r="O26" s="127"/>
      <c r="P26" s="601"/>
      <c r="Q26" s="128"/>
    </row>
    <row r="27" spans="1:17" ht="15" customHeight="1" outlineLevel="1" x14ac:dyDescent="0.25">
      <c r="A27" s="477" t="s">
        <v>1349</v>
      </c>
      <c r="B27" s="477"/>
      <c r="C27" s="488">
        <f>Scenarios!B58</f>
        <v>0</v>
      </c>
      <c r="D27" s="488">
        <f>Scenarios!F58</f>
        <v>0</v>
      </c>
      <c r="E27" s="492">
        <f>D27</f>
        <v>0</v>
      </c>
      <c r="F27" s="492">
        <f t="shared" ref="F27:M27" si="16">E27</f>
        <v>0</v>
      </c>
      <c r="G27" s="492">
        <f t="shared" si="16"/>
        <v>0</v>
      </c>
      <c r="H27" s="492">
        <f t="shared" si="16"/>
        <v>0</v>
      </c>
      <c r="I27" s="492">
        <f t="shared" si="16"/>
        <v>0</v>
      </c>
      <c r="J27" s="492">
        <f t="shared" si="16"/>
        <v>0</v>
      </c>
      <c r="K27" s="492">
        <f t="shared" si="16"/>
        <v>0</v>
      </c>
      <c r="L27" s="492">
        <f t="shared" si="16"/>
        <v>0</v>
      </c>
      <c r="M27" s="492">
        <f t="shared" si="16"/>
        <v>0</v>
      </c>
      <c r="N27" s="125"/>
      <c r="O27" s="125"/>
      <c r="P27" s="126"/>
      <c r="Q27" s="125"/>
    </row>
    <row r="28" spans="1:17" ht="18" customHeight="1" outlineLevel="1" x14ac:dyDescent="0.25">
      <c r="A28" s="475" t="s">
        <v>1350</v>
      </c>
      <c r="B28" s="475"/>
      <c r="C28" s="602">
        <f>IFERROR(-C27*C24,0)</f>
        <v>0</v>
      </c>
      <c r="D28" s="603">
        <f>IFERROR(-D27*D24,0)</f>
        <v>0</v>
      </c>
      <c r="E28" s="602">
        <f>IFERROR(-E27*E24,0)</f>
        <v>0</v>
      </c>
      <c r="F28" s="602">
        <f t="shared" ref="F28:M28" si="17">IFERROR(-F27*F24,0)</f>
        <v>0</v>
      </c>
      <c r="G28" s="602">
        <f t="shared" si="17"/>
        <v>0</v>
      </c>
      <c r="H28" s="602">
        <f t="shared" si="17"/>
        <v>0</v>
      </c>
      <c r="I28" s="602">
        <f t="shared" si="17"/>
        <v>0</v>
      </c>
      <c r="J28" s="602">
        <f t="shared" si="17"/>
        <v>0</v>
      </c>
      <c r="K28" s="602">
        <f t="shared" si="17"/>
        <v>0</v>
      </c>
      <c r="L28" s="602">
        <f t="shared" si="17"/>
        <v>0</v>
      </c>
      <c r="M28" s="602">
        <f t="shared" si="17"/>
        <v>0</v>
      </c>
      <c r="N28" s="601"/>
      <c r="O28" s="601"/>
      <c r="P28" s="601"/>
      <c r="Q28" s="82"/>
    </row>
    <row r="29" spans="1:17" ht="15" customHeight="1" outlineLevel="1" x14ac:dyDescent="0.25">
      <c r="A29" s="477" t="s">
        <v>1351</v>
      </c>
      <c r="B29" s="477"/>
      <c r="C29" s="488">
        <f>Scenarios!B60</f>
        <v>0</v>
      </c>
      <c r="D29" s="488">
        <f>Scenarios!F60</f>
        <v>0</v>
      </c>
      <c r="E29" s="492">
        <f>D29</f>
        <v>0</v>
      </c>
      <c r="F29" s="492">
        <f t="shared" ref="F29:M29" si="18">E29</f>
        <v>0</v>
      </c>
      <c r="G29" s="492">
        <f t="shared" si="18"/>
        <v>0</v>
      </c>
      <c r="H29" s="492">
        <f t="shared" si="18"/>
        <v>0</v>
      </c>
      <c r="I29" s="492">
        <f t="shared" si="18"/>
        <v>0</v>
      </c>
      <c r="J29" s="492">
        <f t="shared" si="18"/>
        <v>0</v>
      </c>
      <c r="K29" s="492">
        <f t="shared" si="18"/>
        <v>0</v>
      </c>
      <c r="L29" s="492">
        <f t="shared" si="18"/>
        <v>0</v>
      </c>
      <c r="M29" s="492">
        <f t="shared" si="18"/>
        <v>0</v>
      </c>
      <c r="N29" s="125"/>
      <c r="O29" s="125"/>
      <c r="P29" s="126"/>
      <c r="Q29" s="125"/>
    </row>
    <row r="30" spans="1:17" ht="18" customHeight="1" outlineLevel="1" x14ac:dyDescent="0.25">
      <c r="A30" s="475" t="s">
        <v>1352</v>
      </c>
      <c r="B30" s="475"/>
      <c r="C30" s="602">
        <f>IFERROR(-C29*C24,0)</f>
        <v>0</v>
      </c>
      <c r="D30" s="603">
        <f>IFERROR(-D29*D24,0)</f>
        <v>0</v>
      </c>
      <c r="E30" s="602">
        <f>IFERROR(-E29*E24,0)</f>
        <v>0</v>
      </c>
      <c r="F30" s="602">
        <f t="shared" ref="F30:M30" si="19">IFERROR(-F29*F24,0)</f>
        <v>0</v>
      </c>
      <c r="G30" s="602">
        <f t="shared" si="19"/>
        <v>0</v>
      </c>
      <c r="H30" s="602">
        <f t="shared" si="19"/>
        <v>0</v>
      </c>
      <c r="I30" s="602">
        <f t="shared" si="19"/>
        <v>0</v>
      </c>
      <c r="J30" s="602">
        <f t="shared" si="19"/>
        <v>0</v>
      </c>
      <c r="K30" s="602">
        <f t="shared" si="19"/>
        <v>0</v>
      </c>
      <c r="L30" s="602">
        <f t="shared" si="19"/>
        <v>0</v>
      </c>
      <c r="M30" s="602">
        <f t="shared" si="19"/>
        <v>0</v>
      </c>
      <c r="N30" s="601"/>
      <c r="O30" s="601"/>
      <c r="P30" s="601"/>
      <c r="Q30" s="82"/>
    </row>
    <row r="31" spans="1:17" ht="18" customHeight="1" x14ac:dyDescent="0.25">
      <c r="A31" s="466" t="s">
        <v>1353</v>
      </c>
      <c r="B31" s="466"/>
      <c r="C31" s="604"/>
      <c r="D31" s="605"/>
      <c r="E31" s="606"/>
      <c r="F31" s="606"/>
      <c r="G31" s="606"/>
      <c r="H31" s="606"/>
      <c r="I31" s="606"/>
      <c r="J31" s="606"/>
      <c r="K31" s="606"/>
      <c r="L31" s="606"/>
      <c r="M31" s="606"/>
      <c r="N31" s="606"/>
      <c r="O31" s="606"/>
      <c r="P31" s="606"/>
      <c r="Q31" s="82"/>
    </row>
    <row r="32" spans="1:17" ht="18" customHeight="1" outlineLevel="1" x14ac:dyDescent="0.25">
      <c r="A32" s="465" t="s">
        <v>424</v>
      </c>
      <c r="B32" s="465"/>
      <c r="C32" s="607">
        <f>Scenarios!B41</f>
        <v>0</v>
      </c>
      <c r="D32" s="608">
        <f>Scenarios!F41</f>
        <v>0</v>
      </c>
      <c r="E32" s="609">
        <f>D32</f>
        <v>0</v>
      </c>
      <c r="F32" s="609">
        <f t="shared" ref="F32:M32" si="20">E32</f>
        <v>0</v>
      </c>
      <c r="G32" s="609">
        <f t="shared" si="20"/>
        <v>0</v>
      </c>
      <c r="H32" s="609">
        <f t="shared" si="20"/>
        <v>0</v>
      </c>
      <c r="I32" s="609">
        <f t="shared" si="20"/>
        <v>0</v>
      </c>
      <c r="J32" s="609">
        <f t="shared" si="20"/>
        <v>0</v>
      </c>
      <c r="K32" s="609">
        <f t="shared" si="20"/>
        <v>0</v>
      </c>
      <c r="L32" s="609">
        <f t="shared" si="20"/>
        <v>0</v>
      </c>
      <c r="M32" s="609">
        <f t="shared" si="20"/>
        <v>0</v>
      </c>
      <c r="N32" s="606"/>
      <c r="O32" s="606"/>
      <c r="P32" s="606"/>
      <c r="Q32" s="129"/>
    </row>
    <row r="33" spans="1:17" ht="18" customHeight="1" outlineLevel="1" x14ac:dyDescent="0.25">
      <c r="A33" s="465" t="s">
        <v>430</v>
      </c>
      <c r="B33" s="465"/>
      <c r="C33" s="604">
        <f>Scenarios!B46</f>
        <v>0</v>
      </c>
      <c r="D33" s="603">
        <f>Scenarios!F46</f>
        <v>0</v>
      </c>
      <c r="E33" s="610">
        <f>D33*(1+E$5)</f>
        <v>0</v>
      </c>
      <c r="F33" s="610">
        <f t="shared" ref="F33:M33" si="21">E33*(1+F$5)</f>
        <v>0</v>
      </c>
      <c r="G33" s="610">
        <f t="shared" si="21"/>
        <v>0</v>
      </c>
      <c r="H33" s="610">
        <f t="shared" si="21"/>
        <v>0</v>
      </c>
      <c r="I33" s="610">
        <f t="shared" si="21"/>
        <v>0</v>
      </c>
      <c r="J33" s="610">
        <f t="shared" si="21"/>
        <v>0</v>
      </c>
      <c r="K33" s="610">
        <f t="shared" si="21"/>
        <v>0</v>
      </c>
      <c r="L33" s="610">
        <f t="shared" si="21"/>
        <v>0</v>
      </c>
      <c r="M33" s="610">
        <f t="shared" si="21"/>
        <v>0</v>
      </c>
      <c r="N33" s="601"/>
      <c r="O33" s="601"/>
      <c r="P33" s="601"/>
      <c r="Q33" s="82"/>
    </row>
    <row r="34" spans="1:17" ht="18" customHeight="1" outlineLevel="1" x14ac:dyDescent="0.25">
      <c r="A34" s="478" t="s">
        <v>434</v>
      </c>
      <c r="B34" s="478"/>
      <c r="C34" s="597">
        <f>C32*C33*12</f>
        <v>0</v>
      </c>
      <c r="D34" s="598">
        <f>D32*D33*12</f>
        <v>0</v>
      </c>
      <c r="E34" s="597">
        <f>E32*E33*12</f>
        <v>0</v>
      </c>
      <c r="F34" s="597">
        <f t="shared" ref="F34:M34" si="22">F32*F33*12</f>
        <v>0</v>
      </c>
      <c r="G34" s="597">
        <f t="shared" si="22"/>
        <v>0</v>
      </c>
      <c r="H34" s="597">
        <f t="shared" si="22"/>
        <v>0</v>
      </c>
      <c r="I34" s="597">
        <f t="shared" si="22"/>
        <v>0</v>
      </c>
      <c r="J34" s="597">
        <f t="shared" si="22"/>
        <v>0</v>
      </c>
      <c r="K34" s="597">
        <f t="shared" si="22"/>
        <v>0</v>
      </c>
      <c r="L34" s="597">
        <f t="shared" si="22"/>
        <v>0</v>
      </c>
      <c r="M34" s="597">
        <f t="shared" si="22"/>
        <v>0</v>
      </c>
      <c r="N34" s="611">
        <f>SUM(D34:H34)</f>
        <v>0</v>
      </c>
      <c r="O34" s="611">
        <f>SUM(D34:M34)</f>
        <v>0</v>
      </c>
      <c r="P34" s="611">
        <f>IFERROR(O34/10,0)</f>
        <v>0</v>
      </c>
      <c r="Q34" s="131">
        <f>IFERROR(D34/$D$50,0)</f>
        <v>0</v>
      </c>
    </row>
    <row r="35" spans="1:17" ht="18" customHeight="1" outlineLevel="1" x14ac:dyDescent="0.25">
      <c r="A35" s="479" t="s">
        <v>1354</v>
      </c>
      <c r="B35" s="479"/>
      <c r="C35" s="488">
        <f>Scenarios!B55</f>
        <v>0</v>
      </c>
      <c r="D35" s="488">
        <f>Scenarios!F55</f>
        <v>0</v>
      </c>
      <c r="E35" s="492">
        <f>D35</f>
        <v>0</v>
      </c>
      <c r="F35" s="492">
        <f t="shared" ref="F35:M35" si="23">E35</f>
        <v>0</v>
      </c>
      <c r="G35" s="492">
        <f t="shared" si="23"/>
        <v>0</v>
      </c>
      <c r="H35" s="492">
        <f t="shared" si="23"/>
        <v>0</v>
      </c>
      <c r="I35" s="492">
        <f t="shared" si="23"/>
        <v>0</v>
      </c>
      <c r="J35" s="492">
        <f t="shared" si="23"/>
        <v>0</v>
      </c>
      <c r="K35" s="492">
        <f t="shared" si="23"/>
        <v>0</v>
      </c>
      <c r="L35" s="492">
        <f t="shared" si="23"/>
        <v>0</v>
      </c>
      <c r="M35" s="492">
        <f t="shared" si="23"/>
        <v>0</v>
      </c>
      <c r="N35" s="89"/>
      <c r="O35" s="89"/>
      <c r="P35" s="89"/>
      <c r="Q35" s="131"/>
    </row>
    <row r="36" spans="1:17" ht="18" customHeight="1" outlineLevel="1" x14ac:dyDescent="0.25">
      <c r="A36" s="480" t="s">
        <v>1355</v>
      </c>
      <c r="B36" s="480"/>
      <c r="C36" s="600">
        <f>IFERROR(-C35*C34,0)</f>
        <v>0</v>
      </c>
      <c r="D36" s="598">
        <f>IFERROR(-D35*D34,0)</f>
        <v>0</v>
      </c>
      <c r="E36" s="600">
        <f>IFERROR(-E35*E34,0)</f>
        <v>0</v>
      </c>
      <c r="F36" s="600">
        <f t="shared" ref="F36:M36" si="24">IFERROR(-F35*F34,0)</f>
        <v>0</v>
      </c>
      <c r="G36" s="600">
        <f t="shared" si="24"/>
        <v>0</v>
      </c>
      <c r="H36" s="600">
        <f t="shared" si="24"/>
        <v>0</v>
      </c>
      <c r="I36" s="600">
        <f t="shared" si="24"/>
        <v>0</v>
      </c>
      <c r="J36" s="600">
        <f t="shared" si="24"/>
        <v>0</v>
      </c>
      <c r="K36" s="600">
        <f t="shared" si="24"/>
        <v>0</v>
      </c>
      <c r="L36" s="600">
        <f t="shared" si="24"/>
        <v>0</v>
      </c>
      <c r="M36" s="600">
        <f t="shared" si="24"/>
        <v>0</v>
      </c>
      <c r="N36" s="89"/>
      <c r="O36" s="89"/>
      <c r="P36" s="89"/>
      <c r="Q36" s="131"/>
    </row>
    <row r="37" spans="1:17" ht="18" customHeight="1" outlineLevel="1" x14ac:dyDescent="0.25">
      <c r="A37" s="479" t="s">
        <v>1356</v>
      </c>
      <c r="B37" s="479"/>
      <c r="C37" s="488">
        <f>Scenarios!B58</f>
        <v>0</v>
      </c>
      <c r="D37" s="488">
        <f>Scenarios!F58</f>
        <v>0</v>
      </c>
      <c r="E37" s="492">
        <f>D37</f>
        <v>0</v>
      </c>
      <c r="F37" s="492">
        <f t="shared" ref="F37:M37" si="25">E37</f>
        <v>0</v>
      </c>
      <c r="G37" s="492">
        <f t="shared" si="25"/>
        <v>0</v>
      </c>
      <c r="H37" s="492">
        <f t="shared" si="25"/>
        <v>0</v>
      </c>
      <c r="I37" s="492">
        <f t="shared" si="25"/>
        <v>0</v>
      </c>
      <c r="J37" s="492">
        <f t="shared" si="25"/>
        <v>0</v>
      </c>
      <c r="K37" s="492">
        <f t="shared" si="25"/>
        <v>0</v>
      </c>
      <c r="L37" s="492">
        <f t="shared" si="25"/>
        <v>0</v>
      </c>
      <c r="M37" s="492">
        <f t="shared" si="25"/>
        <v>0</v>
      </c>
      <c r="N37" s="89"/>
      <c r="O37" s="89"/>
      <c r="P37" s="89"/>
      <c r="Q37" s="131"/>
    </row>
    <row r="38" spans="1:17" ht="18" customHeight="1" outlineLevel="1" x14ac:dyDescent="0.25">
      <c r="A38" s="480" t="s">
        <v>1357</v>
      </c>
      <c r="B38" s="480"/>
      <c r="C38" s="600">
        <f>IFERROR(-C37*C34,0)</f>
        <v>0</v>
      </c>
      <c r="D38" s="598">
        <f>IFERROR(-D37*D34,0)</f>
        <v>0</v>
      </c>
      <c r="E38" s="600">
        <f>IFERROR(-E37*E34,0)</f>
        <v>0</v>
      </c>
      <c r="F38" s="600">
        <f t="shared" ref="F38:M38" si="26">IFERROR(-F37*F34,0)</f>
        <v>0</v>
      </c>
      <c r="G38" s="600">
        <f t="shared" si="26"/>
        <v>0</v>
      </c>
      <c r="H38" s="600">
        <f t="shared" si="26"/>
        <v>0</v>
      </c>
      <c r="I38" s="600">
        <f t="shared" si="26"/>
        <v>0</v>
      </c>
      <c r="J38" s="600">
        <f t="shared" si="26"/>
        <v>0</v>
      </c>
      <c r="K38" s="600">
        <f t="shared" si="26"/>
        <v>0</v>
      </c>
      <c r="L38" s="600">
        <f t="shared" si="26"/>
        <v>0</v>
      </c>
      <c r="M38" s="600">
        <f t="shared" si="26"/>
        <v>0</v>
      </c>
      <c r="N38" s="89"/>
      <c r="O38" s="89"/>
      <c r="P38" s="89"/>
      <c r="Q38" s="131"/>
    </row>
    <row r="39" spans="1:17" ht="18" customHeight="1" outlineLevel="1" x14ac:dyDescent="0.25">
      <c r="A39" s="479" t="s">
        <v>1358</v>
      </c>
      <c r="B39" s="479"/>
      <c r="C39" s="488">
        <f>Scenarios!B60</f>
        <v>0</v>
      </c>
      <c r="D39" s="488">
        <f>Scenarios!F60</f>
        <v>0</v>
      </c>
      <c r="E39" s="492">
        <f>D39</f>
        <v>0</v>
      </c>
      <c r="F39" s="492">
        <f t="shared" ref="F39:M39" si="27">E39</f>
        <v>0</v>
      </c>
      <c r="G39" s="492">
        <f t="shared" si="27"/>
        <v>0</v>
      </c>
      <c r="H39" s="492">
        <f t="shared" si="27"/>
        <v>0</v>
      </c>
      <c r="I39" s="492">
        <f t="shared" si="27"/>
        <v>0</v>
      </c>
      <c r="J39" s="492">
        <f t="shared" si="27"/>
        <v>0</v>
      </c>
      <c r="K39" s="492">
        <f t="shared" si="27"/>
        <v>0</v>
      </c>
      <c r="L39" s="492">
        <f t="shared" si="27"/>
        <v>0</v>
      </c>
      <c r="M39" s="492">
        <f t="shared" si="27"/>
        <v>0</v>
      </c>
      <c r="N39" s="89"/>
      <c r="O39" s="89"/>
      <c r="P39" s="89"/>
      <c r="Q39" s="131"/>
    </row>
    <row r="40" spans="1:17" ht="18" customHeight="1" outlineLevel="1" x14ac:dyDescent="0.25">
      <c r="A40" s="480" t="s">
        <v>1359</v>
      </c>
      <c r="B40" s="480"/>
      <c r="C40" s="600">
        <f>IFERROR(-C39*C34,0)</f>
        <v>0</v>
      </c>
      <c r="D40" s="598">
        <f>IFERROR(-D39*D34,0)</f>
        <v>0</v>
      </c>
      <c r="E40" s="600">
        <f>IFERROR(-E39*E34,0)</f>
        <v>0</v>
      </c>
      <c r="F40" s="600">
        <f t="shared" ref="F40:M40" si="28">IFERROR(-F39*F34,0)</f>
        <v>0</v>
      </c>
      <c r="G40" s="600">
        <f t="shared" si="28"/>
        <v>0</v>
      </c>
      <c r="H40" s="600">
        <f t="shared" si="28"/>
        <v>0</v>
      </c>
      <c r="I40" s="600">
        <f t="shared" si="28"/>
        <v>0</v>
      </c>
      <c r="J40" s="600">
        <f t="shared" si="28"/>
        <v>0</v>
      </c>
      <c r="K40" s="600">
        <f t="shared" si="28"/>
        <v>0</v>
      </c>
      <c r="L40" s="600">
        <f t="shared" si="28"/>
        <v>0</v>
      </c>
      <c r="M40" s="600">
        <f t="shared" si="28"/>
        <v>0</v>
      </c>
      <c r="N40" s="89"/>
      <c r="O40" s="89"/>
      <c r="P40" s="89"/>
      <c r="Q40" s="131"/>
    </row>
    <row r="41" spans="1:17" ht="18" customHeight="1" x14ac:dyDescent="0.25">
      <c r="A41" s="481" t="s">
        <v>1360</v>
      </c>
      <c r="B41" s="481"/>
      <c r="C41" s="598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31"/>
    </row>
    <row r="42" spans="1:17" ht="18" customHeight="1" x14ac:dyDescent="0.25">
      <c r="A42" s="482" t="s">
        <v>1361</v>
      </c>
      <c r="B42" s="482"/>
      <c r="C42" s="612">
        <f>C12+C22+C32</f>
        <v>0</v>
      </c>
      <c r="D42" s="612">
        <f>D12+D22+D32</f>
        <v>0</v>
      </c>
      <c r="E42" s="612">
        <f>E12+E22+E32</f>
        <v>0</v>
      </c>
      <c r="F42" s="612">
        <f t="shared" ref="F42:M42" si="29">F12+F22+F32</f>
        <v>0</v>
      </c>
      <c r="G42" s="612">
        <f t="shared" si="29"/>
        <v>0</v>
      </c>
      <c r="H42" s="612">
        <f t="shared" si="29"/>
        <v>0</v>
      </c>
      <c r="I42" s="612">
        <f t="shared" si="29"/>
        <v>0</v>
      </c>
      <c r="J42" s="612">
        <f t="shared" si="29"/>
        <v>0</v>
      </c>
      <c r="K42" s="612">
        <f t="shared" si="29"/>
        <v>0</v>
      </c>
      <c r="L42" s="612">
        <f t="shared" si="29"/>
        <v>0</v>
      </c>
      <c r="M42" s="612">
        <f t="shared" si="29"/>
        <v>0</v>
      </c>
      <c r="N42" s="613">
        <f>D42</f>
        <v>0</v>
      </c>
      <c r="O42" s="613">
        <f>D42</f>
        <v>0</v>
      </c>
      <c r="P42" s="613">
        <f>D42</f>
        <v>0</v>
      </c>
      <c r="Q42" s="131"/>
    </row>
    <row r="43" spans="1:17" ht="18" customHeight="1" x14ac:dyDescent="0.25">
      <c r="A43" s="483" t="s">
        <v>435</v>
      </c>
      <c r="B43" s="483"/>
      <c r="C43" s="614">
        <f>C14+C24+C34</f>
        <v>0</v>
      </c>
      <c r="D43" s="614">
        <f>D14+D24+D34</f>
        <v>0</v>
      </c>
      <c r="E43" s="614">
        <f>E14+E24+E34</f>
        <v>0</v>
      </c>
      <c r="F43" s="614">
        <f t="shared" ref="F43:M43" si="30">F14+F24+F34</f>
        <v>0</v>
      </c>
      <c r="G43" s="614">
        <f t="shared" si="30"/>
        <v>0</v>
      </c>
      <c r="H43" s="614">
        <f t="shared" si="30"/>
        <v>0</v>
      </c>
      <c r="I43" s="614">
        <f t="shared" si="30"/>
        <v>0</v>
      </c>
      <c r="J43" s="614">
        <f t="shared" si="30"/>
        <v>0</v>
      </c>
      <c r="K43" s="614">
        <f t="shared" si="30"/>
        <v>0</v>
      </c>
      <c r="L43" s="614">
        <f t="shared" si="30"/>
        <v>0</v>
      </c>
      <c r="M43" s="614">
        <f t="shared" si="30"/>
        <v>0</v>
      </c>
      <c r="N43" s="611">
        <f t="shared" ref="N43:N50" si="31">SUM(D43:H43)</f>
        <v>0</v>
      </c>
      <c r="O43" s="611">
        <f t="shared" ref="O43:O50" si="32">SUM(D43:M43)</f>
        <v>0</v>
      </c>
      <c r="P43" s="611">
        <f t="shared" ref="P43:P50" si="33">IFERROR(O43/10,0)</f>
        <v>0</v>
      </c>
      <c r="Q43" s="131">
        <f t="shared" ref="Q43:Q50" si="34">IFERROR(D43/$D$50,0)</f>
        <v>0</v>
      </c>
    </row>
    <row r="44" spans="1:17" ht="18" customHeight="1" x14ac:dyDescent="0.25">
      <c r="A44" s="478" t="s">
        <v>1362</v>
      </c>
      <c r="B44" s="478"/>
      <c r="C44" s="597">
        <f>C16+C26+C36</f>
        <v>0</v>
      </c>
      <c r="D44" s="597">
        <f>D16+D26+D36</f>
        <v>0</v>
      </c>
      <c r="E44" s="597">
        <f>E16+E26+E36</f>
        <v>0</v>
      </c>
      <c r="F44" s="597">
        <f t="shared" ref="F44:M44" si="35">F16+F26+F36</f>
        <v>0</v>
      </c>
      <c r="G44" s="597">
        <f t="shared" si="35"/>
        <v>0</v>
      </c>
      <c r="H44" s="597">
        <f t="shared" si="35"/>
        <v>0</v>
      </c>
      <c r="I44" s="597">
        <f t="shared" si="35"/>
        <v>0</v>
      </c>
      <c r="J44" s="597">
        <f t="shared" si="35"/>
        <v>0</v>
      </c>
      <c r="K44" s="597">
        <f t="shared" si="35"/>
        <v>0</v>
      </c>
      <c r="L44" s="597">
        <f t="shared" si="35"/>
        <v>0</v>
      </c>
      <c r="M44" s="597">
        <f t="shared" si="35"/>
        <v>0</v>
      </c>
      <c r="N44" s="611">
        <f t="shared" si="31"/>
        <v>0</v>
      </c>
      <c r="O44" s="611">
        <f t="shared" si="32"/>
        <v>0</v>
      </c>
      <c r="P44" s="611">
        <f t="shared" si="33"/>
        <v>0</v>
      </c>
      <c r="Q44" s="131">
        <f t="shared" si="34"/>
        <v>0</v>
      </c>
    </row>
    <row r="45" spans="1:17" ht="18" customHeight="1" x14ac:dyDescent="0.25">
      <c r="A45" s="478" t="s">
        <v>1363</v>
      </c>
      <c r="B45" s="478"/>
      <c r="C45" s="597">
        <f>C18+C28+C38</f>
        <v>0</v>
      </c>
      <c r="D45" s="597">
        <f>D18+D28+D38</f>
        <v>0</v>
      </c>
      <c r="E45" s="597">
        <f>E18+E28+E38</f>
        <v>0</v>
      </c>
      <c r="F45" s="597">
        <f t="shared" ref="F45:M45" si="36">F18+F28+F38</f>
        <v>0</v>
      </c>
      <c r="G45" s="597">
        <f t="shared" si="36"/>
        <v>0</v>
      </c>
      <c r="H45" s="597">
        <f t="shared" si="36"/>
        <v>0</v>
      </c>
      <c r="I45" s="597">
        <f t="shared" si="36"/>
        <v>0</v>
      </c>
      <c r="J45" s="597">
        <f t="shared" si="36"/>
        <v>0</v>
      </c>
      <c r="K45" s="597">
        <f t="shared" si="36"/>
        <v>0</v>
      </c>
      <c r="L45" s="597">
        <f t="shared" si="36"/>
        <v>0</v>
      </c>
      <c r="M45" s="597">
        <f t="shared" si="36"/>
        <v>0</v>
      </c>
      <c r="N45" s="611">
        <f t="shared" si="31"/>
        <v>0</v>
      </c>
      <c r="O45" s="611">
        <f t="shared" si="32"/>
        <v>0</v>
      </c>
      <c r="P45" s="611">
        <f t="shared" si="33"/>
        <v>0</v>
      </c>
      <c r="Q45" s="131">
        <f t="shared" si="34"/>
        <v>0</v>
      </c>
    </row>
    <row r="46" spans="1:17" ht="18" customHeight="1" x14ac:dyDescent="0.25">
      <c r="A46" s="478" t="s">
        <v>1364</v>
      </c>
      <c r="B46" s="478"/>
      <c r="C46" s="597">
        <f>C20+C30+C40</f>
        <v>0</v>
      </c>
      <c r="D46" s="597">
        <f>D20+D30+D40</f>
        <v>0</v>
      </c>
      <c r="E46" s="597">
        <f>E20+E30+E40</f>
        <v>0</v>
      </c>
      <c r="F46" s="597">
        <f t="shared" ref="F46:M46" si="37">F20+F30+F40</f>
        <v>0</v>
      </c>
      <c r="G46" s="597">
        <f t="shared" si="37"/>
        <v>0</v>
      </c>
      <c r="H46" s="597">
        <f t="shared" si="37"/>
        <v>0</v>
      </c>
      <c r="I46" s="597">
        <f t="shared" si="37"/>
        <v>0</v>
      </c>
      <c r="J46" s="597">
        <f t="shared" si="37"/>
        <v>0</v>
      </c>
      <c r="K46" s="597">
        <f t="shared" si="37"/>
        <v>0</v>
      </c>
      <c r="L46" s="597">
        <f t="shared" si="37"/>
        <v>0</v>
      </c>
      <c r="M46" s="597">
        <f t="shared" si="37"/>
        <v>0</v>
      </c>
      <c r="N46" s="611">
        <f t="shared" si="31"/>
        <v>0</v>
      </c>
      <c r="O46" s="611">
        <f t="shared" si="32"/>
        <v>0</v>
      </c>
      <c r="P46" s="611">
        <f t="shared" si="33"/>
        <v>0</v>
      </c>
      <c r="Q46" s="131">
        <f t="shared" si="34"/>
        <v>0</v>
      </c>
    </row>
    <row r="47" spans="1:17" ht="18" customHeight="1" x14ac:dyDescent="0.25">
      <c r="A47" s="478" t="s">
        <v>723</v>
      </c>
      <c r="B47" s="478"/>
      <c r="C47" s="615">
        <f>Scenarios!B63</f>
        <v>0</v>
      </c>
      <c r="D47" s="598">
        <f>Scenarios!F63</f>
        <v>0</v>
      </c>
      <c r="E47" s="597">
        <f>D47*(1+E$5)</f>
        <v>0</v>
      </c>
      <c r="F47" s="597">
        <f t="shared" ref="F47:M47" si="38">E47*(1+F$5)</f>
        <v>0</v>
      </c>
      <c r="G47" s="597">
        <f t="shared" si="38"/>
        <v>0</v>
      </c>
      <c r="H47" s="597">
        <f t="shared" si="38"/>
        <v>0</v>
      </c>
      <c r="I47" s="597">
        <f t="shared" si="38"/>
        <v>0</v>
      </c>
      <c r="J47" s="597">
        <f t="shared" si="38"/>
        <v>0</v>
      </c>
      <c r="K47" s="597">
        <f t="shared" si="38"/>
        <v>0</v>
      </c>
      <c r="L47" s="597">
        <f t="shared" si="38"/>
        <v>0</v>
      </c>
      <c r="M47" s="597">
        <f t="shared" si="38"/>
        <v>0</v>
      </c>
      <c r="N47" s="611">
        <f t="shared" si="31"/>
        <v>0</v>
      </c>
      <c r="O47" s="611">
        <f t="shared" si="32"/>
        <v>0</v>
      </c>
      <c r="P47" s="611">
        <f t="shared" si="33"/>
        <v>0</v>
      </c>
      <c r="Q47" s="131">
        <f t="shared" si="34"/>
        <v>0</v>
      </c>
    </row>
    <row r="48" spans="1:17" ht="18" customHeight="1" x14ac:dyDescent="0.25">
      <c r="A48" s="478" t="s">
        <v>672</v>
      </c>
      <c r="B48" s="478"/>
      <c r="C48" s="615">
        <f>Scenarios!B64</f>
        <v>0</v>
      </c>
      <c r="D48" s="598">
        <f>Scenarios!F64</f>
        <v>0</v>
      </c>
      <c r="E48" s="597">
        <f>D48*(1+E$5)</f>
        <v>0</v>
      </c>
      <c r="F48" s="597">
        <f t="shared" ref="F48:M48" si="39">E48*(1+F$5)</f>
        <v>0</v>
      </c>
      <c r="G48" s="597">
        <f t="shared" si="39"/>
        <v>0</v>
      </c>
      <c r="H48" s="597">
        <f t="shared" si="39"/>
        <v>0</v>
      </c>
      <c r="I48" s="597">
        <f t="shared" si="39"/>
        <v>0</v>
      </c>
      <c r="J48" s="597">
        <f t="shared" si="39"/>
        <v>0</v>
      </c>
      <c r="K48" s="597">
        <f t="shared" si="39"/>
        <v>0</v>
      </c>
      <c r="L48" s="597">
        <f t="shared" si="39"/>
        <v>0</v>
      </c>
      <c r="M48" s="597">
        <f t="shared" si="39"/>
        <v>0</v>
      </c>
      <c r="N48" s="611">
        <f t="shared" si="31"/>
        <v>0</v>
      </c>
      <c r="O48" s="611">
        <f t="shared" si="32"/>
        <v>0</v>
      </c>
      <c r="P48" s="611">
        <f t="shared" si="33"/>
        <v>0</v>
      </c>
      <c r="Q48" s="131">
        <f t="shared" si="34"/>
        <v>0</v>
      </c>
    </row>
    <row r="49" spans="1:18" ht="18" customHeight="1" x14ac:dyDescent="0.25">
      <c r="A49" s="478" t="s">
        <v>724</v>
      </c>
      <c r="B49" s="478"/>
      <c r="C49" s="615">
        <f>Scenarios!B65</f>
        <v>0</v>
      </c>
      <c r="D49" s="598">
        <f>Scenarios!F65</f>
        <v>0</v>
      </c>
      <c r="E49" s="597">
        <f>D49*(1+E$5)</f>
        <v>0</v>
      </c>
      <c r="F49" s="597">
        <f t="shared" ref="F49:M49" si="40">E49*(1+F$5)</f>
        <v>0</v>
      </c>
      <c r="G49" s="597">
        <f t="shared" si="40"/>
        <v>0</v>
      </c>
      <c r="H49" s="597">
        <f t="shared" si="40"/>
        <v>0</v>
      </c>
      <c r="I49" s="597">
        <f t="shared" si="40"/>
        <v>0</v>
      </c>
      <c r="J49" s="597">
        <f t="shared" si="40"/>
        <v>0</v>
      </c>
      <c r="K49" s="597">
        <f t="shared" si="40"/>
        <v>0</v>
      </c>
      <c r="L49" s="597">
        <f t="shared" si="40"/>
        <v>0</v>
      </c>
      <c r="M49" s="597">
        <f t="shared" si="40"/>
        <v>0</v>
      </c>
      <c r="N49" s="611">
        <f t="shared" si="31"/>
        <v>0</v>
      </c>
      <c r="O49" s="611">
        <f t="shared" si="32"/>
        <v>0</v>
      </c>
      <c r="P49" s="611">
        <f t="shared" si="33"/>
        <v>0</v>
      </c>
      <c r="Q49" s="131">
        <f t="shared" si="34"/>
        <v>0</v>
      </c>
    </row>
    <row r="50" spans="1:18" ht="24" customHeight="1" x14ac:dyDescent="0.25">
      <c r="A50" s="467" t="s">
        <v>457</v>
      </c>
      <c r="B50" s="467"/>
      <c r="C50" s="614">
        <f>C43+C44+C45+C46+C47+C48+C49</f>
        <v>0</v>
      </c>
      <c r="D50" s="614">
        <f>D43+D44+D45+D46+D47+D48+D49</f>
        <v>0</v>
      </c>
      <c r="E50" s="614">
        <f>E43+E44+E45+E46+E47+E48+E49</f>
        <v>0</v>
      </c>
      <c r="F50" s="614">
        <f t="shared" ref="F50:M50" si="41">F43+F44+F45+F46+F47+F48+F49</f>
        <v>0</v>
      </c>
      <c r="G50" s="614">
        <f t="shared" si="41"/>
        <v>0</v>
      </c>
      <c r="H50" s="614">
        <f t="shared" si="41"/>
        <v>0</v>
      </c>
      <c r="I50" s="614">
        <f t="shared" si="41"/>
        <v>0</v>
      </c>
      <c r="J50" s="614">
        <f t="shared" si="41"/>
        <v>0</v>
      </c>
      <c r="K50" s="614">
        <f t="shared" si="41"/>
        <v>0</v>
      </c>
      <c r="L50" s="614">
        <f t="shared" si="41"/>
        <v>0</v>
      </c>
      <c r="M50" s="614">
        <f t="shared" si="41"/>
        <v>0</v>
      </c>
      <c r="N50" s="616">
        <f t="shared" si="31"/>
        <v>0</v>
      </c>
      <c r="O50" s="616">
        <f t="shared" si="32"/>
        <v>0</v>
      </c>
      <c r="P50" s="616">
        <f t="shared" si="33"/>
        <v>0</v>
      </c>
      <c r="Q50" s="83">
        <f t="shared" si="34"/>
        <v>0</v>
      </c>
    </row>
    <row r="51" spans="1:18" ht="18" customHeight="1" x14ac:dyDescent="0.25">
      <c r="A51" s="844" t="s">
        <v>725</v>
      </c>
      <c r="B51" s="844"/>
      <c r="C51" s="817"/>
      <c r="D51" s="817"/>
      <c r="E51" s="817"/>
      <c r="F51" s="817"/>
      <c r="G51" s="817"/>
      <c r="H51" s="817"/>
      <c r="I51" s="817"/>
      <c r="J51" s="817"/>
      <c r="K51" s="817"/>
      <c r="L51" s="817"/>
      <c r="M51" s="817"/>
      <c r="N51" s="817"/>
      <c r="O51" s="817"/>
      <c r="P51" s="817"/>
      <c r="Q51" s="817"/>
      <c r="R51" s="817"/>
    </row>
    <row r="52" spans="1:18" ht="18" customHeight="1" x14ac:dyDescent="0.25">
      <c r="A52" s="507" t="s">
        <v>1365</v>
      </c>
      <c r="B52" s="62"/>
      <c r="C52" s="470"/>
      <c r="D52" s="81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82"/>
    </row>
    <row r="53" spans="1:18" ht="18" customHeight="1" outlineLevel="1" x14ac:dyDescent="0.25">
      <c r="A53" s="65" t="s">
        <v>1410</v>
      </c>
      <c r="B53" s="65"/>
      <c r="C53" s="604">
        <f>Scenarios!B75</f>
        <v>0</v>
      </c>
      <c r="D53" s="618">
        <f>Scenarios!F75</f>
        <v>0</v>
      </c>
      <c r="E53" s="616">
        <f t="shared" ref="E53:E60" si="42">D53*(1+E$6)</f>
        <v>0</v>
      </c>
      <c r="F53" s="616">
        <f t="shared" ref="F53:M53" si="43">E53*(1+F$6)</f>
        <v>0</v>
      </c>
      <c r="G53" s="616">
        <f t="shared" si="43"/>
        <v>0</v>
      </c>
      <c r="H53" s="616">
        <f t="shared" si="43"/>
        <v>0</v>
      </c>
      <c r="I53" s="616">
        <f t="shared" si="43"/>
        <v>0</v>
      </c>
      <c r="J53" s="616">
        <f t="shared" si="43"/>
        <v>0</v>
      </c>
      <c r="K53" s="616">
        <f t="shared" si="43"/>
        <v>0</v>
      </c>
      <c r="L53" s="616">
        <f t="shared" si="43"/>
        <v>0</v>
      </c>
      <c r="M53" s="616">
        <f t="shared" si="43"/>
        <v>0</v>
      </c>
      <c r="N53" s="71"/>
      <c r="O53" s="71"/>
      <c r="P53" s="71"/>
      <c r="Q53" s="83"/>
    </row>
    <row r="54" spans="1:18" ht="18" customHeight="1" outlineLevel="1" x14ac:dyDescent="0.25">
      <c r="A54" s="62" t="s">
        <v>1367</v>
      </c>
      <c r="B54" s="62"/>
      <c r="C54" s="604">
        <f>Scenarios!B76</f>
        <v>0</v>
      </c>
      <c r="D54" s="618">
        <f>Scenarios!F76</f>
        <v>0</v>
      </c>
      <c r="E54" s="606">
        <f t="shared" si="42"/>
        <v>0</v>
      </c>
      <c r="F54" s="606">
        <f t="shared" ref="F54:M54" si="44">E54*(1+F$6)</f>
        <v>0</v>
      </c>
      <c r="G54" s="606">
        <f t="shared" si="44"/>
        <v>0</v>
      </c>
      <c r="H54" s="606">
        <f t="shared" si="44"/>
        <v>0</v>
      </c>
      <c r="I54" s="606">
        <f t="shared" si="44"/>
        <v>0</v>
      </c>
      <c r="J54" s="606">
        <f t="shared" si="44"/>
        <v>0</v>
      </c>
      <c r="K54" s="606">
        <f t="shared" si="44"/>
        <v>0</v>
      </c>
      <c r="L54" s="606">
        <f t="shared" si="44"/>
        <v>0</v>
      </c>
      <c r="M54" s="606">
        <f t="shared" si="44"/>
        <v>0</v>
      </c>
      <c r="N54" s="75"/>
      <c r="O54" s="75"/>
      <c r="P54" s="75"/>
      <c r="Q54" s="82"/>
    </row>
    <row r="55" spans="1:18" ht="18" customHeight="1" outlineLevel="1" x14ac:dyDescent="0.25">
      <c r="A55" s="65" t="s">
        <v>1368</v>
      </c>
      <c r="B55" s="65"/>
      <c r="C55" s="604">
        <f>Scenarios!B77</f>
        <v>0</v>
      </c>
      <c r="D55" s="618">
        <f>Scenarios!F77</f>
        <v>0</v>
      </c>
      <c r="E55" s="601">
        <f t="shared" si="42"/>
        <v>0</v>
      </c>
      <c r="F55" s="601">
        <f t="shared" ref="F55:M55" si="45">E55*(1+F$6)</f>
        <v>0</v>
      </c>
      <c r="G55" s="601">
        <f t="shared" si="45"/>
        <v>0</v>
      </c>
      <c r="H55" s="601">
        <f t="shared" si="45"/>
        <v>0</v>
      </c>
      <c r="I55" s="601">
        <f t="shared" si="45"/>
        <v>0</v>
      </c>
      <c r="J55" s="601">
        <f t="shared" si="45"/>
        <v>0</v>
      </c>
      <c r="K55" s="601">
        <f t="shared" si="45"/>
        <v>0</v>
      </c>
      <c r="L55" s="601">
        <f t="shared" si="45"/>
        <v>0</v>
      </c>
      <c r="M55" s="601">
        <f t="shared" si="45"/>
        <v>0</v>
      </c>
      <c r="N55" s="71"/>
      <c r="O55" s="71"/>
      <c r="P55" s="71"/>
      <c r="Q55" s="83"/>
    </row>
    <row r="56" spans="1:18" ht="18" customHeight="1" outlineLevel="1" x14ac:dyDescent="0.25">
      <c r="A56" s="62" t="s">
        <v>1369</v>
      </c>
      <c r="B56" s="62"/>
      <c r="C56" s="604">
        <f>Scenarios!B78</f>
        <v>0</v>
      </c>
      <c r="D56" s="618">
        <f>Scenarios!F78</f>
        <v>0</v>
      </c>
      <c r="E56" s="606">
        <f t="shared" si="42"/>
        <v>0</v>
      </c>
      <c r="F56" s="606">
        <f t="shared" ref="F56:M56" si="46">E56*(1+F$6)</f>
        <v>0</v>
      </c>
      <c r="G56" s="606">
        <f t="shared" si="46"/>
        <v>0</v>
      </c>
      <c r="H56" s="606">
        <f t="shared" si="46"/>
        <v>0</v>
      </c>
      <c r="I56" s="606">
        <f t="shared" si="46"/>
        <v>0</v>
      </c>
      <c r="J56" s="606">
        <f t="shared" si="46"/>
        <v>0</v>
      </c>
      <c r="K56" s="606">
        <f t="shared" si="46"/>
        <v>0</v>
      </c>
      <c r="L56" s="606">
        <f t="shared" si="46"/>
        <v>0</v>
      </c>
      <c r="M56" s="606">
        <f t="shared" si="46"/>
        <v>0</v>
      </c>
      <c r="N56" s="75"/>
      <c r="O56" s="75"/>
      <c r="P56" s="75"/>
      <c r="Q56" s="82"/>
    </row>
    <row r="57" spans="1:18" ht="18" customHeight="1" outlineLevel="1" x14ac:dyDescent="0.25">
      <c r="A57" s="65" t="s">
        <v>1370</v>
      </c>
      <c r="B57" s="65"/>
      <c r="C57" s="604">
        <f>Scenarios!B79</f>
        <v>0</v>
      </c>
      <c r="D57" s="618">
        <f>Scenarios!F79</f>
        <v>0</v>
      </c>
      <c r="E57" s="601">
        <f t="shared" si="42"/>
        <v>0</v>
      </c>
      <c r="F57" s="601">
        <f t="shared" ref="F57:M57" si="47">E57*(1+F$6)</f>
        <v>0</v>
      </c>
      <c r="G57" s="601">
        <f t="shared" si="47"/>
        <v>0</v>
      </c>
      <c r="H57" s="601">
        <f t="shared" si="47"/>
        <v>0</v>
      </c>
      <c r="I57" s="601">
        <f t="shared" si="47"/>
        <v>0</v>
      </c>
      <c r="J57" s="601">
        <f t="shared" si="47"/>
        <v>0</v>
      </c>
      <c r="K57" s="601">
        <f t="shared" si="47"/>
        <v>0</v>
      </c>
      <c r="L57" s="601">
        <f t="shared" si="47"/>
        <v>0</v>
      </c>
      <c r="M57" s="601">
        <f t="shared" si="47"/>
        <v>0</v>
      </c>
      <c r="N57" s="71"/>
      <c r="O57" s="71"/>
      <c r="P57" s="71"/>
      <c r="Q57" s="83"/>
    </row>
    <row r="58" spans="1:18" ht="18" customHeight="1" outlineLevel="1" x14ac:dyDescent="0.25">
      <c r="A58" s="62" t="s">
        <v>1371</v>
      </c>
      <c r="B58" s="62"/>
      <c r="C58" s="604">
        <f>Scenarios!B80</f>
        <v>0</v>
      </c>
      <c r="D58" s="618">
        <f>Scenarios!F80</f>
        <v>0</v>
      </c>
      <c r="E58" s="606">
        <f t="shared" si="42"/>
        <v>0</v>
      </c>
      <c r="F58" s="606">
        <f t="shared" ref="F58:M58" si="48">E58*(1+F$6)</f>
        <v>0</v>
      </c>
      <c r="G58" s="606">
        <f t="shared" si="48"/>
        <v>0</v>
      </c>
      <c r="H58" s="606">
        <f t="shared" si="48"/>
        <v>0</v>
      </c>
      <c r="I58" s="606">
        <f t="shared" si="48"/>
        <v>0</v>
      </c>
      <c r="J58" s="606">
        <f t="shared" si="48"/>
        <v>0</v>
      </c>
      <c r="K58" s="606">
        <f t="shared" si="48"/>
        <v>0</v>
      </c>
      <c r="L58" s="606">
        <f t="shared" si="48"/>
        <v>0</v>
      </c>
      <c r="M58" s="606">
        <f t="shared" si="48"/>
        <v>0</v>
      </c>
      <c r="N58" s="75"/>
      <c r="O58" s="75"/>
      <c r="P58" s="75"/>
      <c r="Q58" s="82"/>
    </row>
    <row r="59" spans="1:18" ht="18" customHeight="1" outlineLevel="1" x14ac:dyDescent="0.25">
      <c r="A59" s="65" t="s">
        <v>1372</v>
      </c>
      <c r="B59" s="65"/>
      <c r="C59" s="604">
        <f>Scenarios!B81</f>
        <v>0</v>
      </c>
      <c r="D59" s="618">
        <f>Scenarios!F81</f>
        <v>0</v>
      </c>
      <c r="E59" s="601">
        <f t="shared" si="42"/>
        <v>0</v>
      </c>
      <c r="F59" s="601">
        <f t="shared" ref="F59:M59" si="49">E59*(1+F$6)</f>
        <v>0</v>
      </c>
      <c r="G59" s="601">
        <f t="shared" si="49"/>
        <v>0</v>
      </c>
      <c r="H59" s="601">
        <f t="shared" si="49"/>
        <v>0</v>
      </c>
      <c r="I59" s="601">
        <f t="shared" si="49"/>
        <v>0</v>
      </c>
      <c r="J59" s="601">
        <f t="shared" si="49"/>
        <v>0</v>
      </c>
      <c r="K59" s="601">
        <f t="shared" si="49"/>
        <v>0</v>
      </c>
      <c r="L59" s="601">
        <f t="shared" si="49"/>
        <v>0</v>
      </c>
      <c r="M59" s="601">
        <f t="shared" si="49"/>
        <v>0</v>
      </c>
      <c r="N59" s="71"/>
      <c r="O59" s="71"/>
      <c r="P59" s="71"/>
      <c r="Q59" s="83"/>
    </row>
    <row r="60" spans="1:18" ht="18" customHeight="1" outlineLevel="1" x14ac:dyDescent="0.25">
      <c r="A60" s="62" t="s">
        <v>1373</v>
      </c>
      <c r="B60" s="62"/>
      <c r="C60" s="604">
        <f>Scenarios!B82</f>
        <v>0</v>
      </c>
      <c r="D60" s="618">
        <f>Scenarios!F82</f>
        <v>0</v>
      </c>
      <c r="E60" s="606">
        <f t="shared" si="42"/>
        <v>0</v>
      </c>
      <c r="F60" s="606">
        <f t="shared" ref="F60:M60" si="50">E60*(1+F$6)</f>
        <v>0</v>
      </c>
      <c r="G60" s="606">
        <f t="shared" si="50"/>
        <v>0</v>
      </c>
      <c r="H60" s="606">
        <f t="shared" si="50"/>
        <v>0</v>
      </c>
      <c r="I60" s="606">
        <f t="shared" si="50"/>
        <v>0</v>
      </c>
      <c r="J60" s="606">
        <f t="shared" si="50"/>
        <v>0</v>
      </c>
      <c r="K60" s="606">
        <f t="shared" si="50"/>
        <v>0</v>
      </c>
      <c r="L60" s="606">
        <f t="shared" si="50"/>
        <v>0</v>
      </c>
      <c r="M60" s="606">
        <f t="shared" si="50"/>
        <v>0</v>
      </c>
      <c r="N60" s="75"/>
      <c r="O60" s="75"/>
      <c r="P60" s="75"/>
      <c r="Q60" s="82"/>
    </row>
    <row r="61" spans="1:18" ht="18" customHeight="1" x14ac:dyDescent="0.25">
      <c r="A61" s="508" t="s">
        <v>1374</v>
      </c>
      <c r="B61" s="65"/>
      <c r="C61" s="604">
        <f>Scenarios!B83</f>
        <v>0</v>
      </c>
      <c r="D61" s="618">
        <f>Scenarios!F83</f>
        <v>0</v>
      </c>
      <c r="E61" s="628">
        <f>SUM(E53:E60)</f>
        <v>0</v>
      </c>
      <c r="F61" s="628">
        <f t="shared" ref="F61:M61" si="51">SUM(F53:F60)</f>
        <v>0</v>
      </c>
      <c r="G61" s="628">
        <f t="shared" si="51"/>
        <v>0</v>
      </c>
      <c r="H61" s="628">
        <f t="shared" si="51"/>
        <v>0</v>
      </c>
      <c r="I61" s="628">
        <f t="shared" si="51"/>
        <v>0</v>
      </c>
      <c r="J61" s="628">
        <f t="shared" si="51"/>
        <v>0</v>
      </c>
      <c r="K61" s="628">
        <f t="shared" si="51"/>
        <v>0</v>
      </c>
      <c r="L61" s="628">
        <f t="shared" si="51"/>
        <v>0</v>
      </c>
      <c r="M61" s="628">
        <f t="shared" si="51"/>
        <v>0</v>
      </c>
      <c r="N61" s="71"/>
      <c r="O61" s="71"/>
      <c r="P61" s="71"/>
      <c r="Q61" s="83"/>
    </row>
    <row r="62" spans="1:18" ht="18" customHeight="1" x14ac:dyDescent="0.25">
      <c r="A62" s="507" t="s">
        <v>1375</v>
      </c>
      <c r="B62" s="62"/>
      <c r="C62" s="604"/>
      <c r="D62" s="605"/>
      <c r="E62" s="606"/>
      <c r="F62" s="606"/>
      <c r="G62" s="606"/>
      <c r="H62" s="606"/>
      <c r="I62" s="606"/>
      <c r="J62" s="606"/>
      <c r="K62" s="606"/>
      <c r="L62" s="606"/>
      <c r="M62" s="606"/>
      <c r="N62" s="75"/>
      <c r="O62" s="75"/>
      <c r="P62" s="75"/>
      <c r="Q62" s="82"/>
    </row>
    <row r="63" spans="1:18" ht="18" customHeight="1" outlineLevel="1" x14ac:dyDescent="0.25">
      <c r="A63" s="65" t="s">
        <v>1376</v>
      </c>
      <c r="B63" s="65"/>
      <c r="C63" s="604">
        <f>Scenarios!B85</f>
        <v>0</v>
      </c>
      <c r="D63" s="618">
        <f>Scenarios!F85</f>
        <v>0</v>
      </c>
      <c r="E63" s="601">
        <f t="shared" ref="E63:E68" si="52">D63*(1+E$6)</f>
        <v>0</v>
      </c>
      <c r="F63" s="601">
        <f t="shared" ref="F63:M63" si="53">E63*(1+F$6)</f>
        <v>0</v>
      </c>
      <c r="G63" s="601">
        <f t="shared" si="53"/>
        <v>0</v>
      </c>
      <c r="H63" s="601">
        <f t="shared" si="53"/>
        <v>0</v>
      </c>
      <c r="I63" s="601">
        <f t="shared" si="53"/>
        <v>0</v>
      </c>
      <c r="J63" s="601">
        <f t="shared" si="53"/>
        <v>0</v>
      </c>
      <c r="K63" s="601">
        <f t="shared" si="53"/>
        <v>0</v>
      </c>
      <c r="L63" s="601">
        <f t="shared" si="53"/>
        <v>0</v>
      </c>
      <c r="M63" s="601">
        <f t="shared" si="53"/>
        <v>0</v>
      </c>
      <c r="N63" s="71"/>
      <c r="O63" s="71"/>
      <c r="P63" s="71"/>
      <c r="Q63" s="83"/>
    </row>
    <row r="64" spans="1:18" ht="18" customHeight="1" outlineLevel="1" x14ac:dyDescent="0.25">
      <c r="A64" s="62" t="s">
        <v>1377</v>
      </c>
      <c r="B64" s="62"/>
      <c r="C64" s="604">
        <f>Scenarios!B86</f>
        <v>0</v>
      </c>
      <c r="D64" s="618">
        <f>Scenarios!F86</f>
        <v>0</v>
      </c>
      <c r="E64" s="606">
        <f t="shared" si="52"/>
        <v>0</v>
      </c>
      <c r="F64" s="606">
        <f t="shared" ref="F64:M64" si="54">E64*(1+F$6)</f>
        <v>0</v>
      </c>
      <c r="G64" s="606">
        <f t="shared" si="54"/>
        <v>0</v>
      </c>
      <c r="H64" s="606">
        <f t="shared" si="54"/>
        <v>0</v>
      </c>
      <c r="I64" s="606">
        <f t="shared" si="54"/>
        <v>0</v>
      </c>
      <c r="J64" s="606">
        <f t="shared" si="54"/>
        <v>0</v>
      </c>
      <c r="K64" s="606">
        <f t="shared" si="54"/>
        <v>0</v>
      </c>
      <c r="L64" s="606">
        <f t="shared" si="54"/>
        <v>0</v>
      </c>
      <c r="M64" s="606">
        <f t="shared" si="54"/>
        <v>0</v>
      </c>
      <c r="N64" s="75"/>
      <c r="O64" s="75"/>
      <c r="P64" s="75"/>
      <c r="Q64" s="82"/>
    </row>
    <row r="65" spans="1:17" ht="18" customHeight="1" outlineLevel="1" x14ac:dyDescent="0.25">
      <c r="A65" s="65" t="s">
        <v>1378</v>
      </c>
      <c r="B65" s="65"/>
      <c r="C65" s="604">
        <f>Scenarios!B87</f>
        <v>0</v>
      </c>
      <c r="D65" s="618">
        <f>Scenarios!F87</f>
        <v>0</v>
      </c>
      <c r="E65" s="601">
        <f t="shared" si="52"/>
        <v>0</v>
      </c>
      <c r="F65" s="601">
        <f t="shared" ref="F65:M65" si="55">E65*(1+F$6)</f>
        <v>0</v>
      </c>
      <c r="G65" s="601">
        <f t="shared" si="55"/>
        <v>0</v>
      </c>
      <c r="H65" s="601">
        <f t="shared" si="55"/>
        <v>0</v>
      </c>
      <c r="I65" s="601">
        <f t="shared" si="55"/>
        <v>0</v>
      </c>
      <c r="J65" s="601">
        <f t="shared" si="55"/>
        <v>0</v>
      </c>
      <c r="K65" s="601">
        <f t="shared" si="55"/>
        <v>0</v>
      </c>
      <c r="L65" s="601">
        <f t="shared" si="55"/>
        <v>0</v>
      </c>
      <c r="M65" s="601">
        <f t="shared" si="55"/>
        <v>0</v>
      </c>
      <c r="N65" s="71"/>
      <c r="O65" s="71"/>
      <c r="P65" s="71"/>
      <c r="Q65" s="83"/>
    </row>
    <row r="66" spans="1:17" ht="18" customHeight="1" outlineLevel="1" x14ac:dyDescent="0.25">
      <c r="A66" s="62" t="s">
        <v>1411</v>
      </c>
      <c r="B66" s="62"/>
      <c r="C66" s="604">
        <f>Scenarios!B88</f>
        <v>0</v>
      </c>
      <c r="D66" s="618">
        <f>Scenarios!F88</f>
        <v>0</v>
      </c>
      <c r="E66" s="606">
        <f t="shared" si="52"/>
        <v>0</v>
      </c>
      <c r="F66" s="606">
        <f t="shared" ref="F66:M66" si="56">E66*(1+F$6)</f>
        <v>0</v>
      </c>
      <c r="G66" s="606">
        <f t="shared" si="56"/>
        <v>0</v>
      </c>
      <c r="H66" s="606">
        <f t="shared" si="56"/>
        <v>0</v>
      </c>
      <c r="I66" s="606">
        <f t="shared" si="56"/>
        <v>0</v>
      </c>
      <c r="J66" s="606">
        <f t="shared" si="56"/>
        <v>0</v>
      </c>
      <c r="K66" s="606">
        <f t="shared" si="56"/>
        <v>0</v>
      </c>
      <c r="L66" s="606">
        <f t="shared" si="56"/>
        <v>0</v>
      </c>
      <c r="M66" s="606">
        <f t="shared" si="56"/>
        <v>0</v>
      </c>
      <c r="N66" s="75"/>
      <c r="O66" s="75"/>
      <c r="P66" s="75"/>
      <c r="Q66" s="82"/>
    </row>
    <row r="67" spans="1:17" ht="18" customHeight="1" outlineLevel="1" x14ac:dyDescent="0.25">
      <c r="A67" s="62" t="s">
        <v>1380</v>
      </c>
      <c r="B67" s="62"/>
      <c r="C67" s="604">
        <f>Scenarios!B89</f>
        <v>0</v>
      </c>
      <c r="D67" s="618">
        <f>Scenarios!F89</f>
        <v>0</v>
      </c>
      <c r="E67" s="606">
        <f t="shared" si="52"/>
        <v>0</v>
      </c>
      <c r="F67" s="606">
        <f t="shared" ref="F67:M67" si="57">E67*(1+F$6)</f>
        <v>0</v>
      </c>
      <c r="G67" s="606">
        <f t="shared" si="57"/>
        <v>0</v>
      </c>
      <c r="H67" s="606">
        <f t="shared" si="57"/>
        <v>0</v>
      </c>
      <c r="I67" s="606">
        <f t="shared" si="57"/>
        <v>0</v>
      </c>
      <c r="J67" s="606">
        <f t="shared" si="57"/>
        <v>0</v>
      </c>
      <c r="K67" s="606">
        <f t="shared" si="57"/>
        <v>0</v>
      </c>
      <c r="L67" s="606">
        <f t="shared" si="57"/>
        <v>0</v>
      </c>
      <c r="M67" s="606">
        <f t="shared" si="57"/>
        <v>0</v>
      </c>
      <c r="N67" s="75"/>
      <c r="O67" s="75"/>
      <c r="P67" s="75"/>
      <c r="Q67" s="82"/>
    </row>
    <row r="68" spans="1:17" ht="18" customHeight="1" outlineLevel="1" x14ac:dyDescent="0.25">
      <c r="A68" s="62" t="s">
        <v>1381</v>
      </c>
      <c r="B68" s="62"/>
      <c r="C68" s="604">
        <f>Scenarios!B90</f>
        <v>0</v>
      </c>
      <c r="D68" s="618">
        <f>Scenarios!F90</f>
        <v>0</v>
      </c>
      <c r="E68" s="606">
        <f t="shared" si="52"/>
        <v>0</v>
      </c>
      <c r="F68" s="606">
        <f t="shared" ref="F68:M68" si="58">E68*(1+F$6)</f>
        <v>0</v>
      </c>
      <c r="G68" s="606">
        <f t="shared" si="58"/>
        <v>0</v>
      </c>
      <c r="H68" s="606">
        <f t="shared" si="58"/>
        <v>0</v>
      </c>
      <c r="I68" s="606">
        <f t="shared" si="58"/>
        <v>0</v>
      </c>
      <c r="J68" s="606">
        <f t="shared" si="58"/>
        <v>0</v>
      </c>
      <c r="K68" s="606">
        <f t="shared" si="58"/>
        <v>0</v>
      </c>
      <c r="L68" s="606">
        <f t="shared" si="58"/>
        <v>0</v>
      </c>
      <c r="M68" s="606">
        <f t="shared" si="58"/>
        <v>0</v>
      </c>
      <c r="N68" s="75"/>
      <c r="O68" s="75"/>
      <c r="P68" s="75"/>
      <c r="Q68" s="82"/>
    </row>
    <row r="69" spans="1:17" ht="18" customHeight="1" x14ac:dyDescent="0.25">
      <c r="A69" s="508" t="s">
        <v>1382</v>
      </c>
      <c r="B69" s="62"/>
      <c r="C69" s="604">
        <f>Scenarios!B91</f>
        <v>0</v>
      </c>
      <c r="D69" s="618">
        <f>Scenarios!F91</f>
        <v>0</v>
      </c>
      <c r="E69" s="619">
        <f>SUM(E63:E68)</f>
        <v>0</v>
      </c>
      <c r="F69" s="619">
        <f t="shared" ref="F69:M69" si="59">SUM(F63:F68)</f>
        <v>0</v>
      </c>
      <c r="G69" s="619">
        <f t="shared" si="59"/>
        <v>0</v>
      </c>
      <c r="H69" s="619">
        <f t="shared" si="59"/>
        <v>0</v>
      </c>
      <c r="I69" s="619">
        <f t="shared" si="59"/>
        <v>0</v>
      </c>
      <c r="J69" s="619">
        <f t="shared" si="59"/>
        <v>0</v>
      </c>
      <c r="K69" s="619">
        <f t="shared" si="59"/>
        <v>0</v>
      </c>
      <c r="L69" s="619">
        <f t="shared" si="59"/>
        <v>0</v>
      </c>
      <c r="M69" s="619">
        <f t="shared" si="59"/>
        <v>0</v>
      </c>
      <c r="N69" s="75"/>
      <c r="O69" s="75"/>
      <c r="P69" s="75"/>
      <c r="Q69" s="82"/>
    </row>
    <row r="70" spans="1:17" ht="18" customHeight="1" x14ac:dyDescent="0.25">
      <c r="A70" s="507" t="s">
        <v>1383</v>
      </c>
      <c r="B70" s="62"/>
      <c r="C70" s="604"/>
      <c r="D70" s="605"/>
      <c r="E70" s="606"/>
      <c r="F70" s="606"/>
      <c r="G70" s="606"/>
      <c r="H70" s="606"/>
      <c r="I70" s="606"/>
      <c r="J70" s="606"/>
      <c r="K70" s="606"/>
      <c r="L70" s="606"/>
      <c r="M70" s="606"/>
      <c r="N70" s="75"/>
      <c r="O70" s="75"/>
      <c r="P70" s="75"/>
      <c r="Q70" s="82"/>
    </row>
    <row r="71" spans="1:17" ht="18" customHeight="1" outlineLevel="1" x14ac:dyDescent="0.25">
      <c r="A71" s="62" t="s">
        <v>1384</v>
      </c>
      <c r="B71" s="62"/>
      <c r="C71" s="604">
        <f>Scenarios!B93</f>
        <v>0</v>
      </c>
      <c r="D71" s="618">
        <f>Scenarios!F93</f>
        <v>0</v>
      </c>
      <c r="E71" s="606">
        <f t="shared" ref="E71:E93" si="60">D71*(1+E$6)</f>
        <v>0</v>
      </c>
      <c r="F71" s="606">
        <f t="shared" ref="F71:M71" si="61">E71*(1+F$6)</f>
        <v>0</v>
      </c>
      <c r="G71" s="606">
        <f t="shared" si="61"/>
        <v>0</v>
      </c>
      <c r="H71" s="606">
        <f t="shared" si="61"/>
        <v>0</v>
      </c>
      <c r="I71" s="606">
        <f t="shared" si="61"/>
        <v>0</v>
      </c>
      <c r="J71" s="606">
        <f t="shared" si="61"/>
        <v>0</v>
      </c>
      <c r="K71" s="606">
        <f t="shared" si="61"/>
        <v>0</v>
      </c>
      <c r="L71" s="606">
        <f t="shared" si="61"/>
        <v>0</v>
      </c>
      <c r="M71" s="606">
        <f t="shared" si="61"/>
        <v>0</v>
      </c>
      <c r="N71" s="606"/>
      <c r="O71" s="606"/>
      <c r="P71" s="606"/>
      <c r="Q71" s="139"/>
    </row>
    <row r="72" spans="1:17" ht="18" customHeight="1" outlineLevel="1" x14ac:dyDescent="0.25">
      <c r="A72" s="62" t="s">
        <v>1385</v>
      </c>
      <c r="B72" s="62"/>
      <c r="C72" s="604">
        <f>Scenarios!B94</f>
        <v>0</v>
      </c>
      <c r="D72" s="618">
        <f>Scenarios!F94</f>
        <v>0</v>
      </c>
      <c r="E72" s="606">
        <f t="shared" si="60"/>
        <v>0</v>
      </c>
      <c r="F72" s="606">
        <f t="shared" ref="F72:M72" si="62">E72*(1+F$6)</f>
        <v>0</v>
      </c>
      <c r="G72" s="606">
        <f t="shared" si="62"/>
        <v>0</v>
      </c>
      <c r="H72" s="606">
        <f t="shared" si="62"/>
        <v>0</v>
      </c>
      <c r="I72" s="606">
        <f t="shared" si="62"/>
        <v>0</v>
      </c>
      <c r="J72" s="606">
        <f t="shared" si="62"/>
        <v>0</v>
      </c>
      <c r="K72" s="606">
        <f t="shared" si="62"/>
        <v>0</v>
      </c>
      <c r="L72" s="606">
        <f t="shared" si="62"/>
        <v>0</v>
      </c>
      <c r="M72" s="606">
        <f t="shared" si="62"/>
        <v>0</v>
      </c>
      <c r="N72" s="606"/>
      <c r="O72" s="606"/>
      <c r="P72" s="606"/>
      <c r="Q72" s="139"/>
    </row>
    <row r="73" spans="1:17" ht="18" customHeight="1" outlineLevel="1" x14ac:dyDescent="0.25">
      <c r="A73" s="62" t="s">
        <v>1386</v>
      </c>
      <c r="B73" s="62"/>
      <c r="C73" s="604">
        <f>Scenarios!B95</f>
        <v>0</v>
      </c>
      <c r="D73" s="618">
        <f>Scenarios!F95</f>
        <v>0</v>
      </c>
      <c r="E73" s="606">
        <f t="shared" si="60"/>
        <v>0</v>
      </c>
      <c r="F73" s="606">
        <f t="shared" ref="F73:M73" si="63">E73*(1+F$6)</f>
        <v>0</v>
      </c>
      <c r="G73" s="606">
        <f t="shared" si="63"/>
        <v>0</v>
      </c>
      <c r="H73" s="606">
        <f t="shared" si="63"/>
        <v>0</v>
      </c>
      <c r="I73" s="606">
        <f t="shared" si="63"/>
        <v>0</v>
      </c>
      <c r="J73" s="606">
        <f t="shared" si="63"/>
        <v>0</v>
      </c>
      <c r="K73" s="606">
        <f t="shared" si="63"/>
        <v>0</v>
      </c>
      <c r="L73" s="606">
        <f t="shared" si="63"/>
        <v>0</v>
      </c>
      <c r="M73" s="606">
        <f t="shared" si="63"/>
        <v>0</v>
      </c>
      <c r="N73" s="606"/>
      <c r="O73" s="606"/>
      <c r="P73" s="606"/>
      <c r="Q73" s="139"/>
    </row>
    <row r="74" spans="1:17" ht="18" customHeight="1" outlineLevel="1" x14ac:dyDescent="0.25">
      <c r="A74" s="62" t="s">
        <v>1387</v>
      </c>
      <c r="B74" s="62"/>
      <c r="C74" s="604">
        <f>Scenarios!B96</f>
        <v>0</v>
      </c>
      <c r="D74" s="618">
        <f>Scenarios!F96</f>
        <v>0</v>
      </c>
      <c r="E74" s="606">
        <f t="shared" si="60"/>
        <v>0</v>
      </c>
      <c r="F74" s="606">
        <f t="shared" ref="F74:M74" si="64">E74*(1+F$6)</f>
        <v>0</v>
      </c>
      <c r="G74" s="606">
        <f t="shared" si="64"/>
        <v>0</v>
      </c>
      <c r="H74" s="606">
        <f t="shared" si="64"/>
        <v>0</v>
      </c>
      <c r="I74" s="606">
        <f t="shared" si="64"/>
        <v>0</v>
      </c>
      <c r="J74" s="606">
        <f t="shared" si="64"/>
        <v>0</v>
      </c>
      <c r="K74" s="606">
        <f t="shared" si="64"/>
        <v>0</v>
      </c>
      <c r="L74" s="606">
        <f t="shared" si="64"/>
        <v>0</v>
      </c>
      <c r="M74" s="606">
        <f t="shared" si="64"/>
        <v>0</v>
      </c>
      <c r="N74" s="606"/>
      <c r="O74" s="606"/>
      <c r="P74" s="606"/>
      <c r="Q74" s="139"/>
    </row>
    <row r="75" spans="1:17" ht="18" customHeight="1" outlineLevel="1" x14ac:dyDescent="0.25">
      <c r="A75" s="62" t="s">
        <v>1412</v>
      </c>
      <c r="B75" s="62"/>
      <c r="C75" s="604">
        <f>Scenarios!B97</f>
        <v>0</v>
      </c>
      <c r="D75" s="618">
        <f>Scenarios!F97</f>
        <v>0</v>
      </c>
      <c r="E75" s="606">
        <f t="shared" si="60"/>
        <v>0</v>
      </c>
      <c r="F75" s="606">
        <f t="shared" ref="F75:M75" si="65">E75*(1+F$6)</f>
        <v>0</v>
      </c>
      <c r="G75" s="606">
        <f t="shared" si="65"/>
        <v>0</v>
      </c>
      <c r="H75" s="606">
        <f t="shared" si="65"/>
        <v>0</v>
      </c>
      <c r="I75" s="606">
        <f t="shared" si="65"/>
        <v>0</v>
      </c>
      <c r="J75" s="606">
        <f t="shared" si="65"/>
        <v>0</v>
      </c>
      <c r="K75" s="606">
        <f t="shared" si="65"/>
        <v>0</v>
      </c>
      <c r="L75" s="606">
        <f t="shared" si="65"/>
        <v>0</v>
      </c>
      <c r="M75" s="606">
        <f t="shared" si="65"/>
        <v>0</v>
      </c>
      <c r="N75" s="606"/>
      <c r="O75" s="606"/>
      <c r="P75" s="606"/>
      <c r="Q75" s="139"/>
    </row>
    <row r="76" spans="1:17" ht="18" customHeight="1" outlineLevel="1" x14ac:dyDescent="0.25">
      <c r="A76" s="62" t="s">
        <v>1413</v>
      </c>
      <c r="B76" s="62"/>
      <c r="C76" s="604">
        <f>Scenarios!B98</f>
        <v>0</v>
      </c>
      <c r="D76" s="618">
        <f>Scenarios!F98</f>
        <v>0</v>
      </c>
      <c r="E76" s="606">
        <f t="shared" si="60"/>
        <v>0</v>
      </c>
      <c r="F76" s="606">
        <f t="shared" ref="F76:M76" si="66">E76*(1+F$6)</f>
        <v>0</v>
      </c>
      <c r="G76" s="606">
        <f t="shared" si="66"/>
        <v>0</v>
      </c>
      <c r="H76" s="606">
        <f t="shared" si="66"/>
        <v>0</v>
      </c>
      <c r="I76" s="606">
        <f t="shared" si="66"/>
        <v>0</v>
      </c>
      <c r="J76" s="606">
        <f t="shared" si="66"/>
        <v>0</v>
      </c>
      <c r="K76" s="606">
        <f t="shared" si="66"/>
        <v>0</v>
      </c>
      <c r="L76" s="606">
        <f t="shared" si="66"/>
        <v>0</v>
      </c>
      <c r="M76" s="606">
        <f t="shared" si="66"/>
        <v>0</v>
      </c>
      <c r="N76" s="606"/>
      <c r="O76" s="606"/>
      <c r="P76" s="606"/>
      <c r="Q76" s="139"/>
    </row>
    <row r="77" spans="1:17" ht="18" customHeight="1" outlineLevel="1" x14ac:dyDescent="0.25">
      <c r="A77" s="62" t="s">
        <v>1390</v>
      </c>
      <c r="B77" s="62"/>
      <c r="C77" s="604">
        <f>Scenarios!B99</f>
        <v>0</v>
      </c>
      <c r="D77" s="618">
        <f>Scenarios!F99</f>
        <v>0</v>
      </c>
      <c r="E77" s="606">
        <f t="shared" si="60"/>
        <v>0</v>
      </c>
      <c r="F77" s="606">
        <f t="shared" ref="F77:M77" si="67">E77*(1+F$6)</f>
        <v>0</v>
      </c>
      <c r="G77" s="606">
        <f t="shared" si="67"/>
        <v>0</v>
      </c>
      <c r="H77" s="606">
        <f t="shared" si="67"/>
        <v>0</v>
      </c>
      <c r="I77" s="606">
        <f t="shared" si="67"/>
        <v>0</v>
      </c>
      <c r="J77" s="606">
        <f t="shared" si="67"/>
        <v>0</v>
      </c>
      <c r="K77" s="606">
        <f t="shared" si="67"/>
        <v>0</v>
      </c>
      <c r="L77" s="606">
        <f t="shared" si="67"/>
        <v>0</v>
      </c>
      <c r="M77" s="606">
        <f t="shared" si="67"/>
        <v>0</v>
      </c>
      <c r="N77" s="606"/>
      <c r="O77" s="606"/>
      <c r="P77" s="606"/>
      <c r="Q77" s="139"/>
    </row>
    <row r="78" spans="1:17" ht="18" customHeight="1" outlineLevel="1" x14ac:dyDescent="0.25">
      <c r="A78" s="62" t="s">
        <v>1391</v>
      </c>
      <c r="B78" s="62"/>
      <c r="C78" s="604">
        <f>Scenarios!B100</f>
        <v>0</v>
      </c>
      <c r="D78" s="618">
        <f>Scenarios!F100</f>
        <v>0</v>
      </c>
      <c r="E78" s="606">
        <f t="shared" si="60"/>
        <v>0</v>
      </c>
      <c r="F78" s="606">
        <f t="shared" ref="F78:M78" si="68">E78*(1+F$6)</f>
        <v>0</v>
      </c>
      <c r="G78" s="606">
        <f t="shared" si="68"/>
        <v>0</v>
      </c>
      <c r="H78" s="606">
        <f t="shared" si="68"/>
        <v>0</v>
      </c>
      <c r="I78" s="606">
        <f t="shared" si="68"/>
        <v>0</v>
      </c>
      <c r="J78" s="606">
        <f t="shared" si="68"/>
        <v>0</v>
      </c>
      <c r="K78" s="606">
        <f t="shared" si="68"/>
        <v>0</v>
      </c>
      <c r="L78" s="606">
        <f t="shared" si="68"/>
        <v>0</v>
      </c>
      <c r="M78" s="606">
        <f t="shared" si="68"/>
        <v>0</v>
      </c>
      <c r="N78" s="606"/>
      <c r="O78" s="606"/>
      <c r="P78" s="606"/>
      <c r="Q78" s="139"/>
    </row>
    <row r="79" spans="1:17" ht="18" customHeight="1" outlineLevel="1" x14ac:dyDescent="0.25">
      <c r="A79" s="62" t="s">
        <v>1392</v>
      </c>
      <c r="B79" s="62"/>
      <c r="C79" s="604">
        <f>Scenarios!B101</f>
        <v>0</v>
      </c>
      <c r="D79" s="618">
        <f>Scenarios!F101</f>
        <v>0</v>
      </c>
      <c r="E79" s="606">
        <f t="shared" si="60"/>
        <v>0</v>
      </c>
      <c r="F79" s="606">
        <f t="shared" ref="F79:M79" si="69">E79*(1+F$6)</f>
        <v>0</v>
      </c>
      <c r="G79" s="606">
        <f t="shared" si="69"/>
        <v>0</v>
      </c>
      <c r="H79" s="606">
        <f t="shared" si="69"/>
        <v>0</v>
      </c>
      <c r="I79" s="606">
        <f t="shared" si="69"/>
        <v>0</v>
      </c>
      <c r="J79" s="606">
        <f t="shared" si="69"/>
        <v>0</v>
      </c>
      <c r="K79" s="606">
        <f t="shared" si="69"/>
        <v>0</v>
      </c>
      <c r="L79" s="606">
        <f t="shared" si="69"/>
        <v>0</v>
      </c>
      <c r="M79" s="606">
        <f t="shared" si="69"/>
        <v>0</v>
      </c>
      <c r="N79" s="606"/>
      <c r="O79" s="606"/>
      <c r="P79" s="606"/>
      <c r="Q79" s="139"/>
    </row>
    <row r="80" spans="1:17" ht="18" customHeight="1" outlineLevel="1" x14ac:dyDescent="0.25">
      <c r="A80" s="62" t="s">
        <v>1414</v>
      </c>
      <c r="B80" s="62"/>
      <c r="C80" s="604">
        <f>Scenarios!B102</f>
        <v>0</v>
      </c>
      <c r="D80" s="618">
        <f>Scenarios!F102</f>
        <v>0</v>
      </c>
      <c r="E80" s="606">
        <f t="shared" si="60"/>
        <v>0</v>
      </c>
      <c r="F80" s="606">
        <f t="shared" ref="F80:M80" si="70">E80*(1+F$6)</f>
        <v>0</v>
      </c>
      <c r="G80" s="606">
        <f t="shared" si="70"/>
        <v>0</v>
      </c>
      <c r="H80" s="606">
        <f t="shared" si="70"/>
        <v>0</v>
      </c>
      <c r="I80" s="606">
        <f t="shared" si="70"/>
        <v>0</v>
      </c>
      <c r="J80" s="606">
        <f t="shared" si="70"/>
        <v>0</v>
      </c>
      <c r="K80" s="606">
        <f t="shared" si="70"/>
        <v>0</v>
      </c>
      <c r="L80" s="606">
        <f t="shared" si="70"/>
        <v>0</v>
      </c>
      <c r="M80" s="606">
        <f t="shared" si="70"/>
        <v>0</v>
      </c>
      <c r="N80" s="606"/>
      <c r="O80" s="606"/>
      <c r="P80" s="606"/>
      <c r="Q80" s="139"/>
    </row>
    <row r="81" spans="1:17" ht="18" customHeight="1" outlineLevel="1" x14ac:dyDescent="0.25">
      <c r="A81" s="62" t="s">
        <v>1394</v>
      </c>
      <c r="B81" s="62"/>
      <c r="C81" s="604">
        <f>Scenarios!B103</f>
        <v>0</v>
      </c>
      <c r="D81" s="618">
        <f>Scenarios!F103</f>
        <v>0</v>
      </c>
      <c r="E81" s="606">
        <f t="shared" si="60"/>
        <v>0</v>
      </c>
      <c r="F81" s="606">
        <f t="shared" ref="F81:M81" si="71">E81*(1+F$6)</f>
        <v>0</v>
      </c>
      <c r="G81" s="606">
        <f t="shared" si="71"/>
        <v>0</v>
      </c>
      <c r="H81" s="606">
        <f t="shared" si="71"/>
        <v>0</v>
      </c>
      <c r="I81" s="606">
        <f t="shared" si="71"/>
        <v>0</v>
      </c>
      <c r="J81" s="606">
        <f t="shared" si="71"/>
        <v>0</v>
      </c>
      <c r="K81" s="606">
        <f t="shared" si="71"/>
        <v>0</v>
      </c>
      <c r="L81" s="606">
        <f t="shared" si="71"/>
        <v>0</v>
      </c>
      <c r="M81" s="606">
        <f t="shared" si="71"/>
        <v>0</v>
      </c>
      <c r="N81" s="606"/>
      <c r="O81" s="606"/>
      <c r="P81" s="606"/>
      <c r="Q81" s="139"/>
    </row>
    <row r="82" spans="1:17" ht="18" customHeight="1" outlineLevel="1" x14ac:dyDescent="0.25">
      <c r="A82" s="62" t="s">
        <v>1415</v>
      </c>
      <c r="B82" s="62"/>
      <c r="C82" s="604">
        <f>Scenarios!B104</f>
        <v>0</v>
      </c>
      <c r="D82" s="618">
        <f>Scenarios!F104</f>
        <v>0</v>
      </c>
      <c r="E82" s="606">
        <f t="shared" si="60"/>
        <v>0</v>
      </c>
      <c r="F82" s="606">
        <f t="shared" ref="F82:M82" si="72">E82*(1+F$6)</f>
        <v>0</v>
      </c>
      <c r="G82" s="606">
        <f t="shared" si="72"/>
        <v>0</v>
      </c>
      <c r="H82" s="606">
        <f t="shared" si="72"/>
        <v>0</v>
      </c>
      <c r="I82" s="606">
        <f t="shared" si="72"/>
        <v>0</v>
      </c>
      <c r="J82" s="606">
        <f t="shared" si="72"/>
        <v>0</v>
      </c>
      <c r="K82" s="606">
        <f t="shared" si="72"/>
        <v>0</v>
      </c>
      <c r="L82" s="606">
        <f t="shared" si="72"/>
        <v>0</v>
      </c>
      <c r="M82" s="606">
        <f t="shared" si="72"/>
        <v>0</v>
      </c>
      <c r="N82" s="606"/>
      <c r="O82" s="606"/>
      <c r="P82" s="606"/>
      <c r="Q82" s="139"/>
    </row>
    <row r="83" spans="1:17" ht="18" customHeight="1" outlineLevel="1" x14ac:dyDescent="0.25">
      <c r="A83" s="62" t="s">
        <v>1396</v>
      </c>
      <c r="B83" s="62"/>
      <c r="C83" s="604">
        <f>Scenarios!B105</f>
        <v>0</v>
      </c>
      <c r="D83" s="618">
        <f>Scenarios!F105</f>
        <v>0</v>
      </c>
      <c r="E83" s="606">
        <f t="shared" si="60"/>
        <v>0</v>
      </c>
      <c r="F83" s="606">
        <f t="shared" ref="F83:M83" si="73">E83*(1+F$6)</f>
        <v>0</v>
      </c>
      <c r="G83" s="606">
        <f t="shared" si="73"/>
        <v>0</v>
      </c>
      <c r="H83" s="606">
        <f t="shared" si="73"/>
        <v>0</v>
      </c>
      <c r="I83" s="606">
        <f t="shared" si="73"/>
        <v>0</v>
      </c>
      <c r="J83" s="606">
        <f t="shared" si="73"/>
        <v>0</v>
      </c>
      <c r="K83" s="606">
        <f t="shared" si="73"/>
        <v>0</v>
      </c>
      <c r="L83" s="606">
        <f t="shared" si="73"/>
        <v>0</v>
      </c>
      <c r="M83" s="606">
        <f t="shared" si="73"/>
        <v>0</v>
      </c>
      <c r="N83" s="606"/>
      <c r="O83" s="606"/>
      <c r="P83" s="606"/>
      <c r="Q83" s="139"/>
    </row>
    <row r="84" spans="1:17" ht="18" customHeight="1" outlineLevel="1" x14ac:dyDescent="0.25">
      <c r="A84" s="62" t="s">
        <v>1397</v>
      </c>
      <c r="B84" s="62"/>
      <c r="C84" s="604">
        <f>Scenarios!B106</f>
        <v>0</v>
      </c>
      <c r="D84" s="618">
        <f>Scenarios!F106</f>
        <v>0</v>
      </c>
      <c r="E84" s="606">
        <f t="shared" si="60"/>
        <v>0</v>
      </c>
      <c r="F84" s="606">
        <f t="shared" ref="F84:M84" si="74">E84*(1+F$6)</f>
        <v>0</v>
      </c>
      <c r="G84" s="606">
        <f t="shared" si="74"/>
        <v>0</v>
      </c>
      <c r="H84" s="606">
        <f t="shared" si="74"/>
        <v>0</v>
      </c>
      <c r="I84" s="606">
        <f t="shared" si="74"/>
        <v>0</v>
      </c>
      <c r="J84" s="606">
        <f t="shared" si="74"/>
        <v>0</v>
      </c>
      <c r="K84" s="606">
        <f t="shared" si="74"/>
        <v>0</v>
      </c>
      <c r="L84" s="606">
        <f t="shared" si="74"/>
        <v>0</v>
      </c>
      <c r="M84" s="606">
        <f t="shared" si="74"/>
        <v>0</v>
      </c>
      <c r="N84" s="606"/>
      <c r="O84" s="606"/>
      <c r="P84" s="606"/>
      <c r="Q84" s="139"/>
    </row>
    <row r="85" spans="1:17" ht="18" customHeight="1" outlineLevel="1" x14ac:dyDescent="0.25">
      <c r="A85" s="62" t="s">
        <v>1398</v>
      </c>
      <c r="B85" s="62"/>
      <c r="C85" s="604">
        <f>Scenarios!B107</f>
        <v>0</v>
      </c>
      <c r="D85" s="618">
        <f>Scenarios!F107</f>
        <v>0</v>
      </c>
      <c r="E85" s="606">
        <f t="shared" si="60"/>
        <v>0</v>
      </c>
      <c r="F85" s="606">
        <f t="shared" ref="F85:M85" si="75">E85*(1+F$6)</f>
        <v>0</v>
      </c>
      <c r="G85" s="606">
        <f t="shared" si="75"/>
        <v>0</v>
      </c>
      <c r="H85" s="606">
        <f t="shared" si="75"/>
        <v>0</v>
      </c>
      <c r="I85" s="606">
        <f t="shared" si="75"/>
        <v>0</v>
      </c>
      <c r="J85" s="606">
        <f t="shared" si="75"/>
        <v>0</v>
      </c>
      <c r="K85" s="606">
        <f t="shared" si="75"/>
        <v>0</v>
      </c>
      <c r="L85" s="606">
        <f t="shared" si="75"/>
        <v>0</v>
      </c>
      <c r="M85" s="606">
        <f t="shared" si="75"/>
        <v>0</v>
      </c>
      <c r="N85" s="606"/>
      <c r="O85" s="606"/>
      <c r="P85" s="606"/>
      <c r="Q85" s="139"/>
    </row>
    <row r="86" spans="1:17" ht="18" customHeight="1" outlineLevel="1" x14ac:dyDescent="0.25">
      <c r="A86" s="62" t="s">
        <v>1399</v>
      </c>
      <c r="B86" s="62"/>
      <c r="C86" s="604">
        <f>Scenarios!B108</f>
        <v>0</v>
      </c>
      <c r="D86" s="618">
        <f>Scenarios!F108</f>
        <v>0</v>
      </c>
      <c r="E86" s="606">
        <f t="shared" si="60"/>
        <v>0</v>
      </c>
      <c r="F86" s="606">
        <f t="shared" ref="F86:M86" si="76">E86*(1+F$6)</f>
        <v>0</v>
      </c>
      <c r="G86" s="606">
        <f t="shared" si="76"/>
        <v>0</v>
      </c>
      <c r="H86" s="606">
        <f t="shared" si="76"/>
        <v>0</v>
      </c>
      <c r="I86" s="606">
        <f t="shared" si="76"/>
        <v>0</v>
      </c>
      <c r="J86" s="606">
        <f t="shared" si="76"/>
        <v>0</v>
      </c>
      <c r="K86" s="606">
        <f t="shared" si="76"/>
        <v>0</v>
      </c>
      <c r="L86" s="606">
        <f t="shared" si="76"/>
        <v>0</v>
      </c>
      <c r="M86" s="606">
        <f t="shared" si="76"/>
        <v>0</v>
      </c>
      <c r="N86" s="606"/>
      <c r="O86" s="606"/>
      <c r="P86" s="606"/>
      <c r="Q86" s="139"/>
    </row>
    <row r="87" spans="1:17" ht="18" customHeight="1" outlineLevel="1" x14ac:dyDescent="0.25">
      <c r="A87" s="62" t="s">
        <v>1400</v>
      </c>
      <c r="B87" s="62"/>
      <c r="C87" s="604">
        <f>Scenarios!B109</f>
        <v>0</v>
      </c>
      <c r="D87" s="618">
        <f>Scenarios!F109</f>
        <v>0</v>
      </c>
      <c r="E87" s="606">
        <f t="shared" si="60"/>
        <v>0</v>
      </c>
      <c r="F87" s="606">
        <f t="shared" ref="F87:M87" si="77">E87*(1+F$6)</f>
        <v>0</v>
      </c>
      <c r="G87" s="606">
        <f t="shared" si="77"/>
        <v>0</v>
      </c>
      <c r="H87" s="606">
        <f t="shared" si="77"/>
        <v>0</v>
      </c>
      <c r="I87" s="606">
        <f t="shared" si="77"/>
        <v>0</v>
      </c>
      <c r="J87" s="606">
        <f t="shared" si="77"/>
        <v>0</v>
      </c>
      <c r="K87" s="606">
        <f t="shared" si="77"/>
        <v>0</v>
      </c>
      <c r="L87" s="606">
        <f t="shared" si="77"/>
        <v>0</v>
      </c>
      <c r="M87" s="606">
        <f t="shared" si="77"/>
        <v>0</v>
      </c>
      <c r="N87" s="606"/>
      <c r="O87" s="606"/>
      <c r="P87" s="606"/>
      <c r="Q87" s="139"/>
    </row>
    <row r="88" spans="1:17" ht="18" customHeight="1" outlineLevel="1" x14ac:dyDescent="0.25">
      <c r="A88" s="62" t="s">
        <v>1401</v>
      </c>
      <c r="B88" s="62"/>
      <c r="C88" s="604">
        <f>Scenarios!B110</f>
        <v>0</v>
      </c>
      <c r="D88" s="618">
        <f>Scenarios!F110</f>
        <v>0</v>
      </c>
      <c r="E88" s="606">
        <f t="shared" si="60"/>
        <v>0</v>
      </c>
      <c r="F88" s="606">
        <f t="shared" ref="F88:M88" si="78">E88*(1+F$6)</f>
        <v>0</v>
      </c>
      <c r="G88" s="606">
        <f t="shared" si="78"/>
        <v>0</v>
      </c>
      <c r="H88" s="606">
        <f t="shared" si="78"/>
        <v>0</v>
      </c>
      <c r="I88" s="606">
        <f t="shared" si="78"/>
        <v>0</v>
      </c>
      <c r="J88" s="606">
        <f t="shared" si="78"/>
        <v>0</v>
      </c>
      <c r="K88" s="606">
        <f t="shared" si="78"/>
        <v>0</v>
      </c>
      <c r="L88" s="606">
        <f t="shared" si="78"/>
        <v>0</v>
      </c>
      <c r="M88" s="606">
        <f t="shared" si="78"/>
        <v>0</v>
      </c>
      <c r="N88" s="606"/>
      <c r="O88" s="606"/>
      <c r="P88" s="606"/>
      <c r="Q88" s="139"/>
    </row>
    <row r="89" spans="1:17" ht="18" customHeight="1" outlineLevel="1" x14ac:dyDescent="0.25">
      <c r="A89" s="62" t="s">
        <v>1416</v>
      </c>
      <c r="B89" s="62"/>
      <c r="C89" s="604">
        <f>Scenarios!B111</f>
        <v>0</v>
      </c>
      <c r="D89" s="618">
        <f>Scenarios!F111</f>
        <v>0</v>
      </c>
      <c r="E89" s="606">
        <f t="shared" si="60"/>
        <v>0</v>
      </c>
      <c r="F89" s="606">
        <f t="shared" ref="F89:M89" si="79">E89*(1+F$6)</f>
        <v>0</v>
      </c>
      <c r="G89" s="606">
        <f t="shared" si="79"/>
        <v>0</v>
      </c>
      <c r="H89" s="606">
        <f t="shared" si="79"/>
        <v>0</v>
      </c>
      <c r="I89" s="606">
        <f t="shared" si="79"/>
        <v>0</v>
      </c>
      <c r="J89" s="606">
        <f t="shared" si="79"/>
        <v>0</v>
      </c>
      <c r="K89" s="606">
        <f t="shared" si="79"/>
        <v>0</v>
      </c>
      <c r="L89" s="606">
        <f t="shared" si="79"/>
        <v>0</v>
      </c>
      <c r="M89" s="606">
        <f t="shared" si="79"/>
        <v>0</v>
      </c>
      <c r="N89" s="606"/>
      <c r="O89" s="606"/>
      <c r="P89" s="606"/>
      <c r="Q89" s="139"/>
    </row>
    <row r="90" spans="1:17" ht="18" customHeight="1" outlineLevel="1" x14ac:dyDescent="0.25">
      <c r="A90" s="62" t="s">
        <v>1403</v>
      </c>
      <c r="B90" s="62"/>
      <c r="C90" s="604">
        <f>Scenarios!B112</f>
        <v>0</v>
      </c>
      <c r="D90" s="618">
        <f>Scenarios!F112</f>
        <v>0</v>
      </c>
      <c r="E90" s="606">
        <f t="shared" si="60"/>
        <v>0</v>
      </c>
      <c r="F90" s="606">
        <f t="shared" ref="F90:M90" si="80">E90*(1+F$6)</f>
        <v>0</v>
      </c>
      <c r="G90" s="606">
        <f t="shared" si="80"/>
        <v>0</v>
      </c>
      <c r="H90" s="606">
        <f t="shared" si="80"/>
        <v>0</v>
      </c>
      <c r="I90" s="606">
        <f t="shared" si="80"/>
        <v>0</v>
      </c>
      <c r="J90" s="606">
        <f t="shared" si="80"/>
        <v>0</v>
      </c>
      <c r="K90" s="606">
        <f t="shared" si="80"/>
        <v>0</v>
      </c>
      <c r="L90" s="606">
        <f t="shared" si="80"/>
        <v>0</v>
      </c>
      <c r="M90" s="606">
        <f t="shared" si="80"/>
        <v>0</v>
      </c>
      <c r="N90" s="606"/>
      <c r="O90" s="606"/>
      <c r="P90" s="606"/>
      <c r="Q90" s="139"/>
    </row>
    <row r="91" spans="1:17" ht="18" customHeight="1" outlineLevel="1" x14ac:dyDescent="0.25">
      <c r="A91" s="62" t="s">
        <v>1404</v>
      </c>
      <c r="B91" s="62"/>
      <c r="C91" s="604">
        <f>Scenarios!B113</f>
        <v>0</v>
      </c>
      <c r="D91" s="618">
        <f>Scenarios!F113</f>
        <v>0</v>
      </c>
      <c r="E91" s="606">
        <f t="shared" si="60"/>
        <v>0</v>
      </c>
      <c r="F91" s="606">
        <f t="shared" ref="F91:M91" si="81">E91*(1+F$6)</f>
        <v>0</v>
      </c>
      <c r="G91" s="606">
        <f t="shared" si="81"/>
        <v>0</v>
      </c>
      <c r="H91" s="606">
        <f t="shared" si="81"/>
        <v>0</v>
      </c>
      <c r="I91" s="606">
        <f t="shared" si="81"/>
        <v>0</v>
      </c>
      <c r="J91" s="606">
        <f t="shared" si="81"/>
        <v>0</v>
      </c>
      <c r="K91" s="606">
        <f t="shared" si="81"/>
        <v>0</v>
      </c>
      <c r="L91" s="606">
        <f t="shared" si="81"/>
        <v>0</v>
      </c>
      <c r="M91" s="606">
        <f t="shared" si="81"/>
        <v>0</v>
      </c>
      <c r="N91" s="606"/>
      <c r="O91" s="606"/>
      <c r="P91" s="606"/>
      <c r="Q91" s="139"/>
    </row>
    <row r="92" spans="1:17" ht="18" customHeight="1" outlineLevel="1" x14ac:dyDescent="0.25">
      <c r="A92" s="62" t="s">
        <v>1405</v>
      </c>
      <c r="B92" s="62"/>
      <c r="C92" s="604">
        <f>Scenarios!B114</f>
        <v>0</v>
      </c>
      <c r="D92" s="618">
        <f>Scenarios!F114</f>
        <v>0</v>
      </c>
      <c r="E92" s="606">
        <f t="shared" si="60"/>
        <v>0</v>
      </c>
      <c r="F92" s="606">
        <f t="shared" ref="F92:M92" si="82">E92*(1+F$6)</f>
        <v>0</v>
      </c>
      <c r="G92" s="606">
        <f t="shared" si="82"/>
        <v>0</v>
      </c>
      <c r="H92" s="606">
        <f t="shared" si="82"/>
        <v>0</v>
      </c>
      <c r="I92" s="606">
        <f t="shared" si="82"/>
        <v>0</v>
      </c>
      <c r="J92" s="606">
        <f t="shared" si="82"/>
        <v>0</v>
      </c>
      <c r="K92" s="606">
        <f t="shared" si="82"/>
        <v>0</v>
      </c>
      <c r="L92" s="606">
        <f t="shared" si="82"/>
        <v>0</v>
      </c>
      <c r="M92" s="606">
        <f t="shared" si="82"/>
        <v>0</v>
      </c>
      <c r="N92" s="606"/>
      <c r="O92" s="606"/>
      <c r="P92" s="606"/>
      <c r="Q92" s="139"/>
    </row>
    <row r="93" spans="1:17" ht="18" customHeight="1" outlineLevel="1" x14ac:dyDescent="0.25">
      <c r="A93" s="62" t="s">
        <v>1406</v>
      </c>
      <c r="B93" s="62"/>
      <c r="C93" s="604">
        <f>Scenarios!B115</f>
        <v>0</v>
      </c>
      <c r="D93" s="618">
        <f>Scenarios!F115</f>
        <v>0</v>
      </c>
      <c r="E93" s="606">
        <f t="shared" si="60"/>
        <v>0</v>
      </c>
      <c r="F93" s="606">
        <f t="shared" ref="F93:M93" si="83">E93*(1+F$6)</f>
        <v>0</v>
      </c>
      <c r="G93" s="606">
        <f t="shared" si="83"/>
        <v>0</v>
      </c>
      <c r="H93" s="606">
        <f t="shared" si="83"/>
        <v>0</v>
      </c>
      <c r="I93" s="606">
        <f t="shared" si="83"/>
        <v>0</v>
      </c>
      <c r="J93" s="606">
        <f t="shared" si="83"/>
        <v>0</v>
      </c>
      <c r="K93" s="606">
        <f t="shared" si="83"/>
        <v>0</v>
      </c>
      <c r="L93" s="606">
        <f t="shared" si="83"/>
        <v>0</v>
      </c>
      <c r="M93" s="606">
        <f t="shared" si="83"/>
        <v>0</v>
      </c>
      <c r="N93" s="606"/>
      <c r="O93" s="606"/>
      <c r="P93" s="606"/>
      <c r="Q93" s="139"/>
    </row>
    <row r="94" spans="1:17" ht="18" customHeight="1" x14ac:dyDescent="0.25">
      <c r="A94" s="508" t="s">
        <v>1407</v>
      </c>
      <c r="B94" s="62"/>
      <c r="C94" s="604">
        <f>Scenarios!B116</f>
        <v>0</v>
      </c>
      <c r="D94" s="618">
        <f>Scenarios!F116</f>
        <v>0</v>
      </c>
      <c r="E94" s="619">
        <f>SUM(E71:E93)</f>
        <v>0</v>
      </c>
      <c r="F94" s="619">
        <f t="shared" ref="F94:M94" si="84">SUM(F71:F93)</f>
        <v>0</v>
      </c>
      <c r="G94" s="619">
        <f t="shared" si="84"/>
        <v>0</v>
      </c>
      <c r="H94" s="619">
        <f t="shared" si="84"/>
        <v>0</v>
      </c>
      <c r="I94" s="619">
        <f t="shared" si="84"/>
        <v>0</v>
      </c>
      <c r="J94" s="619">
        <f t="shared" si="84"/>
        <v>0</v>
      </c>
      <c r="K94" s="619">
        <f t="shared" si="84"/>
        <v>0</v>
      </c>
      <c r="L94" s="619">
        <f t="shared" si="84"/>
        <v>0</v>
      </c>
      <c r="M94" s="619">
        <f t="shared" si="84"/>
        <v>0</v>
      </c>
      <c r="N94" s="606"/>
      <c r="O94" s="606"/>
      <c r="P94" s="606"/>
      <c r="Q94" s="139"/>
    </row>
    <row r="95" spans="1:17" ht="18" customHeight="1" x14ac:dyDescent="0.25">
      <c r="A95" s="509" t="s">
        <v>468</v>
      </c>
      <c r="B95" s="132"/>
      <c r="C95" s="620">
        <f>Scenarios!B117</f>
        <v>0</v>
      </c>
      <c r="D95" s="621">
        <f>Scenarios!F117</f>
        <v>0</v>
      </c>
      <c r="E95" s="622">
        <f>E50*0.05</f>
        <v>0</v>
      </c>
      <c r="F95" s="622">
        <f t="shared" ref="F95:M95" si="85">F50*0.05</f>
        <v>0</v>
      </c>
      <c r="G95" s="622">
        <f t="shared" si="85"/>
        <v>0</v>
      </c>
      <c r="H95" s="622">
        <f t="shared" si="85"/>
        <v>0</v>
      </c>
      <c r="I95" s="622">
        <f t="shared" si="85"/>
        <v>0</v>
      </c>
      <c r="J95" s="622">
        <f t="shared" si="85"/>
        <v>0</v>
      </c>
      <c r="K95" s="622">
        <f t="shared" si="85"/>
        <v>0</v>
      </c>
      <c r="L95" s="622">
        <f t="shared" si="85"/>
        <v>0</v>
      </c>
      <c r="M95" s="622">
        <f t="shared" si="85"/>
        <v>0</v>
      </c>
      <c r="N95" s="622">
        <f>SUM(D95:H95)</f>
        <v>0</v>
      </c>
      <c r="O95" s="622">
        <f>SUM(D95:M95)</f>
        <v>0</v>
      </c>
      <c r="P95" s="622">
        <f>IFERROR(O95/10,0)</f>
        <v>0</v>
      </c>
      <c r="Q95" s="623">
        <f>IFERROR(D95/D50,0)</f>
        <v>0</v>
      </c>
    </row>
    <row r="96" spans="1:17" ht="18" customHeight="1" x14ac:dyDescent="0.25">
      <c r="A96" s="510" t="s">
        <v>662</v>
      </c>
      <c r="C96" s="554">
        <f>C61+C69+C94+C95</f>
        <v>0</v>
      </c>
      <c r="D96" s="554">
        <f>D61+D69+D94+D95</f>
        <v>0</v>
      </c>
      <c r="E96" s="624">
        <f>E61+E69+E94+E95</f>
        <v>0</v>
      </c>
      <c r="F96" s="624">
        <f t="shared" ref="F96:M96" si="86">F61+F69+F94+F95</f>
        <v>0</v>
      </c>
      <c r="G96" s="624">
        <f t="shared" si="86"/>
        <v>0</v>
      </c>
      <c r="H96" s="624">
        <f t="shared" si="86"/>
        <v>0</v>
      </c>
      <c r="I96" s="624">
        <f t="shared" si="86"/>
        <v>0</v>
      </c>
      <c r="J96" s="624">
        <f t="shared" si="86"/>
        <v>0</v>
      </c>
      <c r="K96" s="624">
        <f t="shared" si="86"/>
        <v>0</v>
      </c>
      <c r="L96" s="624">
        <f t="shared" si="86"/>
        <v>0</v>
      </c>
      <c r="M96" s="624">
        <f t="shared" si="86"/>
        <v>0</v>
      </c>
      <c r="N96" s="592"/>
      <c r="O96" s="592"/>
      <c r="P96" s="592"/>
      <c r="Q96" s="592"/>
    </row>
    <row r="97" spans="1:18" ht="18" customHeight="1" x14ac:dyDescent="0.25">
      <c r="A97" s="2" t="s">
        <v>726</v>
      </c>
      <c r="B97" s="2"/>
      <c r="C97" s="625">
        <f>C50-C96</f>
        <v>0</v>
      </c>
      <c r="D97" s="626">
        <f>D50-D96</f>
        <v>0</v>
      </c>
      <c r="E97" s="626">
        <f>E50-E96</f>
        <v>0</v>
      </c>
      <c r="F97" s="626">
        <f t="shared" ref="F97:M97" si="87">F50-F96</f>
        <v>0</v>
      </c>
      <c r="G97" s="626">
        <f t="shared" si="87"/>
        <v>0</v>
      </c>
      <c r="H97" s="626">
        <f t="shared" si="87"/>
        <v>0</v>
      </c>
      <c r="I97" s="626">
        <f t="shared" si="87"/>
        <v>0</v>
      </c>
      <c r="J97" s="626">
        <f t="shared" si="87"/>
        <v>0</v>
      </c>
      <c r="K97" s="626">
        <f t="shared" si="87"/>
        <v>0</v>
      </c>
      <c r="L97" s="626">
        <f t="shared" si="87"/>
        <v>0</v>
      </c>
      <c r="M97" s="626">
        <f t="shared" si="87"/>
        <v>0</v>
      </c>
      <c r="N97" s="626">
        <f>SUM(D97:H97)</f>
        <v>0</v>
      </c>
      <c r="O97" s="626">
        <f>SUM(D97:M97)</f>
        <v>0</v>
      </c>
      <c r="P97" s="626">
        <f>IFERROR(O97/10,0)</f>
        <v>0</v>
      </c>
      <c r="Q97" s="627">
        <f>IFERROR(D97/D50,0)</f>
        <v>0</v>
      </c>
    </row>
    <row r="98" spans="1:18" ht="24" customHeight="1" x14ac:dyDescent="0.25">
      <c r="A98" t="s">
        <v>727</v>
      </c>
      <c r="C98" s="581"/>
      <c r="D98" s="581" t="e">
        <f t="shared" ref="D98:M98" si="88">D97/D50</f>
        <v>#DIV/0!</v>
      </c>
      <c r="E98" s="581" t="e">
        <f t="shared" si="88"/>
        <v>#DIV/0!</v>
      </c>
      <c r="F98" s="581" t="e">
        <f t="shared" si="88"/>
        <v>#DIV/0!</v>
      </c>
      <c r="G98" s="581" t="e">
        <f t="shared" si="88"/>
        <v>#DIV/0!</v>
      </c>
      <c r="H98" s="581" t="e">
        <f t="shared" si="88"/>
        <v>#DIV/0!</v>
      </c>
      <c r="I98" s="581" t="e">
        <f t="shared" si="88"/>
        <v>#DIV/0!</v>
      </c>
      <c r="J98" s="581" t="e">
        <f t="shared" si="88"/>
        <v>#DIV/0!</v>
      </c>
      <c r="K98" s="581" t="e">
        <f t="shared" si="88"/>
        <v>#DIV/0!</v>
      </c>
      <c r="L98" s="581" t="e">
        <f t="shared" si="88"/>
        <v>#DIV/0!</v>
      </c>
      <c r="M98" s="581" t="e">
        <f t="shared" si="88"/>
        <v>#DIV/0!</v>
      </c>
      <c r="N98" s="581">
        <f>IFERROR(N97/N50,0)</f>
        <v>0</v>
      </c>
      <c r="O98" s="581">
        <f>IFERROR(O97/O50,0)</f>
        <v>0</v>
      </c>
    </row>
    <row r="99" spans="1:18" ht="18" customHeight="1" x14ac:dyDescent="0.25">
      <c r="A99" s="830" t="s">
        <v>728</v>
      </c>
      <c r="B99" s="830"/>
      <c r="C99" s="846"/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17"/>
      <c r="Q99" s="817"/>
      <c r="R99" s="817"/>
    </row>
    <row r="100" spans="1:18" ht="18" customHeight="1" outlineLevel="1" x14ac:dyDescent="0.25">
      <c r="A100" s="587" t="s">
        <v>1557</v>
      </c>
      <c r="D100" s="485">
        <f>-IFERROR(Loans!J40,0)</f>
        <v>0</v>
      </c>
      <c r="E100" s="485">
        <f>-IFERROR(Loans!K40,0)</f>
        <v>0</v>
      </c>
      <c r="F100" s="485">
        <f>-IFERROR(Loans!L40,0)</f>
        <v>0</v>
      </c>
      <c r="G100" s="485">
        <f>-IFERROR(Loans!M40,0)</f>
        <v>0</v>
      </c>
      <c r="H100" s="485">
        <f>-IFERROR(Loans!N40,0)</f>
        <v>0</v>
      </c>
      <c r="I100" s="485">
        <f>-IFERROR(Loans!O40,0)</f>
        <v>0</v>
      </c>
      <c r="J100" s="485">
        <f>-IFERROR(Loans!P40,0)</f>
        <v>0</v>
      </c>
      <c r="K100" s="485">
        <f>-IFERROR(Loans!Q40,0)</f>
        <v>0</v>
      </c>
      <c r="L100" s="485">
        <f>-IFERROR(Loans!R40,0)</f>
        <v>0</v>
      </c>
      <c r="M100" s="485">
        <f>-IFERROR(Loans!S40,0)</f>
        <v>0</v>
      </c>
      <c r="N100" s="485">
        <f>SUM(D100:H100)</f>
        <v>0</v>
      </c>
      <c r="O100" s="485">
        <f>SUM(D100:M100)</f>
        <v>0</v>
      </c>
    </row>
    <row r="101" spans="1:18" ht="18" customHeight="1" outlineLevel="1" x14ac:dyDescent="0.25">
      <c r="A101" s="587" t="s">
        <v>1558</v>
      </c>
      <c r="D101" s="485">
        <f>-IFERROR(Loans!J38,0)</f>
        <v>0</v>
      </c>
      <c r="E101" s="485">
        <f>-IFERROR(Loans!K38,0)</f>
        <v>0</v>
      </c>
      <c r="F101" s="485">
        <f>-IFERROR(Loans!L38,0)</f>
        <v>0</v>
      </c>
      <c r="G101" s="485">
        <f>-IFERROR(Loans!M38,0)</f>
        <v>0</v>
      </c>
      <c r="H101" s="485">
        <f>-IFERROR(Loans!N38,0)</f>
        <v>0</v>
      </c>
      <c r="I101" s="485">
        <f>-IFERROR(Loans!O38,0)</f>
        <v>0</v>
      </c>
      <c r="J101" s="485">
        <f>-IFERROR(Loans!P38,0)</f>
        <v>0</v>
      </c>
      <c r="K101" s="485">
        <f>-IFERROR(Loans!Q38,0)</f>
        <v>0</v>
      </c>
      <c r="L101" s="485">
        <f>-IFERROR(Loans!R38,0)</f>
        <v>0</v>
      </c>
      <c r="M101" s="485">
        <f>-IFERROR(Loans!S38,0)</f>
        <v>0</v>
      </c>
      <c r="N101" s="485">
        <f>SUM(D101:H101)</f>
        <v>0</v>
      </c>
      <c r="O101" s="485">
        <f>SUM(D101:M101)</f>
        <v>0</v>
      </c>
    </row>
    <row r="102" spans="1:18" ht="18" customHeight="1" x14ac:dyDescent="0.25">
      <c r="A102" s="588" t="s">
        <v>1559</v>
      </c>
      <c r="B102" s="8"/>
      <c r="C102" s="487"/>
      <c r="D102" s="487">
        <f t="shared" ref="D102:M102" si="89">D100+D101</f>
        <v>0</v>
      </c>
      <c r="E102" s="487">
        <f t="shared" si="89"/>
        <v>0</v>
      </c>
      <c r="F102" s="487">
        <f t="shared" si="89"/>
        <v>0</v>
      </c>
      <c r="G102" s="487">
        <f t="shared" si="89"/>
        <v>0</v>
      </c>
      <c r="H102" s="487">
        <f t="shared" si="89"/>
        <v>0</v>
      </c>
      <c r="I102" s="487">
        <f t="shared" si="89"/>
        <v>0</v>
      </c>
      <c r="J102" s="487">
        <f t="shared" si="89"/>
        <v>0</v>
      </c>
      <c r="K102" s="487">
        <f t="shared" si="89"/>
        <v>0</v>
      </c>
      <c r="L102" s="487">
        <f t="shared" si="89"/>
        <v>0</v>
      </c>
      <c r="M102" s="487">
        <f t="shared" si="89"/>
        <v>0</v>
      </c>
      <c r="N102" s="487">
        <f>SUM(D102:H102)</f>
        <v>0</v>
      </c>
      <c r="O102" s="487">
        <f>SUM(D102:M102)</f>
        <v>0</v>
      </c>
      <c r="Q102" s="82">
        <f>IFERROR(ABS(D102)/D50,0)</f>
        <v>0</v>
      </c>
    </row>
    <row r="103" spans="1:18" ht="18" customHeight="1" x14ac:dyDescent="0.25"/>
    <row r="104" spans="1:18" ht="18" customHeight="1" x14ac:dyDescent="0.25">
      <c r="A104" s="130" t="s">
        <v>729</v>
      </c>
      <c r="B104" s="130"/>
      <c r="C104" s="80">
        <f t="shared" ref="C104:M104" si="90">C97+C102</f>
        <v>0</v>
      </c>
      <c r="D104" s="80">
        <f t="shared" si="90"/>
        <v>0</v>
      </c>
      <c r="E104" s="80">
        <f t="shared" si="90"/>
        <v>0</v>
      </c>
      <c r="F104" s="80">
        <f t="shared" si="90"/>
        <v>0</v>
      </c>
      <c r="G104" s="80">
        <f t="shared" si="90"/>
        <v>0</v>
      </c>
      <c r="H104" s="80">
        <f t="shared" si="90"/>
        <v>0</v>
      </c>
      <c r="I104" s="80">
        <f t="shared" si="90"/>
        <v>0</v>
      </c>
      <c r="J104" s="80">
        <f t="shared" si="90"/>
        <v>0</v>
      </c>
      <c r="K104" s="80">
        <f t="shared" si="90"/>
        <v>0</v>
      </c>
      <c r="L104" s="80">
        <f t="shared" si="90"/>
        <v>0</v>
      </c>
      <c r="M104" s="80">
        <f t="shared" si="90"/>
        <v>0</v>
      </c>
      <c r="N104" s="80">
        <f>SUM(D104:H104)</f>
        <v>0</v>
      </c>
      <c r="O104" s="80">
        <f>SUM(D104:M104)</f>
        <v>0</v>
      </c>
      <c r="Q104" s="135">
        <f>IFERROR(D104/D50,0)</f>
        <v>0</v>
      </c>
    </row>
    <row r="105" spans="1:18" ht="20.100000000000001" customHeight="1" x14ac:dyDescent="0.25">
      <c r="A105" s="797" t="s">
        <v>1589</v>
      </c>
      <c r="B105" s="797"/>
      <c r="C105" s="812"/>
      <c r="D105" s="812"/>
      <c r="E105" s="812"/>
      <c r="F105" s="812"/>
      <c r="G105" s="812"/>
      <c r="H105" s="812"/>
      <c r="I105" s="812"/>
      <c r="J105" s="812"/>
      <c r="K105" s="812"/>
      <c r="L105" s="812"/>
      <c r="M105" s="812"/>
      <c r="N105" s="80"/>
      <c r="O105" s="80"/>
      <c r="Q105" s="135"/>
    </row>
    <row r="106" spans="1:18" ht="15.95" customHeight="1" x14ac:dyDescent="0.25">
      <c r="A106" s="478" t="s">
        <v>1590</v>
      </c>
      <c r="B106" s="478"/>
      <c r="C106" s="586"/>
      <c r="D106" s="487">
        <f>Scenarios!F13</f>
        <v>0</v>
      </c>
      <c r="E106" s="487">
        <f t="shared" ref="E106:M106" si="91">D108</f>
        <v>0</v>
      </c>
      <c r="F106" s="487">
        <f t="shared" si="91"/>
        <v>0</v>
      </c>
      <c r="G106" s="487">
        <f t="shared" si="91"/>
        <v>0</v>
      </c>
      <c r="H106" s="487">
        <f t="shared" si="91"/>
        <v>0</v>
      </c>
      <c r="I106" s="487">
        <f t="shared" si="91"/>
        <v>0</v>
      </c>
      <c r="J106" s="487">
        <f t="shared" si="91"/>
        <v>0</v>
      </c>
      <c r="K106" s="487">
        <f t="shared" si="91"/>
        <v>0</v>
      </c>
      <c r="L106" s="487">
        <f t="shared" si="91"/>
        <v>0</v>
      </c>
      <c r="M106" s="487">
        <f t="shared" si="91"/>
        <v>0</v>
      </c>
      <c r="N106" s="80"/>
      <c r="O106" s="80"/>
      <c r="Q106" s="135"/>
    </row>
    <row r="107" spans="1:18" ht="15.95" customHeight="1" x14ac:dyDescent="0.25">
      <c r="A107" s="480" t="s">
        <v>1591</v>
      </c>
      <c r="B107" s="480"/>
      <c r="C107" s="813"/>
      <c r="D107" s="489">
        <f t="shared" ref="D107:M107" si="92">IF(D104&lt;0,MAX(D104,-D106),0)</f>
        <v>0</v>
      </c>
      <c r="E107" s="489">
        <f t="shared" si="92"/>
        <v>0</v>
      </c>
      <c r="F107" s="489">
        <f t="shared" si="92"/>
        <v>0</v>
      </c>
      <c r="G107" s="489">
        <f t="shared" si="92"/>
        <v>0</v>
      </c>
      <c r="H107" s="489">
        <f t="shared" si="92"/>
        <v>0</v>
      </c>
      <c r="I107" s="489">
        <f t="shared" si="92"/>
        <v>0</v>
      </c>
      <c r="J107" s="489">
        <f t="shared" si="92"/>
        <v>0</v>
      </c>
      <c r="K107" s="489">
        <f t="shared" si="92"/>
        <v>0</v>
      </c>
      <c r="L107" s="489">
        <f t="shared" si="92"/>
        <v>0</v>
      </c>
      <c r="M107" s="489">
        <f t="shared" si="92"/>
        <v>0</v>
      </c>
      <c r="N107" s="80"/>
      <c r="O107" s="80"/>
      <c r="Q107" s="135"/>
    </row>
    <row r="108" spans="1:18" ht="15.95" customHeight="1" x14ac:dyDescent="0.25">
      <c r="A108" s="482" t="s">
        <v>1592</v>
      </c>
      <c r="B108" s="482"/>
      <c r="C108" s="814"/>
      <c r="D108" s="795">
        <f t="shared" ref="D108:M108" si="93">D106+D107</f>
        <v>0</v>
      </c>
      <c r="E108" s="795">
        <f t="shared" si="93"/>
        <v>0</v>
      </c>
      <c r="F108" s="795">
        <f t="shared" si="93"/>
        <v>0</v>
      </c>
      <c r="G108" s="795">
        <f t="shared" si="93"/>
        <v>0</v>
      </c>
      <c r="H108" s="795">
        <f t="shared" si="93"/>
        <v>0</v>
      </c>
      <c r="I108" s="795">
        <f t="shared" si="93"/>
        <v>0</v>
      </c>
      <c r="J108" s="795">
        <f t="shared" si="93"/>
        <v>0</v>
      </c>
      <c r="K108" s="795">
        <f t="shared" si="93"/>
        <v>0</v>
      </c>
      <c r="L108" s="795">
        <f t="shared" si="93"/>
        <v>0</v>
      </c>
      <c r="M108" s="795">
        <f t="shared" si="93"/>
        <v>0</v>
      </c>
      <c r="N108" s="80"/>
      <c r="O108" s="80"/>
      <c r="Q108" s="135"/>
    </row>
    <row r="109" spans="1:18" ht="24" customHeight="1" x14ac:dyDescent="0.25">
      <c r="A109" s="65"/>
      <c r="B109" s="65"/>
      <c r="C109" s="134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Q109" s="82"/>
    </row>
    <row r="110" spans="1:18" ht="18" customHeight="1" x14ac:dyDescent="0.25">
      <c r="A110" s="839" t="s">
        <v>730</v>
      </c>
      <c r="B110" s="839"/>
      <c r="C110" s="817"/>
      <c r="D110" s="817"/>
      <c r="E110" s="817"/>
      <c r="F110" s="817"/>
      <c r="G110" s="817"/>
      <c r="H110" s="817"/>
      <c r="I110" s="817"/>
      <c r="J110" s="817"/>
      <c r="K110" s="817"/>
      <c r="L110" s="817"/>
      <c r="M110" s="817"/>
      <c r="N110" s="817"/>
      <c r="O110" s="817"/>
      <c r="P110" s="817"/>
      <c r="Q110" s="817"/>
      <c r="R110" s="817"/>
    </row>
    <row r="111" spans="1:18" ht="18" customHeight="1" x14ac:dyDescent="0.25">
      <c r="A111" s="62" t="s">
        <v>731</v>
      </c>
      <c r="B111" s="62"/>
      <c r="C111" s="136">
        <v>0.01</v>
      </c>
      <c r="D111" s="21">
        <f>IF(1&gt;Waterfall!$B$5,0,D50*$C$111)</f>
        <v>0</v>
      </c>
      <c r="E111" s="21">
        <f>IF(2&gt;Waterfall!$B$5,0,E50*$C$111)</f>
        <v>0</v>
      </c>
      <c r="F111" s="21">
        <f>IF(3&gt;Waterfall!$B$5,0,F50*$C$111)</f>
        <v>0</v>
      </c>
      <c r="G111" s="21">
        <f>IF(4&gt;Waterfall!$B$5,0,G50*$C$111)</f>
        <v>0</v>
      </c>
      <c r="H111" s="21">
        <f>IF(5&gt;Waterfall!$B$5,0,H50*$C$111)</f>
        <v>0</v>
      </c>
      <c r="I111" s="21">
        <f>IF(6&gt;Waterfall!$B$5,0,I50*$C$111)</f>
        <v>0</v>
      </c>
      <c r="J111" s="21">
        <f>IF(7&gt;Waterfall!$B$5,0,J50*$C$111)</f>
        <v>0</v>
      </c>
      <c r="K111" s="21">
        <f>IF(8&gt;Waterfall!$B$5,0,K50*$C$111)</f>
        <v>0</v>
      </c>
      <c r="L111" s="21">
        <f>IF(9&gt;Waterfall!$B$5,0,L50*$C$111)</f>
        <v>0</v>
      </c>
      <c r="M111" s="21">
        <f>IF(10&gt;Waterfall!$B$5,0,M50*$C$111)</f>
        <v>0</v>
      </c>
      <c r="Q111" s="82">
        <f>IFERROR(D111/D50,0)</f>
        <v>0</v>
      </c>
    </row>
    <row r="112" spans="1:18" ht="18" customHeight="1" x14ac:dyDescent="0.25">
      <c r="A112" s="65" t="s">
        <v>732</v>
      </c>
      <c r="B112" s="65"/>
      <c r="C112" s="136">
        <f>Scenarios!F35</f>
        <v>0</v>
      </c>
      <c r="D112" s="21">
        <f>IFERROR(Waterfall!B43,0)</f>
        <v>0</v>
      </c>
      <c r="E112" s="21">
        <f>IFERROR(Waterfall!C43,0)</f>
        <v>0</v>
      </c>
      <c r="F112" s="21">
        <f>IFERROR(Waterfall!D43,0)</f>
        <v>0</v>
      </c>
      <c r="G112" s="21">
        <f>IFERROR(Waterfall!E43,0)</f>
        <v>0</v>
      </c>
      <c r="H112" s="21">
        <f>IFERROR(Waterfall!F43,0)</f>
        <v>0</v>
      </c>
      <c r="I112" s="21">
        <f>IFERROR(Waterfall!G43,0)</f>
        <v>0</v>
      </c>
      <c r="J112" s="21">
        <f>IFERROR(Waterfall!H43,0)</f>
        <v>0</v>
      </c>
      <c r="K112" s="21">
        <f>IFERROR(Waterfall!I43,0)</f>
        <v>0</v>
      </c>
      <c r="L112" s="21">
        <f>IFERROR(Waterfall!J43,0)</f>
        <v>0</v>
      </c>
      <c r="M112" s="21">
        <f>IFERROR(Waterfall!K43,0)</f>
        <v>0</v>
      </c>
      <c r="N112" s="79"/>
      <c r="O112" s="79"/>
      <c r="Q112" s="82">
        <f>IFERROR(D112/D50,0)</f>
        <v>0</v>
      </c>
    </row>
    <row r="113" spans="1:18" ht="18" customHeight="1" x14ac:dyDescent="0.25">
      <c r="A113" s="62" t="s">
        <v>733</v>
      </c>
      <c r="B113" s="62"/>
      <c r="C113" s="134"/>
      <c r="D113" s="21">
        <f>IFERROR((Waterfall!B55-Waterfall!B43)+Waterfall!B56,0)</f>
        <v>0</v>
      </c>
      <c r="E113" s="21">
        <f>IFERROR((Waterfall!C55-Waterfall!C43)+Waterfall!C56,0)</f>
        <v>0</v>
      </c>
      <c r="F113" s="21">
        <f>IFERROR((Waterfall!D55-Waterfall!D43)+Waterfall!D56,0)</f>
        <v>0</v>
      </c>
      <c r="G113" s="21">
        <f>IFERROR((Waterfall!E55-Waterfall!E43)+Waterfall!E56,0)</f>
        <v>0</v>
      </c>
      <c r="H113" s="21">
        <f>IFERROR((Waterfall!F55-Waterfall!F43)+Waterfall!F56,0)</f>
        <v>0</v>
      </c>
      <c r="I113" s="21">
        <f>IFERROR((Waterfall!G55-Waterfall!G43)+Waterfall!G56,0)</f>
        <v>0</v>
      </c>
      <c r="J113" s="21">
        <f>IFERROR((Waterfall!H55-Waterfall!H43)+Waterfall!H56,0)</f>
        <v>0</v>
      </c>
      <c r="K113" s="21">
        <f>IFERROR((Waterfall!I55-Waterfall!I43)+Waterfall!I56,0)</f>
        <v>0</v>
      </c>
      <c r="L113" s="21">
        <f>IFERROR((Waterfall!J55-Waterfall!J43)+Waterfall!J56,0)</f>
        <v>0</v>
      </c>
      <c r="M113" s="21">
        <f>IFERROR((Waterfall!K55-Waterfall!K43)+Waterfall!K56,0)</f>
        <v>0</v>
      </c>
      <c r="Q113" s="82">
        <f>IFERROR(D113/D50,0)</f>
        <v>0</v>
      </c>
    </row>
    <row r="114" spans="1:18" ht="18" customHeight="1" x14ac:dyDescent="0.25">
      <c r="A114" s="65" t="s">
        <v>734</v>
      </c>
      <c r="B114" s="65"/>
      <c r="C114" s="134"/>
      <c r="D114" s="21">
        <f>IFERROR(Waterfall!B58,0)</f>
        <v>0</v>
      </c>
      <c r="E114" s="21">
        <f>IFERROR(Waterfall!C58,0)</f>
        <v>0</v>
      </c>
      <c r="F114" s="21">
        <f>IFERROR(Waterfall!D58,0)</f>
        <v>0</v>
      </c>
      <c r="G114" s="21">
        <f>IFERROR(Waterfall!E58,0)</f>
        <v>0</v>
      </c>
      <c r="H114" s="21">
        <f>IFERROR(Waterfall!F58,0)</f>
        <v>0</v>
      </c>
      <c r="I114" s="21">
        <f>IFERROR(Waterfall!G58,0)</f>
        <v>0</v>
      </c>
      <c r="J114" s="21">
        <f>IFERROR(Waterfall!H58,0)</f>
        <v>0</v>
      </c>
      <c r="K114" s="21">
        <f>IFERROR(Waterfall!I58,0)</f>
        <v>0</v>
      </c>
      <c r="L114" s="21">
        <f>IFERROR(Waterfall!J58,0)</f>
        <v>0</v>
      </c>
      <c r="M114" s="21">
        <f>IFERROR(Waterfall!K58,0)</f>
        <v>0</v>
      </c>
      <c r="Q114" s="82">
        <f>IFERROR(D114/D50,0)</f>
        <v>0</v>
      </c>
    </row>
    <row r="115" spans="1:18" ht="18" customHeight="1" x14ac:dyDescent="0.25">
      <c r="A115" s="137" t="s">
        <v>290</v>
      </c>
      <c r="B115" s="137"/>
      <c r="C115" s="79"/>
      <c r="D115" s="79">
        <f t="shared" ref="D115:M115" si="94">SUM(D111:D114)</f>
        <v>0</v>
      </c>
      <c r="E115" s="79">
        <f t="shared" si="94"/>
        <v>0</v>
      </c>
      <c r="F115" s="79">
        <f t="shared" si="94"/>
        <v>0</v>
      </c>
      <c r="G115" s="79">
        <f t="shared" si="94"/>
        <v>0</v>
      </c>
      <c r="H115" s="79">
        <f t="shared" si="94"/>
        <v>0</v>
      </c>
      <c r="I115" s="79">
        <f t="shared" si="94"/>
        <v>0</v>
      </c>
      <c r="J115" s="79">
        <f t="shared" si="94"/>
        <v>0</v>
      </c>
      <c r="K115" s="79">
        <f t="shared" si="94"/>
        <v>0</v>
      </c>
      <c r="L115" s="79">
        <f t="shared" si="94"/>
        <v>0</v>
      </c>
      <c r="M115" s="79">
        <f t="shared" si="94"/>
        <v>0</v>
      </c>
      <c r="N115" s="79">
        <f>SUM(D115:H115)</f>
        <v>0</v>
      </c>
      <c r="O115" s="79">
        <f>SUM(D115:M115)</f>
        <v>0</v>
      </c>
      <c r="Q115" s="131">
        <f>IFERROR(D115/D50,0)</f>
        <v>0</v>
      </c>
    </row>
    <row r="116" spans="1:18" ht="24" customHeight="1" x14ac:dyDescent="0.25">
      <c r="A116" s="138"/>
      <c r="B116" s="138"/>
      <c r="D116" s="139"/>
      <c r="Q116" s="82"/>
    </row>
    <row r="117" spans="1:18" ht="18" customHeight="1" x14ac:dyDescent="0.25">
      <c r="A117" s="827" t="s">
        <v>735</v>
      </c>
      <c r="B117" s="827"/>
      <c r="C117" s="817"/>
      <c r="D117" s="817"/>
      <c r="E117" s="817"/>
      <c r="F117" s="817"/>
      <c r="G117" s="817"/>
      <c r="H117" s="817"/>
      <c r="I117" s="817"/>
      <c r="J117" s="817"/>
      <c r="K117" s="817"/>
      <c r="L117" s="817"/>
      <c r="M117" s="817"/>
      <c r="N117" s="817"/>
      <c r="O117" s="817"/>
      <c r="P117" s="817"/>
      <c r="Q117" s="817"/>
      <c r="R117" s="817"/>
    </row>
    <row r="118" spans="1:18" ht="18" customHeight="1" x14ac:dyDescent="0.25">
      <c r="A118" s="8" t="s">
        <v>736</v>
      </c>
      <c r="B118" s="8"/>
      <c r="C118" s="28"/>
      <c r="D118" s="82">
        <f>IF(1&gt;Waterfall!$B$5,0,IFERROR(D104/Scenarios!F31,0))</f>
        <v>0</v>
      </c>
      <c r="E118" s="82">
        <f>IF(2&gt;Waterfall!$B$5,0,IFERROR(E104/Scenarios!F31,0))</f>
        <v>0</v>
      </c>
      <c r="F118" s="82">
        <f>IF(3&gt;Waterfall!$B$5,0,IFERROR(F104/Scenarios!F31,0))</f>
        <v>0</v>
      </c>
      <c r="G118" s="82">
        <f>IF(4&gt;Waterfall!$B$5,0,IFERROR(G104/Scenarios!F31,0))</f>
        <v>0</v>
      </c>
      <c r="H118" s="82">
        <f>IF(5&gt;Waterfall!$B$5,0,IFERROR(H104/Scenarios!F31,0))</f>
        <v>0</v>
      </c>
      <c r="I118" s="82">
        <f>IF(6&gt;Waterfall!$B$5,0,IFERROR(I104/Scenarios!F31,0))</f>
        <v>0</v>
      </c>
      <c r="J118" s="82">
        <f>IF(7&gt;Waterfall!$B$5,0,IFERROR(J104/Scenarios!F31,0))</f>
        <v>0</v>
      </c>
      <c r="K118" s="82">
        <f>IF(8&gt;Waterfall!$B$5,0,IFERROR(K104/Scenarios!F31,0))</f>
        <v>0</v>
      </c>
      <c r="L118" s="82">
        <f>IF(9&gt;Waterfall!$B$5,0,IFERROR(L104/Scenarios!F31,0))</f>
        <v>0</v>
      </c>
      <c r="M118" s="82">
        <f>IF(10&gt;Waterfall!$B$5,0,IFERROR(M104/Scenarios!F31,0))</f>
        <v>0</v>
      </c>
      <c r="Q118" s="82">
        <f>D118</f>
        <v>0</v>
      </c>
    </row>
    <row r="119" spans="1:18" ht="18" customHeight="1" x14ac:dyDescent="0.25">
      <c r="A119" s="138" t="s">
        <v>737</v>
      </c>
      <c r="B119" s="138"/>
      <c r="C119" s="28"/>
      <c r="D119" s="845">
        <f ca="1">IFERROR(AVERAGE(OFFSET(D118,0,0,1,MIN(Scenarios!$F$129,10))),0)</f>
        <v>0</v>
      </c>
      <c r="E119" s="817"/>
      <c r="F119" s="817"/>
      <c r="G119" s="817"/>
      <c r="H119" s="817"/>
      <c r="I119" s="817"/>
      <c r="J119" s="817"/>
      <c r="K119" s="817"/>
      <c r="L119" s="817"/>
      <c r="M119" s="817"/>
      <c r="Q119" s="82">
        <f ca="1">D119</f>
        <v>0</v>
      </c>
    </row>
    <row r="120" spans="1:18" ht="18" customHeight="1" x14ac:dyDescent="0.25">
      <c r="A120" s="8" t="s">
        <v>477</v>
      </c>
      <c r="B120" s="8"/>
      <c r="C120" s="140"/>
      <c r="D120" s="141">
        <f t="shared" ref="D120:M120" si="95">IFERROR(D97/ABS(D102),0)</f>
        <v>0</v>
      </c>
      <c r="E120" s="141">
        <f t="shared" si="95"/>
        <v>0</v>
      </c>
      <c r="F120" s="141">
        <f t="shared" si="95"/>
        <v>0</v>
      </c>
      <c r="G120" s="141">
        <f t="shared" si="95"/>
        <v>0</v>
      </c>
      <c r="H120" s="141">
        <f t="shared" si="95"/>
        <v>0</v>
      </c>
      <c r="I120" s="141">
        <f t="shared" si="95"/>
        <v>0</v>
      </c>
      <c r="J120" s="141">
        <f t="shared" si="95"/>
        <v>0</v>
      </c>
      <c r="K120" s="141">
        <f t="shared" si="95"/>
        <v>0</v>
      </c>
      <c r="L120" s="141">
        <f t="shared" si="95"/>
        <v>0</v>
      </c>
      <c r="M120" s="141">
        <f t="shared" si="95"/>
        <v>0</v>
      </c>
      <c r="Q120" s="106">
        <f t="shared" ref="Q120:Q124" si="96">D120</f>
        <v>0</v>
      </c>
    </row>
    <row r="121" spans="1:18" ht="18" customHeight="1" x14ac:dyDescent="0.25">
      <c r="A121" s="142" t="s">
        <v>738</v>
      </c>
      <c r="B121" s="142"/>
      <c r="C121" s="28"/>
      <c r="D121" s="143">
        <f t="shared" ref="D121:M121" si="97">IFERROR((D96+ABS(D102))/D43,0)</f>
        <v>0</v>
      </c>
      <c r="E121" s="143">
        <f t="shared" si="97"/>
        <v>0</v>
      </c>
      <c r="F121" s="143">
        <f t="shared" si="97"/>
        <v>0</v>
      </c>
      <c r="G121" s="143">
        <f t="shared" si="97"/>
        <v>0</v>
      </c>
      <c r="H121" s="143">
        <f t="shared" si="97"/>
        <v>0</v>
      </c>
      <c r="I121" s="143">
        <f t="shared" si="97"/>
        <v>0</v>
      </c>
      <c r="J121" s="143">
        <f t="shared" si="97"/>
        <v>0</v>
      </c>
      <c r="K121" s="143">
        <f t="shared" si="97"/>
        <v>0</v>
      </c>
      <c r="L121" s="143">
        <f t="shared" si="97"/>
        <v>0</v>
      </c>
      <c r="M121" s="143">
        <f t="shared" si="97"/>
        <v>0</v>
      </c>
      <c r="Q121" s="82">
        <f t="shared" si="96"/>
        <v>0</v>
      </c>
    </row>
    <row r="122" spans="1:18" ht="18" customHeight="1" x14ac:dyDescent="0.25">
      <c r="A122" s="8" t="s">
        <v>739</v>
      </c>
      <c r="B122" s="8"/>
      <c r="C122" s="28">
        <f t="shared" ref="C122:M122" si="98">IFERROR(C97/C50,0)</f>
        <v>0</v>
      </c>
      <c r="D122" s="82">
        <f t="shared" si="98"/>
        <v>0</v>
      </c>
      <c r="E122" s="82">
        <f t="shared" si="98"/>
        <v>0</v>
      </c>
      <c r="F122" s="82">
        <f t="shared" si="98"/>
        <v>0</v>
      </c>
      <c r="G122" s="82">
        <f t="shared" si="98"/>
        <v>0</v>
      </c>
      <c r="H122" s="82">
        <f t="shared" si="98"/>
        <v>0</v>
      </c>
      <c r="I122" s="82">
        <f t="shared" si="98"/>
        <v>0</v>
      </c>
      <c r="J122" s="82">
        <f t="shared" si="98"/>
        <v>0</v>
      </c>
      <c r="K122" s="82">
        <f t="shared" si="98"/>
        <v>0</v>
      </c>
      <c r="L122" s="82">
        <f t="shared" si="98"/>
        <v>0</v>
      </c>
      <c r="M122" s="82">
        <f t="shared" si="98"/>
        <v>0</v>
      </c>
      <c r="Q122" s="74">
        <f t="shared" si="96"/>
        <v>0</v>
      </c>
    </row>
    <row r="123" spans="1:18" ht="18" customHeight="1" x14ac:dyDescent="0.25">
      <c r="A123" s="8" t="s">
        <v>740</v>
      </c>
      <c r="B123" s="8"/>
      <c r="C123" s="28">
        <f>IFERROR(C97/Scenarios!F7,0)</f>
        <v>0</v>
      </c>
      <c r="D123" s="82">
        <f>IFERROR(D97/Scenarios!F7,0)</f>
        <v>0</v>
      </c>
      <c r="E123" s="82">
        <f>IFERROR(E97/Scenarios!F7,0)</f>
        <v>0</v>
      </c>
      <c r="F123" s="82">
        <f>IFERROR(F97/Scenarios!F7,0)</f>
        <v>0</v>
      </c>
      <c r="G123" s="82">
        <f>IFERROR(G97/Scenarios!F7,0)</f>
        <v>0</v>
      </c>
      <c r="H123" s="82">
        <f>IFERROR(H97/Scenarios!F7,0)</f>
        <v>0</v>
      </c>
      <c r="I123" s="82">
        <f>IFERROR(I97/Scenarios!F7,0)</f>
        <v>0</v>
      </c>
      <c r="J123" s="82">
        <f>IFERROR(J97/Scenarios!F7,0)</f>
        <v>0</v>
      </c>
      <c r="K123" s="82">
        <f>IFERROR(K97/Scenarios!F7,0)</f>
        <v>0</v>
      </c>
      <c r="L123" s="82">
        <f>IFERROR(L97/Scenarios!F7,0)</f>
        <v>0</v>
      </c>
      <c r="M123" s="82">
        <f>IFERROR(M97/Scenarios!F7,0)</f>
        <v>0</v>
      </c>
      <c r="Q123" s="144">
        <f t="shared" si="96"/>
        <v>0</v>
      </c>
    </row>
    <row r="124" spans="1:18" ht="19.5" customHeight="1" x14ac:dyDescent="0.25">
      <c r="A124" s="8" t="s">
        <v>741</v>
      </c>
      <c r="B124" s="8"/>
      <c r="C124" s="101">
        <f t="shared" ref="C124:M124" si="99">IFERROR(C97/0.07,0)</f>
        <v>0</v>
      </c>
      <c r="D124" s="75">
        <f t="shared" si="99"/>
        <v>0</v>
      </c>
      <c r="E124" s="75">
        <f t="shared" si="99"/>
        <v>0</v>
      </c>
      <c r="F124" s="75">
        <f t="shared" si="99"/>
        <v>0</v>
      </c>
      <c r="G124" s="75">
        <f t="shared" si="99"/>
        <v>0</v>
      </c>
      <c r="H124" s="75">
        <f t="shared" si="99"/>
        <v>0</v>
      </c>
      <c r="I124" s="75">
        <f t="shared" si="99"/>
        <v>0</v>
      </c>
      <c r="J124" s="75">
        <f t="shared" si="99"/>
        <v>0</v>
      </c>
      <c r="K124" s="75">
        <f t="shared" si="99"/>
        <v>0</v>
      </c>
      <c r="L124" s="75">
        <f t="shared" si="99"/>
        <v>0</v>
      </c>
      <c r="M124" s="75">
        <f t="shared" si="99"/>
        <v>0</v>
      </c>
      <c r="Q124" s="75">
        <f t="shared" si="96"/>
        <v>0</v>
      </c>
    </row>
    <row r="125" spans="1:18" ht="18" customHeight="1" x14ac:dyDescent="0.25">
      <c r="A125" s="840" t="s">
        <v>742</v>
      </c>
      <c r="B125" s="840"/>
      <c r="C125" s="817"/>
      <c r="D125" s="817"/>
      <c r="E125" s="817"/>
      <c r="F125" s="817"/>
      <c r="G125" s="817"/>
      <c r="H125" s="817"/>
      <c r="I125" s="817"/>
      <c r="J125" s="817"/>
      <c r="K125" s="817"/>
      <c r="L125" s="817"/>
      <c r="M125" s="817"/>
      <c r="N125" s="817"/>
      <c r="O125" s="817"/>
      <c r="P125" s="817"/>
      <c r="Q125" s="817"/>
    </row>
    <row r="126" spans="1:18" ht="18" customHeight="1" x14ac:dyDescent="0.25">
      <c r="A126" s="145" t="s">
        <v>743</v>
      </c>
      <c r="B126" s="145"/>
      <c r="C126" s="144"/>
      <c r="D126" s="146">
        <f>IFERROR(Waterfall!B55/Waterfall!$B$9,0)</f>
        <v>0</v>
      </c>
      <c r="E126" s="146">
        <f>IFERROR(Waterfall!C55/Waterfall!$B$9,0)</f>
        <v>0</v>
      </c>
      <c r="F126" s="146">
        <f>IFERROR(Waterfall!D55/Waterfall!$B$9,0)</f>
        <v>0</v>
      </c>
      <c r="G126" s="146">
        <f>IFERROR(Waterfall!E55/Waterfall!$B$9,0)</f>
        <v>0</v>
      </c>
      <c r="H126" s="146">
        <f>IFERROR(Waterfall!F55/Waterfall!$B$9,0)</f>
        <v>0</v>
      </c>
      <c r="I126" s="146">
        <f>IFERROR(Waterfall!G55/Waterfall!$B$9,0)</f>
        <v>0</v>
      </c>
      <c r="J126" s="146">
        <f>IFERROR(Waterfall!H55/Waterfall!$B$9,0)</f>
        <v>0</v>
      </c>
      <c r="K126" s="146">
        <f>IFERROR(Waterfall!I55/Waterfall!$B$9,0)</f>
        <v>0</v>
      </c>
      <c r="L126" s="146">
        <f>IFERROR(Waterfall!J55/Waterfall!$B$9,0)</f>
        <v>0</v>
      </c>
      <c r="M126" s="146">
        <f>IFERROR(Waterfall!K55/Waterfall!$B$9,0)</f>
        <v>0</v>
      </c>
      <c r="Q126" s="146">
        <f>D126</f>
        <v>0</v>
      </c>
    </row>
    <row r="127" spans="1:18" ht="18" customHeight="1" x14ac:dyDescent="0.25">
      <c r="A127" s="147" t="s">
        <v>744</v>
      </c>
      <c r="B127" s="147"/>
      <c r="D127" s="148">
        <f ca="1">IFERROR(AVERAGE(OFFSET(D126,0,0,1,MIN(Scenarios!$F$129,10))),0)</f>
        <v>0</v>
      </c>
      <c r="Q127" s="148">
        <f ca="1">D127</f>
        <v>0</v>
      </c>
    </row>
    <row r="128" spans="1:18" ht="18" customHeight="1" x14ac:dyDescent="0.25">
      <c r="A128" s="47" t="s">
        <v>745</v>
      </c>
      <c r="B128" s="47"/>
      <c r="C128" s="144"/>
      <c r="D128" s="149">
        <f>IFERROR(Waterfall!B57/(Waterfall!$B$9+Waterfall!$B$10),0)</f>
        <v>0</v>
      </c>
      <c r="E128" s="149">
        <f>IFERROR(Waterfall!C57/(Waterfall!$B$9+Waterfall!$B$10),0)</f>
        <v>0</v>
      </c>
      <c r="F128" s="149">
        <f>IFERROR(Waterfall!D57/(Waterfall!$B$9+Waterfall!$B$10),0)</f>
        <v>0</v>
      </c>
      <c r="G128" s="149">
        <f>IFERROR(Waterfall!E57/(Waterfall!$B$9+Waterfall!$B$10),0)</f>
        <v>0</v>
      </c>
      <c r="H128" s="149">
        <f>IFERROR(Waterfall!F57/(Waterfall!$B$9+Waterfall!$B$10),0)</f>
        <v>0</v>
      </c>
      <c r="I128" s="149">
        <f>IFERROR(Waterfall!G57/(Waterfall!$B$9+Waterfall!$B$10),0)</f>
        <v>0</v>
      </c>
      <c r="J128" s="149">
        <f>IFERROR(Waterfall!H57/(Waterfall!$B$9+Waterfall!$B$10),0)</f>
        <v>0</v>
      </c>
      <c r="K128" s="149">
        <f>IFERROR(Waterfall!I57/(Waterfall!$B$9+Waterfall!$B$10),0)</f>
        <v>0</v>
      </c>
      <c r="L128" s="149">
        <f>IFERROR(Waterfall!J57/(Waterfall!$B$9+Waterfall!$B$10),0)</f>
        <v>0</v>
      </c>
      <c r="M128" s="149">
        <f>IFERROR(Waterfall!K57/(Waterfall!$B$9+Waterfall!$B$10),0)</f>
        <v>0</v>
      </c>
      <c r="Q128" s="149">
        <f>D128</f>
        <v>0</v>
      </c>
    </row>
    <row r="129" spans="1:17" ht="15.75" customHeight="1" x14ac:dyDescent="0.25">
      <c r="A129" s="150" t="s">
        <v>746</v>
      </c>
      <c r="B129" s="150"/>
      <c r="D129" s="151">
        <f ca="1">IFERROR(AVERAGE(OFFSET(D128,0,0,1,MIN(Scenarios!$F$129,10))),0)</f>
        <v>0</v>
      </c>
      <c r="Q129" s="151">
        <f ca="1">D129</f>
        <v>0</v>
      </c>
    </row>
    <row r="130" spans="1:17" x14ac:dyDescent="0.25">
      <c r="A130" s="835" t="s">
        <v>747</v>
      </c>
      <c r="B130" s="835"/>
      <c r="C130" s="817"/>
      <c r="D130" s="817"/>
      <c r="E130" s="817"/>
      <c r="F130" s="817"/>
      <c r="G130" s="817"/>
      <c r="H130" s="817"/>
      <c r="I130" s="817"/>
      <c r="J130" s="817"/>
      <c r="K130" s="817"/>
      <c r="L130" s="817"/>
      <c r="M130" s="817"/>
      <c r="N130" s="817"/>
      <c r="O130" s="817"/>
      <c r="P130" s="817"/>
      <c r="Q130" s="817"/>
    </row>
  </sheetData>
  <mergeCells count="12">
    <mergeCell ref="A2:R2"/>
    <mergeCell ref="O5:P5"/>
    <mergeCell ref="A1:R1"/>
    <mergeCell ref="A51:R51"/>
    <mergeCell ref="A130:Q130"/>
    <mergeCell ref="A125:Q125"/>
    <mergeCell ref="D119:M119"/>
    <mergeCell ref="A9:R9"/>
    <mergeCell ref="A117:R117"/>
    <mergeCell ref="O6:P6"/>
    <mergeCell ref="A110:R110"/>
    <mergeCell ref="A99:R9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9"/>
  <sheetViews>
    <sheetView showGridLines="0" topLeftCell="A158" workbookViewId="0">
      <selection activeCell="L146" sqref="L146"/>
    </sheetView>
  </sheetViews>
  <sheetFormatPr defaultColWidth="8.85546875" defaultRowHeight="15" x14ac:dyDescent="0.25"/>
  <cols>
    <col min="1" max="1" width="38" customWidth="1"/>
    <col min="2" max="2" width="14" customWidth="1"/>
    <col min="3" max="16" width="11" customWidth="1"/>
    <col min="17" max="17" width="10" customWidth="1"/>
    <col min="18" max="19" width="12" customWidth="1"/>
  </cols>
  <sheetData>
    <row r="1" spans="1:19" ht="18" customHeight="1" x14ac:dyDescent="0.25">
      <c r="A1" s="850" t="s">
        <v>529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  <c r="P1" s="817"/>
      <c r="Q1" s="817"/>
      <c r="R1" s="817"/>
      <c r="S1" s="817"/>
    </row>
    <row r="2" spans="1:19" ht="30" customHeight="1" x14ac:dyDescent="0.25">
      <c r="A2" s="824" t="s">
        <v>530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</row>
    <row r="4" spans="1:19" ht="15.95" customHeight="1" x14ac:dyDescent="0.25">
      <c r="A4" s="847" t="s">
        <v>531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  <c r="N4" s="817"/>
      <c r="O4" s="817"/>
      <c r="P4" s="817"/>
      <c r="Q4" s="817"/>
      <c r="R4" s="817"/>
    </row>
    <row r="5" spans="1:19" x14ac:dyDescent="0.25">
      <c r="A5" s="396" t="s">
        <v>532</v>
      </c>
      <c r="B5" s="515">
        <f>N69</f>
        <v>0</v>
      </c>
      <c r="C5" s="396" t="s">
        <v>533</v>
      </c>
      <c r="D5" s="515">
        <f>N114</f>
        <v>0</v>
      </c>
      <c r="E5" s="396" t="s">
        <v>534</v>
      </c>
      <c r="F5" s="397">
        <v>0</v>
      </c>
      <c r="G5" s="396" t="s">
        <v>535</v>
      </c>
      <c r="H5" s="397">
        <v>0</v>
      </c>
      <c r="I5" s="398" t="s">
        <v>536</v>
      </c>
      <c r="L5" s="396" t="s">
        <v>537</v>
      </c>
      <c r="M5" s="397">
        <v>0</v>
      </c>
    </row>
    <row r="7" spans="1:19" x14ac:dyDescent="0.25">
      <c r="A7" s="847" t="s">
        <v>538</v>
      </c>
      <c r="B7" s="817"/>
      <c r="C7" s="817"/>
      <c r="D7" s="817"/>
      <c r="E7" s="817"/>
      <c r="F7" s="817"/>
      <c r="G7" s="817"/>
      <c r="H7" s="817"/>
      <c r="I7" s="817"/>
      <c r="J7" s="817"/>
      <c r="K7" s="817"/>
      <c r="L7" s="817"/>
      <c r="M7" s="817"/>
      <c r="N7" s="817"/>
      <c r="O7" s="817"/>
      <c r="P7" s="817"/>
      <c r="Q7" s="817"/>
      <c r="R7" s="817"/>
    </row>
    <row r="8" spans="1:19" x14ac:dyDescent="0.25">
      <c r="A8" s="395" t="s">
        <v>41</v>
      </c>
      <c r="B8" s="399" t="s">
        <v>539</v>
      </c>
      <c r="C8" s="399" t="s">
        <v>540</v>
      </c>
      <c r="D8" s="399" t="s">
        <v>541</v>
      </c>
      <c r="E8" s="399" t="s">
        <v>542</v>
      </c>
      <c r="F8" s="399" t="s">
        <v>543</v>
      </c>
      <c r="G8" s="399" t="s">
        <v>544</v>
      </c>
      <c r="H8" s="399" t="s">
        <v>69</v>
      </c>
    </row>
    <row r="9" spans="1:19" x14ac:dyDescent="0.25">
      <c r="A9" s="400" t="s">
        <v>545</v>
      </c>
      <c r="B9" s="516">
        <f>N69</f>
        <v>0</v>
      </c>
      <c r="C9" s="401">
        <v>0</v>
      </c>
      <c r="D9" s="401">
        <v>0</v>
      </c>
      <c r="E9" s="402">
        <v>0</v>
      </c>
      <c r="F9" s="403">
        <v>0</v>
      </c>
      <c r="G9" s="404" t="s">
        <v>546</v>
      </c>
      <c r="H9" s="404" t="s">
        <v>547</v>
      </c>
    </row>
    <row r="10" spans="1:19" x14ac:dyDescent="0.25">
      <c r="A10" s="400" t="s">
        <v>548</v>
      </c>
      <c r="B10" s="516">
        <f>N114</f>
        <v>0</v>
      </c>
      <c r="C10" s="401">
        <v>0</v>
      </c>
      <c r="D10" s="401">
        <v>0</v>
      </c>
      <c r="E10" s="402">
        <v>0</v>
      </c>
      <c r="F10" s="403">
        <v>0</v>
      </c>
      <c r="G10" s="404" t="s">
        <v>546</v>
      </c>
      <c r="H10" s="404" t="s">
        <v>547</v>
      </c>
    </row>
    <row r="11" spans="1:19" x14ac:dyDescent="0.25">
      <c r="A11" s="400" t="s">
        <v>549</v>
      </c>
      <c r="B11" s="516">
        <f>N69-N114</f>
        <v>0</v>
      </c>
      <c r="C11" s="401">
        <v>0</v>
      </c>
      <c r="D11" s="401">
        <v>0</v>
      </c>
      <c r="E11" s="402">
        <v>0</v>
      </c>
      <c r="F11" s="403">
        <v>0</v>
      </c>
      <c r="G11" s="404" t="s">
        <v>546</v>
      </c>
      <c r="H11" s="404" t="s">
        <v>547</v>
      </c>
    </row>
    <row r="12" spans="1:19" x14ac:dyDescent="0.25">
      <c r="A12" s="400" t="s">
        <v>550</v>
      </c>
      <c r="B12" s="516">
        <f>N106</f>
        <v>0</v>
      </c>
      <c r="C12" s="401">
        <v>0</v>
      </c>
      <c r="D12" s="401">
        <v>0</v>
      </c>
      <c r="E12" s="402">
        <v>0</v>
      </c>
      <c r="F12" s="403">
        <v>0</v>
      </c>
      <c r="G12" s="404" t="s">
        <v>546</v>
      </c>
      <c r="H12" s="404" t="s">
        <v>547</v>
      </c>
    </row>
    <row r="13" spans="1:19" x14ac:dyDescent="0.25">
      <c r="A13" s="400" t="s">
        <v>551</v>
      </c>
      <c r="B13" s="516">
        <f>N85</f>
        <v>0</v>
      </c>
      <c r="C13" s="401">
        <v>0</v>
      </c>
      <c r="D13" s="401">
        <v>0</v>
      </c>
      <c r="E13" s="402">
        <v>0</v>
      </c>
      <c r="F13" s="403">
        <v>0</v>
      </c>
      <c r="G13" s="404" t="s">
        <v>546</v>
      </c>
      <c r="H13" s="404" t="s">
        <v>547</v>
      </c>
    </row>
    <row r="14" spans="1:19" x14ac:dyDescent="0.25">
      <c r="A14" s="400" t="s">
        <v>552</v>
      </c>
      <c r="B14" s="516">
        <f>N87</f>
        <v>0</v>
      </c>
      <c r="C14" s="401">
        <v>0</v>
      </c>
      <c r="D14" s="401">
        <v>0</v>
      </c>
      <c r="E14" s="402">
        <v>0</v>
      </c>
      <c r="F14" s="403">
        <v>0</v>
      </c>
      <c r="G14" s="404" t="s">
        <v>546</v>
      </c>
      <c r="H14" s="404" t="s">
        <v>547</v>
      </c>
    </row>
    <row r="15" spans="1:19" x14ac:dyDescent="0.25">
      <c r="A15" s="400" t="s">
        <v>553</v>
      </c>
      <c r="B15" s="516">
        <f>N96</f>
        <v>0</v>
      </c>
      <c r="C15" s="401">
        <v>0</v>
      </c>
      <c r="D15" s="401">
        <v>0</v>
      </c>
      <c r="E15" s="402">
        <v>0</v>
      </c>
      <c r="F15" s="403">
        <v>0</v>
      </c>
      <c r="G15" s="404" t="s">
        <v>546</v>
      </c>
      <c r="H15" s="404" t="s">
        <v>547</v>
      </c>
    </row>
    <row r="16" spans="1:19" x14ac:dyDescent="0.25">
      <c r="A16" s="400" t="s">
        <v>554</v>
      </c>
      <c r="B16" s="516">
        <f>N79</f>
        <v>0</v>
      </c>
      <c r="C16" s="401">
        <v>0</v>
      </c>
      <c r="D16" s="401">
        <v>0</v>
      </c>
      <c r="E16" s="402">
        <v>0</v>
      </c>
      <c r="F16" s="403">
        <v>0</v>
      </c>
      <c r="G16" s="404" t="s">
        <v>546</v>
      </c>
      <c r="H16" s="404" t="s">
        <v>547</v>
      </c>
    </row>
    <row r="18" spans="1:18" x14ac:dyDescent="0.25">
      <c r="A18" s="847" t="s">
        <v>555</v>
      </c>
      <c r="B18" s="817"/>
      <c r="C18" s="817"/>
      <c r="D18" s="817"/>
      <c r="E18" s="817"/>
      <c r="F18" s="817"/>
      <c r="G18" s="817"/>
      <c r="H18" s="817"/>
      <c r="I18" s="817"/>
      <c r="J18" s="817"/>
      <c r="K18" s="817"/>
      <c r="L18" s="817"/>
      <c r="M18" s="817"/>
      <c r="N18" s="817"/>
      <c r="O18" s="817"/>
      <c r="P18" s="817"/>
      <c r="Q18" s="817"/>
      <c r="R18" s="817"/>
    </row>
    <row r="19" spans="1:18" x14ac:dyDescent="0.25">
      <c r="A19" s="396" t="s">
        <v>556</v>
      </c>
      <c r="B19" s="517">
        <v>176</v>
      </c>
    </row>
    <row r="20" spans="1:18" x14ac:dyDescent="0.25">
      <c r="A20" s="396" t="s">
        <v>557</v>
      </c>
      <c r="B20" s="517">
        <v>128</v>
      </c>
    </row>
    <row r="21" spans="1:18" x14ac:dyDescent="0.25">
      <c r="A21" s="396" t="s">
        <v>558</v>
      </c>
      <c r="B21" s="403">
        <f>IFERROR(B20/B19,0)</f>
        <v>0.72727272727272729</v>
      </c>
    </row>
    <row r="22" spans="1:18" x14ac:dyDescent="0.25">
      <c r="A22" s="396" t="s">
        <v>559</v>
      </c>
      <c r="B22" s="516">
        <f>N58</f>
        <v>0</v>
      </c>
    </row>
    <row r="23" spans="1:18" x14ac:dyDescent="0.25">
      <c r="A23" s="396" t="s">
        <v>560</v>
      </c>
      <c r="B23" s="516">
        <f>N63</f>
        <v>0</v>
      </c>
    </row>
    <row r="24" spans="1:18" x14ac:dyDescent="0.25">
      <c r="A24" s="396" t="s">
        <v>561</v>
      </c>
      <c r="B24" s="516">
        <f>N69</f>
        <v>0</v>
      </c>
    </row>
    <row r="25" spans="1:18" x14ac:dyDescent="0.25">
      <c r="A25" s="396" t="s">
        <v>562</v>
      </c>
      <c r="B25" s="403">
        <f>IFERROR(B23/B22,0)</f>
        <v>0</v>
      </c>
    </row>
    <row r="26" spans="1:18" x14ac:dyDescent="0.25">
      <c r="A26" s="396" t="s">
        <v>563</v>
      </c>
      <c r="B26" s="401">
        <v>0</v>
      </c>
    </row>
    <row r="27" spans="1:18" x14ac:dyDescent="0.25">
      <c r="A27" s="400" t="s">
        <v>564</v>
      </c>
      <c r="B27" s="401">
        <v>0</v>
      </c>
    </row>
    <row r="29" spans="1:18" x14ac:dyDescent="0.25">
      <c r="A29" s="847" t="s">
        <v>565</v>
      </c>
      <c r="B29" s="817"/>
      <c r="C29" s="817"/>
      <c r="D29" s="817"/>
      <c r="E29" s="817"/>
      <c r="F29" s="817"/>
      <c r="G29" s="817"/>
      <c r="H29" s="817"/>
      <c r="I29" s="817"/>
      <c r="J29" s="817"/>
      <c r="K29" s="817"/>
      <c r="L29" s="817"/>
      <c r="M29" s="817"/>
      <c r="N29" s="817"/>
      <c r="O29" s="817"/>
      <c r="P29" s="817"/>
      <c r="Q29" s="817"/>
      <c r="R29" s="817"/>
    </row>
    <row r="30" spans="1:18" x14ac:dyDescent="0.25">
      <c r="A30" s="395" t="s">
        <v>566</v>
      </c>
      <c r="B30" s="399" t="s">
        <v>272</v>
      </c>
      <c r="C30" s="399" t="s">
        <v>567</v>
      </c>
      <c r="D30" s="399" t="s">
        <v>43</v>
      </c>
      <c r="E30" s="399" t="s">
        <v>363</v>
      </c>
      <c r="F30" s="399" t="s">
        <v>69</v>
      </c>
    </row>
    <row r="31" spans="1:18" x14ac:dyDescent="0.25">
      <c r="A31" s="400" t="s">
        <v>568</v>
      </c>
      <c r="B31" s="401">
        <v>0</v>
      </c>
      <c r="C31" s="403">
        <v>0</v>
      </c>
      <c r="D31" s="401">
        <v>0</v>
      </c>
      <c r="E31" s="405" t="s">
        <v>569</v>
      </c>
      <c r="F31" s="406" t="s">
        <v>223</v>
      </c>
    </row>
    <row r="32" spans="1:18" x14ac:dyDescent="0.25">
      <c r="A32" s="400" t="s">
        <v>570</v>
      </c>
      <c r="B32" s="401">
        <v>0</v>
      </c>
      <c r="C32" s="403">
        <v>0</v>
      </c>
      <c r="D32" s="401">
        <v>0</v>
      </c>
      <c r="E32" s="405" t="s">
        <v>571</v>
      </c>
      <c r="F32" s="406" t="s">
        <v>223</v>
      </c>
    </row>
    <row r="33" spans="1:19" x14ac:dyDescent="0.25">
      <c r="A33" s="400" t="s">
        <v>572</v>
      </c>
      <c r="B33" s="401">
        <v>0</v>
      </c>
      <c r="C33" s="403">
        <v>0</v>
      </c>
      <c r="D33" s="401">
        <v>0</v>
      </c>
      <c r="E33" s="405" t="s">
        <v>573</v>
      </c>
      <c r="F33" s="406" t="s">
        <v>223</v>
      </c>
    </row>
    <row r="34" spans="1:19" x14ac:dyDescent="0.25">
      <c r="A34" s="400" t="s">
        <v>574</v>
      </c>
      <c r="B34" s="401">
        <v>0</v>
      </c>
      <c r="C34" s="403">
        <v>0</v>
      </c>
      <c r="D34" s="401">
        <v>0</v>
      </c>
      <c r="E34" s="405" t="s">
        <v>575</v>
      </c>
      <c r="F34" s="406" t="s">
        <v>223</v>
      </c>
    </row>
    <row r="35" spans="1:19" x14ac:dyDescent="0.25">
      <c r="A35" s="396" t="s">
        <v>576</v>
      </c>
      <c r="B35" s="401">
        <v>0</v>
      </c>
      <c r="C35" s="403">
        <v>0</v>
      </c>
      <c r="D35" s="401">
        <v>0</v>
      </c>
      <c r="E35" s="405"/>
      <c r="F35" s="406" t="s">
        <v>223</v>
      </c>
    </row>
    <row r="37" spans="1:19" x14ac:dyDescent="0.25">
      <c r="A37" s="847" t="s">
        <v>577</v>
      </c>
      <c r="B37" s="817"/>
      <c r="C37" s="817"/>
      <c r="D37" s="817"/>
      <c r="E37" s="817"/>
      <c r="F37" s="817"/>
      <c r="G37" s="817"/>
      <c r="H37" s="817"/>
      <c r="I37" s="817"/>
      <c r="J37" s="817"/>
      <c r="K37" s="817"/>
      <c r="L37" s="817"/>
      <c r="M37" s="817"/>
      <c r="N37" s="817"/>
      <c r="O37" s="817"/>
      <c r="P37" s="817"/>
      <c r="Q37" s="817"/>
      <c r="R37" s="817"/>
    </row>
    <row r="38" spans="1:19" x14ac:dyDescent="0.25">
      <c r="A38" s="824" t="s">
        <v>578</v>
      </c>
      <c r="B38" s="817"/>
      <c r="C38" s="817"/>
      <c r="D38" s="817"/>
      <c r="E38" s="817"/>
      <c r="F38" s="817"/>
      <c r="G38" s="817"/>
      <c r="H38" s="817"/>
      <c r="I38" s="817"/>
      <c r="J38" s="817"/>
      <c r="K38" s="817"/>
      <c r="L38" s="817"/>
      <c r="M38" s="817"/>
      <c r="N38" s="817"/>
      <c r="O38" s="817"/>
      <c r="P38" s="817"/>
      <c r="Q38" s="817"/>
      <c r="R38" s="817"/>
      <c r="S38" s="817"/>
    </row>
    <row r="40" spans="1:19" x14ac:dyDescent="0.25">
      <c r="A40" s="848" t="s">
        <v>467</v>
      </c>
      <c r="B40" s="817"/>
      <c r="C40" s="817"/>
      <c r="D40" s="817"/>
      <c r="E40" s="817"/>
      <c r="F40" s="817"/>
      <c r="G40" s="817"/>
      <c r="H40" s="817"/>
      <c r="I40" s="817"/>
      <c r="J40" s="817"/>
      <c r="K40" s="817"/>
      <c r="L40" s="817"/>
      <c r="M40" s="817"/>
      <c r="N40" s="817"/>
      <c r="O40" s="817"/>
      <c r="P40" s="817"/>
      <c r="Q40" s="817"/>
      <c r="R40" s="817"/>
    </row>
    <row r="41" spans="1:19" x14ac:dyDescent="0.25">
      <c r="A41" s="407" t="s">
        <v>579</v>
      </c>
      <c r="B41" s="401">
        <v>0</v>
      </c>
    </row>
    <row r="42" spans="1:19" x14ac:dyDescent="0.25">
      <c r="A42" s="407" t="s">
        <v>580</v>
      </c>
      <c r="B42" s="401">
        <v>0</v>
      </c>
    </row>
    <row r="43" spans="1:19" x14ac:dyDescent="0.25">
      <c r="A43" s="407" t="s">
        <v>581</v>
      </c>
      <c r="B43" s="402">
        <v>0</v>
      </c>
    </row>
    <row r="44" spans="1:19" x14ac:dyDescent="0.25">
      <c r="A44" s="407" t="s">
        <v>582</v>
      </c>
      <c r="B44" s="408" t="s">
        <v>583</v>
      </c>
    </row>
    <row r="46" spans="1:19" x14ac:dyDescent="0.25">
      <c r="A46" s="848" t="s">
        <v>584</v>
      </c>
      <c r="B46" s="817"/>
      <c r="C46" s="817"/>
      <c r="D46" s="817"/>
      <c r="E46" s="817"/>
      <c r="F46" s="817"/>
      <c r="G46" s="817"/>
      <c r="H46" s="817"/>
      <c r="I46" s="817"/>
      <c r="J46" s="817"/>
      <c r="K46" s="817"/>
      <c r="L46" s="817"/>
      <c r="M46" s="817"/>
      <c r="N46" s="817"/>
      <c r="O46" s="817"/>
      <c r="P46" s="817"/>
      <c r="Q46" s="817"/>
      <c r="R46" s="817"/>
    </row>
    <row r="47" spans="1:19" x14ac:dyDescent="0.25">
      <c r="A47" s="407" t="s">
        <v>579</v>
      </c>
      <c r="B47" s="401">
        <v>0</v>
      </c>
    </row>
    <row r="48" spans="1:19" x14ac:dyDescent="0.25">
      <c r="A48" s="407" t="s">
        <v>580</v>
      </c>
      <c r="B48" s="401">
        <v>0</v>
      </c>
    </row>
    <row r="49" spans="1:19" x14ac:dyDescent="0.25">
      <c r="A49" s="407" t="s">
        <v>581</v>
      </c>
      <c r="B49" s="402">
        <v>0</v>
      </c>
    </row>
    <row r="50" spans="1:19" x14ac:dyDescent="0.25">
      <c r="A50" s="407" t="s">
        <v>582</v>
      </c>
      <c r="B50" s="408" t="s">
        <v>583</v>
      </c>
    </row>
    <row r="54" spans="1:19" x14ac:dyDescent="0.25">
      <c r="A54" s="852" t="s">
        <v>585</v>
      </c>
      <c r="B54" s="817"/>
      <c r="C54" s="817"/>
      <c r="D54" s="817"/>
      <c r="E54" s="817"/>
      <c r="F54" s="817"/>
      <c r="G54" s="817"/>
      <c r="H54" s="817"/>
      <c r="I54" s="817"/>
      <c r="J54" s="817"/>
      <c r="K54" s="817"/>
      <c r="L54" s="817"/>
      <c r="M54" s="817"/>
      <c r="N54" s="817"/>
      <c r="O54" s="817"/>
      <c r="P54" s="817"/>
      <c r="Q54" s="817"/>
      <c r="R54" s="817"/>
      <c r="S54" s="817"/>
    </row>
    <row r="55" spans="1:19" x14ac:dyDescent="0.25">
      <c r="A55" s="847" t="s">
        <v>586</v>
      </c>
      <c r="B55" s="817"/>
      <c r="C55" s="817"/>
      <c r="D55" s="817"/>
      <c r="E55" s="817"/>
      <c r="F55" s="817"/>
      <c r="G55" s="817"/>
      <c r="H55" s="817"/>
      <c r="I55" s="817"/>
      <c r="J55" s="817"/>
      <c r="K55" s="817"/>
      <c r="L55" s="817"/>
      <c r="M55" s="817"/>
      <c r="N55" s="817"/>
      <c r="O55" s="817"/>
      <c r="P55" s="817"/>
      <c r="Q55" s="817"/>
      <c r="R55" s="817"/>
    </row>
    <row r="56" spans="1:19" x14ac:dyDescent="0.25">
      <c r="A56" s="409" t="s">
        <v>587</v>
      </c>
      <c r="B56" s="565" t="str">
        <f t="shared" ref="B56:M56" si="0">C122</f>
        <v>Apr-25</v>
      </c>
      <c r="C56" s="565" t="str">
        <f t="shared" si="0"/>
        <v>May-25</v>
      </c>
      <c r="D56" s="565" t="str">
        <f t="shared" si="0"/>
        <v>Jun-25</v>
      </c>
      <c r="E56" s="565" t="str">
        <f t="shared" si="0"/>
        <v>Jul-25</v>
      </c>
      <c r="F56" s="565" t="str">
        <f t="shared" si="0"/>
        <v>Aug-25</v>
      </c>
      <c r="G56" s="565" t="str">
        <f t="shared" si="0"/>
        <v>Sep-25</v>
      </c>
      <c r="H56" s="565" t="str">
        <f t="shared" si="0"/>
        <v>Oct-25</v>
      </c>
      <c r="I56" s="565" t="str">
        <f t="shared" si="0"/>
        <v>Nov-25</v>
      </c>
      <c r="J56" s="565" t="str">
        <f t="shared" si="0"/>
        <v>Dec-25</v>
      </c>
      <c r="K56" s="565" t="str">
        <f t="shared" si="0"/>
        <v>Jan-26</v>
      </c>
      <c r="L56" s="565" t="str">
        <f t="shared" si="0"/>
        <v>Feb-26</v>
      </c>
      <c r="M56" s="565" t="str">
        <f t="shared" si="0"/>
        <v>Mar-26</v>
      </c>
      <c r="N56" s="410" t="s">
        <v>600</v>
      </c>
      <c r="O56" s="410" t="s">
        <v>541</v>
      </c>
      <c r="P56" s="410" t="s">
        <v>43</v>
      </c>
      <c r="Q56" s="410" t="s">
        <v>601</v>
      </c>
      <c r="R56" s="410" t="s">
        <v>602</v>
      </c>
    </row>
    <row r="57" spans="1:19" x14ac:dyDescent="0.25">
      <c r="A57" s="851" t="s">
        <v>603</v>
      </c>
      <c r="B57" s="817"/>
      <c r="C57" s="817"/>
      <c r="D57" s="817"/>
      <c r="E57" s="817"/>
      <c r="F57" s="817"/>
      <c r="G57" s="817"/>
      <c r="H57" s="817"/>
      <c r="I57" s="817"/>
      <c r="J57" s="817"/>
      <c r="K57" s="817"/>
      <c r="L57" s="817"/>
      <c r="M57" s="817"/>
      <c r="N57" s="817"/>
      <c r="O57" s="817"/>
      <c r="P57" s="817"/>
      <c r="Q57" s="817"/>
      <c r="R57" s="817"/>
    </row>
    <row r="58" spans="1:19" x14ac:dyDescent="0.25">
      <c r="A58" s="400" t="s">
        <v>604</v>
      </c>
      <c r="B58" s="401">
        <v>0</v>
      </c>
      <c r="C58" s="401">
        <v>0</v>
      </c>
      <c r="D58" s="401">
        <v>0</v>
      </c>
      <c r="E58" s="401">
        <v>0</v>
      </c>
      <c r="F58" s="401">
        <v>0</v>
      </c>
      <c r="G58" s="401">
        <v>0</v>
      </c>
      <c r="H58" s="401">
        <v>0</v>
      </c>
      <c r="I58" s="401">
        <v>0</v>
      </c>
      <c r="J58" s="401">
        <v>0</v>
      </c>
      <c r="K58" s="401">
        <v>0</v>
      </c>
      <c r="L58" s="401">
        <v>0</v>
      </c>
      <c r="M58" s="401">
        <v>0</v>
      </c>
      <c r="N58" s="511"/>
      <c r="O58" s="401">
        <v>0</v>
      </c>
      <c r="P58" s="401">
        <v>0</v>
      </c>
      <c r="Q58" s="401">
        <v>0</v>
      </c>
      <c r="R58" s="403">
        <v>0</v>
      </c>
      <c r="S58" s="404"/>
    </row>
    <row r="59" spans="1:19" x14ac:dyDescent="0.25">
      <c r="A59" s="400" t="s">
        <v>605</v>
      </c>
      <c r="B59" s="401">
        <v>0</v>
      </c>
      <c r="C59" s="401">
        <v>0</v>
      </c>
      <c r="D59" s="401">
        <v>0</v>
      </c>
      <c r="E59" s="401">
        <v>0</v>
      </c>
      <c r="F59" s="401">
        <v>0</v>
      </c>
      <c r="G59" s="401">
        <v>0</v>
      </c>
      <c r="H59" s="401">
        <v>0</v>
      </c>
      <c r="I59" s="401">
        <v>0</v>
      </c>
      <c r="J59" s="401">
        <v>0</v>
      </c>
      <c r="K59" s="401">
        <v>0</v>
      </c>
      <c r="L59" s="401">
        <v>0</v>
      </c>
      <c r="M59" s="401">
        <v>0</v>
      </c>
      <c r="N59" s="511"/>
      <c r="O59" s="401">
        <v>0</v>
      </c>
      <c r="P59" s="401">
        <v>0</v>
      </c>
      <c r="Q59" s="401">
        <v>0</v>
      </c>
      <c r="R59" s="403">
        <v>0</v>
      </c>
      <c r="S59" s="404"/>
    </row>
    <row r="60" spans="1:19" x14ac:dyDescent="0.25">
      <c r="A60" s="400" t="s">
        <v>606</v>
      </c>
      <c r="B60" s="401">
        <v>0</v>
      </c>
      <c r="C60" s="401">
        <v>0</v>
      </c>
      <c r="D60" s="401">
        <v>0</v>
      </c>
      <c r="E60" s="401">
        <v>0</v>
      </c>
      <c r="F60" s="401">
        <v>0</v>
      </c>
      <c r="G60" s="401">
        <v>0</v>
      </c>
      <c r="H60" s="401">
        <v>0</v>
      </c>
      <c r="I60" s="401">
        <v>0</v>
      </c>
      <c r="J60" s="401">
        <v>0</v>
      </c>
      <c r="K60" s="401">
        <v>0</v>
      </c>
      <c r="L60" s="401">
        <v>0</v>
      </c>
      <c r="M60" s="401">
        <v>0</v>
      </c>
      <c r="N60" s="511"/>
      <c r="O60" s="401">
        <v>0</v>
      </c>
      <c r="P60" s="401">
        <v>0</v>
      </c>
      <c r="Q60" s="401">
        <v>0</v>
      </c>
      <c r="R60" s="403">
        <v>0</v>
      </c>
      <c r="S60" s="404"/>
    </row>
    <row r="61" spans="1:19" x14ac:dyDescent="0.25">
      <c r="A61" s="400" t="s">
        <v>607</v>
      </c>
      <c r="B61" s="401">
        <v>0</v>
      </c>
      <c r="C61" s="401">
        <v>0</v>
      </c>
      <c r="D61" s="401">
        <v>0</v>
      </c>
      <c r="E61" s="401">
        <v>0</v>
      </c>
      <c r="F61" s="401">
        <v>0</v>
      </c>
      <c r="G61" s="401">
        <v>0</v>
      </c>
      <c r="H61" s="401">
        <v>0</v>
      </c>
      <c r="I61" s="401">
        <v>0</v>
      </c>
      <c r="J61" s="401">
        <v>0</v>
      </c>
      <c r="K61" s="401">
        <v>0</v>
      </c>
      <c r="L61" s="401">
        <v>0</v>
      </c>
      <c r="M61" s="401">
        <v>0</v>
      </c>
      <c r="N61" s="511"/>
      <c r="O61" s="401">
        <v>0</v>
      </c>
      <c r="P61" s="401">
        <v>0</v>
      </c>
      <c r="Q61" s="401">
        <v>0</v>
      </c>
      <c r="R61" s="403">
        <v>0</v>
      </c>
      <c r="S61" s="404"/>
    </row>
    <row r="62" spans="1:19" x14ac:dyDescent="0.25">
      <c r="A62" s="400" t="s">
        <v>608</v>
      </c>
      <c r="B62" s="401">
        <v>0</v>
      </c>
      <c r="C62" s="401">
        <v>0</v>
      </c>
      <c r="D62" s="401">
        <v>0</v>
      </c>
      <c r="E62" s="401">
        <v>0</v>
      </c>
      <c r="F62" s="401">
        <v>0</v>
      </c>
      <c r="G62" s="401">
        <v>0</v>
      </c>
      <c r="H62" s="401">
        <v>0</v>
      </c>
      <c r="I62" s="401">
        <v>0</v>
      </c>
      <c r="J62" s="401">
        <v>0</v>
      </c>
      <c r="K62" s="401">
        <v>0</v>
      </c>
      <c r="L62" s="401">
        <v>0</v>
      </c>
      <c r="M62" s="401">
        <v>0</v>
      </c>
      <c r="N62" s="511">
        <v>0</v>
      </c>
      <c r="O62" s="401">
        <v>0</v>
      </c>
      <c r="P62" s="401">
        <v>0</v>
      </c>
      <c r="Q62" s="401">
        <v>0</v>
      </c>
      <c r="R62" s="403">
        <v>0</v>
      </c>
      <c r="S62" s="404"/>
    </row>
    <row r="63" spans="1:19" x14ac:dyDescent="0.25">
      <c r="A63" s="396" t="s">
        <v>609</v>
      </c>
      <c r="B63" s="401">
        <v>0</v>
      </c>
      <c r="C63" s="401">
        <v>0</v>
      </c>
      <c r="D63" s="401">
        <v>0</v>
      </c>
      <c r="E63" s="401">
        <v>0</v>
      </c>
      <c r="F63" s="401">
        <v>0</v>
      </c>
      <c r="G63" s="401">
        <v>0</v>
      </c>
      <c r="H63" s="401">
        <v>0</v>
      </c>
      <c r="I63" s="401">
        <v>0</v>
      </c>
      <c r="J63" s="401">
        <v>0</v>
      </c>
      <c r="K63" s="401">
        <v>0</v>
      </c>
      <c r="L63" s="401">
        <v>0</v>
      </c>
      <c r="M63" s="401">
        <v>0</v>
      </c>
      <c r="N63" s="512">
        <f>N58+N59+N60+N61+N62</f>
        <v>0</v>
      </c>
      <c r="O63" s="401">
        <v>0</v>
      </c>
      <c r="P63" s="401">
        <v>0</v>
      </c>
      <c r="Q63" s="401">
        <v>0</v>
      </c>
      <c r="R63" s="403">
        <v>0</v>
      </c>
      <c r="S63" s="404"/>
    </row>
    <row r="64" spans="1:19" x14ac:dyDescent="0.25">
      <c r="A64" s="400" t="s">
        <v>610</v>
      </c>
      <c r="B64" s="401">
        <v>0</v>
      </c>
      <c r="C64" s="401">
        <v>0</v>
      </c>
      <c r="D64" s="401">
        <v>0</v>
      </c>
      <c r="E64" s="401">
        <v>0</v>
      </c>
      <c r="F64" s="401">
        <v>0</v>
      </c>
      <c r="G64" s="401">
        <v>0</v>
      </c>
      <c r="H64" s="401">
        <v>0</v>
      </c>
      <c r="I64" s="401">
        <v>0</v>
      </c>
      <c r="J64" s="401">
        <v>0</v>
      </c>
      <c r="K64" s="401">
        <v>0</v>
      </c>
      <c r="L64" s="401">
        <v>0</v>
      </c>
      <c r="M64" s="401">
        <v>0</v>
      </c>
      <c r="N64" s="511"/>
      <c r="O64" s="401">
        <v>0</v>
      </c>
      <c r="P64" s="401">
        <v>0</v>
      </c>
      <c r="Q64" s="401">
        <v>0</v>
      </c>
      <c r="R64" s="403">
        <v>0</v>
      </c>
      <c r="S64" s="404"/>
    </row>
    <row r="65" spans="1:19" x14ac:dyDescent="0.25">
      <c r="A65" s="400" t="s">
        <v>611</v>
      </c>
      <c r="B65" s="401">
        <v>0</v>
      </c>
      <c r="C65" s="401">
        <v>0</v>
      </c>
      <c r="D65" s="401">
        <v>0</v>
      </c>
      <c r="E65" s="401">
        <v>0</v>
      </c>
      <c r="F65" s="401">
        <v>0</v>
      </c>
      <c r="G65" s="401">
        <v>0</v>
      </c>
      <c r="H65" s="401">
        <v>0</v>
      </c>
      <c r="I65" s="401">
        <v>0</v>
      </c>
      <c r="J65" s="401">
        <v>0</v>
      </c>
      <c r="K65" s="401">
        <v>0</v>
      </c>
      <c r="L65" s="401">
        <v>0</v>
      </c>
      <c r="M65" s="401">
        <v>0</v>
      </c>
      <c r="N65" s="511"/>
      <c r="O65" s="401">
        <v>0</v>
      </c>
      <c r="P65" s="401">
        <v>0</v>
      </c>
      <c r="Q65" s="401">
        <v>0</v>
      </c>
      <c r="R65" s="403">
        <v>0</v>
      </c>
      <c r="S65" s="404"/>
    </row>
    <row r="66" spans="1:19" x14ac:dyDescent="0.25">
      <c r="A66" s="400" t="s">
        <v>612</v>
      </c>
      <c r="B66" s="401">
        <v>0</v>
      </c>
      <c r="C66" s="401">
        <v>0</v>
      </c>
      <c r="D66" s="401">
        <v>0</v>
      </c>
      <c r="E66" s="401">
        <v>0</v>
      </c>
      <c r="F66" s="401">
        <v>0</v>
      </c>
      <c r="G66" s="401">
        <v>0</v>
      </c>
      <c r="H66" s="401">
        <v>0</v>
      </c>
      <c r="I66" s="401">
        <v>0</v>
      </c>
      <c r="J66" s="401">
        <v>0</v>
      </c>
      <c r="K66" s="401">
        <v>0</v>
      </c>
      <c r="L66" s="401">
        <v>0</v>
      </c>
      <c r="M66" s="401">
        <v>0</v>
      </c>
      <c r="N66" s="511"/>
      <c r="O66" s="401">
        <v>0</v>
      </c>
      <c r="P66" s="401">
        <v>0</v>
      </c>
      <c r="Q66" s="401">
        <v>0</v>
      </c>
      <c r="R66" s="403">
        <v>0</v>
      </c>
      <c r="S66" s="404"/>
    </row>
    <row r="67" spans="1:19" x14ac:dyDescent="0.25">
      <c r="A67" s="400" t="s">
        <v>453</v>
      </c>
      <c r="B67" s="401">
        <v>0</v>
      </c>
      <c r="C67" s="401">
        <v>0</v>
      </c>
      <c r="D67" s="401">
        <v>0</v>
      </c>
      <c r="E67" s="401">
        <v>0</v>
      </c>
      <c r="F67" s="401">
        <v>0</v>
      </c>
      <c r="G67" s="401">
        <v>0</v>
      </c>
      <c r="H67" s="401">
        <v>0</v>
      </c>
      <c r="I67" s="401">
        <v>0</v>
      </c>
      <c r="J67" s="401">
        <v>0</v>
      </c>
      <c r="K67" s="401">
        <v>0</v>
      </c>
      <c r="L67" s="401">
        <v>0</v>
      </c>
      <c r="M67" s="401">
        <v>0</v>
      </c>
      <c r="N67" s="511"/>
      <c r="O67" s="401">
        <v>0</v>
      </c>
      <c r="P67" s="401">
        <v>0</v>
      </c>
      <c r="Q67" s="401">
        <v>0</v>
      </c>
      <c r="R67" s="403">
        <v>0</v>
      </c>
      <c r="S67" s="404"/>
    </row>
    <row r="68" spans="1:19" x14ac:dyDescent="0.25">
      <c r="A68" s="400" t="s">
        <v>613</v>
      </c>
      <c r="B68" s="401">
        <v>0</v>
      </c>
      <c r="C68" s="401">
        <v>0</v>
      </c>
      <c r="D68" s="401">
        <v>0</v>
      </c>
      <c r="E68" s="401">
        <v>0</v>
      </c>
      <c r="F68" s="401">
        <v>0</v>
      </c>
      <c r="G68" s="401">
        <v>0</v>
      </c>
      <c r="H68" s="401">
        <v>0</v>
      </c>
      <c r="I68" s="401">
        <v>0</v>
      </c>
      <c r="J68" s="401">
        <v>0</v>
      </c>
      <c r="K68" s="401">
        <v>0</v>
      </c>
      <c r="L68" s="401">
        <v>0</v>
      </c>
      <c r="M68" s="401">
        <v>0</v>
      </c>
      <c r="N68" s="511"/>
      <c r="O68" s="401">
        <v>0</v>
      </c>
      <c r="P68" s="401">
        <v>0</v>
      </c>
      <c r="Q68" s="401">
        <v>0</v>
      </c>
      <c r="R68" s="403">
        <v>0</v>
      </c>
      <c r="S68" s="404"/>
    </row>
    <row r="69" spans="1:19" x14ac:dyDescent="0.25">
      <c r="A69" s="411" t="s">
        <v>614</v>
      </c>
      <c r="B69" s="412">
        <v>0</v>
      </c>
      <c r="C69" s="412">
        <v>0</v>
      </c>
      <c r="D69" s="412">
        <v>0</v>
      </c>
      <c r="E69" s="412">
        <v>0</v>
      </c>
      <c r="F69" s="412">
        <v>0</v>
      </c>
      <c r="G69" s="412">
        <v>0</v>
      </c>
      <c r="H69" s="412">
        <v>0</v>
      </c>
      <c r="I69" s="412">
        <v>0</v>
      </c>
      <c r="J69" s="412">
        <v>0</v>
      </c>
      <c r="K69" s="412">
        <v>0</v>
      </c>
      <c r="L69" s="412">
        <v>0</v>
      </c>
      <c r="M69" s="412">
        <v>0</v>
      </c>
      <c r="N69" s="513">
        <f>N63+N64+N65+N66+N67+N68</f>
        <v>0</v>
      </c>
      <c r="O69" s="412">
        <v>0</v>
      </c>
      <c r="P69" s="401">
        <v>0</v>
      </c>
      <c r="Q69" s="401">
        <v>0</v>
      </c>
      <c r="R69" s="403">
        <v>0</v>
      </c>
      <c r="S69" s="404"/>
    </row>
    <row r="70" spans="1:19" x14ac:dyDescent="0.25">
      <c r="A70" s="851" t="s">
        <v>615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  <c r="O70" s="817"/>
      <c r="P70" s="817"/>
      <c r="Q70" s="817"/>
      <c r="R70" s="817"/>
    </row>
    <row r="71" spans="1:19" x14ac:dyDescent="0.25">
      <c r="A71" s="400" t="s">
        <v>616</v>
      </c>
      <c r="B71" s="401">
        <v>0</v>
      </c>
      <c r="C71" s="401">
        <v>0</v>
      </c>
      <c r="D71" s="401">
        <v>0</v>
      </c>
      <c r="E71" s="401">
        <v>0</v>
      </c>
      <c r="F71" s="401">
        <v>0</v>
      </c>
      <c r="G71" s="401">
        <v>0</v>
      </c>
      <c r="H71" s="401">
        <v>0</v>
      </c>
      <c r="I71" s="401">
        <v>0</v>
      </c>
      <c r="J71" s="401">
        <v>0</v>
      </c>
      <c r="K71" s="401">
        <v>0</v>
      </c>
      <c r="L71" s="401">
        <v>0</v>
      </c>
      <c r="M71" s="401">
        <v>0</v>
      </c>
      <c r="N71" s="511"/>
      <c r="O71" s="401">
        <v>0</v>
      </c>
      <c r="P71" s="401">
        <v>0</v>
      </c>
      <c r="Q71" s="401">
        <v>0</v>
      </c>
      <c r="R71" s="403">
        <v>0</v>
      </c>
      <c r="S71" s="413" t="s">
        <v>617</v>
      </c>
    </row>
    <row r="72" spans="1:19" x14ac:dyDescent="0.25">
      <c r="A72" s="400" t="s">
        <v>618</v>
      </c>
      <c r="B72" s="401">
        <v>0</v>
      </c>
      <c r="C72" s="401">
        <v>0</v>
      </c>
      <c r="D72" s="401">
        <v>0</v>
      </c>
      <c r="E72" s="401">
        <v>0</v>
      </c>
      <c r="F72" s="401">
        <v>0</v>
      </c>
      <c r="G72" s="401">
        <v>0</v>
      </c>
      <c r="H72" s="401">
        <v>0</v>
      </c>
      <c r="I72" s="401">
        <v>0</v>
      </c>
      <c r="J72" s="401">
        <v>0</v>
      </c>
      <c r="K72" s="401">
        <v>0</v>
      </c>
      <c r="L72" s="401">
        <v>0</v>
      </c>
      <c r="M72" s="401">
        <v>0</v>
      </c>
      <c r="N72" s="511"/>
      <c r="O72" s="401">
        <v>0</v>
      </c>
      <c r="P72" s="401">
        <v>0</v>
      </c>
      <c r="Q72" s="401">
        <v>0</v>
      </c>
      <c r="R72" s="403">
        <v>0</v>
      </c>
      <c r="S72" s="413"/>
    </row>
    <row r="73" spans="1:19" x14ac:dyDescent="0.25">
      <c r="A73" s="400" t="s">
        <v>619</v>
      </c>
      <c r="B73" s="401">
        <v>0</v>
      </c>
      <c r="C73" s="401">
        <v>0</v>
      </c>
      <c r="D73" s="401">
        <v>0</v>
      </c>
      <c r="E73" s="401">
        <v>0</v>
      </c>
      <c r="F73" s="401">
        <v>0</v>
      </c>
      <c r="G73" s="401">
        <v>0</v>
      </c>
      <c r="H73" s="401">
        <v>0</v>
      </c>
      <c r="I73" s="401">
        <v>0</v>
      </c>
      <c r="J73" s="401">
        <v>0</v>
      </c>
      <c r="K73" s="401">
        <v>0</v>
      </c>
      <c r="L73" s="401">
        <v>0</v>
      </c>
      <c r="M73" s="401">
        <v>0</v>
      </c>
      <c r="N73" s="511"/>
      <c r="O73" s="401">
        <v>0</v>
      </c>
      <c r="P73" s="401">
        <v>0</v>
      </c>
      <c r="Q73" s="401">
        <v>0</v>
      </c>
      <c r="R73" s="403">
        <v>0</v>
      </c>
      <c r="S73" s="413" t="s">
        <v>620</v>
      </c>
    </row>
    <row r="74" spans="1:19" x14ac:dyDescent="0.25">
      <c r="A74" s="400" t="s">
        <v>621</v>
      </c>
      <c r="B74" s="401">
        <v>0</v>
      </c>
      <c r="C74" s="401">
        <v>0</v>
      </c>
      <c r="D74" s="401">
        <v>0</v>
      </c>
      <c r="E74" s="401">
        <v>0</v>
      </c>
      <c r="F74" s="401">
        <v>0</v>
      </c>
      <c r="G74" s="401">
        <v>0</v>
      </c>
      <c r="H74" s="401">
        <v>0</v>
      </c>
      <c r="I74" s="401">
        <v>0</v>
      </c>
      <c r="J74" s="401">
        <v>0</v>
      </c>
      <c r="K74" s="401">
        <v>0</v>
      </c>
      <c r="L74" s="401">
        <v>0</v>
      </c>
      <c r="M74" s="401">
        <v>0</v>
      </c>
      <c r="N74" s="511"/>
      <c r="O74" s="401">
        <v>0</v>
      </c>
      <c r="P74" s="401">
        <v>0</v>
      </c>
      <c r="Q74" s="401">
        <v>0</v>
      </c>
      <c r="R74" s="403">
        <v>0</v>
      </c>
      <c r="S74" s="413"/>
    </row>
    <row r="75" spans="1:19" x14ac:dyDescent="0.25">
      <c r="A75" s="400" t="s">
        <v>622</v>
      </c>
      <c r="B75" s="401">
        <v>0</v>
      </c>
      <c r="C75" s="401">
        <v>0</v>
      </c>
      <c r="D75" s="401">
        <v>0</v>
      </c>
      <c r="E75" s="401">
        <v>0</v>
      </c>
      <c r="F75" s="401">
        <v>0</v>
      </c>
      <c r="G75" s="401">
        <v>0</v>
      </c>
      <c r="H75" s="401">
        <v>0</v>
      </c>
      <c r="I75" s="401">
        <v>0</v>
      </c>
      <c r="J75" s="401">
        <v>0</v>
      </c>
      <c r="K75" s="401">
        <v>0</v>
      </c>
      <c r="L75" s="401">
        <v>0</v>
      </c>
      <c r="M75" s="401">
        <v>0</v>
      </c>
      <c r="N75" s="511"/>
      <c r="O75" s="401">
        <v>0</v>
      </c>
      <c r="P75" s="401">
        <v>0</v>
      </c>
      <c r="Q75" s="401">
        <v>0</v>
      </c>
      <c r="R75" s="403">
        <v>0</v>
      </c>
      <c r="S75" s="413"/>
    </row>
    <row r="76" spans="1:19" x14ac:dyDescent="0.25">
      <c r="A76" s="400" t="s">
        <v>623</v>
      </c>
      <c r="B76" s="401">
        <v>0</v>
      </c>
      <c r="C76" s="401">
        <v>0</v>
      </c>
      <c r="D76" s="401">
        <v>0</v>
      </c>
      <c r="E76" s="401">
        <v>0</v>
      </c>
      <c r="F76" s="401">
        <v>0</v>
      </c>
      <c r="G76" s="401">
        <v>0</v>
      </c>
      <c r="H76" s="401">
        <v>0</v>
      </c>
      <c r="I76" s="401">
        <v>0</v>
      </c>
      <c r="J76" s="401">
        <v>0</v>
      </c>
      <c r="K76" s="401">
        <v>0</v>
      </c>
      <c r="L76" s="401">
        <v>0</v>
      </c>
      <c r="M76" s="401">
        <v>0</v>
      </c>
      <c r="N76" s="511"/>
      <c r="O76" s="401">
        <v>0</v>
      </c>
      <c r="P76" s="401">
        <v>0</v>
      </c>
      <c r="Q76" s="401">
        <v>0</v>
      </c>
      <c r="R76" s="403">
        <v>0</v>
      </c>
      <c r="S76" s="413"/>
    </row>
    <row r="77" spans="1:19" x14ac:dyDescent="0.25">
      <c r="A77" s="400" t="s">
        <v>624</v>
      </c>
      <c r="B77" s="401">
        <v>0</v>
      </c>
      <c r="C77" s="401">
        <v>0</v>
      </c>
      <c r="D77" s="401">
        <v>0</v>
      </c>
      <c r="E77" s="401">
        <v>0</v>
      </c>
      <c r="F77" s="401">
        <v>0</v>
      </c>
      <c r="G77" s="401">
        <v>0</v>
      </c>
      <c r="H77" s="401">
        <v>0</v>
      </c>
      <c r="I77" s="401">
        <v>0</v>
      </c>
      <c r="J77" s="401">
        <v>0</v>
      </c>
      <c r="K77" s="401">
        <v>0</v>
      </c>
      <c r="L77" s="401">
        <v>0</v>
      </c>
      <c r="M77" s="401">
        <v>0</v>
      </c>
      <c r="N77" s="511"/>
      <c r="O77" s="401">
        <v>0</v>
      </c>
      <c r="P77" s="401">
        <v>0</v>
      </c>
      <c r="Q77" s="401">
        <v>0</v>
      </c>
      <c r="R77" s="403">
        <v>0</v>
      </c>
      <c r="S77" s="413"/>
    </row>
    <row r="78" spans="1:19" x14ac:dyDescent="0.25">
      <c r="A78" s="400" t="s">
        <v>625</v>
      </c>
      <c r="B78" s="401">
        <v>0</v>
      </c>
      <c r="C78" s="401">
        <v>0</v>
      </c>
      <c r="D78" s="401">
        <v>0</v>
      </c>
      <c r="E78" s="401">
        <v>0</v>
      </c>
      <c r="F78" s="401">
        <v>0</v>
      </c>
      <c r="G78" s="401">
        <v>0</v>
      </c>
      <c r="H78" s="401">
        <v>0</v>
      </c>
      <c r="I78" s="401">
        <v>0</v>
      </c>
      <c r="J78" s="401">
        <v>0</v>
      </c>
      <c r="K78" s="401">
        <v>0</v>
      </c>
      <c r="L78" s="401">
        <v>0</v>
      </c>
      <c r="M78" s="401">
        <v>0</v>
      </c>
      <c r="N78" s="511"/>
      <c r="O78" s="401">
        <v>0</v>
      </c>
      <c r="P78" s="401">
        <v>0</v>
      </c>
      <c r="Q78" s="401">
        <v>0</v>
      </c>
      <c r="R78" s="403">
        <v>0</v>
      </c>
      <c r="S78" s="413"/>
    </row>
    <row r="79" spans="1:19" x14ac:dyDescent="0.25">
      <c r="A79" s="400" t="s">
        <v>626</v>
      </c>
      <c r="B79" s="401">
        <v>0</v>
      </c>
      <c r="C79" s="401">
        <v>0</v>
      </c>
      <c r="D79" s="401">
        <v>0</v>
      </c>
      <c r="E79" s="401">
        <v>0</v>
      </c>
      <c r="F79" s="401">
        <v>0</v>
      </c>
      <c r="G79" s="401">
        <v>0</v>
      </c>
      <c r="H79" s="401">
        <v>0</v>
      </c>
      <c r="I79" s="401">
        <v>0</v>
      </c>
      <c r="J79" s="401">
        <v>0</v>
      </c>
      <c r="K79" s="401">
        <v>0</v>
      </c>
      <c r="L79" s="401">
        <v>0</v>
      </c>
      <c r="M79" s="401">
        <v>0</v>
      </c>
      <c r="N79" s="511"/>
      <c r="O79" s="401">
        <v>0</v>
      </c>
      <c r="P79" s="401">
        <v>0</v>
      </c>
      <c r="Q79" s="401">
        <v>0</v>
      </c>
      <c r="R79" s="403">
        <v>0</v>
      </c>
      <c r="S79" s="413" t="s">
        <v>627</v>
      </c>
    </row>
    <row r="80" spans="1:19" x14ac:dyDescent="0.25">
      <c r="A80" s="400" t="s">
        <v>628</v>
      </c>
      <c r="B80" s="401">
        <v>0</v>
      </c>
      <c r="C80" s="401">
        <v>0</v>
      </c>
      <c r="D80" s="401">
        <v>0</v>
      </c>
      <c r="E80" s="401">
        <v>0</v>
      </c>
      <c r="F80" s="401">
        <v>0</v>
      </c>
      <c r="G80" s="401">
        <v>0</v>
      </c>
      <c r="H80" s="401">
        <v>0</v>
      </c>
      <c r="I80" s="401">
        <v>0</v>
      </c>
      <c r="J80" s="401">
        <v>0</v>
      </c>
      <c r="K80" s="401">
        <v>0</v>
      </c>
      <c r="L80" s="401">
        <v>0</v>
      </c>
      <c r="M80" s="401">
        <v>0</v>
      </c>
      <c r="N80" s="511"/>
      <c r="O80" s="401">
        <v>0</v>
      </c>
      <c r="P80" s="401">
        <v>0</v>
      </c>
      <c r="Q80" s="401">
        <v>0</v>
      </c>
      <c r="R80" s="403">
        <v>0</v>
      </c>
      <c r="S80" s="413"/>
    </row>
    <row r="81" spans="1:19" x14ac:dyDescent="0.25">
      <c r="A81" s="400" t="s">
        <v>629</v>
      </c>
      <c r="B81" s="401">
        <v>0</v>
      </c>
      <c r="C81" s="401">
        <v>0</v>
      </c>
      <c r="D81" s="401">
        <v>0</v>
      </c>
      <c r="E81" s="401">
        <v>0</v>
      </c>
      <c r="F81" s="401">
        <v>0</v>
      </c>
      <c r="G81" s="401">
        <v>0</v>
      </c>
      <c r="H81" s="401">
        <v>0</v>
      </c>
      <c r="I81" s="401">
        <v>0</v>
      </c>
      <c r="J81" s="401">
        <v>0</v>
      </c>
      <c r="K81" s="401">
        <v>0</v>
      </c>
      <c r="L81" s="401">
        <v>0</v>
      </c>
      <c r="M81" s="401">
        <v>0</v>
      </c>
      <c r="N81" s="511"/>
      <c r="O81" s="401">
        <v>0</v>
      </c>
      <c r="P81" s="401">
        <v>0</v>
      </c>
      <c r="Q81" s="401">
        <v>0</v>
      </c>
      <c r="R81" s="403">
        <v>0</v>
      </c>
      <c r="S81" s="413" t="s">
        <v>630</v>
      </c>
    </row>
    <row r="82" spans="1:19" x14ac:dyDescent="0.25">
      <c r="A82" s="400" t="s">
        <v>631</v>
      </c>
      <c r="B82" s="401">
        <v>0</v>
      </c>
      <c r="C82" s="401">
        <v>0</v>
      </c>
      <c r="D82" s="401">
        <v>0</v>
      </c>
      <c r="E82" s="401">
        <v>0</v>
      </c>
      <c r="F82" s="401">
        <v>0</v>
      </c>
      <c r="G82" s="401">
        <v>0</v>
      </c>
      <c r="H82" s="401">
        <v>0</v>
      </c>
      <c r="I82" s="401">
        <v>0</v>
      </c>
      <c r="J82" s="401">
        <v>0</v>
      </c>
      <c r="K82" s="401">
        <v>0</v>
      </c>
      <c r="L82" s="401">
        <v>0</v>
      </c>
      <c r="M82" s="401">
        <v>0</v>
      </c>
      <c r="N82" s="511"/>
      <c r="O82" s="401">
        <v>0</v>
      </c>
      <c r="P82" s="401">
        <v>0</v>
      </c>
      <c r="Q82" s="401">
        <v>0</v>
      </c>
      <c r="R82" s="403">
        <v>0</v>
      </c>
      <c r="S82" s="413"/>
    </row>
    <row r="83" spans="1:19" x14ac:dyDescent="0.25">
      <c r="A83" s="400" t="s">
        <v>632</v>
      </c>
      <c r="B83" s="401">
        <v>0</v>
      </c>
      <c r="C83" s="401">
        <v>0</v>
      </c>
      <c r="D83" s="401">
        <v>0</v>
      </c>
      <c r="E83" s="401">
        <v>0</v>
      </c>
      <c r="F83" s="401">
        <v>0</v>
      </c>
      <c r="G83" s="401">
        <v>0</v>
      </c>
      <c r="H83" s="401">
        <v>0</v>
      </c>
      <c r="I83" s="401">
        <v>0</v>
      </c>
      <c r="J83" s="401">
        <v>0</v>
      </c>
      <c r="K83" s="401">
        <v>0</v>
      </c>
      <c r="L83" s="401">
        <v>0</v>
      </c>
      <c r="M83" s="401">
        <v>0</v>
      </c>
      <c r="N83" s="511"/>
      <c r="O83" s="401">
        <v>0</v>
      </c>
      <c r="P83" s="401">
        <v>0</v>
      </c>
      <c r="Q83" s="401">
        <v>0</v>
      </c>
      <c r="R83" s="403">
        <v>0</v>
      </c>
      <c r="S83" s="413"/>
    </row>
    <row r="84" spans="1:19" x14ac:dyDescent="0.25">
      <c r="A84" s="400" t="s">
        <v>633</v>
      </c>
      <c r="B84" s="401">
        <v>0</v>
      </c>
      <c r="C84" s="401">
        <v>0</v>
      </c>
      <c r="D84" s="401">
        <v>0</v>
      </c>
      <c r="E84" s="401">
        <v>0</v>
      </c>
      <c r="F84" s="401">
        <v>0</v>
      </c>
      <c r="G84" s="401">
        <v>0</v>
      </c>
      <c r="H84" s="401">
        <v>0</v>
      </c>
      <c r="I84" s="401">
        <v>0</v>
      </c>
      <c r="J84" s="401">
        <v>0</v>
      </c>
      <c r="K84" s="401">
        <v>0</v>
      </c>
      <c r="L84" s="401">
        <v>0</v>
      </c>
      <c r="M84" s="401">
        <v>0</v>
      </c>
      <c r="N84" s="511"/>
      <c r="O84" s="401">
        <v>0</v>
      </c>
      <c r="P84" s="401">
        <v>0</v>
      </c>
      <c r="Q84" s="401">
        <v>0</v>
      </c>
      <c r="R84" s="403">
        <v>0</v>
      </c>
      <c r="S84" s="413"/>
    </row>
    <row r="85" spans="1:19" x14ac:dyDescent="0.25">
      <c r="A85" s="411" t="s">
        <v>634</v>
      </c>
      <c r="B85" s="412">
        <v>0</v>
      </c>
      <c r="C85" s="412">
        <v>0</v>
      </c>
      <c r="D85" s="412">
        <v>0</v>
      </c>
      <c r="E85" s="412">
        <v>0</v>
      </c>
      <c r="F85" s="412">
        <v>0</v>
      </c>
      <c r="G85" s="412">
        <v>0</v>
      </c>
      <c r="H85" s="412">
        <v>0</v>
      </c>
      <c r="I85" s="412">
        <v>0</v>
      </c>
      <c r="J85" s="412">
        <v>0</v>
      </c>
      <c r="K85" s="412">
        <v>0</v>
      </c>
      <c r="L85" s="412">
        <v>0</v>
      </c>
      <c r="M85" s="412">
        <v>0</v>
      </c>
      <c r="N85" s="513">
        <f>SUM(N71:N84)</f>
        <v>0</v>
      </c>
      <c r="O85" s="412">
        <v>0</v>
      </c>
      <c r="P85" s="401">
        <v>0</v>
      </c>
      <c r="Q85" s="401">
        <v>0</v>
      </c>
      <c r="R85" s="403">
        <v>0</v>
      </c>
      <c r="S85" s="413" t="s">
        <v>635</v>
      </c>
    </row>
    <row r="86" spans="1:19" x14ac:dyDescent="0.25">
      <c r="A86" s="851" t="s">
        <v>636</v>
      </c>
      <c r="B86" s="817"/>
      <c r="C86" s="817"/>
      <c r="D86" s="817"/>
      <c r="E86" s="817"/>
      <c r="F86" s="817"/>
      <c r="G86" s="817"/>
      <c r="H86" s="817"/>
      <c r="I86" s="817"/>
      <c r="J86" s="817"/>
      <c r="K86" s="817"/>
      <c r="L86" s="817"/>
      <c r="M86" s="817"/>
      <c r="N86" s="817"/>
      <c r="O86" s="817"/>
      <c r="P86" s="817"/>
      <c r="Q86" s="817"/>
      <c r="R86" s="817"/>
    </row>
    <row r="87" spans="1:19" x14ac:dyDescent="0.25">
      <c r="A87" s="400" t="s">
        <v>552</v>
      </c>
      <c r="B87" s="401">
        <v>0</v>
      </c>
      <c r="C87" s="401">
        <v>0</v>
      </c>
      <c r="D87" s="401">
        <v>0</v>
      </c>
      <c r="E87" s="401">
        <v>0</v>
      </c>
      <c r="F87" s="401">
        <v>0</v>
      </c>
      <c r="G87" s="401">
        <v>0</v>
      </c>
      <c r="H87" s="401">
        <v>0</v>
      </c>
      <c r="I87" s="401">
        <v>0</v>
      </c>
      <c r="J87" s="401">
        <v>0</v>
      </c>
      <c r="K87" s="401">
        <v>0</v>
      </c>
      <c r="L87" s="401">
        <v>0</v>
      </c>
      <c r="M87" s="401">
        <v>0</v>
      </c>
      <c r="N87" s="401"/>
      <c r="O87" s="401">
        <v>0</v>
      </c>
      <c r="P87" s="401">
        <v>0</v>
      </c>
      <c r="Q87" s="401">
        <v>0</v>
      </c>
      <c r="R87" s="403">
        <v>0</v>
      </c>
      <c r="S87" s="413" t="s">
        <v>637</v>
      </c>
    </row>
    <row r="88" spans="1:19" x14ac:dyDescent="0.25">
      <c r="A88" s="400" t="s">
        <v>638</v>
      </c>
      <c r="B88" s="401">
        <v>0</v>
      </c>
      <c r="C88" s="401">
        <v>0</v>
      </c>
      <c r="D88" s="401">
        <v>0</v>
      </c>
      <c r="E88" s="401">
        <v>0</v>
      </c>
      <c r="F88" s="401">
        <v>0</v>
      </c>
      <c r="G88" s="401">
        <v>0</v>
      </c>
      <c r="H88" s="401">
        <v>0</v>
      </c>
      <c r="I88" s="401">
        <v>0</v>
      </c>
      <c r="J88" s="401">
        <v>0</v>
      </c>
      <c r="K88" s="401">
        <v>0</v>
      </c>
      <c r="L88" s="401">
        <v>0</v>
      </c>
      <c r="M88" s="401">
        <v>0</v>
      </c>
      <c r="N88" s="401"/>
      <c r="O88" s="401">
        <v>0</v>
      </c>
      <c r="P88" s="401">
        <v>0</v>
      </c>
      <c r="Q88" s="401">
        <v>0</v>
      </c>
      <c r="R88" s="403">
        <v>0</v>
      </c>
      <c r="S88" s="413"/>
    </row>
    <row r="89" spans="1:19" x14ac:dyDescent="0.25">
      <c r="A89" s="400" t="s">
        <v>639</v>
      </c>
      <c r="B89" s="401">
        <v>0</v>
      </c>
      <c r="C89" s="401">
        <v>0</v>
      </c>
      <c r="D89" s="401">
        <v>0</v>
      </c>
      <c r="E89" s="401">
        <v>0</v>
      </c>
      <c r="F89" s="401">
        <v>0</v>
      </c>
      <c r="G89" s="401">
        <v>0</v>
      </c>
      <c r="H89" s="401">
        <v>0</v>
      </c>
      <c r="I89" s="401">
        <v>0</v>
      </c>
      <c r="J89" s="401">
        <v>0</v>
      </c>
      <c r="K89" s="401">
        <v>0</v>
      </c>
      <c r="L89" s="401">
        <v>0</v>
      </c>
      <c r="M89" s="401">
        <v>0</v>
      </c>
      <c r="N89" s="401"/>
      <c r="O89" s="401">
        <v>0</v>
      </c>
      <c r="P89" s="401">
        <v>0</v>
      </c>
      <c r="Q89" s="401">
        <v>0</v>
      </c>
      <c r="R89" s="403">
        <v>0</v>
      </c>
      <c r="S89" s="413"/>
    </row>
    <row r="90" spans="1:19" x14ac:dyDescent="0.25">
      <c r="A90" s="400" t="s">
        <v>640</v>
      </c>
      <c r="B90" s="401">
        <v>0</v>
      </c>
      <c r="C90" s="401">
        <v>0</v>
      </c>
      <c r="D90" s="401">
        <v>0</v>
      </c>
      <c r="E90" s="401">
        <v>0</v>
      </c>
      <c r="F90" s="401">
        <v>0</v>
      </c>
      <c r="G90" s="401">
        <v>0</v>
      </c>
      <c r="H90" s="401">
        <v>0</v>
      </c>
      <c r="I90" s="401">
        <v>0</v>
      </c>
      <c r="J90" s="401">
        <v>0</v>
      </c>
      <c r="K90" s="401">
        <v>0</v>
      </c>
      <c r="L90" s="401">
        <v>0</v>
      </c>
      <c r="M90" s="401">
        <v>0</v>
      </c>
      <c r="N90" s="401"/>
      <c r="O90" s="401">
        <v>0</v>
      </c>
      <c r="P90" s="401">
        <v>0</v>
      </c>
      <c r="Q90" s="401">
        <v>0</v>
      </c>
      <c r="R90" s="403">
        <v>0</v>
      </c>
      <c r="S90" s="413"/>
    </row>
    <row r="91" spans="1:19" x14ac:dyDescent="0.25">
      <c r="A91" s="400" t="s">
        <v>641</v>
      </c>
      <c r="B91" s="401">
        <v>0</v>
      </c>
      <c r="C91" s="401">
        <v>0</v>
      </c>
      <c r="D91" s="401">
        <v>0</v>
      </c>
      <c r="E91" s="401">
        <v>0</v>
      </c>
      <c r="F91" s="401">
        <v>0</v>
      </c>
      <c r="G91" s="401">
        <v>0</v>
      </c>
      <c r="H91" s="401">
        <v>0</v>
      </c>
      <c r="I91" s="401">
        <v>0</v>
      </c>
      <c r="J91" s="401">
        <v>0</v>
      </c>
      <c r="K91" s="401">
        <v>0</v>
      </c>
      <c r="L91" s="401">
        <v>0</v>
      </c>
      <c r="M91" s="401">
        <v>0</v>
      </c>
      <c r="N91" s="401"/>
      <c r="O91" s="401">
        <v>0</v>
      </c>
      <c r="P91" s="401">
        <v>0</v>
      </c>
      <c r="Q91" s="401">
        <v>0</v>
      </c>
      <c r="R91" s="403">
        <v>0</v>
      </c>
      <c r="S91" s="413"/>
    </row>
    <row r="92" spans="1:19" x14ac:dyDescent="0.25">
      <c r="A92" s="400" t="s">
        <v>642</v>
      </c>
      <c r="B92" s="401">
        <v>0</v>
      </c>
      <c r="C92" s="401">
        <v>0</v>
      </c>
      <c r="D92" s="401">
        <v>0</v>
      </c>
      <c r="E92" s="401">
        <v>0</v>
      </c>
      <c r="F92" s="401">
        <v>0</v>
      </c>
      <c r="G92" s="401">
        <v>0</v>
      </c>
      <c r="H92" s="401">
        <v>0</v>
      </c>
      <c r="I92" s="401">
        <v>0</v>
      </c>
      <c r="J92" s="401">
        <v>0</v>
      </c>
      <c r="K92" s="401">
        <v>0</v>
      </c>
      <c r="L92" s="401">
        <v>0</v>
      </c>
      <c r="M92" s="401">
        <v>0</v>
      </c>
      <c r="N92" s="401"/>
      <c r="O92" s="401">
        <v>0</v>
      </c>
      <c r="P92" s="401">
        <v>0</v>
      </c>
      <c r="Q92" s="401">
        <v>0</v>
      </c>
      <c r="R92" s="403">
        <v>0</v>
      </c>
      <c r="S92" s="413"/>
    </row>
    <row r="93" spans="1:19" x14ac:dyDescent="0.25">
      <c r="A93" s="400" t="s">
        <v>643</v>
      </c>
      <c r="B93" s="401">
        <v>0</v>
      </c>
      <c r="C93" s="401">
        <v>0</v>
      </c>
      <c r="D93" s="401">
        <v>0</v>
      </c>
      <c r="E93" s="401">
        <v>0</v>
      </c>
      <c r="F93" s="401">
        <v>0</v>
      </c>
      <c r="G93" s="401">
        <v>0</v>
      </c>
      <c r="H93" s="401">
        <v>0</v>
      </c>
      <c r="I93" s="401">
        <v>0</v>
      </c>
      <c r="J93" s="401">
        <v>0</v>
      </c>
      <c r="K93" s="401">
        <v>0</v>
      </c>
      <c r="L93" s="401">
        <v>0</v>
      </c>
      <c r="M93" s="401">
        <v>0</v>
      </c>
      <c r="N93" s="401"/>
      <c r="O93" s="401">
        <v>0</v>
      </c>
      <c r="P93" s="401">
        <v>0</v>
      </c>
      <c r="Q93" s="401">
        <v>0</v>
      </c>
      <c r="R93" s="403">
        <v>0</v>
      </c>
      <c r="S93" s="413"/>
    </row>
    <row r="94" spans="1:19" x14ac:dyDescent="0.25">
      <c r="A94" s="400" t="s">
        <v>644</v>
      </c>
      <c r="B94" s="401">
        <v>0</v>
      </c>
      <c r="C94" s="401">
        <v>0</v>
      </c>
      <c r="D94" s="401">
        <v>0</v>
      </c>
      <c r="E94" s="401">
        <v>0</v>
      </c>
      <c r="F94" s="401">
        <v>0</v>
      </c>
      <c r="G94" s="401">
        <v>0</v>
      </c>
      <c r="H94" s="401">
        <v>0</v>
      </c>
      <c r="I94" s="401">
        <v>0</v>
      </c>
      <c r="J94" s="401">
        <v>0</v>
      </c>
      <c r="K94" s="401">
        <v>0</v>
      </c>
      <c r="L94" s="401">
        <v>0</v>
      </c>
      <c r="M94" s="401">
        <v>0</v>
      </c>
      <c r="N94" s="401"/>
      <c r="O94" s="401">
        <v>0</v>
      </c>
      <c r="P94" s="401">
        <v>0</v>
      </c>
      <c r="Q94" s="401">
        <v>0</v>
      </c>
      <c r="R94" s="403">
        <v>0</v>
      </c>
      <c r="S94" s="413"/>
    </row>
    <row r="95" spans="1:19" x14ac:dyDescent="0.25">
      <c r="A95" s="400" t="s">
        <v>645</v>
      </c>
      <c r="B95" s="401">
        <v>0</v>
      </c>
      <c r="C95" s="401">
        <v>0</v>
      </c>
      <c r="D95" s="401">
        <v>0</v>
      </c>
      <c r="E95" s="401">
        <v>0</v>
      </c>
      <c r="F95" s="401">
        <v>0</v>
      </c>
      <c r="G95" s="401">
        <v>0</v>
      </c>
      <c r="H95" s="401">
        <v>0</v>
      </c>
      <c r="I95" s="401">
        <v>0</v>
      </c>
      <c r="J95" s="401">
        <v>0</v>
      </c>
      <c r="K95" s="401">
        <v>0</v>
      </c>
      <c r="L95" s="401">
        <v>0</v>
      </c>
      <c r="M95" s="401">
        <v>0</v>
      </c>
      <c r="N95" s="401"/>
      <c r="O95" s="401">
        <v>0</v>
      </c>
      <c r="P95" s="401">
        <v>0</v>
      </c>
      <c r="Q95" s="401">
        <v>0</v>
      </c>
      <c r="R95" s="403">
        <v>0</v>
      </c>
      <c r="S95" s="413" t="s">
        <v>646</v>
      </c>
    </row>
    <row r="96" spans="1:19" x14ac:dyDescent="0.25">
      <c r="A96" s="400" t="s">
        <v>553</v>
      </c>
      <c r="B96" s="401">
        <v>0</v>
      </c>
      <c r="C96" s="401">
        <v>0</v>
      </c>
      <c r="D96" s="401">
        <v>0</v>
      </c>
      <c r="E96" s="401">
        <v>0</v>
      </c>
      <c r="F96" s="401">
        <v>0</v>
      </c>
      <c r="G96" s="401">
        <v>0</v>
      </c>
      <c r="H96" s="401">
        <v>0</v>
      </c>
      <c r="I96" s="401">
        <v>0</v>
      </c>
      <c r="J96" s="401">
        <v>0</v>
      </c>
      <c r="K96" s="401">
        <v>0</v>
      </c>
      <c r="L96" s="401">
        <v>0</v>
      </c>
      <c r="M96" s="401">
        <v>0</v>
      </c>
      <c r="N96" s="401"/>
      <c r="O96" s="401">
        <v>0</v>
      </c>
      <c r="P96" s="401">
        <v>0</v>
      </c>
      <c r="Q96" s="401">
        <v>0</v>
      </c>
      <c r="R96" s="403">
        <v>0</v>
      </c>
      <c r="S96" s="413"/>
    </row>
    <row r="97" spans="1:19" x14ac:dyDescent="0.25">
      <c r="A97" s="400" t="s">
        <v>647</v>
      </c>
      <c r="B97" s="401">
        <v>0</v>
      </c>
      <c r="C97" s="401">
        <v>0</v>
      </c>
      <c r="D97" s="401">
        <v>0</v>
      </c>
      <c r="E97" s="401">
        <v>0</v>
      </c>
      <c r="F97" s="401">
        <v>0</v>
      </c>
      <c r="G97" s="401">
        <v>0</v>
      </c>
      <c r="H97" s="401">
        <v>0</v>
      </c>
      <c r="I97" s="401">
        <v>0</v>
      </c>
      <c r="J97" s="401">
        <v>0</v>
      </c>
      <c r="K97" s="401">
        <v>0</v>
      </c>
      <c r="L97" s="401">
        <v>0</v>
      </c>
      <c r="M97" s="401">
        <v>0</v>
      </c>
      <c r="N97" s="401"/>
      <c r="O97" s="401">
        <v>0</v>
      </c>
      <c r="P97" s="401">
        <v>0</v>
      </c>
      <c r="Q97" s="401">
        <v>0</v>
      </c>
      <c r="R97" s="403">
        <v>0</v>
      </c>
      <c r="S97" s="413"/>
    </row>
    <row r="98" spans="1:19" x14ac:dyDescent="0.25">
      <c r="A98" s="400" t="s">
        <v>584</v>
      </c>
      <c r="B98" s="401">
        <v>0</v>
      </c>
      <c r="C98" s="401">
        <v>0</v>
      </c>
      <c r="D98" s="401">
        <v>0</v>
      </c>
      <c r="E98" s="401">
        <v>0</v>
      </c>
      <c r="F98" s="401">
        <v>0</v>
      </c>
      <c r="G98" s="401">
        <v>0</v>
      </c>
      <c r="H98" s="401">
        <v>0</v>
      </c>
      <c r="I98" s="401">
        <v>0</v>
      </c>
      <c r="J98" s="401">
        <v>0</v>
      </c>
      <c r="K98" s="401">
        <v>0</v>
      </c>
      <c r="L98" s="401">
        <v>0</v>
      </c>
      <c r="M98" s="401">
        <v>0</v>
      </c>
      <c r="N98" s="401"/>
      <c r="O98" s="401">
        <v>0</v>
      </c>
      <c r="P98" s="401">
        <v>0</v>
      </c>
      <c r="Q98" s="401">
        <v>0</v>
      </c>
      <c r="R98" s="403">
        <v>0</v>
      </c>
      <c r="S98" s="413"/>
    </row>
    <row r="99" spans="1:19" x14ac:dyDescent="0.25">
      <c r="A99" s="400" t="s">
        <v>648</v>
      </c>
      <c r="B99" s="401">
        <v>0</v>
      </c>
      <c r="C99" s="401">
        <v>0</v>
      </c>
      <c r="D99" s="401">
        <v>0</v>
      </c>
      <c r="E99" s="401">
        <v>0</v>
      </c>
      <c r="F99" s="401">
        <v>0</v>
      </c>
      <c r="G99" s="401">
        <v>0</v>
      </c>
      <c r="H99" s="401">
        <v>0</v>
      </c>
      <c r="I99" s="401">
        <v>0</v>
      </c>
      <c r="J99" s="401">
        <v>0</v>
      </c>
      <c r="K99" s="401">
        <v>0</v>
      </c>
      <c r="L99" s="401">
        <v>0</v>
      </c>
      <c r="M99" s="401">
        <v>0</v>
      </c>
      <c r="N99" s="401"/>
      <c r="O99" s="401">
        <v>0</v>
      </c>
      <c r="P99" s="401">
        <v>0</v>
      </c>
      <c r="Q99" s="401">
        <v>0</v>
      </c>
      <c r="R99" s="403">
        <v>0</v>
      </c>
      <c r="S99" s="413"/>
    </row>
    <row r="100" spans="1:19" x14ac:dyDescent="0.25">
      <c r="A100" s="400" t="s">
        <v>649</v>
      </c>
      <c r="B100" s="401">
        <v>0</v>
      </c>
      <c r="C100" s="401">
        <v>0</v>
      </c>
      <c r="D100" s="401">
        <v>0</v>
      </c>
      <c r="E100" s="401">
        <v>0</v>
      </c>
      <c r="F100" s="401">
        <v>0</v>
      </c>
      <c r="G100" s="401">
        <v>0</v>
      </c>
      <c r="H100" s="401">
        <v>0</v>
      </c>
      <c r="I100" s="401">
        <v>0</v>
      </c>
      <c r="J100" s="401">
        <v>0</v>
      </c>
      <c r="K100" s="401">
        <v>0</v>
      </c>
      <c r="L100" s="401">
        <v>0</v>
      </c>
      <c r="M100" s="401">
        <v>0</v>
      </c>
      <c r="N100" s="401"/>
      <c r="O100" s="401">
        <v>0</v>
      </c>
      <c r="P100" s="401">
        <v>0</v>
      </c>
      <c r="Q100" s="401">
        <v>0</v>
      </c>
      <c r="R100" s="403">
        <v>0</v>
      </c>
      <c r="S100" s="413"/>
    </row>
    <row r="101" spans="1:19" x14ac:dyDescent="0.25">
      <c r="A101" s="400" t="s">
        <v>650</v>
      </c>
      <c r="B101" s="401">
        <v>0</v>
      </c>
      <c r="C101" s="401">
        <v>0</v>
      </c>
      <c r="D101" s="401">
        <v>0</v>
      </c>
      <c r="E101" s="401">
        <v>0</v>
      </c>
      <c r="F101" s="401">
        <v>0</v>
      </c>
      <c r="G101" s="401">
        <v>0</v>
      </c>
      <c r="H101" s="401">
        <v>0</v>
      </c>
      <c r="I101" s="401">
        <v>0</v>
      </c>
      <c r="J101" s="401">
        <v>0</v>
      </c>
      <c r="K101" s="401">
        <v>0</v>
      </c>
      <c r="L101" s="401">
        <v>0</v>
      </c>
      <c r="M101" s="401">
        <v>0</v>
      </c>
      <c r="N101" s="401"/>
      <c r="O101" s="401">
        <v>0</v>
      </c>
      <c r="P101" s="401">
        <v>0</v>
      </c>
      <c r="Q101" s="401">
        <v>0</v>
      </c>
      <c r="R101" s="403">
        <v>0</v>
      </c>
      <c r="S101" s="413"/>
    </row>
    <row r="102" spans="1:19" x14ac:dyDescent="0.25">
      <c r="A102" s="400" t="s">
        <v>467</v>
      </c>
      <c r="B102" s="401">
        <v>0</v>
      </c>
      <c r="C102" s="401">
        <v>0</v>
      </c>
      <c r="D102" s="401">
        <v>0</v>
      </c>
      <c r="E102" s="401">
        <v>0</v>
      </c>
      <c r="F102" s="401">
        <v>0</v>
      </c>
      <c r="G102" s="401">
        <v>0</v>
      </c>
      <c r="H102" s="401">
        <v>0</v>
      </c>
      <c r="I102" s="401">
        <v>0</v>
      </c>
      <c r="J102" s="401">
        <v>0</v>
      </c>
      <c r="K102" s="401">
        <v>0</v>
      </c>
      <c r="L102" s="401">
        <v>0</v>
      </c>
      <c r="M102" s="401">
        <v>0</v>
      </c>
      <c r="N102" s="401"/>
      <c r="O102" s="401">
        <v>0</v>
      </c>
      <c r="P102" s="401">
        <v>0</v>
      </c>
      <c r="Q102" s="401">
        <v>0</v>
      </c>
      <c r="R102" s="403">
        <v>0</v>
      </c>
      <c r="S102" s="413"/>
    </row>
    <row r="103" spans="1:19" x14ac:dyDescent="0.25">
      <c r="A103" s="400" t="s">
        <v>651</v>
      </c>
      <c r="B103" s="401">
        <v>0</v>
      </c>
      <c r="C103" s="401">
        <v>0</v>
      </c>
      <c r="D103" s="401">
        <v>0</v>
      </c>
      <c r="E103" s="401">
        <v>0</v>
      </c>
      <c r="F103" s="401">
        <v>0</v>
      </c>
      <c r="G103" s="401">
        <v>0</v>
      </c>
      <c r="H103" s="401">
        <v>0</v>
      </c>
      <c r="I103" s="401">
        <v>0</v>
      </c>
      <c r="J103" s="401">
        <v>0</v>
      </c>
      <c r="K103" s="401">
        <v>0</v>
      </c>
      <c r="L103" s="401">
        <v>0</v>
      </c>
      <c r="M103" s="401">
        <v>0</v>
      </c>
      <c r="N103" s="401"/>
      <c r="O103" s="401">
        <v>0</v>
      </c>
      <c r="P103" s="401">
        <v>0</v>
      </c>
      <c r="Q103" s="401">
        <v>0</v>
      </c>
      <c r="R103" s="403">
        <v>0</v>
      </c>
      <c r="S103" s="413"/>
    </row>
    <row r="104" spans="1:19" x14ac:dyDescent="0.25">
      <c r="A104" s="400" t="s">
        <v>652</v>
      </c>
      <c r="B104" s="401">
        <v>0</v>
      </c>
      <c r="C104" s="401">
        <v>0</v>
      </c>
      <c r="D104" s="401">
        <v>0</v>
      </c>
      <c r="E104" s="401">
        <v>0</v>
      </c>
      <c r="F104" s="401">
        <v>0</v>
      </c>
      <c r="G104" s="401">
        <v>0</v>
      </c>
      <c r="H104" s="401">
        <v>0</v>
      </c>
      <c r="I104" s="401">
        <v>0</v>
      </c>
      <c r="J104" s="401">
        <v>0</v>
      </c>
      <c r="K104" s="401">
        <v>0</v>
      </c>
      <c r="L104" s="401">
        <v>0</v>
      </c>
      <c r="M104" s="401">
        <v>0</v>
      </c>
      <c r="N104" s="401"/>
      <c r="O104" s="401">
        <v>0</v>
      </c>
      <c r="P104" s="401">
        <v>0</v>
      </c>
      <c r="Q104" s="401">
        <v>0</v>
      </c>
      <c r="R104" s="403">
        <v>0</v>
      </c>
      <c r="S104" s="413"/>
    </row>
    <row r="105" spans="1:19" x14ac:dyDescent="0.25">
      <c r="A105" s="400" t="s">
        <v>653</v>
      </c>
      <c r="B105" s="401">
        <v>0</v>
      </c>
      <c r="C105" s="401">
        <v>0</v>
      </c>
      <c r="D105" s="401">
        <v>0</v>
      </c>
      <c r="E105" s="401">
        <v>0</v>
      </c>
      <c r="F105" s="401">
        <v>0</v>
      </c>
      <c r="G105" s="401">
        <v>0</v>
      </c>
      <c r="H105" s="401">
        <v>0</v>
      </c>
      <c r="I105" s="401">
        <v>0</v>
      </c>
      <c r="J105" s="401">
        <v>0</v>
      </c>
      <c r="K105" s="401">
        <v>0</v>
      </c>
      <c r="L105" s="401">
        <v>0</v>
      </c>
      <c r="M105" s="401">
        <v>0</v>
      </c>
      <c r="N105" s="401"/>
      <c r="O105" s="401">
        <v>0</v>
      </c>
      <c r="P105" s="401">
        <v>0</v>
      </c>
      <c r="Q105" s="401">
        <v>0</v>
      </c>
      <c r="R105" s="403">
        <v>0</v>
      </c>
      <c r="S105" s="413"/>
    </row>
    <row r="106" spans="1:19" x14ac:dyDescent="0.25">
      <c r="A106" s="400" t="s">
        <v>654</v>
      </c>
      <c r="B106" s="401">
        <v>0</v>
      </c>
      <c r="C106" s="401">
        <v>0</v>
      </c>
      <c r="D106" s="401">
        <v>0</v>
      </c>
      <c r="E106" s="401">
        <v>0</v>
      </c>
      <c r="F106" s="401">
        <v>0</v>
      </c>
      <c r="G106" s="401">
        <v>0</v>
      </c>
      <c r="H106" s="401">
        <v>0</v>
      </c>
      <c r="I106" s="401">
        <v>0</v>
      </c>
      <c r="J106" s="401">
        <v>0</v>
      </c>
      <c r="K106" s="401">
        <v>0</v>
      </c>
      <c r="L106" s="401">
        <v>0</v>
      </c>
      <c r="M106" s="401">
        <v>0</v>
      </c>
      <c r="N106" s="401"/>
      <c r="O106" s="401">
        <v>0</v>
      </c>
      <c r="P106" s="401">
        <v>0</v>
      </c>
      <c r="Q106" s="401">
        <v>0</v>
      </c>
      <c r="R106" s="403">
        <v>0</v>
      </c>
      <c r="S106" s="413" t="s">
        <v>655</v>
      </c>
    </row>
    <row r="107" spans="1:19" x14ac:dyDescent="0.25">
      <c r="A107" s="400" t="s">
        <v>656</v>
      </c>
      <c r="B107" s="401">
        <v>0</v>
      </c>
      <c r="C107" s="401">
        <v>0</v>
      </c>
      <c r="D107" s="401">
        <v>0</v>
      </c>
      <c r="E107" s="401">
        <v>0</v>
      </c>
      <c r="F107" s="401">
        <v>0</v>
      </c>
      <c r="G107" s="401">
        <v>0</v>
      </c>
      <c r="H107" s="401">
        <v>0</v>
      </c>
      <c r="I107" s="401">
        <v>0</v>
      </c>
      <c r="J107" s="401">
        <v>0</v>
      </c>
      <c r="K107" s="401">
        <v>0</v>
      </c>
      <c r="L107" s="401">
        <v>0</v>
      </c>
      <c r="M107" s="401">
        <v>0</v>
      </c>
      <c r="N107" s="401"/>
      <c r="O107" s="401">
        <v>0</v>
      </c>
      <c r="P107" s="401">
        <v>0</v>
      </c>
      <c r="Q107" s="401">
        <v>0</v>
      </c>
      <c r="R107" s="403">
        <v>0</v>
      </c>
      <c r="S107" s="413"/>
    </row>
    <row r="108" spans="1:19" x14ac:dyDescent="0.25">
      <c r="A108" s="400" t="s">
        <v>657</v>
      </c>
      <c r="B108" s="401">
        <v>0</v>
      </c>
      <c r="C108" s="401">
        <v>0</v>
      </c>
      <c r="D108" s="401">
        <v>0</v>
      </c>
      <c r="E108" s="401">
        <v>0</v>
      </c>
      <c r="F108" s="401">
        <v>0</v>
      </c>
      <c r="G108" s="401">
        <v>0</v>
      </c>
      <c r="H108" s="401">
        <v>0</v>
      </c>
      <c r="I108" s="401">
        <v>0</v>
      </c>
      <c r="J108" s="401">
        <v>0</v>
      </c>
      <c r="K108" s="401">
        <v>0</v>
      </c>
      <c r="L108" s="401">
        <v>0</v>
      </c>
      <c r="M108" s="401">
        <v>0</v>
      </c>
      <c r="N108" s="401"/>
      <c r="O108" s="401">
        <v>0</v>
      </c>
      <c r="P108" s="401">
        <v>0</v>
      </c>
      <c r="Q108" s="401">
        <v>0</v>
      </c>
      <c r="R108" s="403">
        <v>0</v>
      </c>
      <c r="S108" s="413"/>
    </row>
    <row r="109" spans="1:19" x14ac:dyDescent="0.25">
      <c r="A109" s="400" t="s">
        <v>658</v>
      </c>
      <c r="B109" s="401">
        <v>0</v>
      </c>
      <c r="C109" s="401">
        <v>0</v>
      </c>
      <c r="D109" s="401">
        <v>0</v>
      </c>
      <c r="E109" s="401">
        <v>0</v>
      </c>
      <c r="F109" s="401">
        <v>0</v>
      </c>
      <c r="G109" s="401">
        <v>0</v>
      </c>
      <c r="H109" s="401">
        <v>0</v>
      </c>
      <c r="I109" s="401">
        <v>0</v>
      </c>
      <c r="J109" s="401">
        <v>0</v>
      </c>
      <c r="K109" s="401">
        <v>0</v>
      </c>
      <c r="L109" s="401">
        <v>0</v>
      </c>
      <c r="M109" s="401">
        <v>0</v>
      </c>
      <c r="N109" s="401"/>
      <c r="O109" s="401">
        <v>0</v>
      </c>
      <c r="P109" s="401">
        <v>0</v>
      </c>
      <c r="Q109" s="401">
        <v>0</v>
      </c>
      <c r="R109" s="403">
        <v>0</v>
      </c>
      <c r="S109" s="413"/>
    </row>
    <row r="110" spans="1:19" x14ac:dyDescent="0.25">
      <c r="A110" s="400" t="s">
        <v>659</v>
      </c>
      <c r="B110" s="401">
        <v>0</v>
      </c>
      <c r="C110" s="401">
        <v>0</v>
      </c>
      <c r="D110" s="401">
        <v>0</v>
      </c>
      <c r="E110" s="401">
        <v>0</v>
      </c>
      <c r="F110" s="401">
        <v>0</v>
      </c>
      <c r="G110" s="401">
        <v>0</v>
      </c>
      <c r="H110" s="401">
        <v>0</v>
      </c>
      <c r="I110" s="401">
        <v>0</v>
      </c>
      <c r="J110" s="401">
        <v>0</v>
      </c>
      <c r="K110" s="401">
        <v>0</v>
      </c>
      <c r="L110" s="401">
        <v>0</v>
      </c>
      <c r="M110" s="401">
        <v>0</v>
      </c>
      <c r="N110" s="401"/>
      <c r="O110" s="401">
        <v>0</v>
      </c>
      <c r="P110" s="401">
        <v>0</v>
      </c>
      <c r="Q110" s="401">
        <v>0</v>
      </c>
      <c r="R110" s="403">
        <v>0</v>
      </c>
      <c r="S110" s="413"/>
    </row>
    <row r="111" spans="1:19" x14ac:dyDescent="0.25">
      <c r="A111" s="411" t="s">
        <v>660</v>
      </c>
      <c r="B111" s="412">
        <v>0</v>
      </c>
      <c r="C111" s="412">
        <v>0</v>
      </c>
      <c r="D111" s="412">
        <v>0</v>
      </c>
      <c r="E111" s="412">
        <v>0</v>
      </c>
      <c r="F111" s="412">
        <v>0</v>
      </c>
      <c r="G111" s="412">
        <v>0</v>
      </c>
      <c r="H111" s="412">
        <v>0</v>
      </c>
      <c r="I111" s="412">
        <v>0</v>
      </c>
      <c r="J111" s="412">
        <v>0</v>
      </c>
      <c r="K111" s="412">
        <v>0</v>
      </c>
      <c r="L111" s="412">
        <v>0</v>
      </c>
      <c r="M111" s="412">
        <v>0</v>
      </c>
      <c r="N111" s="513">
        <f>SUM(N87:N110)</f>
        <v>0</v>
      </c>
      <c r="O111" s="412">
        <v>0</v>
      </c>
      <c r="P111" s="401">
        <v>0</v>
      </c>
      <c r="Q111" s="401">
        <v>0</v>
      </c>
      <c r="R111" s="403">
        <v>0</v>
      </c>
      <c r="S111" s="413"/>
    </row>
    <row r="112" spans="1:19" x14ac:dyDescent="0.25">
      <c r="A112" s="851" t="s">
        <v>661</v>
      </c>
      <c r="B112" s="817"/>
      <c r="C112" s="817"/>
      <c r="D112" s="817"/>
      <c r="E112" s="817"/>
      <c r="F112" s="817"/>
      <c r="G112" s="817"/>
      <c r="H112" s="817"/>
      <c r="I112" s="817"/>
      <c r="J112" s="817"/>
      <c r="K112" s="817"/>
      <c r="L112" s="817"/>
      <c r="M112" s="817"/>
      <c r="N112" s="817"/>
      <c r="O112" s="817"/>
      <c r="P112" s="817"/>
      <c r="Q112" s="817"/>
      <c r="R112" s="817"/>
    </row>
    <row r="113" spans="1:19" x14ac:dyDescent="0.25">
      <c r="A113" s="400" t="s">
        <v>468</v>
      </c>
      <c r="B113" s="401">
        <v>0</v>
      </c>
      <c r="C113" s="401">
        <v>0</v>
      </c>
      <c r="D113" s="401">
        <v>0</v>
      </c>
      <c r="E113" s="401">
        <v>0</v>
      </c>
      <c r="F113" s="401">
        <v>0</v>
      </c>
      <c r="G113" s="401">
        <v>0</v>
      </c>
      <c r="H113" s="401">
        <v>0</v>
      </c>
      <c r="I113" s="401">
        <v>0</v>
      </c>
      <c r="J113" s="401">
        <v>0</v>
      </c>
      <c r="K113" s="401">
        <v>0</v>
      </c>
      <c r="L113" s="401">
        <v>0</v>
      </c>
      <c r="M113" s="401">
        <v>0</v>
      </c>
      <c r="N113" s="511"/>
      <c r="O113" s="401">
        <v>0</v>
      </c>
      <c r="P113" s="401">
        <v>0</v>
      </c>
      <c r="Q113" s="401">
        <v>0</v>
      </c>
      <c r="R113" s="403">
        <v>0</v>
      </c>
      <c r="S113" s="404"/>
    </row>
    <row r="114" spans="1:19" x14ac:dyDescent="0.25">
      <c r="A114" s="414" t="s">
        <v>662</v>
      </c>
      <c r="B114" s="415">
        <v>0</v>
      </c>
      <c r="C114" s="415">
        <v>0</v>
      </c>
      <c r="D114" s="415">
        <v>0</v>
      </c>
      <c r="E114" s="415">
        <v>0</v>
      </c>
      <c r="F114" s="415">
        <v>0</v>
      </c>
      <c r="G114" s="415">
        <v>0</v>
      </c>
      <c r="H114" s="415">
        <v>0</v>
      </c>
      <c r="I114" s="415">
        <v>0</v>
      </c>
      <c r="J114" s="415">
        <v>0</v>
      </c>
      <c r="K114" s="415">
        <v>0</v>
      </c>
      <c r="L114" s="415">
        <v>0</v>
      </c>
      <c r="M114" s="415">
        <v>0</v>
      </c>
      <c r="N114" s="514">
        <f>N85+N111+N113</f>
        <v>0</v>
      </c>
      <c r="O114" s="415">
        <v>0</v>
      </c>
      <c r="P114" s="401">
        <v>0</v>
      </c>
      <c r="Q114" s="401">
        <v>0</v>
      </c>
      <c r="R114" s="403">
        <v>0</v>
      </c>
      <c r="S114" s="404"/>
    </row>
    <row r="115" spans="1:19" x14ac:dyDescent="0.25">
      <c r="A115" s="562" t="s">
        <v>1484</v>
      </c>
      <c r="B115" s="564"/>
      <c r="C115" s="564"/>
      <c r="D115" s="564"/>
      <c r="E115" s="564"/>
      <c r="F115" s="564"/>
      <c r="G115" s="564"/>
      <c r="H115" s="564"/>
      <c r="I115" s="564"/>
      <c r="J115" s="564"/>
      <c r="K115" s="564"/>
      <c r="L115" s="564"/>
      <c r="M115" s="564"/>
      <c r="N115" s="563">
        <f>N114-N113</f>
        <v>0</v>
      </c>
      <c r="O115" s="415"/>
      <c r="P115" s="401"/>
      <c r="Q115" s="401"/>
      <c r="R115" s="403"/>
      <c r="S115" s="404"/>
    </row>
    <row r="116" spans="1:19" x14ac:dyDescent="0.25">
      <c r="A116" s="414" t="s">
        <v>663</v>
      </c>
      <c r="B116" s="415">
        <v>0</v>
      </c>
      <c r="C116" s="415">
        <v>0</v>
      </c>
      <c r="D116" s="415">
        <v>0</v>
      </c>
      <c r="E116" s="415">
        <v>0</v>
      </c>
      <c r="F116" s="415">
        <v>0</v>
      </c>
      <c r="G116" s="415">
        <v>0</v>
      </c>
      <c r="H116" s="415">
        <v>0</v>
      </c>
      <c r="I116" s="415">
        <v>0</v>
      </c>
      <c r="J116" s="415">
        <v>0</v>
      </c>
      <c r="K116" s="415">
        <v>0</v>
      </c>
      <c r="L116" s="415">
        <v>0</v>
      </c>
      <c r="M116" s="415">
        <v>0</v>
      </c>
      <c r="N116" s="514">
        <f>N69-N85-N111</f>
        <v>0</v>
      </c>
      <c r="O116" s="415">
        <v>0</v>
      </c>
      <c r="P116" s="401">
        <v>0</v>
      </c>
      <c r="Q116" s="401">
        <v>0</v>
      </c>
      <c r="R116" s="403">
        <v>0</v>
      </c>
      <c r="S116" s="404"/>
    </row>
    <row r="117" spans="1:19" x14ac:dyDescent="0.25">
      <c r="A117" s="414" t="s">
        <v>664</v>
      </c>
      <c r="B117" s="415">
        <v>0</v>
      </c>
      <c r="C117" s="415">
        <v>0</v>
      </c>
      <c r="D117" s="415">
        <v>0</v>
      </c>
      <c r="E117" s="415">
        <v>0</v>
      </c>
      <c r="F117" s="415">
        <v>0</v>
      </c>
      <c r="G117" s="415">
        <v>0</v>
      </c>
      <c r="H117" s="415">
        <v>0</v>
      </c>
      <c r="I117" s="415">
        <v>0</v>
      </c>
      <c r="J117" s="415">
        <v>0</v>
      </c>
      <c r="K117" s="415">
        <v>0</v>
      </c>
      <c r="L117" s="415">
        <v>0</v>
      </c>
      <c r="M117" s="415">
        <v>0</v>
      </c>
      <c r="N117" s="415">
        <v>0</v>
      </c>
      <c r="O117" s="415">
        <v>0</v>
      </c>
      <c r="P117" s="401">
        <v>0</v>
      </c>
      <c r="Q117" s="401">
        <v>0</v>
      </c>
      <c r="R117" s="403">
        <v>0</v>
      </c>
      <c r="S117" s="404"/>
    </row>
    <row r="118" spans="1:19" x14ac:dyDescent="0.25">
      <c r="A118" s="562" t="s">
        <v>1485</v>
      </c>
      <c r="B118" s="564"/>
      <c r="C118" s="564"/>
      <c r="D118" s="564"/>
      <c r="E118" s="564"/>
      <c r="F118" s="564"/>
      <c r="G118" s="564"/>
      <c r="H118" s="564"/>
      <c r="I118" s="564"/>
      <c r="J118" s="564"/>
      <c r="K118" s="564"/>
      <c r="L118" s="564"/>
      <c r="M118" s="564"/>
      <c r="N118" s="563"/>
      <c r="O118" s="415"/>
      <c r="P118" s="401"/>
      <c r="Q118" s="401"/>
      <c r="R118" s="403"/>
      <c r="S118" s="404"/>
    </row>
    <row r="121" spans="1:19" x14ac:dyDescent="0.25">
      <c r="A121" s="849" t="s">
        <v>665</v>
      </c>
      <c r="B121" s="817"/>
      <c r="C121" s="817"/>
      <c r="D121" s="817"/>
      <c r="E121" s="817"/>
      <c r="F121" s="817"/>
      <c r="G121" s="817"/>
      <c r="H121" s="817"/>
      <c r="I121" s="817"/>
      <c r="J121" s="817"/>
      <c r="K121" s="817"/>
      <c r="L121" s="817"/>
      <c r="M121" s="817"/>
      <c r="N121" s="817"/>
      <c r="O121" s="817"/>
      <c r="P121" s="817"/>
      <c r="Q121" s="817"/>
      <c r="R121" s="817"/>
      <c r="S121" s="817"/>
    </row>
    <row r="122" spans="1:19" x14ac:dyDescent="0.25">
      <c r="A122" s="409" t="s">
        <v>666</v>
      </c>
      <c r="B122" s="409" t="s">
        <v>667</v>
      </c>
      <c r="C122" s="410" t="s">
        <v>588</v>
      </c>
      <c r="D122" s="410" t="s">
        <v>589</v>
      </c>
      <c r="E122" s="410" t="s">
        <v>590</v>
      </c>
      <c r="F122" s="410" t="s">
        <v>591</v>
      </c>
      <c r="G122" s="410" t="s">
        <v>592</v>
      </c>
      <c r="H122" s="410" t="s">
        <v>593</v>
      </c>
      <c r="I122" s="410" t="s">
        <v>594</v>
      </c>
      <c r="J122" s="410" t="s">
        <v>595</v>
      </c>
      <c r="K122" s="410" t="s">
        <v>596</v>
      </c>
      <c r="L122" s="410" t="s">
        <v>597</v>
      </c>
      <c r="M122" s="410" t="s">
        <v>598</v>
      </c>
      <c r="N122" s="410" t="s">
        <v>599</v>
      </c>
      <c r="O122" s="410" t="s">
        <v>600</v>
      </c>
      <c r="P122" s="410" t="s">
        <v>668</v>
      </c>
      <c r="Q122" s="410" t="s">
        <v>669</v>
      </c>
      <c r="R122" s="410" t="s">
        <v>44</v>
      </c>
    </row>
    <row r="123" spans="1:19" x14ac:dyDescent="0.25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16" t="s">
        <v>604</v>
      </c>
    </row>
    <row r="124" spans="1:19" x14ac:dyDescent="0.25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16" t="s">
        <v>610</v>
      </c>
    </row>
    <row r="125" spans="1:19" x14ac:dyDescent="0.25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16" t="s">
        <v>572</v>
      </c>
    </row>
    <row r="126" spans="1:19" x14ac:dyDescent="0.25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16" t="s">
        <v>572</v>
      </c>
    </row>
    <row r="127" spans="1:19" x14ac:dyDescent="0.25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16" t="s">
        <v>572</v>
      </c>
    </row>
    <row r="128" spans="1:19" x14ac:dyDescent="0.25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16" t="s">
        <v>570</v>
      </c>
    </row>
    <row r="129" spans="1:16" x14ac:dyDescent="0.25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16" t="s">
        <v>670</v>
      </c>
    </row>
    <row r="130" spans="1:16" x14ac:dyDescent="0.25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16" t="s">
        <v>671</v>
      </c>
    </row>
    <row r="131" spans="1:16" x14ac:dyDescent="0.25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16" t="s">
        <v>672</v>
      </c>
    </row>
    <row r="132" spans="1:16" x14ac:dyDescent="0.25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16" t="s">
        <v>673</v>
      </c>
    </row>
    <row r="133" spans="1:16" x14ac:dyDescent="0.25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16" t="s">
        <v>616</v>
      </c>
    </row>
    <row r="134" spans="1:16" x14ac:dyDescent="0.25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16" t="s">
        <v>616</v>
      </c>
    </row>
    <row r="135" spans="1:16" x14ac:dyDescent="0.25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16" t="s">
        <v>674</v>
      </c>
    </row>
    <row r="136" spans="1:16" x14ac:dyDescent="0.25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16" t="s">
        <v>675</v>
      </c>
    </row>
    <row r="137" spans="1:16" x14ac:dyDescent="0.25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16" t="s">
        <v>676</v>
      </c>
    </row>
    <row r="138" spans="1:16" x14ac:dyDescent="0.25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16" t="s">
        <v>677</v>
      </c>
    </row>
    <row r="139" spans="1:16" x14ac:dyDescent="0.25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16" t="s">
        <v>678</v>
      </c>
    </row>
    <row r="140" spans="1:16" x14ac:dyDescent="0.25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16" t="s">
        <v>678</v>
      </c>
    </row>
    <row r="141" spans="1:16" x14ac:dyDescent="0.25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16" t="s">
        <v>679</v>
      </c>
    </row>
    <row r="142" spans="1:16" x14ac:dyDescent="0.25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16" t="s">
        <v>554</v>
      </c>
    </row>
    <row r="143" spans="1:16" x14ac:dyDescent="0.25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16" t="s">
        <v>680</v>
      </c>
    </row>
    <row r="144" spans="1:16" x14ac:dyDescent="0.25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16" t="s">
        <v>681</v>
      </c>
    </row>
    <row r="145" spans="1:16" x14ac:dyDescent="0.25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16" t="s">
        <v>682</v>
      </c>
    </row>
    <row r="146" spans="1:16" x14ac:dyDescent="0.25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16" t="s">
        <v>683</v>
      </c>
    </row>
    <row r="147" spans="1:16" x14ac:dyDescent="0.25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16" t="s">
        <v>684</v>
      </c>
    </row>
    <row r="148" spans="1:16" x14ac:dyDescent="0.25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16" t="s">
        <v>685</v>
      </c>
    </row>
    <row r="149" spans="1:16" x14ac:dyDescent="0.25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16" t="s">
        <v>552</v>
      </c>
    </row>
    <row r="150" spans="1:16" x14ac:dyDescent="0.25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16" t="s">
        <v>686</v>
      </c>
    </row>
    <row r="151" spans="1:16" x14ac:dyDescent="0.25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16" t="s">
        <v>687</v>
      </c>
    </row>
    <row r="152" spans="1:16" x14ac:dyDescent="0.25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16" t="s">
        <v>688</v>
      </c>
    </row>
    <row r="153" spans="1:16" x14ac:dyDescent="0.25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16" t="s">
        <v>641</v>
      </c>
    </row>
    <row r="154" spans="1:16" x14ac:dyDescent="0.25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16" t="s">
        <v>689</v>
      </c>
    </row>
    <row r="155" spans="1:16" x14ac:dyDescent="0.25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16" t="s">
        <v>689</v>
      </c>
    </row>
    <row r="156" spans="1:16" x14ac:dyDescent="0.25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16" t="s">
        <v>690</v>
      </c>
    </row>
    <row r="157" spans="1:16" x14ac:dyDescent="0.25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16" t="s">
        <v>644</v>
      </c>
    </row>
    <row r="158" spans="1:16" x14ac:dyDescent="0.25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16" t="s">
        <v>691</v>
      </c>
    </row>
    <row r="159" spans="1:16" x14ac:dyDescent="0.25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16" t="s">
        <v>553</v>
      </c>
    </row>
    <row r="160" spans="1:16" x14ac:dyDescent="0.25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16" t="s">
        <v>553</v>
      </c>
    </row>
    <row r="161" spans="1:18" x14ac:dyDescent="0.25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16" t="s">
        <v>553</v>
      </c>
    </row>
    <row r="162" spans="1:18" x14ac:dyDescent="0.25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16" t="s">
        <v>692</v>
      </c>
    </row>
    <row r="163" spans="1:18" x14ac:dyDescent="0.25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16" t="s">
        <v>584</v>
      </c>
    </row>
    <row r="164" spans="1:18" x14ac:dyDescent="0.25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16" t="s">
        <v>467</v>
      </c>
    </row>
    <row r="165" spans="1:18" x14ac:dyDescent="0.25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16" t="s">
        <v>693</v>
      </c>
    </row>
    <row r="166" spans="1:18" x14ac:dyDescent="0.25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16" t="s">
        <v>694</v>
      </c>
    </row>
    <row r="167" spans="1:18" x14ac:dyDescent="0.25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16" t="s">
        <v>695</v>
      </c>
    </row>
    <row r="168" spans="1:18" x14ac:dyDescent="0.25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16" t="s">
        <v>654</v>
      </c>
    </row>
    <row r="169" spans="1:18" x14ac:dyDescent="0.25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16" t="s">
        <v>696</v>
      </c>
    </row>
    <row r="170" spans="1:18" x14ac:dyDescent="0.25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16" t="s">
        <v>657</v>
      </c>
    </row>
    <row r="171" spans="1:18" x14ac:dyDescent="0.25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16" t="s">
        <v>697</v>
      </c>
    </row>
    <row r="172" spans="1:18" x14ac:dyDescent="0.25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16" t="s">
        <v>468</v>
      </c>
    </row>
    <row r="175" spans="1:18" x14ac:dyDescent="0.25">
      <c r="A175" s="847" t="s">
        <v>698</v>
      </c>
      <c r="B175" s="817"/>
      <c r="C175" s="817"/>
      <c r="D175" s="817"/>
      <c r="E175" s="817"/>
      <c r="F175" s="817"/>
      <c r="G175" s="817"/>
      <c r="H175" s="817"/>
      <c r="I175" s="817"/>
      <c r="J175" s="817"/>
      <c r="K175" s="817"/>
      <c r="L175" s="817"/>
      <c r="M175" s="817"/>
      <c r="N175" s="817"/>
      <c r="O175" s="817"/>
      <c r="P175" s="817"/>
      <c r="Q175" s="817"/>
      <c r="R175" s="817"/>
    </row>
    <row r="176" spans="1:18" x14ac:dyDescent="0.25">
      <c r="A176" s="396" t="s">
        <v>699</v>
      </c>
      <c r="O176" s="401">
        <v>0</v>
      </c>
    </row>
    <row r="177" spans="1:15" x14ac:dyDescent="0.25">
      <c r="A177" s="396" t="s">
        <v>700</v>
      </c>
      <c r="O177" s="401">
        <v>0</v>
      </c>
    </row>
    <row r="178" spans="1:15" x14ac:dyDescent="0.25">
      <c r="A178" s="396" t="s">
        <v>549</v>
      </c>
      <c r="O178" s="401">
        <v>0</v>
      </c>
    </row>
    <row r="179" spans="1:15" x14ac:dyDescent="0.25">
      <c r="A179" s="396" t="s">
        <v>701</v>
      </c>
      <c r="C179" s="417">
        <v>0</v>
      </c>
      <c r="D179" s="398" t="s">
        <v>536</v>
      </c>
    </row>
  </sheetData>
  <mergeCells count="18">
    <mergeCell ref="A1:S1"/>
    <mergeCell ref="A46:R46"/>
    <mergeCell ref="A112:R112"/>
    <mergeCell ref="A54:S54"/>
    <mergeCell ref="A37:R37"/>
    <mergeCell ref="A70:R70"/>
    <mergeCell ref="A55:R55"/>
    <mergeCell ref="A86:R86"/>
    <mergeCell ref="A29:R29"/>
    <mergeCell ref="A7:R7"/>
    <mergeCell ref="A57:R57"/>
    <mergeCell ref="A175:R175"/>
    <mergeCell ref="A38:S38"/>
    <mergeCell ref="A2:S2"/>
    <mergeCell ref="A40:R40"/>
    <mergeCell ref="A18:R18"/>
    <mergeCell ref="A4:R4"/>
    <mergeCell ref="A121:S121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topLeftCell="A12" zoomScale="137" zoomScaleNormal="160" workbookViewId="0">
      <selection activeCell="F33" sqref="F33"/>
    </sheetView>
  </sheetViews>
  <sheetFormatPr defaultColWidth="8.85546875" defaultRowHeight="15" x14ac:dyDescent="0.25"/>
  <cols>
    <col min="1" max="1" width="27.28515625" customWidth="1"/>
    <col min="2" max="2" width="10.28515625" customWidth="1"/>
    <col min="3" max="3" width="33.42578125" customWidth="1"/>
    <col min="4" max="4" width="16" customWidth="1"/>
    <col min="6" max="6" width="10.42578125" customWidth="1"/>
    <col min="7" max="7" width="12.140625" customWidth="1"/>
    <col min="8" max="8" width="13.85546875" customWidth="1"/>
  </cols>
  <sheetData>
    <row r="1" spans="1:8" ht="24" customHeight="1" x14ac:dyDescent="0.25">
      <c r="A1" s="827" t="s">
        <v>748</v>
      </c>
      <c r="B1" s="817"/>
      <c r="C1" s="817"/>
      <c r="D1" s="817"/>
    </row>
    <row r="3" spans="1:8" ht="24" customHeight="1" x14ac:dyDescent="0.25">
      <c r="A3" s="830" t="s">
        <v>749</v>
      </c>
      <c r="B3" s="817"/>
      <c r="C3" s="817"/>
      <c r="D3" s="817"/>
    </row>
    <row r="4" spans="1:8" ht="18" customHeight="1" x14ac:dyDescent="0.25">
      <c r="A4" s="8" t="s">
        <v>250</v>
      </c>
      <c r="D4" s="21">
        <f>Scenarios!F7</f>
        <v>0</v>
      </c>
    </row>
    <row r="5" spans="1:8" ht="18" customHeight="1" x14ac:dyDescent="0.25">
      <c r="A5" s="10" t="s">
        <v>750</v>
      </c>
      <c r="D5" s="518">
        <f>-Scenarios!F23</f>
        <v>0</v>
      </c>
      <c r="F5" s="152"/>
      <c r="G5" s="76"/>
      <c r="H5" s="76"/>
    </row>
    <row r="6" spans="1:8" ht="18" customHeight="1" x14ac:dyDescent="0.25">
      <c r="A6" s="8" t="s">
        <v>751</v>
      </c>
      <c r="D6" s="21">
        <f>D4+D5</f>
        <v>0</v>
      </c>
    </row>
    <row r="7" spans="1:8" ht="18" customHeight="1" x14ac:dyDescent="0.25">
      <c r="A7" s="10" t="s">
        <v>752</v>
      </c>
      <c r="D7" s="29" t="str">
        <f>D37</f>
        <v/>
      </c>
    </row>
    <row r="8" spans="1:8" ht="18" customHeight="1" x14ac:dyDescent="0.25">
      <c r="A8" s="8" t="s">
        <v>753</v>
      </c>
      <c r="B8" s="153">
        <f>Scenarios!F15</f>
        <v>0</v>
      </c>
      <c r="D8" s="21">
        <f>Scenarios!F16</f>
        <v>0</v>
      </c>
    </row>
    <row r="9" spans="1:8" ht="18" customHeight="1" x14ac:dyDescent="0.25">
      <c r="A9" s="10" t="s">
        <v>754</v>
      </c>
      <c r="D9" s="23">
        <f>Scenarios!F12</f>
        <v>0</v>
      </c>
    </row>
    <row r="10" spans="1:8" ht="18" customHeight="1" x14ac:dyDescent="0.25">
      <c r="A10" s="8" t="s">
        <v>378</v>
      </c>
      <c r="D10" s="21">
        <f>Scenarios!F13</f>
        <v>0</v>
      </c>
    </row>
    <row r="11" spans="1:8" ht="18" customHeight="1" x14ac:dyDescent="0.25">
      <c r="A11" s="130" t="s">
        <v>755</v>
      </c>
      <c r="D11" s="80">
        <f>SUM(D6:D10)</f>
        <v>0</v>
      </c>
      <c r="F11" s="152"/>
    </row>
    <row r="13" spans="1:8" ht="24" customHeight="1" x14ac:dyDescent="0.25">
      <c r="A13" s="827" t="s">
        <v>756</v>
      </c>
      <c r="B13" s="817"/>
      <c r="C13" s="817"/>
      <c r="D13" s="817"/>
    </row>
    <row r="14" spans="1:8" ht="30" customHeight="1" x14ac:dyDescent="0.25">
      <c r="A14" s="32" t="s">
        <v>757</v>
      </c>
      <c r="B14" s="32" t="s">
        <v>758</v>
      </c>
      <c r="C14" s="32" t="s">
        <v>44</v>
      </c>
      <c r="D14" s="32" t="s">
        <v>272</v>
      </c>
    </row>
    <row r="15" spans="1:8" ht="19.5" customHeight="1" x14ac:dyDescent="0.25">
      <c r="A15" s="833" t="s">
        <v>759</v>
      </c>
      <c r="B15" s="817"/>
      <c r="C15" s="817"/>
      <c r="D15" s="817"/>
    </row>
    <row r="16" spans="1:8" ht="18" customHeight="1" x14ac:dyDescent="0.25">
      <c r="A16" s="65" t="s">
        <v>760</v>
      </c>
      <c r="C16" s="154"/>
      <c r="D16" s="66"/>
    </row>
    <row r="17" spans="1:4" ht="18" customHeight="1" x14ac:dyDescent="0.25">
      <c r="A17" s="62" t="s">
        <v>761</v>
      </c>
      <c r="C17" s="155"/>
      <c r="D17" s="63"/>
    </row>
    <row r="18" spans="1:4" ht="18" customHeight="1" x14ac:dyDescent="0.25">
      <c r="A18" s="65" t="s">
        <v>762</v>
      </c>
      <c r="D18" s="66"/>
    </row>
    <row r="19" spans="1:4" ht="18" customHeight="1" x14ac:dyDescent="0.25">
      <c r="A19" s="62" t="s">
        <v>763</v>
      </c>
      <c r="D19" s="63"/>
    </row>
    <row r="20" spans="1:4" ht="18" customHeight="1" x14ac:dyDescent="0.25">
      <c r="A20" s="65" t="s">
        <v>764</v>
      </c>
      <c r="D20" s="66"/>
    </row>
    <row r="21" spans="1:4" ht="18" customHeight="1" x14ac:dyDescent="0.25">
      <c r="A21" s="62" t="s">
        <v>765</v>
      </c>
      <c r="B21" s="519">
        <f>Scenarios!F140</f>
        <v>0</v>
      </c>
      <c r="C21" s="156" t="s">
        <v>766</v>
      </c>
      <c r="D21" s="493">
        <f>Scenarios!F140*Scenarios!F135+Scenarios!F147*Scenarios!F142+Scenarios!F154*Scenarios!F149</f>
        <v>0</v>
      </c>
    </row>
    <row r="22" spans="1:4" ht="19.5" customHeight="1" x14ac:dyDescent="0.25">
      <c r="A22" s="833" t="s">
        <v>767</v>
      </c>
      <c r="B22" s="817"/>
      <c r="C22" s="817"/>
      <c r="D22" s="817"/>
    </row>
    <row r="23" spans="1:4" ht="18" customHeight="1" x14ac:dyDescent="0.25">
      <c r="A23" s="62" t="s">
        <v>768</v>
      </c>
      <c r="B23" s="157">
        <v>3.0000000000000001E-3</v>
      </c>
      <c r="C23" s="155" t="s">
        <v>769</v>
      </c>
      <c r="D23" s="21">
        <f>B23*Scenarios!F7</f>
        <v>0</v>
      </c>
    </row>
    <row r="24" spans="1:4" ht="18" customHeight="1" x14ac:dyDescent="0.25">
      <c r="A24" s="65" t="s">
        <v>770</v>
      </c>
      <c r="D24" s="66"/>
    </row>
    <row r="25" spans="1:4" ht="18" customHeight="1" x14ac:dyDescent="0.25">
      <c r="A25" s="62" t="s">
        <v>771</v>
      </c>
      <c r="D25" s="63"/>
    </row>
    <row r="26" spans="1:4" ht="18" customHeight="1" x14ac:dyDescent="0.25">
      <c r="A26" s="65" t="s">
        <v>772</v>
      </c>
      <c r="B26" s="158">
        <v>3.5000000000000001E-3</v>
      </c>
      <c r="C26" s="159" t="s">
        <v>773</v>
      </c>
      <c r="D26" s="21">
        <f>B26*Scenarios!F7</f>
        <v>0</v>
      </c>
    </row>
    <row r="27" spans="1:4" ht="18" customHeight="1" x14ac:dyDescent="0.25">
      <c r="A27" s="62" t="s">
        <v>774</v>
      </c>
      <c r="D27" s="63"/>
    </row>
    <row r="28" spans="1:4" ht="18" customHeight="1" x14ac:dyDescent="0.25">
      <c r="A28" s="65" t="s">
        <v>775</v>
      </c>
      <c r="D28" s="66"/>
    </row>
    <row r="29" spans="1:4" ht="18" customHeight="1" x14ac:dyDescent="0.25">
      <c r="A29" s="62" t="s">
        <v>776</v>
      </c>
      <c r="D29" s="63"/>
    </row>
    <row r="30" spans="1:4" ht="19.5" customHeight="1" x14ac:dyDescent="0.25">
      <c r="A30" s="833" t="s">
        <v>777</v>
      </c>
      <c r="B30" s="817"/>
      <c r="C30" s="817"/>
      <c r="D30" s="817"/>
    </row>
    <row r="31" spans="1:4" ht="18" customHeight="1" x14ac:dyDescent="0.25">
      <c r="A31" s="62" t="s">
        <v>778</v>
      </c>
      <c r="D31" s="63"/>
    </row>
    <row r="32" spans="1:4" ht="18" customHeight="1" x14ac:dyDescent="0.25">
      <c r="A32" s="65" t="s">
        <v>779</v>
      </c>
      <c r="C32" s="101"/>
      <c r="D32" s="66"/>
    </row>
    <row r="33" spans="1:5" ht="18" customHeight="1" x14ac:dyDescent="0.25">
      <c r="A33" s="62" t="s">
        <v>780</v>
      </c>
      <c r="D33" s="63"/>
    </row>
    <row r="34" spans="1:5" ht="18" customHeight="1" x14ac:dyDescent="0.25">
      <c r="A34" s="65" t="s">
        <v>781</v>
      </c>
      <c r="D34" s="66"/>
    </row>
    <row r="35" spans="1:5" ht="18" customHeight="1" x14ac:dyDescent="0.25">
      <c r="A35" s="65" t="s">
        <v>782</v>
      </c>
      <c r="D35" s="494">
        <f>Scenarios!F108/4</f>
        <v>0</v>
      </c>
    </row>
    <row r="36" spans="1:5" ht="18" customHeight="1" x14ac:dyDescent="0.25">
      <c r="A36" s="65" t="s">
        <v>466</v>
      </c>
      <c r="D36" s="494">
        <f>Scenarios!F104/4</f>
        <v>0</v>
      </c>
    </row>
    <row r="37" spans="1:5" ht="18" customHeight="1" x14ac:dyDescent="0.25">
      <c r="A37" s="840" t="s">
        <v>783</v>
      </c>
      <c r="B37" s="817"/>
      <c r="C37" s="817"/>
      <c r="D37" s="160" t="str">
        <f>IF(D4=0, "",SUM(D16:D36))</f>
        <v/>
      </c>
      <c r="E37" s="152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defaultColWidth="8.85546875" defaultRowHeight="15" x14ac:dyDescent="0.25"/>
  <cols>
    <col min="1" max="1" width="28" customWidth="1"/>
    <col min="2" max="2" width="15.28515625" bestFit="1" customWidth="1"/>
    <col min="3" max="3" width="26.28515625" bestFit="1" customWidth="1"/>
    <col min="4" max="4" width="59" bestFit="1" customWidth="1"/>
    <col min="5" max="5" width="46.28515625" bestFit="1" customWidth="1"/>
    <col min="6" max="6" width="8.7109375" bestFit="1" customWidth="1"/>
    <col min="7" max="7" width="7" bestFit="1" customWidth="1"/>
    <col min="8" max="8" width="9" customWidth="1"/>
    <col min="9" max="10" width="10" customWidth="1"/>
    <col min="11" max="12" width="12" customWidth="1"/>
    <col min="13" max="13" width="14" customWidth="1"/>
    <col min="14" max="14" width="10" customWidth="1"/>
    <col min="15" max="15" width="18" customWidth="1"/>
    <col min="16" max="16" width="12.42578125" customWidth="1"/>
  </cols>
  <sheetData>
    <row r="1" spans="1:15" ht="24" customHeight="1" x14ac:dyDescent="0.25">
      <c r="A1" s="827" t="s">
        <v>784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</row>
    <row r="2" spans="1:15" ht="15.75" customHeight="1" x14ac:dyDescent="0.25">
      <c r="A2" s="835" t="s">
        <v>785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</row>
    <row r="4" spans="1:15" ht="24" customHeight="1" x14ac:dyDescent="0.25">
      <c r="A4" s="830" t="s">
        <v>786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  <c r="N4" s="817"/>
      <c r="O4" s="817"/>
    </row>
    <row r="5" spans="1:15" ht="18" customHeight="1" x14ac:dyDescent="0.25">
      <c r="A5" s="161" t="s">
        <v>787</v>
      </c>
      <c r="C5" s="162">
        <f>IFERROR(Scenarios!F8,90)</f>
        <v>0</v>
      </c>
      <c r="D5" s="163" t="s">
        <v>788</v>
      </c>
    </row>
    <row r="6" spans="1:15" ht="18" customHeight="1" x14ac:dyDescent="0.25">
      <c r="A6" s="164" t="s">
        <v>789</v>
      </c>
      <c r="C6" s="165"/>
      <c r="D6" s="100" t="s">
        <v>790</v>
      </c>
    </row>
    <row r="7" spans="1:15" ht="18" customHeight="1" x14ac:dyDescent="0.25">
      <c r="A7" s="164" t="s">
        <v>791</v>
      </c>
      <c r="C7" s="165"/>
      <c r="D7" s="100" t="s">
        <v>790</v>
      </c>
    </row>
    <row r="8" spans="1:15" ht="18" customHeight="1" x14ac:dyDescent="0.25">
      <c r="A8" s="164" t="s">
        <v>792</v>
      </c>
      <c r="C8" s="165"/>
    </row>
    <row r="9" spans="1:15" ht="18" customHeight="1" x14ac:dyDescent="0.25">
      <c r="A9" s="161" t="s">
        <v>793</v>
      </c>
      <c r="C9" s="166">
        <f>C6+C7</f>
        <v>0</v>
      </c>
    </row>
    <row r="10" spans="1:15" ht="18" customHeight="1" x14ac:dyDescent="0.25">
      <c r="A10" s="167" t="s">
        <v>794</v>
      </c>
      <c r="C10" s="168">
        <f>IFERROR('Prop Info'!$B$15,0)</f>
        <v>0</v>
      </c>
      <c r="D10" s="169" t="s">
        <v>795</v>
      </c>
    </row>
    <row r="11" spans="1:15" ht="19.5" customHeight="1" x14ac:dyDescent="0.25">
      <c r="A11" s="833" t="s">
        <v>796</v>
      </c>
      <c r="B11" s="817"/>
      <c r="C11" s="817"/>
      <c r="D11" s="817"/>
      <c r="E11" s="817"/>
      <c r="F11" s="817"/>
      <c r="G11" s="817"/>
      <c r="H11" s="817"/>
      <c r="I11" s="817"/>
      <c r="J11" s="817"/>
      <c r="K11" s="817"/>
      <c r="L11" s="817"/>
      <c r="M11" s="817"/>
      <c r="N11" s="817"/>
      <c r="O11" s="817"/>
    </row>
    <row r="12" spans="1:15" ht="18" customHeight="1" x14ac:dyDescent="0.25">
      <c r="A12" s="62" t="s">
        <v>797</v>
      </c>
      <c r="C12" s="84">
        <v>0.2</v>
      </c>
      <c r="D12" s="170" t="s">
        <v>798</v>
      </c>
    </row>
    <row r="13" spans="1:15" ht="18" customHeight="1" x14ac:dyDescent="0.25">
      <c r="A13" s="65" t="s">
        <v>799</v>
      </c>
      <c r="C13" s="96">
        <v>0.05</v>
      </c>
      <c r="D13" s="171" t="s">
        <v>800</v>
      </c>
    </row>
    <row r="14" spans="1:15" ht="18" customHeight="1" x14ac:dyDescent="0.25">
      <c r="A14" s="62" t="s">
        <v>801</v>
      </c>
      <c r="C14" s="172">
        <v>1.5</v>
      </c>
      <c r="D14" s="170" t="s">
        <v>802</v>
      </c>
    </row>
    <row r="15" spans="1:15" ht="18" customHeight="1" x14ac:dyDescent="0.25">
      <c r="A15" s="65" t="s">
        <v>803</v>
      </c>
      <c r="C15" s="173">
        <v>2.5</v>
      </c>
      <c r="D15" s="171" t="s">
        <v>804</v>
      </c>
    </row>
    <row r="16" spans="1:15" ht="18" customHeight="1" x14ac:dyDescent="0.25">
      <c r="A16" s="62" t="s">
        <v>805</v>
      </c>
      <c r="C16" s="172">
        <v>0.75</v>
      </c>
      <c r="D16" s="170" t="s">
        <v>806</v>
      </c>
    </row>
    <row r="18" spans="1:15" ht="19.5" customHeight="1" x14ac:dyDescent="0.25">
      <c r="A18" s="833" t="s">
        <v>807</v>
      </c>
      <c r="B18" s="817"/>
      <c r="C18" s="817"/>
      <c r="D18" s="817"/>
      <c r="E18" s="817"/>
      <c r="F18" s="817"/>
      <c r="G18" s="817"/>
      <c r="H18" s="817"/>
      <c r="I18" s="817"/>
      <c r="J18" s="817"/>
      <c r="K18" s="817"/>
      <c r="L18" s="817"/>
      <c r="M18" s="817"/>
      <c r="N18" s="817"/>
      <c r="O18" s="817"/>
    </row>
    <row r="19" spans="1:15" ht="15.75" customHeight="1" x14ac:dyDescent="0.25">
      <c r="A19" s="835" t="s">
        <v>808</v>
      </c>
      <c r="B19" s="817"/>
      <c r="C19" s="817"/>
      <c r="D19" s="817"/>
      <c r="E19" s="817"/>
      <c r="F19" s="817"/>
      <c r="G19" s="817"/>
      <c r="H19" s="817"/>
      <c r="I19" s="817"/>
      <c r="J19" s="817"/>
      <c r="K19" s="817"/>
      <c r="L19" s="817"/>
      <c r="M19" s="817"/>
      <c r="N19" s="817"/>
      <c r="O19" s="817"/>
    </row>
    <row r="20" spans="1:15" ht="18" customHeight="1" x14ac:dyDescent="0.25">
      <c r="A20" s="62" t="s">
        <v>809</v>
      </c>
      <c r="C20" s="113">
        <v>6</v>
      </c>
      <c r="D20" s="170" t="s">
        <v>810</v>
      </c>
    </row>
    <row r="21" spans="1:15" ht="18" customHeight="1" x14ac:dyDescent="0.25">
      <c r="A21" s="65" t="s">
        <v>811</v>
      </c>
      <c r="C21" s="112">
        <v>7</v>
      </c>
      <c r="D21" s="171" t="s">
        <v>812</v>
      </c>
    </row>
    <row r="22" spans="1:15" ht="18" customHeight="1" x14ac:dyDescent="0.25">
      <c r="A22" s="62" t="s">
        <v>813</v>
      </c>
      <c r="C22" s="113">
        <v>10</v>
      </c>
      <c r="D22" s="170" t="s">
        <v>814</v>
      </c>
    </row>
    <row r="23" spans="1:15" ht="18" customHeight="1" x14ac:dyDescent="0.25">
      <c r="A23" s="65" t="s">
        <v>815</v>
      </c>
      <c r="C23" s="112">
        <v>5</v>
      </c>
      <c r="D23" s="171" t="s">
        <v>816</v>
      </c>
    </row>
    <row r="24" spans="1:15" ht="18" customHeight="1" x14ac:dyDescent="0.25">
      <c r="A24" s="62" t="s">
        <v>817</v>
      </c>
      <c r="C24" s="113">
        <v>6</v>
      </c>
      <c r="D24" s="170" t="s">
        <v>818</v>
      </c>
    </row>
    <row r="25" spans="1:15" ht="18" customHeight="1" x14ac:dyDescent="0.25">
      <c r="A25" s="65" t="s">
        <v>819</v>
      </c>
      <c r="C25" s="112">
        <v>8</v>
      </c>
      <c r="D25" s="171" t="s">
        <v>820</v>
      </c>
    </row>
    <row r="27" spans="1:15" ht="24" customHeight="1" x14ac:dyDescent="0.25">
      <c r="A27" s="827" t="s">
        <v>821</v>
      </c>
      <c r="B27" s="817"/>
      <c r="C27" s="817"/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</row>
    <row r="28" spans="1:15" ht="27.75" customHeight="1" x14ac:dyDescent="0.25">
      <c r="C28" s="856" t="s">
        <v>822</v>
      </c>
      <c r="D28" s="817"/>
      <c r="E28" s="817"/>
      <c r="F28" s="855" t="s">
        <v>823</v>
      </c>
      <c r="G28" s="817"/>
      <c r="H28" s="817"/>
      <c r="I28" s="32" t="s">
        <v>824</v>
      </c>
      <c r="J28" s="32" t="s">
        <v>825</v>
      </c>
      <c r="K28" s="32" t="s">
        <v>826</v>
      </c>
      <c r="L28" s="32" t="s">
        <v>827</v>
      </c>
      <c r="M28" s="32" t="s">
        <v>828</v>
      </c>
      <c r="N28" s="32" t="s">
        <v>829</v>
      </c>
    </row>
    <row r="29" spans="1:15" ht="27.75" customHeight="1" x14ac:dyDescent="0.25">
      <c r="A29" s="42" t="s">
        <v>830</v>
      </c>
      <c r="B29" s="32" t="s">
        <v>831</v>
      </c>
      <c r="C29" s="104" t="s">
        <v>832</v>
      </c>
      <c r="D29" s="104" t="s">
        <v>833</v>
      </c>
      <c r="E29" s="104" t="s">
        <v>834</v>
      </c>
      <c r="F29" s="19" t="s">
        <v>832</v>
      </c>
      <c r="G29" s="19" t="s">
        <v>833</v>
      </c>
      <c r="H29" s="19" t="s">
        <v>834</v>
      </c>
    </row>
    <row r="30" spans="1:15" ht="19.5" customHeight="1" x14ac:dyDescent="0.25">
      <c r="A30" s="833" t="s">
        <v>835</v>
      </c>
      <c r="B30" s="817"/>
      <c r="C30" s="817"/>
      <c r="D30" s="817"/>
      <c r="E30" s="817"/>
      <c r="F30" s="817"/>
      <c r="G30" s="817"/>
      <c r="H30" s="817"/>
      <c r="I30" s="817"/>
      <c r="J30" s="817"/>
      <c r="K30" s="817"/>
      <c r="L30" s="817"/>
      <c r="M30" s="817"/>
      <c r="N30" s="817"/>
      <c r="O30" s="817"/>
    </row>
    <row r="31" spans="1:15" ht="18" customHeight="1" x14ac:dyDescent="0.25">
      <c r="A31" s="62" t="s">
        <v>836</v>
      </c>
      <c r="B31" s="174" t="s">
        <v>837</v>
      </c>
      <c r="C31" s="113"/>
      <c r="D31" s="175">
        <v>0</v>
      </c>
      <c r="E31" s="175">
        <v>0</v>
      </c>
      <c r="F31" s="113"/>
      <c r="G31" s="175">
        <v>0</v>
      </c>
      <c r="H31" s="175">
        <v>0</v>
      </c>
      <c r="I31" s="176">
        <f t="shared" ref="I31:I39" si="0">((C31+D31+E31)*5+(F31+G31+H31)*2)*8</f>
        <v>0</v>
      </c>
      <c r="J31" s="141">
        <f t="shared" ref="J31:J39" si="1">IFERROR(I31*52/2080,0)</f>
        <v>0</v>
      </c>
      <c r="K31" s="177"/>
      <c r="L31" s="178">
        <f t="shared" ref="L31:L39" si="2">IFERROR((C31*K31+D31*(K31+$C$14)+E31*(K31+$C$15)+F31*(K31+$C$16)+G31*(K31+$C$14+$C$16)+H31*(K31+$C$15+$C$16))/MAX(C31+D31+E31+F31+G31+H31,1),K31)</f>
        <v>0</v>
      </c>
      <c r="M31" s="75">
        <f t="shared" ref="M31:M39" si="3">IFERROR(J31*2080*L31*(1+$C$12)*(1+$C$13),0)</f>
        <v>0</v>
      </c>
      <c r="N31" s="82">
        <f>IFERROR(M31/M67,0)</f>
        <v>0</v>
      </c>
    </row>
    <row r="32" spans="1:15" ht="18" customHeight="1" x14ac:dyDescent="0.25">
      <c r="A32" s="65" t="s">
        <v>838</v>
      </c>
      <c r="B32" s="179" t="s">
        <v>837</v>
      </c>
      <c r="C32" s="112"/>
      <c r="D32" s="112"/>
      <c r="E32" s="180">
        <v>0</v>
      </c>
      <c r="F32" s="112"/>
      <c r="G32" s="180">
        <v>0</v>
      </c>
      <c r="H32" s="180">
        <v>0</v>
      </c>
      <c r="I32" s="181">
        <f t="shared" si="0"/>
        <v>0</v>
      </c>
      <c r="J32" s="182">
        <f t="shared" si="1"/>
        <v>0</v>
      </c>
      <c r="K32" s="177"/>
      <c r="L32" s="183">
        <f t="shared" si="2"/>
        <v>0</v>
      </c>
      <c r="M32" s="71">
        <f t="shared" si="3"/>
        <v>0</v>
      </c>
      <c r="N32" s="83">
        <f>IFERROR(M32/M67,0)</f>
        <v>0</v>
      </c>
    </row>
    <row r="33" spans="1:15" ht="18" customHeight="1" x14ac:dyDescent="0.25">
      <c r="A33" s="62" t="s">
        <v>839</v>
      </c>
      <c r="B33" s="174" t="s">
        <v>837</v>
      </c>
      <c r="C33" s="113"/>
      <c r="D33" s="113"/>
      <c r="E33" s="113"/>
      <c r="F33" s="113"/>
      <c r="G33" s="113"/>
      <c r="H33" s="113"/>
      <c r="I33" s="176">
        <f t="shared" si="0"/>
        <v>0</v>
      </c>
      <c r="J33" s="141">
        <f t="shared" si="1"/>
        <v>0</v>
      </c>
      <c r="K33" s="177"/>
      <c r="L33" s="178">
        <f t="shared" si="2"/>
        <v>0</v>
      </c>
      <c r="M33" s="75">
        <f t="shared" si="3"/>
        <v>0</v>
      </c>
      <c r="N33" s="82">
        <f>IFERROR(M33/M67,0)</f>
        <v>0</v>
      </c>
    </row>
    <row r="34" spans="1:15" ht="18" customHeight="1" x14ac:dyDescent="0.25">
      <c r="A34" s="65" t="s">
        <v>840</v>
      </c>
      <c r="B34" s="179" t="s">
        <v>837</v>
      </c>
      <c r="C34" s="184">
        <f>IFERROR(CEILING(C6/C20,1),0)</f>
        <v>0</v>
      </c>
      <c r="D34" s="180">
        <v>0</v>
      </c>
      <c r="E34" s="180">
        <v>0</v>
      </c>
      <c r="F34" s="184">
        <f>IFERROR(CEILING(C6/C20,1),0)</f>
        <v>0</v>
      </c>
      <c r="G34" s="180">
        <v>0</v>
      </c>
      <c r="H34" s="180">
        <v>0</v>
      </c>
      <c r="I34" s="181">
        <f t="shared" si="0"/>
        <v>0</v>
      </c>
      <c r="J34" s="182">
        <f t="shared" si="1"/>
        <v>0</v>
      </c>
      <c r="K34" s="177"/>
      <c r="L34" s="183">
        <f t="shared" si="2"/>
        <v>0</v>
      </c>
      <c r="M34" s="71">
        <f t="shared" si="3"/>
        <v>0</v>
      </c>
      <c r="N34" s="83">
        <f>IFERROR(M34/M67,0)</f>
        <v>0</v>
      </c>
    </row>
    <row r="35" spans="1:15" ht="18" customHeight="1" x14ac:dyDescent="0.25">
      <c r="A35" s="62" t="s">
        <v>841</v>
      </c>
      <c r="B35" s="174" t="s">
        <v>837</v>
      </c>
      <c r="C35" s="175">
        <v>0</v>
      </c>
      <c r="D35" s="184">
        <f>IFERROR(CEILING(C6/C21,1),0)</f>
        <v>0</v>
      </c>
      <c r="E35" s="175">
        <v>0</v>
      </c>
      <c r="F35" s="175">
        <v>0</v>
      </c>
      <c r="G35" s="184">
        <f>IFERROR(CEILING(C6/C21,1),0)</f>
        <v>0</v>
      </c>
      <c r="H35" s="175">
        <v>0</v>
      </c>
      <c r="I35" s="176">
        <f t="shared" si="0"/>
        <v>0</v>
      </c>
      <c r="J35" s="141">
        <f t="shared" si="1"/>
        <v>0</v>
      </c>
      <c r="K35" s="177"/>
      <c r="L35" s="178">
        <f t="shared" si="2"/>
        <v>0</v>
      </c>
      <c r="M35" s="75">
        <f t="shared" si="3"/>
        <v>0</v>
      </c>
      <c r="N35" s="82">
        <f>IFERROR(M35/M67,0)</f>
        <v>0</v>
      </c>
    </row>
    <row r="36" spans="1:15" ht="18" customHeight="1" x14ac:dyDescent="0.25">
      <c r="A36" s="65" t="s">
        <v>842</v>
      </c>
      <c r="B36" s="179" t="s">
        <v>837</v>
      </c>
      <c r="C36" s="180">
        <v>0</v>
      </c>
      <c r="D36" s="180">
        <v>0</v>
      </c>
      <c r="E36" s="184">
        <f>IFERROR(CEILING(C6/C22,1),0)</f>
        <v>0</v>
      </c>
      <c r="F36" s="180">
        <v>0</v>
      </c>
      <c r="G36" s="180">
        <v>0</v>
      </c>
      <c r="H36" s="184">
        <f>IFERROR(CEILING(C6/C22,1),0)</f>
        <v>0</v>
      </c>
      <c r="I36" s="181">
        <f t="shared" si="0"/>
        <v>0</v>
      </c>
      <c r="J36" s="182">
        <f t="shared" si="1"/>
        <v>0</v>
      </c>
      <c r="K36" s="177"/>
      <c r="L36" s="183">
        <f t="shared" si="2"/>
        <v>0</v>
      </c>
      <c r="M36" s="71">
        <f t="shared" si="3"/>
        <v>0</v>
      </c>
      <c r="N36" s="83">
        <f>IFERROR(M36/M67,0)</f>
        <v>0</v>
      </c>
    </row>
    <row r="37" spans="1:15" ht="18" customHeight="1" x14ac:dyDescent="0.25">
      <c r="A37" s="62" t="s">
        <v>843</v>
      </c>
      <c r="B37" s="174" t="s">
        <v>837</v>
      </c>
      <c r="C37" s="184">
        <f>IFERROR(CEILING(C7/C23,1),0)</f>
        <v>0</v>
      </c>
      <c r="D37" s="175">
        <v>0</v>
      </c>
      <c r="E37" s="175">
        <v>0</v>
      </c>
      <c r="F37" s="184">
        <f>IFERROR(CEILING(C7/C23,1),0)</f>
        <v>0</v>
      </c>
      <c r="G37" s="175">
        <v>0</v>
      </c>
      <c r="H37" s="175">
        <v>0</v>
      </c>
      <c r="I37" s="176">
        <f t="shared" si="0"/>
        <v>0</v>
      </c>
      <c r="J37" s="141">
        <f t="shared" si="1"/>
        <v>0</v>
      </c>
      <c r="K37" s="177"/>
      <c r="L37" s="178">
        <f t="shared" si="2"/>
        <v>0</v>
      </c>
      <c r="M37" s="75">
        <f t="shared" si="3"/>
        <v>0</v>
      </c>
      <c r="N37" s="82">
        <f>IFERROR(M37/M67,0)</f>
        <v>0</v>
      </c>
    </row>
    <row r="38" spans="1:15" ht="18" customHeight="1" x14ac:dyDescent="0.25">
      <c r="A38" s="65" t="s">
        <v>844</v>
      </c>
      <c r="B38" s="179" t="s">
        <v>837</v>
      </c>
      <c r="C38" s="180">
        <v>0</v>
      </c>
      <c r="D38" s="184">
        <f>IFERROR(CEILING(C7/C24,1),0)</f>
        <v>0</v>
      </c>
      <c r="E38" s="180">
        <v>0</v>
      </c>
      <c r="F38" s="180">
        <v>0</v>
      </c>
      <c r="G38" s="184">
        <f>IFERROR(CEILING(C7/C24,1),0)</f>
        <v>0</v>
      </c>
      <c r="H38" s="180">
        <v>0</v>
      </c>
      <c r="I38" s="181">
        <f t="shared" si="0"/>
        <v>0</v>
      </c>
      <c r="J38" s="182">
        <f t="shared" si="1"/>
        <v>0</v>
      </c>
      <c r="K38" s="177"/>
      <c r="L38" s="183">
        <f t="shared" si="2"/>
        <v>0</v>
      </c>
      <c r="M38" s="71">
        <f t="shared" si="3"/>
        <v>0</v>
      </c>
      <c r="N38" s="83">
        <f>IFERROR(M38/M67,0)</f>
        <v>0</v>
      </c>
    </row>
    <row r="39" spans="1:15" ht="18" customHeight="1" x14ac:dyDescent="0.25">
      <c r="A39" s="62" t="s">
        <v>845</v>
      </c>
      <c r="B39" s="174" t="s">
        <v>837</v>
      </c>
      <c r="C39" s="175">
        <v>0</v>
      </c>
      <c r="D39" s="175">
        <v>0</v>
      </c>
      <c r="E39" s="184">
        <f>IFERROR(CEILING(C7/C25,1),0)</f>
        <v>0</v>
      </c>
      <c r="F39" s="175">
        <v>0</v>
      </c>
      <c r="G39" s="175">
        <v>0</v>
      </c>
      <c r="H39" s="184">
        <f>IFERROR(CEILING(C7/C25,1),0)</f>
        <v>0</v>
      </c>
      <c r="I39" s="176">
        <f t="shared" si="0"/>
        <v>0</v>
      </c>
      <c r="J39" s="141">
        <f t="shared" si="1"/>
        <v>0</v>
      </c>
      <c r="K39" s="177"/>
      <c r="L39" s="178">
        <f t="shared" si="2"/>
        <v>0</v>
      </c>
      <c r="M39" s="75">
        <f t="shared" si="3"/>
        <v>0</v>
      </c>
      <c r="N39" s="82">
        <f>IFERROR(M39/M67,0)</f>
        <v>0</v>
      </c>
    </row>
    <row r="40" spans="1:15" ht="18" customHeight="1" x14ac:dyDescent="0.25">
      <c r="A40" s="853" t="s">
        <v>846</v>
      </c>
      <c r="B40" s="817"/>
      <c r="C40" s="185">
        <f t="shared" ref="C40:J40" si="4">SUM(C31:C39)</f>
        <v>0</v>
      </c>
      <c r="D40" s="185">
        <f t="shared" si="4"/>
        <v>0</v>
      </c>
      <c r="E40" s="185">
        <f t="shared" si="4"/>
        <v>0</v>
      </c>
      <c r="F40" s="185">
        <f t="shared" si="4"/>
        <v>0</v>
      </c>
      <c r="G40" s="185">
        <f t="shared" si="4"/>
        <v>0</v>
      </c>
      <c r="H40" s="185">
        <f t="shared" si="4"/>
        <v>0</v>
      </c>
      <c r="I40" s="185">
        <f t="shared" si="4"/>
        <v>0</v>
      </c>
      <c r="J40" s="186">
        <f t="shared" si="4"/>
        <v>0</v>
      </c>
      <c r="K40" s="187"/>
      <c r="L40" s="187"/>
      <c r="M40" s="79">
        <f>SUM(M31:M39)</f>
        <v>0</v>
      </c>
      <c r="N40" s="187"/>
    </row>
    <row r="42" spans="1:15" ht="19.5" customHeight="1" x14ac:dyDescent="0.25">
      <c r="A42" s="833" t="s">
        <v>847</v>
      </c>
      <c r="B42" s="817"/>
      <c r="C42" s="817"/>
      <c r="D42" s="817"/>
      <c r="E42" s="817"/>
      <c r="F42" s="817"/>
      <c r="G42" s="817"/>
      <c r="H42" s="817"/>
      <c r="I42" s="817"/>
      <c r="J42" s="817"/>
      <c r="K42" s="817"/>
      <c r="L42" s="817"/>
      <c r="M42" s="817"/>
      <c r="N42" s="817"/>
      <c r="O42" s="817"/>
    </row>
    <row r="43" spans="1:15" ht="18" customHeight="1" x14ac:dyDescent="0.25">
      <c r="A43" s="62" t="s">
        <v>848</v>
      </c>
      <c r="B43" s="174" t="s">
        <v>849</v>
      </c>
      <c r="C43" s="113"/>
      <c r="D43" s="113"/>
      <c r="E43" s="175">
        <v>0</v>
      </c>
      <c r="F43" s="113"/>
      <c r="G43" s="113"/>
      <c r="H43" s="175">
        <v>0</v>
      </c>
      <c r="I43" s="176">
        <f>((C43+D43+E43)*5+(F43+G43+H43)*2)*8</f>
        <v>0</v>
      </c>
      <c r="J43" s="141">
        <f>IFERROR(I43*52/2080,0)</f>
        <v>0</v>
      </c>
      <c r="K43" s="177"/>
      <c r="L43" s="178">
        <f>IFERROR((C43*K43+D43*(K43+$C$14)+E43*(K43+$C$15)+F43*(K43+$C$16)+G43*(K43+$C$14+$C$16)+H43*(K43+$C$15+$C$16))/MAX(C43+D43+E43+F43+G43+H43,1),K43)</f>
        <v>0</v>
      </c>
      <c r="M43" s="75">
        <f>IFERROR(J43*2080*L43*(1+$C$12)*(1+$C$13),0)</f>
        <v>0</v>
      </c>
      <c r="N43" s="82">
        <f>IFERROR(M43/M67,0)</f>
        <v>0</v>
      </c>
    </row>
    <row r="44" spans="1:15" ht="18" customHeight="1" x14ac:dyDescent="0.25">
      <c r="A44" s="65" t="s">
        <v>850</v>
      </c>
      <c r="B44" s="179" t="s">
        <v>849</v>
      </c>
      <c r="C44" s="112"/>
      <c r="D44" s="112"/>
      <c r="E44" s="180">
        <v>0</v>
      </c>
      <c r="F44" s="112"/>
      <c r="G44" s="112"/>
      <c r="H44" s="180">
        <v>0</v>
      </c>
      <c r="I44" s="181">
        <f>((C44+D44+E44)*5+(F44+G44+H44)*2)*8</f>
        <v>0</v>
      </c>
      <c r="J44" s="182">
        <f>IFERROR(I44*52/2080,0)</f>
        <v>0</v>
      </c>
      <c r="K44" s="177"/>
      <c r="L44" s="183">
        <f>IFERROR((C44*K44+D44*(K44+$C$14)+E44*(K44+$C$15)+F44*(K44+$C$16)+G44*(K44+$C$14+$C$16)+H44*(K44+$C$15+$C$16))/MAX(C44+D44+E44+F44+G44+H44,1),K44)</f>
        <v>0</v>
      </c>
      <c r="M44" s="71">
        <f>IFERROR(J44*2080*L44*(1+$C$12)*(1+$C$13),0)</f>
        <v>0</v>
      </c>
      <c r="N44" s="83">
        <f>IFERROR(M44/M67,0)</f>
        <v>0</v>
      </c>
    </row>
    <row r="45" spans="1:15" ht="18" customHeight="1" x14ac:dyDescent="0.25">
      <c r="A45" s="62" t="s">
        <v>851</v>
      </c>
      <c r="B45" s="174" t="s">
        <v>849</v>
      </c>
      <c r="C45" s="113"/>
      <c r="D45" s="113"/>
      <c r="E45" s="175">
        <v>0</v>
      </c>
      <c r="F45" s="113"/>
      <c r="G45" s="113"/>
      <c r="H45" s="175">
        <v>0</v>
      </c>
      <c r="I45" s="176">
        <f>((C45+D45+E45)*5+(F45+G45+H45)*2)*8</f>
        <v>0</v>
      </c>
      <c r="J45" s="141">
        <f>IFERROR(I45*52/2080,0)</f>
        <v>0</v>
      </c>
      <c r="K45" s="177"/>
      <c r="L45" s="178">
        <f>IFERROR((C45*K45+D45*(K45+$C$14)+E45*(K45+$C$15)+F45*(K45+$C$16)+G45*(K45+$C$14+$C$16)+H45*(K45+$C$15+$C$16))/MAX(C45+D45+E45+F45+G45+H45,1),K45)</f>
        <v>0</v>
      </c>
      <c r="M45" s="75">
        <f>IFERROR(J45*2080*L45*(1+$C$12)*(1+$C$13),0)</f>
        <v>0</v>
      </c>
      <c r="N45" s="82">
        <f>IFERROR(M45/M67,0)</f>
        <v>0</v>
      </c>
    </row>
    <row r="46" spans="1:15" ht="18" customHeight="1" x14ac:dyDescent="0.25">
      <c r="A46" s="65" t="s">
        <v>852</v>
      </c>
      <c r="B46" s="179" t="s">
        <v>849</v>
      </c>
      <c r="C46" s="112"/>
      <c r="D46" s="112"/>
      <c r="E46" s="180">
        <v>0</v>
      </c>
      <c r="F46" s="112"/>
      <c r="G46" s="112"/>
      <c r="H46" s="180">
        <v>0</v>
      </c>
      <c r="I46" s="181">
        <f>((C46+D46+E46)*5+(F46+G46+H46)*2)*8</f>
        <v>0</v>
      </c>
      <c r="J46" s="182">
        <f>IFERROR(I46*52/2080,0)</f>
        <v>0</v>
      </c>
      <c r="K46" s="177"/>
      <c r="L46" s="183">
        <f>IFERROR((C46*K46+D46*(K46+$C$14)+E46*(K46+$C$15)+F46*(K46+$C$16)+G46*(K46+$C$14+$C$16)+H46*(K46+$C$15+$C$16))/MAX(C46+D46+E46+F46+G46+H46,1),K46)</f>
        <v>0</v>
      </c>
      <c r="M46" s="71">
        <f>IFERROR(J46*2080*L46*(1+$C$12)*(1+$C$13),0)</f>
        <v>0</v>
      </c>
      <c r="N46" s="83">
        <f>IFERROR(M46/M67,0)</f>
        <v>0</v>
      </c>
    </row>
    <row r="47" spans="1:15" ht="18" customHeight="1" x14ac:dyDescent="0.25">
      <c r="A47" s="853" t="s">
        <v>853</v>
      </c>
      <c r="B47" s="817"/>
      <c r="C47" s="185">
        <f t="shared" ref="C47:J47" si="5">SUM(C43:C46)</f>
        <v>0</v>
      </c>
      <c r="D47" s="185">
        <f t="shared" si="5"/>
        <v>0</v>
      </c>
      <c r="E47" s="185">
        <f t="shared" si="5"/>
        <v>0</v>
      </c>
      <c r="F47" s="185">
        <f t="shared" si="5"/>
        <v>0</v>
      </c>
      <c r="G47" s="185">
        <f t="shared" si="5"/>
        <v>0</v>
      </c>
      <c r="H47" s="185">
        <f t="shared" si="5"/>
        <v>0</v>
      </c>
      <c r="I47" s="185">
        <f t="shared" si="5"/>
        <v>0</v>
      </c>
      <c r="J47" s="186">
        <f t="shared" si="5"/>
        <v>0</v>
      </c>
      <c r="K47" s="187"/>
      <c r="L47" s="187"/>
      <c r="M47" s="79">
        <f>SUM(M43:M46)</f>
        <v>0</v>
      </c>
      <c r="N47" s="187"/>
    </row>
    <row r="49" spans="1:15" ht="19.5" customHeight="1" x14ac:dyDescent="0.25">
      <c r="A49" s="833" t="s">
        <v>854</v>
      </c>
      <c r="B49" s="817"/>
      <c r="C49" s="817"/>
      <c r="D49" s="817"/>
      <c r="E49" s="817"/>
      <c r="F49" s="817"/>
      <c r="G49" s="817"/>
      <c r="H49" s="817"/>
      <c r="I49" s="817"/>
      <c r="J49" s="817"/>
      <c r="K49" s="817"/>
      <c r="L49" s="817"/>
      <c r="M49" s="817"/>
      <c r="N49" s="817"/>
      <c r="O49" s="817"/>
    </row>
    <row r="50" spans="1:15" ht="18" customHeight="1" x14ac:dyDescent="0.25">
      <c r="A50" s="62" t="s">
        <v>855</v>
      </c>
      <c r="B50" s="174" t="s">
        <v>856</v>
      </c>
      <c r="C50" s="113"/>
      <c r="D50" s="175">
        <v>0</v>
      </c>
      <c r="E50" s="175">
        <v>0</v>
      </c>
      <c r="F50" s="113"/>
      <c r="G50" s="175">
        <v>0</v>
      </c>
      <c r="H50" s="175">
        <v>0</v>
      </c>
      <c r="I50" s="176">
        <f>((C50+D50+E50)*5+(F50+G50+H50)*2)*8</f>
        <v>0</v>
      </c>
      <c r="J50" s="141">
        <f>IFERROR(I50*52/2080,0)</f>
        <v>0</v>
      </c>
      <c r="K50" s="177"/>
      <c r="L50" s="178">
        <f>IFERROR((C50*K50+D50*(K50+$C$14)+E50*(K50+$C$15)+F50*(K50+$C$16)+G50*(K50+$C$14+$C$16)+H50*(K50+$C$15+$C$16))/MAX(C50+D50+E50+F50+G50+H50,1),K50)</f>
        <v>0</v>
      </c>
      <c r="M50" s="75">
        <f>IFERROR(J50*2080*L50*(1+$C$12)*(1+$C$13),0)</f>
        <v>0</v>
      </c>
      <c r="N50" s="82">
        <f>IFERROR(M50/M67,0)</f>
        <v>0</v>
      </c>
    </row>
    <row r="51" spans="1:15" ht="18" customHeight="1" x14ac:dyDescent="0.25">
      <c r="A51" s="65" t="s">
        <v>857</v>
      </c>
      <c r="B51" s="179" t="s">
        <v>856</v>
      </c>
      <c r="C51" s="112"/>
      <c r="D51" s="180">
        <v>0</v>
      </c>
      <c r="E51" s="180">
        <v>0</v>
      </c>
      <c r="F51" s="112"/>
      <c r="G51" s="180">
        <v>0</v>
      </c>
      <c r="H51" s="180">
        <v>0</v>
      </c>
      <c r="I51" s="181">
        <f>((C51+D51+E51)*5+(F51+G51+H51)*2)*8</f>
        <v>0</v>
      </c>
      <c r="J51" s="182">
        <f>IFERROR(I51*52/2080,0)</f>
        <v>0</v>
      </c>
      <c r="K51" s="177"/>
      <c r="L51" s="183">
        <f>IFERROR((C51*K51+D51*(K51+$C$14)+E51*(K51+$C$15)+F51*(K51+$C$16)+G51*(K51+$C$14+$C$16)+H51*(K51+$C$15+$C$16))/MAX(C51+D51+E51+F51+G51+H51,1),K51)</f>
        <v>0</v>
      </c>
      <c r="M51" s="71">
        <f>IFERROR(J51*2080*L51*(1+$C$12)*(1+$C$13),0)</f>
        <v>0</v>
      </c>
      <c r="N51" s="83">
        <f>IFERROR(M51/M67,0)</f>
        <v>0</v>
      </c>
    </row>
    <row r="52" spans="1:15" ht="18" customHeight="1" x14ac:dyDescent="0.25">
      <c r="A52" s="62" t="s">
        <v>858</v>
      </c>
      <c r="B52" s="174" t="s">
        <v>856</v>
      </c>
      <c r="C52" s="113"/>
      <c r="D52" s="113"/>
      <c r="E52" s="175">
        <v>0</v>
      </c>
      <c r="F52" s="113"/>
      <c r="G52" s="175">
        <v>0</v>
      </c>
      <c r="H52" s="175">
        <v>0</v>
      </c>
      <c r="I52" s="176">
        <f>((C52+D52+E52)*5+(F52+G52+H52)*2)*8</f>
        <v>0</v>
      </c>
      <c r="J52" s="141">
        <f>IFERROR(I52*52/2080,0)</f>
        <v>0</v>
      </c>
      <c r="K52" s="177"/>
      <c r="L52" s="178">
        <f>IFERROR((C52*K52+D52*(K52+$C$14)+E52*(K52+$C$15)+F52*(K52+$C$16)+G52*(K52+$C$14+$C$16)+H52*(K52+$C$15+$C$16))/MAX(C52+D52+E52+F52+G52+H52,1),K52)</f>
        <v>0</v>
      </c>
      <c r="M52" s="75">
        <f>IFERROR(J52*2080*L52*(1+$C$12)*(1+$C$13),0)</f>
        <v>0</v>
      </c>
      <c r="N52" s="82">
        <f>IFERROR(M52/M67,0)</f>
        <v>0</v>
      </c>
    </row>
    <row r="53" spans="1:15" ht="18" customHeight="1" x14ac:dyDescent="0.25">
      <c r="A53" s="853" t="s">
        <v>859</v>
      </c>
      <c r="B53" s="817"/>
      <c r="C53" s="185">
        <f t="shared" ref="C53:J53" si="6">SUM(C50:C52)</f>
        <v>0</v>
      </c>
      <c r="D53" s="185">
        <f t="shared" si="6"/>
        <v>0</v>
      </c>
      <c r="E53" s="185">
        <f t="shared" si="6"/>
        <v>0</v>
      </c>
      <c r="F53" s="185">
        <f t="shared" si="6"/>
        <v>0</v>
      </c>
      <c r="G53" s="185">
        <f t="shared" si="6"/>
        <v>0</v>
      </c>
      <c r="H53" s="185">
        <f t="shared" si="6"/>
        <v>0</v>
      </c>
      <c r="I53" s="185">
        <f t="shared" si="6"/>
        <v>0</v>
      </c>
      <c r="J53" s="186">
        <f t="shared" si="6"/>
        <v>0</v>
      </c>
      <c r="K53" s="187"/>
      <c r="L53" s="187"/>
      <c r="M53" s="79">
        <f>SUM(M50:M52)</f>
        <v>0</v>
      </c>
      <c r="N53" s="187"/>
    </row>
    <row r="55" spans="1:15" ht="19.5" customHeight="1" x14ac:dyDescent="0.25">
      <c r="A55" s="833" t="s">
        <v>860</v>
      </c>
      <c r="B55" s="817"/>
      <c r="C55" s="817"/>
      <c r="D55" s="817"/>
      <c r="E55" s="817"/>
      <c r="F55" s="817"/>
      <c r="G55" s="817"/>
      <c r="H55" s="817"/>
      <c r="I55" s="817"/>
      <c r="J55" s="817"/>
      <c r="K55" s="817"/>
      <c r="L55" s="817"/>
      <c r="M55" s="817"/>
      <c r="N55" s="817"/>
      <c r="O55" s="817"/>
    </row>
    <row r="56" spans="1:15" ht="18" customHeight="1" x14ac:dyDescent="0.25">
      <c r="A56" s="62" t="s">
        <v>861</v>
      </c>
      <c r="B56" s="174" t="s">
        <v>862</v>
      </c>
      <c r="C56" s="113"/>
      <c r="D56" s="175">
        <v>0</v>
      </c>
      <c r="E56" s="175">
        <v>0</v>
      </c>
      <c r="F56" s="113"/>
      <c r="G56" s="175">
        <v>0</v>
      </c>
      <c r="H56" s="175">
        <v>0</v>
      </c>
      <c r="I56" s="176">
        <f t="shared" ref="I56:I64" si="7">((C56+D56+E56)*5+(F56+G56+H56)*2)*8</f>
        <v>0</v>
      </c>
      <c r="J56" s="141">
        <f t="shared" ref="J56:J64" si="8">IFERROR(I56*52/2080,0)</f>
        <v>0</v>
      </c>
      <c r="K56" s="177"/>
      <c r="L56" s="178">
        <f t="shared" ref="L56:L64" si="9">IFERROR((C56*K56+D56*(K56+$C$14)+E56*(K56+$C$15)+F56*(K56+$C$16)+G56*(K56+$C$14+$C$16)+H56*(K56+$C$15+$C$16))/MAX(C56+D56+E56+F56+G56+H56,1),K56)</f>
        <v>0</v>
      </c>
      <c r="M56" s="75">
        <f t="shared" ref="M56:M64" si="10">IFERROR(J56*2080*L56*(1+$C$12)*(1+$C$13),0)</f>
        <v>0</v>
      </c>
      <c r="N56" s="82">
        <f>IFERROR(M56/M67,0)</f>
        <v>0</v>
      </c>
    </row>
    <row r="57" spans="1:15" ht="18" customHeight="1" x14ac:dyDescent="0.25">
      <c r="A57" s="65" t="s">
        <v>863</v>
      </c>
      <c r="B57" s="179" t="s">
        <v>862</v>
      </c>
      <c r="C57" s="112"/>
      <c r="D57" s="180">
        <v>0</v>
      </c>
      <c r="E57" s="180">
        <v>0</v>
      </c>
      <c r="F57" s="112"/>
      <c r="G57" s="180">
        <v>0</v>
      </c>
      <c r="H57" s="180">
        <v>0</v>
      </c>
      <c r="I57" s="181">
        <f t="shared" si="7"/>
        <v>0</v>
      </c>
      <c r="J57" s="182">
        <f t="shared" si="8"/>
        <v>0</v>
      </c>
      <c r="K57" s="177"/>
      <c r="L57" s="183">
        <f t="shared" si="9"/>
        <v>0</v>
      </c>
      <c r="M57" s="71">
        <f t="shared" si="10"/>
        <v>0</v>
      </c>
      <c r="N57" s="83">
        <f>IFERROR(M57/M67,0)</f>
        <v>0</v>
      </c>
    </row>
    <row r="58" spans="1:15" ht="18" customHeight="1" x14ac:dyDescent="0.25">
      <c r="A58" s="62" t="s">
        <v>864</v>
      </c>
      <c r="B58" s="174" t="s">
        <v>865</v>
      </c>
      <c r="C58" s="113"/>
      <c r="D58" s="113"/>
      <c r="E58" s="175">
        <v>0</v>
      </c>
      <c r="F58" s="113"/>
      <c r="G58" s="113"/>
      <c r="H58" s="175">
        <v>0</v>
      </c>
      <c r="I58" s="176">
        <f t="shared" si="7"/>
        <v>0</v>
      </c>
      <c r="J58" s="141">
        <f t="shared" si="8"/>
        <v>0</v>
      </c>
      <c r="K58" s="177"/>
      <c r="L58" s="178">
        <f t="shared" si="9"/>
        <v>0</v>
      </c>
      <c r="M58" s="75">
        <f t="shared" si="10"/>
        <v>0</v>
      </c>
      <c r="N58" s="82">
        <f>IFERROR(M58/M67,0)</f>
        <v>0</v>
      </c>
    </row>
    <row r="59" spans="1:15" ht="18" customHeight="1" x14ac:dyDescent="0.25">
      <c r="A59" s="65" t="s">
        <v>866</v>
      </c>
      <c r="B59" s="179" t="s">
        <v>865</v>
      </c>
      <c r="C59" s="112"/>
      <c r="D59" s="112"/>
      <c r="E59" s="180">
        <v>0</v>
      </c>
      <c r="F59" s="112"/>
      <c r="G59" s="112"/>
      <c r="H59" s="180">
        <v>0</v>
      </c>
      <c r="I59" s="181">
        <f t="shared" si="7"/>
        <v>0</v>
      </c>
      <c r="J59" s="182">
        <f t="shared" si="8"/>
        <v>0</v>
      </c>
      <c r="K59" s="177"/>
      <c r="L59" s="183">
        <f t="shared" si="9"/>
        <v>0</v>
      </c>
      <c r="M59" s="71">
        <f t="shared" si="10"/>
        <v>0</v>
      </c>
      <c r="N59" s="83">
        <f>IFERROR(M59/M67,0)</f>
        <v>0</v>
      </c>
    </row>
    <row r="60" spans="1:15" ht="18" customHeight="1" x14ac:dyDescent="0.25">
      <c r="A60" s="62" t="s">
        <v>867</v>
      </c>
      <c r="B60" s="174" t="s">
        <v>865</v>
      </c>
      <c r="C60" s="113"/>
      <c r="D60" s="175">
        <v>0</v>
      </c>
      <c r="E60" s="175">
        <v>0</v>
      </c>
      <c r="F60" s="113"/>
      <c r="G60" s="175">
        <v>0</v>
      </c>
      <c r="H60" s="175">
        <v>0</v>
      </c>
      <c r="I60" s="176">
        <f t="shared" si="7"/>
        <v>0</v>
      </c>
      <c r="J60" s="141">
        <f t="shared" si="8"/>
        <v>0</v>
      </c>
      <c r="K60" s="177"/>
      <c r="L60" s="178">
        <f t="shared" si="9"/>
        <v>0</v>
      </c>
      <c r="M60" s="75">
        <f t="shared" si="10"/>
        <v>0</v>
      </c>
      <c r="N60" s="82">
        <f>IFERROR(M60/M67,0)</f>
        <v>0</v>
      </c>
    </row>
    <row r="61" spans="1:15" ht="18" customHeight="1" x14ac:dyDescent="0.25">
      <c r="A61" s="65" t="s">
        <v>868</v>
      </c>
      <c r="B61" s="179" t="s">
        <v>865</v>
      </c>
      <c r="C61" s="112"/>
      <c r="D61" s="180">
        <v>0</v>
      </c>
      <c r="E61" s="180">
        <v>0</v>
      </c>
      <c r="F61" s="180">
        <v>0</v>
      </c>
      <c r="G61" s="180">
        <v>0</v>
      </c>
      <c r="H61" s="180">
        <v>0</v>
      </c>
      <c r="I61" s="181">
        <f t="shared" si="7"/>
        <v>0</v>
      </c>
      <c r="J61" s="182">
        <f t="shared" si="8"/>
        <v>0</v>
      </c>
      <c r="K61" s="177"/>
      <c r="L61" s="183">
        <f t="shared" si="9"/>
        <v>0</v>
      </c>
      <c r="M61" s="71">
        <f t="shared" si="10"/>
        <v>0</v>
      </c>
      <c r="N61" s="83">
        <f>IFERROR(M61/M67,0)</f>
        <v>0</v>
      </c>
    </row>
    <row r="62" spans="1:15" ht="18" customHeight="1" x14ac:dyDescent="0.25">
      <c r="A62" s="62" t="s">
        <v>869</v>
      </c>
      <c r="B62" s="174" t="s">
        <v>865</v>
      </c>
      <c r="C62" s="113"/>
      <c r="D62" s="113"/>
      <c r="E62" s="175">
        <v>0</v>
      </c>
      <c r="F62" s="113"/>
      <c r="G62" s="175">
        <v>0</v>
      </c>
      <c r="H62" s="175">
        <v>0</v>
      </c>
      <c r="I62" s="176">
        <f t="shared" si="7"/>
        <v>0</v>
      </c>
      <c r="J62" s="141">
        <f t="shared" si="8"/>
        <v>0</v>
      </c>
      <c r="K62" s="177"/>
      <c r="L62" s="178">
        <f t="shared" si="9"/>
        <v>0</v>
      </c>
      <c r="M62" s="75">
        <f t="shared" si="10"/>
        <v>0</v>
      </c>
      <c r="N62" s="82">
        <f>IFERROR(M62/M67,0)</f>
        <v>0</v>
      </c>
    </row>
    <row r="63" spans="1:15" ht="18" customHeight="1" x14ac:dyDescent="0.25">
      <c r="A63" s="65" t="s">
        <v>870</v>
      </c>
      <c r="B63" s="179" t="s">
        <v>865</v>
      </c>
      <c r="C63" s="112"/>
      <c r="D63" s="180">
        <v>0</v>
      </c>
      <c r="E63" s="180">
        <v>0</v>
      </c>
      <c r="F63" s="180">
        <v>0</v>
      </c>
      <c r="G63" s="180">
        <v>0</v>
      </c>
      <c r="H63" s="180">
        <v>0</v>
      </c>
      <c r="I63" s="181">
        <f t="shared" si="7"/>
        <v>0</v>
      </c>
      <c r="J63" s="182">
        <f t="shared" si="8"/>
        <v>0</v>
      </c>
      <c r="K63" s="177"/>
      <c r="L63" s="183">
        <f t="shared" si="9"/>
        <v>0</v>
      </c>
      <c r="M63" s="71">
        <f t="shared" si="10"/>
        <v>0</v>
      </c>
      <c r="N63" s="83">
        <f>IFERROR(M63/M67,0)</f>
        <v>0</v>
      </c>
    </row>
    <row r="64" spans="1:15" ht="18" customHeight="1" x14ac:dyDescent="0.25">
      <c r="A64" s="62" t="s">
        <v>871</v>
      </c>
      <c r="B64" s="174" t="s">
        <v>865</v>
      </c>
      <c r="C64" s="113"/>
      <c r="D64" s="175">
        <v>0</v>
      </c>
      <c r="E64" s="175">
        <v>0</v>
      </c>
      <c r="F64" s="175">
        <v>0</v>
      </c>
      <c r="G64" s="175">
        <v>0</v>
      </c>
      <c r="H64" s="175">
        <v>0</v>
      </c>
      <c r="I64" s="176">
        <f t="shared" si="7"/>
        <v>0</v>
      </c>
      <c r="J64" s="141">
        <f t="shared" si="8"/>
        <v>0</v>
      </c>
      <c r="K64" s="177"/>
      <c r="L64" s="178">
        <f t="shared" si="9"/>
        <v>0</v>
      </c>
      <c r="M64" s="75">
        <f t="shared" si="10"/>
        <v>0</v>
      </c>
      <c r="N64" s="82">
        <f>IFERROR(M64/M67,0)</f>
        <v>0</v>
      </c>
    </row>
    <row r="65" spans="1:16" ht="18" customHeight="1" x14ac:dyDescent="0.25">
      <c r="A65" s="853" t="s">
        <v>872</v>
      </c>
      <c r="B65" s="817"/>
      <c r="C65" s="185">
        <f t="shared" ref="C65:J65" si="11">SUM(C56:C64)</f>
        <v>0</v>
      </c>
      <c r="D65" s="185">
        <f t="shared" si="11"/>
        <v>0</v>
      </c>
      <c r="E65" s="185">
        <f t="shared" si="11"/>
        <v>0</v>
      </c>
      <c r="F65" s="185">
        <f t="shared" si="11"/>
        <v>0</v>
      </c>
      <c r="G65" s="185">
        <f t="shared" si="11"/>
        <v>0</v>
      </c>
      <c r="H65" s="185">
        <f t="shared" si="11"/>
        <v>0</v>
      </c>
      <c r="I65" s="185">
        <f t="shared" si="11"/>
        <v>0</v>
      </c>
      <c r="J65" s="186">
        <f t="shared" si="11"/>
        <v>0</v>
      </c>
      <c r="K65" s="187"/>
      <c r="L65" s="187"/>
      <c r="M65" s="79">
        <f>SUM(M56:M64)</f>
        <v>0</v>
      </c>
      <c r="N65" s="187"/>
    </row>
    <row r="67" spans="1:16" ht="21.75" customHeight="1" x14ac:dyDescent="0.25">
      <c r="A67" s="827" t="s">
        <v>873</v>
      </c>
      <c r="B67" s="817"/>
      <c r="C67" s="188">
        <f t="shared" ref="C67:J67" si="12">C40+C47+C53+C65</f>
        <v>0</v>
      </c>
      <c r="D67" s="188">
        <f t="shared" si="12"/>
        <v>0</v>
      </c>
      <c r="E67" s="188">
        <f t="shared" si="12"/>
        <v>0</v>
      </c>
      <c r="F67" s="188">
        <f t="shared" si="12"/>
        <v>0</v>
      </c>
      <c r="G67" s="188">
        <f t="shared" si="12"/>
        <v>0</v>
      </c>
      <c r="H67" s="188">
        <f t="shared" si="12"/>
        <v>0</v>
      </c>
      <c r="I67" s="188">
        <f t="shared" si="12"/>
        <v>0</v>
      </c>
      <c r="J67" s="189">
        <f t="shared" si="12"/>
        <v>0</v>
      </c>
      <c r="K67" s="190"/>
      <c r="L67" s="190"/>
      <c r="M67" s="160">
        <f>M40+M47+M53+M65+O67</f>
        <v>0</v>
      </c>
      <c r="N67" s="190"/>
      <c r="O67" s="191"/>
      <c r="P67" s="192" t="s">
        <v>874</v>
      </c>
    </row>
    <row r="69" spans="1:16" ht="24" customHeight="1" x14ac:dyDescent="0.25">
      <c r="A69" s="830" t="s">
        <v>875</v>
      </c>
      <c r="B69" s="817"/>
      <c r="C69" s="817"/>
      <c r="D69" s="817"/>
      <c r="E69" s="817"/>
      <c r="F69" s="817"/>
      <c r="G69" s="817"/>
      <c r="H69" s="817"/>
      <c r="I69" s="817"/>
      <c r="J69" s="817"/>
      <c r="K69" s="817"/>
      <c r="L69" s="817"/>
      <c r="M69" s="817"/>
      <c r="N69" s="817"/>
      <c r="O69" s="817"/>
    </row>
    <row r="70" spans="1:16" ht="15.75" customHeight="1" x14ac:dyDescent="0.25">
      <c r="A70" s="854" t="s">
        <v>876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  <c r="O70" s="817"/>
    </row>
    <row r="71" spans="1:16" ht="27.75" customHeight="1" x14ac:dyDescent="0.25">
      <c r="A71" s="19" t="s">
        <v>877</v>
      </c>
      <c r="B71" s="19" t="s">
        <v>878</v>
      </c>
      <c r="C71" s="19" t="s">
        <v>879</v>
      </c>
      <c r="D71" s="19" t="s">
        <v>880</v>
      </c>
      <c r="E71" s="19" t="s">
        <v>881</v>
      </c>
      <c r="F71" s="19" t="s">
        <v>882</v>
      </c>
      <c r="G71" s="19" t="s">
        <v>883</v>
      </c>
      <c r="H71" s="19" t="s">
        <v>884</v>
      </c>
      <c r="I71" s="19" t="s">
        <v>226</v>
      </c>
      <c r="J71" s="19" t="s">
        <v>885</v>
      </c>
      <c r="K71" s="19" t="s">
        <v>363</v>
      </c>
    </row>
    <row r="72" spans="1:16" ht="18" customHeight="1" x14ac:dyDescent="0.25">
      <c r="A72" s="8" t="s">
        <v>886</v>
      </c>
      <c r="B72" s="33">
        <f>C6</f>
        <v>0</v>
      </c>
      <c r="C72" s="33">
        <f>C34</f>
        <v>0</v>
      </c>
      <c r="D72" s="141">
        <f>IFERROR(C6/C34,0)</f>
        <v>0</v>
      </c>
      <c r="E72" s="33">
        <f>F34</f>
        <v>0</v>
      </c>
      <c r="F72" s="141">
        <f>IFERROR(C6/F34,0)</f>
        <v>0</v>
      </c>
      <c r="G72" s="140">
        <f t="shared" ref="G72:G77" si="13">C20</f>
        <v>6</v>
      </c>
      <c r="H72" s="141">
        <f t="shared" ref="H72:H77" si="14">IFERROR(D72-G72,0)</f>
        <v>-6</v>
      </c>
      <c r="I72" s="36" t="str">
        <f t="shared" ref="I72:I77" si="15">IFERROR(IF(D72&lt;=G72,"On target",IF(D72&lt;=G72*1.2,"Slightly over","Understaffed")),"-")</f>
        <v>On target</v>
      </c>
      <c r="J72" s="141">
        <f>IFERROR(C34*8/C6,0)</f>
        <v>0</v>
      </c>
      <c r="K72" s="193"/>
    </row>
    <row r="73" spans="1:16" ht="18" customHeight="1" x14ac:dyDescent="0.25">
      <c r="A73" s="10" t="s">
        <v>887</v>
      </c>
      <c r="B73" s="13">
        <f>C6</f>
        <v>0</v>
      </c>
      <c r="C73" s="13">
        <f>D35</f>
        <v>0</v>
      </c>
      <c r="D73" s="182">
        <f>IFERROR(C6/D35,0)</f>
        <v>0</v>
      </c>
      <c r="E73" s="13">
        <f>G35</f>
        <v>0</v>
      </c>
      <c r="F73" s="182">
        <f>IFERROR(C6/G35,0)</f>
        <v>0</v>
      </c>
      <c r="G73" s="194">
        <f t="shared" si="13"/>
        <v>7</v>
      </c>
      <c r="H73" s="182">
        <f t="shared" si="14"/>
        <v>-7</v>
      </c>
      <c r="I73" s="37" t="str">
        <f t="shared" si="15"/>
        <v>On target</v>
      </c>
      <c r="J73" s="182">
        <f>IFERROR(D35*8/C6,0)</f>
        <v>0</v>
      </c>
      <c r="K73" s="195"/>
    </row>
    <row r="74" spans="1:16" ht="18" customHeight="1" x14ac:dyDescent="0.25">
      <c r="A74" s="8" t="s">
        <v>888</v>
      </c>
      <c r="B74" s="33">
        <f>C6</f>
        <v>0</v>
      </c>
      <c r="C74" s="33">
        <f>E36</f>
        <v>0</v>
      </c>
      <c r="D74" s="141">
        <f>IFERROR(C6/E36,0)</f>
        <v>0</v>
      </c>
      <c r="E74" s="33">
        <f>H36</f>
        <v>0</v>
      </c>
      <c r="F74" s="141">
        <f>IFERROR(C6/H36,0)</f>
        <v>0</v>
      </c>
      <c r="G74" s="140">
        <f t="shared" si="13"/>
        <v>10</v>
      </c>
      <c r="H74" s="141">
        <f t="shared" si="14"/>
        <v>-10</v>
      </c>
      <c r="I74" s="36" t="str">
        <f t="shared" si="15"/>
        <v>On target</v>
      </c>
      <c r="J74" s="141">
        <f>IFERROR(E36*8/C6,0)</f>
        <v>0</v>
      </c>
      <c r="K74" s="193"/>
    </row>
    <row r="75" spans="1:16" ht="18" customHeight="1" x14ac:dyDescent="0.25">
      <c r="A75" s="10" t="s">
        <v>889</v>
      </c>
      <c r="B75" s="13">
        <f>C7</f>
        <v>0</v>
      </c>
      <c r="C75" s="13">
        <f>C37</f>
        <v>0</v>
      </c>
      <c r="D75" s="182">
        <f>IFERROR(C7/C37,0)</f>
        <v>0</v>
      </c>
      <c r="E75" s="13">
        <f>F37</f>
        <v>0</v>
      </c>
      <c r="F75" s="182">
        <f>IFERROR(C7/F37,0)</f>
        <v>0</v>
      </c>
      <c r="G75" s="194">
        <f t="shared" si="13"/>
        <v>5</v>
      </c>
      <c r="H75" s="182">
        <f t="shared" si="14"/>
        <v>-5</v>
      </c>
      <c r="I75" s="37" t="str">
        <f t="shared" si="15"/>
        <v>On target</v>
      </c>
      <c r="J75" s="182">
        <f>IFERROR(C37*8/C7,0)</f>
        <v>0</v>
      </c>
      <c r="K75" s="195"/>
    </row>
    <row r="76" spans="1:16" ht="18" customHeight="1" x14ac:dyDescent="0.25">
      <c r="A76" s="8" t="s">
        <v>890</v>
      </c>
      <c r="B76" s="33">
        <f>C7</f>
        <v>0</v>
      </c>
      <c r="C76" s="33">
        <f>D38</f>
        <v>0</v>
      </c>
      <c r="D76" s="141">
        <f>IFERROR(C7/D38,0)</f>
        <v>0</v>
      </c>
      <c r="E76" s="33">
        <f>G38</f>
        <v>0</v>
      </c>
      <c r="F76" s="141">
        <f>IFERROR(C7/G38,0)</f>
        <v>0</v>
      </c>
      <c r="G76" s="140">
        <f t="shared" si="13"/>
        <v>6</v>
      </c>
      <c r="H76" s="141">
        <f t="shared" si="14"/>
        <v>-6</v>
      </c>
      <c r="I76" s="36" t="str">
        <f t="shared" si="15"/>
        <v>On target</v>
      </c>
      <c r="J76" s="141">
        <f>IFERROR(D38*8/C7,0)</f>
        <v>0</v>
      </c>
      <c r="K76" s="193"/>
    </row>
    <row r="77" spans="1:16" ht="18" customHeight="1" x14ac:dyDescent="0.25">
      <c r="A77" s="10" t="s">
        <v>891</v>
      </c>
      <c r="B77" s="13">
        <f>C7</f>
        <v>0</v>
      </c>
      <c r="C77" s="13">
        <f>E39</f>
        <v>0</v>
      </c>
      <c r="D77" s="182">
        <f>IFERROR(C7/E39,0)</f>
        <v>0</v>
      </c>
      <c r="E77" s="13">
        <f>H39</f>
        <v>0</v>
      </c>
      <c r="F77" s="182">
        <f>IFERROR(C7/H39,0)</f>
        <v>0</v>
      </c>
      <c r="G77" s="194">
        <f t="shared" si="13"/>
        <v>8</v>
      </c>
      <c r="H77" s="182">
        <f t="shared" si="14"/>
        <v>-8</v>
      </c>
      <c r="I77" s="37" t="str">
        <f t="shared" si="15"/>
        <v>On target</v>
      </c>
      <c r="J77" s="182">
        <f>IFERROR(E39*8/C7,0)</f>
        <v>0</v>
      </c>
      <c r="K77" s="195"/>
    </row>
    <row r="79" spans="1:16" ht="24" customHeight="1" x14ac:dyDescent="0.25">
      <c r="A79" s="839" t="s">
        <v>892</v>
      </c>
      <c r="B79" s="817"/>
      <c r="C79" s="817"/>
      <c r="D79" s="817"/>
      <c r="E79" s="817"/>
      <c r="F79" s="817"/>
      <c r="G79" s="817"/>
      <c r="H79" s="817"/>
      <c r="I79" s="817"/>
      <c r="J79" s="817"/>
      <c r="K79" s="817"/>
      <c r="L79" s="817"/>
      <c r="M79" s="817"/>
      <c r="N79" s="817"/>
      <c r="O79" s="817"/>
    </row>
    <row r="80" spans="1:16" ht="15.75" customHeight="1" x14ac:dyDescent="0.25">
      <c r="A80" s="859" t="s">
        <v>893</v>
      </c>
      <c r="B80" s="817"/>
      <c r="C80" s="817"/>
      <c r="D80" s="817"/>
      <c r="E80" s="817"/>
      <c r="F80" s="817"/>
      <c r="G80" s="817"/>
      <c r="H80" s="817"/>
      <c r="I80" s="817"/>
      <c r="J80" s="817"/>
      <c r="K80" s="817"/>
      <c r="L80" s="817"/>
      <c r="M80" s="817"/>
      <c r="N80" s="817"/>
      <c r="O80" s="817"/>
    </row>
    <row r="81" spans="1:15" ht="24" customHeight="1" x14ac:dyDescent="0.25">
      <c r="A81" s="196" t="s">
        <v>41</v>
      </c>
      <c r="B81" s="196" t="s">
        <v>894</v>
      </c>
      <c r="C81" s="196" t="s">
        <v>895</v>
      </c>
      <c r="D81" s="196" t="s">
        <v>896</v>
      </c>
      <c r="E81" s="196" t="s">
        <v>226</v>
      </c>
      <c r="F81" s="196" t="s">
        <v>897</v>
      </c>
    </row>
    <row r="82" spans="1:15" ht="18" customHeight="1" x14ac:dyDescent="0.25">
      <c r="A82" s="62" t="s">
        <v>898</v>
      </c>
      <c r="B82" s="197">
        <f>IFERROR((J31+J32+J33+J34+J35+J36+J37+J38+J39)*2080/365/C6,0)</f>
        <v>0</v>
      </c>
      <c r="C82" s="193">
        <v>2.5</v>
      </c>
      <c r="D82" s="193">
        <v>3.5</v>
      </c>
      <c r="E82" s="36" t="str">
        <f>IFERROR(IF(B82&lt;C82,"Below bench",IF(B82&gt;D82,"Above bench","In range")),"-")</f>
        <v>Below bench</v>
      </c>
      <c r="F82" s="141">
        <f>IFERROR(B82-(C82+D82)/2,0)</f>
        <v>-3</v>
      </c>
    </row>
    <row r="83" spans="1:15" ht="18" customHeight="1" x14ac:dyDescent="0.25">
      <c r="A83" s="65" t="s">
        <v>899</v>
      </c>
      <c r="B83" s="198">
        <f>IFERROR((J31+J32+J33+J34+J35+J36+J37+J38+J39)*2080/365/C7,0)</f>
        <v>0</v>
      </c>
      <c r="C83" s="195">
        <v>3.5</v>
      </c>
      <c r="D83" s="195">
        <v>4.5</v>
      </c>
      <c r="E83" s="37" t="str">
        <f>IFERROR(IF(B83&lt;C83,"Below bench",IF(B83&gt;D83,"Above bench","In range")),"-")</f>
        <v>Below bench</v>
      </c>
      <c r="F83" s="182">
        <f>IFERROR(B83-(C83+D83)/2,0)</f>
        <v>-4</v>
      </c>
    </row>
    <row r="84" spans="1:15" ht="18" customHeight="1" x14ac:dyDescent="0.25">
      <c r="A84" s="62" t="s">
        <v>900</v>
      </c>
      <c r="B84" s="197">
        <f>IFERROR((J31+J32+J33+J34+J35+J36+J37+J38+J39)*2080/365/(C6+C7),0)</f>
        <v>0</v>
      </c>
      <c r="C84" s="193">
        <v>3</v>
      </c>
      <c r="D84" s="193">
        <v>4</v>
      </c>
      <c r="E84" s="36" t="str">
        <f>IFERROR(IF(B84&lt;C84,"Below bench",IF(B84&gt;D84,"Above bench","In range")),"-")</f>
        <v>Below bench</v>
      </c>
      <c r="F84" s="141">
        <f>IFERROR(B84-(C84+D84)/2,0)</f>
        <v>-3.5</v>
      </c>
    </row>
    <row r="85" spans="1:15" ht="18" customHeight="1" x14ac:dyDescent="0.25">
      <c r="A85" s="65" t="s">
        <v>901</v>
      </c>
      <c r="B85" s="199">
        <f>IFERROR(M67/365/(C6+C7+C8),0)</f>
        <v>0</v>
      </c>
      <c r="C85" s="173">
        <v>80</v>
      </c>
      <c r="D85" s="173">
        <v>140</v>
      </c>
      <c r="E85" s="37" t="str">
        <f>IFERROR(IF(B85&lt;C85,"Below bench",IF(B85&gt;D85,"Above bench","In range")),"-")</f>
        <v>Below bench</v>
      </c>
      <c r="F85" s="183">
        <f>IFERROR(B85-(C85+D85)/2,0)</f>
        <v>-110</v>
      </c>
    </row>
    <row r="87" spans="1:15" ht="24" customHeight="1" x14ac:dyDescent="0.25">
      <c r="A87" s="858" t="s">
        <v>902</v>
      </c>
      <c r="B87" s="817"/>
      <c r="C87" s="817"/>
      <c r="D87" s="817"/>
      <c r="E87" s="817"/>
      <c r="F87" s="817"/>
      <c r="G87" s="817"/>
      <c r="H87" s="817"/>
      <c r="I87" s="817"/>
      <c r="J87" s="817"/>
      <c r="K87" s="817"/>
      <c r="L87" s="817"/>
      <c r="M87" s="817"/>
      <c r="N87" s="817"/>
      <c r="O87" s="817"/>
    </row>
    <row r="88" spans="1:15" ht="15.75" customHeight="1" x14ac:dyDescent="0.25">
      <c r="A88" s="854" t="s">
        <v>903</v>
      </c>
      <c r="B88" s="817"/>
      <c r="C88" s="817"/>
      <c r="D88" s="817"/>
      <c r="E88" s="817"/>
      <c r="F88" s="817"/>
      <c r="G88" s="817"/>
      <c r="H88" s="817"/>
      <c r="I88" s="817"/>
      <c r="J88" s="817"/>
      <c r="K88" s="817"/>
      <c r="L88" s="817"/>
      <c r="M88" s="817"/>
      <c r="N88" s="817"/>
      <c r="O88" s="817"/>
    </row>
    <row r="89" spans="1:15" ht="18" customHeight="1" x14ac:dyDescent="0.25">
      <c r="A89" s="88" t="s">
        <v>904</v>
      </c>
      <c r="C89" s="200">
        <f>M67</f>
        <v>0</v>
      </c>
      <c r="D89" s="201" t="s">
        <v>905</v>
      </c>
      <c r="E89" s="854" t="s">
        <v>906</v>
      </c>
      <c r="F89" s="817"/>
      <c r="G89" s="817"/>
      <c r="H89" s="817"/>
      <c r="I89" s="817"/>
      <c r="J89" s="817"/>
    </row>
    <row r="90" spans="1:15" ht="18" customHeight="1" x14ac:dyDescent="0.25">
      <c r="A90" s="62" t="s">
        <v>907</v>
      </c>
      <c r="C90" s="141">
        <f>J67</f>
        <v>0</v>
      </c>
      <c r="D90" s="170" t="s">
        <v>908</v>
      </c>
    </row>
    <row r="91" spans="1:15" ht="18" customHeight="1" x14ac:dyDescent="0.25">
      <c r="A91" s="65" t="s">
        <v>909</v>
      </c>
      <c r="C91" s="71">
        <f>IFERROR(M67/J67,0)</f>
        <v>0</v>
      </c>
      <c r="D91" s="171" t="s">
        <v>910</v>
      </c>
    </row>
    <row r="93" spans="1:15" ht="21.75" customHeight="1" x14ac:dyDescent="0.25">
      <c r="A93" s="827" t="s">
        <v>911</v>
      </c>
      <c r="B93" s="817"/>
      <c r="C93" s="817"/>
      <c r="D93" s="817"/>
      <c r="E93" s="817"/>
      <c r="F93" s="817"/>
      <c r="G93" s="817"/>
      <c r="H93" s="817"/>
      <c r="I93" s="817"/>
      <c r="J93" s="817"/>
    </row>
    <row r="94" spans="1:15" ht="15.75" customHeight="1" x14ac:dyDescent="0.25">
      <c r="A94" s="835" t="s">
        <v>912</v>
      </c>
      <c r="B94" s="817"/>
      <c r="C94" s="817"/>
      <c r="D94" s="817"/>
      <c r="E94" s="817"/>
      <c r="F94" s="817"/>
      <c r="G94" s="817"/>
      <c r="H94" s="817"/>
      <c r="I94" s="817"/>
      <c r="J94" s="817"/>
    </row>
    <row r="96" spans="1:15" ht="18" customHeight="1" x14ac:dyDescent="0.25">
      <c r="A96" s="837" t="s">
        <v>913</v>
      </c>
      <c r="B96" s="817"/>
      <c r="C96" s="817"/>
      <c r="D96" s="817"/>
      <c r="E96" s="817"/>
      <c r="F96" s="817"/>
      <c r="G96" s="817"/>
      <c r="H96" s="817"/>
      <c r="I96" s="817"/>
      <c r="J96" s="817"/>
    </row>
    <row r="97" spans="1:10" ht="15.75" customHeight="1" x14ac:dyDescent="0.25">
      <c r="A97" s="41" t="s">
        <v>41</v>
      </c>
      <c r="B97" s="41" t="s">
        <v>202</v>
      </c>
      <c r="C97" s="41" t="s">
        <v>895</v>
      </c>
      <c r="D97" s="41" t="s">
        <v>896</v>
      </c>
      <c r="E97" s="41" t="s">
        <v>44</v>
      </c>
    </row>
    <row r="98" spans="1:10" ht="18" customHeight="1" x14ac:dyDescent="0.25">
      <c r="A98" s="62" t="s">
        <v>914</v>
      </c>
      <c r="B98" s="33">
        <f>C6+C7+C8</f>
        <v>0</v>
      </c>
      <c r="C98" s="202" t="s">
        <v>197</v>
      </c>
      <c r="D98" s="202" t="s">
        <v>197</v>
      </c>
      <c r="E98" s="100" t="s">
        <v>915</v>
      </c>
    </row>
    <row r="99" spans="1:10" ht="18" customHeight="1" x14ac:dyDescent="0.25">
      <c r="A99" s="62" t="s">
        <v>916</v>
      </c>
      <c r="B99" s="33">
        <f>IFERROR(B98*365,0)</f>
        <v>0</v>
      </c>
      <c r="C99" s="202" t="s">
        <v>197</v>
      </c>
      <c r="D99" s="202" t="s">
        <v>197</v>
      </c>
      <c r="E99" s="100" t="s">
        <v>917</v>
      </c>
    </row>
    <row r="101" spans="1:10" ht="18" customHeight="1" x14ac:dyDescent="0.25">
      <c r="A101" s="833" t="s">
        <v>918</v>
      </c>
      <c r="B101" s="817"/>
      <c r="C101" s="817"/>
      <c r="D101" s="817"/>
      <c r="E101" s="817"/>
      <c r="F101" s="817"/>
      <c r="G101" s="817"/>
      <c r="H101" s="817"/>
      <c r="I101" s="817"/>
      <c r="J101" s="817"/>
    </row>
    <row r="102" spans="1:10" ht="15.75" customHeight="1" x14ac:dyDescent="0.25">
      <c r="A102" s="835" t="s">
        <v>919</v>
      </c>
      <c r="B102" s="817"/>
      <c r="C102" s="817"/>
      <c r="D102" s="817"/>
      <c r="E102" s="817"/>
      <c r="F102" s="817"/>
      <c r="G102" s="817"/>
      <c r="H102" s="817"/>
      <c r="I102" s="817"/>
      <c r="J102" s="817"/>
    </row>
    <row r="103" spans="1:10" ht="15.75" customHeight="1" x14ac:dyDescent="0.25">
      <c r="A103" s="41" t="s">
        <v>920</v>
      </c>
      <c r="B103" s="41" t="s">
        <v>921</v>
      </c>
      <c r="C103" s="41" t="s">
        <v>922</v>
      </c>
      <c r="D103" s="41" t="s">
        <v>895</v>
      </c>
      <c r="E103" s="41" t="s">
        <v>896</v>
      </c>
      <c r="F103" s="41" t="s">
        <v>226</v>
      </c>
    </row>
    <row r="104" spans="1:10" ht="18" customHeight="1" x14ac:dyDescent="0.25">
      <c r="A104" s="62" t="s">
        <v>923</v>
      </c>
      <c r="B104" s="21">
        <f>M40</f>
        <v>0</v>
      </c>
      <c r="C104" s="203">
        <f>IFERROR(M40/B99,0)</f>
        <v>0</v>
      </c>
      <c r="D104" s="204">
        <v>45</v>
      </c>
      <c r="E104" s="204">
        <v>75</v>
      </c>
      <c r="F104" s="1" t="str">
        <f>IFERROR(IF(C104=0,"—",IF(C104&lt;D104,"Below bench",IF(C104&gt;E104,"Above bench","In range"))),"")</f>
        <v>—</v>
      </c>
    </row>
    <row r="105" spans="1:10" ht="18" customHeight="1" x14ac:dyDescent="0.25">
      <c r="A105" s="62" t="s">
        <v>924</v>
      </c>
      <c r="B105" s="21">
        <f>M47</f>
        <v>0</v>
      </c>
      <c r="C105" s="203">
        <f>IFERROR(M47/B99,0)</f>
        <v>0</v>
      </c>
      <c r="D105" s="204">
        <v>12</v>
      </c>
      <c r="E105" s="204">
        <v>22</v>
      </c>
      <c r="F105" s="1" t="str">
        <f>IFERROR(IF(C105=0,"—",IF(C105&lt;D105,"Below bench",IF(C105&gt;E105,"Above bench","In range"))),"")</f>
        <v>—</v>
      </c>
    </row>
    <row r="106" spans="1:10" ht="18" customHeight="1" x14ac:dyDescent="0.25">
      <c r="A106" s="62" t="s">
        <v>925</v>
      </c>
      <c r="B106" s="21">
        <f>M53</f>
        <v>0</v>
      </c>
      <c r="C106" s="203">
        <f>IFERROR(M53/B99,0)</f>
        <v>0</v>
      </c>
      <c r="D106" s="204">
        <v>6</v>
      </c>
      <c r="E106" s="204">
        <v>14</v>
      </c>
      <c r="F106" s="1" t="str">
        <f>IFERROR(IF(C106=0,"—",IF(C106&lt;D106,"Below bench",IF(C106&gt;E106,"Above bench","In range"))),"")</f>
        <v>—</v>
      </c>
    </row>
    <row r="107" spans="1:10" ht="18" customHeight="1" x14ac:dyDescent="0.25">
      <c r="A107" s="62" t="s">
        <v>926</v>
      </c>
      <c r="B107" s="21">
        <f>M65</f>
        <v>0</v>
      </c>
      <c r="C107" s="203">
        <f>IFERROR(M65/B99,0)</f>
        <v>0</v>
      </c>
      <c r="D107" s="204">
        <v>8</v>
      </c>
      <c r="E107" s="204">
        <v>18</v>
      </c>
      <c r="F107" s="1" t="str">
        <f>IFERROR(IF(C107=0,"—",IF(C107&lt;D107,"Below bench",IF(C107&gt;E107,"Above bench","In range"))),"")</f>
        <v>—</v>
      </c>
    </row>
    <row r="108" spans="1:10" ht="18" customHeight="1" x14ac:dyDescent="0.25">
      <c r="A108" s="205" t="s">
        <v>927</v>
      </c>
      <c r="B108" s="133">
        <f>M67</f>
        <v>0</v>
      </c>
      <c r="C108" s="206">
        <f>IFERROR(M67/B99,0)</f>
        <v>0</v>
      </c>
      <c r="D108" s="207">
        <v>85</v>
      </c>
      <c r="E108" s="207">
        <v>130</v>
      </c>
      <c r="F108" s="205" t="str">
        <f>IFERROR(IF(C108=0,"—",IF(C108&lt;D108,"Below bench",IF(C108&gt;E108,"Above bench","In range"))),"")</f>
        <v>—</v>
      </c>
    </row>
    <row r="110" spans="1:10" ht="18" customHeight="1" x14ac:dyDescent="0.25">
      <c r="A110" s="857" t="s">
        <v>928</v>
      </c>
      <c r="B110" s="817"/>
      <c r="C110" s="817"/>
      <c r="D110" s="817"/>
      <c r="E110" s="817"/>
      <c r="F110" s="817"/>
      <c r="G110" s="817"/>
      <c r="H110" s="817"/>
      <c r="I110" s="817"/>
      <c r="J110" s="817"/>
    </row>
    <row r="111" spans="1:10" ht="15.75" customHeight="1" x14ac:dyDescent="0.25">
      <c r="A111" s="835" t="s">
        <v>929</v>
      </c>
      <c r="B111" s="817"/>
      <c r="C111" s="817"/>
      <c r="D111" s="817"/>
      <c r="E111" s="817"/>
      <c r="F111" s="817"/>
      <c r="G111" s="817"/>
      <c r="H111" s="817"/>
      <c r="I111" s="817"/>
      <c r="J111" s="817"/>
    </row>
    <row r="112" spans="1:10" ht="15.75" customHeight="1" x14ac:dyDescent="0.25">
      <c r="A112" s="41" t="s">
        <v>41</v>
      </c>
      <c r="B112" s="41" t="s">
        <v>202</v>
      </c>
      <c r="C112" s="41" t="s">
        <v>895</v>
      </c>
      <c r="D112" s="41" t="s">
        <v>896</v>
      </c>
      <c r="E112" s="41" t="s">
        <v>226</v>
      </c>
    </row>
    <row r="113" spans="1:10" ht="18" customHeight="1" x14ac:dyDescent="0.25">
      <c r="A113" s="209" t="s">
        <v>930</v>
      </c>
      <c r="B113" s="210">
        <v>0</v>
      </c>
      <c r="C113" s="202" t="s">
        <v>197</v>
      </c>
      <c r="D113" s="202" t="s">
        <v>197</v>
      </c>
      <c r="E113" s="211" t="s">
        <v>931</v>
      </c>
    </row>
    <row r="114" spans="1:10" ht="18" customHeight="1" x14ac:dyDescent="0.25">
      <c r="A114" s="62" t="s">
        <v>932</v>
      </c>
      <c r="B114" s="203">
        <f>IFERROR(B113/B99,0)</f>
        <v>0</v>
      </c>
      <c r="C114" s="204">
        <v>0</v>
      </c>
      <c r="D114" s="204">
        <v>20</v>
      </c>
      <c r="E114" s="1" t="str">
        <f>IFERROR(IF(B114=0,"—",IF(B114&lt;=D114,"In range",IF(B114&lt;=D114*1.5,"Watch","High — review"))),"")</f>
        <v>—</v>
      </c>
    </row>
    <row r="115" spans="1:10" ht="18" customHeight="1" x14ac:dyDescent="0.25">
      <c r="A115" s="62" t="s">
        <v>933</v>
      </c>
      <c r="B115" s="28">
        <f>IFERROR(B113/M67,0)</f>
        <v>0</v>
      </c>
      <c r="C115" s="212">
        <v>0</v>
      </c>
      <c r="D115" s="212">
        <v>0.15</v>
      </c>
      <c r="E115" s="1" t="str">
        <f>IFERROR(IF(B115=0,"—",IF(B115&lt;0.1,"Good (&lt;10%)",IF(B115&lt;0.15,"Watch (10–15%)",IF(B115&gt;=0.15,"Flag (&gt;15%)")))),"")</f>
        <v>—</v>
      </c>
    </row>
    <row r="117" spans="1:10" ht="18" customHeight="1" x14ac:dyDescent="0.25">
      <c r="A117" s="837" t="s">
        <v>934</v>
      </c>
      <c r="B117" s="817"/>
      <c r="C117" s="817"/>
      <c r="D117" s="817"/>
      <c r="E117" s="817"/>
      <c r="F117" s="817"/>
      <c r="G117" s="817"/>
      <c r="H117" s="817"/>
      <c r="I117" s="817"/>
      <c r="J117" s="817"/>
    </row>
    <row r="118" spans="1:10" ht="15.75" customHeight="1" x14ac:dyDescent="0.25">
      <c r="A118" s="41" t="s">
        <v>41</v>
      </c>
      <c r="B118" s="41" t="s">
        <v>935</v>
      </c>
      <c r="C118" s="41" t="s">
        <v>936</v>
      </c>
      <c r="D118" s="41" t="s">
        <v>895</v>
      </c>
      <c r="E118" s="41" t="s">
        <v>896</v>
      </c>
    </row>
    <row r="119" spans="1:10" ht="18" customHeight="1" x14ac:dyDescent="0.25">
      <c r="A119" s="62" t="s">
        <v>937</v>
      </c>
      <c r="B119" s="21">
        <f>'P&amp;L'!D50</f>
        <v>0</v>
      </c>
      <c r="C119" s="203">
        <f>IFERROR('P&amp;L'!D50/B99,0)</f>
        <v>0</v>
      </c>
      <c r="D119" s="204">
        <v>120</v>
      </c>
      <c r="E119" s="204">
        <v>200</v>
      </c>
    </row>
    <row r="120" spans="1:10" ht="18" customHeight="1" x14ac:dyDescent="0.25">
      <c r="A120" s="62" t="s">
        <v>938</v>
      </c>
      <c r="B120" s="21">
        <f>'P&amp;L'!D95</f>
        <v>0</v>
      </c>
      <c r="C120" s="203">
        <f>IFERROR('P&amp;L'!D95/B99,0)</f>
        <v>0</v>
      </c>
      <c r="D120" s="204">
        <v>90</v>
      </c>
      <c r="E120" s="204">
        <v>155</v>
      </c>
    </row>
    <row r="121" spans="1:10" ht="18" customHeight="1" x14ac:dyDescent="0.25">
      <c r="A121" s="62" t="s">
        <v>939</v>
      </c>
      <c r="B121" s="21">
        <f>'P&amp;L'!D97</f>
        <v>0</v>
      </c>
      <c r="C121" s="203">
        <f>IFERROR('P&amp;L'!D97/B99,0)</f>
        <v>0</v>
      </c>
      <c r="D121" s="204">
        <v>25</v>
      </c>
      <c r="E121" s="204">
        <v>55</v>
      </c>
    </row>
    <row r="122" spans="1:10" ht="18" customHeight="1" x14ac:dyDescent="0.25">
      <c r="A122" s="102" t="s">
        <v>940</v>
      </c>
      <c r="B122" s="81">
        <f>M67</f>
        <v>0</v>
      </c>
      <c r="C122" s="213">
        <f>IFERROR(M67/'P&amp;L'!D50,0)</f>
        <v>0</v>
      </c>
      <c r="D122" s="212">
        <v>0.5</v>
      </c>
      <c r="E122" s="214" t="str">
        <f>IFERROR(IF(C122&lt;D122,"Low",IF(C122&lt;=D122,"In range","High — flag")),"")</f>
        <v>Low</v>
      </c>
    </row>
    <row r="124" spans="1:10" ht="18" customHeight="1" x14ac:dyDescent="0.25">
      <c r="A124" s="840" t="s">
        <v>941</v>
      </c>
      <c r="B124" s="817"/>
      <c r="C124" s="817"/>
      <c r="D124" s="817"/>
      <c r="E124" s="817"/>
      <c r="F124" s="817"/>
      <c r="G124" s="817"/>
      <c r="H124" s="817"/>
      <c r="I124" s="817"/>
      <c r="J124" s="817"/>
    </row>
    <row r="125" spans="1:10" ht="15.75" customHeight="1" x14ac:dyDescent="0.25">
      <c r="A125" s="835" t="s">
        <v>942</v>
      </c>
      <c r="B125" s="817"/>
      <c r="C125" s="817"/>
      <c r="D125" s="817"/>
      <c r="E125" s="817"/>
      <c r="F125" s="817"/>
      <c r="G125" s="817"/>
      <c r="H125" s="817"/>
      <c r="I125" s="817"/>
      <c r="J125" s="817"/>
    </row>
    <row r="126" spans="1:10" ht="15.75" customHeight="1" x14ac:dyDescent="0.25">
      <c r="A126" s="41" t="s">
        <v>41</v>
      </c>
      <c r="B126" s="41" t="s">
        <v>943</v>
      </c>
      <c r="C126" s="41" t="s">
        <v>944</v>
      </c>
      <c r="D126" s="41" t="s">
        <v>945</v>
      </c>
    </row>
    <row r="127" spans="1:10" ht="18" customHeight="1" x14ac:dyDescent="0.25">
      <c r="A127" s="102" t="s">
        <v>946</v>
      </c>
      <c r="B127" s="215">
        <f>B84</f>
        <v>0</v>
      </c>
      <c r="C127" s="216" t="s">
        <v>947</v>
      </c>
      <c r="D127" s="217" t="str">
        <f>IFERROR(IF(B84=0,"—",IF(B84&gt;=3,"On target","Below — check ratios")),"")</f>
        <v>—</v>
      </c>
    </row>
    <row r="128" spans="1:10" ht="18" customHeight="1" x14ac:dyDescent="0.25">
      <c r="A128" s="102" t="s">
        <v>948</v>
      </c>
      <c r="B128" s="218">
        <f>C108</f>
        <v>0</v>
      </c>
      <c r="C128" s="216" t="s">
        <v>949</v>
      </c>
      <c r="D128" s="217" t="str">
        <f>IFERROR(IF(C108=0,"—",IF(C108&lt;85,"Low — check wages",IF(C108&lt;=130,"In range","High — review"))),"")</f>
        <v>—</v>
      </c>
    </row>
    <row r="129" spans="1:4" ht="18" customHeight="1" x14ac:dyDescent="0.25">
      <c r="A129" s="102" t="s">
        <v>950</v>
      </c>
      <c r="B129" s="218">
        <f>C104</f>
        <v>0</v>
      </c>
      <c r="C129" s="216" t="s">
        <v>951</v>
      </c>
      <c r="D129" s="217" t="str">
        <f>IFERROR(IF(C104=0,"—",IF(C104&lt;45,"Low",IF(C104&lt;=75,"In range","High"))),"")</f>
        <v>—</v>
      </c>
    </row>
    <row r="130" spans="1:4" ht="18" customHeight="1" x14ac:dyDescent="0.25">
      <c r="A130" s="102" t="s">
        <v>933</v>
      </c>
      <c r="B130" s="213">
        <f>B115</f>
        <v>0</v>
      </c>
      <c r="C130" s="216" t="s">
        <v>952</v>
      </c>
      <c r="D130" s="217" t="str">
        <f>IFERROR(IF(B115=0,"—",IF(B115&lt;0.1,"Good",IF(B115&lt;0.15,"Watch","Flag"))),"")</f>
        <v>—</v>
      </c>
    </row>
    <row r="131" spans="1:4" ht="18" customHeight="1" x14ac:dyDescent="0.25">
      <c r="A131" s="102" t="s">
        <v>953</v>
      </c>
      <c r="B131" s="213">
        <f>IFERROR(M67/'P&amp;L'!D50,0)</f>
        <v>0</v>
      </c>
      <c r="C131" s="216" t="s">
        <v>954</v>
      </c>
      <c r="D131" s="217" t="str">
        <f>IFERROR(IF(M67/'P&amp;L'!D50&lt;0.5,"Low",IF(M67/'P&amp;L'!D50&lt;=0.65,"In range","High — flag")),"—")</f>
        <v>—</v>
      </c>
    </row>
  </sheetData>
  <mergeCells count="35">
    <mergeCell ref="A125:J125"/>
    <mergeCell ref="A18:O18"/>
    <mergeCell ref="A55:O55"/>
    <mergeCell ref="A102:J102"/>
    <mergeCell ref="A117:J117"/>
    <mergeCell ref="A93:J93"/>
    <mergeCell ref="A111:J111"/>
    <mergeCell ref="A94:J94"/>
    <mergeCell ref="A110:J110"/>
    <mergeCell ref="A124:J124"/>
    <mergeCell ref="A69:O69"/>
    <mergeCell ref="A87:O87"/>
    <mergeCell ref="A80:O80"/>
    <mergeCell ref="A27:O27"/>
    <mergeCell ref="A96:J96"/>
    <mergeCell ref="A53:B53"/>
    <mergeCell ref="A1:O1"/>
    <mergeCell ref="A79:O79"/>
    <mergeCell ref="A2:O2"/>
    <mergeCell ref="F28:H28"/>
    <mergeCell ref="A4:O4"/>
    <mergeCell ref="C28:E28"/>
    <mergeCell ref="A19:O19"/>
    <mergeCell ref="A30:O30"/>
    <mergeCell ref="A11:O11"/>
    <mergeCell ref="A49:O49"/>
    <mergeCell ref="A101:J101"/>
    <mergeCell ref="A40:B40"/>
    <mergeCell ref="A88:O88"/>
    <mergeCell ref="A67:B67"/>
    <mergeCell ref="A70:O70"/>
    <mergeCell ref="A65:B65"/>
    <mergeCell ref="E89:J89"/>
    <mergeCell ref="A42:O42"/>
    <mergeCell ref="A47:B4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610"/>
  <sheetViews>
    <sheetView showGridLines="0" tabSelected="1" topLeftCell="A192" zoomScale="85" zoomScaleNormal="85" workbookViewId="0">
      <selection activeCell="G224" sqref="G224"/>
    </sheetView>
  </sheetViews>
  <sheetFormatPr defaultColWidth="8.85546875" defaultRowHeight="15" outlineLevelRow="1" outlineLevelCol="2" x14ac:dyDescent="0.25"/>
  <cols>
    <col min="1" max="1" width="52.28515625" customWidth="1"/>
    <col min="2" max="4" width="13" customWidth="1"/>
    <col min="5" max="5" width="14.7109375" customWidth="1"/>
    <col min="6" max="8" width="14.42578125" customWidth="1"/>
    <col min="9" max="9" width="14.42578125" bestFit="1" customWidth="1"/>
    <col min="10" max="10" width="18.42578125" bestFit="1" customWidth="1"/>
    <col min="11" max="11" width="15.42578125" bestFit="1" customWidth="1"/>
    <col min="12" max="12" width="10.7109375" bestFit="1" customWidth="1"/>
    <col min="13" max="13" width="9.28515625" bestFit="1" customWidth="1"/>
    <col min="14" max="14" width="10.140625" bestFit="1" customWidth="1"/>
    <col min="15" max="15" width="14.42578125" bestFit="1" customWidth="1"/>
    <col min="16" max="16" width="15.140625" bestFit="1" customWidth="1"/>
    <col min="17" max="17" width="14.28515625" bestFit="1" customWidth="1"/>
    <col min="18" max="22" width="13" customWidth="1"/>
    <col min="23" max="23" width="9.140625" customWidth="1" outlineLevel="2"/>
    <col min="24" max="24" width="8.85546875" customWidth="1" outlineLevel="2"/>
    <col min="25" max="25" width="9.140625" outlineLevel="1"/>
    <col min="26" max="28" width="8.85546875" customWidth="1" outlineLevel="2"/>
    <col min="42" max="42" width="15" customWidth="1"/>
    <col min="43" max="43" width="18.28515625" customWidth="1"/>
    <col min="44" max="44" width="15" customWidth="1"/>
  </cols>
  <sheetData>
    <row r="1" spans="1:22" ht="27.95" customHeight="1" x14ac:dyDescent="0.25">
      <c r="A1" s="815" t="s">
        <v>0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  <c r="N1" s="816"/>
      <c r="O1" s="817"/>
      <c r="P1" s="817"/>
      <c r="Q1" s="817"/>
      <c r="R1" s="817"/>
      <c r="S1" s="817"/>
      <c r="T1" s="817"/>
      <c r="U1" s="817"/>
      <c r="V1" s="817"/>
    </row>
    <row r="2" spans="1:22" x14ac:dyDescent="0.25">
      <c r="A2" s="822" t="s">
        <v>1</v>
      </c>
      <c r="B2" s="823"/>
      <c r="C2" s="823"/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17"/>
      <c r="P2" s="817"/>
      <c r="Q2" s="817"/>
      <c r="R2" s="817"/>
      <c r="S2" s="817"/>
      <c r="T2" s="817"/>
      <c r="U2" s="817"/>
      <c r="V2" s="817"/>
    </row>
    <row r="4" spans="1:22" ht="21.95" customHeight="1" x14ac:dyDescent="0.25">
      <c r="A4" s="818" t="s">
        <v>2</v>
      </c>
      <c r="B4" s="819"/>
      <c r="C4" s="819"/>
      <c r="D4" s="819"/>
      <c r="E4" s="819"/>
      <c r="F4" s="819"/>
      <c r="G4" s="819"/>
      <c r="H4" s="819"/>
      <c r="I4" s="819"/>
      <c r="J4" s="819"/>
      <c r="K4" s="819"/>
      <c r="L4" s="819"/>
      <c r="M4" s="819"/>
      <c r="N4" s="819"/>
      <c r="O4" s="817"/>
      <c r="P4" s="817"/>
      <c r="Q4" s="817"/>
      <c r="R4" s="817"/>
      <c r="S4" s="817"/>
      <c r="T4" s="817"/>
      <c r="U4" s="817"/>
      <c r="V4" s="817"/>
    </row>
    <row r="5" spans="1:22" outlineLevel="1" x14ac:dyDescent="0.25">
      <c r="A5" s="396" t="s">
        <v>3</v>
      </c>
      <c r="B5" s="404"/>
      <c r="C5" s="396" t="s">
        <v>4</v>
      </c>
      <c r="D5" s="521">
        <f ca="1">TODAY()</f>
        <v>46169</v>
      </c>
      <c r="E5" s="396" t="s">
        <v>5</v>
      </c>
      <c r="F5" s="404">
        <f>'Prop Info'!B15</f>
        <v>0</v>
      </c>
      <c r="G5" s="396" t="s">
        <v>6</v>
      </c>
      <c r="H5" s="404">
        <f>COUNTA(B211:B610)</f>
        <v>0</v>
      </c>
      <c r="I5" s="396" t="s">
        <v>7</v>
      </c>
      <c r="J5" s="404" t="str">
        <f>IF(F5=H5,"✓ match","⚠ mismatch: "&amp;(H5-F5))</f>
        <v>✓ match</v>
      </c>
      <c r="K5" s="396" t="s">
        <v>8</v>
      </c>
      <c r="L5" s="516">
        <f>SUM(M211:M610)</f>
        <v>0</v>
      </c>
      <c r="N5" s="396" t="s">
        <v>9</v>
      </c>
      <c r="O5" s="404">
        <f>COUNTIF(E211:E610,"Notice")</f>
        <v>0</v>
      </c>
      <c r="Q5" s="396" t="s">
        <v>10</v>
      </c>
      <c r="R5" s="404">
        <f>COUNTIF(E211:E610,"Occupied")+COUNTIF(E211:E610,"Notice")</f>
        <v>0</v>
      </c>
    </row>
    <row r="6" spans="1:22" outlineLevel="1" x14ac:dyDescent="0.25">
      <c r="A6" s="635"/>
      <c r="B6" s="635"/>
      <c r="C6" s="635"/>
      <c r="D6" s="635" t="s">
        <v>1417</v>
      </c>
      <c r="E6" s="635"/>
      <c r="F6" s="635"/>
      <c r="G6" s="635"/>
      <c r="H6" s="635"/>
      <c r="I6" s="635"/>
      <c r="J6" s="635"/>
      <c r="K6" s="635"/>
      <c r="L6" s="635"/>
      <c r="M6" s="635"/>
      <c r="N6" s="635"/>
    </row>
    <row r="7" spans="1:22" ht="21.95" customHeight="1" x14ac:dyDescent="0.25">
      <c r="A7" s="820" t="s">
        <v>11</v>
      </c>
      <c r="B7" s="821"/>
      <c r="C7" s="821"/>
      <c r="D7" s="821"/>
      <c r="E7" s="821"/>
      <c r="F7" s="821"/>
      <c r="G7" s="821"/>
      <c r="H7" s="821"/>
      <c r="I7" s="821"/>
      <c r="J7" s="821"/>
      <c r="K7" s="821"/>
      <c r="L7" s="821"/>
      <c r="M7" s="821"/>
      <c r="N7" s="821"/>
      <c r="O7" s="817"/>
      <c r="P7" s="817"/>
      <c r="Q7" s="817"/>
      <c r="R7" s="817"/>
      <c r="S7" s="817"/>
      <c r="T7" s="817"/>
      <c r="U7" s="817"/>
      <c r="V7" s="817"/>
    </row>
    <row r="8" spans="1:22" outlineLevel="1" x14ac:dyDescent="0.25">
      <c r="A8" s="409" t="s">
        <v>12</v>
      </c>
      <c r="B8" s="410" t="s">
        <v>13</v>
      </c>
      <c r="C8" s="410" t="s">
        <v>14</v>
      </c>
      <c r="D8" s="410" t="s">
        <v>15</v>
      </c>
      <c r="E8" s="410" t="s">
        <v>16</v>
      </c>
      <c r="F8" s="410" t="s">
        <v>17</v>
      </c>
      <c r="G8" s="410" t="s">
        <v>18</v>
      </c>
      <c r="H8" s="410" t="s">
        <v>19</v>
      </c>
    </row>
    <row r="9" spans="1:22" outlineLevel="1" x14ac:dyDescent="0.25">
      <c r="A9" s="400" t="s">
        <v>20</v>
      </c>
      <c r="B9" s="417">
        <f>COUNTIF($C$211:$C$610,"IL")</f>
        <v>0</v>
      </c>
      <c r="C9" s="417">
        <f>COUNTIFS($C$211:$C$610,"IL",$E$211:$E$610,"Occupied")+COUNTIFS($C$211:$C$610,"IL",$E$211:$E$610,"Notice")</f>
        <v>0</v>
      </c>
      <c r="D9" s="522">
        <f>IFERROR(C9/B9,0)</f>
        <v>0</v>
      </c>
      <c r="E9" s="516">
        <f>IFERROR(AVERAGEIFS($L$211:$L$610,$C$211:$C$610,"IL",$L$211:$L$610,"&gt;0"),0)</f>
        <v>0</v>
      </c>
      <c r="F9" s="516" t="e">
        <f>B9*AVERAGEIFS($I$211:$I$610,$C$211:$C$610,"IL",$I$211:$I$610,"&gt;0")*12</f>
        <v>#DIV/0!</v>
      </c>
      <c r="G9" s="516">
        <f>IFERROR(SUMIFS($K$211:$K$610,$C$211:$C$610,"IL")/MAX(C9,1),0)</f>
        <v>0</v>
      </c>
      <c r="H9" s="516">
        <f>SUMIFS($L$211:$L$610,$C$211:$C$610,"IL")*12</f>
        <v>0</v>
      </c>
    </row>
    <row r="10" spans="1:22" outlineLevel="1" x14ac:dyDescent="0.25">
      <c r="A10" s="400" t="s">
        <v>21</v>
      </c>
      <c r="B10" s="417">
        <f>COUNTIF($C$211:$C$610,"AL")</f>
        <v>0</v>
      </c>
      <c r="C10" s="417">
        <f>COUNTIFS($C$211:$C$610,"AL",$E$211:$E$610,"Occupied")+COUNTIFS($C$211:$C$610,"AL",$E$211:$E$610,"Notice")</f>
        <v>0</v>
      </c>
      <c r="D10" s="522">
        <f>IFERROR(C10/B10,0)</f>
        <v>0</v>
      </c>
      <c r="E10" s="516">
        <f>IFERROR(AVERAGEIFS($L$211:$L$610,$C$211:$C$610,"AL",$L$211:$L$610,"&gt;0"),0)</f>
        <v>0</v>
      </c>
      <c r="F10" s="516" t="e">
        <f>B10*AVERAGEIFS($I$211:$I$610,$C$211:$C$610,"AL",$I$211:$I$610,"&gt;0")*12</f>
        <v>#DIV/0!</v>
      </c>
      <c r="G10" s="516">
        <f>IFERROR(SUMIFS($K$211:$K$610,$C$211:$C$610,"AL")/MAX(C10,1),0)</f>
        <v>0</v>
      </c>
      <c r="H10" s="516">
        <f>SUMIFS($L$211:$L$610,$C$211:$C$610,"AL")*12</f>
        <v>0</v>
      </c>
    </row>
    <row r="11" spans="1:22" outlineLevel="1" x14ac:dyDescent="0.25">
      <c r="A11" s="400" t="s">
        <v>22</v>
      </c>
      <c r="B11" s="417">
        <f>COUNTIF($C$211:$C$610,"MC")</f>
        <v>0</v>
      </c>
      <c r="C11" s="417">
        <f>COUNTIFS($C$211:$C$610,"MC",$E$211:$E$610,"Occupied")+COUNTIFS($C$211:$C$610,"MC",$E$211:$E$610,"Notice")</f>
        <v>0</v>
      </c>
      <c r="D11" s="522">
        <f>IFERROR(C11/B11,0)</f>
        <v>0</v>
      </c>
      <c r="E11" s="516">
        <f>IFERROR(AVERAGEIFS($L$211:$L$610,$C$211:$C$610,"MC",$L$211:$L$610,"&gt;0"),0)</f>
        <v>0</v>
      </c>
      <c r="F11" s="516" t="e">
        <f>B11*AVERAGEIFS($I$211:$I$610,$C$211:$C$610,"MC",$I$211:$I$610,"&gt;0")*12</f>
        <v>#DIV/0!</v>
      </c>
      <c r="G11" s="516">
        <f>IFERROR(SUMIFS($K$211:$K$610,$C$211:$C$610,"MC")/MAX(C11,1),0)</f>
        <v>0</v>
      </c>
      <c r="H11" s="516">
        <f>SUMIFS($L$211:$L$610,$C$211:$C$610,"MC")*12</f>
        <v>0</v>
      </c>
    </row>
    <row r="12" spans="1:22" outlineLevel="1" x14ac:dyDescent="0.25">
      <c r="A12" s="411" t="s">
        <v>23</v>
      </c>
      <c r="B12" s="425">
        <f>SUM(B9:B11)</f>
        <v>0</v>
      </c>
      <c r="C12" s="425">
        <f>SUM(C9:C11)</f>
        <v>0</v>
      </c>
      <c r="D12" s="523">
        <f>IFERROR(C12/B12,0)</f>
        <v>0</v>
      </c>
      <c r="E12" s="513">
        <f>IFERROR(SUMIFS($L$211:$L$610,$L$211:$L$610,"&gt;0")/COUNTIFS($L$211:$L$610,"&gt;0"),0)</f>
        <v>0</v>
      </c>
      <c r="F12" s="513" t="e">
        <f>SUM(F9:F11)</f>
        <v>#DIV/0!</v>
      </c>
      <c r="G12" s="513">
        <f>IFERROR(SUM(K211:K610)/MAX(C12,1),0)</f>
        <v>0</v>
      </c>
      <c r="H12" s="513">
        <f>SUM(H9:H11)</f>
        <v>0</v>
      </c>
    </row>
    <row r="13" spans="1:22" outlineLevel="1" x14ac:dyDescent="0.25">
      <c r="A13" s="635"/>
      <c r="B13" s="635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635"/>
      <c r="N13" s="635"/>
    </row>
    <row r="14" spans="1:22" ht="21.95" customHeight="1" x14ac:dyDescent="0.25">
      <c r="A14" s="818" t="s">
        <v>24</v>
      </c>
      <c r="B14" s="819"/>
      <c r="C14" s="819"/>
      <c r="D14" s="819"/>
      <c r="E14" s="819"/>
      <c r="F14" s="819"/>
      <c r="G14" s="819"/>
      <c r="H14" s="819"/>
      <c r="I14" s="819"/>
      <c r="J14" s="819"/>
      <c r="K14" s="819"/>
      <c r="L14" s="819"/>
      <c r="M14" s="819"/>
      <c r="N14" s="819"/>
      <c r="O14" s="817"/>
      <c r="P14" s="817"/>
      <c r="Q14" s="817"/>
      <c r="R14" s="817"/>
      <c r="S14" s="817"/>
      <c r="T14" s="817"/>
      <c r="U14" s="817"/>
      <c r="V14" s="817"/>
    </row>
    <row r="15" spans="1:22" outlineLevel="1" x14ac:dyDescent="0.25">
      <c r="A15" s="419" t="s">
        <v>25</v>
      </c>
      <c r="B15" s="420" t="s">
        <v>26</v>
      </c>
      <c r="C15" s="420" t="s">
        <v>27</v>
      </c>
      <c r="D15" s="420" t="s">
        <v>28</v>
      </c>
      <c r="E15" s="420" t="s">
        <v>29</v>
      </c>
      <c r="F15" s="420" t="s">
        <v>30</v>
      </c>
    </row>
    <row r="16" spans="1:22" outlineLevel="1" x14ac:dyDescent="0.25">
      <c r="A16" s="400" t="s">
        <v>31</v>
      </c>
      <c r="B16" s="417">
        <f>COUNTIFS($E$211:$E$610,"Occupied",$M$211:$M$610,"&lt;=0")+COUNTIFS($E$211:$E$610,"Occupied",$M$211:$M$610,"")</f>
        <v>0</v>
      </c>
      <c r="C16" s="522">
        <f t="shared" ref="C16:C23" si="0">IFERROR(B16/$B$24,0)</f>
        <v>0</v>
      </c>
      <c r="D16" s="516">
        <f>IFERROR(SUMIFS($L$211:$L$610,$E$211:$E$610,"Occupied",$M$211:$M$610,"&lt;=0")+SUMIFS($L$211:$L$610,$E$211:$E$610,"Occupied",$M$211:$M$610,""),0)</f>
        <v>0</v>
      </c>
      <c r="E16" s="516">
        <f>IFERROR(D16/MAX(B16,1),0)</f>
        <v>0</v>
      </c>
      <c r="F16" s="516">
        <v>0</v>
      </c>
    </row>
    <row r="17" spans="1:22" outlineLevel="1" x14ac:dyDescent="0.25">
      <c r="A17" s="400" t="s">
        <v>32</v>
      </c>
      <c r="B17" s="417">
        <f>COUNTIFS($E$211:$E$610,"Occupied",$M$211:$M$610,"&gt;0")+COUNTIFS($E$211:$E$610,"Notice",$M$211:$M$610,"&gt;0")</f>
        <v>0</v>
      </c>
      <c r="C17" s="522">
        <f t="shared" si="0"/>
        <v>0</v>
      </c>
      <c r="D17" s="516">
        <f>SUMIFS($L$211:$L$610,$E$211:$E$610,"Occupied",$M$211:$M$610,"&gt;0")+SUMIFS($L$211:$L$610,$E$211:$E$610,"Notice",$M$211:$M$610,"&gt;0")</f>
        <v>0</v>
      </c>
      <c r="E17" s="516">
        <f>IFERROR(D17/MAX(B17,1),0)</f>
        <v>0</v>
      </c>
      <c r="F17" s="516">
        <f>SUMIFS($M$211:$M$610,$E$211:$E$610,"Occupied",$M$211:$M$610,"&gt;0")+SUMIFS($M$211:$M$610,$E$211:$E$610,"Notice",$M$211:$M$610,"&gt;0")</f>
        <v>0</v>
      </c>
    </row>
    <row r="18" spans="1:22" outlineLevel="1" x14ac:dyDescent="0.25">
      <c r="A18" s="400" t="s">
        <v>33</v>
      </c>
      <c r="B18" s="417">
        <f>COUNTIF($E$211:$E$610,"Notice")</f>
        <v>0</v>
      </c>
      <c r="C18" s="522">
        <f t="shared" si="0"/>
        <v>0</v>
      </c>
      <c r="D18" s="516">
        <f>SUMIFS($L$211:$L$610,$E$211:$E$610,"Notice")</f>
        <v>0</v>
      </c>
      <c r="E18" s="516">
        <f>IFERROR(D18/MAX(B18,1),0)</f>
        <v>0</v>
      </c>
      <c r="F18" s="516">
        <f>SUMIFS($M$211:$M$610,$E$211:$E$610,"Notice")</f>
        <v>0</v>
      </c>
    </row>
    <row r="19" spans="1:22" outlineLevel="1" x14ac:dyDescent="0.25">
      <c r="A19" s="400" t="s">
        <v>34</v>
      </c>
      <c r="B19" s="417">
        <f>COUNTIF($E$211:$E$610,"Respite")</f>
        <v>0</v>
      </c>
      <c r="C19" s="522">
        <f t="shared" si="0"/>
        <v>0</v>
      </c>
      <c r="D19" s="516">
        <f>SUMIFS($L$211:$L$610,$E$211:$E$610,"Respite")</f>
        <v>0</v>
      </c>
      <c r="E19" s="516">
        <f>IFERROR(D19/MAX(B19,1),0)</f>
        <v>0</v>
      </c>
      <c r="F19" s="516">
        <f>SUMIFS($M$211:$M$610,$E$211:$E$610,"Respite")</f>
        <v>0</v>
      </c>
    </row>
    <row r="20" spans="1:22" outlineLevel="1" x14ac:dyDescent="0.25">
      <c r="A20" s="400" t="s">
        <v>35</v>
      </c>
      <c r="B20" s="417">
        <f>COUNTIF($E$211:$E$610,"Hospice")</f>
        <v>0</v>
      </c>
      <c r="C20" s="522">
        <f t="shared" si="0"/>
        <v>0</v>
      </c>
      <c r="D20" s="516">
        <f>SUMIFS($L$211:$L$610,$E$211:$E$610,"Hospice")</f>
        <v>0</v>
      </c>
      <c r="E20" s="516">
        <f>IFERROR(D20/MAX(B20,1),0)</f>
        <v>0</v>
      </c>
      <c r="F20" s="516">
        <f>SUMIFS($M$211:$M$610,$E$211:$E$610,"Hospice")</f>
        <v>0</v>
      </c>
    </row>
    <row r="21" spans="1:22" outlineLevel="1" x14ac:dyDescent="0.25">
      <c r="A21" s="400" t="s">
        <v>36</v>
      </c>
      <c r="B21" s="417">
        <f>COUNTIFS($E$211:$E$610,"Vacant",$H$211:$H$610,"&lt;&gt;")</f>
        <v>0</v>
      </c>
      <c r="C21" s="522">
        <f t="shared" si="0"/>
        <v>0</v>
      </c>
      <c r="D21" s="516">
        <v>0</v>
      </c>
      <c r="E21" s="516">
        <v>0</v>
      </c>
      <c r="F21" s="516">
        <v>0</v>
      </c>
    </row>
    <row r="22" spans="1:22" outlineLevel="1" x14ac:dyDescent="0.25">
      <c r="A22" s="400" t="s">
        <v>37</v>
      </c>
      <c r="B22" s="417">
        <f>COUNTIFS($E$211:$E$610,"Vacant",$H$211:$H$610,"")</f>
        <v>0</v>
      </c>
      <c r="C22" s="522">
        <f t="shared" si="0"/>
        <v>0</v>
      </c>
      <c r="D22" s="516">
        <v>0</v>
      </c>
      <c r="E22" s="516">
        <v>0</v>
      </c>
      <c r="F22" s="516">
        <v>0</v>
      </c>
    </row>
    <row r="23" spans="1:22" outlineLevel="1" x14ac:dyDescent="0.25">
      <c r="A23" s="400" t="s">
        <v>38</v>
      </c>
      <c r="B23" s="417">
        <f ca="1">COUNTIF($E$211:$E$610,"Reserved")+COUNTIFS($E$211:$E$610,"Vacant",$G$211:$G$610,"&gt;"&amp;TODAY())</f>
        <v>0</v>
      </c>
      <c r="C23" s="522">
        <f t="shared" ca="1" si="0"/>
        <v>0</v>
      </c>
      <c r="D23" s="516">
        <f>SUMIFS($L$211:$L$610,$E$211:$E$610,"Reserved")</f>
        <v>0</v>
      </c>
      <c r="E23" s="516">
        <f ca="1">IFERROR(D23/MAX(B23,1),0)</f>
        <v>0</v>
      </c>
      <c r="F23" s="516">
        <v>0</v>
      </c>
    </row>
    <row r="24" spans="1:22" outlineLevel="1" x14ac:dyDescent="0.25">
      <c r="A24" s="411" t="s">
        <v>23</v>
      </c>
      <c r="B24" s="425">
        <f>COUNTA($B$211:$B$610)</f>
        <v>0</v>
      </c>
      <c r="C24" s="523">
        <f ca="1">SUM(C16:C23)</f>
        <v>0</v>
      </c>
      <c r="D24" s="513">
        <f>SUM(D16:D23)</f>
        <v>0</v>
      </c>
      <c r="E24" s="513">
        <f>IFERROR(D24/MAX(B24,1),0)</f>
        <v>0</v>
      </c>
      <c r="F24" s="513">
        <f>SUM(F16:F23)</f>
        <v>0</v>
      </c>
    </row>
    <row r="25" spans="1:22" outlineLevel="1" x14ac:dyDescent="0.25">
      <c r="A25" s="824" t="s">
        <v>39</v>
      </c>
      <c r="B25" s="817"/>
      <c r="C25" s="817"/>
      <c r="D25" s="817"/>
      <c r="E25" s="817"/>
      <c r="F25" s="817"/>
      <c r="G25" s="817"/>
      <c r="H25" s="817"/>
      <c r="I25" s="817"/>
      <c r="J25" s="817"/>
      <c r="K25" s="817"/>
      <c r="L25" s="817"/>
    </row>
    <row r="26" spans="1:22" outlineLevel="1" x14ac:dyDescent="0.25">
      <c r="A26" s="635"/>
      <c r="B26" s="635"/>
      <c r="C26" s="635"/>
      <c r="D26" s="635"/>
      <c r="E26" s="635"/>
      <c r="F26" s="635"/>
      <c r="G26" s="635"/>
      <c r="H26" s="635"/>
      <c r="I26" s="635"/>
      <c r="J26" s="635"/>
      <c r="K26" s="635"/>
      <c r="L26" s="635"/>
      <c r="M26" s="635"/>
      <c r="N26" s="635"/>
    </row>
    <row r="27" spans="1:22" ht="21.95" customHeight="1" x14ac:dyDescent="0.25">
      <c r="A27" s="820" t="s">
        <v>40</v>
      </c>
      <c r="B27" s="821"/>
      <c r="C27" s="821"/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17"/>
      <c r="P27" s="817"/>
      <c r="Q27" s="817"/>
      <c r="R27" s="817"/>
      <c r="S27" s="817"/>
      <c r="T27" s="817"/>
      <c r="U27" s="817"/>
      <c r="V27" s="817"/>
    </row>
    <row r="28" spans="1:22" outlineLevel="1" x14ac:dyDescent="0.25">
      <c r="A28" s="419" t="s">
        <v>41</v>
      </c>
      <c r="B28" s="420" t="s">
        <v>42</v>
      </c>
      <c r="C28" s="420" t="s">
        <v>43</v>
      </c>
      <c r="D28" s="420" t="s">
        <v>44</v>
      </c>
    </row>
    <row r="29" spans="1:22" outlineLevel="1" x14ac:dyDescent="0.25">
      <c r="A29" s="396" t="s">
        <v>45</v>
      </c>
      <c r="B29" s="512">
        <f>SUM(I211:I610)*12</f>
        <v>0</v>
      </c>
      <c r="C29" s="512">
        <f>IFERROR(B29/12/MAX(B12,1),0)</f>
        <v>0</v>
      </c>
      <c r="D29" s="394" t="s">
        <v>46</v>
      </c>
    </row>
    <row r="30" spans="1:22" outlineLevel="1" x14ac:dyDescent="0.25">
      <c r="A30" s="400" t="s">
        <v>47</v>
      </c>
      <c r="B30" s="516" t="e" cm="1">
        <f t="array" ref="B30">SUMPRODUCT((($E$211:$E$610="Occupied")+($E$211:$E$610="Notice"))*$L$211:$L$610)*12</f>
        <v>#VALUE!</v>
      </c>
      <c r="C30" s="516">
        <f>IFERROR(B30/12/MAX(C12,1),0)</f>
        <v>0</v>
      </c>
      <c r="D30" s="394" t="s">
        <v>48</v>
      </c>
    </row>
    <row r="31" spans="1:22" outlineLevel="1" x14ac:dyDescent="0.25">
      <c r="A31" s="400" t="s">
        <v>1422</v>
      </c>
      <c r="B31" s="516" t="e" cm="1">
        <f t="array" ref="B31">(SUMPRODUCT((($C$211:$C$610="IL")*(($E$211:$E$610="Occupied")+($E$211:$E$610="Notice")))*(_xlfn.MAXIFS($L$211:$L$610,$C$211:$C$610,"IL",$E$211:$E$610,"Occupied")-$L$211:$L$610))+SUMPRODUCT((($C$211:$C$610="AL")*(($E$211:$E$610="Occupied")+($E$211:$E$610="Notice")))*(_xlfn.MAXIFS($L$211:$L$610,$C$211:$C$610,"AL",$E$211:$E$610,"Occupied")-$L$211:$L$610))+SUMPRODUCT((($C$211:$C$610="MC")*(($E$211:$E$610="Occupied")+($E$211:$E$610="Notice")))*(_xlfn.MAXIFS($L$211:$L$610,$C$211:$C$610,"MC",$E$211:$E$610,"Occupied")-$L$211:$L$610)))*12</f>
        <v>#VALUE!</v>
      </c>
      <c r="C31" s="516">
        <f>IFERROR(B31/12/MAX(C12,1),0)</f>
        <v>0</v>
      </c>
      <c r="D31" s="394" t="s">
        <v>1423</v>
      </c>
    </row>
    <row r="32" spans="1:22" outlineLevel="1" x14ac:dyDescent="0.25">
      <c r="A32" s="400" t="s">
        <v>49</v>
      </c>
      <c r="B32" s="522">
        <f>IFERROR(B31/B30,0)</f>
        <v>0</v>
      </c>
      <c r="C32" s="404"/>
      <c r="D32" s="394" t="s">
        <v>1424</v>
      </c>
    </row>
    <row r="33" spans="1:22" outlineLevel="1" x14ac:dyDescent="0.25">
      <c r="A33" s="400" t="s">
        <v>50</v>
      </c>
      <c r="B33" s="516">
        <f>SUMIFS($I$211:$I$610,$E$211:$E$610,"Vacant")*12</f>
        <v>0</v>
      </c>
      <c r="C33" s="516">
        <f>IFERROR(B33/12/MAX(COUNTIF($E$211:$E$610,"Vacant"),1),0)</f>
        <v>0</v>
      </c>
      <c r="D33" s="394" t="s">
        <v>51</v>
      </c>
    </row>
    <row r="34" spans="1:22" outlineLevel="1" x14ac:dyDescent="0.25">
      <c r="A34" s="400" t="s">
        <v>52</v>
      </c>
      <c r="B34" s="516">
        <f>F17*12+F18*12</f>
        <v>0</v>
      </c>
      <c r="C34" s="516">
        <f>IFERROR(B34/12/MAX(B17+B18,1),0)</f>
        <v>0</v>
      </c>
      <c r="D34" s="394" t="s">
        <v>53</v>
      </c>
    </row>
    <row r="35" spans="1:22" outlineLevel="1" x14ac:dyDescent="0.25">
      <c r="A35" s="400" t="s">
        <v>54</v>
      </c>
      <c r="B35" s="516">
        <f>SUM(K211:K610)*12</f>
        <v>0</v>
      </c>
      <c r="C35" s="516">
        <f>IFERROR(B35/12/MAX(C12,1),0)</f>
        <v>0</v>
      </c>
      <c r="D35" s="394" t="s">
        <v>55</v>
      </c>
    </row>
    <row r="36" spans="1:22" outlineLevel="1" x14ac:dyDescent="0.25">
      <c r="A36" s="396" t="s">
        <v>56</v>
      </c>
      <c r="B36" s="512" t="e">
        <f>B29-B31-B33-B34+B35</f>
        <v>#VALUE!</v>
      </c>
      <c r="C36" s="512">
        <f>IFERROR(B36/12/MAX(B12,1),0)</f>
        <v>0</v>
      </c>
      <c r="D36" s="394" t="s">
        <v>57</v>
      </c>
    </row>
    <row r="37" spans="1:22" outlineLevel="1" x14ac:dyDescent="0.25">
      <c r="A37" s="400" t="s">
        <v>58</v>
      </c>
      <c r="B37" s="522">
        <f>IFERROR(B36/B29,0)</f>
        <v>0</v>
      </c>
      <c r="C37" s="404"/>
      <c r="D37" s="394" t="s">
        <v>59</v>
      </c>
    </row>
    <row r="38" spans="1:22" outlineLevel="1" x14ac:dyDescent="0.25">
      <c r="A38" s="400" t="s">
        <v>60</v>
      </c>
      <c r="B38" s="516" t="e" cm="1">
        <f t="array" ref="B38">SUMPRODUCT((($E$211:$E$610="Occupied")+($E$211:$E$610="Notice"))*$L$211:$L$610)*12</f>
        <v>#VALUE!</v>
      </c>
      <c r="C38" s="516">
        <f>IFERROR(B38/12/MAX(C12,1),0)</f>
        <v>0</v>
      </c>
      <c r="D38" s="394" t="s">
        <v>61</v>
      </c>
    </row>
    <row r="39" spans="1:22" outlineLevel="1" x14ac:dyDescent="0.25">
      <c r="A39" s="638" t="s">
        <v>1448</v>
      </c>
      <c r="B39" s="639" cm="1">
        <f t="array" ref="B39">SUMPRODUCT((($E$211:$E$610="Occupied")+($E$211:$E$610="Notice"))*($I$211:$I$610-$J$211:$J$610))*12</f>
        <v>0</v>
      </c>
      <c r="C39" s="639">
        <f>IFERROR(B39/12/MAX(C12,1),0)</f>
        <v>0</v>
      </c>
      <c r="D39" s="640" t="s">
        <v>1449</v>
      </c>
      <c r="E39" s="635"/>
      <c r="F39" s="635"/>
      <c r="G39" s="635"/>
      <c r="H39" s="635"/>
      <c r="I39" s="635"/>
      <c r="J39" s="635"/>
      <c r="K39" s="635"/>
      <c r="L39" s="635"/>
      <c r="M39" s="635"/>
      <c r="N39" s="635"/>
    </row>
    <row r="40" spans="1:22" ht="21.95" customHeight="1" x14ac:dyDescent="0.25">
      <c r="A40" s="818" t="s">
        <v>62</v>
      </c>
      <c r="B40" s="819"/>
      <c r="C40" s="819"/>
      <c r="D40" s="819"/>
      <c r="E40" s="819"/>
      <c r="F40" s="819"/>
      <c r="G40" s="819"/>
      <c r="H40" s="819"/>
      <c r="I40" s="819"/>
      <c r="J40" s="819"/>
      <c r="K40" s="819"/>
      <c r="L40" s="819"/>
      <c r="M40" s="819"/>
      <c r="N40" s="819"/>
      <c r="O40" s="817"/>
      <c r="P40" s="817"/>
      <c r="Q40" s="817"/>
      <c r="R40" s="817"/>
      <c r="S40" s="817"/>
      <c r="T40" s="817"/>
      <c r="U40" s="817"/>
      <c r="V40" s="817"/>
    </row>
    <row r="41" spans="1:22" outlineLevel="1" x14ac:dyDescent="0.25">
      <c r="A41" s="419" t="s">
        <v>63</v>
      </c>
      <c r="B41" s="420" t="s">
        <v>64</v>
      </c>
      <c r="C41" s="420" t="s">
        <v>65</v>
      </c>
      <c r="D41" s="420" t="s">
        <v>66</v>
      </c>
      <c r="E41" s="420" t="s">
        <v>67</v>
      </c>
      <c r="F41" s="420" t="s">
        <v>68</v>
      </c>
      <c r="G41" s="420" t="s">
        <v>69</v>
      </c>
    </row>
    <row r="42" spans="1:22" outlineLevel="1" x14ac:dyDescent="0.25">
      <c r="A42" s="400" t="s">
        <v>70</v>
      </c>
      <c r="B42" s="417" cm="1">
        <f t="array" aca="1" ref="B42" ca="1">SUMPRODUCT((($E$211:$E$610="Occupied")+($E$211:$E$610="Notice"))*($G$211:$G$610&gt;=TODAY()-180)*($G$211:$G$610&lt;&gt;""))</f>
        <v>0</v>
      </c>
      <c r="C42" s="522">
        <f ca="1">IFERROR(B42/MAX($C$12,1),0)</f>
        <v>0</v>
      </c>
      <c r="D42" s="516" cm="1">
        <f t="array" aca="1" ref="D42" ca="1">IFERROR(SUMPRODUCT((($E$211:$E$610="Occupied")+($E$211:$E$610="Notice"))*($G$211:$G$610&gt;=TODAY()-180)*($G$211:$G$610&lt;&gt;"")*$L$211:$L$610)/MAX(B42,1),0)</f>
        <v>0</v>
      </c>
      <c r="E42" s="516" cm="1">
        <f t="array" aca="1" ref="E42" ca="1">IFERROR(SUMPRODUCT((($E$211:$E$610="Occupied")+($E$211:$E$610="Notice"))*($G$211:$G$610&gt;=TODAY()-180)*($G$211:$G$610&lt;&gt;"")*$I$211:$I$610)/MAX(B42,1),0)</f>
        <v>0</v>
      </c>
      <c r="F42" s="516">
        <f ca="1">IFERROR(E42-D42,0)</f>
        <v>0</v>
      </c>
      <c r="G42" s="394" t="s">
        <v>71</v>
      </c>
    </row>
    <row r="43" spans="1:22" outlineLevel="1" x14ac:dyDescent="0.25">
      <c r="A43" s="400" t="s">
        <v>72</v>
      </c>
      <c r="B43" s="417" cm="1">
        <f t="array" aca="1" ref="B43" ca="1">SUMPRODUCT((($E$211:$E$610="Occupied")+($E$211:$E$610="Notice"))*($G$211:$G$610&gt;=TODAY()-365)*($G$211:$G$610&lt;TODAY()-180)*($G$211:$G$610&lt;&gt;""))</f>
        <v>0</v>
      </c>
      <c r="C43" s="522">
        <f ca="1">IFERROR(B43/MAX($C$12,1),0)</f>
        <v>0</v>
      </c>
      <c r="D43" s="516" cm="1">
        <f t="array" aca="1" ref="D43" ca="1">IFERROR(SUMPRODUCT((($E$211:$E$610="Occupied")+($E$211:$E$610="Notice"))*($G$211:$G$610&gt;=TODAY()-365)*($G$211:$G$610&lt;TODAY()-180)*($G$211:$G$610&lt;&gt;"")*$L$211:$L$610)/MAX(B43,1),0)</f>
        <v>0</v>
      </c>
      <c r="E43" s="516" cm="1">
        <f t="array" aca="1" ref="E43" ca="1">IFERROR(SUMPRODUCT((($E$211:$E$610="Occupied")+($E$211:$E$610="Notice"))*($G$211:$G$610&gt;=TODAY()-365)*($G$211:$G$610&lt;TODAY()-180)*($G$211:$G$610&lt;&gt;"")*$I$211:$I$610)/MAX(B43,1),0)</f>
        <v>0</v>
      </c>
      <c r="F43" s="516">
        <f ca="1">IFERROR(E43-D43,0)</f>
        <v>0</v>
      </c>
      <c r="G43" s="394" t="s">
        <v>73</v>
      </c>
    </row>
    <row r="44" spans="1:22" outlineLevel="1" x14ac:dyDescent="0.25">
      <c r="A44" s="400" t="s">
        <v>74</v>
      </c>
      <c r="B44" s="417" cm="1">
        <f t="array" aca="1" ref="B44" ca="1">SUMPRODUCT((($E$211:$E$610="Occupied")+($E$211:$E$610="Notice"))*($G$211:$G$610&gt;=TODAY()-730)*($G$211:$G$610&lt;TODAY()-365)*($G$211:$G$610&lt;&gt;""))</f>
        <v>0</v>
      </c>
      <c r="C44" s="522">
        <f ca="1">IFERROR(B44/MAX($C$12,1),0)</f>
        <v>0</v>
      </c>
      <c r="D44" s="516" cm="1">
        <f t="array" aca="1" ref="D44" ca="1">IFERROR(SUMPRODUCT((($E$211:$E$610="Occupied")+($E$211:$E$610="Notice"))*($G$211:$G$610&gt;=TODAY()-730)*($G$211:$G$610&lt;TODAY()-365)*($G$211:$G$610&lt;&gt;"")*$L$211:$L$610)/MAX(B44,1),0)</f>
        <v>0</v>
      </c>
      <c r="E44" s="516" cm="1">
        <f t="array" aca="1" ref="E44" ca="1">IFERROR(SUMPRODUCT((($E$211:$E$610="Occupied")+($E$211:$E$610="Notice"))*($G$211:$G$610&gt;=TODAY()-730)*($G$211:$G$610&lt;TODAY()-365)*($G$211:$G$610&lt;&gt;"")*$I$211:$I$610)/MAX(B44,1),0)</f>
        <v>0</v>
      </c>
      <c r="F44" s="516">
        <f ca="1">IFERROR(E44-D44,0)</f>
        <v>0</v>
      </c>
      <c r="G44" s="394" t="s">
        <v>75</v>
      </c>
    </row>
    <row r="45" spans="1:22" outlineLevel="1" x14ac:dyDescent="0.25">
      <c r="A45" s="400" t="s">
        <v>76</v>
      </c>
      <c r="B45" s="417" cm="1">
        <f t="array" aca="1" ref="B45" ca="1">SUMPRODUCT((($E$211:$E$610="Occupied")+($E$211:$E$610="Notice"))*($G$211:$G$610&gt;=TODAY()-1095)*($G$211:$G$610&lt;TODAY()-730)*($G$211:$G$610&lt;&gt;""))</f>
        <v>0</v>
      </c>
      <c r="C45" s="522">
        <f ca="1">IFERROR(B45/MAX($C$12,1),0)</f>
        <v>0</v>
      </c>
      <c r="D45" s="516" cm="1">
        <f t="array" aca="1" ref="D45" ca="1">IFERROR(SUMPRODUCT((($E$211:$E$610="Occupied")+($E$211:$E$610="Notice"))*($G$211:$G$610&gt;=TODAY()-1095)*($G$211:$G$610&lt;TODAY()-730)*($G$211:$G$610&lt;&gt;"")*$L$211:$L$610)/MAX(B45,1),0)</f>
        <v>0</v>
      </c>
      <c r="E45" s="516" cm="1">
        <f t="array" aca="1" ref="E45" ca="1">IFERROR(SUMPRODUCT((($E$211:$E$610="Occupied")+($E$211:$E$610="Notice"))*($G$211:$G$610&gt;=TODAY()-1095)*($G$211:$G$610&lt;TODAY()-730)*($G$211:$G$610&lt;&gt;"")*$I$211:$I$610)/MAX(B45,1),0)</f>
        <v>0</v>
      </c>
      <c r="F45" s="516">
        <f ca="1">IFERROR(E45-D45,0)</f>
        <v>0</v>
      </c>
      <c r="G45" s="394" t="s">
        <v>77</v>
      </c>
    </row>
    <row r="46" spans="1:22" outlineLevel="1" x14ac:dyDescent="0.25">
      <c r="A46" s="400" t="s">
        <v>78</v>
      </c>
      <c r="B46" s="417" cm="1">
        <f t="array" aca="1" ref="B46" ca="1">SUMPRODUCT((($E$211:$E$610="Occupied")+($E$211:$E$610="Notice"))*($G$211:$G$610&lt;TODAY()-1095)*($G$211:$G$610&lt;&gt;""))</f>
        <v>0</v>
      </c>
      <c r="C46" s="522">
        <f ca="1">IFERROR(B46/MAX($C$12,1),0)</f>
        <v>0</v>
      </c>
      <c r="D46" s="516" cm="1">
        <f t="array" aca="1" ref="D46" ca="1">IFERROR(SUMPRODUCT((($E$211:$E$610="Occupied")+($E$211:$E$610="Notice"))*($G$211:$G$610&lt;TODAY()-1095)*($G$211:$G$610&lt;&gt;"")*$L$211:$L$610)/MAX(B46,1),0)</f>
        <v>0</v>
      </c>
      <c r="E46" s="516" cm="1">
        <f t="array" aca="1" ref="E46" ca="1">IFERROR(SUMPRODUCT((($E$211:$E$610="Occupied")+($E$211:$E$610="Notice"))*($G$211:$G$610&lt;TODAY()-1095)*($G$211:$G$610&lt;&gt;"")*$I$211:$I$610)/MAX(B46,1),0)</f>
        <v>0</v>
      </c>
      <c r="F46" s="516">
        <f ca="1">IFERROR(E46-D46,0)</f>
        <v>0</v>
      </c>
      <c r="G46" s="394" t="s">
        <v>79</v>
      </c>
    </row>
    <row r="47" spans="1:22" outlineLevel="1" x14ac:dyDescent="0.25"/>
    <row r="48" spans="1:22" outlineLevel="1" x14ac:dyDescent="0.25">
      <c r="A48" s="635"/>
      <c r="B48" s="635"/>
      <c r="C48" s="635"/>
      <c r="D48" s="635"/>
      <c r="E48" s="635"/>
      <c r="F48" s="635"/>
      <c r="G48" s="635"/>
      <c r="H48" s="635"/>
      <c r="I48" s="635"/>
      <c r="J48" s="635"/>
      <c r="K48" s="635"/>
      <c r="L48" s="635"/>
      <c r="M48" s="635"/>
      <c r="N48" s="635"/>
    </row>
    <row r="49" spans="1:22" ht="21.95" customHeight="1" x14ac:dyDescent="0.25">
      <c r="A49" s="820" t="s">
        <v>80</v>
      </c>
      <c r="B49" s="821"/>
      <c r="C49" s="821"/>
      <c r="D49" s="821"/>
      <c r="E49" s="821"/>
      <c r="F49" s="821"/>
      <c r="G49" s="821"/>
      <c r="H49" s="821"/>
      <c r="I49" s="821"/>
      <c r="J49" s="821"/>
      <c r="K49" s="821"/>
      <c r="L49" s="821"/>
      <c r="M49" s="821"/>
      <c r="N49" s="821"/>
      <c r="O49" s="817"/>
      <c r="P49" s="817"/>
      <c r="Q49" s="817"/>
      <c r="R49" s="817"/>
      <c r="S49" s="817"/>
      <c r="T49" s="817"/>
      <c r="U49" s="817"/>
      <c r="V49" s="817"/>
    </row>
    <row r="50" spans="1:22" outlineLevel="1" x14ac:dyDescent="0.25">
      <c r="A50" s="824" t="s">
        <v>81</v>
      </c>
      <c r="B50" s="817"/>
      <c r="C50" s="817"/>
      <c r="D50" s="817"/>
      <c r="E50" s="817"/>
      <c r="F50" s="817"/>
      <c r="G50" s="817"/>
      <c r="H50" s="817"/>
      <c r="I50" s="817"/>
      <c r="J50" s="817"/>
      <c r="K50" s="817"/>
      <c r="L50" s="817"/>
    </row>
    <row r="51" spans="1:22" outlineLevel="1" x14ac:dyDescent="0.25">
      <c r="A51" s="419" t="s">
        <v>82</v>
      </c>
      <c r="B51" s="420" t="s">
        <v>26</v>
      </c>
      <c r="C51" s="420" t="s">
        <v>83</v>
      </c>
      <c r="D51" s="420" t="s">
        <v>84</v>
      </c>
      <c r="E51" s="420" t="s">
        <v>85</v>
      </c>
    </row>
    <row r="52" spans="1:22" outlineLevel="1" x14ac:dyDescent="0.25">
      <c r="A52" s="400" t="s">
        <v>86</v>
      </c>
      <c r="B52" s="417" cm="1">
        <f t="array" aca="1" ref="B52" ca="1">SUMPRODUCT(($E$211:$E$610="Vacant")*($H$211:$H$610&gt;=TODAY()-30)*($H$211:$H$610&lt;&gt;""))</f>
        <v>0</v>
      </c>
      <c r="C52" s="522">
        <f t="shared" ref="C52:C57" ca="1" si="1">IFERROR(B52/MAX(COUNTIF($E$211:$E$610,"Vacant"),1),0)</f>
        <v>0</v>
      </c>
      <c r="D52" s="516" cm="1">
        <f t="array" aca="1" ref="D52" ca="1">SUMPRODUCT(($E$211:$E$610="Vacant")*($H$211:$H$610&gt;=TODAY()-30)*($H$211:$H$610&lt;&gt;"")*$I$211:$I$610)*12</f>
        <v>0</v>
      </c>
      <c r="E52" s="394" t="s">
        <v>87</v>
      </c>
    </row>
    <row r="53" spans="1:22" outlineLevel="1" x14ac:dyDescent="0.25">
      <c r="A53" s="400" t="s">
        <v>88</v>
      </c>
      <c r="B53" s="417" cm="1">
        <f t="array" aca="1" ref="B53" ca="1">SUMPRODUCT(($E$211:$E$610="Vacant")*($H$211:$H$610&gt;=TODAY()-90)*($H$211:$H$610&lt;TODAY()-30)*($H$211:$H$610&lt;&gt;""))</f>
        <v>0</v>
      </c>
      <c r="C53" s="522">
        <f t="shared" ca="1" si="1"/>
        <v>0</v>
      </c>
      <c r="D53" s="516" cm="1">
        <f t="array" aca="1" ref="D53" ca="1">SUMPRODUCT(($E$211:$E$610="Vacant")*($H$211:$H$610&gt;=TODAY()-90)*($H$211:$H$610&lt;TODAY()-30)*($H$211:$H$610&lt;&gt;"")*$I$211:$I$610)*12</f>
        <v>0</v>
      </c>
      <c r="E53" s="394" t="s">
        <v>89</v>
      </c>
    </row>
    <row r="54" spans="1:22" outlineLevel="1" x14ac:dyDescent="0.25">
      <c r="A54" s="400" t="s">
        <v>90</v>
      </c>
      <c r="B54" s="417" cm="1">
        <f t="array" aca="1" ref="B54" ca="1">SUMPRODUCT(($E$211:$E$610="Vacant")*($H$211:$H$610&gt;=TODAY()-180)*($H$211:$H$610&lt;TODAY()-90)*($H$211:$H$610&lt;&gt;""))</f>
        <v>0</v>
      </c>
      <c r="C54" s="522">
        <f t="shared" ca="1" si="1"/>
        <v>0</v>
      </c>
      <c r="D54" s="516" cm="1">
        <f t="array" aca="1" ref="D54" ca="1">SUMPRODUCT(($E$211:$E$610="Vacant")*($H$211:$H$610&gt;=TODAY()-180)*($H$211:$H$610&lt;TODAY()-90)*($H$211:$H$610&lt;&gt;"")*$I$211:$I$610)*12</f>
        <v>0</v>
      </c>
      <c r="E54" s="394" t="s">
        <v>91</v>
      </c>
    </row>
    <row r="55" spans="1:22" outlineLevel="1" x14ac:dyDescent="0.25">
      <c r="A55" s="400" t="s">
        <v>92</v>
      </c>
      <c r="B55" s="417" cm="1">
        <f t="array" aca="1" ref="B55" ca="1">SUMPRODUCT(($E$211:$E$610="Vacant")*($H$211:$H$610&gt;=TODAY()-365)*($H$211:$H$610&lt;TODAY()-180)*($H$211:$H$610&lt;&gt;""))</f>
        <v>0</v>
      </c>
      <c r="C55" s="522">
        <f t="shared" ca="1" si="1"/>
        <v>0</v>
      </c>
      <c r="D55" s="516" cm="1">
        <f t="array" aca="1" ref="D55" ca="1">SUMPRODUCT(($E$211:$E$610="Vacant")*($H$211:$H$610&gt;=TODAY()-365)*($H$211:$H$610&lt;TODAY()-180)*($H$211:$H$610&lt;&gt;"")*$I$211:$I$610)*12</f>
        <v>0</v>
      </c>
      <c r="E55" s="394" t="s">
        <v>93</v>
      </c>
    </row>
    <row r="56" spans="1:22" outlineLevel="1" x14ac:dyDescent="0.25">
      <c r="A56" s="400" t="s">
        <v>94</v>
      </c>
      <c r="B56" s="417" cm="1">
        <f t="array" aca="1" ref="B56" ca="1">SUMPRODUCT(($E$211:$E$610="Vacant")*($H$211:$H$610&lt;TODAY()-365)*($H$211:$H$610&lt;&gt;""))</f>
        <v>0</v>
      </c>
      <c r="C56" s="522">
        <f t="shared" ca="1" si="1"/>
        <v>0</v>
      </c>
      <c r="D56" s="516" cm="1">
        <f t="array" aca="1" ref="D56" ca="1">SUMPRODUCT(($E$211:$E$610="Vacant")*($H$211:$H$610&lt;TODAY()-365)*($H$211:$H$610&lt;&gt;"")*$I$211:$I$610)*12</f>
        <v>0</v>
      </c>
      <c r="E56" s="394" t="s">
        <v>95</v>
      </c>
    </row>
    <row r="57" spans="1:22" outlineLevel="1" x14ac:dyDescent="0.25">
      <c r="A57" s="400" t="s">
        <v>96</v>
      </c>
      <c r="B57" s="417">
        <f>COUNTIFS($E$211:$E$610,"Vacant",$H$211:$H$610,"")</f>
        <v>0</v>
      </c>
      <c r="C57" s="522">
        <f t="shared" si="1"/>
        <v>0</v>
      </c>
      <c r="D57" s="516">
        <f>SUMIFS($I$211:$I$610,$E$211:$E$610,"Vacant",$H$211:$H$610,"")*12</f>
        <v>0</v>
      </c>
      <c r="E57" s="394" t="s">
        <v>97</v>
      </c>
    </row>
    <row r="58" spans="1:22" outlineLevel="1" x14ac:dyDescent="0.25">
      <c r="A58" s="396" t="s">
        <v>98</v>
      </c>
      <c r="B58" s="422">
        <f ca="1">SUM(B52:B57)</f>
        <v>0</v>
      </c>
      <c r="C58" s="525">
        <f ca="1">SUM(C52:C57)</f>
        <v>0</v>
      </c>
      <c r="D58" s="512">
        <f ca="1">SUM(D52:D57)</f>
        <v>0</v>
      </c>
      <c r="E58" s="394"/>
    </row>
    <row r="59" spans="1:22" outlineLevel="1" x14ac:dyDescent="0.25"/>
    <row r="60" spans="1:22" outlineLevel="1" x14ac:dyDescent="0.25">
      <c r="A60" s="635"/>
      <c r="B60" s="635"/>
      <c r="C60" s="635"/>
      <c r="D60" s="635"/>
      <c r="E60" s="635"/>
      <c r="F60" s="635"/>
      <c r="G60" s="635"/>
      <c r="H60" s="635"/>
      <c r="I60" s="635"/>
      <c r="J60" s="635"/>
      <c r="K60" s="635"/>
      <c r="L60" s="635"/>
      <c r="M60" s="635"/>
      <c r="N60" s="635"/>
    </row>
    <row r="61" spans="1:22" ht="21.95" customHeight="1" x14ac:dyDescent="0.25">
      <c r="A61" s="818" t="s">
        <v>99</v>
      </c>
      <c r="B61" s="819"/>
      <c r="C61" s="819"/>
      <c r="D61" s="819"/>
      <c r="E61" s="819"/>
      <c r="F61" s="819"/>
      <c r="G61" s="819"/>
      <c r="H61" s="819"/>
      <c r="I61" s="819"/>
      <c r="J61" s="819"/>
      <c r="K61" s="819"/>
      <c r="L61" s="819"/>
      <c r="M61" s="819"/>
      <c r="N61" s="819"/>
      <c r="O61" s="817"/>
      <c r="P61" s="817"/>
      <c r="Q61" s="817"/>
      <c r="R61" s="817"/>
      <c r="S61" s="817"/>
      <c r="T61" s="817"/>
      <c r="U61" s="817"/>
      <c r="V61" s="817"/>
    </row>
    <row r="62" spans="1:22" outlineLevel="1" x14ac:dyDescent="0.25">
      <c r="A62" s="419" t="s">
        <v>100</v>
      </c>
      <c r="B62" s="420" t="s">
        <v>64</v>
      </c>
      <c r="C62" s="420" t="s">
        <v>101</v>
      </c>
      <c r="D62" s="420" t="s">
        <v>102</v>
      </c>
      <c r="E62" s="420" t="s">
        <v>103</v>
      </c>
      <c r="F62" s="420" t="s">
        <v>104</v>
      </c>
    </row>
    <row r="63" spans="1:22" outlineLevel="1" x14ac:dyDescent="0.25">
      <c r="A63" s="400" t="s">
        <v>105</v>
      </c>
      <c r="B63" s="417" cm="1">
        <f t="array" ref="B63">SUMPRODUCT(($O$211:$O$610&gt;0)*1)</f>
        <v>0</v>
      </c>
      <c r="C63" s="516">
        <f>SUM(O211:O610)</f>
        <v>0</v>
      </c>
      <c r="D63" s="522">
        <f>IFERROR(C63/MAX(SUM($M$211:$M$610),1),0)</f>
        <v>0</v>
      </c>
      <c r="E63" s="516">
        <f>IFERROR(C63/MAX(B63,1),0)</f>
        <v>0</v>
      </c>
      <c r="F63" s="424" t="s">
        <v>991</v>
      </c>
    </row>
    <row r="64" spans="1:22" outlineLevel="1" x14ac:dyDescent="0.25">
      <c r="A64" s="400" t="s">
        <v>106</v>
      </c>
      <c r="B64" s="417" cm="1">
        <f t="array" ref="B64">SUMPRODUCT(($P$211:$P$610&gt;0)*1)</f>
        <v>0</v>
      </c>
      <c r="C64" s="516">
        <f>SUM(P211:P610)</f>
        <v>0</v>
      </c>
      <c r="D64" s="522">
        <f>IFERROR(C64/MAX(SUM($M$211:$M$610),1),0)</f>
        <v>0</v>
      </c>
      <c r="E64" s="516">
        <f>IFERROR(C64/MAX(B64,1),0)</f>
        <v>0</v>
      </c>
      <c r="F64" s="424" t="s">
        <v>1418</v>
      </c>
    </row>
    <row r="65" spans="1:22" outlineLevel="1" x14ac:dyDescent="0.25">
      <c r="A65" s="400" t="s">
        <v>107</v>
      </c>
      <c r="B65" s="417" cm="1">
        <f t="array" ref="B65">SUMPRODUCT(($Q$211:$Q$610&gt;0)*1)</f>
        <v>0</v>
      </c>
      <c r="C65" s="516">
        <f>SUM(Q211:Q610)</f>
        <v>0</v>
      </c>
      <c r="D65" s="522">
        <f>IFERROR(C65/MAX(SUM($M$211:$M$610),1),0)</f>
        <v>0</v>
      </c>
      <c r="E65" s="516">
        <f>IFERROR(C65/MAX(B65,1),0)</f>
        <v>0</v>
      </c>
      <c r="F65" s="424" t="s">
        <v>1419</v>
      </c>
    </row>
    <row r="66" spans="1:22" outlineLevel="1" x14ac:dyDescent="0.25">
      <c r="A66" s="396" t="s">
        <v>108</v>
      </c>
      <c r="B66" s="422" cm="1">
        <f t="array" ref="B66">SUMPRODUCT(($R$211:$R$610&gt;0)*1)</f>
        <v>0</v>
      </c>
      <c r="C66" s="512">
        <f>SUM(R211:R610)</f>
        <v>0</v>
      </c>
      <c r="D66" s="525">
        <f>IFERROR(C66/MAX(SUM($M$211:$M$610),1),0)</f>
        <v>0</v>
      </c>
      <c r="E66" s="512">
        <f>IFERROR(C66/MAX(B66,1),0)</f>
        <v>0</v>
      </c>
      <c r="F66" s="424" t="s">
        <v>1420</v>
      </c>
    </row>
    <row r="67" spans="1:22" outlineLevel="1" x14ac:dyDescent="0.25">
      <c r="A67" s="396" t="s">
        <v>109</v>
      </c>
      <c r="B67" s="422">
        <f>COUNTIF($M$211:$M$610,"&gt;0")</f>
        <v>0</v>
      </c>
      <c r="C67" s="512">
        <f>SUM(M211:M610)</f>
        <v>0</v>
      </c>
      <c r="D67" s="525">
        <f>IF(SUM(C63:C66)=0,0,SUM(C63:C66)/MAX(C67,1))</f>
        <v>0</v>
      </c>
      <c r="E67" s="512">
        <f>IFERROR(C67/MAX(B67,1),0)</f>
        <v>0</v>
      </c>
      <c r="F67" s="424" t="str">
        <f>IF(SUM(C63:C66)=0,"⚠ aging not loaded — paste aging report into N–Q","✓ aging loaded")</f>
        <v>⚠ aging not loaded — paste aging report into N–Q</v>
      </c>
    </row>
    <row r="68" spans="1:22" outlineLevel="1" x14ac:dyDescent="0.25"/>
    <row r="69" spans="1:22" outlineLevel="1" x14ac:dyDescent="0.25">
      <c r="A69" s="635"/>
      <c r="B69" s="635"/>
      <c r="C69" s="635"/>
      <c r="D69" s="635"/>
      <c r="E69" s="635"/>
      <c r="F69" s="635"/>
      <c r="G69" s="635"/>
      <c r="H69" s="635"/>
      <c r="I69" s="635"/>
      <c r="J69" s="635"/>
      <c r="K69" s="635"/>
      <c r="L69" s="635"/>
      <c r="M69" s="635"/>
      <c r="N69" s="635"/>
    </row>
    <row r="70" spans="1:22" ht="21.95" customHeight="1" x14ac:dyDescent="0.25">
      <c r="A70" s="820" t="s">
        <v>110</v>
      </c>
      <c r="B70" s="821"/>
      <c r="C70" s="821"/>
      <c r="D70" s="821"/>
      <c r="E70" s="821"/>
      <c r="F70" s="821"/>
      <c r="G70" s="821"/>
      <c r="H70" s="821"/>
      <c r="I70" s="821"/>
      <c r="J70" s="821"/>
      <c r="K70" s="821"/>
      <c r="L70" s="821"/>
      <c r="M70" s="821"/>
      <c r="N70" s="821"/>
      <c r="O70" s="817"/>
      <c r="P70" s="817"/>
      <c r="Q70" s="817"/>
      <c r="R70" s="817"/>
      <c r="S70" s="817"/>
      <c r="T70" s="817"/>
      <c r="U70" s="817"/>
      <c r="V70" s="817"/>
    </row>
    <row r="71" spans="1:22" outlineLevel="1" x14ac:dyDescent="0.25">
      <c r="A71" s="824" t="s">
        <v>111</v>
      </c>
      <c r="B71" s="817"/>
      <c r="C71" s="817"/>
      <c r="D71" s="817"/>
      <c r="E71" s="817"/>
      <c r="F71" s="817"/>
      <c r="G71" s="817"/>
      <c r="H71" s="817"/>
      <c r="I71" s="817"/>
      <c r="J71" s="817"/>
      <c r="K71" s="817"/>
      <c r="L71" s="817"/>
    </row>
    <row r="72" spans="1:22" outlineLevel="1" x14ac:dyDescent="0.25">
      <c r="A72" s="419" t="s">
        <v>112</v>
      </c>
      <c r="B72" s="420" t="s">
        <v>113</v>
      </c>
      <c r="C72" s="420" t="s">
        <v>114</v>
      </c>
      <c r="D72" s="420" t="s">
        <v>115</v>
      </c>
      <c r="E72" s="420" t="s">
        <v>12</v>
      </c>
      <c r="F72" s="420" t="s">
        <v>116</v>
      </c>
      <c r="G72" s="420" t="s">
        <v>30</v>
      </c>
      <c r="H72" s="420" t="s">
        <v>118</v>
      </c>
      <c r="I72" s="420" t="s">
        <v>1421</v>
      </c>
      <c r="J72" s="420" t="s">
        <v>118</v>
      </c>
      <c r="K72" s="420" t="s">
        <v>119</v>
      </c>
      <c r="L72" s="420" t="s">
        <v>44</v>
      </c>
    </row>
    <row r="73" spans="1:22" outlineLevel="1" x14ac:dyDescent="0.25">
      <c r="A73" s="400">
        <v>1</v>
      </c>
      <c r="B73" cm="1">
        <f t="array" ref="B73">IFERROR(INDEX($A$211:$A$610,MATCH(LARGE($M$211:$M$610+ROW($M$211:$M$610)/1000000,ROW()-72),$M$211:$M$610+ROW($M$211:$M$610)/1000000,0)),"")</f>
        <v>0</v>
      </c>
      <c r="C73" cm="1">
        <f t="array" ref="C73">IFERROR(INDEX($B$211:$B$610,MATCH(LARGE($M$211:$M$610+ROW($M$211:$M$610)/1000000,ROW()-72),$M$211:$M$610+ROW($M$211:$M$610)/1000000,0)),"")</f>
        <v>0</v>
      </c>
      <c r="D73" cm="1">
        <f t="array" ref="D73">IFERROR(INDEX($F$211:$F$610,MATCH(LARGE($M$211:$M$610+ROW($M$211:$M$610)/1000000,ROW()-72),$M$211:$M$610+ROW($M$211:$M$610)/1000000,0)),"")</f>
        <v>0</v>
      </c>
      <c r="E73" cm="1">
        <f t="array" ref="E73">IFERROR(INDEX($C$211:$C$610,MATCH(LARGE($M$211:$M$610+ROW($M$211:$M$610)/1000000,ROW()-72),$M$211:$M$610+ROW($M$211:$M$610)/1000000,0)),"")</f>
        <v>0</v>
      </c>
      <c r="F73" cm="1">
        <f t="array" ref="F73">IFERROR(INDEX($S$211:$S$610,MATCH(LARGE($M$211:$M$610+ROW($M$211:$M$610)/1000000,ROW()-72),$M$211:$M$610+ROW($M$211:$M$610)/1000000,0)),"")</f>
        <v>0</v>
      </c>
      <c r="G73" s="516">
        <f t="shared" ref="G73:G82" si="2">IFERROR(LARGE($M$211:$M$610,ROW()-72),0)</f>
        <v>0</v>
      </c>
      <c r="H73" s="516" cm="1">
        <f t="array" ref="H73">IFERROR(INDEX($N$211:$N$610,MATCH(LARGE($M$211:$M$610+ROW($M$211:$M$610)/1000000,ROW()-72),$M$211:$M$610+ROW($M$211:$M$610)/1000000,0)),0)</f>
        <v>0</v>
      </c>
      <c r="I73" s="524" t="s">
        <v>1586</v>
      </c>
      <c r="J73" s="401">
        <v>0</v>
      </c>
      <c r="K73" s="401">
        <v>0</v>
      </c>
    </row>
    <row r="74" spans="1:22" outlineLevel="1" x14ac:dyDescent="0.25">
      <c r="A74" s="400">
        <v>2</v>
      </c>
      <c r="B74" cm="1">
        <f t="array" ref="B74">IFERROR(INDEX($A$211:$A$610,MATCH(LARGE($M$211:$M$610+ROW($M$211:$M$610)/1000000,ROW()-72),$M$211:$M$610+ROW($M$211:$M$610)/1000000,0)),"")</f>
        <v>0</v>
      </c>
      <c r="C74" cm="1">
        <f t="array" ref="C74">IFERROR(INDEX($B$211:$B$610,MATCH(LARGE($M$211:$M$610+ROW($M$211:$M$610)/1000000,ROW()-72),$M$211:$M$610+ROW($M$211:$M$610)/1000000,0)),"")</f>
        <v>0</v>
      </c>
      <c r="D74" cm="1">
        <f t="array" ref="D74">IFERROR(INDEX($F$211:$F$610,MATCH(LARGE($M$211:$M$610+ROW($M$211:$M$610)/1000000,ROW()-72),$M$211:$M$610+ROW($M$211:$M$610)/1000000,0)),"")</f>
        <v>0</v>
      </c>
      <c r="E74" cm="1">
        <f t="array" ref="E74">IFERROR(INDEX($C$211:$C$610,MATCH(LARGE($M$211:$M$610+ROW($M$211:$M$610)/1000000,ROW()-72),$M$211:$M$610+ROW($M$211:$M$610)/1000000,0)),"")</f>
        <v>0</v>
      </c>
      <c r="F74" cm="1">
        <f t="array" ref="F74">IFERROR(INDEX($S$211:$S$610,MATCH(LARGE($M$211:$M$610+ROW($M$211:$M$610)/1000000,ROW()-72),$M$211:$M$610+ROW($M$211:$M$610)/1000000,0)),"")</f>
        <v>0</v>
      </c>
      <c r="G74" s="516">
        <f t="shared" si="2"/>
        <v>0</v>
      </c>
      <c r="H74" s="516" cm="1">
        <f t="array" ref="H74">IFERROR(INDEX($N$211:$N$610,MATCH(LARGE($M$211:$M$610+ROW($M$211:$M$610)/1000000,ROW()-72),$M$211:$M$610+ROW($M$211:$M$610)/1000000,0)),0)</f>
        <v>0</v>
      </c>
      <c r="I74" s="524" t="s">
        <v>1586</v>
      </c>
      <c r="J74" s="401">
        <v>0</v>
      </c>
      <c r="K74" s="401">
        <v>0</v>
      </c>
    </row>
    <row r="75" spans="1:22" outlineLevel="1" x14ac:dyDescent="0.25">
      <c r="A75" s="400">
        <v>3</v>
      </c>
      <c r="B75" cm="1">
        <f t="array" ref="B75">IFERROR(INDEX($A$211:$A$610,MATCH(LARGE($M$211:$M$610+ROW($M$211:$M$610)/1000000,ROW()-72),$M$211:$M$610+ROW($M$211:$M$610)/1000000,0)),"")</f>
        <v>0</v>
      </c>
      <c r="C75" cm="1">
        <f t="array" ref="C75">IFERROR(INDEX($B$211:$B$610,MATCH(LARGE($M$211:$M$610+ROW($M$211:$M$610)/1000000,ROW()-72),$M$211:$M$610+ROW($M$211:$M$610)/1000000,0)),"")</f>
        <v>0</v>
      </c>
      <c r="D75" cm="1">
        <f t="array" ref="D75">IFERROR(INDEX($F$211:$F$610,MATCH(LARGE($M$211:$M$610+ROW($M$211:$M$610)/1000000,ROW()-72),$M$211:$M$610+ROW($M$211:$M$610)/1000000,0)),"")</f>
        <v>0</v>
      </c>
      <c r="E75" cm="1">
        <f t="array" ref="E75">IFERROR(INDEX($C$211:$C$610,MATCH(LARGE($M$211:$M$610+ROW($M$211:$M$610)/1000000,ROW()-72),$M$211:$M$610+ROW($M$211:$M$610)/1000000,0)),"")</f>
        <v>0</v>
      </c>
      <c r="F75" cm="1">
        <f t="array" ref="F75">IFERROR(INDEX($S$211:$S$610,MATCH(LARGE($M$211:$M$610+ROW($M$211:$M$610)/1000000,ROW()-72),$M$211:$M$610+ROW($M$211:$M$610)/1000000,0)),"")</f>
        <v>0</v>
      </c>
      <c r="G75" s="516">
        <f t="shared" si="2"/>
        <v>0</v>
      </c>
      <c r="H75" s="516" cm="1">
        <f t="array" ref="H75">IFERROR(INDEX($N$211:$N$610,MATCH(LARGE($M$211:$M$610+ROW($M$211:$M$610)/1000000,ROW()-72),$M$211:$M$610+ROW($M$211:$M$610)/1000000,0)),0)</f>
        <v>0</v>
      </c>
      <c r="I75" s="524" t="s">
        <v>1586</v>
      </c>
      <c r="J75" s="401">
        <v>0</v>
      </c>
      <c r="K75" s="401">
        <v>0</v>
      </c>
    </row>
    <row r="76" spans="1:22" outlineLevel="1" x14ac:dyDescent="0.25">
      <c r="A76" s="400">
        <v>4</v>
      </c>
      <c r="B76" cm="1">
        <f t="array" ref="B76">IFERROR(INDEX($A$211:$A$610,MATCH(LARGE($M$211:$M$610+ROW($M$211:$M$610)/1000000,ROW()-72),$M$211:$M$610+ROW($M$211:$M$610)/1000000,0)),"")</f>
        <v>0</v>
      </c>
      <c r="C76" cm="1">
        <f t="array" ref="C76">IFERROR(INDEX($B$211:$B$610,MATCH(LARGE($M$211:$M$610+ROW($M$211:$M$610)/1000000,ROW()-72),$M$211:$M$610+ROW($M$211:$M$610)/1000000,0)),"")</f>
        <v>0</v>
      </c>
      <c r="D76" cm="1">
        <f t="array" ref="D76">IFERROR(INDEX($F$211:$F$610,MATCH(LARGE($M$211:$M$610+ROW($M$211:$M$610)/1000000,ROW()-72),$M$211:$M$610+ROW($M$211:$M$610)/1000000,0)),"")</f>
        <v>0</v>
      </c>
      <c r="E76" cm="1">
        <f t="array" ref="E76">IFERROR(INDEX($C$211:$C$610,MATCH(LARGE($M$211:$M$610+ROW($M$211:$M$610)/1000000,ROW()-72),$M$211:$M$610+ROW($M$211:$M$610)/1000000,0)),"")</f>
        <v>0</v>
      </c>
      <c r="F76" cm="1">
        <f t="array" ref="F76">IFERROR(INDEX($S$211:$S$610,MATCH(LARGE($M$211:$M$610+ROW($M$211:$M$610)/1000000,ROW()-72),$M$211:$M$610+ROW($M$211:$M$610)/1000000,0)),"")</f>
        <v>0</v>
      </c>
      <c r="G76" s="516">
        <f t="shared" si="2"/>
        <v>0</v>
      </c>
      <c r="H76" s="516" cm="1">
        <f t="array" ref="H76">IFERROR(INDEX($N$211:$N$610,MATCH(LARGE($M$211:$M$610+ROW($M$211:$M$610)/1000000,ROW()-72),$M$211:$M$610+ROW($M$211:$M$610)/1000000,0)),0)</f>
        <v>0</v>
      </c>
      <c r="I76" s="524" t="s">
        <v>1586</v>
      </c>
      <c r="J76" s="401">
        <v>0</v>
      </c>
      <c r="K76" s="401">
        <v>0</v>
      </c>
    </row>
    <row r="77" spans="1:22" outlineLevel="1" x14ac:dyDescent="0.25">
      <c r="A77" s="400">
        <v>5</v>
      </c>
      <c r="B77" cm="1">
        <f t="array" ref="B77">IFERROR(INDEX($A$211:$A$610,MATCH(LARGE($M$211:$M$610+ROW($M$211:$M$610)/1000000,ROW()-72),$M$211:$M$610+ROW($M$211:$M$610)/1000000,0)),"")</f>
        <v>0</v>
      </c>
      <c r="C77" cm="1">
        <f t="array" ref="C77">IFERROR(INDEX($B$211:$B$610,MATCH(LARGE($M$211:$M$610+ROW($M$211:$M$610)/1000000,ROW()-72),$M$211:$M$610+ROW($M$211:$M$610)/1000000,0)),"")</f>
        <v>0</v>
      </c>
      <c r="D77" cm="1">
        <f t="array" ref="D77">IFERROR(INDEX($F$211:$F$610,MATCH(LARGE($M$211:$M$610+ROW($M$211:$M$610)/1000000,ROW()-72),$M$211:$M$610+ROW($M$211:$M$610)/1000000,0)),"")</f>
        <v>0</v>
      </c>
      <c r="E77" cm="1">
        <f t="array" ref="E77">IFERROR(INDEX($C$211:$C$610,MATCH(LARGE($M$211:$M$610+ROW($M$211:$M$610)/1000000,ROW()-72),$M$211:$M$610+ROW($M$211:$M$610)/1000000,0)),"")</f>
        <v>0</v>
      </c>
      <c r="F77" cm="1">
        <f t="array" ref="F77">IFERROR(INDEX($S$211:$S$610,MATCH(LARGE($M$211:$M$610+ROW($M$211:$M$610)/1000000,ROW()-72),$M$211:$M$610+ROW($M$211:$M$610)/1000000,0)),"")</f>
        <v>0</v>
      </c>
      <c r="G77" s="516">
        <f t="shared" si="2"/>
        <v>0</v>
      </c>
      <c r="H77" s="516" cm="1">
        <f t="array" ref="H77">IFERROR(INDEX($N$211:$N$610,MATCH(LARGE($M$211:$M$610+ROW($M$211:$M$610)/1000000,ROW()-72),$M$211:$M$610+ROW($M$211:$M$610)/1000000,0)),0)</f>
        <v>0</v>
      </c>
      <c r="I77" s="524" t="s">
        <v>1586</v>
      </c>
      <c r="J77" s="401">
        <v>0</v>
      </c>
      <c r="K77" s="401">
        <v>0</v>
      </c>
    </row>
    <row r="78" spans="1:22" outlineLevel="1" x14ac:dyDescent="0.25">
      <c r="A78" s="400">
        <v>6</v>
      </c>
      <c r="B78" cm="1">
        <f t="array" ref="B78">IFERROR(INDEX($A$211:$A$610,MATCH(LARGE($M$211:$M$610+ROW($M$211:$M$610)/1000000,ROW()-72),$M$211:$M$610+ROW($M$211:$M$610)/1000000,0)),"")</f>
        <v>0</v>
      </c>
      <c r="C78" cm="1">
        <f t="array" ref="C78">IFERROR(INDEX($B$211:$B$610,MATCH(LARGE($M$211:$M$610+ROW($M$211:$M$610)/1000000,ROW()-72),$M$211:$M$610+ROW($M$211:$M$610)/1000000,0)),"")</f>
        <v>0</v>
      </c>
      <c r="D78" cm="1">
        <f t="array" ref="D78">IFERROR(INDEX($F$211:$F$610,MATCH(LARGE($M$211:$M$610+ROW($M$211:$M$610)/1000000,ROW()-72),$M$211:$M$610+ROW($M$211:$M$610)/1000000,0)),"")</f>
        <v>0</v>
      </c>
      <c r="E78" cm="1">
        <f t="array" ref="E78">IFERROR(INDEX($C$211:$C$610,MATCH(LARGE($M$211:$M$610+ROW($M$211:$M$610)/1000000,ROW()-72),$M$211:$M$610+ROW($M$211:$M$610)/1000000,0)),"")</f>
        <v>0</v>
      </c>
      <c r="F78" cm="1">
        <f t="array" ref="F78">IFERROR(INDEX($S$211:$S$610,MATCH(LARGE($M$211:$M$610+ROW($M$211:$M$610)/1000000,ROW()-72),$M$211:$M$610+ROW($M$211:$M$610)/1000000,0)),"")</f>
        <v>0</v>
      </c>
      <c r="G78" s="516">
        <f t="shared" si="2"/>
        <v>0</v>
      </c>
      <c r="H78" s="516" cm="1">
        <f t="array" ref="H78">IFERROR(INDEX($N$211:$N$610,MATCH(LARGE($M$211:$M$610+ROW($M$211:$M$610)/1000000,ROW()-72),$M$211:$M$610+ROW($M$211:$M$610)/1000000,0)),0)</f>
        <v>0</v>
      </c>
      <c r="I78" s="524" t="s">
        <v>1586</v>
      </c>
      <c r="J78" s="401">
        <v>0</v>
      </c>
      <c r="K78" s="401">
        <v>0</v>
      </c>
    </row>
    <row r="79" spans="1:22" outlineLevel="1" x14ac:dyDescent="0.25">
      <c r="A79" s="400">
        <v>7</v>
      </c>
      <c r="B79" cm="1">
        <f t="array" ref="B79">IFERROR(INDEX($A$211:$A$610,MATCH(LARGE($M$211:$M$610+ROW($M$211:$M$610)/1000000,ROW()-72),$M$211:$M$610+ROW($M$211:$M$610)/1000000,0)),"")</f>
        <v>0</v>
      </c>
      <c r="C79" cm="1">
        <f t="array" ref="C79">IFERROR(INDEX($B$211:$B$610,MATCH(LARGE($M$211:$M$610+ROW($M$211:$M$610)/1000000,ROW()-72),$M$211:$M$610+ROW($M$211:$M$610)/1000000,0)),"")</f>
        <v>0</v>
      </c>
      <c r="D79" cm="1">
        <f t="array" ref="D79">IFERROR(INDEX($F$211:$F$610,MATCH(LARGE($M$211:$M$610+ROW($M$211:$M$610)/1000000,ROW()-72),$M$211:$M$610+ROW($M$211:$M$610)/1000000,0)),"")</f>
        <v>0</v>
      </c>
      <c r="E79" cm="1">
        <f t="array" ref="E79">IFERROR(INDEX($C$211:$C$610,MATCH(LARGE($M$211:$M$610+ROW($M$211:$M$610)/1000000,ROW()-72),$M$211:$M$610+ROW($M$211:$M$610)/1000000,0)),"")</f>
        <v>0</v>
      </c>
      <c r="F79" cm="1">
        <f t="array" ref="F79">IFERROR(INDEX($S$211:$S$610,MATCH(LARGE($M$211:$M$610+ROW($M$211:$M$610)/1000000,ROW()-72),$M$211:$M$610+ROW($M$211:$M$610)/1000000,0)),"")</f>
        <v>0</v>
      </c>
      <c r="G79" s="516">
        <f t="shared" si="2"/>
        <v>0</v>
      </c>
      <c r="H79" s="516" cm="1">
        <f t="array" ref="H79">IFERROR(INDEX($N$211:$N$610,MATCH(LARGE($M$211:$M$610+ROW($M$211:$M$610)/1000000,ROW()-72),$M$211:$M$610+ROW($M$211:$M$610)/1000000,0)),0)</f>
        <v>0</v>
      </c>
      <c r="I79" s="524" t="s">
        <v>1586</v>
      </c>
      <c r="J79" s="401">
        <v>0</v>
      </c>
      <c r="K79" s="401">
        <v>0</v>
      </c>
    </row>
    <row r="80" spans="1:22" outlineLevel="1" x14ac:dyDescent="0.25">
      <c r="A80" s="400">
        <v>8</v>
      </c>
      <c r="B80" cm="1">
        <f t="array" ref="B80">IFERROR(INDEX($A$211:$A$610,MATCH(LARGE($M$211:$M$610+ROW($M$211:$M$610)/1000000,ROW()-72),$M$211:$M$610+ROW($M$211:$M$610)/1000000,0)),"")</f>
        <v>0</v>
      </c>
      <c r="C80" cm="1">
        <f t="array" ref="C80">IFERROR(INDEX($B$211:$B$610,MATCH(LARGE($M$211:$M$610+ROW($M$211:$M$610)/1000000,ROW()-72),$M$211:$M$610+ROW($M$211:$M$610)/1000000,0)),"")</f>
        <v>0</v>
      </c>
      <c r="D80" cm="1">
        <f t="array" ref="D80">IFERROR(INDEX($F$211:$F$610,MATCH(LARGE($M$211:$M$610+ROW($M$211:$M$610)/1000000,ROW()-72),$M$211:$M$610+ROW($M$211:$M$610)/1000000,0)),"")</f>
        <v>0</v>
      </c>
      <c r="E80" cm="1">
        <f t="array" ref="E80">IFERROR(INDEX($C$211:$C$610,MATCH(LARGE($M$211:$M$610+ROW($M$211:$M$610)/1000000,ROW()-72),$M$211:$M$610+ROW($M$211:$M$610)/1000000,0)),"")</f>
        <v>0</v>
      </c>
      <c r="F80" cm="1">
        <f t="array" ref="F80">IFERROR(INDEX($S$211:$S$610,MATCH(LARGE($M$211:$M$610+ROW($M$211:$M$610)/1000000,ROW()-72),$M$211:$M$610+ROW($M$211:$M$610)/1000000,0)),"")</f>
        <v>0</v>
      </c>
      <c r="G80" s="516">
        <f t="shared" si="2"/>
        <v>0</v>
      </c>
      <c r="H80" s="516" cm="1">
        <f t="array" ref="H80">IFERROR(INDEX($N$211:$N$610,MATCH(LARGE($M$211:$M$610+ROW($M$211:$M$610)/1000000,ROW()-72),$M$211:$M$610+ROW($M$211:$M$610)/1000000,0)),0)</f>
        <v>0</v>
      </c>
      <c r="I80" s="524" t="s">
        <v>1586</v>
      </c>
      <c r="J80" s="401">
        <v>0</v>
      </c>
      <c r="K80" s="401">
        <v>0</v>
      </c>
    </row>
    <row r="81" spans="1:22" outlineLevel="1" x14ac:dyDescent="0.25">
      <c r="A81" s="400">
        <v>9</v>
      </c>
      <c r="B81" cm="1">
        <f t="array" ref="B81">IFERROR(INDEX($A$211:$A$610,MATCH(LARGE($M$211:$M$610+ROW($M$211:$M$610)/1000000,ROW()-72),$M$211:$M$610+ROW($M$211:$M$610)/1000000,0)),"")</f>
        <v>0</v>
      </c>
      <c r="C81" cm="1">
        <f t="array" ref="C81">IFERROR(INDEX($B$211:$B$610,MATCH(LARGE($M$211:$M$610+ROW($M$211:$M$610)/1000000,ROW()-72),$M$211:$M$610+ROW($M$211:$M$610)/1000000,0)),"")</f>
        <v>0</v>
      </c>
      <c r="D81" cm="1">
        <f t="array" ref="D81">IFERROR(INDEX($F$211:$F$610,MATCH(LARGE($M$211:$M$610+ROW($M$211:$M$610)/1000000,ROW()-72),$M$211:$M$610+ROW($M$211:$M$610)/1000000,0)),"")</f>
        <v>0</v>
      </c>
      <c r="E81" cm="1">
        <f t="array" ref="E81">IFERROR(INDEX($C$211:$C$610,MATCH(LARGE($M$211:$M$610+ROW($M$211:$M$610)/1000000,ROW()-72),$M$211:$M$610+ROW($M$211:$M$610)/1000000,0)),"")</f>
        <v>0</v>
      </c>
      <c r="F81" cm="1">
        <f t="array" ref="F81">IFERROR(INDEX($S$211:$S$610,MATCH(LARGE($M$211:$M$610+ROW($M$211:$M$610)/1000000,ROW()-72),$M$211:$M$610+ROW($M$211:$M$610)/1000000,0)),"")</f>
        <v>0</v>
      </c>
      <c r="G81" s="516">
        <f t="shared" si="2"/>
        <v>0</v>
      </c>
      <c r="H81" s="516" cm="1">
        <f t="array" ref="H81">IFERROR(INDEX($N$211:$N$610,MATCH(LARGE($M$211:$M$610+ROW($M$211:$M$610)/1000000,ROW()-72),$M$211:$M$610+ROW($M$211:$M$610)/1000000,0)),0)</f>
        <v>0</v>
      </c>
      <c r="I81" s="524" t="s">
        <v>1586</v>
      </c>
      <c r="J81" s="401">
        <v>0</v>
      </c>
      <c r="K81" s="401">
        <v>0</v>
      </c>
    </row>
    <row r="82" spans="1:22" outlineLevel="1" x14ac:dyDescent="0.25">
      <c r="A82" s="400">
        <v>10</v>
      </c>
      <c r="B82" cm="1">
        <f t="array" ref="B82">IFERROR(INDEX($A$211:$A$610,MATCH(LARGE($M$211:$M$610+ROW($M$211:$M$610)/1000000,ROW()-72),$M$211:$M$610+ROW($M$211:$M$610)/1000000,0)),"")</f>
        <v>0</v>
      </c>
      <c r="C82" cm="1">
        <f t="array" ref="C82">IFERROR(INDEX($B$211:$B$610,MATCH(LARGE($M$211:$M$610+ROW($M$211:$M$610)/1000000,ROW()-72),$M$211:$M$610+ROW($M$211:$M$610)/1000000,0)),"")</f>
        <v>0</v>
      </c>
      <c r="D82" cm="1">
        <f t="array" ref="D82">IFERROR(INDEX($F$211:$F$610,MATCH(LARGE($M$211:$M$610+ROW($M$211:$M$610)/1000000,ROW()-72),$M$211:$M$610+ROW($M$211:$M$610)/1000000,0)),"")</f>
        <v>0</v>
      </c>
      <c r="E82" cm="1">
        <f t="array" ref="E82">IFERROR(INDEX($C$211:$C$610,MATCH(LARGE($M$211:$M$610+ROW($M$211:$M$610)/1000000,ROW()-72),$M$211:$M$610+ROW($M$211:$M$610)/1000000,0)),"")</f>
        <v>0</v>
      </c>
      <c r="F82" cm="1">
        <f t="array" ref="F82">IFERROR(INDEX($S$211:$S$610,MATCH(LARGE($M$211:$M$610+ROW($M$211:$M$610)/1000000,ROW()-72),$M$211:$M$610+ROW($M$211:$M$610)/1000000,0)),"")</f>
        <v>0</v>
      </c>
      <c r="G82" s="516">
        <f t="shared" si="2"/>
        <v>0</v>
      </c>
      <c r="H82" s="516" cm="1">
        <f t="array" ref="H82">IFERROR(INDEX($N$211:$N$610,MATCH(LARGE($M$211:$M$610+ROW($M$211:$M$610)/1000000,ROW()-72),$M$211:$M$610+ROW($M$211:$M$610)/1000000,0)),0)</f>
        <v>0</v>
      </c>
      <c r="I82" s="524" t="s">
        <v>1586</v>
      </c>
      <c r="J82" s="401">
        <v>0</v>
      </c>
      <c r="K82" s="401">
        <v>0</v>
      </c>
    </row>
    <row r="83" spans="1:22" outlineLevel="1" x14ac:dyDescent="0.25">
      <c r="A83" s="400" t="s">
        <v>120</v>
      </c>
      <c r="G83" s="512">
        <f>SUM(G73:G82)</f>
        <v>0</v>
      </c>
      <c r="H83" s="421">
        <v>0</v>
      </c>
      <c r="I83" s="528">
        <v>0</v>
      </c>
      <c r="J83" s="421">
        <v>0</v>
      </c>
      <c r="K83" s="421">
        <v>0</v>
      </c>
    </row>
    <row r="84" spans="1:22" outlineLevel="1" x14ac:dyDescent="0.25">
      <c r="A84" s="396" t="s">
        <v>121</v>
      </c>
      <c r="G84" s="525">
        <f>IFERROR(G83/MAX(SUM($M$211:$M$610),1),0)</f>
        <v>0</v>
      </c>
      <c r="I84" s="525">
        <v>0</v>
      </c>
    </row>
    <row r="85" spans="1:22" outlineLevel="1" x14ac:dyDescent="0.25">
      <c r="A85" s="396" t="s">
        <v>122</v>
      </c>
      <c r="B85" s="422" cm="1">
        <f t="array" ref="B85">SUMPRODUCT((LEFT($T$211:$T$610,2)="✱✱")*1)</f>
        <v>0</v>
      </c>
      <c r="C85" s="396" t="s">
        <v>123</v>
      </c>
      <c r="D85" s="512">
        <f>SUMIFS($M$211:$M$610,$T$211:$T$610,"✱✱*")</f>
        <v>0</v>
      </c>
      <c r="F85" s="526">
        <f>IFERROR(D85/MAX(SUM($M$211:$M$610),1),0)</f>
        <v>0</v>
      </c>
      <c r="G85" s="423">
        <v>0</v>
      </c>
    </row>
    <row r="86" spans="1:22" outlineLevel="1" x14ac:dyDescent="0.25">
      <c r="A86" s="635"/>
      <c r="B86" s="635"/>
      <c r="C86" s="635"/>
      <c r="D86" s="635"/>
      <c r="E86" s="635"/>
      <c r="F86" s="635"/>
      <c r="G86" s="635"/>
      <c r="H86" s="635"/>
      <c r="I86" s="635"/>
      <c r="J86" s="635"/>
      <c r="K86" s="635"/>
      <c r="L86" s="635"/>
      <c r="M86" s="635"/>
      <c r="N86" s="635"/>
    </row>
    <row r="87" spans="1:22" ht="21.95" customHeight="1" x14ac:dyDescent="0.25">
      <c r="A87" s="818" t="s">
        <v>124</v>
      </c>
      <c r="B87" s="819"/>
      <c r="C87" s="819"/>
      <c r="D87" s="819"/>
      <c r="E87" s="819"/>
      <c r="F87" s="819"/>
      <c r="G87" s="819"/>
      <c r="H87" s="819"/>
      <c r="I87" s="819"/>
      <c r="J87" s="819"/>
      <c r="K87" s="819"/>
      <c r="L87" s="819"/>
      <c r="M87" s="819"/>
      <c r="N87" s="819"/>
      <c r="O87" s="817"/>
      <c r="P87" s="817"/>
      <c r="Q87" s="817"/>
      <c r="R87" s="817"/>
      <c r="S87" s="817"/>
      <c r="T87" s="817"/>
      <c r="U87" s="817"/>
      <c r="V87" s="817"/>
    </row>
    <row r="88" spans="1:22" outlineLevel="1" x14ac:dyDescent="0.25">
      <c r="A88" s="824" t="s">
        <v>125</v>
      </c>
      <c r="B88" s="817"/>
      <c r="C88" s="817"/>
      <c r="D88" s="817"/>
      <c r="E88" s="817"/>
      <c r="F88" s="817"/>
      <c r="G88" s="817"/>
      <c r="H88" s="817"/>
      <c r="I88" s="817"/>
      <c r="J88" s="817"/>
      <c r="K88" s="817"/>
      <c r="L88" s="817"/>
    </row>
    <row r="89" spans="1:22" outlineLevel="1" x14ac:dyDescent="0.25">
      <c r="A89" s="419" t="s">
        <v>126</v>
      </c>
      <c r="B89" s="420" t="s">
        <v>127</v>
      </c>
      <c r="C89" s="420" t="s">
        <v>128</v>
      </c>
      <c r="D89" s="420" t="s">
        <v>129</v>
      </c>
      <c r="E89" s="420" t="s">
        <v>130</v>
      </c>
    </row>
    <row r="90" spans="1:22" outlineLevel="1" x14ac:dyDescent="0.25">
      <c r="A90" s="400" t="s">
        <v>131</v>
      </c>
      <c r="B90" s="417" cm="1">
        <f t="array" aca="1" ref="B90" ca="1">SUMPRODUCT(($G$211:$G$610&gt;=TODAY()-30)*($G$211:$G$610&lt;&gt;""))</f>
        <v>0</v>
      </c>
      <c r="C90" s="516" cm="1">
        <f t="array" aca="1" ref="C90" ca="1">IFERROR(SUMPRODUCT(($G$211:$G$610&gt;=TODAY()-30)*($G$211:$G$610&lt;&gt;"")*$L$211:$L$610)/MAX(B90,1),0)</f>
        <v>0</v>
      </c>
      <c r="D90" s="417">
        <f ca="1">B90*(365/30)</f>
        <v>0</v>
      </c>
      <c r="E90" s="527">
        <f ca="1">IFERROR((COUNTIFS($E$211:$E$610,"Vacant")+COUNTIFS($E$211:$E$610,"Vacant - Available")+COUNTIFS($E$211:$E$610,"Vacant - Not Turned"))/MAX(D90,0.001)*12,0)</f>
        <v>0</v>
      </c>
    </row>
    <row r="91" spans="1:22" outlineLevel="1" x14ac:dyDescent="0.25">
      <c r="A91" s="400" t="s">
        <v>132</v>
      </c>
      <c r="B91" s="417" cm="1">
        <f t="array" aca="1" ref="B91" ca="1">SUMPRODUCT(($G$211:$G$610&gt;=TODAY()-60)*($G$211:$G$610&lt;&gt;""))</f>
        <v>0</v>
      </c>
      <c r="C91" s="516" cm="1">
        <f t="array" aca="1" ref="C91" ca="1">IFERROR(SUMPRODUCT(($G$211:$G$610&gt;=TODAY()-60)*($G$211:$G$610&lt;&gt;"")*$L$211:$L$610)/MAX(B91,1),0)</f>
        <v>0</v>
      </c>
      <c r="D91" s="417">
        <f ca="1">B91*(365/60)</f>
        <v>0</v>
      </c>
      <c r="E91" s="527">
        <f ca="1">IFERROR((COUNTIFS($E$211:$E$610,"Vacant")+COUNTIFS($E$211:$E$610,"Vacant - Available")+COUNTIFS($E$211:$E$610,"Vacant - Not Turned"))/MAX(D91,0.001)*12,0)</f>
        <v>0</v>
      </c>
    </row>
    <row r="92" spans="1:22" outlineLevel="1" x14ac:dyDescent="0.25">
      <c r="A92" s="400" t="s">
        <v>133</v>
      </c>
      <c r="B92" s="417" cm="1">
        <f t="array" aca="1" ref="B92" ca="1">SUMPRODUCT(($G$211:$G$610&gt;=TODAY()-90)*($G$211:$G$610&lt;&gt;""))</f>
        <v>0</v>
      </c>
      <c r="C92" s="516" cm="1">
        <f t="array" aca="1" ref="C92" ca="1">IFERROR(SUMPRODUCT(($G$211:$G$610&gt;=TODAY()-90)*($G$211:$G$610&lt;&gt;"")*$L$211:$L$610)/MAX(B92,1),0)</f>
        <v>0</v>
      </c>
      <c r="D92" s="417">
        <f ca="1">B92*(365/90)</f>
        <v>0</v>
      </c>
      <c r="E92" s="527">
        <f ca="1">IFERROR((COUNTIFS($E$211:$E$610,"Vacant")+COUNTIFS($E$211:$E$610,"Vacant - Available")+COUNTIFS($E$211:$E$610,"Vacant - Not Turned"))/MAX(D92,0.001)*12,0)</f>
        <v>0</v>
      </c>
    </row>
    <row r="93" spans="1:22" outlineLevel="1" x14ac:dyDescent="0.25">
      <c r="A93" s="400" t="s">
        <v>134</v>
      </c>
      <c r="B93" s="417" cm="1">
        <f t="array" aca="1" ref="B93" ca="1">SUMPRODUCT(($G$211:$G$610&gt;=TODAY()-180)*($G$211:$G$610&lt;&gt;""))</f>
        <v>0</v>
      </c>
      <c r="C93" s="516" cm="1">
        <f t="array" aca="1" ref="C93" ca="1">IFERROR(SUMPRODUCT(($G$211:$G$610&gt;=TODAY()-180)*($G$211:$G$610&lt;&gt;"")*$L$211:$L$610)/MAX(B93,1),0)</f>
        <v>0</v>
      </c>
      <c r="D93" s="417">
        <f ca="1">B93*(365/180)</f>
        <v>0</v>
      </c>
      <c r="E93" s="527">
        <f ca="1">IFERROR((COUNTIFS($E$211:$E$610,"Vacant")+COUNTIFS($E$211:$E$610,"Vacant - Available")+COUNTIFS($E$211:$E$610,"Vacant - Not Turned"))/MAX(D93,0.001)*12,0)</f>
        <v>0</v>
      </c>
    </row>
    <row r="94" spans="1:22" outlineLevel="1" x14ac:dyDescent="0.25"/>
    <row r="95" spans="1:22" outlineLevel="1" x14ac:dyDescent="0.25">
      <c r="A95" s="635"/>
      <c r="B95" s="635"/>
      <c r="C95" s="635"/>
      <c r="D95" s="635"/>
      <c r="E95" s="635"/>
      <c r="F95" s="635"/>
      <c r="G95" s="635"/>
      <c r="H95" s="635"/>
      <c r="I95" s="635"/>
      <c r="J95" s="635"/>
      <c r="K95" s="635"/>
      <c r="L95" s="635"/>
      <c r="M95" s="635"/>
      <c r="N95" s="635"/>
    </row>
    <row r="96" spans="1:22" ht="21.95" customHeight="1" x14ac:dyDescent="0.25">
      <c r="A96" s="820" t="s">
        <v>135</v>
      </c>
      <c r="B96" s="821"/>
      <c r="C96" s="821"/>
      <c r="D96" s="821"/>
      <c r="E96" s="821"/>
      <c r="F96" s="821"/>
      <c r="G96" s="821"/>
      <c r="H96" s="821"/>
      <c r="I96" s="821"/>
      <c r="J96" s="821"/>
      <c r="K96" s="821"/>
      <c r="L96" s="821"/>
      <c r="M96" s="821"/>
      <c r="N96" s="821"/>
      <c r="O96" s="817"/>
      <c r="P96" s="817"/>
      <c r="Q96" s="817"/>
      <c r="R96" s="817"/>
      <c r="S96" s="817"/>
      <c r="T96" s="817"/>
      <c r="U96" s="817"/>
      <c r="V96" s="817"/>
    </row>
    <row r="97" spans="1:22" outlineLevel="1" x14ac:dyDescent="0.25">
      <c r="A97" s="824" t="s">
        <v>136</v>
      </c>
      <c r="B97" s="817"/>
      <c r="C97" s="817"/>
      <c r="D97" s="817"/>
      <c r="E97" s="817"/>
      <c r="F97" s="817"/>
      <c r="G97" s="817"/>
      <c r="H97" s="817"/>
      <c r="I97" s="817"/>
      <c r="J97" s="817"/>
      <c r="K97" s="817"/>
      <c r="L97" s="817"/>
    </row>
    <row r="98" spans="1:22" outlineLevel="1" x14ac:dyDescent="0.25">
      <c r="A98" s="409" t="s">
        <v>116</v>
      </c>
      <c r="B98" s="410" t="s">
        <v>64</v>
      </c>
      <c r="C98" s="410" t="s">
        <v>65</v>
      </c>
      <c r="D98" s="410" t="s">
        <v>137</v>
      </c>
      <c r="E98" s="410" t="s">
        <v>138</v>
      </c>
      <c r="F98" s="410" t="s">
        <v>139</v>
      </c>
      <c r="G98" s="410" t="s">
        <v>140</v>
      </c>
      <c r="H98" s="410" t="s">
        <v>141</v>
      </c>
    </row>
    <row r="99" spans="1:22" outlineLevel="1" x14ac:dyDescent="0.25">
      <c r="A99" s="400" t="s">
        <v>142</v>
      </c>
      <c r="B99" s="417">
        <f>COUNTIF($S$211:$S$610,"Private Pay")</f>
        <v>0</v>
      </c>
      <c r="C99" s="522">
        <f t="shared" ref="C99:C104" si="3">IFERROR(B99/MAX(COUNTIF($E$211:$E$610,"Occupied")+COUNTIF($E$211:$E$610,"Notice"),1),0)</f>
        <v>0</v>
      </c>
      <c r="D99" s="516">
        <f>SUMIF($S$211:$S$610,"Private Pay",$L$211:$L$610)</f>
        <v>0</v>
      </c>
      <c r="E99" s="516">
        <f t="shared" ref="E99:E104" si="4">D99*12</f>
        <v>0</v>
      </c>
      <c r="F99" s="522">
        <f t="shared" ref="F99:F104" si="5">IFERROR(D99/MAX(SUM($L$211:$L$610),1),0)</f>
        <v>0</v>
      </c>
      <c r="G99" s="401">
        <v>0</v>
      </c>
      <c r="H99" s="394" t="s">
        <v>143</v>
      </c>
    </row>
    <row r="100" spans="1:22" outlineLevel="1" x14ac:dyDescent="0.25">
      <c r="A100" s="400" t="s">
        <v>144</v>
      </c>
      <c r="B100" s="417">
        <f>COUNTIF($S$211:$S$610,"Medicaid")</f>
        <v>0</v>
      </c>
      <c r="C100" s="522">
        <f t="shared" si="3"/>
        <v>0</v>
      </c>
      <c r="D100" s="516">
        <f>SUMIF($S$211:$S$610,"Medicaid",$L$211:$L$610)</f>
        <v>0</v>
      </c>
      <c r="E100" s="516">
        <f t="shared" si="4"/>
        <v>0</v>
      </c>
      <c r="F100" s="522">
        <f t="shared" si="5"/>
        <v>0</v>
      </c>
      <c r="G100" s="401">
        <v>0</v>
      </c>
      <c r="H100" s="394" t="s">
        <v>145</v>
      </c>
    </row>
    <row r="101" spans="1:22" outlineLevel="1" x14ac:dyDescent="0.25">
      <c r="A101" s="400" t="s">
        <v>146</v>
      </c>
      <c r="B101" s="417">
        <f>COUNTIF($S$211:$S$610,"Medicare")</f>
        <v>0</v>
      </c>
      <c r="C101" s="522">
        <f t="shared" si="3"/>
        <v>0</v>
      </c>
      <c r="D101" s="516">
        <f>SUMIF($S$211:$S$610,"Medicare",$L$211:$L$610)</f>
        <v>0</v>
      </c>
      <c r="E101" s="516">
        <f t="shared" si="4"/>
        <v>0</v>
      </c>
      <c r="F101" s="522">
        <f t="shared" si="5"/>
        <v>0</v>
      </c>
      <c r="G101" s="401">
        <v>0</v>
      </c>
      <c r="H101" s="394" t="s">
        <v>147</v>
      </c>
    </row>
    <row r="102" spans="1:22" outlineLevel="1" x14ac:dyDescent="0.25">
      <c r="A102" s="400" t="s">
        <v>148</v>
      </c>
      <c r="B102" s="417">
        <f>COUNTIF($S$211:$S$610,"VA*")</f>
        <v>0</v>
      </c>
      <c r="C102" s="522">
        <f t="shared" si="3"/>
        <v>0</v>
      </c>
      <c r="D102" s="516">
        <f>SUMIF($S$211:$S$610,"VA*",$L$211:$L$610)</f>
        <v>0</v>
      </c>
      <c r="E102" s="516">
        <f t="shared" si="4"/>
        <v>0</v>
      </c>
      <c r="F102" s="522">
        <f t="shared" si="5"/>
        <v>0</v>
      </c>
      <c r="G102" s="401">
        <v>0</v>
      </c>
      <c r="H102" s="394" t="s">
        <v>145</v>
      </c>
    </row>
    <row r="103" spans="1:22" outlineLevel="1" x14ac:dyDescent="0.25">
      <c r="A103" s="400" t="s">
        <v>149</v>
      </c>
      <c r="B103" s="417">
        <f>COUNTIF($S$211:$S$610,"LTC*")</f>
        <v>0</v>
      </c>
      <c r="C103" s="522">
        <f t="shared" si="3"/>
        <v>0</v>
      </c>
      <c r="D103" s="516">
        <f>SUMIF($S$211:$S$610,"LTC*",$L$211:$L$610)</f>
        <v>0</v>
      </c>
      <c r="E103" s="516">
        <f t="shared" si="4"/>
        <v>0</v>
      </c>
      <c r="F103" s="522">
        <f t="shared" si="5"/>
        <v>0</v>
      </c>
      <c r="G103" s="401">
        <v>0</v>
      </c>
      <c r="H103" s="394" t="s">
        <v>150</v>
      </c>
    </row>
    <row r="104" spans="1:22" outlineLevel="1" x14ac:dyDescent="0.25">
      <c r="A104" s="400" t="s">
        <v>151</v>
      </c>
      <c r="B104" s="417">
        <f>COUNTIFS($E$211:$E$610,"Occupied")+COUNTIFS($E$211:$E$610,"Notice")-SUM(B99:B103)</f>
        <v>0</v>
      </c>
      <c r="C104" s="522">
        <f t="shared" si="3"/>
        <v>0</v>
      </c>
      <c r="D104" s="516">
        <f>SUMIFS($L$211:$L$610,$E$211:$E$610,"Occupied")+SUMIFS($L$211:$L$610,$E$211:$E$610,"Notice")-SUM(D99:D103)</f>
        <v>0</v>
      </c>
      <c r="E104" s="516">
        <f t="shared" si="4"/>
        <v>0</v>
      </c>
      <c r="F104" s="522">
        <f t="shared" si="5"/>
        <v>0</v>
      </c>
      <c r="G104" s="401">
        <v>0</v>
      </c>
      <c r="H104" s="394"/>
    </row>
    <row r="105" spans="1:22" outlineLevel="1" x14ac:dyDescent="0.25">
      <c r="A105" s="411" t="s">
        <v>23</v>
      </c>
      <c r="B105" s="425">
        <f>SUM(B99:B104)</f>
        <v>0</v>
      </c>
      <c r="C105" s="523">
        <f>SUM(C99:C104)</f>
        <v>0</v>
      </c>
      <c r="D105" s="513">
        <f>SUM(D99:D104)</f>
        <v>0</v>
      </c>
      <c r="E105" s="513">
        <f>SUM(E99:E104)</f>
        <v>0</v>
      </c>
      <c r="F105" s="523">
        <f>SUM(F99:F104)</f>
        <v>0</v>
      </c>
      <c r="G105" s="418">
        <v>0</v>
      </c>
      <c r="H105" s="394"/>
    </row>
    <row r="106" spans="1:22" outlineLevel="1" x14ac:dyDescent="0.25"/>
    <row r="107" spans="1:22" outlineLevel="1" x14ac:dyDescent="0.25">
      <c r="A107" s="396" t="s">
        <v>152</v>
      </c>
      <c r="B107" s="525">
        <f>C99</f>
        <v>0</v>
      </c>
      <c r="D107" s="396" t="s">
        <v>153</v>
      </c>
      <c r="E107" s="525">
        <f>C100+C101+C102</f>
        <v>0</v>
      </c>
    </row>
    <row r="108" spans="1:22" outlineLevel="1" x14ac:dyDescent="0.25">
      <c r="A108" s="635"/>
      <c r="B108" s="635"/>
      <c r="C108" s="635"/>
      <c r="D108" s="635"/>
      <c r="E108" s="635"/>
      <c r="F108" s="635"/>
      <c r="G108" s="635"/>
      <c r="H108" s="635"/>
      <c r="I108" s="635"/>
      <c r="J108" s="635"/>
      <c r="K108" s="635"/>
      <c r="L108" s="635"/>
      <c r="M108" s="635"/>
      <c r="N108" s="635"/>
    </row>
    <row r="109" spans="1:22" ht="21.95" customHeight="1" x14ac:dyDescent="0.25">
      <c r="A109" s="818" t="s">
        <v>154</v>
      </c>
      <c r="B109" s="819"/>
      <c r="C109" s="819"/>
      <c r="D109" s="819"/>
      <c r="E109" s="819"/>
      <c r="F109" s="819"/>
      <c r="G109" s="819"/>
      <c r="H109" s="819"/>
      <c r="I109" s="819"/>
      <c r="J109" s="819"/>
      <c r="K109" s="819"/>
      <c r="L109" s="819"/>
      <c r="M109" s="819"/>
      <c r="N109" s="819"/>
      <c r="O109" s="817"/>
      <c r="P109" s="817"/>
      <c r="Q109" s="817"/>
      <c r="R109" s="817"/>
      <c r="S109" s="817"/>
      <c r="T109" s="817"/>
      <c r="U109" s="817"/>
      <c r="V109" s="817"/>
    </row>
    <row r="110" spans="1:22" outlineLevel="1" x14ac:dyDescent="0.25">
      <c r="A110" s="824" t="s">
        <v>155</v>
      </c>
      <c r="B110" s="817"/>
      <c r="C110" s="817"/>
      <c r="D110" s="817"/>
      <c r="E110" s="817"/>
      <c r="F110" s="817"/>
      <c r="G110" s="817"/>
      <c r="H110" s="817"/>
      <c r="I110" s="817"/>
      <c r="J110" s="817"/>
      <c r="K110" s="817"/>
      <c r="L110" s="817"/>
    </row>
    <row r="111" spans="1:22" outlineLevel="1" x14ac:dyDescent="0.25">
      <c r="A111" s="419" t="s">
        <v>12</v>
      </c>
      <c r="B111" s="420" t="s">
        <v>156</v>
      </c>
      <c r="C111" s="420" t="s">
        <v>66</v>
      </c>
      <c r="D111" s="420" t="s">
        <v>67</v>
      </c>
      <c r="E111" s="420" t="s">
        <v>157</v>
      </c>
      <c r="F111" s="420" t="s">
        <v>158</v>
      </c>
      <c r="G111" s="420" t="s">
        <v>159</v>
      </c>
      <c r="H111" s="420" t="s">
        <v>160</v>
      </c>
    </row>
    <row r="112" spans="1:22" outlineLevel="1" x14ac:dyDescent="0.25">
      <c r="A112" s="400" t="s">
        <v>20</v>
      </c>
      <c r="B112" s="417">
        <f>COUNTIFS($C$211:$C$610,"IL",$E$211:$E$610,"Occupied")+COUNTIFS($C$211:$C$610,"IL",$E$211:$E$610,"Notice")</f>
        <v>0</v>
      </c>
      <c r="C112" s="516">
        <f>IFERROR(SUMIFS($L$211:$L$610,$C$211:$C$610,"IL",$E$211:$E$610,"Occupied")/MAX(COUNTIFS($C$211:$C$610,"IL",$E$211:$E$610,"Occupied"),1),0)</f>
        <v>0</v>
      </c>
      <c r="D112" s="516">
        <f>IFERROR(SUMIFS($I$211:$I$610,$C$211:$C$610,"IL")/MAX(COUNTIF($C$211:$C$610,"IL"),1),0)</f>
        <v>0</v>
      </c>
      <c r="E112" s="516">
        <f>MAX(D112-C112,0)*B112</f>
        <v>0</v>
      </c>
      <c r="F112" s="522">
        <f>IFERROR((D112-C112)/MAX(D112,1),0)</f>
        <v>0</v>
      </c>
      <c r="G112" s="401">
        <v>0</v>
      </c>
      <c r="H112" s="394" t="s">
        <v>161</v>
      </c>
    </row>
    <row r="113" spans="1:22" outlineLevel="1" x14ac:dyDescent="0.25">
      <c r="A113" s="400" t="s">
        <v>21</v>
      </c>
      <c r="B113" s="417">
        <f>COUNTIFS($C$211:$C$610,"AL",$E$211:$E$610,"Occupied")+COUNTIFS($C$211:$C$610,"AL",$E$211:$E$610,"Notice")</f>
        <v>0</v>
      </c>
      <c r="C113" s="516">
        <f>IFERROR(SUMIFS($L$211:$L$610,$C$211:$C$610,"AL",$E$211:$E$610,"Occupied")/MAX(COUNTIFS($C$211:$C$610,"AL",$E$211:$E$610,"Occupied"),1),0)</f>
        <v>0</v>
      </c>
      <c r="D113" s="516">
        <f>IFERROR(SUMIFS($I$211:$I$610,$C$211:$C$610,"AL")/MAX(COUNTIF($C$211:$C$610,"AL"),1),0)</f>
        <v>0</v>
      </c>
      <c r="E113" s="516">
        <f>MAX(D113-C113,0)*B113</f>
        <v>0</v>
      </c>
      <c r="F113" s="522">
        <f>IFERROR((D113-C113)/MAX(D113,1),0)</f>
        <v>0</v>
      </c>
      <c r="G113" s="401">
        <v>0</v>
      </c>
      <c r="H113" s="394" t="s">
        <v>161</v>
      </c>
    </row>
    <row r="114" spans="1:22" outlineLevel="1" x14ac:dyDescent="0.25">
      <c r="A114" s="400" t="s">
        <v>22</v>
      </c>
      <c r="B114" s="417">
        <f>COUNTIFS($C$211:$C$610,"MC",$E$211:$E$610,"Occupied")+COUNTIFS($C$211:$C$610,"MC",$E$211:$E$610,"Notice")</f>
        <v>0</v>
      </c>
      <c r="C114" s="516">
        <f>IFERROR(SUMIFS($L$211:$L$610,$C$211:$C$610,"MC",$E$211:$E$610,"Occupied")/MAX(COUNTIFS($C$211:$C$610,"MC",$E$211:$E$610,"Occupied"),1),0)</f>
        <v>0</v>
      </c>
      <c r="D114" s="516">
        <f>IFERROR(SUMIFS($I$211:$I$610,$C$211:$C$610,"MC")/MAX(COUNTIF($C$211:$C$610,"MC"),1),0)</f>
        <v>0</v>
      </c>
      <c r="E114" s="516">
        <f>MAX(D114-C114,0)*B114</f>
        <v>0</v>
      </c>
      <c r="F114" s="522">
        <f>IFERROR((D114-C114)/MAX(D114,1),0)</f>
        <v>0</v>
      </c>
      <c r="G114" s="401">
        <v>0</v>
      </c>
      <c r="H114" s="394" t="s">
        <v>161</v>
      </c>
    </row>
    <row r="115" spans="1:22" outlineLevel="1" x14ac:dyDescent="0.25">
      <c r="A115" s="411" t="s">
        <v>23</v>
      </c>
      <c r="B115" s="425">
        <f>SUM(B112:B114)</f>
        <v>0</v>
      </c>
      <c r="C115" s="513">
        <f>IFERROR(SUMIFS($L$211:$L$610,$E$211:$E$610,"Occupied")/MAX(COUNTIFS($E$211:$E$610,"Occupied"),1),0)</f>
        <v>0</v>
      </c>
      <c r="D115" s="513">
        <f>IFERROR(SUM($I$211:$I$610)/MAX(COUNTA($B$211:$B$610),1),0)</f>
        <v>0</v>
      </c>
      <c r="E115" s="513">
        <f>SUM(E112:E114)</f>
        <v>0</v>
      </c>
      <c r="F115" s="523">
        <f>IFERROR((D115-C115)/MAX(D115,1),0)</f>
        <v>0</v>
      </c>
      <c r="G115" s="418">
        <v>0</v>
      </c>
      <c r="H115" s="394" t="s">
        <v>161</v>
      </c>
    </row>
    <row r="116" spans="1:22" outlineLevel="1" x14ac:dyDescent="0.25"/>
    <row r="117" spans="1:22" outlineLevel="1" x14ac:dyDescent="0.25">
      <c r="A117" s="635"/>
      <c r="B117" s="635"/>
      <c r="C117" s="635"/>
      <c r="D117" s="635"/>
      <c r="E117" s="635"/>
      <c r="F117" s="635"/>
      <c r="G117" s="635"/>
      <c r="H117" s="635"/>
      <c r="I117" s="635"/>
      <c r="J117" s="635"/>
      <c r="K117" s="635"/>
      <c r="L117" s="635"/>
      <c r="M117" s="635"/>
      <c r="N117" s="635"/>
    </row>
    <row r="118" spans="1:22" ht="21.95" customHeight="1" x14ac:dyDescent="0.25">
      <c r="A118" s="820" t="s">
        <v>162</v>
      </c>
      <c r="B118" s="821"/>
      <c r="C118" s="821"/>
      <c r="D118" s="821"/>
      <c r="E118" s="821"/>
      <c r="F118" s="821"/>
      <c r="G118" s="821"/>
      <c r="H118" s="821"/>
      <c r="I118" s="821"/>
      <c r="J118" s="821"/>
      <c r="K118" s="821"/>
      <c r="L118" s="821"/>
      <c r="M118" s="821"/>
      <c r="N118" s="821"/>
      <c r="O118" s="817"/>
      <c r="P118" s="817"/>
      <c r="Q118" s="817"/>
      <c r="R118" s="817"/>
      <c r="S118" s="817"/>
      <c r="T118" s="817"/>
      <c r="U118" s="817"/>
      <c r="V118" s="817"/>
    </row>
    <row r="119" spans="1:22" outlineLevel="1" x14ac:dyDescent="0.25">
      <c r="A119" s="419" t="s">
        <v>163</v>
      </c>
      <c r="B119" s="420" t="s">
        <v>64</v>
      </c>
      <c r="C119" s="420" t="s">
        <v>65</v>
      </c>
      <c r="D119" s="420" t="s">
        <v>164</v>
      </c>
      <c r="E119" s="420" t="s">
        <v>165</v>
      </c>
    </row>
    <row r="120" spans="1:22" outlineLevel="1" x14ac:dyDescent="0.25">
      <c r="A120" s="400" t="s">
        <v>166</v>
      </c>
      <c r="B120" s="417" cm="1">
        <f t="array" ref="B120">SUMPRODUCT(($E$211:$E$610="Occupied")*($J$211:$J$610&gt;$L$211:$L$610))</f>
        <v>0</v>
      </c>
      <c r="C120" s="522">
        <f>IFERROR(B120/MAX(COUNTIFS($E$211:$E$610,"Occupied"),1),0)</f>
        <v>0</v>
      </c>
      <c r="D120" s="516" t="e" cm="1">
        <f t="array" ref="D120">SUMPRODUCT(($E$211:$E$610="Occupied")*($J$211:$J$610&gt;$L$211:$L$610)*($J$211:$J$610-$L$211:$L$610))</f>
        <v>#VALUE!</v>
      </c>
      <c r="E120" s="516" t="e">
        <f>D120*12</f>
        <v>#VALUE!</v>
      </c>
    </row>
    <row r="121" spans="1:22" outlineLevel="1" x14ac:dyDescent="0.25">
      <c r="A121" s="400" t="s">
        <v>167</v>
      </c>
      <c r="B121" s="417" cm="1">
        <f t="array" ref="B121">SUMPRODUCT(($E$211:$E$610="Occupied")*($J$211:$J$610=$L$211:$L$610))</f>
        <v>0</v>
      </c>
      <c r="C121" s="522">
        <f>IFERROR(B121/MAX(COUNTIFS($E$211:$E$610,"Occupied"),1),0)</f>
        <v>0</v>
      </c>
      <c r="D121" s="516">
        <v>0</v>
      </c>
      <c r="E121" s="516">
        <v>0</v>
      </c>
    </row>
    <row r="122" spans="1:22" outlineLevel="1" x14ac:dyDescent="0.25">
      <c r="A122" s="400" t="s">
        <v>168</v>
      </c>
      <c r="B122" s="417" cm="1">
        <f t="array" ref="B122">SUMPRODUCT(($E$211:$E$610="Occupied")*($J$211:$J$610&lt;$L$211:$L$610))</f>
        <v>0</v>
      </c>
      <c r="C122" s="522">
        <f>IFERROR(B122/MAX(COUNTIFS($E$211:$E$610,"Occupied"),1),0)</f>
        <v>0</v>
      </c>
      <c r="D122" s="516" t="e" cm="1">
        <f t="array" ref="D122">-SUMPRODUCT(($E$211:$E$610="Occupied")*($J$211:$J$610&lt;$L$211:$L$610)*($L$211:$L$610-$J$211:$J$610))</f>
        <v>#VALUE!</v>
      </c>
      <c r="E122" s="516" t="e">
        <f>D122*12</f>
        <v>#VALUE!</v>
      </c>
    </row>
    <row r="123" spans="1:22" outlineLevel="1" x14ac:dyDescent="0.25">
      <c r="A123" s="396" t="s">
        <v>169</v>
      </c>
      <c r="B123" s="422">
        <f>B120+B121+B122</f>
        <v>0</v>
      </c>
      <c r="C123" s="525">
        <f>SUM(C120:C122)</f>
        <v>0</v>
      </c>
      <c r="D123" s="512">
        <f>SUMIFS($J$211:$J$610,$E$211:$E$610,"Occupied")-SUMIFS($L$211:$L$610,$E$211:$E$610,"Occupied")</f>
        <v>0</v>
      </c>
      <c r="E123" s="512">
        <f>D123*12</f>
        <v>0</v>
      </c>
      <c r="F123" s="398" t="str">
        <f>IF(ABS(D123)&lt;MAX(SUMIFS($L$211:$L$610,$E$211:$E$610,"Occupied"),1)*0.01,"🟢 minimal variance",IF(D123&lt;0,"🟡 net under-billing — investigate","🟢 net over-collection"))</f>
        <v>🟢 minimal variance</v>
      </c>
    </row>
    <row r="124" spans="1:22" outlineLevel="1" x14ac:dyDescent="0.25"/>
    <row r="125" spans="1:22" outlineLevel="1" x14ac:dyDescent="0.25">
      <c r="A125" s="635"/>
      <c r="B125" s="635"/>
      <c r="C125" s="635"/>
      <c r="D125" s="635"/>
      <c r="E125" s="635"/>
      <c r="F125" s="635"/>
      <c r="G125" s="635"/>
      <c r="H125" s="635"/>
      <c r="I125" s="635"/>
      <c r="J125" s="635"/>
      <c r="K125" s="635"/>
      <c r="L125" s="635"/>
      <c r="M125" s="635"/>
      <c r="N125" s="635"/>
    </row>
    <row r="126" spans="1:22" ht="21.95" customHeight="1" x14ac:dyDescent="0.25">
      <c r="A126" s="818" t="s">
        <v>170</v>
      </c>
      <c r="B126" s="819"/>
      <c r="C126" s="819"/>
      <c r="D126" s="819"/>
      <c r="E126" s="819"/>
      <c r="F126" s="819"/>
      <c r="G126" s="819"/>
      <c r="H126" s="819"/>
      <c r="I126" s="819"/>
      <c r="J126" s="819"/>
      <c r="K126" s="819"/>
      <c r="L126" s="819"/>
      <c r="M126" s="819"/>
      <c r="N126" s="819"/>
      <c r="O126" s="817"/>
      <c r="P126" s="817"/>
      <c r="Q126" s="817"/>
      <c r="R126" s="817"/>
      <c r="S126" s="817"/>
      <c r="T126" s="817"/>
      <c r="U126" s="817"/>
      <c r="V126" s="817"/>
    </row>
    <row r="127" spans="1:22" outlineLevel="1" x14ac:dyDescent="0.25">
      <c r="A127" s="419" t="s">
        <v>171</v>
      </c>
      <c r="B127" s="420" t="s">
        <v>64</v>
      </c>
      <c r="C127" s="420" t="s">
        <v>172</v>
      </c>
      <c r="D127" s="420" t="s">
        <v>173</v>
      </c>
      <c r="E127" s="420" t="s">
        <v>174</v>
      </c>
      <c r="F127" s="420" t="s">
        <v>175</v>
      </c>
    </row>
    <row r="128" spans="1:22" outlineLevel="1" x14ac:dyDescent="0.25">
      <c r="A128" s="400" t="s">
        <v>176</v>
      </c>
      <c r="B128" s="417" cm="1">
        <f t="array" ref="B128">SUMPRODUCT(($M$211:$M$610&gt;0)*($N$211:$N$610&gt;=$M$211:$M$610)*($E$211:$E$610&lt;&gt;"Vacant"))</f>
        <v>0</v>
      </c>
      <c r="C128" s="516" cm="1">
        <f t="array" ref="C128">SUMPRODUCT(($M$211:$M$610&gt;0)*($N$211:$N$610&gt;=$M$211:$M$610)*($E$211:$E$610&lt;&gt;"Vacant")*$M$211:$M$610)</f>
        <v>0</v>
      </c>
      <c r="D128" s="516" cm="1">
        <f t="array" ref="D128">SUMPRODUCT(($M$211:$M$610&gt;0)*($N$211:$N$610&gt;=$M$211:$M$610)*($E$211:$E$610&lt;&gt;"Vacant")*$N$211:$N$610)</f>
        <v>0</v>
      </c>
      <c r="E128" s="522">
        <f>IFERROR(D128/MAX(C128,1),0)</f>
        <v>0</v>
      </c>
      <c r="F128" s="516">
        <v>0</v>
      </c>
    </row>
    <row r="129" spans="1:22" outlineLevel="1" x14ac:dyDescent="0.25">
      <c r="A129" s="400" t="s">
        <v>177</v>
      </c>
      <c r="B129" s="417" cm="1">
        <f t="array" ref="B129">SUMPRODUCT(($M$211:$M$610&gt;0)*($N$211:$N$610&gt;0)*($N$211:$N$610&lt;$M$211:$M$610))</f>
        <v>0</v>
      </c>
      <c r="C129" s="516" cm="1">
        <f t="array" ref="C129">SUMPRODUCT(($M$211:$M$610&gt;0)*($N$211:$N$610&gt;0)*($N$211:$N$610&lt;$M$211:$M$610)*$M$211:$M$610)</f>
        <v>0</v>
      </c>
      <c r="D129" s="516" cm="1">
        <f t="array" ref="D129">SUMPRODUCT(($M$211:$M$610&gt;0)*($N$211:$N$610&gt;0)*($N$211:$N$610&lt;$M$211:$M$610)*$N$211:$N$610)</f>
        <v>0</v>
      </c>
      <c r="E129" s="522">
        <f>IFERROR(D129/MAX(C129,1),0)</f>
        <v>0</v>
      </c>
      <c r="F129" s="516">
        <f>C129-D129</f>
        <v>0</v>
      </c>
    </row>
    <row r="130" spans="1:22" outlineLevel="1" x14ac:dyDescent="0.25">
      <c r="A130" s="400" t="s">
        <v>178</v>
      </c>
      <c r="B130" s="417" cm="1">
        <f t="array" ref="B130">SUMPRODUCT(($M$211:$M$610&gt;0)*(IFERROR(($N$211:$N$610=0)+($N$211:$N$610=""),0)))</f>
        <v>0</v>
      </c>
      <c r="C130" s="516" cm="1">
        <f t="array" ref="C130">SUMPRODUCT(($M$211:$M$610&gt;0)*(IFERROR(($N$211:$N$610=0)+($N$211:$N$610=""),0))*$M$211:$M$610)</f>
        <v>0</v>
      </c>
      <c r="D130" s="516">
        <v>0</v>
      </c>
      <c r="E130" s="522">
        <v>0</v>
      </c>
      <c r="F130" s="516">
        <f>C130</f>
        <v>0</v>
      </c>
    </row>
    <row r="131" spans="1:22" outlineLevel="1" x14ac:dyDescent="0.25">
      <c r="A131" s="411" t="s">
        <v>179</v>
      </c>
      <c r="B131" s="425">
        <f>SUM(B128:B130)</f>
        <v>0</v>
      </c>
      <c r="C131" s="513">
        <f>SUM(C128:C130)</f>
        <v>0</v>
      </c>
      <c r="D131" s="513">
        <f>SUM(D128:D130)</f>
        <v>0</v>
      </c>
      <c r="E131" s="523">
        <f>IFERROR(D131/MAX(C131,1),0)</f>
        <v>0</v>
      </c>
      <c r="F131" s="513">
        <f>SUM(F128:F130)</f>
        <v>0</v>
      </c>
    </row>
    <row r="132" spans="1:22" outlineLevel="1" x14ac:dyDescent="0.25"/>
    <row r="133" spans="1:22" outlineLevel="1" x14ac:dyDescent="0.25">
      <c r="A133" s="635"/>
      <c r="B133" s="635"/>
      <c r="C133" s="635"/>
      <c r="D133" s="635"/>
      <c r="E133" s="635"/>
      <c r="F133" s="635"/>
      <c r="G133" s="635"/>
      <c r="H133" s="635"/>
      <c r="I133" s="635"/>
      <c r="J133" s="635"/>
      <c r="K133" s="635"/>
      <c r="L133" s="635"/>
      <c r="M133" s="635"/>
      <c r="N133" s="635"/>
    </row>
    <row r="134" spans="1:22" ht="21.95" customHeight="1" x14ac:dyDescent="0.25">
      <c r="A134" s="820" t="s">
        <v>180</v>
      </c>
      <c r="B134" s="821"/>
      <c r="C134" s="821"/>
      <c r="D134" s="821"/>
      <c r="E134" s="821"/>
      <c r="F134" s="821"/>
      <c r="G134" s="821"/>
      <c r="H134" s="821"/>
      <c r="I134" s="821"/>
      <c r="J134" s="821"/>
      <c r="K134" s="821"/>
      <c r="L134" s="821"/>
      <c r="M134" s="821"/>
      <c r="N134" s="821"/>
      <c r="O134" s="817"/>
      <c r="P134" s="817"/>
      <c r="Q134" s="817"/>
      <c r="R134" s="817"/>
      <c r="S134" s="817"/>
      <c r="T134" s="817"/>
      <c r="U134" s="817"/>
      <c r="V134" s="817"/>
    </row>
    <row r="135" spans="1:22" outlineLevel="1" x14ac:dyDescent="0.25">
      <c r="A135" s="824" t="s">
        <v>181</v>
      </c>
      <c r="B135" s="817"/>
      <c r="C135" s="817"/>
      <c r="D135" s="817"/>
      <c r="E135" s="817"/>
      <c r="F135" s="817"/>
      <c r="G135" s="817"/>
      <c r="H135" s="817"/>
      <c r="I135" s="817"/>
      <c r="J135" s="817"/>
      <c r="K135" s="817"/>
      <c r="L135" s="817"/>
    </row>
    <row r="136" spans="1:22" outlineLevel="1" x14ac:dyDescent="0.25">
      <c r="A136" s="419" t="s">
        <v>182</v>
      </c>
      <c r="B136" s="420" t="s">
        <v>64</v>
      </c>
      <c r="C136" s="420" t="s">
        <v>65</v>
      </c>
      <c r="D136" s="420" t="s">
        <v>183</v>
      </c>
    </row>
    <row r="137" spans="1:22" outlineLevel="1" x14ac:dyDescent="0.25">
      <c r="A137" s="400" t="s">
        <v>184</v>
      </c>
      <c r="B137" s="417" cm="1">
        <f t="array" ref="B137">SUMPRODUCT(($E$211:$E$610="Occupied")*(MONTH($G$211:$G$610)=1)*($G$211:$G$610&lt;&gt;""))</f>
        <v>0</v>
      </c>
      <c r="C137" s="522">
        <f t="shared" ref="C137:C148" si="6">IFERROR(B137/MAX(COUNTIF($E$211:$E$610,"Occupied"),1),0)</f>
        <v>0</v>
      </c>
      <c r="D137" t="str">
        <f t="shared" ref="D137:D148" si="7">REPT("█",ROUND(C137*100,0))</f>
        <v/>
      </c>
    </row>
    <row r="138" spans="1:22" outlineLevel="1" x14ac:dyDescent="0.25">
      <c r="A138" s="400" t="s">
        <v>185</v>
      </c>
      <c r="B138" s="417" cm="1">
        <f t="array" ref="B138">SUMPRODUCT(($E$211:$E$610="Occupied")*(MONTH($G$211:$G$610)=2)*($G$211:$G$610&lt;&gt;""))</f>
        <v>0</v>
      </c>
      <c r="C138" s="522">
        <f t="shared" si="6"/>
        <v>0</v>
      </c>
      <c r="D138" t="str">
        <f t="shared" si="7"/>
        <v/>
      </c>
    </row>
    <row r="139" spans="1:22" outlineLevel="1" x14ac:dyDescent="0.25">
      <c r="A139" s="400" t="s">
        <v>186</v>
      </c>
      <c r="B139" s="417" cm="1">
        <f t="array" ref="B139">SUMPRODUCT(($E$211:$E$610="Occupied")*(MONTH($G$211:$G$610)=3)*($G$211:$G$610&lt;&gt;""))</f>
        <v>0</v>
      </c>
      <c r="C139" s="522">
        <f t="shared" si="6"/>
        <v>0</v>
      </c>
      <c r="D139" t="str">
        <f t="shared" si="7"/>
        <v/>
      </c>
    </row>
    <row r="140" spans="1:22" outlineLevel="1" x14ac:dyDescent="0.25">
      <c r="A140" s="400" t="s">
        <v>187</v>
      </c>
      <c r="B140" s="417" cm="1">
        <f t="array" ref="B140">SUMPRODUCT(($E$211:$E$610="Occupied")*(MONTH($G$211:$G$610)=4)*($G$211:$G$610&lt;&gt;""))</f>
        <v>0</v>
      </c>
      <c r="C140" s="522">
        <f t="shared" si="6"/>
        <v>0</v>
      </c>
      <c r="D140" t="str">
        <f t="shared" si="7"/>
        <v/>
      </c>
    </row>
    <row r="141" spans="1:22" outlineLevel="1" x14ac:dyDescent="0.25">
      <c r="A141" s="400" t="s">
        <v>188</v>
      </c>
      <c r="B141" s="417" cm="1">
        <f t="array" ref="B141">SUMPRODUCT(($E$211:$E$610="Occupied")*(MONTH($G$211:$G$610)=5)*($G$211:$G$610&lt;&gt;""))</f>
        <v>0</v>
      </c>
      <c r="C141" s="522">
        <f t="shared" si="6"/>
        <v>0</v>
      </c>
      <c r="D141" t="str">
        <f t="shared" si="7"/>
        <v/>
      </c>
    </row>
    <row r="142" spans="1:22" outlineLevel="1" x14ac:dyDescent="0.25">
      <c r="A142" s="400" t="s">
        <v>189</v>
      </c>
      <c r="B142" s="417" cm="1">
        <f t="array" ref="B142">SUMPRODUCT(($E$211:$E$610="Occupied")*(MONTH($G$211:$G$610)=6)*($G$211:$G$610&lt;&gt;""))</f>
        <v>0</v>
      </c>
      <c r="C142" s="522">
        <f t="shared" si="6"/>
        <v>0</v>
      </c>
      <c r="D142" t="str">
        <f t="shared" si="7"/>
        <v/>
      </c>
    </row>
    <row r="143" spans="1:22" outlineLevel="1" x14ac:dyDescent="0.25">
      <c r="A143" s="400" t="s">
        <v>190</v>
      </c>
      <c r="B143" s="417" cm="1">
        <f t="array" ref="B143">SUMPRODUCT(($E$211:$E$610="Occupied")*(MONTH($G$211:$G$610)=7)*($G$211:$G$610&lt;&gt;""))</f>
        <v>0</v>
      </c>
      <c r="C143" s="522">
        <f t="shared" si="6"/>
        <v>0</v>
      </c>
      <c r="D143" t="str">
        <f t="shared" si="7"/>
        <v/>
      </c>
    </row>
    <row r="144" spans="1:22" outlineLevel="1" x14ac:dyDescent="0.25">
      <c r="A144" s="400" t="s">
        <v>191</v>
      </c>
      <c r="B144" s="417" cm="1">
        <f t="array" ref="B144">SUMPRODUCT(($E$211:$E$610="Occupied")*(MONTH($G$211:$G$610)=8)*($G$211:$G$610&lt;&gt;""))</f>
        <v>0</v>
      </c>
      <c r="C144" s="522">
        <f t="shared" si="6"/>
        <v>0</v>
      </c>
      <c r="D144" t="str">
        <f t="shared" si="7"/>
        <v/>
      </c>
    </row>
    <row r="145" spans="1:22" outlineLevel="1" x14ac:dyDescent="0.25">
      <c r="A145" s="400" t="s">
        <v>192</v>
      </c>
      <c r="B145" s="417" cm="1">
        <f t="array" ref="B145">SUMPRODUCT(($E$211:$E$610="Occupied")*(MONTH($G$211:$G$610)=9)*($G$211:$G$610&lt;&gt;""))</f>
        <v>0</v>
      </c>
      <c r="C145" s="522">
        <f t="shared" si="6"/>
        <v>0</v>
      </c>
      <c r="D145" t="str">
        <f t="shared" si="7"/>
        <v/>
      </c>
    </row>
    <row r="146" spans="1:22" outlineLevel="1" x14ac:dyDescent="0.25">
      <c r="A146" s="400" t="s">
        <v>193</v>
      </c>
      <c r="B146" s="417" cm="1">
        <f t="array" ref="B146">SUMPRODUCT(($E$211:$E$610="Occupied")*(MONTH($G$211:$G$610)=10)*($G$211:$G$610&lt;&gt;""))</f>
        <v>0</v>
      </c>
      <c r="C146" s="522">
        <f t="shared" si="6"/>
        <v>0</v>
      </c>
      <c r="D146" t="str">
        <f t="shared" si="7"/>
        <v/>
      </c>
    </row>
    <row r="147" spans="1:22" outlineLevel="1" x14ac:dyDescent="0.25">
      <c r="A147" s="400" t="s">
        <v>194</v>
      </c>
      <c r="B147" s="417" cm="1">
        <f t="array" ref="B147">SUMPRODUCT(($E$211:$E$610="Occupied")*(MONTH($G$211:$G$610)=11)*($G$211:$G$610&lt;&gt;""))</f>
        <v>0</v>
      </c>
      <c r="C147" s="522">
        <f t="shared" si="6"/>
        <v>0</v>
      </c>
      <c r="D147" t="str">
        <f t="shared" si="7"/>
        <v/>
      </c>
    </row>
    <row r="148" spans="1:22" outlineLevel="1" x14ac:dyDescent="0.25">
      <c r="A148" s="400" t="s">
        <v>195</v>
      </c>
      <c r="B148" s="417" cm="1">
        <f t="array" ref="B148">SUMPRODUCT(($E$211:$E$610="Occupied")*(MONTH($G$211:$G$610)=12)*($G$211:$G$610&lt;&gt;""))</f>
        <v>0</v>
      </c>
      <c r="C148" s="522">
        <f t="shared" si="6"/>
        <v>0</v>
      </c>
      <c r="D148" t="str">
        <f t="shared" si="7"/>
        <v/>
      </c>
    </row>
    <row r="149" spans="1:22" outlineLevel="1" x14ac:dyDescent="0.25"/>
    <row r="150" spans="1:22" outlineLevel="1" x14ac:dyDescent="0.25">
      <c r="A150" s="396" t="s">
        <v>196</v>
      </c>
      <c r="B150" s="404" t="str" cm="1">
        <f t="array" ref="B150">INDEX({"Jan";"Feb";"Mar";"Apr";"May";"Jun";"Jul";"Aug";"Sep";"Oct";"Nov";"Dec"},MATCH(MAX(B137:B148),B137:B148,0))</f>
        <v>Jan</v>
      </c>
    </row>
    <row r="151" spans="1:22" outlineLevel="1" x14ac:dyDescent="0.25">
      <c r="A151" s="396" t="s">
        <v>198</v>
      </c>
      <c r="B151" s="522">
        <f>IFERROR((B146+B147+B148)/MAX(SUM(B137:B148),1),0)</f>
        <v>0</v>
      </c>
    </row>
    <row r="152" spans="1:22" outlineLevel="1" x14ac:dyDescent="0.25">
      <c r="A152" s="635"/>
      <c r="B152" s="635"/>
      <c r="C152" s="635"/>
      <c r="D152" s="635"/>
      <c r="E152" s="635"/>
      <c r="F152" s="635"/>
      <c r="G152" s="635"/>
      <c r="H152" s="635"/>
      <c r="I152" s="635"/>
      <c r="J152" s="635"/>
      <c r="K152" s="635"/>
      <c r="L152" s="635"/>
      <c r="M152" s="635"/>
      <c r="N152" s="635"/>
    </row>
    <row r="153" spans="1:22" ht="21.95" customHeight="1" x14ac:dyDescent="0.25">
      <c r="A153" s="818" t="s">
        <v>199</v>
      </c>
      <c r="B153" s="819"/>
      <c r="C153" s="819"/>
      <c r="D153" s="819"/>
      <c r="E153" s="819"/>
      <c r="F153" s="819"/>
      <c r="G153" s="819"/>
      <c r="H153" s="819"/>
      <c r="I153" s="819"/>
      <c r="J153" s="819"/>
      <c r="K153" s="819"/>
      <c r="L153" s="819"/>
      <c r="M153" s="819"/>
      <c r="N153" s="819"/>
      <c r="O153" s="817"/>
      <c r="P153" s="817"/>
      <c r="Q153" s="817"/>
      <c r="R153" s="817"/>
      <c r="S153" s="817"/>
      <c r="T153" s="817"/>
      <c r="U153" s="817"/>
      <c r="V153" s="817"/>
    </row>
    <row r="154" spans="1:22" outlineLevel="1" x14ac:dyDescent="0.25">
      <c r="A154" s="824" t="s">
        <v>200</v>
      </c>
      <c r="B154" s="817"/>
      <c r="C154" s="817"/>
      <c r="D154" s="817"/>
      <c r="E154" s="817"/>
      <c r="F154" s="817"/>
      <c r="G154" s="817"/>
      <c r="H154" s="817"/>
      <c r="I154" s="817"/>
      <c r="J154" s="817"/>
      <c r="K154" s="817"/>
      <c r="L154" s="817"/>
    </row>
    <row r="155" spans="1:22" outlineLevel="1" x14ac:dyDescent="0.25">
      <c r="A155" s="419" t="s">
        <v>201</v>
      </c>
      <c r="B155" s="420" t="s">
        <v>202</v>
      </c>
      <c r="C155" s="420" t="s">
        <v>203</v>
      </c>
    </row>
    <row r="156" spans="1:22" outlineLevel="1" x14ac:dyDescent="0.25">
      <c r="A156" s="400" t="s">
        <v>204</v>
      </c>
      <c r="B156" s="404" cm="1">
        <f t="array" aca="1" ref="B156" ca="1">COUNTIF($E$211:$E$610,"Reserved")+COUNTIF($E$211:$E$610,"Pre-Admit*")+SUMPRODUCT(($G$211:$G$610&gt;TODAY())*($G$211:$G$610&lt;&gt;""))</f>
        <v>0</v>
      </c>
      <c r="C156" s="394" t="s">
        <v>205</v>
      </c>
    </row>
    <row r="157" spans="1:22" outlineLevel="1" x14ac:dyDescent="0.25">
      <c r="A157" s="400" t="s">
        <v>206</v>
      </c>
      <c r="B157" s="404" cm="1">
        <f t="array" aca="1" ref="B157" ca="1">SUMPRODUCT(($E$211:$E$610="Vacant")*($G$211:$G$610&gt;TODAY())*($G$211:$G$610&lt;&gt;""))+SUMPRODUCT(($E$211:$E$610="Reserved")*1)</f>
        <v>0</v>
      </c>
      <c r="C157" s="394" t="s">
        <v>207</v>
      </c>
    </row>
    <row r="158" spans="1:22" outlineLevel="1" x14ac:dyDescent="0.25">
      <c r="A158" s="400" t="s">
        <v>208</v>
      </c>
      <c r="B158" s="516" t="e" cm="1">
        <f t="array" aca="1" ref="B158" ca="1">(SUMIFS($L$211:$L$610,$E$211:$E$610,"Reserved")+SUMIFS($L$211:$L$610,$E$211:$E$610,"Pre-Admit*")+SUMPRODUCT(($G$211:$G$610&gt;TODAY())*($G$211:$G$610&lt;&gt;"")*$L$211:$L$610))*12</f>
        <v>#VALUE!</v>
      </c>
      <c r="C158" s="394" t="s">
        <v>209</v>
      </c>
    </row>
    <row r="159" spans="1:22" outlineLevel="1" x14ac:dyDescent="0.25">
      <c r="A159" s="400" t="s">
        <v>210</v>
      </c>
      <c r="B159" s="404" cm="1">
        <f t="array" aca="1" ref="B159" ca="1">IFERROR(MIN(IF(($G$211:$G$610&gt;TODAY())*($G$211:$G$610&lt;&gt;""),$G$211:$G$610-TODAY())),"none")</f>
        <v>0</v>
      </c>
      <c r="C159" s="394" t="s">
        <v>211</v>
      </c>
    </row>
    <row r="160" spans="1:22" outlineLevel="1" x14ac:dyDescent="0.25">
      <c r="A160" s="400" t="s">
        <v>212</v>
      </c>
      <c r="B160" s="404" t="str">
        <f ca="1">IFERROR(AVERAGEIFS($G$211:$G$610,$G$211:$G$610,"&gt;"&amp;TODAY())-TODAY(),"none")</f>
        <v>none</v>
      </c>
      <c r="C160" s="394" t="s">
        <v>213</v>
      </c>
    </row>
    <row r="161" spans="1:26" outlineLevel="1" x14ac:dyDescent="0.25"/>
    <row r="162" spans="1:26" outlineLevel="1" x14ac:dyDescent="0.25">
      <c r="A162" s="635"/>
      <c r="B162" s="635"/>
      <c r="C162" s="635"/>
      <c r="D162" s="635"/>
      <c r="E162" s="635"/>
      <c r="F162" s="635"/>
      <c r="G162" s="635"/>
      <c r="H162" s="635"/>
      <c r="I162" s="635"/>
      <c r="J162" s="635"/>
      <c r="K162" s="635"/>
      <c r="L162" s="635"/>
      <c r="M162" s="635"/>
      <c r="N162" s="635"/>
    </row>
    <row r="163" spans="1:26" ht="21.95" customHeight="1" x14ac:dyDescent="0.25">
      <c r="A163" s="820" t="s">
        <v>214</v>
      </c>
      <c r="B163" s="821"/>
      <c r="C163" s="821"/>
      <c r="D163" s="821"/>
      <c r="E163" s="821"/>
      <c r="F163" s="821"/>
      <c r="G163" s="821"/>
      <c r="H163" s="821"/>
      <c r="I163" s="821"/>
      <c r="J163" s="821"/>
      <c r="K163" s="821"/>
      <c r="L163" s="821"/>
      <c r="M163" s="821"/>
      <c r="N163" s="821"/>
      <c r="O163" s="817"/>
      <c r="P163" s="817"/>
      <c r="Q163" s="817"/>
      <c r="R163" s="817"/>
      <c r="S163" s="817"/>
      <c r="T163" s="817"/>
      <c r="U163" s="817"/>
      <c r="V163" s="817"/>
    </row>
    <row r="164" spans="1:26" outlineLevel="1" x14ac:dyDescent="0.25">
      <c r="A164" s="824" t="s">
        <v>215</v>
      </c>
      <c r="B164" s="817"/>
      <c r="C164" s="817"/>
      <c r="D164" s="817"/>
      <c r="E164" s="817"/>
      <c r="F164" s="817"/>
      <c r="G164" s="817"/>
      <c r="H164" s="817"/>
      <c r="I164" s="817"/>
      <c r="J164" s="817"/>
      <c r="K164" s="817"/>
      <c r="L164" s="817"/>
    </row>
    <row r="165" spans="1:26" outlineLevel="1" x14ac:dyDescent="0.25">
      <c r="A165" s="419" t="s">
        <v>216</v>
      </c>
      <c r="B165" s="420" t="s">
        <v>217</v>
      </c>
      <c r="C165" s="420" t="s">
        <v>218</v>
      </c>
      <c r="D165" s="420" t="s">
        <v>219</v>
      </c>
      <c r="E165" s="420" t="s">
        <v>220</v>
      </c>
      <c r="F165" s="420" t="s">
        <v>221</v>
      </c>
      <c r="G165" s="420" t="s">
        <v>30</v>
      </c>
      <c r="H165" s="420" t="s">
        <v>69</v>
      </c>
    </row>
    <row r="166" spans="1:26" outlineLevel="1" x14ac:dyDescent="0.25">
      <c r="A166" s="400" t="s">
        <v>222</v>
      </c>
      <c r="B166" s="417" cm="1">
        <f t="array" ref="B166">SUMPRODUCT(($C$211:$C$610="IL")*1)</f>
        <v>0</v>
      </c>
      <c r="C166" s="417">
        <f>COUNTIFS($C$211:$C$610,"IL",$E$211:$E$610,"Occupied")+COUNTIFS($C$211:$C$610,"IL",$E$211:$E$610,"Notice")</f>
        <v>0</v>
      </c>
      <c r="D166" s="417">
        <f>B166-C166</f>
        <v>0</v>
      </c>
      <c r="E166" s="522">
        <f>IFERROR(D166/MAX(B166,1),0)</f>
        <v>0</v>
      </c>
      <c r="F166" s="401" t="str">
        <f>IF(E166&gt;0.5,"⚠ &gt;50% vacant — flag",IF(E166&gt;0.3,"🟡 elevated","🟢 within norm"))</f>
        <v>🟢 within norm</v>
      </c>
      <c r="G166" s="401">
        <v>0</v>
      </c>
      <c r="H166" s="406" t="s">
        <v>223</v>
      </c>
    </row>
    <row r="167" spans="1:26" outlineLevel="1" x14ac:dyDescent="0.25">
      <c r="A167" s="400" t="s">
        <v>224</v>
      </c>
      <c r="B167" s="417" cm="1">
        <f t="array" ref="B167">SUMPRODUCT(($C$211:$C$610="AL")*1)</f>
        <v>0</v>
      </c>
      <c r="C167" s="417">
        <f>COUNTIFS($C$211:$C$610,"AL",$E$211:$E$610,"Occupied")+COUNTIFS($C$211:$C$610,"AL",$E$211:$E$610,"Notice")</f>
        <v>0</v>
      </c>
      <c r="D167" s="417">
        <f>B167-C167</f>
        <v>0</v>
      </c>
      <c r="E167" s="522">
        <f>IFERROR(D167/MAX(B167,1),0)</f>
        <v>0</v>
      </c>
      <c r="F167" s="401" t="str">
        <f>IF(E167&gt;0.5,"⚠ &gt;50% vacant — flag",IF(E167&gt;0.3,"🟡 elevated","🟢 within norm"))</f>
        <v>🟢 within norm</v>
      </c>
      <c r="G167" s="401">
        <v>0</v>
      </c>
      <c r="H167" s="406" t="s">
        <v>223</v>
      </c>
    </row>
    <row r="168" spans="1:26" outlineLevel="1" x14ac:dyDescent="0.25">
      <c r="A168" s="400" t="s">
        <v>225</v>
      </c>
      <c r="B168" s="417" cm="1">
        <f t="array" ref="B168">SUMPRODUCT(($C$211:$C$610="MC")*1)</f>
        <v>0</v>
      </c>
      <c r="C168" s="417">
        <f>COUNTIFS($C$211:$C$610,"MC",$E$211:$E$610,"Occupied")+COUNTIFS($C$211:$C$610,"MC",$E$211:$E$610,"Notice")</f>
        <v>0</v>
      </c>
      <c r="D168" s="417">
        <f>B168-C168</f>
        <v>0</v>
      </c>
      <c r="E168" s="522">
        <f>IFERROR(D168/MAX(B168,1),0)</f>
        <v>0</v>
      </c>
      <c r="F168" s="401" t="str">
        <f>IF(E168&gt;0.5,"⚠ &gt;50% vacant — flag",IF(E168&gt;0.3,"🟡 elevated","🟢 within norm"))</f>
        <v>🟢 within norm</v>
      </c>
      <c r="G168" s="401">
        <v>0</v>
      </c>
      <c r="H168" s="406" t="s">
        <v>223</v>
      </c>
    </row>
    <row r="169" spans="1:26" outlineLevel="1" x14ac:dyDescent="0.25">
      <c r="A169" s="641" t="s">
        <v>23</v>
      </c>
      <c r="B169" s="642">
        <f>SUM(B166:B168)</f>
        <v>0</v>
      </c>
      <c r="C169" s="642">
        <f>SUM(C166:C168)</f>
        <v>0</v>
      </c>
      <c r="D169" s="642">
        <f>SUM(D166:D168)</f>
        <v>0</v>
      </c>
      <c r="E169" s="643">
        <f>IFERROR(D169/MAX(B169,1),0)</f>
        <v>0</v>
      </c>
      <c r="F169" s="644">
        <v>0</v>
      </c>
      <c r="G169" s="644">
        <v>0</v>
      </c>
      <c r="H169" s="645" t="s">
        <v>223</v>
      </c>
      <c r="I169" s="635"/>
      <c r="J169" s="635"/>
      <c r="K169" s="635"/>
      <c r="L169" s="635"/>
      <c r="M169" s="635"/>
      <c r="N169" s="635"/>
    </row>
    <row r="170" spans="1:26" ht="21.95" customHeight="1" x14ac:dyDescent="0.25">
      <c r="A170" s="633" t="s">
        <v>1434</v>
      </c>
      <c r="B170" s="634"/>
      <c r="C170" s="634"/>
      <c r="D170" s="634"/>
      <c r="E170" s="634"/>
      <c r="F170" s="634"/>
      <c r="G170" s="634"/>
      <c r="H170" s="634"/>
      <c r="I170" s="634"/>
      <c r="J170" s="634"/>
      <c r="K170" s="634"/>
      <c r="L170" s="634"/>
      <c r="M170" s="634"/>
      <c r="N170" s="634"/>
    </row>
    <row r="171" spans="1:26" outlineLevel="1" x14ac:dyDescent="0.25">
      <c r="A171" s="400" t="s">
        <v>1435</v>
      </c>
    </row>
    <row r="172" spans="1:26" outlineLevel="1" x14ac:dyDescent="0.25">
      <c r="A172" s="530" t="s">
        <v>12</v>
      </c>
      <c r="B172" s="530" t="s">
        <v>958</v>
      </c>
      <c r="C172" s="530" t="s">
        <v>156</v>
      </c>
      <c r="D172" s="530" t="s">
        <v>1430</v>
      </c>
      <c r="E172" s="530" t="s">
        <v>1431</v>
      </c>
      <c r="F172" s="530" t="s">
        <v>1432</v>
      </c>
      <c r="G172" s="530" t="s">
        <v>1433</v>
      </c>
      <c r="H172" s="530" t="s">
        <v>1436</v>
      </c>
      <c r="I172" s="530" t="s">
        <v>1428</v>
      </c>
      <c r="J172" s="530" t="s">
        <v>1439</v>
      </c>
      <c r="K172" s="530" t="s">
        <v>1440</v>
      </c>
      <c r="L172" s="530" t="s">
        <v>1441</v>
      </c>
      <c r="M172" s="530" t="s">
        <v>1442</v>
      </c>
      <c r="N172" s="530" t="s">
        <v>217</v>
      </c>
      <c r="O172" s="530" t="s">
        <v>1445</v>
      </c>
      <c r="P172" s="530" t="s">
        <v>1446</v>
      </c>
      <c r="Q172" s="530" t="s">
        <v>1447</v>
      </c>
      <c r="Z172" t="s">
        <v>1438</v>
      </c>
    </row>
    <row r="173" spans="1:26" outlineLevel="1" x14ac:dyDescent="0.25">
      <c r="A173" t="e" cm="1">
        <f t="array" ref="A173">_xlfn.TEXTBEFORE(_xlfn.ANCHORARRAY(Z173),"|")</f>
        <v>#N/A</v>
      </c>
      <c r="B173" t="e" cm="1">
        <f t="array" ref="B173">_xlfn.TEXTAFTER(_xlfn.ANCHORARRAY(Z173),"|")</f>
        <v>#N/A</v>
      </c>
      <c r="C173" s="547" cm="1">
        <f t="array" ref="C173">IF(Z173="",0,COUNTIFS($X$211:$X$610,_xlfn.ANCHORARRAY(Z173)))</f>
        <v>0</v>
      </c>
      <c r="D173" s="547" t="str" cm="1">
        <f t="array" ref="D173">IFERROR(_xlfn.XLOOKUP(_xlfn.ANCHORARRAY(B173),{"Studio";"1 Bedroom";"2 Bedroom";"3 Bedroom";"Suite";"Cottage"},{450;700;1000;1300;350;900},""),"")</f>
        <v/>
      </c>
      <c r="E173" s="468" cm="1">
        <f t="array" ref="E173">_xlfn.MINIFS($L$211:$L$610,$X$211:$X$610,_xlfn.ANCHORARRAY(Z173))</f>
        <v>0</v>
      </c>
      <c r="F173" s="468" cm="1">
        <f t="array" ref="F173">IFERROR(AVERAGEIFS($L$211:$L$610,$X$211:$X$610,_xlfn.ANCHORARRAY(Z173)),0)</f>
        <v>0</v>
      </c>
      <c r="G173" s="468" cm="1">
        <f t="array" ref="G173">_xlfn.MAXIFS($L$211:$L$610,$X$211:$X$610,_xlfn.ANCHORARRAY(Z173))</f>
        <v>0</v>
      </c>
      <c r="H173" s="468" cm="1">
        <f t="array" ref="H173">_xlfn.ANCHORARRAY(G173)-_xlfn.ANCHORARRAY(E173)</f>
        <v>0</v>
      </c>
      <c r="I173" s="546" cm="1">
        <f t="array" ref="I173">IFERROR(_xlfn.ANCHORARRAY(F173)/_xlfn.ANCHORARRAY(D173),0)</f>
        <v>0</v>
      </c>
      <c r="J173" s="468" cm="1">
        <f t="array" ref="J173">SUMIFS($L$211:$L$610,$X$211:$X$610,_xlfn.ANCHORARRAY(Z173))</f>
        <v>0</v>
      </c>
      <c r="K173" s="468" cm="1">
        <f t="array" ref="K173">_xlfn.ANCHORARRAY(G173)*_xlfn.ANCHORARRAY(C173)</f>
        <v>0</v>
      </c>
      <c r="L173" s="468" cm="1">
        <f t="array" ref="L173">_xlfn.ANCHORARRAY(K173)-_xlfn.ANCHORARRAY(J173)</f>
        <v>0</v>
      </c>
      <c r="M173" s="495" cm="1">
        <f t="array" ref="M173">IFERROR(_xlfn.ANCHORARRAY(L173)/_xlfn.ANCHORARRAY(J173),0)</f>
        <v>0</v>
      </c>
      <c r="N173" s="545" cm="1">
        <f t="array" ref="N173">IF(Z173="",0,COUNTIFS($Y$211:$Y$610,_xlfn.ANCHORARRAY(Z173)))</f>
        <v>0</v>
      </c>
      <c r="O173" s="468" cm="1">
        <f t="array" ref="O173">_xlfn.ANCHORARRAY(G173)*_xlfn.ANCHORARRAY(N173)</f>
        <v>0</v>
      </c>
      <c r="P173" s="468" cm="1">
        <f t="array" ref="P173">_xlfn.ANCHORARRAY(O173)-_xlfn.ANCHORARRAY(J173)</f>
        <v>0</v>
      </c>
      <c r="Q173" s="495" cm="1">
        <f t="array" ref="Q173">IFERROR(_xlfn.ANCHORARRAY(P173)/_xlfn.ANCHORARRAY(J173),0)</f>
        <v>0</v>
      </c>
      <c r="Z173" t="str" cm="1">
        <f t="array" ref="Z173">IFERROR(_xlfn._xlws.SORT(_xlfn.UNIQUE(_xlfn._xlws.FILTER($X$211:$X$610,$X$211:$X$610&lt;&gt;""))),"")</f>
        <v/>
      </c>
    </row>
    <row r="174" spans="1:26" outlineLevel="1" x14ac:dyDescent="0.25">
      <c r="C174" s="547"/>
      <c r="D174" s="547"/>
      <c r="E174" s="468"/>
      <c r="F174" s="468"/>
      <c r="G174" s="468"/>
      <c r="H174" s="468"/>
      <c r="I174" s="546"/>
      <c r="J174" s="468"/>
      <c r="K174" s="468"/>
      <c r="L174" s="468"/>
      <c r="M174" s="495"/>
      <c r="N174" s="545"/>
      <c r="O174" s="468"/>
      <c r="P174" s="468"/>
      <c r="Q174" s="495"/>
    </row>
    <row r="175" spans="1:26" outlineLevel="1" x14ac:dyDescent="0.25">
      <c r="C175" s="547"/>
      <c r="D175" s="547"/>
      <c r="E175" s="468"/>
      <c r="F175" s="468"/>
      <c r="G175" s="468"/>
      <c r="H175" s="468"/>
      <c r="I175" s="546"/>
      <c r="J175" s="468"/>
      <c r="K175" s="468"/>
      <c r="L175" s="468"/>
      <c r="M175" s="495"/>
      <c r="N175" s="545"/>
      <c r="O175" s="468"/>
      <c r="P175" s="468"/>
      <c r="Q175" s="495"/>
    </row>
    <row r="176" spans="1:26" outlineLevel="1" x14ac:dyDescent="0.25">
      <c r="C176" s="547"/>
      <c r="D176" s="547"/>
      <c r="E176" s="468"/>
      <c r="F176" s="468"/>
      <c r="G176" s="468"/>
      <c r="H176" s="468"/>
      <c r="I176" s="546"/>
      <c r="J176" s="468"/>
      <c r="K176" s="468"/>
      <c r="L176" s="468"/>
      <c r="M176" s="495"/>
      <c r="N176" s="545"/>
      <c r="O176" s="468"/>
      <c r="P176" s="468"/>
      <c r="Q176" s="495"/>
    </row>
    <row r="177" spans="1:24" outlineLevel="1" x14ac:dyDescent="0.25">
      <c r="C177" s="547"/>
      <c r="D177" s="547"/>
      <c r="E177" s="468"/>
      <c r="F177" s="468"/>
      <c r="G177" s="468"/>
      <c r="H177" s="468"/>
      <c r="I177" s="546"/>
      <c r="J177" s="468"/>
      <c r="K177" s="468"/>
      <c r="L177" s="468"/>
      <c r="M177" s="495"/>
      <c r="N177" s="545"/>
      <c r="O177" s="468"/>
      <c r="P177" s="468"/>
      <c r="Q177" s="495"/>
    </row>
    <row r="178" spans="1:24" outlineLevel="1" x14ac:dyDescent="0.25">
      <c r="C178" s="547"/>
      <c r="D178" s="547"/>
      <c r="E178" s="468"/>
      <c r="F178" s="468"/>
      <c r="G178" s="468"/>
      <c r="H178" s="468"/>
      <c r="I178" s="546"/>
      <c r="J178" s="468"/>
      <c r="K178" s="468"/>
      <c r="L178" s="468"/>
      <c r="M178" s="495"/>
      <c r="N178" s="545"/>
      <c r="O178" s="468"/>
      <c r="P178" s="468"/>
      <c r="Q178" s="495"/>
    </row>
    <row r="179" spans="1:24" outlineLevel="1" x14ac:dyDescent="0.25">
      <c r="J179" s="468"/>
      <c r="K179" s="468"/>
      <c r="L179" s="468"/>
      <c r="M179" s="495"/>
      <c r="N179" s="545"/>
      <c r="O179" s="468"/>
      <c r="P179" s="468"/>
      <c r="Q179" s="495"/>
    </row>
    <row r="180" spans="1:24" outlineLevel="1" x14ac:dyDescent="0.25">
      <c r="A180" s="530" t="s">
        <v>23</v>
      </c>
      <c r="B180" s="530"/>
      <c r="C180" s="552">
        <f>SUM(_xlfn.ANCHORARRAY(C173))</f>
        <v>0</v>
      </c>
      <c r="D180" s="530"/>
      <c r="E180" s="530"/>
      <c r="F180" s="530"/>
      <c r="G180" s="530"/>
      <c r="H180" s="530"/>
      <c r="I180" s="530"/>
      <c r="J180" s="548">
        <f>SUM(_xlfn.ANCHORARRAY(J173))</f>
        <v>0</v>
      </c>
      <c r="K180" s="548">
        <f>SUM(_xlfn.ANCHORARRAY(K173))</f>
        <v>0</v>
      </c>
      <c r="L180" s="548">
        <f>K180-J180</f>
        <v>0</v>
      </c>
      <c r="M180" s="550">
        <f>IFERROR(L180/J180,0)</f>
        <v>0</v>
      </c>
      <c r="N180" s="552">
        <f>SUM(_xlfn.ANCHORARRAY(N173))</f>
        <v>0</v>
      </c>
      <c r="O180" s="548">
        <f>SUM(_xlfn.ANCHORARRAY(O173))</f>
        <v>0</v>
      </c>
      <c r="P180" s="548">
        <f>O180-J180</f>
        <v>0</v>
      </c>
      <c r="Q180" s="550">
        <f>IFERROR(P180/J180,0)</f>
        <v>0</v>
      </c>
    </row>
    <row r="181" spans="1:24" outlineLevel="1" x14ac:dyDescent="0.25">
      <c r="A181" s="646" t="s">
        <v>1443</v>
      </c>
      <c r="B181" s="646"/>
      <c r="C181" s="647"/>
      <c r="D181" s="646"/>
      <c r="E181" s="646"/>
      <c r="F181" s="646"/>
      <c r="G181" s="646"/>
      <c r="H181" s="646"/>
      <c r="I181" s="646"/>
      <c r="J181" s="648">
        <f>J180*12</f>
        <v>0</v>
      </c>
      <c r="K181" s="648">
        <f>K180*12</f>
        <v>0</v>
      </c>
      <c r="L181" s="649">
        <f>L180*12</f>
        <v>0</v>
      </c>
      <c r="M181" s="650">
        <f>M180</f>
        <v>0</v>
      </c>
      <c r="N181" s="647"/>
      <c r="O181" s="549">
        <f>O180*12</f>
        <v>0</v>
      </c>
      <c r="P181" s="553">
        <f>P180*12</f>
        <v>0</v>
      </c>
      <c r="Q181" s="551">
        <f>Q180</f>
        <v>0</v>
      </c>
    </row>
    <row r="182" spans="1:24" ht="21.95" customHeight="1" x14ac:dyDescent="0.25">
      <c r="A182" s="637" t="s">
        <v>1468</v>
      </c>
      <c r="B182" s="637"/>
      <c r="C182" s="637"/>
      <c r="D182" s="637"/>
      <c r="E182" s="637"/>
      <c r="F182" s="637"/>
      <c r="G182" s="637"/>
      <c r="H182" s="637"/>
      <c r="I182" s="637"/>
      <c r="J182" s="637"/>
      <c r="K182" s="637"/>
      <c r="L182" s="637"/>
      <c r="M182" s="637"/>
      <c r="N182" s="637"/>
    </row>
    <row r="183" spans="1:24" outlineLevel="1" x14ac:dyDescent="0.25">
      <c r="A183" t="s">
        <v>1469</v>
      </c>
      <c r="W183" t="str">
        <f t="shared" ref="W183:W188" si="8">IF(OR(S183="",S183="Notes"),"",TRIM(IFERROR(LEFT(S183,FIND(";",S183)-1),S183)))</f>
        <v/>
      </c>
      <c r="X183" t="str">
        <f t="shared" ref="X183:X188" si="9">IF(AND(D183="Occupied",C183&lt;&gt;"",C183&lt;&gt;"Care Level",W183&lt;&gt;"",W183&lt;&gt;"Unit Type (base)"),C183&amp;"|"&amp;W183,"")</f>
        <v/>
      </c>
    </row>
    <row r="184" spans="1:24" outlineLevel="1" x14ac:dyDescent="0.25">
      <c r="A184" s="530" t="s">
        <v>1470</v>
      </c>
      <c r="B184" s="530" t="s">
        <v>64</v>
      </c>
      <c r="C184" s="530" t="s">
        <v>1471</v>
      </c>
      <c r="D184" s="530" t="s">
        <v>165</v>
      </c>
      <c r="E184" s="530" t="s">
        <v>567</v>
      </c>
      <c r="F184" s="530" t="s">
        <v>44</v>
      </c>
      <c r="W184" t="str">
        <f t="shared" si="8"/>
        <v/>
      </c>
      <c r="X184" t="str">
        <f t="shared" si="9"/>
        <v/>
      </c>
    </row>
    <row r="185" spans="1:24" outlineLevel="1" x14ac:dyDescent="0.25">
      <c r="A185" t="s">
        <v>1472</v>
      </c>
      <c r="B185" s="545">
        <f>COUNTIF($AT$211:$AT$610,"Structured")</f>
        <v>0</v>
      </c>
      <c r="C185" s="468">
        <f>SUMIFS($AC$211:$AC$610,$AT$211:$AT$610,"Structured")</f>
        <v>0</v>
      </c>
      <c r="D185" s="468">
        <f>C185*12</f>
        <v>0</v>
      </c>
      <c r="E185" s="495">
        <f>IFERROR(C185/SUM($I$211:$I$610),0)</f>
        <v>0</v>
      </c>
      <c r="F185" t="s">
        <v>1473</v>
      </c>
      <c r="W185" t="str">
        <f t="shared" si="8"/>
        <v/>
      </c>
      <c r="X185" t="str">
        <f t="shared" si="9"/>
        <v/>
      </c>
    </row>
    <row r="186" spans="1:24" outlineLevel="1" x14ac:dyDescent="0.25">
      <c r="A186" t="s">
        <v>1474</v>
      </c>
      <c r="B186" s="545">
        <f>COUNTIF($AT$211:$AT$610,"Notes-parsed")</f>
        <v>0</v>
      </c>
      <c r="C186" s="468">
        <f>SUMIFS($AC$211:$AC$610,$AT$211:$AT$610,"Notes-parsed")</f>
        <v>0</v>
      </c>
      <c r="D186" s="468">
        <f>C186*12</f>
        <v>0</v>
      </c>
      <c r="E186" s="495">
        <f>IFERROR(C186/SUM($I$211:$I$610),0)</f>
        <v>0</v>
      </c>
      <c r="F186" s="556" t="s">
        <v>1475</v>
      </c>
      <c r="W186" t="str">
        <f t="shared" si="8"/>
        <v/>
      </c>
      <c r="X186" t="str">
        <f t="shared" si="9"/>
        <v/>
      </c>
    </row>
    <row r="187" spans="1:24" outlineLevel="1" x14ac:dyDescent="0.25">
      <c r="A187" t="s">
        <v>1476</v>
      </c>
      <c r="B187" s="545">
        <f>COUNTIF($AT$211:$AT$610,"Implied")</f>
        <v>0</v>
      </c>
      <c r="C187" s="468" cm="1">
        <f t="array" ref="C187">-SUMPRODUCT(($AT$211:$AT$610="Implied")*($I$211:$I$610-$J$211:$J$610))</f>
        <v>0</v>
      </c>
      <c r="D187" s="468">
        <f>C187*12</f>
        <v>0</v>
      </c>
      <c r="E187" s="495">
        <f>IFERROR(C187/SUM($I$211:$I$610),0)</f>
        <v>0</v>
      </c>
      <c r="F187" t="s">
        <v>1477</v>
      </c>
      <c r="W187" t="str">
        <f t="shared" si="8"/>
        <v/>
      </c>
      <c r="X187" t="str">
        <f t="shared" si="9"/>
        <v/>
      </c>
    </row>
    <row r="188" spans="1:24" outlineLevel="1" x14ac:dyDescent="0.25">
      <c r="A188" t="s">
        <v>1478</v>
      </c>
      <c r="B188" s="545">
        <f>COUNTIF($AT$211:$AT$610,"Step-up")+COUNTIF($AT$211:$AT$610,"Rate-swap")</f>
        <v>0</v>
      </c>
      <c r="C188" t="s">
        <v>1479</v>
      </c>
      <c r="D188" t="s">
        <v>1479</v>
      </c>
      <c r="F188" t="s">
        <v>1480</v>
      </c>
      <c r="W188" t="str">
        <f t="shared" si="8"/>
        <v/>
      </c>
      <c r="X188" t="str">
        <f t="shared" si="9"/>
        <v/>
      </c>
    </row>
    <row r="189" spans="1:24" outlineLevel="1" x14ac:dyDescent="0.25">
      <c r="B189" s="545"/>
    </row>
    <row r="190" spans="1:24" outlineLevel="1" x14ac:dyDescent="0.25">
      <c r="B190" s="545"/>
    </row>
    <row r="191" spans="1:24" outlineLevel="1" x14ac:dyDescent="0.25">
      <c r="B191" s="545"/>
    </row>
    <row r="192" spans="1:24" outlineLevel="1" x14ac:dyDescent="0.25">
      <c r="B192" s="545"/>
    </row>
    <row r="193" spans="1:14" outlineLevel="1" x14ac:dyDescent="0.25">
      <c r="B193" s="545"/>
    </row>
    <row r="194" spans="1:14" outlineLevel="1" x14ac:dyDescent="0.25">
      <c r="B194" s="545"/>
    </row>
    <row r="195" spans="1:14" outlineLevel="1" x14ac:dyDescent="0.25">
      <c r="B195" s="545"/>
    </row>
    <row r="196" spans="1:14" outlineLevel="1" x14ac:dyDescent="0.25">
      <c r="B196" s="545"/>
    </row>
    <row r="197" spans="1:14" outlineLevel="1" x14ac:dyDescent="0.25">
      <c r="B197" s="545"/>
    </row>
    <row r="198" spans="1:14" outlineLevel="1" x14ac:dyDescent="0.25">
      <c r="B198" s="545"/>
    </row>
    <row r="199" spans="1:14" outlineLevel="1" x14ac:dyDescent="0.25">
      <c r="B199" s="545"/>
    </row>
    <row r="200" spans="1:14" outlineLevel="1" x14ac:dyDescent="0.25">
      <c r="B200" s="545"/>
    </row>
    <row r="201" spans="1:14" outlineLevel="1" x14ac:dyDescent="0.25">
      <c r="B201" s="545"/>
    </row>
    <row r="202" spans="1:14" outlineLevel="1" x14ac:dyDescent="0.25">
      <c r="B202" s="545"/>
    </row>
    <row r="203" spans="1:14" outlineLevel="1" x14ac:dyDescent="0.25">
      <c r="B203" s="545"/>
    </row>
    <row r="204" spans="1:14" outlineLevel="1" x14ac:dyDescent="0.25">
      <c r="B204" s="545"/>
    </row>
    <row r="205" spans="1:14" outlineLevel="1" x14ac:dyDescent="0.25">
      <c r="B205" s="545"/>
    </row>
    <row r="206" spans="1:14" outlineLevel="1" x14ac:dyDescent="0.25">
      <c r="B206" s="545"/>
    </row>
    <row r="207" spans="1:14" outlineLevel="1" x14ac:dyDescent="0.25">
      <c r="B207" s="545"/>
    </row>
    <row r="208" spans="1:14" outlineLevel="1" x14ac:dyDescent="0.25">
      <c r="A208" s="635"/>
      <c r="B208" s="651"/>
      <c r="C208" s="635"/>
      <c r="D208" s="635"/>
      <c r="E208" s="635"/>
      <c r="F208" s="635"/>
      <c r="G208" s="635"/>
      <c r="H208" s="635"/>
      <c r="I208" s="635"/>
      <c r="J208" s="635"/>
      <c r="K208" s="635"/>
      <c r="L208" s="635"/>
      <c r="M208" s="635"/>
      <c r="N208" s="635"/>
    </row>
    <row r="209" spans="1:47" x14ac:dyDescent="0.25">
      <c r="B209" s="545"/>
    </row>
    <row r="210" spans="1:47" ht="30" customHeight="1" x14ac:dyDescent="0.25">
      <c r="A210" s="426" t="s">
        <v>1429</v>
      </c>
      <c r="B210" s="426" t="s">
        <v>114</v>
      </c>
      <c r="C210" s="542" t="s">
        <v>12</v>
      </c>
      <c r="D210" s="542" t="s">
        <v>958</v>
      </c>
      <c r="E210" s="543" t="s">
        <v>226</v>
      </c>
      <c r="F210" s="544" t="s">
        <v>115</v>
      </c>
      <c r="G210" s="544" t="s">
        <v>227</v>
      </c>
      <c r="H210" s="426" t="s">
        <v>228</v>
      </c>
      <c r="I210" s="426" t="s">
        <v>117</v>
      </c>
      <c r="J210" s="426" t="s">
        <v>229</v>
      </c>
      <c r="K210" s="426" t="s">
        <v>230</v>
      </c>
      <c r="L210" s="426" t="s">
        <v>231</v>
      </c>
      <c r="M210" s="426" t="s">
        <v>30</v>
      </c>
      <c r="N210" s="426" t="s">
        <v>118</v>
      </c>
      <c r="O210" s="426" t="s">
        <v>105</v>
      </c>
      <c r="P210" s="426" t="s">
        <v>232</v>
      </c>
      <c r="Q210" s="426" t="s">
        <v>233</v>
      </c>
      <c r="R210" s="426" t="s">
        <v>234</v>
      </c>
      <c r="S210" s="426" t="s">
        <v>116</v>
      </c>
      <c r="T210" s="426" t="s">
        <v>44</v>
      </c>
      <c r="U210" s="529" t="s">
        <v>1425</v>
      </c>
      <c r="V210" s="529" t="s">
        <v>1426</v>
      </c>
      <c r="W210" s="529" t="s">
        <v>1427</v>
      </c>
      <c r="X210" t="s">
        <v>1437</v>
      </c>
      <c r="Y210" s="529" t="s">
        <v>1444</v>
      </c>
      <c r="Z210" s="529" t="s">
        <v>1438</v>
      </c>
      <c r="AA210" t="s">
        <v>1464</v>
      </c>
      <c r="AB210" t="s">
        <v>1465</v>
      </c>
      <c r="AC210" s="530" t="s">
        <v>1450</v>
      </c>
      <c r="AD210" s="530" t="s">
        <v>1451</v>
      </c>
      <c r="AE210" s="530" t="s">
        <v>1452</v>
      </c>
      <c r="AF210" s="530" t="s">
        <v>1453</v>
      </c>
      <c r="AG210" s="530" t="s">
        <v>1454</v>
      </c>
      <c r="AH210" s="530" t="s">
        <v>1455</v>
      </c>
      <c r="AI210" s="530" t="s">
        <v>1456</v>
      </c>
      <c r="AJ210" s="530" t="s">
        <v>1457</v>
      </c>
      <c r="AK210" s="530" t="s">
        <v>1458</v>
      </c>
      <c r="AL210" s="530" t="s">
        <v>1459</v>
      </c>
      <c r="AM210" s="530" t="s">
        <v>1460</v>
      </c>
      <c r="AN210" s="530" t="s">
        <v>1461</v>
      </c>
      <c r="AO210" s="557" t="s">
        <v>1481</v>
      </c>
      <c r="AP210" s="558" t="s">
        <v>1482</v>
      </c>
      <c r="AQ210" s="557" t="s">
        <v>1483</v>
      </c>
      <c r="AR210" s="530" t="s">
        <v>1462</v>
      </c>
      <c r="AS210" s="530" t="s">
        <v>1463</v>
      </c>
      <c r="AT210" s="530" t="s">
        <v>1466</v>
      </c>
      <c r="AU210" s="530" t="s">
        <v>1467</v>
      </c>
    </row>
    <row r="211" spans="1:47" outlineLevel="1" x14ac:dyDescent="0.25">
      <c r="G211" s="520"/>
      <c r="H211" s="520"/>
      <c r="I211" s="468"/>
      <c r="J211" s="468"/>
      <c r="K211" s="468" t="str">
        <f>IFERROR(IF(A211="","",N(AE211)+N(AF211)+N(AG211)+N(AH211)),0)</f>
        <v/>
      </c>
      <c r="L211" s="468" t="str">
        <f>IFERROR(IF(A211="","",N(J211)+N(K211)),0)</f>
        <v/>
      </c>
      <c r="M211" s="468"/>
      <c r="N211" s="468"/>
      <c r="O211" s="468"/>
      <c r="P211" s="468"/>
      <c r="Q211" s="468"/>
      <c r="R211" s="468"/>
      <c r="U211" s="545"/>
      <c r="V211" s="546" t="str">
        <f>IFERROR(IF(OR(A211="",U211="",U211=0,J211=""),"",J211/U211),"")</f>
        <v/>
      </c>
      <c r="W211" s="546" t="str">
        <f>IFERROR(IF(V211="","",V211*12),"")</f>
        <v/>
      </c>
      <c r="X211" t="str">
        <f>IF(AND(E211="Occupied",C211&lt;&gt;"",D211&lt;&gt;""),C211&amp;"|"&amp;D211,"")</f>
        <v/>
      </c>
      <c r="Y211" t="str">
        <f>IF(AND(C211&lt;&gt;"",D211&lt;&gt;""),C211&amp;"|"&amp;D211,"")</f>
        <v/>
      </c>
      <c r="AA211" s="468" t="str">
        <f>IFERROR(IF(OR(A211="",I211="",J211=""),"",I211-J211),"")</f>
        <v/>
      </c>
      <c r="AB211" s="555" t="str">
        <f>IFERROR(IF(OR(AA211="",I211=0,I211=""),"",AA211/I211),"")</f>
        <v/>
      </c>
      <c r="AC211" s="468"/>
      <c r="AD211" s="520"/>
      <c r="AE211" s="468"/>
      <c r="AF211" s="468"/>
      <c r="AG211" s="468"/>
      <c r="AH211" s="468"/>
      <c r="AI211" s="468"/>
      <c r="AJ211" s="468"/>
      <c r="AK211" s="468"/>
      <c r="AL211" s="468"/>
      <c r="AM211" s="468"/>
      <c r="AN211" s="468"/>
      <c r="AO211" s="559"/>
      <c r="AP211" s="560">
        <f>SUM(AJ211:AN211)</f>
        <v>0</v>
      </c>
      <c r="AQ211" s="561"/>
      <c r="AS211" s="546"/>
      <c r="AT211" t="str" cm="1">
        <f t="array" ref="AT211">IF(E211&lt;&gt;"Occupied","",_xlfn.IFS(AND(ISNUMBER(AC211),AC211&lt;&gt;0),"Structured",ISNUMBER(SEARCH("/mo con",T211)),"Notes-parsed",ISNUMBER(SEARCH("step",T211)),"Step-up",ISNUMBER(SEARCH("swap",T211)),"Rate-swap",AND(ISNUMBER(I211),ISNUMBER(J211),I211&gt;J211),"Implied",TRUE,""))</f>
        <v/>
      </c>
      <c r="AU211" s="468"/>
    </row>
    <row r="212" spans="1:47" outlineLevel="1" x14ac:dyDescent="0.25">
      <c r="G212" s="520"/>
      <c r="H212" s="520"/>
      <c r="I212" s="468"/>
      <c r="J212" s="468"/>
      <c r="K212" s="468" t="str">
        <f t="shared" ref="K212:K275" si="10">IFERROR(IF(A212="","",N(AE212)+N(AF212)+N(AG212)+N(AH212)),0)</f>
        <v/>
      </c>
      <c r="L212" s="468" t="str">
        <f t="shared" ref="L212:L275" si="11">IFERROR(IF(A212="","",N(J212)+N(K212)),0)</f>
        <v/>
      </c>
      <c r="M212" s="468"/>
      <c r="N212" s="468"/>
      <c r="O212" s="468"/>
      <c r="P212" s="468"/>
      <c r="Q212" s="468"/>
      <c r="R212" s="468"/>
      <c r="U212" s="545"/>
      <c r="V212" s="546" t="str">
        <f t="shared" ref="V212:V275" si="12">IFERROR(IF(OR(A212="",U212="",U212=0,J212=""),"",J212/U212),"")</f>
        <v/>
      </c>
      <c r="W212" s="546" t="str">
        <f t="shared" ref="W212:W275" si="13">IFERROR(IF(V212="","",V212*12),"")</f>
        <v/>
      </c>
      <c r="X212" t="str">
        <f t="shared" ref="X212:X275" si="14">IF(AND(E212="Occupied",C212&lt;&gt;"",D212&lt;&gt;""),C212&amp;"|"&amp;D212,"")</f>
        <v/>
      </c>
      <c r="Y212" t="str">
        <f t="shared" ref="Y212:Y275" si="15">IF(AND(C212&lt;&gt;"",D212&lt;&gt;""),C212&amp;"|"&amp;D212,"")</f>
        <v/>
      </c>
      <c r="AA212" s="468" t="str">
        <f t="shared" ref="AA212:AA275" si="16">IFERROR(IF(OR(A212="",I212="",J212=""),"",I212-J212),"")</f>
        <v/>
      </c>
      <c r="AB212" s="555" t="str">
        <f t="shared" ref="AB212:AB275" si="17">IFERROR(IF(OR(AA212="",I212=0,I212=""),"",AA212/I212),"")</f>
        <v/>
      </c>
      <c r="AC212" s="468"/>
      <c r="AD212" s="520"/>
      <c r="AE212" s="468"/>
      <c r="AF212" s="468"/>
      <c r="AG212" s="468"/>
      <c r="AH212" s="468"/>
      <c r="AI212" s="468"/>
      <c r="AJ212" s="468"/>
      <c r="AK212" s="468"/>
      <c r="AL212" s="468"/>
      <c r="AM212" s="468"/>
      <c r="AN212" s="468"/>
      <c r="AO212" s="559"/>
      <c r="AP212" s="560">
        <f t="shared" ref="AP212:AP275" si="18">SUM(AJ212:AN212)</f>
        <v>0</v>
      </c>
      <c r="AQ212" s="561"/>
      <c r="AS212" s="546"/>
      <c r="AT212" t="str" cm="1">
        <f t="array" ref="AT212">IF(E212&lt;&gt;"Occupied","",_xlfn.IFS(AND(ISNUMBER(AC212),AC212&lt;&gt;0),"Structured",ISNUMBER(SEARCH("/mo con",T212)),"Notes-parsed",ISNUMBER(SEARCH("step",T212)),"Step-up",ISNUMBER(SEARCH("swap",T212)),"Rate-swap",AND(ISNUMBER(I212),ISNUMBER(J212),I212&gt;J212),"Implied",TRUE,""))</f>
        <v/>
      </c>
      <c r="AU212" s="468"/>
    </row>
    <row r="213" spans="1:47" outlineLevel="1" x14ac:dyDescent="0.25">
      <c r="G213" s="520"/>
      <c r="H213" s="520"/>
      <c r="I213" s="468"/>
      <c r="J213" s="468"/>
      <c r="K213" s="468" t="str">
        <f t="shared" si="10"/>
        <v/>
      </c>
      <c r="L213" s="468" t="str">
        <f t="shared" si="11"/>
        <v/>
      </c>
      <c r="M213" s="468"/>
      <c r="N213" s="468"/>
      <c r="O213" s="468"/>
      <c r="P213" s="468"/>
      <c r="Q213" s="468"/>
      <c r="R213" s="468"/>
      <c r="U213" s="545"/>
      <c r="V213" s="546" t="str">
        <f t="shared" si="12"/>
        <v/>
      </c>
      <c r="W213" s="546" t="str">
        <f t="shared" si="13"/>
        <v/>
      </c>
      <c r="X213" t="str">
        <f t="shared" si="14"/>
        <v/>
      </c>
      <c r="Y213" t="str">
        <f t="shared" si="15"/>
        <v/>
      </c>
      <c r="AA213" s="468" t="str">
        <f t="shared" si="16"/>
        <v/>
      </c>
      <c r="AB213" s="555" t="str">
        <f t="shared" si="17"/>
        <v/>
      </c>
      <c r="AC213" s="468"/>
      <c r="AD213" s="520"/>
      <c r="AE213" s="468"/>
      <c r="AF213" s="468"/>
      <c r="AG213" s="468"/>
      <c r="AH213" s="468"/>
      <c r="AI213" s="468"/>
      <c r="AJ213" s="468"/>
      <c r="AK213" s="468"/>
      <c r="AL213" s="468"/>
      <c r="AM213" s="468"/>
      <c r="AN213" s="468"/>
      <c r="AO213" s="559"/>
      <c r="AP213" s="560">
        <f t="shared" si="18"/>
        <v>0</v>
      </c>
      <c r="AQ213" s="561"/>
      <c r="AS213" s="546"/>
      <c r="AT213" t="str" cm="1">
        <f t="array" ref="AT213">IF(E213&lt;&gt;"Occupied","",_xlfn.IFS(AND(ISNUMBER(AC213),AC213&lt;&gt;0),"Structured",ISNUMBER(SEARCH("/mo con",T213)),"Notes-parsed",ISNUMBER(SEARCH("step",T213)),"Step-up",ISNUMBER(SEARCH("swap",T213)),"Rate-swap",AND(ISNUMBER(I213),ISNUMBER(J213),I213&gt;J213),"Implied",TRUE,""))</f>
        <v/>
      </c>
      <c r="AU213" s="468"/>
    </row>
    <row r="214" spans="1:47" outlineLevel="1" x14ac:dyDescent="0.25">
      <c r="G214" s="520"/>
      <c r="H214" s="520"/>
      <c r="I214" s="468"/>
      <c r="J214" s="468"/>
      <c r="K214" s="468" t="str">
        <f t="shared" si="10"/>
        <v/>
      </c>
      <c r="L214" s="468" t="str">
        <f t="shared" si="11"/>
        <v/>
      </c>
      <c r="M214" s="468"/>
      <c r="N214" s="468"/>
      <c r="O214" s="468"/>
      <c r="P214" s="468"/>
      <c r="Q214" s="468"/>
      <c r="R214" s="468"/>
      <c r="U214" s="545"/>
      <c r="V214" s="546" t="str">
        <f t="shared" si="12"/>
        <v/>
      </c>
      <c r="W214" s="546" t="str">
        <f t="shared" si="13"/>
        <v/>
      </c>
      <c r="X214" t="str">
        <f t="shared" si="14"/>
        <v/>
      </c>
      <c r="Y214" t="str">
        <f t="shared" si="15"/>
        <v/>
      </c>
      <c r="AA214" s="468" t="str">
        <f t="shared" si="16"/>
        <v/>
      </c>
      <c r="AB214" s="555" t="str">
        <f t="shared" si="17"/>
        <v/>
      </c>
      <c r="AC214" s="468"/>
      <c r="AD214" s="520"/>
      <c r="AE214" s="468"/>
      <c r="AF214" s="468"/>
      <c r="AG214" s="468"/>
      <c r="AH214" s="468"/>
      <c r="AI214" s="468"/>
      <c r="AJ214" s="468"/>
      <c r="AK214" s="468"/>
      <c r="AL214" s="468"/>
      <c r="AM214" s="468"/>
      <c r="AN214" s="468"/>
      <c r="AO214" s="559"/>
      <c r="AP214" s="560">
        <f t="shared" si="18"/>
        <v>0</v>
      </c>
      <c r="AQ214" s="561"/>
      <c r="AS214" s="546"/>
      <c r="AT214" t="str" cm="1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468"/>
    </row>
    <row r="215" spans="1:47" outlineLevel="1" x14ac:dyDescent="0.25">
      <c r="G215" s="520"/>
      <c r="H215" s="520"/>
      <c r="I215" s="468"/>
      <c r="J215" s="468"/>
      <c r="K215" s="468" t="str">
        <f t="shared" si="10"/>
        <v/>
      </c>
      <c r="L215" s="468" t="str">
        <f t="shared" si="11"/>
        <v/>
      </c>
      <c r="M215" s="468"/>
      <c r="N215" s="468"/>
      <c r="O215" s="468"/>
      <c r="P215" s="468"/>
      <c r="Q215" s="468"/>
      <c r="R215" s="468"/>
      <c r="U215" s="545"/>
      <c r="V215" s="546" t="str">
        <f t="shared" si="12"/>
        <v/>
      </c>
      <c r="W215" s="546" t="str">
        <f t="shared" si="13"/>
        <v/>
      </c>
      <c r="X215" t="str">
        <f t="shared" si="14"/>
        <v/>
      </c>
      <c r="Y215" t="str">
        <f t="shared" si="15"/>
        <v/>
      </c>
      <c r="AA215" s="468" t="str">
        <f t="shared" si="16"/>
        <v/>
      </c>
      <c r="AB215" s="555" t="str">
        <f t="shared" si="17"/>
        <v/>
      </c>
      <c r="AC215" s="468"/>
      <c r="AD215" s="520"/>
      <c r="AE215" s="468"/>
      <c r="AF215" s="468"/>
      <c r="AG215" s="468"/>
      <c r="AH215" s="468"/>
      <c r="AI215" s="468"/>
      <c r="AJ215" s="468"/>
      <c r="AK215" s="468"/>
      <c r="AL215" s="468"/>
      <c r="AM215" s="468"/>
      <c r="AN215" s="468"/>
      <c r="AO215" s="559"/>
      <c r="AP215" s="560">
        <f t="shared" si="18"/>
        <v>0</v>
      </c>
      <c r="AQ215" s="561"/>
      <c r="AS215" s="546"/>
      <c r="AT215" t="str" cm="1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468"/>
    </row>
    <row r="216" spans="1:47" outlineLevel="1" x14ac:dyDescent="0.25">
      <c r="G216" s="520"/>
      <c r="H216" s="520"/>
      <c r="I216" s="468"/>
      <c r="J216" s="468"/>
      <c r="K216" s="468" t="str">
        <f t="shared" si="10"/>
        <v/>
      </c>
      <c r="L216" s="468" t="str">
        <f t="shared" si="11"/>
        <v/>
      </c>
      <c r="M216" s="468"/>
      <c r="N216" s="468"/>
      <c r="O216" s="468"/>
      <c r="P216" s="468"/>
      <c r="Q216" s="468"/>
      <c r="R216" s="468"/>
      <c r="U216" s="545"/>
      <c r="V216" s="546" t="str">
        <f t="shared" si="12"/>
        <v/>
      </c>
      <c r="W216" s="546" t="str">
        <f t="shared" si="13"/>
        <v/>
      </c>
      <c r="X216" t="str">
        <f t="shared" si="14"/>
        <v/>
      </c>
      <c r="Y216" t="str">
        <f t="shared" si="15"/>
        <v/>
      </c>
      <c r="AA216" s="468" t="str">
        <f t="shared" si="16"/>
        <v/>
      </c>
      <c r="AB216" s="555" t="str">
        <f t="shared" si="17"/>
        <v/>
      </c>
      <c r="AC216" s="468"/>
      <c r="AD216" s="520"/>
      <c r="AE216" s="468"/>
      <c r="AF216" s="468"/>
      <c r="AG216" s="468"/>
      <c r="AH216" s="468"/>
      <c r="AI216" s="468"/>
      <c r="AJ216" s="468"/>
      <c r="AK216" s="468"/>
      <c r="AL216" s="468"/>
      <c r="AM216" s="468"/>
      <c r="AN216" s="468"/>
      <c r="AO216" s="559"/>
      <c r="AP216" s="560">
        <f t="shared" si="18"/>
        <v>0</v>
      </c>
      <c r="AQ216" s="561"/>
      <c r="AS216" s="546"/>
      <c r="AT216" t="str" cm="1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468"/>
    </row>
    <row r="217" spans="1:47" outlineLevel="1" x14ac:dyDescent="0.25">
      <c r="G217" s="520"/>
      <c r="H217" s="520"/>
      <c r="I217" s="468"/>
      <c r="J217" s="468"/>
      <c r="K217" s="468" t="str">
        <f t="shared" si="10"/>
        <v/>
      </c>
      <c r="L217" s="468" t="str">
        <f t="shared" si="11"/>
        <v/>
      </c>
      <c r="M217" s="468"/>
      <c r="N217" s="468"/>
      <c r="O217" s="468"/>
      <c r="P217" s="468"/>
      <c r="Q217" s="468"/>
      <c r="R217" s="468"/>
      <c r="U217" s="545"/>
      <c r="V217" s="546" t="str">
        <f t="shared" si="12"/>
        <v/>
      </c>
      <c r="W217" s="546" t="str">
        <f t="shared" si="13"/>
        <v/>
      </c>
      <c r="X217" t="str">
        <f t="shared" si="14"/>
        <v/>
      </c>
      <c r="Y217" t="str">
        <f t="shared" si="15"/>
        <v/>
      </c>
      <c r="AA217" s="468" t="str">
        <f t="shared" si="16"/>
        <v/>
      </c>
      <c r="AB217" s="555" t="str">
        <f t="shared" si="17"/>
        <v/>
      </c>
      <c r="AC217" s="468"/>
      <c r="AD217" s="520"/>
      <c r="AE217" s="468"/>
      <c r="AF217" s="468"/>
      <c r="AG217" s="468"/>
      <c r="AH217" s="468"/>
      <c r="AI217" s="468"/>
      <c r="AJ217" s="468"/>
      <c r="AK217" s="468"/>
      <c r="AL217" s="468"/>
      <c r="AM217" s="468"/>
      <c r="AN217" s="468"/>
      <c r="AO217" s="559"/>
      <c r="AP217" s="560">
        <f t="shared" si="18"/>
        <v>0</v>
      </c>
      <c r="AQ217" s="561"/>
      <c r="AS217" s="546"/>
      <c r="AT217" t="str" cm="1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468"/>
    </row>
    <row r="218" spans="1:47" outlineLevel="1" x14ac:dyDescent="0.25">
      <c r="G218" s="520"/>
      <c r="H218" s="520"/>
      <c r="I218" s="468"/>
      <c r="J218" s="468"/>
      <c r="K218" s="468" t="str">
        <f t="shared" si="10"/>
        <v/>
      </c>
      <c r="L218" s="468" t="str">
        <f t="shared" si="11"/>
        <v/>
      </c>
      <c r="M218" s="468"/>
      <c r="N218" s="468"/>
      <c r="O218" s="468"/>
      <c r="P218" s="468"/>
      <c r="Q218" s="468"/>
      <c r="R218" s="468"/>
      <c r="U218" s="545"/>
      <c r="V218" s="546" t="str">
        <f t="shared" si="12"/>
        <v/>
      </c>
      <c r="W218" s="546" t="str">
        <f t="shared" si="13"/>
        <v/>
      </c>
      <c r="X218" t="str">
        <f t="shared" si="14"/>
        <v/>
      </c>
      <c r="Y218" t="str">
        <f t="shared" si="15"/>
        <v/>
      </c>
      <c r="AA218" s="468" t="str">
        <f t="shared" si="16"/>
        <v/>
      </c>
      <c r="AB218" s="555" t="str">
        <f t="shared" si="17"/>
        <v/>
      </c>
      <c r="AC218" s="468"/>
      <c r="AD218" s="520"/>
      <c r="AE218" s="468"/>
      <c r="AF218" s="468"/>
      <c r="AG218" s="468"/>
      <c r="AH218" s="468"/>
      <c r="AI218" s="468"/>
      <c r="AJ218" s="468"/>
      <c r="AK218" s="468"/>
      <c r="AL218" s="468"/>
      <c r="AM218" s="468"/>
      <c r="AN218" s="468"/>
      <c r="AO218" s="559"/>
      <c r="AP218" s="560">
        <f t="shared" si="18"/>
        <v>0</v>
      </c>
      <c r="AQ218" s="561"/>
      <c r="AS218" s="546"/>
      <c r="AT218" t="str" cm="1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468"/>
    </row>
    <row r="219" spans="1:47" outlineLevel="1" x14ac:dyDescent="0.25">
      <c r="G219" s="520"/>
      <c r="H219" s="520"/>
      <c r="I219" s="468"/>
      <c r="J219" s="468"/>
      <c r="K219" s="468" t="str">
        <f t="shared" si="10"/>
        <v/>
      </c>
      <c r="L219" s="468" t="str">
        <f t="shared" si="11"/>
        <v/>
      </c>
      <c r="M219" s="468"/>
      <c r="N219" s="468"/>
      <c r="O219" s="468"/>
      <c r="P219" s="468"/>
      <c r="Q219" s="468"/>
      <c r="R219" s="468"/>
      <c r="U219" s="545"/>
      <c r="V219" s="546" t="str">
        <f t="shared" si="12"/>
        <v/>
      </c>
      <c r="W219" s="546" t="str">
        <f t="shared" si="13"/>
        <v/>
      </c>
      <c r="X219" t="str">
        <f t="shared" si="14"/>
        <v/>
      </c>
      <c r="Y219" t="str">
        <f t="shared" si="15"/>
        <v/>
      </c>
      <c r="AA219" s="468" t="str">
        <f t="shared" si="16"/>
        <v/>
      </c>
      <c r="AB219" s="555" t="str">
        <f t="shared" si="17"/>
        <v/>
      </c>
      <c r="AC219" s="468"/>
      <c r="AD219" s="520"/>
      <c r="AE219" s="468"/>
      <c r="AF219" s="468"/>
      <c r="AG219" s="468"/>
      <c r="AH219" s="468"/>
      <c r="AI219" s="468"/>
      <c r="AJ219" s="468"/>
      <c r="AK219" s="468"/>
      <c r="AL219" s="468"/>
      <c r="AM219" s="468"/>
      <c r="AN219" s="468"/>
      <c r="AO219" s="559"/>
      <c r="AP219" s="560">
        <f t="shared" si="18"/>
        <v>0</v>
      </c>
      <c r="AQ219" s="561"/>
      <c r="AS219" s="546"/>
      <c r="AT219" t="str" cm="1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468"/>
    </row>
    <row r="220" spans="1:47" outlineLevel="1" x14ac:dyDescent="0.25">
      <c r="G220" s="520"/>
      <c r="H220" s="520"/>
      <c r="I220" s="468"/>
      <c r="J220" s="468"/>
      <c r="K220" s="468" t="str">
        <f t="shared" si="10"/>
        <v/>
      </c>
      <c r="L220" s="468" t="str">
        <f t="shared" si="11"/>
        <v/>
      </c>
      <c r="M220" s="468"/>
      <c r="N220" s="468"/>
      <c r="O220" s="468"/>
      <c r="P220" s="468"/>
      <c r="Q220" s="468"/>
      <c r="R220" s="468"/>
      <c r="U220" s="545"/>
      <c r="V220" s="546" t="str">
        <f t="shared" si="12"/>
        <v/>
      </c>
      <c r="W220" s="546" t="str">
        <f t="shared" si="13"/>
        <v/>
      </c>
      <c r="X220" t="str">
        <f t="shared" si="14"/>
        <v/>
      </c>
      <c r="Y220" t="str">
        <f t="shared" si="15"/>
        <v/>
      </c>
      <c r="AA220" s="468" t="str">
        <f t="shared" si="16"/>
        <v/>
      </c>
      <c r="AB220" s="555" t="str">
        <f t="shared" si="17"/>
        <v/>
      </c>
      <c r="AC220" s="468"/>
      <c r="AD220" s="520"/>
      <c r="AE220" s="468"/>
      <c r="AF220" s="468"/>
      <c r="AG220" s="468"/>
      <c r="AH220" s="468"/>
      <c r="AI220" s="468"/>
      <c r="AJ220" s="468"/>
      <c r="AK220" s="468"/>
      <c r="AL220" s="468"/>
      <c r="AM220" s="468"/>
      <c r="AN220" s="468"/>
      <c r="AO220" s="559"/>
      <c r="AP220" s="560">
        <f t="shared" si="18"/>
        <v>0</v>
      </c>
      <c r="AQ220" s="561"/>
      <c r="AS220" s="546"/>
      <c r="AT220" t="str" cm="1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468"/>
    </row>
    <row r="221" spans="1:47" outlineLevel="1" x14ac:dyDescent="0.25">
      <c r="G221" s="520"/>
      <c r="H221" s="520"/>
      <c r="I221" s="468"/>
      <c r="J221" s="468"/>
      <c r="K221" s="468" t="str">
        <f t="shared" si="10"/>
        <v/>
      </c>
      <c r="L221" s="468" t="str">
        <f t="shared" si="11"/>
        <v/>
      </c>
      <c r="M221" s="468"/>
      <c r="N221" s="468"/>
      <c r="O221" s="468"/>
      <c r="P221" s="468"/>
      <c r="Q221" s="468"/>
      <c r="R221" s="468"/>
      <c r="U221" s="545"/>
      <c r="V221" s="546" t="str">
        <f t="shared" si="12"/>
        <v/>
      </c>
      <c r="W221" s="546" t="str">
        <f t="shared" si="13"/>
        <v/>
      </c>
      <c r="X221" t="str">
        <f t="shared" si="14"/>
        <v/>
      </c>
      <c r="Y221" t="str">
        <f t="shared" si="15"/>
        <v/>
      </c>
      <c r="AA221" s="468" t="str">
        <f t="shared" si="16"/>
        <v/>
      </c>
      <c r="AB221" s="555" t="str">
        <f t="shared" si="17"/>
        <v/>
      </c>
      <c r="AC221" s="468"/>
      <c r="AD221" s="520"/>
      <c r="AE221" s="468"/>
      <c r="AF221" s="468"/>
      <c r="AG221" s="468"/>
      <c r="AH221" s="468"/>
      <c r="AI221" s="468"/>
      <c r="AJ221" s="468"/>
      <c r="AK221" s="468"/>
      <c r="AL221" s="468"/>
      <c r="AM221" s="468"/>
      <c r="AN221" s="468"/>
      <c r="AO221" s="559"/>
      <c r="AP221" s="560">
        <f t="shared" si="18"/>
        <v>0</v>
      </c>
      <c r="AQ221" s="561"/>
      <c r="AS221" s="546"/>
      <c r="AT221" t="str" cm="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468"/>
    </row>
    <row r="222" spans="1:47" outlineLevel="1" x14ac:dyDescent="0.25">
      <c r="G222" s="520"/>
      <c r="H222" s="520"/>
      <c r="I222" s="468"/>
      <c r="J222" s="468"/>
      <c r="K222" s="468" t="str">
        <f t="shared" si="10"/>
        <v/>
      </c>
      <c r="L222" s="468" t="str">
        <f t="shared" si="11"/>
        <v/>
      </c>
      <c r="M222" s="468"/>
      <c r="N222" s="468"/>
      <c r="O222" s="468"/>
      <c r="P222" s="468"/>
      <c r="Q222" s="468"/>
      <c r="R222" s="468"/>
      <c r="U222" s="545"/>
      <c r="V222" s="546" t="str">
        <f t="shared" si="12"/>
        <v/>
      </c>
      <c r="W222" s="546" t="str">
        <f t="shared" si="13"/>
        <v/>
      </c>
      <c r="X222" t="str">
        <f t="shared" si="14"/>
        <v/>
      </c>
      <c r="Y222" t="str">
        <f t="shared" si="15"/>
        <v/>
      </c>
      <c r="AA222" s="468" t="str">
        <f t="shared" si="16"/>
        <v/>
      </c>
      <c r="AB222" s="555" t="str">
        <f t="shared" si="17"/>
        <v/>
      </c>
      <c r="AC222" s="468"/>
      <c r="AD222" s="520"/>
      <c r="AE222" s="468"/>
      <c r="AF222" s="468"/>
      <c r="AG222" s="468"/>
      <c r="AH222" s="468"/>
      <c r="AI222" s="468"/>
      <c r="AJ222" s="468"/>
      <c r="AK222" s="468"/>
      <c r="AL222" s="468"/>
      <c r="AM222" s="468"/>
      <c r="AN222" s="468"/>
      <c r="AO222" s="559"/>
      <c r="AP222" s="560">
        <f t="shared" si="18"/>
        <v>0</v>
      </c>
      <c r="AQ222" s="561"/>
      <c r="AS222" s="546"/>
      <c r="AT222" t="str" cm="1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468"/>
    </row>
    <row r="223" spans="1:47" outlineLevel="1" x14ac:dyDescent="0.25">
      <c r="G223" s="520"/>
      <c r="H223" s="520"/>
      <c r="I223" s="468"/>
      <c r="J223" s="468"/>
      <c r="K223" s="468" t="str">
        <f t="shared" si="10"/>
        <v/>
      </c>
      <c r="L223" s="468" t="str">
        <f t="shared" si="11"/>
        <v/>
      </c>
      <c r="M223" s="468"/>
      <c r="N223" s="468"/>
      <c r="O223" s="468"/>
      <c r="P223" s="468"/>
      <c r="Q223" s="468"/>
      <c r="R223" s="468"/>
      <c r="U223" s="545"/>
      <c r="V223" s="546" t="str">
        <f t="shared" si="12"/>
        <v/>
      </c>
      <c r="W223" s="546" t="str">
        <f t="shared" si="13"/>
        <v/>
      </c>
      <c r="X223" t="str">
        <f t="shared" si="14"/>
        <v/>
      </c>
      <c r="Y223" t="str">
        <f t="shared" si="15"/>
        <v/>
      </c>
      <c r="AA223" s="468" t="str">
        <f t="shared" si="16"/>
        <v/>
      </c>
      <c r="AB223" s="555" t="str">
        <f t="shared" si="17"/>
        <v/>
      </c>
      <c r="AC223" s="468"/>
      <c r="AD223" s="520"/>
      <c r="AE223" s="468"/>
      <c r="AF223" s="468"/>
      <c r="AG223" s="468"/>
      <c r="AH223" s="468"/>
      <c r="AI223" s="468"/>
      <c r="AJ223" s="468"/>
      <c r="AK223" s="468"/>
      <c r="AL223" s="468"/>
      <c r="AM223" s="468"/>
      <c r="AN223" s="468"/>
      <c r="AO223" s="559"/>
      <c r="AP223" s="560">
        <f t="shared" si="18"/>
        <v>0</v>
      </c>
      <c r="AQ223" s="561"/>
      <c r="AS223" s="546"/>
      <c r="AT223" t="str" cm="1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468"/>
    </row>
    <row r="224" spans="1:47" outlineLevel="1" x14ac:dyDescent="0.25">
      <c r="G224" s="520"/>
      <c r="H224" s="520"/>
      <c r="I224" s="468"/>
      <c r="J224" s="468"/>
      <c r="K224" s="468" t="str">
        <f t="shared" si="10"/>
        <v/>
      </c>
      <c r="L224" s="468" t="str">
        <f t="shared" si="11"/>
        <v/>
      </c>
      <c r="M224" s="468"/>
      <c r="N224" s="468"/>
      <c r="O224" s="468"/>
      <c r="P224" s="468"/>
      <c r="Q224" s="468"/>
      <c r="R224" s="468"/>
      <c r="U224" s="545"/>
      <c r="V224" s="546" t="str">
        <f t="shared" si="12"/>
        <v/>
      </c>
      <c r="W224" s="546" t="str">
        <f t="shared" si="13"/>
        <v/>
      </c>
      <c r="X224" t="str">
        <f t="shared" si="14"/>
        <v/>
      </c>
      <c r="Y224" t="str">
        <f t="shared" si="15"/>
        <v/>
      </c>
      <c r="AA224" s="468" t="str">
        <f t="shared" si="16"/>
        <v/>
      </c>
      <c r="AB224" s="555" t="str">
        <f t="shared" si="17"/>
        <v/>
      </c>
      <c r="AC224" s="468"/>
      <c r="AD224" s="520"/>
      <c r="AE224" s="468"/>
      <c r="AF224" s="468"/>
      <c r="AG224" s="468"/>
      <c r="AH224" s="468"/>
      <c r="AI224" s="468"/>
      <c r="AJ224" s="468"/>
      <c r="AK224" s="468"/>
      <c r="AL224" s="468"/>
      <c r="AM224" s="468"/>
      <c r="AN224" s="468"/>
      <c r="AO224" s="559"/>
      <c r="AP224" s="560">
        <f t="shared" si="18"/>
        <v>0</v>
      </c>
      <c r="AQ224" s="561"/>
      <c r="AS224" s="546"/>
      <c r="AT224" t="str" cm="1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468"/>
    </row>
    <row r="225" spans="7:47" outlineLevel="1" x14ac:dyDescent="0.25">
      <c r="G225" s="520"/>
      <c r="H225" s="520"/>
      <c r="I225" s="468"/>
      <c r="J225" s="468"/>
      <c r="K225" s="468" t="str">
        <f t="shared" si="10"/>
        <v/>
      </c>
      <c r="L225" s="468" t="str">
        <f t="shared" si="11"/>
        <v/>
      </c>
      <c r="M225" s="468"/>
      <c r="N225" s="468"/>
      <c r="O225" s="468"/>
      <c r="P225" s="468"/>
      <c r="Q225" s="468"/>
      <c r="R225" s="468"/>
      <c r="U225" s="545"/>
      <c r="V225" s="546" t="str">
        <f t="shared" si="12"/>
        <v/>
      </c>
      <c r="W225" s="546" t="str">
        <f t="shared" si="13"/>
        <v/>
      </c>
      <c r="X225" t="str">
        <f t="shared" si="14"/>
        <v/>
      </c>
      <c r="Y225" t="str">
        <f t="shared" si="15"/>
        <v/>
      </c>
      <c r="AA225" s="468" t="str">
        <f t="shared" si="16"/>
        <v/>
      </c>
      <c r="AB225" s="555" t="str">
        <f t="shared" si="17"/>
        <v/>
      </c>
      <c r="AC225" s="468"/>
      <c r="AD225" s="520"/>
      <c r="AE225" s="468"/>
      <c r="AF225" s="468"/>
      <c r="AG225" s="468"/>
      <c r="AH225" s="468"/>
      <c r="AI225" s="468"/>
      <c r="AJ225" s="468"/>
      <c r="AK225" s="468"/>
      <c r="AL225" s="468"/>
      <c r="AM225" s="468"/>
      <c r="AN225" s="468"/>
      <c r="AO225" s="559"/>
      <c r="AP225" s="560">
        <f t="shared" si="18"/>
        <v>0</v>
      </c>
      <c r="AQ225" s="561"/>
      <c r="AS225" s="546"/>
      <c r="AT225" t="str" cm="1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468"/>
    </row>
    <row r="226" spans="7:47" outlineLevel="1" x14ac:dyDescent="0.25">
      <c r="G226" s="520"/>
      <c r="H226" s="520"/>
      <c r="I226" s="468"/>
      <c r="J226" s="468"/>
      <c r="K226" s="468" t="str">
        <f t="shared" si="10"/>
        <v/>
      </c>
      <c r="L226" s="468" t="str">
        <f t="shared" si="11"/>
        <v/>
      </c>
      <c r="M226" s="468"/>
      <c r="N226" s="468"/>
      <c r="O226" s="468"/>
      <c r="P226" s="468"/>
      <c r="Q226" s="468"/>
      <c r="R226" s="468"/>
      <c r="U226" s="545"/>
      <c r="V226" s="546" t="str">
        <f t="shared" si="12"/>
        <v/>
      </c>
      <c r="W226" s="546" t="str">
        <f t="shared" si="13"/>
        <v/>
      </c>
      <c r="X226" t="str">
        <f t="shared" si="14"/>
        <v/>
      </c>
      <c r="Y226" t="str">
        <f t="shared" si="15"/>
        <v/>
      </c>
      <c r="AA226" s="468" t="str">
        <f t="shared" si="16"/>
        <v/>
      </c>
      <c r="AB226" s="555" t="str">
        <f t="shared" si="17"/>
        <v/>
      </c>
      <c r="AC226" s="468"/>
      <c r="AD226" s="520"/>
      <c r="AE226" s="468"/>
      <c r="AF226" s="468"/>
      <c r="AG226" s="468"/>
      <c r="AH226" s="468"/>
      <c r="AI226" s="468"/>
      <c r="AJ226" s="468"/>
      <c r="AK226" s="468"/>
      <c r="AL226" s="468"/>
      <c r="AM226" s="468"/>
      <c r="AN226" s="468"/>
      <c r="AO226" s="559"/>
      <c r="AP226" s="560">
        <f t="shared" si="18"/>
        <v>0</v>
      </c>
      <c r="AQ226" s="561"/>
      <c r="AS226" s="546"/>
      <c r="AT226" t="str" cm="1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468"/>
    </row>
    <row r="227" spans="7:47" outlineLevel="1" x14ac:dyDescent="0.25">
      <c r="G227" s="520"/>
      <c r="H227" s="520"/>
      <c r="I227" s="468"/>
      <c r="J227" s="468"/>
      <c r="K227" s="468" t="str">
        <f t="shared" si="10"/>
        <v/>
      </c>
      <c r="L227" s="468" t="str">
        <f t="shared" si="11"/>
        <v/>
      </c>
      <c r="M227" s="468"/>
      <c r="N227" s="468"/>
      <c r="O227" s="468"/>
      <c r="P227" s="468"/>
      <c r="Q227" s="468"/>
      <c r="R227" s="468"/>
      <c r="U227" s="545"/>
      <c r="V227" s="546" t="str">
        <f t="shared" si="12"/>
        <v/>
      </c>
      <c r="W227" s="546" t="str">
        <f t="shared" si="13"/>
        <v/>
      </c>
      <c r="X227" t="str">
        <f t="shared" si="14"/>
        <v/>
      </c>
      <c r="Y227" t="str">
        <f t="shared" si="15"/>
        <v/>
      </c>
      <c r="AA227" s="468" t="str">
        <f t="shared" si="16"/>
        <v/>
      </c>
      <c r="AB227" s="555" t="str">
        <f t="shared" si="17"/>
        <v/>
      </c>
      <c r="AC227" s="468"/>
      <c r="AD227" s="520"/>
      <c r="AE227" s="468"/>
      <c r="AF227" s="468"/>
      <c r="AG227" s="468"/>
      <c r="AH227" s="468"/>
      <c r="AI227" s="468"/>
      <c r="AJ227" s="468"/>
      <c r="AK227" s="468"/>
      <c r="AL227" s="468"/>
      <c r="AM227" s="468"/>
      <c r="AN227" s="468"/>
      <c r="AO227" s="559"/>
      <c r="AP227" s="560">
        <f t="shared" si="18"/>
        <v>0</v>
      </c>
      <c r="AQ227" s="561"/>
      <c r="AS227" s="546"/>
      <c r="AT227" t="str" cm="1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468"/>
    </row>
    <row r="228" spans="7:47" outlineLevel="1" x14ac:dyDescent="0.25">
      <c r="G228" s="520"/>
      <c r="H228" s="520"/>
      <c r="I228" s="468"/>
      <c r="J228" s="468"/>
      <c r="K228" s="468" t="str">
        <f t="shared" si="10"/>
        <v/>
      </c>
      <c r="L228" s="468" t="str">
        <f t="shared" si="11"/>
        <v/>
      </c>
      <c r="M228" s="468"/>
      <c r="N228" s="468"/>
      <c r="O228" s="468"/>
      <c r="P228" s="468"/>
      <c r="Q228" s="468"/>
      <c r="R228" s="468"/>
      <c r="U228" s="545"/>
      <c r="V228" s="546" t="str">
        <f t="shared" si="12"/>
        <v/>
      </c>
      <c r="W228" s="546" t="str">
        <f t="shared" si="13"/>
        <v/>
      </c>
      <c r="X228" t="str">
        <f t="shared" si="14"/>
        <v/>
      </c>
      <c r="Y228" t="str">
        <f t="shared" si="15"/>
        <v/>
      </c>
      <c r="AA228" s="468" t="str">
        <f t="shared" si="16"/>
        <v/>
      </c>
      <c r="AB228" s="555" t="str">
        <f t="shared" si="17"/>
        <v/>
      </c>
      <c r="AC228" s="468"/>
      <c r="AD228" s="520"/>
      <c r="AE228" s="468"/>
      <c r="AF228" s="468"/>
      <c r="AG228" s="468"/>
      <c r="AH228" s="468"/>
      <c r="AI228" s="468"/>
      <c r="AJ228" s="468"/>
      <c r="AK228" s="468"/>
      <c r="AL228" s="468"/>
      <c r="AM228" s="468"/>
      <c r="AN228" s="468"/>
      <c r="AO228" s="559"/>
      <c r="AP228" s="560">
        <f t="shared" si="18"/>
        <v>0</v>
      </c>
      <c r="AQ228" s="561"/>
      <c r="AS228" s="546"/>
      <c r="AT228" t="str" cm="1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468"/>
    </row>
    <row r="229" spans="7:47" outlineLevel="1" x14ac:dyDescent="0.25">
      <c r="G229" s="520"/>
      <c r="H229" s="520"/>
      <c r="I229" s="468"/>
      <c r="J229" s="468"/>
      <c r="K229" s="468" t="str">
        <f t="shared" si="10"/>
        <v/>
      </c>
      <c r="L229" s="468" t="str">
        <f t="shared" si="11"/>
        <v/>
      </c>
      <c r="M229" s="468"/>
      <c r="N229" s="468"/>
      <c r="O229" s="468"/>
      <c r="P229" s="468"/>
      <c r="Q229" s="468"/>
      <c r="R229" s="468"/>
      <c r="U229" s="545"/>
      <c r="V229" s="546" t="str">
        <f t="shared" si="12"/>
        <v/>
      </c>
      <c r="W229" s="546" t="str">
        <f t="shared" si="13"/>
        <v/>
      </c>
      <c r="X229" t="str">
        <f t="shared" si="14"/>
        <v/>
      </c>
      <c r="Y229" t="str">
        <f t="shared" si="15"/>
        <v/>
      </c>
      <c r="AA229" s="468" t="str">
        <f t="shared" si="16"/>
        <v/>
      </c>
      <c r="AB229" s="555" t="str">
        <f t="shared" si="17"/>
        <v/>
      </c>
      <c r="AC229" s="468"/>
      <c r="AD229" s="520"/>
      <c r="AE229" s="468"/>
      <c r="AF229" s="468"/>
      <c r="AG229" s="468"/>
      <c r="AH229" s="468"/>
      <c r="AI229" s="468"/>
      <c r="AJ229" s="468"/>
      <c r="AK229" s="468"/>
      <c r="AL229" s="468"/>
      <c r="AM229" s="468"/>
      <c r="AN229" s="468"/>
      <c r="AO229" s="559"/>
      <c r="AP229" s="560">
        <f t="shared" si="18"/>
        <v>0</v>
      </c>
      <c r="AQ229" s="561"/>
      <c r="AS229" s="546"/>
      <c r="AT229" t="str" cm="1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468"/>
    </row>
    <row r="230" spans="7:47" outlineLevel="1" x14ac:dyDescent="0.25">
      <c r="G230" s="520"/>
      <c r="H230" s="520"/>
      <c r="I230" s="468"/>
      <c r="J230" s="468"/>
      <c r="K230" s="468" t="str">
        <f t="shared" si="10"/>
        <v/>
      </c>
      <c r="L230" s="468" t="str">
        <f t="shared" si="11"/>
        <v/>
      </c>
      <c r="M230" s="468"/>
      <c r="N230" s="468"/>
      <c r="O230" s="468"/>
      <c r="P230" s="468"/>
      <c r="Q230" s="468"/>
      <c r="R230" s="468"/>
      <c r="U230" s="545"/>
      <c r="V230" s="546" t="str">
        <f t="shared" si="12"/>
        <v/>
      </c>
      <c r="W230" s="546" t="str">
        <f t="shared" si="13"/>
        <v/>
      </c>
      <c r="X230" t="str">
        <f t="shared" si="14"/>
        <v/>
      </c>
      <c r="Y230" t="str">
        <f t="shared" si="15"/>
        <v/>
      </c>
      <c r="AA230" s="468" t="str">
        <f t="shared" si="16"/>
        <v/>
      </c>
      <c r="AB230" s="555" t="str">
        <f t="shared" si="17"/>
        <v/>
      </c>
      <c r="AC230" s="468"/>
      <c r="AD230" s="520"/>
      <c r="AE230" s="468"/>
      <c r="AF230" s="468"/>
      <c r="AG230" s="468"/>
      <c r="AH230" s="468"/>
      <c r="AI230" s="468"/>
      <c r="AJ230" s="468"/>
      <c r="AK230" s="468"/>
      <c r="AL230" s="468"/>
      <c r="AM230" s="468"/>
      <c r="AN230" s="468"/>
      <c r="AO230" s="559"/>
      <c r="AP230" s="560">
        <f t="shared" si="18"/>
        <v>0</v>
      </c>
      <c r="AQ230" s="561"/>
      <c r="AS230" s="546"/>
      <c r="AT230" t="str" cm="1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468"/>
    </row>
    <row r="231" spans="7:47" outlineLevel="1" x14ac:dyDescent="0.25">
      <c r="G231" s="520"/>
      <c r="H231" s="520"/>
      <c r="I231" s="468"/>
      <c r="J231" s="468"/>
      <c r="K231" s="468" t="str">
        <f t="shared" si="10"/>
        <v/>
      </c>
      <c r="L231" s="468" t="str">
        <f t="shared" si="11"/>
        <v/>
      </c>
      <c r="M231" s="468"/>
      <c r="N231" s="468"/>
      <c r="O231" s="468"/>
      <c r="P231" s="468"/>
      <c r="Q231" s="468"/>
      <c r="R231" s="468"/>
      <c r="U231" s="545"/>
      <c r="V231" s="546" t="str">
        <f t="shared" si="12"/>
        <v/>
      </c>
      <c r="W231" s="546" t="str">
        <f t="shared" si="13"/>
        <v/>
      </c>
      <c r="X231" t="str">
        <f t="shared" si="14"/>
        <v/>
      </c>
      <c r="Y231" t="str">
        <f t="shared" si="15"/>
        <v/>
      </c>
      <c r="AA231" s="468" t="str">
        <f t="shared" si="16"/>
        <v/>
      </c>
      <c r="AB231" s="555" t="str">
        <f t="shared" si="17"/>
        <v/>
      </c>
      <c r="AC231" s="468"/>
      <c r="AD231" s="520"/>
      <c r="AE231" s="468"/>
      <c r="AF231" s="468"/>
      <c r="AG231" s="468"/>
      <c r="AH231" s="468"/>
      <c r="AI231" s="468"/>
      <c r="AJ231" s="468"/>
      <c r="AK231" s="468"/>
      <c r="AL231" s="468"/>
      <c r="AM231" s="468"/>
      <c r="AN231" s="468"/>
      <c r="AO231" s="559"/>
      <c r="AP231" s="560">
        <f t="shared" si="18"/>
        <v>0</v>
      </c>
      <c r="AQ231" s="561"/>
      <c r="AS231" s="546"/>
      <c r="AT231" t="str" cm="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468"/>
    </row>
    <row r="232" spans="7:47" outlineLevel="1" x14ac:dyDescent="0.25">
      <c r="G232" s="520"/>
      <c r="H232" s="520"/>
      <c r="I232" s="468"/>
      <c r="J232" s="468"/>
      <c r="K232" s="468" t="str">
        <f t="shared" si="10"/>
        <v/>
      </c>
      <c r="L232" s="468" t="str">
        <f t="shared" si="11"/>
        <v/>
      </c>
      <c r="M232" s="468"/>
      <c r="N232" s="468"/>
      <c r="O232" s="468"/>
      <c r="P232" s="468"/>
      <c r="Q232" s="468"/>
      <c r="R232" s="468"/>
      <c r="U232" s="545"/>
      <c r="V232" s="546" t="str">
        <f t="shared" si="12"/>
        <v/>
      </c>
      <c r="W232" s="546" t="str">
        <f t="shared" si="13"/>
        <v/>
      </c>
      <c r="X232" t="str">
        <f t="shared" si="14"/>
        <v/>
      </c>
      <c r="Y232" t="str">
        <f t="shared" si="15"/>
        <v/>
      </c>
      <c r="AA232" s="468" t="str">
        <f t="shared" si="16"/>
        <v/>
      </c>
      <c r="AB232" s="555" t="str">
        <f t="shared" si="17"/>
        <v/>
      </c>
      <c r="AC232" s="468"/>
      <c r="AD232" s="520"/>
      <c r="AE232" s="468"/>
      <c r="AF232" s="468"/>
      <c r="AG232" s="468"/>
      <c r="AH232" s="468"/>
      <c r="AI232" s="468"/>
      <c r="AJ232" s="468"/>
      <c r="AK232" s="468"/>
      <c r="AL232" s="468"/>
      <c r="AM232" s="468"/>
      <c r="AN232" s="468"/>
      <c r="AO232" s="559"/>
      <c r="AP232" s="560">
        <f t="shared" si="18"/>
        <v>0</v>
      </c>
      <c r="AQ232" s="561"/>
      <c r="AS232" s="546"/>
      <c r="AT232" t="str" cm="1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468"/>
    </row>
    <row r="233" spans="7:47" outlineLevel="1" x14ac:dyDescent="0.25">
      <c r="G233" s="520"/>
      <c r="H233" s="520"/>
      <c r="I233" s="468"/>
      <c r="J233" s="468"/>
      <c r="K233" s="468" t="str">
        <f t="shared" si="10"/>
        <v/>
      </c>
      <c r="L233" s="468" t="str">
        <f t="shared" si="11"/>
        <v/>
      </c>
      <c r="M233" s="468"/>
      <c r="N233" s="468"/>
      <c r="O233" s="468"/>
      <c r="P233" s="468"/>
      <c r="Q233" s="468"/>
      <c r="R233" s="468"/>
      <c r="U233" s="545"/>
      <c r="V233" s="546" t="str">
        <f t="shared" si="12"/>
        <v/>
      </c>
      <c r="W233" s="546" t="str">
        <f t="shared" si="13"/>
        <v/>
      </c>
      <c r="X233" t="str">
        <f t="shared" si="14"/>
        <v/>
      </c>
      <c r="Y233" t="str">
        <f t="shared" si="15"/>
        <v/>
      </c>
      <c r="AA233" s="468" t="str">
        <f t="shared" si="16"/>
        <v/>
      </c>
      <c r="AB233" s="555" t="str">
        <f t="shared" si="17"/>
        <v/>
      </c>
      <c r="AC233" s="468"/>
      <c r="AD233" s="520"/>
      <c r="AE233" s="468"/>
      <c r="AF233" s="468"/>
      <c r="AG233" s="468"/>
      <c r="AH233" s="468"/>
      <c r="AI233" s="468"/>
      <c r="AJ233" s="468"/>
      <c r="AK233" s="468"/>
      <c r="AL233" s="468"/>
      <c r="AM233" s="468"/>
      <c r="AN233" s="468"/>
      <c r="AO233" s="559"/>
      <c r="AP233" s="560">
        <f t="shared" si="18"/>
        <v>0</v>
      </c>
      <c r="AQ233" s="561"/>
      <c r="AS233" s="546"/>
      <c r="AT233" t="str" cm="1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468"/>
    </row>
    <row r="234" spans="7:47" outlineLevel="1" x14ac:dyDescent="0.25">
      <c r="G234" s="520"/>
      <c r="H234" s="520"/>
      <c r="I234" s="468"/>
      <c r="J234" s="468"/>
      <c r="K234" s="468" t="str">
        <f t="shared" si="10"/>
        <v/>
      </c>
      <c r="L234" s="468" t="str">
        <f t="shared" si="11"/>
        <v/>
      </c>
      <c r="M234" s="468"/>
      <c r="N234" s="468"/>
      <c r="O234" s="468"/>
      <c r="P234" s="468"/>
      <c r="Q234" s="468"/>
      <c r="R234" s="468"/>
      <c r="U234" s="545"/>
      <c r="V234" s="546" t="str">
        <f t="shared" si="12"/>
        <v/>
      </c>
      <c r="W234" s="546" t="str">
        <f t="shared" si="13"/>
        <v/>
      </c>
      <c r="X234" t="str">
        <f t="shared" si="14"/>
        <v/>
      </c>
      <c r="Y234" t="str">
        <f t="shared" si="15"/>
        <v/>
      </c>
      <c r="AA234" s="468" t="str">
        <f t="shared" si="16"/>
        <v/>
      </c>
      <c r="AB234" s="555" t="str">
        <f t="shared" si="17"/>
        <v/>
      </c>
      <c r="AC234" s="468"/>
      <c r="AD234" s="520"/>
      <c r="AE234" s="468"/>
      <c r="AF234" s="468"/>
      <c r="AG234" s="468"/>
      <c r="AH234" s="468"/>
      <c r="AI234" s="468"/>
      <c r="AJ234" s="468"/>
      <c r="AK234" s="468"/>
      <c r="AL234" s="468"/>
      <c r="AM234" s="468"/>
      <c r="AN234" s="468"/>
      <c r="AO234" s="559"/>
      <c r="AP234" s="560">
        <f t="shared" si="18"/>
        <v>0</v>
      </c>
      <c r="AQ234" s="561"/>
      <c r="AS234" s="546"/>
      <c r="AT234" t="str" cm="1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468"/>
    </row>
    <row r="235" spans="7:47" outlineLevel="1" x14ac:dyDescent="0.25">
      <c r="G235" s="520"/>
      <c r="H235" s="520"/>
      <c r="I235" s="468"/>
      <c r="J235" s="468"/>
      <c r="K235" s="468" t="str">
        <f t="shared" si="10"/>
        <v/>
      </c>
      <c r="L235" s="468" t="str">
        <f t="shared" si="11"/>
        <v/>
      </c>
      <c r="M235" s="468"/>
      <c r="N235" s="468"/>
      <c r="O235" s="468"/>
      <c r="P235" s="468"/>
      <c r="Q235" s="468"/>
      <c r="R235" s="468"/>
      <c r="U235" s="545"/>
      <c r="V235" s="546" t="str">
        <f t="shared" si="12"/>
        <v/>
      </c>
      <c r="W235" s="546" t="str">
        <f t="shared" si="13"/>
        <v/>
      </c>
      <c r="X235" t="str">
        <f t="shared" si="14"/>
        <v/>
      </c>
      <c r="Y235" t="str">
        <f t="shared" si="15"/>
        <v/>
      </c>
      <c r="AA235" s="468" t="str">
        <f t="shared" si="16"/>
        <v/>
      </c>
      <c r="AB235" s="555" t="str">
        <f t="shared" si="17"/>
        <v/>
      </c>
      <c r="AC235" s="468"/>
      <c r="AD235" s="520"/>
      <c r="AE235" s="468"/>
      <c r="AF235" s="468"/>
      <c r="AG235" s="468"/>
      <c r="AH235" s="468"/>
      <c r="AI235" s="468"/>
      <c r="AJ235" s="468"/>
      <c r="AK235" s="468"/>
      <c r="AL235" s="468"/>
      <c r="AM235" s="468"/>
      <c r="AN235" s="468"/>
      <c r="AO235" s="559"/>
      <c r="AP235" s="560">
        <f t="shared" si="18"/>
        <v>0</v>
      </c>
      <c r="AQ235" s="561"/>
      <c r="AS235" s="546"/>
      <c r="AT235" t="str" cm="1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468"/>
    </row>
    <row r="236" spans="7:47" outlineLevel="1" x14ac:dyDescent="0.25">
      <c r="G236" s="520"/>
      <c r="H236" s="520"/>
      <c r="I236" s="468"/>
      <c r="J236" s="468"/>
      <c r="K236" s="468" t="str">
        <f t="shared" si="10"/>
        <v/>
      </c>
      <c r="L236" s="468" t="str">
        <f t="shared" si="11"/>
        <v/>
      </c>
      <c r="M236" s="468"/>
      <c r="N236" s="468"/>
      <c r="O236" s="468"/>
      <c r="P236" s="468"/>
      <c r="Q236" s="468"/>
      <c r="R236" s="468"/>
      <c r="U236" s="545"/>
      <c r="V236" s="546" t="str">
        <f t="shared" si="12"/>
        <v/>
      </c>
      <c r="W236" s="546" t="str">
        <f t="shared" si="13"/>
        <v/>
      </c>
      <c r="X236" t="str">
        <f t="shared" si="14"/>
        <v/>
      </c>
      <c r="Y236" t="str">
        <f t="shared" si="15"/>
        <v/>
      </c>
      <c r="AA236" s="468" t="str">
        <f t="shared" si="16"/>
        <v/>
      </c>
      <c r="AB236" s="555" t="str">
        <f t="shared" si="17"/>
        <v/>
      </c>
      <c r="AC236" s="468"/>
      <c r="AD236" s="520"/>
      <c r="AE236" s="468"/>
      <c r="AF236" s="468"/>
      <c r="AG236" s="468"/>
      <c r="AH236" s="468"/>
      <c r="AI236" s="468"/>
      <c r="AJ236" s="468"/>
      <c r="AK236" s="468"/>
      <c r="AL236" s="468"/>
      <c r="AM236" s="468"/>
      <c r="AN236" s="468"/>
      <c r="AO236" s="559"/>
      <c r="AP236" s="560">
        <f t="shared" si="18"/>
        <v>0</v>
      </c>
      <c r="AQ236" s="561"/>
      <c r="AS236" s="546"/>
      <c r="AT236" t="str" cm="1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468"/>
    </row>
    <row r="237" spans="7:47" outlineLevel="1" x14ac:dyDescent="0.25">
      <c r="G237" s="520"/>
      <c r="H237" s="520"/>
      <c r="I237" s="468"/>
      <c r="J237" s="468"/>
      <c r="K237" s="468" t="str">
        <f t="shared" si="10"/>
        <v/>
      </c>
      <c r="L237" s="468" t="str">
        <f t="shared" si="11"/>
        <v/>
      </c>
      <c r="M237" s="468"/>
      <c r="N237" s="468"/>
      <c r="O237" s="468"/>
      <c r="P237" s="468"/>
      <c r="Q237" s="468"/>
      <c r="R237" s="468"/>
      <c r="U237" s="545"/>
      <c r="V237" s="546" t="str">
        <f t="shared" si="12"/>
        <v/>
      </c>
      <c r="W237" s="546" t="str">
        <f t="shared" si="13"/>
        <v/>
      </c>
      <c r="X237" t="str">
        <f t="shared" si="14"/>
        <v/>
      </c>
      <c r="Y237" t="str">
        <f t="shared" si="15"/>
        <v/>
      </c>
      <c r="AA237" s="468" t="str">
        <f t="shared" si="16"/>
        <v/>
      </c>
      <c r="AB237" s="555" t="str">
        <f t="shared" si="17"/>
        <v/>
      </c>
      <c r="AC237" s="468"/>
      <c r="AD237" s="520"/>
      <c r="AE237" s="468"/>
      <c r="AF237" s="468"/>
      <c r="AG237" s="468"/>
      <c r="AH237" s="468"/>
      <c r="AI237" s="468"/>
      <c r="AJ237" s="468"/>
      <c r="AK237" s="468"/>
      <c r="AL237" s="468"/>
      <c r="AM237" s="468"/>
      <c r="AN237" s="468"/>
      <c r="AO237" s="559"/>
      <c r="AP237" s="560">
        <f t="shared" si="18"/>
        <v>0</v>
      </c>
      <c r="AQ237" s="561"/>
      <c r="AS237" s="546"/>
      <c r="AT237" t="str" cm="1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468"/>
    </row>
    <row r="238" spans="7:47" outlineLevel="1" x14ac:dyDescent="0.25">
      <c r="G238" s="520"/>
      <c r="H238" s="520"/>
      <c r="I238" s="468"/>
      <c r="J238" s="468"/>
      <c r="K238" s="468" t="str">
        <f t="shared" si="10"/>
        <v/>
      </c>
      <c r="L238" s="468" t="str">
        <f t="shared" si="11"/>
        <v/>
      </c>
      <c r="M238" s="468"/>
      <c r="N238" s="468"/>
      <c r="O238" s="468"/>
      <c r="P238" s="468"/>
      <c r="Q238" s="468"/>
      <c r="R238" s="468"/>
      <c r="U238" s="545"/>
      <c r="V238" s="546" t="str">
        <f t="shared" si="12"/>
        <v/>
      </c>
      <c r="W238" s="546" t="str">
        <f t="shared" si="13"/>
        <v/>
      </c>
      <c r="X238" t="str">
        <f t="shared" si="14"/>
        <v/>
      </c>
      <c r="Y238" t="str">
        <f t="shared" si="15"/>
        <v/>
      </c>
      <c r="AA238" s="468" t="str">
        <f t="shared" si="16"/>
        <v/>
      </c>
      <c r="AB238" s="555" t="str">
        <f t="shared" si="17"/>
        <v/>
      </c>
      <c r="AC238" s="468"/>
      <c r="AD238" s="520"/>
      <c r="AE238" s="468"/>
      <c r="AF238" s="468"/>
      <c r="AG238" s="468"/>
      <c r="AH238" s="468"/>
      <c r="AI238" s="468"/>
      <c r="AJ238" s="468"/>
      <c r="AK238" s="468"/>
      <c r="AL238" s="468"/>
      <c r="AM238" s="468"/>
      <c r="AN238" s="468"/>
      <c r="AO238" s="559"/>
      <c r="AP238" s="560">
        <f t="shared" si="18"/>
        <v>0</v>
      </c>
      <c r="AQ238" s="561"/>
      <c r="AS238" s="546"/>
      <c r="AT238" t="str" cm="1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468"/>
    </row>
    <row r="239" spans="7:47" outlineLevel="1" x14ac:dyDescent="0.25">
      <c r="G239" s="520"/>
      <c r="H239" s="520"/>
      <c r="I239" s="468"/>
      <c r="J239" s="468"/>
      <c r="K239" s="468" t="str">
        <f t="shared" si="10"/>
        <v/>
      </c>
      <c r="L239" s="468" t="str">
        <f t="shared" si="11"/>
        <v/>
      </c>
      <c r="M239" s="468"/>
      <c r="N239" s="468"/>
      <c r="O239" s="468"/>
      <c r="P239" s="468"/>
      <c r="Q239" s="468"/>
      <c r="R239" s="468"/>
      <c r="U239" s="545"/>
      <c r="V239" s="546" t="str">
        <f t="shared" si="12"/>
        <v/>
      </c>
      <c r="W239" s="546" t="str">
        <f t="shared" si="13"/>
        <v/>
      </c>
      <c r="X239" t="str">
        <f t="shared" si="14"/>
        <v/>
      </c>
      <c r="Y239" t="str">
        <f t="shared" si="15"/>
        <v/>
      </c>
      <c r="AA239" s="468" t="str">
        <f t="shared" si="16"/>
        <v/>
      </c>
      <c r="AB239" s="555" t="str">
        <f t="shared" si="17"/>
        <v/>
      </c>
      <c r="AC239" s="468"/>
      <c r="AD239" s="520"/>
      <c r="AE239" s="468"/>
      <c r="AF239" s="468"/>
      <c r="AG239" s="468"/>
      <c r="AH239" s="468"/>
      <c r="AI239" s="468"/>
      <c r="AJ239" s="468"/>
      <c r="AK239" s="468"/>
      <c r="AL239" s="468"/>
      <c r="AM239" s="468"/>
      <c r="AN239" s="468"/>
      <c r="AO239" s="559"/>
      <c r="AP239" s="560">
        <f t="shared" si="18"/>
        <v>0</v>
      </c>
      <c r="AQ239" s="561"/>
      <c r="AS239" s="546"/>
      <c r="AT239" t="str" cm="1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468"/>
    </row>
    <row r="240" spans="7:47" outlineLevel="1" x14ac:dyDescent="0.25">
      <c r="G240" s="520"/>
      <c r="H240" s="520"/>
      <c r="I240" s="468"/>
      <c r="J240" s="468"/>
      <c r="K240" s="468" t="str">
        <f t="shared" si="10"/>
        <v/>
      </c>
      <c r="L240" s="468" t="str">
        <f t="shared" si="11"/>
        <v/>
      </c>
      <c r="M240" s="468"/>
      <c r="N240" s="468"/>
      <c r="O240" s="468"/>
      <c r="P240" s="468"/>
      <c r="Q240" s="468"/>
      <c r="R240" s="468"/>
      <c r="U240" s="545"/>
      <c r="V240" s="546" t="str">
        <f t="shared" si="12"/>
        <v/>
      </c>
      <c r="W240" s="546" t="str">
        <f t="shared" si="13"/>
        <v/>
      </c>
      <c r="X240" t="str">
        <f t="shared" si="14"/>
        <v/>
      </c>
      <c r="Y240" t="str">
        <f t="shared" si="15"/>
        <v/>
      </c>
      <c r="AA240" s="468" t="str">
        <f t="shared" si="16"/>
        <v/>
      </c>
      <c r="AB240" s="555" t="str">
        <f t="shared" si="17"/>
        <v/>
      </c>
      <c r="AC240" s="468"/>
      <c r="AD240" s="520"/>
      <c r="AE240" s="468"/>
      <c r="AF240" s="468"/>
      <c r="AG240" s="468"/>
      <c r="AH240" s="468"/>
      <c r="AI240" s="468"/>
      <c r="AJ240" s="468"/>
      <c r="AK240" s="468"/>
      <c r="AL240" s="468"/>
      <c r="AM240" s="468"/>
      <c r="AN240" s="468"/>
      <c r="AO240" s="559"/>
      <c r="AP240" s="560">
        <f t="shared" si="18"/>
        <v>0</v>
      </c>
      <c r="AQ240" s="561"/>
      <c r="AS240" s="546"/>
      <c r="AT240" t="str" cm="1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468"/>
    </row>
    <row r="241" spans="7:47" outlineLevel="1" x14ac:dyDescent="0.25">
      <c r="G241" s="520"/>
      <c r="H241" s="520"/>
      <c r="I241" s="468"/>
      <c r="J241" s="468"/>
      <c r="K241" s="468" t="str">
        <f t="shared" si="10"/>
        <v/>
      </c>
      <c r="L241" s="468" t="str">
        <f t="shared" si="11"/>
        <v/>
      </c>
      <c r="M241" s="468"/>
      <c r="N241" s="468"/>
      <c r="O241" s="468"/>
      <c r="P241" s="468"/>
      <c r="Q241" s="468"/>
      <c r="R241" s="468"/>
      <c r="U241" s="545"/>
      <c r="V241" s="546" t="str">
        <f t="shared" si="12"/>
        <v/>
      </c>
      <c r="W241" s="546" t="str">
        <f t="shared" si="13"/>
        <v/>
      </c>
      <c r="X241" t="str">
        <f t="shared" si="14"/>
        <v/>
      </c>
      <c r="Y241" t="str">
        <f t="shared" si="15"/>
        <v/>
      </c>
      <c r="AA241" s="468" t="str">
        <f t="shared" si="16"/>
        <v/>
      </c>
      <c r="AB241" s="555" t="str">
        <f t="shared" si="17"/>
        <v/>
      </c>
      <c r="AC241" s="468"/>
      <c r="AD241" s="520"/>
      <c r="AE241" s="468"/>
      <c r="AF241" s="468"/>
      <c r="AG241" s="468"/>
      <c r="AH241" s="468"/>
      <c r="AI241" s="468"/>
      <c r="AJ241" s="468"/>
      <c r="AK241" s="468"/>
      <c r="AL241" s="468"/>
      <c r="AM241" s="468"/>
      <c r="AN241" s="468"/>
      <c r="AO241" s="559"/>
      <c r="AP241" s="560">
        <f t="shared" si="18"/>
        <v>0</v>
      </c>
      <c r="AQ241" s="561"/>
      <c r="AS241" s="546"/>
      <c r="AT241" t="str" cm="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468"/>
    </row>
    <row r="242" spans="7:47" outlineLevel="1" x14ac:dyDescent="0.25">
      <c r="G242" s="520"/>
      <c r="H242" s="520"/>
      <c r="I242" s="468"/>
      <c r="J242" s="468"/>
      <c r="K242" s="468" t="str">
        <f t="shared" si="10"/>
        <v/>
      </c>
      <c r="L242" s="468" t="str">
        <f t="shared" si="11"/>
        <v/>
      </c>
      <c r="M242" s="468"/>
      <c r="N242" s="468"/>
      <c r="O242" s="468"/>
      <c r="P242" s="468"/>
      <c r="Q242" s="468"/>
      <c r="R242" s="468"/>
      <c r="U242" s="545"/>
      <c r="V242" s="546" t="str">
        <f t="shared" si="12"/>
        <v/>
      </c>
      <c r="W242" s="546" t="str">
        <f t="shared" si="13"/>
        <v/>
      </c>
      <c r="X242" t="str">
        <f t="shared" si="14"/>
        <v/>
      </c>
      <c r="Y242" t="str">
        <f t="shared" si="15"/>
        <v/>
      </c>
      <c r="AA242" s="468" t="str">
        <f t="shared" si="16"/>
        <v/>
      </c>
      <c r="AB242" s="555" t="str">
        <f t="shared" si="17"/>
        <v/>
      </c>
      <c r="AC242" s="468"/>
      <c r="AD242" s="520"/>
      <c r="AE242" s="468"/>
      <c r="AF242" s="468"/>
      <c r="AG242" s="468"/>
      <c r="AH242" s="468"/>
      <c r="AI242" s="468"/>
      <c r="AJ242" s="468"/>
      <c r="AK242" s="468"/>
      <c r="AL242" s="468"/>
      <c r="AM242" s="468"/>
      <c r="AN242" s="468"/>
      <c r="AO242" s="559"/>
      <c r="AP242" s="560">
        <f t="shared" si="18"/>
        <v>0</v>
      </c>
      <c r="AQ242" s="561"/>
      <c r="AS242" s="546"/>
      <c r="AT242" t="str" cm="1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468"/>
    </row>
    <row r="243" spans="7:47" outlineLevel="1" x14ac:dyDescent="0.25">
      <c r="G243" s="520"/>
      <c r="H243" s="520"/>
      <c r="I243" s="468"/>
      <c r="J243" s="468"/>
      <c r="K243" s="468" t="str">
        <f t="shared" si="10"/>
        <v/>
      </c>
      <c r="L243" s="468" t="str">
        <f t="shared" si="11"/>
        <v/>
      </c>
      <c r="M243" s="468"/>
      <c r="N243" s="468"/>
      <c r="O243" s="468"/>
      <c r="P243" s="468"/>
      <c r="Q243" s="468"/>
      <c r="R243" s="468"/>
      <c r="U243" s="545"/>
      <c r="V243" s="546" t="str">
        <f t="shared" si="12"/>
        <v/>
      </c>
      <c r="W243" s="546" t="str">
        <f t="shared" si="13"/>
        <v/>
      </c>
      <c r="X243" t="str">
        <f t="shared" si="14"/>
        <v/>
      </c>
      <c r="Y243" t="str">
        <f t="shared" si="15"/>
        <v/>
      </c>
      <c r="AA243" s="468" t="str">
        <f t="shared" si="16"/>
        <v/>
      </c>
      <c r="AB243" s="555" t="str">
        <f t="shared" si="17"/>
        <v/>
      </c>
      <c r="AC243" s="468"/>
      <c r="AD243" s="520"/>
      <c r="AE243" s="468"/>
      <c r="AF243" s="468"/>
      <c r="AG243" s="468"/>
      <c r="AH243" s="468"/>
      <c r="AI243" s="468"/>
      <c r="AJ243" s="468"/>
      <c r="AK243" s="468"/>
      <c r="AL243" s="468"/>
      <c r="AM243" s="468"/>
      <c r="AN243" s="468"/>
      <c r="AO243" s="559"/>
      <c r="AP243" s="560">
        <f t="shared" si="18"/>
        <v>0</v>
      </c>
      <c r="AQ243" s="561"/>
      <c r="AS243" s="546"/>
      <c r="AT243" t="str" cm="1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468"/>
    </row>
    <row r="244" spans="7:47" outlineLevel="1" x14ac:dyDescent="0.25">
      <c r="G244" s="520"/>
      <c r="H244" s="520"/>
      <c r="I244" s="468"/>
      <c r="J244" s="468"/>
      <c r="K244" s="468" t="str">
        <f t="shared" si="10"/>
        <v/>
      </c>
      <c r="L244" s="468" t="str">
        <f t="shared" si="11"/>
        <v/>
      </c>
      <c r="M244" s="468"/>
      <c r="N244" s="468"/>
      <c r="O244" s="468"/>
      <c r="P244" s="468"/>
      <c r="Q244" s="468"/>
      <c r="R244" s="468"/>
      <c r="U244" s="545"/>
      <c r="V244" s="546" t="str">
        <f t="shared" si="12"/>
        <v/>
      </c>
      <c r="W244" s="546" t="str">
        <f t="shared" si="13"/>
        <v/>
      </c>
      <c r="X244" t="str">
        <f t="shared" si="14"/>
        <v/>
      </c>
      <c r="Y244" t="str">
        <f t="shared" si="15"/>
        <v/>
      </c>
      <c r="AA244" s="468" t="str">
        <f t="shared" si="16"/>
        <v/>
      </c>
      <c r="AB244" s="555" t="str">
        <f t="shared" si="17"/>
        <v/>
      </c>
      <c r="AC244" s="468"/>
      <c r="AD244" s="520"/>
      <c r="AE244" s="468"/>
      <c r="AF244" s="468"/>
      <c r="AG244" s="468"/>
      <c r="AH244" s="468"/>
      <c r="AI244" s="468"/>
      <c r="AJ244" s="468"/>
      <c r="AK244" s="468"/>
      <c r="AL244" s="468"/>
      <c r="AM244" s="468"/>
      <c r="AN244" s="468"/>
      <c r="AO244" s="559"/>
      <c r="AP244" s="560">
        <f t="shared" si="18"/>
        <v>0</v>
      </c>
      <c r="AQ244" s="561"/>
      <c r="AS244" s="546"/>
      <c r="AT244" t="str" cm="1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468"/>
    </row>
    <row r="245" spans="7:47" outlineLevel="1" x14ac:dyDescent="0.25">
      <c r="G245" s="520"/>
      <c r="H245" s="520"/>
      <c r="I245" s="468"/>
      <c r="J245" s="468"/>
      <c r="K245" s="468" t="str">
        <f t="shared" si="10"/>
        <v/>
      </c>
      <c r="L245" s="468" t="str">
        <f t="shared" si="11"/>
        <v/>
      </c>
      <c r="M245" s="468"/>
      <c r="N245" s="468"/>
      <c r="O245" s="468"/>
      <c r="P245" s="468"/>
      <c r="Q245" s="468"/>
      <c r="R245" s="468"/>
      <c r="U245" s="545"/>
      <c r="V245" s="546" t="str">
        <f t="shared" si="12"/>
        <v/>
      </c>
      <c r="W245" s="546" t="str">
        <f t="shared" si="13"/>
        <v/>
      </c>
      <c r="X245" t="str">
        <f t="shared" si="14"/>
        <v/>
      </c>
      <c r="Y245" t="str">
        <f t="shared" si="15"/>
        <v/>
      </c>
      <c r="AA245" s="468" t="str">
        <f t="shared" si="16"/>
        <v/>
      </c>
      <c r="AB245" s="555" t="str">
        <f t="shared" si="17"/>
        <v/>
      </c>
      <c r="AC245" s="468"/>
      <c r="AD245" s="520"/>
      <c r="AE245" s="468"/>
      <c r="AF245" s="468"/>
      <c r="AG245" s="468"/>
      <c r="AH245" s="468"/>
      <c r="AI245" s="468"/>
      <c r="AJ245" s="468"/>
      <c r="AK245" s="468"/>
      <c r="AL245" s="468"/>
      <c r="AM245" s="468"/>
      <c r="AN245" s="468"/>
      <c r="AO245" s="559"/>
      <c r="AP245" s="560">
        <f t="shared" si="18"/>
        <v>0</v>
      </c>
      <c r="AQ245" s="561"/>
      <c r="AS245" s="546"/>
      <c r="AT245" t="str" cm="1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468"/>
    </row>
    <row r="246" spans="7:47" outlineLevel="1" x14ac:dyDescent="0.25">
      <c r="G246" s="520"/>
      <c r="H246" s="520"/>
      <c r="I246" s="468"/>
      <c r="J246" s="468"/>
      <c r="K246" s="468" t="str">
        <f t="shared" si="10"/>
        <v/>
      </c>
      <c r="L246" s="468" t="str">
        <f t="shared" si="11"/>
        <v/>
      </c>
      <c r="M246" s="468"/>
      <c r="N246" s="468"/>
      <c r="O246" s="468"/>
      <c r="P246" s="468"/>
      <c r="Q246" s="468"/>
      <c r="R246" s="468"/>
      <c r="U246" s="545"/>
      <c r="V246" s="546" t="str">
        <f t="shared" si="12"/>
        <v/>
      </c>
      <c r="W246" s="546" t="str">
        <f t="shared" si="13"/>
        <v/>
      </c>
      <c r="X246" t="str">
        <f t="shared" si="14"/>
        <v/>
      </c>
      <c r="Y246" t="str">
        <f t="shared" si="15"/>
        <v/>
      </c>
      <c r="AA246" s="468" t="str">
        <f t="shared" si="16"/>
        <v/>
      </c>
      <c r="AB246" s="555" t="str">
        <f t="shared" si="17"/>
        <v/>
      </c>
      <c r="AC246" s="468"/>
      <c r="AD246" s="520"/>
      <c r="AE246" s="468"/>
      <c r="AF246" s="468"/>
      <c r="AG246" s="468"/>
      <c r="AH246" s="468"/>
      <c r="AI246" s="468"/>
      <c r="AJ246" s="468"/>
      <c r="AK246" s="468"/>
      <c r="AL246" s="468"/>
      <c r="AM246" s="468"/>
      <c r="AN246" s="468"/>
      <c r="AO246" s="559"/>
      <c r="AP246" s="560">
        <f t="shared" si="18"/>
        <v>0</v>
      </c>
      <c r="AQ246" s="561"/>
      <c r="AS246" s="546"/>
      <c r="AT246" t="str" cm="1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468"/>
    </row>
    <row r="247" spans="7:47" outlineLevel="1" x14ac:dyDescent="0.25">
      <c r="G247" s="520"/>
      <c r="H247" s="520"/>
      <c r="I247" s="468"/>
      <c r="J247" s="468"/>
      <c r="K247" s="468" t="str">
        <f t="shared" si="10"/>
        <v/>
      </c>
      <c r="L247" s="468" t="str">
        <f t="shared" si="11"/>
        <v/>
      </c>
      <c r="M247" s="468"/>
      <c r="N247" s="468"/>
      <c r="O247" s="468"/>
      <c r="P247" s="468"/>
      <c r="Q247" s="468"/>
      <c r="R247" s="468"/>
      <c r="U247" s="545"/>
      <c r="V247" s="546" t="str">
        <f t="shared" si="12"/>
        <v/>
      </c>
      <c r="W247" s="546" t="str">
        <f t="shared" si="13"/>
        <v/>
      </c>
      <c r="X247" t="str">
        <f t="shared" si="14"/>
        <v/>
      </c>
      <c r="Y247" t="str">
        <f t="shared" si="15"/>
        <v/>
      </c>
      <c r="AA247" s="468" t="str">
        <f t="shared" si="16"/>
        <v/>
      </c>
      <c r="AB247" s="555" t="str">
        <f t="shared" si="17"/>
        <v/>
      </c>
      <c r="AC247" s="468"/>
      <c r="AD247" s="520"/>
      <c r="AE247" s="468"/>
      <c r="AF247" s="468"/>
      <c r="AG247" s="468"/>
      <c r="AH247" s="468"/>
      <c r="AI247" s="468"/>
      <c r="AJ247" s="468"/>
      <c r="AK247" s="468"/>
      <c r="AL247" s="468"/>
      <c r="AM247" s="468"/>
      <c r="AN247" s="468"/>
      <c r="AO247" s="559"/>
      <c r="AP247" s="560">
        <f t="shared" si="18"/>
        <v>0</v>
      </c>
      <c r="AQ247" s="561"/>
      <c r="AS247" s="546"/>
      <c r="AT247" t="str" cm="1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468"/>
    </row>
    <row r="248" spans="7:47" outlineLevel="1" x14ac:dyDescent="0.25">
      <c r="G248" s="520"/>
      <c r="H248" s="520"/>
      <c r="I248" s="468"/>
      <c r="J248" s="468"/>
      <c r="K248" s="468" t="str">
        <f t="shared" si="10"/>
        <v/>
      </c>
      <c r="L248" s="468" t="str">
        <f t="shared" si="11"/>
        <v/>
      </c>
      <c r="M248" s="468"/>
      <c r="N248" s="468"/>
      <c r="O248" s="468"/>
      <c r="P248" s="468"/>
      <c r="Q248" s="468"/>
      <c r="R248" s="468"/>
      <c r="U248" s="545"/>
      <c r="V248" s="546" t="str">
        <f t="shared" si="12"/>
        <v/>
      </c>
      <c r="W248" s="546" t="str">
        <f t="shared" si="13"/>
        <v/>
      </c>
      <c r="X248" t="str">
        <f t="shared" si="14"/>
        <v/>
      </c>
      <c r="Y248" t="str">
        <f t="shared" si="15"/>
        <v/>
      </c>
      <c r="AA248" s="468" t="str">
        <f t="shared" si="16"/>
        <v/>
      </c>
      <c r="AB248" s="555" t="str">
        <f t="shared" si="17"/>
        <v/>
      </c>
      <c r="AC248" s="468"/>
      <c r="AD248" s="520"/>
      <c r="AE248" s="468"/>
      <c r="AF248" s="468"/>
      <c r="AG248" s="468"/>
      <c r="AH248" s="468"/>
      <c r="AI248" s="468"/>
      <c r="AJ248" s="468"/>
      <c r="AK248" s="468"/>
      <c r="AL248" s="468"/>
      <c r="AM248" s="468"/>
      <c r="AN248" s="468"/>
      <c r="AO248" s="559"/>
      <c r="AP248" s="560">
        <f t="shared" si="18"/>
        <v>0</v>
      </c>
      <c r="AQ248" s="561"/>
      <c r="AS248" s="546"/>
      <c r="AT248" t="str" cm="1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468"/>
    </row>
    <row r="249" spans="7:47" outlineLevel="1" x14ac:dyDescent="0.25">
      <c r="G249" s="520"/>
      <c r="H249" s="520"/>
      <c r="I249" s="468"/>
      <c r="J249" s="468"/>
      <c r="K249" s="468" t="str">
        <f t="shared" si="10"/>
        <v/>
      </c>
      <c r="L249" s="468" t="str">
        <f t="shared" si="11"/>
        <v/>
      </c>
      <c r="M249" s="468"/>
      <c r="N249" s="468"/>
      <c r="O249" s="468"/>
      <c r="P249" s="468"/>
      <c r="Q249" s="468"/>
      <c r="R249" s="468"/>
      <c r="U249" s="545"/>
      <c r="V249" s="546" t="str">
        <f t="shared" si="12"/>
        <v/>
      </c>
      <c r="W249" s="546" t="str">
        <f t="shared" si="13"/>
        <v/>
      </c>
      <c r="X249" t="str">
        <f t="shared" si="14"/>
        <v/>
      </c>
      <c r="Y249" t="str">
        <f t="shared" si="15"/>
        <v/>
      </c>
      <c r="AA249" s="468" t="str">
        <f t="shared" si="16"/>
        <v/>
      </c>
      <c r="AB249" s="555" t="str">
        <f t="shared" si="17"/>
        <v/>
      </c>
      <c r="AC249" s="468"/>
      <c r="AD249" s="520"/>
      <c r="AE249" s="468"/>
      <c r="AF249" s="468"/>
      <c r="AG249" s="468"/>
      <c r="AH249" s="468"/>
      <c r="AI249" s="468"/>
      <c r="AJ249" s="468"/>
      <c r="AK249" s="468"/>
      <c r="AL249" s="468"/>
      <c r="AM249" s="468"/>
      <c r="AN249" s="468"/>
      <c r="AO249" s="559"/>
      <c r="AP249" s="560">
        <f t="shared" si="18"/>
        <v>0</v>
      </c>
      <c r="AQ249" s="561"/>
      <c r="AS249" s="546"/>
      <c r="AT249" t="str" cm="1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468"/>
    </row>
    <row r="250" spans="7:47" outlineLevel="1" x14ac:dyDescent="0.25">
      <c r="G250" s="520"/>
      <c r="H250" s="520"/>
      <c r="I250" s="468"/>
      <c r="J250" s="468"/>
      <c r="K250" s="468" t="str">
        <f t="shared" si="10"/>
        <v/>
      </c>
      <c r="L250" s="468" t="str">
        <f t="shared" si="11"/>
        <v/>
      </c>
      <c r="M250" s="468"/>
      <c r="N250" s="468"/>
      <c r="O250" s="468"/>
      <c r="P250" s="468"/>
      <c r="Q250" s="468"/>
      <c r="R250" s="468"/>
      <c r="U250" s="545"/>
      <c r="V250" s="546" t="str">
        <f t="shared" si="12"/>
        <v/>
      </c>
      <c r="W250" s="546" t="str">
        <f t="shared" si="13"/>
        <v/>
      </c>
      <c r="X250" t="str">
        <f t="shared" si="14"/>
        <v/>
      </c>
      <c r="Y250" t="str">
        <f t="shared" si="15"/>
        <v/>
      </c>
      <c r="AA250" s="468" t="str">
        <f t="shared" si="16"/>
        <v/>
      </c>
      <c r="AB250" s="555" t="str">
        <f t="shared" si="17"/>
        <v/>
      </c>
      <c r="AC250" s="468"/>
      <c r="AD250" s="520"/>
      <c r="AE250" s="468"/>
      <c r="AF250" s="468"/>
      <c r="AG250" s="468"/>
      <c r="AH250" s="468"/>
      <c r="AI250" s="468"/>
      <c r="AJ250" s="468"/>
      <c r="AK250" s="468"/>
      <c r="AL250" s="468"/>
      <c r="AM250" s="468"/>
      <c r="AN250" s="468"/>
      <c r="AO250" s="559"/>
      <c r="AP250" s="560">
        <f t="shared" si="18"/>
        <v>0</v>
      </c>
      <c r="AQ250" s="561"/>
      <c r="AS250" s="546"/>
      <c r="AT250" t="str" cm="1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468"/>
    </row>
    <row r="251" spans="7:47" outlineLevel="1" x14ac:dyDescent="0.25">
      <c r="G251" s="520"/>
      <c r="H251" s="520"/>
      <c r="I251" s="468"/>
      <c r="J251" s="468"/>
      <c r="K251" s="468" t="str">
        <f t="shared" si="10"/>
        <v/>
      </c>
      <c r="L251" s="468" t="str">
        <f t="shared" si="11"/>
        <v/>
      </c>
      <c r="M251" s="468"/>
      <c r="N251" s="468"/>
      <c r="O251" s="468"/>
      <c r="P251" s="468"/>
      <c r="Q251" s="468"/>
      <c r="R251" s="468"/>
      <c r="U251" s="545"/>
      <c r="V251" s="546" t="str">
        <f t="shared" si="12"/>
        <v/>
      </c>
      <c r="W251" s="546" t="str">
        <f t="shared" si="13"/>
        <v/>
      </c>
      <c r="X251" t="str">
        <f t="shared" si="14"/>
        <v/>
      </c>
      <c r="Y251" t="str">
        <f t="shared" si="15"/>
        <v/>
      </c>
      <c r="AA251" s="468" t="str">
        <f t="shared" si="16"/>
        <v/>
      </c>
      <c r="AB251" s="555" t="str">
        <f t="shared" si="17"/>
        <v/>
      </c>
      <c r="AC251" s="468"/>
      <c r="AD251" s="520"/>
      <c r="AE251" s="468"/>
      <c r="AF251" s="468"/>
      <c r="AG251" s="468"/>
      <c r="AH251" s="468"/>
      <c r="AI251" s="468"/>
      <c r="AJ251" s="468"/>
      <c r="AK251" s="468"/>
      <c r="AL251" s="468"/>
      <c r="AM251" s="468"/>
      <c r="AN251" s="468"/>
      <c r="AO251" s="559"/>
      <c r="AP251" s="560">
        <f t="shared" si="18"/>
        <v>0</v>
      </c>
      <c r="AQ251" s="561"/>
      <c r="AS251" s="546"/>
      <c r="AT251" t="str" cm="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468"/>
    </row>
    <row r="252" spans="7:47" outlineLevel="1" x14ac:dyDescent="0.25">
      <c r="G252" s="520"/>
      <c r="H252" s="520"/>
      <c r="I252" s="468"/>
      <c r="J252" s="468"/>
      <c r="K252" s="468" t="str">
        <f t="shared" si="10"/>
        <v/>
      </c>
      <c r="L252" s="468" t="str">
        <f t="shared" si="11"/>
        <v/>
      </c>
      <c r="M252" s="468"/>
      <c r="N252" s="468"/>
      <c r="O252" s="468"/>
      <c r="P252" s="468"/>
      <c r="Q252" s="468"/>
      <c r="R252" s="468"/>
      <c r="U252" s="545"/>
      <c r="V252" s="546" t="str">
        <f t="shared" si="12"/>
        <v/>
      </c>
      <c r="W252" s="546" t="str">
        <f t="shared" si="13"/>
        <v/>
      </c>
      <c r="X252" t="str">
        <f t="shared" si="14"/>
        <v/>
      </c>
      <c r="Y252" t="str">
        <f t="shared" si="15"/>
        <v/>
      </c>
      <c r="AA252" s="468" t="str">
        <f t="shared" si="16"/>
        <v/>
      </c>
      <c r="AB252" s="555" t="str">
        <f t="shared" si="17"/>
        <v/>
      </c>
      <c r="AC252" s="468"/>
      <c r="AD252" s="520"/>
      <c r="AE252" s="468"/>
      <c r="AF252" s="468"/>
      <c r="AG252" s="468"/>
      <c r="AH252" s="468"/>
      <c r="AI252" s="468"/>
      <c r="AJ252" s="468"/>
      <c r="AK252" s="468"/>
      <c r="AL252" s="468"/>
      <c r="AM252" s="468"/>
      <c r="AN252" s="468"/>
      <c r="AO252" s="559"/>
      <c r="AP252" s="560">
        <f t="shared" si="18"/>
        <v>0</v>
      </c>
      <c r="AQ252" s="561"/>
      <c r="AS252" s="546"/>
      <c r="AT252" t="str" cm="1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468"/>
    </row>
    <row r="253" spans="7:47" outlineLevel="1" x14ac:dyDescent="0.25">
      <c r="G253" s="520"/>
      <c r="H253" s="520"/>
      <c r="I253" s="468"/>
      <c r="J253" s="468"/>
      <c r="K253" s="468" t="str">
        <f t="shared" si="10"/>
        <v/>
      </c>
      <c r="L253" s="468" t="str">
        <f t="shared" si="11"/>
        <v/>
      </c>
      <c r="M253" s="468"/>
      <c r="N253" s="468"/>
      <c r="O253" s="468"/>
      <c r="P253" s="468"/>
      <c r="Q253" s="468"/>
      <c r="R253" s="468"/>
      <c r="U253" s="545"/>
      <c r="V253" s="546" t="str">
        <f t="shared" si="12"/>
        <v/>
      </c>
      <c r="W253" s="546" t="str">
        <f t="shared" si="13"/>
        <v/>
      </c>
      <c r="X253" t="str">
        <f t="shared" si="14"/>
        <v/>
      </c>
      <c r="Y253" t="str">
        <f t="shared" si="15"/>
        <v/>
      </c>
      <c r="AA253" s="468" t="str">
        <f t="shared" si="16"/>
        <v/>
      </c>
      <c r="AB253" s="555" t="str">
        <f t="shared" si="17"/>
        <v/>
      </c>
      <c r="AC253" s="468"/>
      <c r="AD253" s="520"/>
      <c r="AE253" s="468"/>
      <c r="AF253" s="468"/>
      <c r="AG253" s="468"/>
      <c r="AH253" s="468"/>
      <c r="AI253" s="468"/>
      <c r="AJ253" s="468"/>
      <c r="AK253" s="468"/>
      <c r="AL253" s="468"/>
      <c r="AM253" s="468"/>
      <c r="AN253" s="468"/>
      <c r="AO253" s="559"/>
      <c r="AP253" s="560">
        <f t="shared" si="18"/>
        <v>0</v>
      </c>
      <c r="AQ253" s="561"/>
      <c r="AS253" s="546"/>
      <c r="AT253" t="str" cm="1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468"/>
    </row>
    <row r="254" spans="7:47" outlineLevel="1" x14ac:dyDescent="0.25">
      <c r="G254" s="520"/>
      <c r="H254" s="520"/>
      <c r="I254" s="468"/>
      <c r="J254" s="468"/>
      <c r="K254" s="468" t="str">
        <f t="shared" si="10"/>
        <v/>
      </c>
      <c r="L254" s="468" t="str">
        <f t="shared" si="11"/>
        <v/>
      </c>
      <c r="M254" s="468"/>
      <c r="N254" s="468"/>
      <c r="O254" s="468"/>
      <c r="P254" s="468"/>
      <c r="Q254" s="468"/>
      <c r="R254" s="468"/>
      <c r="U254" s="545"/>
      <c r="V254" s="546" t="str">
        <f t="shared" si="12"/>
        <v/>
      </c>
      <c r="W254" s="546" t="str">
        <f t="shared" si="13"/>
        <v/>
      </c>
      <c r="X254" t="str">
        <f t="shared" si="14"/>
        <v/>
      </c>
      <c r="Y254" t="str">
        <f t="shared" si="15"/>
        <v/>
      </c>
      <c r="AA254" s="468" t="str">
        <f t="shared" si="16"/>
        <v/>
      </c>
      <c r="AB254" s="555" t="str">
        <f t="shared" si="17"/>
        <v/>
      </c>
      <c r="AC254" s="468"/>
      <c r="AD254" s="520"/>
      <c r="AE254" s="468"/>
      <c r="AF254" s="468"/>
      <c r="AG254" s="468"/>
      <c r="AH254" s="468"/>
      <c r="AI254" s="468"/>
      <c r="AJ254" s="468"/>
      <c r="AK254" s="468"/>
      <c r="AL254" s="468"/>
      <c r="AM254" s="468"/>
      <c r="AN254" s="468"/>
      <c r="AO254" s="559"/>
      <c r="AP254" s="560">
        <f t="shared" si="18"/>
        <v>0</v>
      </c>
      <c r="AQ254" s="561"/>
      <c r="AS254" s="546"/>
      <c r="AT254" t="str" cm="1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468"/>
    </row>
    <row r="255" spans="7:47" outlineLevel="1" x14ac:dyDescent="0.25">
      <c r="G255" s="520"/>
      <c r="H255" s="520"/>
      <c r="I255" s="468"/>
      <c r="J255" s="468"/>
      <c r="K255" s="468" t="str">
        <f t="shared" si="10"/>
        <v/>
      </c>
      <c r="L255" s="468" t="str">
        <f t="shared" si="11"/>
        <v/>
      </c>
      <c r="M255" s="468"/>
      <c r="N255" s="468"/>
      <c r="O255" s="468"/>
      <c r="P255" s="468"/>
      <c r="Q255" s="468"/>
      <c r="R255" s="468"/>
      <c r="U255" s="545"/>
      <c r="V255" s="546" t="str">
        <f t="shared" si="12"/>
        <v/>
      </c>
      <c r="W255" s="546" t="str">
        <f t="shared" si="13"/>
        <v/>
      </c>
      <c r="X255" t="str">
        <f t="shared" si="14"/>
        <v/>
      </c>
      <c r="Y255" t="str">
        <f t="shared" si="15"/>
        <v/>
      </c>
      <c r="AA255" s="468" t="str">
        <f t="shared" si="16"/>
        <v/>
      </c>
      <c r="AB255" s="555" t="str">
        <f t="shared" si="17"/>
        <v/>
      </c>
      <c r="AC255" s="468"/>
      <c r="AD255" s="520"/>
      <c r="AE255" s="468"/>
      <c r="AF255" s="468"/>
      <c r="AG255" s="468"/>
      <c r="AH255" s="468"/>
      <c r="AI255" s="468"/>
      <c r="AJ255" s="468"/>
      <c r="AK255" s="468"/>
      <c r="AL255" s="468"/>
      <c r="AM255" s="468"/>
      <c r="AN255" s="468"/>
      <c r="AO255" s="559"/>
      <c r="AP255" s="560">
        <f t="shared" si="18"/>
        <v>0</v>
      </c>
      <c r="AQ255" s="561"/>
      <c r="AS255" s="546"/>
      <c r="AT255" t="str" cm="1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468"/>
    </row>
    <row r="256" spans="7:47" outlineLevel="1" x14ac:dyDescent="0.25">
      <c r="G256" s="520"/>
      <c r="H256" s="520"/>
      <c r="I256" s="468"/>
      <c r="J256" s="468"/>
      <c r="K256" s="468" t="str">
        <f t="shared" si="10"/>
        <v/>
      </c>
      <c r="L256" s="468" t="str">
        <f t="shared" si="11"/>
        <v/>
      </c>
      <c r="M256" s="468"/>
      <c r="N256" s="468"/>
      <c r="O256" s="468"/>
      <c r="P256" s="468"/>
      <c r="Q256" s="468"/>
      <c r="R256" s="468"/>
      <c r="U256" s="545"/>
      <c r="V256" s="546" t="str">
        <f t="shared" si="12"/>
        <v/>
      </c>
      <c r="W256" s="546" t="str">
        <f t="shared" si="13"/>
        <v/>
      </c>
      <c r="X256" t="str">
        <f t="shared" si="14"/>
        <v/>
      </c>
      <c r="Y256" t="str">
        <f t="shared" si="15"/>
        <v/>
      </c>
      <c r="AA256" s="468" t="str">
        <f t="shared" si="16"/>
        <v/>
      </c>
      <c r="AB256" s="555" t="str">
        <f t="shared" si="17"/>
        <v/>
      </c>
      <c r="AC256" s="468"/>
      <c r="AD256" s="520"/>
      <c r="AE256" s="468"/>
      <c r="AF256" s="468"/>
      <c r="AG256" s="468"/>
      <c r="AH256" s="468"/>
      <c r="AI256" s="468"/>
      <c r="AJ256" s="468"/>
      <c r="AK256" s="468"/>
      <c r="AL256" s="468"/>
      <c r="AM256" s="468"/>
      <c r="AN256" s="468"/>
      <c r="AO256" s="559"/>
      <c r="AP256" s="560">
        <f t="shared" si="18"/>
        <v>0</v>
      </c>
      <c r="AQ256" s="561"/>
      <c r="AS256" s="546"/>
      <c r="AT256" t="str" cm="1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468"/>
    </row>
    <row r="257" spans="7:47" outlineLevel="1" x14ac:dyDescent="0.25">
      <c r="G257" s="520"/>
      <c r="H257" s="520"/>
      <c r="I257" s="468"/>
      <c r="J257" s="468"/>
      <c r="K257" s="468" t="str">
        <f t="shared" si="10"/>
        <v/>
      </c>
      <c r="L257" s="468" t="str">
        <f t="shared" si="11"/>
        <v/>
      </c>
      <c r="M257" s="468"/>
      <c r="N257" s="468"/>
      <c r="O257" s="468"/>
      <c r="P257" s="468"/>
      <c r="Q257" s="468"/>
      <c r="R257" s="468"/>
      <c r="U257" s="545"/>
      <c r="V257" s="546" t="str">
        <f t="shared" si="12"/>
        <v/>
      </c>
      <c r="W257" s="546" t="str">
        <f t="shared" si="13"/>
        <v/>
      </c>
      <c r="X257" t="str">
        <f t="shared" si="14"/>
        <v/>
      </c>
      <c r="Y257" t="str">
        <f t="shared" si="15"/>
        <v/>
      </c>
      <c r="AA257" s="468" t="str">
        <f t="shared" si="16"/>
        <v/>
      </c>
      <c r="AB257" s="555" t="str">
        <f t="shared" si="17"/>
        <v/>
      </c>
      <c r="AC257" s="468"/>
      <c r="AD257" s="520"/>
      <c r="AE257" s="468"/>
      <c r="AF257" s="468"/>
      <c r="AG257" s="468"/>
      <c r="AH257" s="468"/>
      <c r="AI257" s="468"/>
      <c r="AJ257" s="468"/>
      <c r="AK257" s="468"/>
      <c r="AL257" s="468"/>
      <c r="AM257" s="468"/>
      <c r="AN257" s="468"/>
      <c r="AO257" s="559"/>
      <c r="AP257" s="560">
        <f t="shared" si="18"/>
        <v>0</v>
      </c>
      <c r="AQ257" s="561"/>
      <c r="AS257" s="546"/>
      <c r="AT257" t="str" cm="1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468"/>
    </row>
    <row r="258" spans="7:47" outlineLevel="1" x14ac:dyDescent="0.25">
      <c r="G258" s="520"/>
      <c r="H258" s="520"/>
      <c r="I258" s="468"/>
      <c r="J258" s="468"/>
      <c r="K258" s="468" t="str">
        <f t="shared" si="10"/>
        <v/>
      </c>
      <c r="L258" s="468" t="str">
        <f t="shared" si="11"/>
        <v/>
      </c>
      <c r="M258" s="468"/>
      <c r="N258" s="468"/>
      <c r="O258" s="468"/>
      <c r="P258" s="468"/>
      <c r="Q258" s="468"/>
      <c r="R258" s="468"/>
      <c r="U258" s="545"/>
      <c r="V258" s="546" t="str">
        <f t="shared" si="12"/>
        <v/>
      </c>
      <c r="W258" s="546" t="str">
        <f t="shared" si="13"/>
        <v/>
      </c>
      <c r="X258" t="str">
        <f t="shared" si="14"/>
        <v/>
      </c>
      <c r="Y258" t="str">
        <f t="shared" si="15"/>
        <v/>
      </c>
      <c r="AA258" s="468" t="str">
        <f t="shared" si="16"/>
        <v/>
      </c>
      <c r="AB258" s="555" t="str">
        <f t="shared" si="17"/>
        <v/>
      </c>
      <c r="AC258" s="468"/>
      <c r="AD258" s="520"/>
      <c r="AE258" s="468"/>
      <c r="AF258" s="468"/>
      <c r="AG258" s="468"/>
      <c r="AH258" s="468"/>
      <c r="AI258" s="468"/>
      <c r="AJ258" s="468"/>
      <c r="AK258" s="468"/>
      <c r="AL258" s="468"/>
      <c r="AM258" s="468"/>
      <c r="AN258" s="468"/>
      <c r="AO258" s="559"/>
      <c r="AP258" s="560">
        <f t="shared" si="18"/>
        <v>0</v>
      </c>
      <c r="AQ258" s="561"/>
      <c r="AS258" s="546"/>
      <c r="AT258" t="str" cm="1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468"/>
    </row>
    <row r="259" spans="7:47" outlineLevel="1" x14ac:dyDescent="0.25">
      <c r="G259" s="520"/>
      <c r="H259" s="520"/>
      <c r="I259" s="468"/>
      <c r="J259" s="468"/>
      <c r="K259" s="468" t="str">
        <f t="shared" si="10"/>
        <v/>
      </c>
      <c r="L259" s="468" t="str">
        <f t="shared" si="11"/>
        <v/>
      </c>
      <c r="M259" s="468"/>
      <c r="N259" s="468"/>
      <c r="O259" s="468"/>
      <c r="P259" s="468"/>
      <c r="Q259" s="468"/>
      <c r="R259" s="468"/>
      <c r="U259" s="545"/>
      <c r="V259" s="546" t="str">
        <f t="shared" si="12"/>
        <v/>
      </c>
      <c r="W259" s="546" t="str">
        <f t="shared" si="13"/>
        <v/>
      </c>
      <c r="X259" t="str">
        <f t="shared" si="14"/>
        <v/>
      </c>
      <c r="Y259" t="str">
        <f t="shared" si="15"/>
        <v/>
      </c>
      <c r="AA259" s="468" t="str">
        <f t="shared" si="16"/>
        <v/>
      </c>
      <c r="AB259" s="555" t="str">
        <f t="shared" si="17"/>
        <v/>
      </c>
      <c r="AC259" s="468"/>
      <c r="AD259" s="520"/>
      <c r="AE259" s="468"/>
      <c r="AF259" s="468"/>
      <c r="AG259" s="468"/>
      <c r="AH259" s="468"/>
      <c r="AI259" s="468"/>
      <c r="AJ259" s="468"/>
      <c r="AK259" s="468"/>
      <c r="AL259" s="468"/>
      <c r="AM259" s="468"/>
      <c r="AN259" s="468"/>
      <c r="AO259" s="559"/>
      <c r="AP259" s="560">
        <f t="shared" si="18"/>
        <v>0</v>
      </c>
      <c r="AQ259" s="561"/>
      <c r="AS259" s="546"/>
      <c r="AT259" t="str" cm="1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468"/>
    </row>
    <row r="260" spans="7:47" outlineLevel="1" x14ac:dyDescent="0.25">
      <c r="G260" s="520"/>
      <c r="H260" s="520"/>
      <c r="I260" s="468"/>
      <c r="J260" s="468"/>
      <c r="K260" s="468" t="str">
        <f t="shared" si="10"/>
        <v/>
      </c>
      <c r="L260" s="468" t="str">
        <f t="shared" si="11"/>
        <v/>
      </c>
      <c r="M260" s="468"/>
      <c r="N260" s="468"/>
      <c r="O260" s="468"/>
      <c r="P260" s="468"/>
      <c r="Q260" s="468"/>
      <c r="R260" s="468"/>
      <c r="U260" s="545"/>
      <c r="V260" s="546" t="str">
        <f t="shared" si="12"/>
        <v/>
      </c>
      <c r="W260" s="546" t="str">
        <f t="shared" si="13"/>
        <v/>
      </c>
      <c r="X260" t="str">
        <f t="shared" si="14"/>
        <v/>
      </c>
      <c r="Y260" t="str">
        <f t="shared" si="15"/>
        <v/>
      </c>
      <c r="AA260" s="468" t="str">
        <f t="shared" si="16"/>
        <v/>
      </c>
      <c r="AB260" s="555" t="str">
        <f t="shared" si="17"/>
        <v/>
      </c>
      <c r="AC260" s="468"/>
      <c r="AD260" s="520"/>
      <c r="AE260" s="468"/>
      <c r="AF260" s="468"/>
      <c r="AG260" s="468"/>
      <c r="AH260" s="468"/>
      <c r="AI260" s="468"/>
      <c r="AJ260" s="468"/>
      <c r="AK260" s="468"/>
      <c r="AL260" s="468"/>
      <c r="AM260" s="468"/>
      <c r="AN260" s="468"/>
      <c r="AO260" s="559"/>
      <c r="AP260" s="560">
        <f t="shared" si="18"/>
        <v>0</v>
      </c>
      <c r="AQ260" s="561"/>
      <c r="AS260" s="546"/>
      <c r="AT260" t="str" cm="1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468"/>
    </row>
    <row r="261" spans="7:47" outlineLevel="1" x14ac:dyDescent="0.25">
      <c r="G261" s="520"/>
      <c r="H261" s="520"/>
      <c r="I261" s="468"/>
      <c r="J261" s="468"/>
      <c r="K261" s="468" t="str">
        <f t="shared" si="10"/>
        <v/>
      </c>
      <c r="L261" s="468" t="str">
        <f t="shared" si="11"/>
        <v/>
      </c>
      <c r="M261" s="468"/>
      <c r="N261" s="468"/>
      <c r="O261" s="468"/>
      <c r="P261" s="468"/>
      <c r="Q261" s="468"/>
      <c r="R261" s="468"/>
      <c r="U261" s="545"/>
      <c r="V261" s="546" t="str">
        <f t="shared" si="12"/>
        <v/>
      </c>
      <c r="W261" s="546" t="str">
        <f t="shared" si="13"/>
        <v/>
      </c>
      <c r="X261" t="str">
        <f t="shared" si="14"/>
        <v/>
      </c>
      <c r="Y261" t="str">
        <f t="shared" si="15"/>
        <v/>
      </c>
      <c r="AA261" s="468" t="str">
        <f t="shared" si="16"/>
        <v/>
      </c>
      <c r="AB261" s="555" t="str">
        <f t="shared" si="17"/>
        <v/>
      </c>
      <c r="AC261" s="468"/>
      <c r="AD261" s="520"/>
      <c r="AE261" s="468"/>
      <c r="AF261" s="468"/>
      <c r="AG261" s="468"/>
      <c r="AH261" s="468"/>
      <c r="AI261" s="468"/>
      <c r="AJ261" s="468"/>
      <c r="AK261" s="468"/>
      <c r="AL261" s="468"/>
      <c r="AM261" s="468"/>
      <c r="AN261" s="468"/>
      <c r="AO261" s="559"/>
      <c r="AP261" s="560">
        <f t="shared" si="18"/>
        <v>0</v>
      </c>
      <c r="AQ261" s="561"/>
      <c r="AS261" s="546"/>
      <c r="AT261" t="str" cm="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468"/>
    </row>
    <row r="262" spans="7:47" outlineLevel="1" x14ac:dyDescent="0.25">
      <c r="G262" s="520"/>
      <c r="H262" s="520"/>
      <c r="I262" s="468"/>
      <c r="J262" s="468"/>
      <c r="K262" s="468" t="str">
        <f t="shared" si="10"/>
        <v/>
      </c>
      <c r="L262" s="468" t="str">
        <f t="shared" si="11"/>
        <v/>
      </c>
      <c r="M262" s="468"/>
      <c r="N262" s="468"/>
      <c r="O262" s="468"/>
      <c r="P262" s="468"/>
      <c r="Q262" s="468"/>
      <c r="R262" s="468"/>
      <c r="U262" s="545"/>
      <c r="V262" s="546" t="str">
        <f t="shared" si="12"/>
        <v/>
      </c>
      <c r="W262" s="546" t="str">
        <f t="shared" si="13"/>
        <v/>
      </c>
      <c r="X262" t="str">
        <f t="shared" si="14"/>
        <v/>
      </c>
      <c r="Y262" t="str">
        <f t="shared" si="15"/>
        <v/>
      </c>
      <c r="AA262" s="468" t="str">
        <f t="shared" si="16"/>
        <v/>
      </c>
      <c r="AB262" s="555" t="str">
        <f t="shared" si="17"/>
        <v/>
      </c>
      <c r="AC262" s="468"/>
      <c r="AD262" s="520"/>
      <c r="AE262" s="468"/>
      <c r="AF262" s="468"/>
      <c r="AG262" s="468"/>
      <c r="AH262" s="468"/>
      <c r="AI262" s="468"/>
      <c r="AJ262" s="468"/>
      <c r="AK262" s="468"/>
      <c r="AL262" s="468"/>
      <c r="AM262" s="468"/>
      <c r="AN262" s="468"/>
      <c r="AO262" s="559"/>
      <c r="AP262" s="560">
        <f t="shared" si="18"/>
        <v>0</v>
      </c>
      <c r="AQ262" s="561"/>
      <c r="AS262" s="546"/>
      <c r="AT262" t="str" cm="1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468"/>
    </row>
    <row r="263" spans="7:47" outlineLevel="1" x14ac:dyDescent="0.25">
      <c r="G263" s="520"/>
      <c r="H263" s="520"/>
      <c r="I263" s="468"/>
      <c r="J263" s="468"/>
      <c r="K263" s="468" t="str">
        <f t="shared" si="10"/>
        <v/>
      </c>
      <c r="L263" s="468" t="str">
        <f t="shared" si="11"/>
        <v/>
      </c>
      <c r="M263" s="468"/>
      <c r="N263" s="468"/>
      <c r="O263" s="468"/>
      <c r="P263" s="468"/>
      <c r="Q263" s="468"/>
      <c r="R263" s="468"/>
      <c r="U263" s="545"/>
      <c r="V263" s="546" t="str">
        <f t="shared" si="12"/>
        <v/>
      </c>
      <c r="W263" s="546" t="str">
        <f t="shared" si="13"/>
        <v/>
      </c>
      <c r="X263" t="str">
        <f t="shared" si="14"/>
        <v/>
      </c>
      <c r="Y263" t="str">
        <f t="shared" si="15"/>
        <v/>
      </c>
      <c r="AA263" s="468" t="str">
        <f t="shared" si="16"/>
        <v/>
      </c>
      <c r="AB263" s="555" t="str">
        <f t="shared" si="17"/>
        <v/>
      </c>
      <c r="AC263" s="468"/>
      <c r="AD263" s="520"/>
      <c r="AE263" s="468"/>
      <c r="AF263" s="468"/>
      <c r="AG263" s="468"/>
      <c r="AH263" s="468"/>
      <c r="AI263" s="468"/>
      <c r="AJ263" s="468"/>
      <c r="AK263" s="468"/>
      <c r="AL263" s="468"/>
      <c r="AM263" s="468"/>
      <c r="AN263" s="468"/>
      <c r="AO263" s="559"/>
      <c r="AP263" s="560">
        <f t="shared" si="18"/>
        <v>0</v>
      </c>
      <c r="AQ263" s="561"/>
      <c r="AS263" s="546"/>
      <c r="AT263" t="str" cm="1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468"/>
    </row>
    <row r="264" spans="7:47" outlineLevel="1" x14ac:dyDescent="0.25">
      <c r="G264" s="520"/>
      <c r="H264" s="520"/>
      <c r="I264" s="468"/>
      <c r="J264" s="468"/>
      <c r="K264" s="468" t="str">
        <f t="shared" si="10"/>
        <v/>
      </c>
      <c r="L264" s="468" t="str">
        <f t="shared" si="11"/>
        <v/>
      </c>
      <c r="M264" s="468"/>
      <c r="N264" s="468"/>
      <c r="O264" s="468"/>
      <c r="P264" s="468"/>
      <c r="Q264" s="468"/>
      <c r="R264" s="468"/>
      <c r="U264" s="545"/>
      <c r="V264" s="546" t="str">
        <f t="shared" si="12"/>
        <v/>
      </c>
      <c r="W264" s="546" t="str">
        <f t="shared" si="13"/>
        <v/>
      </c>
      <c r="X264" t="str">
        <f t="shared" si="14"/>
        <v/>
      </c>
      <c r="Y264" t="str">
        <f t="shared" si="15"/>
        <v/>
      </c>
      <c r="AA264" s="468" t="str">
        <f t="shared" si="16"/>
        <v/>
      </c>
      <c r="AB264" s="555" t="str">
        <f t="shared" si="17"/>
        <v/>
      </c>
      <c r="AC264" s="468"/>
      <c r="AD264" s="520"/>
      <c r="AE264" s="468"/>
      <c r="AF264" s="468"/>
      <c r="AG264" s="468"/>
      <c r="AH264" s="468"/>
      <c r="AI264" s="468"/>
      <c r="AJ264" s="468"/>
      <c r="AK264" s="468"/>
      <c r="AL264" s="468"/>
      <c r="AM264" s="468"/>
      <c r="AN264" s="468"/>
      <c r="AO264" s="559"/>
      <c r="AP264" s="560">
        <f t="shared" si="18"/>
        <v>0</v>
      </c>
      <c r="AQ264" s="561"/>
      <c r="AS264" s="546"/>
      <c r="AT264" t="str" cm="1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468"/>
    </row>
    <row r="265" spans="7:47" outlineLevel="1" x14ac:dyDescent="0.25">
      <c r="G265" s="520"/>
      <c r="H265" s="520"/>
      <c r="I265" s="468"/>
      <c r="J265" s="468"/>
      <c r="K265" s="468" t="str">
        <f t="shared" si="10"/>
        <v/>
      </c>
      <c r="L265" s="468" t="str">
        <f t="shared" si="11"/>
        <v/>
      </c>
      <c r="M265" s="468"/>
      <c r="N265" s="468"/>
      <c r="O265" s="468"/>
      <c r="P265" s="468"/>
      <c r="Q265" s="468"/>
      <c r="R265" s="468"/>
      <c r="U265" s="545"/>
      <c r="V265" s="546" t="str">
        <f t="shared" si="12"/>
        <v/>
      </c>
      <c r="W265" s="546" t="str">
        <f t="shared" si="13"/>
        <v/>
      </c>
      <c r="X265" t="str">
        <f t="shared" si="14"/>
        <v/>
      </c>
      <c r="Y265" t="str">
        <f t="shared" si="15"/>
        <v/>
      </c>
      <c r="AA265" s="468" t="str">
        <f t="shared" si="16"/>
        <v/>
      </c>
      <c r="AB265" s="555" t="str">
        <f t="shared" si="17"/>
        <v/>
      </c>
      <c r="AC265" s="468"/>
      <c r="AD265" s="520"/>
      <c r="AE265" s="468"/>
      <c r="AF265" s="468"/>
      <c r="AG265" s="468"/>
      <c r="AH265" s="468"/>
      <c r="AI265" s="468"/>
      <c r="AJ265" s="468"/>
      <c r="AK265" s="468"/>
      <c r="AL265" s="468"/>
      <c r="AM265" s="468"/>
      <c r="AN265" s="468"/>
      <c r="AO265" s="559"/>
      <c r="AP265" s="560">
        <f t="shared" si="18"/>
        <v>0</v>
      </c>
      <c r="AQ265" s="561"/>
      <c r="AS265" s="546"/>
      <c r="AT265" t="str" cm="1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468"/>
    </row>
    <row r="266" spans="7:47" outlineLevel="1" x14ac:dyDescent="0.25">
      <c r="G266" s="520"/>
      <c r="H266" s="520"/>
      <c r="I266" s="468"/>
      <c r="J266" s="468"/>
      <c r="K266" s="468" t="str">
        <f t="shared" si="10"/>
        <v/>
      </c>
      <c r="L266" s="468" t="str">
        <f t="shared" si="11"/>
        <v/>
      </c>
      <c r="M266" s="468"/>
      <c r="N266" s="468"/>
      <c r="O266" s="468"/>
      <c r="P266" s="468"/>
      <c r="Q266" s="468"/>
      <c r="R266" s="468"/>
      <c r="U266" s="545"/>
      <c r="V266" s="546" t="str">
        <f t="shared" si="12"/>
        <v/>
      </c>
      <c r="W266" s="546" t="str">
        <f t="shared" si="13"/>
        <v/>
      </c>
      <c r="X266" t="str">
        <f t="shared" si="14"/>
        <v/>
      </c>
      <c r="Y266" t="str">
        <f t="shared" si="15"/>
        <v/>
      </c>
      <c r="AA266" s="468" t="str">
        <f t="shared" si="16"/>
        <v/>
      </c>
      <c r="AB266" s="555" t="str">
        <f t="shared" si="17"/>
        <v/>
      </c>
      <c r="AC266" s="468"/>
      <c r="AD266" s="520"/>
      <c r="AE266" s="468"/>
      <c r="AF266" s="468"/>
      <c r="AG266" s="468"/>
      <c r="AH266" s="468"/>
      <c r="AI266" s="468"/>
      <c r="AJ266" s="468"/>
      <c r="AK266" s="468"/>
      <c r="AL266" s="468"/>
      <c r="AM266" s="468"/>
      <c r="AN266" s="468"/>
      <c r="AO266" s="559"/>
      <c r="AP266" s="560">
        <f t="shared" si="18"/>
        <v>0</v>
      </c>
      <c r="AQ266" s="561"/>
      <c r="AS266" s="546"/>
      <c r="AT266" t="str" cm="1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468"/>
    </row>
    <row r="267" spans="7:47" outlineLevel="1" x14ac:dyDescent="0.25">
      <c r="G267" s="520"/>
      <c r="H267" s="520"/>
      <c r="I267" s="468"/>
      <c r="J267" s="468"/>
      <c r="K267" s="468" t="str">
        <f t="shared" si="10"/>
        <v/>
      </c>
      <c r="L267" s="468" t="str">
        <f t="shared" si="11"/>
        <v/>
      </c>
      <c r="M267" s="468"/>
      <c r="N267" s="468"/>
      <c r="O267" s="468"/>
      <c r="P267" s="468"/>
      <c r="Q267" s="468"/>
      <c r="R267" s="468"/>
      <c r="U267" s="545"/>
      <c r="V267" s="546" t="str">
        <f t="shared" si="12"/>
        <v/>
      </c>
      <c r="W267" s="546" t="str">
        <f t="shared" si="13"/>
        <v/>
      </c>
      <c r="X267" t="str">
        <f t="shared" si="14"/>
        <v/>
      </c>
      <c r="Y267" t="str">
        <f t="shared" si="15"/>
        <v/>
      </c>
      <c r="AA267" s="468" t="str">
        <f t="shared" si="16"/>
        <v/>
      </c>
      <c r="AB267" s="555" t="str">
        <f t="shared" si="17"/>
        <v/>
      </c>
      <c r="AC267" s="468"/>
      <c r="AD267" s="520"/>
      <c r="AE267" s="468"/>
      <c r="AF267" s="468"/>
      <c r="AG267" s="468"/>
      <c r="AH267" s="468"/>
      <c r="AI267" s="468"/>
      <c r="AJ267" s="468"/>
      <c r="AK267" s="468"/>
      <c r="AL267" s="468"/>
      <c r="AM267" s="468"/>
      <c r="AN267" s="468"/>
      <c r="AO267" s="559"/>
      <c r="AP267" s="560">
        <f t="shared" si="18"/>
        <v>0</v>
      </c>
      <c r="AQ267" s="561"/>
      <c r="AS267" s="546"/>
      <c r="AT267" t="str" cm="1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468"/>
    </row>
    <row r="268" spans="7:47" outlineLevel="1" x14ac:dyDescent="0.25">
      <c r="G268" s="520"/>
      <c r="H268" s="520"/>
      <c r="I268" s="468"/>
      <c r="J268" s="468"/>
      <c r="K268" s="468" t="str">
        <f t="shared" si="10"/>
        <v/>
      </c>
      <c r="L268" s="468" t="str">
        <f t="shared" si="11"/>
        <v/>
      </c>
      <c r="M268" s="468"/>
      <c r="N268" s="468"/>
      <c r="O268" s="468"/>
      <c r="P268" s="468"/>
      <c r="Q268" s="468"/>
      <c r="R268" s="468"/>
      <c r="U268" s="545"/>
      <c r="V268" s="546" t="str">
        <f t="shared" si="12"/>
        <v/>
      </c>
      <c r="W268" s="546" t="str">
        <f t="shared" si="13"/>
        <v/>
      </c>
      <c r="X268" t="str">
        <f t="shared" si="14"/>
        <v/>
      </c>
      <c r="Y268" t="str">
        <f t="shared" si="15"/>
        <v/>
      </c>
      <c r="AA268" s="468" t="str">
        <f t="shared" si="16"/>
        <v/>
      </c>
      <c r="AB268" s="555" t="str">
        <f t="shared" si="17"/>
        <v/>
      </c>
      <c r="AC268" s="468"/>
      <c r="AD268" s="520"/>
      <c r="AE268" s="468"/>
      <c r="AF268" s="468"/>
      <c r="AG268" s="468"/>
      <c r="AH268" s="468"/>
      <c r="AI268" s="468"/>
      <c r="AJ268" s="468"/>
      <c r="AK268" s="468"/>
      <c r="AL268" s="468"/>
      <c r="AM268" s="468"/>
      <c r="AN268" s="468"/>
      <c r="AO268" s="559"/>
      <c r="AP268" s="560">
        <f t="shared" si="18"/>
        <v>0</v>
      </c>
      <c r="AQ268" s="561"/>
      <c r="AS268" s="546"/>
      <c r="AT268" t="str" cm="1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468"/>
    </row>
    <row r="269" spans="7:47" outlineLevel="1" x14ac:dyDescent="0.25">
      <c r="G269" s="520"/>
      <c r="H269" s="520"/>
      <c r="I269" s="468"/>
      <c r="J269" s="468"/>
      <c r="K269" s="468" t="str">
        <f t="shared" si="10"/>
        <v/>
      </c>
      <c r="L269" s="468" t="str">
        <f t="shared" si="11"/>
        <v/>
      </c>
      <c r="M269" s="468"/>
      <c r="N269" s="468"/>
      <c r="O269" s="468"/>
      <c r="P269" s="468"/>
      <c r="Q269" s="468"/>
      <c r="R269" s="468"/>
      <c r="U269" s="545"/>
      <c r="V269" s="546" t="str">
        <f t="shared" si="12"/>
        <v/>
      </c>
      <c r="W269" s="546" t="str">
        <f t="shared" si="13"/>
        <v/>
      </c>
      <c r="X269" t="str">
        <f t="shared" si="14"/>
        <v/>
      </c>
      <c r="Y269" t="str">
        <f t="shared" si="15"/>
        <v/>
      </c>
      <c r="AA269" s="468" t="str">
        <f t="shared" si="16"/>
        <v/>
      </c>
      <c r="AB269" s="555" t="str">
        <f t="shared" si="17"/>
        <v/>
      </c>
      <c r="AC269" s="468"/>
      <c r="AD269" s="520"/>
      <c r="AE269" s="468"/>
      <c r="AF269" s="468"/>
      <c r="AG269" s="468"/>
      <c r="AH269" s="468"/>
      <c r="AI269" s="468"/>
      <c r="AJ269" s="468"/>
      <c r="AK269" s="468"/>
      <c r="AL269" s="468"/>
      <c r="AM269" s="468"/>
      <c r="AN269" s="468"/>
      <c r="AO269" s="559"/>
      <c r="AP269" s="560">
        <f t="shared" si="18"/>
        <v>0</v>
      </c>
      <c r="AQ269" s="561"/>
      <c r="AS269" s="546"/>
      <c r="AT269" t="str" cm="1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468"/>
    </row>
    <row r="270" spans="7:47" outlineLevel="1" x14ac:dyDescent="0.25">
      <c r="G270" s="520"/>
      <c r="H270" s="520"/>
      <c r="I270" s="468"/>
      <c r="J270" s="468"/>
      <c r="K270" s="468" t="str">
        <f t="shared" si="10"/>
        <v/>
      </c>
      <c r="L270" s="468" t="str">
        <f t="shared" si="11"/>
        <v/>
      </c>
      <c r="M270" s="468"/>
      <c r="N270" s="468"/>
      <c r="O270" s="468"/>
      <c r="P270" s="468"/>
      <c r="Q270" s="468"/>
      <c r="R270" s="468"/>
      <c r="U270" s="545"/>
      <c r="V270" s="546" t="str">
        <f t="shared" si="12"/>
        <v/>
      </c>
      <c r="W270" s="546" t="str">
        <f t="shared" si="13"/>
        <v/>
      </c>
      <c r="X270" t="str">
        <f t="shared" si="14"/>
        <v/>
      </c>
      <c r="Y270" t="str">
        <f t="shared" si="15"/>
        <v/>
      </c>
      <c r="AA270" s="468" t="str">
        <f t="shared" si="16"/>
        <v/>
      </c>
      <c r="AB270" s="555" t="str">
        <f t="shared" si="17"/>
        <v/>
      </c>
      <c r="AC270" s="468"/>
      <c r="AD270" s="520"/>
      <c r="AE270" s="468"/>
      <c r="AF270" s="468"/>
      <c r="AG270" s="468"/>
      <c r="AH270" s="468"/>
      <c r="AI270" s="468"/>
      <c r="AJ270" s="468"/>
      <c r="AK270" s="468"/>
      <c r="AL270" s="468"/>
      <c r="AM270" s="468"/>
      <c r="AN270" s="468"/>
      <c r="AO270" s="559"/>
      <c r="AP270" s="560">
        <f t="shared" si="18"/>
        <v>0</v>
      </c>
      <c r="AQ270" s="561"/>
      <c r="AS270" s="546"/>
      <c r="AT270" t="str" cm="1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468"/>
    </row>
    <row r="271" spans="7:47" outlineLevel="1" x14ac:dyDescent="0.25">
      <c r="G271" s="520"/>
      <c r="H271" s="520"/>
      <c r="I271" s="468"/>
      <c r="J271" s="468"/>
      <c r="K271" s="468" t="str">
        <f t="shared" si="10"/>
        <v/>
      </c>
      <c r="L271" s="468" t="str">
        <f t="shared" si="11"/>
        <v/>
      </c>
      <c r="M271" s="468"/>
      <c r="N271" s="468"/>
      <c r="O271" s="468"/>
      <c r="P271" s="468"/>
      <c r="Q271" s="468"/>
      <c r="R271" s="468"/>
      <c r="U271" s="545"/>
      <c r="V271" s="546" t="str">
        <f t="shared" si="12"/>
        <v/>
      </c>
      <c r="W271" s="546" t="str">
        <f t="shared" si="13"/>
        <v/>
      </c>
      <c r="X271" t="str">
        <f t="shared" si="14"/>
        <v/>
      </c>
      <c r="Y271" t="str">
        <f t="shared" si="15"/>
        <v/>
      </c>
      <c r="AA271" s="468" t="str">
        <f t="shared" si="16"/>
        <v/>
      </c>
      <c r="AB271" s="555" t="str">
        <f t="shared" si="17"/>
        <v/>
      </c>
      <c r="AC271" s="468"/>
      <c r="AD271" s="520"/>
      <c r="AE271" s="468"/>
      <c r="AF271" s="468"/>
      <c r="AG271" s="468"/>
      <c r="AH271" s="468"/>
      <c r="AI271" s="468"/>
      <c r="AJ271" s="468"/>
      <c r="AK271" s="468"/>
      <c r="AL271" s="468"/>
      <c r="AM271" s="468"/>
      <c r="AN271" s="468"/>
      <c r="AO271" s="559"/>
      <c r="AP271" s="560">
        <f t="shared" si="18"/>
        <v>0</v>
      </c>
      <c r="AQ271" s="561"/>
      <c r="AS271" s="546"/>
      <c r="AT271" t="str" cm="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468"/>
    </row>
    <row r="272" spans="7:47" outlineLevel="1" x14ac:dyDescent="0.25">
      <c r="G272" s="520"/>
      <c r="H272" s="520"/>
      <c r="I272" s="468"/>
      <c r="J272" s="468"/>
      <c r="K272" s="468" t="str">
        <f t="shared" si="10"/>
        <v/>
      </c>
      <c r="L272" s="468" t="str">
        <f t="shared" si="11"/>
        <v/>
      </c>
      <c r="M272" s="468"/>
      <c r="N272" s="468"/>
      <c r="O272" s="468"/>
      <c r="P272" s="468"/>
      <c r="Q272" s="468"/>
      <c r="R272" s="468"/>
      <c r="U272" s="545"/>
      <c r="V272" s="546" t="str">
        <f t="shared" si="12"/>
        <v/>
      </c>
      <c r="W272" s="546" t="str">
        <f t="shared" si="13"/>
        <v/>
      </c>
      <c r="X272" t="str">
        <f t="shared" si="14"/>
        <v/>
      </c>
      <c r="Y272" t="str">
        <f t="shared" si="15"/>
        <v/>
      </c>
      <c r="AA272" s="468" t="str">
        <f t="shared" si="16"/>
        <v/>
      </c>
      <c r="AB272" s="555" t="str">
        <f t="shared" si="17"/>
        <v/>
      </c>
      <c r="AC272" s="468"/>
      <c r="AD272" s="520"/>
      <c r="AE272" s="468"/>
      <c r="AF272" s="468"/>
      <c r="AG272" s="468"/>
      <c r="AH272" s="468"/>
      <c r="AI272" s="468"/>
      <c r="AJ272" s="468"/>
      <c r="AK272" s="468"/>
      <c r="AL272" s="468"/>
      <c r="AM272" s="468"/>
      <c r="AN272" s="468"/>
      <c r="AO272" s="559"/>
      <c r="AP272" s="560">
        <f t="shared" si="18"/>
        <v>0</v>
      </c>
      <c r="AQ272" s="561"/>
      <c r="AS272" s="546"/>
      <c r="AT272" t="str" cm="1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468"/>
    </row>
    <row r="273" spans="7:47" outlineLevel="1" x14ac:dyDescent="0.25">
      <c r="G273" s="520"/>
      <c r="H273" s="520"/>
      <c r="I273" s="468"/>
      <c r="J273" s="468"/>
      <c r="K273" s="468" t="str">
        <f t="shared" si="10"/>
        <v/>
      </c>
      <c r="L273" s="468" t="str">
        <f t="shared" si="11"/>
        <v/>
      </c>
      <c r="M273" s="468"/>
      <c r="N273" s="468"/>
      <c r="O273" s="468"/>
      <c r="P273" s="468"/>
      <c r="Q273" s="468"/>
      <c r="R273" s="468"/>
      <c r="U273" s="545"/>
      <c r="V273" s="546" t="str">
        <f t="shared" si="12"/>
        <v/>
      </c>
      <c r="W273" s="546" t="str">
        <f t="shared" si="13"/>
        <v/>
      </c>
      <c r="X273" t="str">
        <f t="shared" si="14"/>
        <v/>
      </c>
      <c r="Y273" t="str">
        <f t="shared" si="15"/>
        <v/>
      </c>
      <c r="AA273" s="468" t="str">
        <f t="shared" si="16"/>
        <v/>
      </c>
      <c r="AB273" s="555" t="str">
        <f t="shared" si="17"/>
        <v/>
      </c>
      <c r="AC273" s="468"/>
      <c r="AD273" s="520"/>
      <c r="AE273" s="468"/>
      <c r="AF273" s="468"/>
      <c r="AG273" s="468"/>
      <c r="AH273" s="468"/>
      <c r="AI273" s="468"/>
      <c r="AJ273" s="468"/>
      <c r="AK273" s="468"/>
      <c r="AL273" s="468"/>
      <c r="AM273" s="468"/>
      <c r="AN273" s="468"/>
      <c r="AO273" s="559"/>
      <c r="AP273" s="560">
        <f t="shared" si="18"/>
        <v>0</v>
      </c>
      <c r="AQ273" s="561"/>
      <c r="AS273" s="546"/>
      <c r="AT273" t="str" cm="1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468"/>
    </row>
    <row r="274" spans="7:47" outlineLevel="1" x14ac:dyDescent="0.25">
      <c r="G274" s="520"/>
      <c r="H274" s="520"/>
      <c r="I274" s="468"/>
      <c r="J274" s="468"/>
      <c r="K274" s="468" t="str">
        <f t="shared" si="10"/>
        <v/>
      </c>
      <c r="L274" s="468" t="str">
        <f t="shared" si="11"/>
        <v/>
      </c>
      <c r="M274" s="468"/>
      <c r="N274" s="468"/>
      <c r="O274" s="468"/>
      <c r="P274" s="468"/>
      <c r="Q274" s="468"/>
      <c r="R274" s="468"/>
      <c r="U274" s="545"/>
      <c r="V274" s="546" t="str">
        <f t="shared" si="12"/>
        <v/>
      </c>
      <c r="W274" s="546" t="str">
        <f t="shared" si="13"/>
        <v/>
      </c>
      <c r="X274" t="str">
        <f t="shared" si="14"/>
        <v/>
      </c>
      <c r="Y274" t="str">
        <f t="shared" si="15"/>
        <v/>
      </c>
      <c r="AA274" s="468" t="str">
        <f t="shared" si="16"/>
        <v/>
      </c>
      <c r="AB274" s="555" t="str">
        <f t="shared" si="17"/>
        <v/>
      </c>
      <c r="AC274" s="468"/>
      <c r="AD274" s="520"/>
      <c r="AE274" s="468"/>
      <c r="AF274" s="468"/>
      <c r="AG274" s="468"/>
      <c r="AH274" s="468"/>
      <c r="AI274" s="468"/>
      <c r="AJ274" s="468"/>
      <c r="AK274" s="468"/>
      <c r="AL274" s="468"/>
      <c r="AM274" s="468"/>
      <c r="AN274" s="468"/>
      <c r="AO274" s="559"/>
      <c r="AP274" s="560">
        <f t="shared" si="18"/>
        <v>0</v>
      </c>
      <c r="AQ274" s="561"/>
      <c r="AS274" s="546"/>
      <c r="AT274" t="str" cm="1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468"/>
    </row>
    <row r="275" spans="7:47" outlineLevel="1" x14ac:dyDescent="0.25">
      <c r="G275" s="520"/>
      <c r="H275" s="520"/>
      <c r="I275" s="468"/>
      <c r="J275" s="468"/>
      <c r="K275" s="468" t="str">
        <f t="shared" si="10"/>
        <v/>
      </c>
      <c r="L275" s="468" t="str">
        <f t="shared" si="11"/>
        <v/>
      </c>
      <c r="M275" s="468"/>
      <c r="N275" s="468"/>
      <c r="O275" s="468"/>
      <c r="P275" s="468"/>
      <c r="Q275" s="468"/>
      <c r="R275" s="468"/>
      <c r="U275" s="545"/>
      <c r="V275" s="546" t="str">
        <f t="shared" si="12"/>
        <v/>
      </c>
      <c r="W275" s="546" t="str">
        <f t="shared" si="13"/>
        <v/>
      </c>
      <c r="X275" t="str">
        <f t="shared" si="14"/>
        <v/>
      </c>
      <c r="Y275" t="str">
        <f t="shared" si="15"/>
        <v/>
      </c>
      <c r="AA275" s="468" t="str">
        <f t="shared" si="16"/>
        <v/>
      </c>
      <c r="AB275" s="555" t="str">
        <f t="shared" si="17"/>
        <v/>
      </c>
      <c r="AC275" s="468"/>
      <c r="AD275" s="520"/>
      <c r="AE275" s="468"/>
      <c r="AF275" s="468"/>
      <c r="AG275" s="468"/>
      <c r="AH275" s="468"/>
      <c r="AI275" s="468"/>
      <c r="AJ275" s="468"/>
      <c r="AK275" s="468"/>
      <c r="AL275" s="468"/>
      <c r="AM275" s="468"/>
      <c r="AN275" s="468"/>
      <c r="AO275" s="559"/>
      <c r="AP275" s="560">
        <f t="shared" si="18"/>
        <v>0</v>
      </c>
      <c r="AQ275" s="561"/>
      <c r="AS275" s="546"/>
      <c r="AT275" t="str" cm="1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468"/>
    </row>
    <row r="276" spans="7:47" outlineLevel="1" x14ac:dyDescent="0.25">
      <c r="G276" s="520"/>
      <c r="H276" s="520"/>
      <c r="I276" s="468"/>
      <c r="J276" s="468"/>
      <c r="K276" s="468" t="str">
        <f t="shared" ref="K276:K339" si="19">IFERROR(IF(A276="","",N(AE276)+N(AF276)+N(AG276)+N(AH276)),0)</f>
        <v/>
      </c>
      <c r="L276" s="468" t="str">
        <f t="shared" ref="L276:L339" si="20">IFERROR(IF(A276="","",N(J276)+N(K276)),0)</f>
        <v/>
      </c>
      <c r="M276" s="468"/>
      <c r="N276" s="468"/>
      <c r="O276" s="468"/>
      <c r="P276" s="468"/>
      <c r="Q276" s="468"/>
      <c r="R276" s="468"/>
      <c r="U276" s="545"/>
      <c r="V276" s="546" t="str">
        <f t="shared" ref="V276:V339" si="21">IFERROR(IF(OR(A276="",U276="",U276=0,J276=""),"",J276/U276),"")</f>
        <v/>
      </c>
      <c r="W276" s="546" t="str">
        <f t="shared" ref="W276:W339" si="22">IFERROR(IF(V276="","",V276*12),"")</f>
        <v/>
      </c>
      <c r="X276" t="str">
        <f t="shared" ref="X276:X339" si="23">IF(AND(E276="Occupied",C276&lt;&gt;"",D276&lt;&gt;""),C276&amp;"|"&amp;D276,"")</f>
        <v/>
      </c>
      <c r="Y276" t="str">
        <f t="shared" ref="Y276:Y339" si="24">IF(AND(C276&lt;&gt;"",D276&lt;&gt;""),C276&amp;"|"&amp;D276,"")</f>
        <v/>
      </c>
      <c r="AA276" s="468" t="str">
        <f t="shared" ref="AA276:AA339" si="25">IFERROR(IF(OR(A276="",I276="",J276=""),"",I276-J276),"")</f>
        <v/>
      </c>
      <c r="AB276" s="555" t="str">
        <f t="shared" ref="AB276:AB339" si="26">IFERROR(IF(OR(AA276="",I276=0,I276=""),"",AA276/I276),"")</f>
        <v/>
      </c>
      <c r="AC276" s="468"/>
      <c r="AD276" s="520"/>
      <c r="AE276" s="468"/>
      <c r="AF276" s="468"/>
      <c r="AG276" s="468"/>
      <c r="AH276" s="468"/>
      <c r="AI276" s="468"/>
      <c r="AJ276" s="468"/>
      <c r="AK276" s="468"/>
      <c r="AL276" s="468"/>
      <c r="AM276" s="468"/>
      <c r="AN276" s="468"/>
      <c r="AO276" s="559"/>
      <c r="AP276" s="560">
        <f t="shared" ref="AP276:AP339" si="27">SUM(AJ276:AN276)</f>
        <v>0</v>
      </c>
      <c r="AQ276" s="561"/>
      <c r="AS276" s="546"/>
      <c r="AT276" t="str" cm="1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468"/>
    </row>
    <row r="277" spans="7:47" outlineLevel="1" x14ac:dyDescent="0.25">
      <c r="G277" s="520"/>
      <c r="H277" s="520"/>
      <c r="I277" s="468"/>
      <c r="J277" s="468"/>
      <c r="K277" s="468" t="str">
        <f t="shared" si="19"/>
        <v/>
      </c>
      <c r="L277" s="468" t="str">
        <f t="shared" si="20"/>
        <v/>
      </c>
      <c r="M277" s="468"/>
      <c r="N277" s="468"/>
      <c r="O277" s="468"/>
      <c r="P277" s="468"/>
      <c r="Q277" s="468"/>
      <c r="R277" s="468"/>
      <c r="U277" s="545"/>
      <c r="V277" s="546" t="str">
        <f t="shared" si="21"/>
        <v/>
      </c>
      <c r="W277" s="546" t="str">
        <f t="shared" si="22"/>
        <v/>
      </c>
      <c r="X277" t="str">
        <f t="shared" si="23"/>
        <v/>
      </c>
      <c r="Y277" t="str">
        <f t="shared" si="24"/>
        <v/>
      </c>
      <c r="AA277" s="468" t="str">
        <f t="shared" si="25"/>
        <v/>
      </c>
      <c r="AB277" s="555" t="str">
        <f t="shared" si="26"/>
        <v/>
      </c>
      <c r="AC277" s="468"/>
      <c r="AD277" s="520"/>
      <c r="AE277" s="468"/>
      <c r="AF277" s="468"/>
      <c r="AG277" s="468"/>
      <c r="AH277" s="468"/>
      <c r="AI277" s="468"/>
      <c r="AJ277" s="468"/>
      <c r="AK277" s="468"/>
      <c r="AL277" s="468"/>
      <c r="AM277" s="468"/>
      <c r="AN277" s="468"/>
      <c r="AO277" s="559"/>
      <c r="AP277" s="560">
        <f t="shared" si="27"/>
        <v>0</v>
      </c>
      <c r="AQ277" s="561"/>
      <c r="AS277" s="546"/>
      <c r="AT277" t="str" cm="1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468"/>
    </row>
    <row r="278" spans="7:47" outlineLevel="1" x14ac:dyDescent="0.25">
      <c r="G278" s="520"/>
      <c r="H278" s="520"/>
      <c r="I278" s="468"/>
      <c r="J278" s="468"/>
      <c r="K278" s="468" t="str">
        <f t="shared" si="19"/>
        <v/>
      </c>
      <c r="L278" s="468" t="str">
        <f t="shared" si="20"/>
        <v/>
      </c>
      <c r="M278" s="468"/>
      <c r="N278" s="468"/>
      <c r="O278" s="468"/>
      <c r="P278" s="468"/>
      <c r="Q278" s="468"/>
      <c r="R278" s="468"/>
      <c r="U278" s="545"/>
      <c r="V278" s="546" t="str">
        <f t="shared" si="21"/>
        <v/>
      </c>
      <c r="W278" s="546" t="str">
        <f t="shared" si="22"/>
        <v/>
      </c>
      <c r="X278" t="str">
        <f t="shared" si="23"/>
        <v/>
      </c>
      <c r="Y278" t="str">
        <f t="shared" si="24"/>
        <v/>
      </c>
      <c r="AA278" s="468" t="str">
        <f t="shared" si="25"/>
        <v/>
      </c>
      <c r="AB278" s="555" t="str">
        <f t="shared" si="26"/>
        <v/>
      </c>
      <c r="AC278" s="468"/>
      <c r="AD278" s="520"/>
      <c r="AE278" s="468"/>
      <c r="AF278" s="468"/>
      <c r="AG278" s="468"/>
      <c r="AH278" s="468"/>
      <c r="AI278" s="468"/>
      <c r="AJ278" s="468"/>
      <c r="AK278" s="468"/>
      <c r="AL278" s="468"/>
      <c r="AM278" s="468"/>
      <c r="AN278" s="468"/>
      <c r="AO278" s="559"/>
      <c r="AP278" s="560">
        <f t="shared" si="27"/>
        <v>0</v>
      </c>
      <c r="AQ278" s="561"/>
      <c r="AS278" s="546"/>
      <c r="AT278" t="str" cm="1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468"/>
    </row>
    <row r="279" spans="7:47" outlineLevel="1" x14ac:dyDescent="0.25">
      <c r="G279" s="520"/>
      <c r="H279" s="520"/>
      <c r="I279" s="468"/>
      <c r="J279" s="468"/>
      <c r="K279" s="468" t="str">
        <f t="shared" si="19"/>
        <v/>
      </c>
      <c r="L279" s="468" t="str">
        <f t="shared" si="20"/>
        <v/>
      </c>
      <c r="M279" s="468"/>
      <c r="N279" s="468"/>
      <c r="O279" s="468"/>
      <c r="P279" s="468"/>
      <c r="Q279" s="468"/>
      <c r="R279" s="468"/>
      <c r="U279" s="545"/>
      <c r="V279" s="546" t="str">
        <f t="shared" si="21"/>
        <v/>
      </c>
      <c r="W279" s="546" t="str">
        <f t="shared" si="22"/>
        <v/>
      </c>
      <c r="X279" t="str">
        <f t="shared" si="23"/>
        <v/>
      </c>
      <c r="Y279" t="str">
        <f t="shared" si="24"/>
        <v/>
      </c>
      <c r="AA279" s="468" t="str">
        <f t="shared" si="25"/>
        <v/>
      </c>
      <c r="AB279" s="555" t="str">
        <f t="shared" si="26"/>
        <v/>
      </c>
      <c r="AC279" s="468"/>
      <c r="AD279" s="520"/>
      <c r="AE279" s="468"/>
      <c r="AF279" s="468"/>
      <c r="AG279" s="468"/>
      <c r="AH279" s="468"/>
      <c r="AI279" s="468"/>
      <c r="AJ279" s="468"/>
      <c r="AK279" s="468"/>
      <c r="AL279" s="468"/>
      <c r="AM279" s="468"/>
      <c r="AN279" s="468"/>
      <c r="AO279" s="559"/>
      <c r="AP279" s="560">
        <f t="shared" si="27"/>
        <v>0</v>
      </c>
      <c r="AQ279" s="561"/>
      <c r="AS279" s="546"/>
      <c r="AT279" t="str" cm="1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468"/>
    </row>
    <row r="280" spans="7:47" outlineLevel="1" x14ac:dyDescent="0.25">
      <c r="G280" s="520"/>
      <c r="H280" s="520"/>
      <c r="I280" s="468"/>
      <c r="J280" s="468"/>
      <c r="K280" s="468" t="str">
        <f t="shared" si="19"/>
        <v/>
      </c>
      <c r="L280" s="468" t="str">
        <f t="shared" si="20"/>
        <v/>
      </c>
      <c r="M280" s="468"/>
      <c r="N280" s="468"/>
      <c r="O280" s="468"/>
      <c r="P280" s="468"/>
      <c r="Q280" s="468"/>
      <c r="R280" s="468"/>
      <c r="U280" s="545"/>
      <c r="V280" s="546" t="str">
        <f t="shared" si="21"/>
        <v/>
      </c>
      <c r="W280" s="546" t="str">
        <f t="shared" si="22"/>
        <v/>
      </c>
      <c r="X280" t="str">
        <f t="shared" si="23"/>
        <v/>
      </c>
      <c r="Y280" t="str">
        <f t="shared" si="24"/>
        <v/>
      </c>
      <c r="AA280" s="468" t="str">
        <f t="shared" si="25"/>
        <v/>
      </c>
      <c r="AB280" s="555" t="str">
        <f t="shared" si="26"/>
        <v/>
      </c>
      <c r="AC280" s="468"/>
      <c r="AD280" s="520"/>
      <c r="AE280" s="468"/>
      <c r="AF280" s="468"/>
      <c r="AG280" s="468"/>
      <c r="AH280" s="468"/>
      <c r="AI280" s="468"/>
      <c r="AJ280" s="468"/>
      <c r="AK280" s="468"/>
      <c r="AL280" s="468"/>
      <c r="AM280" s="468"/>
      <c r="AN280" s="468"/>
      <c r="AO280" s="559"/>
      <c r="AP280" s="560">
        <f t="shared" si="27"/>
        <v>0</v>
      </c>
      <c r="AQ280" s="561"/>
      <c r="AS280" s="546"/>
      <c r="AT280" t="str" cm="1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468"/>
    </row>
    <row r="281" spans="7:47" outlineLevel="1" x14ac:dyDescent="0.25">
      <c r="G281" s="520"/>
      <c r="H281" s="520"/>
      <c r="I281" s="468"/>
      <c r="J281" s="468"/>
      <c r="K281" s="468" t="str">
        <f t="shared" si="19"/>
        <v/>
      </c>
      <c r="L281" s="468" t="str">
        <f t="shared" si="20"/>
        <v/>
      </c>
      <c r="M281" s="468"/>
      <c r="N281" s="468"/>
      <c r="O281" s="468"/>
      <c r="P281" s="468"/>
      <c r="Q281" s="468"/>
      <c r="R281" s="468"/>
      <c r="U281" s="545"/>
      <c r="V281" s="546" t="str">
        <f t="shared" si="21"/>
        <v/>
      </c>
      <c r="W281" s="546" t="str">
        <f t="shared" si="22"/>
        <v/>
      </c>
      <c r="X281" t="str">
        <f t="shared" si="23"/>
        <v/>
      </c>
      <c r="Y281" t="str">
        <f t="shared" si="24"/>
        <v/>
      </c>
      <c r="AA281" s="468" t="str">
        <f t="shared" si="25"/>
        <v/>
      </c>
      <c r="AB281" s="555" t="str">
        <f t="shared" si="26"/>
        <v/>
      </c>
      <c r="AC281" s="468"/>
      <c r="AD281" s="520"/>
      <c r="AE281" s="468"/>
      <c r="AF281" s="468"/>
      <c r="AG281" s="468"/>
      <c r="AH281" s="468"/>
      <c r="AI281" s="468"/>
      <c r="AJ281" s="468"/>
      <c r="AK281" s="468"/>
      <c r="AL281" s="468"/>
      <c r="AM281" s="468"/>
      <c r="AN281" s="468"/>
      <c r="AO281" s="559"/>
      <c r="AP281" s="560">
        <f t="shared" si="27"/>
        <v>0</v>
      </c>
      <c r="AQ281" s="561"/>
      <c r="AS281" s="546"/>
      <c r="AT281" t="str" cm="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468"/>
    </row>
    <row r="282" spans="7:47" outlineLevel="1" x14ac:dyDescent="0.25">
      <c r="G282" s="520"/>
      <c r="H282" s="520"/>
      <c r="I282" s="468"/>
      <c r="J282" s="468"/>
      <c r="K282" s="468" t="str">
        <f t="shared" si="19"/>
        <v/>
      </c>
      <c r="L282" s="468" t="str">
        <f t="shared" si="20"/>
        <v/>
      </c>
      <c r="M282" s="468"/>
      <c r="N282" s="468"/>
      <c r="O282" s="468"/>
      <c r="P282" s="468"/>
      <c r="Q282" s="468"/>
      <c r="R282" s="468"/>
      <c r="U282" s="545"/>
      <c r="V282" s="546" t="str">
        <f t="shared" si="21"/>
        <v/>
      </c>
      <c r="W282" s="546" t="str">
        <f t="shared" si="22"/>
        <v/>
      </c>
      <c r="X282" t="str">
        <f t="shared" si="23"/>
        <v/>
      </c>
      <c r="Y282" t="str">
        <f t="shared" si="24"/>
        <v/>
      </c>
      <c r="AA282" s="468" t="str">
        <f t="shared" si="25"/>
        <v/>
      </c>
      <c r="AB282" s="555" t="str">
        <f t="shared" si="26"/>
        <v/>
      </c>
      <c r="AC282" s="468"/>
      <c r="AD282" s="520"/>
      <c r="AE282" s="468"/>
      <c r="AF282" s="468"/>
      <c r="AG282" s="468"/>
      <c r="AH282" s="468"/>
      <c r="AI282" s="468"/>
      <c r="AJ282" s="468"/>
      <c r="AK282" s="468"/>
      <c r="AL282" s="468"/>
      <c r="AM282" s="468"/>
      <c r="AN282" s="468"/>
      <c r="AO282" s="559"/>
      <c r="AP282" s="560">
        <f t="shared" si="27"/>
        <v>0</v>
      </c>
      <c r="AQ282" s="561"/>
      <c r="AS282" s="546"/>
      <c r="AT282" t="str" cm="1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468"/>
    </row>
    <row r="283" spans="7:47" outlineLevel="1" x14ac:dyDescent="0.25">
      <c r="G283" s="520"/>
      <c r="H283" s="520"/>
      <c r="I283" s="468"/>
      <c r="J283" s="468"/>
      <c r="K283" s="468" t="str">
        <f t="shared" si="19"/>
        <v/>
      </c>
      <c r="L283" s="468" t="str">
        <f t="shared" si="20"/>
        <v/>
      </c>
      <c r="M283" s="468"/>
      <c r="N283" s="468"/>
      <c r="O283" s="468"/>
      <c r="P283" s="468"/>
      <c r="Q283" s="468"/>
      <c r="R283" s="468"/>
      <c r="U283" s="545"/>
      <c r="V283" s="546" t="str">
        <f t="shared" si="21"/>
        <v/>
      </c>
      <c r="W283" s="546" t="str">
        <f t="shared" si="22"/>
        <v/>
      </c>
      <c r="X283" t="str">
        <f t="shared" si="23"/>
        <v/>
      </c>
      <c r="Y283" t="str">
        <f t="shared" si="24"/>
        <v/>
      </c>
      <c r="AA283" s="468" t="str">
        <f t="shared" si="25"/>
        <v/>
      </c>
      <c r="AB283" s="555" t="str">
        <f t="shared" si="26"/>
        <v/>
      </c>
      <c r="AC283" s="468"/>
      <c r="AD283" s="520"/>
      <c r="AE283" s="468"/>
      <c r="AF283" s="468"/>
      <c r="AG283" s="468"/>
      <c r="AH283" s="468"/>
      <c r="AI283" s="468"/>
      <c r="AJ283" s="468"/>
      <c r="AK283" s="468"/>
      <c r="AL283" s="468"/>
      <c r="AM283" s="468"/>
      <c r="AN283" s="468"/>
      <c r="AO283" s="559"/>
      <c r="AP283" s="560">
        <f t="shared" si="27"/>
        <v>0</v>
      </c>
      <c r="AQ283" s="561"/>
      <c r="AS283" s="546"/>
      <c r="AT283" t="str" cm="1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468"/>
    </row>
    <row r="284" spans="7:47" outlineLevel="1" x14ac:dyDescent="0.25">
      <c r="G284" s="520"/>
      <c r="H284" s="520"/>
      <c r="I284" s="468"/>
      <c r="J284" s="468"/>
      <c r="K284" s="468" t="str">
        <f t="shared" si="19"/>
        <v/>
      </c>
      <c r="L284" s="468" t="str">
        <f t="shared" si="20"/>
        <v/>
      </c>
      <c r="M284" s="468"/>
      <c r="N284" s="468"/>
      <c r="O284" s="468"/>
      <c r="P284" s="468"/>
      <c r="Q284" s="468"/>
      <c r="R284" s="468"/>
      <c r="U284" s="545"/>
      <c r="V284" s="546" t="str">
        <f t="shared" si="21"/>
        <v/>
      </c>
      <c r="W284" s="546" t="str">
        <f t="shared" si="22"/>
        <v/>
      </c>
      <c r="X284" t="str">
        <f t="shared" si="23"/>
        <v/>
      </c>
      <c r="Y284" t="str">
        <f t="shared" si="24"/>
        <v/>
      </c>
      <c r="AA284" s="468" t="str">
        <f t="shared" si="25"/>
        <v/>
      </c>
      <c r="AB284" s="555" t="str">
        <f t="shared" si="26"/>
        <v/>
      </c>
      <c r="AC284" s="468"/>
      <c r="AD284" s="520"/>
      <c r="AE284" s="468"/>
      <c r="AF284" s="468"/>
      <c r="AG284" s="468"/>
      <c r="AH284" s="468"/>
      <c r="AI284" s="468"/>
      <c r="AJ284" s="468"/>
      <c r="AK284" s="468"/>
      <c r="AL284" s="468"/>
      <c r="AM284" s="468"/>
      <c r="AN284" s="468"/>
      <c r="AO284" s="559"/>
      <c r="AP284" s="560">
        <f t="shared" si="27"/>
        <v>0</v>
      </c>
      <c r="AQ284" s="561"/>
      <c r="AS284" s="546"/>
      <c r="AT284" t="str" cm="1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468"/>
    </row>
    <row r="285" spans="7:47" outlineLevel="1" x14ac:dyDescent="0.25">
      <c r="G285" s="520"/>
      <c r="H285" s="520"/>
      <c r="I285" s="468"/>
      <c r="J285" s="468"/>
      <c r="K285" s="468" t="str">
        <f t="shared" si="19"/>
        <v/>
      </c>
      <c r="L285" s="468" t="str">
        <f t="shared" si="20"/>
        <v/>
      </c>
      <c r="M285" s="468"/>
      <c r="N285" s="468"/>
      <c r="O285" s="468"/>
      <c r="P285" s="468"/>
      <c r="Q285" s="468"/>
      <c r="R285" s="468"/>
      <c r="U285" s="545"/>
      <c r="V285" s="546" t="str">
        <f t="shared" si="21"/>
        <v/>
      </c>
      <c r="W285" s="546" t="str">
        <f t="shared" si="22"/>
        <v/>
      </c>
      <c r="X285" t="str">
        <f t="shared" si="23"/>
        <v/>
      </c>
      <c r="Y285" t="str">
        <f t="shared" si="24"/>
        <v/>
      </c>
      <c r="AA285" s="468" t="str">
        <f t="shared" si="25"/>
        <v/>
      </c>
      <c r="AB285" s="555" t="str">
        <f t="shared" si="26"/>
        <v/>
      </c>
      <c r="AC285" s="468"/>
      <c r="AD285" s="520"/>
      <c r="AE285" s="468"/>
      <c r="AF285" s="468"/>
      <c r="AG285" s="468"/>
      <c r="AH285" s="468"/>
      <c r="AI285" s="468"/>
      <c r="AJ285" s="468"/>
      <c r="AK285" s="468"/>
      <c r="AL285" s="468"/>
      <c r="AM285" s="468"/>
      <c r="AN285" s="468"/>
      <c r="AO285" s="559"/>
      <c r="AP285" s="560">
        <f t="shared" si="27"/>
        <v>0</v>
      </c>
      <c r="AQ285" s="561"/>
      <c r="AS285" s="546"/>
      <c r="AT285" t="str" cm="1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468"/>
    </row>
    <row r="286" spans="7:47" outlineLevel="1" x14ac:dyDescent="0.25">
      <c r="G286" s="520"/>
      <c r="H286" s="520"/>
      <c r="I286" s="468"/>
      <c r="J286" s="468"/>
      <c r="K286" s="468" t="str">
        <f t="shared" si="19"/>
        <v/>
      </c>
      <c r="L286" s="468" t="str">
        <f t="shared" si="20"/>
        <v/>
      </c>
      <c r="M286" s="468"/>
      <c r="N286" s="468"/>
      <c r="O286" s="468"/>
      <c r="P286" s="468"/>
      <c r="Q286" s="468"/>
      <c r="R286" s="468"/>
      <c r="U286" s="545"/>
      <c r="V286" s="546" t="str">
        <f t="shared" si="21"/>
        <v/>
      </c>
      <c r="W286" s="546" t="str">
        <f t="shared" si="22"/>
        <v/>
      </c>
      <c r="X286" t="str">
        <f t="shared" si="23"/>
        <v/>
      </c>
      <c r="Y286" t="str">
        <f t="shared" si="24"/>
        <v/>
      </c>
      <c r="AA286" s="468" t="str">
        <f t="shared" si="25"/>
        <v/>
      </c>
      <c r="AB286" s="555" t="str">
        <f t="shared" si="26"/>
        <v/>
      </c>
      <c r="AC286" s="468"/>
      <c r="AD286" s="520"/>
      <c r="AE286" s="468"/>
      <c r="AF286" s="468"/>
      <c r="AG286" s="468"/>
      <c r="AH286" s="468"/>
      <c r="AI286" s="468"/>
      <c r="AJ286" s="468"/>
      <c r="AK286" s="468"/>
      <c r="AL286" s="468"/>
      <c r="AM286" s="468"/>
      <c r="AN286" s="468"/>
      <c r="AO286" s="559"/>
      <c r="AP286" s="560">
        <f t="shared" si="27"/>
        <v>0</v>
      </c>
      <c r="AQ286" s="561"/>
      <c r="AS286" s="546"/>
      <c r="AT286" t="str" cm="1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468"/>
    </row>
    <row r="287" spans="7:47" outlineLevel="1" x14ac:dyDescent="0.25">
      <c r="G287" s="520"/>
      <c r="H287" s="520"/>
      <c r="I287" s="468"/>
      <c r="J287" s="468"/>
      <c r="K287" s="468" t="str">
        <f t="shared" si="19"/>
        <v/>
      </c>
      <c r="L287" s="468" t="str">
        <f t="shared" si="20"/>
        <v/>
      </c>
      <c r="M287" s="468"/>
      <c r="N287" s="468"/>
      <c r="O287" s="468"/>
      <c r="P287" s="468"/>
      <c r="Q287" s="468"/>
      <c r="R287" s="468"/>
      <c r="U287" s="545"/>
      <c r="V287" s="546" t="str">
        <f t="shared" si="21"/>
        <v/>
      </c>
      <c r="W287" s="546" t="str">
        <f t="shared" si="22"/>
        <v/>
      </c>
      <c r="X287" t="str">
        <f t="shared" si="23"/>
        <v/>
      </c>
      <c r="Y287" t="str">
        <f t="shared" si="24"/>
        <v/>
      </c>
      <c r="AA287" s="468" t="str">
        <f t="shared" si="25"/>
        <v/>
      </c>
      <c r="AB287" s="555" t="str">
        <f t="shared" si="26"/>
        <v/>
      </c>
      <c r="AC287" s="468"/>
      <c r="AD287" s="520"/>
      <c r="AE287" s="468"/>
      <c r="AF287" s="468"/>
      <c r="AG287" s="468"/>
      <c r="AH287" s="468"/>
      <c r="AI287" s="468"/>
      <c r="AJ287" s="468"/>
      <c r="AK287" s="468"/>
      <c r="AL287" s="468"/>
      <c r="AM287" s="468"/>
      <c r="AN287" s="468"/>
      <c r="AO287" s="559"/>
      <c r="AP287" s="560">
        <f t="shared" si="27"/>
        <v>0</v>
      </c>
      <c r="AQ287" s="561"/>
      <c r="AS287" s="546"/>
      <c r="AT287" t="str" cm="1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468"/>
    </row>
    <row r="288" spans="7:47" outlineLevel="1" x14ac:dyDescent="0.25">
      <c r="G288" s="520"/>
      <c r="H288" s="520"/>
      <c r="I288" s="468"/>
      <c r="J288" s="468"/>
      <c r="K288" s="468" t="str">
        <f t="shared" si="19"/>
        <v/>
      </c>
      <c r="L288" s="468" t="str">
        <f t="shared" si="20"/>
        <v/>
      </c>
      <c r="M288" s="468"/>
      <c r="N288" s="468"/>
      <c r="O288" s="468"/>
      <c r="P288" s="468"/>
      <c r="Q288" s="468"/>
      <c r="R288" s="468"/>
      <c r="U288" s="545"/>
      <c r="V288" s="546" t="str">
        <f t="shared" si="21"/>
        <v/>
      </c>
      <c r="W288" s="546" t="str">
        <f t="shared" si="22"/>
        <v/>
      </c>
      <c r="X288" t="str">
        <f t="shared" si="23"/>
        <v/>
      </c>
      <c r="Y288" t="str">
        <f t="shared" si="24"/>
        <v/>
      </c>
      <c r="AA288" s="468" t="str">
        <f t="shared" si="25"/>
        <v/>
      </c>
      <c r="AB288" s="555" t="str">
        <f t="shared" si="26"/>
        <v/>
      </c>
      <c r="AC288" s="468"/>
      <c r="AD288" s="520"/>
      <c r="AE288" s="468"/>
      <c r="AF288" s="468"/>
      <c r="AG288" s="468"/>
      <c r="AH288" s="468"/>
      <c r="AI288" s="468"/>
      <c r="AJ288" s="468"/>
      <c r="AK288" s="468"/>
      <c r="AL288" s="468"/>
      <c r="AM288" s="468"/>
      <c r="AN288" s="468"/>
      <c r="AO288" s="559"/>
      <c r="AP288" s="560">
        <f t="shared" si="27"/>
        <v>0</v>
      </c>
      <c r="AQ288" s="561"/>
      <c r="AS288" s="546"/>
      <c r="AT288" t="str" cm="1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468"/>
    </row>
    <row r="289" spans="7:47" outlineLevel="1" x14ac:dyDescent="0.25">
      <c r="G289" s="520"/>
      <c r="H289" s="520"/>
      <c r="I289" s="468"/>
      <c r="J289" s="468"/>
      <c r="K289" s="468" t="str">
        <f t="shared" si="19"/>
        <v/>
      </c>
      <c r="L289" s="468" t="str">
        <f t="shared" si="20"/>
        <v/>
      </c>
      <c r="M289" s="468"/>
      <c r="N289" s="468"/>
      <c r="O289" s="468"/>
      <c r="P289" s="468"/>
      <c r="Q289" s="468"/>
      <c r="R289" s="468"/>
      <c r="U289" s="545"/>
      <c r="V289" s="546" t="str">
        <f t="shared" si="21"/>
        <v/>
      </c>
      <c r="W289" s="546" t="str">
        <f t="shared" si="22"/>
        <v/>
      </c>
      <c r="X289" t="str">
        <f t="shared" si="23"/>
        <v/>
      </c>
      <c r="Y289" t="str">
        <f t="shared" si="24"/>
        <v/>
      </c>
      <c r="AA289" s="468" t="str">
        <f t="shared" si="25"/>
        <v/>
      </c>
      <c r="AB289" s="555" t="str">
        <f t="shared" si="26"/>
        <v/>
      </c>
      <c r="AC289" s="468"/>
      <c r="AD289" s="520"/>
      <c r="AE289" s="468"/>
      <c r="AF289" s="468"/>
      <c r="AG289" s="468"/>
      <c r="AH289" s="468"/>
      <c r="AI289" s="468"/>
      <c r="AJ289" s="468"/>
      <c r="AK289" s="468"/>
      <c r="AL289" s="468"/>
      <c r="AM289" s="468"/>
      <c r="AN289" s="468"/>
      <c r="AO289" s="559"/>
      <c r="AP289" s="560">
        <f t="shared" si="27"/>
        <v>0</v>
      </c>
      <c r="AQ289" s="561"/>
      <c r="AS289" s="546"/>
      <c r="AT289" t="str" cm="1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468"/>
    </row>
    <row r="290" spans="7:47" outlineLevel="1" x14ac:dyDescent="0.25">
      <c r="G290" s="520"/>
      <c r="H290" s="520"/>
      <c r="I290" s="468"/>
      <c r="J290" s="468"/>
      <c r="K290" s="468" t="str">
        <f t="shared" si="19"/>
        <v/>
      </c>
      <c r="L290" s="468" t="str">
        <f t="shared" si="20"/>
        <v/>
      </c>
      <c r="M290" s="468"/>
      <c r="N290" s="468"/>
      <c r="O290" s="468"/>
      <c r="P290" s="468"/>
      <c r="Q290" s="468"/>
      <c r="R290" s="468"/>
      <c r="U290" s="545"/>
      <c r="V290" s="546" t="str">
        <f t="shared" si="21"/>
        <v/>
      </c>
      <c r="W290" s="546" t="str">
        <f t="shared" si="22"/>
        <v/>
      </c>
      <c r="X290" t="str">
        <f t="shared" si="23"/>
        <v/>
      </c>
      <c r="Y290" t="str">
        <f t="shared" si="24"/>
        <v/>
      </c>
      <c r="AA290" s="468" t="str">
        <f t="shared" si="25"/>
        <v/>
      </c>
      <c r="AB290" s="555" t="str">
        <f t="shared" si="26"/>
        <v/>
      </c>
      <c r="AC290" s="468"/>
      <c r="AD290" s="520"/>
      <c r="AE290" s="468"/>
      <c r="AF290" s="468"/>
      <c r="AG290" s="468"/>
      <c r="AH290" s="468"/>
      <c r="AI290" s="468"/>
      <c r="AJ290" s="468"/>
      <c r="AK290" s="468"/>
      <c r="AL290" s="468"/>
      <c r="AM290" s="468"/>
      <c r="AN290" s="468"/>
      <c r="AO290" s="559"/>
      <c r="AP290" s="560">
        <f t="shared" si="27"/>
        <v>0</v>
      </c>
      <c r="AQ290" s="561"/>
      <c r="AS290" s="546"/>
      <c r="AT290" t="str" cm="1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468"/>
    </row>
    <row r="291" spans="7:47" outlineLevel="1" x14ac:dyDescent="0.25">
      <c r="G291" s="520"/>
      <c r="H291" s="520"/>
      <c r="I291" s="468"/>
      <c r="J291" s="468"/>
      <c r="K291" s="468" t="str">
        <f t="shared" si="19"/>
        <v/>
      </c>
      <c r="L291" s="468" t="str">
        <f t="shared" si="20"/>
        <v/>
      </c>
      <c r="M291" s="468"/>
      <c r="N291" s="468"/>
      <c r="O291" s="468"/>
      <c r="P291" s="468"/>
      <c r="Q291" s="468"/>
      <c r="R291" s="468"/>
      <c r="U291" s="545"/>
      <c r="V291" s="546" t="str">
        <f t="shared" si="21"/>
        <v/>
      </c>
      <c r="W291" s="546" t="str">
        <f t="shared" si="22"/>
        <v/>
      </c>
      <c r="X291" t="str">
        <f t="shared" si="23"/>
        <v/>
      </c>
      <c r="Y291" t="str">
        <f t="shared" si="24"/>
        <v/>
      </c>
      <c r="AA291" s="468" t="str">
        <f t="shared" si="25"/>
        <v/>
      </c>
      <c r="AB291" s="555" t="str">
        <f t="shared" si="26"/>
        <v/>
      </c>
      <c r="AC291" s="468"/>
      <c r="AD291" s="520"/>
      <c r="AE291" s="468"/>
      <c r="AF291" s="468"/>
      <c r="AG291" s="468"/>
      <c r="AH291" s="468"/>
      <c r="AI291" s="468"/>
      <c r="AJ291" s="468"/>
      <c r="AK291" s="468"/>
      <c r="AL291" s="468"/>
      <c r="AM291" s="468"/>
      <c r="AN291" s="468"/>
      <c r="AO291" s="559"/>
      <c r="AP291" s="560">
        <f t="shared" si="27"/>
        <v>0</v>
      </c>
      <c r="AQ291" s="561"/>
      <c r="AS291" s="546"/>
      <c r="AT291" t="str" cm="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468"/>
    </row>
    <row r="292" spans="7:47" outlineLevel="1" x14ac:dyDescent="0.25">
      <c r="G292" s="520"/>
      <c r="H292" s="520"/>
      <c r="I292" s="468"/>
      <c r="J292" s="468"/>
      <c r="K292" s="468" t="str">
        <f t="shared" si="19"/>
        <v/>
      </c>
      <c r="L292" s="468" t="str">
        <f t="shared" si="20"/>
        <v/>
      </c>
      <c r="M292" s="468"/>
      <c r="N292" s="468"/>
      <c r="O292" s="468"/>
      <c r="P292" s="468"/>
      <c r="Q292" s="468"/>
      <c r="R292" s="468"/>
      <c r="U292" s="545"/>
      <c r="V292" s="546" t="str">
        <f t="shared" si="21"/>
        <v/>
      </c>
      <c r="W292" s="546" t="str">
        <f t="shared" si="22"/>
        <v/>
      </c>
      <c r="X292" t="str">
        <f t="shared" si="23"/>
        <v/>
      </c>
      <c r="Y292" t="str">
        <f t="shared" si="24"/>
        <v/>
      </c>
      <c r="AA292" s="468" t="str">
        <f t="shared" si="25"/>
        <v/>
      </c>
      <c r="AB292" s="555" t="str">
        <f t="shared" si="26"/>
        <v/>
      </c>
      <c r="AC292" s="468"/>
      <c r="AD292" s="520"/>
      <c r="AE292" s="468"/>
      <c r="AF292" s="468"/>
      <c r="AG292" s="468"/>
      <c r="AH292" s="468"/>
      <c r="AI292" s="468"/>
      <c r="AJ292" s="468"/>
      <c r="AK292" s="468"/>
      <c r="AL292" s="468"/>
      <c r="AM292" s="468"/>
      <c r="AN292" s="468"/>
      <c r="AO292" s="559"/>
      <c r="AP292" s="560">
        <f t="shared" si="27"/>
        <v>0</v>
      </c>
      <c r="AQ292" s="561"/>
      <c r="AS292" s="546"/>
      <c r="AT292" t="str" cm="1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468"/>
    </row>
    <row r="293" spans="7:47" outlineLevel="1" x14ac:dyDescent="0.25">
      <c r="G293" s="520"/>
      <c r="H293" s="520"/>
      <c r="I293" s="468"/>
      <c r="J293" s="468"/>
      <c r="K293" s="468" t="str">
        <f t="shared" si="19"/>
        <v/>
      </c>
      <c r="L293" s="468" t="str">
        <f t="shared" si="20"/>
        <v/>
      </c>
      <c r="M293" s="468"/>
      <c r="N293" s="468"/>
      <c r="O293" s="468"/>
      <c r="P293" s="468"/>
      <c r="Q293" s="468"/>
      <c r="R293" s="468"/>
      <c r="U293" s="545"/>
      <c r="V293" s="546" t="str">
        <f t="shared" si="21"/>
        <v/>
      </c>
      <c r="W293" s="546" t="str">
        <f t="shared" si="22"/>
        <v/>
      </c>
      <c r="X293" t="str">
        <f t="shared" si="23"/>
        <v/>
      </c>
      <c r="Y293" t="str">
        <f t="shared" si="24"/>
        <v/>
      </c>
      <c r="AA293" s="468" t="str">
        <f t="shared" si="25"/>
        <v/>
      </c>
      <c r="AB293" s="555" t="str">
        <f t="shared" si="26"/>
        <v/>
      </c>
      <c r="AC293" s="468"/>
      <c r="AD293" s="520"/>
      <c r="AE293" s="468"/>
      <c r="AF293" s="468"/>
      <c r="AG293" s="468"/>
      <c r="AH293" s="468"/>
      <c r="AI293" s="468"/>
      <c r="AJ293" s="468"/>
      <c r="AK293" s="468"/>
      <c r="AL293" s="468"/>
      <c r="AM293" s="468"/>
      <c r="AN293" s="468"/>
      <c r="AO293" s="559"/>
      <c r="AP293" s="560">
        <f t="shared" si="27"/>
        <v>0</v>
      </c>
      <c r="AQ293" s="561"/>
      <c r="AS293" s="546"/>
      <c r="AT293" t="str" cm="1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468"/>
    </row>
    <row r="294" spans="7:47" outlineLevel="1" x14ac:dyDescent="0.25">
      <c r="G294" s="520"/>
      <c r="H294" s="520"/>
      <c r="I294" s="468"/>
      <c r="J294" s="468"/>
      <c r="K294" s="468" t="str">
        <f t="shared" si="19"/>
        <v/>
      </c>
      <c r="L294" s="468" t="str">
        <f t="shared" si="20"/>
        <v/>
      </c>
      <c r="M294" s="468"/>
      <c r="N294" s="468"/>
      <c r="O294" s="468"/>
      <c r="P294" s="468"/>
      <c r="Q294" s="468"/>
      <c r="R294" s="468"/>
      <c r="U294" s="545"/>
      <c r="V294" s="546" t="str">
        <f t="shared" si="21"/>
        <v/>
      </c>
      <c r="W294" s="546" t="str">
        <f t="shared" si="22"/>
        <v/>
      </c>
      <c r="X294" t="str">
        <f t="shared" si="23"/>
        <v/>
      </c>
      <c r="Y294" t="str">
        <f t="shared" si="24"/>
        <v/>
      </c>
      <c r="AA294" s="468" t="str">
        <f t="shared" si="25"/>
        <v/>
      </c>
      <c r="AB294" s="555" t="str">
        <f t="shared" si="26"/>
        <v/>
      </c>
      <c r="AC294" s="468"/>
      <c r="AD294" s="520"/>
      <c r="AE294" s="468"/>
      <c r="AF294" s="468"/>
      <c r="AG294" s="468"/>
      <c r="AH294" s="468"/>
      <c r="AI294" s="468"/>
      <c r="AJ294" s="468"/>
      <c r="AK294" s="468"/>
      <c r="AL294" s="468"/>
      <c r="AM294" s="468"/>
      <c r="AN294" s="468"/>
      <c r="AO294" s="559"/>
      <c r="AP294" s="560">
        <f t="shared" si="27"/>
        <v>0</v>
      </c>
      <c r="AQ294" s="561"/>
      <c r="AS294" s="546"/>
      <c r="AT294" t="str" cm="1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468"/>
    </row>
    <row r="295" spans="7:47" outlineLevel="1" x14ac:dyDescent="0.25">
      <c r="G295" s="520"/>
      <c r="H295" s="520"/>
      <c r="I295" s="468"/>
      <c r="J295" s="468"/>
      <c r="K295" s="468" t="str">
        <f t="shared" si="19"/>
        <v/>
      </c>
      <c r="L295" s="468" t="str">
        <f t="shared" si="20"/>
        <v/>
      </c>
      <c r="M295" s="468"/>
      <c r="N295" s="468"/>
      <c r="O295" s="468"/>
      <c r="P295" s="468"/>
      <c r="Q295" s="468"/>
      <c r="R295" s="468"/>
      <c r="U295" s="545"/>
      <c r="V295" s="546" t="str">
        <f t="shared" si="21"/>
        <v/>
      </c>
      <c r="W295" s="546" t="str">
        <f t="shared" si="22"/>
        <v/>
      </c>
      <c r="X295" t="str">
        <f t="shared" si="23"/>
        <v/>
      </c>
      <c r="Y295" t="str">
        <f t="shared" si="24"/>
        <v/>
      </c>
      <c r="AA295" s="468" t="str">
        <f t="shared" si="25"/>
        <v/>
      </c>
      <c r="AB295" s="555" t="str">
        <f t="shared" si="26"/>
        <v/>
      </c>
      <c r="AC295" s="468"/>
      <c r="AD295" s="520"/>
      <c r="AE295" s="468"/>
      <c r="AF295" s="468"/>
      <c r="AG295" s="468"/>
      <c r="AH295" s="468"/>
      <c r="AI295" s="468"/>
      <c r="AJ295" s="468"/>
      <c r="AK295" s="468"/>
      <c r="AL295" s="468"/>
      <c r="AM295" s="468"/>
      <c r="AN295" s="468"/>
      <c r="AO295" s="559"/>
      <c r="AP295" s="560">
        <f t="shared" si="27"/>
        <v>0</v>
      </c>
      <c r="AQ295" s="561"/>
      <c r="AS295" s="546"/>
      <c r="AT295" t="str" cm="1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468"/>
    </row>
    <row r="296" spans="7:47" outlineLevel="1" x14ac:dyDescent="0.25">
      <c r="G296" s="520"/>
      <c r="H296" s="520"/>
      <c r="I296" s="468"/>
      <c r="J296" s="468"/>
      <c r="K296" s="468" t="str">
        <f t="shared" si="19"/>
        <v/>
      </c>
      <c r="L296" s="468" t="str">
        <f t="shared" si="20"/>
        <v/>
      </c>
      <c r="M296" s="468"/>
      <c r="N296" s="468"/>
      <c r="O296" s="468"/>
      <c r="P296" s="468"/>
      <c r="Q296" s="468"/>
      <c r="R296" s="468"/>
      <c r="U296" s="545"/>
      <c r="V296" s="546" t="str">
        <f t="shared" si="21"/>
        <v/>
      </c>
      <c r="W296" s="546" t="str">
        <f t="shared" si="22"/>
        <v/>
      </c>
      <c r="X296" t="str">
        <f t="shared" si="23"/>
        <v/>
      </c>
      <c r="Y296" t="str">
        <f t="shared" si="24"/>
        <v/>
      </c>
      <c r="AA296" s="468" t="str">
        <f t="shared" si="25"/>
        <v/>
      </c>
      <c r="AB296" s="555" t="str">
        <f t="shared" si="26"/>
        <v/>
      </c>
      <c r="AC296" s="468"/>
      <c r="AD296" s="520"/>
      <c r="AE296" s="468"/>
      <c r="AF296" s="468"/>
      <c r="AG296" s="468"/>
      <c r="AH296" s="468"/>
      <c r="AI296" s="468"/>
      <c r="AJ296" s="468"/>
      <c r="AK296" s="468"/>
      <c r="AL296" s="468"/>
      <c r="AM296" s="468"/>
      <c r="AN296" s="468"/>
      <c r="AO296" s="559"/>
      <c r="AP296" s="560">
        <f t="shared" si="27"/>
        <v>0</v>
      </c>
      <c r="AQ296" s="561"/>
      <c r="AS296" s="546"/>
      <c r="AT296" t="str" cm="1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468"/>
    </row>
    <row r="297" spans="7:47" outlineLevel="1" x14ac:dyDescent="0.25">
      <c r="G297" s="520"/>
      <c r="H297" s="520"/>
      <c r="I297" s="468"/>
      <c r="J297" s="468"/>
      <c r="K297" s="468" t="str">
        <f t="shared" si="19"/>
        <v/>
      </c>
      <c r="L297" s="468" t="str">
        <f t="shared" si="20"/>
        <v/>
      </c>
      <c r="M297" s="468"/>
      <c r="N297" s="468"/>
      <c r="O297" s="468"/>
      <c r="P297" s="468"/>
      <c r="Q297" s="468"/>
      <c r="R297" s="468"/>
      <c r="U297" s="545"/>
      <c r="V297" s="546" t="str">
        <f t="shared" si="21"/>
        <v/>
      </c>
      <c r="W297" s="546" t="str">
        <f t="shared" si="22"/>
        <v/>
      </c>
      <c r="X297" t="str">
        <f t="shared" si="23"/>
        <v/>
      </c>
      <c r="Y297" t="str">
        <f t="shared" si="24"/>
        <v/>
      </c>
      <c r="AA297" s="468" t="str">
        <f t="shared" si="25"/>
        <v/>
      </c>
      <c r="AB297" s="555" t="str">
        <f t="shared" si="26"/>
        <v/>
      </c>
      <c r="AC297" s="468"/>
      <c r="AD297" s="520"/>
      <c r="AE297" s="468"/>
      <c r="AF297" s="468"/>
      <c r="AG297" s="468"/>
      <c r="AH297" s="468"/>
      <c r="AI297" s="468"/>
      <c r="AJ297" s="468"/>
      <c r="AK297" s="468"/>
      <c r="AL297" s="468"/>
      <c r="AM297" s="468"/>
      <c r="AN297" s="468"/>
      <c r="AO297" s="559"/>
      <c r="AP297" s="560">
        <f t="shared" si="27"/>
        <v>0</v>
      </c>
      <c r="AQ297" s="561"/>
      <c r="AS297" s="546"/>
      <c r="AT297" t="str" cm="1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468"/>
    </row>
    <row r="298" spans="7:47" outlineLevel="1" x14ac:dyDescent="0.25">
      <c r="G298" s="520"/>
      <c r="H298" s="520"/>
      <c r="I298" s="468"/>
      <c r="J298" s="468"/>
      <c r="K298" s="468" t="str">
        <f t="shared" si="19"/>
        <v/>
      </c>
      <c r="L298" s="468" t="str">
        <f t="shared" si="20"/>
        <v/>
      </c>
      <c r="M298" s="468"/>
      <c r="N298" s="468"/>
      <c r="O298" s="468"/>
      <c r="P298" s="468"/>
      <c r="Q298" s="468"/>
      <c r="R298" s="468"/>
      <c r="U298" s="545"/>
      <c r="V298" s="546" t="str">
        <f t="shared" si="21"/>
        <v/>
      </c>
      <c r="W298" s="546" t="str">
        <f t="shared" si="22"/>
        <v/>
      </c>
      <c r="X298" t="str">
        <f t="shared" si="23"/>
        <v/>
      </c>
      <c r="Y298" t="str">
        <f t="shared" si="24"/>
        <v/>
      </c>
      <c r="AA298" s="468" t="str">
        <f t="shared" si="25"/>
        <v/>
      </c>
      <c r="AB298" s="555" t="str">
        <f t="shared" si="26"/>
        <v/>
      </c>
      <c r="AC298" s="468"/>
      <c r="AD298" s="520"/>
      <c r="AE298" s="468"/>
      <c r="AF298" s="468"/>
      <c r="AG298" s="468"/>
      <c r="AH298" s="468"/>
      <c r="AI298" s="468"/>
      <c r="AJ298" s="468"/>
      <c r="AK298" s="468"/>
      <c r="AL298" s="468"/>
      <c r="AM298" s="468"/>
      <c r="AN298" s="468"/>
      <c r="AO298" s="559"/>
      <c r="AP298" s="560">
        <f t="shared" si="27"/>
        <v>0</v>
      </c>
      <c r="AQ298" s="561"/>
      <c r="AS298" s="546"/>
      <c r="AT298" t="str" cm="1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468"/>
    </row>
    <row r="299" spans="7:47" outlineLevel="1" x14ac:dyDescent="0.25">
      <c r="G299" s="520"/>
      <c r="H299" s="520"/>
      <c r="I299" s="468"/>
      <c r="J299" s="468"/>
      <c r="K299" s="468" t="str">
        <f t="shared" si="19"/>
        <v/>
      </c>
      <c r="L299" s="468" t="str">
        <f t="shared" si="20"/>
        <v/>
      </c>
      <c r="M299" s="468"/>
      <c r="N299" s="468"/>
      <c r="O299" s="468"/>
      <c r="P299" s="468"/>
      <c r="Q299" s="468"/>
      <c r="R299" s="468"/>
      <c r="U299" s="545"/>
      <c r="V299" s="546" t="str">
        <f t="shared" si="21"/>
        <v/>
      </c>
      <c r="W299" s="546" t="str">
        <f t="shared" si="22"/>
        <v/>
      </c>
      <c r="X299" t="str">
        <f t="shared" si="23"/>
        <v/>
      </c>
      <c r="Y299" t="str">
        <f t="shared" si="24"/>
        <v/>
      </c>
      <c r="AA299" s="468" t="str">
        <f t="shared" si="25"/>
        <v/>
      </c>
      <c r="AB299" s="555" t="str">
        <f t="shared" si="26"/>
        <v/>
      </c>
      <c r="AC299" s="468"/>
      <c r="AD299" s="520"/>
      <c r="AE299" s="468"/>
      <c r="AF299" s="468"/>
      <c r="AG299" s="468"/>
      <c r="AH299" s="468"/>
      <c r="AI299" s="468"/>
      <c r="AJ299" s="468"/>
      <c r="AK299" s="468"/>
      <c r="AL299" s="468"/>
      <c r="AM299" s="468"/>
      <c r="AN299" s="468"/>
      <c r="AO299" s="559"/>
      <c r="AP299" s="560">
        <f t="shared" si="27"/>
        <v>0</v>
      </c>
      <c r="AQ299" s="561"/>
      <c r="AS299" s="546"/>
      <c r="AT299" t="str" cm="1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468"/>
    </row>
    <row r="300" spans="7:47" outlineLevel="1" x14ac:dyDescent="0.25">
      <c r="G300" s="520"/>
      <c r="H300" s="520"/>
      <c r="I300" s="468"/>
      <c r="J300" s="468"/>
      <c r="K300" s="468" t="str">
        <f t="shared" si="19"/>
        <v/>
      </c>
      <c r="L300" s="468" t="str">
        <f t="shared" si="20"/>
        <v/>
      </c>
      <c r="M300" s="468"/>
      <c r="N300" s="468"/>
      <c r="O300" s="468"/>
      <c r="P300" s="468"/>
      <c r="Q300" s="468"/>
      <c r="R300" s="468"/>
      <c r="U300" s="545"/>
      <c r="V300" s="546" t="str">
        <f t="shared" si="21"/>
        <v/>
      </c>
      <c r="W300" s="546" t="str">
        <f t="shared" si="22"/>
        <v/>
      </c>
      <c r="X300" t="str">
        <f t="shared" si="23"/>
        <v/>
      </c>
      <c r="Y300" t="str">
        <f t="shared" si="24"/>
        <v/>
      </c>
      <c r="AA300" s="468" t="str">
        <f t="shared" si="25"/>
        <v/>
      </c>
      <c r="AB300" s="555" t="str">
        <f t="shared" si="26"/>
        <v/>
      </c>
      <c r="AC300" s="468"/>
      <c r="AD300" s="520"/>
      <c r="AE300" s="468"/>
      <c r="AF300" s="468"/>
      <c r="AG300" s="468"/>
      <c r="AH300" s="468"/>
      <c r="AI300" s="468"/>
      <c r="AJ300" s="468"/>
      <c r="AK300" s="468"/>
      <c r="AL300" s="468"/>
      <c r="AM300" s="468"/>
      <c r="AN300" s="468"/>
      <c r="AO300" s="559"/>
      <c r="AP300" s="560">
        <f t="shared" si="27"/>
        <v>0</v>
      </c>
      <c r="AQ300" s="561"/>
      <c r="AS300" s="546"/>
      <c r="AT300" t="str" cm="1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468"/>
    </row>
    <row r="301" spans="7:47" outlineLevel="1" x14ac:dyDescent="0.25">
      <c r="G301" s="520"/>
      <c r="H301" s="520"/>
      <c r="I301" s="468"/>
      <c r="J301" s="468"/>
      <c r="K301" s="468" t="str">
        <f t="shared" si="19"/>
        <v/>
      </c>
      <c r="L301" s="468" t="str">
        <f t="shared" si="20"/>
        <v/>
      </c>
      <c r="M301" s="468"/>
      <c r="N301" s="468"/>
      <c r="O301" s="468"/>
      <c r="P301" s="468"/>
      <c r="Q301" s="468"/>
      <c r="R301" s="468"/>
      <c r="U301" s="545"/>
      <c r="V301" s="546" t="str">
        <f t="shared" si="21"/>
        <v/>
      </c>
      <c r="W301" s="546" t="str">
        <f t="shared" si="22"/>
        <v/>
      </c>
      <c r="X301" t="str">
        <f t="shared" si="23"/>
        <v/>
      </c>
      <c r="Y301" t="str">
        <f t="shared" si="24"/>
        <v/>
      </c>
      <c r="AA301" s="468" t="str">
        <f t="shared" si="25"/>
        <v/>
      </c>
      <c r="AB301" s="555" t="str">
        <f t="shared" si="26"/>
        <v/>
      </c>
      <c r="AC301" s="468"/>
      <c r="AD301" s="520"/>
      <c r="AE301" s="468"/>
      <c r="AF301" s="468"/>
      <c r="AG301" s="468"/>
      <c r="AH301" s="468"/>
      <c r="AI301" s="468"/>
      <c r="AJ301" s="468"/>
      <c r="AK301" s="468"/>
      <c r="AL301" s="468"/>
      <c r="AM301" s="468"/>
      <c r="AN301" s="468"/>
      <c r="AO301" s="559"/>
      <c r="AP301" s="560">
        <f t="shared" si="27"/>
        <v>0</v>
      </c>
      <c r="AQ301" s="561"/>
      <c r="AS301" s="546"/>
      <c r="AT301" t="str" cm="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468"/>
    </row>
    <row r="302" spans="7:47" outlineLevel="1" x14ac:dyDescent="0.25">
      <c r="G302" s="520"/>
      <c r="H302" s="520"/>
      <c r="I302" s="468"/>
      <c r="J302" s="468"/>
      <c r="K302" s="468" t="str">
        <f t="shared" si="19"/>
        <v/>
      </c>
      <c r="L302" s="468" t="str">
        <f t="shared" si="20"/>
        <v/>
      </c>
      <c r="M302" s="468"/>
      <c r="N302" s="468"/>
      <c r="O302" s="468"/>
      <c r="P302" s="468"/>
      <c r="Q302" s="468"/>
      <c r="R302" s="468"/>
      <c r="U302" s="545"/>
      <c r="V302" s="546" t="str">
        <f t="shared" si="21"/>
        <v/>
      </c>
      <c r="W302" s="546" t="str">
        <f t="shared" si="22"/>
        <v/>
      </c>
      <c r="X302" t="str">
        <f t="shared" si="23"/>
        <v/>
      </c>
      <c r="Y302" t="str">
        <f t="shared" si="24"/>
        <v/>
      </c>
      <c r="AA302" s="468" t="str">
        <f t="shared" si="25"/>
        <v/>
      </c>
      <c r="AB302" s="555" t="str">
        <f t="shared" si="26"/>
        <v/>
      </c>
      <c r="AC302" s="468"/>
      <c r="AD302" s="520"/>
      <c r="AE302" s="468"/>
      <c r="AF302" s="468"/>
      <c r="AG302" s="468"/>
      <c r="AH302" s="468"/>
      <c r="AI302" s="468"/>
      <c r="AJ302" s="468"/>
      <c r="AK302" s="468"/>
      <c r="AL302" s="468"/>
      <c r="AM302" s="468"/>
      <c r="AN302" s="468"/>
      <c r="AO302" s="559"/>
      <c r="AP302" s="560">
        <f t="shared" si="27"/>
        <v>0</v>
      </c>
      <c r="AQ302" s="561"/>
      <c r="AS302" s="546"/>
      <c r="AT302" t="str" cm="1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468"/>
    </row>
    <row r="303" spans="7:47" outlineLevel="1" x14ac:dyDescent="0.25">
      <c r="G303" s="520"/>
      <c r="H303" s="520"/>
      <c r="I303" s="468"/>
      <c r="J303" s="468"/>
      <c r="K303" s="468" t="str">
        <f t="shared" si="19"/>
        <v/>
      </c>
      <c r="L303" s="468" t="str">
        <f t="shared" si="20"/>
        <v/>
      </c>
      <c r="M303" s="468"/>
      <c r="N303" s="468"/>
      <c r="O303" s="468"/>
      <c r="P303" s="468"/>
      <c r="Q303" s="468"/>
      <c r="R303" s="468"/>
      <c r="U303" s="545"/>
      <c r="V303" s="546" t="str">
        <f t="shared" si="21"/>
        <v/>
      </c>
      <c r="W303" s="546" t="str">
        <f t="shared" si="22"/>
        <v/>
      </c>
      <c r="X303" t="str">
        <f t="shared" si="23"/>
        <v/>
      </c>
      <c r="Y303" t="str">
        <f t="shared" si="24"/>
        <v/>
      </c>
      <c r="AA303" s="468" t="str">
        <f t="shared" si="25"/>
        <v/>
      </c>
      <c r="AB303" s="555" t="str">
        <f t="shared" si="26"/>
        <v/>
      </c>
      <c r="AC303" s="468"/>
      <c r="AD303" s="520"/>
      <c r="AE303" s="468"/>
      <c r="AF303" s="468"/>
      <c r="AG303" s="468"/>
      <c r="AH303" s="468"/>
      <c r="AI303" s="468"/>
      <c r="AJ303" s="468"/>
      <c r="AK303" s="468"/>
      <c r="AL303" s="468"/>
      <c r="AM303" s="468"/>
      <c r="AN303" s="468"/>
      <c r="AO303" s="559"/>
      <c r="AP303" s="560">
        <f t="shared" si="27"/>
        <v>0</v>
      </c>
      <c r="AQ303" s="561"/>
      <c r="AS303" s="546"/>
      <c r="AT303" t="str" cm="1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468"/>
    </row>
    <row r="304" spans="7:47" outlineLevel="1" x14ac:dyDescent="0.25">
      <c r="G304" s="520"/>
      <c r="H304" s="520"/>
      <c r="I304" s="468"/>
      <c r="J304" s="468"/>
      <c r="K304" s="468" t="str">
        <f t="shared" si="19"/>
        <v/>
      </c>
      <c r="L304" s="468" t="str">
        <f t="shared" si="20"/>
        <v/>
      </c>
      <c r="M304" s="468"/>
      <c r="N304" s="468"/>
      <c r="O304" s="468"/>
      <c r="P304" s="468"/>
      <c r="Q304" s="468"/>
      <c r="R304" s="468"/>
      <c r="U304" s="545"/>
      <c r="V304" s="546" t="str">
        <f t="shared" si="21"/>
        <v/>
      </c>
      <c r="W304" s="546" t="str">
        <f t="shared" si="22"/>
        <v/>
      </c>
      <c r="X304" t="str">
        <f t="shared" si="23"/>
        <v/>
      </c>
      <c r="Y304" t="str">
        <f t="shared" si="24"/>
        <v/>
      </c>
      <c r="AA304" s="468" t="str">
        <f t="shared" si="25"/>
        <v/>
      </c>
      <c r="AB304" s="555" t="str">
        <f t="shared" si="26"/>
        <v/>
      </c>
      <c r="AC304" s="468"/>
      <c r="AD304" s="520"/>
      <c r="AE304" s="468"/>
      <c r="AF304" s="468"/>
      <c r="AG304" s="468"/>
      <c r="AH304" s="468"/>
      <c r="AI304" s="468"/>
      <c r="AJ304" s="468"/>
      <c r="AK304" s="468"/>
      <c r="AL304" s="468"/>
      <c r="AM304" s="468"/>
      <c r="AN304" s="468"/>
      <c r="AO304" s="559"/>
      <c r="AP304" s="560">
        <f t="shared" si="27"/>
        <v>0</v>
      </c>
      <c r="AQ304" s="561"/>
      <c r="AS304" s="546"/>
      <c r="AT304" t="str" cm="1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468"/>
    </row>
    <row r="305" spans="7:47" outlineLevel="1" x14ac:dyDescent="0.25">
      <c r="G305" s="520"/>
      <c r="H305" s="520"/>
      <c r="I305" s="468"/>
      <c r="J305" s="468"/>
      <c r="K305" s="468" t="str">
        <f t="shared" si="19"/>
        <v/>
      </c>
      <c r="L305" s="468" t="str">
        <f t="shared" si="20"/>
        <v/>
      </c>
      <c r="M305" s="468"/>
      <c r="N305" s="468"/>
      <c r="O305" s="468"/>
      <c r="P305" s="468"/>
      <c r="Q305" s="468"/>
      <c r="R305" s="468"/>
      <c r="U305" s="545"/>
      <c r="V305" s="546" t="str">
        <f t="shared" si="21"/>
        <v/>
      </c>
      <c r="W305" s="546" t="str">
        <f t="shared" si="22"/>
        <v/>
      </c>
      <c r="X305" t="str">
        <f t="shared" si="23"/>
        <v/>
      </c>
      <c r="Y305" t="str">
        <f t="shared" si="24"/>
        <v/>
      </c>
      <c r="AA305" s="468" t="str">
        <f t="shared" si="25"/>
        <v/>
      </c>
      <c r="AB305" s="555" t="str">
        <f t="shared" si="26"/>
        <v/>
      </c>
      <c r="AC305" s="468"/>
      <c r="AD305" s="520"/>
      <c r="AE305" s="468"/>
      <c r="AF305" s="468"/>
      <c r="AG305" s="468"/>
      <c r="AH305" s="468"/>
      <c r="AI305" s="468"/>
      <c r="AJ305" s="468"/>
      <c r="AK305" s="468"/>
      <c r="AL305" s="468"/>
      <c r="AM305" s="468"/>
      <c r="AN305" s="468"/>
      <c r="AO305" s="559"/>
      <c r="AP305" s="560">
        <f t="shared" si="27"/>
        <v>0</v>
      </c>
      <c r="AQ305" s="561"/>
      <c r="AS305" s="546"/>
      <c r="AT305" t="str" cm="1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468"/>
    </row>
    <row r="306" spans="7:47" outlineLevel="1" x14ac:dyDescent="0.25">
      <c r="G306" s="520"/>
      <c r="H306" s="520"/>
      <c r="I306" s="468"/>
      <c r="J306" s="468"/>
      <c r="K306" s="468" t="str">
        <f t="shared" si="19"/>
        <v/>
      </c>
      <c r="L306" s="468" t="str">
        <f t="shared" si="20"/>
        <v/>
      </c>
      <c r="M306" s="468"/>
      <c r="N306" s="468"/>
      <c r="O306" s="468"/>
      <c r="P306" s="468"/>
      <c r="Q306" s="468"/>
      <c r="R306" s="468"/>
      <c r="U306" s="545"/>
      <c r="V306" s="546" t="str">
        <f t="shared" si="21"/>
        <v/>
      </c>
      <c r="W306" s="546" t="str">
        <f t="shared" si="22"/>
        <v/>
      </c>
      <c r="X306" t="str">
        <f t="shared" si="23"/>
        <v/>
      </c>
      <c r="Y306" t="str">
        <f t="shared" si="24"/>
        <v/>
      </c>
      <c r="AA306" s="468" t="str">
        <f t="shared" si="25"/>
        <v/>
      </c>
      <c r="AB306" s="555" t="str">
        <f t="shared" si="26"/>
        <v/>
      </c>
      <c r="AC306" s="468"/>
      <c r="AD306" s="520"/>
      <c r="AE306" s="468"/>
      <c r="AF306" s="468"/>
      <c r="AG306" s="468"/>
      <c r="AH306" s="468"/>
      <c r="AI306" s="468"/>
      <c r="AJ306" s="468"/>
      <c r="AK306" s="468"/>
      <c r="AL306" s="468"/>
      <c r="AM306" s="468"/>
      <c r="AN306" s="468"/>
      <c r="AO306" s="559"/>
      <c r="AP306" s="560">
        <f t="shared" si="27"/>
        <v>0</v>
      </c>
      <c r="AQ306" s="561"/>
      <c r="AS306" s="546"/>
      <c r="AT306" t="str" cm="1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468"/>
    </row>
    <row r="307" spans="7:47" outlineLevel="1" x14ac:dyDescent="0.25">
      <c r="G307" s="520"/>
      <c r="H307" s="520"/>
      <c r="I307" s="468"/>
      <c r="J307" s="468"/>
      <c r="K307" s="468" t="str">
        <f t="shared" si="19"/>
        <v/>
      </c>
      <c r="L307" s="468" t="str">
        <f t="shared" si="20"/>
        <v/>
      </c>
      <c r="M307" s="468"/>
      <c r="N307" s="468"/>
      <c r="O307" s="468"/>
      <c r="P307" s="468"/>
      <c r="Q307" s="468"/>
      <c r="R307" s="468"/>
      <c r="U307" s="545"/>
      <c r="V307" s="546" t="str">
        <f t="shared" si="21"/>
        <v/>
      </c>
      <c r="W307" s="546" t="str">
        <f t="shared" si="22"/>
        <v/>
      </c>
      <c r="X307" t="str">
        <f t="shared" si="23"/>
        <v/>
      </c>
      <c r="Y307" t="str">
        <f t="shared" si="24"/>
        <v/>
      </c>
      <c r="AA307" s="468" t="str">
        <f t="shared" si="25"/>
        <v/>
      </c>
      <c r="AB307" s="555" t="str">
        <f t="shared" si="26"/>
        <v/>
      </c>
      <c r="AC307" s="468"/>
      <c r="AD307" s="520"/>
      <c r="AE307" s="468"/>
      <c r="AF307" s="468"/>
      <c r="AG307" s="468"/>
      <c r="AH307" s="468"/>
      <c r="AI307" s="468"/>
      <c r="AJ307" s="468"/>
      <c r="AK307" s="468"/>
      <c r="AL307" s="468"/>
      <c r="AM307" s="468"/>
      <c r="AN307" s="468"/>
      <c r="AO307" s="559"/>
      <c r="AP307" s="560">
        <f t="shared" si="27"/>
        <v>0</v>
      </c>
      <c r="AQ307" s="561"/>
      <c r="AS307" s="546"/>
      <c r="AT307" t="str" cm="1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468"/>
    </row>
    <row r="308" spans="7:47" outlineLevel="1" x14ac:dyDescent="0.25">
      <c r="G308" s="520"/>
      <c r="H308" s="520"/>
      <c r="I308" s="468"/>
      <c r="J308" s="468"/>
      <c r="K308" s="468" t="str">
        <f t="shared" si="19"/>
        <v/>
      </c>
      <c r="L308" s="468" t="str">
        <f t="shared" si="20"/>
        <v/>
      </c>
      <c r="M308" s="468"/>
      <c r="N308" s="468"/>
      <c r="O308" s="468"/>
      <c r="P308" s="468"/>
      <c r="Q308" s="468"/>
      <c r="R308" s="468"/>
      <c r="U308" s="545"/>
      <c r="V308" s="546" t="str">
        <f t="shared" si="21"/>
        <v/>
      </c>
      <c r="W308" s="546" t="str">
        <f t="shared" si="22"/>
        <v/>
      </c>
      <c r="X308" t="str">
        <f t="shared" si="23"/>
        <v/>
      </c>
      <c r="Y308" t="str">
        <f t="shared" si="24"/>
        <v/>
      </c>
      <c r="AA308" s="468" t="str">
        <f t="shared" si="25"/>
        <v/>
      </c>
      <c r="AB308" s="555" t="str">
        <f t="shared" si="26"/>
        <v/>
      </c>
      <c r="AC308" s="468"/>
      <c r="AD308" s="520"/>
      <c r="AE308" s="468"/>
      <c r="AF308" s="468"/>
      <c r="AG308" s="468"/>
      <c r="AH308" s="468"/>
      <c r="AI308" s="468"/>
      <c r="AJ308" s="468"/>
      <c r="AK308" s="468"/>
      <c r="AL308" s="468"/>
      <c r="AM308" s="468"/>
      <c r="AN308" s="468"/>
      <c r="AO308" s="559"/>
      <c r="AP308" s="560">
        <f t="shared" si="27"/>
        <v>0</v>
      </c>
      <c r="AQ308" s="561"/>
      <c r="AS308" s="546"/>
      <c r="AT308" t="str" cm="1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468"/>
    </row>
    <row r="309" spans="7:47" outlineLevel="1" x14ac:dyDescent="0.25">
      <c r="G309" s="520"/>
      <c r="H309" s="520"/>
      <c r="I309" s="468"/>
      <c r="J309" s="468"/>
      <c r="K309" s="468" t="str">
        <f t="shared" si="19"/>
        <v/>
      </c>
      <c r="L309" s="468" t="str">
        <f t="shared" si="20"/>
        <v/>
      </c>
      <c r="M309" s="468"/>
      <c r="N309" s="468"/>
      <c r="O309" s="468"/>
      <c r="P309" s="468"/>
      <c r="Q309" s="468"/>
      <c r="R309" s="468"/>
      <c r="U309" s="545"/>
      <c r="V309" s="546" t="str">
        <f t="shared" si="21"/>
        <v/>
      </c>
      <c r="W309" s="546" t="str">
        <f t="shared" si="22"/>
        <v/>
      </c>
      <c r="X309" t="str">
        <f t="shared" si="23"/>
        <v/>
      </c>
      <c r="Y309" t="str">
        <f t="shared" si="24"/>
        <v/>
      </c>
      <c r="AA309" s="468" t="str">
        <f t="shared" si="25"/>
        <v/>
      </c>
      <c r="AB309" s="555" t="str">
        <f t="shared" si="26"/>
        <v/>
      </c>
      <c r="AC309" s="468"/>
      <c r="AD309" s="520"/>
      <c r="AE309" s="468"/>
      <c r="AF309" s="468"/>
      <c r="AG309" s="468"/>
      <c r="AH309" s="468"/>
      <c r="AI309" s="468"/>
      <c r="AJ309" s="468"/>
      <c r="AK309" s="468"/>
      <c r="AL309" s="468"/>
      <c r="AM309" s="468"/>
      <c r="AN309" s="468"/>
      <c r="AO309" s="559"/>
      <c r="AP309" s="560">
        <f t="shared" si="27"/>
        <v>0</v>
      </c>
      <c r="AQ309" s="561"/>
      <c r="AS309" s="546"/>
      <c r="AT309" t="str" cm="1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468"/>
    </row>
    <row r="310" spans="7:47" outlineLevel="1" x14ac:dyDescent="0.25">
      <c r="G310" s="520"/>
      <c r="H310" s="520"/>
      <c r="I310" s="468"/>
      <c r="J310" s="468"/>
      <c r="K310" s="468" t="str">
        <f t="shared" si="19"/>
        <v/>
      </c>
      <c r="L310" s="468" t="str">
        <f t="shared" si="20"/>
        <v/>
      </c>
      <c r="M310" s="468"/>
      <c r="N310" s="468"/>
      <c r="O310" s="468"/>
      <c r="P310" s="468"/>
      <c r="Q310" s="468"/>
      <c r="R310" s="468"/>
      <c r="U310" s="545"/>
      <c r="V310" s="546" t="str">
        <f t="shared" si="21"/>
        <v/>
      </c>
      <c r="W310" s="546" t="str">
        <f t="shared" si="22"/>
        <v/>
      </c>
      <c r="X310" t="str">
        <f t="shared" si="23"/>
        <v/>
      </c>
      <c r="Y310" t="str">
        <f t="shared" si="24"/>
        <v/>
      </c>
      <c r="AA310" s="468" t="str">
        <f t="shared" si="25"/>
        <v/>
      </c>
      <c r="AB310" s="555" t="str">
        <f t="shared" si="26"/>
        <v/>
      </c>
      <c r="AC310" s="468"/>
      <c r="AD310" s="520"/>
      <c r="AE310" s="468"/>
      <c r="AF310" s="468"/>
      <c r="AG310" s="468"/>
      <c r="AH310" s="468"/>
      <c r="AI310" s="468"/>
      <c r="AJ310" s="468"/>
      <c r="AK310" s="468"/>
      <c r="AL310" s="468"/>
      <c r="AM310" s="468"/>
      <c r="AN310" s="468"/>
      <c r="AO310" s="559"/>
      <c r="AP310" s="560">
        <f t="shared" si="27"/>
        <v>0</v>
      </c>
      <c r="AQ310" s="561"/>
      <c r="AS310" s="546"/>
      <c r="AT310" t="str" cm="1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468"/>
    </row>
    <row r="311" spans="7:47" outlineLevel="1" x14ac:dyDescent="0.25">
      <c r="G311" s="520"/>
      <c r="H311" s="520"/>
      <c r="I311" s="468"/>
      <c r="J311" s="468"/>
      <c r="K311" s="468" t="str">
        <f t="shared" si="19"/>
        <v/>
      </c>
      <c r="L311" s="468" t="str">
        <f t="shared" si="20"/>
        <v/>
      </c>
      <c r="M311" s="468"/>
      <c r="N311" s="468"/>
      <c r="O311" s="468"/>
      <c r="P311" s="468"/>
      <c r="Q311" s="468"/>
      <c r="R311" s="468"/>
      <c r="U311" s="545"/>
      <c r="V311" s="546" t="str">
        <f t="shared" si="21"/>
        <v/>
      </c>
      <c r="W311" s="546" t="str">
        <f t="shared" si="22"/>
        <v/>
      </c>
      <c r="X311" t="str">
        <f t="shared" si="23"/>
        <v/>
      </c>
      <c r="Y311" t="str">
        <f t="shared" si="24"/>
        <v/>
      </c>
      <c r="AA311" s="468" t="str">
        <f t="shared" si="25"/>
        <v/>
      </c>
      <c r="AB311" s="555" t="str">
        <f t="shared" si="26"/>
        <v/>
      </c>
      <c r="AC311" s="468"/>
      <c r="AD311" s="520"/>
      <c r="AE311" s="468"/>
      <c r="AF311" s="468"/>
      <c r="AG311" s="468"/>
      <c r="AH311" s="468"/>
      <c r="AI311" s="468"/>
      <c r="AJ311" s="468"/>
      <c r="AK311" s="468"/>
      <c r="AL311" s="468"/>
      <c r="AM311" s="468"/>
      <c r="AN311" s="468"/>
      <c r="AO311" s="559"/>
      <c r="AP311" s="560">
        <f t="shared" si="27"/>
        <v>0</v>
      </c>
      <c r="AQ311" s="561"/>
      <c r="AS311" s="546"/>
      <c r="AT311" t="str" cm="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468"/>
    </row>
    <row r="312" spans="7:47" outlineLevel="1" x14ac:dyDescent="0.25">
      <c r="G312" s="520"/>
      <c r="H312" s="520"/>
      <c r="I312" s="468"/>
      <c r="J312" s="468"/>
      <c r="K312" s="468" t="str">
        <f t="shared" si="19"/>
        <v/>
      </c>
      <c r="L312" s="468" t="str">
        <f t="shared" si="20"/>
        <v/>
      </c>
      <c r="M312" s="468"/>
      <c r="N312" s="468"/>
      <c r="O312" s="468"/>
      <c r="P312" s="468"/>
      <c r="Q312" s="468"/>
      <c r="R312" s="468"/>
      <c r="U312" s="545"/>
      <c r="V312" s="546" t="str">
        <f t="shared" si="21"/>
        <v/>
      </c>
      <c r="W312" s="546" t="str">
        <f t="shared" si="22"/>
        <v/>
      </c>
      <c r="X312" t="str">
        <f t="shared" si="23"/>
        <v/>
      </c>
      <c r="Y312" t="str">
        <f t="shared" si="24"/>
        <v/>
      </c>
      <c r="AA312" s="468" t="str">
        <f t="shared" si="25"/>
        <v/>
      </c>
      <c r="AB312" s="555" t="str">
        <f t="shared" si="26"/>
        <v/>
      </c>
      <c r="AC312" s="468"/>
      <c r="AD312" s="520"/>
      <c r="AE312" s="468"/>
      <c r="AF312" s="468"/>
      <c r="AG312" s="468"/>
      <c r="AH312" s="468"/>
      <c r="AI312" s="468"/>
      <c r="AJ312" s="468"/>
      <c r="AK312" s="468"/>
      <c r="AL312" s="468"/>
      <c r="AM312" s="468"/>
      <c r="AN312" s="468"/>
      <c r="AO312" s="559"/>
      <c r="AP312" s="560">
        <f t="shared" si="27"/>
        <v>0</v>
      </c>
      <c r="AQ312" s="561"/>
      <c r="AS312" s="546"/>
      <c r="AT312" t="str" cm="1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468"/>
    </row>
    <row r="313" spans="7:47" outlineLevel="1" x14ac:dyDescent="0.25">
      <c r="G313" s="520"/>
      <c r="H313" s="520"/>
      <c r="I313" s="468"/>
      <c r="J313" s="468"/>
      <c r="K313" s="468" t="str">
        <f t="shared" si="19"/>
        <v/>
      </c>
      <c r="L313" s="468" t="str">
        <f t="shared" si="20"/>
        <v/>
      </c>
      <c r="M313" s="468"/>
      <c r="N313" s="468"/>
      <c r="O313" s="468"/>
      <c r="P313" s="468"/>
      <c r="Q313" s="468"/>
      <c r="R313" s="468"/>
      <c r="U313" s="545"/>
      <c r="V313" s="546" t="str">
        <f t="shared" si="21"/>
        <v/>
      </c>
      <c r="W313" s="546" t="str">
        <f t="shared" si="22"/>
        <v/>
      </c>
      <c r="X313" t="str">
        <f t="shared" si="23"/>
        <v/>
      </c>
      <c r="Y313" t="str">
        <f t="shared" si="24"/>
        <v/>
      </c>
      <c r="AA313" s="468" t="str">
        <f t="shared" si="25"/>
        <v/>
      </c>
      <c r="AB313" s="555" t="str">
        <f t="shared" si="26"/>
        <v/>
      </c>
      <c r="AC313" s="468"/>
      <c r="AD313" s="520"/>
      <c r="AE313" s="468"/>
      <c r="AF313" s="468"/>
      <c r="AG313" s="468"/>
      <c r="AH313" s="468"/>
      <c r="AI313" s="468"/>
      <c r="AJ313" s="468"/>
      <c r="AK313" s="468"/>
      <c r="AL313" s="468"/>
      <c r="AM313" s="468"/>
      <c r="AN313" s="468"/>
      <c r="AO313" s="559"/>
      <c r="AP313" s="560">
        <f t="shared" si="27"/>
        <v>0</v>
      </c>
      <c r="AQ313" s="561"/>
      <c r="AS313" s="546"/>
      <c r="AT313" t="str" cm="1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468"/>
    </row>
    <row r="314" spans="7:47" outlineLevel="1" x14ac:dyDescent="0.25">
      <c r="G314" s="520"/>
      <c r="H314" s="520"/>
      <c r="I314" s="468"/>
      <c r="J314" s="468"/>
      <c r="K314" s="468" t="str">
        <f t="shared" si="19"/>
        <v/>
      </c>
      <c r="L314" s="468" t="str">
        <f t="shared" si="20"/>
        <v/>
      </c>
      <c r="M314" s="468"/>
      <c r="N314" s="468"/>
      <c r="O314" s="468"/>
      <c r="P314" s="468"/>
      <c r="Q314" s="468"/>
      <c r="R314" s="468"/>
      <c r="U314" s="545"/>
      <c r="V314" s="546" t="str">
        <f t="shared" si="21"/>
        <v/>
      </c>
      <c r="W314" s="546" t="str">
        <f t="shared" si="22"/>
        <v/>
      </c>
      <c r="X314" t="str">
        <f t="shared" si="23"/>
        <v/>
      </c>
      <c r="Y314" t="str">
        <f t="shared" si="24"/>
        <v/>
      </c>
      <c r="AA314" s="468" t="str">
        <f t="shared" si="25"/>
        <v/>
      </c>
      <c r="AB314" s="555" t="str">
        <f t="shared" si="26"/>
        <v/>
      </c>
      <c r="AC314" s="468"/>
      <c r="AD314" s="520"/>
      <c r="AE314" s="468"/>
      <c r="AF314" s="468"/>
      <c r="AG314" s="468"/>
      <c r="AH314" s="468"/>
      <c r="AI314" s="468"/>
      <c r="AJ314" s="468"/>
      <c r="AK314" s="468"/>
      <c r="AL314" s="468"/>
      <c r="AM314" s="468"/>
      <c r="AN314" s="468"/>
      <c r="AO314" s="559"/>
      <c r="AP314" s="560">
        <f t="shared" si="27"/>
        <v>0</v>
      </c>
      <c r="AQ314" s="561"/>
      <c r="AS314" s="546"/>
      <c r="AT314" t="str" cm="1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468"/>
    </row>
    <row r="315" spans="7:47" outlineLevel="1" x14ac:dyDescent="0.25">
      <c r="G315" s="520"/>
      <c r="H315" s="520"/>
      <c r="I315" s="468"/>
      <c r="J315" s="468"/>
      <c r="K315" s="468" t="str">
        <f t="shared" si="19"/>
        <v/>
      </c>
      <c r="L315" s="468" t="str">
        <f t="shared" si="20"/>
        <v/>
      </c>
      <c r="M315" s="468"/>
      <c r="N315" s="468"/>
      <c r="O315" s="468"/>
      <c r="P315" s="468"/>
      <c r="Q315" s="468"/>
      <c r="R315" s="468"/>
      <c r="U315" s="545"/>
      <c r="V315" s="546" t="str">
        <f t="shared" si="21"/>
        <v/>
      </c>
      <c r="W315" s="546" t="str">
        <f t="shared" si="22"/>
        <v/>
      </c>
      <c r="X315" t="str">
        <f t="shared" si="23"/>
        <v/>
      </c>
      <c r="Y315" t="str">
        <f t="shared" si="24"/>
        <v/>
      </c>
      <c r="AA315" s="468" t="str">
        <f t="shared" si="25"/>
        <v/>
      </c>
      <c r="AB315" s="555" t="str">
        <f t="shared" si="26"/>
        <v/>
      </c>
      <c r="AC315" s="468"/>
      <c r="AD315" s="520"/>
      <c r="AE315" s="468"/>
      <c r="AF315" s="468"/>
      <c r="AG315" s="468"/>
      <c r="AH315" s="468"/>
      <c r="AI315" s="468"/>
      <c r="AJ315" s="468"/>
      <c r="AK315" s="468"/>
      <c r="AL315" s="468"/>
      <c r="AM315" s="468"/>
      <c r="AN315" s="468"/>
      <c r="AO315" s="559"/>
      <c r="AP315" s="560">
        <f t="shared" si="27"/>
        <v>0</v>
      </c>
      <c r="AQ315" s="561"/>
      <c r="AS315" s="546"/>
      <c r="AT315" t="str" cm="1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468"/>
    </row>
    <row r="316" spans="7:47" outlineLevel="1" x14ac:dyDescent="0.25">
      <c r="G316" s="520"/>
      <c r="H316" s="520"/>
      <c r="I316" s="468"/>
      <c r="J316" s="468"/>
      <c r="K316" s="468" t="str">
        <f t="shared" si="19"/>
        <v/>
      </c>
      <c r="L316" s="468" t="str">
        <f t="shared" si="20"/>
        <v/>
      </c>
      <c r="M316" s="468"/>
      <c r="N316" s="468"/>
      <c r="O316" s="468"/>
      <c r="P316" s="468"/>
      <c r="Q316" s="468"/>
      <c r="R316" s="468"/>
      <c r="U316" s="545"/>
      <c r="V316" s="546" t="str">
        <f t="shared" si="21"/>
        <v/>
      </c>
      <c r="W316" s="546" t="str">
        <f t="shared" si="22"/>
        <v/>
      </c>
      <c r="X316" t="str">
        <f t="shared" si="23"/>
        <v/>
      </c>
      <c r="Y316" t="str">
        <f t="shared" si="24"/>
        <v/>
      </c>
      <c r="AA316" s="468" t="str">
        <f t="shared" si="25"/>
        <v/>
      </c>
      <c r="AB316" s="555" t="str">
        <f t="shared" si="26"/>
        <v/>
      </c>
      <c r="AC316" s="468"/>
      <c r="AD316" s="520"/>
      <c r="AE316" s="468"/>
      <c r="AF316" s="468"/>
      <c r="AG316" s="468"/>
      <c r="AH316" s="468"/>
      <c r="AI316" s="468"/>
      <c r="AJ316" s="468"/>
      <c r="AK316" s="468"/>
      <c r="AL316" s="468"/>
      <c r="AM316" s="468"/>
      <c r="AN316" s="468"/>
      <c r="AO316" s="559"/>
      <c r="AP316" s="560">
        <f t="shared" si="27"/>
        <v>0</v>
      </c>
      <c r="AQ316" s="561"/>
      <c r="AS316" s="546"/>
      <c r="AT316" t="str" cm="1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468"/>
    </row>
    <row r="317" spans="7:47" outlineLevel="1" x14ac:dyDescent="0.25">
      <c r="G317" s="520"/>
      <c r="H317" s="520"/>
      <c r="I317" s="468"/>
      <c r="J317" s="468"/>
      <c r="K317" s="468" t="str">
        <f t="shared" si="19"/>
        <v/>
      </c>
      <c r="L317" s="468" t="str">
        <f t="shared" si="20"/>
        <v/>
      </c>
      <c r="M317" s="468"/>
      <c r="N317" s="468"/>
      <c r="O317" s="468"/>
      <c r="P317" s="468"/>
      <c r="Q317" s="468"/>
      <c r="R317" s="468"/>
      <c r="U317" s="545"/>
      <c r="V317" s="546" t="str">
        <f t="shared" si="21"/>
        <v/>
      </c>
      <c r="W317" s="546" t="str">
        <f t="shared" si="22"/>
        <v/>
      </c>
      <c r="X317" t="str">
        <f t="shared" si="23"/>
        <v/>
      </c>
      <c r="Y317" t="str">
        <f t="shared" si="24"/>
        <v/>
      </c>
      <c r="AA317" s="468" t="str">
        <f t="shared" si="25"/>
        <v/>
      </c>
      <c r="AB317" s="555" t="str">
        <f t="shared" si="26"/>
        <v/>
      </c>
      <c r="AC317" s="468"/>
      <c r="AD317" s="520"/>
      <c r="AE317" s="468"/>
      <c r="AF317" s="468"/>
      <c r="AG317" s="468"/>
      <c r="AH317" s="468"/>
      <c r="AI317" s="468"/>
      <c r="AJ317" s="468"/>
      <c r="AK317" s="468"/>
      <c r="AL317" s="468"/>
      <c r="AM317" s="468"/>
      <c r="AN317" s="468"/>
      <c r="AO317" s="559"/>
      <c r="AP317" s="560">
        <f t="shared" si="27"/>
        <v>0</v>
      </c>
      <c r="AQ317" s="561"/>
      <c r="AS317" s="546"/>
      <c r="AT317" t="str" cm="1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468"/>
    </row>
    <row r="318" spans="7:47" outlineLevel="1" x14ac:dyDescent="0.25">
      <c r="G318" s="520"/>
      <c r="H318" s="520"/>
      <c r="I318" s="468"/>
      <c r="J318" s="468"/>
      <c r="K318" s="468" t="str">
        <f t="shared" si="19"/>
        <v/>
      </c>
      <c r="L318" s="468" t="str">
        <f t="shared" si="20"/>
        <v/>
      </c>
      <c r="M318" s="468"/>
      <c r="N318" s="468"/>
      <c r="O318" s="468"/>
      <c r="P318" s="468"/>
      <c r="Q318" s="468"/>
      <c r="R318" s="468"/>
      <c r="U318" s="545"/>
      <c r="V318" s="546" t="str">
        <f t="shared" si="21"/>
        <v/>
      </c>
      <c r="W318" s="546" t="str">
        <f t="shared" si="22"/>
        <v/>
      </c>
      <c r="X318" t="str">
        <f t="shared" si="23"/>
        <v/>
      </c>
      <c r="Y318" t="str">
        <f t="shared" si="24"/>
        <v/>
      </c>
      <c r="AA318" s="468" t="str">
        <f t="shared" si="25"/>
        <v/>
      </c>
      <c r="AB318" s="555" t="str">
        <f t="shared" si="26"/>
        <v/>
      </c>
      <c r="AC318" s="468"/>
      <c r="AD318" s="520"/>
      <c r="AE318" s="468"/>
      <c r="AF318" s="468"/>
      <c r="AG318" s="468"/>
      <c r="AH318" s="468"/>
      <c r="AI318" s="468"/>
      <c r="AJ318" s="468"/>
      <c r="AK318" s="468"/>
      <c r="AL318" s="468"/>
      <c r="AM318" s="468"/>
      <c r="AN318" s="468"/>
      <c r="AO318" s="559"/>
      <c r="AP318" s="560">
        <f t="shared" si="27"/>
        <v>0</v>
      </c>
      <c r="AQ318" s="561"/>
      <c r="AS318" s="546"/>
      <c r="AT318" t="str" cm="1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468"/>
    </row>
    <row r="319" spans="7:47" outlineLevel="1" x14ac:dyDescent="0.25">
      <c r="G319" s="520"/>
      <c r="H319" s="520"/>
      <c r="I319" s="468"/>
      <c r="J319" s="468"/>
      <c r="K319" s="468" t="str">
        <f t="shared" si="19"/>
        <v/>
      </c>
      <c r="L319" s="468" t="str">
        <f t="shared" si="20"/>
        <v/>
      </c>
      <c r="M319" s="468"/>
      <c r="N319" s="468"/>
      <c r="O319" s="468"/>
      <c r="P319" s="468"/>
      <c r="Q319" s="468"/>
      <c r="R319" s="468"/>
      <c r="U319" s="545"/>
      <c r="V319" s="546" t="str">
        <f t="shared" si="21"/>
        <v/>
      </c>
      <c r="W319" s="546" t="str">
        <f t="shared" si="22"/>
        <v/>
      </c>
      <c r="X319" t="str">
        <f t="shared" si="23"/>
        <v/>
      </c>
      <c r="Y319" t="str">
        <f t="shared" si="24"/>
        <v/>
      </c>
      <c r="AA319" s="468" t="str">
        <f t="shared" si="25"/>
        <v/>
      </c>
      <c r="AB319" s="555" t="str">
        <f t="shared" si="26"/>
        <v/>
      </c>
      <c r="AC319" s="468"/>
      <c r="AD319" s="520"/>
      <c r="AE319" s="468"/>
      <c r="AF319" s="468"/>
      <c r="AG319" s="468"/>
      <c r="AH319" s="468"/>
      <c r="AI319" s="468"/>
      <c r="AJ319" s="468"/>
      <c r="AK319" s="468"/>
      <c r="AL319" s="468"/>
      <c r="AM319" s="468"/>
      <c r="AN319" s="468"/>
      <c r="AO319" s="559"/>
      <c r="AP319" s="560">
        <f t="shared" si="27"/>
        <v>0</v>
      </c>
      <c r="AQ319" s="561"/>
      <c r="AS319" s="546"/>
      <c r="AT319" t="str" cm="1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468"/>
    </row>
    <row r="320" spans="7:47" outlineLevel="1" x14ac:dyDescent="0.25">
      <c r="G320" s="520"/>
      <c r="H320" s="520"/>
      <c r="I320" s="468"/>
      <c r="J320" s="468"/>
      <c r="K320" s="468" t="str">
        <f t="shared" si="19"/>
        <v/>
      </c>
      <c r="L320" s="468" t="str">
        <f t="shared" si="20"/>
        <v/>
      </c>
      <c r="M320" s="468"/>
      <c r="N320" s="468"/>
      <c r="O320" s="468"/>
      <c r="P320" s="468"/>
      <c r="Q320" s="468"/>
      <c r="R320" s="468"/>
      <c r="U320" s="545"/>
      <c r="V320" s="546" t="str">
        <f t="shared" si="21"/>
        <v/>
      </c>
      <c r="W320" s="546" t="str">
        <f t="shared" si="22"/>
        <v/>
      </c>
      <c r="X320" t="str">
        <f t="shared" si="23"/>
        <v/>
      </c>
      <c r="Y320" t="str">
        <f t="shared" si="24"/>
        <v/>
      </c>
      <c r="AA320" s="468" t="str">
        <f t="shared" si="25"/>
        <v/>
      </c>
      <c r="AB320" s="555" t="str">
        <f t="shared" si="26"/>
        <v/>
      </c>
      <c r="AC320" s="468"/>
      <c r="AD320" s="520"/>
      <c r="AE320" s="468"/>
      <c r="AF320" s="468"/>
      <c r="AG320" s="468"/>
      <c r="AH320" s="468"/>
      <c r="AI320" s="468"/>
      <c r="AJ320" s="468"/>
      <c r="AK320" s="468"/>
      <c r="AL320" s="468"/>
      <c r="AM320" s="468"/>
      <c r="AN320" s="468"/>
      <c r="AO320" s="559"/>
      <c r="AP320" s="560">
        <f t="shared" si="27"/>
        <v>0</v>
      </c>
      <c r="AQ320" s="561"/>
      <c r="AS320" s="546"/>
      <c r="AT320" t="str" cm="1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468"/>
    </row>
    <row r="321" spans="7:47" outlineLevel="1" x14ac:dyDescent="0.25">
      <c r="G321" s="520"/>
      <c r="H321" s="520"/>
      <c r="I321" s="468"/>
      <c r="J321" s="468"/>
      <c r="K321" s="468" t="str">
        <f t="shared" si="19"/>
        <v/>
      </c>
      <c r="L321" s="468" t="str">
        <f t="shared" si="20"/>
        <v/>
      </c>
      <c r="M321" s="468"/>
      <c r="N321" s="468"/>
      <c r="O321" s="468"/>
      <c r="P321" s="468"/>
      <c r="Q321" s="468"/>
      <c r="R321" s="468"/>
      <c r="U321" s="545"/>
      <c r="V321" s="546" t="str">
        <f t="shared" si="21"/>
        <v/>
      </c>
      <c r="W321" s="546" t="str">
        <f t="shared" si="22"/>
        <v/>
      </c>
      <c r="X321" t="str">
        <f t="shared" si="23"/>
        <v/>
      </c>
      <c r="Y321" t="str">
        <f t="shared" si="24"/>
        <v/>
      </c>
      <c r="AA321" s="468" t="str">
        <f t="shared" si="25"/>
        <v/>
      </c>
      <c r="AB321" s="555" t="str">
        <f t="shared" si="26"/>
        <v/>
      </c>
      <c r="AC321" s="468"/>
      <c r="AD321" s="520"/>
      <c r="AE321" s="468"/>
      <c r="AF321" s="468"/>
      <c r="AG321" s="468"/>
      <c r="AH321" s="468"/>
      <c r="AI321" s="468"/>
      <c r="AJ321" s="468"/>
      <c r="AK321" s="468"/>
      <c r="AL321" s="468"/>
      <c r="AM321" s="468"/>
      <c r="AN321" s="468"/>
      <c r="AO321" s="559"/>
      <c r="AP321" s="560">
        <f t="shared" si="27"/>
        <v>0</v>
      </c>
      <c r="AQ321" s="561"/>
      <c r="AS321" s="546"/>
      <c r="AT321" t="str" cm="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468"/>
    </row>
    <row r="322" spans="7:47" outlineLevel="1" x14ac:dyDescent="0.25">
      <c r="G322" s="520"/>
      <c r="H322" s="520"/>
      <c r="I322" s="468"/>
      <c r="J322" s="468"/>
      <c r="K322" s="468" t="str">
        <f t="shared" si="19"/>
        <v/>
      </c>
      <c r="L322" s="468" t="str">
        <f t="shared" si="20"/>
        <v/>
      </c>
      <c r="M322" s="468"/>
      <c r="N322" s="468"/>
      <c r="O322" s="468"/>
      <c r="P322" s="468"/>
      <c r="Q322" s="468"/>
      <c r="R322" s="468"/>
      <c r="U322" s="545"/>
      <c r="V322" s="546" t="str">
        <f t="shared" si="21"/>
        <v/>
      </c>
      <c r="W322" s="546" t="str">
        <f t="shared" si="22"/>
        <v/>
      </c>
      <c r="X322" t="str">
        <f t="shared" si="23"/>
        <v/>
      </c>
      <c r="Y322" t="str">
        <f t="shared" si="24"/>
        <v/>
      </c>
      <c r="AA322" s="468" t="str">
        <f t="shared" si="25"/>
        <v/>
      </c>
      <c r="AB322" s="555" t="str">
        <f t="shared" si="26"/>
        <v/>
      </c>
      <c r="AC322" s="468"/>
      <c r="AD322" s="520"/>
      <c r="AE322" s="468"/>
      <c r="AF322" s="468"/>
      <c r="AG322" s="468"/>
      <c r="AH322" s="468"/>
      <c r="AI322" s="468"/>
      <c r="AJ322" s="468"/>
      <c r="AK322" s="468"/>
      <c r="AL322" s="468"/>
      <c r="AM322" s="468"/>
      <c r="AN322" s="468"/>
      <c r="AO322" s="559"/>
      <c r="AP322" s="560">
        <f t="shared" si="27"/>
        <v>0</v>
      </c>
      <c r="AQ322" s="561"/>
      <c r="AS322" s="546"/>
      <c r="AT322" t="str" cm="1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468"/>
    </row>
    <row r="323" spans="7:47" outlineLevel="1" x14ac:dyDescent="0.25">
      <c r="G323" s="520"/>
      <c r="H323" s="520"/>
      <c r="I323" s="468"/>
      <c r="J323" s="468"/>
      <c r="K323" s="468" t="str">
        <f t="shared" si="19"/>
        <v/>
      </c>
      <c r="L323" s="468" t="str">
        <f t="shared" si="20"/>
        <v/>
      </c>
      <c r="M323" s="468"/>
      <c r="N323" s="468"/>
      <c r="O323" s="468"/>
      <c r="P323" s="468"/>
      <c r="Q323" s="468"/>
      <c r="R323" s="468"/>
      <c r="U323" s="545"/>
      <c r="V323" s="546" t="str">
        <f t="shared" si="21"/>
        <v/>
      </c>
      <c r="W323" s="546" t="str">
        <f t="shared" si="22"/>
        <v/>
      </c>
      <c r="X323" t="str">
        <f t="shared" si="23"/>
        <v/>
      </c>
      <c r="Y323" t="str">
        <f t="shared" si="24"/>
        <v/>
      </c>
      <c r="AA323" s="468" t="str">
        <f t="shared" si="25"/>
        <v/>
      </c>
      <c r="AB323" s="555" t="str">
        <f t="shared" si="26"/>
        <v/>
      </c>
      <c r="AC323" s="468"/>
      <c r="AD323" s="520"/>
      <c r="AE323" s="468"/>
      <c r="AF323" s="468"/>
      <c r="AG323" s="468"/>
      <c r="AH323" s="468"/>
      <c r="AI323" s="468"/>
      <c r="AJ323" s="468"/>
      <c r="AK323" s="468"/>
      <c r="AL323" s="468"/>
      <c r="AM323" s="468"/>
      <c r="AN323" s="468"/>
      <c r="AO323" s="559"/>
      <c r="AP323" s="560">
        <f t="shared" si="27"/>
        <v>0</v>
      </c>
      <c r="AQ323" s="561"/>
      <c r="AS323" s="546"/>
      <c r="AT323" t="str" cm="1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468"/>
    </row>
    <row r="324" spans="7:47" outlineLevel="1" x14ac:dyDescent="0.25">
      <c r="G324" s="520"/>
      <c r="H324" s="520"/>
      <c r="I324" s="468"/>
      <c r="J324" s="468"/>
      <c r="K324" s="468" t="str">
        <f t="shared" si="19"/>
        <v/>
      </c>
      <c r="L324" s="468" t="str">
        <f t="shared" si="20"/>
        <v/>
      </c>
      <c r="M324" s="468"/>
      <c r="N324" s="468"/>
      <c r="O324" s="468"/>
      <c r="P324" s="468"/>
      <c r="Q324" s="468"/>
      <c r="R324" s="468"/>
      <c r="U324" s="545"/>
      <c r="V324" s="546" t="str">
        <f t="shared" si="21"/>
        <v/>
      </c>
      <c r="W324" s="546" t="str">
        <f t="shared" si="22"/>
        <v/>
      </c>
      <c r="X324" t="str">
        <f t="shared" si="23"/>
        <v/>
      </c>
      <c r="Y324" t="str">
        <f t="shared" si="24"/>
        <v/>
      </c>
      <c r="AA324" s="468" t="str">
        <f t="shared" si="25"/>
        <v/>
      </c>
      <c r="AB324" s="555" t="str">
        <f t="shared" si="26"/>
        <v/>
      </c>
      <c r="AC324" s="468"/>
      <c r="AD324" s="520"/>
      <c r="AE324" s="468"/>
      <c r="AF324" s="468"/>
      <c r="AG324" s="468"/>
      <c r="AH324" s="468"/>
      <c r="AI324" s="468"/>
      <c r="AJ324" s="468"/>
      <c r="AK324" s="468"/>
      <c r="AL324" s="468"/>
      <c r="AM324" s="468"/>
      <c r="AN324" s="468"/>
      <c r="AO324" s="559"/>
      <c r="AP324" s="560">
        <f t="shared" si="27"/>
        <v>0</v>
      </c>
      <c r="AQ324" s="561"/>
      <c r="AS324" s="546"/>
      <c r="AT324" t="str" cm="1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468"/>
    </row>
    <row r="325" spans="7:47" outlineLevel="1" x14ac:dyDescent="0.25">
      <c r="G325" s="520"/>
      <c r="H325" s="520"/>
      <c r="I325" s="468"/>
      <c r="J325" s="468"/>
      <c r="K325" s="468" t="str">
        <f t="shared" si="19"/>
        <v/>
      </c>
      <c r="L325" s="468" t="str">
        <f t="shared" si="20"/>
        <v/>
      </c>
      <c r="M325" s="468"/>
      <c r="N325" s="468"/>
      <c r="O325" s="468"/>
      <c r="P325" s="468"/>
      <c r="Q325" s="468"/>
      <c r="R325" s="468"/>
      <c r="U325" s="545"/>
      <c r="V325" s="546" t="str">
        <f t="shared" si="21"/>
        <v/>
      </c>
      <c r="W325" s="546" t="str">
        <f t="shared" si="22"/>
        <v/>
      </c>
      <c r="X325" t="str">
        <f t="shared" si="23"/>
        <v/>
      </c>
      <c r="Y325" t="str">
        <f t="shared" si="24"/>
        <v/>
      </c>
      <c r="AA325" s="468" t="str">
        <f t="shared" si="25"/>
        <v/>
      </c>
      <c r="AB325" s="555" t="str">
        <f t="shared" si="26"/>
        <v/>
      </c>
      <c r="AC325" s="468"/>
      <c r="AD325" s="520"/>
      <c r="AE325" s="468"/>
      <c r="AF325" s="468"/>
      <c r="AG325" s="468"/>
      <c r="AH325" s="468"/>
      <c r="AI325" s="468"/>
      <c r="AJ325" s="468"/>
      <c r="AK325" s="468"/>
      <c r="AL325" s="468"/>
      <c r="AM325" s="468"/>
      <c r="AN325" s="468"/>
      <c r="AO325" s="559"/>
      <c r="AP325" s="560">
        <f t="shared" si="27"/>
        <v>0</v>
      </c>
      <c r="AQ325" s="561"/>
      <c r="AS325" s="546"/>
      <c r="AT325" t="str" cm="1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468"/>
    </row>
    <row r="326" spans="7:47" outlineLevel="1" x14ac:dyDescent="0.25">
      <c r="G326" s="520"/>
      <c r="H326" s="520"/>
      <c r="I326" s="468"/>
      <c r="J326" s="468"/>
      <c r="K326" s="468" t="str">
        <f t="shared" si="19"/>
        <v/>
      </c>
      <c r="L326" s="468" t="str">
        <f t="shared" si="20"/>
        <v/>
      </c>
      <c r="M326" s="468"/>
      <c r="N326" s="468"/>
      <c r="O326" s="468"/>
      <c r="P326" s="468"/>
      <c r="Q326" s="468"/>
      <c r="R326" s="468"/>
      <c r="U326" s="545"/>
      <c r="V326" s="546" t="str">
        <f t="shared" si="21"/>
        <v/>
      </c>
      <c r="W326" s="546" t="str">
        <f t="shared" si="22"/>
        <v/>
      </c>
      <c r="X326" t="str">
        <f t="shared" si="23"/>
        <v/>
      </c>
      <c r="Y326" t="str">
        <f t="shared" si="24"/>
        <v/>
      </c>
      <c r="AA326" s="468" t="str">
        <f t="shared" si="25"/>
        <v/>
      </c>
      <c r="AB326" s="555" t="str">
        <f t="shared" si="26"/>
        <v/>
      </c>
      <c r="AC326" s="468"/>
      <c r="AD326" s="520"/>
      <c r="AE326" s="468"/>
      <c r="AF326" s="468"/>
      <c r="AG326" s="468"/>
      <c r="AH326" s="468"/>
      <c r="AI326" s="468"/>
      <c r="AJ326" s="468"/>
      <c r="AK326" s="468"/>
      <c r="AL326" s="468"/>
      <c r="AM326" s="468"/>
      <c r="AN326" s="468"/>
      <c r="AO326" s="559"/>
      <c r="AP326" s="560">
        <f t="shared" si="27"/>
        <v>0</v>
      </c>
      <c r="AQ326" s="561"/>
      <c r="AS326" s="546"/>
      <c r="AT326" t="str" cm="1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468"/>
    </row>
    <row r="327" spans="7:47" outlineLevel="1" x14ac:dyDescent="0.25">
      <c r="G327" s="520"/>
      <c r="H327" s="520"/>
      <c r="I327" s="468"/>
      <c r="J327" s="468"/>
      <c r="K327" s="468" t="str">
        <f t="shared" si="19"/>
        <v/>
      </c>
      <c r="L327" s="468" t="str">
        <f t="shared" si="20"/>
        <v/>
      </c>
      <c r="M327" s="468"/>
      <c r="N327" s="468"/>
      <c r="O327" s="468"/>
      <c r="P327" s="468"/>
      <c r="Q327" s="468"/>
      <c r="R327" s="468"/>
      <c r="U327" s="545"/>
      <c r="V327" s="546" t="str">
        <f t="shared" si="21"/>
        <v/>
      </c>
      <c r="W327" s="546" t="str">
        <f t="shared" si="22"/>
        <v/>
      </c>
      <c r="X327" t="str">
        <f t="shared" si="23"/>
        <v/>
      </c>
      <c r="Y327" t="str">
        <f t="shared" si="24"/>
        <v/>
      </c>
      <c r="AA327" s="468" t="str">
        <f t="shared" si="25"/>
        <v/>
      </c>
      <c r="AB327" s="555" t="str">
        <f t="shared" si="26"/>
        <v/>
      </c>
      <c r="AC327" s="468"/>
      <c r="AD327" s="520"/>
      <c r="AE327" s="468"/>
      <c r="AF327" s="468"/>
      <c r="AG327" s="468"/>
      <c r="AH327" s="468"/>
      <c r="AI327" s="468"/>
      <c r="AJ327" s="468"/>
      <c r="AK327" s="468"/>
      <c r="AL327" s="468"/>
      <c r="AM327" s="468"/>
      <c r="AN327" s="468"/>
      <c r="AO327" s="559"/>
      <c r="AP327" s="560">
        <f t="shared" si="27"/>
        <v>0</v>
      </c>
      <c r="AQ327" s="561"/>
      <c r="AS327" s="546"/>
      <c r="AT327" t="str" cm="1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468"/>
    </row>
    <row r="328" spans="7:47" outlineLevel="1" x14ac:dyDescent="0.25">
      <c r="G328" s="520"/>
      <c r="H328" s="520"/>
      <c r="I328" s="468"/>
      <c r="J328" s="468"/>
      <c r="K328" s="468" t="str">
        <f t="shared" si="19"/>
        <v/>
      </c>
      <c r="L328" s="468" t="str">
        <f t="shared" si="20"/>
        <v/>
      </c>
      <c r="M328" s="468"/>
      <c r="N328" s="468"/>
      <c r="O328" s="468"/>
      <c r="P328" s="468"/>
      <c r="Q328" s="468"/>
      <c r="R328" s="468"/>
      <c r="U328" s="545"/>
      <c r="V328" s="546" t="str">
        <f t="shared" si="21"/>
        <v/>
      </c>
      <c r="W328" s="546" t="str">
        <f t="shared" si="22"/>
        <v/>
      </c>
      <c r="X328" t="str">
        <f t="shared" si="23"/>
        <v/>
      </c>
      <c r="Y328" t="str">
        <f t="shared" si="24"/>
        <v/>
      </c>
      <c r="AA328" s="468" t="str">
        <f t="shared" si="25"/>
        <v/>
      </c>
      <c r="AB328" s="555" t="str">
        <f t="shared" si="26"/>
        <v/>
      </c>
      <c r="AC328" s="468"/>
      <c r="AD328" s="520"/>
      <c r="AE328" s="468"/>
      <c r="AF328" s="468"/>
      <c r="AG328" s="468"/>
      <c r="AH328" s="468"/>
      <c r="AI328" s="468"/>
      <c r="AJ328" s="468"/>
      <c r="AK328" s="468"/>
      <c r="AL328" s="468"/>
      <c r="AM328" s="468"/>
      <c r="AN328" s="468"/>
      <c r="AO328" s="559"/>
      <c r="AP328" s="560">
        <f t="shared" si="27"/>
        <v>0</v>
      </c>
      <c r="AQ328" s="561"/>
      <c r="AS328" s="546"/>
      <c r="AT328" t="str" cm="1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468"/>
    </row>
    <row r="329" spans="7:47" outlineLevel="1" x14ac:dyDescent="0.25">
      <c r="G329" s="520"/>
      <c r="H329" s="520"/>
      <c r="I329" s="468"/>
      <c r="J329" s="468"/>
      <c r="K329" s="468" t="str">
        <f t="shared" si="19"/>
        <v/>
      </c>
      <c r="L329" s="468" t="str">
        <f t="shared" si="20"/>
        <v/>
      </c>
      <c r="M329" s="468"/>
      <c r="N329" s="468"/>
      <c r="O329" s="468"/>
      <c r="P329" s="468"/>
      <c r="Q329" s="468"/>
      <c r="R329" s="468"/>
      <c r="U329" s="545"/>
      <c r="V329" s="546" t="str">
        <f t="shared" si="21"/>
        <v/>
      </c>
      <c r="W329" s="546" t="str">
        <f t="shared" si="22"/>
        <v/>
      </c>
      <c r="X329" t="str">
        <f t="shared" si="23"/>
        <v/>
      </c>
      <c r="Y329" t="str">
        <f t="shared" si="24"/>
        <v/>
      </c>
      <c r="AA329" s="468" t="str">
        <f t="shared" si="25"/>
        <v/>
      </c>
      <c r="AB329" s="555" t="str">
        <f t="shared" si="26"/>
        <v/>
      </c>
      <c r="AC329" s="468"/>
      <c r="AD329" s="520"/>
      <c r="AE329" s="468"/>
      <c r="AF329" s="468"/>
      <c r="AG329" s="468"/>
      <c r="AH329" s="468"/>
      <c r="AI329" s="468"/>
      <c r="AJ329" s="468"/>
      <c r="AK329" s="468"/>
      <c r="AL329" s="468"/>
      <c r="AM329" s="468"/>
      <c r="AN329" s="468"/>
      <c r="AO329" s="559"/>
      <c r="AP329" s="560">
        <f t="shared" si="27"/>
        <v>0</v>
      </c>
      <c r="AQ329" s="561"/>
      <c r="AS329" s="546"/>
      <c r="AT329" t="str" cm="1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468"/>
    </row>
    <row r="330" spans="7:47" outlineLevel="1" x14ac:dyDescent="0.25">
      <c r="G330" s="520"/>
      <c r="H330" s="520"/>
      <c r="I330" s="468"/>
      <c r="J330" s="468"/>
      <c r="K330" s="468" t="str">
        <f t="shared" si="19"/>
        <v/>
      </c>
      <c r="L330" s="468" t="str">
        <f t="shared" si="20"/>
        <v/>
      </c>
      <c r="M330" s="468"/>
      <c r="N330" s="468"/>
      <c r="O330" s="468"/>
      <c r="P330" s="468"/>
      <c r="Q330" s="468"/>
      <c r="R330" s="468"/>
      <c r="U330" s="545"/>
      <c r="V330" s="546" t="str">
        <f t="shared" si="21"/>
        <v/>
      </c>
      <c r="W330" s="546" t="str">
        <f t="shared" si="22"/>
        <v/>
      </c>
      <c r="X330" t="str">
        <f t="shared" si="23"/>
        <v/>
      </c>
      <c r="Y330" t="str">
        <f t="shared" si="24"/>
        <v/>
      </c>
      <c r="AA330" s="468" t="str">
        <f t="shared" si="25"/>
        <v/>
      </c>
      <c r="AB330" s="555" t="str">
        <f t="shared" si="26"/>
        <v/>
      </c>
      <c r="AC330" s="468"/>
      <c r="AD330" s="520"/>
      <c r="AE330" s="468"/>
      <c r="AF330" s="468"/>
      <c r="AG330" s="468"/>
      <c r="AH330" s="468"/>
      <c r="AI330" s="468"/>
      <c r="AJ330" s="468"/>
      <c r="AK330" s="468"/>
      <c r="AL330" s="468"/>
      <c r="AM330" s="468"/>
      <c r="AN330" s="468"/>
      <c r="AO330" s="559"/>
      <c r="AP330" s="560">
        <f t="shared" si="27"/>
        <v>0</v>
      </c>
      <c r="AQ330" s="561"/>
      <c r="AS330" s="546"/>
      <c r="AT330" t="str" cm="1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468"/>
    </row>
    <row r="331" spans="7:47" outlineLevel="1" x14ac:dyDescent="0.25">
      <c r="G331" s="520"/>
      <c r="H331" s="520"/>
      <c r="I331" s="468"/>
      <c r="J331" s="468"/>
      <c r="K331" s="468" t="str">
        <f t="shared" si="19"/>
        <v/>
      </c>
      <c r="L331" s="468" t="str">
        <f t="shared" si="20"/>
        <v/>
      </c>
      <c r="M331" s="468"/>
      <c r="N331" s="468"/>
      <c r="O331" s="468"/>
      <c r="P331" s="468"/>
      <c r="Q331" s="468"/>
      <c r="R331" s="468"/>
      <c r="U331" s="545"/>
      <c r="V331" s="546" t="str">
        <f t="shared" si="21"/>
        <v/>
      </c>
      <c r="W331" s="546" t="str">
        <f t="shared" si="22"/>
        <v/>
      </c>
      <c r="X331" t="str">
        <f t="shared" si="23"/>
        <v/>
      </c>
      <c r="Y331" t="str">
        <f t="shared" si="24"/>
        <v/>
      </c>
      <c r="AA331" s="468" t="str">
        <f t="shared" si="25"/>
        <v/>
      </c>
      <c r="AB331" s="555" t="str">
        <f t="shared" si="26"/>
        <v/>
      </c>
      <c r="AC331" s="468"/>
      <c r="AD331" s="520"/>
      <c r="AE331" s="468"/>
      <c r="AF331" s="468"/>
      <c r="AG331" s="468"/>
      <c r="AH331" s="468"/>
      <c r="AI331" s="468"/>
      <c r="AJ331" s="468"/>
      <c r="AK331" s="468"/>
      <c r="AL331" s="468"/>
      <c r="AM331" s="468"/>
      <c r="AN331" s="468"/>
      <c r="AO331" s="559"/>
      <c r="AP331" s="560">
        <f t="shared" si="27"/>
        <v>0</v>
      </c>
      <c r="AQ331" s="561"/>
      <c r="AS331" s="546"/>
      <c r="AT331" t="str" cm="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468"/>
    </row>
    <row r="332" spans="7:47" outlineLevel="1" x14ac:dyDescent="0.25">
      <c r="G332" s="520"/>
      <c r="H332" s="520"/>
      <c r="I332" s="468"/>
      <c r="J332" s="468"/>
      <c r="K332" s="468" t="str">
        <f t="shared" si="19"/>
        <v/>
      </c>
      <c r="L332" s="468" t="str">
        <f t="shared" si="20"/>
        <v/>
      </c>
      <c r="M332" s="468"/>
      <c r="N332" s="468"/>
      <c r="O332" s="468"/>
      <c r="P332" s="468"/>
      <c r="Q332" s="468"/>
      <c r="R332" s="468"/>
      <c r="U332" s="545"/>
      <c r="V332" s="546" t="str">
        <f t="shared" si="21"/>
        <v/>
      </c>
      <c r="W332" s="546" t="str">
        <f t="shared" si="22"/>
        <v/>
      </c>
      <c r="X332" t="str">
        <f t="shared" si="23"/>
        <v/>
      </c>
      <c r="Y332" t="str">
        <f t="shared" si="24"/>
        <v/>
      </c>
      <c r="AA332" s="468" t="str">
        <f t="shared" si="25"/>
        <v/>
      </c>
      <c r="AB332" s="555" t="str">
        <f t="shared" si="26"/>
        <v/>
      </c>
      <c r="AC332" s="468"/>
      <c r="AD332" s="520"/>
      <c r="AE332" s="468"/>
      <c r="AF332" s="468"/>
      <c r="AG332" s="468"/>
      <c r="AH332" s="468"/>
      <c r="AI332" s="468"/>
      <c r="AJ332" s="468"/>
      <c r="AK332" s="468"/>
      <c r="AL332" s="468"/>
      <c r="AM332" s="468"/>
      <c r="AN332" s="468"/>
      <c r="AO332" s="559"/>
      <c r="AP332" s="560">
        <f t="shared" si="27"/>
        <v>0</v>
      </c>
      <c r="AQ332" s="561"/>
      <c r="AS332" s="546"/>
      <c r="AT332" t="str" cm="1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468"/>
    </row>
    <row r="333" spans="7:47" outlineLevel="1" x14ac:dyDescent="0.25">
      <c r="G333" s="520"/>
      <c r="H333" s="520"/>
      <c r="I333" s="468"/>
      <c r="J333" s="468"/>
      <c r="K333" s="468" t="str">
        <f t="shared" si="19"/>
        <v/>
      </c>
      <c r="L333" s="468" t="str">
        <f t="shared" si="20"/>
        <v/>
      </c>
      <c r="M333" s="468"/>
      <c r="N333" s="468"/>
      <c r="O333" s="468"/>
      <c r="P333" s="468"/>
      <c r="Q333" s="468"/>
      <c r="R333" s="468"/>
      <c r="U333" s="545"/>
      <c r="V333" s="546" t="str">
        <f t="shared" si="21"/>
        <v/>
      </c>
      <c r="W333" s="546" t="str">
        <f t="shared" si="22"/>
        <v/>
      </c>
      <c r="X333" t="str">
        <f t="shared" si="23"/>
        <v/>
      </c>
      <c r="Y333" t="str">
        <f t="shared" si="24"/>
        <v/>
      </c>
      <c r="AA333" s="468" t="str">
        <f t="shared" si="25"/>
        <v/>
      </c>
      <c r="AB333" s="555" t="str">
        <f t="shared" si="26"/>
        <v/>
      </c>
      <c r="AC333" s="468"/>
      <c r="AD333" s="520"/>
      <c r="AE333" s="468"/>
      <c r="AF333" s="468"/>
      <c r="AG333" s="468"/>
      <c r="AH333" s="468"/>
      <c r="AI333" s="468"/>
      <c r="AJ333" s="468"/>
      <c r="AK333" s="468"/>
      <c r="AL333" s="468"/>
      <c r="AM333" s="468"/>
      <c r="AN333" s="468"/>
      <c r="AO333" s="559"/>
      <c r="AP333" s="560">
        <f t="shared" si="27"/>
        <v>0</v>
      </c>
      <c r="AQ333" s="561"/>
      <c r="AS333" s="546"/>
      <c r="AT333" t="str" cm="1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468"/>
    </row>
    <row r="334" spans="7:47" outlineLevel="1" x14ac:dyDescent="0.25">
      <c r="G334" s="520"/>
      <c r="H334" s="520"/>
      <c r="I334" s="468"/>
      <c r="J334" s="468"/>
      <c r="K334" s="468" t="str">
        <f t="shared" si="19"/>
        <v/>
      </c>
      <c r="L334" s="468" t="str">
        <f t="shared" si="20"/>
        <v/>
      </c>
      <c r="M334" s="468"/>
      <c r="N334" s="468"/>
      <c r="O334" s="468"/>
      <c r="P334" s="468"/>
      <c r="Q334" s="468"/>
      <c r="R334" s="468"/>
      <c r="U334" s="545"/>
      <c r="V334" s="546" t="str">
        <f t="shared" si="21"/>
        <v/>
      </c>
      <c r="W334" s="546" t="str">
        <f t="shared" si="22"/>
        <v/>
      </c>
      <c r="X334" t="str">
        <f t="shared" si="23"/>
        <v/>
      </c>
      <c r="Y334" t="str">
        <f t="shared" si="24"/>
        <v/>
      </c>
      <c r="AA334" s="468" t="str">
        <f t="shared" si="25"/>
        <v/>
      </c>
      <c r="AB334" s="555" t="str">
        <f t="shared" si="26"/>
        <v/>
      </c>
      <c r="AC334" s="468"/>
      <c r="AD334" s="520"/>
      <c r="AE334" s="468"/>
      <c r="AF334" s="468"/>
      <c r="AG334" s="468"/>
      <c r="AH334" s="468"/>
      <c r="AI334" s="468"/>
      <c r="AJ334" s="468"/>
      <c r="AK334" s="468"/>
      <c r="AL334" s="468"/>
      <c r="AM334" s="468"/>
      <c r="AN334" s="468"/>
      <c r="AO334" s="559"/>
      <c r="AP334" s="560">
        <f t="shared" si="27"/>
        <v>0</v>
      </c>
      <c r="AQ334" s="561"/>
      <c r="AS334" s="546"/>
      <c r="AT334" t="str" cm="1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468"/>
    </row>
    <row r="335" spans="7:47" outlineLevel="1" x14ac:dyDescent="0.25">
      <c r="G335" s="520"/>
      <c r="H335" s="520"/>
      <c r="I335" s="468"/>
      <c r="J335" s="468"/>
      <c r="K335" s="468" t="str">
        <f t="shared" si="19"/>
        <v/>
      </c>
      <c r="L335" s="468" t="str">
        <f t="shared" si="20"/>
        <v/>
      </c>
      <c r="M335" s="468"/>
      <c r="N335" s="468"/>
      <c r="O335" s="468"/>
      <c r="P335" s="468"/>
      <c r="Q335" s="468"/>
      <c r="R335" s="468"/>
      <c r="U335" s="545"/>
      <c r="V335" s="546" t="str">
        <f t="shared" si="21"/>
        <v/>
      </c>
      <c r="W335" s="546" t="str">
        <f t="shared" si="22"/>
        <v/>
      </c>
      <c r="X335" t="str">
        <f t="shared" si="23"/>
        <v/>
      </c>
      <c r="Y335" t="str">
        <f t="shared" si="24"/>
        <v/>
      </c>
      <c r="AA335" s="468" t="str">
        <f t="shared" si="25"/>
        <v/>
      </c>
      <c r="AB335" s="555" t="str">
        <f t="shared" si="26"/>
        <v/>
      </c>
      <c r="AC335" s="468"/>
      <c r="AD335" s="520"/>
      <c r="AE335" s="468"/>
      <c r="AF335" s="468"/>
      <c r="AG335" s="468"/>
      <c r="AH335" s="468"/>
      <c r="AI335" s="468"/>
      <c r="AJ335" s="468"/>
      <c r="AK335" s="468"/>
      <c r="AL335" s="468"/>
      <c r="AM335" s="468"/>
      <c r="AN335" s="468"/>
      <c r="AO335" s="559"/>
      <c r="AP335" s="560">
        <f t="shared" si="27"/>
        <v>0</v>
      </c>
      <c r="AQ335" s="561"/>
      <c r="AS335" s="546"/>
      <c r="AT335" t="str" cm="1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468"/>
    </row>
    <row r="336" spans="7:47" outlineLevel="1" x14ac:dyDescent="0.25">
      <c r="G336" s="520"/>
      <c r="H336" s="520"/>
      <c r="I336" s="468"/>
      <c r="J336" s="468"/>
      <c r="K336" s="468" t="str">
        <f t="shared" si="19"/>
        <v/>
      </c>
      <c r="L336" s="468" t="str">
        <f t="shared" si="20"/>
        <v/>
      </c>
      <c r="M336" s="468"/>
      <c r="N336" s="468"/>
      <c r="O336" s="468"/>
      <c r="P336" s="468"/>
      <c r="Q336" s="468"/>
      <c r="R336" s="468"/>
      <c r="U336" s="545"/>
      <c r="V336" s="546" t="str">
        <f t="shared" si="21"/>
        <v/>
      </c>
      <c r="W336" s="546" t="str">
        <f t="shared" si="22"/>
        <v/>
      </c>
      <c r="X336" t="str">
        <f t="shared" si="23"/>
        <v/>
      </c>
      <c r="Y336" t="str">
        <f t="shared" si="24"/>
        <v/>
      </c>
      <c r="AA336" s="468" t="str">
        <f t="shared" si="25"/>
        <v/>
      </c>
      <c r="AB336" s="555" t="str">
        <f t="shared" si="26"/>
        <v/>
      </c>
      <c r="AC336" s="468"/>
      <c r="AD336" s="520"/>
      <c r="AE336" s="468"/>
      <c r="AF336" s="468"/>
      <c r="AG336" s="468"/>
      <c r="AH336" s="468"/>
      <c r="AI336" s="468"/>
      <c r="AJ336" s="468"/>
      <c r="AK336" s="468"/>
      <c r="AL336" s="468"/>
      <c r="AM336" s="468"/>
      <c r="AN336" s="468"/>
      <c r="AO336" s="559"/>
      <c r="AP336" s="560">
        <f t="shared" si="27"/>
        <v>0</v>
      </c>
      <c r="AQ336" s="561"/>
      <c r="AS336" s="546"/>
      <c r="AT336" t="str" cm="1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468"/>
    </row>
    <row r="337" spans="7:47" outlineLevel="1" x14ac:dyDescent="0.25">
      <c r="G337" s="520"/>
      <c r="H337" s="520"/>
      <c r="I337" s="468"/>
      <c r="J337" s="468"/>
      <c r="K337" s="468" t="str">
        <f t="shared" si="19"/>
        <v/>
      </c>
      <c r="L337" s="468" t="str">
        <f t="shared" si="20"/>
        <v/>
      </c>
      <c r="M337" s="468"/>
      <c r="N337" s="468"/>
      <c r="O337" s="468"/>
      <c r="P337" s="468"/>
      <c r="Q337" s="468"/>
      <c r="R337" s="468"/>
      <c r="U337" s="545"/>
      <c r="V337" s="546" t="str">
        <f t="shared" si="21"/>
        <v/>
      </c>
      <c r="W337" s="546" t="str">
        <f t="shared" si="22"/>
        <v/>
      </c>
      <c r="X337" t="str">
        <f t="shared" si="23"/>
        <v/>
      </c>
      <c r="Y337" t="str">
        <f t="shared" si="24"/>
        <v/>
      </c>
      <c r="AA337" s="468" t="str">
        <f t="shared" si="25"/>
        <v/>
      </c>
      <c r="AB337" s="555" t="str">
        <f t="shared" si="26"/>
        <v/>
      </c>
      <c r="AC337" s="468"/>
      <c r="AD337" s="520"/>
      <c r="AE337" s="468"/>
      <c r="AF337" s="468"/>
      <c r="AG337" s="468"/>
      <c r="AH337" s="468"/>
      <c r="AI337" s="468"/>
      <c r="AJ337" s="468"/>
      <c r="AK337" s="468"/>
      <c r="AL337" s="468"/>
      <c r="AM337" s="468"/>
      <c r="AN337" s="468"/>
      <c r="AO337" s="559"/>
      <c r="AP337" s="560">
        <f t="shared" si="27"/>
        <v>0</v>
      </c>
      <c r="AQ337" s="561"/>
      <c r="AS337" s="546"/>
      <c r="AT337" t="str" cm="1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468"/>
    </row>
    <row r="338" spans="7:47" outlineLevel="1" x14ac:dyDescent="0.25">
      <c r="G338" s="520"/>
      <c r="H338" s="520"/>
      <c r="I338" s="468"/>
      <c r="J338" s="468"/>
      <c r="K338" s="468" t="str">
        <f t="shared" si="19"/>
        <v/>
      </c>
      <c r="L338" s="468" t="str">
        <f t="shared" si="20"/>
        <v/>
      </c>
      <c r="M338" s="468"/>
      <c r="N338" s="468"/>
      <c r="O338" s="468"/>
      <c r="P338" s="468"/>
      <c r="Q338" s="468"/>
      <c r="R338" s="468"/>
      <c r="U338" s="545"/>
      <c r="V338" s="546" t="str">
        <f t="shared" si="21"/>
        <v/>
      </c>
      <c r="W338" s="546" t="str">
        <f t="shared" si="22"/>
        <v/>
      </c>
      <c r="X338" t="str">
        <f t="shared" si="23"/>
        <v/>
      </c>
      <c r="Y338" t="str">
        <f t="shared" si="24"/>
        <v/>
      </c>
      <c r="AA338" s="468" t="str">
        <f t="shared" si="25"/>
        <v/>
      </c>
      <c r="AB338" s="555" t="str">
        <f t="shared" si="26"/>
        <v/>
      </c>
      <c r="AC338" s="468"/>
      <c r="AD338" s="520"/>
      <c r="AE338" s="468"/>
      <c r="AF338" s="468"/>
      <c r="AG338" s="468"/>
      <c r="AH338" s="468"/>
      <c r="AI338" s="468"/>
      <c r="AJ338" s="468"/>
      <c r="AK338" s="468"/>
      <c r="AL338" s="468"/>
      <c r="AM338" s="468"/>
      <c r="AN338" s="468"/>
      <c r="AO338" s="559"/>
      <c r="AP338" s="560">
        <f t="shared" si="27"/>
        <v>0</v>
      </c>
      <c r="AQ338" s="561"/>
      <c r="AS338" s="546"/>
      <c r="AT338" t="str" cm="1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468"/>
    </row>
    <row r="339" spans="7:47" outlineLevel="1" x14ac:dyDescent="0.25">
      <c r="G339" s="520"/>
      <c r="H339" s="520"/>
      <c r="I339" s="468"/>
      <c r="J339" s="468"/>
      <c r="K339" s="468" t="str">
        <f t="shared" si="19"/>
        <v/>
      </c>
      <c r="L339" s="468" t="str">
        <f t="shared" si="20"/>
        <v/>
      </c>
      <c r="M339" s="468"/>
      <c r="N339" s="468"/>
      <c r="O339" s="468"/>
      <c r="P339" s="468"/>
      <c r="Q339" s="468"/>
      <c r="R339" s="468"/>
      <c r="U339" s="545"/>
      <c r="V339" s="546" t="str">
        <f t="shared" si="21"/>
        <v/>
      </c>
      <c r="W339" s="546" t="str">
        <f t="shared" si="22"/>
        <v/>
      </c>
      <c r="X339" t="str">
        <f t="shared" si="23"/>
        <v/>
      </c>
      <c r="Y339" t="str">
        <f t="shared" si="24"/>
        <v/>
      </c>
      <c r="AA339" s="468" t="str">
        <f t="shared" si="25"/>
        <v/>
      </c>
      <c r="AB339" s="555" t="str">
        <f t="shared" si="26"/>
        <v/>
      </c>
      <c r="AC339" s="468"/>
      <c r="AD339" s="520"/>
      <c r="AE339" s="468"/>
      <c r="AF339" s="468"/>
      <c r="AG339" s="468"/>
      <c r="AH339" s="468"/>
      <c r="AI339" s="468"/>
      <c r="AJ339" s="468"/>
      <c r="AK339" s="468"/>
      <c r="AL339" s="468"/>
      <c r="AM339" s="468"/>
      <c r="AN339" s="468"/>
      <c r="AO339" s="559"/>
      <c r="AP339" s="560">
        <f t="shared" si="27"/>
        <v>0</v>
      </c>
      <c r="AQ339" s="561"/>
      <c r="AS339" s="546"/>
      <c r="AT339" t="str" cm="1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468"/>
    </row>
    <row r="340" spans="7:47" outlineLevel="1" x14ac:dyDescent="0.25">
      <c r="G340" s="520"/>
      <c r="H340" s="520"/>
      <c r="I340" s="468"/>
      <c r="J340" s="468"/>
      <c r="K340" s="468" t="str">
        <f t="shared" ref="K340:K386" si="28">IFERROR(IF(A340="","",N(AE340)+N(AF340)+N(AG340)+N(AH340)),0)</f>
        <v/>
      </c>
      <c r="L340" s="468" t="str">
        <f t="shared" ref="L340:L386" si="29">IFERROR(IF(A340="","",N(J340)+N(K340)),0)</f>
        <v/>
      </c>
      <c r="M340" s="468"/>
      <c r="N340" s="468"/>
      <c r="O340" s="468"/>
      <c r="P340" s="468"/>
      <c r="Q340" s="468"/>
      <c r="R340" s="468"/>
      <c r="U340" s="545"/>
      <c r="V340" s="546" t="str">
        <f t="shared" ref="V340:V386" si="30">IFERROR(IF(OR(A340="",U340="",U340=0,J340=""),"",J340/U340),"")</f>
        <v/>
      </c>
      <c r="W340" s="546" t="str">
        <f t="shared" ref="W340:W386" si="31">IFERROR(IF(V340="","",V340*12),"")</f>
        <v/>
      </c>
      <c r="X340" t="str">
        <f t="shared" ref="X340:X386" si="32">IF(AND(E340="Occupied",C340&lt;&gt;"",D340&lt;&gt;""),C340&amp;"|"&amp;D340,"")</f>
        <v/>
      </c>
      <c r="Y340" t="str">
        <f t="shared" ref="Y340:Y386" si="33">IF(AND(C340&lt;&gt;"",D340&lt;&gt;""),C340&amp;"|"&amp;D340,"")</f>
        <v/>
      </c>
      <c r="AA340" s="468" t="str">
        <f t="shared" ref="AA340:AA386" si="34">IFERROR(IF(OR(A340="",I340="",J340=""),"",I340-J340),"")</f>
        <v/>
      </c>
      <c r="AB340" s="555" t="str">
        <f t="shared" ref="AB340:AB386" si="35">IFERROR(IF(OR(AA340="",I340=0,I340=""),"",AA340/I340),"")</f>
        <v/>
      </c>
      <c r="AC340" s="468"/>
      <c r="AD340" s="520"/>
      <c r="AE340" s="468"/>
      <c r="AF340" s="468"/>
      <c r="AG340" s="468"/>
      <c r="AH340" s="468"/>
      <c r="AI340" s="468"/>
      <c r="AJ340" s="468"/>
      <c r="AK340" s="468"/>
      <c r="AL340" s="468"/>
      <c r="AM340" s="468"/>
      <c r="AN340" s="468"/>
      <c r="AO340" s="559"/>
      <c r="AP340" s="560">
        <f t="shared" ref="AP340:AP403" si="36">SUM(AJ340:AN340)</f>
        <v>0</v>
      </c>
      <c r="AQ340" s="561"/>
      <c r="AS340" s="546"/>
      <c r="AT340" t="str" cm="1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468"/>
    </row>
    <row r="341" spans="7:47" outlineLevel="1" x14ac:dyDescent="0.25">
      <c r="G341" s="520"/>
      <c r="H341" s="520"/>
      <c r="I341" s="468"/>
      <c r="J341" s="468"/>
      <c r="K341" s="468" t="str">
        <f t="shared" si="28"/>
        <v/>
      </c>
      <c r="L341" s="468" t="str">
        <f t="shared" si="29"/>
        <v/>
      </c>
      <c r="M341" s="468"/>
      <c r="N341" s="468"/>
      <c r="O341" s="468"/>
      <c r="P341" s="468"/>
      <c r="Q341" s="468"/>
      <c r="R341" s="468"/>
      <c r="U341" s="545"/>
      <c r="V341" s="546" t="str">
        <f t="shared" si="30"/>
        <v/>
      </c>
      <c r="W341" s="546" t="str">
        <f t="shared" si="31"/>
        <v/>
      </c>
      <c r="X341" t="str">
        <f t="shared" si="32"/>
        <v/>
      </c>
      <c r="Y341" t="str">
        <f t="shared" si="33"/>
        <v/>
      </c>
      <c r="AA341" s="468" t="str">
        <f t="shared" si="34"/>
        <v/>
      </c>
      <c r="AB341" s="555" t="str">
        <f t="shared" si="35"/>
        <v/>
      </c>
      <c r="AC341" s="468"/>
      <c r="AD341" s="520"/>
      <c r="AE341" s="468"/>
      <c r="AF341" s="468"/>
      <c r="AG341" s="468"/>
      <c r="AH341" s="468"/>
      <c r="AI341" s="468"/>
      <c r="AJ341" s="468"/>
      <c r="AK341" s="468"/>
      <c r="AL341" s="468"/>
      <c r="AM341" s="468"/>
      <c r="AN341" s="468"/>
      <c r="AO341" s="559"/>
      <c r="AP341" s="560">
        <f t="shared" si="36"/>
        <v>0</v>
      </c>
      <c r="AQ341" s="561"/>
      <c r="AS341" s="546"/>
      <c r="AT341" t="str" cm="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468"/>
    </row>
    <row r="342" spans="7:47" outlineLevel="1" x14ac:dyDescent="0.25">
      <c r="G342" s="520"/>
      <c r="H342" s="520"/>
      <c r="I342" s="468"/>
      <c r="J342" s="468"/>
      <c r="K342" s="468" t="str">
        <f t="shared" si="28"/>
        <v/>
      </c>
      <c r="L342" s="468" t="str">
        <f t="shared" si="29"/>
        <v/>
      </c>
      <c r="M342" s="468"/>
      <c r="N342" s="468"/>
      <c r="O342" s="468"/>
      <c r="P342" s="468"/>
      <c r="Q342" s="468"/>
      <c r="R342" s="468"/>
      <c r="U342" s="545"/>
      <c r="V342" s="546" t="str">
        <f t="shared" si="30"/>
        <v/>
      </c>
      <c r="W342" s="546" t="str">
        <f t="shared" si="31"/>
        <v/>
      </c>
      <c r="X342" t="str">
        <f t="shared" si="32"/>
        <v/>
      </c>
      <c r="Y342" t="str">
        <f t="shared" si="33"/>
        <v/>
      </c>
      <c r="AA342" s="468" t="str">
        <f t="shared" si="34"/>
        <v/>
      </c>
      <c r="AB342" s="555" t="str">
        <f t="shared" si="35"/>
        <v/>
      </c>
      <c r="AC342" s="468"/>
      <c r="AD342" s="520"/>
      <c r="AE342" s="468"/>
      <c r="AF342" s="468"/>
      <c r="AG342" s="468"/>
      <c r="AH342" s="468"/>
      <c r="AI342" s="468"/>
      <c r="AJ342" s="468"/>
      <c r="AK342" s="468"/>
      <c r="AL342" s="468"/>
      <c r="AM342" s="468"/>
      <c r="AN342" s="468"/>
      <c r="AO342" s="559"/>
      <c r="AP342" s="560">
        <f t="shared" si="36"/>
        <v>0</v>
      </c>
      <c r="AQ342" s="561"/>
      <c r="AS342" s="546"/>
      <c r="AT342" t="str" cm="1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468"/>
    </row>
    <row r="343" spans="7:47" outlineLevel="1" x14ac:dyDescent="0.25">
      <c r="G343" s="520"/>
      <c r="H343" s="520"/>
      <c r="I343" s="468"/>
      <c r="J343" s="468"/>
      <c r="K343" s="468" t="str">
        <f t="shared" si="28"/>
        <v/>
      </c>
      <c r="L343" s="468" t="str">
        <f t="shared" si="29"/>
        <v/>
      </c>
      <c r="M343" s="468"/>
      <c r="N343" s="468"/>
      <c r="O343" s="468"/>
      <c r="P343" s="468"/>
      <c r="Q343" s="468"/>
      <c r="R343" s="468"/>
      <c r="U343" s="545"/>
      <c r="V343" s="546" t="str">
        <f t="shared" si="30"/>
        <v/>
      </c>
      <c r="W343" s="546" t="str">
        <f t="shared" si="31"/>
        <v/>
      </c>
      <c r="X343" t="str">
        <f t="shared" si="32"/>
        <v/>
      </c>
      <c r="Y343" t="str">
        <f t="shared" si="33"/>
        <v/>
      </c>
      <c r="AA343" s="468" t="str">
        <f t="shared" si="34"/>
        <v/>
      </c>
      <c r="AB343" s="555" t="str">
        <f t="shared" si="35"/>
        <v/>
      </c>
      <c r="AC343" s="468"/>
      <c r="AD343" s="520"/>
      <c r="AE343" s="468"/>
      <c r="AF343" s="468"/>
      <c r="AG343" s="468"/>
      <c r="AH343" s="468"/>
      <c r="AI343" s="468"/>
      <c r="AJ343" s="468"/>
      <c r="AK343" s="468"/>
      <c r="AL343" s="468"/>
      <c r="AM343" s="468"/>
      <c r="AN343" s="468"/>
      <c r="AO343" s="559"/>
      <c r="AP343" s="560">
        <f t="shared" si="36"/>
        <v>0</v>
      </c>
      <c r="AQ343" s="561"/>
      <c r="AS343" s="546"/>
      <c r="AT343" t="str" cm="1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468"/>
    </row>
    <row r="344" spans="7:47" outlineLevel="1" x14ac:dyDescent="0.25">
      <c r="G344" s="520"/>
      <c r="H344" s="520"/>
      <c r="I344" s="468"/>
      <c r="J344" s="468"/>
      <c r="K344" s="468" t="str">
        <f t="shared" si="28"/>
        <v/>
      </c>
      <c r="L344" s="468" t="str">
        <f t="shared" si="29"/>
        <v/>
      </c>
      <c r="M344" s="468"/>
      <c r="N344" s="468"/>
      <c r="O344" s="468"/>
      <c r="P344" s="468"/>
      <c r="Q344" s="468"/>
      <c r="R344" s="468"/>
      <c r="U344" s="545"/>
      <c r="V344" s="546" t="str">
        <f t="shared" si="30"/>
        <v/>
      </c>
      <c r="W344" s="546" t="str">
        <f t="shared" si="31"/>
        <v/>
      </c>
      <c r="X344" t="str">
        <f t="shared" si="32"/>
        <v/>
      </c>
      <c r="Y344" t="str">
        <f t="shared" si="33"/>
        <v/>
      </c>
      <c r="AA344" s="468" t="str">
        <f t="shared" si="34"/>
        <v/>
      </c>
      <c r="AB344" s="555" t="str">
        <f t="shared" si="35"/>
        <v/>
      </c>
      <c r="AC344" s="468"/>
      <c r="AD344" s="520"/>
      <c r="AE344" s="468"/>
      <c r="AF344" s="468"/>
      <c r="AG344" s="468"/>
      <c r="AH344" s="468"/>
      <c r="AI344" s="468"/>
      <c r="AJ344" s="468"/>
      <c r="AK344" s="468"/>
      <c r="AL344" s="468"/>
      <c r="AM344" s="468"/>
      <c r="AN344" s="468"/>
      <c r="AO344" s="559"/>
      <c r="AP344" s="560">
        <f t="shared" si="36"/>
        <v>0</v>
      </c>
      <c r="AQ344" s="561"/>
      <c r="AS344" s="546"/>
      <c r="AT344" t="str" cm="1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468"/>
    </row>
    <row r="345" spans="7:47" outlineLevel="1" x14ac:dyDescent="0.25">
      <c r="G345" s="520"/>
      <c r="H345" s="520"/>
      <c r="I345" s="468"/>
      <c r="J345" s="468"/>
      <c r="K345" s="468" t="str">
        <f t="shared" si="28"/>
        <v/>
      </c>
      <c r="L345" s="468" t="str">
        <f t="shared" si="29"/>
        <v/>
      </c>
      <c r="M345" s="468"/>
      <c r="N345" s="468"/>
      <c r="O345" s="468"/>
      <c r="P345" s="468"/>
      <c r="Q345" s="468"/>
      <c r="R345" s="468"/>
      <c r="U345" s="545"/>
      <c r="V345" s="546" t="str">
        <f t="shared" si="30"/>
        <v/>
      </c>
      <c r="W345" s="546" t="str">
        <f t="shared" si="31"/>
        <v/>
      </c>
      <c r="X345" t="str">
        <f t="shared" si="32"/>
        <v/>
      </c>
      <c r="Y345" t="str">
        <f t="shared" si="33"/>
        <v/>
      </c>
      <c r="AA345" s="468" t="str">
        <f t="shared" si="34"/>
        <v/>
      </c>
      <c r="AB345" s="555" t="str">
        <f t="shared" si="35"/>
        <v/>
      </c>
      <c r="AC345" s="468"/>
      <c r="AD345" s="520"/>
      <c r="AE345" s="468"/>
      <c r="AF345" s="468"/>
      <c r="AG345" s="468"/>
      <c r="AH345" s="468"/>
      <c r="AI345" s="468"/>
      <c r="AJ345" s="468"/>
      <c r="AK345" s="468"/>
      <c r="AL345" s="468"/>
      <c r="AM345" s="468"/>
      <c r="AN345" s="468"/>
      <c r="AO345" s="559"/>
      <c r="AP345" s="560">
        <f t="shared" si="36"/>
        <v>0</v>
      </c>
      <c r="AQ345" s="561"/>
      <c r="AS345" s="546"/>
      <c r="AT345" t="str" cm="1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468"/>
    </row>
    <row r="346" spans="7:47" outlineLevel="1" x14ac:dyDescent="0.25">
      <c r="G346" s="520"/>
      <c r="H346" s="520"/>
      <c r="I346" s="468"/>
      <c r="J346" s="468"/>
      <c r="K346" s="468" t="str">
        <f t="shared" si="28"/>
        <v/>
      </c>
      <c r="L346" s="468" t="str">
        <f t="shared" si="29"/>
        <v/>
      </c>
      <c r="M346" s="468"/>
      <c r="N346" s="468"/>
      <c r="O346" s="468"/>
      <c r="P346" s="468"/>
      <c r="Q346" s="468"/>
      <c r="R346" s="468"/>
      <c r="U346" s="545"/>
      <c r="V346" s="546" t="str">
        <f t="shared" si="30"/>
        <v/>
      </c>
      <c r="W346" s="546" t="str">
        <f t="shared" si="31"/>
        <v/>
      </c>
      <c r="X346" t="str">
        <f t="shared" si="32"/>
        <v/>
      </c>
      <c r="Y346" t="str">
        <f t="shared" si="33"/>
        <v/>
      </c>
      <c r="AA346" s="468" t="str">
        <f t="shared" si="34"/>
        <v/>
      </c>
      <c r="AB346" s="555" t="str">
        <f t="shared" si="35"/>
        <v/>
      </c>
      <c r="AC346" s="468"/>
      <c r="AD346" s="520"/>
      <c r="AE346" s="468"/>
      <c r="AF346" s="468"/>
      <c r="AG346" s="468"/>
      <c r="AH346" s="468"/>
      <c r="AI346" s="468"/>
      <c r="AJ346" s="468"/>
      <c r="AK346" s="468"/>
      <c r="AL346" s="468"/>
      <c r="AM346" s="468"/>
      <c r="AN346" s="468"/>
      <c r="AO346" s="559"/>
      <c r="AP346" s="560">
        <f t="shared" si="36"/>
        <v>0</v>
      </c>
      <c r="AQ346" s="561"/>
      <c r="AS346" s="546"/>
      <c r="AT346" t="str" cm="1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468"/>
    </row>
    <row r="347" spans="7:47" outlineLevel="1" x14ac:dyDescent="0.25">
      <c r="G347" s="520"/>
      <c r="H347" s="520"/>
      <c r="I347" s="468"/>
      <c r="J347" s="468"/>
      <c r="K347" s="468" t="str">
        <f t="shared" si="28"/>
        <v/>
      </c>
      <c r="L347" s="468" t="str">
        <f t="shared" si="29"/>
        <v/>
      </c>
      <c r="M347" s="468"/>
      <c r="N347" s="468"/>
      <c r="O347" s="468"/>
      <c r="P347" s="468"/>
      <c r="Q347" s="468"/>
      <c r="R347" s="468"/>
      <c r="U347" s="545"/>
      <c r="V347" s="546" t="str">
        <f t="shared" si="30"/>
        <v/>
      </c>
      <c r="W347" s="546" t="str">
        <f t="shared" si="31"/>
        <v/>
      </c>
      <c r="X347" t="str">
        <f t="shared" si="32"/>
        <v/>
      </c>
      <c r="Y347" t="str">
        <f t="shared" si="33"/>
        <v/>
      </c>
      <c r="AA347" s="468" t="str">
        <f t="shared" si="34"/>
        <v/>
      </c>
      <c r="AB347" s="555" t="str">
        <f t="shared" si="35"/>
        <v/>
      </c>
      <c r="AC347" s="468"/>
      <c r="AD347" s="520"/>
      <c r="AE347" s="468"/>
      <c r="AF347" s="468"/>
      <c r="AG347" s="468"/>
      <c r="AH347" s="468"/>
      <c r="AI347" s="468"/>
      <c r="AJ347" s="468"/>
      <c r="AK347" s="468"/>
      <c r="AL347" s="468"/>
      <c r="AM347" s="468"/>
      <c r="AN347" s="468"/>
      <c r="AO347" s="559"/>
      <c r="AP347" s="560">
        <f t="shared" si="36"/>
        <v>0</v>
      </c>
      <c r="AQ347" s="561"/>
      <c r="AS347" s="546"/>
      <c r="AT347" t="str" cm="1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468"/>
    </row>
    <row r="348" spans="7:47" outlineLevel="1" x14ac:dyDescent="0.25">
      <c r="G348" s="520"/>
      <c r="H348" s="520"/>
      <c r="I348" s="468"/>
      <c r="J348" s="468"/>
      <c r="K348" s="468" t="str">
        <f t="shared" si="28"/>
        <v/>
      </c>
      <c r="L348" s="468" t="str">
        <f t="shared" si="29"/>
        <v/>
      </c>
      <c r="M348" s="468"/>
      <c r="N348" s="468"/>
      <c r="O348" s="468"/>
      <c r="P348" s="468"/>
      <c r="Q348" s="468"/>
      <c r="R348" s="468"/>
      <c r="U348" s="545"/>
      <c r="V348" s="546" t="str">
        <f t="shared" si="30"/>
        <v/>
      </c>
      <c r="W348" s="546" t="str">
        <f t="shared" si="31"/>
        <v/>
      </c>
      <c r="X348" t="str">
        <f t="shared" si="32"/>
        <v/>
      </c>
      <c r="Y348" t="str">
        <f t="shared" si="33"/>
        <v/>
      </c>
      <c r="AA348" s="468" t="str">
        <f t="shared" si="34"/>
        <v/>
      </c>
      <c r="AB348" s="555" t="str">
        <f t="shared" si="35"/>
        <v/>
      </c>
      <c r="AC348" s="468"/>
      <c r="AD348" s="520"/>
      <c r="AE348" s="468"/>
      <c r="AF348" s="468"/>
      <c r="AG348" s="468"/>
      <c r="AH348" s="468"/>
      <c r="AI348" s="468"/>
      <c r="AJ348" s="468"/>
      <c r="AK348" s="468"/>
      <c r="AL348" s="468"/>
      <c r="AM348" s="468"/>
      <c r="AN348" s="468"/>
      <c r="AO348" s="559"/>
      <c r="AP348" s="560">
        <f t="shared" si="36"/>
        <v>0</v>
      </c>
      <c r="AQ348" s="561"/>
      <c r="AS348" s="546"/>
      <c r="AT348" t="str" cm="1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468"/>
    </row>
    <row r="349" spans="7:47" outlineLevel="1" x14ac:dyDescent="0.25">
      <c r="G349" s="520"/>
      <c r="H349" s="520"/>
      <c r="I349" s="468"/>
      <c r="J349" s="468"/>
      <c r="K349" s="468" t="str">
        <f t="shared" si="28"/>
        <v/>
      </c>
      <c r="L349" s="468" t="str">
        <f t="shared" si="29"/>
        <v/>
      </c>
      <c r="M349" s="468"/>
      <c r="N349" s="468"/>
      <c r="O349" s="468"/>
      <c r="P349" s="468"/>
      <c r="Q349" s="468"/>
      <c r="R349" s="468"/>
      <c r="U349" s="545"/>
      <c r="V349" s="546" t="str">
        <f t="shared" si="30"/>
        <v/>
      </c>
      <c r="W349" s="546" t="str">
        <f t="shared" si="31"/>
        <v/>
      </c>
      <c r="X349" t="str">
        <f t="shared" si="32"/>
        <v/>
      </c>
      <c r="Y349" t="str">
        <f t="shared" si="33"/>
        <v/>
      </c>
      <c r="AA349" s="468" t="str">
        <f t="shared" si="34"/>
        <v/>
      </c>
      <c r="AB349" s="555" t="str">
        <f t="shared" si="35"/>
        <v/>
      </c>
      <c r="AC349" s="468"/>
      <c r="AD349" s="520"/>
      <c r="AE349" s="468"/>
      <c r="AF349" s="468"/>
      <c r="AG349" s="468"/>
      <c r="AH349" s="468"/>
      <c r="AI349" s="468"/>
      <c r="AJ349" s="468"/>
      <c r="AK349" s="468"/>
      <c r="AL349" s="468"/>
      <c r="AM349" s="468"/>
      <c r="AN349" s="468"/>
      <c r="AO349" s="559"/>
      <c r="AP349" s="560">
        <f t="shared" si="36"/>
        <v>0</v>
      </c>
      <c r="AQ349" s="561"/>
      <c r="AS349" s="546"/>
      <c r="AT349" t="str" cm="1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468"/>
    </row>
    <row r="350" spans="7:47" outlineLevel="1" x14ac:dyDescent="0.25">
      <c r="G350" s="520"/>
      <c r="H350" s="520"/>
      <c r="I350" s="468"/>
      <c r="J350" s="468"/>
      <c r="K350" s="468" t="str">
        <f t="shared" si="28"/>
        <v/>
      </c>
      <c r="L350" s="468" t="str">
        <f t="shared" si="29"/>
        <v/>
      </c>
      <c r="M350" s="468"/>
      <c r="N350" s="468"/>
      <c r="O350" s="468"/>
      <c r="P350" s="468"/>
      <c r="Q350" s="468"/>
      <c r="R350" s="468"/>
      <c r="U350" s="545"/>
      <c r="V350" s="546" t="str">
        <f t="shared" si="30"/>
        <v/>
      </c>
      <c r="W350" s="546" t="str">
        <f t="shared" si="31"/>
        <v/>
      </c>
      <c r="X350" t="str">
        <f t="shared" si="32"/>
        <v/>
      </c>
      <c r="Y350" t="str">
        <f t="shared" si="33"/>
        <v/>
      </c>
      <c r="AA350" s="468" t="str">
        <f t="shared" si="34"/>
        <v/>
      </c>
      <c r="AB350" s="555" t="str">
        <f t="shared" si="35"/>
        <v/>
      </c>
      <c r="AC350" s="468"/>
      <c r="AD350" s="520"/>
      <c r="AE350" s="468"/>
      <c r="AF350" s="468"/>
      <c r="AG350" s="468"/>
      <c r="AH350" s="468"/>
      <c r="AI350" s="468"/>
      <c r="AJ350" s="468"/>
      <c r="AK350" s="468"/>
      <c r="AL350" s="468"/>
      <c r="AM350" s="468"/>
      <c r="AN350" s="468"/>
      <c r="AO350" s="559"/>
      <c r="AP350" s="560">
        <f t="shared" si="36"/>
        <v>0</v>
      </c>
      <c r="AQ350" s="561"/>
      <c r="AS350" s="546"/>
      <c r="AT350" t="str" cm="1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468"/>
    </row>
    <row r="351" spans="7:47" outlineLevel="1" x14ac:dyDescent="0.25">
      <c r="G351" s="520"/>
      <c r="H351" s="520"/>
      <c r="I351" s="468"/>
      <c r="J351" s="468"/>
      <c r="K351" s="468" t="str">
        <f t="shared" si="28"/>
        <v/>
      </c>
      <c r="L351" s="468" t="str">
        <f t="shared" si="29"/>
        <v/>
      </c>
      <c r="M351" s="468"/>
      <c r="N351" s="468"/>
      <c r="O351" s="468"/>
      <c r="P351" s="468"/>
      <c r="Q351" s="468"/>
      <c r="R351" s="468"/>
      <c r="U351" s="545"/>
      <c r="V351" s="546" t="str">
        <f t="shared" si="30"/>
        <v/>
      </c>
      <c r="W351" s="546" t="str">
        <f t="shared" si="31"/>
        <v/>
      </c>
      <c r="X351" t="str">
        <f t="shared" si="32"/>
        <v/>
      </c>
      <c r="Y351" t="str">
        <f t="shared" si="33"/>
        <v/>
      </c>
      <c r="AA351" s="468" t="str">
        <f t="shared" si="34"/>
        <v/>
      </c>
      <c r="AB351" s="555" t="str">
        <f t="shared" si="35"/>
        <v/>
      </c>
      <c r="AC351" s="468"/>
      <c r="AD351" s="520"/>
      <c r="AE351" s="468"/>
      <c r="AF351" s="468"/>
      <c r="AG351" s="468"/>
      <c r="AH351" s="468"/>
      <c r="AI351" s="468"/>
      <c r="AJ351" s="468"/>
      <c r="AK351" s="468"/>
      <c r="AL351" s="468"/>
      <c r="AM351" s="468"/>
      <c r="AN351" s="468"/>
      <c r="AO351" s="559"/>
      <c r="AP351" s="560">
        <f t="shared" si="36"/>
        <v>0</v>
      </c>
      <c r="AQ351" s="561"/>
      <c r="AS351" s="546"/>
      <c r="AT351" t="str" cm="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468"/>
    </row>
    <row r="352" spans="7:47" outlineLevel="1" x14ac:dyDescent="0.25">
      <c r="G352" s="520"/>
      <c r="H352" s="520"/>
      <c r="I352" s="468"/>
      <c r="J352" s="468"/>
      <c r="K352" s="468" t="str">
        <f t="shared" si="28"/>
        <v/>
      </c>
      <c r="L352" s="468" t="str">
        <f t="shared" si="29"/>
        <v/>
      </c>
      <c r="M352" s="468"/>
      <c r="N352" s="468"/>
      <c r="O352" s="468"/>
      <c r="P352" s="468"/>
      <c r="Q352" s="468"/>
      <c r="R352" s="468"/>
      <c r="U352" s="545"/>
      <c r="V352" s="546" t="str">
        <f t="shared" si="30"/>
        <v/>
      </c>
      <c r="W352" s="546" t="str">
        <f t="shared" si="31"/>
        <v/>
      </c>
      <c r="X352" t="str">
        <f t="shared" si="32"/>
        <v/>
      </c>
      <c r="Y352" t="str">
        <f t="shared" si="33"/>
        <v/>
      </c>
      <c r="AA352" s="468" t="str">
        <f t="shared" si="34"/>
        <v/>
      </c>
      <c r="AB352" s="555" t="str">
        <f t="shared" si="35"/>
        <v/>
      </c>
      <c r="AC352" s="468"/>
      <c r="AD352" s="520"/>
      <c r="AE352" s="468"/>
      <c r="AF352" s="468"/>
      <c r="AG352" s="468"/>
      <c r="AH352" s="468"/>
      <c r="AI352" s="468"/>
      <c r="AJ352" s="468"/>
      <c r="AK352" s="468"/>
      <c r="AL352" s="468"/>
      <c r="AM352" s="468"/>
      <c r="AN352" s="468"/>
      <c r="AO352" s="559"/>
      <c r="AP352" s="560">
        <f t="shared" si="36"/>
        <v>0</v>
      </c>
      <c r="AQ352" s="561"/>
      <c r="AS352" s="546"/>
      <c r="AT352" t="str" cm="1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468"/>
    </row>
    <row r="353" spans="7:47" outlineLevel="1" x14ac:dyDescent="0.25">
      <c r="G353" s="520"/>
      <c r="H353" s="520"/>
      <c r="I353" s="468"/>
      <c r="J353" s="468"/>
      <c r="K353" s="468" t="str">
        <f t="shared" si="28"/>
        <v/>
      </c>
      <c r="L353" s="468" t="str">
        <f t="shared" si="29"/>
        <v/>
      </c>
      <c r="M353" s="468"/>
      <c r="N353" s="468"/>
      <c r="O353" s="468"/>
      <c r="P353" s="468"/>
      <c r="Q353" s="468"/>
      <c r="R353" s="468"/>
      <c r="U353" s="545"/>
      <c r="V353" s="546" t="str">
        <f t="shared" si="30"/>
        <v/>
      </c>
      <c r="W353" s="546" t="str">
        <f t="shared" si="31"/>
        <v/>
      </c>
      <c r="X353" t="str">
        <f t="shared" si="32"/>
        <v/>
      </c>
      <c r="Y353" t="str">
        <f t="shared" si="33"/>
        <v/>
      </c>
      <c r="AA353" s="468" t="str">
        <f t="shared" si="34"/>
        <v/>
      </c>
      <c r="AB353" s="555" t="str">
        <f t="shared" si="35"/>
        <v/>
      </c>
      <c r="AC353" s="468"/>
      <c r="AD353" s="520"/>
      <c r="AE353" s="468"/>
      <c r="AF353" s="468"/>
      <c r="AG353" s="468"/>
      <c r="AH353" s="468"/>
      <c r="AI353" s="468"/>
      <c r="AJ353" s="468"/>
      <c r="AK353" s="468"/>
      <c r="AL353" s="468"/>
      <c r="AM353" s="468"/>
      <c r="AN353" s="468"/>
      <c r="AO353" s="559"/>
      <c r="AP353" s="560">
        <f t="shared" si="36"/>
        <v>0</v>
      </c>
      <c r="AQ353" s="561"/>
      <c r="AS353" s="546"/>
      <c r="AT353" t="str" cm="1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468"/>
    </row>
    <row r="354" spans="7:47" outlineLevel="1" x14ac:dyDescent="0.25">
      <c r="G354" s="520"/>
      <c r="H354" s="520"/>
      <c r="I354" s="468"/>
      <c r="J354" s="468"/>
      <c r="K354" s="468" t="str">
        <f t="shared" si="28"/>
        <v/>
      </c>
      <c r="L354" s="468" t="str">
        <f t="shared" si="29"/>
        <v/>
      </c>
      <c r="M354" s="468"/>
      <c r="N354" s="468"/>
      <c r="O354" s="468"/>
      <c r="P354" s="468"/>
      <c r="Q354" s="468"/>
      <c r="R354" s="468"/>
      <c r="U354" s="545"/>
      <c r="V354" s="546" t="str">
        <f t="shared" si="30"/>
        <v/>
      </c>
      <c r="W354" s="546" t="str">
        <f t="shared" si="31"/>
        <v/>
      </c>
      <c r="X354" t="str">
        <f t="shared" si="32"/>
        <v/>
      </c>
      <c r="Y354" t="str">
        <f t="shared" si="33"/>
        <v/>
      </c>
      <c r="AA354" s="468" t="str">
        <f t="shared" si="34"/>
        <v/>
      </c>
      <c r="AB354" s="555" t="str">
        <f t="shared" si="35"/>
        <v/>
      </c>
      <c r="AC354" s="468"/>
      <c r="AD354" s="520"/>
      <c r="AE354" s="468"/>
      <c r="AF354" s="468"/>
      <c r="AG354" s="468"/>
      <c r="AH354" s="468"/>
      <c r="AI354" s="468"/>
      <c r="AJ354" s="468"/>
      <c r="AK354" s="468"/>
      <c r="AL354" s="468"/>
      <c r="AM354" s="468"/>
      <c r="AN354" s="468"/>
      <c r="AO354" s="559"/>
      <c r="AP354" s="560">
        <f t="shared" si="36"/>
        <v>0</v>
      </c>
      <c r="AQ354" s="561"/>
      <c r="AS354" s="546"/>
      <c r="AT354" t="str" cm="1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468"/>
    </row>
    <row r="355" spans="7:47" outlineLevel="1" x14ac:dyDescent="0.25">
      <c r="G355" s="520"/>
      <c r="H355" s="520"/>
      <c r="I355" s="468"/>
      <c r="J355" s="468"/>
      <c r="K355" s="468" t="str">
        <f t="shared" si="28"/>
        <v/>
      </c>
      <c r="L355" s="468" t="str">
        <f t="shared" si="29"/>
        <v/>
      </c>
      <c r="M355" s="468"/>
      <c r="N355" s="468"/>
      <c r="O355" s="468"/>
      <c r="P355" s="468"/>
      <c r="Q355" s="468"/>
      <c r="R355" s="468"/>
      <c r="U355" s="545"/>
      <c r="V355" s="546" t="str">
        <f t="shared" si="30"/>
        <v/>
      </c>
      <c r="W355" s="546" t="str">
        <f t="shared" si="31"/>
        <v/>
      </c>
      <c r="X355" t="str">
        <f t="shared" si="32"/>
        <v/>
      </c>
      <c r="Y355" t="str">
        <f t="shared" si="33"/>
        <v/>
      </c>
      <c r="AA355" s="468" t="str">
        <f t="shared" si="34"/>
        <v/>
      </c>
      <c r="AB355" s="555" t="str">
        <f t="shared" si="35"/>
        <v/>
      </c>
      <c r="AC355" s="468"/>
      <c r="AD355" s="520"/>
      <c r="AE355" s="468"/>
      <c r="AF355" s="468"/>
      <c r="AG355" s="468"/>
      <c r="AH355" s="468"/>
      <c r="AI355" s="468"/>
      <c r="AJ355" s="468"/>
      <c r="AK355" s="468"/>
      <c r="AL355" s="468"/>
      <c r="AM355" s="468"/>
      <c r="AN355" s="468"/>
      <c r="AO355" s="559"/>
      <c r="AP355" s="560">
        <f t="shared" si="36"/>
        <v>0</v>
      </c>
      <c r="AQ355" s="561"/>
      <c r="AS355" s="546"/>
      <c r="AT355" t="str" cm="1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468"/>
    </row>
    <row r="356" spans="7:47" outlineLevel="1" x14ac:dyDescent="0.25">
      <c r="G356" s="520"/>
      <c r="H356" s="520"/>
      <c r="I356" s="468"/>
      <c r="J356" s="468"/>
      <c r="K356" s="468" t="str">
        <f t="shared" si="28"/>
        <v/>
      </c>
      <c r="L356" s="468" t="str">
        <f t="shared" si="29"/>
        <v/>
      </c>
      <c r="M356" s="468"/>
      <c r="N356" s="468"/>
      <c r="O356" s="468"/>
      <c r="P356" s="468"/>
      <c r="Q356" s="468"/>
      <c r="R356" s="468"/>
      <c r="U356" s="545"/>
      <c r="V356" s="546" t="str">
        <f t="shared" si="30"/>
        <v/>
      </c>
      <c r="W356" s="546" t="str">
        <f t="shared" si="31"/>
        <v/>
      </c>
      <c r="X356" t="str">
        <f t="shared" si="32"/>
        <v/>
      </c>
      <c r="Y356" t="str">
        <f t="shared" si="33"/>
        <v/>
      </c>
      <c r="AA356" s="468" t="str">
        <f t="shared" si="34"/>
        <v/>
      </c>
      <c r="AB356" s="555" t="str">
        <f t="shared" si="35"/>
        <v/>
      </c>
      <c r="AC356" s="468"/>
      <c r="AD356" s="520"/>
      <c r="AE356" s="468"/>
      <c r="AF356" s="468"/>
      <c r="AG356" s="468"/>
      <c r="AH356" s="468"/>
      <c r="AI356" s="468"/>
      <c r="AJ356" s="468"/>
      <c r="AK356" s="468"/>
      <c r="AL356" s="468"/>
      <c r="AM356" s="468"/>
      <c r="AN356" s="468"/>
      <c r="AO356" s="559"/>
      <c r="AP356" s="560">
        <f t="shared" si="36"/>
        <v>0</v>
      </c>
      <c r="AQ356" s="561"/>
      <c r="AS356" s="546"/>
      <c r="AT356" t="str" cm="1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468"/>
    </row>
    <row r="357" spans="7:47" outlineLevel="1" x14ac:dyDescent="0.25">
      <c r="G357" s="520"/>
      <c r="H357" s="520"/>
      <c r="I357" s="468"/>
      <c r="J357" s="468"/>
      <c r="K357" s="468" t="str">
        <f t="shared" si="28"/>
        <v/>
      </c>
      <c r="L357" s="468" t="str">
        <f t="shared" si="29"/>
        <v/>
      </c>
      <c r="M357" s="468"/>
      <c r="N357" s="468"/>
      <c r="O357" s="468"/>
      <c r="P357" s="468"/>
      <c r="Q357" s="468"/>
      <c r="R357" s="468"/>
      <c r="U357" s="545"/>
      <c r="V357" s="546" t="str">
        <f t="shared" si="30"/>
        <v/>
      </c>
      <c r="W357" s="546" t="str">
        <f t="shared" si="31"/>
        <v/>
      </c>
      <c r="X357" t="str">
        <f t="shared" si="32"/>
        <v/>
      </c>
      <c r="Y357" t="str">
        <f t="shared" si="33"/>
        <v/>
      </c>
      <c r="AA357" s="468" t="str">
        <f t="shared" si="34"/>
        <v/>
      </c>
      <c r="AB357" s="555" t="str">
        <f t="shared" si="35"/>
        <v/>
      </c>
      <c r="AC357" s="468"/>
      <c r="AD357" s="520"/>
      <c r="AE357" s="468"/>
      <c r="AF357" s="468"/>
      <c r="AG357" s="468"/>
      <c r="AH357" s="468"/>
      <c r="AI357" s="468"/>
      <c r="AJ357" s="468"/>
      <c r="AK357" s="468"/>
      <c r="AL357" s="468"/>
      <c r="AM357" s="468"/>
      <c r="AN357" s="468"/>
      <c r="AO357" s="559"/>
      <c r="AP357" s="560">
        <f t="shared" si="36"/>
        <v>0</v>
      </c>
      <c r="AQ357" s="561"/>
      <c r="AS357" s="546"/>
      <c r="AT357" t="str" cm="1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468"/>
    </row>
    <row r="358" spans="7:47" outlineLevel="1" x14ac:dyDescent="0.25">
      <c r="G358" s="520"/>
      <c r="H358" s="520"/>
      <c r="I358" s="468"/>
      <c r="J358" s="468"/>
      <c r="K358" s="468" t="str">
        <f t="shared" si="28"/>
        <v/>
      </c>
      <c r="L358" s="468" t="str">
        <f t="shared" si="29"/>
        <v/>
      </c>
      <c r="M358" s="468"/>
      <c r="N358" s="468"/>
      <c r="O358" s="468"/>
      <c r="P358" s="468"/>
      <c r="Q358" s="468"/>
      <c r="R358" s="468"/>
      <c r="U358" s="545"/>
      <c r="V358" s="546" t="str">
        <f t="shared" si="30"/>
        <v/>
      </c>
      <c r="W358" s="546" t="str">
        <f t="shared" si="31"/>
        <v/>
      </c>
      <c r="X358" t="str">
        <f t="shared" si="32"/>
        <v/>
      </c>
      <c r="Y358" t="str">
        <f t="shared" si="33"/>
        <v/>
      </c>
      <c r="AA358" s="468" t="str">
        <f t="shared" si="34"/>
        <v/>
      </c>
      <c r="AB358" s="555" t="str">
        <f t="shared" si="35"/>
        <v/>
      </c>
      <c r="AC358" s="468"/>
      <c r="AD358" s="520"/>
      <c r="AE358" s="468"/>
      <c r="AF358" s="468"/>
      <c r="AG358" s="468"/>
      <c r="AH358" s="468"/>
      <c r="AI358" s="468"/>
      <c r="AJ358" s="468"/>
      <c r="AK358" s="468"/>
      <c r="AL358" s="468"/>
      <c r="AM358" s="468"/>
      <c r="AN358" s="468"/>
      <c r="AO358" s="559"/>
      <c r="AP358" s="560">
        <f t="shared" si="36"/>
        <v>0</v>
      </c>
      <c r="AQ358" s="561"/>
      <c r="AS358" s="546"/>
      <c r="AT358" t="str" cm="1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468"/>
    </row>
    <row r="359" spans="7:47" outlineLevel="1" x14ac:dyDescent="0.25">
      <c r="G359" s="520"/>
      <c r="H359" s="520"/>
      <c r="I359" s="468"/>
      <c r="J359" s="468"/>
      <c r="K359" s="468" t="str">
        <f t="shared" si="28"/>
        <v/>
      </c>
      <c r="L359" s="468" t="str">
        <f t="shared" si="29"/>
        <v/>
      </c>
      <c r="M359" s="468"/>
      <c r="N359" s="468"/>
      <c r="O359" s="468"/>
      <c r="P359" s="468"/>
      <c r="Q359" s="468"/>
      <c r="R359" s="468"/>
      <c r="U359" s="545"/>
      <c r="V359" s="546" t="str">
        <f t="shared" si="30"/>
        <v/>
      </c>
      <c r="W359" s="546" t="str">
        <f t="shared" si="31"/>
        <v/>
      </c>
      <c r="X359" t="str">
        <f t="shared" si="32"/>
        <v/>
      </c>
      <c r="Y359" t="str">
        <f t="shared" si="33"/>
        <v/>
      </c>
      <c r="AA359" s="468" t="str">
        <f t="shared" si="34"/>
        <v/>
      </c>
      <c r="AB359" s="555" t="str">
        <f t="shared" si="35"/>
        <v/>
      </c>
      <c r="AC359" s="468"/>
      <c r="AD359" s="520"/>
      <c r="AE359" s="468"/>
      <c r="AF359" s="468"/>
      <c r="AG359" s="468"/>
      <c r="AH359" s="468"/>
      <c r="AI359" s="468"/>
      <c r="AJ359" s="468"/>
      <c r="AK359" s="468"/>
      <c r="AL359" s="468"/>
      <c r="AM359" s="468"/>
      <c r="AN359" s="468"/>
      <c r="AO359" s="559"/>
      <c r="AP359" s="560">
        <f t="shared" si="36"/>
        <v>0</v>
      </c>
      <c r="AQ359" s="561"/>
      <c r="AS359" s="546"/>
      <c r="AT359" t="str" cm="1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468"/>
    </row>
    <row r="360" spans="7:47" outlineLevel="1" x14ac:dyDescent="0.25">
      <c r="G360" s="520"/>
      <c r="H360" s="520"/>
      <c r="I360" s="468"/>
      <c r="J360" s="468"/>
      <c r="K360" s="468" t="str">
        <f t="shared" si="28"/>
        <v/>
      </c>
      <c r="L360" s="468" t="str">
        <f t="shared" si="29"/>
        <v/>
      </c>
      <c r="M360" s="468"/>
      <c r="N360" s="468"/>
      <c r="O360" s="468"/>
      <c r="P360" s="468"/>
      <c r="Q360" s="468"/>
      <c r="R360" s="468"/>
      <c r="U360" s="545"/>
      <c r="V360" s="546" t="str">
        <f t="shared" si="30"/>
        <v/>
      </c>
      <c r="W360" s="546" t="str">
        <f t="shared" si="31"/>
        <v/>
      </c>
      <c r="X360" t="str">
        <f t="shared" si="32"/>
        <v/>
      </c>
      <c r="Y360" t="str">
        <f t="shared" si="33"/>
        <v/>
      </c>
      <c r="AA360" s="468" t="str">
        <f t="shared" si="34"/>
        <v/>
      </c>
      <c r="AB360" s="555" t="str">
        <f t="shared" si="35"/>
        <v/>
      </c>
      <c r="AC360" s="468"/>
      <c r="AD360" s="520"/>
      <c r="AE360" s="468"/>
      <c r="AF360" s="468"/>
      <c r="AG360" s="468"/>
      <c r="AH360" s="468"/>
      <c r="AI360" s="468"/>
      <c r="AJ360" s="468"/>
      <c r="AK360" s="468"/>
      <c r="AL360" s="468"/>
      <c r="AM360" s="468"/>
      <c r="AN360" s="468"/>
      <c r="AO360" s="559"/>
      <c r="AP360" s="560">
        <f t="shared" si="36"/>
        <v>0</v>
      </c>
      <c r="AQ360" s="561"/>
      <c r="AS360" s="546"/>
      <c r="AT360" t="str" cm="1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468"/>
    </row>
    <row r="361" spans="7:47" outlineLevel="1" x14ac:dyDescent="0.25">
      <c r="G361" s="520"/>
      <c r="H361" s="520"/>
      <c r="I361" s="468"/>
      <c r="J361" s="468"/>
      <c r="K361" s="468" t="str">
        <f t="shared" si="28"/>
        <v/>
      </c>
      <c r="L361" s="468" t="str">
        <f t="shared" si="29"/>
        <v/>
      </c>
      <c r="M361" s="468"/>
      <c r="N361" s="468"/>
      <c r="O361" s="468"/>
      <c r="P361" s="468"/>
      <c r="Q361" s="468"/>
      <c r="R361" s="468"/>
      <c r="U361" s="545"/>
      <c r="V361" s="546" t="str">
        <f t="shared" si="30"/>
        <v/>
      </c>
      <c r="W361" s="546" t="str">
        <f t="shared" si="31"/>
        <v/>
      </c>
      <c r="X361" t="str">
        <f t="shared" si="32"/>
        <v/>
      </c>
      <c r="Y361" t="str">
        <f t="shared" si="33"/>
        <v/>
      </c>
      <c r="AA361" s="468" t="str">
        <f t="shared" si="34"/>
        <v/>
      </c>
      <c r="AB361" s="555" t="str">
        <f t="shared" si="35"/>
        <v/>
      </c>
      <c r="AC361" s="468"/>
      <c r="AD361" s="520"/>
      <c r="AE361" s="468"/>
      <c r="AF361" s="468"/>
      <c r="AG361" s="468"/>
      <c r="AH361" s="468"/>
      <c r="AI361" s="468"/>
      <c r="AJ361" s="468"/>
      <c r="AK361" s="468"/>
      <c r="AL361" s="468"/>
      <c r="AM361" s="468"/>
      <c r="AN361" s="468"/>
      <c r="AO361" s="559"/>
      <c r="AP361" s="560">
        <f t="shared" si="36"/>
        <v>0</v>
      </c>
      <c r="AQ361" s="561"/>
      <c r="AS361" s="546"/>
      <c r="AT361" t="str" cm="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468"/>
    </row>
    <row r="362" spans="7:47" outlineLevel="1" x14ac:dyDescent="0.25">
      <c r="G362" s="520"/>
      <c r="H362" s="520"/>
      <c r="I362" s="468"/>
      <c r="J362" s="468"/>
      <c r="K362" s="468" t="str">
        <f t="shared" si="28"/>
        <v/>
      </c>
      <c r="L362" s="468" t="str">
        <f t="shared" si="29"/>
        <v/>
      </c>
      <c r="M362" s="468"/>
      <c r="N362" s="468"/>
      <c r="O362" s="468"/>
      <c r="P362" s="468"/>
      <c r="Q362" s="468"/>
      <c r="R362" s="468"/>
      <c r="U362" s="545"/>
      <c r="V362" s="546" t="str">
        <f t="shared" si="30"/>
        <v/>
      </c>
      <c r="W362" s="546" t="str">
        <f t="shared" si="31"/>
        <v/>
      </c>
      <c r="X362" t="str">
        <f t="shared" si="32"/>
        <v/>
      </c>
      <c r="Y362" t="str">
        <f t="shared" si="33"/>
        <v/>
      </c>
      <c r="AA362" s="468" t="str">
        <f t="shared" si="34"/>
        <v/>
      </c>
      <c r="AB362" s="555" t="str">
        <f t="shared" si="35"/>
        <v/>
      </c>
      <c r="AC362" s="468"/>
      <c r="AD362" s="520"/>
      <c r="AE362" s="468"/>
      <c r="AF362" s="468"/>
      <c r="AG362" s="468"/>
      <c r="AH362" s="468"/>
      <c r="AI362" s="468"/>
      <c r="AJ362" s="468"/>
      <c r="AK362" s="468"/>
      <c r="AL362" s="468"/>
      <c r="AM362" s="468"/>
      <c r="AN362" s="468"/>
      <c r="AO362" s="559"/>
      <c r="AP362" s="560">
        <f t="shared" si="36"/>
        <v>0</v>
      </c>
      <c r="AQ362" s="561"/>
      <c r="AS362" s="546"/>
      <c r="AT362" t="str" cm="1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468"/>
    </row>
    <row r="363" spans="7:47" outlineLevel="1" x14ac:dyDescent="0.25">
      <c r="G363" s="520"/>
      <c r="H363" s="520"/>
      <c r="I363" s="468"/>
      <c r="J363" s="468"/>
      <c r="K363" s="468" t="str">
        <f t="shared" si="28"/>
        <v/>
      </c>
      <c r="L363" s="468" t="str">
        <f t="shared" si="29"/>
        <v/>
      </c>
      <c r="M363" s="468"/>
      <c r="N363" s="468"/>
      <c r="O363" s="468"/>
      <c r="P363" s="468"/>
      <c r="Q363" s="468"/>
      <c r="R363" s="468"/>
      <c r="U363" s="545"/>
      <c r="V363" s="546" t="str">
        <f t="shared" si="30"/>
        <v/>
      </c>
      <c r="W363" s="546" t="str">
        <f t="shared" si="31"/>
        <v/>
      </c>
      <c r="X363" t="str">
        <f t="shared" si="32"/>
        <v/>
      </c>
      <c r="Y363" t="str">
        <f t="shared" si="33"/>
        <v/>
      </c>
      <c r="AA363" s="468" t="str">
        <f t="shared" si="34"/>
        <v/>
      </c>
      <c r="AB363" s="555" t="str">
        <f t="shared" si="35"/>
        <v/>
      </c>
      <c r="AC363" s="468"/>
      <c r="AD363" s="520"/>
      <c r="AE363" s="468"/>
      <c r="AF363" s="468"/>
      <c r="AG363" s="468"/>
      <c r="AH363" s="468"/>
      <c r="AI363" s="468"/>
      <c r="AJ363" s="468"/>
      <c r="AK363" s="468"/>
      <c r="AL363" s="468"/>
      <c r="AM363" s="468"/>
      <c r="AN363" s="468"/>
      <c r="AO363" s="559"/>
      <c r="AP363" s="560">
        <f t="shared" si="36"/>
        <v>0</v>
      </c>
      <c r="AQ363" s="561"/>
      <c r="AS363" s="546"/>
      <c r="AT363" t="str" cm="1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468"/>
    </row>
    <row r="364" spans="7:47" outlineLevel="1" x14ac:dyDescent="0.25">
      <c r="G364" s="520"/>
      <c r="H364" s="520"/>
      <c r="I364" s="468"/>
      <c r="J364" s="468"/>
      <c r="K364" s="468" t="str">
        <f t="shared" si="28"/>
        <v/>
      </c>
      <c r="L364" s="468" t="str">
        <f t="shared" si="29"/>
        <v/>
      </c>
      <c r="M364" s="468"/>
      <c r="N364" s="468"/>
      <c r="O364" s="468"/>
      <c r="P364" s="468"/>
      <c r="Q364" s="468"/>
      <c r="R364" s="468"/>
      <c r="U364" s="545"/>
      <c r="V364" s="546" t="str">
        <f t="shared" si="30"/>
        <v/>
      </c>
      <c r="W364" s="546" t="str">
        <f t="shared" si="31"/>
        <v/>
      </c>
      <c r="X364" t="str">
        <f t="shared" si="32"/>
        <v/>
      </c>
      <c r="Y364" t="str">
        <f t="shared" si="33"/>
        <v/>
      </c>
      <c r="AA364" s="468" t="str">
        <f t="shared" si="34"/>
        <v/>
      </c>
      <c r="AB364" s="555" t="str">
        <f t="shared" si="35"/>
        <v/>
      </c>
      <c r="AC364" s="468"/>
      <c r="AD364" s="520"/>
      <c r="AE364" s="468"/>
      <c r="AF364" s="468"/>
      <c r="AG364" s="468"/>
      <c r="AH364" s="468"/>
      <c r="AI364" s="468"/>
      <c r="AJ364" s="468"/>
      <c r="AK364" s="468"/>
      <c r="AL364" s="468"/>
      <c r="AM364" s="468"/>
      <c r="AN364" s="468"/>
      <c r="AO364" s="559"/>
      <c r="AP364" s="560">
        <f t="shared" si="36"/>
        <v>0</v>
      </c>
      <c r="AQ364" s="561"/>
      <c r="AS364" s="546"/>
      <c r="AT364" t="str" cm="1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468"/>
    </row>
    <row r="365" spans="7:47" outlineLevel="1" x14ac:dyDescent="0.25">
      <c r="G365" s="520"/>
      <c r="H365" s="520"/>
      <c r="I365" s="468"/>
      <c r="J365" s="468"/>
      <c r="K365" s="468" t="str">
        <f t="shared" si="28"/>
        <v/>
      </c>
      <c r="L365" s="468" t="str">
        <f t="shared" si="29"/>
        <v/>
      </c>
      <c r="M365" s="468"/>
      <c r="N365" s="468"/>
      <c r="O365" s="468"/>
      <c r="P365" s="468"/>
      <c r="Q365" s="468"/>
      <c r="R365" s="468"/>
      <c r="U365" s="545"/>
      <c r="V365" s="546" t="str">
        <f t="shared" si="30"/>
        <v/>
      </c>
      <c r="W365" s="546" t="str">
        <f t="shared" si="31"/>
        <v/>
      </c>
      <c r="X365" t="str">
        <f t="shared" si="32"/>
        <v/>
      </c>
      <c r="Y365" t="str">
        <f t="shared" si="33"/>
        <v/>
      </c>
      <c r="AA365" s="468" t="str">
        <f t="shared" si="34"/>
        <v/>
      </c>
      <c r="AB365" s="555" t="str">
        <f t="shared" si="35"/>
        <v/>
      </c>
      <c r="AC365" s="468"/>
      <c r="AD365" s="520"/>
      <c r="AE365" s="468"/>
      <c r="AF365" s="468"/>
      <c r="AG365" s="468"/>
      <c r="AH365" s="468"/>
      <c r="AI365" s="468"/>
      <c r="AJ365" s="468"/>
      <c r="AK365" s="468"/>
      <c r="AL365" s="468"/>
      <c r="AM365" s="468"/>
      <c r="AN365" s="468"/>
      <c r="AO365" s="559"/>
      <c r="AP365" s="560">
        <f t="shared" si="36"/>
        <v>0</v>
      </c>
      <c r="AQ365" s="561"/>
      <c r="AS365" s="546"/>
      <c r="AT365" t="str" cm="1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468"/>
    </row>
    <row r="366" spans="7:47" outlineLevel="1" x14ac:dyDescent="0.25">
      <c r="G366" s="520"/>
      <c r="H366" s="520"/>
      <c r="I366" s="468"/>
      <c r="J366" s="468"/>
      <c r="K366" s="468" t="str">
        <f t="shared" si="28"/>
        <v/>
      </c>
      <c r="L366" s="468" t="str">
        <f t="shared" si="29"/>
        <v/>
      </c>
      <c r="M366" s="468"/>
      <c r="N366" s="468"/>
      <c r="O366" s="468"/>
      <c r="P366" s="468"/>
      <c r="Q366" s="468"/>
      <c r="R366" s="468"/>
      <c r="U366" s="545"/>
      <c r="V366" s="546" t="str">
        <f t="shared" si="30"/>
        <v/>
      </c>
      <c r="W366" s="546" t="str">
        <f t="shared" si="31"/>
        <v/>
      </c>
      <c r="X366" t="str">
        <f t="shared" si="32"/>
        <v/>
      </c>
      <c r="Y366" t="str">
        <f t="shared" si="33"/>
        <v/>
      </c>
      <c r="AA366" s="468" t="str">
        <f t="shared" si="34"/>
        <v/>
      </c>
      <c r="AB366" s="555" t="str">
        <f t="shared" si="35"/>
        <v/>
      </c>
      <c r="AC366" s="468"/>
      <c r="AD366" s="520"/>
      <c r="AE366" s="468"/>
      <c r="AF366" s="468"/>
      <c r="AG366" s="468"/>
      <c r="AH366" s="468"/>
      <c r="AI366" s="468"/>
      <c r="AJ366" s="468"/>
      <c r="AK366" s="468"/>
      <c r="AL366" s="468"/>
      <c r="AM366" s="468"/>
      <c r="AN366" s="468"/>
      <c r="AO366" s="559"/>
      <c r="AP366" s="560">
        <f t="shared" si="36"/>
        <v>0</v>
      </c>
      <c r="AQ366" s="561"/>
      <c r="AS366" s="546"/>
      <c r="AT366" t="str" cm="1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468"/>
    </row>
    <row r="367" spans="7:47" outlineLevel="1" x14ac:dyDescent="0.25">
      <c r="G367" s="520"/>
      <c r="H367" s="520"/>
      <c r="I367" s="468"/>
      <c r="J367" s="468"/>
      <c r="K367" s="468" t="str">
        <f t="shared" si="28"/>
        <v/>
      </c>
      <c r="L367" s="468" t="str">
        <f t="shared" si="29"/>
        <v/>
      </c>
      <c r="M367" s="468"/>
      <c r="N367" s="468"/>
      <c r="O367" s="468"/>
      <c r="P367" s="468"/>
      <c r="Q367" s="468"/>
      <c r="R367" s="468"/>
      <c r="U367" s="545"/>
      <c r="V367" s="546" t="str">
        <f t="shared" si="30"/>
        <v/>
      </c>
      <c r="W367" s="546" t="str">
        <f t="shared" si="31"/>
        <v/>
      </c>
      <c r="X367" t="str">
        <f t="shared" si="32"/>
        <v/>
      </c>
      <c r="Y367" t="str">
        <f t="shared" si="33"/>
        <v/>
      </c>
      <c r="AA367" s="468" t="str">
        <f t="shared" si="34"/>
        <v/>
      </c>
      <c r="AB367" s="555" t="str">
        <f t="shared" si="35"/>
        <v/>
      </c>
      <c r="AC367" s="468"/>
      <c r="AD367" s="520"/>
      <c r="AE367" s="468"/>
      <c r="AF367" s="468"/>
      <c r="AG367" s="468"/>
      <c r="AH367" s="468"/>
      <c r="AI367" s="468"/>
      <c r="AJ367" s="468"/>
      <c r="AK367" s="468"/>
      <c r="AL367" s="468"/>
      <c r="AM367" s="468"/>
      <c r="AN367" s="468"/>
      <c r="AO367" s="559"/>
      <c r="AP367" s="560">
        <f t="shared" si="36"/>
        <v>0</v>
      </c>
      <c r="AQ367" s="561"/>
      <c r="AS367" s="546"/>
      <c r="AT367" t="str" cm="1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468"/>
    </row>
    <row r="368" spans="7:47" outlineLevel="1" x14ac:dyDescent="0.25">
      <c r="G368" s="520"/>
      <c r="H368" s="520"/>
      <c r="I368" s="468"/>
      <c r="J368" s="468"/>
      <c r="K368" s="468" t="str">
        <f t="shared" si="28"/>
        <v/>
      </c>
      <c r="L368" s="468" t="str">
        <f t="shared" si="29"/>
        <v/>
      </c>
      <c r="M368" s="468"/>
      <c r="N368" s="468"/>
      <c r="O368" s="468"/>
      <c r="P368" s="468"/>
      <c r="Q368" s="468"/>
      <c r="R368" s="468"/>
      <c r="U368" s="545"/>
      <c r="V368" s="546" t="str">
        <f t="shared" si="30"/>
        <v/>
      </c>
      <c r="W368" s="546" t="str">
        <f t="shared" si="31"/>
        <v/>
      </c>
      <c r="X368" t="str">
        <f t="shared" si="32"/>
        <v/>
      </c>
      <c r="Y368" t="str">
        <f t="shared" si="33"/>
        <v/>
      </c>
      <c r="AA368" s="468" t="str">
        <f t="shared" si="34"/>
        <v/>
      </c>
      <c r="AB368" s="555" t="str">
        <f t="shared" si="35"/>
        <v/>
      </c>
      <c r="AC368" s="468"/>
      <c r="AD368" s="520"/>
      <c r="AE368" s="468"/>
      <c r="AF368" s="468"/>
      <c r="AG368" s="468"/>
      <c r="AH368" s="468"/>
      <c r="AI368" s="468"/>
      <c r="AJ368" s="468"/>
      <c r="AK368" s="468"/>
      <c r="AL368" s="468"/>
      <c r="AM368" s="468"/>
      <c r="AN368" s="468"/>
      <c r="AO368" s="559"/>
      <c r="AP368" s="560">
        <f t="shared" si="36"/>
        <v>0</v>
      </c>
      <c r="AQ368" s="561"/>
      <c r="AS368" s="546"/>
      <c r="AT368" t="str" cm="1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468"/>
    </row>
    <row r="369" spans="7:47" outlineLevel="1" x14ac:dyDescent="0.25">
      <c r="G369" s="520"/>
      <c r="H369" s="520"/>
      <c r="I369" s="468"/>
      <c r="J369" s="468"/>
      <c r="K369" s="468" t="str">
        <f t="shared" si="28"/>
        <v/>
      </c>
      <c r="L369" s="468" t="str">
        <f t="shared" si="29"/>
        <v/>
      </c>
      <c r="M369" s="468"/>
      <c r="N369" s="468"/>
      <c r="O369" s="468"/>
      <c r="P369" s="468"/>
      <c r="Q369" s="468"/>
      <c r="R369" s="468"/>
      <c r="U369" s="545"/>
      <c r="V369" s="546" t="str">
        <f t="shared" si="30"/>
        <v/>
      </c>
      <c r="W369" s="546" t="str">
        <f t="shared" si="31"/>
        <v/>
      </c>
      <c r="X369" t="str">
        <f t="shared" si="32"/>
        <v/>
      </c>
      <c r="Y369" t="str">
        <f t="shared" si="33"/>
        <v/>
      </c>
      <c r="AA369" s="468" t="str">
        <f t="shared" si="34"/>
        <v/>
      </c>
      <c r="AB369" s="555" t="str">
        <f t="shared" si="35"/>
        <v/>
      </c>
      <c r="AC369" s="468"/>
      <c r="AD369" s="520"/>
      <c r="AE369" s="468"/>
      <c r="AF369" s="468"/>
      <c r="AG369" s="468"/>
      <c r="AH369" s="468"/>
      <c r="AI369" s="468"/>
      <c r="AJ369" s="468"/>
      <c r="AK369" s="468"/>
      <c r="AL369" s="468"/>
      <c r="AM369" s="468"/>
      <c r="AN369" s="468"/>
      <c r="AO369" s="559"/>
      <c r="AP369" s="560">
        <f t="shared" si="36"/>
        <v>0</v>
      </c>
      <c r="AQ369" s="561"/>
      <c r="AS369" s="546"/>
      <c r="AT369" t="str" cm="1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468"/>
    </row>
    <row r="370" spans="7:47" outlineLevel="1" x14ac:dyDescent="0.25">
      <c r="G370" s="520"/>
      <c r="H370" s="520"/>
      <c r="I370" s="468"/>
      <c r="J370" s="468"/>
      <c r="K370" s="468" t="str">
        <f t="shared" si="28"/>
        <v/>
      </c>
      <c r="L370" s="468" t="str">
        <f t="shared" si="29"/>
        <v/>
      </c>
      <c r="M370" s="468"/>
      <c r="N370" s="468"/>
      <c r="O370" s="468"/>
      <c r="P370" s="468"/>
      <c r="Q370" s="468"/>
      <c r="R370" s="468"/>
      <c r="U370" s="545"/>
      <c r="V370" s="546" t="str">
        <f t="shared" si="30"/>
        <v/>
      </c>
      <c r="W370" s="546" t="str">
        <f t="shared" si="31"/>
        <v/>
      </c>
      <c r="X370" t="str">
        <f t="shared" si="32"/>
        <v/>
      </c>
      <c r="Y370" t="str">
        <f t="shared" si="33"/>
        <v/>
      </c>
      <c r="AA370" s="468" t="str">
        <f t="shared" si="34"/>
        <v/>
      </c>
      <c r="AB370" s="555" t="str">
        <f t="shared" si="35"/>
        <v/>
      </c>
      <c r="AC370" s="468"/>
      <c r="AD370" s="520"/>
      <c r="AE370" s="468"/>
      <c r="AF370" s="468"/>
      <c r="AG370" s="468"/>
      <c r="AH370" s="468"/>
      <c r="AI370" s="468"/>
      <c r="AJ370" s="468"/>
      <c r="AK370" s="468"/>
      <c r="AL370" s="468"/>
      <c r="AM370" s="468"/>
      <c r="AN370" s="468"/>
      <c r="AO370" s="559"/>
      <c r="AP370" s="560">
        <f t="shared" si="36"/>
        <v>0</v>
      </c>
      <c r="AQ370" s="561"/>
      <c r="AS370" s="546"/>
      <c r="AT370" t="str" cm="1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468"/>
    </row>
    <row r="371" spans="7:47" outlineLevel="1" x14ac:dyDescent="0.25">
      <c r="G371" s="520"/>
      <c r="H371" s="520"/>
      <c r="I371" s="468"/>
      <c r="J371" s="468"/>
      <c r="K371" s="468" t="str">
        <f t="shared" si="28"/>
        <v/>
      </c>
      <c r="L371" s="468" t="str">
        <f t="shared" si="29"/>
        <v/>
      </c>
      <c r="M371" s="468"/>
      <c r="N371" s="468"/>
      <c r="O371" s="468"/>
      <c r="P371" s="468"/>
      <c r="Q371" s="468"/>
      <c r="R371" s="468"/>
      <c r="U371" s="545"/>
      <c r="V371" s="546" t="str">
        <f t="shared" si="30"/>
        <v/>
      </c>
      <c r="W371" s="546" t="str">
        <f t="shared" si="31"/>
        <v/>
      </c>
      <c r="X371" t="str">
        <f t="shared" si="32"/>
        <v/>
      </c>
      <c r="Y371" t="str">
        <f t="shared" si="33"/>
        <v/>
      </c>
      <c r="AA371" s="468" t="str">
        <f t="shared" si="34"/>
        <v/>
      </c>
      <c r="AB371" s="555" t="str">
        <f t="shared" si="35"/>
        <v/>
      </c>
      <c r="AC371" s="468"/>
      <c r="AD371" s="520"/>
      <c r="AE371" s="468"/>
      <c r="AF371" s="468"/>
      <c r="AG371" s="468"/>
      <c r="AH371" s="468"/>
      <c r="AI371" s="468"/>
      <c r="AJ371" s="468"/>
      <c r="AK371" s="468"/>
      <c r="AL371" s="468"/>
      <c r="AM371" s="468"/>
      <c r="AN371" s="468"/>
      <c r="AO371" s="559"/>
      <c r="AP371" s="560">
        <f t="shared" si="36"/>
        <v>0</v>
      </c>
      <c r="AQ371" s="561"/>
      <c r="AS371" s="546"/>
      <c r="AT371" t="str" cm="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468"/>
    </row>
    <row r="372" spans="7:47" outlineLevel="1" x14ac:dyDescent="0.25">
      <c r="G372" s="520"/>
      <c r="H372" s="520"/>
      <c r="I372" s="468"/>
      <c r="J372" s="468"/>
      <c r="K372" s="468" t="str">
        <f t="shared" si="28"/>
        <v/>
      </c>
      <c r="L372" s="468" t="str">
        <f t="shared" si="29"/>
        <v/>
      </c>
      <c r="M372" s="468"/>
      <c r="N372" s="468"/>
      <c r="O372" s="468"/>
      <c r="P372" s="468"/>
      <c r="Q372" s="468"/>
      <c r="R372" s="468"/>
      <c r="U372" s="545"/>
      <c r="V372" s="546" t="str">
        <f t="shared" si="30"/>
        <v/>
      </c>
      <c r="W372" s="546" t="str">
        <f t="shared" si="31"/>
        <v/>
      </c>
      <c r="X372" t="str">
        <f t="shared" si="32"/>
        <v/>
      </c>
      <c r="Y372" t="str">
        <f t="shared" si="33"/>
        <v/>
      </c>
      <c r="AA372" s="468" t="str">
        <f t="shared" si="34"/>
        <v/>
      </c>
      <c r="AB372" s="555" t="str">
        <f t="shared" si="35"/>
        <v/>
      </c>
      <c r="AC372" s="468"/>
      <c r="AD372" s="520"/>
      <c r="AE372" s="468"/>
      <c r="AF372" s="468"/>
      <c r="AG372" s="468"/>
      <c r="AH372" s="468"/>
      <c r="AI372" s="468"/>
      <c r="AJ372" s="468"/>
      <c r="AK372" s="468"/>
      <c r="AL372" s="468"/>
      <c r="AM372" s="468"/>
      <c r="AN372" s="468"/>
      <c r="AO372" s="559"/>
      <c r="AP372" s="560">
        <f t="shared" si="36"/>
        <v>0</v>
      </c>
      <c r="AQ372" s="561"/>
      <c r="AS372" s="546"/>
      <c r="AT372" t="str" cm="1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468"/>
    </row>
    <row r="373" spans="7:47" outlineLevel="1" x14ac:dyDescent="0.25">
      <c r="G373" s="520"/>
      <c r="H373" s="520"/>
      <c r="I373" s="468"/>
      <c r="J373" s="468"/>
      <c r="K373" s="468" t="str">
        <f t="shared" si="28"/>
        <v/>
      </c>
      <c r="L373" s="468" t="str">
        <f t="shared" si="29"/>
        <v/>
      </c>
      <c r="M373" s="468"/>
      <c r="N373" s="468"/>
      <c r="O373" s="468"/>
      <c r="P373" s="468"/>
      <c r="Q373" s="468"/>
      <c r="R373" s="468"/>
      <c r="U373" s="545"/>
      <c r="V373" s="546" t="str">
        <f t="shared" si="30"/>
        <v/>
      </c>
      <c r="W373" s="546" t="str">
        <f t="shared" si="31"/>
        <v/>
      </c>
      <c r="X373" t="str">
        <f t="shared" si="32"/>
        <v/>
      </c>
      <c r="Y373" t="str">
        <f t="shared" si="33"/>
        <v/>
      </c>
      <c r="AA373" s="468" t="str">
        <f t="shared" si="34"/>
        <v/>
      </c>
      <c r="AB373" s="555" t="str">
        <f t="shared" si="35"/>
        <v/>
      </c>
      <c r="AC373" s="468"/>
      <c r="AD373" s="520"/>
      <c r="AE373" s="468"/>
      <c r="AF373" s="468"/>
      <c r="AG373" s="468"/>
      <c r="AH373" s="468"/>
      <c r="AI373" s="468"/>
      <c r="AJ373" s="468"/>
      <c r="AK373" s="468"/>
      <c r="AL373" s="468"/>
      <c r="AM373" s="468"/>
      <c r="AN373" s="468"/>
      <c r="AO373" s="559"/>
      <c r="AP373" s="560">
        <f t="shared" si="36"/>
        <v>0</v>
      </c>
      <c r="AQ373" s="561"/>
      <c r="AS373" s="546"/>
      <c r="AT373" t="str" cm="1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468"/>
    </row>
    <row r="374" spans="7:47" outlineLevel="1" x14ac:dyDescent="0.25">
      <c r="G374" s="520"/>
      <c r="H374" s="520"/>
      <c r="I374" s="468"/>
      <c r="J374" s="468"/>
      <c r="K374" s="468" t="str">
        <f t="shared" si="28"/>
        <v/>
      </c>
      <c r="L374" s="468" t="str">
        <f t="shared" si="29"/>
        <v/>
      </c>
      <c r="M374" s="468"/>
      <c r="N374" s="468"/>
      <c r="O374" s="468"/>
      <c r="P374" s="468"/>
      <c r="Q374" s="468"/>
      <c r="R374" s="468"/>
      <c r="U374" s="545"/>
      <c r="V374" s="546" t="str">
        <f t="shared" si="30"/>
        <v/>
      </c>
      <c r="W374" s="546" t="str">
        <f t="shared" si="31"/>
        <v/>
      </c>
      <c r="X374" t="str">
        <f t="shared" si="32"/>
        <v/>
      </c>
      <c r="Y374" t="str">
        <f t="shared" si="33"/>
        <v/>
      </c>
      <c r="AA374" s="468" t="str">
        <f t="shared" si="34"/>
        <v/>
      </c>
      <c r="AB374" s="555" t="str">
        <f t="shared" si="35"/>
        <v/>
      </c>
      <c r="AC374" s="468"/>
      <c r="AD374" s="520"/>
      <c r="AE374" s="468"/>
      <c r="AF374" s="468"/>
      <c r="AG374" s="468"/>
      <c r="AH374" s="468"/>
      <c r="AI374" s="468"/>
      <c r="AJ374" s="468"/>
      <c r="AK374" s="468"/>
      <c r="AL374" s="468"/>
      <c r="AM374" s="468"/>
      <c r="AN374" s="468"/>
      <c r="AO374" s="559"/>
      <c r="AP374" s="560">
        <f t="shared" si="36"/>
        <v>0</v>
      </c>
      <c r="AQ374" s="561"/>
      <c r="AS374" s="546"/>
      <c r="AT374" t="str" cm="1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468"/>
    </row>
    <row r="375" spans="7:47" outlineLevel="1" x14ac:dyDescent="0.25">
      <c r="G375" s="520"/>
      <c r="H375" s="520"/>
      <c r="I375" s="468"/>
      <c r="J375" s="468"/>
      <c r="K375" s="468" t="str">
        <f t="shared" si="28"/>
        <v/>
      </c>
      <c r="L375" s="468" t="str">
        <f t="shared" si="29"/>
        <v/>
      </c>
      <c r="M375" s="468"/>
      <c r="N375" s="468"/>
      <c r="O375" s="468"/>
      <c r="P375" s="468"/>
      <c r="Q375" s="468"/>
      <c r="R375" s="468"/>
      <c r="U375" s="545"/>
      <c r="V375" s="546" t="str">
        <f t="shared" si="30"/>
        <v/>
      </c>
      <c r="W375" s="546" t="str">
        <f t="shared" si="31"/>
        <v/>
      </c>
      <c r="X375" t="str">
        <f t="shared" si="32"/>
        <v/>
      </c>
      <c r="Y375" t="str">
        <f t="shared" si="33"/>
        <v/>
      </c>
      <c r="AA375" s="468" t="str">
        <f t="shared" si="34"/>
        <v/>
      </c>
      <c r="AB375" s="555" t="str">
        <f t="shared" si="35"/>
        <v/>
      </c>
      <c r="AC375" s="468"/>
      <c r="AD375" s="520"/>
      <c r="AE375" s="468"/>
      <c r="AF375" s="468"/>
      <c r="AG375" s="468"/>
      <c r="AH375" s="468"/>
      <c r="AI375" s="468"/>
      <c r="AJ375" s="468"/>
      <c r="AK375" s="468"/>
      <c r="AL375" s="468"/>
      <c r="AM375" s="468"/>
      <c r="AN375" s="468"/>
      <c r="AO375" s="559"/>
      <c r="AP375" s="560">
        <f t="shared" si="36"/>
        <v>0</v>
      </c>
      <c r="AQ375" s="561"/>
      <c r="AS375" s="546"/>
      <c r="AT375" t="str" cm="1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468"/>
    </row>
    <row r="376" spans="7:47" outlineLevel="1" x14ac:dyDescent="0.25">
      <c r="G376" s="520"/>
      <c r="H376" s="520"/>
      <c r="I376" s="468"/>
      <c r="J376" s="468"/>
      <c r="K376" s="468" t="str">
        <f t="shared" si="28"/>
        <v/>
      </c>
      <c r="L376" s="468" t="str">
        <f t="shared" si="29"/>
        <v/>
      </c>
      <c r="M376" s="468"/>
      <c r="N376" s="468"/>
      <c r="O376" s="468"/>
      <c r="P376" s="468"/>
      <c r="Q376" s="468"/>
      <c r="R376" s="468"/>
      <c r="U376" s="545"/>
      <c r="V376" s="546" t="str">
        <f t="shared" si="30"/>
        <v/>
      </c>
      <c r="W376" s="546" t="str">
        <f t="shared" si="31"/>
        <v/>
      </c>
      <c r="X376" t="str">
        <f t="shared" si="32"/>
        <v/>
      </c>
      <c r="Y376" t="str">
        <f t="shared" si="33"/>
        <v/>
      </c>
      <c r="AA376" s="468" t="str">
        <f t="shared" si="34"/>
        <v/>
      </c>
      <c r="AB376" s="555" t="str">
        <f t="shared" si="35"/>
        <v/>
      </c>
      <c r="AC376" s="468"/>
      <c r="AD376" s="520"/>
      <c r="AE376" s="468"/>
      <c r="AF376" s="468"/>
      <c r="AG376" s="468"/>
      <c r="AH376" s="468"/>
      <c r="AI376" s="468"/>
      <c r="AJ376" s="468"/>
      <c r="AK376" s="468"/>
      <c r="AL376" s="468"/>
      <c r="AM376" s="468"/>
      <c r="AN376" s="468"/>
      <c r="AO376" s="559"/>
      <c r="AP376" s="560">
        <f t="shared" si="36"/>
        <v>0</v>
      </c>
      <c r="AQ376" s="561"/>
      <c r="AS376" s="546"/>
      <c r="AT376" t="str" cm="1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468"/>
    </row>
    <row r="377" spans="7:47" outlineLevel="1" x14ac:dyDescent="0.25">
      <c r="G377" s="520"/>
      <c r="H377" s="520"/>
      <c r="I377" s="468"/>
      <c r="J377" s="468"/>
      <c r="K377" s="468" t="str">
        <f t="shared" si="28"/>
        <v/>
      </c>
      <c r="L377" s="468" t="str">
        <f t="shared" si="29"/>
        <v/>
      </c>
      <c r="M377" s="468"/>
      <c r="N377" s="468"/>
      <c r="O377" s="468"/>
      <c r="P377" s="468"/>
      <c r="Q377" s="468"/>
      <c r="R377" s="468"/>
      <c r="U377" s="545"/>
      <c r="V377" s="546" t="str">
        <f t="shared" si="30"/>
        <v/>
      </c>
      <c r="W377" s="546" t="str">
        <f t="shared" si="31"/>
        <v/>
      </c>
      <c r="X377" t="str">
        <f t="shared" si="32"/>
        <v/>
      </c>
      <c r="Y377" t="str">
        <f t="shared" si="33"/>
        <v/>
      </c>
      <c r="AA377" s="468" t="str">
        <f t="shared" si="34"/>
        <v/>
      </c>
      <c r="AB377" s="555" t="str">
        <f t="shared" si="35"/>
        <v/>
      </c>
      <c r="AC377" s="468"/>
      <c r="AD377" s="520"/>
      <c r="AE377" s="468"/>
      <c r="AF377" s="468"/>
      <c r="AG377" s="468"/>
      <c r="AH377" s="468"/>
      <c r="AI377" s="468"/>
      <c r="AJ377" s="468"/>
      <c r="AK377" s="468"/>
      <c r="AL377" s="468"/>
      <c r="AM377" s="468"/>
      <c r="AN377" s="468"/>
      <c r="AO377" s="559"/>
      <c r="AP377" s="560">
        <f t="shared" si="36"/>
        <v>0</v>
      </c>
      <c r="AQ377" s="561"/>
      <c r="AS377" s="546"/>
      <c r="AT377" t="str" cm="1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468"/>
    </row>
    <row r="378" spans="7:47" outlineLevel="1" x14ac:dyDescent="0.25">
      <c r="G378" s="520"/>
      <c r="H378" s="520"/>
      <c r="I378" s="468"/>
      <c r="J378" s="468"/>
      <c r="K378" s="468" t="str">
        <f t="shared" si="28"/>
        <v/>
      </c>
      <c r="L378" s="468" t="str">
        <f t="shared" si="29"/>
        <v/>
      </c>
      <c r="M378" s="468"/>
      <c r="N378" s="468"/>
      <c r="O378" s="468"/>
      <c r="P378" s="468"/>
      <c r="Q378" s="468"/>
      <c r="R378" s="468"/>
      <c r="U378" s="545"/>
      <c r="V378" s="546" t="str">
        <f t="shared" si="30"/>
        <v/>
      </c>
      <c r="W378" s="546" t="str">
        <f t="shared" si="31"/>
        <v/>
      </c>
      <c r="X378" t="str">
        <f t="shared" si="32"/>
        <v/>
      </c>
      <c r="Y378" t="str">
        <f t="shared" si="33"/>
        <v/>
      </c>
      <c r="AA378" s="468" t="str">
        <f t="shared" si="34"/>
        <v/>
      </c>
      <c r="AB378" s="555" t="str">
        <f t="shared" si="35"/>
        <v/>
      </c>
      <c r="AC378" s="468"/>
      <c r="AD378" s="520"/>
      <c r="AE378" s="468"/>
      <c r="AF378" s="468"/>
      <c r="AG378" s="468"/>
      <c r="AH378" s="468"/>
      <c r="AI378" s="468"/>
      <c r="AJ378" s="468"/>
      <c r="AK378" s="468"/>
      <c r="AL378" s="468"/>
      <c r="AM378" s="468"/>
      <c r="AN378" s="468"/>
      <c r="AO378" s="559"/>
      <c r="AP378" s="560">
        <f t="shared" si="36"/>
        <v>0</v>
      </c>
      <c r="AQ378" s="561"/>
      <c r="AS378" s="546"/>
      <c r="AT378" t="str" cm="1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468"/>
    </row>
    <row r="379" spans="7:47" outlineLevel="1" x14ac:dyDescent="0.25">
      <c r="G379" s="520"/>
      <c r="H379" s="520"/>
      <c r="I379" s="468"/>
      <c r="J379" s="468"/>
      <c r="K379" s="468" t="str">
        <f t="shared" si="28"/>
        <v/>
      </c>
      <c r="L379" s="468" t="str">
        <f t="shared" si="29"/>
        <v/>
      </c>
      <c r="M379" s="468"/>
      <c r="N379" s="468"/>
      <c r="O379" s="468"/>
      <c r="P379" s="468"/>
      <c r="Q379" s="468"/>
      <c r="R379" s="468"/>
      <c r="U379" s="545"/>
      <c r="V379" s="546" t="str">
        <f t="shared" si="30"/>
        <v/>
      </c>
      <c r="W379" s="546" t="str">
        <f t="shared" si="31"/>
        <v/>
      </c>
      <c r="X379" t="str">
        <f t="shared" si="32"/>
        <v/>
      </c>
      <c r="Y379" t="str">
        <f t="shared" si="33"/>
        <v/>
      </c>
      <c r="AA379" s="468" t="str">
        <f t="shared" si="34"/>
        <v/>
      </c>
      <c r="AB379" s="555" t="str">
        <f t="shared" si="35"/>
        <v/>
      </c>
      <c r="AC379" s="468"/>
      <c r="AD379" s="520"/>
      <c r="AE379" s="468"/>
      <c r="AF379" s="468"/>
      <c r="AG379" s="468"/>
      <c r="AH379" s="468"/>
      <c r="AI379" s="468"/>
      <c r="AJ379" s="468"/>
      <c r="AK379" s="468"/>
      <c r="AL379" s="468"/>
      <c r="AM379" s="468"/>
      <c r="AN379" s="468"/>
      <c r="AO379" s="559"/>
      <c r="AP379" s="560">
        <f t="shared" si="36"/>
        <v>0</v>
      </c>
      <c r="AQ379" s="561"/>
      <c r="AS379" s="546"/>
      <c r="AT379" t="str" cm="1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468"/>
    </row>
    <row r="380" spans="7:47" outlineLevel="1" x14ac:dyDescent="0.25">
      <c r="G380" s="520"/>
      <c r="H380" s="520"/>
      <c r="I380" s="468"/>
      <c r="J380" s="468"/>
      <c r="K380" s="468" t="str">
        <f t="shared" si="28"/>
        <v/>
      </c>
      <c r="L380" s="468" t="str">
        <f t="shared" si="29"/>
        <v/>
      </c>
      <c r="M380" s="468"/>
      <c r="N380" s="468"/>
      <c r="O380" s="468"/>
      <c r="P380" s="468"/>
      <c r="Q380" s="468"/>
      <c r="R380" s="468"/>
      <c r="U380" s="545"/>
      <c r="V380" s="546" t="str">
        <f t="shared" si="30"/>
        <v/>
      </c>
      <c r="W380" s="546" t="str">
        <f t="shared" si="31"/>
        <v/>
      </c>
      <c r="X380" t="str">
        <f t="shared" si="32"/>
        <v/>
      </c>
      <c r="Y380" t="str">
        <f t="shared" si="33"/>
        <v/>
      </c>
      <c r="AA380" s="468" t="str">
        <f t="shared" si="34"/>
        <v/>
      </c>
      <c r="AB380" s="555" t="str">
        <f t="shared" si="35"/>
        <v/>
      </c>
      <c r="AC380" s="468"/>
      <c r="AD380" s="520"/>
      <c r="AE380" s="468"/>
      <c r="AF380" s="468"/>
      <c r="AG380" s="468"/>
      <c r="AH380" s="468"/>
      <c r="AI380" s="468"/>
      <c r="AJ380" s="468"/>
      <c r="AK380" s="468"/>
      <c r="AL380" s="468"/>
      <c r="AM380" s="468"/>
      <c r="AN380" s="468"/>
      <c r="AO380" s="559"/>
      <c r="AP380" s="560">
        <f t="shared" si="36"/>
        <v>0</v>
      </c>
      <c r="AQ380" s="561"/>
      <c r="AS380" s="546"/>
      <c r="AT380" t="str" cm="1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468"/>
    </row>
    <row r="381" spans="7:47" outlineLevel="1" x14ac:dyDescent="0.25">
      <c r="G381" s="520"/>
      <c r="H381" s="520"/>
      <c r="I381" s="468"/>
      <c r="J381" s="468"/>
      <c r="K381" s="468" t="str">
        <f t="shared" si="28"/>
        <v/>
      </c>
      <c r="L381" s="468" t="str">
        <f t="shared" si="29"/>
        <v/>
      </c>
      <c r="M381" s="468"/>
      <c r="N381" s="468"/>
      <c r="O381" s="468"/>
      <c r="P381" s="468"/>
      <c r="Q381" s="468"/>
      <c r="R381" s="468"/>
      <c r="U381" s="545"/>
      <c r="V381" s="546" t="str">
        <f t="shared" si="30"/>
        <v/>
      </c>
      <c r="W381" s="546" t="str">
        <f t="shared" si="31"/>
        <v/>
      </c>
      <c r="X381" t="str">
        <f t="shared" si="32"/>
        <v/>
      </c>
      <c r="Y381" t="str">
        <f t="shared" si="33"/>
        <v/>
      </c>
      <c r="AA381" s="468" t="str">
        <f t="shared" si="34"/>
        <v/>
      </c>
      <c r="AB381" s="555" t="str">
        <f t="shared" si="35"/>
        <v/>
      </c>
      <c r="AC381" s="468"/>
      <c r="AD381" s="520"/>
      <c r="AE381" s="468"/>
      <c r="AF381" s="468"/>
      <c r="AG381" s="468"/>
      <c r="AH381" s="468"/>
      <c r="AI381" s="468"/>
      <c r="AJ381" s="468"/>
      <c r="AK381" s="468"/>
      <c r="AL381" s="468"/>
      <c r="AM381" s="468"/>
      <c r="AN381" s="468"/>
      <c r="AO381" s="559"/>
      <c r="AP381" s="560">
        <f t="shared" si="36"/>
        <v>0</v>
      </c>
      <c r="AQ381" s="561"/>
      <c r="AS381" s="546"/>
      <c r="AT381" t="str" cm="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468"/>
    </row>
    <row r="382" spans="7:47" outlineLevel="1" x14ac:dyDescent="0.25">
      <c r="G382" s="520"/>
      <c r="H382" s="520"/>
      <c r="I382" s="468"/>
      <c r="J382" s="468"/>
      <c r="K382" s="468" t="str">
        <f t="shared" si="28"/>
        <v/>
      </c>
      <c r="L382" s="468" t="str">
        <f t="shared" si="29"/>
        <v/>
      </c>
      <c r="M382" s="468"/>
      <c r="N382" s="468"/>
      <c r="O382" s="468"/>
      <c r="P382" s="468"/>
      <c r="Q382" s="468"/>
      <c r="R382" s="468"/>
      <c r="U382" s="545"/>
      <c r="V382" s="546" t="str">
        <f t="shared" si="30"/>
        <v/>
      </c>
      <c r="W382" s="546" t="str">
        <f t="shared" si="31"/>
        <v/>
      </c>
      <c r="X382" t="str">
        <f t="shared" si="32"/>
        <v/>
      </c>
      <c r="Y382" t="str">
        <f t="shared" si="33"/>
        <v/>
      </c>
      <c r="AA382" s="468" t="str">
        <f t="shared" si="34"/>
        <v/>
      </c>
      <c r="AB382" s="555" t="str">
        <f t="shared" si="35"/>
        <v/>
      </c>
      <c r="AC382" s="468"/>
      <c r="AD382" s="520"/>
      <c r="AE382" s="468"/>
      <c r="AF382" s="468"/>
      <c r="AG382" s="468"/>
      <c r="AH382" s="468"/>
      <c r="AI382" s="468"/>
      <c r="AJ382" s="468"/>
      <c r="AK382" s="468"/>
      <c r="AL382" s="468"/>
      <c r="AM382" s="468"/>
      <c r="AN382" s="468"/>
      <c r="AO382" s="559"/>
      <c r="AP382" s="560">
        <f t="shared" si="36"/>
        <v>0</v>
      </c>
      <c r="AQ382" s="561"/>
      <c r="AS382" s="546"/>
      <c r="AT382" t="str" cm="1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468"/>
    </row>
    <row r="383" spans="7:47" outlineLevel="1" x14ac:dyDescent="0.25">
      <c r="G383" s="520"/>
      <c r="H383" s="520"/>
      <c r="I383" s="468"/>
      <c r="J383" s="468"/>
      <c r="K383" s="468" t="str">
        <f t="shared" si="28"/>
        <v/>
      </c>
      <c r="L383" s="468" t="str">
        <f t="shared" si="29"/>
        <v/>
      </c>
      <c r="M383" s="468"/>
      <c r="N383" s="468"/>
      <c r="O383" s="468"/>
      <c r="P383" s="468"/>
      <c r="Q383" s="468"/>
      <c r="R383" s="468"/>
      <c r="U383" s="545"/>
      <c r="V383" s="546" t="str">
        <f t="shared" si="30"/>
        <v/>
      </c>
      <c r="W383" s="546" t="str">
        <f t="shared" si="31"/>
        <v/>
      </c>
      <c r="X383" t="str">
        <f t="shared" si="32"/>
        <v/>
      </c>
      <c r="Y383" t="str">
        <f t="shared" si="33"/>
        <v/>
      </c>
      <c r="AA383" s="468" t="str">
        <f t="shared" si="34"/>
        <v/>
      </c>
      <c r="AB383" s="555" t="str">
        <f t="shared" si="35"/>
        <v/>
      </c>
      <c r="AC383" s="468"/>
      <c r="AD383" s="520"/>
      <c r="AE383" s="468"/>
      <c r="AF383" s="468"/>
      <c r="AG383" s="468"/>
      <c r="AH383" s="468"/>
      <c r="AI383" s="468"/>
      <c r="AJ383" s="468"/>
      <c r="AK383" s="468"/>
      <c r="AL383" s="468"/>
      <c r="AM383" s="468"/>
      <c r="AN383" s="468"/>
      <c r="AO383" s="559"/>
      <c r="AP383" s="560">
        <f t="shared" si="36"/>
        <v>0</v>
      </c>
      <c r="AQ383" s="561"/>
      <c r="AS383" s="546"/>
      <c r="AT383" t="str" cm="1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468"/>
    </row>
    <row r="384" spans="7:47" outlineLevel="1" x14ac:dyDescent="0.25">
      <c r="G384" s="520"/>
      <c r="H384" s="520"/>
      <c r="I384" s="468"/>
      <c r="J384" s="468"/>
      <c r="K384" s="468" t="str">
        <f t="shared" si="28"/>
        <v/>
      </c>
      <c r="L384" s="468" t="str">
        <f t="shared" si="29"/>
        <v/>
      </c>
      <c r="M384" s="468"/>
      <c r="N384" s="468"/>
      <c r="O384" s="468"/>
      <c r="P384" s="468"/>
      <c r="Q384" s="468"/>
      <c r="R384" s="468"/>
      <c r="U384" s="545"/>
      <c r="V384" s="546" t="str">
        <f t="shared" si="30"/>
        <v/>
      </c>
      <c r="W384" s="546" t="str">
        <f t="shared" si="31"/>
        <v/>
      </c>
      <c r="X384" t="str">
        <f t="shared" si="32"/>
        <v/>
      </c>
      <c r="Y384" t="str">
        <f t="shared" si="33"/>
        <v/>
      </c>
      <c r="AA384" s="468" t="str">
        <f t="shared" si="34"/>
        <v/>
      </c>
      <c r="AB384" s="555" t="str">
        <f t="shared" si="35"/>
        <v/>
      </c>
      <c r="AC384" s="468"/>
      <c r="AD384" s="520"/>
      <c r="AE384" s="468"/>
      <c r="AF384" s="468"/>
      <c r="AG384" s="468"/>
      <c r="AH384" s="468"/>
      <c r="AI384" s="468"/>
      <c r="AJ384" s="468"/>
      <c r="AK384" s="468"/>
      <c r="AL384" s="468"/>
      <c r="AM384" s="468"/>
      <c r="AN384" s="468"/>
      <c r="AO384" s="559"/>
      <c r="AP384" s="560">
        <f t="shared" si="36"/>
        <v>0</v>
      </c>
      <c r="AQ384" s="561"/>
      <c r="AS384" s="546"/>
      <c r="AT384" t="str" cm="1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468"/>
    </row>
    <row r="385" spans="7:47" outlineLevel="1" x14ac:dyDescent="0.25">
      <c r="G385" s="520"/>
      <c r="H385" s="520"/>
      <c r="I385" s="468"/>
      <c r="J385" s="468"/>
      <c r="K385" s="468" t="str">
        <f t="shared" si="28"/>
        <v/>
      </c>
      <c r="L385" s="468" t="str">
        <f t="shared" si="29"/>
        <v/>
      </c>
      <c r="M385" s="468"/>
      <c r="N385" s="468"/>
      <c r="O385" s="468"/>
      <c r="P385" s="468"/>
      <c r="Q385" s="468"/>
      <c r="R385" s="468"/>
      <c r="U385" s="545"/>
      <c r="V385" s="546" t="str">
        <f t="shared" si="30"/>
        <v/>
      </c>
      <c r="W385" s="546" t="str">
        <f t="shared" si="31"/>
        <v/>
      </c>
      <c r="X385" t="str">
        <f t="shared" si="32"/>
        <v/>
      </c>
      <c r="Y385" t="str">
        <f t="shared" si="33"/>
        <v/>
      </c>
      <c r="AA385" s="468" t="str">
        <f t="shared" si="34"/>
        <v/>
      </c>
      <c r="AB385" s="555" t="str">
        <f t="shared" si="35"/>
        <v/>
      </c>
      <c r="AC385" s="468"/>
      <c r="AD385" s="520"/>
      <c r="AE385" s="468"/>
      <c r="AF385" s="468"/>
      <c r="AG385" s="468"/>
      <c r="AH385" s="468"/>
      <c r="AI385" s="468"/>
      <c r="AJ385" s="468"/>
      <c r="AK385" s="468"/>
      <c r="AL385" s="468"/>
      <c r="AM385" s="468"/>
      <c r="AN385" s="468"/>
      <c r="AO385" s="559"/>
      <c r="AP385" s="560">
        <f t="shared" si="36"/>
        <v>0</v>
      </c>
      <c r="AQ385" s="561"/>
      <c r="AS385" s="546"/>
      <c r="AT385" t="str" cm="1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468"/>
    </row>
    <row r="386" spans="7:47" outlineLevel="1" x14ac:dyDescent="0.25">
      <c r="G386" s="520"/>
      <c r="H386" s="520"/>
      <c r="I386" s="468"/>
      <c r="J386" s="468"/>
      <c r="K386" s="468" t="str">
        <f t="shared" si="28"/>
        <v/>
      </c>
      <c r="L386" s="468" t="str">
        <f t="shared" si="29"/>
        <v/>
      </c>
      <c r="M386" s="468"/>
      <c r="N386" s="468"/>
      <c r="O386" s="468"/>
      <c r="P386" s="468"/>
      <c r="Q386" s="468"/>
      <c r="R386" s="468"/>
      <c r="U386" s="545"/>
      <c r="V386" s="546" t="str">
        <f t="shared" si="30"/>
        <v/>
      </c>
      <c r="W386" s="546" t="str">
        <f t="shared" si="31"/>
        <v/>
      </c>
      <c r="X386" t="str">
        <f t="shared" si="32"/>
        <v/>
      </c>
      <c r="Y386" t="str">
        <f t="shared" si="33"/>
        <v/>
      </c>
      <c r="AA386" s="468" t="str">
        <f t="shared" si="34"/>
        <v/>
      </c>
      <c r="AB386" s="555" t="str">
        <f t="shared" si="35"/>
        <v/>
      </c>
      <c r="AC386" s="468"/>
      <c r="AD386" s="520"/>
      <c r="AE386" s="468"/>
      <c r="AF386" s="468"/>
      <c r="AG386" s="468"/>
      <c r="AH386" s="468"/>
      <c r="AI386" s="468"/>
      <c r="AJ386" s="468"/>
      <c r="AK386" s="468"/>
      <c r="AL386" s="468"/>
      <c r="AM386" s="468"/>
      <c r="AN386" s="468"/>
      <c r="AO386" s="559"/>
      <c r="AP386" s="560">
        <f t="shared" si="36"/>
        <v>0</v>
      </c>
      <c r="AQ386" s="561"/>
      <c r="AS386" s="546"/>
      <c r="AT386" t="str" cm="1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468"/>
    </row>
    <row r="387" spans="7:47" outlineLevel="1" x14ac:dyDescent="0.25">
      <c r="X387" t="str">
        <f t="shared" ref="X340:X403" si="37">IF(AND(E387="Occupied",C387&lt;&gt;"",D387&lt;&gt;""),C387&amp;"|"&amp;D387,"")</f>
        <v/>
      </c>
      <c r="Y387" t="str">
        <f t="shared" ref="Y340:Y403" si="38">IF(AND(C387&lt;&gt;"",D387&lt;&gt;""),C387&amp;"|"&amp;D387,"")</f>
        <v/>
      </c>
      <c r="AA387" s="468"/>
      <c r="AB387" s="555"/>
      <c r="AP387" s="560">
        <f t="shared" si="36"/>
        <v>0</v>
      </c>
      <c r="AT387" t="str" cm="1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468"/>
    </row>
    <row r="388" spans="7:47" outlineLevel="1" x14ac:dyDescent="0.25">
      <c r="X388" t="str">
        <f t="shared" si="37"/>
        <v/>
      </c>
      <c r="Y388" t="str">
        <f t="shared" si="38"/>
        <v/>
      </c>
      <c r="AA388" s="468"/>
      <c r="AB388" s="555"/>
      <c r="AP388" s="560">
        <f t="shared" si="36"/>
        <v>0</v>
      </c>
      <c r="AT388" t="str" cm="1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468"/>
    </row>
    <row r="389" spans="7:47" outlineLevel="1" x14ac:dyDescent="0.25">
      <c r="X389" t="str">
        <f t="shared" si="37"/>
        <v/>
      </c>
      <c r="Y389" t="str">
        <f t="shared" si="38"/>
        <v/>
      </c>
      <c r="AA389" s="468"/>
      <c r="AB389" s="555"/>
      <c r="AP389" s="560">
        <f t="shared" si="36"/>
        <v>0</v>
      </c>
      <c r="AT389" t="str" cm="1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468"/>
    </row>
    <row r="390" spans="7:47" outlineLevel="1" x14ac:dyDescent="0.25">
      <c r="X390" t="str">
        <f t="shared" si="37"/>
        <v/>
      </c>
      <c r="Y390" t="str">
        <f t="shared" si="38"/>
        <v/>
      </c>
      <c r="AA390" s="468"/>
      <c r="AB390" s="555"/>
      <c r="AP390" s="560">
        <f t="shared" si="36"/>
        <v>0</v>
      </c>
      <c r="AT390" t="str" cm="1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468"/>
    </row>
    <row r="391" spans="7:47" outlineLevel="1" x14ac:dyDescent="0.25">
      <c r="X391" t="str">
        <f t="shared" si="37"/>
        <v/>
      </c>
      <c r="Y391" t="str">
        <f t="shared" si="38"/>
        <v/>
      </c>
      <c r="AA391" s="468"/>
      <c r="AB391" s="555"/>
      <c r="AP391" s="560">
        <f t="shared" si="36"/>
        <v>0</v>
      </c>
      <c r="AT391" t="str" cm="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468"/>
    </row>
    <row r="392" spans="7:47" outlineLevel="1" x14ac:dyDescent="0.25">
      <c r="X392" t="str">
        <f t="shared" si="37"/>
        <v/>
      </c>
      <c r="Y392" t="str">
        <f t="shared" si="38"/>
        <v/>
      </c>
      <c r="AA392" s="468"/>
      <c r="AB392" s="555"/>
      <c r="AP392" s="560">
        <f t="shared" si="36"/>
        <v>0</v>
      </c>
      <c r="AT392" t="str" cm="1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468"/>
    </row>
    <row r="393" spans="7:47" outlineLevel="1" x14ac:dyDescent="0.25">
      <c r="X393" t="str">
        <f t="shared" si="37"/>
        <v/>
      </c>
      <c r="Y393" t="str">
        <f t="shared" si="38"/>
        <v/>
      </c>
      <c r="AA393" s="468"/>
      <c r="AB393" s="555"/>
      <c r="AP393" s="560">
        <f t="shared" si="36"/>
        <v>0</v>
      </c>
      <c r="AT393" t="str" cm="1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468"/>
    </row>
    <row r="394" spans="7:47" outlineLevel="1" x14ac:dyDescent="0.25">
      <c r="X394" t="str">
        <f t="shared" si="37"/>
        <v/>
      </c>
      <c r="Y394" t="str">
        <f t="shared" si="38"/>
        <v/>
      </c>
      <c r="AA394" s="468"/>
      <c r="AB394" s="555"/>
      <c r="AP394" s="560">
        <f t="shared" si="36"/>
        <v>0</v>
      </c>
      <c r="AT394" t="str" cm="1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468"/>
    </row>
    <row r="395" spans="7:47" outlineLevel="1" x14ac:dyDescent="0.25">
      <c r="X395" t="str">
        <f t="shared" si="37"/>
        <v/>
      </c>
      <c r="Y395" t="str">
        <f t="shared" si="38"/>
        <v/>
      </c>
      <c r="AA395" s="468"/>
      <c r="AB395" s="555"/>
      <c r="AP395" s="560">
        <f t="shared" si="36"/>
        <v>0</v>
      </c>
      <c r="AT395" t="str" cm="1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468"/>
    </row>
    <row r="396" spans="7:47" outlineLevel="1" x14ac:dyDescent="0.25">
      <c r="X396" t="str">
        <f t="shared" si="37"/>
        <v/>
      </c>
      <c r="Y396" t="str">
        <f t="shared" si="38"/>
        <v/>
      </c>
      <c r="AA396" s="468"/>
      <c r="AB396" s="555"/>
      <c r="AP396" s="560">
        <f t="shared" si="36"/>
        <v>0</v>
      </c>
      <c r="AT396" t="str" cm="1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468"/>
    </row>
    <row r="397" spans="7:47" outlineLevel="1" x14ac:dyDescent="0.25">
      <c r="X397" t="str">
        <f t="shared" si="37"/>
        <v/>
      </c>
      <c r="Y397" t="str">
        <f t="shared" si="38"/>
        <v/>
      </c>
      <c r="AA397" s="468"/>
      <c r="AB397" s="555"/>
      <c r="AP397" s="560">
        <f t="shared" si="36"/>
        <v>0</v>
      </c>
      <c r="AT397" t="str" cm="1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468"/>
    </row>
    <row r="398" spans="7:47" outlineLevel="1" x14ac:dyDescent="0.25">
      <c r="X398" t="str">
        <f t="shared" si="37"/>
        <v/>
      </c>
      <c r="Y398" t="str">
        <f t="shared" si="38"/>
        <v/>
      </c>
      <c r="AA398" s="468"/>
      <c r="AB398" s="555"/>
      <c r="AP398" s="560">
        <f t="shared" si="36"/>
        <v>0</v>
      </c>
      <c r="AT398" t="str" cm="1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468"/>
    </row>
    <row r="399" spans="7:47" outlineLevel="1" x14ac:dyDescent="0.25">
      <c r="X399" t="str">
        <f t="shared" si="37"/>
        <v/>
      </c>
      <c r="Y399" t="str">
        <f t="shared" si="38"/>
        <v/>
      </c>
      <c r="AA399" s="468"/>
      <c r="AB399" s="555"/>
      <c r="AP399" s="560">
        <f t="shared" si="36"/>
        <v>0</v>
      </c>
      <c r="AT399" t="str" cm="1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468"/>
    </row>
    <row r="400" spans="7:47" outlineLevel="1" x14ac:dyDescent="0.25">
      <c r="X400" t="str">
        <f t="shared" si="37"/>
        <v/>
      </c>
      <c r="Y400" t="str">
        <f t="shared" si="38"/>
        <v/>
      </c>
      <c r="AA400" s="468"/>
      <c r="AB400" s="555"/>
      <c r="AP400" s="560">
        <f t="shared" si="36"/>
        <v>0</v>
      </c>
      <c r="AT400" t="str" cm="1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468"/>
    </row>
    <row r="401" spans="24:47" outlineLevel="1" x14ac:dyDescent="0.25">
      <c r="X401" t="str">
        <f t="shared" si="37"/>
        <v/>
      </c>
      <c r="Y401" t="str">
        <f t="shared" si="38"/>
        <v/>
      </c>
      <c r="AA401" s="468"/>
      <c r="AB401" s="555"/>
      <c r="AP401" s="560">
        <f t="shared" si="36"/>
        <v>0</v>
      </c>
      <c r="AT401" t="str" cm="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468"/>
    </row>
    <row r="402" spans="24:47" outlineLevel="1" x14ac:dyDescent="0.25">
      <c r="X402" t="str">
        <f t="shared" si="37"/>
        <v/>
      </c>
      <c r="Y402" t="str">
        <f t="shared" si="38"/>
        <v/>
      </c>
      <c r="AA402" s="468"/>
      <c r="AB402" s="555"/>
      <c r="AP402" s="560">
        <f t="shared" si="36"/>
        <v>0</v>
      </c>
      <c r="AT402" t="str" cm="1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468"/>
    </row>
    <row r="403" spans="24:47" outlineLevel="1" x14ac:dyDescent="0.25">
      <c r="X403" t="str">
        <f t="shared" si="37"/>
        <v/>
      </c>
      <c r="Y403" t="str">
        <f t="shared" si="38"/>
        <v/>
      </c>
      <c r="AA403" s="468"/>
      <c r="AB403" s="555"/>
      <c r="AP403" s="560">
        <f t="shared" si="36"/>
        <v>0</v>
      </c>
      <c r="AT403" t="str" cm="1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468"/>
    </row>
    <row r="404" spans="24:47" outlineLevel="1" x14ac:dyDescent="0.25">
      <c r="X404" t="str">
        <f t="shared" ref="X404:X467" si="39">IF(AND(E404="Occupied",C404&lt;&gt;"",D404&lt;&gt;""),C404&amp;"|"&amp;D404,"")</f>
        <v/>
      </c>
      <c r="Y404" t="str">
        <f t="shared" ref="Y404:Y467" si="40">IF(AND(C404&lt;&gt;"",D404&lt;&gt;""),C404&amp;"|"&amp;D404,"")</f>
        <v/>
      </c>
      <c r="AA404" s="468"/>
      <c r="AB404" s="555"/>
      <c r="AP404" s="560">
        <f t="shared" ref="AP404:AP467" si="41">SUM(AJ404:AN404)</f>
        <v>0</v>
      </c>
      <c r="AT404" t="str" cm="1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468"/>
    </row>
    <row r="405" spans="24:47" outlineLevel="1" x14ac:dyDescent="0.25">
      <c r="X405" t="str">
        <f t="shared" si="39"/>
        <v/>
      </c>
      <c r="Y405" t="str">
        <f t="shared" si="40"/>
        <v/>
      </c>
      <c r="AA405" s="468"/>
      <c r="AB405" s="555"/>
      <c r="AP405" s="560">
        <f t="shared" si="41"/>
        <v>0</v>
      </c>
      <c r="AT405" t="str" cm="1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468"/>
    </row>
    <row r="406" spans="24:47" outlineLevel="1" x14ac:dyDescent="0.25">
      <c r="X406" t="str">
        <f t="shared" si="39"/>
        <v/>
      </c>
      <c r="Y406" t="str">
        <f t="shared" si="40"/>
        <v/>
      </c>
      <c r="AA406" s="468"/>
      <c r="AB406" s="555"/>
      <c r="AP406" s="560">
        <f t="shared" si="41"/>
        <v>0</v>
      </c>
      <c r="AT406" t="str" cm="1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468"/>
    </row>
    <row r="407" spans="24:47" outlineLevel="1" x14ac:dyDescent="0.25">
      <c r="X407" t="str">
        <f t="shared" si="39"/>
        <v/>
      </c>
      <c r="Y407" t="str">
        <f t="shared" si="40"/>
        <v/>
      </c>
      <c r="AA407" s="468"/>
      <c r="AB407" s="555"/>
      <c r="AP407" s="560">
        <f t="shared" si="41"/>
        <v>0</v>
      </c>
      <c r="AT407" t="str" cm="1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468"/>
    </row>
    <row r="408" spans="24:47" outlineLevel="1" x14ac:dyDescent="0.25">
      <c r="X408" t="str">
        <f t="shared" si="39"/>
        <v/>
      </c>
      <c r="Y408" t="str">
        <f t="shared" si="40"/>
        <v/>
      </c>
      <c r="AA408" s="468"/>
      <c r="AB408" s="555"/>
      <c r="AP408" s="560">
        <f t="shared" si="41"/>
        <v>0</v>
      </c>
      <c r="AT408" t="str" cm="1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468"/>
    </row>
    <row r="409" spans="24:47" outlineLevel="1" x14ac:dyDescent="0.25">
      <c r="X409" t="str">
        <f t="shared" si="39"/>
        <v/>
      </c>
      <c r="Y409" t="str">
        <f t="shared" si="40"/>
        <v/>
      </c>
      <c r="AA409" s="468"/>
      <c r="AB409" s="555"/>
      <c r="AP409" s="560">
        <f t="shared" si="41"/>
        <v>0</v>
      </c>
      <c r="AT409" t="str" cm="1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468"/>
    </row>
    <row r="410" spans="24:47" outlineLevel="1" x14ac:dyDescent="0.25">
      <c r="X410" t="str">
        <f t="shared" si="39"/>
        <v/>
      </c>
      <c r="Y410" t="str">
        <f t="shared" si="40"/>
        <v/>
      </c>
      <c r="AA410" s="468"/>
      <c r="AB410" s="555"/>
      <c r="AP410" s="560">
        <f t="shared" si="41"/>
        <v>0</v>
      </c>
      <c r="AT410" t="str" cm="1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468"/>
    </row>
    <row r="411" spans="24:47" outlineLevel="1" x14ac:dyDescent="0.25">
      <c r="X411" t="str">
        <f t="shared" si="39"/>
        <v/>
      </c>
      <c r="Y411" t="str">
        <f t="shared" si="40"/>
        <v/>
      </c>
      <c r="AA411" s="468"/>
      <c r="AB411" s="555"/>
      <c r="AP411" s="560">
        <f t="shared" si="41"/>
        <v>0</v>
      </c>
      <c r="AT411" t="str" cm="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468"/>
    </row>
    <row r="412" spans="24:47" outlineLevel="1" x14ac:dyDescent="0.25">
      <c r="X412" t="str">
        <f t="shared" si="39"/>
        <v/>
      </c>
      <c r="Y412" t="str">
        <f t="shared" si="40"/>
        <v/>
      </c>
      <c r="AA412" s="468"/>
      <c r="AB412" s="555"/>
      <c r="AP412" s="560">
        <f t="shared" si="41"/>
        <v>0</v>
      </c>
      <c r="AT412" t="str" cm="1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468"/>
    </row>
    <row r="413" spans="24:47" outlineLevel="1" x14ac:dyDescent="0.25">
      <c r="X413" t="str">
        <f t="shared" si="39"/>
        <v/>
      </c>
      <c r="Y413" t="str">
        <f t="shared" si="40"/>
        <v/>
      </c>
      <c r="AA413" s="468"/>
      <c r="AB413" s="555"/>
      <c r="AP413" s="560">
        <f t="shared" si="41"/>
        <v>0</v>
      </c>
      <c r="AT413" t="str" cm="1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468"/>
    </row>
    <row r="414" spans="24:47" outlineLevel="1" x14ac:dyDescent="0.25">
      <c r="X414" t="str">
        <f t="shared" si="39"/>
        <v/>
      </c>
      <c r="Y414" t="str">
        <f t="shared" si="40"/>
        <v/>
      </c>
      <c r="AA414" s="468"/>
      <c r="AB414" s="555"/>
      <c r="AP414" s="560">
        <f t="shared" si="41"/>
        <v>0</v>
      </c>
      <c r="AT414" t="str" cm="1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468"/>
    </row>
    <row r="415" spans="24:47" outlineLevel="1" x14ac:dyDescent="0.25">
      <c r="X415" t="str">
        <f t="shared" si="39"/>
        <v/>
      </c>
      <c r="Y415" t="str">
        <f t="shared" si="40"/>
        <v/>
      </c>
      <c r="AA415" s="468"/>
      <c r="AB415" s="555"/>
      <c r="AP415" s="560">
        <f t="shared" si="41"/>
        <v>0</v>
      </c>
      <c r="AT415" t="str" cm="1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468"/>
    </row>
    <row r="416" spans="24:47" outlineLevel="1" x14ac:dyDescent="0.25">
      <c r="X416" t="str">
        <f t="shared" si="39"/>
        <v/>
      </c>
      <c r="Y416" t="str">
        <f t="shared" si="40"/>
        <v/>
      </c>
      <c r="AA416" s="468"/>
      <c r="AB416" s="555"/>
      <c r="AP416" s="560">
        <f t="shared" si="41"/>
        <v>0</v>
      </c>
      <c r="AT416" t="str" cm="1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468"/>
    </row>
    <row r="417" spans="24:47" outlineLevel="1" x14ac:dyDescent="0.25">
      <c r="X417" t="str">
        <f t="shared" si="39"/>
        <v/>
      </c>
      <c r="Y417" t="str">
        <f t="shared" si="40"/>
        <v/>
      </c>
      <c r="AA417" s="468"/>
      <c r="AB417" s="555"/>
      <c r="AP417" s="560">
        <f t="shared" si="41"/>
        <v>0</v>
      </c>
      <c r="AT417" t="str" cm="1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468"/>
    </row>
    <row r="418" spans="24:47" outlineLevel="1" x14ac:dyDescent="0.25">
      <c r="X418" t="str">
        <f t="shared" si="39"/>
        <v/>
      </c>
      <c r="Y418" t="str">
        <f t="shared" si="40"/>
        <v/>
      </c>
      <c r="AA418" s="468"/>
      <c r="AB418" s="555"/>
      <c r="AP418" s="560">
        <f t="shared" si="41"/>
        <v>0</v>
      </c>
      <c r="AT418" t="str" cm="1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468"/>
    </row>
    <row r="419" spans="24:47" outlineLevel="1" x14ac:dyDescent="0.25">
      <c r="X419" t="str">
        <f t="shared" si="39"/>
        <v/>
      </c>
      <c r="Y419" t="str">
        <f t="shared" si="40"/>
        <v/>
      </c>
      <c r="AA419" s="468"/>
      <c r="AB419" s="555"/>
      <c r="AP419" s="560">
        <f t="shared" si="41"/>
        <v>0</v>
      </c>
      <c r="AT419" t="str" cm="1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468"/>
    </row>
    <row r="420" spans="24:47" outlineLevel="1" x14ac:dyDescent="0.25">
      <c r="X420" t="str">
        <f t="shared" si="39"/>
        <v/>
      </c>
      <c r="Y420" t="str">
        <f t="shared" si="40"/>
        <v/>
      </c>
      <c r="AA420" s="468"/>
      <c r="AB420" s="555"/>
      <c r="AP420" s="560">
        <f t="shared" si="41"/>
        <v>0</v>
      </c>
      <c r="AT420" t="str" cm="1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468"/>
    </row>
    <row r="421" spans="24:47" outlineLevel="1" x14ac:dyDescent="0.25">
      <c r="X421" t="str">
        <f t="shared" si="39"/>
        <v/>
      </c>
      <c r="Y421" t="str">
        <f t="shared" si="40"/>
        <v/>
      </c>
      <c r="AA421" s="468"/>
      <c r="AB421" s="555"/>
      <c r="AP421" s="560">
        <f t="shared" si="41"/>
        <v>0</v>
      </c>
      <c r="AT421" t="str" cm="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468"/>
    </row>
    <row r="422" spans="24:47" outlineLevel="1" x14ac:dyDescent="0.25">
      <c r="X422" t="str">
        <f t="shared" si="39"/>
        <v/>
      </c>
      <c r="Y422" t="str">
        <f t="shared" si="40"/>
        <v/>
      </c>
      <c r="AA422" s="468"/>
      <c r="AB422" s="555"/>
      <c r="AP422" s="560">
        <f t="shared" si="41"/>
        <v>0</v>
      </c>
      <c r="AT422" t="str" cm="1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468"/>
    </row>
    <row r="423" spans="24:47" outlineLevel="1" x14ac:dyDescent="0.25">
      <c r="X423" t="str">
        <f t="shared" si="39"/>
        <v/>
      </c>
      <c r="Y423" t="str">
        <f t="shared" si="40"/>
        <v/>
      </c>
      <c r="AA423" s="468"/>
      <c r="AB423" s="555"/>
      <c r="AP423" s="560">
        <f t="shared" si="41"/>
        <v>0</v>
      </c>
      <c r="AT423" t="str" cm="1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468" t="str">
        <f t="shared" ref="AU423:AU454" si="42">IF(AC423&lt;&gt;"",AC423,IF(AT423="Implied",-(I423-J423),IF(OR(AT423="Step-up",AT423="Rate-swap"),"see notes","")))</f>
        <v/>
      </c>
    </row>
    <row r="424" spans="24:47" outlineLevel="1" x14ac:dyDescent="0.25">
      <c r="X424" t="str">
        <f t="shared" si="39"/>
        <v/>
      </c>
      <c r="Y424" t="str">
        <f t="shared" si="40"/>
        <v/>
      </c>
      <c r="AA424" s="468"/>
      <c r="AB424" s="555"/>
      <c r="AP424" s="560">
        <f t="shared" si="41"/>
        <v>0</v>
      </c>
      <c r="AT424" t="str" cm="1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468" t="str">
        <f t="shared" si="42"/>
        <v/>
      </c>
    </row>
    <row r="425" spans="24:47" outlineLevel="1" x14ac:dyDescent="0.25">
      <c r="X425" t="str">
        <f t="shared" si="39"/>
        <v/>
      </c>
      <c r="Y425" t="str">
        <f t="shared" si="40"/>
        <v/>
      </c>
      <c r="AA425" s="468"/>
      <c r="AB425" s="555"/>
      <c r="AP425" s="560">
        <f t="shared" si="41"/>
        <v>0</v>
      </c>
      <c r="AT425" t="str" cm="1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468" t="str">
        <f t="shared" si="42"/>
        <v/>
      </c>
    </row>
    <row r="426" spans="24:47" outlineLevel="1" x14ac:dyDescent="0.25">
      <c r="X426" t="str">
        <f t="shared" si="39"/>
        <v/>
      </c>
      <c r="Y426" t="str">
        <f t="shared" si="40"/>
        <v/>
      </c>
      <c r="AA426" s="468"/>
      <c r="AB426" s="555"/>
      <c r="AP426" s="560">
        <f t="shared" si="41"/>
        <v>0</v>
      </c>
      <c r="AT426" t="str" cm="1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468" t="str">
        <f t="shared" si="42"/>
        <v/>
      </c>
    </row>
    <row r="427" spans="24:47" outlineLevel="1" x14ac:dyDescent="0.25">
      <c r="X427" t="str">
        <f t="shared" si="39"/>
        <v/>
      </c>
      <c r="Y427" t="str">
        <f t="shared" si="40"/>
        <v/>
      </c>
      <c r="AA427" s="468"/>
      <c r="AB427" s="555"/>
      <c r="AP427" s="560">
        <f t="shared" si="41"/>
        <v>0</v>
      </c>
      <c r="AT427" t="str" cm="1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468" t="str">
        <f t="shared" si="42"/>
        <v/>
      </c>
    </row>
    <row r="428" spans="24:47" outlineLevel="1" x14ac:dyDescent="0.25">
      <c r="X428" t="str">
        <f t="shared" si="39"/>
        <v/>
      </c>
      <c r="Y428" t="str">
        <f t="shared" si="40"/>
        <v/>
      </c>
      <c r="AA428" s="468"/>
      <c r="AB428" s="555"/>
      <c r="AP428" s="560">
        <f t="shared" si="41"/>
        <v>0</v>
      </c>
      <c r="AT428" t="str" cm="1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468" t="str">
        <f t="shared" si="42"/>
        <v/>
      </c>
    </row>
    <row r="429" spans="24:47" outlineLevel="1" x14ac:dyDescent="0.25">
      <c r="X429" t="str">
        <f t="shared" si="39"/>
        <v/>
      </c>
      <c r="Y429" t="str">
        <f t="shared" si="40"/>
        <v/>
      </c>
      <c r="AA429" s="468"/>
      <c r="AB429" s="555"/>
      <c r="AP429" s="560">
        <f t="shared" si="41"/>
        <v>0</v>
      </c>
      <c r="AT429" t="str" cm="1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468" t="str">
        <f t="shared" si="42"/>
        <v/>
      </c>
    </row>
    <row r="430" spans="24:47" outlineLevel="1" x14ac:dyDescent="0.25">
      <c r="X430" t="str">
        <f t="shared" si="39"/>
        <v/>
      </c>
      <c r="Y430" t="str">
        <f t="shared" si="40"/>
        <v/>
      </c>
      <c r="AA430" s="468"/>
      <c r="AB430" s="555"/>
      <c r="AP430" s="560">
        <f t="shared" si="41"/>
        <v>0</v>
      </c>
      <c r="AT430" t="str" cm="1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468" t="str">
        <f t="shared" si="42"/>
        <v/>
      </c>
    </row>
    <row r="431" spans="24:47" outlineLevel="1" x14ac:dyDescent="0.25">
      <c r="X431" t="str">
        <f t="shared" si="39"/>
        <v/>
      </c>
      <c r="Y431" t="str">
        <f t="shared" si="40"/>
        <v/>
      </c>
      <c r="AA431" s="468"/>
      <c r="AB431" s="555"/>
      <c r="AP431" s="560">
        <f t="shared" si="41"/>
        <v>0</v>
      </c>
      <c r="AT431" t="str" cm="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468" t="str">
        <f t="shared" si="42"/>
        <v/>
      </c>
    </row>
    <row r="432" spans="24:47" outlineLevel="1" x14ac:dyDescent="0.25">
      <c r="X432" t="str">
        <f t="shared" si="39"/>
        <v/>
      </c>
      <c r="Y432" t="str">
        <f t="shared" si="40"/>
        <v/>
      </c>
      <c r="AA432" s="468"/>
      <c r="AB432" s="555"/>
      <c r="AP432" s="560">
        <f t="shared" si="41"/>
        <v>0</v>
      </c>
      <c r="AT432" t="str" cm="1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468" t="str">
        <f t="shared" si="42"/>
        <v/>
      </c>
    </row>
    <row r="433" spans="24:47" outlineLevel="1" x14ac:dyDescent="0.25">
      <c r="X433" t="str">
        <f t="shared" si="39"/>
        <v/>
      </c>
      <c r="Y433" t="str">
        <f t="shared" si="40"/>
        <v/>
      </c>
      <c r="AA433" s="468"/>
      <c r="AB433" s="555"/>
      <c r="AP433" s="560">
        <f t="shared" si="41"/>
        <v>0</v>
      </c>
      <c r="AT433" t="str" cm="1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468" t="str">
        <f t="shared" si="42"/>
        <v/>
      </c>
    </row>
    <row r="434" spans="24:47" outlineLevel="1" x14ac:dyDescent="0.25">
      <c r="X434" t="str">
        <f t="shared" si="39"/>
        <v/>
      </c>
      <c r="Y434" t="str">
        <f t="shared" si="40"/>
        <v/>
      </c>
      <c r="AA434" s="468"/>
      <c r="AB434" s="555"/>
      <c r="AP434" s="560">
        <f t="shared" si="41"/>
        <v>0</v>
      </c>
      <c r="AT434" t="str" cm="1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468" t="str">
        <f t="shared" si="42"/>
        <v/>
      </c>
    </row>
    <row r="435" spans="24:47" outlineLevel="1" x14ac:dyDescent="0.25">
      <c r="X435" t="str">
        <f t="shared" si="39"/>
        <v/>
      </c>
      <c r="Y435" t="str">
        <f t="shared" si="40"/>
        <v/>
      </c>
      <c r="AA435" s="468"/>
      <c r="AB435" s="555"/>
      <c r="AP435" s="560">
        <f t="shared" si="41"/>
        <v>0</v>
      </c>
      <c r="AT435" t="str" cm="1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468" t="str">
        <f t="shared" si="42"/>
        <v/>
      </c>
    </row>
    <row r="436" spans="24:47" outlineLevel="1" x14ac:dyDescent="0.25">
      <c r="X436" t="str">
        <f t="shared" si="39"/>
        <v/>
      </c>
      <c r="Y436" t="str">
        <f t="shared" si="40"/>
        <v/>
      </c>
      <c r="AA436" s="468"/>
      <c r="AB436" s="555"/>
      <c r="AP436" s="560">
        <f t="shared" si="41"/>
        <v>0</v>
      </c>
      <c r="AT436" t="str" cm="1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468" t="str">
        <f t="shared" si="42"/>
        <v/>
      </c>
    </row>
    <row r="437" spans="24:47" outlineLevel="1" x14ac:dyDescent="0.25">
      <c r="X437" t="str">
        <f t="shared" si="39"/>
        <v/>
      </c>
      <c r="Y437" t="str">
        <f t="shared" si="40"/>
        <v/>
      </c>
      <c r="AA437" s="468"/>
      <c r="AB437" s="555"/>
      <c r="AP437" s="560">
        <f t="shared" si="41"/>
        <v>0</v>
      </c>
      <c r="AT437" t="str" cm="1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468" t="str">
        <f t="shared" si="42"/>
        <v/>
      </c>
    </row>
    <row r="438" spans="24:47" outlineLevel="1" x14ac:dyDescent="0.25">
      <c r="X438" t="str">
        <f t="shared" si="39"/>
        <v/>
      </c>
      <c r="Y438" t="str">
        <f t="shared" si="40"/>
        <v/>
      </c>
      <c r="AA438" s="468"/>
      <c r="AB438" s="555"/>
      <c r="AP438" s="560">
        <f t="shared" si="41"/>
        <v>0</v>
      </c>
      <c r="AT438" t="str" cm="1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468" t="str">
        <f t="shared" si="42"/>
        <v/>
      </c>
    </row>
    <row r="439" spans="24:47" outlineLevel="1" x14ac:dyDescent="0.25">
      <c r="X439" t="str">
        <f t="shared" si="39"/>
        <v/>
      </c>
      <c r="Y439" t="str">
        <f t="shared" si="40"/>
        <v/>
      </c>
      <c r="AA439" s="468"/>
      <c r="AB439" s="555"/>
      <c r="AP439" s="560">
        <f t="shared" si="41"/>
        <v>0</v>
      </c>
      <c r="AT439" t="str" cm="1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468" t="str">
        <f t="shared" si="42"/>
        <v/>
      </c>
    </row>
    <row r="440" spans="24:47" outlineLevel="1" x14ac:dyDescent="0.25">
      <c r="X440" t="str">
        <f t="shared" si="39"/>
        <v/>
      </c>
      <c r="Y440" t="str">
        <f t="shared" si="40"/>
        <v/>
      </c>
      <c r="AA440" s="468"/>
      <c r="AB440" s="555"/>
      <c r="AP440" s="560">
        <f t="shared" si="41"/>
        <v>0</v>
      </c>
      <c r="AT440" t="str" cm="1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468" t="str">
        <f t="shared" si="42"/>
        <v/>
      </c>
    </row>
    <row r="441" spans="24:47" outlineLevel="1" x14ac:dyDescent="0.25">
      <c r="X441" t="str">
        <f t="shared" si="39"/>
        <v/>
      </c>
      <c r="Y441" t="str">
        <f t="shared" si="40"/>
        <v/>
      </c>
      <c r="AA441" s="468"/>
      <c r="AB441" s="555"/>
      <c r="AP441" s="560">
        <f t="shared" si="41"/>
        <v>0</v>
      </c>
      <c r="AT441" t="str" cm="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468" t="str">
        <f t="shared" si="42"/>
        <v/>
      </c>
    </row>
    <row r="442" spans="24:47" outlineLevel="1" x14ac:dyDescent="0.25">
      <c r="X442" t="str">
        <f t="shared" si="39"/>
        <v/>
      </c>
      <c r="Y442" t="str">
        <f t="shared" si="40"/>
        <v/>
      </c>
      <c r="AA442" s="468" t="str">
        <f t="shared" ref="AA442:AA473" si="43">IF(AND(J442&gt;0,I442&gt;0),I442-J442,"")</f>
        <v/>
      </c>
      <c r="AB442" s="555" t="str">
        <f t="shared" ref="AB442:AB473" si="44">IF(AND(J442&gt;0,I442&gt;0),(I442-J442)/I442,"")</f>
        <v/>
      </c>
      <c r="AP442" s="560">
        <f t="shared" si="41"/>
        <v>0</v>
      </c>
      <c r="AT442" t="str" cm="1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468" t="str">
        <f t="shared" si="42"/>
        <v/>
      </c>
    </row>
    <row r="443" spans="24:47" outlineLevel="1" x14ac:dyDescent="0.25">
      <c r="X443" t="str">
        <f t="shared" si="39"/>
        <v/>
      </c>
      <c r="Y443" t="str">
        <f t="shared" si="40"/>
        <v/>
      </c>
      <c r="AA443" s="468" t="str">
        <f t="shared" si="43"/>
        <v/>
      </c>
      <c r="AB443" s="555" t="str">
        <f t="shared" si="44"/>
        <v/>
      </c>
      <c r="AP443" s="560">
        <f t="shared" si="41"/>
        <v>0</v>
      </c>
      <c r="AT443" t="str" cm="1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468" t="str">
        <f t="shared" si="42"/>
        <v/>
      </c>
    </row>
    <row r="444" spans="24:47" outlineLevel="1" x14ac:dyDescent="0.25">
      <c r="X444" t="str">
        <f t="shared" si="39"/>
        <v/>
      </c>
      <c r="Y444" t="str">
        <f t="shared" si="40"/>
        <v/>
      </c>
      <c r="AA444" s="468" t="str">
        <f t="shared" si="43"/>
        <v/>
      </c>
      <c r="AB444" s="555" t="str">
        <f t="shared" si="44"/>
        <v/>
      </c>
      <c r="AP444" s="560">
        <f t="shared" si="41"/>
        <v>0</v>
      </c>
      <c r="AT444" t="str" cm="1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468" t="str">
        <f t="shared" si="42"/>
        <v/>
      </c>
    </row>
    <row r="445" spans="24:47" outlineLevel="1" x14ac:dyDescent="0.25">
      <c r="X445" t="str">
        <f t="shared" si="39"/>
        <v/>
      </c>
      <c r="Y445" t="str">
        <f t="shared" si="40"/>
        <v/>
      </c>
      <c r="AA445" s="468" t="str">
        <f t="shared" si="43"/>
        <v/>
      </c>
      <c r="AB445" s="555" t="str">
        <f t="shared" si="44"/>
        <v/>
      </c>
      <c r="AP445" s="560">
        <f t="shared" si="41"/>
        <v>0</v>
      </c>
      <c r="AT445" t="str" cm="1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468" t="str">
        <f t="shared" si="42"/>
        <v/>
      </c>
    </row>
    <row r="446" spans="24:47" outlineLevel="1" x14ac:dyDescent="0.25">
      <c r="X446" t="str">
        <f t="shared" si="39"/>
        <v/>
      </c>
      <c r="Y446" t="str">
        <f t="shared" si="40"/>
        <v/>
      </c>
      <c r="AA446" s="468" t="str">
        <f t="shared" si="43"/>
        <v/>
      </c>
      <c r="AB446" s="555" t="str">
        <f t="shared" si="44"/>
        <v/>
      </c>
      <c r="AP446" s="560">
        <f t="shared" si="41"/>
        <v>0</v>
      </c>
      <c r="AT446" t="str" cm="1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468" t="str">
        <f t="shared" si="42"/>
        <v/>
      </c>
    </row>
    <row r="447" spans="24:47" outlineLevel="1" x14ac:dyDescent="0.25">
      <c r="X447" t="str">
        <f t="shared" si="39"/>
        <v/>
      </c>
      <c r="Y447" t="str">
        <f t="shared" si="40"/>
        <v/>
      </c>
      <c r="AA447" s="468" t="str">
        <f t="shared" si="43"/>
        <v/>
      </c>
      <c r="AB447" s="555" t="str">
        <f t="shared" si="44"/>
        <v/>
      </c>
      <c r="AP447" s="560">
        <f t="shared" si="41"/>
        <v>0</v>
      </c>
      <c r="AT447" t="str" cm="1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468" t="str">
        <f t="shared" si="42"/>
        <v/>
      </c>
    </row>
    <row r="448" spans="24:47" outlineLevel="1" x14ac:dyDescent="0.25">
      <c r="X448" t="str">
        <f t="shared" si="39"/>
        <v/>
      </c>
      <c r="Y448" t="str">
        <f t="shared" si="40"/>
        <v/>
      </c>
      <c r="AA448" s="468" t="str">
        <f t="shared" si="43"/>
        <v/>
      </c>
      <c r="AB448" s="555" t="str">
        <f t="shared" si="44"/>
        <v/>
      </c>
      <c r="AP448" s="560">
        <f t="shared" si="41"/>
        <v>0</v>
      </c>
      <c r="AT448" t="str" cm="1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468" t="str">
        <f t="shared" si="42"/>
        <v/>
      </c>
    </row>
    <row r="449" spans="24:47" outlineLevel="1" x14ac:dyDescent="0.25">
      <c r="X449" t="str">
        <f t="shared" si="39"/>
        <v/>
      </c>
      <c r="Y449" t="str">
        <f t="shared" si="40"/>
        <v/>
      </c>
      <c r="AA449" s="468" t="str">
        <f t="shared" si="43"/>
        <v/>
      </c>
      <c r="AB449" s="555" t="str">
        <f t="shared" si="44"/>
        <v/>
      </c>
      <c r="AP449" s="560">
        <f t="shared" si="41"/>
        <v>0</v>
      </c>
      <c r="AT449" t="str" cm="1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468" t="str">
        <f t="shared" si="42"/>
        <v/>
      </c>
    </row>
    <row r="450" spans="24:47" outlineLevel="1" x14ac:dyDescent="0.25">
      <c r="X450" t="str">
        <f t="shared" si="39"/>
        <v/>
      </c>
      <c r="Y450" t="str">
        <f t="shared" si="40"/>
        <v/>
      </c>
      <c r="AA450" s="468" t="str">
        <f t="shared" si="43"/>
        <v/>
      </c>
      <c r="AB450" s="555" t="str">
        <f t="shared" si="44"/>
        <v/>
      </c>
      <c r="AP450" s="560">
        <f t="shared" si="41"/>
        <v>0</v>
      </c>
      <c r="AT450" t="str" cm="1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468" t="str">
        <f t="shared" si="42"/>
        <v/>
      </c>
    </row>
    <row r="451" spans="24:47" outlineLevel="1" x14ac:dyDescent="0.25">
      <c r="X451" t="str">
        <f t="shared" si="39"/>
        <v/>
      </c>
      <c r="Y451" t="str">
        <f t="shared" si="40"/>
        <v/>
      </c>
      <c r="AA451" s="468" t="str">
        <f t="shared" si="43"/>
        <v/>
      </c>
      <c r="AB451" s="555" t="str">
        <f t="shared" si="44"/>
        <v/>
      </c>
      <c r="AP451" s="560">
        <f t="shared" si="41"/>
        <v>0</v>
      </c>
      <c r="AT451" t="str" cm="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468" t="str">
        <f t="shared" si="42"/>
        <v/>
      </c>
    </row>
    <row r="452" spans="24:47" outlineLevel="1" x14ac:dyDescent="0.25">
      <c r="X452" t="str">
        <f t="shared" si="39"/>
        <v/>
      </c>
      <c r="Y452" t="str">
        <f t="shared" si="40"/>
        <v/>
      </c>
      <c r="AA452" s="468" t="str">
        <f t="shared" si="43"/>
        <v/>
      </c>
      <c r="AB452" s="555" t="str">
        <f t="shared" si="44"/>
        <v/>
      </c>
      <c r="AP452" s="560">
        <f t="shared" si="41"/>
        <v>0</v>
      </c>
      <c r="AT452" t="str" cm="1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468" t="str">
        <f t="shared" si="42"/>
        <v/>
      </c>
    </row>
    <row r="453" spans="24:47" outlineLevel="1" x14ac:dyDescent="0.25">
      <c r="X453" t="str">
        <f t="shared" si="39"/>
        <v/>
      </c>
      <c r="Y453" t="str">
        <f t="shared" si="40"/>
        <v/>
      </c>
      <c r="AA453" s="468" t="str">
        <f t="shared" si="43"/>
        <v/>
      </c>
      <c r="AB453" s="555" t="str">
        <f t="shared" si="44"/>
        <v/>
      </c>
      <c r="AP453" s="560">
        <f t="shared" si="41"/>
        <v>0</v>
      </c>
      <c r="AT453" t="str" cm="1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468" t="str">
        <f t="shared" si="42"/>
        <v/>
      </c>
    </row>
    <row r="454" spans="24:47" outlineLevel="1" x14ac:dyDescent="0.25">
      <c r="X454" t="str">
        <f t="shared" si="39"/>
        <v/>
      </c>
      <c r="Y454" t="str">
        <f t="shared" si="40"/>
        <v/>
      </c>
      <c r="AA454" s="468" t="str">
        <f t="shared" si="43"/>
        <v/>
      </c>
      <c r="AB454" s="555" t="str">
        <f t="shared" si="44"/>
        <v/>
      </c>
      <c r="AP454" s="560">
        <f t="shared" si="41"/>
        <v>0</v>
      </c>
      <c r="AT454" t="str" cm="1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468" t="str">
        <f t="shared" si="42"/>
        <v/>
      </c>
    </row>
    <row r="455" spans="24:47" outlineLevel="1" x14ac:dyDescent="0.25">
      <c r="X455" t="str">
        <f t="shared" si="39"/>
        <v/>
      </c>
      <c r="Y455" t="str">
        <f t="shared" si="40"/>
        <v/>
      </c>
      <c r="AA455" s="468" t="str">
        <f t="shared" si="43"/>
        <v/>
      </c>
      <c r="AB455" s="555" t="str">
        <f t="shared" si="44"/>
        <v/>
      </c>
      <c r="AP455" s="560">
        <f t="shared" si="41"/>
        <v>0</v>
      </c>
      <c r="AT455" t="str" cm="1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468" t="str">
        <f t="shared" ref="AU455:AU486" si="45">IF(AC455&lt;&gt;"",AC455,IF(AT455="Implied",-(I455-J455),IF(OR(AT455="Step-up",AT455="Rate-swap"),"see notes","")))</f>
        <v/>
      </c>
    </row>
    <row r="456" spans="24:47" outlineLevel="1" x14ac:dyDescent="0.25">
      <c r="X456" t="str">
        <f t="shared" si="39"/>
        <v/>
      </c>
      <c r="Y456" t="str">
        <f t="shared" si="40"/>
        <v/>
      </c>
      <c r="AA456" s="468" t="str">
        <f t="shared" si="43"/>
        <v/>
      </c>
      <c r="AB456" s="555" t="str">
        <f t="shared" si="44"/>
        <v/>
      </c>
      <c r="AP456" s="560">
        <f t="shared" si="41"/>
        <v>0</v>
      </c>
      <c r="AT456" t="str" cm="1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468" t="str">
        <f t="shared" si="45"/>
        <v/>
      </c>
    </row>
    <row r="457" spans="24:47" outlineLevel="1" x14ac:dyDescent="0.25">
      <c r="X457" t="str">
        <f t="shared" si="39"/>
        <v/>
      </c>
      <c r="Y457" t="str">
        <f t="shared" si="40"/>
        <v/>
      </c>
      <c r="AA457" s="468" t="str">
        <f t="shared" si="43"/>
        <v/>
      </c>
      <c r="AB457" s="555" t="str">
        <f t="shared" si="44"/>
        <v/>
      </c>
      <c r="AP457" s="560">
        <f t="shared" si="41"/>
        <v>0</v>
      </c>
      <c r="AT457" t="str" cm="1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468" t="str">
        <f t="shared" si="45"/>
        <v/>
      </c>
    </row>
    <row r="458" spans="24:47" outlineLevel="1" x14ac:dyDescent="0.25">
      <c r="X458" t="str">
        <f t="shared" si="39"/>
        <v/>
      </c>
      <c r="Y458" t="str">
        <f t="shared" si="40"/>
        <v/>
      </c>
      <c r="AA458" s="468" t="str">
        <f t="shared" si="43"/>
        <v/>
      </c>
      <c r="AB458" s="555" t="str">
        <f t="shared" si="44"/>
        <v/>
      </c>
      <c r="AP458" s="560">
        <f t="shared" si="41"/>
        <v>0</v>
      </c>
      <c r="AT458" t="str" cm="1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468" t="str">
        <f t="shared" si="45"/>
        <v/>
      </c>
    </row>
    <row r="459" spans="24:47" outlineLevel="1" x14ac:dyDescent="0.25">
      <c r="X459" t="str">
        <f t="shared" si="39"/>
        <v/>
      </c>
      <c r="Y459" t="str">
        <f t="shared" si="40"/>
        <v/>
      </c>
      <c r="AA459" s="468" t="str">
        <f t="shared" si="43"/>
        <v/>
      </c>
      <c r="AB459" s="555" t="str">
        <f t="shared" si="44"/>
        <v/>
      </c>
      <c r="AP459" s="560">
        <f t="shared" si="41"/>
        <v>0</v>
      </c>
      <c r="AT459" t="str" cm="1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468" t="str">
        <f t="shared" si="45"/>
        <v/>
      </c>
    </row>
    <row r="460" spans="24:47" outlineLevel="1" x14ac:dyDescent="0.25">
      <c r="X460" t="str">
        <f t="shared" si="39"/>
        <v/>
      </c>
      <c r="Y460" t="str">
        <f t="shared" si="40"/>
        <v/>
      </c>
      <c r="AA460" s="468" t="str">
        <f t="shared" si="43"/>
        <v/>
      </c>
      <c r="AB460" s="555" t="str">
        <f t="shared" si="44"/>
        <v/>
      </c>
      <c r="AP460" s="560">
        <f t="shared" si="41"/>
        <v>0</v>
      </c>
      <c r="AT460" t="str" cm="1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468" t="str">
        <f t="shared" si="45"/>
        <v/>
      </c>
    </row>
    <row r="461" spans="24:47" outlineLevel="1" x14ac:dyDescent="0.25">
      <c r="X461" t="str">
        <f t="shared" si="39"/>
        <v/>
      </c>
      <c r="Y461" t="str">
        <f t="shared" si="40"/>
        <v/>
      </c>
      <c r="AA461" s="468" t="str">
        <f t="shared" si="43"/>
        <v/>
      </c>
      <c r="AB461" s="555" t="str">
        <f t="shared" si="44"/>
        <v/>
      </c>
      <c r="AP461" s="560">
        <f t="shared" si="41"/>
        <v>0</v>
      </c>
      <c r="AT461" t="str" cm="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468" t="str">
        <f t="shared" si="45"/>
        <v/>
      </c>
    </row>
    <row r="462" spans="24:47" outlineLevel="1" x14ac:dyDescent="0.25">
      <c r="X462" t="str">
        <f t="shared" si="39"/>
        <v/>
      </c>
      <c r="Y462" t="str">
        <f t="shared" si="40"/>
        <v/>
      </c>
      <c r="AA462" s="468" t="str">
        <f t="shared" si="43"/>
        <v/>
      </c>
      <c r="AB462" s="555" t="str">
        <f t="shared" si="44"/>
        <v/>
      </c>
      <c r="AP462" s="560">
        <f t="shared" si="41"/>
        <v>0</v>
      </c>
      <c r="AT462" t="str" cm="1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468" t="str">
        <f t="shared" si="45"/>
        <v/>
      </c>
    </row>
    <row r="463" spans="24:47" outlineLevel="1" x14ac:dyDescent="0.25">
      <c r="X463" t="str">
        <f t="shared" si="39"/>
        <v/>
      </c>
      <c r="Y463" t="str">
        <f t="shared" si="40"/>
        <v/>
      </c>
      <c r="AA463" s="468" t="str">
        <f t="shared" si="43"/>
        <v/>
      </c>
      <c r="AB463" s="555" t="str">
        <f t="shared" si="44"/>
        <v/>
      </c>
      <c r="AP463" s="560">
        <f t="shared" si="41"/>
        <v>0</v>
      </c>
      <c r="AT463" t="str" cm="1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468" t="str">
        <f t="shared" si="45"/>
        <v/>
      </c>
    </row>
    <row r="464" spans="24:47" outlineLevel="1" x14ac:dyDescent="0.25">
      <c r="X464" t="str">
        <f t="shared" si="39"/>
        <v/>
      </c>
      <c r="Y464" t="str">
        <f t="shared" si="40"/>
        <v/>
      </c>
      <c r="AA464" s="468" t="str">
        <f t="shared" si="43"/>
        <v/>
      </c>
      <c r="AB464" s="555" t="str">
        <f t="shared" si="44"/>
        <v/>
      </c>
      <c r="AP464" s="560">
        <f t="shared" si="41"/>
        <v>0</v>
      </c>
      <c r="AT464" t="str" cm="1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468" t="str">
        <f t="shared" si="45"/>
        <v/>
      </c>
    </row>
    <row r="465" spans="24:47" outlineLevel="1" x14ac:dyDescent="0.25">
      <c r="X465" t="str">
        <f t="shared" si="39"/>
        <v/>
      </c>
      <c r="Y465" t="str">
        <f t="shared" si="40"/>
        <v/>
      </c>
      <c r="AA465" s="468" t="str">
        <f t="shared" si="43"/>
        <v/>
      </c>
      <c r="AB465" s="555" t="str">
        <f t="shared" si="44"/>
        <v/>
      </c>
      <c r="AP465" s="560">
        <f t="shared" si="41"/>
        <v>0</v>
      </c>
      <c r="AT465" t="str" cm="1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468" t="str">
        <f t="shared" si="45"/>
        <v/>
      </c>
    </row>
    <row r="466" spans="24:47" outlineLevel="1" x14ac:dyDescent="0.25">
      <c r="X466" t="str">
        <f t="shared" si="39"/>
        <v/>
      </c>
      <c r="Y466" t="str">
        <f t="shared" si="40"/>
        <v/>
      </c>
      <c r="AA466" s="468" t="str">
        <f t="shared" si="43"/>
        <v/>
      </c>
      <c r="AB466" s="555" t="str">
        <f t="shared" si="44"/>
        <v/>
      </c>
      <c r="AP466" s="560">
        <f t="shared" si="41"/>
        <v>0</v>
      </c>
      <c r="AT466" t="str" cm="1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468" t="str">
        <f t="shared" si="45"/>
        <v/>
      </c>
    </row>
    <row r="467" spans="24:47" outlineLevel="1" x14ac:dyDescent="0.25">
      <c r="X467" t="str">
        <f t="shared" si="39"/>
        <v/>
      </c>
      <c r="Y467" t="str">
        <f t="shared" si="40"/>
        <v/>
      </c>
      <c r="AA467" s="468" t="str">
        <f t="shared" si="43"/>
        <v/>
      </c>
      <c r="AB467" s="555" t="str">
        <f t="shared" si="44"/>
        <v/>
      </c>
      <c r="AP467" s="560">
        <f t="shared" si="41"/>
        <v>0</v>
      </c>
      <c r="AT467" t="str" cm="1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468" t="str">
        <f t="shared" si="45"/>
        <v/>
      </c>
    </row>
    <row r="468" spans="24:47" outlineLevel="1" x14ac:dyDescent="0.25">
      <c r="X468" t="str">
        <f t="shared" ref="X468:X531" si="46">IF(AND(E468="Occupied",C468&lt;&gt;"",D468&lt;&gt;""),C468&amp;"|"&amp;D468,"")</f>
        <v/>
      </c>
      <c r="Y468" t="str">
        <f t="shared" ref="Y468:Y531" si="47">IF(AND(C468&lt;&gt;"",D468&lt;&gt;""),C468&amp;"|"&amp;D468,"")</f>
        <v/>
      </c>
      <c r="AA468" s="468" t="str">
        <f t="shared" si="43"/>
        <v/>
      </c>
      <c r="AB468" s="555" t="str">
        <f t="shared" si="44"/>
        <v/>
      </c>
      <c r="AP468" s="560">
        <f t="shared" ref="AP468:AP531" si="48">SUM(AJ468:AN468)</f>
        <v>0</v>
      </c>
      <c r="AT468" t="str" cm="1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468" t="str">
        <f t="shared" si="45"/>
        <v/>
      </c>
    </row>
    <row r="469" spans="24:47" outlineLevel="1" x14ac:dyDescent="0.25">
      <c r="X469" t="str">
        <f t="shared" si="46"/>
        <v/>
      </c>
      <c r="Y469" t="str">
        <f t="shared" si="47"/>
        <v/>
      </c>
      <c r="AA469" s="468" t="str">
        <f t="shared" si="43"/>
        <v/>
      </c>
      <c r="AB469" s="555" t="str">
        <f t="shared" si="44"/>
        <v/>
      </c>
      <c r="AP469" s="560">
        <f t="shared" si="48"/>
        <v>0</v>
      </c>
      <c r="AT469" t="str" cm="1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468" t="str">
        <f t="shared" si="45"/>
        <v/>
      </c>
    </row>
    <row r="470" spans="24:47" outlineLevel="1" x14ac:dyDescent="0.25">
      <c r="X470" t="str">
        <f t="shared" si="46"/>
        <v/>
      </c>
      <c r="Y470" t="str">
        <f t="shared" si="47"/>
        <v/>
      </c>
      <c r="AA470" s="468" t="str">
        <f t="shared" si="43"/>
        <v/>
      </c>
      <c r="AB470" s="555" t="str">
        <f t="shared" si="44"/>
        <v/>
      </c>
      <c r="AP470" s="560">
        <f t="shared" si="48"/>
        <v>0</v>
      </c>
      <c r="AT470" t="str" cm="1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468" t="str">
        <f t="shared" si="45"/>
        <v/>
      </c>
    </row>
    <row r="471" spans="24:47" outlineLevel="1" x14ac:dyDescent="0.25">
      <c r="X471" t="str">
        <f t="shared" si="46"/>
        <v/>
      </c>
      <c r="Y471" t="str">
        <f t="shared" si="47"/>
        <v/>
      </c>
      <c r="AA471" s="468" t="str">
        <f t="shared" si="43"/>
        <v/>
      </c>
      <c r="AB471" s="555" t="str">
        <f t="shared" si="44"/>
        <v/>
      </c>
      <c r="AP471" s="560">
        <f t="shared" si="48"/>
        <v>0</v>
      </c>
      <c r="AT471" t="str" cm="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468" t="str">
        <f t="shared" si="45"/>
        <v/>
      </c>
    </row>
    <row r="472" spans="24:47" outlineLevel="1" x14ac:dyDescent="0.25">
      <c r="X472" t="str">
        <f t="shared" si="46"/>
        <v/>
      </c>
      <c r="Y472" t="str">
        <f t="shared" si="47"/>
        <v/>
      </c>
      <c r="AA472" s="468" t="str">
        <f t="shared" si="43"/>
        <v/>
      </c>
      <c r="AB472" s="555" t="str">
        <f t="shared" si="44"/>
        <v/>
      </c>
      <c r="AP472" s="560">
        <f t="shared" si="48"/>
        <v>0</v>
      </c>
      <c r="AT472" t="str" cm="1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468" t="str">
        <f t="shared" si="45"/>
        <v/>
      </c>
    </row>
    <row r="473" spans="24:47" outlineLevel="1" x14ac:dyDescent="0.25">
      <c r="X473" t="str">
        <f t="shared" si="46"/>
        <v/>
      </c>
      <c r="Y473" t="str">
        <f t="shared" si="47"/>
        <v/>
      </c>
      <c r="AA473" s="468" t="str">
        <f t="shared" si="43"/>
        <v/>
      </c>
      <c r="AB473" s="555" t="str">
        <f t="shared" si="44"/>
        <v/>
      </c>
      <c r="AP473" s="560">
        <f t="shared" si="48"/>
        <v>0</v>
      </c>
      <c r="AT473" t="str" cm="1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468" t="str">
        <f t="shared" si="45"/>
        <v/>
      </c>
    </row>
    <row r="474" spans="24:47" outlineLevel="1" x14ac:dyDescent="0.25">
      <c r="X474" t="str">
        <f t="shared" si="46"/>
        <v/>
      </c>
      <c r="Y474" t="str">
        <f t="shared" si="47"/>
        <v/>
      </c>
      <c r="AA474" s="468" t="str">
        <f t="shared" ref="AA474:AA505" si="49">IF(AND(J474&gt;0,I474&gt;0),I474-J474,"")</f>
        <v/>
      </c>
      <c r="AB474" s="555" t="str">
        <f t="shared" ref="AB474:AB505" si="50">IF(AND(J474&gt;0,I474&gt;0),(I474-J474)/I474,"")</f>
        <v/>
      </c>
      <c r="AP474" s="560">
        <f t="shared" si="48"/>
        <v>0</v>
      </c>
      <c r="AT474" t="str" cm="1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468" t="str">
        <f t="shared" si="45"/>
        <v/>
      </c>
    </row>
    <row r="475" spans="24:47" outlineLevel="1" x14ac:dyDescent="0.25">
      <c r="X475" t="str">
        <f t="shared" si="46"/>
        <v/>
      </c>
      <c r="Y475" t="str">
        <f t="shared" si="47"/>
        <v/>
      </c>
      <c r="AA475" s="468" t="str">
        <f t="shared" si="49"/>
        <v/>
      </c>
      <c r="AB475" s="555" t="str">
        <f t="shared" si="50"/>
        <v/>
      </c>
      <c r="AP475" s="560">
        <f t="shared" si="48"/>
        <v>0</v>
      </c>
      <c r="AT475" t="str" cm="1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468" t="str">
        <f t="shared" si="45"/>
        <v/>
      </c>
    </row>
    <row r="476" spans="24:47" outlineLevel="1" x14ac:dyDescent="0.25">
      <c r="X476" t="str">
        <f t="shared" si="46"/>
        <v/>
      </c>
      <c r="Y476" t="str">
        <f t="shared" si="47"/>
        <v/>
      </c>
      <c r="AA476" s="468" t="str">
        <f t="shared" si="49"/>
        <v/>
      </c>
      <c r="AB476" s="555" t="str">
        <f t="shared" si="50"/>
        <v/>
      </c>
      <c r="AP476" s="560">
        <f t="shared" si="48"/>
        <v>0</v>
      </c>
      <c r="AT476" t="str" cm="1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468" t="str">
        <f t="shared" si="45"/>
        <v/>
      </c>
    </row>
    <row r="477" spans="24:47" outlineLevel="1" x14ac:dyDescent="0.25">
      <c r="X477" t="str">
        <f t="shared" si="46"/>
        <v/>
      </c>
      <c r="Y477" t="str">
        <f t="shared" si="47"/>
        <v/>
      </c>
      <c r="AA477" s="468" t="str">
        <f t="shared" si="49"/>
        <v/>
      </c>
      <c r="AB477" s="555" t="str">
        <f t="shared" si="50"/>
        <v/>
      </c>
      <c r="AP477" s="560">
        <f t="shared" si="48"/>
        <v>0</v>
      </c>
      <c r="AT477" t="str" cm="1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468" t="str">
        <f t="shared" si="45"/>
        <v/>
      </c>
    </row>
    <row r="478" spans="24:47" outlineLevel="1" x14ac:dyDescent="0.25">
      <c r="X478" t="str">
        <f t="shared" si="46"/>
        <v/>
      </c>
      <c r="Y478" t="str">
        <f t="shared" si="47"/>
        <v/>
      </c>
      <c r="AA478" s="468" t="str">
        <f t="shared" si="49"/>
        <v/>
      </c>
      <c r="AB478" s="555" t="str">
        <f t="shared" si="50"/>
        <v/>
      </c>
      <c r="AP478" s="560">
        <f t="shared" si="48"/>
        <v>0</v>
      </c>
      <c r="AT478" t="str" cm="1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468" t="str">
        <f t="shared" si="45"/>
        <v/>
      </c>
    </row>
    <row r="479" spans="24:47" outlineLevel="1" x14ac:dyDescent="0.25">
      <c r="X479" t="str">
        <f t="shared" si="46"/>
        <v/>
      </c>
      <c r="Y479" t="str">
        <f t="shared" si="47"/>
        <v/>
      </c>
      <c r="AA479" s="468" t="str">
        <f t="shared" si="49"/>
        <v/>
      </c>
      <c r="AB479" s="555" t="str">
        <f t="shared" si="50"/>
        <v/>
      </c>
      <c r="AP479" s="560">
        <f t="shared" si="48"/>
        <v>0</v>
      </c>
      <c r="AT479" t="str" cm="1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468" t="str">
        <f t="shared" si="45"/>
        <v/>
      </c>
    </row>
    <row r="480" spans="24:47" outlineLevel="1" x14ac:dyDescent="0.25">
      <c r="X480" t="str">
        <f t="shared" si="46"/>
        <v/>
      </c>
      <c r="Y480" t="str">
        <f t="shared" si="47"/>
        <v/>
      </c>
      <c r="AA480" s="468" t="str">
        <f t="shared" si="49"/>
        <v/>
      </c>
      <c r="AB480" s="555" t="str">
        <f t="shared" si="50"/>
        <v/>
      </c>
      <c r="AP480" s="560">
        <f t="shared" si="48"/>
        <v>0</v>
      </c>
      <c r="AT480" t="str" cm="1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468" t="str">
        <f t="shared" si="45"/>
        <v/>
      </c>
    </row>
    <row r="481" spans="24:47" outlineLevel="1" x14ac:dyDescent="0.25">
      <c r="X481" t="str">
        <f t="shared" si="46"/>
        <v/>
      </c>
      <c r="Y481" t="str">
        <f t="shared" si="47"/>
        <v/>
      </c>
      <c r="AA481" s="468" t="str">
        <f t="shared" si="49"/>
        <v/>
      </c>
      <c r="AB481" s="555" t="str">
        <f t="shared" si="50"/>
        <v/>
      </c>
      <c r="AP481" s="560">
        <f t="shared" si="48"/>
        <v>0</v>
      </c>
      <c r="AT481" t="str" cm="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468" t="str">
        <f t="shared" si="45"/>
        <v/>
      </c>
    </row>
    <row r="482" spans="24:47" outlineLevel="1" x14ac:dyDescent="0.25">
      <c r="X482" t="str">
        <f t="shared" si="46"/>
        <v/>
      </c>
      <c r="Y482" t="str">
        <f t="shared" si="47"/>
        <v/>
      </c>
      <c r="AA482" s="468" t="str">
        <f t="shared" si="49"/>
        <v/>
      </c>
      <c r="AB482" s="555" t="str">
        <f t="shared" si="50"/>
        <v/>
      </c>
      <c r="AP482" s="560">
        <f t="shared" si="48"/>
        <v>0</v>
      </c>
      <c r="AT482" t="str" cm="1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468" t="str">
        <f t="shared" si="45"/>
        <v/>
      </c>
    </row>
    <row r="483" spans="24:47" outlineLevel="1" x14ac:dyDescent="0.25">
      <c r="X483" t="str">
        <f t="shared" si="46"/>
        <v/>
      </c>
      <c r="Y483" t="str">
        <f t="shared" si="47"/>
        <v/>
      </c>
      <c r="AA483" s="468" t="str">
        <f t="shared" si="49"/>
        <v/>
      </c>
      <c r="AB483" s="555" t="str">
        <f t="shared" si="50"/>
        <v/>
      </c>
      <c r="AP483" s="560">
        <f t="shared" si="48"/>
        <v>0</v>
      </c>
      <c r="AT483" t="str" cm="1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468" t="str">
        <f t="shared" si="45"/>
        <v/>
      </c>
    </row>
    <row r="484" spans="24:47" outlineLevel="1" x14ac:dyDescent="0.25">
      <c r="X484" t="str">
        <f t="shared" si="46"/>
        <v/>
      </c>
      <c r="Y484" t="str">
        <f t="shared" si="47"/>
        <v/>
      </c>
      <c r="AA484" s="468" t="str">
        <f t="shared" si="49"/>
        <v/>
      </c>
      <c r="AB484" s="555" t="str">
        <f t="shared" si="50"/>
        <v/>
      </c>
      <c r="AP484" s="560">
        <f t="shared" si="48"/>
        <v>0</v>
      </c>
      <c r="AT484" t="str" cm="1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468" t="str">
        <f t="shared" si="45"/>
        <v/>
      </c>
    </row>
    <row r="485" spans="24:47" outlineLevel="1" x14ac:dyDescent="0.25">
      <c r="X485" t="str">
        <f t="shared" si="46"/>
        <v/>
      </c>
      <c r="Y485" t="str">
        <f t="shared" si="47"/>
        <v/>
      </c>
      <c r="AA485" s="468" t="str">
        <f t="shared" si="49"/>
        <v/>
      </c>
      <c r="AB485" s="555" t="str">
        <f t="shared" si="50"/>
        <v/>
      </c>
      <c r="AP485" s="560">
        <f t="shared" si="48"/>
        <v>0</v>
      </c>
      <c r="AT485" t="str" cm="1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468" t="str">
        <f t="shared" si="45"/>
        <v/>
      </c>
    </row>
    <row r="486" spans="24:47" outlineLevel="1" x14ac:dyDescent="0.25">
      <c r="X486" t="str">
        <f t="shared" si="46"/>
        <v/>
      </c>
      <c r="Y486" t="str">
        <f t="shared" si="47"/>
        <v/>
      </c>
      <c r="AA486" s="468" t="str">
        <f t="shared" si="49"/>
        <v/>
      </c>
      <c r="AB486" s="555" t="str">
        <f t="shared" si="50"/>
        <v/>
      </c>
      <c r="AP486" s="560">
        <f t="shared" si="48"/>
        <v>0</v>
      </c>
      <c r="AT486" t="str" cm="1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468" t="str">
        <f t="shared" si="45"/>
        <v/>
      </c>
    </row>
    <row r="487" spans="24:47" outlineLevel="1" x14ac:dyDescent="0.25">
      <c r="X487" t="str">
        <f t="shared" si="46"/>
        <v/>
      </c>
      <c r="Y487" t="str">
        <f t="shared" si="47"/>
        <v/>
      </c>
      <c r="AA487" s="468" t="str">
        <f t="shared" si="49"/>
        <v/>
      </c>
      <c r="AB487" s="555" t="str">
        <f t="shared" si="50"/>
        <v/>
      </c>
      <c r="AP487" s="560">
        <f t="shared" si="48"/>
        <v>0</v>
      </c>
      <c r="AT487" t="str" cm="1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468" t="str">
        <f t="shared" ref="AU487:AU518" si="51">IF(AC487&lt;&gt;"",AC487,IF(AT487="Implied",-(I487-J487),IF(OR(AT487="Step-up",AT487="Rate-swap"),"see notes","")))</f>
        <v/>
      </c>
    </row>
    <row r="488" spans="24:47" outlineLevel="1" x14ac:dyDescent="0.25">
      <c r="X488" t="str">
        <f t="shared" si="46"/>
        <v/>
      </c>
      <c r="Y488" t="str">
        <f t="shared" si="47"/>
        <v/>
      </c>
      <c r="AA488" s="468" t="str">
        <f t="shared" si="49"/>
        <v/>
      </c>
      <c r="AB488" s="555" t="str">
        <f t="shared" si="50"/>
        <v/>
      </c>
      <c r="AP488" s="560">
        <f t="shared" si="48"/>
        <v>0</v>
      </c>
      <c r="AT488" t="str" cm="1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468" t="str">
        <f t="shared" si="51"/>
        <v/>
      </c>
    </row>
    <row r="489" spans="24:47" outlineLevel="1" x14ac:dyDescent="0.25">
      <c r="X489" t="str">
        <f t="shared" si="46"/>
        <v/>
      </c>
      <c r="Y489" t="str">
        <f t="shared" si="47"/>
        <v/>
      </c>
      <c r="AA489" s="468" t="str">
        <f t="shared" si="49"/>
        <v/>
      </c>
      <c r="AB489" s="555" t="str">
        <f t="shared" si="50"/>
        <v/>
      </c>
      <c r="AP489" s="560">
        <f t="shared" si="48"/>
        <v>0</v>
      </c>
      <c r="AT489" t="str" cm="1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468" t="str">
        <f t="shared" si="51"/>
        <v/>
      </c>
    </row>
    <row r="490" spans="24:47" outlineLevel="1" x14ac:dyDescent="0.25">
      <c r="X490" t="str">
        <f t="shared" si="46"/>
        <v/>
      </c>
      <c r="Y490" t="str">
        <f t="shared" si="47"/>
        <v/>
      </c>
      <c r="AA490" s="468" t="str">
        <f t="shared" si="49"/>
        <v/>
      </c>
      <c r="AB490" s="555" t="str">
        <f t="shared" si="50"/>
        <v/>
      </c>
      <c r="AP490" s="560">
        <f t="shared" si="48"/>
        <v>0</v>
      </c>
      <c r="AT490" t="str" cm="1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468" t="str">
        <f t="shared" si="51"/>
        <v/>
      </c>
    </row>
    <row r="491" spans="24:47" outlineLevel="1" x14ac:dyDescent="0.25">
      <c r="X491" t="str">
        <f t="shared" si="46"/>
        <v/>
      </c>
      <c r="Y491" t="str">
        <f t="shared" si="47"/>
        <v/>
      </c>
      <c r="AA491" s="468" t="str">
        <f t="shared" si="49"/>
        <v/>
      </c>
      <c r="AB491" s="555" t="str">
        <f t="shared" si="50"/>
        <v/>
      </c>
      <c r="AP491" s="560">
        <f t="shared" si="48"/>
        <v>0</v>
      </c>
      <c r="AT491" t="str" cm="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468" t="str">
        <f t="shared" si="51"/>
        <v/>
      </c>
    </row>
    <row r="492" spans="24:47" outlineLevel="1" x14ac:dyDescent="0.25">
      <c r="X492" t="str">
        <f t="shared" si="46"/>
        <v/>
      </c>
      <c r="Y492" t="str">
        <f t="shared" si="47"/>
        <v/>
      </c>
      <c r="AA492" s="468" t="str">
        <f t="shared" si="49"/>
        <v/>
      </c>
      <c r="AB492" s="555" t="str">
        <f t="shared" si="50"/>
        <v/>
      </c>
      <c r="AP492" s="560">
        <f t="shared" si="48"/>
        <v>0</v>
      </c>
      <c r="AT492" t="str" cm="1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468" t="str">
        <f t="shared" si="51"/>
        <v/>
      </c>
    </row>
    <row r="493" spans="24:47" outlineLevel="1" x14ac:dyDescent="0.25">
      <c r="X493" t="str">
        <f t="shared" si="46"/>
        <v/>
      </c>
      <c r="Y493" t="str">
        <f t="shared" si="47"/>
        <v/>
      </c>
      <c r="AA493" s="468" t="str">
        <f t="shared" si="49"/>
        <v/>
      </c>
      <c r="AB493" s="555" t="str">
        <f t="shared" si="50"/>
        <v/>
      </c>
      <c r="AP493" s="560">
        <f t="shared" si="48"/>
        <v>0</v>
      </c>
      <c r="AT493" t="str" cm="1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468" t="str">
        <f t="shared" si="51"/>
        <v/>
      </c>
    </row>
    <row r="494" spans="24:47" outlineLevel="1" x14ac:dyDescent="0.25">
      <c r="X494" t="str">
        <f t="shared" si="46"/>
        <v/>
      </c>
      <c r="Y494" t="str">
        <f t="shared" si="47"/>
        <v/>
      </c>
      <c r="AA494" s="468" t="str">
        <f t="shared" si="49"/>
        <v/>
      </c>
      <c r="AB494" s="555" t="str">
        <f t="shared" si="50"/>
        <v/>
      </c>
      <c r="AP494" s="560">
        <f t="shared" si="48"/>
        <v>0</v>
      </c>
      <c r="AT494" t="str" cm="1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468" t="str">
        <f t="shared" si="51"/>
        <v/>
      </c>
    </row>
    <row r="495" spans="24:47" outlineLevel="1" x14ac:dyDescent="0.25">
      <c r="X495" t="str">
        <f t="shared" si="46"/>
        <v/>
      </c>
      <c r="Y495" t="str">
        <f t="shared" si="47"/>
        <v/>
      </c>
      <c r="AA495" s="468" t="str">
        <f t="shared" si="49"/>
        <v/>
      </c>
      <c r="AB495" s="555" t="str">
        <f t="shared" si="50"/>
        <v/>
      </c>
      <c r="AP495" s="560">
        <f t="shared" si="48"/>
        <v>0</v>
      </c>
      <c r="AT495" t="str" cm="1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468" t="str">
        <f t="shared" si="51"/>
        <v/>
      </c>
    </row>
    <row r="496" spans="24:47" outlineLevel="1" x14ac:dyDescent="0.25">
      <c r="X496" t="str">
        <f t="shared" si="46"/>
        <v/>
      </c>
      <c r="Y496" t="str">
        <f t="shared" si="47"/>
        <v/>
      </c>
      <c r="AA496" s="468" t="str">
        <f t="shared" si="49"/>
        <v/>
      </c>
      <c r="AB496" s="555" t="str">
        <f t="shared" si="50"/>
        <v/>
      </c>
      <c r="AP496" s="560">
        <f t="shared" si="48"/>
        <v>0</v>
      </c>
      <c r="AT496" t="str" cm="1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468" t="str">
        <f t="shared" si="51"/>
        <v/>
      </c>
    </row>
    <row r="497" spans="24:47" outlineLevel="1" x14ac:dyDescent="0.25">
      <c r="X497" t="str">
        <f t="shared" si="46"/>
        <v/>
      </c>
      <c r="Y497" t="str">
        <f t="shared" si="47"/>
        <v/>
      </c>
      <c r="AA497" s="468" t="str">
        <f t="shared" si="49"/>
        <v/>
      </c>
      <c r="AB497" s="555" t="str">
        <f t="shared" si="50"/>
        <v/>
      </c>
      <c r="AP497" s="560">
        <f t="shared" si="48"/>
        <v>0</v>
      </c>
      <c r="AT497" t="str" cm="1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468" t="str">
        <f t="shared" si="51"/>
        <v/>
      </c>
    </row>
    <row r="498" spans="24:47" outlineLevel="1" x14ac:dyDescent="0.25">
      <c r="X498" t="str">
        <f t="shared" si="46"/>
        <v/>
      </c>
      <c r="Y498" t="str">
        <f t="shared" si="47"/>
        <v/>
      </c>
      <c r="AA498" s="468" t="str">
        <f t="shared" si="49"/>
        <v/>
      </c>
      <c r="AB498" s="555" t="str">
        <f t="shared" si="50"/>
        <v/>
      </c>
      <c r="AP498" s="560">
        <f t="shared" si="48"/>
        <v>0</v>
      </c>
      <c r="AT498" t="str" cm="1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468" t="str">
        <f t="shared" si="51"/>
        <v/>
      </c>
    </row>
    <row r="499" spans="24:47" outlineLevel="1" x14ac:dyDescent="0.25">
      <c r="X499" t="str">
        <f t="shared" si="46"/>
        <v/>
      </c>
      <c r="Y499" t="str">
        <f t="shared" si="47"/>
        <v/>
      </c>
      <c r="AA499" s="468" t="str">
        <f t="shared" si="49"/>
        <v/>
      </c>
      <c r="AB499" s="555" t="str">
        <f t="shared" si="50"/>
        <v/>
      </c>
      <c r="AP499" s="560">
        <f t="shared" si="48"/>
        <v>0</v>
      </c>
      <c r="AT499" t="str" cm="1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468" t="str">
        <f t="shared" si="51"/>
        <v/>
      </c>
    </row>
    <row r="500" spans="24:47" outlineLevel="1" x14ac:dyDescent="0.25">
      <c r="X500" t="str">
        <f t="shared" si="46"/>
        <v/>
      </c>
      <c r="Y500" t="str">
        <f t="shared" si="47"/>
        <v/>
      </c>
      <c r="AA500" s="468" t="str">
        <f t="shared" si="49"/>
        <v/>
      </c>
      <c r="AB500" s="555" t="str">
        <f t="shared" si="50"/>
        <v/>
      </c>
      <c r="AP500" s="560">
        <f t="shared" si="48"/>
        <v>0</v>
      </c>
      <c r="AT500" t="str" cm="1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468" t="str">
        <f t="shared" si="51"/>
        <v/>
      </c>
    </row>
    <row r="501" spans="24:47" outlineLevel="1" x14ac:dyDescent="0.25">
      <c r="X501" t="str">
        <f t="shared" si="46"/>
        <v/>
      </c>
      <c r="Y501" t="str">
        <f t="shared" si="47"/>
        <v/>
      </c>
      <c r="AA501" s="468" t="str">
        <f t="shared" si="49"/>
        <v/>
      </c>
      <c r="AB501" s="555" t="str">
        <f t="shared" si="50"/>
        <v/>
      </c>
      <c r="AP501" s="560">
        <f t="shared" si="48"/>
        <v>0</v>
      </c>
      <c r="AT501" t="str" cm="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468" t="str">
        <f t="shared" si="51"/>
        <v/>
      </c>
    </row>
    <row r="502" spans="24:47" outlineLevel="1" x14ac:dyDescent="0.25">
      <c r="X502" t="str">
        <f t="shared" si="46"/>
        <v/>
      </c>
      <c r="Y502" t="str">
        <f t="shared" si="47"/>
        <v/>
      </c>
      <c r="AA502" s="468" t="str">
        <f t="shared" si="49"/>
        <v/>
      </c>
      <c r="AB502" s="555" t="str">
        <f t="shared" si="50"/>
        <v/>
      </c>
      <c r="AP502" s="560">
        <f t="shared" si="48"/>
        <v>0</v>
      </c>
      <c r="AT502" t="str" cm="1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468" t="str">
        <f t="shared" si="51"/>
        <v/>
      </c>
    </row>
    <row r="503" spans="24:47" outlineLevel="1" x14ac:dyDescent="0.25">
      <c r="X503" t="str">
        <f t="shared" si="46"/>
        <v/>
      </c>
      <c r="Y503" t="str">
        <f t="shared" si="47"/>
        <v/>
      </c>
      <c r="AA503" s="468" t="str">
        <f t="shared" si="49"/>
        <v/>
      </c>
      <c r="AB503" s="555" t="str">
        <f t="shared" si="50"/>
        <v/>
      </c>
      <c r="AP503" s="560">
        <f t="shared" si="48"/>
        <v>0</v>
      </c>
      <c r="AT503" t="str" cm="1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468" t="str">
        <f t="shared" si="51"/>
        <v/>
      </c>
    </row>
    <row r="504" spans="24:47" outlineLevel="1" x14ac:dyDescent="0.25">
      <c r="X504" t="str">
        <f t="shared" si="46"/>
        <v/>
      </c>
      <c r="Y504" t="str">
        <f t="shared" si="47"/>
        <v/>
      </c>
      <c r="AA504" s="468" t="str">
        <f t="shared" si="49"/>
        <v/>
      </c>
      <c r="AB504" s="555" t="str">
        <f t="shared" si="50"/>
        <v/>
      </c>
      <c r="AP504" s="560">
        <f t="shared" si="48"/>
        <v>0</v>
      </c>
      <c r="AT504" t="str" cm="1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468" t="str">
        <f t="shared" si="51"/>
        <v/>
      </c>
    </row>
    <row r="505" spans="24:47" outlineLevel="1" x14ac:dyDescent="0.25">
      <c r="X505" t="str">
        <f t="shared" si="46"/>
        <v/>
      </c>
      <c r="Y505" t="str">
        <f t="shared" si="47"/>
        <v/>
      </c>
      <c r="AA505" s="468" t="str">
        <f t="shared" si="49"/>
        <v/>
      </c>
      <c r="AB505" s="555" t="str">
        <f t="shared" si="50"/>
        <v/>
      </c>
      <c r="AP505" s="560">
        <f t="shared" si="48"/>
        <v>0</v>
      </c>
      <c r="AT505" t="str" cm="1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468" t="str">
        <f t="shared" si="51"/>
        <v/>
      </c>
    </row>
    <row r="506" spans="24:47" outlineLevel="1" x14ac:dyDescent="0.25">
      <c r="X506" t="str">
        <f t="shared" si="46"/>
        <v/>
      </c>
      <c r="Y506" t="str">
        <f t="shared" si="47"/>
        <v/>
      </c>
      <c r="AA506" s="468" t="str">
        <f t="shared" ref="AA506:AA537" si="52">IF(AND(J506&gt;0,I506&gt;0),I506-J506,"")</f>
        <v/>
      </c>
      <c r="AB506" s="555" t="str">
        <f t="shared" ref="AB506:AB537" si="53">IF(AND(J506&gt;0,I506&gt;0),(I506-J506)/I506,"")</f>
        <v/>
      </c>
      <c r="AP506" s="560">
        <f t="shared" si="48"/>
        <v>0</v>
      </c>
      <c r="AT506" t="str" cm="1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468" t="str">
        <f t="shared" si="51"/>
        <v/>
      </c>
    </row>
    <row r="507" spans="24:47" outlineLevel="1" x14ac:dyDescent="0.25">
      <c r="X507" t="str">
        <f t="shared" si="46"/>
        <v/>
      </c>
      <c r="Y507" t="str">
        <f t="shared" si="47"/>
        <v/>
      </c>
      <c r="AA507" s="468" t="str">
        <f t="shared" si="52"/>
        <v/>
      </c>
      <c r="AB507" s="555" t="str">
        <f t="shared" si="53"/>
        <v/>
      </c>
      <c r="AP507" s="560">
        <f t="shared" si="48"/>
        <v>0</v>
      </c>
      <c r="AT507" t="str" cm="1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468" t="str">
        <f t="shared" si="51"/>
        <v/>
      </c>
    </row>
    <row r="508" spans="24:47" outlineLevel="1" x14ac:dyDescent="0.25">
      <c r="X508" t="str">
        <f t="shared" si="46"/>
        <v/>
      </c>
      <c r="Y508" t="str">
        <f t="shared" si="47"/>
        <v/>
      </c>
      <c r="AA508" s="468" t="str">
        <f t="shared" si="52"/>
        <v/>
      </c>
      <c r="AB508" s="555" t="str">
        <f t="shared" si="53"/>
        <v/>
      </c>
      <c r="AP508" s="560">
        <f t="shared" si="48"/>
        <v>0</v>
      </c>
      <c r="AT508" t="str" cm="1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468" t="str">
        <f t="shared" si="51"/>
        <v/>
      </c>
    </row>
    <row r="509" spans="24:47" outlineLevel="1" x14ac:dyDescent="0.25">
      <c r="X509" t="str">
        <f t="shared" si="46"/>
        <v/>
      </c>
      <c r="Y509" t="str">
        <f t="shared" si="47"/>
        <v/>
      </c>
      <c r="AA509" s="468" t="str">
        <f t="shared" si="52"/>
        <v/>
      </c>
      <c r="AB509" s="555" t="str">
        <f t="shared" si="53"/>
        <v/>
      </c>
      <c r="AP509" s="560">
        <f t="shared" si="48"/>
        <v>0</v>
      </c>
      <c r="AT509" t="str" cm="1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468" t="str">
        <f t="shared" si="51"/>
        <v/>
      </c>
    </row>
    <row r="510" spans="24:47" outlineLevel="1" x14ac:dyDescent="0.25">
      <c r="X510" t="str">
        <f t="shared" si="46"/>
        <v/>
      </c>
      <c r="Y510" t="str">
        <f t="shared" si="47"/>
        <v/>
      </c>
      <c r="AA510" s="468" t="str">
        <f t="shared" si="52"/>
        <v/>
      </c>
      <c r="AB510" s="555" t="str">
        <f t="shared" si="53"/>
        <v/>
      </c>
      <c r="AP510" s="560">
        <f t="shared" si="48"/>
        <v>0</v>
      </c>
      <c r="AT510" t="str" cm="1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468" t="str">
        <f t="shared" si="51"/>
        <v/>
      </c>
    </row>
    <row r="511" spans="24:47" outlineLevel="1" x14ac:dyDescent="0.25">
      <c r="X511" t="str">
        <f t="shared" si="46"/>
        <v/>
      </c>
      <c r="Y511" t="str">
        <f t="shared" si="47"/>
        <v/>
      </c>
      <c r="AA511" s="468" t="str">
        <f t="shared" si="52"/>
        <v/>
      </c>
      <c r="AB511" s="555" t="str">
        <f t="shared" si="53"/>
        <v/>
      </c>
      <c r="AP511" s="560">
        <f t="shared" si="48"/>
        <v>0</v>
      </c>
      <c r="AT511" t="str" cm="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468" t="str">
        <f t="shared" si="51"/>
        <v/>
      </c>
    </row>
    <row r="512" spans="24:47" outlineLevel="1" x14ac:dyDescent="0.25">
      <c r="X512" t="str">
        <f t="shared" si="46"/>
        <v/>
      </c>
      <c r="Y512" t="str">
        <f t="shared" si="47"/>
        <v/>
      </c>
      <c r="AA512" s="468" t="str">
        <f t="shared" si="52"/>
        <v/>
      </c>
      <c r="AB512" s="555" t="str">
        <f t="shared" si="53"/>
        <v/>
      </c>
      <c r="AP512" s="560">
        <f t="shared" si="48"/>
        <v>0</v>
      </c>
      <c r="AT512" t="str" cm="1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468" t="str">
        <f t="shared" si="51"/>
        <v/>
      </c>
    </row>
    <row r="513" spans="24:47" outlineLevel="1" x14ac:dyDescent="0.25">
      <c r="X513" t="str">
        <f t="shared" si="46"/>
        <v/>
      </c>
      <c r="Y513" t="str">
        <f t="shared" si="47"/>
        <v/>
      </c>
      <c r="AA513" s="468" t="str">
        <f t="shared" si="52"/>
        <v/>
      </c>
      <c r="AB513" s="555" t="str">
        <f t="shared" si="53"/>
        <v/>
      </c>
      <c r="AP513" s="560">
        <f t="shared" si="48"/>
        <v>0</v>
      </c>
      <c r="AT513" t="str" cm="1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468" t="str">
        <f t="shared" si="51"/>
        <v/>
      </c>
    </row>
    <row r="514" spans="24:47" outlineLevel="1" x14ac:dyDescent="0.25">
      <c r="X514" t="str">
        <f t="shared" si="46"/>
        <v/>
      </c>
      <c r="Y514" t="str">
        <f t="shared" si="47"/>
        <v/>
      </c>
      <c r="AA514" s="468" t="str">
        <f t="shared" si="52"/>
        <v/>
      </c>
      <c r="AB514" s="555" t="str">
        <f t="shared" si="53"/>
        <v/>
      </c>
      <c r="AP514" s="560">
        <f t="shared" si="48"/>
        <v>0</v>
      </c>
      <c r="AT514" t="str" cm="1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468" t="str">
        <f t="shared" si="51"/>
        <v/>
      </c>
    </row>
    <row r="515" spans="24:47" outlineLevel="1" x14ac:dyDescent="0.25">
      <c r="X515" t="str">
        <f t="shared" si="46"/>
        <v/>
      </c>
      <c r="Y515" t="str">
        <f t="shared" si="47"/>
        <v/>
      </c>
      <c r="AA515" s="468" t="str">
        <f t="shared" si="52"/>
        <v/>
      </c>
      <c r="AB515" s="555" t="str">
        <f t="shared" si="53"/>
        <v/>
      </c>
      <c r="AP515" s="560">
        <f t="shared" si="48"/>
        <v>0</v>
      </c>
      <c r="AT515" t="str" cm="1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468" t="str">
        <f t="shared" si="51"/>
        <v/>
      </c>
    </row>
    <row r="516" spans="24:47" outlineLevel="1" x14ac:dyDescent="0.25">
      <c r="X516" t="str">
        <f t="shared" si="46"/>
        <v/>
      </c>
      <c r="Y516" t="str">
        <f t="shared" si="47"/>
        <v/>
      </c>
      <c r="AA516" s="468" t="str">
        <f t="shared" si="52"/>
        <v/>
      </c>
      <c r="AB516" s="555" t="str">
        <f t="shared" si="53"/>
        <v/>
      </c>
      <c r="AP516" s="560">
        <f t="shared" si="48"/>
        <v>0</v>
      </c>
      <c r="AT516" t="str" cm="1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468" t="str">
        <f t="shared" si="51"/>
        <v/>
      </c>
    </row>
    <row r="517" spans="24:47" outlineLevel="1" x14ac:dyDescent="0.25">
      <c r="X517" t="str">
        <f t="shared" si="46"/>
        <v/>
      </c>
      <c r="Y517" t="str">
        <f t="shared" si="47"/>
        <v/>
      </c>
      <c r="AA517" s="468" t="str">
        <f t="shared" si="52"/>
        <v/>
      </c>
      <c r="AB517" s="555" t="str">
        <f t="shared" si="53"/>
        <v/>
      </c>
      <c r="AP517" s="560">
        <f t="shared" si="48"/>
        <v>0</v>
      </c>
      <c r="AT517" t="str" cm="1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468" t="str">
        <f t="shared" si="51"/>
        <v/>
      </c>
    </row>
    <row r="518" spans="24:47" outlineLevel="1" x14ac:dyDescent="0.25">
      <c r="X518" t="str">
        <f t="shared" si="46"/>
        <v/>
      </c>
      <c r="Y518" t="str">
        <f t="shared" si="47"/>
        <v/>
      </c>
      <c r="AA518" s="468" t="str">
        <f t="shared" si="52"/>
        <v/>
      </c>
      <c r="AB518" s="555" t="str">
        <f t="shared" si="53"/>
        <v/>
      </c>
      <c r="AP518" s="560">
        <f t="shared" si="48"/>
        <v>0</v>
      </c>
      <c r="AT518" t="str" cm="1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468" t="str">
        <f t="shared" si="51"/>
        <v/>
      </c>
    </row>
    <row r="519" spans="24:47" outlineLevel="1" x14ac:dyDescent="0.25">
      <c r="X519" t="str">
        <f t="shared" si="46"/>
        <v/>
      </c>
      <c r="Y519" t="str">
        <f t="shared" si="47"/>
        <v/>
      </c>
      <c r="AA519" s="468" t="str">
        <f t="shared" si="52"/>
        <v/>
      </c>
      <c r="AB519" s="555" t="str">
        <f t="shared" si="53"/>
        <v/>
      </c>
      <c r="AP519" s="560">
        <f t="shared" si="48"/>
        <v>0</v>
      </c>
      <c r="AT519" t="str" cm="1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468" t="str">
        <f t="shared" ref="AU519:AU550" si="54">IF(AC519&lt;&gt;"",AC519,IF(AT519="Implied",-(I519-J519),IF(OR(AT519="Step-up",AT519="Rate-swap"),"see notes","")))</f>
        <v/>
      </c>
    </row>
    <row r="520" spans="24:47" outlineLevel="1" x14ac:dyDescent="0.25">
      <c r="X520" t="str">
        <f t="shared" si="46"/>
        <v/>
      </c>
      <c r="Y520" t="str">
        <f t="shared" si="47"/>
        <v/>
      </c>
      <c r="AA520" s="468" t="str">
        <f t="shared" si="52"/>
        <v/>
      </c>
      <c r="AB520" s="555" t="str">
        <f t="shared" si="53"/>
        <v/>
      </c>
      <c r="AP520" s="560">
        <f t="shared" si="48"/>
        <v>0</v>
      </c>
      <c r="AT520" t="str" cm="1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468" t="str">
        <f t="shared" si="54"/>
        <v/>
      </c>
    </row>
    <row r="521" spans="24:47" outlineLevel="1" x14ac:dyDescent="0.25">
      <c r="X521" t="str">
        <f t="shared" si="46"/>
        <v/>
      </c>
      <c r="Y521" t="str">
        <f t="shared" si="47"/>
        <v/>
      </c>
      <c r="AA521" s="468" t="str">
        <f t="shared" si="52"/>
        <v/>
      </c>
      <c r="AB521" s="555" t="str">
        <f t="shared" si="53"/>
        <v/>
      </c>
      <c r="AP521" s="560">
        <f t="shared" si="48"/>
        <v>0</v>
      </c>
      <c r="AT521" t="str" cm="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468" t="str">
        <f t="shared" si="54"/>
        <v/>
      </c>
    </row>
    <row r="522" spans="24:47" outlineLevel="1" x14ac:dyDescent="0.25">
      <c r="X522" t="str">
        <f t="shared" si="46"/>
        <v/>
      </c>
      <c r="Y522" t="str">
        <f t="shared" si="47"/>
        <v/>
      </c>
      <c r="AA522" s="468" t="str">
        <f t="shared" si="52"/>
        <v/>
      </c>
      <c r="AB522" s="555" t="str">
        <f t="shared" si="53"/>
        <v/>
      </c>
      <c r="AP522" s="560">
        <f t="shared" si="48"/>
        <v>0</v>
      </c>
      <c r="AT522" t="str" cm="1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468" t="str">
        <f t="shared" si="54"/>
        <v/>
      </c>
    </row>
    <row r="523" spans="24:47" outlineLevel="1" x14ac:dyDescent="0.25">
      <c r="X523" t="str">
        <f t="shared" si="46"/>
        <v/>
      </c>
      <c r="Y523" t="str">
        <f t="shared" si="47"/>
        <v/>
      </c>
      <c r="AA523" s="468" t="str">
        <f t="shared" si="52"/>
        <v/>
      </c>
      <c r="AB523" s="555" t="str">
        <f t="shared" si="53"/>
        <v/>
      </c>
      <c r="AP523" s="560">
        <f t="shared" si="48"/>
        <v>0</v>
      </c>
      <c r="AT523" t="str" cm="1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468" t="str">
        <f t="shared" si="54"/>
        <v/>
      </c>
    </row>
    <row r="524" spans="24:47" outlineLevel="1" x14ac:dyDescent="0.25">
      <c r="X524" t="str">
        <f t="shared" si="46"/>
        <v/>
      </c>
      <c r="Y524" t="str">
        <f t="shared" si="47"/>
        <v/>
      </c>
      <c r="AA524" s="468" t="str">
        <f t="shared" si="52"/>
        <v/>
      </c>
      <c r="AB524" s="555" t="str">
        <f t="shared" si="53"/>
        <v/>
      </c>
      <c r="AP524" s="560">
        <f t="shared" si="48"/>
        <v>0</v>
      </c>
      <c r="AT524" t="str" cm="1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468" t="str">
        <f t="shared" si="54"/>
        <v/>
      </c>
    </row>
    <row r="525" spans="24:47" outlineLevel="1" x14ac:dyDescent="0.25">
      <c r="X525" t="str">
        <f t="shared" si="46"/>
        <v/>
      </c>
      <c r="Y525" t="str">
        <f t="shared" si="47"/>
        <v/>
      </c>
      <c r="AA525" s="468" t="str">
        <f t="shared" si="52"/>
        <v/>
      </c>
      <c r="AB525" s="555" t="str">
        <f t="shared" si="53"/>
        <v/>
      </c>
      <c r="AP525" s="560">
        <f t="shared" si="48"/>
        <v>0</v>
      </c>
      <c r="AT525" t="str" cm="1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468" t="str">
        <f t="shared" si="54"/>
        <v/>
      </c>
    </row>
    <row r="526" spans="24:47" outlineLevel="1" x14ac:dyDescent="0.25">
      <c r="X526" t="str">
        <f t="shared" si="46"/>
        <v/>
      </c>
      <c r="Y526" t="str">
        <f t="shared" si="47"/>
        <v/>
      </c>
      <c r="AA526" s="468" t="str">
        <f t="shared" si="52"/>
        <v/>
      </c>
      <c r="AB526" s="555" t="str">
        <f t="shared" si="53"/>
        <v/>
      </c>
      <c r="AP526" s="560">
        <f t="shared" si="48"/>
        <v>0</v>
      </c>
      <c r="AT526" t="str" cm="1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468" t="str">
        <f t="shared" si="54"/>
        <v/>
      </c>
    </row>
    <row r="527" spans="24:47" outlineLevel="1" x14ac:dyDescent="0.25">
      <c r="X527" t="str">
        <f t="shared" si="46"/>
        <v/>
      </c>
      <c r="Y527" t="str">
        <f t="shared" si="47"/>
        <v/>
      </c>
      <c r="AA527" s="468" t="str">
        <f t="shared" si="52"/>
        <v/>
      </c>
      <c r="AB527" s="555" t="str">
        <f t="shared" si="53"/>
        <v/>
      </c>
      <c r="AP527" s="560">
        <f t="shared" si="48"/>
        <v>0</v>
      </c>
      <c r="AT527" t="str" cm="1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468" t="str">
        <f t="shared" si="54"/>
        <v/>
      </c>
    </row>
    <row r="528" spans="24:47" outlineLevel="1" x14ac:dyDescent="0.25">
      <c r="X528" t="str">
        <f t="shared" si="46"/>
        <v/>
      </c>
      <c r="Y528" t="str">
        <f t="shared" si="47"/>
        <v/>
      </c>
      <c r="AA528" s="468" t="str">
        <f t="shared" si="52"/>
        <v/>
      </c>
      <c r="AB528" s="555" t="str">
        <f t="shared" si="53"/>
        <v/>
      </c>
      <c r="AP528" s="560">
        <f t="shared" si="48"/>
        <v>0</v>
      </c>
      <c r="AT528" t="str" cm="1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468" t="str">
        <f t="shared" si="54"/>
        <v/>
      </c>
    </row>
    <row r="529" spans="24:47" outlineLevel="1" x14ac:dyDescent="0.25">
      <c r="X529" t="str">
        <f t="shared" si="46"/>
        <v/>
      </c>
      <c r="Y529" t="str">
        <f t="shared" si="47"/>
        <v/>
      </c>
      <c r="AA529" s="468" t="str">
        <f t="shared" si="52"/>
        <v/>
      </c>
      <c r="AB529" s="555" t="str">
        <f t="shared" si="53"/>
        <v/>
      </c>
      <c r="AP529" s="560">
        <f t="shared" si="48"/>
        <v>0</v>
      </c>
      <c r="AT529" t="str" cm="1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468" t="str">
        <f t="shared" si="54"/>
        <v/>
      </c>
    </row>
    <row r="530" spans="24:47" outlineLevel="1" x14ac:dyDescent="0.25">
      <c r="X530" t="str">
        <f t="shared" si="46"/>
        <v/>
      </c>
      <c r="Y530" t="str">
        <f t="shared" si="47"/>
        <v/>
      </c>
      <c r="AA530" s="468" t="str">
        <f t="shared" si="52"/>
        <v/>
      </c>
      <c r="AB530" s="555" t="str">
        <f t="shared" si="53"/>
        <v/>
      </c>
      <c r="AP530" s="560">
        <f t="shared" si="48"/>
        <v>0</v>
      </c>
      <c r="AT530" t="str" cm="1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468" t="str">
        <f t="shared" si="54"/>
        <v/>
      </c>
    </row>
    <row r="531" spans="24:47" outlineLevel="1" x14ac:dyDescent="0.25">
      <c r="X531" t="str">
        <f t="shared" si="46"/>
        <v/>
      </c>
      <c r="Y531" t="str">
        <f t="shared" si="47"/>
        <v/>
      </c>
      <c r="AA531" s="468" t="str">
        <f t="shared" si="52"/>
        <v/>
      </c>
      <c r="AB531" s="555" t="str">
        <f t="shared" si="53"/>
        <v/>
      </c>
      <c r="AP531" s="560">
        <f t="shared" si="48"/>
        <v>0</v>
      </c>
      <c r="AT531" t="str" cm="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468" t="str">
        <f t="shared" si="54"/>
        <v/>
      </c>
    </row>
    <row r="532" spans="24:47" outlineLevel="1" x14ac:dyDescent="0.25">
      <c r="X532" t="str">
        <f t="shared" ref="X532:X595" si="55">IF(AND(E532="Occupied",C532&lt;&gt;"",D532&lt;&gt;""),C532&amp;"|"&amp;D532,"")</f>
        <v/>
      </c>
      <c r="Y532" t="str">
        <f t="shared" ref="Y532:Y595" si="56">IF(AND(C532&lt;&gt;"",D532&lt;&gt;""),C532&amp;"|"&amp;D532,"")</f>
        <v/>
      </c>
      <c r="AA532" s="468" t="str">
        <f t="shared" si="52"/>
        <v/>
      </c>
      <c r="AB532" s="555" t="str">
        <f t="shared" si="53"/>
        <v/>
      </c>
      <c r="AP532" s="560">
        <f t="shared" ref="AP532:AP595" si="57">SUM(AJ532:AN532)</f>
        <v>0</v>
      </c>
      <c r="AT532" t="str" cm="1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468" t="str">
        <f t="shared" si="54"/>
        <v/>
      </c>
    </row>
    <row r="533" spans="24:47" outlineLevel="1" x14ac:dyDescent="0.25">
      <c r="X533" t="str">
        <f t="shared" si="55"/>
        <v/>
      </c>
      <c r="Y533" t="str">
        <f t="shared" si="56"/>
        <v/>
      </c>
      <c r="AA533" s="468" t="str">
        <f t="shared" si="52"/>
        <v/>
      </c>
      <c r="AB533" s="555" t="str">
        <f t="shared" si="53"/>
        <v/>
      </c>
      <c r="AP533" s="560">
        <f t="shared" si="57"/>
        <v>0</v>
      </c>
      <c r="AT533" t="str" cm="1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468" t="str">
        <f t="shared" si="54"/>
        <v/>
      </c>
    </row>
    <row r="534" spans="24:47" outlineLevel="1" x14ac:dyDescent="0.25">
      <c r="X534" t="str">
        <f t="shared" si="55"/>
        <v/>
      </c>
      <c r="Y534" t="str">
        <f t="shared" si="56"/>
        <v/>
      </c>
      <c r="AA534" s="468" t="str">
        <f t="shared" si="52"/>
        <v/>
      </c>
      <c r="AB534" s="555" t="str">
        <f t="shared" si="53"/>
        <v/>
      </c>
      <c r="AP534" s="560">
        <f t="shared" si="57"/>
        <v>0</v>
      </c>
      <c r="AT534" t="str" cm="1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468" t="str">
        <f t="shared" si="54"/>
        <v/>
      </c>
    </row>
    <row r="535" spans="24:47" outlineLevel="1" x14ac:dyDescent="0.25">
      <c r="X535" t="str">
        <f t="shared" si="55"/>
        <v/>
      </c>
      <c r="Y535" t="str">
        <f t="shared" si="56"/>
        <v/>
      </c>
      <c r="AA535" s="468" t="str">
        <f t="shared" si="52"/>
        <v/>
      </c>
      <c r="AB535" s="555" t="str">
        <f t="shared" si="53"/>
        <v/>
      </c>
      <c r="AP535" s="560">
        <f t="shared" si="57"/>
        <v>0</v>
      </c>
      <c r="AT535" t="str" cm="1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468" t="str">
        <f t="shared" si="54"/>
        <v/>
      </c>
    </row>
    <row r="536" spans="24:47" outlineLevel="1" x14ac:dyDescent="0.25">
      <c r="X536" t="str">
        <f t="shared" si="55"/>
        <v/>
      </c>
      <c r="Y536" t="str">
        <f t="shared" si="56"/>
        <v/>
      </c>
      <c r="AA536" s="468" t="str">
        <f t="shared" si="52"/>
        <v/>
      </c>
      <c r="AB536" s="555" t="str">
        <f t="shared" si="53"/>
        <v/>
      </c>
      <c r="AP536" s="560">
        <f t="shared" si="57"/>
        <v>0</v>
      </c>
      <c r="AT536" t="str" cm="1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468" t="str">
        <f t="shared" si="54"/>
        <v/>
      </c>
    </row>
    <row r="537" spans="24:47" outlineLevel="1" x14ac:dyDescent="0.25">
      <c r="X537" t="str">
        <f t="shared" si="55"/>
        <v/>
      </c>
      <c r="Y537" t="str">
        <f t="shared" si="56"/>
        <v/>
      </c>
      <c r="AA537" s="468" t="str">
        <f t="shared" si="52"/>
        <v/>
      </c>
      <c r="AB537" s="555" t="str">
        <f t="shared" si="53"/>
        <v/>
      </c>
      <c r="AP537" s="560">
        <f t="shared" si="57"/>
        <v>0</v>
      </c>
      <c r="AT537" t="str" cm="1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468" t="str">
        <f t="shared" si="54"/>
        <v/>
      </c>
    </row>
    <row r="538" spans="24:47" outlineLevel="1" x14ac:dyDescent="0.25">
      <c r="X538" t="str">
        <f t="shared" si="55"/>
        <v/>
      </c>
      <c r="Y538" t="str">
        <f t="shared" si="56"/>
        <v/>
      </c>
      <c r="AA538" s="468" t="str">
        <f t="shared" ref="AA538:AA569" si="58">IF(AND(J538&gt;0,I538&gt;0),I538-J538,"")</f>
        <v/>
      </c>
      <c r="AB538" s="555" t="str">
        <f t="shared" ref="AB538:AB569" si="59">IF(AND(J538&gt;0,I538&gt;0),(I538-J538)/I538,"")</f>
        <v/>
      </c>
      <c r="AP538" s="560">
        <f t="shared" si="57"/>
        <v>0</v>
      </c>
      <c r="AT538" t="str" cm="1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468" t="str">
        <f t="shared" si="54"/>
        <v/>
      </c>
    </row>
    <row r="539" spans="24:47" outlineLevel="1" x14ac:dyDescent="0.25">
      <c r="X539" t="str">
        <f t="shared" si="55"/>
        <v/>
      </c>
      <c r="Y539" t="str">
        <f t="shared" si="56"/>
        <v/>
      </c>
      <c r="AA539" s="468" t="str">
        <f t="shared" si="58"/>
        <v/>
      </c>
      <c r="AB539" s="555" t="str">
        <f t="shared" si="59"/>
        <v/>
      </c>
      <c r="AP539" s="560">
        <f t="shared" si="57"/>
        <v>0</v>
      </c>
      <c r="AT539" t="str" cm="1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468" t="str">
        <f t="shared" si="54"/>
        <v/>
      </c>
    </row>
    <row r="540" spans="24:47" outlineLevel="1" x14ac:dyDescent="0.25">
      <c r="X540" t="str">
        <f t="shared" si="55"/>
        <v/>
      </c>
      <c r="Y540" t="str">
        <f t="shared" si="56"/>
        <v/>
      </c>
      <c r="AA540" s="468" t="str">
        <f t="shared" si="58"/>
        <v/>
      </c>
      <c r="AB540" s="555" t="str">
        <f t="shared" si="59"/>
        <v/>
      </c>
      <c r="AP540" s="560">
        <f t="shared" si="57"/>
        <v>0</v>
      </c>
      <c r="AT540" t="str" cm="1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468" t="str">
        <f t="shared" si="54"/>
        <v/>
      </c>
    </row>
    <row r="541" spans="24:47" outlineLevel="1" x14ac:dyDescent="0.25">
      <c r="X541" t="str">
        <f t="shared" si="55"/>
        <v/>
      </c>
      <c r="Y541" t="str">
        <f t="shared" si="56"/>
        <v/>
      </c>
      <c r="AA541" s="468" t="str">
        <f t="shared" si="58"/>
        <v/>
      </c>
      <c r="AB541" s="555" t="str">
        <f t="shared" si="59"/>
        <v/>
      </c>
      <c r="AP541" s="560">
        <f t="shared" si="57"/>
        <v>0</v>
      </c>
      <c r="AT541" t="str" cm="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468" t="str">
        <f t="shared" si="54"/>
        <v/>
      </c>
    </row>
    <row r="542" spans="24:47" outlineLevel="1" x14ac:dyDescent="0.25">
      <c r="X542" t="str">
        <f t="shared" si="55"/>
        <v/>
      </c>
      <c r="Y542" t="str">
        <f t="shared" si="56"/>
        <v/>
      </c>
      <c r="AA542" s="468" t="str">
        <f t="shared" si="58"/>
        <v/>
      </c>
      <c r="AB542" s="555" t="str">
        <f t="shared" si="59"/>
        <v/>
      </c>
      <c r="AP542" s="560">
        <f t="shared" si="57"/>
        <v>0</v>
      </c>
      <c r="AT542" t="str" cm="1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468" t="str">
        <f t="shared" si="54"/>
        <v/>
      </c>
    </row>
    <row r="543" spans="24:47" outlineLevel="1" x14ac:dyDescent="0.25">
      <c r="X543" t="str">
        <f t="shared" si="55"/>
        <v/>
      </c>
      <c r="Y543" t="str">
        <f t="shared" si="56"/>
        <v/>
      </c>
      <c r="AA543" s="468" t="str">
        <f t="shared" si="58"/>
        <v/>
      </c>
      <c r="AB543" s="555" t="str">
        <f t="shared" si="59"/>
        <v/>
      </c>
      <c r="AP543" s="560">
        <f t="shared" si="57"/>
        <v>0</v>
      </c>
      <c r="AT543" t="str" cm="1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468" t="str">
        <f t="shared" si="54"/>
        <v/>
      </c>
    </row>
    <row r="544" spans="24:47" outlineLevel="1" x14ac:dyDescent="0.25">
      <c r="X544" t="str">
        <f t="shared" si="55"/>
        <v/>
      </c>
      <c r="Y544" t="str">
        <f t="shared" si="56"/>
        <v/>
      </c>
      <c r="AA544" s="468" t="str">
        <f t="shared" si="58"/>
        <v/>
      </c>
      <c r="AB544" s="555" t="str">
        <f t="shared" si="59"/>
        <v/>
      </c>
      <c r="AP544" s="560">
        <f t="shared" si="57"/>
        <v>0</v>
      </c>
      <c r="AT544" t="str" cm="1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468" t="str">
        <f t="shared" si="54"/>
        <v/>
      </c>
    </row>
    <row r="545" spans="24:47" outlineLevel="1" x14ac:dyDescent="0.25">
      <c r="X545" t="str">
        <f t="shared" si="55"/>
        <v/>
      </c>
      <c r="Y545" t="str">
        <f t="shared" si="56"/>
        <v/>
      </c>
      <c r="AA545" s="468" t="str">
        <f t="shared" si="58"/>
        <v/>
      </c>
      <c r="AB545" s="555" t="str">
        <f t="shared" si="59"/>
        <v/>
      </c>
      <c r="AP545" s="560">
        <f t="shared" si="57"/>
        <v>0</v>
      </c>
      <c r="AT545" t="str" cm="1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468" t="str">
        <f t="shared" si="54"/>
        <v/>
      </c>
    </row>
    <row r="546" spans="24:47" outlineLevel="1" x14ac:dyDescent="0.25">
      <c r="X546" t="str">
        <f t="shared" si="55"/>
        <v/>
      </c>
      <c r="Y546" t="str">
        <f t="shared" si="56"/>
        <v/>
      </c>
      <c r="AA546" s="468" t="str">
        <f t="shared" si="58"/>
        <v/>
      </c>
      <c r="AB546" s="555" t="str">
        <f t="shared" si="59"/>
        <v/>
      </c>
      <c r="AP546" s="560">
        <f t="shared" si="57"/>
        <v>0</v>
      </c>
      <c r="AT546" t="str" cm="1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468" t="str">
        <f t="shared" si="54"/>
        <v/>
      </c>
    </row>
    <row r="547" spans="24:47" outlineLevel="1" x14ac:dyDescent="0.25">
      <c r="X547" t="str">
        <f t="shared" si="55"/>
        <v/>
      </c>
      <c r="Y547" t="str">
        <f t="shared" si="56"/>
        <v/>
      </c>
      <c r="AA547" s="468" t="str">
        <f t="shared" si="58"/>
        <v/>
      </c>
      <c r="AB547" s="555" t="str">
        <f t="shared" si="59"/>
        <v/>
      </c>
      <c r="AP547" s="560">
        <f t="shared" si="57"/>
        <v>0</v>
      </c>
      <c r="AT547" t="str" cm="1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468" t="str">
        <f t="shared" si="54"/>
        <v/>
      </c>
    </row>
    <row r="548" spans="24:47" outlineLevel="1" x14ac:dyDescent="0.25">
      <c r="X548" t="str">
        <f t="shared" si="55"/>
        <v/>
      </c>
      <c r="Y548" t="str">
        <f t="shared" si="56"/>
        <v/>
      </c>
      <c r="AA548" s="468" t="str">
        <f t="shared" si="58"/>
        <v/>
      </c>
      <c r="AB548" s="555" t="str">
        <f t="shared" si="59"/>
        <v/>
      </c>
      <c r="AP548" s="560">
        <f t="shared" si="57"/>
        <v>0</v>
      </c>
      <c r="AT548" t="str" cm="1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468" t="str">
        <f t="shared" si="54"/>
        <v/>
      </c>
    </row>
    <row r="549" spans="24:47" outlineLevel="1" x14ac:dyDescent="0.25">
      <c r="X549" t="str">
        <f t="shared" si="55"/>
        <v/>
      </c>
      <c r="Y549" t="str">
        <f t="shared" si="56"/>
        <v/>
      </c>
      <c r="AA549" s="468" t="str">
        <f t="shared" si="58"/>
        <v/>
      </c>
      <c r="AB549" s="555" t="str">
        <f t="shared" si="59"/>
        <v/>
      </c>
      <c r="AP549" s="560">
        <f t="shared" si="57"/>
        <v>0</v>
      </c>
      <c r="AT549" t="str" cm="1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468" t="str">
        <f t="shared" si="54"/>
        <v/>
      </c>
    </row>
    <row r="550" spans="24:47" outlineLevel="1" x14ac:dyDescent="0.25">
      <c r="X550" t="str">
        <f t="shared" si="55"/>
        <v/>
      </c>
      <c r="Y550" t="str">
        <f t="shared" si="56"/>
        <v/>
      </c>
      <c r="AA550" s="468" t="str">
        <f t="shared" si="58"/>
        <v/>
      </c>
      <c r="AB550" s="555" t="str">
        <f t="shared" si="59"/>
        <v/>
      </c>
      <c r="AP550" s="560">
        <f t="shared" si="57"/>
        <v>0</v>
      </c>
      <c r="AT550" t="str" cm="1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468" t="str">
        <f t="shared" si="54"/>
        <v/>
      </c>
    </row>
    <row r="551" spans="24:47" outlineLevel="1" x14ac:dyDescent="0.25">
      <c r="X551" t="str">
        <f t="shared" si="55"/>
        <v/>
      </c>
      <c r="Y551" t="str">
        <f t="shared" si="56"/>
        <v/>
      </c>
      <c r="AA551" s="468" t="str">
        <f t="shared" si="58"/>
        <v/>
      </c>
      <c r="AB551" s="555" t="str">
        <f t="shared" si="59"/>
        <v/>
      </c>
      <c r="AP551" s="560">
        <f t="shared" si="57"/>
        <v>0</v>
      </c>
      <c r="AT551" t="str" cm="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468" t="str">
        <f t="shared" ref="AU551:AU582" si="60">IF(AC551&lt;&gt;"",AC551,IF(AT551="Implied",-(I551-J551),IF(OR(AT551="Step-up",AT551="Rate-swap"),"see notes","")))</f>
        <v/>
      </c>
    </row>
    <row r="552" spans="24:47" outlineLevel="1" x14ac:dyDescent="0.25">
      <c r="X552" t="str">
        <f t="shared" si="55"/>
        <v/>
      </c>
      <c r="Y552" t="str">
        <f t="shared" si="56"/>
        <v/>
      </c>
      <c r="AA552" s="468" t="str">
        <f t="shared" si="58"/>
        <v/>
      </c>
      <c r="AB552" s="555" t="str">
        <f t="shared" si="59"/>
        <v/>
      </c>
      <c r="AP552" s="560">
        <f t="shared" si="57"/>
        <v>0</v>
      </c>
      <c r="AT552" t="str" cm="1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468" t="str">
        <f t="shared" si="60"/>
        <v/>
      </c>
    </row>
    <row r="553" spans="24:47" outlineLevel="1" x14ac:dyDescent="0.25">
      <c r="X553" t="str">
        <f t="shared" si="55"/>
        <v/>
      </c>
      <c r="Y553" t="str">
        <f t="shared" si="56"/>
        <v/>
      </c>
      <c r="AA553" s="468" t="str">
        <f t="shared" si="58"/>
        <v/>
      </c>
      <c r="AB553" s="555" t="str">
        <f t="shared" si="59"/>
        <v/>
      </c>
      <c r="AP553" s="560">
        <f t="shared" si="57"/>
        <v>0</v>
      </c>
      <c r="AT553" t="str" cm="1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468" t="str">
        <f t="shared" si="60"/>
        <v/>
      </c>
    </row>
    <row r="554" spans="24:47" outlineLevel="1" x14ac:dyDescent="0.25">
      <c r="X554" t="str">
        <f t="shared" si="55"/>
        <v/>
      </c>
      <c r="Y554" t="str">
        <f t="shared" si="56"/>
        <v/>
      </c>
      <c r="AA554" s="468" t="str">
        <f t="shared" si="58"/>
        <v/>
      </c>
      <c r="AB554" s="555" t="str">
        <f t="shared" si="59"/>
        <v/>
      </c>
      <c r="AP554" s="560">
        <f t="shared" si="57"/>
        <v>0</v>
      </c>
      <c r="AT554" t="str" cm="1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468" t="str">
        <f t="shared" si="60"/>
        <v/>
      </c>
    </row>
    <row r="555" spans="24:47" outlineLevel="1" x14ac:dyDescent="0.25">
      <c r="X555" t="str">
        <f t="shared" si="55"/>
        <v/>
      </c>
      <c r="Y555" t="str">
        <f t="shared" si="56"/>
        <v/>
      </c>
      <c r="AA555" s="468" t="str">
        <f t="shared" si="58"/>
        <v/>
      </c>
      <c r="AB555" s="555" t="str">
        <f t="shared" si="59"/>
        <v/>
      </c>
      <c r="AP555" s="560">
        <f t="shared" si="57"/>
        <v>0</v>
      </c>
      <c r="AT555" t="str" cm="1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468" t="str">
        <f t="shared" si="60"/>
        <v/>
      </c>
    </row>
    <row r="556" spans="24:47" outlineLevel="1" x14ac:dyDescent="0.25">
      <c r="X556" t="str">
        <f t="shared" si="55"/>
        <v/>
      </c>
      <c r="Y556" t="str">
        <f t="shared" si="56"/>
        <v/>
      </c>
      <c r="AA556" s="468" t="str">
        <f t="shared" si="58"/>
        <v/>
      </c>
      <c r="AB556" s="555" t="str">
        <f t="shared" si="59"/>
        <v/>
      </c>
      <c r="AP556" s="560">
        <f t="shared" si="57"/>
        <v>0</v>
      </c>
      <c r="AT556" t="str" cm="1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468" t="str">
        <f t="shared" si="60"/>
        <v/>
      </c>
    </row>
    <row r="557" spans="24:47" outlineLevel="1" x14ac:dyDescent="0.25">
      <c r="X557" t="str">
        <f t="shared" si="55"/>
        <v/>
      </c>
      <c r="Y557" t="str">
        <f t="shared" si="56"/>
        <v/>
      </c>
      <c r="AA557" s="468" t="str">
        <f t="shared" si="58"/>
        <v/>
      </c>
      <c r="AB557" s="555" t="str">
        <f t="shared" si="59"/>
        <v/>
      </c>
      <c r="AP557" s="560">
        <f t="shared" si="57"/>
        <v>0</v>
      </c>
      <c r="AT557" t="str" cm="1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468" t="str">
        <f t="shared" si="60"/>
        <v/>
      </c>
    </row>
    <row r="558" spans="24:47" outlineLevel="1" x14ac:dyDescent="0.25">
      <c r="X558" t="str">
        <f t="shared" si="55"/>
        <v/>
      </c>
      <c r="Y558" t="str">
        <f t="shared" si="56"/>
        <v/>
      </c>
      <c r="AA558" s="468" t="str">
        <f t="shared" si="58"/>
        <v/>
      </c>
      <c r="AB558" s="555" t="str">
        <f t="shared" si="59"/>
        <v/>
      </c>
      <c r="AP558" s="560">
        <f t="shared" si="57"/>
        <v>0</v>
      </c>
      <c r="AT558" t="str" cm="1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468" t="str">
        <f t="shared" si="60"/>
        <v/>
      </c>
    </row>
    <row r="559" spans="24:47" outlineLevel="1" x14ac:dyDescent="0.25">
      <c r="X559" t="str">
        <f t="shared" si="55"/>
        <v/>
      </c>
      <c r="Y559" t="str">
        <f t="shared" si="56"/>
        <v/>
      </c>
      <c r="AA559" s="468" t="str">
        <f t="shared" si="58"/>
        <v/>
      </c>
      <c r="AB559" s="555" t="str">
        <f t="shared" si="59"/>
        <v/>
      </c>
      <c r="AP559" s="560">
        <f t="shared" si="57"/>
        <v>0</v>
      </c>
      <c r="AT559" t="str" cm="1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468" t="str">
        <f t="shared" si="60"/>
        <v/>
      </c>
    </row>
    <row r="560" spans="24:47" outlineLevel="1" x14ac:dyDescent="0.25">
      <c r="X560" t="str">
        <f t="shared" si="55"/>
        <v/>
      </c>
      <c r="Y560" t="str">
        <f t="shared" si="56"/>
        <v/>
      </c>
      <c r="AA560" s="468" t="str">
        <f t="shared" si="58"/>
        <v/>
      </c>
      <c r="AB560" s="555" t="str">
        <f t="shared" si="59"/>
        <v/>
      </c>
      <c r="AP560" s="560">
        <f t="shared" si="57"/>
        <v>0</v>
      </c>
      <c r="AT560" t="str" cm="1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468" t="str">
        <f t="shared" si="60"/>
        <v/>
      </c>
    </row>
    <row r="561" spans="24:47" outlineLevel="1" x14ac:dyDescent="0.25">
      <c r="X561" t="str">
        <f t="shared" si="55"/>
        <v/>
      </c>
      <c r="Y561" t="str">
        <f t="shared" si="56"/>
        <v/>
      </c>
      <c r="AA561" s="468" t="str">
        <f t="shared" si="58"/>
        <v/>
      </c>
      <c r="AB561" s="555" t="str">
        <f t="shared" si="59"/>
        <v/>
      </c>
      <c r="AP561" s="560">
        <f t="shared" si="57"/>
        <v>0</v>
      </c>
      <c r="AT561" t="str" cm="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468" t="str">
        <f t="shared" si="60"/>
        <v/>
      </c>
    </row>
    <row r="562" spans="24:47" outlineLevel="1" x14ac:dyDescent="0.25">
      <c r="X562" t="str">
        <f t="shared" si="55"/>
        <v/>
      </c>
      <c r="Y562" t="str">
        <f t="shared" si="56"/>
        <v/>
      </c>
      <c r="AA562" s="468" t="str">
        <f t="shared" si="58"/>
        <v/>
      </c>
      <c r="AB562" s="555" t="str">
        <f t="shared" si="59"/>
        <v/>
      </c>
      <c r="AP562" s="560">
        <f t="shared" si="57"/>
        <v>0</v>
      </c>
      <c r="AT562" t="str" cm="1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468" t="str">
        <f t="shared" si="60"/>
        <v/>
      </c>
    </row>
    <row r="563" spans="24:47" outlineLevel="1" x14ac:dyDescent="0.25">
      <c r="X563" t="str">
        <f t="shared" si="55"/>
        <v/>
      </c>
      <c r="Y563" t="str">
        <f t="shared" si="56"/>
        <v/>
      </c>
      <c r="AA563" s="468" t="str">
        <f t="shared" si="58"/>
        <v/>
      </c>
      <c r="AB563" s="555" t="str">
        <f t="shared" si="59"/>
        <v/>
      </c>
      <c r="AP563" s="560">
        <f t="shared" si="57"/>
        <v>0</v>
      </c>
      <c r="AT563" t="str" cm="1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468" t="str">
        <f t="shared" si="60"/>
        <v/>
      </c>
    </row>
    <row r="564" spans="24:47" outlineLevel="1" x14ac:dyDescent="0.25">
      <c r="X564" t="str">
        <f t="shared" si="55"/>
        <v/>
      </c>
      <c r="Y564" t="str">
        <f t="shared" si="56"/>
        <v/>
      </c>
      <c r="AA564" s="468" t="str">
        <f t="shared" si="58"/>
        <v/>
      </c>
      <c r="AB564" s="555" t="str">
        <f t="shared" si="59"/>
        <v/>
      </c>
      <c r="AP564" s="560">
        <f t="shared" si="57"/>
        <v>0</v>
      </c>
      <c r="AT564" t="str" cm="1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468" t="str">
        <f t="shared" si="60"/>
        <v/>
      </c>
    </row>
    <row r="565" spans="24:47" outlineLevel="1" x14ac:dyDescent="0.25">
      <c r="X565" t="str">
        <f t="shared" si="55"/>
        <v/>
      </c>
      <c r="Y565" t="str">
        <f t="shared" si="56"/>
        <v/>
      </c>
      <c r="AA565" s="468" t="str">
        <f t="shared" si="58"/>
        <v/>
      </c>
      <c r="AB565" s="555" t="str">
        <f t="shared" si="59"/>
        <v/>
      </c>
      <c r="AP565" s="560">
        <f t="shared" si="57"/>
        <v>0</v>
      </c>
      <c r="AT565" t="str" cm="1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468" t="str">
        <f t="shared" si="60"/>
        <v/>
      </c>
    </row>
    <row r="566" spans="24:47" outlineLevel="1" x14ac:dyDescent="0.25">
      <c r="X566" t="str">
        <f t="shared" si="55"/>
        <v/>
      </c>
      <c r="Y566" t="str">
        <f t="shared" si="56"/>
        <v/>
      </c>
      <c r="AA566" s="468" t="str">
        <f t="shared" si="58"/>
        <v/>
      </c>
      <c r="AB566" s="555" t="str">
        <f t="shared" si="59"/>
        <v/>
      </c>
      <c r="AP566" s="560">
        <f t="shared" si="57"/>
        <v>0</v>
      </c>
      <c r="AT566" t="str" cm="1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468" t="str">
        <f t="shared" si="60"/>
        <v/>
      </c>
    </row>
    <row r="567" spans="24:47" outlineLevel="1" x14ac:dyDescent="0.25">
      <c r="X567" t="str">
        <f t="shared" si="55"/>
        <v/>
      </c>
      <c r="Y567" t="str">
        <f t="shared" si="56"/>
        <v/>
      </c>
      <c r="AA567" s="468" t="str">
        <f t="shared" si="58"/>
        <v/>
      </c>
      <c r="AB567" s="555" t="str">
        <f t="shared" si="59"/>
        <v/>
      </c>
      <c r="AP567" s="560">
        <f t="shared" si="57"/>
        <v>0</v>
      </c>
      <c r="AT567" t="str" cm="1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468" t="str">
        <f t="shared" si="60"/>
        <v/>
      </c>
    </row>
    <row r="568" spans="24:47" outlineLevel="1" x14ac:dyDescent="0.25">
      <c r="X568" t="str">
        <f t="shared" si="55"/>
        <v/>
      </c>
      <c r="Y568" t="str">
        <f t="shared" si="56"/>
        <v/>
      </c>
      <c r="AA568" s="468" t="str">
        <f t="shared" si="58"/>
        <v/>
      </c>
      <c r="AB568" s="555" t="str">
        <f t="shared" si="59"/>
        <v/>
      </c>
      <c r="AP568" s="560">
        <f t="shared" si="57"/>
        <v>0</v>
      </c>
      <c r="AT568" t="str" cm="1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468" t="str">
        <f t="shared" si="60"/>
        <v/>
      </c>
    </row>
    <row r="569" spans="24:47" outlineLevel="1" x14ac:dyDescent="0.25">
      <c r="X569" t="str">
        <f t="shared" si="55"/>
        <v/>
      </c>
      <c r="Y569" t="str">
        <f t="shared" si="56"/>
        <v/>
      </c>
      <c r="AA569" s="468" t="str">
        <f t="shared" si="58"/>
        <v/>
      </c>
      <c r="AB569" s="555" t="str">
        <f t="shared" si="59"/>
        <v/>
      </c>
      <c r="AP569" s="560">
        <f t="shared" si="57"/>
        <v>0</v>
      </c>
      <c r="AT569" t="str" cm="1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468" t="str">
        <f t="shared" si="60"/>
        <v/>
      </c>
    </row>
    <row r="570" spans="24:47" outlineLevel="1" x14ac:dyDescent="0.25">
      <c r="X570" t="str">
        <f t="shared" si="55"/>
        <v/>
      </c>
      <c r="Y570" t="str">
        <f t="shared" si="56"/>
        <v/>
      </c>
      <c r="AA570" s="468" t="str">
        <f t="shared" ref="AA570:AA601" si="61">IF(AND(J570&gt;0,I570&gt;0),I570-J570,"")</f>
        <v/>
      </c>
      <c r="AB570" s="555" t="str">
        <f t="shared" ref="AB570:AB601" si="62">IF(AND(J570&gt;0,I570&gt;0),(I570-J570)/I570,"")</f>
        <v/>
      </c>
      <c r="AP570" s="560">
        <f t="shared" si="57"/>
        <v>0</v>
      </c>
      <c r="AT570" t="str" cm="1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468" t="str">
        <f t="shared" si="60"/>
        <v/>
      </c>
    </row>
    <row r="571" spans="24:47" outlineLevel="1" x14ac:dyDescent="0.25">
      <c r="X571" t="str">
        <f t="shared" si="55"/>
        <v/>
      </c>
      <c r="Y571" t="str">
        <f t="shared" si="56"/>
        <v/>
      </c>
      <c r="AA571" s="468" t="str">
        <f t="shared" si="61"/>
        <v/>
      </c>
      <c r="AB571" s="555" t="str">
        <f t="shared" si="62"/>
        <v/>
      </c>
      <c r="AP571" s="560">
        <f t="shared" si="57"/>
        <v>0</v>
      </c>
      <c r="AT571" t="str" cm="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468" t="str">
        <f t="shared" si="60"/>
        <v/>
      </c>
    </row>
    <row r="572" spans="24:47" outlineLevel="1" x14ac:dyDescent="0.25">
      <c r="X572" t="str">
        <f t="shared" si="55"/>
        <v/>
      </c>
      <c r="Y572" t="str">
        <f t="shared" si="56"/>
        <v/>
      </c>
      <c r="AA572" s="468" t="str">
        <f t="shared" si="61"/>
        <v/>
      </c>
      <c r="AB572" s="555" t="str">
        <f t="shared" si="62"/>
        <v/>
      </c>
      <c r="AP572" s="560">
        <f t="shared" si="57"/>
        <v>0</v>
      </c>
      <c r="AT572" t="str" cm="1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468" t="str">
        <f t="shared" si="60"/>
        <v/>
      </c>
    </row>
    <row r="573" spans="24:47" outlineLevel="1" x14ac:dyDescent="0.25">
      <c r="X573" t="str">
        <f t="shared" si="55"/>
        <v/>
      </c>
      <c r="Y573" t="str">
        <f t="shared" si="56"/>
        <v/>
      </c>
      <c r="AA573" s="468" t="str">
        <f t="shared" si="61"/>
        <v/>
      </c>
      <c r="AB573" s="555" t="str">
        <f t="shared" si="62"/>
        <v/>
      </c>
      <c r="AP573" s="560">
        <f t="shared" si="57"/>
        <v>0</v>
      </c>
      <c r="AT573" t="str" cm="1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468" t="str">
        <f t="shared" si="60"/>
        <v/>
      </c>
    </row>
    <row r="574" spans="24:47" outlineLevel="1" x14ac:dyDescent="0.25">
      <c r="X574" t="str">
        <f t="shared" si="55"/>
        <v/>
      </c>
      <c r="Y574" t="str">
        <f t="shared" si="56"/>
        <v/>
      </c>
      <c r="AA574" s="468" t="str">
        <f t="shared" si="61"/>
        <v/>
      </c>
      <c r="AB574" s="555" t="str">
        <f t="shared" si="62"/>
        <v/>
      </c>
      <c r="AP574" s="560">
        <f t="shared" si="57"/>
        <v>0</v>
      </c>
      <c r="AT574" t="str" cm="1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468" t="str">
        <f t="shared" si="60"/>
        <v/>
      </c>
    </row>
    <row r="575" spans="24:47" outlineLevel="1" x14ac:dyDescent="0.25">
      <c r="X575" t="str">
        <f t="shared" si="55"/>
        <v/>
      </c>
      <c r="Y575" t="str">
        <f t="shared" si="56"/>
        <v/>
      </c>
      <c r="AA575" s="468" t="str">
        <f t="shared" si="61"/>
        <v/>
      </c>
      <c r="AB575" s="555" t="str">
        <f t="shared" si="62"/>
        <v/>
      </c>
      <c r="AP575" s="560">
        <f t="shared" si="57"/>
        <v>0</v>
      </c>
      <c r="AT575" t="str" cm="1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468" t="str">
        <f t="shared" si="60"/>
        <v/>
      </c>
    </row>
    <row r="576" spans="24:47" outlineLevel="1" x14ac:dyDescent="0.25">
      <c r="X576" t="str">
        <f t="shared" si="55"/>
        <v/>
      </c>
      <c r="Y576" t="str">
        <f t="shared" si="56"/>
        <v/>
      </c>
      <c r="AA576" s="468" t="str">
        <f t="shared" si="61"/>
        <v/>
      </c>
      <c r="AB576" s="555" t="str">
        <f t="shared" si="62"/>
        <v/>
      </c>
      <c r="AP576" s="560">
        <f t="shared" si="57"/>
        <v>0</v>
      </c>
      <c r="AT576" t="str" cm="1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468" t="str">
        <f t="shared" si="60"/>
        <v/>
      </c>
    </row>
    <row r="577" spans="24:47" outlineLevel="1" x14ac:dyDescent="0.25">
      <c r="X577" t="str">
        <f t="shared" si="55"/>
        <v/>
      </c>
      <c r="Y577" t="str">
        <f t="shared" si="56"/>
        <v/>
      </c>
      <c r="AA577" s="468" t="str">
        <f t="shared" si="61"/>
        <v/>
      </c>
      <c r="AB577" s="555" t="str">
        <f t="shared" si="62"/>
        <v/>
      </c>
      <c r="AP577" s="560">
        <f t="shared" si="57"/>
        <v>0</v>
      </c>
      <c r="AT577" t="str" cm="1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468" t="str">
        <f t="shared" si="60"/>
        <v/>
      </c>
    </row>
    <row r="578" spans="24:47" outlineLevel="1" x14ac:dyDescent="0.25">
      <c r="X578" t="str">
        <f t="shared" si="55"/>
        <v/>
      </c>
      <c r="Y578" t="str">
        <f t="shared" si="56"/>
        <v/>
      </c>
      <c r="AA578" s="468" t="str">
        <f t="shared" si="61"/>
        <v/>
      </c>
      <c r="AB578" s="555" t="str">
        <f t="shared" si="62"/>
        <v/>
      </c>
      <c r="AP578" s="560">
        <f t="shared" si="57"/>
        <v>0</v>
      </c>
      <c r="AT578" t="str" cm="1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468" t="str">
        <f t="shared" si="60"/>
        <v/>
      </c>
    </row>
    <row r="579" spans="24:47" outlineLevel="1" x14ac:dyDescent="0.25">
      <c r="X579" t="str">
        <f t="shared" si="55"/>
        <v/>
      </c>
      <c r="Y579" t="str">
        <f t="shared" si="56"/>
        <v/>
      </c>
      <c r="AA579" s="468" t="str">
        <f t="shared" si="61"/>
        <v/>
      </c>
      <c r="AB579" s="555" t="str">
        <f t="shared" si="62"/>
        <v/>
      </c>
      <c r="AP579" s="560">
        <f t="shared" si="57"/>
        <v>0</v>
      </c>
      <c r="AT579" t="str" cm="1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468" t="str">
        <f t="shared" si="60"/>
        <v/>
      </c>
    </row>
    <row r="580" spans="24:47" outlineLevel="1" x14ac:dyDescent="0.25">
      <c r="X580" t="str">
        <f t="shared" si="55"/>
        <v/>
      </c>
      <c r="Y580" t="str">
        <f t="shared" si="56"/>
        <v/>
      </c>
      <c r="AA580" s="468" t="str">
        <f t="shared" si="61"/>
        <v/>
      </c>
      <c r="AB580" s="555" t="str">
        <f t="shared" si="62"/>
        <v/>
      </c>
      <c r="AP580" s="560">
        <f t="shared" si="57"/>
        <v>0</v>
      </c>
      <c r="AT580" t="str" cm="1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468" t="str">
        <f t="shared" si="60"/>
        <v/>
      </c>
    </row>
    <row r="581" spans="24:47" outlineLevel="1" x14ac:dyDescent="0.25">
      <c r="X581" t="str">
        <f t="shared" si="55"/>
        <v/>
      </c>
      <c r="Y581" t="str">
        <f t="shared" si="56"/>
        <v/>
      </c>
      <c r="AA581" s="468" t="str">
        <f t="shared" si="61"/>
        <v/>
      </c>
      <c r="AB581" s="555" t="str">
        <f t="shared" si="62"/>
        <v/>
      </c>
      <c r="AP581" s="560">
        <f t="shared" si="57"/>
        <v>0</v>
      </c>
      <c r="AT581" t="str" cm="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468" t="str">
        <f t="shared" si="60"/>
        <v/>
      </c>
    </row>
    <row r="582" spans="24:47" outlineLevel="1" x14ac:dyDescent="0.25">
      <c r="X582" t="str">
        <f t="shared" si="55"/>
        <v/>
      </c>
      <c r="Y582" t="str">
        <f t="shared" si="56"/>
        <v/>
      </c>
      <c r="AA582" s="468" t="str">
        <f t="shared" si="61"/>
        <v/>
      </c>
      <c r="AB582" s="555" t="str">
        <f t="shared" si="62"/>
        <v/>
      </c>
      <c r="AP582" s="560">
        <f t="shared" si="57"/>
        <v>0</v>
      </c>
      <c r="AT582" t="str" cm="1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468" t="str">
        <f t="shared" si="60"/>
        <v/>
      </c>
    </row>
    <row r="583" spans="24:47" outlineLevel="1" x14ac:dyDescent="0.25">
      <c r="X583" t="str">
        <f t="shared" si="55"/>
        <v/>
      </c>
      <c r="Y583" t="str">
        <f t="shared" si="56"/>
        <v/>
      </c>
      <c r="AA583" s="468" t="str">
        <f t="shared" si="61"/>
        <v/>
      </c>
      <c r="AB583" s="555" t="str">
        <f t="shared" si="62"/>
        <v/>
      </c>
      <c r="AP583" s="560">
        <f t="shared" si="57"/>
        <v>0</v>
      </c>
      <c r="AT583" t="str" cm="1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468" t="str">
        <f t="shared" ref="AU583:AU614" si="63">IF(AC583&lt;&gt;"",AC583,IF(AT583="Implied",-(I583-J583),IF(OR(AT583="Step-up",AT583="Rate-swap"),"see notes","")))</f>
        <v/>
      </c>
    </row>
    <row r="584" spans="24:47" outlineLevel="1" x14ac:dyDescent="0.25">
      <c r="X584" t="str">
        <f t="shared" si="55"/>
        <v/>
      </c>
      <c r="Y584" t="str">
        <f t="shared" si="56"/>
        <v/>
      </c>
      <c r="AA584" s="468" t="str">
        <f t="shared" si="61"/>
        <v/>
      </c>
      <c r="AB584" s="555" t="str">
        <f t="shared" si="62"/>
        <v/>
      </c>
      <c r="AP584" s="560">
        <f t="shared" si="57"/>
        <v>0</v>
      </c>
      <c r="AT584" t="str" cm="1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468" t="str">
        <f t="shared" si="63"/>
        <v/>
      </c>
    </row>
    <row r="585" spans="24:47" outlineLevel="1" x14ac:dyDescent="0.25">
      <c r="X585" t="str">
        <f t="shared" si="55"/>
        <v/>
      </c>
      <c r="Y585" t="str">
        <f t="shared" si="56"/>
        <v/>
      </c>
      <c r="AA585" s="468" t="str">
        <f t="shared" si="61"/>
        <v/>
      </c>
      <c r="AB585" s="555" t="str">
        <f t="shared" si="62"/>
        <v/>
      </c>
      <c r="AP585" s="560">
        <f t="shared" si="57"/>
        <v>0</v>
      </c>
      <c r="AT585" t="str" cm="1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468" t="str">
        <f t="shared" si="63"/>
        <v/>
      </c>
    </row>
    <row r="586" spans="24:47" outlineLevel="1" x14ac:dyDescent="0.25">
      <c r="X586" t="str">
        <f t="shared" si="55"/>
        <v/>
      </c>
      <c r="Y586" t="str">
        <f t="shared" si="56"/>
        <v/>
      </c>
      <c r="AA586" s="468" t="str">
        <f t="shared" si="61"/>
        <v/>
      </c>
      <c r="AB586" s="555" t="str">
        <f t="shared" si="62"/>
        <v/>
      </c>
      <c r="AP586" s="560">
        <f t="shared" si="57"/>
        <v>0</v>
      </c>
      <c r="AT586" t="str" cm="1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468" t="str">
        <f t="shared" si="63"/>
        <v/>
      </c>
    </row>
    <row r="587" spans="24:47" outlineLevel="1" x14ac:dyDescent="0.25">
      <c r="X587" t="str">
        <f t="shared" si="55"/>
        <v/>
      </c>
      <c r="Y587" t="str">
        <f t="shared" si="56"/>
        <v/>
      </c>
      <c r="AA587" s="468" t="str">
        <f t="shared" si="61"/>
        <v/>
      </c>
      <c r="AB587" s="555" t="str">
        <f t="shared" si="62"/>
        <v/>
      </c>
      <c r="AP587" s="560">
        <f t="shared" si="57"/>
        <v>0</v>
      </c>
      <c r="AT587" t="str" cm="1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468" t="str">
        <f t="shared" si="63"/>
        <v/>
      </c>
    </row>
    <row r="588" spans="24:47" outlineLevel="1" x14ac:dyDescent="0.25">
      <c r="X588" t="str">
        <f t="shared" si="55"/>
        <v/>
      </c>
      <c r="Y588" t="str">
        <f t="shared" si="56"/>
        <v/>
      </c>
      <c r="AA588" s="468" t="str">
        <f t="shared" si="61"/>
        <v/>
      </c>
      <c r="AB588" s="555" t="str">
        <f t="shared" si="62"/>
        <v/>
      </c>
      <c r="AP588" s="560">
        <f t="shared" si="57"/>
        <v>0</v>
      </c>
      <c r="AT588" t="str" cm="1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468" t="str">
        <f t="shared" si="63"/>
        <v/>
      </c>
    </row>
    <row r="589" spans="24:47" outlineLevel="1" x14ac:dyDescent="0.25">
      <c r="X589" t="str">
        <f t="shared" si="55"/>
        <v/>
      </c>
      <c r="Y589" t="str">
        <f t="shared" si="56"/>
        <v/>
      </c>
      <c r="AA589" s="468" t="str">
        <f t="shared" si="61"/>
        <v/>
      </c>
      <c r="AB589" s="555" t="str">
        <f t="shared" si="62"/>
        <v/>
      </c>
      <c r="AP589" s="560">
        <f t="shared" si="57"/>
        <v>0</v>
      </c>
      <c r="AT589" t="str" cm="1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468" t="str">
        <f t="shared" si="63"/>
        <v/>
      </c>
    </row>
    <row r="590" spans="24:47" outlineLevel="1" x14ac:dyDescent="0.25">
      <c r="X590" t="str">
        <f t="shared" si="55"/>
        <v/>
      </c>
      <c r="Y590" t="str">
        <f t="shared" si="56"/>
        <v/>
      </c>
      <c r="AA590" s="468" t="str">
        <f t="shared" si="61"/>
        <v/>
      </c>
      <c r="AB590" s="555" t="str">
        <f t="shared" si="62"/>
        <v/>
      </c>
      <c r="AP590" s="560">
        <f t="shared" si="57"/>
        <v>0</v>
      </c>
      <c r="AT590" t="str" cm="1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468" t="str">
        <f t="shared" si="63"/>
        <v/>
      </c>
    </row>
    <row r="591" spans="24:47" outlineLevel="1" x14ac:dyDescent="0.25">
      <c r="X591" t="str">
        <f t="shared" si="55"/>
        <v/>
      </c>
      <c r="Y591" t="str">
        <f t="shared" si="56"/>
        <v/>
      </c>
      <c r="AA591" s="468" t="str">
        <f t="shared" si="61"/>
        <v/>
      </c>
      <c r="AB591" s="555" t="str">
        <f t="shared" si="62"/>
        <v/>
      </c>
      <c r="AP591" s="560">
        <f t="shared" si="57"/>
        <v>0</v>
      </c>
      <c r="AT591" t="str" cm="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468" t="str">
        <f t="shared" si="63"/>
        <v/>
      </c>
    </row>
    <row r="592" spans="24:47" outlineLevel="1" x14ac:dyDescent="0.25">
      <c r="X592" t="str">
        <f t="shared" si="55"/>
        <v/>
      </c>
      <c r="Y592" t="str">
        <f t="shared" si="56"/>
        <v/>
      </c>
      <c r="AA592" s="468" t="str">
        <f t="shared" si="61"/>
        <v/>
      </c>
      <c r="AB592" s="555" t="str">
        <f t="shared" si="62"/>
        <v/>
      </c>
      <c r="AP592" s="560">
        <f t="shared" si="57"/>
        <v>0</v>
      </c>
      <c r="AT592" t="str" cm="1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468" t="str">
        <f t="shared" si="63"/>
        <v/>
      </c>
    </row>
    <row r="593" spans="24:47" outlineLevel="1" x14ac:dyDescent="0.25">
      <c r="X593" t="str">
        <f t="shared" si="55"/>
        <v/>
      </c>
      <c r="Y593" t="str">
        <f t="shared" si="56"/>
        <v/>
      </c>
      <c r="AA593" s="468" t="str">
        <f t="shared" si="61"/>
        <v/>
      </c>
      <c r="AB593" s="555" t="str">
        <f t="shared" si="62"/>
        <v/>
      </c>
      <c r="AP593" s="560">
        <f t="shared" si="57"/>
        <v>0</v>
      </c>
      <c r="AT593" t="str" cm="1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468" t="str">
        <f t="shared" si="63"/>
        <v/>
      </c>
    </row>
    <row r="594" spans="24:47" outlineLevel="1" x14ac:dyDescent="0.25">
      <c r="X594" t="str">
        <f t="shared" si="55"/>
        <v/>
      </c>
      <c r="Y594" t="str">
        <f t="shared" si="56"/>
        <v/>
      </c>
      <c r="AA594" s="468" t="str">
        <f t="shared" si="61"/>
        <v/>
      </c>
      <c r="AB594" s="555" t="str">
        <f t="shared" si="62"/>
        <v/>
      </c>
      <c r="AP594" s="560">
        <f t="shared" si="57"/>
        <v>0</v>
      </c>
      <c r="AT594" t="str" cm="1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468" t="str">
        <f t="shared" si="63"/>
        <v/>
      </c>
    </row>
    <row r="595" spans="24:47" outlineLevel="1" x14ac:dyDescent="0.25">
      <c r="X595" t="str">
        <f t="shared" si="55"/>
        <v/>
      </c>
      <c r="Y595" t="str">
        <f t="shared" si="56"/>
        <v/>
      </c>
      <c r="AA595" s="468" t="str">
        <f t="shared" si="61"/>
        <v/>
      </c>
      <c r="AB595" s="555" t="str">
        <f t="shared" si="62"/>
        <v/>
      </c>
      <c r="AP595" s="560">
        <f t="shared" si="57"/>
        <v>0</v>
      </c>
      <c r="AT595" t="str" cm="1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468" t="str">
        <f t="shared" si="63"/>
        <v/>
      </c>
    </row>
    <row r="596" spans="24:47" outlineLevel="1" x14ac:dyDescent="0.25">
      <c r="X596" t="str">
        <f t="shared" ref="X596:X610" si="64">IF(AND(E596="Occupied",C596&lt;&gt;"",D596&lt;&gt;""),C596&amp;"|"&amp;D596,"")</f>
        <v/>
      </c>
      <c r="Y596" t="str">
        <f t="shared" ref="Y596:Y610" si="65">IF(AND(C596&lt;&gt;"",D596&lt;&gt;""),C596&amp;"|"&amp;D596,"")</f>
        <v/>
      </c>
      <c r="AA596" s="468" t="str">
        <f t="shared" si="61"/>
        <v/>
      </c>
      <c r="AB596" s="555" t="str">
        <f t="shared" si="62"/>
        <v/>
      </c>
      <c r="AP596" s="560">
        <f t="shared" ref="AP596:AP610" si="66">SUM(AJ596:AN596)</f>
        <v>0</v>
      </c>
      <c r="AT596" t="str" cm="1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468" t="str">
        <f t="shared" si="63"/>
        <v/>
      </c>
    </row>
    <row r="597" spans="24:47" outlineLevel="1" x14ac:dyDescent="0.25">
      <c r="X597" t="str">
        <f t="shared" si="64"/>
        <v/>
      </c>
      <c r="Y597" t="str">
        <f t="shared" si="65"/>
        <v/>
      </c>
      <c r="AA597" s="468" t="str">
        <f t="shared" si="61"/>
        <v/>
      </c>
      <c r="AB597" s="555" t="str">
        <f t="shared" si="62"/>
        <v/>
      </c>
      <c r="AP597" s="560">
        <f t="shared" si="66"/>
        <v>0</v>
      </c>
      <c r="AT597" t="str" cm="1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468" t="str">
        <f t="shared" si="63"/>
        <v/>
      </c>
    </row>
    <row r="598" spans="24:47" outlineLevel="1" x14ac:dyDescent="0.25">
      <c r="X598" t="str">
        <f t="shared" si="64"/>
        <v/>
      </c>
      <c r="Y598" t="str">
        <f t="shared" si="65"/>
        <v/>
      </c>
      <c r="AA598" s="468" t="str">
        <f t="shared" si="61"/>
        <v/>
      </c>
      <c r="AB598" s="555" t="str">
        <f t="shared" si="62"/>
        <v/>
      </c>
      <c r="AP598" s="560">
        <f t="shared" si="66"/>
        <v>0</v>
      </c>
      <c r="AT598" t="str" cm="1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468" t="str">
        <f t="shared" si="63"/>
        <v/>
      </c>
    </row>
    <row r="599" spans="24:47" outlineLevel="1" x14ac:dyDescent="0.25">
      <c r="X599" t="str">
        <f t="shared" si="64"/>
        <v/>
      </c>
      <c r="Y599" t="str">
        <f t="shared" si="65"/>
        <v/>
      </c>
      <c r="AA599" s="468" t="str">
        <f t="shared" si="61"/>
        <v/>
      </c>
      <c r="AB599" s="555" t="str">
        <f t="shared" si="62"/>
        <v/>
      </c>
      <c r="AP599" s="560">
        <f t="shared" si="66"/>
        <v>0</v>
      </c>
      <c r="AT599" t="str" cm="1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468" t="str">
        <f t="shared" si="63"/>
        <v/>
      </c>
    </row>
    <row r="600" spans="24:47" outlineLevel="1" x14ac:dyDescent="0.25">
      <c r="X600" t="str">
        <f t="shared" si="64"/>
        <v/>
      </c>
      <c r="Y600" t="str">
        <f t="shared" si="65"/>
        <v/>
      </c>
      <c r="AA600" s="468" t="str">
        <f t="shared" si="61"/>
        <v/>
      </c>
      <c r="AB600" s="555" t="str">
        <f t="shared" si="62"/>
        <v/>
      </c>
      <c r="AP600" s="560">
        <f t="shared" si="66"/>
        <v>0</v>
      </c>
      <c r="AT600" t="str" cm="1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468" t="str">
        <f t="shared" si="63"/>
        <v/>
      </c>
    </row>
    <row r="601" spans="24:47" outlineLevel="1" x14ac:dyDescent="0.25">
      <c r="X601" t="str">
        <f t="shared" si="64"/>
        <v/>
      </c>
      <c r="Y601" t="str">
        <f t="shared" si="65"/>
        <v/>
      </c>
      <c r="AA601" s="468" t="str">
        <f t="shared" si="61"/>
        <v/>
      </c>
      <c r="AB601" s="555" t="str">
        <f t="shared" si="62"/>
        <v/>
      </c>
      <c r="AP601" s="560">
        <f t="shared" si="66"/>
        <v>0</v>
      </c>
      <c r="AT601" t="str" cm="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468" t="str">
        <f t="shared" si="63"/>
        <v/>
      </c>
    </row>
    <row r="602" spans="24:47" outlineLevel="1" x14ac:dyDescent="0.25">
      <c r="X602" t="str">
        <f t="shared" si="64"/>
        <v/>
      </c>
      <c r="Y602" t="str">
        <f t="shared" si="65"/>
        <v/>
      </c>
      <c r="AA602" s="468" t="str">
        <f t="shared" ref="AA602:AA610" si="67">IF(AND(J602&gt;0,I602&gt;0),I602-J602,"")</f>
        <v/>
      </c>
      <c r="AB602" s="555" t="str">
        <f t="shared" ref="AB602:AB610" si="68">IF(AND(J602&gt;0,I602&gt;0),(I602-J602)/I602,"")</f>
        <v/>
      </c>
      <c r="AP602" s="560">
        <f t="shared" si="66"/>
        <v>0</v>
      </c>
      <c r="AT602" t="str" cm="1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468" t="str">
        <f t="shared" si="63"/>
        <v/>
      </c>
    </row>
    <row r="603" spans="24:47" outlineLevel="1" x14ac:dyDescent="0.25">
      <c r="X603" t="str">
        <f t="shared" si="64"/>
        <v/>
      </c>
      <c r="Y603" t="str">
        <f t="shared" si="65"/>
        <v/>
      </c>
      <c r="AA603" s="468" t="str">
        <f t="shared" si="67"/>
        <v/>
      </c>
      <c r="AB603" s="555" t="str">
        <f t="shared" si="68"/>
        <v/>
      </c>
      <c r="AP603" s="560">
        <f t="shared" si="66"/>
        <v>0</v>
      </c>
      <c r="AT603" t="str" cm="1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468" t="str">
        <f t="shared" si="63"/>
        <v/>
      </c>
    </row>
    <row r="604" spans="24:47" outlineLevel="1" x14ac:dyDescent="0.25">
      <c r="X604" t="str">
        <f t="shared" si="64"/>
        <v/>
      </c>
      <c r="Y604" t="str">
        <f t="shared" si="65"/>
        <v/>
      </c>
      <c r="AA604" s="468" t="str">
        <f t="shared" si="67"/>
        <v/>
      </c>
      <c r="AB604" s="555" t="str">
        <f t="shared" si="68"/>
        <v/>
      </c>
      <c r="AP604" s="560">
        <f t="shared" si="66"/>
        <v>0</v>
      </c>
      <c r="AT604" t="str" cm="1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468" t="str">
        <f t="shared" si="63"/>
        <v/>
      </c>
    </row>
    <row r="605" spans="24:47" outlineLevel="1" x14ac:dyDescent="0.25">
      <c r="X605" t="str">
        <f t="shared" si="64"/>
        <v/>
      </c>
      <c r="Y605" t="str">
        <f t="shared" si="65"/>
        <v/>
      </c>
      <c r="AA605" s="468" t="str">
        <f t="shared" si="67"/>
        <v/>
      </c>
      <c r="AB605" s="555" t="str">
        <f t="shared" si="68"/>
        <v/>
      </c>
      <c r="AP605" s="560">
        <f t="shared" si="66"/>
        <v>0</v>
      </c>
      <c r="AT605" t="str" cm="1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468" t="str">
        <f t="shared" si="63"/>
        <v/>
      </c>
    </row>
    <row r="606" spans="24:47" outlineLevel="1" x14ac:dyDescent="0.25">
      <c r="X606" t="str">
        <f t="shared" si="64"/>
        <v/>
      </c>
      <c r="Y606" t="str">
        <f t="shared" si="65"/>
        <v/>
      </c>
      <c r="AA606" s="468" t="str">
        <f t="shared" si="67"/>
        <v/>
      </c>
      <c r="AB606" s="555" t="str">
        <f t="shared" si="68"/>
        <v/>
      </c>
      <c r="AP606" s="560">
        <f t="shared" si="66"/>
        <v>0</v>
      </c>
      <c r="AT606" t="str" cm="1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468" t="str">
        <f t="shared" si="63"/>
        <v/>
      </c>
    </row>
    <row r="607" spans="24:47" outlineLevel="1" x14ac:dyDescent="0.25">
      <c r="X607" t="str">
        <f t="shared" si="64"/>
        <v/>
      </c>
      <c r="Y607" t="str">
        <f t="shared" si="65"/>
        <v/>
      </c>
      <c r="AA607" s="468" t="str">
        <f t="shared" si="67"/>
        <v/>
      </c>
      <c r="AB607" s="555" t="str">
        <f t="shared" si="68"/>
        <v/>
      </c>
      <c r="AP607" s="560">
        <f t="shared" si="66"/>
        <v>0</v>
      </c>
      <c r="AT607" t="str" cm="1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468" t="str">
        <f t="shared" si="63"/>
        <v/>
      </c>
    </row>
    <row r="608" spans="24:47" outlineLevel="1" x14ac:dyDescent="0.25">
      <c r="X608" t="str">
        <f t="shared" si="64"/>
        <v/>
      </c>
      <c r="Y608" t="str">
        <f t="shared" si="65"/>
        <v/>
      </c>
      <c r="AA608" s="468" t="str">
        <f t="shared" si="67"/>
        <v/>
      </c>
      <c r="AB608" s="555" t="str">
        <f t="shared" si="68"/>
        <v/>
      </c>
      <c r="AP608" s="560">
        <f t="shared" si="66"/>
        <v>0</v>
      </c>
      <c r="AT608" t="str" cm="1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468" t="str">
        <f t="shared" si="63"/>
        <v/>
      </c>
    </row>
    <row r="609" spans="24:47" outlineLevel="1" x14ac:dyDescent="0.25">
      <c r="X609" t="str">
        <f t="shared" si="64"/>
        <v/>
      </c>
      <c r="Y609" t="str">
        <f t="shared" si="65"/>
        <v/>
      </c>
      <c r="AA609" s="468" t="str">
        <f t="shared" si="67"/>
        <v/>
      </c>
      <c r="AB609" s="555" t="str">
        <f t="shared" si="68"/>
        <v/>
      </c>
      <c r="AP609" s="560">
        <f t="shared" si="66"/>
        <v>0</v>
      </c>
      <c r="AT609" t="str" cm="1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468" t="str">
        <f t="shared" si="63"/>
        <v/>
      </c>
    </row>
    <row r="610" spans="24:47" outlineLevel="1" x14ac:dyDescent="0.25">
      <c r="X610" t="str">
        <f t="shared" si="64"/>
        <v/>
      </c>
      <c r="Y610" t="str">
        <f t="shared" si="65"/>
        <v/>
      </c>
      <c r="AA610" s="468" t="str">
        <f t="shared" si="67"/>
        <v/>
      </c>
      <c r="AB610" s="555" t="str">
        <f t="shared" si="68"/>
        <v/>
      </c>
      <c r="AP610" s="560">
        <f t="shared" si="66"/>
        <v>0</v>
      </c>
      <c r="AT610" t="str" cm="1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468" t="str">
        <f t="shared" si="63"/>
        <v/>
      </c>
    </row>
  </sheetData>
  <sortState xmlns:xlrd2="http://schemas.microsoft.com/office/spreadsheetml/2017/richdata2" ref="AA211:AB386">
    <sortCondition ref="AB211:AB386"/>
  </sortState>
  <mergeCells count="27">
    <mergeCell ref="A164:L164"/>
    <mergeCell ref="A126:V126"/>
    <mergeCell ref="A14:V14"/>
    <mergeCell ref="A154:L154"/>
    <mergeCell ref="A109:V109"/>
    <mergeCell ref="A50:L50"/>
    <mergeCell ref="A96:V96"/>
    <mergeCell ref="A134:V134"/>
    <mergeCell ref="A71:L71"/>
    <mergeCell ref="A40:V40"/>
    <mergeCell ref="A97:L97"/>
    <mergeCell ref="A135:L135"/>
    <mergeCell ref="A163:V163"/>
    <mergeCell ref="A49:V49"/>
    <mergeCell ref="A1:V1"/>
    <mergeCell ref="A61:V61"/>
    <mergeCell ref="A70:V70"/>
    <mergeCell ref="A153:V153"/>
    <mergeCell ref="A87:V87"/>
    <mergeCell ref="A7:V7"/>
    <mergeCell ref="A2:V2"/>
    <mergeCell ref="A4:V4"/>
    <mergeCell ref="A118:V118"/>
    <mergeCell ref="A88:L88"/>
    <mergeCell ref="A27:V27"/>
    <mergeCell ref="A110:L110"/>
    <mergeCell ref="A25:L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topLeftCell="O1" zoomScaleNormal="100" workbookViewId="0">
      <selection activeCell="AB31" sqref="AB31"/>
    </sheetView>
  </sheetViews>
  <sheetFormatPr defaultColWidth="8.85546875" defaultRowHeight="15" x14ac:dyDescent="0.25"/>
  <cols>
    <col min="1" max="1" width="20" customWidth="1"/>
    <col min="2" max="4" width="8" customWidth="1"/>
    <col min="5" max="5" width="25" customWidth="1"/>
    <col min="6" max="7" width="12" customWidth="1"/>
    <col min="8" max="12" width="14" customWidth="1"/>
    <col min="14" max="14" width="10.42578125" bestFit="1" customWidth="1"/>
    <col min="15" max="15" width="8" bestFit="1" customWidth="1"/>
    <col min="16" max="16" width="28" customWidth="1"/>
    <col min="17" max="18" width="10.42578125" customWidth="1"/>
    <col min="19" max="19" width="15.140625" customWidth="1"/>
    <col min="20" max="20" width="16.28515625" customWidth="1"/>
    <col min="21" max="21" width="12.85546875" customWidth="1"/>
    <col min="22" max="22" width="15.140625" customWidth="1"/>
    <col min="23" max="23" width="11.7109375" customWidth="1"/>
    <col min="24" max="24" width="15.140625" customWidth="1"/>
    <col min="25" max="25" width="16.28515625" customWidth="1"/>
    <col min="26" max="26" width="12.85546875" customWidth="1"/>
    <col min="27" max="27" width="42" customWidth="1"/>
    <col min="28" max="28" width="16.28515625" customWidth="1"/>
    <col min="29" max="29" width="42" customWidth="1"/>
  </cols>
  <sheetData>
    <row r="1" spans="1:29" ht="21.95" customHeight="1" x14ac:dyDescent="0.25">
      <c r="A1" s="827" t="s">
        <v>955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P1" s="873" t="s">
        <v>956</v>
      </c>
      <c r="Q1" s="874"/>
      <c r="R1" s="875"/>
      <c r="S1" s="874"/>
      <c r="T1" s="874"/>
      <c r="U1" s="876"/>
      <c r="V1" s="874"/>
      <c r="W1" s="874"/>
      <c r="X1" s="874"/>
      <c r="Y1" s="874"/>
      <c r="Z1" s="874"/>
      <c r="AA1" s="877"/>
      <c r="AB1" s="658"/>
      <c r="AC1" s="662"/>
    </row>
    <row r="2" spans="1:29" ht="15.75" customHeight="1" x14ac:dyDescent="0.25">
      <c r="A2" s="835" t="s">
        <v>957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N2" s="629" t="s">
        <v>1560</v>
      </c>
      <c r="O2" s="630" t="s">
        <v>1561</v>
      </c>
      <c r="P2" s="659" t="s">
        <v>958</v>
      </c>
      <c r="Q2" s="710" t="s">
        <v>959</v>
      </c>
      <c r="R2" s="717" t="s">
        <v>314</v>
      </c>
      <c r="S2" s="860" t="s">
        <v>960</v>
      </c>
      <c r="T2" s="861"/>
      <c r="U2" s="862"/>
      <c r="V2" s="860" t="s">
        <v>961</v>
      </c>
      <c r="W2" s="861"/>
      <c r="X2" s="861"/>
      <c r="Y2" s="861"/>
      <c r="Z2" s="861"/>
      <c r="AA2" s="737" t="s">
        <v>44</v>
      </c>
      <c r="AB2" s="656"/>
      <c r="AC2" s="663"/>
    </row>
    <row r="3" spans="1:29" ht="15.75" customHeight="1" x14ac:dyDescent="0.25">
      <c r="A3" s="220" t="s">
        <v>962</v>
      </c>
      <c r="E3" s="221">
        <f>'Prop Info'!B2</f>
        <v>0</v>
      </c>
      <c r="F3" s="222">
        <f>Scenarios!F38</f>
        <v>0</v>
      </c>
      <c r="G3" s="222">
        <f>Scenarios!F38</f>
        <v>0</v>
      </c>
      <c r="H3" s="222">
        <f>Scenarios!F38</f>
        <v>0</v>
      </c>
      <c r="P3" s="659" t="s">
        <v>963</v>
      </c>
      <c r="Q3" s="710" t="s">
        <v>959</v>
      </c>
      <c r="R3" s="717" t="s">
        <v>314</v>
      </c>
      <c r="S3" s="653" t="s">
        <v>964</v>
      </c>
      <c r="T3" s="652" t="s">
        <v>965</v>
      </c>
      <c r="U3" s="726" t="s">
        <v>966</v>
      </c>
      <c r="V3" s="653" t="s">
        <v>967</v>
      </c>
      <c r="W3" s="652" t="s">
        <v>968</v>
      </c>
      <c r="X3" s="652" t="s">
        <v>969</v>
      </c>
      <c r="Y3" s="652" t="s">
        <v>965</v>
      </c>
      <c r="Z3" s="710" t="s">
        <v>966</v>
      </c>
      <c r="AA3" s="737" t="s">
        <v>44</v>
      </c>
      <c r="AB3" s="656"/>
      <c r="AC3" s="663"/>
    </row>
    <row r="4" spans="1:29" ht="18" customHeight="1" x14ac:dyDescent="0.25">
      <c r="P4" s="868" t="s">
        <v>970</v>
      </c>
      <c r="Q4" s="869"/>
      <c r="R4" s="870"/>
      <c r="S4" s="869"/>
      <c r="T4" s="869"/>
      <c r="U4" s="871"/>
      <c r="V4" s="869"/>
      <c r="W4" s="869"/>
      <c r="X4" s="869"/>
      <c r="Y4" s="869"/>
      <c r="Z4" s="869"/>
      <c r="AA4" s="872"/>
      <c r="AB4" s="655"/>
      <c r="AC4" s="664"/>
    </row>
    <row r="5" spans="1:29" ht="15.95" customHeight="1" x14ac:dyDescent="0.25">
      <c r="A5" s="827" t="s">
        <v>971</v>
      </c>
      <c r="B5" s="817"/>
      <c r="C5" s="817"/>
      <c r="D5" s="817"/>
      <c r="E5" s="817"/>
      <c r="F5" s="817"/>
      <c r="G5" s="817"/>
      <c r="H5" s="817"/>
      <c r="I5" s="817"/>
      <c r="J5" s="817"/>
      <c r="K5" s="817"/>
      <c r="L5" s="817"/>
      <c r="P5" s="666" t="s">
        <v>972</v>
      </c>
      <c r="Q5" s="711">
        <f>IFERROR(AVERAGEIFS('Rent Roll Analysis'!T:T,'Rent Roll Analysis'!Y:Y,"IL|Studio",'Rent Roll Analysis'!T:T,"&gt;0"),0)</f>
        <v>0</v>
      </c>
      <c r="R5" s="718">
        <f>COUNTIF('Rent Roll Analysis'!Y:Y,"IL|Studio")</f>
        <v>0</v>
      </c>
      <c r="S5" s="762">
        <f>IFERROR(IF($O$2="Max",_xlfn.MAXIFS('Rent Roll Analysis'!I:I,'Rent Roll Analysis'!X:X,"IL|Studio"),AVERAGEIFS('Rent Roll Analysis'!I:I,'Rent Roll Analysis'!X:X,"IL|Studio",'Rent Roll Analysis'!I:I,"&gt;0")),0)</f>
        <v>0</v>
      </c>
      <c r="T5" s="667">
        <f>IFERROR(S5*R5,0)</f>
        <v>0</v>
      </c>
      <c r="U5" s="727">
        <f>IFERROR(S5/Q5,0)</f>
        <v>0</v>
      </c>
      <c r="V5" s="714">
        <f>IFERROR(H19,0)</f>
        <v>0</v>
      </c>
      <c r="W5" s="668" t="str">
        <f>IFERROR(V5/S5-1,"")</f>
        <v/>
      </c>
      <c r="X5" s="667">
        <f>IFERROR(V5-S5,"")</f>
        <v>0</v>
      </c>
      <c r="Y5" s="667">
        <f>IFERROR(V5*R5,0)</f>
        <v>0</v>
      </c>
      <c r="Z5" s="734">
        <f>IFERROR(V5/Q5,0)</f>
        <v>0</v>
      </c>
      <c r="AA5" s="772"/>
      <c r="AB5" s="669"/>
      <c r="AC5" s="670"/>
    </row>
    <row r="6" spans="1:29" ht="15.95" customHeight="1" x14ac:dyDescent="0.25">
      <c r="A6" s="32" t="s">
        <v>973</v>
      </c>
      <c r="B6" s="32" t="s">
        <v>974</v>
      </c>
      <c r="C6" s="32" t="s">
        <v>975</v>
      </c>
      <c r="D6" s="32" t="s">
        <v>963</v>
      </c>
      <c r="E6" s="32" t="s">
        <v>238</v>
      </c>
      <c r="F6" s="32" t="s">
        <v>976</v>
      </c>
      <c r="G6" s="32" t="s">
        <v>977</v>
      </c>
      <c r="H6" s="32" t="s">
        <v>978</v>
      </c>
      <c r="I6" s="32" t="s">
        <v>15</v>
      </c>
      <c r="J6" s="32" t="s">
        <v>959</v>
      </c>
      <c r="K6" s="32" t="s">
        <v>979</v>
      </c>
      <c r="L6" s="32" t="s">
        <v>44</v>
      </c>
      <c r="P6" s="671" t="s">
        <v>980</v>
      </c>
      <c r="Q6" s="712">
        <f>IFERROR(AVERAGEIFS('Rent Roll Analysis'!T:T,'Rent Roll Analysis'!Y:Y,"IL|1 Bedroom",'Rent Roll Analysis'!T:T,"&gt;0"),0)</f>
        <v>0</v>
      </c>
      <c r="R6" s="719">
        <f>COUNTIF('Rent Roll Analysis'!Y:Y,"IL|1 Bedroom")</f>
        <v>0</v>
      </c>
      <c r="S6" s="763">
        <f>IFERROR(IF($O$2="Max",_xlfn.MAXIFS('Rent Roll Analysis'!I:I,'Rent Roll Analysis'!X:X,"IL|1 Bedroom"),AVERAGEIFS('Rent Roll Analysis'!I:I,'Rent Roll Analysis'!X:X,"IL|1 Bedroom",'Rent Roll Analysis'!I:I,"&gt;0")),0)</f>
        <v>0</v>
      </c>
      <c r="T6" s="672">
        <f>IFERROR(S6*R6,0)</f>
        <v>0</v>
      </c>
      <c r="U6" s="728">
        <f>IFERROR(S6/Q6,0)</f>
        <v>0</v>
      </c>
      <c r="V6" s="715">
        <f>IFERROR(H19,0)</f>
        <v>0</v>
      </c>
      <c r="W6" s="673" t="str">
        <f>IFERROR(V6/S6-1,"")</f>
        <v/>
      </c>
      <c r="X6" s="672">
        <f>IFERROR(V6-S6,"")</f>
        <v>0</v>
      </c>
      <c r="Y6" s="672">
        <f>IFERROR(V6*R6,0)</f>
        <v>0</v>
      </c>
      <c r="Z6" s="735">
        <f>IFERROR(V6/Q6,0)</f>
        <v>0</v>
      </c>
      <c r="AA6" s="773"/>
      <c r="AB6" s="674"/>
      <c r="AC6" s="675"/>
    </row>
    <row r="7" spans="1:29" ht="15.95" customHeight="1" x14ac:dyDescent="0.25">
      <c r="A7" s="68"/>
      <c r="B7" s="68"/>
      <c r="C7" s="68"/>
      <c r="D7" s="223"/>
      <c r="E7" s="224"/>
      <c r="F7" s="63"/>
      <c r="G7" s="63"/>
      <c r="H7" s="75">
        <f t="shared" ref="H7:H18" si="0">IFERROR(F7+G7,0)</f>
        <v>0</v>
      </c>
      <c r="I7" s="73"/>
      <c r="J7" s="68"/>
      <c r="K7" s="178">
        <f t="shared" ref="K7:K18" si="1">IFERROR(F7/J7,0)</f>
        <v>0</v>
      </c>
      <c r="L7" s="224"/>
      <c r="P7" s="671" t="s">
        <v>981</v>
      </c>
      <c r="Q7" s="712">
        <f>IFERROR(AVERAGEIFS('Rent Roll Analysis'!T:T,'Rent Roll Analysis'!Y:Y,"IL|2 Bedroom",'Rent Roll Analysis'!T:T,"&gt;0"),0)</f>
        <v>0</v>
      </c>
      <c r="R7" s="719">
        <f>COUNTIF('Rent Roll Analysis'!Y:Y,"IL|2 Bedroom")</f>
        <v>0</v>
      </c>
      <c r="S7" s="763">
        <f>IFERROR(IF($O$2="Max",_xlfn.MAXIFS('Rent Roll Analysis'!I:I,'Rent Roll Analysis'!X:X,"IL|2 Bedroom"),AVERAGEIFS('Rent Roll Analysis'!I:I,'Rent Roll Analysis'!X:X,"IL|2 Bedroom",'Rent Roll Analysis'!I:I,"&gt;0")),0)</f>
        <v>0</v>
      </c>
      <c r="T7" s="672">
        <f>IFERROR(S7*R7,0)</f>
        <v>0</v>
      </c>
      <c r="U7" s="728">
        <f>IFERROR(S7/Q7,0)</f>
        <v>0</v>
      </c>
      <c r="V7" s="715">
        <f>IFERROR(H19,0)</f>
        <v>0</v>
      </c>
      <c r="W7" s="673" t="str">
        <f>IFERROR(V7/S7-1,"")</f>
        <v/>
      </c>
      <c r="X7" s="672">
        <f>IFERROR(V7-S7,"")</f>
        <v>0</v>
      </c>
      <c r="Y7" s="672">
        <f>IFERROR(V7*R7,0)</f>
        <v>0</v>
      </c>
      <c r="Z7" s="735">
        <f>IFERROR(V7/Q7,0)</f>
        <v>0</v>
      </c>
      <c r="AA7" s="773"/>
      <c r="AB7" s="674"/>
      <c r="AC7" s="675"/>
    </row>
    <row r="8" spans="1:29" ht="18" customHeight="1" x14ac:dyDescent="0.25">
      <c r="A8" s="107"/>
      <c r="B8" s="107"/>
      <c r="C8" s="107"/>
      <c r="D8" s="225"/>
      <c r="E8" s="226"/>
      <c r="F8" s="66"/>
      <c r="G8" s="66"/>
      <c r="H8" s="71">
        <f t="shared" si="0"/>
        <v>0</v>
      </c>
      <c r="I8" s="78"/>
      <c r="J8" s="107"/>
      <c r="K8" s="183">
        <f t="shared" si="1"/>
        <v>0</v>
      </c>
      <c r="L8" s="226"/>
      <c r="P8" s="863" t="s">
        <v>982</v>
      </c>
      <c r="Q8" s="864"/>
      <c r="R8" s="865"/>
      <c r="S8" s="864"/>
      <c r="T8" s="864"/>
      <c r="U8" s="866"/>
      <c r="V8" s="864"/>
      <c r="W8" s="864"/>
      <c r="X8" s="864"/>
      <c r="Y8" s="864"/>
      <c r="Z8" s="864"/>
      <c r="AA8" s="867"/>
      <c r="AB8" s="676"/>
      <c r="AC8" s="677"/>
    </row>
    <row r="9" spans="1:29" ht="15.95" customHeight="1" x14ac:dyDescent="0.25">
      <c r="A9" s="68"/>
      <c r="B9" s="68"/>
      <c r="C9" s="68"/>
      <c r="D9" s="223"/>
      <c r="E9" s="224"/>
      <c r="F9" s="63"/>
      <c r="G9" s="63"/>
      <c r="H9" s="75">
        <f t="shared" si="0"/>
        <v>0</v>
      </c>
      <c r="I9" s="73"/>
      <c r="J9" s="68"/>
      <c r="K9" s="178">
        <f t="shared" si="1"/>
        <v>0</v>
      </c>
      <c r="L9" s="224"/>
      <c r="P9" s="671" t="s">
        <v>983</v>
      </c>
      <c r="Q9" s="712">
        <f>IFERROR(AVERAGEIFS('Rent Roll Analysis'!T:T,'Rent Roll Analysis'!Y:Y,"AL|Studio",'Rent Roll Analysis'!T:T,"&gt;0"),0)</f>
        <v>0</v>
      </c>
      <c r="R9" s="719">
        <f>COUNTIF('Rent Roll Analysis'!Y:Y,"AL|Studio")</f>
        <v>0</v>
      </c>
      <c r="S9" s="763">
        <f>IFERROR(IF($O$2="Max",_xlfn.MAXIFS('Rent Roll Analysis'!I:I,'Rent Roll Analysis'!X:X,"AL|Studio"),AVERAGEIFS('Rent Roll Analysis'!I:I,'Rent Roll Analysis'!X:X,"AL|Studio",'Rent Roll Analysis'!I:I,"&gt;0")),0)</f>
        <v>0</v>
      </c>
      <c r="T9" s="672">
        <f>IFERROR(S9*R9,0)</f>
        <v>0</v>
      </c>
      <c r="U9" s="728">
        <f>IFERROR(S9/Q9,0)</f>
        <v>0</v>
      </c>
      <c r="V9" s="715">
        <f>IFERROR(H36,0)</f>
        <v>0</v>
      </c>
      <c r="W9" s="673" t="str">
        <f>IFERROR(V9/S9-1,"")</f>
        <v/>
      </c>
      <c r="X9" s="672">
        <f>IFERROR(V9-S9,"")</f>
        <v>0</v>
      </c>
      <c r="Y9" s="672">
        <f>IFERROR(V9*R9,0)</f>
        <v>0</v>
      </c>
      <c r="Z9" s="735">
        <f>IFERROR(V9/Q9,0)</f>
        <v>0</v>
      </c>
      <c r="AA9" s="773"/>
      <c r="AB9" s="674"/>
      <c r="AC9" s="675"/>
    </row>
    <row r="10" spans="1:29" ht="15.95" customHeight="1" x14ac:dyDescent="0.25">
      <c r="A10" s="107"/>
      <c r="B10" s="107"/>
      <c r="C10" s="107"/>
      <c r="D10" s="225"/>
      <c r="E10" s="226"/>
      <c r="F10" s="66"/>
      <c r="G10" s="66"/>
      <c r="H10" s="71">
        <f t="shared" si="0"/>
        <v>0</v>
      </c>
      <c r="I10" s="78"/>
      <c r="J10" s="107"/>
      <c r="K10" s="183">
        <f t="shared" si="1"/>
        <v>0</v>
      </c>
      <c r="L10" s="226"/>
      <c r="P10" s="671" t="s">
        <v>984</v>
      </c>
      <c r="Q10" s="712">
        <f>IFERROR(AVERAGEIFS('Rent Roll Analysis'!T:T,'Rent Roll Analysis'!Y:Y,"AL|Semi-Private",'Rent Roll Analysis'!T:T,"&gt;0"),0)</f>
        <v>0</v>
      </c>
      <c r="R10" s="719">
        <f>COUNTIF('Rent Roll Analysis'!Y:Y,"AL|Semi-Private")</f>
        <v>0</v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>0</v>
      </c>
      <c r="T10" s="672">
        <f>IFERROR(S10*R10,0)</f>
        <v>0</v>
      </c>
      <c r="U10" s="728">
        <f>IFERROR(S10/Q10,0)</f>
        <v>0</v>
      </c>
      <c r="V10" s="715">
        <f>IFERROR(H36,0)</f>
        <v>0</v>
      </c>
      <c r="W10" s="673" t="str">
        <f>IFERROR(V10/S10-1,"")</f>
        <v/>
      </c>
      <c r="X10" s="672">
        <f>IFERROR(V10-S10,"")</f>
        <v>0</v>
      </c>
      <c r="Y10" s="672">
        <f>IFERROR(V10*R10,0)</f>
        <v>0</v>
      </c>
      <c r="Z10" s="735">
        <f>IFERROR(V10/Q10,0)</f>
        <v>0</v>
      </c>
      <c r="AA10" s="773"/>
      <c r="AB10" s="674"/>
      <c r="AC10" s="675"/>
    </row>
    <row r="11" spans="1:29" ht="15.95" customHeight="1" x14ac:dyDescent="0.25">
      <c r="A11" s="68"/>
      <c r="B11" s="68"/>
      <c r="C11" s="68"/>
      <c r="D11" s="223"/>
      <c r="E11" s="224"/>
      <c r="F11" s="63"/>
      <c r="G11" s="63"/>
      <c r="H11" s="75">
        <f t="shared" si="0"/>
        <v>0</v>
      </c>
      <c r="I11" s="73"/>
      <c r="J11" s="68"/>
      <c r="K11" s="178">
        <f t="shared" si="1"/>
        <v>0</v>
      </c>
      <c r="L11" s="224"/>
      <c r="P11" s="671" t="s">
        <v>985</v>
      </c>
      <c r="Q11" s="712">
        <f>IFERROR(AVERAGEIFS('Rent Roll Analysis'!T:T,'Rent Roll Analysis'!Y:Y,"AL|1 Bedroom",'Rent Roll Analysis'!T:T,"&gt;0"),0)</f>
        <v>0</v>
      </c>
      <c r="R11" s="719">
        <f>COUNTIF('Rent Roll Analysis'!Y:Y,"AL|1 Bedroom")</f>
        <v>0</v>
      </c>
      <c r="S11" s="763">
        <f>IFERROR(IF($O$2="Max",_xlfn.MAXIFS('Rent Roll Analysis'!I:I,'Rent Roll Analysis'!X:X,"AL|1 Bedroom"),AVERAGEIFS('Rent Roll Analysis'!I:I,'Rent Roll Analysis'!X:X,"AL|1 Bedroom",'Rent Roll Analysis'!I:I,"&gt;0")),0)</f>
        <v>0</v>
      </c>
      <c r="T11" s="672">
        <f>IFERROR(S11*R11,0)</f>
        <v>0</v>
      </c>
      <c r="U11" s="728">
        <f>IFERROR(S11/Q11,0)</f>
        <v>0</v>
      </c>
      <c r="V11" s="715">
        <f>IFERROR(H36,0)</f>
        <v>0</v>
      </c>
      <c r="W11" s="673" t="str">
        <f>IFERROR(V11/S11-1,"")</f>
        <v/>
      </c>
      <c r="X11" s="672">
        <f>IFERROR(V11-S11,"")</f>
        <v>0</v>
      </c>
      <c r="Y11" s="672">
        <f>IFERROR(V11*R11,0)</f>
        <v>0</v>
      </c>
      <c r="Z11" s="735">
        <f>IFERROR(V11/Q11,0)</f>
        <v>0</v>
      </c>
      <c r="AA11" s="773"/>
      <c r="AB11" s="674"/>
      <c r="AC11" s="675"/>
    </row>
    <row r="12" spans="1:29" ht="18" customHeight="1" x14ac:dyDescent="0.25">
      <c r="A12" s="107"/>
      <c r="B12" s="107"/>
      <c r="C12" s="107"/>
      <c r="D12" s="225"/>
      <c r="E12" s="226"/>
      <c r="F12" s="66"/>
      <c r="G12" s="66"/>
      <c r="H12" s="71">
        <f t="shared" si="0"/>
        <v>0</v>
      </c>
      <c r="I12" s="78"/>
      <c r="J12" s="107"/>
      <c r="K12" s="183">
        <f t="shared" si="1"/>
        <v>0</v>
      </c>
      <c r="L12" s="226"/>
      <c r="P12" s="863" t="s">
        <v>986</v>
      </c>
      <c r="Q12" s="864"/>
      <c r="R12" s="865"/>
      <c r="S12" s="864"/>
      <c r="T12" s="864"/>
      <c r="U12" s="866"/>
      <c r="V12" s="864"/>
      <c r="W12" s="864"/>
      <c r="X12" s="864"/>
      <c r="Y12" s="864"/>
      <c r="Z12" s="864"/>
      <c r="AA12" s="867"/>
      <c r="AB12" s="676"/>
      <c r="AC12" s="677"/>
    </row>
    <row r="13" spans="1:29" ht="15.95" customHeight="1" x14ac:dyDescent="0.25">
      <c r="A13" s="68"/>
      <c r="B13" s="68"/>
      <c r="C13" s="68"/>
      <c r="D13" s="223"/>
      <c r="E13" s="224"/>
      <c r="F13" s="63"/>
      <c r="G13" s="63"/>
      <c r="H13" s="75">
        <f t="shared" si="0"/>
        <v>0</v>
      </c>
      <c r="I13" s="73"/>
      <c r="J13" s="68"/>
      <c r="K13" s="178">
        <f t="shared" si="1"/>
        <v>0</v>
      </c>
      <c r="L13" s="224"/>
      <c r="P13" s="671" t="s">
        <v>987</v>
      </c>
      <c r="Q13" s="712">
        <f>IFERROR(AVERAGEIFS('Rent Roll Analysis'!T:T,'Rent Roll Analysis'!Y:Y,"MC|Studio",'Rent Roll Analysis'!T:T,"&gt;0"),0)</f>
        <v>0</v>
      </c>
      <c r="R13" s="719">
        <f>COUNTIF('Rent Roll Analysis'!Y:Y,"MC|Studio")</f>
        <v>0</v>
      </c>
      <c r="S13" s="763">
        <f>IFERROR(IF($O$2="Max",_xlfn.MAXIFS('Rent Roll Analysis'!I:I,'Rent Roll Analysis'!X:X,"MC|Studio"),AVERAGEIFS('Rent Roll Analysis'!I:I,'Rent Roll Analysis'!X:X,"MC|Studio",'Rent Roll Analysis'!I:I,"&gt;0")),0)</f>
        <v>0</v>
      </c>
      <c r="T13" s="672">
        <f>IFERROR(S13*R13,0)</f>
        <v>0</v>
      </c>
      <c r="U13" s="728">
        <f>IFERROR(S13/Q13,0)</f>
        <v>0</v>
      </c>
      <c r="V13" s="715">
        <f>IFERROR(H53,0)</f>
        <v>0</v>
      </c>
      <c r="W13" s="673" t="str">
        <f>IFERROR(V13/S13-1,"")</f>
        <v/>
      </c>
      <c r="X13" s="672">
        <f>IFERROR(V13-S13,"")</f>
        <v>0</v>
      </c>
      <c r="Y13" s="672">
        <f>IFERROR(V13*R13,0)</f>
        <v>0</v>
      </c>
      <c r="Z13" s="735">
        <f>IFERROR(V13/Q13,0)</f>
        <v>0</v>
      </c>
      <c r="AA13" s="773"/>
      <c r="AB13" s="674"/>
      <c r="AC13" s="675"/>
    </row>
    <row r="14" spans="1:29" ht="15.95" customHeight="1" x14ac:dyDescent="0.25">
      <c r="A14" s="107"/>
      <c r="B14" s="107"/>
      <c r="C14" s="107"/>
      <c r="D14" s="225"/>
      <c r="E14" s="226"/>
      <c r="F14" s="66"/>
      <c r="G14" s="66"/>
      <c r="H14" s="71">
        <f t="shared" si="0"/>
        <v>0</v>
      </c>
      <c r="I14" s="78"/>
      <c r="J14" s="107"/>
      <c r="K14" s="183">
        <f t="shared" si="1"/>
        <v>0</v>
      </c>
      <c r="L14" s="226"/>
      <c r="P14" s="671" t="s">
        <v>988</v>
      </c>
      <c r="Q14" s="712">
        <f>IFERROR(AVERAGEIFS('Rent Roll Analysis'!T:T,'Rent Roll Analysis'!Y:Y,"MC|Semi-Private",'Rent Roll Analysis'!T:T,"&gt;0"),0)</f>
        <v>0</v>
      </c>
      <c r="R14" s="719">
        <f>COUNTIF('Rent Roll Analysis'!Y:Y,"MC|Semi-Private")</f>
        <v>0</v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>0</v>
      </c>
      <c r="T14" s="672">
        <f>IFERROR(S14*R14,0)</f>
        <v>0</v>
      </c>
      <c r="U14" s="728">
        <f>IFERROR(S14/Q14,0)</f>
        <v>0</v>
      </c>
      <c r="V14" s="715">
        <f>IFERROR(H53,0)</f>
        <v>0</v>
      </c>
      <c r="W14" s="673" t="str">
        <f>IFERROR(V14/S14-1,"")</f>
        <v/>
      </c>
      <c r="X14" s="672">
        <f>IFERROR(V14-S14,"")</f>
        <v>0</v>
      </c>
      <c r="Y14" s="672">
        <f>IFERROR(V14*R14,0)</f>
        <v>0</v>
      </c>
      <c r="Z14" s="735">
        <f>IFERROR(V14/Q14,0)</f>
        <v>0</v>
      </c>
      <c r="AA14" s="773"/>
      <c r="AB14" s="674"/>
      <c r="AC14" s="675"/>
    </row>
    <row r="15" spans="1:29" ht="15.95" customHeight="1" x14ac:dyDescent="0.25">
      <c r="A15" s="68"/>
      <c r="B15" s="68"/>
      <c r="C15" s="68"/>
      <c r="D15" s="223"/>
      <c r="E15" s="224"/>
      <c r="F15" s="63"/>
      <c r="G15" s="63"/>
      <c r="H15" s="75">
        <f t="shared" si="0"/>
        <v>0</v>
      </c>
      <c r="I15" s="73"/>
      <c r="J15" s="68"/>
      <c r="K15" s="178">
        <f t="shared" si="1"/>
        <v>0</v>
      </c>
      <c r="L15" s="224"/>
      <c r="P15" s="671" t="s">
        <v>989</v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>0</v>
      </c>
      <c r="R15" s="719">
        <f>COUNTIF('Rent Roll Analysis'!Y:Y,"?*")-R5-R6-R7-R9-R10-R11-R13-R14</f>
        <v>1</v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>0</v>
      </c>
      <c r="T15" s="672">
        <f>IFERROR(S15*R15,0)</f>
        <v>0</v>
      </c>
      <c r="U15" s="728">
        <f>IFERROR(S15/Q15,0)</f>
        <v>0</v>
      </c>
      <c r="V15" s="715">
        <f>IFERROR(AVERAGE(H19,H36,H53),0)</f>
        <v>0</v>
      </c>
      <c r="W15" s="673" t="str">
        <f>IFERROR(V15/S15-1,"")</f>
        <v/>
      </c>
      <c r="X15" s="672">
        <f>IFERROR(V15-S15,"")</f>
        <v>0</v>
      </c>
      <c r="Y15" s="672">
        <f>IFERROR(V15*R15,0)</f>
        <v>0</v>
      </c>
      <c r="Z15" s="735">
        <f>IFERROR(V15/Q15,0)</f>
        <v>0</v>
      </c>
      <c r="AA15" s="773"/>
      <c r="AB15" s="674"/>
      <c r="AC15" s="675"/>
    </row>
    <row r="16" spans="1:29" ht="18" customHeight="1" x14ac:dyDescent="0.25">
      <c r="A16" s="107"/>
      <c r="B16" s="107"/>
      <c r="C16" s="107"/>
      <c r="D16" s="225"/>
      <c r="E16" s="226"/>
      <c r="F16" s="66"/>
      <c r="G16" s="66"/>
      <c r="H16" s="71">
        <f t="shared" si="0"/>
        <v>0</v>
      </c>
      <c r="I16" s="78"/>
      <c r="J16" s="107"/>
      <c r="K16" s="183">
        <f t="shared" si="1"/>
        <v>0</v>
      </c>
      <c r="L16" s="226"/>
      <c r="P16" s="678" t="s">
        <v>990</v>
      </c>
      <c r="Q16" s="713">
        <f>IFERROR((Q5*R5+Q6*R6+Q7*R7+Q9*R9+Q10*R10+Q11*R11+Q13*R13+Q14*R14+Q15*R15)/(R5+R6+R7+R9+R10+R11+R13+R14+R15),0)</f>
        <v>0</v>
      </c>
      <c r="R16" s="721">
        <f>IFERROR(R5+R6+R7+R9+R10+R11+R13+R14+R15,0)</f>
        <v>1</v>
      </c>
      <c r="S16" s="716">
        <f>IFERROR((R5*S5+R6*S6+R7*S7+R9*S9+R10*S10+R11*S11+R13*S13+R14*S14+R15*S15)/(R5+R6+R7+R9+R10+R11+R13+R14+R15),0)</f>
        <v>0</v>
      </c>
      <c r="T16" s="679">
        <f>IFERROR(T5+T6+T7+T9+T10+T11+T13+T14+T15,0)</f>
        <v>0</v>
      </c>
      <c r="U16" s="729">
        <f>IFERROR(T16/Q16,0)</f>
        <v>0</v>
      </c>
      <c r="V16" s="716">
        <f>IFERROR((R5*V5+R6*V6+R7*V7+R9*V9+R10*V10+R11*V11+R13*V13+R14*V14+R15*V15)/(R5+R6+R7+R9+R10+R11+R13+R14+R15),0)</f>
        <v>0</v>
      </c>
      <c r="W16" s="680" t="str">
        <f>IFERROR(V16/S16-1,"")</f>
        <v/>
      </c>
      <c r="X16" s="679">
        <f>IFERROR(V16-S16,"")</f>
        <v>0</v>
      </c>
      <c r="Y16" s="679">
        <f>IFERROR(Y5+Y6+Y7+Y9+Y10+Y11+Y13+Y14+Y15,0)</f>
        <v>0</v>
      </c>
      <c r="Z16" s="736">
        <f>IFERROR(Y16/Q16,0)</f>
        <v>0</v>
      </c>
      <c r="AA16" s="774"/>
      <c r="AB16" s="681"/>
      <c r="AC16" s="682"/>
    </row>
    <row r="17" spans="1:29" ht="21.95" customHeight="1" x14ac:dyDescent="0.25">
      <c r="A17" s="68"/>
      <c r="B17" s="68"/>
      <c r="C17" s="68"/>
      <c r="D17" s="223"/>
      <c r="E17" s="224"/>
      <c r="F17" s="63"/>
      <c r="G17" s="63"/>
      <c r="H17" s="75">
        <f t="shared" si="0"/>
        <v>0</v>
      </c>
      <c r="I17" s="73"/>
      <c r="J17" s="68"/>
      <c r="K17" s="178">
        <f t="shared" si="1"/>
        <v>0</v>
      </c>
      <c r="L17" s="224"/>
      <c r="P17" s="660" t="s">
        <v>1562</v>
      </c>
      <c r="Q17" s="657"/>
      <c r="R17" s="661"/>
      <c r="S17" s="657"/>
      <c r="T17" s="657"/>
      <c r="U17" s="665"/>
      <c r="V17" s="657"/>
      <c r="W17" s="657"/>
      <c r="X17" s="657"/>
      <c r="Y17" s="657"/>
      <c r="Z17" s="657"/>
      <c r="AA17" s="738"/>
      <c r="AB17" s="657"/>
      <c r="AC17" s="665"/>
    </row>
    <row r="18" spans="1:29" ht="18" customHeight="1" x14ac:dyDescent="0.25">
      <c r="A18" s="107"/>
      <c r="B18" s="107"/>
      <c r="C18" s="107"/>
      <c r="D18" s="225"/>
      <c r="E18" s="226"/>
      <c r="F18" s="66"/>
      <c r="G18" s="66"/>
      <c r="H18" s="71">
        <f t="shared" si="0"/>
        <v>0</v>
      </c>
      <c r="I18" s="78"/>
      <c r="J18" s="107"/>
      <c r="K18" s="183">
        <f t="shared" si="1"/>
        <v>0</v>
      </c>
      <c r="L18" s="226"/>
      <c r="P18" s="683" t="s">
        <v>1563</v>
      </c>
      <c r="Q18" s="684"/>
      <c r="R18" s="722"/>
      <c r="S18" s="684"/>
      <c r="T18" s="684"/>
      <c r="U18" s="685"/>
      <c r="V18" s="684"/>
      <c r="W18" s="684"/>
      <c r="X18" s="684"/>
      <c r="Y18" s="684"/>
      <c r="Z18" s="684"/>
      <c r="AA18" s="739"/>
      <c r="AB18" s="684"/>
      <c r="AC18" s="685"/>
    </row>
    <row r="19" spans="1:29" ht="15.95" customHeight="1" x14ac:dyDescent="0.25">
      <c r="A19" s="130" t="s">
        <v>993</v>
      </c>
      <c r="F19" s="80">
        <f>IFERROR(AVERAGEIF(F7:F18,"&gt;"&amp;0),0)</f>
        <v>0</v>
      </c>
      <c r="G19" s="80">
        <f>IFERROR(AVERAGEIF(G7:G18,"&gt;"&amp;0),0)</f>
        <v>0</v>
      </c>
      <c r="H19" s="80">
        <f>IFERROR(AVERAGEIF(H7:H18,"&gt;"&amp;0),0)</f>
        <v>0</v>
      </c>
      <c r="I19" s="135">
        <f>IFERROR(AVERAGEIF(I7:I18,"&gt;"&amp;0),0)</f>
        <v>0</v>
      </c>
      <c r="P19" s="686" t="s">
        <v>1564</v>
      </c>
      <c r="Q19" s="687"/>
      <c r="R19" s="723"/>
      <c r="S19" s="688"/>
      <c r="T19" s="689">
        <f>IFERROR(S19*R19,0)</f>
        <v>0</v>
      </c>
      <c r="U19" s="730">
        <f>IFERROR(S19/Q19,0)</f>
        <v>0</v>
      </c>
      <c r="V19" s="691">
        <f>IFERROR(H19,0)</f>
        <v>0</v>
      </c>
      <c r="W19" s="692" t="str">
        <f>IFERROR(V19/S19-1,"")</f>
        <v/>
      </c>
      <c r="X19" s="689">
        <f>IFERROR(V19-S19,"")</f>
        <v>0</v>
      </c>
      <c r="Y19" s="689">
        <f>IFERROR(V19*R19,0)</f>
        <v>0</v>
      </c>
      <c r="Z19" s="690">
        <f>IFERROR(V19/Q19,0)</f>
        <v>0</v>
      </c>
      <c r="AA19" s="740"/>
      <c r="AB19" s="674"/>
      <c r="AC19" s="675"/>
    </row>
    <row r="20" spans="1:29" ht="15.95" customHeight="1" x14ac:dyDescent="0.25">
      <c r="A20" s="228" t="s">
        <v>995</v>
      </c>
      <c r="F20" s="222">
        <f>Scenarios!F38-F19</f>
        <v>0</v>
      </c>
      <c r="P20" s="686" t="s">
        <v>1565</v>
      </c>
      <c r="Q20" s="687"/>
      <c r="R20" s="723"/>
      <c r="S20" s="688"/>
      <c r="T20" s="689">
        <f>IFERROR(S20*R20,0)</f>
        <v>0</v>
      </c>
      <c r="U20" s="730">
        <f>IFERROR(S20/Q20,0)</f>
        <v>0</v>
      </c>
      <c r="V20" s="691">
        <f>IFERROR(H19,0)</f>
        <v>0</v>
      </c>
      <c r="W20" s="692" t="str">
        <f>IFERROR(V20/S20-1,"")</f>
        <v/>
      </c>
      <c r="X20" s="689">
        <f>IFERROR(V20-S20,"")</f>
        <v>0</v>
      </c>
      <c r="Y20" s="689">
        <f>IFERROR(V20*R20,0)</f>
        <v>0</v>
      </c>
      <c r="Z20" s="690">
        <f>IFERROR(V20/Q20,0)</f>
        <v>0</v>
      </c>
      <c r="AA20" s="740"/>
      <c r="AB20" s="674"/>
      <c r="AC20" s="675"/>
    </row>
    <row r="21" spans="1:29" ht="18" customHeight="1" x14ac:dyDescent="0.25">
      <c r="P21" s="693" t="s">
        <v>1566</v>
      </c>
      <c r="Q21" s="676"/>
      <c r="R21" s="720"/>
      <c r="S21" s="676"/>
      <c r="T21" s="676"/>
      <c r="U21" s="677"/>
      <c r="V21" s="676"/>
      <c r="W21" s="676"/>
      <c r="X21" s="676"/>
      <c r="Y21" s="676"/>
      <c r="Z21" s="676"/>
      <c r="AA21" s="741"/>
      <c r="AB21" s="676"/>
      <c r="AC21" s="677"/>
    </row>
    <row r="22" spans="1:29" ht="15.95" customHeight="1" x14ac:dyDescent="0.25">
      <c r="A22" s="830" t="s">
        <v>997</v>
      </c>
      <c r="B22" s="817"/>
      <c r="C22" s="817"/>
      <c r="D22" s="817"/>
      <c r="E22" s="817"/>
      <c r="F22" s="817"/>
      <c r="G22" s="817"/>
      <c r="H22" s="817"/>
      <c r="I22" s="817"/>
      <c r="J22" s="817"/>
      <c r="K22" s="817"/>
      <c r="L22" s="817"/>
      <c r="P22" s="686" t="s">
        <v>1564</v>
      </c>
      <c r="Q22" s="687"/>
      <c r="R22" s="723"/>
      <c r="S22" s="688"/>
      <c r="T22" s="689">
        <f>IFERROR(S22*R22,0)</f>
        <v>0</v>
      </c>
      <c r="U22" s="730">
        <f>IFERROR(S22/Q22,0)</f>
        <v>0</v>
      </c>
      <c r="V22" s="691">
        <f>IFERROR(H36,0)</f>
        <v>0</v>
      </c>
      <c r="W22" s="692" t="str">
        <f>IFERROR(V22/S22-1,"")</f>
        <v/>
      </c>
      <c r="X22" s="689">
        <f>IFERROR(V22-S22,"")</f>
        <v>0</v>
      </c>
      <c r="Y22" s="689">
        <f>IFERROR(V22*R22,0)</f>
        <v>0</v>
      </c>
      <c r="Z22" s="690">
        <f>IFERROR(V22/Q22,0)</f>
        <v>0</v>
      </c>
      <c r="AA22" s="740"/>
      <c r="AB22" s="674"/>
      <c r="AC22" s="675"/>
    </row>
    <row r="23" spans="1:29" ht="15.95" customHeight="1" x14ac:dyDescent="0.25">
      <c r="A23" s="19" t="s">
        <v>973</v>
      </c>
      <c r="B23" s="19" t="s">
        <v>974</v>
      </c>
      <c r="C23" s="19" t="s">
        <v>975</v>
      </c>
      <c r="D23" s="19" t="s">
        <v>963</v>
      </c>
      <c r="E23" s="19" t="s">
        <v>238</v>
      </c>
      <c r="F23" s="19" t="s">
        <v>976</v>
      </c>
      <c r="G23" s="19" t="s">
        <v>977</v>
      </c>
      <c r="H23" s="19" t="s">
        <v>978</v>
      </c>
      <c r="I23" s="19" t="s">
        <v>15</v>
      </c>
      <c r="J23" s="19" t="s">
        <v>959</v>
      </c>
      <c r="K23" s="19" t="s">
        <v>979</v>
      </c>
      <c r="L23" s="19" t="s">
        <v>44</v>
      </c>
      <c r="P23" s="686" t="s">
        <v>1565</v>
      </c>
      <c r="Q23" s="687"/>
      <c r="R23" s="723"/>
      <c r="S23" s="688"/>
      <c r="T23" s="689">
        <f>IFERROR(S23*R23,0)</f>
        <v>0</v>
      </c>
      <c r="U23" s="730">
        <f>IFERROR(S23/Q23,0)</f>
        <v>0</v>
      </c>
      <c r="V23" s="691">
        <f>IFERROR(H36,0)</f>
        <v>0</v>
      </c>
      <c r="W23" s="692" t="str">
        <f>IFERROR(V23/S23-1,"")</f>
        <v/>
      </c>
      <c r="X23" s="689">
        <f>IFERROR(V23-S23,"")</f>
        <v>0</v>
      </c>
      <c r="Y23" s="689">
        <f>IFERROR(V23*R23,0)</f>
        <v>0</v>
      </c>
      <c r="Z23" s="690">
        <f>IFERROR(V23/Q23,0)</f>
        <v>0</v>
      </c>
      <c r="AA23" s="740"/>
      <c r="AB23" s="674"/>
      <c r="AC23" s="675"/>
    </row>
    <row r="24" spans="1:29" ht="18" customHeight="1" x14ac:dyDescent="0.25">
      <c r="A24" s="68"/>
      <c r="B24" s="68"/>
      <c r="C24" s="68"/>
      <c r="D24" s="223"/>
      <c r="E24" s="224"/>
      <c r="F24" s="63"/>
      <c r="G24" s="63"/>
      <c r="H24" s="75">
        <f t="shared" ref="H24:H35" si="2">IFERROR(F24+G24,0)</f>
        <v>0</v>
      </c>
      <c r="I24" s="73"/>
      <c r="J24" s="68"/>
      <c r="K24" s="178">
        <f t="shared" ref="K24:K35" si="3">IFERROR(F24/J24,0)</f>
        <v>0</v>
      </c>
      <c r="L24" s="224"/>
      <c r="P24" s="693" t="s">
        <v>1567</v>
      </c>
      <c r="Q24" s="676"/>
      <c r="R24" s="720"/>
      <c r="S24" s="694"/>
      <c r="T24" s="695"/>
      <c r="U24" s="731"/>
      <c r="V24" s="676"/>
      <c r="W24" s="676"/>
      <c r="X24" s="676"/>
      <c r="Y24" s="676"/>
      <c r="Z24" s="676"/>
      <c r="AA24" s="741"/>
      <c r="AB24" s="676"/>
      <c r="AC24" s="677"/>
    </row>
    <row r="25" spans="1:29" ht="15.95" customHeight="1" x14ac:dyDescent="0.25">
      <c r="A25" s="107"/>
      <c r="B25" s="107"/>
      <c r="C25" s="107"/>
      <c r="D25" s="225"/>
      <c r="E25" s="226"/>
      <c r="F25" s="66"/>
      <c r="G25" s="66"/>
      <c r="H25" s="71">
        <f t="shared" si="2"/>
        <v>0</v>
      </c>
      <c r="I25" s="78"/>
      <c r="J25" s="107"/>
      <c r="K25" s="183">
        <f t="shared" si="3"/>
        <v>0</v>
      </c>
      <c r="L25" s="226"/>
      <c r="P25" s="686" t="s">
        <v>1564</v>
      </c>
      <c r="Q25" s="687"/>
      <c r="R25" s="723"/>
      <c r="S25" s="688"/>
      <c r="T25" s="689">
        <f>IFERROR(S25*R25,0)</f>
        <v>0</v>
      </c>
      <c r="U25" s="730">
        <f>IFERROR(S25/Q25,0)</f>
        <v>0</v>
      </c>
      <c r="V25" s="691">
        <f>IFERROR(H53,0)</f>
        <v>0</v>
      </c>
      <c r="W25" s="692" t="str">
        <f>IFERROR(V25/S25-1,"")</f>
        <v/>
      </c>
      <c r="X25" s="689">
        <f>IFERROR(V25-S25,"")</f>
        <v>0</v>
      </c>
      <c r="Y25" s="689">
        <f>IFERROR(V25*R25,0)</f>
        <v>0</v>
      </c>
      <c r="Z25" s="690">
        <f>IFERROR(V25/Q25,0)</f>
        <v>0</v>
      </c>
      <c r="AA25" s="740"/>
      <c r="AB25" s="674"/>
      <c r="AC25" s="675"/>
    </row>
    <row r="26" spans="1:29" ht="18" customHeight="1" x14ac:dyDescent="0.25">
      <c r="A26" s="68"/>
      <c r="B26" s="68"/>
      <c r="C26" s="68"/>
      <c r="D26" s="223"/>
      <c r="E26" s="224"/>
      <c r="F26" s="63"/>
      <c r="G26" s="63"/>
      <c r="H26" s="75">
        <f t="shared" si="2"/>
        <v>0</v>
      </c>
      <c r="I26" s="73"/>
      <c r="J26" s="68"/>
      <c r="K26" s="178">
        <f t="shared" si="3"/>
        <v>0</v>
      </c>
      <c r="L26" s="224"/>
      <c r="P26" s="696" t="s">
        <v>1568</v>
      </c>
      <c r="Q26" s="697" cm="1">
        <f t="array" ref="Q26">IFERROR(SUMPRODUCT(Q19:Q25,ABS(R19:R25))/SUMPRODUCT(ABS(R19:R25)),0)</f>
        <v>0</v>
      </c>
      <c r="R26" s="724">
        <f>SUM(R19:R25)</f>
        <v>0</v>
      </c>
      <c r="S26" s="698" cm="1">
        <f t="array" ref="S26">IFERROR(SUMPRODUCT(S19:S25,ABS(R19:R25))/SUMPRODUCT(ABS(R19:R25)),0)</f>
        <v>0</v>
      </c>
      <c r="T26" s="698">
        <f>SUM(T19:T25)</f>
        <v>0</v>
      </c>
      <c r="U26" s="732">
        <f>IFERROR(T26/(Q26*R26),0)</f>
        <v>0</v>
      </c>
      <c r="V26" s="698" cm="1">
        <f t="array" ref="V26">IFERROR(SUMPRODUCT(V19:V25,ABS(R19:R25))/SUMPRODUCT(ABS(R19:R25)),0)</f>
        <v>0</v>
      </c>
      <c r="W26" s="700" t="str">
        <f>IFERROR(V26/S26-1,"")</f>
        <v/>
      </c>
      <c r="X26" s="698">
        <f>IFERROR(V26-S26,"")</f>
        <v>0</v>
      </c>
      <c r="Y26" s="698">
        <f>SUM(Y19:Y25)</f>
        <v>0</v>
      </c>
      <c r="Z26" s="699">
        <f>IFERROR(Y26/(Q26*R26),0)</f>
        <v>0</v>
      </c>
      <c r="AA26" s="742"/>
      <c r="AB26" s="701"/>
      <c r="AC26" s="702"/>
    </row>
    <row r="27" spans="1:29" ht="20.100000000000001" customHeight="1" thickBot="1" x14ac:dyDescent="0.3">
      <c r="A27" s="107"/>
      <c r="B27" s="107"/>
      <c r="C27" s="107"/>
      <c r="D27" s="225"/>
      <c r="E27" s="226"/>
      <c r="F27" s="66"/>
      <c r="G27" s="66"/>
      <c r="H27" s="71">
        <f t="shared" si="2"/>
        <v>0</v>
      </c>
      <c r="I27" s="78"/>
      <c r="J27" s="107"/>
      <c r="K27" s="183">
        <f t="shared" si="3"/>
        <v>0</v>
      </c>
      <c r="L27" s="226"/>
      <c r="P27" s="703" t="s">
        <v>1569</v>
      </c>
      <c r="Q27" s="704">
        <f>IFERROR((Q16*R16+Q26*R26)/(R16+R26),0)</f>
        <v>0</v>
      </c>
      <c r="R27" s="725">
        <f>R16+R26</f>
        <v>1</v>
      </c>
      <c r="S27" s="705">
        <f>IFERROR((S16*R16+S26*R26)/(R16+R26),0)</f>
        <v>0</v>
      </c>
      <c r="T27" s="705">
        <f>T16+T26</f>
        <v>0</v>
      </c>
      <c r="U27" s="733">
        <f>IFERROR(T27/(Q27*R27),0)</f>
        <v>0</v>
      </c>
      <c r="V27" s="705">
        <f>IFERROR((V16*R16+V26*R26)/(R16+R26),0)</f>
        <v>0</v>
      </c>
      <c r="W27" s="707" t="str">
        <f>IFERROR(V27/S27-1,"")</f>
        <v/>
      </c>
      <c r="X27" s="705">
        <f>IFERROR(V27-S27,"")</f>
        <v>0</v>
      </c>
      <c r="Y27" s="705">
        <f>Y16+Y26</f>
        <v>0</v>
      </c>
      <c r="Z27" s="706">
        <f>IFERROR(Y27/(Q27*R27),0)</f>
        <v>0</v>
      </c>
      <c r="AA27" s="743"/>
      <c r="AB27" s="708"/>
      <c r="AC27" s="709"/>
    </row>
    <row r="28" spans="1:29" ht="8.1" customHeight="1" thickBot="1" x14ac:dyDescent="0.3">
      <c r="A28" s="68"/>
      <c r="B28" s="68"/>
      <c r="C28" s="68"/>
      <c r="D28" s="223"/>
      <c r="E28" s="224"/>
      <c r="F28" s="63"/>
      <c r="G28" s="63"/>
      <c r="H28" s="75">
        <f t="shared" si="2"/>
        <v>0</v>
      </c>
      <c r="I28" s="73"/>
      <c r="J28" s="68"/>
      <c r="K28" s="178">
        <f t="shared" si="3"/>
        <v>0</v>
      </c>
      <c r="L28" s="224"/>
      <c r="P28" s="654"/>
      <c r="Q28" s="654"/>
      <c r="R28" s="654"/>
      <c r="S28" s="654"/>
      <c r="T28" s="654"/>
      <c r="U28" s="654"/>
      <c r="V28" s="654"/>
      <c r="W28" s="654"/>
      <c r="X28" s="654"/>
      <c r="Y28" s="654"/>
      <c r="Z28" s="654"/>
      <c r="AA28" s="654"/>
      <c r="AB28" s="654"/>
      <c r="AC28" s="654"/>
    </row>
    <row r="29" spans="1:29" ht="21.95" customHeight="1" x14ac:dyDescent="0.25">
      <c r="A29" s="107"/>
      <c r="B29" s="107"/>
      <c r="C29" s="107"/>
      <c r="D29" s="225"/>
      <c r="E29" s="226"/>
      <c r="F29" s="66"/>
      <c r="G29" s="66"/>
      <c r="H29" s="71">
        <f t="shared" si="2"/>
        <v>0</v>
      </c>
      <c r="I29" s="78"/>
      <c r="J29" s="107"/>
      <c r="K29" s="183">
        <f t="shared" si="3"/>
        <v>0</v>
      </c>
      <c r="L29" s="226"/>
      <c r="P29" s="746" t="s">
        <v>1570</v>
      </c>
      <c r="Q29" s="745" t="s">
        <v>1575</v>
      </c>
      <c r="R29" s="745"/>
      <c r="S29" s="757"/>
      <c r="T29" s="745"/>
      <c r="U29" s="745"/>
      <c r="V29" s="757"/>
      <c r="W29" s="745"/>
      <c r="X29" s="745"/>
      <c r="Y29" s="757"/>
      <c r="Z29" s="745"/>
      <c r="AA29" s="745"/>
      <c r="AB29" s="757"/>
      <c r="AC29" s="748"/>
    </row>
    <row r="30" spans="1:29" ht="20.100000000000001" customHeight="1" x14ac:dyDescent="0.25">
      <c r="A30" s="68"/>
      <c r="B30" s="68"/>
      <c r="C30" s="68"/>
      <c r="D30" s="223"/>
      <c r="E30" s="224"/>
      <c r="F30" s="63"/>
      <c r="G30" s="63"/>
      <c r="H30" s="75">
        <f t="shared" si="2"/>
        <v>0</v>
      </c>
      <c r="I30" s="73"/>
      <c r="J30" s="68"/>
      <c r="K30" s="178">
        <f t="shared" si="3"/>
        <v>0</v>
      </c>
      <c r="L30" s="224"/>
      <c r="P30" s="747"/>
      <c r="S30" s="758" t="s">
        <v>1571</v>
      </c>
      <c r="V30" s="758" t="s">
        <v>1572</v>
      </c>
      <c r="Y30" s="758" t="s">
        <v>1573</v>
      </c>
      <c r="AB30" s="758" t="s">
        <v>539</v>
      </c>
      <c r="AC30" s="749"/>
    </row>
    <row r="31" spans="1:29" ht="17.100000000000001" customHeight="1" x14ac:dyDescent="0.25">
      <c r="A31" s="107"/>
      <c r="B31" s="107"/>
      <c r="C31" s="107"/>
      <c r="D31" s="225"/>
      <c r="E31" s="226"/>
      <c r="F31" s="66"/>
      <c r="G31" s="66"/>
      <c r="H31" s="71">
        <f t="shared" si="2"/>
        <v>0</v>
      </c>
      <c r="I31" s="78"/>
      <c r="J31" s="107"/>
      <c r="K31" s="183">
        <f t="shared" si="3"/>
        <v>0</v>
      </c>
      <c r="L31" s="226"/>
      <c r="P31" s="750" t="s">
        <v>994</v>
      </c>
      <c r="Q31" s="751"/>
      <c r="R31" s="751"/>
      <c r="S31" s="759">
        <f>IFERROR(T16,0)</f>
        <v>0</v>
      </c>
      <c r="T31" s="751"/>
      <c r="U31" s="751"/>
      <c r="V31" s="759">
        <f>IFERROR(Y16,0)</f>
        <v>0</v>
      </c>
      <c r="W31" s="751"/>
      <c r="X31" s="751"/>
      <c r="Y31" s="759">
        <f>IFERROR(T27,0)</f>
        <v>0</v>
      </c>
      <c r="Z31" s="751"/>
      <c r="AA31" s="751" t="s">
        <v>1584</v>
      </c>
      <c r="AB31" s="759">
        <f>IFERROR('T-12 Analysis'!N58/12,0)</f>
        <v>0</v>
      </c>
      <c r="AC31" s="768" t="s">
        <v>1580</v>
      </c>
    </row>
    <row r="32" spans="1:29" ht="17.100000000000001" customHeight="1" x14ac:dyDescent="0.25">
      <c r="A32" s="68"/>
      <c r="B32" s="68"/>
      <c r="C32" s="68"/>
      <c r="D32" s="223"/>
      <c r="E32" s="224"/>
      <c r="F32" s="63"/>
      <c r="G32" s="63"/>
      <c r="H32" s="75">
        <f t="shared" si="2"/>
        <v>0</v>
      </c>
      <c r="I32" s="73"/>
      <c r="J32" s="68"/>
      <c r="K32" s="178">
        <f t="shared" si="3"/>
        <v>0</v>
      </c>
      <c r="L32" s="224"/>
      <c r="P32" s="752" t="s">
        <v>1574</v>
      </c>
      <c r="Q32" s="674"/>
      <c r="R32" s="674"/>
      <c r="S32" s="760">
        <f>IFERROR(S31*12,0)</f>
        <v>0</v>
      </c>
      <c r="T32" s="674"/>
      <c r="U32" s="674"/>
      <c r="V32" s="760">
        <f>IFERROR(V31*12,0)</f>
        <v>0</v>
      </c>
      <c r="W32" s="674"/>
      <c r="X32" s="674"/>
      <c r="Y32" s="760">
        <f>IFERROR(Y31*12,0)</f>
        <v>0</v>
      </c>
      <c r="Z32" s="674"/>
      <c r="AA32" s="753" t="s">
        <v>1576</v>
      </c>
      <c r="AB32" s="760">
        <f>IFERROR('T-12 Analysis'!N58,0)</f>
        <v>0</v>
      </c>
      <c r="AC32" s="769" t="s">
        <v>1581</v>
      </c>
    </row>
    <row r="33" spans="1:29" ht="17.100000000000001" customHeight="1" x14ac:dyDescent="0.25">
      <c r="A33" s="107"/>
      <c r="B33" s="107"/>
      <c r="C33" s="107"/>
      <c r="D33" s="225"/>
      <c r="E33" s="226"/>
      <c r="F33" s="66"/>
      <c r="G33" s="66"/>
      <c r="H33" s="71">
        <f t="shared" si="2"/>
        <v>0</v>
      </c>
      <c r="I33" s="78"/>
      <c r="J33" s="107"/>
      <c r="K33" s="183">
        <f t="shared" si="3"/>
        <v>0</v>
      </c>
      <c r="L33" s="226"/>
      <c r="P33" s="754" t="s">
        <v>996</v>
      </c>
      <c r="Q33" s="755"/>
      <c r="R33" s="755"/>
      <c r="S33" s="761">
        <f>IFERROR(S31/R16,0)</f>
        <v>0</v>
      </c>
      <c r="T33" s="755"/>
      <c r="U33" s="755"/>
      <c r="V33" s="761">
        <f>IFERROR(V31/R16,0)</f>
        <v>0</v>
      </c>
      <c r="W33" s="755"/>
      <c r="X33" s="755"/>
      <c r="Y33" s="761">
        <f>IFERROR(Y31/R27,0)</f>
        <v>0</v>
      </c>
      <c r="Z33" s="755"/>
      <c r="AA33" s="756" t="s">
        <v>1585</v>
      </c>
      <c r="AB33" s="761">
        <f>IFERROR('T-12 Analysis'!N58/12/'Prop Info'!B15,0)</f>
        <v>0</v>
      </c>
      <c r="AC33" s="770" t="s">
        <v>1582</v>
      </c>
    </row>
    <row r="34" spans="1:29" ht="17.100000000000001" customHeight="1" thickBot="1" x14ac:dyDescent="0.3">
      <c r="A34" s="68"/>
      <c r="B34" s="68"/>
      <c r="C34" s="68"/>
      <c r="D34" s="223"/>
      <c r="E34" s="224"/>
      <c r="F34" s="63"/>
      <c r="G34" s="63"/>
      <c r="H34" s="75">
        <f t="shared" si="2"/>
        <v>0</v>
      </c>
      <c r="I34" s="73"/>
      <c r="J34" s="68"/>
      <c r="K34" s="178">
        <f t="shared" si="3"/>
        <v>0</v>
      </c>
      <c r="L34" s="224"/>
      <c r="P34" s="764" t="s">
        <v>1578</v>
      </c>
      <c r="Q34" s="765"/>
      <c r="R34" s="765"/>
      <c r="S34" s="766" t="s">
        <v>1579</v>
      </c>
      <c r="T34" s="765"/>
      <c r="U34" s="765"/>
      <c r="V34" s="766">
        <f>IFERROR(V31-S31,"")</f>
        <v>0</v>
      </c>
      <c r="W34" s="765"/>
      <c r="X34" s="765"/>
      <c r="Y34" s="766">
        <f>IFERROR(Y31-S31,"")</f>
        <v>0</v>
      </c>
      <c r="Z34" s="765"/>
      <c r="AA34" s="767" t="s">
        <v>1577</v>
      </c>
      <c r="AB34" s="766">
        <f>IFERROR(AB31-S31,"")</f>
        <v>0</v>
      </c>
      <c r="AC34" s="771" t="s">
        <v>1583</v>
      </c>
    </row>
    <row r="35" spans="1:29" ht="18" customHeight="1" x14ac:dyDescent="0.25">
      <c r="A35" s="107"/>
      <c r="B35" s="107"/>
      <c r="C35" s="107"/>
      <c r="D35" s="225"/>
      <c r="E35" s="226"/>
      <c r="F35" s="66"/>
      <c r="G35" s="66"/>
      <c r="H35" s="71">
        <f t="shared" si="2"/>
        <v>0</v>
      </c>
      <c r="I35" s="78"/>
      <c r="J35" s="107"/>
      <c r="K35" s="183">
        <f t="shared" si="3"/>
        <v>0</v>
      </c>
      <c r="L35" s="226"/>
    </row>
    <row r="36" spans="1:29" ht="18" customHeight="1" x14ac:dyDescent="0.25">
      <c r="A36" s="130" t="s">
        <v>998</v>
      </c>
      <c r="F36" s="80">
        <f>IFERROR(AVERAGEIF(F24:F35,"&gt;"&amp;0),0)</f>
        <v>0</v>
      </c>
      <c r="G36" s="80">
        <f>IFERROR(AVERAGEIF(G24:G35,"&gt;"&amp;0),0)</f>
        <v>0</v>
      </c>
      <c r="H36" s="80">
        <f>IFERROR(AVERAGEIF(H24:H35,"&gt;"&amp;0),0)</f>
        <v>0</v>
      </c>
      <c r="I36" s="135">
        <f>IFERROR(AVERAGEIF(I24:I35,"&gt;"&amp;0),0)</f>
        <v>0</v>
      </c>
    </row>
    <row r="37" spans="1:29" ht="18" customHeight="1" x14ac:dyDescent="0.25">
      <c r="A37" s="228" t="s">
        <v>999</v>
      </c>
      <c r="F37" s="222">
        <f>Scenarios!F38-F36</f>
        <v>0</v>
      </c>
    </row>
    <row r="39" spans="1:29" ht="24" customHeight="1" x14ac:dyDescent="0.25">
      <c r="A39" s="839" t="s">
        <v>1000</v>
      </c>
      <c r="B39" s="817"/>
      <c r="C39" s="817"/>
      <c r="D39" s="817"/>
      <c r="E39" s="817"/>
      <c r="F39" s="817"/>
      <c r="G39" s="817"/>
      <c r="H39" s="817"/>
      <c r="I39" s="817"/>
      <c r="J39" s="817"/>
      <c r="K39" s="817"/>
      <c r="L39" s="817"/>
    </row>
    <row r="40" spans="1:29" ht="30" customHeight="1" x14ac:dyDescent="0.25">
      <c r="A40" s="196" t="s">
        <v>973</v>
      </c>
      <c r="B40" s="196" t="s">
        <v>974</v>
      </c>
      <c r="C40" s="196" t="s">
        <v>975</v>
      </c>
      <c r="D40" s="196" t="s">
        <v>963</v>
      </c>
      <c r="E40" s="196" t="s">
        <v>238</v>
      </c>
      <c r="F40" s="196" t="s">
        <v>976</v>
      </c>
      <c r="G40" s="196" t="s">
        <v>977</v>
      </c>
      <c r="H40" s="196" t="s">
        <v>978</v>
      </c>
      <c r="I40" s="196" t="s">
        <v>15</v>
      </c>
      <c r="J40" s="196" t="s">
        <v>959</v>
      </c>
      <c r="K40" s="196" t="s">
        <v>979</v>
      </c>
      <c r="L40" s="196" t="s">
        <v>44</v>
      </c>
    </row>
    <row r="41" spans="1:29" ht="18" customHeight="1" x14ac:dyDescent="0.25">
      <c r="A41" s="68"/>
      <c r="B41" s="68"/>
      <c r="C41" s="68"/>
      <c r="D41" s="223"/>
      <c r="E41" s="224"/>
      <c r="F41" s="63"/>
      <c r="G41" s="63"/>
      <c r="H41" s="75">
        <f t="shared" ref="H41:H52" si="4">IFERROR(F41+G41,0)</f>
        <v>0</v>
      </c>
      <c r="I41" s="73"/>
      <c r="J41" s="68"/>
      <c r="K41" s="178">
        <f t="shared" ref="K41:K52" si="5">IFERROR(F41/J41,0)</f>
        <v>0</v>
      </c>
      <c r="L41" s="224"/>
    </row>
    <row r="42" spans="1:29" ht="18" customHeight="1" x14ac:dyDescent="0.25">
      <c r="A42" s="107"/>
      <c r="B42" s="107"/>
      <c r="C42" s="107"/>
      <c r="D42" s="225"/>
      <c r="E42" s="226"/>
      <c r="F42" s="66"/>
      <c r="G42" s="66"/>
      <c r="H42" s="71">
        <f t="shared" si="4"/>
        <v>0</v>
      </c>
      <c r="I42" s="78"/>
      <c r="J42" s="107"/>
      <c r="K42" s="183">
        <f t="shared" si="5"/>
        <v>0</v>
      </c>
      <c r="L42" s="226"/>
    </row>
    <row r="43" spans="1:29" ht="18" customHeight="1" x14ac:dyDescent="0.25">
      <c r="A43" s="68"/>
      <c r="B43" s="68"/>
      <c r="C43" s="68"/>
      <c r="D43" s="223"/>
      <c r="E43" s="224"/>
      <c r="F43" s="63"/>
      <c r="G43" s="63"/>
      <c r="H43" s="75">
        <f t="shared" si="4"/>
        <v>0</v>
      </c>
      <c r="I43" s="73"/>
      <c r="J43" s="68"/>
      <c r="K43" s="178">
        <f t="shared" si="5"/>
        <v>0</v>
      </c>
      <c r="L43" s="224"/>
    </row>
    <row r="44" spans="1:29" ht="18" customHeight="1" x14ac:dyDescent="0.25">
      <c r="A44" s="107"/>
      <c r="B44" s="107"/>
      <c r="C44" s="107"/>
      <c r="D44" s="225"/>
      <c r="E44" s="226"/>
      <c r="F44" s="66"/>
      <c r="G44" s="66"/>
      <c r="H44" s="71">
        <f t="shared" si="4"/>
        <v>0</v>
      </c>
      <c r="I44" s="78"/>
      <c r="J44" s="107"/>
      <c r="K44" s="183">
        <f t="shared" si="5"/>
        <v>0</v>
      </c>
      <c r="L44" s="226"/>
    </row>
    <row r="45" spans="1:29" ht="18" customHeight="1" x14ac:dyDescent="0.25">
      <c r="A45" s="68"/>
      <c r="B45" s="68"/>
      <c r="C45" s="68"/>
      <c r="D45" s="223"/>
      <c r="E45" s="224"/>
      <c r="F45" s="63"/>
      <c r="G45" s="63"/>
      <c r="H45" s="75">
        <f t="shared" si="4"/>
        <v>0</v>
      </c>
      <c r="I45" s="73"/>
      <c r="J45" s="68"/>
      <c r="K45" s="178">
        <f t="shared" si="5"/>
        <v>0</v>
      </c>
      <c r="L45" s="224"/>
    </row>
    <row r="46" spans="1:29" ht="18" customHeight="1" x14ac:dyDescent="0.25">
      <c r="A46" s="107"/>
      <c r="B46" s="107"/>
      <c r="C46" s="107"/>
      <c r="D46" s="225"/>
      <c r="E46" s="226"/>
      <c r="F46" s="66"/>
      <c r="G46" s="66"/>
      <c r="H46" s="71">
        <f t="shared" si="4"/>
        <v>0</v>
      </c>
      <c r="I46" s="78"/>
      <c r="J46" s="107"/>
      <c r="K46" s="183">
        <f t="shared" si="5"/>
        <v>0</v>
      </c>
      <c r="L46" s="226"/>
    </row>
    <row r="47" spans="1:29" ht="18" customHeight="1" x14ac:dyDescent="0.25">
      <c r="A47" s="68"/>
      <c r="B47" s="68"/>
      <c r="C47" s="68"/>
      <c r="D47" s="223"/>
      <c r="E47" s="224"/>
      <c r="F47" s="63"/>
      <c r="G47" s="63"/>
      <c r="H47" s="75">
        <f t="shared" si="4"/>
        <v>0</v>
      </c>
      <c r="I47" s="73"/>
      <c r="J47" s="68"/>
      <c r="K47" s="178">
        <f t="shared" si="5"/>
        <v>0</v>
      </c>
      <c r="L47" s="224"/>
    </row>
    <row r="48" spans="1:29" ht="18" customHeight="1" x14ac:dyDescent="0.25">
      <c r="A48" s="107"/>
      <c r="B48" s="107"/>
      <c r="C48" s="107"/>
      <c r="D48" s="225"/>
      <c r="E48" s="226"/>
      <c r="F48" s="66"/>
      <c r="G48" s="66"/>
      <c r="H48" s="71">
        <f t="shared" si="4"/>
        <v>0</v>
      </c>
      <c r="I48" s="78"/>
      <c r="J48" s="107"/>
      <c r="K48" s="183">
        <f t="shared" si="5"/>
        <v>0</v>
      </c>
      <c r="L48" s="226"/>
    </row>
    <row r="49" spans="1:12" ht="18" customHeight="1" x14ac:dyDescent="0.25">
      <c r="A49" s="68"/>
      <c r="B49" s="68"/>
      <c r="C49" s="68"/>
      <c r="D49" s="223"/>
      <c r="E49" s="224"/>
      <c r="F49" s="63"/>
      <c r="G49" s="63"/>
      <c r="H49" s="75">
        <f t="shared" si="4"/>
        <v>0</v>
      </c>
      <c r="I49" s="73"/>
      <c r="J49" s="68"/>
      <c r="K49" s="178">
        <f t="shared" si="5"/>
        <v>0</v>
      </c>
      <c r="L49" s="224"/>
    </row>
    <row r="50" spans="1:12" ht="18" customHeight="1" x14ac:dyDescent="0.25">
      <c r="A50" s="107"/>
      <c r="B50" s="107"/>
      <c r="C50" s="107"/>
      <c r="D50" s="225"/>
      <c r="E50" s="226"/>
      <c r="F50" s="66"/>
      <c r="G50" s="66"/>
      <c r="H50" s="71">
        <f t="shared" si="4"/>
        <v>0</v>
      </c>
      <c r="I50" s="78"/>
      <c r="J50" s="107"/>
      <c r="K50" s="183">
        <f t="shared" si="5"/>
        <v>0</v>
      </c>
      <c r="L50" s="226"/>
    </row>
    <row r="51" spans="1:12" ht="18" customHeight="1" x14ac:dyDescent="0.25">
      <c r="A51" s="68"/>
      <c r="B51" s="68"/>
      <c r="C51" s="68"/>
      <c r="D51" s="223"/>
      <c r="E51" s="224"/>
      <c r="F51" s="63"/>
      <c r="G51" s="63"/>
      <c r="H51" s="75">
        <f t="shared" si="4"/>
        <v>0</v>
      </c>
      <c r="I51" s="73"/>
      <c r="J51" s="68"/>
      <c r="K51" s="178">
        <f t="shared" si="5"/>
        <v>0</v>
      </c>
      <c r="L51" s="224"/>
    </row>
    <row r="52" spans="1:12" ht="18" customHeight="1" x14ac:dyDescent="0.25">
      <c r="A52" s="107"/>
      <c r="B52" s="107"/>
      <c r="C52" s="107"/>
      <c r="D52" s="225"/>
      <c r="E52" s="226"/>
      <c r="F52" s="66"/>
      <c r="G52" s="66"/>
      <c r="H52" s="71">
        <f t="shared" si="4"/>
        <v>0</v>
      </c>
      <c r="I52" s="78"/>
      <c r="J52" s="107"/>
      <c r="K52" s="183">
        <f t="shared" si="5"/>
        <v>0</v>
      </c>
      <c r="L52" s="226"/>
    </row>
    <row r="53" spans="1:12" ht="18" customHeight="1" x14ac:dyDescent="0.25">
      <c r="A53" s="130" t="s">
        <v>1001</v>
      </c>
      <c r="F53" s="80">
        <f>IFERROR(AVERAGEIF(F41:F52,"&gt;"&amp;0),0)</f>
        <v>0</v>
      </c>
      <c r="G53" s="80">
        <f>IFERROR(AVERAGEIF(G41:G52,"&gt;"&amp;0),0)</f>
        <v>0</v>
      </c>
      <c r="H53" s="80">
        <f>IFERROR(AVERAGEIF(H41:H52,"&gt;"&amp;0),0)</f>
        <v>0</v>
      </c>
      <c r="I53" s="135">
        <f>IFERROR(AVERAGEIF(I41:I52,"&gt;"&amp;0),0)</f>
        <v>0</v>
      </c>
    </row>
    <row r="54" spans="1:12" ht="18" customHeight="1" x14ac:dyDescent="0.25">
      <c r="A54" s="228" t="s">
        <v>1002</v>
      </c>
      <c r="F54" s="222">
        <f>Scenarios!F38-F53</f>
        <v>0</v>
      </c>
    </row>
  </sheetData>
  <mergeCells count="11"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  <mergeCell ref="A2:L2"/>
  </mergeCells>
  <dataValidations disablePrompts="1" count="1">
    <dataValidation type="list" allowBlank="1" showInputMessage="1" showErrorMessage="1" errorTitle="Rent Basis" error="Choose Average or Max" sqref="O2" xr:uid="{C484FE22-7AFA-E149-A8A9-E3588DC16507}">
      <formula1>"Average,Max"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3"/>
  <sheetViews>
    <sheetView topLeftCell="A7" zoomScaleNormal="100" workbookViewId="0">
      <selection activeCell="D52" sqref="D52"/>
    </sheetView>
  </sheetViews>
  <sheetFormatPr defaultColWidth="8.85546875" defaultRowHeight="15" x14ac:dyDescent="0.25"/>
  <cols>
    <col min="1" max="1" width="32" customWidth="1"/>
    <col min="2" max="2" width="10" customWidth="1"/>
    <col min="3" max="7" width="14" customWidth="1"/>
  </cols>
  <sheetData>
    <row r="1" spans="1:7" ht="24" customHeight="1" x14ac:dyDescent="0.25">
      <c r="A1" s="827" t="s">
        <v>1003</v>
      </c>
      <c r="B1" s="817"/>
      <c r="C1" s="817"/>
      <c r="D1" s="817"/>
      <c r="E1" s="817"/>
      <c r="F1" s="817"/>
      <c r="G1" s="817"/>
    </row>
    <row r="2" spans="1:7" ht="15.75" customHeight="1" x14ac:dyDescent="0.25">
      <c r="A2" s="835" t="s">
        <v>1004</v>
      </c>
      <c r="B2" s="817"/>
      <c r="C2" s="817"/>
      <c r="D2" s="817"/>
      <c r="E2" s="817"/>
      <c r="F2" s="817"/>
      <c r="G2" s="817"/>
    </row>
    <row r="3" spans="1:7" ht="30" customHeight="1" x14ac:dyDescent="0.25">
      <c r="A3" s="32" t="s">
        <v>757</v>
      </c>
      <c r="B3" s="32" t="s">
        <v>1005</v>
      </c>
      <c r="C3" s="32" t="s">
        <v>1006</v>
      </c>
      <c r="D3" s="32" t="s">
        <v>1007</v>
      </c>
      <c r="E3" s="32" t="s">
        <v>1008</v>
      </c>
      <c r="F3" s="32" t="s">
        <v>1009</v>
      </c>
      <c r="G3" s="32" t="s">
        <v>44</v>
      </c>
    </row>
    <row r="4" spans="1:7" ht="19.5" customHeight="1" x14ac:dyDescent="0.25">
      <c r="A4" s="833" t="s">
        <v>1010</v>
      </c>
      <c r="B4" s="817"/>
      <c r="C4" s="817"/>
      <c r="D4" s="817"/>
      <c r="E4" s="817"/>
      <c r="F4" s="817"/>
      <c r="G4" s="817"/>
    </row>
    <row r="5" spans="1:7" ht="18" customHeight="1" x14ac:dyDescent="0.25">
      <c r="A5" s="62" t="s">
        <v>1011</v>
      </c>
      <c r="B5" s="68"/>
      <c r="C5" s="63"/>
      <c r="D5" s="75">
        <f t="shared" ref="D5:D10" si="0">B5*C5</f>
        <v>0</v>
      </c>
      <c r="E5" s="223"/>
      <c r="F5" s="223"/>
    </row>
    <row r="6" spans="1:7" ht="18" customHeight="1" x14ac:dyDescent="0.25">
      <c r="A6" s="65" t="s">
        <v>1012</v>
      </c>
      <c r="B6" s="107"/>
      <c r="C6" s="66"/>
      <c r="D6" s="71">
        <f t="shared" si="0"/>
        <v>0</v>
      </c>
      <c r="E6" s="225"/>
      <c r="F6" s="225"/>
    </row>
    <row r="7" spans="1:7" ht="18" customHeight="1" x14ac:dyDescent="0.25">
      <c r="A7" s="62" t="s">
        <v>1013</v>
      </c>
      <c r="B7" s="68"/>
      <c r="C7" s="63"/>
      <c r="D7" s="75">
        <f t="shared" si="0"/>
        <v>0</v>
      </c>
      <c r="E7" s="223"/>
      <c r="F7" s="223"/>
    </row>
    <row r="8" spans="1:7" ht="18" customHeight="1" x14ac:dyDescent="0.25">
      <c r="A8" s="65" t="s">
        <v>1014</v>
      </c>
      <c r="B8" s="107"/>
      <c r="C8" s="66"/>
      <c r="D8" s="71">
        <f t="shared" si="0"/>
        <v>0</v>
      </c>
      <c r="E8" s="225"/>
      <c r="F8" s="225"/>
    </row>
    <row r="9" spans="1:7" ht="18" customHeight="1" x14ac:dyDescent="0.25">
      <c r="A9" s="62" t="s">
        <v>1015</v>
      </c>
      <c r="B9" s="68"/>
      <c r="C9" s="63"/>
      <c r="D9" s="75">
        <f t="shared" si="0"/>
        <v>0</v>
      </c>
      <c r="E9" s="223"/>
      <c r="F9" s="223"/>
    </row>
    <row r="10" spans="1:7" ht="18" customHeight="1" x14ac:dyDescent="0.25">
      <c r="A10" s="65" t="s">
        <v>1016</v>
      </c>
      <c r="B10" s="107"/>
      <c r="C10" s="66"/>
      <c r="D10" s="71">
        <f t="shared" si="0"/>
        <v>0</v>
      </c>
      <c r="E10" s="225"/>
      <c r="F10" s="225"/>
    </row>
    <row r="11" spans="1:7" ht="18" customHeight="1" x14ac:dyDescent="0.25">
      <c r="A11" s="137" t="s">
        <v>1017</v>
      </c>
      <c r="D11" s="79">
        <f>SUM(D5:D10)</f>
        <v>0</v>
      </c>
    </row>
    <row r="13" spans="1:7" ht="19.5" customHeight="1" x14ac:dyDescent="0.25">
      <c r="A13" s="833" t="s">
        <v>1018</v>
      </c>
      <c r="B13" s="817"/>
      <c r="C13" s="817"/>
      <c r="D13" s="817"/>
      <c r="E13" s="817"/>
      <c r="F13" s="817"/>
      <c r="G13" s="817"/>
    </row>
    <row r="14" spans="1:7" ht="18" customHeight="1" x14ac:dyDescent="0.25">
      <c r="A14" s="62" t="s">
        <v>1019</v>
      </c>
      <c r="B14" s="68">
        <v>1</v>
      </c>
      <c r="C14" s="63"/>
      <c r="D14" s="75">
        <f t="shared" ref="D14:D19" si="1">B14*C14</f>
        <v>0</v>
      </c>
      <c r="E14" s="223" t="s">
        <v>1020</v>
      </c>
      <c r="F14" s="223"/>
      <c r="G14" t="s">
        <v>1021</v>
      </c>
    </row>
    <row r="15" spans="1:7" ht="18" customHeight="1" x14ac:dyDescent="0.25">
      <c r="A15" s="65" t="s">
        <v>1022</v>
      </c>
      <c r="B15" s="107"/>
      <c r="C15" s="66"/>
      <c r="D15" s="71">
        <f t="shared" si="1"/>
        <v>0</v>
      </c>
      <c r="E15" s="225"/>
      <c r="F15" s="225"/>
      <c r="G15" t="s">
        <v>1021</v>
      </c>
    </row>
    <row r="16" spans="1:7" ht="18" customHeight="1" x14ac:dyDescent="0.25">
      <c r="A16" s="62" t="s">
        <v>1023</v>
      </c>
      <c r="B16" s="68"/>
      <c r="C16" s="63"/>
      <c r="D16" s="75">
        <f t="shared" si="1"/>
        <v>0</v>
      </c>
      <c r="E16" s="223"/>
      <c r="F16" s="223"/>
      <c r="G16" t="s">
        <v>1021</v>
      </c>
    </row>
    <row r="17" spans="1:7" ht="18" customHeight="1" x14ac:dyDescent="0.25">
      <c r="A17" s="65" t="s">
        <v>1024</v>
      </c>
      <c r="B17" s="107"/>
      <c r="C17" s="66"/>
      <c r="D17" s="71">
        <f t="shared" si="1"/>
        <v>0</v>
      </c>
      <c r="E17" s="225"/>
      <c r="F17" s="225"/>
    </row>
    <row r="18" spans="1:7" ht="18" customHeight="1" x14ac:dyDescent="0.25">
      <c r="A18" s="62" t="s">
        <v>1025</v>
      </c>
      <c r="B18" s="68"/>
      <c r="C18" s="63"/>
      <c r="D18" s="75">
        <f t="shared" si="1"/>
        <v>0</v>
      </c>
      <c r="E18" s="223"/>
      <c r="F18" s="223"/>
      <c r="G18" t="s">
        <v>1026</v>
      </c>
    </row>
    <row r="19" spans="1:7" ht="18" customHeight="1" x14ac:dyDescent="0.25">
      <c r="A19" s="65" t="s">
        <v>1027</v>
      </c>
      <c r="B19" s="107"/>
      <c r="C19" s="66"/>
      <c r="D19" s="71">
        <f t="shared" si="1"/>
        <v>0</v>
      </c>
      <c r="E19" s="225"/>
      <c r="F19" s="225"/>
    </row>
    <row r="20" spans="1:7" ht="18" customHeight="1" x14ac:dyDescent="0.25">
      <c r="A20" s="137" t="s">
        <v>1028</v>
      </c>
      <c r="D20" s="79">
        <f>SUM(D14:D19)</f>
        <v>0</v>
      </c>
    </row>
    <row r="22" spans="1:7" ht="19.5" customHeight="1" x14ac:dyDescent="0.25">
      <c r="A22" s="833" t="s">
        <v>1029</v>
      </c>
      <c r="B22" s="817"/>
      <c r="C22" s="817"/>
      <c r="D22" s="817"/>
      <c r="E22" s="817"/>
      <c r="F22" s="817"/>
      <c r="G22" s="817"/>
    </row>
    <row r="23" spans="1:7" ht="18" customHeight="1" x14ac:dyDescent="0.25">
      <c r="A23" s="62" t="s">
        <v>1030</v>
      </c>
      <c r="B23" s="68"/>
      <c r="C23" s="63"/>
      <c r="D23" s="75">
        <f t="shared" ref="D23:D28" si="2">B23*C23</f>
        <v>0</v>
      </c>
      <c r="E23" s="223"/>
      <c r="F23" s="223"/>
    </row>
    <row r="24" spans="1:7" ht="18" customHeight="1" x14ac:dyDescent="0.25">
      <c r="A24" s="65" t="s">
        <v>1031</v>
      </c>
      <c r="B24" s="107"/>
      <c r="C24" s="66"/>
      <c r="D24" s="71">
        <f t="shared" si="2"/>
        <v>0</v>
      </c>
      <c r="E24" s="225"/>
      <c r="F24" s="225"/>
    </row>
    <row r="25" spans="1:7" ht="18" customHeight="1" x14ac:dyDescent="0.25">
      <c r="A25" s="62" t="s">
        <v>1032</v>
      </c>
      <c r="B25" s="68"/>
      <c r="C25" s="63"/>
      <c r="D25" s="75">
        <f t="shared" si="2"/>
        <v>0</v>
      </c>
      <c r="E25" s="223"/>
      <c r="F25" s="223"/>
    </row>
    <row r="26" spans="1:7" ht="18" customHeight="1" x14ac:dyDescent="0.25">
      <c r="A26" s="65" t="s">
        <v>1033</v>
      </c>
      <c r="B26" s="107"/>
      <c r="C26" s="66"/>
      <c r="D26" s="71">
        <f t="shared" si="2"/>
        <v>0</v>
      </c>
      <c r="E26" s="225"/>
      <c r="F26" s="225"/>
    </row>
    <row r="27" spans="1:7" ht="18" customHeight="1" x14ac:dyDescent="0.25">
      <c r="A27" s="62" t="s">
        <v>1034</v>
      </c>
      <c r="B27" s="68"/>
      <c r="C27" s="63"/>
      <c r="D27" s="75">
        <f t="shared" si="2"/>
        <v>0</v>
      </c>
      <c r="E27" s="223"/>
      <c r="F27" s="223"/>
    </row>
    <row r="28" spans="1:7" ht="18" customHeight="1" x14ac:dyDescent="0.25">
      <c r="A28" s="65" t="s">
        <v>1035</v>
      </c>
      <c r="B28" s="107"/>
      <c r="C28" s="66"/>
      <c r="D28" s="71">
        <f t="shared" si="2"/>
        <v>0</v>
      </c>
      <c r="E28" s="225"/>
      <c r="F28" s="225"/>
    </row>
    <row r="29" spans="1:7" ht="18" customHeight="1" x14ac:dyDescent="0.25">
      <c r="A29" s="137" t="s">
        <v>1036</v>
      </c>
      <c r="D29" s="79">
        <f>SUM(D23:D28)</f>
        <v>0</v>
      </c>
    </row>
    <row r="31" spans="1:7" ht="19.5" customHeight="1" x14ac:dyDescent="0.25">
      <c r="A31" s="833" t="s">
        <v>1037</v>
      </c>
      <c r="B31" s="817"/>
      <c r="C31" s="817"/>
      <c r="D31" s="817"/>
      <c r="E31" s="817"/>
      <c r="F31" s="817"/>
      <c r="G31" s="817"/>
    </row>
    <row r="32" spans="1:7" ht="18" customHeight="1" x14ac:dyDescent="0.25">
      <c r="A32" s="62" t="s">
        <v>1038</v>
      </c>
      <c r="B32" s="68"/>
      <c r="C32" s="63"/>
      <c r="D32" s="75">
        <f t="shared" ref="D32:D37" si="3">B32*C32</f>
        <v>0</v>
      </c>
      <c r="E32" s="223"/>
      <c r="F32" s="223"/>
    </row>
    <row r="33" spans="1:7" ht="18" customHeight="1" x14ac:dyDescent="0.25">
      <c r="A33" s="65" t="s">
        <v>1039</v>
      </c>
      <c r="B33" s="107"/>
      <c r="C33" s="66"/>
      <c r="D33" s="71">
        <f t="shared" si="3"/>
        <v>0</v>
      </c>
      <c r="E33" s="225"/>
      <c r="F33" s="225"/>
    </row>
    <row r="34" spans="1:7" ht="18" customHeight="1" x14ac:dyDescent="0.25">
      <c r="A34" s="62" t="s">
        <v>1040</v>
      </c>
      <c r="B34" s="68"/>
      <c r="C34" s="63"/>
      <c r="D34" s="75">
        <f t="shared" si="3"/>
        <v>0</v>
      </c>
      <c r="E34" s="223"/>
      <c r="F34" s="223"/>
    </row>
    <row r="35" spans="1:7" ht="18" customHeight="1" x14ac:dyDescent="0.25">
      <c r="A35" s="65" t="s">
        <v>1041</v>
      </c>
      <c r="B35" s="107"/>
      <c r="C35" s="66"/>
      <c r="D35" s="71">
        <f t="shared" si="3"/>
        <v>0</v>
      </c>
      <c r="E35" s="225"/>
      <c r="F35" s="225"/>
    </row>
    <row r="36" spans="1:7" ht="18" customHeight="1" x14ac:dyDescent="0.25">
      <c r="A36" s="62" t="s">
        <v>1042</v>
      </c>
      <c r="B36" s="68"/>
      <c r="C36" s="63"/>
      <c r="D36" s="75">
        <f t="shared" si="3"/>
        <v>0</v>
      </c>
      <c r="E36" s="223"/>
      <c r="F36" s="223"/>
    </row>
    <row r="37" spans="1:7" ht="18" customHeight="1" x14ac:dyDescent="0.25">
      <c r="A37" s="65" t="s">
        <v>1043</v>
      </c>
      <c r="B37" s="107"/>
      <c r="C37" s="66"/>
      <c r="D37" s="71">
        <f t="shared" si="3"/>
        <v>0</v>
      </c>
      <c r="E37" s="225"/>
      <c r="F37" s="225"/>
    </row>
    <row r="38" spans="1:7" ht="18" customHeight="1" x14ac:dyDescent="0.25">
      <c r="A38" s="137" t="s">
        <v>1044</v>
      </c>
      <c r="D38" s="79">
        <f>SUM(D32:D37)</f>
        <v>0</v>
      </c>
    </row>
    <row r="40" spans="1:7" ht="19.5" customHeight="1" x14ac:dyDescent="0.25">
      <c r="A40" s="833" t="s">
        <v>1045</v>
      </c>
      <c r="B40" s="817"/>
      <c r="C40" s="817"/>
      <c r="D40" s="817"/>
      <c r="E40" s="817"/>
      <c r="F40" s="817"/>
      <c r="G40" s="817"/>
    </row>
    <row r="41" spans="1:7" ht="18" customHeight="1" x14ac:dyDescent="0.25">
      <c r="A41" s="62" t="s">
        <v>1046</v>
      </c>
      <c r="B41" s="68"/>
      <c r="C41" s="63"/>
      <c r="D41" s="75">
        <f>B41*C41</f>
        <v>0</v>
      </c>
      <c r="E41" s="223"/>
      <c r="F41" s="223"/>
    </row>
    <row r="42" spans="1:7" ht="18" customHeight="1" x14ac:dyDescent="0.25">
      <c r="A42" s="65" t="s">
        <v>1047</v>
      </c>
      <c r="B42" s="107"/>
      <c r="C42" s="66"/>
      <c r="D42" s="71">
        <f>B42*C42</f>
        <v>0</v>
      </c>
      <c r="E42" s="225"/>
      <c r="F42" s="225"/>
    </row>
    <row r="43" spans="1:7" ht="18" customHeight="1" x14ac:dyDescent="0.25">
      <c r="A43" s="62" t="s">
        <v>1048</v>
      </c>
      <c r="B43" s="68"/>
      <c r="C43" s="63"/>
      <c r="D43" s="75">
        <f>B43*C43</f>
        <v>0</v>
      </c>
      <c r="E43" s="223"/>
      <c r="F43" s="223"/>
    </row>
    <row r="44" spans="1:7" ht="18" customHeight="1" x14ac:dyDescent="0.25">
      <c r="A44" s="65" t="s">
        <v>1049</v>
      </c>
      <c r="B44" s="107"/>
      <c r="C44" s="66"/>
      <c r="D44" s="71">
        <f>B44*C44</f>
        <v>0</v>
      </c>
      <c r="E44" s="225"/>
      <c r="F44" s="225"/>
    </row>
    <row r="45" spans="1:7" ht="18" customHeight="1" x14ac:dyDescent="0.25">
      <c r="A45" s="137" t="s">
        <v>1050</v>
      </c>
      <c r="D45" s="79">
        <f>SUM(D41:D44)</f>
        <v>0</v>
      </c>
    </row>
    <row r="47" spans="1:7" ht="19.5" customHeight="1" x14ac:dyDescent="0.25">
      <c r="A47" s="833" t="s">
        <v>1051</v>
      </c>
      <c r="B47" s="817"/>
      <c r="C47" s="817"/>
      <c r="D47" s="817"/>
      <c r="E47" s="817"/>
      <c r="F47" s="817"/>
      <c r="G47" s="817"/>
    </row>
    <row r="48" spans="1:7" ht="18" customHeight="1" x14ac:dyDescent="0.25">
      <c r="A48" s="62" t="s">
        <v>1052</v>
      </c>
      <c r="B48" s="68"/>
      <c r="D48" s="75">
        <f>(D11+D20+D29+D38+D45)*0.1</f>
        <v>0</v>
      </c>
      <c r="E48" s="223"/>
      <c r="F48" s="223"/>
    </row>
    <row r="49" spans="1:4" ht="18" customHeight="1" x14ac:dyDescent="0.25">
      <c r="A49" s="137" t="s">
        <v>1053</v>
      </c>
      <c r="D49" s="79">
        <f>SUM(D48:D48)</f>
        <v>0</v>
      </c>
    </row>
    <row r="51" spans="1:4" ht="18" customHeight="1" x14ac:dyDescent="0.25">
      <c r="A51" s="4" t="s">
        <v>1054</v>
      </c>
      <c r="D51" s="160">
        <f>SUM(D11,D20,D29,D38,D45,D49)</f>
        <v>0</v>
      </c>
    </row>
    <row r="52" spans="1:4" ht="18" customHeight="1" x14ac:dyDescent="0.25">
      <c r="A52" s="229" t="s">
        <v>1055</v>
      </c>
      <c r="D52" s="64">
        <f>SUMIF(E4:E50,"VA",D4:D50)</f>
        <v>0</v>
      </c>
    </row>
    <row r="53" spans="1:4" ht="18" customHeight="1" x14ac:dyDescent="0.25">
      <c r="A53" s="8" t="s">
        <v>1056</v>
      </c>
      <c r="D53" s="75">
        <f>SUMIF(E4:E50,"M",D4:D50)</f>
        <v>0</v>
      </c>
    </row>
  </sheetData>
  <mergeCells count="8">
    <mergeCell ref="A47:G47"/>
    <mergeCell ref="A13:G13"/>
    <mergeCell ref="A1:G1"/>
    <mergeCell ref="A40:G40"/>
    <mergeCell ref="A31:G31"/>
    <mergeCell ref="A22:G22"/>
    <mergeCell ref="A4:G4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2"/>
  <sheetViews>
    <sheetView zoomScale="120" zoomScaleNormal="120" workbookViewId="0">
      <selection activeCell="E31" sqref="E31"/>
    </sheetView>
  </sheetViews>
  <sheetFormatPr defaultColWidth="8.85546875" defaultRowHeight="15" x14ac:dyDescent="0.25"/>
  <cols>
    <col min="1" max="1" width="40" customWidth="1"/>
    <col min="2" max="2" width="12.42578125" customWidth="1"/>
    <col min="3" max="3" width="20.85546875" customWidth="1"/>
    <col min="4" max="4" width="3" customWidth="1"/>
    <col min="5" max="5" width="40" customWidth="1"/>
    <col min="6" max="6" width="12.42578125" customWidth="1"/>
    <col min="7" max="7" width="20.85546875" customWidth="1"/>
    <col min="8" max="8" width="12.42578125" customWidth="1"/>
    <col min="9" max="11" width="6" customWidth="1"/>
  </cols>
  <sheetData>
    <row r="1" spans="1:11" ht="24" customHeight="1" x14ac:dyDescent="0.25">
      <c r="A1" s="878" t="s">
        <v>1057</v>
      </c>
      <c r="B1" s="878"/>
      <c r="C1" s="878"/>
      <c r="D1" s="780"/>
      <c r="E1" s="780"/>
      <c r="F1" s="780"/>
      <c r="G1" s="780"/>
      <c r="H1" s="780"/>
    </row>
    <row r="2" spans="1:11" ht="6" customHeight="1" x14ac:dyDescent="0.25">
      <c r="A2" s="779"/>
      <c r="B2" s="778"/>
      <c r="C2" s="778"/>
      <c r="D2" s="778"/>
      <c r="E2" s="778"/>
      <c r="F2" s="778"/>
      <c r="G2" s="778"/>
      <c r="H2" s="778"/>
    </row>
    <row r="3" spans="1:11" ht="6" customHeight="1" x14ac:dyDescent="0.25">
      <c r="A3" s="778"/>
      <c r="B3" s="778"/>
      <c r="C3" s="778"/>
      <c r="D3" s="778"/>
      <c r="E3" s="778"/>
      <c r="F3" s="778"/>
      <c r="G3" s="778"/>
      <c r="H3" s="778"/>
    </row>
    <row r="4" spans="1:11" ht="20.100000000000001" customHeight="1" x14ac:dyDescent="0.25">
      <c r="A4" s="633" t="str">
        <f>IF(ISNUMBER(C5),"Refi - Year "&amp;C5,"Refinance (set Refi Year below)")</f>
        <v>Refi - Year 3</v>
      </c>
      <c r="B4" s="633"/>
      <c r="C4" s="633"/>
      <c r="D4" s="778"/>
      <c r="E4" s="636" t="str">
        <f>IF(ISNUMBER(Scenarios!F129),"Sale - Year "&amp;Scenarios!F129,"Sale (set Exit Year in Scenarios)")</f>
        <v>Sale - Year 0</v>
      </c>
      <c r="F4" s="636"/>
      <c r="G4" s="636"/>
      <c r="H4" s="636"/>
      <c r="I4" s="230"/>
      <c r="J4" s="159"/>
      <c r="K4" s="231"/>
    </row>
    <row r="5" spans="1:11" ht="15.95" customHeight="1" x14ac:dyDescent="0.25">
      <c r="A5" s="781" t="s">
        <v>1058</v>
      </c>
      <c r="B5" s="631"/>
      <c r="C5" s="789">
        <v>3</v>
      </c>
      <c r="D5" s="778"/>
      <c r="E5" s="781" t="s">
        <v>1059</v>
      </c>
      <c r="F5" s="799"/>
      <c r="G5" s="800">
        <f>IFERROR(INDEX('P&amp;L'!D97:M97,1,Scenarios!F129),0)</f>
        <v>0</v>
      </c>
      <c r="H5" s="631"/>
      <c r="I5" s="12"/>
      <c r="J5" s="12"/>
      <c r="K5" s="233"/>
    </row>
    <row r="6" spans="1:11" ht="15.95" customHeight="1" x14ac:dyDescent="0.25">
      <c r="A6" s="782" t="s">
        <v>1059</v>
      </c>
      <c r="B6" s="744"/>
      <c r="C6" s="783">
        <f>IFERROR(IF(ISNUMBER(C5),_xlfn.SINGLE(INDEX('P&amp;L'!D97:M97,1,C5)),0),0)</f>
        <v>0</v>
      </c>
      <c r="D6" s="778"/>
      <c r="E6" s="782" t="s">
        <v>1060</v>
      </c>
      <c r="F6" s="801"/>
      <c r="G6" s="805">
        <f>Scenarios!F130</f>
        <v>0</v>
      </c>
      <c r="H6" s="744"/>
      <c r="I6" s="12"/>
      <c r="J6" s="12"/>
      <c r="K6" s="235"/>
    </row>
    <row r="7" spans="1:11" ht="15.95" customHeight="1" x14ac:dyDescent="0.25">
      <c r="A7" s="781" t="s">
        <v>1061</v>
      </c>
      <c r="B7" s="631"/>
      <c r="C7" s="790">
        <v>0.06</v>
      </c>
      <c r="D7" s="778"/>
      <c r="E7" s="781" t="s">
        <v>1062</v>
      </c>
      <c r="F7" s="802"/>
      <c r="G7" s="800">
        <f>SUM('Acquisition Costs'!D35:D36)</f>
        <v>0</v>
      </c>
      <c r="H7" s="631"/>
      <c r="I7" s="12"/>
      <c r="J7" s="12"/>
      <c r="K7" s="237"/>
    </row>
    <row r="8" spans="1:11" ht="15.95" customHeight="1" x14ac:dyDescent="0.25">
      <c r="A8" s="794" t="s">
        <v>1063</v>
      </c>
      <c r="B8" s="632"/>
      <c r="C8" s="795">
        <f>IFERROR(C6/C7,0)</f>
        <v>0</v>
      </c>
      <c r="D8" s="778"/>
      <c r="E8" s="782" t="s">
        <v>1064</v>
      </c>
      <c r="F8" s="801"/>
      <c r="G8" s="784">
        <f>IFERROR(INDEX('P&amp;L'!D108:M108,1,Scenarios!F129),0)</f>
        <v>0</v>
      </c>
      <c r="H8" s="803"/>
      <c r="I8" s="239" t="s">
        <v>1065</v>
      </c>
      <c r="J8" s="240"/>
      <c r="K8" s="233"/>
    </row>
    <row r="9" spans="1:11" ht="15.95" customHeight="1" x14ac:dyDescent="0.25">
      <c r="A9" s="781" t="s">
        <v>1066</v>
      </c>
      <c r="B9" s="631"/>
      <c r="C9" s="790">
        <v>0.75</v>
      </c>
      <c r="D9" s="778"/>
      <c r="E9" s="794" t="s">
        <v>1067</v>
      </c>
      <c r="F9" s="806"/>
      <c r="G9" s="795">
        <f>IFERROR(G5/G6,0)</f>
        <v>0</v>
      </c>
      <c r="H9" s="632"/>
      <c r="I9" s="12"/>
      <c r="J9" s="12"/>
      <c r="K9" s="241"/>
    </row>
    <row r="10" spans="1:11" ht="15.95" customHeight="1" x14ac:dyDescent="0.25">
      <c r="A10" s="782" t="s">
        <v>1068</v>
      </c>
      <c r="B10" s="744"/>
      <c r="C10" s="791">
        <v>7.0000000000000007E-2</v>
      </c>
      <c r="D10" s="778"/>
      <c r="E10" s="782" t="s">
        <v>1069</v>
      </c>
      <c r="F10" s="804">
        <v>0.03</v>
      </c>
      <c r="G10" s="784">
        <f>-G9*F10</f>
        <v>0</v>
      </c>
      <c r="H10" s="744"/>
      <c r="I10" s="12"/>
      <c r="J10" s="243"/>
      <c r="K10" s="244"/>
    </row>
    <row r="11" spans="1:11" ht="15.95" customHeight="1" x14ac:dyDescent="0.25">
      <c r="A11" s="781" t="s">
        <v>1070</v>
      </c>
      <c r="B11" s="631"/>
      <c r="C11" s="789">
        <v>30</v>
      </c>
      <c r="D11" s="778"/>
      <c r="E11" s="781" t="s">
        <v>1071</v>
      </c>
      <c r="F11" s="785"/>
      <c r="G11" s="800">
        <f>-(IFERROR(INDEX(Loans!J43:S43,1,Scenarios!F129),0))</f>
        <v>0</v>
      </c>
      <c r="H11" s="631"/>
      <c r="I11" s="12"/>
      <c r="J11" s="12"/>
      <c r="K11" s="244"/>
    </row>
    <row r="12" spans="1:11" ht="15.95" customHeight="1" x14ac:dyDescent="0.25">
      <c r="A12" s="794" t="s">
        <v>1072</v>
      </c>
      <c r="B12" s="632"/>
      <c r="C12" s="796">
        <f>IFERROR(C8*C9,0)</f>
        <v>0</v>
      </c>
      <c r="D12" s="778"/>
      <c r="E12" s="794" t="s">
        <v>1073</v>
      </c>
      <c r="F12" s="807"/>
      <c r="G12" s="795">
        <f>G9+G10+G11+G7+G8</f>
        <v>0</v>
      </c>
      <c r="H12" s="632"/>
      <c r="I12" s="12"/>
      <c r="J12" s="12"/>
      <c r="K12" s="241"/>
    </row>
    <row r="13" spans="1:11" ht="15.95" customHeight="1" x14ac:dyDescent="0.25">
      <c r="A13" s="781" t="s">
        <v>1074</v>
      </c>
      <c r="B13" s="793">
        <v>0.02</v>
      </c>
      <c r="C13" s="777">
        <f>-C12*B13</f>
        <v>0</v>
      </c>
      <c r="D13" s="778"/>
      <c r="E13" s="781" t="s">
        <v>1075</v>
      </c>
      <c r="F13" s="785"/>
      <c r="G13" s="800">
        <f>Scenarios!F33+Scenarios!F34</f>
        <v>0</v>
      </c>
      <c r="H13" s="631"/>
      <c r="I13" s="12"/>
      <c r="J13" s="12"/>
      <c r="K13" s="233"/>
    </row>
    <row r="14" spans="1:11" ht="15.95" customHeight="1" x14ac:dyDescent="0.25">
      <c r="A14" s="782" t="s">
        <v>1076</v>
      </c>
      <c r="B14" s="744"/>
      <c r="C14" s="783">
        <v>0</v>
      </c>
      <c r="D14" s="778"/>
      <c r="E14" s="782" t="s">
        <v>1077</v>
      </c>
      <c r="F14" s="801"/>
      <c r="G14" s="784">
        <f>IFERROR(MAX((Waterfall!M39+Waterfall!M41)-(Waterfall!M40+Waterfall!M42),0),0)</f>
        <v>0</v>
      </c>
      <c r="H14" s="744"/>
      <c r="I14" s="12"/>
      <c r="J14" s="12"/>
      <c r="K14" s="233"/>
    </row>
    <row r="15" spans="1:11" ht="15.95" customHeight="1" x14ac:dyDescent="0.25">
      <c r="A15" s="781" t="s">
        <v>1078</v>
      </c>
      <c r="B15" s="785"/>
      <c r="C15" s="777">
        <f>-(IFERROR(INDEX(Loans!J43:S43,1,C5),0))</f>
        <v>0</v>
      </c>
      <c r="D15" s="778"/>
      <c r="E15" s="794" t="s">
        <v>1079</v>
      </c>
      <c r="F15" s="807"/>
      <c r="G15" s="795">
        <f>G12-G13-G14</f>
        <v>0</v>
      </c>
      <c r="H15" s="632"/>
      <c r="I15" s="12"/>
      <c r="J15" s="12"/>
      <c r="K15" s="241"/>
    </row>
    <row r="16" spans="1:11" ht="15.95" customHeight="1" x14ac:dyDescent="0.25">
      <c r="A16" s="794" t="s">
        <v>1080</v>
      </c>
      <c r="B16" s="632"/>
      <c r="C16" s="796">
        <f>IFERROR(C12+C13+C14+C15,0)</f>
        <v>0</v>
      </c>
      <c r="D16" s="778"/>
      <c r="E16" s="782" t="s">
        <v>1081</v>
      </c>
      <c r="F16" s="801"/>
      <c r="G16" s="784">
        <f>IFERROR(Scenarios!F135-INDEX(Loans!J43:S43,1,Scenarios!F129),0)</f>
        <v>0</v>
      </c>
      <c r="H16" s="744"/>
      <c r="I16" s="12"/>
      <c r="J16" s="12"/>
      <c r="K16" s="251"/>
    </row>
    <row r="17" spans="1:11" ht="15.95" customHeight="1" x14ac:dyDescent="0.25">
      <c r="A17" s="781" t="s">
        <v>1075</v>
      </c>
      <c r="B17" s="631"/>
      <c r="C17" s="777">
        <f>IFERROR(MIN(C16,Scenarios!$F$33+Scenarios!$F$34),0)</f>
        <v>0</v>
      </c>
      <c r="D17" s="778"/>
      <c r="E17" s="781" t="s">
        <v>1082</v>
      </c>
      <c r="F17" s="785"/>
      <c r="G17" s="800">
        <f>G15-G16</f>
        <v>0</v>
      </c>
      <c r="H17" s="631"/>
      <c r="I17" s="12"/>
      <c r="J17" s="12"/>
      <c r="K17" s="251"/>
    </row>
    <row r="18" spans="1:11" ht="15.95" customHeight="1" x14ac:dyDescent="0.25">
      <c r="A18" s="882" t="s">
        <v>1083</v>
      </c>
      <c r="B18" s="883"/>
      <c r="C18" s="784">
        <f>IFERROR(MAX(Scenarios!$F$33+Scenarios!$F$34-C17,0),0)</f>
        <v>0</v>
      </c>
      <c r="D18" s="778"/>
      <c r="E18" s="782" t="s">
        <v>1084</v>
      </c>
      <c r="F18" s="804">
        <v>0.01</v>
      </c>
      <c r="G18" s="784">
        <f>G9*F18</f>
        <v>0</v>
      </c>
      <c r="H18" s="744"/>
      <c r="I18" s="12"/>
      <c r="J18" s="243"/>
      <c r="K18" s="233"/>
    </row>
    <row r="19" spans="1:11" ht="15.95" customHeight="1" x14ac:dyDescent="0.25">
      <c r="A19" s="879" t="s">
        <v>1085</v>
      </c>
      <c r="B19" s="880"/>
      <c r="C19" s="786">
        <f>IFERROR(C17/(Scenarios!$F$33+Scenarios!$F$34),0)</f>
        <v>0</v>
      </c>
      <c r="D19" s="778"/>
      <c r="E19" s="781" t="s">
        <v>1086</v>
      </c>
      <c r="F19" s="788">
        <f>1-Scenarios!F36</f>
        <v>0.4</v>
      </c>
      <c r="G19" s="800">
        <f>(G15-G18)*(1-Scenarios!F36)</f>
        <v>0</v>
      </c>
      <c r="H19" s="631"/>
      <c r="I19" s="12"/>
      <c r="J19" s="253"/>
      <c r="K19" s="241"/>
    </row>
    <row r="20" spans="1:11" ht="15.95" customHeight="1" x14ac:dyDescent="0.25">
      <c r="A20" s="794" t="s">
        <v>1087</v>
      </c>
      <c r="B20" s="632"/>
      <c r="C20" s="796">
        <f>IFERROR(C16-C17,0)</f>
        <v>0</v>
      </c>
      <c r="D20" s="778"/>
      <c r="E20" s="782" t="s">
        <v>1088</v>
      </c>
      <c r="F20" s="787">
        <f>Scenarios!F36</f>
        <v>0.6</v>
      </c>
      <c r="G20" s="784">
        <f>(G15-G18)*Scenarios!F36</f>
        <v>0</v>
      </c>
      <c r="H20" s="744"/>
      <c r="I20" s="12"/>
      <c r="J20" s="253"/>
      <c r="K20" s="241"/>
    </row>
    <row r="21" spans="1:11" ht="20.100000000000001" customHeight="1" x14ac:dyDescent="0.25">
      <c r="A21" s="781" t="s">
        <v>1081</v>
      </c>
      <c r="B21" s="631"/>
      <c r="C21" s="777">
        <f>IFERROR(Scenarios!F135-INDEX(Loans!J43:S43,1,C5),0)</f>
        <v>0</v>
      </c>
      <c r="D21" s="778"/>
      <c r="E21" s="886" t="s">
        <v>1089</v>
      </c>
      <c r="F21" s="887"/>
      <c r="G21" s="809">
        <f>G13+G19</f>
        <v>0</v>
      </c>
      <c r="H21" s="808"/>
      <c r="I21" s="255"/>
      <c r="J21" s="159"/>
      <c r="K21" s="256"/>
    </row>
    <row r="22" spans="1:11" ht="15.95" customHeight="1" x14ac:dyDescent="0.25">
      <c r="A22" s="782" t="s">
        <v>1082</v>
      </c>
      <c r="B22" s="744"/>
      <c r="C22" s="783">
        <f>IFERROR(MAX(C20-C21,0),0)</f>
        <v>0</v>
      </c>
      <c r="D22" s="778"/>
      <c r="E22" s="778"/>
      <c r="F22" s="778"/>
      <c r="G22" s="778"/>
      <c r="H22" s="778"/>
      <c r="I22" s="159"/>
      <c r="J22" s="159"/>
      <c r="K22" s="159"/>
    </row>
    <row r="23" spans="1:11" ht="20.100000000000001" customHeight="1" x14ac:dyDescent="0.25">
      <c r="A23" s="781" t="s">
        <v>1084</v>
      </c>
      <c r="B23" s="793">
        <v>0.01</v>
      </c>
      <c r="C23" s="777">
        <f>C8*B23</f>
        <v>0</v>
      </c>
      <c r="D23" s="778"/>
      <c r="E23" s="881" t="s">
        <v>1090</v>
      </c>
      <c r="F23" s="819"/>
      <c r="G23" s="819"/>
      <c r="H23" s="634"/>
      <c r="I23" s="230"/>
      <c r="J23" s="159"/>
      <c r="K23" s="159"/>
    </row>
    <row r="24" spans="1:11" ht="15.95" customHeight="1" x14ac:dyDescent="0.25">
      <c r="A24" s="782" t="s">
        <v>1086</v>
      </c>
      <c r="B24" s="787">
        <f>1-Scenarios!F36</f>
        <v>0.4</v>
      </c>
      <c r="C24" s="783">
        <f>(C20-C23)*(1-Scenarios!F36)</f>
        <v>0</v>
      </c>
      <c r="D24" s="778"/>
      <c r="E24" s="782" t="s">
        <v>1091</v>
      </c>
      <c r="F24" s="782"/>
      <c r="G24" s="487">
        <f>G19</f>
        <v>0</v>
      </c>
      <c r="H24" s="744"/>
      <c r="I24" s="12"/>
      <c r="J24" s="12"/>
      <c r="K24" s="233"/>
    </row>
    <row r="25" spans="1:11" ht="15.95" customHeight="1" x14ac:dyDescent="0.25">
      <c r="A25" s="781" t="s">
        <v>1088</v>
      </c>
      <c r="B25" s="788">
        <f>Scenarios!F36</f>
        <v>0.6</v>
      </c>
      <c r="C25" s="777">
        <f>(C20-C23)*Scenarios!F36</f>
        <v>0</v>
      </c>
      <c r="D25" s="778"/>
      <c r="E25" s="781" t="s">
        <v>1092</v>
      </c>
      <c r="F25" s="781"/>
      <c r="G25" s="489">
        <f>G21</f>
        <v>0</v>
      </c>
      <c r="H25" s="631"/>
      <c r="I25" s="12"/>
      <c r="J25" s="12"/>
      <c r="K25" s="241"/>
    </row>
    <row r="26" spans="1:11" ht="15.95" customHeight="1" x14ac:dyDescent="0.25">
      <c r="A26" s="881" t="s">
        <v>1093</v>
      </c>
      <c r="B26" s="888"/>
      <c r="C26" s="798">
        <f>C17+C24</f>
        <v>0</v>
      </c>
      <c r="D26" s="778"/>
      <c r="E26" s="884" t="s">
        <v>1094</v>
      </c>
      <c r="F26" s="885"/>
      <c r="G26" s="811">
        <f>'XIRR Analysis'!H54</f>
        <v>0</v>
      </c>
      <c r="H26" s="632"/>
      <c r="I26" s="258"/>
      <c r="J26" s="159"/>
      <c r="K26" s="259"/>
    </row>
    <row r="27" spans="1:11" ht="15.95" customHeight="1" x14ac:dyDescent="0.25">
      <c r="A27" s="781" t="s">
        <v>1095</v>
      </c>
      <c r="B27" s="631"/>
      <c r="C27" s="777">
        <f>IFERROR(MAX(Scenarios!$F$33+Scenarios!$F$34-C26,0),0)</f>
        <v>0</v>
      </c>
      <c r="D27" s="778"/>
      <c r="E27" s="879" t="s">
        <v>1096</v>
      </c>
      <c r="F27" s="880"/>
      <c r="G27" s="810">
        <f>'LP Return Illustration'!B30</f>
        <v>0</v>
      </c>
      <c r="H27" s="631"/>
      <c r="I27" s="258"/>
      <c r="J27" s="159"/>
      <c r="K27" s="259"/>
    </row>
    <row r="28" spans="1:11" ht="15.95" customHeight="1" x14ac:dyDescent="0.25">
      <c r="A28" s="782" t="s">
        <v>1097</v>
      </c>
      <c r="B28" s="744"/>
      <c r="C28" s="792">
        <v>12</v>
      </c>
      <c r="D28" s="778"/>
      <c r="E28" s="778"/>
      <c r="F28" s="778"/>
      <c r="G28" s="778"/>
      <c r="H28" s="778"/>
    </row>
    <row r="29" spans="1:11" x14ac:dyDescent="0.25">
      <c r="A29" s="778"/>
      <c r="B29" s="778"/>
      <c r="C29" s="778"/>
      <c r="D29" s="778"/>
      <c r="E29" s="778"/>
      <c r="F29" s="778"/>
      <c r="G29" s="778"/>
      <c r="H29" s="778"/>
    </row>
    <row r="30" spans="1:11" x14ac:dyDescent="0.25">
      <c r="A30" s="778"/>
      <c r="B30" s="778"/>
      <c r="C30" s="778"/>
      <c r="D30" s="778"/>
      <c r="E30" s="778"/>
      <c r="F30" s="778"/>
      <c r="G30" s="778"/>
      <c r="H30" s="778"/>
    </row>
    <row r="31" spans="1:11" x14ac:dyDescent="0.25">
      <c r="A31" s="775" t="s">
        <v>1588</v>
      </c>
    </row>
    <row r="32" spans="1:11" x14ac:dyDescent="0.25">
      <c r="A32" s="775" t="s">
        <v>1587</v>
      </c>
    </row>
  </sheetData>
  <mergeCells count="8">
    <mergeCell ref="A1:C1"/>
    <mergeCell ref="A19:B19"/>
    <mergeCell ref="E23:G23"/>
    <mergeCell ref="E27:F27"/>
    <mergeCell ref="A18:B18"/>
    <mergeCell ref="E26:F26"/>
    <mergeCell ref="E21:F21"/>
    <mergeCell ref="A26:B26"/>
  </mergeCells>
  <hyperlinks>
    <hyperlink ref="A32" location="Loans!A1" display="Loans Tab" xr:uid="{054875AE-B262-4546-ABCF-FDF07B53321D}"/>
    <hyperlink ref="A31" location="Scenarios!A1" display="Scenarios Tab" xr:uid="{8C51BB62-8C96-C04B-86FA-190D87429BB7}"/>
  </hyperlink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defaultColWidth="8.85546875" defaultRowHeight="15" x14ac:dyDescent="0.25"/>
  <cols>
    <col min="1" max="1" width="36.7109375" customWidth="1"/>
    <col min="2" max="11" width="15" customWidth="1"/>
    <col min="12" max="13" width="16" customWidth="1"/>
    <col min="14" max="14" width="10.140625" customWidth="1"/>
  </cols>
  <sheetData>
    <row r="1" spans="1:13" ht="24" customHeight="1" x14ac:dyDescent="0.25">
      <c r="A1" s="827" t="s">
        <v>1098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</row>
    <row r="2" spans="1:13" ht="15.75" customHeight="1" x14ac:dyDescent="0.25">
      <c r="A2" s="835" t="s">
        <v>1099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</row>
    <row r="4" spans="1:13" ht="24" customHeight="1" x14ac:dyDescent="0.25">
      <c r="A4" s="830" t="s">
        <v>1100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</row>
    <row r="5" spans="1:13" ht="15.75" customHeight="1" x14ac:dyDescent="0.25">
      <c r="A5" s="62" t="s">
        <v>1101</v>
      </c>
      <c r="B5" s="33">
        <f>Scenarios!F129</f>
        <v>0</v>
      </c>
      <c r="C5" s="835" t="s">
        <v>1102</v>
      </c>
      <c r="D5" s="817"/>
      <c r="E5" s="817"/>
      <c r="F5" s="817"/>
      <c r="G5" s="817"/>
      <c r="H5" s="817"/>
      <c r="I5" s="817"/>
      <c r="J5" s="817"/>
      <c r="K5" s="817"/>
      <c r="L5" s="817"/>
      <c r="M5" s="817"/>
    </row>
    <row r="6" spans="1:13" ht="15.75" customHeight="1" x14ac:dyDescent="0.25">
      <c r="A6" s="65" t="s">
        <v>263</v>
      </c>
      <c r="B6" s="30">
        <f>Scenarios!F130</f>
        <v>0</v>
      </c>
      <c r="C6" s="891" t="s">
        <v>1103</v>
      </c>
      <c r="D6" s="817"/>
      <c r="E6" s="817"/>
      <c r="F6" s="817"/>
      <c r="G6" s="817"/>
      <c r="H6" s="817"/>
      <c r="I6" s="817"/>
      <c r="J6" s="817"/>
      <c r="K6" s="817"/>
      <c r="L6" s="817"/>
      <c r="M6" s="817"/>
    </row>
    <row r="7" spans="1:13" ht="15.75" customHeight="1" x14ac:dyDescent="0.25">
      <c r="A7" s="62" t="s">
        <v>1104</v>
      </c>
      <c r="B7" s="73">
        <v>0.03</v>
      </c>
      <c r="C7" s="835" t="s">
        <v>1105</v>
      </c>
      <c r="D7" s="817"/>
      <c r="E7" s="817"/>
      <c r="F7" s="817"/>
      <c r="G7" s="817"/>
      <c r="H7" s="817"/>
      <c r="I7" s="817"/>
      <c r="J7" s="817"/>
      <c r="K7" s="817"/>
      <c r="L7" s="817"/>
      <c r="M7" s="817"/>
    </row>
    <row r="8" spans="1:13" ht="15.75" customHeight="1" x14ac:dyDescent="0.25">
      <c r="A8" s="65" t="s">
        <v>280</v>
      </c>
      <c r="B8" s="23">
        <f>Scenarios!F32</f>
        <v>0</v>
      </c>
      <c r="C8" s="891" t="s">
        <v>1106</v>
      </c>
      <c r="D8" s="817"/>
      <c r="E8" s="817"/>
      <c r="F8" s="817"/>
      <c r="G8" s="817"/>
      <c r="H8" s="817"/>
      <c r="I8" s="817"/>
      <c r="J8" s="817"/>
      <c r="K8" s="817"/>
      <c r="L8" s="817"/>
      <c r="M8" s="817"/>
    </row>
    <row r="9" spans="1:13" ht="15.75" customHeight="1" x14ac:dyDescent="0.25">
      <c r="A9" s="62" t="s">
        <v>281</v>
      </c>
      <c r="B9" s="21">
        <f>Scenarios!F33</f>
        <v>0</v>
      </c>
      <c r="C9" s="835" t="s">
        <v>1107</v>
      </c>
      <c r="D9" s="817"/>
      <c r="E9" s="817"/>
      <c r="F9" s="817"/>
      <c r="G9" s="817"/>
      <c r="H9" s="817"/>
      <c r="I9" s="817"/>
      <c r="J9" s="817"/>
      <c r="K9" s="817"/>
      <c r="L9" s="817"/>
      <c r="M9" s="817"/>
    </row>
    <row r="10" spans="1:13" ht="15.75" customHeight="1" x14ac:dyDescent="0.25">
      <c r="A10" s="65" t="s">
        <v>282</v>
      </c>
      <c r="B10" s="23">
        <f>Scenarios!F34</f>
        <v>0</v>
      </c>
      <c r="C10" s="891" t="s">
        <v>1108</v>
      </c>
      <c r="D10" s="817"/>
      <c r="E10" s="817"/>
      <c r="F10" s="817"/>
      <c r="G10" s="817"/>
      <c r="H10" s="817"/>
      <c r="I10" s="817"/>
      <c r="J10" s="817"/>
      <c r="K10" s="817"/>
      <c r="L10" s="817"/>
      <c r="M10" s="817"/>
    </row>
    <row r="11" spans="1:13" ht="15.75" customHeight="1" x14ac:dyDescent="0.25">
      <c r="A11" s="62" t="s">
        <v>414</v>
      </c>
      <c r="B11" s="28">
        <f>Scenarios!F35</f>
        <v>0</v>
      </c>
      <c r="C11" s="835" t="s">
        <v>1109</v>
      </c>
      <c r="D11" s="817"/>
      <c r="E11" s="817"/>
      <c r="F11" s="817"/>
      <c r="G11" s="817"/>
      <c r="H11" s="817"/>
      <c r="I11" s="817"/>
      <c r="J11" s="817"/>
      <c r="K11" s="817"/>
      <c r="L11" s="817"/>
      <c r="M11" s="817"/>
    </row>
    <row r="12" spans="1:13" ht="15.75" customHeight="1" x14ac:dyDescent="0.25">
      <c r="A12" s="65" t="s">
        <v>1110</v>
      </c>
      <c r="B12" s="78">
        <v>0</v>
      </c>
      <c r="C12" s="67" t="s">
        <v>1111</v>
      </c>
      <c r="D12" s="260" t="s">
        <v>1112</v>
      </c>
      <c r="E12" s="261" t="s">
        <v>1113</v>
      </c>
      <c r="F12" s="893" t="s">
        <v>1114</v>
      </c>
      <c r="G12" s="817"/>
      <c r="H12" s="817"/>
      <c r="I12" s="817"/>
      <c r="J12" s="817"/>
      <c r="K12" s="817"/>
      <c r="L12" s="817"/>
      <c r="M12" s="817"/>
    </row>
    <row r="13" spans="1:13" ht="15.75" customHeight="1" x14ac:dyDescent="0.25">
      <c r="A13" s="62" t="s">
        <v>1115</v>
      </c>
      <c r="B13" s="73">
        <v>0</v>
      </c>
      <c r="C13" s="835" t="s">
        <v>1116</v>
      </c>
      <c r="D13" s="817"/>
      <c r="E13" s="817"/>
      <c r="F13" s="817"/>
      <c r="G13" s="817"/>
      <c r="H13" s="817"/>
      <c r="I13" s="817"/>
      <c r="J13" s="817"/>
      <c r="K13" s="817"/>
      <c r="L13" s="817"/>
      <c r="M13" s="817"/>
    </row>
    <row r="14" spans="1:13" ht="15.75" customHeight="1" x14ac:dyDescent="0.25">
      <c r="A14" s="65" t="s">
        <v>1117</v>
      </c>
      <c r="B14" s="105" t="s">
        <v>1338</v>
      </c>
      <c r="C14" s="891" t="s">
        <v>1118</v>
      </c>
      <c r="D14" s="817"/>
      <c r="E14" s="817"/>
      <c r="F14" s="817"/>
      <c r="G14" s="817"/>
      <c r="H14" s="817"/>
      <c r="I14" s="817"/>
      <c r="J14" s="817"/>
      <c r="K14" s="817"/>
      <c r="L14" s="817"/>
      <c r="M14" s="817"/>
    </row>
    <row r="15" spans="1:13" ht="15.75" customHeight="1" x14ac:dyDescent="0.25">
      <c r="A15" s="62" t="s">
        <v>1119</v>
      </c>
      <c r="B15" s="73">
        <f>Scenarios!F29</f>
        <v>0.4</v>
      </c>
      <c r="C15" s="835" t="s">
        <v>1120</v>
      </c>
      <c r="D15" s="817"/>
      <c r="E15" s="817"/>
      <c r="F15" s="817"/>
      <c r="G15" s="817"/>
      <c r="H15" s="817"/>
      <c r="I15" s="817"/>
      <c r="J15" s="817"/>
      <c r="K15" s="817"/>
      <c r="L15" s="817"/>
      <c r="M15" s="817"/>
    </row>
    <row r="16" spans="1:13" ht="15.75" customHeight="1" x14ac:dyDescent="0.25">
      <c r="A16" s="65" t="s">
        <v>1121</v>
      </c>
      <c r="B16" s="30">
        <f>1-B15</f>
        <v>0.6</v>
      </c>
      <c r="C16" s="891" t="s">
        <v>1122</v>
      </c>
      <c r="D16" s="817"/>
      <c r="E16" s="817"/>
      <c r="F16" s="817"/>
      <c r="G16" s="817"/>
      <c r="H16" s="817"/>
      <c r="I16" s="817"/>
      <c r="J16" s="817"/>
      <c r="K16" s="817"/>
      <c r="L16" s="817"/>
      <c r="M16" s="817"/>
    </row>
    <row r="17" spans="1:13" ht="15.75" customHeight="1" x14ac:dyDescent="0.25">
      <c r="A17" s="62" t="s">
        <v>1123</v>
      </c>
      <c r="B17" s="73">
        <v>0</v>
      </c>
      <c r="C17" s="835" t="s">
        <v>1124</v>
      </c>
      <c r="D17" s="817"/>
      <c r="E17" s="817"/>
      <c r="F17" s="817"/>
      <c r="G17" s="817"/>
      <c r="H17" s="817"/>
      <c r="I17" s="817"/>
      <c r="J17" s="817"/>
      <c r="K17" s="817"/>
      <c r="L17" s="817"/>
      <c r="M17" s="817"/>
    </row>
    <row r="18" spans="1:13" ht="15.75" customHeight="1" x14ac:dyDescent="0.25">
      <c r="A18" s="65" t="s">
        <v>1125</v>
      </c>
      <c r="B18" s="78">
        <f>B15</f>
        <v>0.4</v>
      </c>
      <c r="C18" s="891" t="s">
        <v>1126</v>
      </c>
      <c r="D18" s="817"/>
      <c r="E18" s="817"/>
      <c r="F18" s="817"/>
      <c r="G18" s="817"/>
      <c r="H18" s="817"/>
      <c r="I18" s="817"/>
      <c r="J18" s="817"/>
      <c r="K18" s="817"/>
      <c r="L18" s="817"/>
      <c r="M18" s="817"/>
    </row>
    <row r="19" spans="1:13" ht="15.75" customHeight="1" x14ac:dyDescent="0.25">
      <c r="A19" s="62" t="s">
        <v>1127</v>
      </c>
      <c r="B19" s="28">
        <f>1-B18</f>
        <v>0.6</v>
      </c>
      <c r="C19" s="835" t="s">
        <v>1128</v>
      </c>
      <c r="D19" s="817"/>
      <c r="E19" s="817"/>
      <c r="F19" s="817"/>
      <c r="G19" s="817"/>
      <c r="H19" s="817"/>
      <c r="I19" s="817"/>
      <c r="J19" s="817"/>
      <c r="K19" s="817"/>
      <c r="L19" s="817"/>
      <c r="M19" s="817"/>
    </row>
    <row r="20" spans="1:13" ht="15.75" customHeight="1" x14ac:dyDescent="0.25">
      <c r="A20" s="65" t="s">
        <v>1129</v>
      </c>
      <c r="B20" s="78">
        <v>0</v>
      </c>
      <c r="C20" s="891" t="s">
        <v>1130</v>
      </c>
      <c r="D20" s="817"/>
      <c r="E20" s="817"/>
      <c r="F20" s="817"/>
      <c r="G20" s="817"/>
      <c r="H20" s="817"/>
      <c r="I20" s="817"/>
      <c r="J20" s="817"/>
      <c r="K20" s="817"/>
      <c r="L20" s="817"/>
      <c r="M20" s="817"/>
    </row>
    <row r="21" spans="1:13" ht="15.75" customHeight="1" x14ac:dyDescent="0.25">
      <c r="A21" s="62" t="s">
        <v>1131</v>
      </c>
      <c r="B21" s="73">
        <f>B18</f>
        <v>0.4</v>
      </c>
      <c r="C21" s="835" t="s">
        <v>1132</v>
      </c>
      <c r="D21" s="817"/>
      <c r="E21" s="817"/>
      <c r="F21" s="817"/>
      <c r="G21" s="817"/>
      <c r="H21" s="817"/>
      <c r="I21" s="817"/>
      <c r="J21" s="817"/>
      <c r="K21" s="817"/>
      <c r="L21" s="817"/>
      <c r="M21" s="817"/>
    </row>
    <row r="22" spans="1:13" ht="15.75" customHeight="1" x14ac:dyDescent="0.25">
      <c r="A22" s="65" t="s">
        <v>1133</v>
      </c>
      <c r="B22" s="30">
        <f>1-B21</f>
        <v>0.6</v>
      </c>
      <c r="C22" s="891" t="s">
        <v>1134</v>
      </c>
      <c r="D22" s="817"/>
      <c r="E22" s="817"/>
      <c r="F22" s="817"/>
      <c r="G22" s="817"/>
      <c r="H22" s="817"/>
      <c r="I22" s="817"/>
      <c r="J22" s="817"/>
      <c r="K22" s="817"/>
      <c r="L22" s="817"/>
      <c r="M22" s="817"/>
    </row>
    <row r="23" spans="1:13" ht="18" customHeight="1" x14ac:dyDescent="0.25">
      <c r="A23" s="262" t="s">
        <v>1135</v>
      </c>
      <c r="B23" s="263" t="s">
        <v>1136</v>
      </c>
      <c r="C23" s="264" t="s">
        <v>1137</v>
      </c>
    </row>
    <row r="24" spans="1:13" ht="24" customHeight="1" x14ac:dyDescent="0.25">
      <c r="A24" s="827" t="s">
        <v>1138</v>
      </c>
      <c r="B24" s="817"/>
      <c r="C24" s="817"/>
      <c r="D24" s="817"/>
      <c r="E24" s="817"/>
      <c r="F24" s="817"/>
      <c r="G24" s="817"/>
      <c r="H24" s="817"/>
      <c r="I24" s="817"/>
      <c r="J24" s="817"/>
      <c r="K24" s="817"/>
      <c r="L24" s="817"/>
      <c r="M24" s="817"/>
    </row>
    <row r="25" spans="1:13" ht="30" customHeight="1" x14ac:dyDescent="0.25">
      <c r="A25" s="32" t="s">
        <v>358</v>
      </c>
      <c r="B25" s="32" t="s">
        <v>705</v>
      </c>
      <c r="C25" s="32" t="s">
        <v>706</v>
      </c>
      <c r="D25" s="32" t="s">
        <v>707</v>
      </c>
      <c r="E25" s="32" t="s">
        <v>708</v>
      </c>
      <c r="F25" s="32" t="s">
        <v>709</v>
      </c>
      <c r="G25" s="32" t="s">
        <v>710</v>
      </c>
      <c r="H25" s="32" t="s">
        <v>711</v>
      </c>
      <c r="I25" s="32" t="s">
        <v>712</v>
      </c>
      <c r="J25" s="32" t="s">
        <v>713</v>
      </c>
      <c r="K25" s="32" t="s">
        <v>714</v>
      </c>
      <c r="L25" s="19" t="s">
        <v>1139</v>
      </c>
      <c r="M25" s="32" t="s">
        <v>1140</v>
      </c>
    </row>
    <row r="26" spans="1:13" ht="18" customHeight="1" x14ac:dyDescent="0.25">
      <c r="A26" s="8" t="s">
        <v>1141</v>
      </c>
      <c r="B26" s="75">
        <f>IF(1&gt;$B$5,0,'P&amp;L'!D97)</f>
        <v>0</v>
      </c>
      <c r="C26" s="75">
        <f>IF(2&gt;$B$5,0,'P&amp;L'!E97)</f>
        <v>0</v>
      </c>
      <c r="D26" s="75">
        <f>IF(3&gt;$B$5,0,'P&amp;L'!F97)</f>
        <v>0</v>
      </c>
      <c r="E26" s="75">
        <f>IF(4&gt;$B$5,0,'P&amp;L'!G97)</f>
        <v>0</v>
      </c>
      <c r="F26" s="75">
        <f>IF(5&gt;$B$5,0,'P&amp;L'!H97)</f>
        <v>0</v>
      </c>
      <c r="G26" s="75">
        <f>IF(6&gt;$B$5,0,'P&amp;L'!I97)</f>
        <v>0</v>
      </c>
      <c r="H26" s="75">
        <f>IF(7&gt;$B$5,0,'P&amp;L'!J97)</f>
        <v>0</v>
      </c>
      <c r="I26" s="75">
        <f>IF(8&gt;$B$5,0,'P&amp;L'!K97)</f>
        <v>0</v>
      </c>
      <c r="J26" s="75">
        <f>IF(9&gt;$B$5,0,'P&amp;L'!L97)</f>
        <v>0</v>
      </c>
      <c r="K26" s="75">
        <f>IF(10&gt;$B$5,0,'P&amp;L'!M97)</f>
        <v>0</v>
      </c>
      <c r="M26" s="75">
        <f>SUM(B26:K26)</f>
        <v>0</v>
      </c>
    </row>
    <row r="27" spans="1:13" ht="18" customHeight="1" x14ac:dyDescent="0.25">
      <c r="A27" s="8" t="s">
        <v>1142</v>
      </c>
      <c r="B27" s="75">
        <f>IF(1&gt;$B$5,0,-INDEX(Loans!$J$42:$S$42,1,1))</f>
        <v>0</v>
      </c>
      <c r="C27" s="75">
        <f>IF(2&gt;$B$5,0,-INDEX(Loans!$J$42:$S$42,1,2))</f>
        <v>0</v>
      </c>
      <c r="D27" s="75">
        <f>IF(3&gt;$B$5,0,-INDEX(Loans!$J$42:$S$42,1,3))</f>
        <v>0</v>
      </c>
      <c r="E27" s="75">
        <f>IF(4&gt;$B$5,0,-INDEX(Loans!$J$42:$S$42,1,4))</f>
        <v>0</v>
      </c>
      <c r="F27" s="75">
        <f>IF(5&gt;$B$5,0,-INDEX(Loans!$J$42:$S$42,1,5))</f>
        <v>0</v>
      </c>
      <c r="G27" s="75">
        <f>IF(6&gt;$B$5,0,-INDEX(Loans!$J$42:$S$42,1,6))</f>
        <v>0</v>
      </c>
      <c r="H27" s="75">
        <f>IF(7&gt;$B$5,0,-INDEX(Loans!$J$42:$S$42,1,7))</f>
        <v>0</v>
      </c>
      <c r="I27" s="75">
        <f>IF(8&gt;$B$5,0,-INDEX(Loans!$J$42:$S$42,1,8))</f>
        <v>0</v>
      </c>
      <c r="J27" s="75">
        <f>IF(9&gt;$B$5,0,-INDEX(Loans!$J$42:$S$42,1,9))</f>
        <v>0</v>
      </c>
      <c r="K27" s="75">
        <f>IF(10&gt;$B$5,0,-INDEX(Loans!$J$42:$S$42,1,10))</f>
        <v>0</v>
      </c>
      <c r="M27" s="75">
        <f>SUM(B27:K27)</f>
        <v>0</v>
      </c>
    </row>
    <row r="28" spans="1:13" ht="18" customHeight="1" x14ac:dyDescent="0.25">
      <c r="A28" s="130" t="s">
        <v>1143</v>
      </c>
      <c r="B28" s="64">
        <f>IF(1&gt;$B$5,0,IFERROR(B26+B27-'P&amp;L'!D111+IF($B$23="Waterfall",IF(ISNUMBER('Exit Strategy'!$C$5),IF(1='Exit Strategy'!$C$5,'Exit Strategy'!$C$16,0),0),0),0))</f>
        <v>0</v>
      </c>
      <c r="C28" s="64">
        <f>IF(2&gt;$B$5,0,IFERROR(C26+C27-'P&amp;L'!E111+IF($B$23="Waterfall",IF(ISNUMBER('Exit Strategy'!$C$5),IF(2='Exit Strategy'!$C$5,'Exit Strategy'!$C$16,0),0),0),0))</f>
        <v>0</v>
      </c>
      <c r="D28" s="64">
        <f>IF(3&gt;$B$5,0,IFERROR(D26+D27-'P&amp;L'!F111+IF($B$23="Waterfall",IF(ISNUMBER('Exit Strategy'!$C$5),IF(3='Exit Strategy'!$C$5,'Exit Strategy'!$C$16,0),0),0),0))</f>
        <v>0</v>
      </c>
      <c r="E28" s="64">
        <f>IF(4&gt;$B$5,0,IFERROR(E26+E27-'P&amp;L'!G111+IF($B$23="Waterfall",IF(ISNUMBER('Exit Strategy'!$C$5),IF(4='Exit Strategy'!$C$5,'Exit Strategy'!$C$16,0),0),0),0))</f>
        <v>0</v>
      </c>
      <c r="F28" s="64">
        <f>IF(5&gt;$B$5,0,IFERROR(F26+F27-'P&amp;L'!H111+IF($B$23="Waterfall",IF(ISNUMBER('Exit Strategy'!$C$5),IF(5='Exit Strategy'!$C$5,'Exit Strategy'!$C$16,0),0),0),0))</f>
        <v>0</v>
      </c>
      <c r="G28" s="64">
        <f>IF(6&gt;$B$5,0,IFERROR(G26+G27-'P&amp;L'!I111+IF($B$23="Waterfall",IF(ISNUMBER('Exit Strategy'!$C$5),IF(6='Exit Strategy'!$C$5,'Exit Strategy'!$C$16,0),0),0),0))</f>
        <v>0</v>
      </c>
      <c r="H28" s="64">
        <f>IF(7&gt;$B$5,0,IFERROR(H26+H27-'P&amp;L'!J111+IF($B$23="Waterfall",IF(ISNUMBER('Exit Strategy'!$C$5),IF(7='Exit Strategy'!$C$5,'Exit Strategy'!$C$16,0),0),0),0))</f>
        <v>0</v>
      </c>
      <c r="I28" s="64">
        <f>IF(8&gt;$B$5,0,IFERROR(I26+I27-'P&amp;L'!K111+IF($B$23="Waterfall",IF(ISNUMBER('Exit Strategy'!$C$5),IF(8='Exit Strategy'!$C$5,'Exit Strategy'!$C$16,0),0),0),0))</f>
        <v>0</v>
      </c>
      <c r="J28" s="64">
        <f>IF(9&gt;$B$5,0,IFERROR(J26+J27-'P&amp;L'!L111+IF($B$23="Waterfall",IF(ISNUMBER('Exit Strategy'!$C$5),IF(9='Exit Strategy'!$C$5,'Exit Strategy'!$C$16,0),0),0),0))</f>
        <v>0</v>
      </c>
      <c r="K28" s="64">
        <f>IF(10&gt;$B$5,0,IFERROR(K26+K27-'P&amp;L'!M111+IF($B$23="Waterfall",IF(ISNUMBER('Exit Strategy'!$C$5),IF(10='Exit Strategy'!$C$5,'Exit Strategy'!$C$16,0),0),0),0))</f>
        <v>0</v>
      </c>
      <c r="M28" s="80">
        <f>SUM(B28:K28)</f>
        <v>0</v>
      </c>
    </row>
    <row r="30" spans="1:13" ht="24" customHeight="1" x14ac:dyDescent="0.25">
      <c r="A30" s="830" t="s">
        <v>1144</v>
      </c>
      <c r="B30" s="817"/>
      <c r="C30" s="817"/>
      <c r="D30" s="817"/>
      <c r="E30" s="817"/>
      <c r="F30" s="817"/>
      <c r="G30" s="817"/>
      <c r="H30" s="817"/>
      <c r="I30" s="817"/>
      <c r="J30" s="817"/>
      <c r="K30" s="817"/>
      <c r="L30" s="817"/>
      <c r="M30" s="817"/>
    </row>
    <row r="31" spans="1:13" ht="18" customHeight="1" x14ac:dyDescent="0.25">
      <c r="A31" s="121" t="s">
        <v>303</v>
      </c>
      <c r="B31" s="21">
        <f>'Exit Strategy'!G5</f>
        <v>0</v>
      </c>
    </row>
    <row r="32" spans="1:13" ht="18" customHeight="1" x14ac:dyDescent="0.25">
      <c r="A32" s="121" t="s">
        <v>1145</v>
      </c>
      <c r="B32" s="75">
        <f>'Exit Strategy'!G9</f>
        <v>0</v>
      </c>
    </row>
    <row r="33" spans="1:13" ht="18" customHeight="1" x14ac:dyDescent="0.25">
      <c r="A33" s="121" t="s">
        <v>1146</v>
      </c>
      <c r="B33" s="75">
        <f>'Exit Strategy'!G10+'Exit Strategy'!G18</f>
        <v>0</v>
      </c>
    </row>
    <row r="34" spans="1:13" ht="18" customHeight="1" x14ac:dyDescent="0.25">
      <c r="A34" s="121" t="s">
        <v>306</v>
      </c>
      <c r="B34" s="21">
        <f>'Exit Strategy'!G11</f>
        <v>0</v>
      </c>
    </row>
    <row r="35" spans="1:13" ht="18" customHeight="1" x14ac:dyDescent="0.25">
      <c r="A35" s="130" t="s">
        <v>1147</v>
      </c>
      <c r="B35" s="80">
        <f>B32+B33+B34</f>
        <v>0</v>
      </c>
    </row>
    <row r="36" spans="1:13" ht="16.5" customHeight="1" x14ac:dyDescent="0.25">
      <c r="A36" s="234" t="s">
        <v>1148</v>
      </c>
      <c r="B36" s="776">
        <f>IF(1&gt;$B$5,0,MIN($B$9,IF(AND($B$23="Return of Capital",ISNUMBER('Exit Strategy'!$C$5),1='Exit Strategy'!$C$5),MAX('Exit Strategy'!$C$16,0),0)))</f>
        <v>0</v>
      </c>
      <c r="C36" s="776">
        <f>IF(2&gt;$B$5,0,MIN($B$9,IF(AND($B$23="Return of Capital",ISNUMBER('Exit Strategy'!$C$5),2='Exit Strategy'!$C$5),MAX('Exit Strategy'!$C$16,0),0)))</f>
        <v>0</v>
      </c>
      <c r="D36" s="776">
        <f>IF(3&gt;$B$5,0,MIN($B$9,IF(AND($B$23="Return of Capital",ISNUMBER('Exit Strategy'!$C$5),3='Exit Strategy'!$C$5),MAX('Exit Strategy'!$C$16,0),0)))</f>
        <v>0</v>
      </c>
      <c r="E36" s="776">
        <f>IF(4&gt;$B$5,0,MIN($B$9,IF(AND($B$23="Return of Capital",ISNUMBER('Exit Strategy'!$C$5),4='Exit Strategy'!$C$5),MAX('Exit Strategy'!$C$16,0),0)))</f>
        <v>0</v>
      </c>
      <c r="F36" s="776">
        <f>IF(5&gt;$B$5,0,MIN($B$9,IF(AND($B$23="Return of Capital",ISNUMBER('Exit Strategy'!$C$5),5='Exit Strategy'!$C$5),MAX('Exit Strategy'!$C$16,0),0)))</f>
        <v>0</v>
      </c>
      <c r="G36" s="776">
        <f>IF(6&gt;$B$5,0,MIN($B$9,IF(AND($B$23="Return of Capital",ISNUMBER('Exit Strategy'!$C$5),6='Exit Strategy'!$C$5),MAX('Exit Strategy'!$C$16,0),0)))</f>
        <v>0</v>
      </c>
      <c r="H36" s="776">
        <f>IF(7&gt;$B$5,0,MIN($B$9,IF(AND($B$23="Return of Capital",ISNUMBER('Exit Strategy'!$C$5),7='Exit Strategy'!$C$5),MAX('Exit Strategy'!$C$16,0),0)))</f>
        <v>0</v>
      </c>
      <c r="I36" s="776">
        <f>IF(8&gt;$B$5,0,MIN($B$9,IF(AND($B$23="Return of Capital",ISNUMBER('Exit Strategy'!$C$5),8='Exit Strategy'!$C$5),MAX('Exit Strategy'!$C$16,0),0)))</f>
        <v>0</v>
      </c>
      <c r="J36" s="776">
        <f>IF(9&gt;$B$5,0,MIN($B$9,IF(AND($B$23="Return of Capital",ISNUMBER('Exit Strategy'!$C$5),9='Exit Strategy'!$C$5),MAX('Exit Strategy'!$C$16,0),0)))</f>
        <v>0</v>
      </c>
      <c r="K36" s="776">
        <f>IF(10&gt;$B$5,0,MIN($B$9,IF(AND($B$23="Return of Capital",ISNUMBER('Exit Strategy'!$C$5),10='Exit Strategy'!$C$5),MAX('Exit Strategy'!$C$16,0),0)))</f>
        <v>0</v>
      </c>
      <c r="L36" s="776">
        <f>MIN(B9,MAX(B35,0))</f>
        <v>0</v>
      </c>
      <c r="M36" s="776">
        <f>SUM(B36:L36)</f>
        <v>0</v>
      </c>
    </row>
    <row r="37" spans="1:13" ht="16.5" customHeight="1" x14ac:dyDescent="0.25">
      <c r="A37" s="232" t="s">
        <v>1149</v>
      </c>
      <c r="B37" s="152">
        <f>IF(1&gt;$B$5,0,IF($B$14="YES",MIN($B$10,MAX(IF(AND($B$23="Return of Capital",ISNUMBER('Exit Strategy'!$C$5),1='Exit Strategy'!$C$5),MAX('Exit Strategy'!$C$16,0),0)-B36,0)),0))</f>
        <v>0</v>
      </c>
      <c r="C37" s="152">
        <f>IF(2&gt;$B$5,0,IF($B$14="YES",MIN($B$10,MAX(IF(AND($B$23="Return of Capital",ISNUMBER('Exit Strategy'!$C$5),2='Exit Strategy'!$C$5),MAX('Exit Strategy'!$C$16,0),0)-C36,0)),0))</f>
        <v>0</v>
      </c>
      <c r="D37" s="152">
        <f>IF(3&gt;$B$5,0,IF($B$14="YES",MIN($B$10,MAX(IF(AND($B$23="Return of Capital",ISNUMBER('Exit Strategy'!$C$5),3='Exit Strategy'!$C$5),MAX('Exit Strategy'!$C$16,0),0)-D36,0)),0))</f>
        <v>0</v>
      </c>
      <c r="E37" s="152">
        <f>IF(4&gt;$B$5,0,IF($B$14="YES",MIN($B$10,MAX(IF(AND($B$23="Return of Capital",ISNUMBER('Exit Strategy'!$C$5),4='Exit Strategy'!$C$5),MAX('Exit Strategy'!$C$16,0),0)-E36,0)),0))</f>
        <v>0</v>
      </c>
      <c r="F37" s="152">
        <f>IF(5&gt;$B$5,0,IF($B$14="YES",MIN($B$10,MAX(IF(AND($B$23="Return of Capital",ISNUMBER('Exit Strategy'!$C$5),5='Exit Strategy'!$C$5),MAX('Exit Strategy'!$C$16,0),0)-F36,0)),0))</f>
        <v>0</v>
      </c>
      <c r="G37" s="152">
        <f>IF(6&gt;$B$5,0,IF($B$14="YES",MIN($B$10,MAX(IF(AND($B$23="Return of Capital",ISNUMBER('Exit Strategy'!$C$5),6='Exit Strategy'!$C$5),MAX('Exit Strategy'!$C$16,0),0)-G36,0)),0))</f>
        <v>0</v>
      </c>
      <c r="H37" s="152">
        <f>IF(7&gt;$B$5,0,IF($B$14="YES",MIN($B$10,MAX(IF(AND($B$23="Return of Capital",ISNUMBER('Exit Strategy'!$C$5),7='Exit Strategy'!$C$5),MAX('Exit Strategy'!$C$16,0),0)-H36,0)),0))</f>
        <v>0</v>
      </c>
      <c r="I37" s="152">
        <f>IF(8&gt;$B$5,0,IF($B$14="YES",MIN($B$10,MAX(IF(AND($B$23="Return of Capital",ISNUMBER('Exit Strategy'!$C$5),8='Exit Strategy'!$C$5),MAX('Exit Strategy'!$C$16,0),0)-I36,0)),0))</f>
        <v>0</v>
      </c>
      <c r="J37" s="152">
        <f>IF(9&gt;$B$5,0,IF($B$14="YES",MIN($B$10,MAX(IF(AND($B$23="Return of Capital",ISNUMBER('Exit Strategy'!$C$5),9='Exit Strategy'!$C$5),MAX('Exit Strategy'!$C$16,0),0)-J36,0)),0))</f>
        <v>0</v>
      </c>
      <c r="K37" s="152">
        <f>IF(10&gt;$B$5,0,IF($B$14="YES",MIN($B$10,MAX(IF(AND($B$23="Return of Capital",ISNUMBER('Exit Strategy'!$C$5),10='Exit Strategy'!$C$5),MAX('Exit Strategy'!$C$16,0),0)-K36,0)),0))</f>
        <v>0</v>
      </c>
      <c r="L37" s="152">
        <f>IF(B14="YES",MIN(B10,MAX(MAX(B35,0)-L36,0)),0)</f>
        <v>0</v>
      </c>
      <c r="M37" s="152">
        <f>SUM(B37:L37)</f>
        <v>0</v>
      </c>
    </row>
    <row r="38" spans="1:13" ht="16.5" customHeight="1" x14ac:dyDescent="0.25">
      <c r="A38" s="234" t="s">
        <v>1150</v>
      </c>
      <c r="B38" s="776">
        <f>IF(1&gt;$B$5,0,MIN($B$8,MAX(IF(AND($B$23="Return of Capital",ISNUMBER('Exit Strategy'!$C$5),1='Exit Strategy'!$C$5),MAX('Exit Strategy'!$C$16,0),0)-B36-B37,0)))</f>
        <v>0</v>
      </c>
      <c r="C38" s="776">
        <f>IF(2&gt;$B$5,0,MIN($B$8,MAX(IF(AND($B$23="Return of Capital",ISNUMBER('Exit Strategy'!$C$5),2='Exit Strategy'!$C$5),MAX('Exit Strategy'!$C$16,0),0)-C36-C37,0)))</f>
        <v>0</v>
      </c>
      <c r="D38" s="776">
        <f>IF(3&gt;$B$5,0,MIN($B$8,MAX(IF(AND($B$23="Return of Capital",ISNUMBER('Exit Strategy'!$C$5),3='Exit Strategy'!$C$5),MAX('Exit Strategy'!$C$16,0),0)-D36-D37,0)))</f>
        <v>0</v>
      </c>
      <c r="E38" s="776">
        <f>IF(4&gt;$B$5,0,MIN($B$8,MAX(IF(AND($B$23="Return of Capital",ISNUMBER('Exit Strategy'!$C$5),4='Exit Strategy'!$C$5),MAX('Exit Strategy'!$C$16,0),0)-E36-E37,0)))</f>
        <v>0</v>
      </c>
      <c r="F38" s="776">
        <f>IF(5&gt;$B$5,0,MIN($B$8,MAX(IF(AND($B$23="Return of Capital",ISNUMBER('Exit Strategy'!$C$5),5='Exit Strategy'!$C$5),MAX('Exit Strategy'!$C$16,0),0)-F36-F37,0)))</f>
        <v>0</v>
      </c>
      <c r="G38" s="776">
        <f>IF(6&gt;$B$5,0,MIN($B$8,MAX(IF(AND($B$23="Return of Capital",ISNUMBER('Exit Strategy'!$C$5),6='Exit Strategy'!$C$5),MAX('Exit Strategy'!$C$16,0),0)-G36-G37,0)))</f>
        <v>0</v>
      </c>
      <c r="H38" s="776">
        <f>IF(7&gt;$B$5,0,MIN($B$8,MAX(IF(AND($B$23="Return of Capital",ISNUMBER('Exit Strategy'!$C$5),7='Exit Strategy'!$C$5),MAX('Exit Strategy'!$C$16,0),0)-H36-H37,0)))</f>
        <v>0</v>
      </c>
      <c r="I38" s="776">
        <f>IF(8&gt;$B$5,0,MIN($B$8,MAX(IF(AND($B$23="Return of Capital",ISNUMBER('Exit Strategy'!$C$5),8='Exit Strategy'!$C$5),MAX('Exit Strategy'!$C$16,0),0)-I36-I37,0)))</f>
        <v>0</v>
      </c>
      <c r="J38" s="776">
        <f>IF(9&gt;$B$5,0,MIN($B$8,MAX(IF(AND($B$23="Return of Capital",ISNUMBER('Exit Strategy'!$C$5),9='Exit Strategy'!$C$5),MAX('Exit Strategy'!$C$16,0),0)-J36-J37,0)))</f>
        <v>0</v>
      </c>
      <c r="K38" s="776">
        <f>IF(10&gt;$B$5,0,MIN($B$8,MAX(IF(AND($B$23="Return of Capital",ISNUMBER('Exit Strategy'!$C$5),10='Exit Strategy'!$C$5),MAX('Exit Strategy'!$C$16,0),0)-K36-K37,0)))</f>
        <v>0</v>
      </c>
      <c r="L38" s="776">
        <f>MIN(B8,MAX(MAX(B35,0)-L36-L37,0))</f>
        <v>0</v>
      </c>
      <c r="M38" s="776">
        <f>SUM(B38:L38)</f>
        <v>0</v>
      </c>
    </row>
    <row r="39" spans="1:13" ht="18" customHeight="1" x14ac:dyDescent="0.25"/>
    <row r="40" spans="1:13" ht="18" customHeight="1" x14ac:dyDescent="0.25">
      <c r="A40" s="6" t="s">
        <v>1151</v>
      </c>
    </row>
    <row r="41" spans="1:13" ht="18" customHeight="1" x14ac:dyDescent="0.25">
      <c r="A41" s="32" t="s">
        <v>1152</v>
      </c>
      <c r="B41" s="32" t="s">
        <v>705</v>
      </c>
      <c r="C41" s="32" t="s">
        <v>706</v>
      </c>
      <c r="D41" s="32" t="s">
        <v>707</v>
      </c>
      <c r="E41" s="32" t="s">
        <v>708</v>
      </c>
      <c r="F41" s="32" t="s">
        <v>709</v>
      </c>
      <c r="G41" s="32" t="s">
        <v>710</v>
      </c>
      <c r="H41" s="32" t="s">
        <v>711</v>
      </c>
      <c r="I41" s="32" t="s">
        <v>712</v>
      </c>
      <c r="J41" s="32" t="s">
        <v>713</v>
      </c>
      <c r="K41" s="32" t="s">
        <v>714</v>
      </c>
      <c r="L41" s="19" t="s">
        <v>1153</v>
      </c>
      <c r="M41" s="32" t="s">
        <v>1140</v>
      </c>
    </row>
    <row r="42" spans="1:13" ht="18" customHeight="1" x14ac:dyDescent="0.25">
      <c r="A42" s="8" t="s">
        <v>732</v>
      </c>
      <c r="B42" s="75">
        <f>IF(1&gt;$B$5,0,B9*B11)</f>
        <v>0</v>
      </c>
      <c r="C42" s="75">
        <f>IF(2&gt;$B$5,0,B9*B11)</f>
        <v>0</v>
      </c>
      <c r="D42" s="75">
        <f>IF(3&gt;$B$5,0,B9*B11)</f>
        <v>0</v>
      </c>
      <c r="E42" s="75">
        <f>IF(4&gt;$B$5,0,B9*B11)</f>
        <v>0</v>
      </c>
      <c r="F42" s="75">
        <f>IF(5&gt;$B$5,0,B9*B11)</f>
        <v>0</v>
      </c>
      <c r="G42" s="75">
        <f>IF(6&gt;$B$5,0,B9*B11)</f>
        <v>0</v>
      </c>
      <c r="H42" s="75">
        <f>IF(7&gt;$B$5,0,B9*B11)</f>
        <v>0</v>
      </c>
      <c r="I42" s="75">
        <f>IF(8&gt;$B$5,0,B9*B11)</f>
        <v>0</v>
      </c>
      <c r="J42" s="75">
        <f>IF(9&gt;$B$5,0,B9*B11)</f>
        <v>0</v>
      </c>
      <c r="K42" s="75">
        <f>IF(10&gt;$B$5,0,B9*B11)</f>
        <v>0</v>
      </c>
      <c r="L42" s="75">
        <v>0</v>
      </c>
      <c r="M42" s="75">
        <f>SUM(B42:K42)</f>
        <v>0</v>
      </c>
    </row>
    <row r="43" spans="1:13" ht="18" customHeight="1" x14ac:dyDescent="0.25">
      <c r="A43" s="266" t="s">
        <v>1154</v>
      </c>
      <c r="B43" s="119">
        <f t="shared" ref="B43:K43" si="0">MAX(MIN(B28,B42),0)</f>
        <v>0</v>
      </c>
      <c r="C43" s="119">
        <f t="shared" si="0"/>
        <v>0</v>
      </c>
      <c r="D43" s="119">
        <f t="shared" si="0"/>
        <v>0</v>
      </c>
      <c r="E43" s="119">
        <f t="shared" si="0"/>
        <v>0</v>
      </c>
      <c r="F43" s="119">
        <f t="shared" si="0"/>
        <v>0</v>
      </c>
      <c r="G43" s="119">
        <f t="shared" si="0"/>
        <v>0</v>
      </c>
      <c r="H43" s="119">
        <f t="shared" si="0"/>
        <v>0</v>
      </c>
      <c r="I43" s="119">
        <f t="shared" si="0"/>
        <v>0</v>
      </c>
      <c r="J43" s="119">
        <f t="shared" si="0"/>
        <v>0</v>
      </c>
      <c r="K43" s="119">
        <f t="shared" si="0"/>
        <v>0</v>
      </c>
      <c r="L43" s="119">
        <v>0</v>
      </c>
      <c r="M43" s="119">
        <f>SUM(B43:K43)</f>
        <v>0</v>
      </c>
    </row>
    <row r="44" spans="1:13" x14ac:dyDescent="0.25">
      <c r="A44" s="8" t="s">
        <v>1155</v>
      </c>
      <c r="B44" s="75">
        <f>IF(1&gt;$B$5,0,IF(B14="YES",B10*B12,0))</f>
        <v>0</v>
      </c>
      <c r="C44" s="75">
        <f>IF(2&gt;$B$5,0,IF(B14="YES",B10*B12,0))</f>
        <v>0</v>
      </c>
      <c r="D44" s="75">
        <f>IF(3&gt;$B$5,0,IF(B14="YES",B10*B12,0))</f>
        <v>0</v>
      </c>
      <c r="E44" s="75">
        <f>IF(4&gt;$B$5,0,IF(B14="YES",B10*B12,0))</f>
        <v>0</v>
      </c>
      <c r="F44" s="75">
        <f>IF(5&gt;$B$5,0,IF(B14="YES",B10*B12,0))</f>
        <v>0</v>
      </c>
      <c r="G44" s="75">
        <f>IF(6&gt;$B$5,0,IF(B14="YES",B10*B12,0))</f>
        <v>0</v>
      </c>
      <c r="H44" s="75">
        <f>IF(7&gt;$B$5,0,IF(B14="YES",B10*B12,0))</f>
        <v>0</v>
      </c>
      <c r="I44" s="75">
        <f>IF(8&gt;$B$5,0,IF(B14="YES",B10*B12,0))</f>
        <v>0</v>
      </c>
      <c r="J44" s="75">
        <f>IF(9&gt;$B$5,0,IF(B14="YES",B10*B12,0))</f>
        <v>0</v>
      </c>
      <c r="K44" s="75">
        <f>IF(10&gt;$B$5,0,IF(B14="YES",B10*B12,0))</f>
        <v>0</v>
      </c>
      <c r="L44" s="75">
        <v>0</v>
      </c>
      <c r="M44" s="75">
        <f>SUM(B44:K44)</f>
        <v>0</v>
      </c>
    </row>
    <row r="45" spans="1:13" ht="18" customHeight="1" x14ac:dyDescent="0.25">
      <c r="A45" s="266" t="s">
        <v>1156</v>
      </c>
      <c r="B45" s="119">
        <f>IF(B14="YES",MIN(MAX(B28-B43,0),B44),0)</f>
        <v>0</v>
      </c>
      <c r="C45" s="119">
        <f>IF(B14="YES",MIN(MAX(C28-C43,0),C44),0)</f>
        <v>0</v>
      </c>
      <c r="D45" s="119">
        <f>IF(B14="YES",MIN(MAX(D28-D43,0),D44),0)</f>
        <v>0</v>
      </c>
      <c r="E45" s="119">
        <f>IF(B14="YES",MIN(MAX(E28-E43,0),E44),0)</f>
        <v>0</v>
      </c>
      <c r="F45" s="119">
        <f>IF(B14="YES",MIN(MAX(F28-F43,0),F44),0)</f>
        <v>0</v>
      </c>
      <c r="G45" s="119">
        <f>IF(B14="YES",MIN(MAX(G28-G43,0),G44),0)</f>
        <v>0</v>
      </c>
      <c r="H45" s="119">
        <f>IF(B14="YES",MIN(MAX(H28-H43,0),H44),0)</f>
        <v>0</v>
      </c>
      <c r="I45" s="119">
        <f>IF(B14="YES",MIN(MAX(I28-I43,0),I44),0)</f>
        <v>0</v>
      </c>
      <c r="J45" s="119">
        <f>IF(B14="YES",MIN(MAX(J28-J43,0),J44),0)</f>
        <v>0</v>
      </c>
      <c r="K45" s="119">
        <f>IF(B14="YES",MIN(MAX(K28-K43,0),K44),0)</f>
        <v>0</v>
      </c>
      <c r="L45" s="119">
        <v>0</v>
      </c>
      <c r="M45" s="119">
        <f>SUM(B45:K45)</f>
        <v>0</v>
      </c>
    </row>
    <row r="46" spans="1:13" ht="18" customHeight="1" x14ac:dyDescent="0.25">
      <c r="A46" s="130" t="s">
        <v>1157</v>
      </c>
      <c r="B46" s="80">
        <f t="shared" ref="B46:K46" si="1">MAX(B28-B43-B45,0)</f>
        <v>0</v>
      </c>
      <c r="C46" s="80">
        <f t="shared" si="1"/>
        <v>0</v>
      </c>
      <c r="D46" s="80">
        <f t="shared" si="1"/>
        <v>0</v>
      </c>
      <c r="E46" s="80">
        <f t="shared" si="1"/>
        <v>0</v>
      </c>
      <c r="F46" s="80">
        <f t="shared" si="1"/>
        <v>0</v>
      </c>
      <c r="G46" s="80">
        <f t="shared" si="1"/>
        <v>0</v>
      </c>
      <c r="H46" s="80">
        <f t="shared" si="1"/>
        <v>0</v>
      </c>
      <c r="I46" s="80">
        <f t="shared" si="1"/>
        <v>0</v>
      </c>
      <c r="J46" s="80">
        <f t="shared" si="1"/>
        <v>0</v>
      </c>
      <c r="K46" s="80">
        <f t="shared" si="1"/>
        <v>0</v>
      </c>
      <c r="L46" s="80">
        <f>MAX(B35,0)</f>
        <v>0</v>
      </c>
      <c r="M46" s="80">
        <f>SUM(B46:L46)</f>
        <v>0</v>
      </c>
    </row>
    <row r="48" spans="1:13" ht="18" customHeight="1" x14ac:dyDescent="0.25">
      <c r="A48" s="8" t="s">
        <v>1158</v>
      </c>
      <c r="B48" s="75">
        <f>B46*B15</f>
        <v>0</v>
      </c>
      <c r="C48" s="75">
        <f>C46*B15</f>
        <v>0</v>
      </c>
      <c r="D48" s="75">
        <f>D46*B15</f>
        <v>0</v>
      </c>
      <c r="E48" s="75">
        <f>E46*B15</f>
        <v>0</v>
      </c>
      <c r="F48" s="75">
        <f>F46*B15</f>
        <v>0</v>
      </c>
      <c r="G48" s="75">
        <f>G46*B15</f>
        <v>0</v>
      </c>
      <c r="H48" s="75">
        <f>H46*B15</f>
        <v>0</v>
      </c>
      <c r="I48" s="75">
        <f>I46*B15</f>
        <v>0</v>
      </c>
      <c r="J48" s="75">
        <f>J46*B15</f>
        <v>0</v>
      </c>
      <c r="K48" s="75">
        <f>K46*B15</f>
        <v>0</v>
      </c>
      <c r="L48" s="75">
        <f>MAX(L46-L36-L37-L38,0)*B15</f>
        <v>0</v>
      </c>
      <c r="M48" s="75">
        <f>SUM(B48:L48)</f>
        <v>0</v>
      </c>
    </row>
    <row r="49" spans="1:13" ht="18" customHeight="1" x14ac:dyDescent="0.25">
      <c r="A49" s="8" t="s">
        <v>1159</v>
      </c>
      <c r="B49" s="75">
        <f>B46*(1-B15)</f>
        <v>0</v>
      </c>
      <c r="C49" s="75">
        <f>C46*(1-B15)</f>
        <v>0</v>
      </c>
      <c r="D49" s="75">
        <f>D46*(1-B15)</f>
        <v>0</v>
      </c>
      <c r="E49" s="75">
        <f>E46*(1-B15)</f>
        <v>0</v>
      </c>
      <c r="F49" s="75">
        <f>F46*(1-B15)</f>
        <v>0</v>
      </c>
      <c r="G49" s="75">
        <f>G46*(1-B15)</f>
        <v>0</v>
      </c>
      <c r="H49" s="75">
        <f>H46*(1-B15)</f>
        <v>0</v>
      </c>
      <c r="I49" s="75">
        <f>I46*(1-B15)</f>
        <v>0</v>
      </c>
      <c r="J49" s="75">
        <f>J46*(1-B15)</f>
        <v>0</v>
      </c>
      <c r="K49" s="75">
        <f>K46*(1-B15)</f>
        <v>0</v>
      </c>
      <c r="L49" s="75">
        <f>MAX(L46-L36-L37-L38,0)*(1-B15)</f>
        <v>0</v>
      </c>
      <c r="M49" s="75">
        <f>SUM(B49:L49)</f>
        <v>0</v>
      </c>
    </row>
    <row r="50" spans="1:13" ht="18" customHeight="1" x14ac:dyDescent="0.25"/>
    <row r="51" spans="1:13" ht="6" customHeight="1" x14ac:dyDescent="0.25">
      <c r="A51" s="266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</row>
    <row r="52" spans="1:13" ht="6" customHeight="1" x14ac:dyDescent="0.25">
      <c r="A52" s="266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</row>
    <row r="53" spans="1:13" ht="6" customHeight="1" x14ac:dyDescent="0.25">
      <c r="A53" s="266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</row>
    <row r="54" spans="1:13" ht="18" customHeight="1" x14ac:dyDescent="0.25"/>
    <row r="55" spans="1:13" ht="18" customHeight="1" x14ac:dyDescent="0.25">
      <c r="A55" s="3" t="s">
        <v>1160</v>
      </c>
      <c r="B55" s="267">
        <f t="shared" ref="B55:K55" si="2">IF($E$12="Common Equity",B43+B48*IFERROR($B$9/($B$9+$B$10),1),B43+B48)</f>
        <v>0</v>
      </c>
      <c r="C55" s="267">
        <f t="shared" si="2"/>
        <v>0</v>
      </c>
      <c r="D55" s="267">
        <f t="shared" si="2"/>
        <v>0</v>
      </c>
      <c r="E55" s="267">
        <f t="shared" si="2"/>
        <v>0</v>
      </c>
      <c r="F55" s="267">
        <f t="shared" si="2"/>
        <v>0</v>
      </c>
      <c r="G55" s="267">
        <f t="shared" si="2"/>
        <v>0</v>
      </c>
      <c r="H55" s="267">
        <f t="shared" si="2"/>
        <v>0</v>
      </c>
      <c r="I55" s="267">
        <f t="shared" si="2"/>
        <v>0</v>
      </c>
      <c r="J55" s="267">
        <f t="shared" si="2"/>
        <v>0</v>
      </c>
      <c r="K55" s="267">
        <f t="shared" si="2"/>
        <v>0</v>
      </c>
      <c r="L55" s="267">
        <f>IF($E$12="Common Equity",L43+L48*IFERROR($B$9/($B$9+$B$10),1)+L36,L43+L48+L36)</f>
        <v>0</v>
      </c>
      <c r="M55" s="268">
        <f>SUM(B55:L55)</f>
        <v>0</v>
      </c>
    </row>
    <row r="56" spans="1:13" x14ac:dyDescent="0.25">
      <c r="A56" s="208" t="s">
        <v>1161</v>
      </c>
      <c r="B56" s="269">
        <f t="shared" ref="B56:K56" si="3">IF($E$12="Common Equity",B45+B48*IFERROR($B$10/($B$9+$B$10),0),B45)</f>
        <v>0</v>
      </c>
      <c r="C56" s="269">
        <f t="shared" si="3"/>
        <v>0</v>
      </c>
      <c r="D56" s="269">
        <f t="shared" si="3"/>
        <v>0</v>
      </c>
      <c r="E56" s="269">
        <f t="shared" si="3"/>
        <v>0</v>
      </c>
      <c r="F56" s="269">
        <f t="shared" si="3"/>
        <v>0</v>
      </c>
      <c r="G56" s="269">
        <f t="shared" si="3"/>
        <v>0</v>
      </c>
      <c r="H56" s="269">
        <f t="shared" si="3"/>
        <v>0</v>
      </c>
      <c r="I56" s="269">
        <f t="shared" si="3"/>
        <v>0</v>
      </c>
      <c r="J56" s="269">
        <f t="shared" si="3"/>
        <v>0</v>
      </c>
      <c r="K56" s="269">
        <f t="shared" si="3"/>
        <v>0</v>
      </c>
      <c r="L56" s="269">
        <f>IF($E$12="Common Equity",L45+L48*IFERROR($B$10/($B$9+$B$10),0)+L37,L45+L37)</f>
        <v>0</v>
      </c>
      <c r="M56" s="270">
        <f>SUM(B56:L56)</f>
        <v>0</v>
      </c>
    </row>
    <row r="57" spans="1:13" ht="24" customHeight="1" x14ac:dyDescent="0.25">
      <c r="A57" s="2" t="s">
        <v>1162</v>
      </c>
      <c r="B57" s="101">
        <f t="shared" ref="B57:L57" si="4">B55+B56</f>
        <v>0</v>
      </c>
      <c r="C57" s="101">
        <f t="shared" si="4"/>
        <v>0</v>
      </c>
      <c r="D57" s="101">
        <f t="shared" si="4"/>
        <v>0</v>
      </c>
      <c r="E57" s="101">
        <f t="shared" si="4"/>
        <v>0</v>
      </c>
      <c r="F57" s="101">
        <f t="shared" si="4"/>
        <v>0</v>
      </c>
      <c r="G57" s="152">
        <f t="shared" si="4"/>
        <v>0</v>
      </c>
      <c r="H57" s="152">
        <f t="shared" si="4"/>
        <v>0</v>
      </c>
      <c r="I57" s="152">
        <f t="shared" si="4"/>
        <v>0</v>
      </c>
      <c r="J57" s="152">
        <f t="shared" si="4"/>
        <v>0</v>
      </c>
      <c r="K57" s="152">
        <f t="shared" si="4"/>
        <v>0</v>
      </c>
      <c r="L57" s="152">
        <f t="shared" si="4"/>
        <v>0</v>
      </c>
      <c r="M57" s="471">
        <f>SUM(B57:L57)</f>
        <v>0</v>
      </c>
    </row>
    <row r="58" spans="1:13" ht="30" customHeight="1" x14ac:dyDescent="0.25">
      <c r="A58" s="4" t="s">
        <v>1163</v>
      </c>
      <c r="B58" s="160">
        <f>B49</f>
        <v>0</v>
      </c>
      <c r="C58" s="160">
        <f>C49</f>
        <v>0</v>
      </c>
      <c r="D58" s="160">
        <f>D49</f>
        <v>0</v>
      </c>
      <c r="E58" s="160">
        <f>E49</f>
        <v>0</v>
      </c>
      <c r="F58" s="160">
        <f>F49</f>
        <v>0</v>
      </c>
      <c r="L58" s="152">
        <f>L49+L38</f>
        <v>0</v>
      </c>
      <c r="M58" s="160">
        <f>SUM(B58:L58)</f>
        <v>0</v>
      </c>
    </row>
    <row r="59" spans="1:13" ht="18" customHeight="1" x14ac:dyDescent="0.25"/>
    <row r="60" spans="1:13" ht="18" customHeight="1" x14ac:dyDescent="0.25">
      <c r="A60" s="6" t="s">
        <v>283</v>
      </c>
    </row>
    <row r="61" spans="1:13" ht="18" customHeight="1" x14ac:dyDescent="0.25">
      <c r="A61" s="32" t="s">
        <v>41</v>
      </c>
      <c r="B61" s="19" t="s">
        <v>284</v>
      </c>
      <c r="C61" s="196" t="s">
        <v>285</v>
      </c>
      <c r="D61" s="60" t="s">
        <v>1164</v>
      </c>
      <c r="E61" s="32" t="s">
        <v>287</v>
      </c>
      <c r="F61" s="59" t="s">
        <v>44</v>
      </c>
    </row>
    <row r="62" spans="1:13" ht="18" customHeight="1" x14ac:dyDescent="0.25">
      <c r="A62" s="8" t="s">
        <v>1165</v>
      </c>
      <c r="B62" s="271">
        <f>-B9</f>
        <v>0</v>
      </c>
      <c r="C62" s="271">
        <f>IF(1&gt;$B$5,0,B55+IF(1=$B$5,L55,0))</f>
        <v>0</v>
      </c>
      <c r="D62" s="271">
        <f>IF(2&gt;$B$5,0,C55+IF(2=$B$5,L55,0))</f>
        <v>0</v>
      </c>
      <c r="E62" s="271">
        <f>IF(3&gt;$B$5,0,D55+IF(3=$B$5,L55,0))</f>
        <v>0</v>
      </c>
      <c r="F62" s="271">
        <f>IF(4&gt;$B$5,0,E55+IF(4=$B$5,L55,0))</f>
        <v>0</v>
      </c>
      <c r="G62" s="271">
        <f>IF(5&gt;$B$5,0,F55+IF(5=$B$5,L55,0))</f>
        <v>0</v>
      </c>
      <c r="H62" s="271">
        <f>IF(6&gt;$B$5,0,G55+IF(6=$B$5,L55,0))</f>
        <v>0</v>
      </c>
      <c r="I62" s="271">
        <f>IF(7&gt;$B$5,0,H55+IF(7=$B$5,L55,0))</f>
        <v>0</v>
      </c>
      <c r="J62" s="271">
        <f>IF(8&gt;$B$5,0,I55+IF(8=$B$5,L55,0))</f>
        <v>0</v>
      </c>
      <c r="K62" s="271">
        <f>IF(9&gt;$B$5,0,J55+IF(9=$B$5,L55,0))</f>
        <v>0</v>
      </c>
      <c r="L62" s="271">
        <f>IF(10&gt;$B$5,0,K55+IF(10=$B$5,L55,0))</f>
        <v>0</v>
      </c>
      <c r="M62" s="271"/>
    </row>
    <row r="63" spans="1:13" ht="18" customHeight="1" x14ac:dyDescent="0.25">
      <c r="A63" s="8" t="s">
        <v>1166</v>
      </c>
      <c r="B63" s="271">
        <f>-B10</f>
        <v>0</v>
      </c>
      <c r="C63" s="271">
        <f>IF(1&gt;$B$5,0,B56+IF(1=$B$5,L56,0))</f>
        <v>0</v>
      </c>
      <c r="D63" s="271">
        <f>IF(2&gt;$B$5,0,C56+IF(2=$B$5,L56,0))</f>
        <v>0</v>
      </c>
      <c r="E63" s="271">
        <f>IF(3&gt;$B$5,0,D56+IF(3=$B$5,L56,0))</f>
        <v>0</v>
      </c>
      <c r="F63" s="271">
        <f>IF(4&gt;$B$5,0,E56+IF(4=$B$5,L56,0))</f>
        <v>0</v>
      </c>
      <c r="G63" s="271">
        <f>IF(5&gt;$B$5,0,F56+IF(5=$B$5,L56,0))</f>
        <v>0</v>
      </c>
      <c r="H63" s="271">
        <f>IF(6&gt;$B$5,0,G56+IF(6=$B$5,L56,0))</f>
        <v>0</v>
      </c>
      <c r="I63" s="271">
        <f>IF(7&gt;$B$5,0,H56+IF(7=$B$5,L56,0))</f>
        <v>0</v>
      </c>
      <c r="J63" s="271">
        <f>IF(8&gt;$B$5,0,I56+IF(8=$B$5,L56,0))</f>
        <v>0</v>
      </c>
      <c r="K63" s="271">
        <f>IF(9&gt;$B$5,0,J56+IF(9=$B$5,L56,0))</f>
        <v>0</v>
      </c>
      <c r="L63" s="271">
        <f>IF(10&gt;$B$5,0,K56+IF(10=$B$5,L56,0))</f>
        <v>0</v>
      </c>
      <c r="M63" s="271"/>
    </row>
    <row r="64" spans="1:13" ht="18" customHeight="1" x14ac:dyDescent="0.25">
      <c r="A64" s="8" t="s">
        <v>1167</v>
      </c>
      <c r="B64" s="271">
        <f>-B8</f>
        <v>0</v>
      </c>
      <c r="C64" s="271">
        <f>IF(1&gt;$B$5,0,B58+IF(1=$B$5,L58,0))</f>
        <v>0</v>
      </c>
      <c r="D64" s="271">
        <f>IF(2&gt;$B$5,0,C58+IF(2=$B$5,L58,0))</f>
        <v>0</v>
      </c>
      <c r="E64" s="271">
        <f>IF(3&gt;$B$5,0,D58+IF(3=$B$5,L58,0))</f>
        <v>0</v>
      </c>
      <c r="F64" s="271">
        <f>IF(4&gt;$B$5,0,E58+IF(4=$B$5,L58,0))</f>
        <v>0</v>
      </c>
      <c r="G64" s="271">
        <f>IF(5&gt;$B$5,0,F58+IF(5=$B$5,L58,0))</f>
        <v>0</v>
      </c>
      <c r="H64" s="271">
        <f>IF(6&gt;$B$5,0,G58+IF(6=$B$5,L58,0))</f>
        <v>0</v>
      </c>
      <c r="I64" s="271">
        <f>IF(7&gt;$B$5,0,H58+IF(7=$B$5,L58,0))</f>
        <v>0</v>
      </c>
      <c r="J64" s="271">
        <f>IF(8&gt;$B$5,0,I58+IF(8=$B$5,L58,0))</f>
        <v>0</v>
      </c>
      <c r="K64" s="271">
        <f>IF(9&gt;$B$5,0,J58+IF(9=$B$5,L58,0))</f>
        <v>0</v>
      </c>
      <c r="L64" s="271">
        <f>IF(10&gt;$B$5,0,K58+IF(10=$B$5,L58,0))</f>
        <v>0</v>
      </c>
      <c r="M64" s="271"/>
    </row>
    <row r="65" spans="1:14" ht="18" customHeight="1" x14ac:dyDescent="0.25">
      <c r="A65" s="8" t="s">
        <v>288</v>
      </c>
      <c r="B65" s="75">
        <f>B9</f>
        <v>0</v>
      </c>
      <c r="C65" s="75">
        <f>B10</f>
        <v>0</v>
      </c>
      <c r="D65" s="75">
        <f>B9+B10</f>
        <v>0</v>
      </c>
      <c r="E65" s="75">
        <f>B8</f>
        <v>0</v>
      </c>
    </row>
    <row r="66" spans="1:14" ht="18" customHeight="1" x14ac:dyDescent="0.25">
      <c r="A66" s="10" t="s">
        <v>290</v>
      </c>
      <c r="B66" s="71">
        <f>M55</f>
        <v>0</v>
      </c>
      <c r="C66" s="71">
        <f>M56</f>
        <v>0</v>
      </c>
      <c r="D66" s="71">
        <f>M57</f>
        <v>0</v>
      </c>
      <c r="E66" s="71">
        <f>M58</f>
        <v>0</v>
      </c>
    </row>
    <row r="67" spans="1:14" ht="15.75" customHeight="1" x14ac:dyDescent="0.25">
      <c r="A67" s="8" t="s">
        <v>293</v>
      </c>
      <c r="B67" s="272">
        <f>IFERROR(B66/B65,0)</f>
        <v>0</v>
      </c>
      <c r="C67" s="272">
        <f>IFERROR(C66/C65,0)</f>
        <v>0</v>
      </c>
      <c r="D67" s="272">
        <f>IFERROR(D66/D65,0)</f>
        <v>0</v>
      </c>
      <c r="E67" s="272">
        <f>IFERROR(E66/E65,0)</f>
        <v>0</v>
      </c>
    </row>
    <row r="68" spans="1:14" x14ac:dyDescent="0.25">
      <c r="A68" s="10" t="s">
        <v>292</v>
      </c>
      <c r="B68" s="71">
        <f>B66-B65</f>
        <v>0</v>
      </c>
      <c r="C68" s="71">
        <f>C66-C65</f>
        <v>0</v>
      </c>
      <c r="D68" s="71">
        <f>D66-D65</f>
        <v>0</v>
      </c>
      <c r="E68" s="71">
        <f>E66-E65</f>
        <v>0</v>
      </c>
    </row>
    <row r="69" spans="1:14" x14ac:dyDescent="0.25">
      <c r="A69" s="8" t="s">
        <v>295</v>
      </c>
      <c r="B69" s="273">
        <f>IFERROR(IRR(B62:M62),0)</f>
        <v>0</v>
      </c>
      <c r="C69" s="273">
        <f>IFERROR(IRR(B63:M63),0)</f>
        <v>0</v>
      </c>
      <c r="D69" s="273">
        <f>IFERROR(IF(B10=0,B69,IRR(B70:M70)),0)</f>
        <v>0</v>
      </c>
      <c r="E69" s="273">
        <f>IFERROR(IRR(B64:M64),0)</f>
        <v>0</v>
      </c>
    </row>
    <row r="70" spans="1:14" ht="21.75" customHeight="1" x14ac:dyDescent="0.25">
      <c r="A70" s="892" t="s">
        <v>1168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</row>
    <row r="71" spans="1:14" ht="15.75" customHeight="1" x14ac:dyDescent="0.25"/>
    <row r="72" spans="1:14" ht="18" customHeight="1" x14ac:dyDescent="0.25"/>
    <row r="73" spans="1:14" ht="18" customHeight="1" x14ac:dyDescent="0.25">
      <c r="A73" s="6" t="s">
        <v>1169</v>
      </c>
    </row>
    <row r="74" spans="1:14" ht="18" customHeight="1" x14ac:dyDescent="0.25">
      <c r="A74" s="274" t="s">
        <v>1170</v>
      </c>
      <c r="B74" s="41" t="s">
        <v>1171</v>
      </c>
      <c r="C74" s="41" t="s">
        <v>1172</v>
      </c>
      <c r="D74" s="41" t="s">
        <v>1173</v>
      </c>
      <c r="E74" s="41" t="s">
        <v>1174</v>
      </c>
      <c r="F74" s="41" t="s">
        <v>1175</v>
      </c>
      <c r="G74" s="41" t="s">
        <v>1176</v>
      </c>
      <c r="H74" s="41" t="s">
        <v>1177</v>
      </c>
      <c r="I74" s="41" t="s">
        <v>1178</v>
      </c>
      <c r="J74" s="41" t="s">
        <v>1179</v>
      </c>
      <c r="K74" s="41" t="s">
        <v>1180</v>
      </c>
      <c r="L74" s="41" t="s">
        <v>1181</v>
      </c>
      <c r="M74" s="41" t="s">
        <v>1182</v>
      </c>
    </row>
    <row r="75" spans="1:14" x14ac:dyDescent="0.25">
      <c r="A75" s="137" t="s">
        <v>1183</v>
      </c>
      <c r="B75" s="275">
        <f>B9</f>
        <v>0</v>
      </c>
      <c r="C75" s="276">
        <f>IF(1&gt;$B$5,0,MAX(B75-IF($B$23="Return of Capital",IF(ISNUMBER('Exit Strategy'!$C$5),IF(1='Exit Strategy'!$C$5,'Exit Strategy'!$C$16*IFERROR($B$9/($B$9+$B$10),1),0),0),0),0))</f>
        <v>0</v>
      </c>
      <c r="D75" s="276">
        <f>IF(2&gt;$B$5,0,MAX(C75-IF($B$23="Return of Capital",IF(ISNUMBER('Exit Strategy'!$C$5),IF(2='Exit Strategy'!$C$5,'Exit Strategy'!$C$16*IFERROR($B$9/($B$9+$B$10),1),0),0),0),0))</f>
        <v>0</v>
      </c>
      <c r="E75" s="276">
        <f>IF(3&gt;$B$5,0,MAX(D75-IF($B$23="Return of Capital",IF(ISNUMBER('Exit Strategy'!$C$5),IF(3='Exit Strategy'!$C$5,'Exit Strategy'!$C$16*IFERROR($B$9/($B$9+$B$10),1),0),0),0),0))</f>
        <v>0</v>
      </c>
      <c r="F75" s="276">
        <f>IF(4&gt;$B$5,0,MAX(E75-IF($B$23="Return of Capital",IF(ISNUMBER('Exit Strategy'!$C$5),IF(4='Exit Strategy'!$C$5,'Exit Strategy'!$C$16*IFERROR($B$9/($B$9+$B$10),1),0),0),0),0))</f>
        <v>0</v>
      </c>
      <c r="G75" s="276">
        <f>IF(5&gt;$B$5,0,MAX(F75-IF($B$23="Return of Capital",IF(ISNUMBER('Exit Strategy'!$C$5),IF(5='Exit Strategy'!$C$5,'Exit Strategy'!$C$16*IFERROR($B$9/($B$9+$B$10),1),0),0),0),0))</f>
        <v>0</v>
      </c>
      <c r="H75" s="276">
        <f>IF(6&gt;$B$5,0,MAX(G75-IF($B$23="Return of Capital",IF(ISNUMBER('Exit Strategy'!$C$5),IF(6='Exit Strategy'!$C$5,'Exit Strategy'!$C$16*IFERROR($B$9/($B$9+$B$10),1),0),0),0),0))</f>
        <v>0</v>
      </c>
      <c r="I75" s="276">
        <f>IF(7&gt;$B$5,0,MAX(H75-IF($B$23="Return of Capital",IF(ISNUMBER('Exit Strategy'!$C$5),IF(7='Exit Strategy'!$C$5,'Exit Strategy'!$C$16*IFERROR($B$9/($B$9+$B$10),1),0),0),0),0))</f>
        <v>0</v>
      </c>
      <c r="J75" s="276">
        <f>IF(8&gt;$B$5,0,MAX(I75-IF($B$23="Return of Capital",IF(ISNUMBER('Exit Strategy'!$C$5),IF(8='Exit Strategy'!$C$5,'Exit Strategy'!$C$16*IFERROR($B$9/($B$9+$B$10),1),0),0),0),0))</f>
        <v>0</v>
      </c>
      <c r="K75" s="276">
        <f>IF(9&gt;$B$5,0,MAX(J75-IF($B$23="Return of Capital",IF(ISNUMBER('Exit Strategy'!$C$5),IF(9='Exit Strategy'!$C$5,'Exit Strategy'!$C$16*IFERROR($B$9/($B$9+$B$10),1),0),0),0),0))</f>
        <v>0</v>
      </c>
      <c r="L75" s="276">
        <f>IF(10&gt;$B$5,0,MAX(K75-IF($B$23="Return of Capital",IF(ISNUMBER('Exit Strategy'!$C$5),IF(10='Exit Strategy'!$C$5,'Exit Strategy'!$C$16*IFERROR($B$9/($B$9+$B$10),1),0),0),0),0))</f>
        <v>0</v>
      </c>
      <c r="M75" s="275">
        <f>B75</f>
        <v>0</v>
      </c>
      <c r="N75" s="275">
        <f>MAX(K75-L51,0)</f>
        <v>0</v>
      </c>
    </row>
    <row r="76" spans="1:14" ht="18" customHeight="1" x14ac:dyDescent="0.25">
      <c r="A76" s="277" t="s">
        <v>1184</v>
      </c>
      <c r="B76" s="278" t="s">
        <v>197</v>
      </c>
      <c r="C76" s="279">
        <f>IF($B$23="Return of Capital",IF(ISNUMBER('Exit Strategy'!$C$5),IF(1='Exit Strategy'!$C$5,'Exit Strategy'!$C$16*IFERROR($B$9/($B$9+$B$10),1),0),0),0)</f>
        <v>0</v>
      </c>
      <c r="D76" s="279">
        <f>IF($B$23="Return of Capital",IF(ISNUMBER('Exit Strategy'!$C$5),IF(2='Exit Strategy'!$C$5,'Exit Strategy'!$C$16*IFERROR($B$9/($B$9+$B$10),1),0),0),0)</f>
        <v>0</v>
      </c>
      <c r="E76" s="279">
        <f>IF($B$23="Return of Capital",IF(ISNUMBER('Exit Strategy'!$C$5),IF(3='Exit Strategy'!$C$5,'Exit Strategy'!$C$16*IFERROR($B$9/($B$9+$B$10),1),0),0),0)</f>
        <v>0</v>
      </c>
      <c r="F76" s="279">
        <f>IF($B$23="Return of Capital",IF(ISNUMBER('Exit Strategy'!$C$5),IF(4='Exit Strategy'!$C$5,'Exit Strategy'!$C$16*IFERROR($B$9/($B$9+$B$10),1),0),0),0)</f>
        <v>0</v>
      </c>
      <c r="G76" s="279">
        <f>IF($B$23="Return of Capital",IF(ISNUMBER('Exit Strategy'!$C$5),IF(5='Exit Strategy'!$C$5,'Exit Strategy'!$C$16*IFERROR($B$9/($B$9+$B$10),1),0),0),0)</f>
        <v>0</v>
      </c>
      <c r="H76" s="279">
        <f>IF($B$23="Return of Capital",IF(ISNUMBER('Exit Strategy'!$C$5),IF(6='Exit Strategy'!$C$5,'Exit Strategy'!$C$16*IFERROR($B$9/($B$9+$B$10),1),0),0),0)</f>
        <v>0</v>
      </c>
      <c r="I76" s="279">
        <f>IF($B$23="Return of Capital",IF(ISNUMBER('Exit Strategy'!$C$5),IF(7='Exit Strategy'!$C$5,'Exit Strategy'!$C$16*IFERROR($B$9/($B$9+$B$10),1),0),0),0)</f>
        <v>0</v>
      </c>
      <c r="J76" s="279">
        <f>IF($B$23="Return of Capital",IF(ISNUMBER('Exit Strategy'!$C$5),IF(8='Exit Strategy'!$C$5,'Exit Strategy'!$C$16*IFERROR($B$9/($B$9+$B$10),1),0),0),0)</f>
        <v>0</v>
      </c>
      <c r="K76" s="279">
        <f>IF($B$23="Return of Capital",IF(ISNUMBER('Exit Strategy'!$C$5),IF(9='Exit Strategy'!$C$5,'Exit Strategy'!$C$16*IFERROR($B$9/($B$9+$B$10),1),0),0),0)</f>
        <v>0</v>
      </c>
      <c r="L76" s="279">
        <f>IF($B$23="Return of Capital",IF(ISNUMBER('Exit Strategy'!$C$5),IF(10='Exit Strategy'!$C$5,'Exit Strategy'!$C$16*IFERROR($B$9/($B$9+$B$10),1),0),0),0)</f>
        <v>0</v>
      </c>
      <c r="M76" s="279">
        <f>SUM(C76:L76)</f>
        <v>0</v>
      </c>
      <c r="N76" s="279">
        <f>L51</f>
        <v>0</v>
      </c>
    </row>
    <row r="77" spans="1:14" ht="18" customHeight="1" x14ac:dyDescent="0.25">
      <c r="A77" s="280" t="s">
        <v>1185</v>
      </c>
      <c r="B77" s="281">
        <f t="shared" ref="B77:M77" si="5">B75</f>
        <v>0</v>
      </c>
      <c r="C77" s="281">
        <f t="shared" si="5"/>
        <v>0</v>
      </c>
      <c r="D77" s="281">
        <f t="shared" si="5"/>
        <v>0</v>
      </c>
      <c r="E77" s="281">
        <f t="shared" si="5"/>
        <v>0</v>
      </c>
      <c r="F77" s="281">
        <f t="shared" si="5"/>
        <v>0</v>
      </c>
      <c r="G77" s="281">
        <f t="shared" si="5"/>
        <v>0</v>
      </c>
      <c r="H77" s="281">
        <f t="shared" si="5"/>
        <v>0</v>
      </c>
      <c r="I77" s="281">
        <f t="shared" si="5"/>
        <v>0</v>
      </c>
      <c r="J77" s="281">
        <f t="shared" si="5"/>
        <v>0</v>
      </c>
      <c r="K77" s="281">
        <f t="shared" si="5"/>
        <v>0</v>
      </c>
      <c r="L77" s="281">
        <f t="shared" si="5"/>
        <v>0</v>
      </c>
      <c r="M77" s="281">
        <f t="shared" si="5"/>
        <v>0</v>
      </c>
    </row>
    <row r="78" spans="1:14" ht="18" customHeight="1" x14ac:dyDescent="0.25"/>
    <row r="79" spans="1:14" x14ac:dyDescent="0.25">
      <c r="A79" s="137" t="s">
        <v>1186</v>
      </c>
      <c r="B79" s="275">
        <f>B9+B10</f>
        <v>0</v>
      </c>
      <c r="C79" s="276">
        <f>IF(1&gt;$B$5,0,MAX(B79-IF($B$23="Return of Capital",IF(ISNUMBER('Exit Strategy'!$C$5),IF(1='Exit Strategy'!$C$5,'Exit Strategy'!$C$16,0),0),0),0))</f>
        <v>0</v>
      </c>
      <c r="D79" s="276">
        <f>IF(2&gt;$B$5,0,MAX(C79-IF($B$23="Return of Capital",IF(ISNUMBER('Exit Strategy'!$C$5),IF(2='Exit Strategy'!$C$5,'Exit Strategy'!$C$16,0),0),0),0))</f>
        <v>0</v>
      </c>
      <c r="E79" s="276">
        <f>IF(3&gt;$B$5,0,MAX(D79-IF($B$23="Return of Capital",IF(ISNUMBER('Exit Strategy'!$C$5),IF(3='Exit Strategy'!$C$5,'Exit Strategy'!$C$16,0),0),0),0))</f>
        <v>0</v>
      </c>
      <c r="F79" s="276">
        <f>IF(4&gt;$B$5,0,MAX(E79-IF($B$23="Return of Capital",IF(ISNUMBER('Exit Strategy'!$C$5),IF(4='Exit Strategy'!$C$5,'Exit Strategy'!$C$16,0),0),0),0))</f>
        <v>0</v>
      </c>
      <c r="G79" s="276">
        <f>IF(5&gt;$B$5,0,MAX(F79-IF($B$23="Return of Capital",IF(ISNUMBER('Exit Strategy'!$C$5),IF(5='Exit Strategy'!$C$5,'Exit Strategy'!$C$16,0),0),0),0))</f>
        <v>0</v>
      </c>
      <c r="H79" s="276">
        <f>IF(6&gt;$B$5,0,MAX(G79-IF($B$23="Return of Capital",IF(ISNUMBER('Exit Strategy'!$C$5),IF(6='Exit Strategy'!$C$5,'Exit Strategy'!$C$16,0),0),0),0))</f>
        <v>0</v>
      </c>
      <c r="I79" s="276">
        <f>IF(7&gt;$B$5,0,MAX(H79-IF($B$23="Return of Capital",IF(ISNUMBER('Exit Strategy'!$C$5),IF(7='Exit Strategy'!$C$5,'Exit Strategy'!$C$16,0),0),0),0))</f>
        <v>0</v>
      </c>
      <c r="J79" s="276">
        <f>IF(8&gt;$B$5,0,MAX(I79-IF($B$23="Return of Capital",IF(ISNUMBER('Exit Strategy'!$C$5),IF(8='Exit Strategy'!$C$5,'Exit Strategy'!$C$16,0),0),0),0))</f>
        <v>0</v>
      </c>
      <c r="K79" s="276">
        <f>IF(9&gt;$B$5,0,MAX(J79-IF($B$23="Return of Capital",IF(ISNUMBER('Exit Strategy'!$C$5),IF(9='Exit Strategy'!$C$5,'Exit Strategy'!$C$16,0),0),0),0))</f>
        <v>0</v>
      </c>
      <c r="L79" s="276">
        <f>IF(10&gt;$B$5,0,MAX(K79-IF($B$23="Return of Capital",IF(ISNUMBER('Exit Strategy'!$C$5),IF(10='Exit Strategy'!$C$5,'Exit Strategy'!$C$16,0),0),0),0))</f>
        <v>0</v>
      </c>
      <c r="M79" s="275">
        <f>B79</f>
        <v>0</v>
      </c>
      <c r="N79" s="275">
        <f>MAX(K79-L51-L52,0)</f>
        <v>0</v>
      </c>
    </row>
    <row r="80" spans="1:14" ht="27.75" customHeight="1" x14ac:dyDescent="0.25">
      <c r="A80" s="889" t="s">
        <v>1187</v>
      </c>
      <c r="B80" s="817"/>
      <c r="C80" s="817"/>
      <c r="D80" s="817"/>
      <c r="E80" s="817"/>
      <c r="F80" s="817"/>
      <c r="G80" s="817"/>
      <c r="H80" s="817"/>
      <c r="I80" s="817"/>
      <c r="J80" s="817"/>
      <c r="K80" s="817"/>
      <c r="L80" s="817"/>
      <c r="M80" s="817"/>
      <c r="N80" s="817"/>
    </row>
    <row r="81" spans="1:13" x14ac:dyDescent="0.25">
      <c r="A81" s="280" t="s">
        <v>1188</v>
      </c>
      <c r="B81" s="281">
        <f t="shared" ref="B81:M81" si="6">B79</f>
        <v>0</v>
      </c>
      <c r="C81" s="281">
        <f t="shared" si="6"/>
        <v>0</v>
      </c>
      <c r="D81" s="281">
        <f t="shared" si="6"/>
        <v>0</v>
      </c>
      <c r="E81" s="281">
        <f t="shared" si="6"/>
        <v>0</v>
      </c>
      <c r="F81" s="281">
        <f t="shared" si="6"/>
        <v>0</v>
      </c>
      <c r="G81" s="281">
        <f t="shared" si="6"/>
        <v>0</v>
      </c>
      <c r="H81" s="281">
        <f t="shared" si="6"/>
        <v>0</v>
      </c>
      <c r="I81" s="281">
        <f t="shared" si="6"/>
        <v>0</v>
      </c>
      <c r="J81" s="281">
        <f t="shared" si="6"/>
        <v>0</v>
      </c>
      <c r="K81" s="281">
        <f t="shared" si="6"/>
        <v>0</v>
      </c>
      <c r="L81" s="281">
        <f t="shared" si="6"/>
        <v>0</v>
      </c>
      <c r="M81" s="281">
        <f t="shared" si="6"/>
        <v>0</v>
      </c>
    </row>
    <row r="82" spans="1:13" ht="21.75" customHeight="1" x14ac:dyDescent="0.25">
      <c r="A82" s="817"/>
      <c r="B82" s="817"/>
      <c r="C82" s="817"/>
      <c r="D82" s="817"/>
      <c r="E82" s="817"/>
      <c r="F82" s="817"/>
      <c r="G82" s="817"/>
      <c r="H82" s="817"/>
      <c r="I82" s="817"/>
      <c r="J82" s="817"/>
      <c r="K82" s="817"/>
      <c r="L82" s="817"/>
      <c r="M82" s="817"/>
    </row>
    <row r="83" spans="1:13" ht="15.75" customHeight="1" x14ac:dyDescent="0.25">
      <c r="A83" s="7" t="s">
        <v>1189</v>
      </c>
    </row>
    <row r="84" spans="1:13" ht="18" customHeight="1" x14ac:dyDescent="0.25"/>
    <row r="85" spans="1:13" ht="18" customHeight="1" x14ac:dyDescent="0.25">
      <c r="A85" s="282" t="s">
        <v>1190</v>
      </c>
    </row>
    <row r="86" spans="1:13" ht="18" customHeight="1" x14ac:dyDescent="0.25">
      <c r="A86" s="42" t="s">
        <v>1191</v>
      </c>
      <c r="B86" s="41" t="s">
        <v>1172</v>
      </c>
      <c r="C86" s="41" t="s">
        <v>1173</v>
      </c>
      <c r="D86" s="41" t="s">
        <v>1174</v>
      </c>
      <c r="E86" s="41" t="s">
        <v>1175</v>
      </c>
      <c r="F86" s="41" t="s">
        <v>1176</v>
      </c>
      <c r="G86" s="41" t="s">
        <v>1177</v>
      </c>
      <c r="H86" s="41" t="s">
        <v>1178</v>
      </c>
      <c r="I86" s="41" t="s">
        <v>1179</v>
      </c>
      <c r="J86" s="41" t="s">
        <v>1180</v>
      </c>
      <c r="K86" s="41" t="s">
        <v>1181</v>
      </c>
      <c r="L86" s="41" t="s">
        <v>1182</v>
      </c>
      <c r="M86" s="41" t="s">
        <v>1192</v>
      </c>
    </row>
    <row r="87" spans="1:13" ht="18" customHeight="1" x14ac:dyDescent="0.25">
      <c r="A87" s="283" t="s">
        <v>1193</v>
      </c>
      <c r="B87" s="284">
        <f>Scenarios!F16</f>
        <v>0</v>
      </c>
      <c r="C87" s="285">
        <v>0</v>
      </c>
      <c r="D87" s="285">
        <v>0</v>
      </c>
      <c r="E87" s="285">
        <v>0</v>
      </c>
      <c r="F87" s="285">
        <v>0</v>
      </c>
      <c r="G87" s="285">
        <v>0</v>
      </c>
      <c r="H87" s="285">
        <v>0</v>
      </c>
      <c r="I87" s="285">
        <v>0</v>
      </c>
      <c r="J87" s="285">
        <v>0</v>
      </c>
      <c r="K87" s="285">
        <v>0</v>
      </c>
      <c r="L87" s="285">
        <v>0</v>
      </c>
      <c r="M87" s="286">
        <f>Scenarios!F16</f>
        <v>0</v>
      </c>
    </row>
    <row r="88" spans="1:13" ht="18" customHeight="1" x14ac:dyDescent="0.25">
      <c r="A88" s="283" t="s">
        <v>1194</v>
      </c>
      <c r="B88" s="284">
        <f>IF(1&gt;$B$5,0,IFERROR('P&amp;L'!D111,0))</f>
        <v>0</v>
      </c>
      <c r="C88" s="284">
        <f>IF(2&gt;$B$5,0,IFERROR('P&amp;L'!E111,0))</f>
        <v>0</v>
      </c>
      <c r="D88" s="284">
        <f>IF(3&gt;$B$5,0,IFERROR('P&amp;L'!F111,0))</f>
        <v>0</v>
      </c>
      <c r="E88" s="284">
        <f>IF(4&gt;$B$5,0,IFERROR('P&amp;L'!G111,0))</f>
        <v>0</v>
      </c>
      <c r="F88" s="284">
        <f>IF(5&gt;$B$5,0,IFERROR('P&amp;L'!H111,0))</f>
        <v>0</v>
      </c>
      <c r="G88" s="284">
        <f>IF(6&gt;$B$5,0,IFERROR('P&amp;L'!I111,0))</f>
        <v>0</v>
      </c>
      <c r="H88" s="284">
        <f>IF(7&gt;$B$5,0,IFERROR('P&amp;L'!J111,0))</f>
        <v>0</v>
      </c>
      <c r="I88" s="284">
        <f>IF(8&gt;$B$5,0,IFERROR('P&amp;L'!K111,0))</f>
        <v>0</v>
      </c>
      <c r="J88" s="284">
        <f>IF(9&gt;$B$5,0,IFERROR('P&amp;L'!L111,0))</f>
        <v>0</v>
      </c>
      <c r="K88" s="284">
        <f>IF(10&gt;$B$5,0,IFERROR('P&amp;L'!M111,0))</f>
        <v>0</v>
      </c>
      <c r="L88" s="285">
        <v>0</v>
      </c>
      <c r="M88" s="286">
        <f>SUM(B88:L88)</f>
        <v>0</v>
      </c>
    </row>
    <row r="89" spans="1:13" ht="18" customHeight="1" x14ac:dyDescent="0.25">
      <c r="A89" s="283" t="s">
        <v>1195</v>
      </c>
      <c r="B89" s="284">
        <f t="shared" ref="B89:L89" si="7">B49</f>
        <v>0</v>
      </c>
      <c r="C89" s="284">
        <f t="shared" si="7"/>
        <v>0</v>
      </c>
      <c r="D89" s="284">
        <f t="shared" si="7"/>
        <v>0</v>
      </c>
      <c r="E89" s="284">
        <f t="shared" si="7"/>
        <v>0</v>
      </c>
      <c r="F89" s="284">
        <f t="shared" si="7"/>
        <v>0</v>
      </c>
      <c r="G89" s="284">
        <f t="shared" si="7"/>
        <v>0</v>
      </c>
      <c r="H89" s="284">
        <f t="shared" si="7"/>
        <v>0</v>
      </c>
      <c r="I89" s="284">
        <f t="shared" si="7"/>
        <v>0</v>
      </c>
      <c r="J89" s="284">
        <f t="shared" si="7"/>
        <v>0</v>
      </c>
      <c r="K89" s="284">
        <f t="shared" si="7"/>
        <v>0</v>
      </c>
      <c r="L89" s="284">
        <f t="shared" si="7"/>
        <v>0</v>
      </c>
      <c r="M89" s="286">
        <f>SUM(B89:L89)</f>
        <v>0</v>
      </c>
    </row>
    <row r="90" spans="1:13" x14ac:dyDescent="0.25">
      <c r="A90" s="283" t="s">
        <v>1196</v>
      </c>
      <c r="B90" s="285">
        <v>0</v>
      </c>
      <c r="C90" s="285">
        <v>0</v>
      </c>
      <c r="D90" s="285">
        <v>0</v>
      </c>
      <c r="E90" s="285">
        <v>0</v>
      </c>
      <c r="F90" s="285">
        <v>0</v>
      </c>
      <c r="G90" s="285">
        <v>0</v>
      </c>
      <c r="H90" s="285">
        <v>0</v>
      </c>
      <c r="I90" s="285">
        <v>0</v>
      </c>
      <c r="J90" s="285">
        <v>0</v>
      </c>
      <c r="K90" s="285">
        <v>0</v>
      </c>
      <c r="L90" s="284">
        <f>'Exit Strategy'!G18</f>
        <v>0</v>
      </c>
      <c r="M90" s="286">
        <f>'Exit Strategy'!G18</f>
        <v>0</v>
      </c>
    </row>
    <row r="91" spans="1:13" ht="21.75" customHeight="1" x14ac:dyDescent="0.25">
      <c r="A91" s="890" t="s">
        <v>1197</v>
      </c>
      <c r="B91" s="817"/>
      <c r="C91" s="817"/>
      <c r="D91" s="817"/>
      <c r="E91" s="817"/>
      <c r="F91" s="285">
        <v>0</v>
      </c>
      <c r="G91" s="285">
        <v>0</v>
      </c>
      <c r="H91" s="285">
        <v>0</v>
      </c>
      <c r="I91" s="285">
        <v>0</v>
      </c>
      <c r="J91" s="285">
        <v>0</v>
      </c>
      <c r="K91" s="285">
        <v>0</v>
      </c>
      <c r="L91" s="284">
        <f>L38</f>
        <v>0</v>
      </c>
      <c r="M91" s="286">
        <f>L38</f>
        <v>0</v>
      </c>
    </row>
    <row r="92" spans="1:13" ht="15.75" customHeight="1" x14ac:dyDescent="0.25">
      <c r="A92" s="287" t="s">
        <v>1198</v>
      </c>
      <c r="B92" s="288">
        <f t="shared" ref="B92:M92" si="8">B87+B88+B89+B90+B91</f>
        <v>0</v>
      </c>
      <c r="C92" s="288">
        <f t="shared" si="8"/>
        <v>0</v>
      </c>
      <c r="D92" s="288">
        <f t="shared" si="8"/>
        <v>0</v>
      </c>
      <c r="E92" s="288">
        <f t="shared" si="8"/>
        <v>0</v>
      </c>
      <c r="F92" s="288">
        <f t="shared" si="8"/>
        <v>0</v>
      </c>
      <c r="G92" s="288">
        <f t="shared" si="8"/>
        <v>0</v>
      </c>
      <c r="H92" s="288">
        <f t="shared" si="8"/>
        <v>0</v>
      </c>
      <c r="I92" s="288">
        <f t="shared" si="8"/>
        <v>0</v>
      </c>
      <c r="J92" s="288">
        <f t="shared" si="8"/>
        <v>0</v>
      </c>
      <c r="K92" s="288">
        <f t="shared" si="8"/>
        <v>0</v>
      </c>
      <c r="L92" s="288">
        <f t="shared" si="8"/>
        <v>0</v>
      </c>
      <c r="M92" s="288">
        <f t="shared" si="8"/>
        <v>0</v>
      </c>
    </row>
    <row r="93" spans="1:13" ht="18" customHeight="1" x14ac:dyDescent="0.25"/>
    <row r="94" spans="1:13" ht="18" customHeight="1" x14ac:dyDescent="0.25">
      <c r="A94" s="289" t="s">
        <v>1199</v>
      </c>
      <c r="M94" s="76"/>
    </row>
    <row r="95" spans="1:13" ht="18" customHeight="1" x14ac:dyDescent="0.25">
      <c r="A95" s="42" t="s">
        <v>1200</v>
      </c>
      <c r="B95" s="41" t="s">
        <v>1140</v>
      </c>
      <c r="C95" s="41" t="s">
        <v>1201</v>
      </c>
      <c r="D95" s="41" t="s">
        <v>44</v>
      </c>
    </row>
    <row r="96" spans="1:13" ht="18" customHeight="1" x14ac:dyDescent="0.25">
      <c r="A96" s="283" t="s">
        <v>1202</v>
      </c>
      <c r="B96" s="284">
        <f>M87+M88+M90</f>
        <v>0</v>
      </c>
      <c r="C96" s="290">
        <f>IFERROR(B96/M92,0)</f>
        <v>0</v>
      </c>
      <c r="D96" s="291" t="s">
        <v>1203</v>
      </c>
    </row>
    <row r="97" spans="1:13" x14ac:dyDescent="0.25">
      <c r="A97" s="283" t="s">
        <v>1204</v>
      </c>
      <c r="B97" s="284">
        <f>M89</f>
        <v>0</v>
      </c>
      <c r="C97" s="290">
        <f>IFERROR(B97/M92,0)</f>
        <v>0</v>
      </c>
      <c r="D97" s="291" t="s">
        <v>1205</v>
      </c>
    </row>
    <row r="98" spans="1:13" ht="15.75" customHeight="1" x14ac:dyDescent="0.25">
      <c r="A98" s="890" t="s">
        <v>1206</v>
      </c>
      <c r="B98" s="817"/>
      <c r="C98" s="817"/>
      <c r="D98" s="817"/>
      <c r="E98" s="817"/>
      <c r="F98" s="817"/>
      <c r="G98" s="817"/>
      <c r="H98" s="817"/>
      <c r="I98" s="817"/>
      <c r="J98" s="817"/>
      <c r="K98" s="817"/>
      <c r="L98" s="817"/>
      <c r="M98" s="817"/>
    </row>
    <row r="99" spans="1:13" x14ac:dyDescent="0.25">
      <c r="A99" s="287" t="s">
        <v>1207</v>
      </c>
      <c r="B99" s="288">
        <f>M92</f>
        <v>0</v>
      </c>
      <c r="C99" s="292">
        <v>1</v>
      </c>
      <c r="D99" s="287" t="s">
        <v>1208</v>
      </c>
    </row>
    <row r="101" spans="1:13" x14ac:dyDescent="0.25">
      <c r="A101" s="7" t="s">
        <v>1209</v>
      </c>
    </row>
  </sheetData>
  <mergeCells count="28">
    <mergeCell ref="C6:M6"/>
    <mergeCell ref="C15:M15"/>
    <mergeCell ref="A4:M4"/>
    <mergeCell ref="C5:M5"/>
    <mergeCell ref="C14:M14"/>
    <mergeCell ref="C9:M9"/>
    <mergeCell ref="C20:M20"/>
    <mergeCell ref="C10:M10"/>
    <mergeCell ref="C16:M16"/>
    <mergeCell ref="A30:M30"/>
    <mergeCell ref="A24:M24"/>
    <mergeCell ref="C22:M22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  <mergeCell ref="A70:N70"/>
    <mergeCell ref="F12:M12"/>
  </mergeCells>
  <dataValidations count="1">
    <dataValidation type="list" sqref="E12" xr:uid="{00000000-0002-0000-0B00-000000000000}">
      <formula1>"Pref Only,Common Equity"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65"/>
  <sheetViews>
    <sheetView topLeftCell="A20" zoomScale="125" zoomScaleNormal="125" workbookViewId="0">
      <selection activeCell="B35" sqref="B35"/>
    </sheetView>
  </sheetViews>
  <sheetFormatPr defaultColWidth="8.85546875" defaultRowHeight="15" x14ac:dyDescent="0.25"/>
  <cols>
    <col min="1" max="1" width="43.85546875" customWidth="1"/>
    <col min="2" max="2" width="12" customWidth="1"/>
    <col min="3" max="3" width="19.7109375" customWidth="1"/>
    <col min="4" max="4" width="12" customWidth="1"/>
    <col min="5" max="5" width="21.42578125" customWidth="1"/>
    <col min="6" max="11" width="12" customWidth="1"/>
    <col min="12" max="12" width="13" customWidth="1"/>
    <col min="13" max="13" width="11" customWidth="1"/>
  </cols>
  <sheetData>
    <row r="1" spans="1:13" ht="27.75" customHeight="1" x14ac:dyDescent="0.25">
      <c r="A1" s="899" t="s">
        <v>1226</v>
      </c>
      <c r="B1" s="895"/>
      <c r="C1" s="895"/>
      <c r="D1" s="895"/>
      <c r="E1" s="895"/>
      <c r="F1" s="895"/>
      <c r="G1" s="895"/>
      <c r="H1" s="895"/>
      <c r="I1" s="895"/>
      <c r="J1" s="895"/>
      <c r="K1" s="895"/>
      <c r="L1" s="895"/>
      <c r="M1" s="896"/>
    </row>
    <row r="2" spans="1:13" ht="18" customHeight="1" x14ac:dyDescent="0.25">
      <c r="A2" s="234" t="s">
        <v>1227</v>
      </c>
      <c r="B2" s="304">
        <f>Total_LPA_Equity</f>
        <v>0</v>
      </c>
      <c r="C2" s="897" t="s">
        <v>1228</v>
      </c>
      <c r="D2" s="895"/>
      <c r="E2" s="895"/>
      <c r="F2" s="895"/>
      <c r="G2" s="895"/>
      <c r="H2" s="895"/>
      <c r="I2" s="895"/>
      <c r="J2" s="895"/>
      <c r="K2" s="895"/>
      <c r="L2" s="895"/>
      <c r="M2" s="896"/>
    </row>
    <row r="3" spans="1:13" ht="18" customHeight="1" x14ac:dyDescent="0.25">
      <c r="A3" s="234" t="s">
        <v>1229</v>
      </c>
      <c r="B3" s="306" t="s">
        <v>1230</v>
      </c>
      <c r="C3" s="897" t="s">
        <v>1231</v>
      </c>
      <c r="D3" s="896"/>
      <c r="E3" s="227" t="s">
        <v>1232</v>
      </c>
      <c r="F3" s="307">
        <f>IFERROR($B$2/IF($B$3="Class A",Waterfall!$B$9,Waterfall!$B$10),0)</f>
        <v>0</v>
      </c>
      <c r="G3" s="227" t="s">
        <v>1233</v>
      </c>
      <c r="H3" s="308">
        <f>IF($B$3="Class A",Waterfall!$B$11,Waterfall!$B$12)</f>
        <v>0</v>
      </c>
      <c r="I3" s="234"/>
      <c r="J3" s="234"/>
      <c r="K3" s="234"/>
      <c r="L3" s="234"/>
      <c r="M3" s="234"/>
    </row>
    <row r="4" spans="1:13" x14ac:dyDescent="0.25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</row>
    <row r="5" spans="1:13" ht="21.75" customHeight="1" x14ac:dyDescent="0.25">
      <c r="A5" s="310" t="s">
        <v>1234</v>
      </c>
      <c r="B5" s="311">
        <v>1</v>
      </c>
      <c r="C5" s="311">
        <v>2</v>
      </c>
      <c r="D5" s="311">
        <v>3</v>
      </c>
      <c r="E5" s="311">
        <v>4</v>
      </c>
      <c r="F5" s="311">
        <v>5</v>
      </c>
      <c r="G5" s="311">
        <v>6</v>
      </c>
      <c r="H5" s="311">
        <v>7</v>
      </c>
      <c r="I5" s="311">
        <v>8</v>
      </c>
      <c r="J5" s="311">
        <v>9</v>
      </c>
      <c r="K5" s="311">
        <v>10</v>
      </c>
      <c r="L5" s="312" t="s">
        <v>1235</v>
      </c>
      <c r="M5" s="312" t="s">
        <v>1236</v>
      </c>
    </row>
    <row r="6" spans="1:13" ht="19.5" customHeight="1" x14ac:dyDescent="0.25">
      <c r="A6" s="894" t="s">
        <v>1237</v>
      </c>
      <c r="B6" s="895"/>
      <c r="C6" s="895"/>
      <c r="D6" s="895"/>
      <c r="E6" s="895"/>
      <c r="F6" s="895"/>
      <c r="G6" s="895"/>
      <c r="H6" s="895"/>
      <c r="I6" s="895"/>
      <c r="J6" s="895"/>
      <c r="K6" s="895"/>
      <c r="L6" s="895"/>
      <c r="M6" s="896"/>
    </row>
    <row r="7" spans="1:13" ht="16.5" customHeight="1" x14ac:dyDescent="0.25">
      <c r="A7" s="232" t="s">
        <v>1238</v>
      </c>
      <c r="B7" s="313">
        <f>IF(1&gt;Waterfall!$B$5,0,$B$2)</f>
        <v>0</v>
      </c>
      <c r="C7" s="313">
        <f>IF(2&gt;Waterfall!$B$5,0,$B$2)</f>
        <v>0</v>
      </c>
      <c r="D7" s="313">
        <f>IF(3&gt;Waterfall!$B$5,0,$B$2)</f>
        <v>0</v>
      </c>
      <c r="E7" s="313">
        <f>IF(4&gt;Waterfall!$B$5,0,$B$2)</f>
        <v>0</v>
      </c>
      <c r="F7" s="313">
        <f>IF(5&gt;Waterfall!$B$5,0,$B$2)</f>
        <v>0</v>
      </c>
      <c r="G7" s="313">
        <f>IF(6&gt;Waterfall!$B$5,0,$B$2)</f>
        <v>0</v>
      </c>
      <c r="H7" s="313">
        <f>IF(7&gt;Waterfall!$B$5,0,$B$2)</f>
        <v>0</v>
      </c>
      <c r="I7" s="313">
        <f>IF(8&gt;Waterfall!$B$5,0,$B$2)</f>
        <v>0</v>
      </c>
      <c r="J7" s="313">
        <f>IF(9&gt;Waterfall!$B$5,0,$B$2)</f>
        <v>0</v>
      </c>
      <c r="K7" s="313">
        <f>IF(10&gt;Waterfall!$B$5,0,$B$2)</f>
        <v>0</v>
      </c>
      <c r="L7" s="313"/>
      <c r="M7" s="313"/>
    </row>
    <row r="8" spans="1:13" ht="16.5" customHeight="1" x14ac:dyDescent="0.25">
      <c r="A8" s="234" t="s">
        <v>1239</v>
      </c>
      <c r="B8" s="314" t="str">
        <f>IF(1&gt;Waterfall!$B$5,"",IFERROR($B$2/IF($B$3="Class A",Waterfall!$B$9,Waterfall!$B$10),0))</f>
        <v/>
      </c>
      <c r="C8" s="314" t="str">
        <f>IF(2&gt;Waterfall!$B$5,"",IFERROR($B$2/IF($B$3="Class A",Waterfall!$B$9,Waterfall!$B$10),0))</f>
        <v/>
      </c>
      <c r="D8" s="314" t="str">
        <f>IF(3&gt;Waterfall!$B$5,"",IFERROR($B$2/IF($B$3="Class A",Waterfall!$B$9,Waterfall!$B$10),0))</f>
        <v/>
      </c>
      <c r="E8" s="314" t="str">
        <f>IF(4&gt;Waterfall!$B$5,"",IFERROR($B$2/IF($B$3="Class A",Waterfall!$B$9,Waterfall!$B$10),0))</f>
        <v/>
      </c>
      <c r="F8" s="314" t="str">
        <f>IF(5&gt;Waterfall!$B$5,"",IFERROR($B$2/IF($B$3="Class A",Waterfall!$B$9,Waterfall!$B$10),0))</f>
        <v/>
      </c>
      <c r="G8" s="314" t="str">
        <f>IF(6&gt;Waterfall!$B$5,"",IFERROR($B$2/IF($B$3="Class A",Waterfall!$B$9,Waterfall!$B$10),0))</f>
        <v/>
      </c>
      <c r="H8" s="314" t="str">
        <f>IF(7&gt;Waterfall!$B$5,"",IFERROR($B$2/IF($B$3="Class A",Waterfall!$B$9,Waterfall!$B$10),0))</f>
        <v/>
      </c>
      <c r="I8" s="314" t="str">
        <f>IF(8&gt;Waterfall!$B$5,"",IFERROR($B$2/IF($B$3="Class A",Waterfall!$B$9,Waterfall!$B$10),0))</f>
        <v/>
      </c>
      <c r="J8" s="314" t="str">
        <f>IF(9&gt;Waterfall!$B$5,"",IFERROR($B$2/IF($B$3="Class A",Waterfall!$B$9,Waterfall!$B$10),0))</f>
        <v/>
      </c>
      <c r="K8" s="314" t="str">
        <f>IF(10&gt;Waterfall!$B$5,"",IFERROR($B$2/IF($B$3="Class A",Waterfall!$B$9,Waterfall!$B$10),0))</f>
        <v/>
      </c>
      <c r="L8" s="314"/>
      <c r="M8" s="314"/>
    </row>
    <row r="9" spans="1:13" ht="19.5" customHeight="1" x14ac:dyDescent="0.25">
      <c r="A9" s="894" t="s">
        <v>1240</v>
      </c>
      <c r="B9" s="895"/>
      <c r="C9" s="895"/>
      <c r="D9" s="895"/>
      <c r="E9" s="895"/>
      <c r="F9" s="895"/>
      <c r="G9" s="895"/>
      <c r="H9" s="895"/>
      <c r="I9" s="895"/>
      <c r="J9" s="895"/>
      <c r="K9" s="895"/>
      <c r="L9" s="895"/>
      <c r="M9" s="896"/>
    </row>
    <row r="10" spans="1:13" ht="16.5" customHeight="1" x14ac:dyDescent="0.25">
      <c r="A10" s="234" t="s">
        <v>1241</v>
      </c>
      <c r="B10" s="265">
        <f>IF(1&gt;Waterfall!$B$5,0,$B$2*IF($B$3="Class A",Waterfall!$B$11,Waterfall!$B$12))</f>
        <v>0</v>
      </c>
      <c r="C10" s="265">
        <f>IF(2&gt;Waterfall!$B$5,0,$B$2*IF($B$3="Class A",Waterfall!$B$11,Waterfall!$B$12))</f>
        <v>0</v>
      </c>
      <c r="D10" s="265">
        <f>IF(3&gt;Waterfall!$B$5,0,$B$2*IF($B$3="Class A",Waterfall!$B$11,Waterfall!$B$12))</f>
        <v>0</v>
      </c>
      <c r="E10" s="265">
        <f>IF(4&gt;Waterfall!$B$5,0,$B$2*IF($B$3="Class A",Waterfall!$B$11,Waterfall!$B$12))</f>
        <v>0</v>
      </c>
      <c r="F10" s="265">
        <f>IF(5&gt;Waterfall!$B$5,0,$B$2*IF($B$3="Class A",Waterfall!$B$11,Waterfall!$B$12))</f>
        <v>0</v>
      </c>
      <c r="G10" s="265">
        <f>IF(6&gt;Waterfall!$B$5,0,$B$2*IF($B$3="Class A",Waterfall!$B$11,Waterfall!$B$12))</f>
        <v>0</v>
      </c>
      <c r="H10" s="265">
        <f>IF(7&gt;Waterfall!$B$5,0,$B$2*IF($B$3="Class A",Waterfall!$B$11,Waterfall!$B$12))</f>
        <v>0</v>
      </c>
      <c r="I10" s="265">
        <f>IF(8&gt;Waterfall!$B$5,0,$B$2*IF($B$3="Class A",Waterfall!$B$11,Waterfall!$B$12))</f>
        <v>0</v>
      </c>
      <c r="J10" s="265">
        <f>IF(9&gt;Waterfall!$B$5,0,$B$2*IF($B$3="Class A",Waterfall!$B$11,Waterfall!$B$12))</f>
        <v>0</v>
      </c>
      <c r="K10" s="265">
        <f>IF(10&gt;Waterfall!$B$5,0,$B$2*IF($B$3="Class A",Waterfall!$B$11,Waterfall!$B$12))</f>
        <v>0</v>
      </c>
      <c r="L10" s="265"/>
      <c r="M10" s="265">
        <f>SUM(B10:K10)</f>
        <v>0</v>
      </c>
    </row>
    <row r="11" spans="1:13" ht="16.5" customHeight="1" x14ac:dyDescent="0.25">
      <c r="A11" s="232" t="s">
        <v>1242</v>
      </c>
      <c r="B11" s="313">
        <f>IF(1&gt;Waterfall!$B$5,0,IFERROR($B$2/IF($B$3="Class A",Waterfall!$B$9,Waterfall!$B$10),0)*IF($B$3="Class A",Waterfall!B43,Waterfall!B45))</f>
        <v>0</v>
      </c>
      <c r="C11" s="313">
        <f>IF(2&gt;Waterfall!$B$5,0,IFERROR($B$2/IF($B$3="Class A",Waterfall!$B$9,Waterfall!$B$10),0)*IF($B$3="Class A",Waterfall!C43,Waterfall!C45))</f>
        <v>0</v>
      </c>
      <c r="D11" s="313">
        <f>IF(3&gt;Waterfall!$B$5,0,IFERROR($B$2/IF($B$3="Class A",Waterfall!$B$9,Waterfall!$B$10),0)*IF($B$3="Class A",Waterfall!D43,Waterfall!D45))</f>
        <v>0</v>
      </c>
      <c r="E11" s="313">
        <f>IF(4&gt;Waterfall!$B$5,0,IFERROR($B$2/IF($B$3="Class A",Waterfall!$B$9,Waterfall!$B$10),0)*IF($B$3="Class A",Waterfall!E43,Waterfall!E45))</f>
        <v>0</v>
      </c>
      <c r="F11" s="313">
        <f>IF(5&gt;Waterfall!$B$5,0,IFERROR($B$2/IF($B$3="Class A",Waterfall!$B$9,Waterfall!$B$10),0)*IF($B$3="Class A",Waterfall!F43,Waterfall!F45))</f>
        <v>0</v>
      </c>
      <c r="G11" s="313">
        <f>IF(6&gt;Waterfall!$B$5,0,IFERROR($B$2/IF($B$3="Class A",Waterfall!$B$9,Waterfall!$B$10),0)*IF($B$3="Class A",Waterfall!G43,Waterfall!G45))</f>
        <v>0</v>
      </c>
      <c r="H11" s="313">
        <f>IF(7&gt;Waterfall!$B$5,0,IFERROR($B$2/IF($B$3="Class A",Waterfall!$B$9,Waterfall!$B$10),0)*IF($B$3="Class A",Waterfall!H43,Waterfall!H45))</f>
        <v>0</v>
      </c>
      <c r="I11" s="313">
        <f>IF(8&gt;Waterfall!$B$5,0,IFERROR($B$2/IF($B$3="Class A",Waterfall!$B$9,Waterfall!$B$10),0)*IF($B$3="Class A",Waterfall!I43,Waterfall!I45))</f>
        <v>0</v>
      </c>
      <c r="J11" s="313">
        <f>IF(9&gt;Waterfall!$B$5,0,IFERROR($B$2/IF($B$3="Class A",Waterfall!$B$9,Waterfall!$B$10),0)*IF($B$3="Class A",Waterfall!J43,Waterfall!J45))</f>
        <v>0</v>
      </c>
      <c r="K11" s="313">
        <f>IF(10&gt;Waterfall!$B$5,0,IFERROR($B$2/IF($B$3="Class A",Waterfall!$B$9,Waterfall!$B$10),0)*IF($B$3="Class A",Waterfall!K43,Waterfall!K45))</f>
        <v>0</v>
      </c>
      <c r="L11" s="313"/>
      <c r="M11" s="313">
        <f>SUM(B11:K11)</f>
        <v>0</v>
      </c>
    </row>
    <row r="12" spans="1:13" ht="16.5" customHeight="1" x14ac:dyDescent="0.25">
      <c r="A12" s="315" t="s">
        <v>1243</v>
      </c>
      <c r="B12" s="316">
        <f>IF(1&gt;Waterfall!$B$5,0,MAX(B10-B11,0))</f>
        <v>0</v>
      </c>
      <c r="C12" s="316">
        <f>IF(2&gt;Waterfall!$B$5,0,MAX(B12+C10-C11,0))</f>
        <v>0</v>
      </c>
      <c r="D12" s="316">
        <f>IF(3&gt;Waterfall!$B$5,0,MAX(C12+D10-D11,0))</f>
        <v>0</v>
      </c>
      <c r="E12" s="316">
        <f>IF(4&gt;Waterfall!$B$5,0,MAX(D12+E10-E11,0))</f>
        <v>0</v>
      </c>
      <c r="F12" s="316">
        <f>IF(5&gt;Waterfall!$B$5,0,MAX(E12+F10-F11,0))</f>
        <v>0</v>
      </c>
      <c r="G12" s="316">
        <f>IF(6&gt;Waterfall!$B$5,0,MAX(F12+G10-G11,0))</f>
        <v>0</v>
      </c>
      <c r="H12" s="316">
        <f>IF(7&gt;Waterfall!$B$5,0,MAX(G12+H10-H11,0))</f>
        <v>0</v>
      </c>
      <c r="I12" s="316">
        <f>IF(8&gt;Waterfall!$B$5,0,MAX(H12+I10-I11,0))</f>
        <v>0</v>
      </c>
      <c r="J12" s="316">
        <f>IF(9&gt;Waterfall!$B$5,0,MAX(I12+J10-J11,0))</f>
        <v>0</v>
      </c>
      <c r="K12" s="316">
        <f>IF(10&gt;Waterfall!$B$5,0,MAX(J12+K10-K11,0))</f>
        <v>0</v>
      </c>
      <c r="L12" s="316"/>
      <c r="M12" s="316" t="e">
        <f>INDEX(B12:K12,MIN(Waterfall!$B$5,10))</f>
        <v>#VALUE!</v>
      </c>
    </row>
    <row r="13" spans="1:13" ht="19.5" customHeight="1" x14ac:dyDescent="0.25">
      <c r="A13" s="894" t="s">
        <v>1244</v>
      </c>
      <c r="B13" s="895"/>
      <c r="C13" s="895"/>
      <c r="D13" s="895"/>
      <c r="E13" s="895"/>
      <c r="F13" s="895"/>
      <c r="G13" s="895"/>
      <c r="H13" s="895"/>
      <c r="I13" s="895"/>
      <c r="J13" s="895"/>
      <c r="K13" s="895"/>
      <c r="L13" s="895"/>
      <c r="M13" s="896"/>
    </row>
    <row r="14" spans="1:13" ht="16.5" customHeight="1" x14ac:dyDescent="0.25">
      <c r="A14" s="234" t="s">
        <v>1245</v>
      </c>
      <c r="B14" s="265">
        <f>IF(1&gt;Waterfall!$B$5,0,IFERROR($B$2/IF($B$3="Class A",Waterfall!$B$9,Waterfall!$B$10),0)*IF($B$3="Class A",Waterfall!B55,Waterfall!B56))</f>
        <v>0</v>
      </c>
      <c r="C14" s="265">
        <f>IF(2&gt;Waterfall!$B$5,0,IFERROR($B$2/IF($B$3="Class A",Waterfall!$B$9,Waterfall!$B$10),0)*IF($B$3="Class A",Waterfall!C55,Waterfall!C56))</f>
        <v>0</v>
      </c>
      <c r="D14" s="265">
        <f>IF(3&gt;Waterfall!$B$5,0,IFERROR($B$2/IF($B$3="Class A",Waterfall!$B$9,Waterfall!$B$10),0)*IF($B$3="Class A",Waterfall!D55,Waterfall!D56))</f>
        <v>0</v>
      </c>
      <c r="E14" s="265">
        <f>IF(4&gt;Waterfall!$B$5,0,IFERROR($B$2/IF($B$3="Class A",Waterfall!$B$9,Waterfall!$B$10),0)*IF($B$3="Class A",Waterfall!E55,Waterfall!E56))</f>
        <v>0</v>
      </c>
      <c r="F14" s="265">
        <f>IF(5&gt;Waterfall!$B$5,0,IFERROR($B$2/IF($B$3="Class A",Waterfall!$B$9,Waterfall!$B$10),0)*IF($B$3="Class A",Waterfall!F55,Waterfall!F56))</f>
        <v>0</v>
      </c>
      <c r="G14" s="265">
        <f>IF(6&gt;Waterfall!$B$5,0,IFERROR($B$2/IF($B$3="Class A",Waterfall!$B$9,Waterfall!$B$10),0)*IF($B$3="Class A",Waterfall!G55,Waterfall!G56))</f>
        <v>0</v>
      </c>
      <c r="H14" s="265">
        <f>IF(7&gt;Waterfall!$B$5,0,IFERROR($B$2/IF($B$3="Class A",Waterfall!$B$9,Waterfall!$B$10),0)*IF($B$3="Class A",Waterfall!H55,Waterfall!H56))</f>
        <v>0</v>
      </c>
      <c r="I14" s="265">
        <f>IF(8&gt;Waterfall!$B$5,0,IFERROR($B$2/IF($B$3="Class A",Waterfall!$B$9,Waterfall!$B$10),0)*IF($B$3="Class A",Waterfall!I55,Waterfall!I56))</f>
        <v>0</v>
      </c>
      <c r="J14" s="265">
        <f>IF(9&gt;Waterfall!$B$5,0,IFERROR($B$2/IF($B$3="Class A",Waterfall!$B$9,Waterfall!$B$10),0)*IF($B$3="Class A",Waterfall!J55,Waterfall!J56))</f>
        <v>0</v>
      </c>
      <c r="K14" s="265">
        <f>IF(10&gt;Waterfall!$B$5,0,IFERROR($B$2/IF($B$3="Class A",Waterfall!$B$9,Waterfall!$B$10),0)*IF($B$3="Class A",Waterfall!K55,Waterfall!K56))</f>
        <v>0</v>
      </c>
      <c r="L14" s="265">
        <f>SUM(B14:K14)</f>
        <v>0</v>
      </c>
      <c r="M14" s="265">
        <f>SUM(B14:K14)</f>
        <v>0</v>
      </c>
    </row>
    <row r="15" spans="1:13" ht="16.5" customHeight="1" x14ac:dyDescent="0.25">
      <c r="A15" s="232" t="s">
        <v>736</v>
      </c>
      <c r="B15" s="236">
        <f>IF(1&gt;Waterfall!$B$5,0,IFERROR(B14/$B$2,0))</f>
        <v>0</v>
      </c>
      <c r="C15" s="236">
        <f>IF(2&gt;Waterfall!$B$5,0,IFERROR(C14/$B$2,0))</f>
        <v>0</v>
      </c>
      <c r="D15" s="236">
        <f>IF(3&gt;Waterfall!$B$5,0,IFERROR(D14/$B$2,0))</f>
        <v>0</v>
      </c>
      <c r="E15" s="236">
        <f>IF(4&gt;Waterfall!$B$5,0,IFERROR(E14/$B$2,0))</f>
        <v>0</v>
      </c>
      <c r="F15" s="236">
        <f>IF(5&gt;Waterfall!$B$5,0,IFERROR(F14/$B$2,0))</f>
        <v>0</v>
      </c>
      <c r="G15" s="236">
        <f>IF(6&gt;Waterfall!$B$5,0,IFERROR(G14/$B$2,0))</f>
        <v>0</v>
      </c>
      <c r="H15" s="236">
        <f>IF(7&gt;Waterfall!$B$5,0,IFERROR(H14/$B$2,0))</f>
        <v>0</v>
      </c>
      <c r="I15" s="236">
        <f>IF(8&gt;Waterfall!$B$5,0,IFERROR(I14/$B$2,0))</f>
        <v>0</v>
      </c>
      <c r="J15" s="236">
        <f>IF(9&gt;Waterfall!$B$5,0,IFERROR(J14/$B$2,0))</f>
        <v>0</v>
      </c>
      <c r="K15" s="236">
        <f>IF(10&gt;Waterfall!$B$5,0,IFERROR(K14/$B$2,0))</f>
        <v>0</v>
      </c>
      <c r="L15" s="236"/>
      <c r="M15" s="236"/>
    </row>
    <row r="16" spans="1:13" ht="16.5" customHeight="1" x14ac:dyDescent="0.25">
      <c r="A16" s="234" t="s">
        <v>1246</v>
      </c>
      <c r="B16" s="314">
        <f>IF(1&gt;Waterfall!$B$5,0,IFERROR(SUM($B$14:B14)/(1*$B$2),0))</f>
        <v>0</v>
      </c>
      <c r="C16" s="314">
        <f>IF(2&gt;Waterfall!$B$5,0,IFERROR(SUM($B$14:C14)/(2*$B$2),0))</f>
        <v>0</v>
      </c>
      <c r="D16" s="314">
        <f>IF(3&gt;Waterfall!$B$5,0,IFERROR(SUM($B$14:D14)/(3*$B$2),0))</f>
        <v>0</v>
      </c>
      <c r="E16" s="314">
        <f>IF(4&gt;Waterfall!$B$5,0,IFERROR(SUM($B$14:E14)/(4*$B$2),0))</f>
        <v>0</v>
      </c>
      <c r="F16" s="314">
        <f>IF(5&gt;Waterfall!$B$5,0,IFERROR(SUM($B$14:F14)/(5*$B$2),0))</f>
        <v>0</v>
      </c>
      <c r="G16" s="314">
        <f>IF(6&gt;Waterfall!$B$5,0,IFERROR(SUM($B$14:G14)/(6*$B$2),0))</f>
        <v>0</v>
      </c>
      <c r="H16" s="314">
        <f>IF(7&gt;Waterfall!$B$5,0,IFERROR(SUM($B$14:H14)/(7*$B$2),0))</f>
        <v>0</v>
      </c>
      <c r="I16" s="314">
        <f>IF(8&gt;Waterfall!$B$5,0,IFERROR(SUM($B$14:I14)/(8*$B$2),0))</f>
        <v>0</v>
      </c>
      <c r="J16" s="314">
        <f>IF(9&gt;Waterfall!$B$5,0,IFERROR(SUM($B$14:J14)/(9*$B$2),0))</f>
        <v>0</v>
      </c>
      <c r="K16" s="314">
        <f>IF(10&gt;Waterfall!$B$5,0,IFERROR(SUM($B$14:K14)/(10*$B$2),0))</f>
        <v>0</v>
      </c>
      <c r="L16" s="314"/>
      <c r="M16" s="314"/>
    </row>
    <row r="17" spans="1:13" ht="19.5" customHeight="1" x14ac:dyDescent="0.25">
      <c r="A17" s="894" t="s">
        <v>1247</v>
      </c>
      <c r="B17" s="895"/>
      <c r="C17" s="895"/>
      <c r="D17" s="895"/>
      <c r="E17" s="895"/>
      <c r="F17" s="895"/>
      <c r="G17" s="895"/>
      <c r="H17" s="895"/>
      <c r="I17" s="895"/>
      <c r="J17" s="895"/>
      <c r="K17" s="895"/>
      <c r="L17" s="895"/>
      <c r="M17" s="896"/>
    </row>
    <row r="18" spans="1:13" ht="16.5" customHeight="1" x14ac:dyDescent="0.25">
      <c r="A18" s="234" t="s">
        <v>1248</v>
      </c>
      <c r="B18" s="265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>0</v>
      </c>
      <c r="C18" s="265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>0</v>
      </c>
      <c r="D18" s="265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>0</v>
      </c>
      <c r="E18" s="265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>0</v>
      </c>
      <c r="F18" s="265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>0</v>
      </c>
      <c r="G18" s="265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>0</v>
      </c>
      <c r="H18" s="265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>0</v>
      </c>
      <c r="I18" s="265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>0</v>
      </c>
      <c r="J18" s="265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>0</v>
      </c>
      <c r="K18" s="265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>0</v>
      </c>
      <c r="L18" s="265"/>
      <c r="M18" s="265">
        <f>SUM(B18:K18)</f>
        <v>0</v>
      </c>
    </row>
    <row r="19" spans="1:13" ht="16.5" customHeight="1" x14ac:dyDescent="0.25">
      <c r="A19" s="232" t="s">
        <v>1249</v>
      </c>
      <c r="B19" s="31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>0</v>
      </c>
      <c r="C19" s="31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>0</v>
      </c>
      <c r="D19" s="31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>0</v>
      </c>
      <c r="E19" s="31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>0</v>
      </c>
      <c r="F19" s="31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>0</v>
      </c>
      <c r="G19" s="31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>0</v>
      </c>
      <c r="H19" s="31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>0</v>
      </c>
      <c r="I19" s="31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>0</v>
      </c>
      <c r="J19" s="31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>0</v>
      </c>
      <c r="K19" s="31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>0</v>
      </c>
      <c r="L19" s="313"/>
      <c r="M19" s="313">
        <f>SUM(B19:K19)</f>
        <v>0</v>
      </c>
    </row>
    <row r="20" spans="1:13" ht="16.5" customHeight="1" x14ac:dyDescent="0.25">
      <c r="A20" s="234" t="s">
        <v>1250</v>
      </c>
      <c r="B20" s="265">
        <f>IF(1&gt;Waterfall!$B$5,0,SUM($B$19:B19))</f>
        <v>0</v>
      </c>
      <c r="C20" s="265">
        <f>IF(2&gt;Waterfall!$B$5,0,SUM($B$19:C19))</f>
        <v>0</v>
      </c>
      <c r="D20" s="265">
        <f>IF(3&gt;Waterfall!$B$5,0,SUM($B$19:D19))</f>
        <v>0</v>
      </c>
      <c r="E20" s="265">
        <f>IF(4&gt;Waterfall!$B$5,0,SUM($B$19:E19))</f>
        <v>0</v>
      </c>
      <c r="F20" s="265">
        <f>IF(5&gt;Waterfall!$B$5,0,SUM($B$19:F19))</f>
        <v>0</v>
      </c>
      <c r="G20" s="265">
        <f>IF(6&gt;Waterfall!$B$5,0,SUM($B$19:G19))</f>
        <v>0</v>
      </c>
      <c r="H20" s="265">
        <f>IF(7&gt;Waterfall!$B$5,0,SUM($B$19:H19))</f>
        <v>0</v>
      </c>
      <c r="I20" s="265">
        <f>IF(8&gt;Waterfall!$B$5,0,SUM($B$19:I19))</f>
        <v>0</v>
      </c>
      <c r="J20" s="265">
        <f>IF(9&gt;Waterfall!$B$5,0,SUM($B$19:J19))</f>
        <v>0</v>
      </c>
      <c r="K20" s="265">
        <f>IF(10&gt;Waterfall!$B$5,0,SUM($B$19:K19))</f>
        <v>0</v>
      </c>
      <c r="L20" s="265"/>
      <c r="M20" s="265"/>
    </row>
    <row r="21" spans="1:13" ht="16.5" customHeight="1" x14ac:dyDescent="0.25">
      <c r="A21" s="232" t="s">
        <v>1251</v>
      </c>
      <c r="B21" s="313">
        <f>IF(1&gt;=Waterfall!$B$5,0,MAX($B$2-B20,0))</f>
        <v>0</v>
      </c>
      <c r="C21" s="313">
        <f>IF(2&gt;=Waterfall!$B$5,0,MAX($B$2-C20,0))</f>
        <v>0</v>
      </c>
      <c r="D21" s="313">
        <f>IF(3&gt;=Waterfall!$B$5,0,MAX($B$2-D20,0))</f>
        <v>0</v>
      </c>
      <c r="E21" s="313">
        <f>IF(4&gt;=Waterfall!$B$5,0,MAX($B$2-E20,0))</f>
        <v>0</v>
      </c>
      <c r="F21" s="313">
        <f>IF(5&gt;=Waterfall!$B$5,0,MAX($B$2-F20,0))</f>
        <v>0</v>
      </c>
      <c r="G21" s="313">
        <f>IF(6&gt;=Waterfall!$B$5,0,MAX($B$2-G20,0))</f>
        <v>0</v>
      </c>
      <c r="H21" s="313">
        <f>IF(7&gt;=Waterfall!$B$5,0,MAX($B$2-H20,0))</f>
        <v>0</v>
      </c>
      <c r="I21" s="313">
        <f>IF(8&gt;=Waterfall!$B$5,0,MAX($B$2-I20,0))</f>
        <v>0</v>
      </c>
      <c r="J21" s="313">
        <f>IF(9&gt;=Waterfall!$B$5,0,MAX($B$2-J20,0))</f>
        <v>0</v>
      </c>
      <c r="K21" s="313">
        <f>IF(10&gt;=Waterfall!$B$5,0,MAX($B$2-K20,0))</f>
        <v>0</v>
      </c>
      <c r="L21" s="313"/>
      <c r="M21" s="313"/>
    </row>
    <row r="22" spans="1:13" ht="19.5" customHeight="1" x14ac:dyDescent="0.25">
      <c r="A22" s="894" t="s">
        <v>1252</v>
      </c>
      <c r="B22" s="895"/>
      <c r="C22" s="895"/>
      <c r="D22" s="895"/>
      <c r="E22" s="895"/>
      <c r="F22" s="895"/>
      <c r="G22" s="895"/>
      <c r="H22" s="895"/>
      <c r="I22" s="895"/>
      <c r="J22" s="895"/>
      <c r="K22" s="895"/>
      <c r="L22" s="895"/>
      <c r="M22" s="896"/>
    </row>
    <row r="23" spans="1:13" ht="16.5" customHeight="1" x14ac:dyDescent="0.25">
      <c r="A23" s="232" t="s">
        <v>1253</v>
      </c>
      <c r="B23" s="313">
        <f>IF(1&gt;Waterfall!$B$5,0,SUM($B$14:B14)+SUM($B$18:B18)+SUM($B$19:B19))</f>
        <v>0</v>
      </c>
      <c r="C23" s="313">
        <f>IF(2&gt;Waterfall!$B$5,0,SUM($B$14:C14)+SUM($B$18:C18)+SUM($B$19:C19))</f>
        <v>0</v>
      </c>
      <c r="D23" s="313">
        <f>IF(3&gt;Waterfall!$B$5,0,SUM($B$14:D14)+SUM($B$18:D18)+SUM($B$19:D19))</f>
        <v>0</v>
      </c>
      <c r="E23" s="313">
        <f>IF(4&gt;Waterfall!$B$5,0,SUM($B$14:E14)+SUM($B$18:E18)+SUM($B$19:E19))</f>
        <v>0</v>
      </c>
      <c r="F23" s="313">
        <f>IF(5&gt;Waterfall!$B$5,0,SUM($B$14:F14)+SUM($B$18:F18)+SUM($B$19:F19))</f>
        <v>0</v>
      </c>
      <c r="G23" s="313">
        <f>IF(6&gt;Waterfall!$B$5,0,SUM($B$14:G14)+SUM($B$18:G18)+SUM($B$19:G19))</f>
        <v>0</v>
      </c>
      <c r="H23" s="313">
        <f>IF(7&gt;Waterfall!$B$5,0,SUM($B$14:H14)+SUM($B$18:H18)+SUM($B$19:H19))</f>
        <v>0</v>
      </c>
      <c r="I23" s="313">
        <f>IF(8&gt;Waterfall!$B$5,0,SUM($B$14:I14)+SUM($B$18:I18)+SUM($B$19:I19))</f>
        <v>0</v>
      </c>
      <c r="J23" s="313">
        <f>IF(9&gt;Waterfall!$B$5,0,SUM($B$14:J14)+SUM($B$18:J18)+SUM($B$19:J19))</f>
        <v>0</v>
      </c>
      <c r="K23" s="313">
        <f>IF(10&gt;Waterfall!$B$5,0,SUM($B$14:K14)+SUM($B$18:K18)+SUM($B$19:K19))</f>
        <v>0</v>
      </c>
      <c r="L23" s="313"/>
      <c r="M23" s="313"/>
    </row>
    <row r="24" spans="1:13" ht="16.5" customHeight="1" x14ac:dyDescent="0.25">
      <c r="A24" s="234" t="s">
        <v>1254</v>
      </c>
      <c r="B24" s="314">
        <f>IF(1&gt;Waterfall!$B$5,0,IFERROR((SUM($B$14:B14)+SUM($B$18:B18))/(1*$B$2),0))</f>
        <v>0</v>
      </c>
      <c r="C24" s="314">
        <f>IF(2&gt;Waterfall!$B$5,0,IFERROR((SUM($B$14:C14)+SUM($B$18:C18))/(2*$B$2),0))</f>
        <v>0</v>
      </c>
      <c r="D24" s="314">
        <f>IF(3&gt;Waterfall!$B$5,0,IFERROR((SUM($B$14:D14)+SUM($B$18:D18))/(3*$B$2),0))</f>
        <v>0</v>
      </c>
      <c r="E24" s="314">
        <f>IF(4&gt;Waterfall!$B$5,0,IFERROR((SUM($B$14:E14)+SUM($B$18:E18))/(4*$B$2),0))</f>
        <v>0</v>
      </c>
      <c r="F24" s="314">
        <f>IF(5&gt;Waterfall!$B$5,0,IFERROR((SUM($B$14:F14)+SUM($B$18:F18))/(5*$B$2),0))</f>
        <v>0</v>
      </c>
      <c r="G24" s="314">
        <f>IF(6&gt;Waterfall!$B$5,0,IFERROR((SUM($B$14:G14)+SUM($B$18:G18))/(6*$B$2),0))</f>
        <v>0</v>
      </c>
      <c r="H24" s="314">
        <f>IF(7&gt;Waterfall!$B$5,0,IFERROR((SUM($B$14:H14)+SUM($B$18:H18))/(7*$B$2),0))</f>
        <v>0</v>
      </c>
      <c r="I24" s="314">
        <f>IF(8&gt;Waterfall!$B$5,0,IFERROR((SUM($B$14:I14)+SUM($B$18:I18))/(8*$B$2),0))</f>
        <v>0</v>
      </c>
      <c r="J24" s="314">
        <f>IF(9&gt;Waterfall!$B$5,0,IFERROR((SUM($B$14:J14)+SUM($B$18:J18))/(9*$B$2),0))</f>
        <v>0</v>
      </c>
      <c r="K24" s="314">
        <f>IF(10&gt;Waterfall!$B$5,0,IFERROR((SUM($B$14:K14)+SUM($B$18:K18))/(10*$B$2),0))</f>
        <v>0</v>
      </c>
      <c r="L24" s="314"/>
      <c r="M24" s="314"/>
    </row>
    <row r="25" spans="1:13" ht="21.75" customHeight="1" x14ac:dyDescent="0.25">
      <c r="A25" s="49" t="s">
        <v>1255</v>
      </c>
      <c r="B25" s="317">
        <f t="shared" ref="B25:K25" si="0">B14+B18+B19</f>
        <v>0</v>
      </c>
      <c r="C25" s="317">
        <f t="shared" si="0"/>
        <v>0</v>
      </c>
      <c r="D25" s="317">
        <f t="shared" si="0"/>
        <v>0</v>
      </c>
      <c r="E25" s="317">
        <f t="shared" si="0"/>
        <v>0</v>
      </c>
      <c r="F25" s="317">
        <f t="shared" si="0"/>
        <v>0</v>
      </c>
      <c r="G25" s="317">
        <f t="shared" si="0"/>
        <v>0</v>
      </c>
      <c r="H25" s="317">
        <f t="shared" si="0"/>
        <v>0</v>
      </c>
      <c r="I25" s="317">
        <f t="shared" si="0"/>
        <v>0</v>
      </c>
      <c r="J25" s="317">
        <f t="shared" si="0"/>
        <v>0</v>
      </c>
      <c r="K25" s="317">
        <f t="shared" si="0"/>
        <v>0</v>
      </c>
      <c r="L25" s="317">
        <f>SUM(B25:K25)</f>
        <v>0</v>
      </c>
      <c r="M25" s="318">
        <f>IFERROR(L25/$B$2,0)</f>
        <v>0</v>
      </c>
    </row>
    <row r="26" spans="1:13" ht="6" customHeight="1" x14ac:dyDescent="0.25">
      <c r="A26" s="309"/>
      <c r="B26" s="319">
        <f>-$B$2</f>
        <v>0</v>
      </c>
      <c r="C26" s="319">
        <f t="shared" ref="C26:L26" si="1">B25</f>
        <v>0</v>
      </c>
      <c r="D26" s="319">
        <f t="shared" si="1"/>
        <v>0</v>
      </c>
      <c r="E26" s="319">
        <f t="shared" si="1"/>
        <v>0</v>
      </c>
      <c r="F26" s="319">
        <f t="shared" si="1"/>
        <v>0</v>
      </c>
      <c r="G26" s="319">
        <f t="shared" si="1"/>
        <v>0</v>
      </c>
      <c r="H26" s="319">
        <f t="shared" si="1"/>
        <v>0</v>
      </c>
      <c r="I26" s="319">
        <f t="shared" si="1"/>
        <v>0</v>
      </c>
      <c r="J26" s="319">
        <f t="shared" si="1"/>
        <v>0</v>
      </c>
      <c r="K26" s="319">
        <f t="shared" si="1"/>
        <v>0</v>
      </c>
      <c r="L26" s="319">
        <f t="shared" si="1"/>
        <v>0</v>
      </c>
      <c r="M26" s="309"/>
    </row>
    <row r="27" spans="1:13" ht="21.75" customHeight="1" x14ac:dyDescent="0.25">
      <c r="A27" s="320" t="s">
        <v>1256</v>
      </c>
      <c r="B27" s="321">
        <f>IFERROR(L25/(Waterfall!$B$5*$B$2),0)</f>
        <v>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3"/>
    </row>
    <row r="28" spans="1:13" ht="21.75" customHeight="1" x14ac:dyDescent="0.25">
      <c r="A28" s="320" t="s">
        <v>295</v>
      </c>
      <c r="B28" s="321">
        <f>IFERROR(IRR(B26:L26),0)</f>
        <v>0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</row>
    <row r="29" spans="1:13" ht="21.75" customHeight="1" x14ac:dyDescent="0.25">
      <c r="A29" s="324" t="s">
        <v>1257</v>
      </c>
      <c r="B29" s="321">
        <f>'XIRR Analysis'!H54</f>
        <v>0</v>
      </c>
      <c r="C29" s="322"/>
      <c r="D29" s="322"/>
      <c r="E29" s="322"/>
      <c r="F29" s="322"/>
      <c r="G29" s="322"/>
      <c r="H29" s="322"/>
      <c r="I29" s="322"/>
      <c r="J29" s="322"/>
      <c r="K29" s="322"/>
      <c r="L29" s="323"/>
    </row>
    <row r="30" spans="1:13" ht="21.75" customHeight="1" x14ac:dyDescent="0.25">
      <c r="A30" s="320" t="s">
        <v>1258</v>
      </c>
      <c r="B30" s="321">
        <f>IFERROR(SUM(B14:K14)/(MIN(Waterfall!$B$5,10)*$B$2),0)</f>
        <v>0</v>
      </c>
      <c r="C30" s="322"/>
      <c r="D30" s="322"/>
      <c r="E30" s="322"/>
      <c r="F30" s="322"/>
      <c r="G30" s="322"/>
      <c r="H30" s="322"/>
      <c r="I30" s="322"/>
      <c r="J30" s="322"/>
      <c r="K30" s="322"/>
      <c r="L30" s="323"/>
    </row>
    <row r="31" spans="1:13" ht="21.75" customHeight="1" x14ac:dyDescent="0.25">
      <c r="A31" s="320" t="s">
        <v>293</v>
      </c>
      <c r="B31" s="325">
        <f>IFERROR(L25/$B$2+1,0)</f>
        <v>0</v>
      </c>
      <c r="C31" s="322"/>
      <c r="D31" s="322"/>
      <c r="E31" s="322"/>
      <c r="F31" s="322"/>
      <c r="G31" s="322"/>
      <c r="H31" s="322"/>
      <c r="I31" s="322"/>
      <c r="J31" s="322"/>
      <c r="K31" s="322"/>
      <c r="L31" s="323"/>
    </row>
    <row r="32" spans="1:13" ht="7.5" customHeight="1" x14ac:dyDescent="0.25">
      <c r="A32" s="309"/>
      <c r="B32" s="309"/>
      <c r="C32" s="309"/>
      <c r="D32" s="309"/>
      <c r="E32" s="309"/>
      <c r="F32" s="309"/>
      <c r="G32" s="309"/>
      <c r="H32" s="309"/>
      <c r="I32" s="309"/>
      <c r="J32" s="309"/>
      <c r="K32" s="309"/>
      <c r="L32" s="309"/>
      <c r="M32" s="309"/>
    </row>
    <row r="33" spans="1:13" ht="19.5" customHeight="1" x14ac:dyDescent="0.25">
      <c r="A33" s="894" t="s">
        <v>1259</v>
      </c>
      <c r="B33" s="895"/>
      <c r="C33" s="895"/>
      <c r="D33" s="895"/>
      <c r="E33" s="895"/>
      <c r="F33" s="895"/>
      <c r="G33" s="895"/>
      <c r="H33" s="895"/>
      <c r="I33" s="895"/>
      <c r="J33" s="895"/>
      <c r="K33" s="895"/>
      <c r="L33" s="895"/>
      <c r="M33" s="896"/>
    </row>
    <row r="34" spans="1:13" ht="16.5" customHeight="1" x14ac:dyDescent="0.25">
      <c r="A34" s="219" t="s">
        <v>992</v>
      </c>
      <c r="B34" s="219" t="s">
        <v>1260</v>
      </c>
      <c r="C34" s="219" t="s">
        <v>1261</v>
      </c>
      <c r="D34" s="219" t="s">
        <v>1262</v>
      </c>
      <c r="E34" s="219" t="s">
        <v>1263</v>
      </c>
      <c r="F34" s="309"/>
      <c r="G34" s="309"/>
      <c r="H34" s="309"/>
      <c r="I34" s="309"/>
      <c r="J34" s="309"/>
      <c r="K34" s="309"/>
      <c r="L34" s="309"/>
      <c r="M34" s="309"/>
    </row>
    <row r="35" spans="1:13" ht="16.5" customHeight="1" x14ac:dyDescent="0.25">
      <c r="A35" s="234" t="s">
        <v>1264</v>
      </c>
      <c r="B35" s="326">
        <v>8000</v>
      </c>
      <c r="C35" s="327">
        <f>IFERROR(B35/(IF($B$3="Class A",Waterfall!$B$11,Waterfall!$B$12)),0)</f>
        <v>0</v>
      </c>
      <c r="D35" s="328">
        <f>$B$2*IF($B$3="Class A",Waterfall!$B$11,Waterfall!$B$12)</f>
        <v>0</v>
      </c>
      <c r="E35" s="329" t="str">
        <f>IFERROR(IF(D35&gt;=B35,"✓ Meets target","Need "&amp;TEXT(C35-$B$2,"$#,##0")&amp;" more"),"")</f>
        <v>Need $0 more</v>
      </c>
      <c r="F35" s="234"/>
      <c r="G35" s="234"/>
      <c r="H35" s="234"/>
      <c r="I35" s="234"/>
      <c r="J35" s="234"/>
      <c r="K35" s="234"/>
      <c r="L35" s="234"/>
      <c r="M35" s="234"/>
    </row>
    <row r="36" spans="1:13" ht="16.5" customHeight="1" x14ac:dyDescent="0.25">
      <c r="A36" s="232" t="s">
        <v>1265</v>
      </c>
      <c r="B36" s="330">
        <v>2</v>
      </c>
      <c r="C36" s="331" t="s">
        <v>1266</v>
      </c>
      <c r="D36" s="232"/>
      <c r="E36" s="332" t="str">
        <f>IFERROR(IF(IFERROR(L25/$B$2+1,0)&gt;=B36,"✓ Deal hits target","Deal at "&amp;TEXT(IFERROR(L25/$B$2+1,0),"0.00x")&amp;" vs "&amp;TEXT(B36,"0.00x")),"")</f>
        <v>Deal at 0.00x vs 2.00x</v>
      </c>
      <c r="F36" s="232"/>
      <c r="G36" s="232"/>
      <c r="H36" s="232"/>
      <c r="I36" s="232"/>
      <c r="J36" s="232"/>
      <c r="K36" s="232"/>
      <c r="L36" s="232"/>
      <c r="M36" s="232"/>
    </row>
    <row r="37" spans="1:13" ht="16.5" customHeight="1" x14ac:dyDescent="0.25">
      <c r="A37" s="234" t="s">
        <v>1267</v>
      </c>
      <c r="B37" s="333">
        <v>0.15</v>
      </c>
      <c r="C37" s="334" t="s">
        <v>1268</v>
      </c>
      <c r="D37" s="234"/>
      <c r="E37" s="329" t="str">
        <f>IFERROR(IF(IF($B$3="Class A",Waterfall!B69,Waterfall!C69)&gt;=B37,"✓ Deal hits target","Deal at "&amp;TEXT(IF($B$3="Class A",Waterfall!B69,Waterfall!C69),"0.0%")&amp;" vs "&amp;TEXT(B37,"0.0%")),"")</f>
        <v>Deal at 0.0% vs 15.0%</v>
      </c>
      <c r="F37" s="234"/>
      <c r="G37" s="234"/>
      <c r="H37" s="234"/>
      <c r="I37" s="234"/>
      <c r="J37" s="234"/>
      <c r="K37" s="234"/>
      <c r="L37" s="234"/>
      <c r="M37" s="234"/>
    </row>
    <row r="38" spans="1:13" ht="16.5" customHeight="1" x14ac:dyDescent="0.25">
      <c r="A38" s="232" t="s">
        <v>1269</v>
      </c>
      <c r="B38" s="304">
        <v>150000</v>
      </c>
      <c r="C38" s="335">
        <f>IFERROR(B38/(L25/$B$2),0)</f>
        <v>0</v>
      </c>
      <c r="D38" s="336">
        <f>L25</f>
        <v>0</v>
      </c>
      <c r="E38" s="332" t="str">
        <f>IFERROR(IF(L25&gt;=$B$2*(B38/$B$2),"✓ Meets target","Need "&amp;TEXT(C38-$B$2,"$#,##0")&amp;" more"),"")</f>
        <v/>
      </c>
      <c r="F38" s="232"/>
      <c r="G38" s="232"/>
      <c r="H38" s="232"/>
      <c r="I38" s="232"/>
      <c r="J38" s="232"/>
      <c r="K38" s="232"/>
      <c r="L38" s="232"/>
      <c r="M38" s="232"/>
    </row>
    <row r="39" spans="1:13" ht="7.5" customHeight="1" x14ac:dyDescent="0.25">
      <c r="A39" s="309"/>
      <c r="B39" s="309"/>
      <c r="C39" s="309"/>
      <c r="D39" s="309"/>
      <c r="E39" s="309"/>
      <c r="F39" s="309"/>
      <c r="G39" s="309"/>
      <c r="H39" s="309"/>
      <c r="I39" s="309"/>
      <c r="J39" s="309"/>
      <c r="K39" s="309"/>
      <c r="L39" s="309"/>
      <c r="M39" s="309"/>
    </row>
    <row r="40" spans="1:13" ht="19.5" customHeight="1" x14ac:dyDescent="0.25">
      <c r="A40" s="894" t="s">
        <v>1270</v>
      </c>
      <c r="B40" s="895"/>
      <c r="C40" s="895"/>
      <c r="D40" s="895"/>
      <c r="E40" s="895"/>
      <c r="F40" s="895"/>
      <c r="G40" s="895"/>
      <c r="H40" s="895"/>
      <c r="I40" s="895"/>
      <c r="J40" s="895"/>
      <c r="K40" s="895"/>
      <c r="L40" s="895"/>
      <c r="M40" s="896"/>
    </row>
    <row r="41" spans="1:13" ht="16.5" customHeight="1" x14ac:dyDescent="0.25">
      <c r="A41" s="898" t="s">
        <v>1271</v>
      </c>
      <c r="B41" s="895"/>
      <c r="C41" s="895"/>
      <c r="D41" s="895"/>
      <c r="E41" s="895"/>
      <c r="F41" s="895"/>
      <c r="G41" s="895"/>
      <c r="H41" s="895"/>
      <c r="I41" s="895"/>
      <c r="J41" s="895"/>
      <c r="K41" s="895"/>
      <c r="L41" s="895"/>
      <c r="M41" s="896"/>
    </row>
    <row r="42" spans="1:13" ht="16.5" customHeight="1" x14ac:dyDescent="0.25">
      <c r="A42" s="219" t="s">
        <v>263</v>
      </c>
      <c r="B42" s="219" t="s">
        <v>265</v>
      </c>
      <c r="C42" s="219" t="s">
        <v>1272</v>
      </c>
      <c r="D42" s="219" t="s">
        <v>1273</v>
      </c>
      <c r="E42" s="219" t="s">
        <v>1274</v>
      </c>
      <c r="F42" s="219" t="s">
        <v>292</v>
      </c>
      <c r="G42" s="219" t="s">
        <v>1275</v>
      </c>
      <c r="H42" s="219" t="s">
        <v>1276</v>
      </c>
      <c r="I42" s="309"/>
      <c r="J42" s="309"/>
      <c r="K42" s="309"/>
      <c r="L42" s="309"/>
      <c r="M42" s="309"/>
    </row>
    <row r="43" spans="1:13" ht="16.5" customHeight="1" x14ac:dyDescent="0.25">
      <c r="A43" s="337">
        <v>0.06</v>
      </c>
      <c r="B43" s="265">
        <f>IFERROR((IFERROR(INDEX('P&amp;L'!D115:M116,1,Waterfall!$B$5),0)+IFERROR(INDEX('P&amp;L'!D112:M113,1,Waterfall!$B$5),0))/0.06,0)</f>
        <v>0</v>
      </c>
      <c r="C43" s="265">
        <f>IFERROR(MAX(B43*(1-Waterfall!$B$7-'Exit Strategy'!$F$18)-IFERROR(INDEX(Loans!$J$43:$S$43,1,Waterfall!$B$5),0),0)*Waterfall!$B$15,0)</f>
        <v>0</v>
      </c>
      <c r="D43" s="265">
        <f>IFERROR(IFERROR($B$2/IF($B$3="Class A",Waterfall!$B$9,Waterfall!$B$10),0)*C43,0)</f>
        <v>0</v>
      </c>
      <c r="E43" s="265">
        <f>IFERROR(L14+L18+D43,0)</f>
        <v>0</v>
      </c>
      <c r="F43" s="265">
        <f t="shared" ref="F43:F50" si="2">IFERROR(E43-$B$2,0)</f>
        <v>0</v>
      </c>
      <c r="G43" s="338">
        <f t="shared" ref="G43:G50" si="3">IFERROR(E43/$B$2,0)</f>
        <v>0</v>
      </c>
      <c r="H43" s="339">
        <f>IFERROR(G43-L25/$B$2,0)</f>
        <v>0</v>
      </c>
      <c r="I43" s="234"/>
      <c r="J43" s="234"/>
      <c r="K43" s="234"/>
      <c r="L43" s="234"/>
      <c r="M43" s="234"/>
    </row>
    <row r="44" spans="1:13" ht="16.5" customHeight="1" x14ac:dyDescent="0.25">
      <c r="A44" s="340">
        <v>6.5000000000000002E-2</v>
      </c>
      <c r="B44" s="313">
        <f>IFERROR((IFERROR(INDEX('P&amp;L'!D115:M116,1,Waterfall!$B$5),0)+IFERROR(INDEX('P&amp;L'!D112:M113,1,Waterfall!$B$5),0))/0.065,0)</f>
        <v>0</v>
      </c>
      <c r="C44" s="313">
        <f>IFERROR(MAX(B44*(1-Waterfall!$B$7-'Exit Strategy'!$F$18)-IFERROR(INDEX(Loans!$J$43:$S$43,1,Waterfall!$B$5),0),0)*Waterfall!$B$15,0)</f>
        <v>0</v>
      </c>
      <c r="D44" s="313">
        <f>IFERROR(IFERROR($B$2/IF($B$3="Class A",Waterfall!$B$9,Waterfall!$B$10),0)*C44,0)</f>
        <v>0</v>
      </c>
      <c r="E44" s="313">
        <f>IFERROR(L14+L18+D44,0)</f>
        <v>0</v>
      </c>
      <c r="F44" s="313">
        <f t="shared" si="2"/>
        <v>0</v>
      </c>
      <c r="G44" s="341">
        <f t="shared" si="3"/>
        <v>0</v>
      </c>
      <c r="H44" s="342">
        <f>IFERROR(G44-L25/$B$2,0)</f>
        <v>0</v>
      </c>
      <c r="I44" s="232"/>
      <c r="J44" s="232"/>
      <c r="K44" s="232"/>
      <c r="L44" s="232"/>
      <c r="M44" s="232"/>
    </row>
    <row r="45" spans="1:13" ht="16.5" customHeight="1" x14ac:dyDescent="0.25">
      <c r="A45" s="337">
        <v>7.0000000000000007E-2</v>
      </c>
      <c r="B45" s="265">
        <f>IFERROR((IFERROR(INDEX('P&amp;L'!D115:M116,1,Waterfall!$B$5),0)+IFERROR(INDEX('P&amp;L'!D112:M113,1,Waterfall!$B$5),0))/0.07,0)</f>
        <v>0</v>
      </c>
      <c r="C45" s="265">
        <f>IFERROR(MAX(B45*(1-Waterfall!$B$7-'Exit Strategy'!$F$18)-IFERROR(INDEX(Loans!$J$43:$S$43,1,Waterfall!$B$5),0),0)*Waterfall!$B$15,0)</f>
        <v>0</v>
      </c>
      <c r="D45" s="265">
        <f>IFERROR(IFERROR($B$2/IF($B$3="Class A",Waterfall!$B$9,Waterfall!$B$10),0)*C45,0)</f>
        <v>0</v>
      </c>
      <c r="E45" s="265">
        <f>IFERROR(L14+L18+D45,0)</f>
        <v>0</v>
      </c>
      <c r="F45" s="265">
        <f t="shared" si="2"/>
        <v>0</v>
      </c>
      <c r="G45" s="338">
        <f t="shared" si="3"/>
        <v>0</v>
      </c>
      <c r="H45" s="339">
        <f>IFERROR(G45-L25/$B$2,0)</f>
        <v>0</v>
      </c>
      <c r="I45" s="234"/>
      <c r="J45" s="234"/>
      <c r="K45" s="234"/>
      <c r="L45" s="234"/>
      <c r="M45" s="234"/>
    </row>
    <row r="46" spans="1:13" ht="16.5" customHeight="1" x14ac:dyDescent="0.25">
      <c r="A46" s="340">
        <v>7.4999999999999997E-2</v>
      </c>
      <c r="B46" s="313">
        <f>IFERROR((IFERROR(INDEX('P&amp;L'!D115:M116,1,Waterfall!$B$5),0)+IFERROR(INDEX('P&amp;L'!D112:M113,1,Waterfall!$B$5),0))/0.075,0)</f>
        <v>0</v>
      </c>
      <c r="C46" s="313">
        <f>IFERROR(MAX(B46*(1-Waterfall!$B$7-'Exit Strategy'!$F$18)-IFERROR(INDEX(Loans!$J$43:$S$43,1,Waterfall!$B$5),0),0)*Waterfall!$B$15,0)</f>
        <v>0</v>
      </c>
      <c r="D46" s="313">
        <f>IFERROR(IFERROR($B$2/IF($B$3="Class A",Waterfall!$B$9,Waterfall!$B$10),0)*C46,0)</f>
        <v>0</v>
      </c>
      <c r="E46" s="313">
        <f>IFERROR(L14+L18+D46,0)</f>
        <v>0</v>
      </c>
      <c r="F46" s="313">
        <f t="shared" si="2"/>
        <v>0</v>
      </c>
      <c r="G46" s="341">
        <f t="shared" si="3"/>
        <v>0</v>
      </c>
      <c r="H46" s="342">
        <f>IFERROR(G46-L25/$B$2,0)</f>
        <v>0</v>
      </c>
      <c r="I46" s="232"/>
      <c r="J46" s="232"/>
      <c r="K46" s="232"/>
      <c r="L46" s="232"/>
      <c r="M46" s="232"/>
    </row>
    <row r="47" spans="1:13" ht="16.5" customHeight="1" x14ac:dyDescent="0.25">
      <c r="A47" s="343">
        <v>0.08</v>
      </c>
      <c r="B47" s="317">
        <f>IFERROR((IFERROR(INDEX('P&amp;L'!D115:M116,1,Waterfall!$B$5),0)+IFERROR(INDEX('P&amp;L'!D112:M113,1,Waterfall!$B$5),0))/0.08,0)</f>
        <v>0</v>
      </c>
      <c r="C47" s="317">
        <f>IFERROR(MAX(B47*(1-Waterfall!$B$7-'Exit Strategy'!$F$18)-IFERROR(INDEX(Loans!$J$43:$S$43,1,Waterfall!$B$5),0),0)*Waterfall!$B$15,0)</f>
        <v>0</v>
      </c>
      <c r="D47" s="317">
        <f>IFERROR(IFERROR($B$2/IF($B$3="Class A",Waterfall!$B$9,Waterfall!$B$10),0)*C47,0)</f>
        <v>0</v>
      </c>
      <c r="E47" s="317">
        <f>IFERROR(L14+L18+D47,0)</f>
        <v>0</v>
      </c>
      <c r="F47" s="317">
        <f t="shared" si="2"/>
        <v>0</v>
      </c>
      <c r="G47" s="344">
        <f t="shared" si="3"/>
        <v>0</v>
      </c>
      <c r="H47" s="345">
        <f>IFERROR(G47-L25/$B$2,0)</f>
        <v>0</v>
      </c>
      <c r="I47" s="51"/>
      <c r="J47" s="51"/>
      <c r="K47" s="51"/>
      <c r="L47" s="51"/>
      <c r="M47" s="51"/>
    </row>
    <row r="48" spans="1:13" ht="16.5" customHeight="1" x14ac:dyDescent="0.25">
      <c r="A48" s="340">
        <v>8.5000000000000006E-2</v>
      </c>
      <c r="B48" s="313">
        <f>IFERROR((IFERROR(INDEX('P&amp;L'!D115:M116,1,Waterfall!$B$5),0)+IFERROR(INDEX('P&amp;L'!D112:M113,1,Waterfall!$B$5),0))/0.085,0)</f>
        <v>0</v>
      </c>
      <c r="C48" s="313">
        <f>IFERROR(MAX(B48*(1-Waterfall!$B$7-'Exit Strategy'!$F$18)-IFERROR(INDEX(Loans!$J$43:$S$43,1,Waterfall!$B$5),0),0)*Waterfall!$B$15,0)</f>
        <v>0</v>
      </c>
      <c r="D48" s="313">
        <f>IFERROR(IFERROR($B$2/IF($B$3="Class A",Waterfall!$B$9,Waterfall!$B$10),0)*C48,0)</f>
        <v>0</v>
      </c>
      <c r="E48" s="313">
        <f>IFERROR(L14+L18+D48,0)</f>
        <v>0</v>
      </c>
      <c r="F48" s="313">
        <f t="shared" si="2"/>
        <v>0</v>
      </c>
      <c r="G48" s="341">
        <f t="shared" si="3"/>
        <v>0</v>
      </c>
      <c r="H48" s="342">
        <f>IFERROR(G48-L25/$B$2,0)</f>
        <v>0</v>
      </c>
      <c r="I48" s="232"/>
      <c r="J48" s="232"/>
      <c r="K48" s="232"/>
      <c r="L48" s="232"/>
      <c r="M48" s="232"/>
    </row>
    <row r="49" spans="1:13" ht="16.5" customHeight="1" x14ac:dyDescent="0.25">
      <c r="A49" s="337">
        <v>0.09</v>
      </c>
      <c r="B49" s="265">
        <f>IFERROR((IFERROR(INDEX('P&amp;L'!D115:M116,1,Waterfall!$B$5),0)+IFERROR(INDEX('P&amp;L'!D112:M113,1,Waterfall!$B$5),0))/0.09,0)</f>
        <v>0</v>
      </c>
      <c r="C49" s="265">
        <f>IFERROR(MAX(B49*(1-Waterfall!$B$7-'Exit Strategy'!$F$18)-IFERROR(INDEX(Loans!$J$43:$S$43,1,Waterfall!$B$5),0),0)*Waterfall!$B$15,0)</f>
        <v>0</v>
      </c>
      <c r="D49" s="265">
        <f>IFERROR(IFERROR($B$2/IF($B$3="Class A",Waterfall!$B$9,Waterfall!$B$10),0)*C49,0)</f>
        <v>0</v>
      </c>
      <c r="E49" s="265">
        <f>IFERROR(L14+L18+D49,0)</f>
        <v>0</v>
      </c>
      <c r="F49" s="265">
        <f t="shared" si="2"/>
        <v>0</v>
      </c>
      <c r="G49" s="338">
        <f t="shared" si="3"/>
        <v>0</v>
      </c>
      <c r="H49" s="339">
        <f>IFERROR(G49-L25/$B$2,0)</f>
        <v>0</v>
      </c>
      <c r="I49" s="234"/>
      <c r="J49" s="234"/>
      <c r="K49" s="234"/>
      <c r="L49" s="234"/>
      <c r="M49" s="234"/>
    </row>
    <row r="50" spans="1:13" ht="16.5" customHeight="1" x14ac:dyDescent="0.25">
      <c r="A50" s="340">
        <v>9.5000000000000001E-2</v>
      </c>
      <c r="B50" s="313">
        <f>IFERROR((IFERROR(INDEX('P&amp;L'!D115:M116,1,Waterfall!$B$5),0)+IFERROR(INDEX('P&amp;L'!D112:M113,1,Waterfall!$B$5),0))/0.095,0)</f>
        <v>0</v>
      </c>
      <c r="C50" s="313">
        <f>IFERROR(MAX(B50*(1-Waterfall!$B$7-'Exit Strategy'!$F$18)-IFERROR(INDEX(Loans!$J$43:$S$43,1,Waterfall!$B$5),0),0)*Waterfall!$B$15,0)</f>
        <v>0</v>
      </c>
      <c r="D50" s="313">
        <f>IFERROR(IFERROR($B$2/IF($B$3="Class A",Waterfall!$B$9,Waterfall!$B$10),0)*C50,0)</f>
        <v>0</v>
      </c>
      <c r="E50" s="313">
        <f>IFERROR(L14+L18+D50,0)</f>
        <v>0</v>
      </c>
      <c r="F50" s="313">
        <f t="shared" si="2"/>
        <v>0</v>
      </c>
      <c r="G50" s="341">
        <f t="shared" si="3"/>
        <v>0</v>
      </c>
      <c r="H50" s="342">
        <f>IFERROR(G50-L25/$B$2,0)</f>
        <v>0</v>
      </c>
      <c r="I50" s="232"/>
      <c r="J50" s="232"/>
      <c r="K50" s="232"/>
      <c r="L50" s="232"/>
      <c r="M50" s="232"/>
    </row>
    <row r="51" spans="1:13" ht="6" customHeight="1" x14ac:dyDescent="0.25">
      <c r="A51" s="309"/>
      <c r="B51" s="309"/>
      <c r="C51" s="309"/>
      <c r="D51" s="309"/>
      <c r="E51" s="309"/>
      <c r="F51" s="309"/>
      <c r="G51" s="309"/>
      <c r="H51" s="309"/>
      <c r="I51" s="309"/>
      <c r="J51" s="309"/>
      <c r="K51" s="309"/>
      <c r="L51" s="309"/>
      <c r="M51" s="309"/>
    </row>
    <row r="52" spans="1:13" ht="16.5" customHeight="1" x14ac:dyDescent="0.25">
      <c r="A52" s="898" t="s">
        <v>1277</v>
      </c>
      <c r="B52" s="895"/>
      <c r="C52" s="895"/>
      <c r="D52" s="895"/>
      <c r="E52" s="895"/>
      <c r="F52" s="895"/>
      <c r="G52" s="895"/>
      <c r="H52" s="895"/>
      <c r="I52" s="895"/>
      <c r="J52" s="895"/>
      <c r="K52" s="895"/>
      <c r="L52" s="895"/>
      <c r="M52" s="896"/>
    </row>
    <row r="53" spans="1:13" ht="16.5" customHeight="1" x14ac:dyDescent="0.25">
      <c r="A53" s="309"/>
      <c r="B53" s="309"/>
      <c r="C53" s="309"/>
      <c r="D53" s="309"/>
      <c r="E53" s="309"/>
      <c r="F53" s="309"/>
      <c r="G53" s="309"/>
      <c r="H53" s="309"/>
      <c r="I53" s="309"/>
      <c r="J53" s="309"/>
      <c r="K53" s="309"/>
      <c r="L53" s="309"/>
      <c r="M53" s="309"/>
    </row>
    <row r="54" spans="1:13" ht="16.5" customHeight="1" x14ac:dyDescent="0.25">
      <c r="A54" s="309"/>
      <c r="B54" s="309"/>
      <c r="C54" s="309"/>
      <c r="D54" s="309"/>
      <c r="E54" s="309"/>
      <c r="F54" s="309"/>
      <c r="G54" s="309"/>
      <c r="H54" s="309"/>
      <c r="I54" s="309"/>
      <c r="J54" s="309"/>
      <c r="K54" s="309"/>
      <c r="L54" s="309"/>
      <c r="M54" s="309"/>
    </row>
    <row r="55" spans="1:13" ht="16.5" customHeight="1" x14ac:dyDescent="0.25">
      <c r="A55" s="309"/>
      <c r="B55" s="309"/>
      <c r="C55" s="309"/>
      <c r="D55" s="309"/>
      <c r="E55" s="309"/>
      <c r="F55" s="309"/>
      <c r="G55" s="309"/>
      <c r="H55" s="309"/>
      <c r="I55" s="309"/>
      <c r="J55" s="309"/>
      <c r="K55" s="309"/>
      <c r="L55" s="309"/>
      <c r="M55" s="309"/>
    </row>
    <row r="56" spans="1:13" ht="16.5" customHeight="1" x14ac:dyDescent="0.25">
      <c r="A56" s="309"/>
      <c r="B56" s="309"/>
      <c r="C56" s="309"/>
      <c r="D56" s="309"/>
      <c r="E56" s="309"/>
      <c r="F56" s="309"/>
      <c r="G56" s="309"/>
      <c r="H56" s="309"/>
      <c r="I56" s="309"/>
      <c r="J56" s="309"/>
      <c r="K56" s="309"/>
      <c r="L56" s="309"/>
      <c r="M56" s="309"/>
    </row>
    <row r="57" spans="1:13" ht="16.5" customHeight="1" x14ac:dyDescent="0.25">
      <c r="A57" s="309"/>
      <c r="B57" s="309"/>
      <c r="C57" s="309"/>
      <c r="D57" s="309"/>
      <c r="E57" s="309"/>
      <c r="F57" s="309"/>
      <c r="G57" s="309"/>
      <c r="H57" s="309"/>
      <c r="I57" s="309"/>
      <c r="J57" s="309"/>
      <c r="K57" s="309"/>
      <c r="L57" s="309"/>
      <c r="M57" s="309"/>
    </row>
    <row r="58" spans="1:13" ht="16.5" customHeight="1" x14ac:dyDescent="0.25">
      <c r="A58" s="309"/>
      <c r="B58" s="309"/>
      <c r="C58" s="309"/>
      <c r="D58" s="309"/>
      <c r="E58" s="309"/>
      <c r="F58" s="309"/>
      <c r="G58" s="309"/>
      <c r="H58" s="309"/>
      <c r="I58" s="309"/>
      <c r="J58" s="309"/>
      <c r="K58" s="309"/>
      <c r="L58" s="309"/>
      <c r="M58" s="309"/>
    </row>
    <row r="59" spans="1:13" ht="16.5" customHeight="1" x14ac:dyDescent="0.25">
      <c r="A59" s="309"/>
      <c r="B59" s="309"/>
      <c r="C59" s="309"/>
      <c r="D59" s="309"/>
      <c r="E59" s="309"/>
      <c r="F59" s="309"/>
      <c r="G59" s="309"/>
      <c r="H59" s="309"/>
      <c r="I59" s="309"/>
      <c r="J59" s="309"/>
      <c r="K59" s="309"/>
      <c r="L59" s="309"/>
      <c r="M59" s="309"/>
    </row>
    <row r="60" spans="1:13" ht="16.5" customHeight="1" x14ac:dyDescent="0.25">
      <c r="A60" s="309"/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</row>
    <row r="61" spans="1:13" ht="16.5" customHeight="1" x14ac:dyDescent="0.25">
      <c r="A61" s="309"/>
      <c r="B61" s="309"/>
      <c r="C61" s="309"/>
      <c r="D61" s="309"/>
      <c r="E61" s="309"/>
      <c r="F61" s="309"/>
      <c r="G61" s="309"/>
      <c r="H61" s="309"/>
      <c r="I61" s="309"/>
      <c r="J61" s="309"/>
      <c r="K61" s="309"/>
      <c r="L61" s="309"/>
      <c r="M61" s="309"/>
    </row>
    <row r="62" spans="1:13" ht="16.5" customHeight="1" x14ac:dyDescent="0.25">
      <c r="A62" s="309"/>
      <c r="B62" s="309"/>
      <c r="C62" s="309"/>
      <c r="D62" s="309"/>
      <c r="E62" s="309"/>
      <c r="F62" s="309"/>
      <c r="G62" s="309"/>
      <c r="H62" s="309"/>
      <c r="I62" s="309"/>
      <c r="J62" s="309"/>
      <c r="K62" s="309"/>
      <c r="L62" s="309"/>
      <c r="M62" s="309"/>
    </row>
    <row r="63" spans="1:13" ht="16.5" customHeight="1" x14ac:dyDescent="0.25">
      <c r="A63" s="309"/>
      <c r="B63" s="309"/>
      <c r="C63" s="309"/>
      <c r="D63" s="309"/>
      <c r="E63" s="309"/>
      <c r="F63" s="309"/>
      <c r="G63" s="309"/>
      <c r="H63" s="309"/>
      <c r="I63" s="309"/>
      <c r="J63" s="309"/>
      <c r="K63" s="309"/>
      <c r="L63" s="309"/>
      <c r="M63" s="309"/>
    </row>
    <row r="64" spans="1:13" ht="16.5" customHeight="1" x14ac:dyDescent="0.25">
      <c r="A64" s="309"/>
      <c r="B64" s="309"/>
      <c r="C64" s="309"/>
      <c r="D64" s="309"/>
      <c r="E64" s="309"/>
      <c r="F64" s="309"/>
      <c r="G64" s="309"/>
      <c r="H64" s="309"/>
      <c r="I64" s="309"/>
      <c r="J64" s="309"/>
      <c r="K64" s="309"/>
      <c r="L64" s="309"/>
      <c r="M64" s="309"/>
    </row>
    <row r="65" spans="1:13" ht="16.5" customHeight="1" x14ac:dyDescent="0.25">
      <c r="A65" s="309"/>
      <c r="B65" s="309"/>
      <c r="C65" s="309"/>
      <c r="D65" s="309"/>
      <c r="E65" s="309"/>
      <c r="F65" s="309"/>
      <c r="G65" s="309"/>
      <c r="H65" s="309"/>
      <c r="I65" s="309"/>
      <c r="J65" s="309"/>
      <c r="K65" s="309"/>
      <c r="L65" s="309"/>
      <c r="M65" s="309"/>
    </row>
  </sheetData>
  <mergeCells count="12">
    <mergeCell ref="A1:M1"/>
    <mergeCell ref="C3:D3"/>
    <mergeCell ref="A6:M6"/>
    <mergeCell ref="A22:M22"/>
    <mergeCell ref="A17:M17"/>
    <mergeCell ref="A9:M9"/>
    <mergeCell ref="A40:M40"/>
    <mergeCell ref="C2:M2"/>
    <mergeCell ref="A41:M41"/>
    <mergeCell ref="A33:M33"/>
    <mergeCell ref="A52:M52"/>
    <mergeCell ref="A13:M13"/>
  </mergeCells>
  <dataValidations count="1">
    <dataValidation type="list" sqref="B3 B6" xr:uid="{00000000-0002-0000-0D00-000000000000}">
      <formula1>"Class A,Class 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4"/>
  <sheetViews>
    <sheetView zoomScale="113" zoomScaleNormal="113" workbookViewId="0">
      <selection activeCell="I27" sqref="I27"/>
    </sheetView>
  </sheetViews>
  <sheetFormatPr defaultColWidth="8.85546875" defaultRowHeight="15" x14ac:dyDescent="0.25"/>
  <cols>
    <col min="1" max="1" width="30" customWidth="1"/>
    <col min="2" max="10" width="14" customWidth="1"/>
  </cols>
  <sheetData>
    <row r="1" spans="1:17" ht="24" customHeight="1" x14ac:dyDescent="0.25">
      <c r="A1" s="827" t="s">
        <v>1210</v>
      </c>
      <c r="B1" s="817"/>
      <c r="C1" s="817"/>
      <c r="D1" s="817"/>
      <c r="E1" s="817"/>
      <c r="F1" s="817"/>
      <c r="G1" s="817"/>
      <c r="H1" s="817"/>
      <c r="I1" s="817"/>
      <c r="J1" s="817"/>
    </row>
    <row r="2" spans="1:17" ht="15.75" customHeight="1" x14ac:dyDescent="0.25">
      <c r="A2" s="835" t="s">
        <v>1211</v>
      </c>
      <c r="B2" s="817"/>
      <c r="C2" s="817"/>
      <c r="D2" s="817"/>
      <c r="E2" s="817"/>
      <c r="F2" s="817"/>
      <c r="G2" s="817"/>
      <c r="H2" s="817"/>
      <c r="I2" s="817"/>
      <c r="J2" s="817"/>
    </row>
    <row r="4" spans="1:17" ht="24" customHeight="1" x14ac:dyDescent="0.25">
      <c r="A4" s="827" t="s">
        <v>1212</v>
      </c>
      <c r="B4" s="817"/>
      <c r="C4" s="817"/>
      <c r="D4" s="817"/>
      <c r="E4" s="817"/>
      <c r="F4" s="817"/>
      <c r="G4" s="817"/>
      <c r="H4" s="817"/>
      <c r="I4" s="817"/>
      <c r="J4" s="817"/>
    </row>
    <row r="5" spans="1:17" x14ac:dyDescent="0.25">
      <c r="A5" s="293" t="s">
        <v>1213</v>
      </c>
      <c r="B5" s="294">
        <f>$K$5+0*$M$5</f>
        <v>7.4999999999999997E-2</v>
      </c>
      <c r="C5" s="294">
        <f>$K$5+1*$M$5</f>
        <v>0.08</v>
      </c>
      <c r="D5" s="294">
        <f>$K$5+2*$M$5</f>
        <v>8.4999999999999992E-2</v>
      </c>
      <c r="E5" s="294">
        <f>$K$5+3*$M$5</f>
        <v>0.09</v>
      </c>
      <c r="F5" s="294">
        <f>$K$5+4*$M$5</f>
        <v>9.5000000000000001E-2</v>
      </c>
      <c r="G5" s="294">
        <f>$K$5+5*$M$5</f>
        <v>0.1</v>
      </c>
      <c r="H5" s="294">
        <f>$K$5+6*$M$5</f>
        <v>0.105</v>
      </c>
      <c r="J5" s="295" t="s">
        <v>1214</v>
      </c>
      <c r="K5" s="296">
        <v>7.4999999999999997E-2</v>
      </c>
      <c r="L5" s="295" t="s">
        <v>1215</v>
      </c>
      <c r="M5" s="296">
        <v>5.0000000000000001E-3</v>
      </c>
      <c r="N5" s="295" t="s">
        <v>1216</v>
      </c>
      <c r="O5" s="242">
        <v>0.7</v>
      </c>
      <c r="P5" s="295" t="s">
        <v>1217</v>
      </c>
      <c r="Q5" s="242">
        <v>2.5000000000000001E-2</v>
      </c>
    </row>
    <row r="6" spans="1:17" x14ac:dyDescent="0.25">
      <c r="A6" s="297">
        <f>$O$5+0*$Q$5</f>
        <v>0.7</v>
      </c>
      <c r="B6" s="298" t="str">
        <f>IFERROR(((('P&amp;L'!H97*(A6/(1-Scenarios!F40)))/B5*(1-0.025)-Scenarios!F144)/Scenarios!F31)^(1/5)-1,"")</f>
        <v/>
      </c>
      <c r="C6" s="298" t="str">
        <f>IFERROR(((('P&amp;L'!H97*(A6/(1-Scenarios!F40)))/C5*(1-0.025)-Scenarios!F144)/Scenarios!F31)^(1/5)-1,"")</f>
        <v/>
      </c>
      <c r="D6" s="298" t="str">
        <f>IFERROR(((('P&amp;L'!H97*(A6/(1-Scenarios!F40)))/D5*(1-0.025)-Scenarios!F144)/Scenarios!F31)^(1/5)-1,"")</f>
        <v/>
      </c>
      <c r="E6" s="298" t="str">
        <f>IFERROR(((('P&amp;L'!H97*(A6/(1-Scenarios!F40)))/E5*(1-0.025)-Scenarios!F144)/Scenarios!F31)^(1/5)-1,"")</f>
        <v/>
      </c>
      <c r="F6" s="298" t="str">
        <f>IFERROR(((('P&amp;L'!H97*(A6/(1-Scenarios!F40)))/F5*(1-0.025)-Scenarios!F144)/Scenarios!F31)^(1/5)-1,"")</f>
        <v/>
      </c>
      <c r="G6" s="298" t="str">
        <f>IFERROR(((('P&amp;L'!H97*(A6/(1-Scenarios!F40)))/G5*(1-0.025)-Scenarios!F144)/Scenarios!F31)^(1/5)-1,"")</f>
        <v/>
      </c>
      <c r="H6" s="298" t="str">
        <f>IFERROR(((('P&amp;L'!H97*(A6/(1-Scenarios!F40)))/H5*(1-0.025)-Scenarios!F144)/Scenarios!F31)^(1/5)-1,"")</f>
        <v/>
      </c>
    </row>
    <row r="7" spans="1:17" x14ac:dyDescent="0.25">
      <c r="A7" s="297">
        <f>$O$5+1*$Q$5</f>
        <v>0.72499999999999998</v>
      </c>
      <c r="B7" s="298" t="str">
        <f>IFERROR(((('P&amp;L'!H97*(A7/(1-Scenarios!F40)))/B5*(1-0.025)-Scenarios!F144)/Scenarios!F31)^(1/5)-1,"")</f>
        <v/>
      </c>
      <c r="C7" s="298" t="str">
        <f>IFERROR(((('P&amp;L'!H97*(A7/(1-Scenarios!F40)))/C5*(1-0.025)-Scenarios!F144)/Scenarios!F31)^(1/5)-1,"")</f>
        <v/>
      </c>
      <c r="D7" s="298" t="str">
        <f>IFERROR(((('P&amp;L'!H97*(A7/(1-Scenarios!F40)))/D5*(1-0.025)-Scenarios!F144)/Scenarios!F31)^(1/5)-1,"")</f>
        <v/>
      </c>
      <c r="E7" s="298" t="str">
        <f>IFERROR(((('P&amp;L'!H97*(A7/(1-Scenarios!F40)))/E5*(1-0.025)-Scenarios!F144)/Scenarios!F31)^(1/5)-1,"")</f>
        <v/>
      </c>
      <c r="F7" s="298" t="str">
        <f>IFERROR(((('P&amp;L'!H97*(A7/(1-Scenarios!F40)))/F5*(1-0.025)-Scenarios!F144)/Scenarios!F31)^(1/5)-1,"")</f>
        <v/>
      </c>
      <c r="G7" s="298" t="str">
        <f>IFERROR(((('P&amp;L'!H97*(A7/(1-Scenarios!F40)))/G5*(1-0.025)-Scenarios!F144)/Scenarios!F31)^(1/5)-1,"")</f>
        <v/>
      </c>
      <c r="H7" s="298" t="str">
        <f>IFERROR(((('P&amp;L'!H97*(A7/(1-Scenarios!F40)))/H5*(1-0.025)-Scenarios!F144)/Scenarios!F31)^(1/5)-1,"")</f>
        <v/>
      </c>
    </row>
    <row r="8" spans="1:17" x14ac:dyDescent="0.25">
      <c r="A8" s="297">
        <f>$O$5+2*$Q$5</f>
        <v>0.75</v>
      </c>
      <c r="B8" s="299" t="str">
        <f>IFERROR(((('P&amp;L'!H97*(A8/(1-Scenarios!F40)))/B5*(1-0.025)-Scenarios!F144)/Scenarios!F31)^(1/5)-1,"")</f>
        <v/>
      </c>
      <c r="C8" s="299" t="str">
        <f>IFERROR(((('P&amp;L'!H97*(A8/(1-Scenarios!F40)))/C5*(1-0.025)-Scenarios!F144)/Scenarios!F31)^(1/5)-1,"")</f>
        <v/>
      </c>
      <c r="D8" s="299" t="str">
        <f>IFERROR(((('P&amp;L'!H97*(A8/(1-Scenarios!F40)))/D5*(1-0.025)-Scenarios!F144)/Scenarios!F31)^(1/5)-1,"")</f>
        <v/>
      </c>
      <c r="E8" s="299" t="str">
        <f>IFERROR(((('P&amp;L'!H97*(A8/(1-Scenarios!F40)))/E5*(1-0.025)-Scenarios!F144)/Scenarios!F31)^(1/5)-1,"")</f>
        <v/>
      </c>
      <c r="F8" s="299" t="str">
        <f>IFERROR(((('P&amp;L'!H97*(A8/(1-Scenarios!F40)))/F5*(1-0.025)-Scenarios!F144)/Scenarios!F31)^(1/5)-1,"")</f>
        <v/>
      </c>
      <c r="G8" s="299" t="str">
        <f>IFERROR(((('P&amp;L'!H97*(A8/(1-Scenarios!F40)))/G5*(1-0.025)-Scenarios!F144)/Scenarios!F31)^(1/5)-1,"")</f>
        <v/>
      </c>
      <c r="H8" s="298" t="str">
        <f>IFERROR(((('P&amp;L'!H97*(A8/(1-Scenarios!F40)))/H5*(1-0.025)-Scenarios!F144)/Scenarios!F31)^(1/5)-1,"")</f>
        <v/>
      </c>
    </row>
    <row r="9" spans="1:17" x14ac:dyDescent="0.25">
      <c r="A9" s="297">
        <f>$O$5+3*$Q$5</f>
        <v>0.77499999999999991</v>
      </c>
      <c r="B9" s="299" t="str">
        <f>IFERROR(((('P&amp;L'!H97*(A9/(1-Scenarios!F40)))/B5*(1-0.025)-Scenarios!F144)/Scenarios!F31)^(1/5)-1,"")</f>
        <v/>
      </c>
      <c r="C9" s="299" t="str">
        <f>IFERROR(((('P&amp;L'!H97*(A9/(1-Scenarios!F40)))/C5*(1-0.025)-Scenarios!F144)/Scenarios!F31)^(1/5)-1,"")</f>
        <v/>
      </c>
      <c r="D9" s="299" t="str">
        <f>IFERROR(((('P&amp;L'!H97*(A9/(1-Scenarios!F40)))/D5*(1-0.025)-Scenarios!F144)/Scenarios!F31)^(1/5)-1,"")</f>
        <v/>
      </c>
      <c r="E9" s="299" t="str">
        <f>IFERROR(((('P&amp;L'!H97*(A9/(1-Scenarios!F40)))/E5*(1-0.025)-Scenarios!F144)/Scenarios!F31)^(1/5)-1,"")</f>
        <v/>
      </c>
      <c r="F9" s="299" t="str">
        <f>IFERROR(((('P&amp;L'!H97*(A9/(1-Scenarios!F40)))/F5*(1-0.025)-Scenarios!F144)/Scenarios!F31)^(1/5)-1,"")</f>
        <v/>
      </c>
      <c r="G9" s="299" t="str">
        <f>IFERROR(((('P&amp;L'!H97*(A9/(1-Scenarios!F40)))/G5*(1-0.025)-Scenarios!F144)/Scenarios!F31)^(1/5)-1,"")</f>
        <v/>
      </c>
      <c r="H9" s="298" t="str">
        <f>IFERROR(((('P&amp;L'!H97*(A9/(1-Scenarios!F40)))/H5*(1-0.025)-Scenarios!F144)/Scenarios!F31)^(1/5)-1,"")</f>
        <v/>
      </c>
    </row>
    <row r="10" spans="1:17" x14ac:dyDescent="0.25">
      <c r="A10" s="297">
        <f>$O$5+4*$Q$5</f>
        <v>0.79999999999999993</v>
      </c>
      <c r="B10" s="300" t="str">
        <f>IFERROR(((('P&amp;L'!H97*(A10/(1-Scenarios!F40)))/B5*(1-0.025)-Scenarios!F144)/Scenarios!F31)^(1/5)-1,"")</f>
        <v/>
      </c>
      <c r="C10" s="300" t="str">
        <f>IFERROR(((('P&amp;L'!H97*(A10/(1-Scenarios!F40)))/C5*(1-0.025)-Scenarios!F144)/Scenarios!F31)^(1/5)-1,"")</f>
        <v/>
      </c>
      <c r="D10" s="300" t="str">
        <f>IFERROR(((('P&amp;L'!H97*(A10/(1-Scenarios!F40)))/D5*(1-0.025)-Scenarios!F144)/Scenarios!F31)^(1/5)-1,"")</f>
        <v/>
      </c>
      <c r="E10" s="300" t="str">
        <f>IFERROR(((('P&amp;L'!H97*(A10/(1-Scenarios!F40)))/E5*(1-0.025)-Scenarios!F144)/Scenarios!F31)^(1/5)-1,"")</f>
        <v/>
      </c>
      <c r="F10" s="299" t="str">
        <f>IFERROR(((('P&amp;L'!H97*(A10/(1-Scenarios!F40)))/F5*(1-0.025)-Scenarios!F144)/Scenarios!F31)^(1/5)-1,"")</f>
        <v/>
      </c>
      <c r="G10" s="299" t="str">
        <f>IFERROR(((('P&amp;L'!H97*(A10/(1-Scenarios!F40)))/G5*(1-0.025)-Scenarios!F144)/Scenarios!F31)^(1/5)-1,"")</f>
        <v/>
      </c>
      <c r="H10" s="298" t="str">
        <f>IFERROR(((('P&amp;L'!H97*(A10/(1-Scenarios!F40)))/H5*(1-0.025)-Scenarios!F144)/Scenarios!F31)^(1/5)-1,"")</f>
        <v/>
      </c>
    </row>
    <row r="11" spans="1:17" x14ac:dyDescent="0.25">
      <c r="A11" s="297">
        <f>$O$5+5*$Q$5</f>
        <v>0.82499999999999996</v>
      </c>
      <c r="B11" s="300" t="str">
        <f>IFERROR(((('P&amp;L'!H97*(A11/(1-Scenarios!F40)))/B5*(1-0.025)-Scenarios!F144)/Scenarios!F31)^(1/5)-1,"")</f>
        <v/>
      </c>
      <c r="C11" s="300" t="str">
        <f>IFERROR(((('P&amp;L'!H97*(A11/(1-Scenarios!F40)))/C5*(1-0.025)-Scenarios!F144)/Scenarios!F31)^(1/5)-1,"")</f>
        <v/>
      </c>
      <c r="D11" s="300" t="str">
        <f>IFERROR(((('P&amp;L'!H97*(A11/(1-Scenarios!F40)))/D5*(1-0.025)-Scenarios!F144)/Scenarios!F31)^(1/5)-1,"")</f>
        <v/>
      </c>
      <c r="E11" s="300" t="str">
        <f>IFERROR(((('P&amp;L'!H97*(A11/(1-Scenarios!F40)))/E5*(1-0.025)-Scenarios!F144)/Scenarios!F31)^(1/5)-1,"")</f>
        <v/>
      </c>
      <c r="F11" s="299" t="str">
        <f>IFERROR(((('P&amp;L'!H97*(A11/(1-Scenarios!F40)))/F5*(1-0.025)-Scenarios!F144)/Scenarios!F31)^(1/5)-1,"")</f>
        <v/>
      </c>
      <c r="G11" s="299" t="str">
        <f>IFERROR(((('P&amp;L'!H97*(A11/(1-Scenarios!F40)))/G5*(1-0.025)-Scenarios!F144)/Scenarios!F31)^(1/5)-1,"")</f>
        <v/>
      </c>
      <c r="H11" s="298" t="str">
        <f>IFERROR(((('P&amp;L'!H97*(A11/(1-Scenarios!F40)))/H5*(1-0.025)-Scenarios!F144)/Scenarios!F31)^(1/5)-1,"")</f>
        <v/>
      </c>
    </row>
    <row r="12" spans="1:17" x14ac:dyDescent="0.25">
      <c r="A12" s="297">
        <f>$O$5+6*$Q$5</f>
        <v>0.85</v>
      </c>
      <c r="B12" s="300" t="str">
        <f>IFERROR(((('P&amp;L'!H97*(A12/(1-Scenarios!F40)))/B5*(1-0.025)-Scenarios!F144)/Scenarios!F31)^(1/5)-1,"")</f>
        <v/>
      </c>
      <c r="C12" s="300" t="str">
        <f>IFERROR(((('P&amp;L'!H97*(A12/(1-Scenarios!F40)))/C5*(1-0.025)-Scenarios!F144)/Scenarios!F31)^(1/5)-1,"")</f>
        <v/>
      </c>
      <c r="D12" s="300" t="str">
        <f>IFERROR(((('P&amp;L'!H97*(A12/(1-Scenarios!F40)))/D5*(1-0.025)-Scenarios!F144)/Scenarios!F31)^(1/5)-1,"")</f>
        <v/>
      </c>
      <c r="E12" s="300" t="str">
        <f>IFERROR(((('P&amp;L'!H97*(A12/(1-Scenarios!F40)))/E5*(1-0.025)-Scenarios!F144)/Scenarios!F31)^(1/5)-1,"")</f>
        <v/>
      </c>
      <c r="F12" s="299" t="str">
        <f>IFERROR(((('P&amp;L'!H97*(A12/(1-Scenarios!F40)))/F5*(1-0.025)-Scenarios!F144)/Scenarios!F31)^(1/5)-1,"")</f>
        <v/>
      </c>
      <c r="G12" s="299" t="str">
        <f>IFERROR(((('P&amp;L'!H97*(A12/(1-Scenarios!F40)))/G5*(1-0.025)-Scenarios!F144)/Scenarios!F31)^(1/5)-1,"")</f>
        <v/>
      </c>
      <c r="H12" s="298" t="str">
        <f>IFERROR(((('P&amp;L'!H97*(A12/(1-Scenarios!F40)))/H5*(1-0.025)-Scenarios!F144)/Scenarios!F31)^(1/5)-1,"")</f>
        <v/>
      </c>
    </row>
    <row r="13" spans="1:17" x14ac:dyDescent="0.25">
      <c r="A13" s="297">
        <f>$O$5+7*$Q$5</f>
        <v>0.875</v>
      </c>
      <c r="B13" s="300" t="str">
        <f>IFERROR(((('P&amp;L'!H97*(A13/(1-Scenarios!F40)))/B5*(1-0.025)-Scenarios!F144)/Scenarios!F31)^(1/5)-1,"")</f>
        <v/>
      </c>
      <c r="C13" s="300" t="str">
        <f>IFERROR(((('P&amp;L'!H97*(A13/(1-Scenarios!F40)))/C5*(1-0.025)-Scenarios!F144)/Scenarios!F31)^(1/5)-1,"")</f>
        <v/>
      </c>
      <c r="D13" s="300" t="str">
        <f>IFERROR(((('P&amp;L'!H97*(A13/(1-Scenarios!F40)))/D5*(1-0.025)-Scenarios!F144)/Scenarios!F31)^(1/5)-1,"")</f>
        <v/>
      </c>
      <c r="E13" s="300" t="str">
        <f>IFERROR(((('P&amp;L'!H97*(A13/(1-Scenarios!F40)))/E5*(1-0.025)-Scenarios!F144)/Scenarios!F31)^(1/5)-1,"")</f>
        <v/>
      </c>
      <c r="F13" s="299" t="str">
        <f>IFERROR(((('P&amp;L'!H97*(A13/(1-Scenarios!F40)))/F5*(1-0.025)-Scenarios!F144)/Scenarios!F31)^(1/5)-1,"")</f>
        <v/>
      </c>
      <c r="G13" s="299" t="str">
        <f>IFERROR(((('P&amp;L'!H97*(A13/(1-Scenarios!F40)))/G5*(1-0.025)-Scenarios!F144)/Scenarios!F31)^(1/5)-1,"")</f>
        <v/>
      </c>
      <c r="H13" s="298" t="str">
        <f>IFERROR(((('P&amp;L'!H97*(A13/(1-Scenarios!F40)))/H5*(1-0.025)-Scenarios!F144)/Scenarios!F31)^(1/5)-1,"")</f>
        <v/>
      </c>
    </row>
    <row r="15" spans="1:17" ht="24" customHeight="1" x14ac:dyDescent="0.25">
      <c r="A15" s="830" t="s">
        <v>1218</v>
      </c>
      <c r="B15" s="817"/>
      <c r="C15" s="817"/>
      <c r="D15" s="817"/>
      <c r="E15" s="817"/>
      <c r="F15" s="817"/>
      <c r="G15" s="817"/>
      <c r="H15" s="817"/>
      <c r="I15" s="817"/>
      <c r="J15" s="817"/>
    </row>
    <row r="16" spans="1:17" x14ac:dyDescent="0.25">
      <c r="A16" s="301" t="s">
        <v>1219</v>
      </c>
      <c r="B16" s="297">
        <f>$K$16+0*$M$16</f>
        <v>0.03</v>
      </c>
      <c r="C16" s="297">
        <f>$K$16+1*$M$16</f>
        <v>3.4999999999999996E-2</v>
      </c>
      <c r="D16" s="297">
        <f>$K$16+2*$M$16</f>
        <v>0.04</v>
      </c>
      <c r="E16" s="297">
        <f>$K$16+3*$M$16</f>
        <v>4.4999999999999998E-2</v>
      </c>
      <c r="F16" s="297">
        <f>$K$16+4*$M$16</f>
        <v>0.05</v>
      </c>
      <c r="G16" s="297">
        <f>$K$16+5*$M$16</f>
        <v>5.5E-2</v>
      </c>
      <c r="H16" s="297">
        <f>$K$16+6*$M$16</f>
        <v>0.06</v>
      </c>
      <c r="J16" s="295" t="s">
        <v>1220</v>
      </c>
      <c r="K16" s="242">
        <v>0.03</v>
      </c>
      <c r="L16" s="295" t="s">
        <v>1215</v>
      </c>
      <c r="M16" s="242">
        <v>5.0000000000000001E-3</v>
      </c>
      <c r="N16" s="295" t="s">
        <v>1221</v>
      </c>
      <c r="O16" s="242">
        <v>0.02</v>
      </c>
      <c r="P16" s="295" t="s">
        <v>1215</v>
      </c>
      <c r="Q16" s="242">
        <v>5.0000000000000001E-3</v>
      </c>
    </row>
    <row r="17" spans="1:17" x14ac:dyDescent="0.25">
      <c r="A17" s="297">
        <f>$O$16+0*$Q$16</f>
        <v>0.02</v>
      </c>
      <c r="B17" s="299" t="str">
        <f>IFERROR(('P&amp;L'!H50*(1+$A17)^5-'P&amp;L'!H95*(1+B16)^5)/('P&amp;L'!H50*(1+$A17)^5),"")</f>
        <v/>
      </c>
      <c r="C17" s="299" t="str">
        <f>IFERROR(('P&amp;L'!H50*(1+$A17)^5-'P&amp;L'!H95*(1+C16)^5)/('P&amp;L'!H50*(1+$A17)^5),"")</f>
        <v/>
      </c>
      <c r="D17" s="299" t="str">
        <f>IFERROR(('P&amp;L'!H50*(1+$A17)^5-'P&amp;L'!H95*(1+D16)^5)/('P&amp;L'!H50*(1+$A17)^5),"")</f>
        <v/>
      </c>
      <c r="E17" s="299" t="str">
        <f>IFERROR(('P&amp;L'!H50*(1+$A17)^5-'P&amp;L'!H95*(1+E16)^5)/('P&amp;L'!H50*(1+$A17)^5),"")</f>
        <v/>
      </c>
      <c r="F17" s="299" t="str">
        <f>IFERROR(('P&amp;L'!H50*(1+$A17)^5-'P&amp;L'!H95*(1+F16)^5)/('P&amp;L'!H50*(1+$A17)^5),"")</f>
        <v/>
      </c>
      <c r="G17" s="298" t="str">
        <f>IFERROR(('P&amp;L'!H50*(1+$A17)^5-'P&amp;L'!H95*(1+G16)^5)/('P&amp;L'!H50*(1+$A17)^5),"")</f>
        <v/>
      </c>
      <c r="H17" s="298" t="str">
        <f>IFERROR(('P&amp;L'!H50*(1+$A17)^5-'P&amp;L'!H95*(1+H16)^5)/('P&amp;L'!H50*(1+$A17)^5),"")</f>
        <v/>
      </c>
    </row>
    <row r="18" spans="1:17" x14ac:dyDescent="0.25">
      <c r="A18" s="297">
        <f>$O$16+1*$Q$16</f>
        <v>2.5000000000000001E-2</v>
      </c>
      <c r="B18" s="299" t="str">
        <f>IFERROR(('P&amp;L'!H50*(1+$A18)^5-'P&amp;L'!H95*(1+B16)^5)/('P&amp;L'!H50*(1+$A18)^5),"")</f>
        <v/>
      </c>
      <c r="C18" s="299" t="str">
        <f>IFERROR(('P&amp;L'!H50*(1+$A18)^5-'P&amp;L'!H95*(1+C16)^5)/('P&amp;L'!H50*(1+$A18)^5),"")</f>
        <v/>
      </c>
      <c r="D18" s="299" t="str">
        <f>IFERROR(('P&amp;L'!H50*(1+$A18)^5-'P&amp;L'!H95*(1+D16)^5)/('P&amp;L'!H50*(1+$A18)^5),"")</f>
        <v/>
      </c>
      <c r="E18" s="299" t="str">
        <f>IFERROR(('P&amp;L'!H50*(1+$A18)^5-'P&amp;L'!H95*(1+E16)^5)/('P&amp;L'!H50*(1+$A18)^5),"")</f>
        <v/>
      </c>
      <c r="F18" s="299" t="str">
        <f>IFERROR(('P&amp;L'!H50*(1+$A18)^5-'P&amp;L'!H95*(1+F16)^5)/('P&amp;L'!H50*(1+$A18)^5),"")</f>
        <v/>
      </c>
      <c r="G18" s="299" t="str">
        <f>IFERROR(('P&amp;L'!H50*(1+$A18)^5-'P&amp;L'!H95*(1+G16)^5)/('P&amp;L'!H50*(1+$A18)^5),"")</f>
        <v/>
      </c>
      <c r="H18" s="299" t="str">
        <f>IFERROR(('P&amp;L'!H50*(1+$A18)^5-'P&amp;L'!H95*(1+H16)^5)/('P&amp;L'!H50*(1+$A18)^5),"")</f>
        <v/>
      </c>
    </row>
    <row r="19" spans="1:17" x14ac:dyDescent="0.25">
      <c r="A19" s="297">
        <f>$O$16+2*$Q$16</f>
        <v>0.03</v>
      </c>
      <c r="B19" s="300" t="str">
        <f>IFERROR(('P&amp;L'!H50*(1+$A19)^5-'P&amp;L'!H95*(1+B16)^5)/('P&amp;L'!H50*(1+$A19)^5),"")</f>
        <v/>
      </c>
      <c r="C19" s="300" t="str">
        <f>IFERROR(('P&amp;L'!H50*(1+$A19)^5-'P&amp;L'!H95*(1+C16)^5)/('P&amp;L'!H50*(1+$A19)^5),"")</f>
        <v/>
      </c>
      <c r="D19" s="300" t="str">
        <f>IFERROR(('P&amp;L'!H50*(1+$A19)^5-'P&amp;L'!H95*(1+D16)^5)/('P&amp;L'!H50*(1+$A19)^5),"")</f>
        <v/>
      </c>
      <c r="E19" s="299" t="str">
        <f>IFERROR(('P&amp;L'!H50*(1+$A19)^5-'P&amp;L'!H95*(1+E16)^5)/('P&amp;L'!H50*(1+$A19)^5),"")</f>
        <v/>
      </c>
      <c r="F19" s="299" t="str">
        <f>IFERROR(('P&amp;L'!H50*(1+$A19)^5-'P&amp;L'!H95*(1+F16)^5)/('P&amp;L'!H50*(1+$A19)^5),"")</f>
        <v/>
      </c>
      <c r="G19" s="299" t="str">
        <f>IFERROR(('P&amp;L'!H50*(1+$A19)^5-'P&amp;L'!H95*(1+G16)^5)/('P&amp;L'!H50*(1+$A19)^5),"")</f>
        <v/>
      </c>
      <c r="H19" s="299" t="str">
        <f>IFERROR(('P&amp;L'!H50*(1+$A19)^5-'P&amp;L'!H95*(1+H16)^5)/('P&amp;L'!H50*(1+$A19)^5),"")</f>
        <v/>
      </c>
    </row>
    <row r="20" spans="1:17" x14ac:dyDescent="0.25">
      <c r="A20" s="297">
        <f>$O$16+3*$Q$16</f>
        <v>3.5000000000000003E-2</v>
      </c>
      <c r="B20" s="300" t="str">
        <f>IFERROR(('P&amp;L'!H50*(1+$A20)^5-'P&amp;L'!H95*(1+B16)^5)/('P&amp;L'!H50*(1+$A20)^5),"")</f>
        <v/>
      </c>
      <c r="C20" s="300" t="str">
        <f>IFERROR(('P&amp;L'!H50*(1+$A20)^5-'P&amp;L'!H95*(1+C16)^5)/('P&amp;L'!H50*(1+$A20)^5),"")</f>
        <v/>
      </c>
      <c r="D20" s="300" t="str">
        <f>IFERROR(('P&amp;L'!H50*(1+$A20)^5-'P&amp;L'!H95*(1+D16)^5)/('P&amp;L'!H50*(1+$A20)^5),"")</f>
        <v/>
      </c>
      <c r="E20" s="299" t="str">
        <f>IFERROR(('P&amp;L'!H50*(1+$A20)^5-'P&amp;L'!H95*(1+E16)^5)/('P&amp;L'!H50*(1+$A20)^5),"")</f>
        <v/>
      </c>
      <c r="F20" s="299" t="str">
        <f>IFERROR(('P&amp;L'!H50*(1+$A20)^5-'P&amp;L'!H95*(1+F16)^5)/('P&amp;L'!H50*(1+$A20)^5),"")</f>
        <v/>
      </c>
      <c r="G20" s="299" t="str">
        <f>IFERROR(('P&amp;L'!H50*(1+$A20)^5-'P&amp;L'!H95*(1+G16)^5)/('P&amp;L'!H50*(1+$A20)^5),"")</f>
        <v/>
      </c>
      <c r="H20" s="299" t="str">
        <f>IFERROR(('P&amp;L'!H50*(1+$A20)^5-'P&amp;L'!H95*(1+H16)^5)/('P&amp;L'!H50*(1+$A20)^5),"")</f>
        <v/>
      </c>
    </row>
    <row r="21" spans="1:17" x14ac:dyDescent="0.25">
      <c r="A21" s="297">
        <f>$O$16+4*$Q$16</f>
        <v>0.04</v>
      </c>
      <c r="B21" s="300" t="str">
        <f>IFERROR(('P&amp;L'!H50*(1+$A21)^5-'P&amp;L'!H95*(1+B16)^5)/('P&amp;L'!H50*(1+$A21)^5),"")</f>
        <v/>
      </c>
      <c r="C21" s="300" t="str">
        <f>IFERROR(('P&amp;L'!H50*(1+$A21)^5-'P&amp;L'!H95*(1+C16)^5)/('P&amp;L'!H50*(1+$A21)^5),"")</f>
        <v/>
      </c>
      <c r="D21" s="300" t="str">
        <f>IFERROR(('P&amp;L'!H50*(1+$A21)^5-'P&amp;L'!H95*(1+D16)^5)/('P&amp;L'!H50*(1+$A21)^5),"")</f>
        <v/>
      </c>
      <c r="E21" s="299" t="str">
        <f>IFERROR(('P&amp;L'!H50*(1+$A21)^5-'P&amp;L'!H95*(1+E16)^5)/('P&amp;L'!H50*(1+$A21)^5),"")</f>
        <v/>
      </c>
      <c r="F21" s="299" t="str">
        <f>IFERROR(('P&amp;L'!H50*(1+$A21)^5-'P&amp;L'!H95*(1+F16)^5)/('P&amp;L'!H50*(1+$A21)^5),"")</f>
        <v/>
      </c>
      <c r="G21" s="299" t="str">
        <f>IFERROR(('P&amp;L'!H50*(1+$A21)^5-'P&amp;L'!H95*(1+G16)^5)/('P&amp;L'!H50*(1+$A21)^5),"")</f>
        <v/>
      </c>
      <c r="H21" s="299" t="str">
        <f>IFERROR(('P&amp;L'!H50*(1+$A21)^5-'P&amp;L'!H95*(1+H16)^5)/('P&amp;L'!H50*(1+$A21)^5),"")</f>
        <v/>
      </c>
    </row>
    <row r="22" spans="1:17" x14ac:dyDescent="0.25">
      <c r="A22" s="297">
        <f>$O$16+5*$Q$16</f>
        <v>4.4999999999999998E-2</v>
      </c>
      <c r="B22" s="300" t="str">
        <f>IFERROR(('P&amp;L'!H50*(1+$A22)^5-'P&amp;L'!H95*(1+B16)^5)/('P&amp;L'!H50*(1+$A22)^5),"")</f>
        <v/>
      </c>
      <c r="C22" s="300" t="str">
        <f>IFERROR(('P&amp;L'!H50*(1+$A22)^5-'P&amp;L'!H95*(1+C16)^5)/('P&amp;L'!H50*(1+$A22)^5),"")</f>
        <v/>
      </c>
      <c r="D22" s="300" t="str">
        <f>IFERROR(('P&amp;L'!H50*(1+$A22)^5-'P&amp;L'!H95*(1+D16)^5)/('P&amp;L'!H50*(1+$A22)^5),"")</f>
        <v/>
      </c>
      <c r="E22" s="299" t="str">
        <f>IFERROR(('P&amp;L'!H50*(1+$A22)^5-'P&amp;L'!H95*(1+E16)^5)/('P&amp;L'!H50*(1+$A22)^5),"")</f>
        <v/>
      </c>
      <c r="F22" s="299" t="str">
        <f>IFERROR(('P&amp;L'!H50*(1+$A22)^5-'P&amp;L'!H95*(1+F16)^5)/('P&amp;L'!H50*(1+$A22)^5),"")</f>
        <v/>
      </c>
      <c r="G22" s="299" t="str">
        <f>IFERROR(('P&amp;L'!H50*(1+$A22)^5-'P&amp;L'!H95*(1+G16)^5)/('P&amp;L'!H50*(1+$A22)^5),"")</f>
        <v/>
      </c>
      <c r="H22" s="299" t="str">
        <f>IFERROR(('P&amp;L'!H50*(1+$A22)^5-'P&amp;L'!H95*(1+H16)^5)/('P&amp;L'!H50*(1+$A22)^5),"")</f>
        <v/>
      </c>
    </row>
    <row r="23" spans="1:17" x14ac:dyDescent="0.25">
      <c r="A23" s="297">
        <f>$O$16+6*$Q$16</f>
        <v>0.05</v>
      </c>
      <c r="B23" s="300" t="str">
        <f>IFERROR(('P&amp;L'!H50*(1+$A23)^5-'P&amp;L'!H95*(1+B16)^5)/('P&amp;L'!H50*(1+$A23)^5),"")</f>
        <v/>
      </c>
      <c r="C23" s="300" t="str">
        <f>IFERROR(('P&amp;L'!H50*(1+$A23)^5-'P&amp;L'!H95*(1+C16)^5)/('P&amp;L'!H50*(1+$A23)^5),"")</f>
        <v/>
      </c>
      <c r="D23" s="300" t="str">
        <f>IFERROR(('P&amp;L'!H50*(1+$A23)^5-'P&amp;L'!H95*(1+D16)^5)/('P&amp;L'!H50*(1+$A23)^5),"")</f>
        <v/>
      </c>
      <c r="E23" s="299" t="str">
        <f>IFERROR(('P&amp;L'!H50*(1+$A23)^5-'P&amp;L'!H95*(1+E16)^5)/('P&amp;L'!H50*(1+$A23)^5),"")</f>
        <v/>
      </c>
      <c r="F23" s="299" t="str">
        <f>IFERROR(('P&amp;L'!H50*(1+$A23)^5-'P&amp;L'!H95*(1+F16)^5)/('P&amp;L'!H50*(1+$A23)^5),"")</f>
        <v/>
      </c>
      <c r="G23" s="299" t="str">
        <f>IFERROR(('P&amp;L'!H50*(1+$A23)^5-'P&amp;L'!H95*(1+G16)^5)/('P&amp;L'!H50*(1+$A23)^5),"")</f>
        <v/>
      </c>
      <c r="H23" s="299" t="str">
        <f>IFERROR(('P&amp;L'!H50*(1+$A23)^5-'P&amp;L'!H95*(1+H16)^5)/('P&amp;L'!H50*(1+$A23)^5),"")</f>
        <v/>
      </c>
    </row>
    <row r="25" spans="1:17" ht="24" customHeight="1" x14ac:dyDescent="0.25">
      <c r="A25" s="844" t="s">
        <v>1222</v>
      </c>
      <c r="B25" s="817"/>
      <c r="C25" s="817"/>
      <c r="D25" s="817"/>
      <c r="E25" s="817"/>
      <c r="F25" s="817"/>
      <c r="G25" s="817"/>
      <c r="H25" s="817"/>
      <c r="I25" s="817"/>
      <c r="J25" s="817"/>
    </row>
    <row r="26" spans="1:17" x14ac:dyDescent="0.25">
      <c r="A26" s="293" t="s">
        <v>1223</v>
      </c>
      <c r="B26" s="302">
        <f>$K$26+0*$M$26</f>
        <v>0.8</v>
      </c>
      <c r="C26" s="302">
        <f>$K$26+1*$M$26</f>
        <v>0.85000000000000009</v>
      </c>
      <c r="D26" s="302">
        <f>$K$26+2*$M$26</f>
        <v>0.9</v>
      </c>
      <c r="E26" s="302">
        <f>$K$26+3*$M$26</f>
        <v>0.95000000000000007</v>
      </c>
      <c r="F26" s="302">
        <f>$K$26+4*$M$26</f>
        <v>1</v>
      </c>
      <c r="G26" s="302">
        <f>$K$26+5*$M$26</f>
        <v>1.05</v>
      </c>
      <c r="H26" s="302">
        <f>$K$26+6*$M$26</f>
        <v>1.1000000000000001</v>
      </c>
      <c r="I26" s="302">
        <f>$K$26+7*$M$26</f>
        <v>1.1500000000000001</v>
      </c>
      <c r="J26" s="295" t="s">
        <v>1224</v>
      </c>
      <c r="K26" s="303">
        <v>0.8</v>
      </c>
      <c r="L26" s="295" t="s">
        <v>1215</v>
      </c>
      <c r="M26" s="303">
        <v>0.05</v>
      </c>
      <c r="N26" s="295" t="s">
        <v>1225</v>
      </c>
      <c r="O26" s="303">
        <v>0.75</v>
      </c>
      <c r="P26" s="295" t="s">
        <v>1215</v>
      </c>
      <c r="Q26" s="303">
        <v>0.05</v>
      </c>
    </row>
    <row r="27" spans="1:17" x14ac:dyDescent="0.25">
      <c r="A27" s="302">
        <f>$O$26+0*$Q$26</f>
        <v>0.75</v>
      </c>
      <c r="B27" s="298" t="str">
        <f>IFERROR('P&amp;L'!D97*B26/(Scenarios!F7*$A27),"")</f>
        <v/>
      </c>
      <c r="C27" s="298" t="str">
        <f>IFERROR('P&amp;L'!D97*C26/(Scenarios!F7*$A27),"")</f>
        <v/>
      </c>
      <c r="D27" s="298" t="str">
        <f>IFERROR('P&amp;L'!D97*D26/(Scenarios!F7*$A27),"")</f>
        <v/>
      </c>
      <c r="E27" s="298" t="str">
        <f>IFERROR('P&amp;L'!D97*E26/(Scenarios!F7*$A27),"")</f>
        <v/>
      </c>
      <c r="F27" s="298" t="str">
        <f>IFERROR('P&amp;L'!D97*F26/(Scenarios!F7*$A27),"")</f>
        <v/>
      </c>
      <c r="G27" s="298" t="str">
        <f>IFERROR('P&amp;L'!D97*G26/(Scenarios!F7*$A27),"")</f>
        <v/>
      </c>
      <c r="H27" s="298" t="str">
        <f>IFERROR('P&amp;L'!D97*H26/(Scenarios!F7*$A27),"")</f>
        <v/>
      </c>
      <c r="I27" s="298" t="str">
        <f>IFERROR('P&amp;L'!D97*I26/(Scenarios!F7*$A27),"")</f>
        <v/>
      </c>
    </row>
    <row r="28" spans="1:17" x14ac:dyDescent="0.25">
      <c r="A28" s="302">
        <f>$O$26+1*$Q$26</f>
        <v>0.8</v>
      </c>
      <c r="B28" s="298" t="str">
        <f>IFERROR('P&amp;L'!D97*B26/(Scenarios!F7*$A28),"")</f>
        <v/>
      </c>
      <c r="C28" s="298" t="str">
        <f>IFERROR('P&amp;L'!D97*C26/(Scenarios!F7*$A28),"")</f>
        <v/>
      </c>
      <c r="D28" s="298" t="str">
        <f>IFERROR('P&amp;L'!D97*D26/(Scenarios!F7*$A28),"")</f>
        <v/>
      </c>
      <c r="E28" s="298" t="str">
        <f>IFERROR('P&amp;L'!D97*E26/(Scenarios!F7*$A28),"")</f>
        <v/>
      </c>
      <c r="F28" s="298" t="str">
        <f>IFERROR('P&amp;L'!D97*F26/(Scenarios!F7*$A28),"")</f>
        <v/>
      </c>
      <c r="G28" s="298" t="str">
        <f>IFERROR('P&amp;L'!D97*G26/(Scenarios!F7*$A28),"")</f>
        <v/>
      </c>
      <c r="H28" s="298" t="str">
        <f>IFERROR('P&amp;L'!D97*H26/(Scenarios!F7*$A28),"")</f>
        <v/>
      </c>
      <c r="I28" s="298" t="str">
        <f>IFERROR('P&amp;L'!D97*I26/(Scenarios!F7*$A28),"")</f>
        <v/>
      </c>
    </row>
    <row r="29" spans="1:17" x14ac:dyDescent="0.25">
      <c r="A29" s="302">
        <f>$O$26+2*$Q$26</f>
        <v>0.85</v>
      </c>
      <c r="B29" s="298" t="str">
        <f>IFERROR('P&amp;L'!D97*B26/(Scenarios!F7*$A29),"")</f>
        <v/>
      </c>
      <c r="C29" s="299" t="str">
        <f>IFERROR('P&amp;L'!D97*C26/(Scenarios!F7*$A29),"")</f>
        <v/>
      </c>
      <c r="D29" s="299" t="str">
        <f>IFERROR('P&amp;L'!D97*D26/(Scenarios!F7*$A29),"")</f>
        <v/>
      </c>
      <c r="E29" s="299" t="str">
        <f>IFERROR('P&amp;L'!D97*E26/(Scenarios!F7*$A29),"")</f>
        <v/>
      </c>
      <c r="F29" s="299" t="str">
        <f>IFERROR('P&amp;L'!D97*F26/(Scenarios!F7*$A29),"")</f>
        <v/>
      </c>
      <c r="G29" s="299" t="str">
        <f>IFERROR('P&amp;L'!D97*G26/(Scenarios!F7*$A29),"")</f>
        <v/>
      </c>
      <c r="H29" s="299" t="str">
        <f>IFERROR('P&amp;L'!D97*H26/(Scenarios!F7*$A29),"")</f>
        <v/>
      </c>
      <c r="I29" s="299" t="str">
        <f>IFERROR('P&amp;L'!D97*I26/(Scenarios!F7*$A29),"")</f>
        <v/>
      </c>
    </row>
    <row r="30" spans="1:17" x14ac:dyDescent="0.25">
      <c r="A30" s="302">
        <f>$O$26+3*$Q$26</f>
        <v>0.9</v>
      </c>
      <c r="B30" s="298" t="str">
        <f>IFERROR('P&amp;L'!D97*B26/(Scenarios!F7*$A30),"")</f>
        <v/>
      </c>
      <c r="C30" s="299" t="str">
        <f>IFERROR('P&amp;L'!D97*C26/(Scenarios!F7*$A30),"")</f>
        <v/>
      </c>
      <c r="D30" s="299" t="str">
        <f>IFERROR('P&amp;L'!D97*D26/(Scenarios!F7*$A30),"")</f>
        <v/>
      </c>
      <c r="E30" s="299" t="str">
        <f>IFERROR('P&amp;L'!D97*E26/(Scenarios!F7*$A30),"")</f>
        <v/>
      </c>
      <c r="F30" s="299" t="str">
        <f>IFERROR('P&amp;L'!D97*F26/(Scenarios!F7*$A30),"")</f>
        <v/>
      </c>
      <c r="G30" s="299" t="str">
        <f>IFERROR('P&amp;L'!D97*G26/(Scenarios!F7*$A30),"")</f>
        <v/>
      </c>
      <c r="H30" s="299" t="str">
        <f>IFERROR('P&amp;L'!D97*H26/(Scenarios!F7*$A30),"")</f>
        <v/>
      </c>
      <c r="I30" s="299" t="str">
        <f>IFERROR('P&amp;L'!D97*I26/(Scenarios!F7*$A30),"")</f>
        <v/>
      </c>
    </row>
    <row r="31" spans="1:17" x14ac:dyDescent="0.25">
      <c r="A31" s="302">
        <f>$O$26+4*$Q$26</f>
        <v>0.95</v>
      </c>
      <c r="B31" s="298" t="str">
        <f>IFERROR('P&amp;L'!D97*B26/(Scenarios!F7*$A31),"")</f>
        <v/>
      </c>
      <c r="C31" s="299" t="str">
        <f>IFERROR('P&amp;L'!D97*C26/(Scenarios!F7*$A31),"")</f>
        <v/>
      </c>
      <c r="D31" s="299" t="str">
        <f>IFERROR('P&amp;L'!D97*D26/(Scenarios!F7*$A31),"")</f>
        <v/>
      </c>
      <c r="E31" s="299" t="str">
        <f>IFERROR('P&amp;L'!D97*E26/(Scenarios!F7*$A31),"")</f>
        <v/>
      </c>
      <c r="F31" s="300" t="str">
        <f>IFERROR('P&amp;L'!D97*F26/(Scenarios!F7*$A31),"")</f>
        <v/>
      </c>
      <c r="G31" s="300" t="str">
        <f>IFERROR('P&amp;L'!D97*G26/(Scenarios!F7*$A31),"")</f>
        <v/>
      </c>
      <c r="H31" s="300" t="str">
        <f>IFERROR('P&amp;L'!D97*H26/(Scenarios!F7*$A31),"")</f>
        <v/>
      </c>
      <c r="I31" s="300" t="str">
        <f>IFERROR('P&amp;L'!D97*I26/(Scenarios!F7*$A31),"")</f>
        <v/>
      </c>
    </row>
    <row r="32" spans="1:17" x14ac:dyDescent="0.25">
      <c r="A32" s="302">
        <f>$O$26+5*$Q$26</f>
        <v>1</v>
      </c>
      <c r="B32" s="298" t="str">
        <f>IFERROR('P&amp;L'!D97*B26/(Scenarios!F7*$A32),"")</f>
        <v/>
      </c>
      <c r="C32" s="299" t="str">
        <f>IFERROR('P&amp;L'!D97*C26/(Scenarios!F7*$A32),"")</f>
        <v/>
      </c>
      <c r="D32" s="299" t="str">
        <f>IFERROR('P&amp;L'!D97*D26/(Scenarios!F7*$A32),"")</f>
        <v/>
      </c>
      <c r="E32" s="299" t="str">
        <f>IFERROR('P&amp;L'!D97*E26/(Scenarios!F7*$A32),"")</f>
        <v/>
      </c>
      <c r="F32" s="300" t="str">
        <f>IFERROR('P&amp;L'!D97*F26/(Scenarios!F7*$A32),"")</f>
        <v/>
      </c>
      <c r="G32" s="300" t="str">
        <f>IFERROR('P&amp;L'!D97*G26/(Scenarios!F7*$A32),"")</f>
        <v/>
      </c>
      <c r="H32" s="300" t="str">
        <f>IFERROR('P&amp;L'!D97*H26/(Scenarios!F7*$A32),"")</f>
        <v/>
      </c>
      <c r="I32" s="300" t="str">
        <f>IFERROR('P&amp;L'!D97*I26/(Scenarios!F7*$A32),"")</f>
        <v/>
      </c>
    </row>
    <row r="33" spans="1:9" x14ac:dyDescent="0.25">
      <c r="A33" s="302">
        <f>$O$26+6*$Q$26</f>
        <v>1.05</v>
      </c>
      <c r="B33" s="298" t="str">
        <f>IFERROR('P&amp;L'!D97*B26/(Scenarios!F7*$A33),"")</f>
        <v/>
      </c>
      <c r="C33" s="299" t="str">
        <f>IFERROR('P&amp;L'!D97*C26/(Scenarios!F7*$A33),"")</f>
        <v/>
      </c>
      <c r="D33" s="299" t="str">
        <f>IFERROR('P&amp;L'!D97*D26/(Scenarios!F7*$A33),"")</f>
        <v/>
      </c>
      <c r="E33" s="299" t="str">
        <f>IFERROR('P&amp;L'!D97*E26/(Scenarios!F7*$A33),"")</f>
        <v/>
      </c>
      <c r="F33" s="300" t="str">
        <f>IFERROR('P&amp;L'!D97*F26/(Scenarios!F7*$A33),"")</f>
        <v/>
      </c>
      <c r="G33" s="300" t="str">
        <f>IFERROR('P&amp;L'!D97*G26/(Scenarios!F7*$A33),"")</f>
        <v/>
      </c>
      <c r="H33" s="300" t="str">
        <f>IFERROR('P&amp;L'!D97*H26/(Scenarios!F7*$A33),"")</f>
        <v/>
      </c>
      <c r="I33" s="300" t="str">
        <f>IFERROR('P&amp;L'!D97*I26/(Scenarios!F7*$A33),"")</f>
        <v/>
      </c>
    </row>
    <row r="34" spans="1:9" x14ac:dyDescent="0.25">
      <c r="A34" s="302">
        <f>$O$26+7*$Q$26</f>
        <v>1.1000000000000001</v>
      </c>
      <c r="B34" s="298" t="str">
        <f>IFERROR('P&amp;L'!D97*B26/(Scenarios!F7*$A34),"")</f>
        <v/>
      </c>
      <c r="C34" s="299" t="str">
        <f>IFERROR('P&amp;L'!D97*C26/(Scenarios!F7*$A34),"")</f>
        <v/>
      </c>
      <c r="D34" s="299" t="str">
        <f>IFERROR('P&amp;L'!D97*D26/(Scenarios!F7*$A34),"")</f>
        <v/>
      </c>
      <c r="E34" s="299" t="str">
        <f>IFERROR('P&amp;L'!D97*E26/(Scenarios!F7*$A34),"")</f>
        <v/>
      </c>
      <c r="F34" s="300" t="str">
        <f>IFERROR('P&amp;L'!D97*F26/(Scenarios!F7*$A34),"")</f>
        <v/>
      </c>
      <c r="G34" s="300" t="str">
        <f>IFERROR('P&amp;L'!D97*G26/(Scenarios!F7*$A34),"")</f>
        <v/>
      </c>
      <c r="H34" s="300" t="str">
        <f>IFERROR('P&amp;L'!D97*H26/(Scenarios!F7*$A34),"")</f>
        <v/>
      </c>
      <c r="I34" s="300" t="str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8"/>
  <sheetViews>
    <sheetView topLeftCell="A30" zoomScaleNormal="100" workbookViewId="0">
      <selection activeCell="E17" sqref="E17"/>
    </sheetView>
  </sheetViews>
  <sheetFormatPr defaultColWidth="8.7109375" defaultRowHeight="15" x14ac:dyDescent="0.25"/>
  <cols>
    <col min="1" max="1" width="7" customWidth="1"/>
    <col min="2" max="2" width="10" customWidth="1"/>
    <col min="3" max="3" width="14" customWidth="1"/>
    <col min="4" max="8" width="16" customWidth="1"/>
    <col min="9" max="9" width="22" customWidth="1"/>
  </cols>
  <sheetData>
    <row r="1" spans="1:9" ht="27.75" customHeight="1" x14ac:dyDescent="0.25">
      <c r="A1" s="899" t="s">
        <v>1278</v>
      </c>
      <c r="B1" s="895"/>
      <c r="C1" s="895"/>
      <c r="D1" s="895"/>
      <c r="E1" s="895"/>
      <c r="F1" s="895"/>
      <c r="G1" s="895"/>
      <c r="H1" s="895"/>
      <c r="I1" s="896"/>
    </row>
    <row r="2" spans="1:9" ht="6" customHeight="1" x14ac:dyDescent="0.25"/>
    <row r="3" spans="1:9" ht="19.5" customHeight="1" x14ac:dyDescent="0.25">
      <c r="A3" s="894" t="s">
        <v>1279</v>
      </c>
      <c r="B3" s="895"/>
      <c r="C3" s="895"/>
      <c r="D3" s="895"/>
      <c r="E3" s="895"/>
      <c r="F3" s="895"/>
      <c r="G3" s="895"/>
      <c r="H3" s="895"/>
      <c r="I3" s="896"/>
    </row>
    <row r="4" spans="1:9" ht="16.5" customHeight="1" x14ac:dyDescent="0.25">
      <c r="A4" s="234" t="s">
        <v>1280</v>
      </c>
      <c r="B4" s="346">
        <v>46117</v>
      </c>
      <c r="C4" s="897" t="s">
        <v>1281</v>
      </c>
      <c r="D4" s="895"/>
      <c r="E4" s="896"/>
      <c r="F4" s="234" t="s">
        <v>1229</v>
      </c>
      <c r="G4" s="306" t="str">
        <f>'LP Return Illustration'!$B$3</f>
        <v>Class A</v>
      </c>
      <c r="H4" s="897" t="s">
        <v>1282</v>
      </c>
      <c r="I4" s="896"/>
    </row>
    <row r="5" spans="1:9" ht="16.5" customHeight="1" x14ac:dyDescent="0.25">
      <c r="A5" s="234" t="s">
        <v>1227</v>
      </c>
      <c r="B5" s="304">
        <f>'LP Return Illustration'!$B$2</f>
        <v>0</v>
      </c>
      <c r="C5" s="897" t="s">
        <v>1282</v>
      </c>
      <c r="D5" s="895"/>
      <c r="E5" s="896"/>
      <c r="F5" s="234" t="s">
        <v>1283</v>
      </c>
      <c r="G5" s="347">
        <f>Waterfall!$B$5</f>
        <v>0</v>
      </c>
      <c r="H5" s="234" t="s">
        <v>1284</v>
      </c>
      <c r="I5" s="308" t="str">
        <f>'LP Return Illustration'!$G$3</f>
        <v>Pref Rate</v>
      </c>
    </row>
    <row r="6" spans="1:9" ht="6" customHeight="1" x14ac:dyDescent="0.25"/>
    <row r="7" spans="1:9" ht="15.75" customHeight="1" x14ac:dyDescent="0.25">
      <c r="A7" s="348" t="s">
        <v>1285</v>
      </c>
      <c r="B7" s="349" t="s">
        <v>1286</v>
      </c>
      <c r="C7" s="901" t="s">
        <v>1287</v>
      </c>
      <c r="D7" s="895"/>
      <c r="E7" s="896"/>
      <c r="F7" s="897" t="s">
        <v>1288</v>
      </c>
      <c r="G7" s="895"/>
      <c r="H7" s="895"/>
      <c r="I7" s="896"/>
    </row>
    <row r="8" spans="1:9" ht="30" customHeight="1" x14ac:dyDescent="0.25">
      <c r="A8" s="350" t="s">
        <v>1289</v>
      </c>
      <c r="B8" s="350" t="s">
        <v>1290</v>
      </c>
      <c r="C8" s="350" t="s">
        <v>1291</v>
      </c>
      <c r="D8" s="350" t="s">
        <v>1292</v>
      </c>
      <c r="E8" s="350" t="s">
        <v>1293</v>
      </c>
      <c r="F8" s="350" t="s">
        <v>1294</v>
      </c>
      <c r="G8" s="350" t="s">
        <v>1295</v>
      </c>
      <c r="H8" s="350" t="s">
        <v>1296</v>
      </c>
      <c r="I8" s="350" t="s">
        <v>44</v>
      </c>
    </row>
    <row r="9" spans="1:9" ht="16.5" customHeight="1" x14ac:dyDescent="0.25">
      <c r="A9" s="351" t="s">
        <v>1297</v>
      </c>
      <c r="B9" s="351" t="s">
        <v>1298</v>
      </c>
      <c r="C9" s="352">
        <f>$B$4</f>
        <v>46117</v>
      </c>
      <c r="D9" s="234"/>
      <c r="E9" s="234"/>
      <c r="F9" s="234"/>
      <c r="G9" s="353">
        <f>-'LP Return Illustration'!$B$2</f>
        <v>0</v>
      </c>
      <c r="H9" s="265">
        <f>G9</f>
        <v>0</v>
      </c>
      <c r="I9" s="305" t="s">
        <v>1299</v>
      </c>
    </row>
    <row r="10" spans="1:9" ht="16.5" customHeight="1" x14ac:dyDescent="0.25">
      <c r="A10" s="354">
        <v>1</v>
      </c>
      <c r="B10" s="355" t="s">
        <v>1300</v>
      </c>
      <c r="C10" s="356">
        <f>EDATE($B$4,3)</f>
        <v>46208</v>
      </c>
      <c r="D10" s="357">
        <f>'LP Return Illustration'!B14</f>
        <v>0</v>
      </c>
      <c r="E10" s="358">
        <f>IFERROR($D$10/4,0)</f>
        <v>0</v>
      </c>
      <c r="F10" s="250">
        <v>0</v>
      </c>
      <c r="G10" s="313">
        <f t="shared" ref="G10:G49" si="0">E10+F10</f>
        <v>0</v>
      </c>
      <c r="H10" s="313">
        <f t="shared" ref="H10:H49" si="1">H9+G10</f>
        <v>0</v>
      </c>
      <c r="I10" s="359" t="s">
        <v>1301</v>
      </c>
    </row>
    <row r="11" spans="1:9" ht="16.5" customHeight="1" x14ac:dyDescent="0.25">
      <c r="A11" s="360"/>
      <c r="B11" s="355" t="s">
        <v>1302</v>
      </c>
      <c r="C11" s="356">
        <f>EDATE($B$4,6)</f>
        <v>46300</v>
      </c>
      <c r="D11" s="361"/>
      <c r="E11" s="358">
        <f>IFERROR($D$10/4,0)</f>
        <v>0</v>
      </c>
      <c r="F11" s="250">
        <v>0</v>
      </c>
      <c r="G11" s="313">
        <f t="shared" si="0"/>
        <v>0</v>
      </c>
      <c r="H11" s="313">
        <f t="shared" si="1"/>
        <v>0</v>
      </c>
      <c r="I11" s="359"/>
    </row>
    <row r="12" spans="1:9" ht="16.5" customHeight="1" x14ac:dyDescent="0.25">
      <c r="A12" s="360"/>
      <c r="B12" s="355" t="s">
        <v>1303</v>
      </c>
      <c r="C12" s="356">
        <f>EDATE($B$4,9)</f>
        <v>46392</v>
      </c>
      <c r="D12" s="361"/>
      <c r="E12" s="358">
        <f>IFERROR($D$10/4,0)</f>
        <v>0</v>
      </c>
      <c r="F12" s="250">
        <v>0</v>
      </c>
      <c r="G12" s="313">
        <f t="shared" si="0"/>
        <v>0</v>
      </c>
      <c r="H12" s="313">
        <f t="shared" si="1"/>
        <v>0</v>
      </c>
      <c r="I12" s="359"/>
    </row>
    <row r="13" spans="1:9" ht="16.5" customHeight="1" x14ac:dyDescent="0.25">
      <c r="A13" s="360"/>
      <c r="B13" s="355" t="s">
        <v>1304</v>
      </c>
      <c r="C13" s="356">
        <f>EDATE($B$4,12)</f>
        <v>46482</v>
      </c>
      <c r="D13" s="361"/>
      <c r="E13" s="358">
        <f>IFERROR($D$10/4,0)</f>
        <v>0</v>
      </c>
      <c r="F13" s="357">
        <f>IFERROR('LP Return Illustration'!B18+'LP Return Illustration'!B19,0)</f>
        <v>0</v>
      </c>
      <c r="G13" s="313">
        <f t="shared" si="0"/>
        <v>0</v>
      </c>
      <c r="H13" s="313">
        <f t="shared" si="1"/>
        <v>0</v>
      </c>
      <c r="I13" s="359"/>
    </row>
    <row r="14" spans="1:9" ht="16.5" customHeight="1" x14ac:dyDescent="0.25">
      <c r="A14" s="362">
        <v>2</v>
      </c>
      <c r="B14" s="363" t="s">
        <v>1300</v>
      </c>
      <c r="C14" s="364">
        <f>EDATE($B$4,15)</f>
        <v>46573</v>
      </c>
      <c r="D14" s="357">
        <f>'LP Return Illustration'!C14</f>
        <v>0</v>
      </c>
      <c r="E14" s="358">
        <f>IFERROR($D$14/4,0)</f>
        <v>0</v>
      </c>
      <c r="F14" s="252">
        <v>0</v>
      </c>
      <c r="G14" s="265">
        <f t="shared" si="0"/>
        <v>0</v>
      </c>
      <c r="H14" s="265">
        <f t="shared" si="1"/>
        <v>0</v>
      </c>
      <c r="I14" s="305"/>
    </row>
    <row r="15" spans="1:9" ht="16.5" customHeight="1" x14ac:dyDescent="0.25">
      <c r="A15" s="365"/>
      <c r="B15" s="363" t="s">
        <v>1302</v>
      </c>
      <c r="C15" s="364">
        <f>EDATE($B$4,18)</f>
        <v>46665</v>
      </c>
      <c r="D15" s="361"/>
      <c r="E15" s="358">
        <f>IFERROR($D$14/4,0)</f>
        <v>0</v>
      </c>
      <c r="F15" s="252">
        <v>0</v>
      </c>
      <c r="G15" s="265">
        <f t="shared" si="0"/>
        <v>0</v>
      </c>
      <c r="H15" s="265">
        <f t="shared" si="1"/>
        <v>0</v>
      </c>
      <c r="I15" s="305"/>
    </row>
    <row r="16" spans="1:9" ht="16.5" customHeight="1" x14ac:dyDescent="0.25">
      <c r="A16" s="365"/>
      <c r="B16" s="363" t="s">
        <v>1303</v>
      </c>
      <c r="C16" s="364">
        <f>EDATE($B$4,21)</f>
        <v>46757</v>
      </c>
      <c r="D16" s="361"/>
      <c r="E16" s="358">
        <f>IFERROR($D$14/4,0)</f>
        <v>0</v>
      </c>
      <c r="F16" s="252">
        <v>0</v>
      </c>
      <c r="G16" s="265">
        <f t="shared" si="0"/>
        <v>0</v>
      </c>
      <c r="H16" s="265">
        <f t="shared" si="1"/>
        <v>0</v>
      </c>
      <c r="I16" s="305"/>
    </row>
    <row r="17" spans="1:9" ht="16.5" customHeight="1" x14ac:dyDescent="0.25">
      <c r="A17" s="365"/>
      <c r="B17" s="363" t="s">
        <v>1304</v>
      </c>
      <c r="C17" s="364">
        <f>EDATE($B$4,24)</f>
        <v>46848</v>
      </c>
      <c r="D17" s="361"/>
      <c r="E17" s="358">
        <f>IFERROR($D$14/4,0)</f>
        <v>0</v>
      </c>
      <c r="F17" s="357">
        <f>IFERROR('LP Return Illustration'!C18+'LP Return Illustration'!C19,0)</f>
        <v>0</v>
      </c>
      <c r="G17" s="265">
        <f t="shared" si="0"/>
        <v>0</v>
      </c>
      <c r="H17" s="265">
        <f t="shared" si="1"/>
        <v>0</v>
      </c>
      <c r="I17" s="305"/>
    </row>
    <row r="18" spans="1:9" ht="16.5" customHeight="1" x14ac:dyDescent="0.25">
      <c r="A18" s="354">
        <v>3</v>
      </c>
      <c r="B18" s="355" t="s">
        <v>1300</v>
      </c>
      <c r="C18" s="356">
        <f>EDATE($B$4,27)</f>
        <v>46939</v>
      </c>
      <c r="D18" s="357">
        <f>'LP Return Illustration'!D14</f>
        <v>0</v>
      </c>
      <c r="E18" s="358">
        <f>IFERROR($D$18/4,0)</f>
        <v>0</v>
      </c>
      <c r="F18" s="250">
        <v>0</v>
      </c>
      <c r="G18" s="313">
        <f t="shared" si="0"/>
        <v>0</v>
      </c>
      <c r="H18" s="313">
        <f t="shared" si="1"/>
        <v>0</v>
      </c>
      <c r="I18" s="359"/>
    </row>
    <row r="19" spans="1:9" ht="16.5" customHeight="1" x14ac:dyDescent="0.25">
      <c r="A19" s="360"/>
      <c r="B19" s="355" t="s">
        <v>1302</v>
      </c>
      <c r="C19" s="356">
        <f>EDATE($B$4,30)</f>
        <v>47031</v>
      </c>
      <c r="D19" s="361"/>
      <c r="E19" s="358">
        <f>IFERROR($D$18/4,0)</f>
        <v>0</v>
      </c>
      <c r="F19" s="250">
        <v>0</v>
      </c>
      <c r="G19" s="313">
        <f t="shared" si="0"/>
        <v>0</v>
      </c>
      <c r="H19" s="313">
        <f t="shared" si="1"/>
        <v>0</v>
      </c>
      <c r="I19" s="359"/>
    </row>
    <row r="20" spans="1:9" ht="16.5" customHeight="1" x14ac:dyDescent="0.25">
      <c r="A20" s="360"/>
      <c r="B20" s="355" t="s">
        <v>1303</v>
      </c>
      <c r="C20" s="356">
        <f>EDATE($B$4,33)</f>
        <v>47123</v>
      </c>
      <c r="D20" s="361"/>
      <c r="E20" s="358">
        <f>IFERROR($D$18/4,0)</f>
        <v>0</v>
      </c>
      <c r="F20" s="250">
        <v>0</v>
      </c>
      <c r="G20" s="313">
        <f t="shared" si="0"/>
        <v>0</v>
      </c>
      <c r="H20" s="313">
        <f t="shared" si="1"/>
        <v>0</v>
      </c>
      <c r="I20" s="359"/>
    </row>
    <row r="21" spans="1:9" ht="16.5" customHeight="1" x14ac:dyDescent="0.25">
      <c r="A21" s="360"/>
      <c r="B21" s="355" t="s">
        <v>1304</v>
      </c>
      <c r="C21" s="356">
        <f>EDATE($B$4,36)</f>
        <v>47213</v>
      </c>
      <c r="D21" s="361"/>
      <c r="E21" s="358">
        <f>IFERROR($D$18/4,0)</f>
        <v>0</v>
      </c>
      <c r="F21" s="357">
        <f>IFERROR('LP Return Illustration'!D18+'LP Return Illustration'!D19,0)</f>
        <v>0</v>
      </c>
      <c r="G21" s="313">
        <f t="shared" si="0"/>
        <v>0</v>
      </c>
      <c r="H21" s="313">
        <f t="shared" si="1"/>
        <v>0</v>
      </c>
      <c r="I21" s="359"/>
    </row>
    <row r="22" spans="1:9" ht="16.5" customHeight="1" x14ac:dyDescent="0.25">
      <c r="A22" s="362">
        <v>4</v>
      </c>
      <c r="B22" s="363" t="s">
        <v>1300</v>
      </c>
      <c r="C22" s="364">
        <f>EDATE($B$4,39)</f>
        <v>47304</v>
      </c>
      <c r="D22" s="357">
        <f>'LP Return Illustration'!E14</f>
        <v>0</v>
      </c>
      <c r="E22" s="358">
        <f>IFERROR($D$22/4,0)</f>
        <v>0</v>
      </c>
      <c r="F22" s="252">
        <v>0</v>
      </c>
      <c r="G22" s="265">
        <f t="shared" si="0"/>
        <v>0</v>
      </c>
      <c r="H22" s="265">
        <f t="shared" si="1"/>
        <v>0</v>
      </c>
      <c r="I22" s="305"/>
    </row>
    <row r="23" spans="1:9" ht="16.5" customHeight="1" x14ac:dyDescent="0.25">
      <c r="A23" s="365"/>
      <c r="B23" s="363" t="s">
        <v>1302</v>
      </c>
      <c r="C23" s="364">
        <f>EDATE($B$4,42)</f>
        <v>47396</v>
      </c>
      <c r="D23" s="361"/>
      <c r="E23" s="358">
        <f>IFERROR($D$22/4,0)</f>
        <v>0</v>
      </c>
      <c r="F23" s="252">
        <v>0</v>
      </c>
      <c r="G23" s="265">
        <f t="shared" si="0"/>
        <v>0</v>
      </c>
      <c r="H23" s="265">
        <f t="shared" si="1"/>
        <v>0</v>
      </c>
      <c r="I23" s="305"/>
    </row>
    <row r="24" spans="1:9" ht="16.5" customHeight="1" x14ac:dyDescent="0.25">
      <c r="A24" s="365"/>
      <c r="B24" s="363" t="s">
        <v>1303</v>
      </c>
      <c r="C24" s="364">
        <f>EDATE($B$4,45)</f>
        <v>47488</v>
      </c>
      <c r="D24" s="361"/>
      <c r="E24" s="358">
        <f>IFERROR($D$22/4,0)</f>
        <v>0</v>
      </c>
      <c r="F24" s="252">
        <v>0</v>
      </c>
      <c r="G24" s="265">
        <f t="shared" si="0"/>
        <v>0</v>
      </c>
      <c r="H24" s="265">
        <f t="shared" si="1"/>
        <v>0</v>
      </c>
      <c r="I24" s="305"/>
    </row>
    <row r="25" spans="1:9" ht="16.5" customHeight="1" x14ac:dyDescent="0.25">
      <c r="A25" s="365"/>
      <c r="B25" s="363" t="s">
        <v>1304</v>
      </c>
      <c r="C25" s="364">
        <f>EDATE($B$4,48)</f>
        <v>47578</v>
      </c>
      <c r="D25" s="361"/>
      <c r="E25" s="358">
        <f>IFERROR($D$22/4,0)</f>
        <v>0</v>
      </c>
      <c r="F25" s="357">
        <f>IFERROR('LP Return Illustration'!E18+'LP Return Illustration'!E19,0)</f>
        <v>0</v>
      </c>
      <c r="G25" s="265">
        <f t="shared" si="0"/>
        <v>0</v>
      </c>
      <c r="H25" s="265">
        <f t="shared" si="1"/>
        <v>0</v>
      </c>
      <c r="I25" s="305"/>
    </row>
    <row r="26" spans="1:9" ht="16.5" customHeight="1" x14ac:dyDescent="0.25">
      <c r="A26" s="354">
        <v>5</v>
      </c>
      <c r="B26" s="355" t="s">
        <v>1300</v>
      </c>
      <c r="C26" s="356">
        <f>EDATE($B$4,51)</f>
        <v>47669</v>
      </c>
      <c r="D26" s="357">
        <f>'LP Return Illustration'!F14</f>
        <v>0</v>
      </c>
      <c r="E26" s="358">
        <f>IFERROR($D$26/4,0)</f>
        <v>0</v>
      </c>
      <c r="F26" s="250">
        <v>0</v>
      </c>
      <c r="G26" s="313">
        <f t="shared" si="0"/>
        <v>0</v>
      </c>
      <c r="H26" s="313">
        <f t="shared" si="1"/>
        <v>0</v>
      </c>
      <c r="I26" s="359"/>
    </row>
    <row r="27" spans="1:9" ht="16.5" customHeight="1" x14ac:dyDescent="0.25">
      <c r="A27" s="360"/>
      <c r="B27" s="355" t="s">
        <v>1302</v>
      </c>
      <c r="C27" s="356">
        <f>EDATE($B$4,54)</f>
        <v>47761</v>
      </c>
      <c r="D27" s="361"/>
      <c r="E27" s="358">
        <f>IFERROR($D$26/4,0)</f>
        <v>0</v>
      </c>
      <c r="F27" s="250">
        <v>0</v>
      </c>
      <c r="G27" s="313">
        <f t="shared" si="0"/>
        <v>0</v>
      </c>
      <c r="H27" s="313">
        <f t="shared" si="1"/>
        <v>0</v>
      </c>
      <c r="I27" s="359"/>
    </row>
    <row r="28" spans="1:9" ht="16.5" customHeight="1" x14ac:dyDescent="0.25">
      <c r="A28" s="360"/>
      <c r="B28" s="355" t="s">
        <v>1303</v>
      </c>
      <c r="C28" s="356">
        <f>EDATE($B$4,57)</f>
        <v>47853</v>
      </c>
      <c r="D28" s="361"/>
      <c r="E28" s="358">
        <f>IFERROR($D$26/4,0)</f>
        <v>0</v>
      </c>
      <c r="F28" s="250">
        <v>0</v>
      </c>
      <c r="G28" s="313">
        <f t="shared" si="0"/>
        <v>0</v>
      </c>
      <c r="H28" s="313">
        <f t="shared" si="1"/>
        <v>0</v>
      </c>
      <c r="I28" s="359"/>
    </row>
    <row r="29" spans="1:9" ht="16.5" customHeight="1" x14ac:dyDescent="0.25">
      <c r="A29" s="360"/>
      <c r="B29" s="355" t="s">
        <v>1304</v>
      </c>
      <c r="C29" s="356">
        <f>EDATE($B$4,60)</f>
        <v>47943</v>
      </c>
      <c r="D29" s="361"/>
      <c r="E29" s="358">
        <f>IFERROR($D$26/4,0)</f>
        <v>0</v>
      </c>
      <c r="F29" s="357">
        <f>IFERROR('LP Return Illustration'!F18+'LP Return Illustration'!F19,0)</f>
        <v>0</v>
      </c>
      <c r="G29" s="313">
        <f t="shared" si="0"/>
        <v>0</v>
      </c>
      <c r="H29" s="313">
        <f t="shared" si="1"/>
        <v>0</v>
      </c>
      <c r="I29" s="359"/>
    </row>
    <row r="30" spans="1:9" ht="16.5" customHeight="1" x14ac:dyDescent="0.25">
      <c r="A30" s="362">
        <v>6</v>
      </c>
      <c r="B30" s="363" t="s">
        <v>1300</v>
      </c>
      <c r="C30" s="364">
        <f>EDATE($B$4,63)</f>
        <v>48034</v>
      </c>
      <c r="D30" s="357">
        <f>'LP Return Illustration'!G14</f>
        <v>0</v>
      </c>
      <c r="E30" s="358">
        <f>IFERROR($D$30/4,0)</f>
        <v>0</v>
      </c>
      <c r="F30" s="252">
        <v>0</v>
      </c>
      <c r="G30" s="265">
        <f t="shared" si="0"/>
        <v>0</v>
      </c>
      <c r="H30" s="265">
        <f t="shared" si="1"/>
        <v>0</v>
      </c>
      <c r="I30" s="305"/>
    </row>
    <row r="31" spans="1:9" ht="16.5" customHeight="1" x14ac:dyDescent="0.25">
      <c r="A31" s="365"/>
      <c r="B31" s="363" t="s">
        <v>1302</v>
      </c>
      <c r="C31" s="364">
        <f>EDATE($B$4,66)</f>
        <v>48126</v>
      </c>
      <c r="D31" s="361"/>
      <c r="E31" s="358">
        <f>IFERROR($D$30/4,0)</f>
        <v>0</v>
      </c>
      <c r="F31" s="252">
        <v>0</v>
      </c>
      <c r="G31" s="265">
        <f t="shared" si="0"/>
        <v>0</v>
      </c>
      <c r="H31" s="265">
        <f t="shared" si="1"/>
        <v>0</v>
      </c>
      <c r="I31" s="305"/>
    </row>
    <row r="32" spans="1:9" ht="16.5" customHeight="1" x14ac:dyDescent="0.25">
      <c r="A32" s="365"/>
      <c r="B32" s="363" t="s">
        <v>1303</v>
      </c>
      <c r="C32" s="364">
        <f>EDATE($B$4,69)</f>
        <v>48218</v>
      </c>
      <c r="D32" s="361"/>
      <c r="E32" s="358">
        <f>IFERROR($D$30/4,0)</f>
        <v>0</v>
      </c>
      <c r="F32" s="252">
        <v>0</v>
      </c>
      <c r="G32" s="265">
        <f t="shared" si="0"/>
        <v>0</v>
      </c>
      <c r="H32" s="265">
        <f t="shared" si="1"/>
        <v>0</v>
      </c>
      <c r="I32" s="305"/>
    </row>
    <row r="33" spans="1:9" ht="16.5" customHeight="1" x14ac:dyDescent="0.25">
      <c r="A33" s="365"/>
      <c r="B33" s="363" t="s">
        <v>1304</v>
      </c>
      <c r="C33" s="364">
        <f>EDATE($B$4,72)</f>
        <v>48309</v>
      </c>
      <c r="D33" s="361"/>
      <c r="E33" s="358">
        <f>IFERROR($D$30/4,0)</f>
        <v>0</v>
      </c>
      <c r="F33" s="357">
        <f>IFERROR('LP Return Illustration'!G18+'LP Return Illustration'!G19,0)</f>
        <v>0</v>
      </c>
      <c r="G33" s="265">
        <f t="shared" si="0"/>
        <v>0</v>
      </c>
      <c r="H33" s="265">
        <f t="shared" si="1"/>
        <v>0</v>
      </c>
      <c r="I33" s="305"/>
    </row>
    <row r="34" spans="1:9" ht="16.5" customHeight="1" x14ac:dyDescent="0.25">
      <c r="A34" s="354">
        <v>7</v>
      </c>
      <c r="B34" s="355" t="s">
        <v>1300</v>
      </c>
      <c r="C34" s="356">
        <f>EDATE($B$4,75)</f>
        <v>48400</v>
      </c>
      <c r="D34" s="357">
        <f>'LP Return Illustration'!H14</f>
        <v>0</v>
      </c>
      <c r="E34" s="358">
        <f>IFERROR($D$34/4,0)</f>
        <v>0</v>
      </c>
      <c r="F34" s="250">
        <v>0</v>
      </c>
      <c r="G34" s="313">
        <f t="shared" si="0"/>
        <v>0</v>
      </c>
      <c r="H34" s="313">
        <f t="shared" si="1"/>
        <v>0</v>
      </c>
      <c r="I34" s="359"/>
    </row>
    <row r="35" spans="1:9" ht="16.5" customHeight="1" x14ac:dyDescent="0.25">
      <c r="A35" s="360"/>
      <c r="B35" s="355" t="s">
        <v>1302</v>
      </c>
      <c r="C35" s="356">
        <f>EDATE($B$4,78)</f>
        <v>48492</v>
      </c>
      <c r="D35" s="361"/>
      <c r="E35" s="358">
        <f>IFERROR($D$34/4,0)</f>
        <v>0</v>
      </c>
      <c r="F35" s="250">
        <v>0</v>
      </c>
      <c r="G35" s="313">
        <f t="shared" si="0"/>
        <v>0</v>
      </c>
      <c r="H35" s="313">
        <f t="shared" si="1"/>
        <v>0</v>
      </c>
      <c r="I35" s="359"/>
    </row>
    <row r="36" spans="1:9" ht="16.5" customHeight="1" x14ac:dyDescent="0.25">
      <c r="A36" s="360"/>
      <c r="B36" s="355" t="s">
        <v>1303</v>
      </c>
      <c r="C36" s="356">
        <f>EDATE($B$4,81)</f>
        <v>48584</v>
      </c>
      <c r="D36" s="361"/>
      <c r="E36" s="358">
        <f>IFERROR($D$34/4,0)</f>
        <v>0</v>
      </c>
      <c r="F36" s="250">
        <v>0</v>
      </c>
      <c r="G36" s="313">
        <f t="shared" si="0"/>
        <v>0</v>
      </c>
      <c r="H36" s="313">
        <f t="shared" si="1"/>
        <v>0</v>
      </c>
      <c r="I36" s="359"/>
    </row>
    <row r="37" spans="1:9" ht="16.5" customHeight="1" x14ac:dyDescent="0.25">
      <c r="A37" s="360"/>
      <c r="B37" s="355" t="s">
        <v>1304</v>
      </c>
      <c r="C37" s="356">
        <f>EDATE($B$4,84)</f>
        <v>48674</v>
      </c>
      <c r="D37" s="361"/>
      <c r="E37" s="358">
        <f>IFERROR($D$34/4,0)</f>
        <v>0</v>
      </c>
      <c r="F37" s="357">
        <f>IFERROR('LP Return Illustration'!H18+'LP Return Illustration'!H19,0)</f>
        <v>0</v>
      </c>
      <c r="G37" s="313">
        <f t="shared" si="0"/>
        <v>0</v>
      </c>
      <c r="H37" s="313">
        <f t="shared" si="1"/>
        <v>0</v>
      </c>
      <c r="I37" s="359"/>
    </row>
    <row r="38" spans="1:9" ht="16.5" customHeight="1" x14ac:dyDescent="0.25">
      <c r="A38" s="362">
        <v>8</v>
      </c>
      <c r="B38" s="363" t="s">
        <v>1300</v>
      </c>
      <c r="C38" s="364">
        <f>EDATE($B$4,87)</f>
        <v>48765</v>
      </c>
      <c r="D38" s="357">
        <f>'LP Return Illustration'!I14</f>
        <v>0</v>
      </c>
      <c r="E38" s="358">
        <f>IFERROR($D$38/4,0)</f>
        <v>0</v>
      </c>
      <c r="F38" s="252">
        <v>0</v>
      </c>
      <c r="G38" s="265">
        <f t="shared" si="0"/>
        <v>0</v>
      </c>
      <c r="H38" s="265">
        <f t="shared" si="1"/>
        <v>0</v>
      </c>
      <c r="I38" s="305"/>
    </row>
    <row r="39" spans="1:9" ht="16.5" customHeight="1" x14ac:dyDescent="0.25">
      <c r="A39" s="365"/>
      <c r="B39" s="363" t="s">
        <v>1302</v>
      </c>
      <c r="C39" s="364">
        <f>EDATE($B$4,90)</f>
        <v>48857</v>
      </c>
      <c r="D39" s="361"/>
      <c r="E39" s="358">
        <f>IFERROR($D$38/4,0)</f>
        <v>0</v>
      </c>
      <c r="F39" s="252">
        <v>0</v>
      </c>
      <c r="G39" s="265">
        <f t="shared" si="0"/>
        <v>0</v>
      </c>
      <c r="H39" s="265">
        <f t="shared" si="1"/>
        <v>0</v>
      </c>
      <c r="I39" s="305"/>
    </row>
    <row r="40" spans="1:9" ht="16.5" customHeight="1" x14ac:dyDescent="0.25">
      <c r="A40" s="365"/>
      <c r="B40" s="363" t="s">
        <v>1303</v>
      </c>
      <c r="C40" s="364">
        <f>EDATE($B$4,93)</f>
        <v>48949</v>
      </c>
      <c r="D40" s="361"/>
      <c r="E40" s="358">
        <f>IFERROR($D$38/4,0)</f>
        <v>0</v>
      </c>
      <c r="F40" s="252">
        <v>0</v>
      </c>
      <c r="G40" s="265">
        <f t="shared" si="0"/>
        <v>0</v>
      </c>
      <c r="H40" s="265">
        <f t="shared" si="1"/>
        <v>0</v>
      </c>
      <c r="I40" s="305"/>
    </row>
    <row r="41" spans="1:9" ht="16.5" customHeight="1" x14ac:dyDescent="0.25">
      <c r="A41" s="365"/>
      <c r="B41" s="363" t="s">
        <v>1304</v>
      </c>
      <c r="C41" s="364">
        <f>EDATE($B$4,96)</f>
        <v>49039</v>
      </c>
      <c r="D41" s="361"/>
      <c r="E41" s="358">
        <f>IFERROR($D$38/4,0)</f>
        <v>0</v>
      </c>
      <c r="F41" s="357">
        <f>IFERROR('LP Return Illustration'!I18+'LP Return Illustration'!I19,0)</f>
        <v>0</v>
      </c>
      <c r="G41" s="265">
        <f t="shared" si="0"/>
        <v>0</v>
      </c>
      <c r="H41" s="265">
        <f t="shared" si="1"/>
        <v>0</v>
      </c>
      <c r="I41" s="305"/>
    </row>
    <row r="42" spans="1:9" ht="16.5" customHeight="1" x14ac:dyDescent="0.25">
      <c r="A42" s="354">
        <v>9</v>
      </c>
      <c r="B42" s="355" t="s">
        <v>1300</v>
      </c>
      <c r="C42" s="356">
        <f>EDATE($B$4,99)</f>
        <v>49130</v>
      </c>
      <c r="D42" s="357">
        <f>'LP Return Illustration'!J14</f>
        <v>0</v>
      </c>
      <c r="E42" s="358">
        <f>IFERROR($D$42/4,0)</f>
        <v>0</v>
      </c>
      <c r="F42" s="250">
        <v>0</v>
      </c>
      <c r="G42" s="313">
        <f t="shared" si="0"/>
        <v>0</v>
      </c>
      <c r="H42" s="313">
        <f t="shared" si="1"/>
        <v>0</v>
      </c>
      <c r="I42" s="359"/>
    </row>
    <row r="43" spans="1:9" ht="16.5" customHeight="1" x14ac:dyDescent="0.25">
      <c r="A43" s="360"/>
      <c r="B43" s="355" t="s">
        <v>1302</v>
      </c>
      <c r="C43" s="356">
        <f>EDATE($B$4,102)</f>
        <v>49222</v>
      </c>
      <c r="D43" s="361"/>
      <c r="E43" s="358">
        <f>IFERROR($D$42/4,0)</f>
        <v>0</v>
      </c>
      <c r="F43" s="250">
        <v>0</v>
      </c>
      <c r="G43" s="313">
        <f t="shared" si="0"/>
        <v>0</v>
      </c>
      <c r="H43" s="313">
        <f t="shared" si="1"/>
        <v>0</v>
      </c>
      <c r="I43" s="359"/>
    </row>
    <row r="44" spans="1:9" ht="16.5" customHeight="1" x14ac:dyDescent="0.25">
      <c r="A44" s="360"/>
      <c r="B44" s="355" t="s">
        <v>1303</v>
      </c>
      <c r="C44" s="356">
        <f>EDATE($B$4,105)</f>
        <v>49314</v>
      </c>
      <c r="D44" s="361"/>
      <c r="E44" s="358">
        <f>IFERROR($D$42/4,0)</f>
        <v>0</v>
      </c>
      <c r="F44" s="250">
        <v>0</v>
      </c>
      <c r="G44" s="313">
        <f t="shared" si="0"/>
        <v>0</v>
      </c>
      <c r="H44" s="313">
        <f t="shared" si="1"/>
        <v>0</v>
      </c>
      <c r="I44" s="359"/>
    </row>
    <row r="45" spans="1:9" ht="16.5" customHeight="1" x14ac:dyDescent="0.25">
      <c r="A45" s="360"/>
      <c r="B45" s="355" t="s">
        <v>1304</v>
      </c>
      <c r="C45" s="356">
        <f>EDATE($B$4,108)</f>
        <v>49404</v>
      </c>
      <c r="D45" s="361"/>
      <c r="E45" s="358">
        <f>IFERROR($D$42/4,0)</f>
        <v>0</v>
      </c>
      <c r="F45" s="357">
        <f>IFERROR('LP Return Illustration'!J18+'LP Return Illustration'!J19,0)</f>
        <v>0</v>
      </c>
      <c r="G45" s="313">
        <f t="shared" si="0"/>
        <v>0</v>
      </c>
      <c r="H45" s="313">
        <f t="shared" si="1"/>
        <v>0</v>
      </c>
      <c r="I45" s="359"/>
    </row>
    <row r="46" spans="1:9" ht="16.5" customHeight="1" x14ac:dyDescent="0.25">
      <c r="A46" s="362">
        <v>10</v>
      </c>
      <c r="B46" s="363" t="s">
        <v>1300</v>
      </c>
      <c r="C46" s="364">
        <f>EDATE($B$4,111)</f>
        <v>49495</v>
      </c>
      <c r="D46" s="357">
        <f>'LP Return Illustration'!K14</f>
        <v>0</v>
      </c>
      <c r="E46" s="358">
        <f>IFERROR($D$46/4,0)</f>
        <v>0</v>
      </c>
      <c r="F46" s="252">
        <v>0</v>
      </c>
      <c r="G46" s="265">
        <f t="shared" si="0"/>
        <v>0</v>
      </c>
      <c r="H46" s="265">
        <f t="shared" si="1"/>
        <v>0</v>
      </c>
      <c r="I46" s="305"/>
    </row>
    <row r="47" spans="1:9" ht="16.5" customHeight="1" x14ac:dyDescent="0.25">
      <c r="A47" s="365"/>
      <c r="B47" s="363" t="s">
        <v>1302</v>
      </c>
      <c r="C47" s="364">
        <f>EDATE($B$4,114)</f>
        <v>49587</v>
      </c>
      <c r="D47" s="361"/>
      <c r="E47" s="358">
        <f>IFERROR($D$46/4,0)</f>
        <v>0</v>
      </c>
      <c r="F47" s="252">
        <v>0</v>
      </c>
      <c r="G47" s="265">
        <f t="shared" si="0"/>
        <v>0</v>
      </c>
      <c r="H47" s="265">
        <f t="shared" si="1"/>
        <v>0</v>
      </c>
      <c r="I47" s="305"/>
    </row>
    <row r="48" spans="1:9" ht="16.5" customHeight="1" x14ac:dyDescent="0.25">
      <c r="A48" s="365"/>
      <c r="B48" s="363" t="s">
        <v>1303</v>
      </c>
      <c r="C48" s="364">
        <f>EDATE($B$4,117)</f>
        <v>49679</v>
      </c>
      <c r="D48" s="361"/>
      <c r="E48" s="358">
        <f>IFERROR($D$46/4,0)</f>
        <v>0</v>
      </c>
      <c r="F48" s="252">
        <v>0</v>
      </c>
      <c r="G48" s="265">
        <f t="shared" si="0"/>
        <v>0</v>
      </c>
      <c r="H48" s="265">
        <f t="shared" si="1"/>
        <v>0</v>
      </c>
      <c r="I48" s="305"/>
    </row>
    <row r="49" spans="1:9" ht="16.5" customHeight="1" x14ac:dyDescent="0.25">
      <c r="A49" s="365"/>
      <c r="B49" s="363" t="s">
        <v>1304</v>
      </c>
      <c r="C49" s="364">
        <f>EDATE($B$4,120)</f>
        <v>49770</v>
      </c>
      <c r="D49" s="361"/>
      <c r="E49" s="358">
        <f>IFERROR($D$46/4,0)</f>
        <v>0</v>
      </c>
      <c r="F49" s="357">
        <f>IFERROR('LP Return Illustration'!K18+'LP Return Illustration'!K19,0)</f>
        <v>0</v>
      </c>
      <c r="G49" s="265">
        <f t="shared" si="0"/>
        <v>0</v>
      </c>
      <c r="H49" s="265">
        <f t="shared" si="1"/>
        <v>0</v>
      </c>
      <c r="I49" s="305"/>
    </row>
    <row r="50" spans="1:9" ht="7.5" customHeight="1" x14ac:dyDescent="0.25"/>
    <row r="51" spans="1:9" ht="21.75" customHeight="1" x14ac:dyDescent="0.25">
      <c r="A51" s="903" t="s">
        <v>1305</v>
      </c>
      <c r="B51" s="896"/>
      <c r="C51" s="366"/>
      <c r="D51" s="366"/>
      <c r="E51" s="367">
        <f>SUM(E10:E49)</f>
        <v>0</v>
      </c>
      <c r="F51" s="367">
        <f>SUM(F10:F49)</f>
        <v>0</v>
      </c>
      <c r="G51" s="367">
        <f>SUM(G9:G49)</f>
        <v>0</v>
      </c>
      <c r="H51" s="367">
        <f>H49</f>
        <v>0</v>
      </c>
      <c r="I51" s="366"/>
    </row>
    <row r="52" spans="1:9" ht="7.5" customHeight="1" x14ac:dyDescent="0.25"/>
    <row r="53" spans="1:9" ht="19.5" customHeight="1" x14ac:dyDescent="0.25">
      <c r="A53" s="894" t="s">
        <v>1306</v>
      </c>
      <c r="B53" s="895"/>
      <c r="C53" s="895"/>
      <c r="D53" s="895"/>
      <c r="E53" s="895"/>
      <c r="F53" s="895"/>
      <c r="G53" s="895"/>
      <c r="H53" s="895"/>
      <c r="I53" s="896"/>
    </row>
    <row r="54" spans="1:9" ht="19.5" customHeight="1" x14ac:dyDescent="0.25">
      <c r="A54" s="900" t="s">
        <v>1307</v>
      </c>
      <c r="B54" s="895"/>
      <c r="C54" s="895"/>
      <c r="D54" s="895"/>
      <c r="E54" s="895"/>
      <c r="F54" s="895"/>
      <c r="G54" s="896"/>
      <c r="H54" s="257">
        <f>IFERROR(XIRR(G9:G49,C9:C49,0.1),0)</f>
        <v>0</v>
      </c>
      <c r="I54" s="368"/>
    </row>
    <row r="55" spans="1:9" ht="16.5" customHeight="1" x14ac:dyDescent="0.25">
      <c r="A55" s="904" t="s">
        <v>1308</v>
      </c>
      <c r="B55" s="895"/>
      <c r="C55" s="895"/>
      <c r="D55" s="895"/>
      <c r="E55" s="895"/>
      <c r="F55" s="895"/>
      <c r="G55" s="896"/>
      <c r="H55" s="369">
        <f>IFERROR('LP Return Illustration'!B28,0)</f>
        <v>0</v>
      </c>
      <c r="I55" s="232"/>
    </row>
    <row r="56" spans="1:9" ht="16.5" customHeight="1" x14ac:dyDescent="0.25">
      <c r="A56" s="902" t="s">
        <v>1309</v>
      </c>
      <c r="B56" s="895"/>
      <c r="C56" s="895"/>
      <c r="D56" s="895"/>
      <c r="E56" s="895"/>
      <c r="F56" s="895"/>
      <c r="G56" s="896"/>
      <c r="H56" s="370">
        <f>IFERROR(B54-B55,0)</f>
        <v>0</v>
      </c>
      <c r="I56" s="234"/>
    </row>
    <row r="57" spans="1:9" ht="16.5" customHeight="1" x14ac:dyDescent="0.25">
      <c r="A57" s="904" t="s">
        <v>1310</v>
      </c>
      <c r="B57" s="895"/>
      <c r="C57" s="895"/>
      <c r="D57" s="895"/>
      <c r="E57" s="895"/>
      <c r="F57" s="895"/>
      <c r="G57" s="896"/>
      <c r="H57" s="371">
        <f>IFERROR((H49+'LP Return Illustration'!$B$2)/'LP Return Illustration'!$B$2,0)</f>
        <v>0</v>
      </c>
      <c r="I57" s="232"/>
    </row>
    <row r="58" spans="1:9" ht="16.5" customHeight="1" x14ac:dyDescent="0.25">
      <c r="A58" s="902" t="s">
        <v>1311</v>
      </c>
      <c r="B58" s="895"/>
      <c r="C58" s="895"/>
      <c r="D58" s="895"/>
      <c r="E58" s="895"/>
      <c r="F58" s="895"/>
      <c r="G58" s="896"/>
      <c r="H58" s="238">
        <f>H49+ABS(G9)</f>
        <v>0</v>
      </c>
      <c r="I58" s="234"/>
    </row>
  </sheetData>
  <mergeCells count="14">
    <mergeCell ref="A58:G58"/>
    <mergeCell ref="A56:G56"/>
    <mergeCell ref="C5:E5"/>
    <mergeCell ref="F7:I7"/>
    <mergeCell ref="A51:B51"/>
    <mergeCell ref="A55:G55"/>
    <mergeCell ref="A57:G57"/>
    <mergeCell ref="A1:I1"/>
    <mergeCell ref="C4:E4"/>
    <mergeCell ref="A54:G54"/>
    <mergeCell ref="A3:I3"/>
    <mergeCell ref="H4:I4"/>
    <mergeCell ref="A53:I53"/>
    <mergeCell ref="C7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0"/>
  <sheetViews>
    <sheetView zoomScale="115" zoomScaleNormal="115" workbookViewId="0">
      <selection sqref="A1:F1"/>
    </sheetView>
  </sheetViews>
  <sheetFormatPr defaultColWidth="8.85546875" defaultRowHeight="15" x14ac:dyDescent="0.25"/>
  <cols>
    <col min="1" max="1" width="28" customWidth="1"/>
    <col min="2" max="4" width="18" customWidth="1"/>
    <col min="5" max="6" width="16" customWidth="1"/>
    <col min="9" max="9" width="28" customWidth="1"/>
    <col min="10" max="17" width="14.85546875" bestFit="1" customWidth="1"/>
    <col min="18" max="19" width="15.85546875" bestFit="1" customWidth="1"/>
  </cols>
  <sheetData>
    <row r="1" spans="1:19" ht="18" customHeight="1" x14ac:dyDescent="0.25">
      <c r="A1" s="827" t="s">
        <v>1312</v>
      </c>
      <c r="B1" s="817"/>
      <c r="C1" s="817"/>
      <c r="D1" s="817"/>
      <c r="E1" s="817"/>
      <c r="F1" s="817"/>
      <c r="I1" s="12"/>
      <c r="J1" s="372" t="str">
        <f>IF(ISNUMBER('Exit Strategy'!$C$5),IF(1='Exit Strategy'!$C$5,"REFINANCE!",IF(1=Scenarios!$F$80,"SALE!","")),IF(1=Scenarios!$F$80,"SALE!",""))</f>
        <v/>
      </c>
      <c r="K1" s="372" t="str">
        <f>IF(ISNUMBER('Exit Strategy'!$C$5),IF(2='Exit Strategy'!$C$5,"REFINANCE!",IF(2=Scenarios!$F$80,"SALE!","")),IF(2=Scenarios!$F$80,"SALE!",""))</f>
        <v/>
      </c>
      <c r="L1" s="372" t="str">
        <f>IF(ISNUMBER('Exit Strategy'!$C$5),IF(3='Exit Strategy'!$C$5,"REFINANCE!",IF(3=Scenarios!$F$80,"SALE!","")),IF(3=Scenarios!$F$80,"SALE!",""))</f>
        <v>REFINANCE!</v>
      </c>
      <c r="M1" s="372" t="str">
        <f>IF(ISNUMBER('Exit Strategy'!$C$5),IF(4='Exit Strategy'!$C$5,"REFINANCE!",IF(4=Scenarios!$F$80,"SALE!","")),IF(4=Scenarios!$F$80,"SALE!",""))</f>
        <v/>
      </c>
      <c r="N1" s="372" t="str">
        <f>IF(ISNUMBER('Exit Strategy'!$C$5),IF(5='Exit Strategy'!$C$5,"REFINANCE!",IF(5=Scenarios!$F$80,"SALE!","")),IF(5=Scenarios!$F$80,"SALE!",""))</f>
        <v/>
      </c>
      <c r="O1" s="372" t="str">
        <f>IF(ISNUMBER('Exit Strategy'!$C$5),IF(6='Exit Strategy'!$C$5,"REFINANCE!",IF(6=Scenarios!$F$80,"SALE!","")),IF(6=Scenarios!$F$80,"SALE!",""))</f>
        <v/>
      </c>
      <c r="P1" s="372" t="str">
        <f>IF(ISNUMBER('Exit Strategy'!$C$5),IF(7='Exit Strategy'!$C$5,"REFINANCE!",IF(7=Scenarios!$F$80,"SALE!","")),IF(7=Scenarios!$F$80,"SALE!",""))</f>
        <v/>
      </c>
      <c r="Q1" s="372" t="str">
        <f>IF(ISNUMBER('Exit Strategy'!$C$5),IF(8='Exit Strategy'!$C$5,"REFINANCE!",IF(8=Scenarios!$F$80,"SALE!","")),IF(8=Scenarios!$F$80,"SALE!",""))</f>
        <v/>
      </c>
      <c r="R1" s="372" t="str">
        <f>IF(ISNUMBER('Exit Strategy'!$C$5),IF(9='Exit Strategy'!$C$5,"REFINANCE!",IF(9=Scenarios!$F$80,"SALE!","")),IF(9=Scenarios!$F$80,"SALE!",""))</f>
        <v/>
      </c>
      <c r="S1" s="372" t="str">
        <f>IF(ISNUMBER('Exit Strategy'!$C$5),IF(10='Exit Strategy'!$C$5,"REFINANCE!",IF(10=Scenarios!$F$80,"SALE!","")),IF(10=Scenarios!$F$80,"SALE!",""))</f>
        <v/>
      </c>
    </row>
    <row r="2" spans="1:19" x14ac:dyDescent="0.25">
      <c r="A2" s="835" t="s">
        <v>1313</v>
      </c>
      <c r="B2" s="817"/>
      <c r="C2" s="817"/>
      <c r="D2" s="817"/>
      <c r="E2" s="817"/>
      <c r="F2" s="817"/>
      <c r="I2" s="312" t="s">
        <v>1289</v>
      </c>
      <c r="J2" s="311">
        <v>1</v>
      </c>
      <c r="K2" s="311">
        <v>2</v>
      </c>
      <c r="L2" s="311">
        <v>3</v>
      </c>
      <c r="M2" s="311">
        <v>4</v>
      </c>
      <c r="N2" s="311">
        <v>5</v>
      </c>
      <c r="O2" s="311">
        <v>6</v>
      </c>
      <c r="P2" s="311">
        <v>7</v>
      </c>
      <c r="Q2" s="311">
        <v>8</v>
      </c>
      <c r="R2" s="311">
        <v>9</v>
      </c>
      <c r="S2" s="311">
        <v>10</v>
      </c>
    </row>
    <row r="3" spans="1:19" x14ac:dyDescent="0.25">
      <c r="A3" s="32" t="s">
        <v>41</v>
      </c>
      <c r="B3" s="104" t="s">
        <v>1314</v>
      </c>
      <c r="C3" s="19" t="s">
        <v>278</v>
      </c>
      <c r="D3" s="196" t="s">
        <v>279</v>
      </c>
      <c r="E3" s="32" t="s">
        <v>395</v>
      </c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</row>
    <row r="4" spans="1:19" x14ac:dyDescent="0.25">
      <c r="A4" s="8" t="s">
        <v>1315</v>
      </c>
      <c r="B4" s="374">
        <f>Scenarios!F135</f>
        <v>0</v>
      </c>
      <c r="C4" s="374">
        <f>Scenarios!F142</f>
        <v>0</v>
      </c>
      <c r="D4" s="374">
        <f>Scenarios!F149</f>
        <v>0</v>
      </c>
      <c r="E4" s="119">
        <f>B4+C4+D4</f>
        <v>0</v>
      </c>
      <c r="I4" s="373"/>
      <c r="J4" s="373"/>
      <c r="K4" s="373"/>
      <c r="L4" s="373"/>
      <c r="M4" s="373"/>
      <c r="N4" s="373"/>
      <c r="O4" s="373"/>
      <c r="P4" s="373"/>
      <c r="Q4" s="373"/>
      <c r="R4" s="373"/>
      <c r="S4" s="373"/>
    </row>
    <row r="5" spans="1:19" x14ac:dyDescent="0.25">
      <c r="A5" s="10" t="s">
        <v>1316</v>
      </c>
      <c r="B5" s="375">
        <f>Scenarios!F137</f>
        <v>0</v>
      </c>
      <c r="C5" s="375">
        <f>Scenarios!F144</f>
        <v>0</v>
      </c>
      <c r="D5" s="375">
        <f>Scenarios!F151</f>
        <v>0</v>
      </c>
      <c r="E5" s="376" t="s">
        <v>197</v>
      </c>
      <c r="I5" s="310" t="s">
        <v>1317</v>
      </c>
      <c r="J5" s="367">
        <f>IFERROR(Scenarios!$F$135,0)</f>
        <v>0</v>
      </c>
      <c r="K5" s="366"/>
      <c r="L5" s="366"/>
      <c r="M5" s="366"/>
      <c r="N5" s="366"/>
      <c r="O5" s="366"/>
      <c r="P5" s="366"/>
      <c r="Q5" s="366"/>
      <c r="R5" s="366"/>
      <c r="S5" s="366"/>
    </row>
    <row r="6" spans="1:19" x14ac:dyDescent="0.25">
      <c r="A6" s="8" t="s">
        <v>1068</v>
      </c>
      <c r="B6" s="377">
        <f>Scenarios!F136</f>
        <v>0</v>
      </c>
      <c r="C6" s="377">
        <f>Scenarios!F143</f>
        <v>0</v>
      </c>
      <c r="D6" s="377">
        <f>Scenarios!F150</f>
        <v>0</v>
      </c>
      <c r="E6" s="378" t="s">
        <v>197</v>
      </c>
      <c r="I6" s="379" t="s">
        <v>1318</v>
      </c>
      <c r="J6" s="306" t="s">
        <v>1334</v>
      </c>
      <c r="K6" s="380"/>
      <c r="L6" s="380"/>
      <c r="M6" s="380"/>
      <c r="N6" s="380"/>
      <c r="O6" s="380"/>
      <c r="P6" s="380"/>
      <c r="Q6" s="380"/>
      <c r="R6" s="380"/>
      <c r="S6" s="380"/>
    </row>
    <row r="7" spans="1:19" x14ac:dyDescent="0.25">
      <c r="A7" s="10" t="s">
        <v>1320</v>
      </c>
      <c r="B7" s="375">
        <f>Scenarios!F138</f>
        <v>0</v>
      </c>
      <c r="C7" s="375">
        <f>Scenarios!F145</f>
        <v>0</v>
      </c>
      <c r="D7" s="375">
        <f>Scenarios!F152</f>
        <v>0</v>
      </c>
      <c r="E7" s="376" t="s">
        <v>197</v>
      </c>
      <c r="I7" s="234" t="s">
        <v>1321</v>
      </c>
      <c r="J7" s="238">
        <f>IF(1&lt;=IF($J$6="YES",IF(AND(ISNUMBER('Exit Strategy'!$C$5),'Exit Strategy'!$C$5&gt;0),'Exit Strategy'!$C$5,Scenarios!$F$80),Scenarios!$F$80),IFERROR(Scenarios!$F$135,0),0)</f>
        <v>0</v>
      </c>
      <c r="K7" s="238">
        <f>IF(2&lt;=IF($J$6="YES",IF(AND(ISNUMBER('Exit Strategy'!$C$5),'Exit Strategy'!$C$5&gt;0),'Exit Strategy'!$C$5,Scenarios!$F$80),Scenarios!$F$80),J11,0)</f>
        <v>0</v>
      </c>
      <c r="L7" s="238">
        <f>IF(3&lt;=IF($J$6="YES",IF(AND(ISNUMBER('Exit Strategy'!$C$5),'Exit Strategy'!$C$5&gt;0),'Exit Strategy'!$C$5,Scenarios!$F$80),Scenarios!$F$80),K11,0)</f>
        <v>0</v>
      </c>
      <c r="M7" s="238">
        <f>IF(4&lt;=IF($J$6="YES",IF(AND(ISNUMBER('Exit Strategy'!$C$5),'Exit Strategy'!$C$5&gt;0),'Exit Strategy'!$C$5,Scenarios!$F$80),Scenarios!$F$80),L11,0)</f>
        <v>0</v>
      </c>
      <c r="N7" s="238">
        <f>IF(5&lt;=IF($J$6="YES",IF(AND(ISNUMBER('Exit Strategy'!$C$5),'Exit Strategy'!$C$5&gt;0),'Exit Strategy'!$C$5,Scenarios!$F$80),Scenarios!$F$80),M11,0)</f>
        <v>0</v>
      </c>
      <c r="O7" s="238">
        <f>IF(6&lt;=IF($J$6="YES",IF(AND(ISNUMBER('Exit Strategy'!$C$5),'Exit Strategy'!$C$5&gt;0),'Exit Strategy'!$C$5,Scenarios!$F$80),Scenarios!$F$80),N11,0)</f>
        <v>0</v>
      </c>
      <c r="P7" s="238">
        <f>IF(7&lt;=IF($J$6="YES",IF(AND(ISNUMBER('Exit Strategy'!$C$5),'Exit Strategy'!$C$5&gt;0),'Exit Strategy'!$C$5,Scenarios!$F$80),Scenarios!$F$80),O11,0)</f>
        <v>0</v>
      </c>
      <c r="Q7" s="238">
        <f>IF(8&lt;=IF($J$6="YES",IF(AND(ISNUMBER('Exit Strategy'!$C$5),'Exit Strategy'!$C$5&gt;0),'Exit Strategy'!$C$5,Scenarios!$F$80),Scenarios!$F$80),P11,0)</f>
        <v>0</v>
      </c>
      <c r="R7" s="238">
        <f>IF(9&lt;=IF($J$6="YES",IF(AND(ISNUMBER('Exit Strategy'!$C$5),'Exit Strategy'!$C$5&gt;0),'Exit Strategy'!$C$5,Scenarios!$F$80),Scenarios!$F$80),Q11,0)</f>
        <v>0</v>
      </c>
      <c r="S7" s="238">
        <f>IF(10&lt;=IF($J$6="YES",IF(AND(ISNUMBER('Exit Strategy'!$C$5),'Exit Strategy'!$C$5&gt;0),'Exit Strategy'!$C$5,Scenarios!$F$80),Scenarios!$F$80),R11,0)</f>
        <v>0</v>
      </c>
    </row>
    <row r="8" spans="1:19" x14ac:dyDescent="0.25">
      <c r="A8" s="8" t="s">
        <v>1322</v>
      </c>
      <c r="B8" s="381">
        <f>Scenarios!F139</f>
        <v>0</v>
      </c>
      <c r="C8" s="381">
        <f>Scenarios!F146</f>
        <v>0</v>
      </c>
      <c r="D8" s="381">
        <f>Scenarios!F153</f>
        <v>0</v>
      </c>
      <c r="E8" s="376" t="s">
        <v>197</v>
      </c>
      <c r="I8" s="232" t="s">
        <v>1323</v>
      </c>
      <c r="J8" s="247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>0</v>
      </c>
      <c r="K8" s="247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>0</v>
      </c>
      <c r="L8" s="247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>0</v>
      </c>
      <c r="M8" s="247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>0</v>
      </c>
      <c r="N8" s="247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>0</v>
      </c>
      <c r="O8" s="247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>0</v>
      </c>
      <c r="P8" s="247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>0</v>
      </c>
      <c r="Q8" s="247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>0</v>
      </c>
      <c r="R8" s="247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>0</v>
      </c>
      <c r="S8" s="247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>0</v>
      </c>
    </row>
    <row r="9" spans="1:19" x14ac:dyDescent="0.25">
      <c r="A9" s="10" t="s">
        <v>1324</v>
      </c>
      <c r="B9" s="382">
        <f>Scenarios!F140</f>
        <v>0</v>
      </c>
      <c r="C9" s="382">
        <f>Scenarios!F147</f>
        <v>0</v>
      </c>
      <c r="D9" s="382">
        <f>Scenarios!F154</f>
        <v>0</v>
      </c>
      <c r="E9" s="378" t="s">
        <v>197</v>
      </c>
      <c r="I9" s="234" t="s">
        <v>1325</v>
      </c>
      <c r="J9" s="238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>0</v>
      </c>
      <c r="K9" s="238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>0</v>
      </c>
      <c r="L9" s="238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>0</v>
      </c>
      <c r="M9" s="238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>0</v>
      </c>
      <c r="N9" s="238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>0</v>
      </c>
      <c r="O9" s="238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>0</v>
      </c>
      <c r="P9" s="238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>0</v>
      </c>
      <c r="Q9" s="238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>0</v>
      </c>
      <c r="R9" s="238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>0</v>
      </c>
      <c r="S9" s="238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>0</v>
      </c>
    </row>
    <row r="10" spans="1:19" x14ac:dyDescent="0.25">
      <c r="A10" s="8" t="s">
        <v>1326</v>
      </c>
      <c r="B10" s="75">
        <f>B4*B9</f>
        <v>0</v>
      </c>
      <c r="C10" s="75">
        <f>C4*C9</f>
        <v>0</v>
      </c>
      <c r="D10" s="75">
        <f>D4*D9</f>
        <v>0</v>
      </c>
      <c r="E10" s="119">
        <f>B10+C10+D10</f>
        <v>0</v>
      </c>
      <c r="I10" s="245" t="s">
        <v>1327</v>
      </c>
      <c r="J10" s="246">
        <f t="shared" ref="J10:S10" si="0">J8+J9</f>
        <v>0</v>
      </c>
      <c r="K10" s="246">
        <f t="shared" si="0"/>
        <v>0</v>
      </c>
      <c r="L10" s="246">
        <f t="shared" si="0"/>
        <v>0</v>
      </c>
      <c r="M10" s="246">
        <f t="shared" si="0"/>
        <v>0</v>
      </c>
      <c r="N10" s="246">
        <f t="shared" si="0"/>
        <v>0</v>
      </c>
      <c r="O10" s="246">
        <f t="shared" si="0"/>
        <v>0</v>
      </c>
      <c r="P10" s="246">
        <f t="shared" si="0"/>
        <v>0</v>
      </c>
      <c r="Q10" s="246">
        <f t="shared" si="0"/>
        <v>0</v>
      </c>
      <c r="R10" s="246">
        <f t="shared" si="0"/>
        <v>0</v>
      </c>
      <c r="S10" s="246">
        <f t="shared" si="0"/>
        <v>0</v>
      </c>
    </row>
    <row r="11" spans="1:19" x14ac:dyDescent="0.25">
      <c r="A11" s="10" t="s">
        <v>1328</v>
      </c>
      <c r="B11" s="71">
        <f>IFERROR(IF(B4=0,0,IF(B8&gt;0,B4*B6,B12*12)),0)</f>
        <v>0</v>
      </c>
      <c r="C11" s="71">
        <f>IFERROR(IF(C4=0,0,IF(C8&gt;0,C4*C6,C12*12)),0)</f>
        <v>0</v>
      </c>
      <c r="D11" s="71">
        <f>IFERROR(IF(D4=0,0,IF(D8&gt;0,D4*D6,D12*12)),0)</f>
        <v>0</v>
      </c>
      <c r="E11" s="119">
        <f>B11+C11+D11</f>
        <v>0</v>
      </c>
      <c r="I11" s="383" t="s">
        <v>1329</v>
      </c>
      <c r="J11" s="384">
        <f t="shared" ref="J11:S11" si="1">J7-J8</f>
        <v>0</v>
      </c>
      <c r="K11" s="384">
        <f t="shared" si="1"/>
        <v>0</v>
      </c>
      <c r="L11" s="384">
        <f t="shared" si="1"/>
        <v>0</v>
      </c>
      <c r="M11" s="384">
        <f t="shared" si="1"/>
        <v>0</v>
      </c>
      <c r="N11" s="384">
        <f t="shared" si="1"/>
        <v>0</v>
      </c>
      <c r="O11" s="384">
        <f t="shared" si="1"/>
        <v>0</v>
      </c>
      <c r="P11" s="384">
        <f t="shared" si="1"/>
        <v>0</v>
      </c>
      <c r="Q11" s="384">
        <f t="shared" si="1"/>
        <v>0</v>
      </c>
      <c r="R11" s="384">
        <f t="shared" si="1"/>
        <v>0</v>
      </c>
      <c r="S11" s="384">
        <f t="shared" si="1"/>
        <v>0</v>
      </c>
    </row>
    <row r="12" spans="1:19" x14ac:dyDescent="0.25">
      <c r="A12" s="8" t="s">
        <v>1330</v>
      </c>
      <c r="B12" s="75">
        <f>IFERROR(IF(B4=0,0,-PMT(B6/12,B5*12,B4)),0)</f>
        <v>0</v>
      </c>
      <c r="C12" s="75">
        <f>IFERROR(IF(C4=0,0,-PMT(C6/12,C5*12,C4)),0)</f>
        <v>0</v>
      </c>
      <c r="D12" s="75">
        <f>IFERROR(IF(D4=0,0,-PMT(D6/12,D5*12,D4)),0)</f>
        <v>0</v>
      </c>
      <c r="E12" s="119">
        <f>B12+C12+D12</f>
        <v>0</v>
      </c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</row>
    <row r="13" spans="1:19" x14ac:dyDescent="0.25">
      <c r="A13" s="10" t="s">
        <v>1331</v>
      </c>
      <c r="B13" s="71">
        <f>IFERROR(B4*B6,0)</f>
        <v>0</v>
      </c>
      <c r="C13" s="71">
        <f>IFERROR(C4*C6,0)</f>
        <v>0</v>
      </c>
      <c r="D13" s="71">
        <f>IFERROR(D4*D6,0)</f>
        <v>0</v>
      </c>
      <c r="E13" s="119">
        <f>B13+C13+D13</f>
        <v>0</v>
      </c>
      <c r="I13" s="385" t="s">
        <v>1332</v>
      </c>
      <c r="J13" s="386">
        <f>IFERROR(Scenarios!$F$142,0)</f>
        <v>0</v>
      </c>
      <c r="K13" s="387"/>
      <c r="L13" s="387"/>
      <c r="M13" s="387"/>
      <c r="N13" s="387"/>
      <c r="O13" s="387"/>
      <c r="P13" s="387"/>
      <c r="Q13" s="387"/>
      <c r="R13" s="387"/>
      <c r="S13" s="387"/>
    </row>
    <row r="14" spans="1:19" x14ac:dyDescent="0.25">
      <c r="A14" s="8" t="s">
        <v>1333</v>
      </c>
      <c r="B14" s="75">
        <f>IFERROR(ABS(B11)-B13,0)</f>
        <v>0</v>
      </c>
      <c r="C14" s="75">
        <f>IFERROR(ABS(C11)-C13,0)</f>
        <v>0</v>
      </c>
      <c r="D14" s="75">
        <f>IFERROR(ABS(D11)-D13,0)</f>
        <v>0</v>
      </c>
      <c r="E14" s="119">
        <f>B14+C14+D14</f>
        <v>0</v>
      </c>
      <c r="I14" s="379" t="s">
        <v>1318</v>
      </c>
      <c r="J14" s="306" t="s">
        <v>1319</v>
      </c>
      <c r="K14" s="380"/>
      <c r="L14" s="380"/>
      <c r="M14" s="380"/>
      <c r="N14" s="380"/>
      <c r="O14" s="380"/>
      <c r="P14" s="380"/>
      <c r="Q14" s="380"/>
      <c r="R14" s="380"/>
      <c r="S14" s="380"/>
    </row>
    <row r="15" spans="1:19" ht="16.5" customHeight="1" x14ac:dyDescent="0.25">
      <c r="I15" s="234" t="s">
        <v>1321</v>
      </c>
      <c r="J15" s="238">
        <f>IF(1&lt;=IF($J$14="YES",IF(AND(ISNUMBER('Exit Strategy'!$C$5),'Exit Strategy'!$C$5&gt;0),'Exit Strategy'!$C$5,Scenarios!$F$80),Scenarios!$F$80),IFERROR(Scenarios!$F$142,0),0)</f>
        <v>0</v>
      </c>
      <c r="K15" s="238">
        <f>IF(2&lt;=IF($J$14="YES",IF(AND(ISNUMBER('Exit Strategy'!$C$5),'Exit Strategy'!$C$5&gt;0),'Exit Strategy'!$C$5,Scenarios!$F$80),Scenarios!$F$80),J19,0)</f>
        <v>0</v>
      </c>
      <c r="L15" s="238">
        <f>IF(3&lt;=IF($J$14="YES",IF(AND(ISNUMBER('Exit Strategy'!$C$5),'Exit Strategy'!$C$5&gt;0),'Exit Strategy'!$C$5,Scenarios!$F$80),Scenarios!$F$80),K19,0)</f>
        <v>0</v>
      </c>
      <c r="M15" s="238">
        <f>IF(4&lt;=IF($J$14="YES",IF(AND(ISNUMBER('Exit Strategy'!$C$5),'Exit Strategy'!$C$5&gt;0),'Exit Strategy'!$C$5,Scenarios!$F$80),Scenarios!$F$80),L19,0)</f>
        <v>0</v>
      </c>
      <c r="N15" s="238">
        <f>IF(5&lt;=IF($J$14="YES",IF(AND(ISNUMBER('Exit Strategy'!$C$5),'Exit Strategy'!$C$5&gt;0),'Exit Strategy'!$C$5,Scenarios!$F$80),Scenarios!$F$80),M19,0)</f>
        <v>0</v>
      </c>
      <c r="O15" s="238">
        <f>IF(6&lt;=IF($J$14="YES",IF(AND(ISNUMBER('Exit Strategy'!$C$5),'Exit Strategy'!$C$5&gt;0),'Exit Strategy'!$C$5,Scenarios!$F$80),Scenarios!$F$80),N19,0)</f>
        <v>0</v>
      </c>
      <c r="P15" s="238">
        <f>IF(7&lt;=IF($J$14="YES",IF(AND(ISNUMBER('Exit Strategy'!$C$5),'Exit Strategy'!$C$5&gt;0),'Exit Strategy'!$C$5,Scenarios!$F$80),Scenarios!$F$80),O19,0)</f>
        <v>0</v>
      </c>
      <c r="Q15" s="238">
        <f>IF(8&lt;=IF($J$14="YES",IF(AND(ISNUMBER('Exit Strategy'!$C$5),'Exit Strategy'!$C$5&gt;0),'Exit Strategy'!$C$5,Scenarios!$F$80),Scenarios!$F$80),P19,0)</f>
        <v>0</v>
      </c>
      <c r="R15" s="238">
        <f>IF(9&lt;=IF($J$14="YES",IF(AND(ISNUMBER('Exit Strategy'!$C$5),'Exit Strategy'!$C$5&gt;0),'Exit Strategy'!$C$5,Scenarios!$F$80),Scenarios!$F$80),Q19,0)</f>
        <v>0</v>
      </c>
      <c r="S15" s="238">
        <f>IF(10&lt;=IF($J$14="YES",IF(AND(ISNUMBER('Exit Strategy'!$C$5),'Exit Strategy'!$C$5&gt;0),'Exit Strategy'!$C$5,Scenarios!$F$80),Scenarios!$F$80),R19,0)</f>
        <v>0</v>
      </c>
    </row>
    <row r="16" spans="1:19" ht="16.5" customHeight="1" x14ac:dyDescent="0.25">
      <c r="I16" s="232" t="s">
        <v>1323</v>
      </c>
      <c r="J16" s="247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>0</v>
      </c>
      <c r="K16" s="247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>0</v>
      </c>
      <c r="L16" s="247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>0</v>
      </c>
      <c r="M16" s="247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>0</v>
      </c>
      <c r="N16" s="247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>0</v>
      </c>
      <c r="O16" s="247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>0</v>
      </c>
      <c r="P16" s="247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>0</v>
      </c>
      <c r="Q16" s="247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>0</v>
      </c>
      <c r="R16" s="247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>0</v>
      </c>
      <c r="S16" s="247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>0</v>
      </c>
    </row>
    <row r="17" spans="9:19" ht="16.5" customHeight="1" x14ac:dyDescent="0.25">
      <c r="I17" s="234" t="s">
        <v>1325</v>
      </c>
      <c r="J17" s="238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>0</v>
      </c>
      <c r="K17" s="238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>0</v>
      </c>
      <c r="L17" s="238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>0</v>
      </c>
      <c r="M17" s="238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>0</v>
      </c>
      <c r="N17" s="238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>0</v>
      </c>
      <c r="O17" s="238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>0</v>
      </c>
      <c r="P17" s="238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>0</v>
      </c>
      <c r="Q17" s="238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>0</v>
      </c>
      <c r="R17" s="238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>0</v>
      </c>
      <c r="S17" s="238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>0</v>
      </c>
    </row>
    <row r="18" spans="9:19" ht="16.5" customHeight="1" x14ac:dyDescent="0.25">
      <c r="I18" s="245" t="s">
        <v>1327</v>
      </c>
      <c r="J18" s="246">
        <f t="shared" ref="J18:S18" si="2">J16+J17</f>
        <v>0</v>
      </c>
      <c r="K18" s="246">
        <f t="shared" si="2"/>
        <v>0</v>
      </c>
      <c r="L18" s="246">
        <f t="shared" si="2"/>
        <v>0</v>
      </c>
      <c r="M18" s="246">
        <f t="shared" si="2"/>
        <v>0</v>
      </c>
      <c r="N18" s="246">
        <f t="shared" si="2"/>
        <v>0</v>
      </c>
      <c r="O18" s="246">
        <f t="shared" si="2"/>
        <v>0</v>
      </c>
      <c r="P18" s="246">
        <f t="shared" si="2"/>
        <v>0</v>
      </c>
      <c r="Q18" s="246">
        <f t="shared" si="2"/>
        <v>0</v>
      </c>
      <c r="R18" s="246">
        <f t="shared" si="2"/>
        <v>0</v>
      </c>
      <c r="S18" s="246">
        <f t="shared" si="2"/>
        <v>0</v>
      </c>
    </row>
    <row r="19" spans="9:19" ht="16.5" customHeight="1" x14ac:dyDescent="0.25">
      <c r="I19" s="383" t="s">
        <v>1329</v>
      </c>
      <c r="J19" s="384">
        <f t="shared" ref="J19:S19" si="3">J15-J16</f>
        <v>0</v>
      </c>
      <c r="K19" s="384">
        <f t="shared" si="3"/>
        <v>0</v>
      </c>
      <c r="L19" s="384">
        <f t="shared" si="3"/>
        <v>0</v>
      </c>
      <c r="M19" s="384">
        <f t="shared" si="3"/>
        <v>0</v>
      </c>
      <c r="N19" s="384">
        <f t="shared" si="3"/>
        <v>0</v>
      </c>
      <c r="O19" s="384">
        <f t="shared" si="3"/>
        <v>0</v>
      </c>
      <c r="P19" s="384">
        <f t="shared" si="3"/>
        <v>0</v>
      </c>
      <c r="Q19" s="384">
        <f t="shared" si="3"/>
        <v>0</v>
      </c>
      <c r="R19" s="384">
        <f t="shared" si="3"/>
        <v>0</v>
      </c>
      <c r="S19" s="384">
        <f t="shared" si="3"/>
        <v>0</v>
      </c>
    </row>
    <row r="20" spans="9:19" ht="6" customHeight="1" x14ac:dyDescent="0.25">
      <c r="I20" s="373"/>
      <c r="J20" s="373"/>
      <c r="K20" s="373"/>
      <c r="L20" s="373"/>
      <c r="M20" s="373"/>
      <c r="N20" s="373"/>
      <c r="O20" s="373"/>
      <c r="P20" s="373"/>
      <c r="Q20" s="373"/>
      <c r="R20" s="373"/>
      <c r="S20" s="373"/>
    </row>
    <row r="21" spans="9:19" ht="19.5" customHeight="1" x14ac:dyDescent="0.25">
      <c r="I21" s="388" t="s">
        <v>279</v>
      </c>
      <c r="J21" s="254">
        <f>IFERROR(Scenarios!$F$149,0)</f>
        <v>0</v>
      </c>
      <c r="K21" s="389"/>
      <c r="L21" s="389"/>
      <c r="M21" s="389"/>
      <c r="N21" s="389"/>
      <c r="O21" s="389"/>
      <c r="P21" s="389"/>
      <c r="Q21" s="389"/>
      <c r="R21" s="389"/>
      <c r="S21" s="389"/>
    </row>
    <row r="22" spans="9:19" ht="16.5" customHeight="1" x14ac:dyDescent="0.25">
      <c r="I22" s="379" t="s">
        <v>1318</v>
      </c>
      <c r="J22" s="306" t="s">
        <v>1334</v>
      </c>
      <c r="K22" s="380"/>
      <c r="L22" s="380"/>
      <c r="M22" s="380"/>
      <c r="N22" s="380"/>
      <c r="O22" s="380"/>
      <c r="P22" s="380"/>
      <c r="Q22" s="380"/>
      <c r="R22" s="380"/>
      <c r="S22" s="380"/>
    </row>
    <row r="23" spans="9:19" ht="16.5" customHeight="1" x14ac:dyDescent="0.25">
      <c r="I23" s="234" t="s">
        <v>1321</v>
      </c>
      <c r="J23" s="238">
        <f>IF(1&lt;=IF($J$22="YES",IF(AND(ISNUMBER('Exit Strategy'!$C$5),'Exit Strategy'!$C$5&gt;0),'Exit Strategy'!$C$5,Scenarios!$F$80),Scenarios!$F$80),IFERROR(Scenarios!$F$149,0),0)</f>
        <v>0</v>
      </c>
      <c r="K23" s="238">
        <f>IF(2&lt;=IF($J$22="YES",IF(AND(ISNUMBER('Exit Strategy'!$C$5),'Exit Strategy'!$C$5&gt;0),'Exit Strategy'!$C$5,Scenarios!$F$80),Scenarios!$F$80),J27,0)</f>
        <v>0</v>
      </c>
      <c r="L23" s="238">
        <f>IF(3&lt;=IF($J$22="YES",IF(AND(ISNUMBER('Exit Strategy'!$C$5),'Exit Strategy'!$C$5&gt;0),'Exit Strategy'!$C$5,Scenarios!$F$80),Scenarios!$F$80),K27,0)</f>
        <v>0</v>
      </c>
      <c r="M23" s="238">
        <f>IF(4&lt;=IF($J$22="YES",IF(AND(ISNUMBER('Exit Strategy'!$C$5),'Exit Strategy'!$C$5&gt;0),'Exit Strategy'!$C$5,Scenarios!$F$80),Scenarios!$F$80),L27,0)</f>
        <v>0</v>
      </c>
      <c r="N23" s="238">
        <f>IF(5&lt;=IF($J$22="YES",IF(AND(ISNUMBER('Exit Strategy'!$C$5),'Exit Strategy'!$C$5&gt;0),'Exit Strategy'!$C$5,Scenarios!$F$80),Scenarios!$F$80),M27,0)</f>
        <v>0</v>
      </c>
      <c r="O23" s="238">
        <f>IF(6&lt;=IF($J$22="YES",IF(AND(ISNUMBER('Exit Strategy'!$C$5),'Exit Strategy'!$C$5&gt;0),'Exit Strategy'!$C$5,Scenarios!$F$80),Scenarios!$F$80),N27,0)</f>
        <v>0</v>
      </c>
      <c r="P23" s="238">
        <f>IF(7&lt;=IF($J$22="YES",IF(AND(ISNUMBER('Exit Strategy'!$C$5),'Exit Strategy'!$C$5&gt;0),'Exit Strategy'!$C$5,Scenarios!$F$80),Scenarios!$F$80),O27,0)</f>
        <v>0</v>
      </c>
      <c r="Q23" s="238">
        <f>IF(8&lt;=IF($J$22="YES",IF(AND(ISNUMBER('Exit Strategy'!$C$5),'Exit Strategy'!$C$5&gt;0),'Exit Strategy'!$C$5,Scenarios!$F$80),Scenarios!$F$80),P27,0)</f>
        <v>0</v>
      </c>
      <c r="R23" s="238">
        <f>IF(9&lt;=IF($J$22="YES",IF(AND(ISNUMBER('Exit Strategy'!$C$5),'Exit Strategy'!$C$5&gt;0),'Exit Strategy'!$C$5,Scenarios!$F$80),Scenarios!$F$80),Q27,0)</f>
        <v>0</v>
      </c>
      <c r="S23" s="238">
        <f>IF(10&lt;=IF($J$22="YES",IF(AND(ISNUMBER('Exit Strategy'!$C$5),'Exit Strategy'!$C$5&gt;0),'Exit Strategy'!$C$5,Scenarios!$F$80),Scenarios!$F$80),R27,0)</f>
        <v>0</v>
      </c>
    </row>
    <row r="24" spans="9:19" ht="16.5" customHeight="1" x14ac:dyDescent="0.25">
      <c r="I24" s="232" t="s">
        <v>1323</v>
      </c>
      <c r="J24" s="247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>0</v>
      </c>
      <c r="K24" s="247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>0</v>
      </c>
      <c r="L24" s="247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>0</v>
      </c>
      <c r="M24" s="247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>0</v>
      </c>
      <c r="N24" s="247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>0</v>
      </c>
      <c r="O24" s="247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>0</v>
      </c>
      <c r="P24" s="247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>0</v>
      </c>
      <c r="Q24" s="247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>0</v>
      </c>
      <c r="R24" s="247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>0</v>
      </c>
      <c r="S24" s="247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>0</v>
      </c>
    </row>
    <row r="25" spans="9:19" ht="16.5" customHeight="1" x14ac:dyDescent="0.25">
      <c r="I25" s="234" t="s">
        <v>1325</v>
      </c>
      <c r="J25" s="238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>0</v>
      </c>
      <c r="K25" s="238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>0</v>
      </c>
      <c r="L25" s="238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>0</v>
      </c>
      <c r="M25" s="238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>0</v>
      </c>
      <c r="N25" s="238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>0</v>
      </c>
      <c r="O25" s="238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>0</v>
      </c>
      <c r="P25" s="238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>0</v>
      </c>
      <c r="Q25" s="238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>0</v>
      </c>
      <c r="R25" s="238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>0</v>
      </c>
      <c r="S25" s="238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>0</v>
      </c>
    </row>
    <row r="26" spans="9:19" ht="16.5" customHeight="1" x14ac:dyDescent="0.25">
      <c r="I26" s="245" t="s">
        <v>1327</v>
      </c>
      <c r="J26" s="246">
        <f t="shared" ref="J26:S26" si="4">J24+J25</f>
        <v>0</v>
      </c>
      <c r="K26" s="246">
        <f t="shared" si="4"/>
        <v>0</v>
      </c>
      <c r="L26" s="246">
        <f t="shared" si="4"/>
        <v>0</v>
      </c>
      <c r="M26" s="246">
        <f t="shared" si="4"/>
        <v>0</v>
      </c>
      <c r="N26" s="246">
        <f t="shared" si="4"/>
        <v>0</v>
      </c>
      <c r="O26" s="246">
        <f t="shared" si="4"/>
        <v>0</v>
      </c>
      <c r="P26" s="246">
        <f t="shared" si="4"/>
        <v>0</v>
      </c>
      <c r="Q26" s="246">
        <f t="shared" si="4"/>
        <v>0</v>
      </c>
      <c r="R26" s="246">
        <f t="shared" si="4"/>
        <v>0</v>
      </c>
      <c r="S26" s="246">
        <f t="shared" si="4"/>
        <v>0</v>
      </c>
    </row>
    <row r="27" spans="9:19" ht="16.5" customHeight="1" x14ac:dyDescent="0.25">
      <c r="I27" s="383" t="s">
        <v>1329</v>
      </c>
      <c r="J27" s="384">
        <f t="shared" ref="J27:S27" si="5">J23-J24</f>
        <v>0</v>
      </c>
      <c r="K27" s="384">
        <f t="shared" si="5"/>
        <v>0</v>
      </c>
      <c r="L27" s="384">
        <f t="shared" si="5"/>
        <v>0</v>
      </c>
      <c r="M27" s="384">
        <f t="shared" si="5"/>
        <v>0</v>
      </c>
      <c r="N27" s="384">
        <f t="shared" si="5"/>
        <v>0</v>
      </c>
      <c r="O27" s="384">
        <f t="shared" si="5"/>
        <v>0</v>
      </c>
      <c r="P27" s="384">
        <f t="shared" si="5"/>
        <v>0</v>
      </c>
      <c r="Q27" s="384">
        <f t="shared" si="5"/>
        <v>0</v>
      </c>
      <c r="R27" s="384">
        <f t="shared" si="5"/>
        <v>0</v>
      </c>
      <c r="S27" s="384">
        <f t="shared" si="5"/>
        <v>0</v>
      </c>
    </row>
    <row r="28" spans="9:19" ht="6" customHeight="1" x14ac:dyDescent="0.25">
      <c r="I28" s="373"/>
      <c r="J28" s="373"/>
      <c r="K28" s="373"/>
      <c r="L28" s="373"/>
      <c r="M28" s="373"/>
      <c r="N28" s="373"/>
      <c r="O28" s="373"/>
      <c r="P28" s="373"/>
      <c r="Q28" s="373"/>
      <c r="R28" s="373"/>
      <c r="S28" s="373"/>
    </row>
    <row r="29" spans="9:19" ht="19.5" customHeight="1" x14ac:dyDescent="0.25">
      <c r="I29" s="390" t="s">
        <v>1335</v>
      </c>
      <c r="J29" s="391">
        <f>IFERROR('Exit Strategy'!$C$12,0)</f>
        <v>0</v>
      </c>
      <c r="K29" s="392"/>
      <c r="L29" s="392"/>
      <c r="M29" s="392"/>
      <c r="N29" s="392"/>
      <c r="O29" s="392"/>
      <c r="P29" s="392"/>
      <c r="Q29" s="392"/>
      <c r="R29" s="392"/>
      <c r="S29" s="392"/>
    </row>
    <row r="30" spans="9:19" ht="16.5" customHeight="1" x14ac:dyDescent="0.25">
      <c r="I30" s="234" t="s">
        <v>1321</v>
      </c>
      <c r="J30" s="238">
        <f>0</f>
        <v>0</v>
      </c>
      <c r="K30" s="238">
        <f>IF(AND(ISNUMBER('Exit Strategy'!$C$5),2&gt;'Exit Strategy'!$C$5,2&lt;=Scenarios!$F$80),IF(2=IFERROR('Exit Strategy'!$C$5+1,10000),'Exit Strategy'!$C$12,J34),0)</f>
        <v>0</v>
      </c>
      <c r="L30" s="238">
        <f>IF(AND(ISNUMBER('Exit Strategy'!$C$5),3&gt;'Exit Strategy'!$C$5,3&lt;=Scenarios!$F$80),IF(3=IFERROR('Exit Strategy'!$C$5+1,10000),'Exit Strategy'!$C$12,K34),0)</f>
        <v>0</v>
      </c>
      <c r="M30" s="238">
        <f>IF(AND(ISNUMBER('Exit Strategy'!$C$5),4&gt;'Exit Strategy'!$C$5,4&lt;=Scenarios!$F$80),IF(4=IFERROR('Exit Strategy'!$C$5+1,10000),'Exit Strategy'!$C$12,L34),0)</f>
        <v>0</v>
      </c>
      <c r="N30" s="238">
        <f>IF(AND(ISNUMBER('Exit Strategy'!$C$5),5&gt;'Exit Strategy'!$C$5,5&lt;=Scenarios!$F$80),IF(5=IFERROR('Exit Strategy'!$C$5+1,10000),'Exit Strategy'!$C$12,M34),0)</f>
        <v>0</v>
      </c>
      <c r="O30" s="238">
        <f>IF(AND(ISNUMBER('Exit Strategy'!$C$5),6&gt;'Exit Strategy'!$C$5,6&lt;=Scenarios!$F$80),IF(6=IFERROR('Exit Strategy'!$C$5+1,10000),'Exit Strategy'!$C$12,N34),0)</f>
        <v>0</v>
      </c>
      <c r="P30" s="238">
        <f>IF(AND(ISNUMBER('Exit Strategy'!$C$5),7&gt;'Exit Strategy'!$C$5,7&lt;=Scenarios!$F$80),IF(7=IFERROR('Exit Strategy'!$C$5+1,10000),'Exit Strategy'!$C$12,O34),0)</f>
        <v>0</v>
      </c>
      <c r="Q30" s="238">
        <f>IF(AND(ISNUMBER('Exit Strategy'!$C$5),8&gt;'Exit Strategy'!$C$5,8&lt;=Scenarios!$F$80),IF(8=IFERROR('Exit Strategy'!$C$5+1,10000),'Exit Strategy'!$C$12,P34),0)</f>
        <v>0</v>
      </c>
      <c r="R30" s="238">
        <f>IF(AND(ISNUMBER('Exit Strategy'!$C$5),9&gt;'Exit Strategy'!$C$5,9&lt;=Scenarios!$F$80),IF(9=IFERROR('Exit Strategy'!$C$5+1,10000),'Exit Strategy'!$C$12,Q34),0)</f>
        <v>0</v>
      </c>
      <c r="S30" s="238">
        <f>IF(AND(ISNUMBER('Exit Strategy'!$C$5),10&gt;'Exit Strategy'!$C$5,10&lt;=Scenarios!$F$80),IF(10=IFERROR('Exit Strategy'!$C$5+1,10000),'Exit Strategy'!$C$12,R34),0)</f>
        <v>0</v>
      </c>
    </row>
    <row r="31" spans="9:19" ht="16.5" customHeight="1" x14ac:dyDescent="0.25">
      <c r="I31" s="232" t="s">
        <v>1323</v>
      </c>
      <c r="J31" s="247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>0</v>
      </c>
      <c r="K31" s="247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>0</v>
      </c>
      <c r="L31" s="247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>0</v>
      </c>
      <c r="M31" s="247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>0</v>
      </c>
      <c r="N31" s="247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>0</v>
      </c>
      <c r="O31" s="247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>0</v>
      </c>
      <c r="P31" s="247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>0</v>
      </c>
      <c r="Q31" s="247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>0</v>
      </c>
      <c r="R31" s="247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>0</v>
      </c>
      <c r="S31" s="247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>0</v>
      </c>
    </row>
    <row r="32" spans="9:19" ht="16.5" customHeight="1" x14ac:dyDescent="0.25">
      <c r="I32" s="234" t="s">
        <v>1325</v>
      </c>
      <c r="J32" s="238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>0</v>
      </c>
      <c r="K32" s="238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>0</v>
      </c>
      <c r="L32" s="238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>0</v>
      </c>
      <c r="M32" s="238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>0</v>
      </c>
      <c r="N32" s="238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>0</v>
      </c>
      <c r="O32" s="238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>0</v>
      </c>
      <c r="P32" s="238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>0</v>
      </c>
      <c r="Q32" s="238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>0</v>
      </c>
      <c r="R32" s="238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>0</v>
      </c>
      <c r="S32" s="238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>0</v>
      </c>
    </row>
    <row r="33" spans="9:19" ht="16.5" customHeight="1" x14ac:dyDescent="0.25">
      <c r="I33" s="245" t="s">
        <v>1327</v>
      </c>
      <c r="J33" s="246">
        <f t="shared" ref="J33:S33" si="6">J31+J32</f>
        <v>0</v>
      </c>
      <c r="K33" s="246">
        <f t="shared" si="6"/>
        <v>0</v>
      </c>
      <c r="L33" s="246">
        <f t="shared" si="6"/>
        <v>0</v>
      </c>
      <c r="M33" s="246">
        <f t="shared" si="6"/>
        <v>0</v>
      </c>
      <c r="N33" s="246">
        <f t="shared" si="6"/>
        <v>0</v>
      </c>
      <c r="O33" s="246">
        <f t="shared" si="6"/>
        <v>0</v>
      </c>
      <c r="P33" s="246">
        <f t="shared" si="6"/>
        <v>0</v>
      </c>
      <c r="Q33" s="246">
        <f t="shared" si="6"/>
        <v>0</v>
      </c>
      <c r="R33" s="246">
        <f t="shared" si="6"/>
        <v>0</v>
      </c>
      <c r="S33" s="246">
        <f t="shared" si="6"/>
        <v>0</v>
      </c>
    </row>
    <row r="34" spans="9:19" ht="16.5" customHeight="1" x14ac:dyDescent="0.25">
      <c r="I34" s="383" t="s">
        <v>1329</v>
      </c>
      <c r="J34" s="384">
        <f t="shared" ref="J34:S34" si="7">J30-J31</f>
        <v>0</v>
      </c>
      <c r="K34" s="384">
        <f t="shared" si="7"/>
        <v>0</v>
      </c>
      <c r="L34" s="384">
        <f t="shared" si="7"/>
        <v>0</v>
      </c>
      <c r="M34" s="384">
        <f t="shared" si="7"/>
        <v>0</v>
      </c>
      <c r="N34" s="384">
        <f t="shared" si="7"/>
        <v>0</v>
      </c>
      <c r="O34" s="384">
        <f t="shared" si="7"/>
        <v>0</v>
      </c>
      <c r="P34" s="384">
        <f t="shared" si="7"/>
        <v>0</v>
      </c>
      <c r="Q34" s="384">
        <f t="shared" si="7"/>
        <v>0</v>
      </c>
      <c r="R34" s="384">
        <f t="shared" si="7"/>
        <v>0</v>
      </c>
      <c r="S34" s="384">
        <f t="shared" si="7"/>
        <v>0</v>
      </c>
    </row>
    <row r="35" spans="9:19" ht="6" customHeight="1" x14ac:dyDescent="0.25">
      <c r="I35" s="373"/>
      <c r="J35" s="373"/>
      <c r="K35" s="373"/>
      <c r="L35" s="373"/>
      <c r="M35" s="373"/>
      <c r="N35" s="373"/>
      <c r="O35" s="373"/>
      <c r="P35" s="373"/>
      <c r="Q35" s="373"/>
      <c r="R35" s="373"/>
      <c r="S35" s="373"/>
    </row>
    <row r="36" spans="9:19" ht="21.75" customHeight="1" x14ac:dyDescent="0.25">
      <c r="I36" s="393" t="s">
        <v>1305</v>
      </c>
      <c r="J36" s="366"/>
      <c r="K36" s="366"/>
      <c r="L36" s="366"/>
      <c r="M36" s="366"/>
      <c r="N36" s="366"/>
      <c r="O36" s="366"/>
      <c r="P36" s="366"/>
      <c r="Q36" s="366"/>
      <c r="R36" s="366"/>
      <c r="S36" s="366"/>
    </row>
    <row r="37" spans="9:19" ht="16.5" customHeight="1" x14ac:dyDescent="0.25">
      <c r="I37" s="234" t="s">
        <v>1321</v>
      </c>
      <c r="J37" s="238">
        <f t="shared" ref="J37:S37" si="8">J7+J15+J23+J30</f>
        <v>0</v>
      </c>
      <c r="K37" s="238">
        <f t="shared" si="8"/>
        <v>0</v>
      </c>
      <c r="L37" s="238">
        <f t="shared" si="8"/>
        <v>0</v>
      </c>
      <c r="M37" s="238">
        <f t="shared" si="8"/>
        <v>0</v>
      </c>
      <c r="N37" s="238">
        <f t="shared" si="8"/>
        <v>0</v>
      </c>
      <c r="O37" s="238">
        <f t="shared" si="8"/>
        <v>0</v>
      </c>
      <c r="P37" s="238">
        <f t="shared" si="8"/>
        <v>0</v>
      </c>
      <c r="Q37" s="238">
        <f t="shared" si="8"/>
        <v>0</v>
      </c>
      <c r="R37" s="238">
        <f t="shared" si="8"/>
        <v>0</v>
      </c>
      <c r="S37" s="238">
        <f t="shared" si="8"/>
        <v>0</v>
      </c>
    </row>
    <row r="38" spans="9:19" ht="16.5" customHeight="1" x14ac:dyDescent="0.25">
      <c r="I38" s="232" t="s">
        <v>1325</v>
      </c>
      <c r="J38" s="247">
        <f t="shared" ref="J38:S38" si="9">J9+J17+J25+J32</f>
        <v>0</v>
      </c>
      <c r="K38" s="247">
        <f t="shared" si="9"/>
        <v>0</v>
      </c>
      <c r="L38" s="247">
        <f t="shared" si="9"/>
        <v>0</v>
      </c>
      <c r="M38" s="247">
        <f t="shared" si="9"/>
        <v>0</v>
      </c>
      <c r="N38" s="247">
        <f t="shared" si="9"/>
        <v>0</v>
      </c>
      <c r="O38" s="247">
        <f t="shared" si="9"/>
        <v>0</v>
      </c>
      <c r="P38" s="247">
        <f t="shared" si="9"/>
        <v>0</v>
      </c>
      <c r="Q38" s="247">
        <f t="shared" si="9"/>
        <v>0</v>
      </c>
      <c r="R38" s="247">
        <f t="shared" si="9"/>
        <v>0</v>
      </c>
      <c r="S38" s="247">
        <f t="shared" si="9"/>
        <v>0</v>
      </c>
    </row>
    <row r="39" spans="9:19" ht="16.5" customHeight="1" x14ac:dyDescent="0.25">
      <c r="I39" s="248" t="s">
        <v>1336</v>
      </c>
      <c r="J39" s="249">
        <f>J38</f>
        <v>0</v>
      </c>
      <c r="K39" s="249">
        <f t="shared" ref="K39:S39" si="10">J39+K38</f>
        <v>0</v>
      </c>
      <c r="L39" s="249">
        <f t="shared" si="10"/>
        <v>0</v>
      </c>
      <c r="M39" s="249">
        <f t="shared" si="10"/>
        <v>0</v>
      </c>
      <c r="N39" s="249">
        <f t="shared" si="10"/>
        <v>0</v>
      </c>
      <c r="O39" s="249">
        <f t="shared" si="10"/>
        <v>0</v>
      </c>
      <c r="P39" s="249">
        <f t="shared" si="10"/>
        <v>0</v>
      </c>
      <c r="Q39" s="249">
        <f t="shared" si="10"/>
        <v>0</v>
      </c>
      <c r="R39" s="249">
        <f t="shared" si="10"/>
        <v>0</v>
      </c>
      <c r="S39" s="249">
        <f t="shared" si="10"/>
        <v>0</v>
      </c>
    </row>
    <row r="40" spans="9:19" ht="16.5" customHeight="1" x14ac:dyDescent="0.25">
      <c r="I40" s="232" t="s">
        <v>1323</v>
      </c>
      <c r="J40" s="247">
        <f t="shared" ref="J40:S40" si="11">J8+J16+J24+J31</f>
        <v>0</v>
      </c>
      <c r="K40" s="247">
        <f t="shared" si="11"/>
        <v>0</v>
      </c>
      <c r="L40" s="247">
        <f t="shared" si="11"/>
        <v>0</v>
      </c>
      <c r="M40" s="247">
        <f t="shared" si="11"/>
        <v>0</v>
      </c>
      <c r="N40" s="247">
        <f t="shared" si="11"/>
        <v>0</v>
      </c>
      <c r="O40" s="247">
        <f t="shared" si="11"/>
        <v>0</v>
      </c>
      <c r="P40" s="247">
        <f t="shared" si="11"/>
        <v>0</v>
      </c>
      <c r="Q40" s="247">
        <f t="shared" si="11"/>
        <v>0</v>
      </c>
      <c r="R40" s="247">
        <f t="shared" si="11"/>
        <v>0</v>
      </c>
      <c r="S40" s="247">
        <f t="shared" si="11"/>
        <v>0</v>
      </c>
    </row>
    <row r="41" spans="9:19" ht="16.5" customHeight="1" x14ac:dyDescent="0.25">
      <c r="I41" s="248" t="s">
        <v>1337</v>
      </c>
      <c r="J41" s="249">
        <f>J40</f>
        <v>0</v>
      </c>
      <c r="K41" s="249">
        <f t="shared" ref="K41:S41" si="12">J41+K40</f>
        <v>0</v>
      </c>
      <c r="L41" s="249">
        <f t="shared" si="12"/>
        <v>0</v>
      </c>
      <c r="M41" s="249">
        <f t="shared" si="12"/>
        <v>0</v>
      </c>
      <c r="N41" s="249">
        <f t="shared" si="12"/>
        <v>0</v>
      </c>
      <c r="O41" s="249">
        <f t="shared" si="12"/>
        <v>0</v>
      </c>
      <c r="P41" s="249">
        <f t="shared" si="12"/>
        <v>0</v>
      </c>
      <c r="Q41" s="249">
        <f t="shared" si="12"/>
        <v>0</v>
      </c>
      <c r="R41" s="249">
        <f t="shared" si="12"/>
        <v>0</v>
      </c>
      <c r="S41" s="249">
        <f t="shared" si="12"/>
        <v>0</v>
      </c>
    </row>
    <row r="42" spans="9:19" ht="16.5" customHeight="1" x14ac:dyDescent="0.25">
      <c r="I42" s="245" t="s">
        <v>1327</v>
      </c>
      <c r="J42" s="246">
        <f t="shared" ref="J42:S42" si="13">J40+J38</f>
        <v>0</v>
      </c>
      <c r="K42" s="246">
        <f t="shared" si="13"/>
        <v>0</v>
      </c>
      <c r="L42" s="246">
        <f t="shared" si="13"/>
        <v>0</v>
      </c>
      <c r="M42" s="246">
        <f t="shared" si="13"/>
        <v>0</v>
      </c>
      <c r="N42" s="246">
        <f t="shared" si="13"/>
        <v>0</v>
      </c>
      <c r="O42" s="246">
        <f t="shared" si="13"/>
        <v>0</v>
      </c>
      <c r="P42" s="246">
        <f t="shared" si="13"/>
        <v>0</v>
      </c>
      <c r="Q42" s="246">
        <f t="shared" si="13"/>
        <v>0</v>
      </c>
      <c r="R42" s="246">
        <f t="shared" si="13"/>
        <v>0</v>
      </c>
      <c r="S42" s="246">
        <f t="shared" si="13"/>
        <v>0</v>
      </c>
    </row>
    <row r="43" spans="9:19" ht="16.5" customHeight="1" x14ac:dyDescent="0.25">
      <c r="I43" s="383" t="s">
        <v>1329</v>
      </c>
      <c r="J43" s="384">
        <f t="shared" ref="J43:S43" si="14">J11+J19+J27+J34</f>
        <v>0</v>
      </c>
      <c r="K43" s="384">
        <f t="shared" si="14"/>
        <v>0</v>
      </c>
      <c r="L43" s="384">
        <f t="shared" si="14"/>
        <v>0</v>
      </c>
      <c r="M43" s="384">
        <f t="shared" si="14"/>
        <v>0</v>
      </c>
      <c r="N43" s="384">
        <f t="shared" si="14"/>
        <v>0</v>
      </c>
      <c r="O43" s="384">
        <f t="shared" si="14"/>
        <v>0</v>
      </c>
      <c r="P43" s="384">
        <f t="shared" si="14"/>
        <v>0</v>
      </c>
      <c r="Q43" s="384">
        <f t="shared" si="14"/>
        <v>0</v>
      </c>
      <c r="R43" s="384">
        <f t="shared" si="14"/>
        <v>0</v>
      </c>
      <c r="S43" s="384">
        <f t="shared" si="14"/>
        <v>0</v>
      </c>
    </row>
    <row r="44" spans="9:19" ht="16.5" customHeight="1" x14ac:dyDescent="0.25">
      <c r="I44" s="373"/>
      <c r="J44" s="373"/>
      <c r="K44" s="373"/>
      <c r="L44" s="373"/>
      <c r="M44" s="373"/>
      <c r="N44" s="373"/>
      <c r="O44" s="373"/>
      <c r="P44" s="373"/>
      <c r="Q44" s="373"/>
      <c r="R44" s="373"/>
      <c r="S44" s="373"/>
    </row>
    <row r="45" spans="9:19" ht="16.5" customHeight="1" x14ac:dyDescent="0.25">
      <c r="I45" s="373"/>
      <c r="J45" s="373"/>
      <c r="K45" s="373"/>
      <c r="L45" s="373"/>
      <c r="M45" s="373"/>
      <c r="N45" s="373"/>
      <c r="O45" s="373"/>
      <c r="P45" s="373"/>
      <c r="Q45" s="373"/>
      <c r="R45" s="373"/>
      <c r="S45" s="373"/>
    </row>
    <row r="46" spans="9:19" ht="6" customHeight="1" x14ac:dyDescent="0.25">
      <c r="I46" s="373"/>
      <c r="J46" s="373"/>
      <c r="K46" s="373"/>
      <c r="L46" s="373"/>
      <c r="M46" s="373"/>
      <c r="N46" s="373"/>
      <c r="O46" s="373"/>
      <c r="P46" s="373"/>
      <c r="Q46" s="373"/>
      <c r="R46" s="373"/>
      <c r="S46" s="373"/>
    </row>
    <row r="47" spans="9:19" ht="19.5" customHeight="1" x14ac:dyDescent="0.25"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</row>
    <row r="48" spans="9:19" ht="16.5" customHeight="1" x14ac:dyDescent="0.25">
      <c r="I48" s="373"/>
      <c r="J48" s="373"/>
      <c r="K48" s="373"/>
      <c r="L48" s="373"/>
      <c r="M48" s="373"/>
      <c r="N48" s="373"/>
      <c r="O48" s="373"/>
      <c r="P48" s="373"/>
      <c r="Q48" s="373"/>
      <c r="R48" s="373"/>
      <c r="S48" s="373"/>
    </row>
    <row r="49" spans="9:19" ht="16.5" customHeight="1" x14ac:dyDescent="0.25">
      <c r="I49" s="373"/>
      <c r="J49" s="373"/>
      <c r="K49" s="373"/>
      <c r="L49" s="373"/>
      <c r="M49" s="373"/>
      <c r="N49" s="373"/>
      <c r="O49" s="373"/>
      <c r="P49" s="373"/>
      <c r="Q49" s="373"/>
      <c r="R49" s="373"/>
      <c r="S49" s="373"/>
    </row>
    <row r="50" spans="9:19" ht="16.5" customHeight="1" x14ac:dyDescent="0.25"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</row>
    <row r="51" spans="9:19" ht="16.5" customHeight="1" x14ac:dyDescent="0.25">
      <c r="I51" s="373"/>
      <c r="J51" s="373"/>
      <c r="K51" s="373"/>
      <c r="L51" s="373"/>
      <c r="M51" s="373"/>
      <c r="N51" s="373"/>
      <c r="O51" s="373"/>
      <c r="P51" s="373"/>
      <c r="Q51" s="373"/>
      <c r="R51" s="373"/>
      <c r="S51" s="373"/>
    </row>
    <row r="52" spans="9:19" ht="16.5" customHeight="1" x14ac:dyDescent="0.25"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</row>
    <row r="53" spans="9:19" ht="6" customHeight="1" x14ac:dyDescent="0.25">
      <c r="I53" s="373"/>
      <c r="J53" s="373"/>
      <c r="K53" s="373"/>
      <c r="L53" s="373"/>
      <c r="M53" s="373"/>
      <c r="N53" s="373"/>
      <c r="O53" s="373"/>
      <c r="P53" s="373"/>
      <c r="Q53" s="373"/>
      <c r="R53" s="373"/>
      <c r="S53" s="373"/>
    </row>
    <row r="54" spans="9:19" ht="21.75" customHeight="1" x14ac:dyDescent="0.25">
      <c r="I54" s="373"/>
      <c r="J54" s="373"/>
      <c r="K54" s="373"/>
      <c r="L54" s="373"/>
      <c r="M54" s="373"/>
      <c r="N54" s="373"/>
      <c r="O54" s="373"/>
      <c r="P54" s="373"/>
      <c r="Q54" s="373"/>
      <c r="R54" s="373"/>
      <c r="S54" s="373"/>
    </row>
    <row r="55" spans="9:19" ht="16.5" customHeight="1" x14ac:dyDescent="0.25">
      <c r="I55" s="373"/>
      <c r="J55" s="373"/>
      <c r="K55" s="373"/>
      <c r="L55" s="373"/>
      <c r="M55" s="373"/>
      <c r="N55" s="373"/>
      <c r="O55" s="373"/>
      <c r="P55" s="373"/>
      <c r="Q55" s="373"/>
      <c r="R55" s="373"/>
      <c r="S55" s="373"/>
    </row>
    <row r="56" spans="9:19" ht="16.5" customHeight="1" x14ac:dyDescent="0.25">
      <c r="I56" s="373"/>
      <c r="J56" s="373"/>
      <c r="K56" s="373"/>
      <c r="L56" s="373"/>
      <c r="M56" s="373"/>
      <c r="N56" s="373"/>
      <c r="O56" s="373"/>
      <c r="P56" s="373"/>
      <c r="Q56" s="373"/>
      <c r="R56" s="373"/>
      <c r="S56" s="373"/>
    </row>
    <row r="57" spans="9:19" ht="16.5" customHeight="1" x14ac:dyDescent="0.25"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</row>
    <row r="58" spans="9:19" ht="16.5" customHeight="1" x14ac:dyDescent="0.25"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</row>
    <row r="59" spans="9:19" ht="16.5" customHeight="1" x14ac:dyDescent="0.25"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</row>
    <row r="60" spans="9:19" ht="16.5" customHeight="1" x14ac:dyDescent="0.25">
      <c r="I60" s="373"/>
      <c r="J60" s="373"/>
      <c r="K60" s="373"/>
      <c r="L60" s="373"/>
      <c r="M60" s="373"/>
      <c r="N60" s="373"/>
      <c r="O60" s="373"/>
      <c r="P60" s="373"/>
      <c r="Q60" s="373"/>
      <c r="R60" s="373"/>
      <c r="S60" s="373"/>
    </row>
    <row r="61" spans="9:19" ht="16.5" customHeight="1" x14ac:dyDescent="0.25"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</row>
    <row r="62" spans="9:19" x14ac:dyDescent="0.25"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</row>
    <row r="63" spans="9:19" x14ac:dyDescent="0.25"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</row>
    <row r="64" spans="9:19" x14ac:dyDescent="0.25"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</row>
    <row r="65" spans="9:19" x14ac:dyDescent="0.25">
      <c r="I65" s="373"/>
      <c r="J65" s="373"/>
      <c r="K65" s="373"/>
      <c r="L65" s="373"/>
      <c r="M65" s="373"/>
      <c r="N65" s="373"/>
      <c r="O65" s="373"/>
      <c r="P65" s="373"/>
      <c r="Q65" s="373"/>
      <c r="R65" s="373"/>
      <c r="S65" s="373"/>
    </row>
    <row r="66" spans="9:19" x14ac:dyDescent="0.25"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</row>
    <row r="67" spans="9:19" x14ac:dyDescent="0.25"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</row>
    <row r="68" spans="9:19" x14ac:dyDescent="0.25"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</row>
    <row r="69" spans="9:19" x14ac:dyDescent="0.25"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</row>
    <row r="70" spans="9:19" x14ac:dyDescent="0.25"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</row>
  </sheetData>
  <mergeCells count="2">
    <mergeCell ref="A2:F2"/>
    <mergeCell ref="A1:F1"/>
  </mergeCells>
  <dataValidations count="1">
    <dataValidation type="list" sqref="J6 J14 J22" xr:uid="{00000000-0002-0000-1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Cover</vt:lpstr>
      <vt:lpstr>Prop Info</vt:lpstr>
      <vt:lpstr>Scenarios</vt:lpstr>
      <vt:lpstr>P&amp;L</vt:lpstr>
      <vt:lpstr>T-12 Analysis</vt:lpstr>
      <vt:lpstr>Acquisition Costs</vt:lpstr>
      <vt:lpstr>Staffing Matrix</vt:lpstr>
      <vt:lpstr>Rent Roll Analysis</vt:lpstr>
      <vt:lpstr>Rental Comps</vt:lpstr>
      <vt:lpstr>Capex</vt:lpstr>
      <vt:lpstr>Exit Strategy</vt:lpstr>
      <vt:lpstr>Waterfall</vt:lpstr>
      <vt:lpstr>LP Return Illustration</vt:lpstr>
      <vt:lpstr>Sensitivity</vt:lpstr>
      <vt:lpstr>XIRR Analysis</vt:lpstr>
      <vt:lpstr>Loans</vt:lpstr>
      <vt:lpstr>Beds</vt:lpstr>
      <vt:lpstr>EGI</vt:lpstr>
      <vt:lpstr>Total_LPA_Equity</vt:lpstr>
      <vt:lpstr>Total_Payroll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</cp:lastModifiedBy>
  <cp:revision>0</cp:revision>
  <dcterms:created xsi:type="dcterms:W3CDTF">2026-03-25T21:57:35Z</dcterms:created>
  <dcterms:modified xsi:type="dcterms:W3CDTF">2026-05-27T18:48:44Z</dcterms:modified>
  <dc:language>en-US</dc:language>
</cp:coreProperties>
</file>