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4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5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5" yWindow="135" windowWidth="32115" windowHeight="20970" tabRatio="894" firstSheet="0" activeTab="7" autoFilterDateGrouping="1"/>
  </bookViews>
  <sheets>
    <sheet name="Cover" sheetId="1" state="visible" r:id="rId1"/>
    <sheet name="Prop Info" sheetId="2" state="visible" r:id="rId2"/>
    <sheet name="Scenarios" sheetId="3" state="visible" r:id="rId3"/>
    <sheet name="P&amp;L" sheetId="4" state="visible" r:id="rId4"/>
    <sheet name="T-12 Analysis" sheetId="5" state="visible" r:id="rId5"/>
    <sheet name="Acquisition Costs" sheetId="6" state="visible" r:id="rId6"/>
    <sheet name="Staffing Matrix" sheetId="7" state="visible" r:id="rId7"/>
    <sheet name="Rent Roll Analysis" sheetId="8" state="visible" r:id="rId8"/>
    <sheet name="Rental Comps" sheetId="9" state="visible" r:id="rId9"/>
    <sheet name="Capex" sheetId="10" state="visible" r:id="rId10"/>
    <sheet name="Exit Strategy" sheetId="11" state="visible" r:id="rId11"/>
    <sheet name="Waterfall" sheetId="12" state="visible" r:id="rId12"/>
    <sheet name="LP Return Illustration" sheetId="13" state="visible" r:id="rId13"/>
    <sheet name="Sensitivity" sheetId="14" state="visible" r:id="rId14"/>
    <sheet name="XIRR Analysis" sheetId="15" state="visible" r:id="rId15"/>
    <sheet name="Loans" sheetId="16" state="visible" r:id="rId16"/>
  </sheets>
  <definedNames>
    <definedName name="Beds">'Prop Info'!$B$15</definedName>
    <definedName name="EGI">Scenarios!$F$50</definedName>
    <definedName name="Total_LPA_Equity">Scenarios!$F$33</definedName>
    <definedName name="Total_Payroll">'Staffing Matrix'!$M$67</definedName>
    <definedName name="Units">Scenarios!$B$8</definedName>
    <definedName name="_xlnm._FilterDatabase" localSheetId="7" hidden="1">'Rent Roll Analysis'!$A$210:$AB$387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31">
    <numFmt numFmtId="164" formatCode="#,##0;\(#,##0\);\-"/>
    <numFmt numFmtId="165" formatCode="0.0%;\(0.0%\);\-"/>
    <numFmt numFmtId="166" formatCode="\$#,##0;&quot;($&quot;#,##0\);\-"/>
    <numFmt numFmtId="167" formatCode="0.00%;\(0.00%\);\-"/>
    <numFmt numFmtId="168" formatCode="0.00\x;\(0.00&quot;x)&quot;;\-"/>
    <numFmt numFmtId="169" formatCode="0.00\x"/>
    <numFmt numFmtId="170" formatCode="0.0%"/>
    <numFmt numFmtId="171" formatCode="\$#,##0.00_);[Red]&quot;($&quot;#,##0.00\)"/>
    <numFmt numFmtId="172" formatCode="_(\$* #,##0.00_);_(\$* \(#,##0.00\);_(\$* \-??_);_(@_)"/>
    <numFmt numFmtId="173" formatCode="#,##0.0;\(#,##0.0\);\-"/>
    <numFmt numFmtId="174" formatCode="\$#,##0_);[Red]&quot;($&quot;#,##0\)"/>
    <numFmt numFmtId="175" formatCode="0.0%;\(0.0%\)"/>
    <numFmt numFmtId="176" formatCode="#,##0.00;\(#,##0.00\);\-"/>
    <numFmt numFmtId="177" formatCode="\$#,##0.00;&quot;($&quot;#,##0.00\);\-"/>
    <numFmt numFmtId="178" formatCode="\$#,##0;&quot;($&quot;#,##0\)"/>
    <numFmt numFmtId="179" formatCode="0.000%"/>
    <numFmt numFmtId="180" formatCode="\$#,##0"/>
    <numFmt numFmtId="181" formatCode="\+0.00\x;\-0.00\x"/>
    <numFmt numFmtId="182" formatCode="0&quot; yrs&quot;"/>
    <numFmt numFmtId="183" formatCode="\+0.00%;\-0.00%"/>
    <numFmt numFmtId="184" formatCode="\$#,##0;\(\$#,##0\)"/>
    <numFmt numFmtId="185" formatCode="&quot;$&quot;#,##0;\(&quot;$&quot;#,##0\);\-"/>
    <numFmt numFmtId="186" formatCode="&quot;$&quot;#,##0"/>
    <numFmt numFmtId="187" formatCode="mm/dd/yyyy"/>
    <numFmt numFmtId="188" formatCode="0.0"/>
    <numFmt numFmtId="189" formatCode="&quot;$&quot;#,##0.00"/>
    <numFmt numFmtId="190" formatCode="&quot;$&quot;#,##0;\(&quot;$&quot;#,##0\)"/>
    <numFmt numFmtId="191" formatCode="&quot;$&quot;0.00"/>
    <numFmt numFmtId="192" formatCode="0.0&quot; mo&quot;"/>
    <numFmt numFmtId="193" formatCode="&quot;$&quot;#,##0.00;\(&quot;$&quot;#,##0.00\);\-"/>
    <numFmt numFmtId="194" formatCode="\$#,##0.00"/>
  </numFmts>
  <fonts count="109">
    <font>
      <name val="Calibri"/>
      <charset val="1"/>
      <family val="2"/>
      <color theme="1"/>
      <sz val="11"/>
    </font>
    <font>
      <name val="Arial"/>
      <charset val="1"/>
      <family val="2"/>
      <b val="1"/>
      <color rgb="FFFFFFFF"/>
      <sz val="16"/>
    </font>
    <font>
      <name val="Arial"/>
      <charset val="1"/>
      <family val="2"/>
      <i val="1"/>
      <color rgb="FFFFFFFF"/>
      <sz val="10"/>
    </font>
    <font>
      <name val="Arial"/>
      <charset val="1"/>
      <family val="2"/>
      <b val="1"/>
      <color rgb="FFFFFFFF"/>
      <sz val="11"/>
    </font>
    <font>
      <name val="Arial"/>
      <charset val="1"/>
      <family val="2"/>
      <color rgb="FF000000"/>
      <sz val="10"/>
    </font>
    <font>
      <name val="Arial"/>
      <charset val="1"/>
      <family val="2"/>
      <color rgb="FF006100"/>
      <sz val="10"/>
    </font>
    <font>
      <name val="Arial"/>
      <charset val="1"/>
      <family val="2"/>
      <i val="1"/>
      <color rgb="FF595959"/>
      <sz val="10"/>
    </font>
    <font>
      <name val="Arial"/>
      <charset val="1"/>
      <family val="2"/>
      <color rgb="FF595959"/>
      <sz val="10"/>
    </font>
    <font>
      <name val="Arial"/>
      <charset val="1"/>
      <family val="2"/>
      <b val="1"/>
      <color rgb="FFFFFFFF"/>
      <sz val="9"/>
    </font>
    <font>
      <name val="Arial"/>
      <charset val="1"/>
      <family val="2"/>
      <b val="1"/>
      <i val="1"/>
      <color rgb="FF595959"/>
      <sz val="9"/>
    </font>
    <font>
      <name val="Arial"/>
      <charset val="1"/>
      <family val="2"/>
      <sz val="10"/>
    </font>
    <font>
      <name val="Arial"/>
      <charset val="1"/>
      <family val="2"/>
      <b val="1"/>
      <color rgb="FFFFFFFF"/>
      <sz val="10"/>
    </font>
    <font>
      <name val="Arial"/>
      <charset val="1"/>
      <family val="2"/>
      <b val="1"/>
      <color rgb="FF006100"/>
      <sz val="10"/>
    </font>
    <font>
      <name val="Arial"/>
      <charset val="1"/>
      <family val="2"/>
      <i val="1"/>
      <color rgb="FF595959"/>
      <sz val="9"/>
    </font>
    <font>
      <name val="Arial"/>
      <charset val="1"/>
      <family val="2"/>
      <b val="1"/>
      <sz val="10"/>
    </font>
    <font>
      <name val="Arial"/>
      <charset val="1"/>
      <family val="2"/>
      <b val="1"/>
      <color rgb="FF000000"/>
      <sz val="10"/>
    </font>
    <font>
      <name val="Arial"/>
      <charset val="1"/>
      <family val="2"/>
      <color rgb="FF0000FF"/>
      <sz val="10"/>
    </font>
    <font>
      <name val="Arial"/>
      <charset val="1"/>
      <family val="2"/>
      <b val="1"/>
      <color rgb="FFFFFFFF"/>
      <sz val="12"/>
    </font>
    <font>
      <name val="Arial"/>
      <charset val="1"/>
      <family val="2"/>
      <color theme="1"/>
      <sz val="10"/>
    </font>
    <font>
      <name val="Arial"/>
      <charset val="1"/>
      <family val="2"/>
      <i val="1"/>
      <color rgb="FF006100"/>
      <sz val="9"/>
    </font>
    <font>
      <name val="Arial"/>
      <charset val="1"/>
      <family val="2"/>
      <color rgb="FF7F6000"/>
      <sz val="10"/>
    </font>
    <font>
      <name val="Arial"/>
      <charset val="1"/>
      <family val="2"/>
      <i val="1"/>
      <color rgb="FF0000FF"/>
      <sz val="10"/>
    </font>
    <font>
      <name val="Calibri"/>
      <charset val="1"/>
      <family val="2"/>
      <color rgb="FF7030A0"/>
      <sz val="11"/>
    </font>
    <font>
      <name val="Arial"/>
      <charset val="1"/>
      <family val="2"/>
      <b val="1"/>
      <color theme="0"/>
      <sz val="10"/>
    </font>
    <font>
      <name val="Arial"/>
      <charset val="1"/>
      <family val="2"/>
      <i val="1"/>
      <color theme="0"/>
      <sz val="9"/>
    </font>
    <font>
      <name val="Arial"/>
      <charset val="1"/>
      <family val="2"/>
      <color rgb="FFBFBFBF"/>
      <sz val="10"/>
    </font>
    <font>
      <name val="Arial"/>
      <charset val="1"/>
      <family val="2"/>
      <b val="1"/>
      <color rgb="FF0000FF"/>
      <sz val="10"/>
    </font>
    <font>
      <name val="Arial"/>
      <charset val="1"/>
      <family val="2"/>
      <b val="1"/>
      <color rgb="FF0000FF"/>
      <sz val="9"/>
    </font>
    <font>
      <name val="Arial"/>
      <charset val="1"/>
      <family val="2"/>
      <b val="1"/>
      <color rgb="FF375623"/>
      <sz val="10"/>
    </font>
    <font>
      <name val="Arial"/>
      <charset val="1"/>
      <family val="2"/>
      <i val="1"/>
      <color rgb="FF375623"/>
      <sz val="10"/>
    </font>
    <font>
      <name val="Arial"/>
      <charset val="1"/>
      <family val="2"/>
      <color rgb="FF375623"/>
      <sz val="10"/>
    </font>
    <font>
      <name val="Arial"/>
      <charset val="1"/>
      <family val="2"/>
      <i val="1"/>
      <color rgb="FF000000"/>
      <sz val="10"/>
    </font>
    <font>
      <name val="Arial"/>
      <charset val="1"/>
      <family val="2"/>
      <i val="1"/>
      <color rgb="FF000000"/>
      <sz val="9"/>
    </font>
    <font>
      <name val="Arial"/>
      <charset val="1"/>
      <family val="2"/>
      <color rgb="FF000000"/>
      <sz val="9"/>
    </font>
    <font>
      <name val="Arial"/>
      <charset val="1"/>
      <family val="2"/>
      <i val="1"/>
      <color rgb="FF375623"/>
      <sz val="9"/>
    </font>
    <font>
      <name val="Arial"/>
      <charset val="1"/>
      <family val="2"/>
      <i val="1"/>
      <color rgb="FF7030A0"/>
      <sz val="9"/>
    </font>
    <font>
      <name val="Arial"/>
      <charset val="1"/>
      <family val="2"/>
      <i val="1"/>
      <color rgb="FF7F6000"/>
      <sz val="10"/>
    </font>
    <font>
      <name val="Arial"/>
      <charset val="1"/>
      <family val="2"/>
      <b val="1"/>
      <color rgb="FF1F3864"/>
      <sz val="10"/>
    </font>
    <font>
      <name val="Arial"/>
      <charset val="1"/>
      <family val="2"/>
      <color theme="0" tint="-0.249977111117893"/>
      <sz val="8"/>
    </font>
    <font>
      <name val="Arial"/>
      <charset val="1"/>
      <family val="2"/>
      <color rgb="FFFF0000"/>
      <sz val="10"/>
    </font>
    <font>
      <name val="Arial"/>
      <charset val="1"/>
      <family val="2"/>
      <b val="1"/>
      <color rgb="FF375623"/>
      <sz val="11"/>
    </font>
    <font>
      <name val="Arial"/>
      <charset val="1"/>
      <family val="2"/>
      <i val="1"/>
      <color rgb="FF7F6000"/>
      <sz val="9"/>
    </font>
    <font>
      <name val="Arial"/>
      <charset val="1"/>
      <family val="2"/>
      <b val="1"/>
      <color rgb="FF7F6000"/>
      <sz val="10"/>
    </font>
    <font>
      <name val="Arial"/>
      <charset val="1"/>
      <family val="2"/>
      <i val="1"/>
      <color rgb="FF595959"/>
      <sz val="8"/>
    </font>
    <font>
      <name val="Arial"/>
      <charset val="1"/>
      <family val="2"/>
      <b val="1"/>
      <color rgb="FFFFFFFF"/>
      <sz val="13"/>
    </font>
    <font>
      <name val="Arial"/>
      <charset val="1"/>
      <family val="2"/>
      <color rgb="FFFFFFFF"/>
      <sz val="6"/>
    </font>
    <font>
      <name val="Arial"/>
      <charset val="1"/>
      <family val="2"/>
      <sz val="9"/>
    </font>
    <font>
      <name val="Arial"/>
      <charset val="1"/>
      <family val="2"/>
      <i val="1"/>
      <sz val="9"/>
    </font>
    <font>
      <name val="Arial"/>
      <charset val="1"/>
      <family val="2"/>
      <b val="1"/>
      <color rgb="FF000000"/>
      <sz val="9"/>
    </font>
    <font>
      <name val="Arial"/>
      <charset val="1"/>
      <family val="2"/>
      <b val="1"/>
      <color rgb="FFFF0000"/>
      <sz val="10"/>
    </font>
    <font>
      <name val="Calibri"/>
      <charset val="1"/>
      <family val="2"/>
      <sz val="11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2"/>
    </font>
    <font>
      <name val="Calibri"/>
      <family val="2"/>
      <i val="1"/>
      <color rgb="FF595959"/>
      <sz val="10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B050"/>
      <sz val="10"/>
    </font>
    <font>
      <name val="Calibri"/>
      <family val="2"/>
      <color rgb="FF595959"/>
      <sz val="10"/>
    </font>
    <font>
      <name val="Calibri"/>
      <family val="2"/>
      <i val="1"/>
      <color rgb="FF000000"/>
      <sz val="10"/>
    </font>
    <font>
      <name val="Calibri"/>
      <family val="2"/>
      <i val="1"/>
      <color rgb="FFC00000"/>
      <sz val="10"/>
    </font>
    <font>
      <name val="Calibri"/>
      <family val="2"/>
      <b val="1"/>
      <color rgb="FF595959"/>
      <sz val="10"/>
    </font>
    <font>
      <name val="Calibri"/>
      <family val="2"/>
      <b val="1"/>
      <color rgb="FFFFFFFF"/>
      <sz val="9"/>
    </font>
    <font>
      <name val="Calibri"/>
      <family val="2"/>
      <b val="1"/>
      <color rgb="FFFFFFFF"/>
      <sz val="10"/>
    </font>
    <font>
      <name val="Calibri"/>
      <family val="2"/>
      <i val="1"/>
      <color rgb="FF595959"/>
      <sz val="9"/>
    </font>
    <font>
      <name val="Calibri"/>
      <family val="2"/>
      <color rgb="FF1F3864"/>
      <sz val="9"/>
    </font>
    <font>
      <name val="Calibri"/>
      <family val="2"/>
      <b val="1"/>
      <color rgb="FF000000"/>
      <sz val="9"/>
    </font>
    <font>
      <name val="Calibri"/>
      <family val="2"/>
      <sz val="11"/>
    </font>
    <font>
      <name val="Calibri"/>
      <family val="2"/>
      <b val="1"/>
      <color rgb="FFFFFFFF"/>
      <sz val="11"/>
    </font>
    <font>
      <name val="Calibri"/>
      <family val="2"/>
      <b val="1"/>
      <color rgb="FF1F3864"/>
      <sz val="9"/>
    </font>
    <font>
      <name val="Calibri"/>
      <family val="2"/>
      <i val="1"/>
      <color rgb="FF595959"/>
      <sz val="8"/>
    </font>
    <font>
      <name val="Calibri"/>
      <family val="2"/>
      <b val="1"/>
      <sz val="11"/>
    </font>
    <font>
      <name val="Calibri"/>
      <family val="2"/>
      <b val="1"/>
      <sz val="11"/>
    </font>
    <font>
      <name val="Arial"/>
      <family val="2"/>
      <color rgb="FF000000"/>
      <sz val="10"/>
    </font>
    <font>
      <name val="Arial"/>
      <family val="2"/>
      <b val="1"/>
      <color rgb="FFFFFFFF"/>
      <sz val="11"/>
    </font>
    <font>
      <name val="Arial"/>
      <family val="2"/>
      <b val="1"/>
      <color rgb="FF000000"/>
      <sz val="10"/>
    </font>
    <font>
      <name val="Arial"/>
      <family val="2"/>
      <color rgb="FF006100"/>
      <sz val="10"/>
    </font>
    <font>
      <name val="Arial"/>
      <family val="2"/>
      <b val="1"/>
      <color rgb="FF006100"/>
      <sz val="10"/>
    </font>
    <font>
      <name val="Arial"/>
      <family val="2"/>
      <b val="1"/>
      <color rgb="FFFFFFFF"/>
      <sz val="10"/>
    </font>
    <font>
      <name val="Arial"/>
      <family val="2"/>
      <b val="1"/>
      <i val="1"/>
      <color rgb="FF595959"/>
      <sz val="9"/>
    </font>
    <font>
      <name val="Arial"/>
      <family val="2"/>
      <i val="1"/>
      <color rgb="FF595959"/>
      <sz val="9"/>
    </font>
    <font>
      <name val="Arial"/>
      <family val="2"/>
      <b val="1"/>
      <i val="1"/>
      <color rgb="FF006100"/>
      <sz val="9"/>
    </font>
    <font>
      <name val="Arial"/>
      <family val="2"/>
      <i val="1"/>
      <color rgb="FF006100"/>
      <sz val="9"/>
    </font>
    <font>
      <name val="Arial"/>
      <family val="2"/>
      <b val="1"/>
      <i val="1"/>
      <color rgb="FF000000"/>
      <sz val="9"/>
    </font>
    <font>
      <name val="Arial"/>
      <family val="2"/>
      <i val="1"/>
      <color rgb="FF000000"/>
      <sz val="9"/>
    </font>
    <font>
      <name val="Calibri"/>
      <family val="2"/>
      <color rgb="FF0000FF"/>
      <sz val="11"/>
    </font>
    <font>
      <name val="Calibri"/>
      <family val="2"/>
      <color rgb="FF0000FF"/>
      <sz val="10"/>
    </font>
    <font>
      <name val="Tahoma"/>
      <family val="2"/>
      <color indexed="81"/>
      <sz val="10"/>
    </font>
    <font>
      <name val="Tahoma"/>
      <family val="2"/>
      <b val="1"/>
      <color indexed="81"/>
      <sz val="10"/>
    </font>
    <font>
      <name val="Calibri"/>
      <charset val="1"/>
      <family val="2"/>
      <b val="1"/>
      <color theme="1"/>
      <sz val="11"/>
    </font>
    <font>
      <name val="Calibri"/>
      <family val="2"/>
      <b val="1"/>
      <color rgb="FF0000FF"/>
      <sz val="9"/>
    </font>
    <font>
      <name val="Calibri"/>
      <charset val="1"/>
      <family val="2"/>
      <i val="1"/>
      <color theme="1"/>
      <sz val="11"/>
    </font>
    <font>
      <name val="Calibri"/>
      <charset val="1"/>
      <family val="2"/>
      <b val="1"/>
      <i val="1"/>
      <color theme="1"/>
      <sz val="11"/>
    </font>
    <font>
      <name val="Calibri"/>
      <charset val="1"/>
      <family val="2"/>
      <color theme="10"/>
      <sz val="11"/>
      <u val="single"/>
    </font>
    <font>
      <name val="Calibri"/>
      <family val="2"/>
      <b val="1"/>
      <color rgb="FF000000"/>
      <sz val="11"/>
    </font>
    <font>
      <name val="Calibri"/>
      <charset val="1"/>
      <family val="2"/>
      <color rgb="FF000000"/>
      <sz val="11"/>
    </font>
    <font>
      <name val="Calibri"/>
      <family val="2"/>
      <color rgb="FF000000"/>
      <sz val="11"/>
    </font>
    <font>
      <name val="Arial"/>
      <family val="2"/>
      <color rgb="FF0000FF"/>
      <sz val="10"/>
    </font>
    <font>
      <name val="Arial"/>
      <family val="2"/>
      <color theme="1"/>
      <sz val="11"/>
    </font>
    <font>
      <name val="Arial"/>
      <family val="2"/>
      <color theme="1"/>
      <sz val="10"/>
    </font>
    <font>
      <name val="Arial"/>
      <family val="2"/>
      <b val="1"/>
      <color rgb="FF0000FF"/>
      <sz val="10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Arial"/>
      <family val="2"/>
      <b val="1"/>
      <color rgb="FFFFFFFF"/>
      <sz val="14"/>
    </font>
    <font>
      <name val="Calibri"/>
      <charset val="1"/>
      <family val="2"/>
      <i val="1"/>
      <color rgb="FF595959"/>
      <sz val="9"/>
    </font>
    <font>
      <name val="Arial"/>
      <family val="2"/>
      <b val="1"/>
      <color rgb="FFFFFFFF"/>
      <sz val="9"/>
    </font>
    <font>
      <name val="Arial"/>
      <family val="2"/>
      <b val="1"/>
      <color rgb="FF1F3864"/>
      <sz val="10"/>
    </font>
    <font>
      <name val="Arial"/>
      <family val="2"/>
      <i val="1"/>
      <color rgb="FF000000"/>
      <sz val="10"/>
    </font>
    <font>
      <name val="Arial"/>
      <family val="2"/>
      <b val="1"/>
      <i val="1"/>
      <color rgb="FF000000"/>
      <sz val="10"/>
    </font>
    <font>
      <name val="Arial"/>
      <family val="2"/>
      <b val="1"/>
      <color rgb="FFFFFFFF"/>
      <sz val="12"/>
    </font>
  </fonts>
  <fills count="49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4472C4"/>
        <bgColor rgb="FF2E75B6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1F7A6E"/>
        <bgColor rgb="FF008080"/>
      </patternFill>
    </fill>
    <fill>
      <patternFill patternType="solid">
        <fgColor rgb="FFD6E4F0"/>
        <bgColor rgb="FFDCE6F1"/>
      </patternFill>
    </fill>
    <fill>
      <patternFill patternType="solid">
        <fgColor rgb="FFE2EFDA"/>
        <bgColor rgb="FFDCE6F1"/>
      </patternFill>
    </fill>
    <fill>
      <patternFill patternType="solid">
        <fgColor rgb="FF2E75B6"/>
        <bgColor rgb="FF4472C4"/>
      </patternFill>
    </fill>
    <fill>
      <patternFill patternType="solid">
        <fgColor rgb="FFDCE6F1"/>
        <bgColor rgb="FFD6E4F0"/>
      </patternFill>
    </fill>
    <fill>
      <patternFill patternType="solid">
        <fgColor rgb="FFFFFF99"/>
        <bgColor rgb="FFFFFFCC"/>
      </patternFill>
    </fill>
    <fill>
      <patternFill patternType="solid">
        <fgColor rgb="FF375623"/>
        <bgColor rgb="FF595959"/>
      </patternFill>
    </fill>
    <fill>
      <patternFill patternType="solid">
        <fgColor rgb="FF7030A0"/>
        <bgColor rgb="FF993366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FFFCC"/>
      </patternFill>
    </fill>
    <fill>
      <patternFill patternType="solid">
        <fgColor theme="0" tint="-0.1499984740745262"/>
        <bgColor rgb="FFEAD1DC"/>
      </patternFill>
    </fill>
    <fill>
      <patternFill patternType="solid">
        <fgColor rgb="FFEAD1DC"/>
        <bgColor rgb="FFD9D9D9"/>
      </patternFill>
    </fill>
    <fill>
      <patternFill patternType="solid">
        <fgColor rgb="FF92D050"/>
        <bgColor rgb="FFBFBFBF"/>
      </patternFill>
    </fill>
    <fill>
      <patternFill patternType="solid">
        <fgColor rgb="FFC9A227"/>
        <bgColor rgb="FFFFCC00"/>
      </patternFill>
    </fill>
    <fill>
      <patternFill patternType="solid">
        <fgColor rgb="FF7F6000"/>
        <bgColor rgb="FF595959"/>
      </patternFill>
    </fill>
    <fill>
      <patternFill patternType="solid">
        <fgColor rgb="FFC6EBD8"/>
        <bgColor rgb="FFD6E4F0"/>
      </patternFill>
    </fill>
    <fill>
      <patternFill patternType="solid">
        <fgColor rgb="FF595959"/>
        <bgColor rgb="FF375623"/>
      </patternFill>
    </fill>
    <fill>
      <patternFill patternType="solid">
        <fgColor rgb="FFFFFFCC"/>
        <bgColor rgb="FFFFF2CC"/>
      </patternFill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EBF0F7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D9E1F2"/>
      </patternFill>
    </fill>
    <fill>
      <patternFill patternType="solid">
        <fgColor rgb="FFBDD7EE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1F386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1F7A6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0F224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FBFBF"/>
        <bgColor indexed="64"/>
      </patternFill>
    </fill>
  </fills>
  <borders count="7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/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rgb="FF1F3864"/>
      </top>
      <bottom style="thin">
        <color rgb="FFBFBFBF"/>
      </bottom>
      <diagonal/>
    </border>
    <border>
      <left/>
      <right/>
      <top style="medium">
        <color rgb="FF1F3864"/>
      </top>
      <bottom/>
      <diagonal/>
    </border>
    <border>
      <left style="medium">
        <color rgb="FF1F3864"/>
      </left>
      <right style="thin">
        <color rgb="FFBFBFBF"/>
      </right>
      <top style="medium">
        <color rgb="FF1F3864"/>
      </top>
      <bottom style="thin">
        <color rgb="FFBFBFBF"/>
      </bottom>
      <diagonal/>
    </border>
    <border>
      <left style="medium">
        <color rgb="FF1F38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thin">
        <color rgb="FFBFBFBF"/>
      </right>
      <top/>
      <bottom/>
      <diagonal/>
    </border>
    <border>
      <left style="medium">
        <color rgb="FF1F3864"/>
      </left>
      <right/>
      <top/>
      <bottom/>
      <diagonal/>
    </border>
    <border>
      <left/>
      <right style="thin">
        <color rgb="FF1F3864"/>
      </right>
      <top/>
      <bottom/>
      <diagonal/>
    </border>
    <border>
      <left/>
      <right style="medium">
        <color rgb="FF1F3864"/>
      </right>
      <top style="medium">
        <color rgb="FF1F3864"/>
      </top>
      <bottom/>
      <diagonal/>
    </border>
    <border>
      <left/>
      <right style="medium">
        <color rgb="FF1F3864"/>
      </right>
      <top/>
      <bottom/>
      <diagonal/>
    </border>
    <border>
      <left style="medium">
        <color rgb="FF1F3864"/>
      </left>
      <right style="thin">
        <color rgb="FFBFBFBF"/>
      </right>
      <top style="thin">
        <color rgb="FFBFBFBF"/>
      </top>
      <bottom/>
      <diagonal/>
    </border>
    <border>
      <left/>
      <right style="medium">
        <color rgb="FF1F3864"/>
      </right>
      <top style="thin">
        <color rgb="FFBFBFBF"/>
      </top>
      <bottom style="thin">
        <color rgb="FFBFBFBF"/>
      </bottom>
      <diagonal/>
    </border>
    <border>
      <left/>
      <right style="medium">
        <color rgb="FF1F3864"/>
      </right>
      <top style="thin">
        <color rgb="FFBFBFBF"/>
      </top>
      <bottom/>
      <diagonal/>
    </border>
    <border>
      <left style="medium">
        <color rgb="FF1F3864"/>
      </left>
      <right style="thin">
        <color rgb="FFBFBFBF"/>
      </right>
      <top style="thin">
        <color rgb="FFBFBFBF"/>
      </top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medium">
        <color rgb="FF1F3864"/>
      </right>
      <top/>
      <bottom style="thin">
        <color rgb="FFD9D9D9"/>
      </bottom>
      <diagonal/>
    </border>
    <border>
      <left style="medium">
        <color rgb="FF1F3864"/>
      </left>
      <right style="thin">
        <color rgb="FFBFBFBF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medium">
        <color rgb="FF1F3864"/>
      </right>
      <top style="thin">
        <color rgb="FFD9D9D9"/>
      </top>
      <bottom style="thin">
        <color rgb="FFD9D9D9"/>
      </bottom>
      <diagonal/>
    </border>
    <border>
      <left/>
      <right style="thin">
        <color rgb="FFBFBFBF"/>
      </right>
      <top style="thin">
        <color rgb="FFD9D9D9"/>
      </top>
      <bottom style="thin">
        <color rgb="FFD9D9D9"/>
      </bottom>
      <diagonal/>
    </border>
    <border>
      <left style="medium">
        <color rgb="FF1F3864"/>
      </left>
      <right style="thin">
        <color rgb="FFBFBFBF"/>
      </right>
      <top style="thin">
        <color rgb="FFD9D9D9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D9D9D9"/>
      </top>
      <bottom style="thin">
        <color rgb="FFBFBFBF"/>
      </bottom>
      <diagonal/>
    </border>
    <border>
      <left/>
      <right/>
      <top style="thin">
        <color rgb="FFD9D9D9"/>
      </top>
      <bottom/>
      <diagonal/>
    </border>
    <border>
      <left/>
      <right style="medium">
        <color rgb="FF1F3864"/>
      </right>
      <top style="thin">
        <color rgb="FFD9D9D9"/>
      </top>
      <bottom/>
      <diagonal/>
    </border>
    <border>
      <left style="medium">
        <color rgb="FF1F3864"/>
      </left>
      <right style="thin">
        <color rgb="FFBFBFBF"/>
      </right>
      <top/>
      <bottom style="thin">
        <color rgb="FFD9D9D9"/>
      </bottom>
      <diagonal/>
    </border>
    <border>
      <left style="medium">
        <color rgb="FF1F3864"/>
      </left>
      <right/>
      <top style="thin">
        <color rgb="FFD9D9D9"/>
      </top>
      <bottom style="thin">
        <color rgb="FFD9D9D9"/>
      </bottom>
      <diagonal/>
    </border>
    <border>
      <left style="medium">
        <color rgb="FF1F3864"/>
      </left>
      <right/>
      <top style="thin">
        <color rgb="FFD9D9D9"/>
      </top>
      <bottom style="medium">
        <color rgb="FF1F3864"/>
      </bottom>
      <diagonal/>
    </border>
    <border>
      <left/>
      <right/>
      <top style="thin">
        <color rgb="FFD9D9D9"/>
      </top>
      <bottom style="medium">
        <color rgb="FF1F3864"/>
      </bottom>
      <diagonal/>
    </border>
    <border>
      <left/>
      <right style="medium">
        <color rgb="FF1F3864"/>
      </right>
      <top style="thin">
        <color rgb="FFD9D9D9"/>
      </top>
      <bottom style="medium">
        <color rgb="FF1F3864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D9D9D9"/>
      </bottom>
      <diagonal/>
    </border>
    <border>
      <left style="thin">
        <color rgb="FFBFBFBF"/>
      </left>
      <right/>
      <top style="thin">
        <color rgb="FFD9D9D9"/>
      </top>
      <bottom style="thin">
        <color rgb="FFD9D9D9"/>
      </bottom>
      <diagonal/>
    </border>
    <border>
      <left style="thin">
        <color rgb="FFBFBFBF"/>
      </left>
      <right/>
      <top style="thin">
        <color rgb="FFD9D9D9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D9D9D9"/>
      </bottom>
      <diagonal/>
    </border>
    <border>
      <left/>
      <right style="thin">
        <color rgb="FFBFBFBF"/>
      </right>
      <top style="thin">
        <color rgb="FFD9D9D9"/>
      </top>
      <bottom style="thin">
        <color rgb="FFBFBFBF"/>
      </bottom>
      <diagonal/>
    </border>
    <border>
      <left/>
      <right style="thin">
        <color rgb="FF1F3864"/>
      </right>
      <top style="medium">
        <color rgb="FF1F3864"/>
      </top>
      <bottom style="thin">
        <color rgb="FFBFBFBF"/>
      </bottom>
      <diagonal/>
    </border>
    <border>
      <left style="thin">
        <color rgb="FFBFBFBF"/>
      </left>
      <right style="thin">
        <color rgb="FF1F3864"/>
      </right>
      <top style="thin">
        <color rgb="FFBFBFBF"/>
      </top>
      <bottom style="thin">
        <color rgb="FFBFBFBF"/>
      </bottom>
      <diagonal/>
    </border>
    <border>
      <left/>
      <right style="thin">
        <color rgb="FF1F3864"/>
      </right>
      <top style="thin">
        <color rgb="FFBFBFBF"/>
      </top>
      <bottom/>
      <diagonal/>
    </border>
    <border>
      <left style="thin">
        <color rgb="FFBFBFBF"/>
      </left>
      <right style="thin">
        <color rgb="FF1F3864"/>
      </right>
      <top style="thin">
        <color rgb="FFBFBFBF"/>
      </top>
      <bottom style="thin">
        <color rgb="FFD9D9D9"/>
      </bottom>
      <diagonal/>
    </border>
    <border>
      <left style="thin">
        <color rgb="FFBFBFBF"/>
      </left>
      <right style="thin">
        <color rgb="FF1F3864"/>
      </right>
      <top style="thin">
        <color rgb="FFD9D9D9"/>
      </top>
      <bottom style="thin">
        <color rgb="FFD9D9D9"/>
      </bottom>
      <diagonal/>
    </border>
    <border>
      <left/>
      <right style="thin">
        <color rgb="FF1F3864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thin">
        <color rgb="FF1F3864"/>
      </right>
      <top style="thin">
        <color rgb="FFD9D9D9"/>
      </top>
      <bottom style="thin">
        <color rgb="FFBFBFBF"/>
      </bottom>
      <diagonal/>
    </border>
    <border>
      <left/>
      <right style="thin">
        <color rgb="FF1F3864"/>
      </right>
      <top/>
      <bottom style="thin">
        <color rgb="FFD9D9D9"/>
      </bottom>
      <diagonal/>
    </border>
    <border>
      <left/>
      <right style="thin">
        <color rgb="FF1F3864"/>
      </right>
      <top style="thin">
        <color rgb="FFD9D9D9"/>
      </top>
      <bottom style="medium">
        <color rgb="FF1F3864"/>
      </bottom>
      <diagonal/>
    </border>
    <border>
      <left/>
      <right style="medium">
        <color rgb="FF1F3864"/>
      </right>
      <top style="medium">
        <color rgb="FF1F3864"/>
      </top>
      <bottom style="thin">
        <color rgb="FFBFBFBF"/>
      </bottom>
      <diagonal/>
    </border>
    <border>
      <left style="thin">
        <color rgb="FFBFBFBF"/>
      </left>
      <right style="medium">
        <color rgb="FF1F3864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1F3864"/>
      </right>
      <top style="thin">
        <color rgb="FFBFBFBF"/>
      </top>
      <bottom style="thin">
        <color rgb="FFD9D9D9"/>
      </bottom>
      <diagonal/>
    </border>
    <border>
      <left style="thin">
        <color rgb="FFBFBFBF"/>
      </left>
      <right style="medium">
        <color rgb="FF1F3864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medium">
        <color rgb="FF1F3864"/>
      </right>
      <top style="thin">
        <color rgb="FFD9D9D9"/>
      </top>
      <bottom style="thin">
        <color rgb="FFBFBFBF"/>
      </bottom>
      <diagonal/>
    </border>
    <border>
      <left style="medium">
        <color rgb="FF1F3864"/>
      </left>
      <right style="thin">
        <color rgb="FF1F3864"/>
      </right>
      <top style="medium">
        <color rgb="FF1F3864"/>
      </top>
      <bottom style="thin">
        <color rgb="FFBFBFBF"/>
      </bottom>
      <diagonal/>
    </border>
    <border>
      <left style="medium">
        <color rgb="FF1F3864"/>
      </left>
      <right style="thin">
        <color rgb="FF1F3864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thin">
        <color rgb="FF1F3864"/>
      </right>
      <top style="thin">
        <color rgb="FFBFBFBF"/>
      </top>
      <bottom/>
      <diagonal/>
    </border>
    <border>
      <left style="medium">
        <color rgb="FF1F3864"/>
      </left>
      <right style="thin">
        <color rgb="FF1F3864"/>
      </right>
      <top style="thin">
        <color rgb="FFBFBFBF"/>
      </top>
      <bottom style="thin">
        <color rgb="FFD9D9D9"/>
      </bottom>
      <diagonal/>
    </border>
    <border>
      <left style="medium">
        <color rgb="FF1F3864"/>
      </left>
      <right style="thin">
        <color rgb="FF1F3864"/>
      </right>
      <top style="thin">
        <color rgb="FFD9D9D9"/>
      </top>
      <bottom style="thin">
        <color rgb="FFD9D9D9"/>
      </bottom>
      <diagonal/>
    </border>
    <border>
      <left style="medium">
        <color rgb="FF1F3864"/>
      </left>
      <right style="thin">
        <color rgb="FF1F3864"/>
      </right>
      <top style="thin">
        <color rgb="FFD9D9D9"/>
      </top>
      <bottom style="thin">
        <color rgb="FFBFBFBF"/>
      </bottom>
      <diagonal/>
    </border>
    <border>
      <left style="medium">
        <color rgb="FF1F3864"/>
      </left>
      <right style="thin">
        <color rgb="FF1F3864"/>
      </right>
      <top/>
      <bottom/>
      <diagonal/>
    </border>
    <border>
      <left style="medium">
        <color rgb="FF1F3864"/>
      </left>
      <right style="thin">
        <color rgb="FF1F3864"/>
      </right>
      <top/>
      <bottom style="thin">
        <color rgb="FFD9D9D9"/>
      </bottom>
      <diagonal/>
    </border>
    <border>
      <left style="medium">
        <color rgb="FF1F3864"/>
      </left>
      <right style="thin">
        <color rgb="FF1F3864"/>
      </right>
      <top style="thin">
        <color rgb="FFD9D9D9"/>
      </top>
      <bottom style="medium">
        <color rgb="FF1F3864"/>
      </bottom>
      <diagonal/>
    </border>
    <border>
      <left style="medium">
        <color rgb="FF1F3864"/>
      </left>
      <right/>
      <top style="medium">
        <color rgb="FF1F3864"/>
      </top>
      <bottom/>
      <diagonal/>
    </border>
    <border>
      <left style="medium">
        <color rgb="FF1F3864"/>
      </left>
      <right/>
      <top/>
      <bottom style="thin">
        <color rgb="FFD9D9D9"/>
      </bottom>
      <diagonal/>
    </border>
    <border>
      <left/>
      <right style="thin">
        <color rgb="FFBFBFBF"/>
      </right>
      <top style="medium">
        <color rgb="FF1F3864"/>
      </top>
      <bottom/>
      <diagonal/>
    </border>
    <border>
      <left/>
      <right style="thin">
        <color rgb="FFBFBFBF"/>
      </right>
      <top/>
      <bottom style="thin">
        <color rgb="FFD9D9D9"/>
      </bottom>
      <diagonal/>
    </border>
    <border>
      <left/>
      <right style="thin">
        <color rgb="FFBFBFBF"/>
      </right>
      <top style="thin">
        <color rgb="FFD9D9D9"/>
      </top>
      <bottom style="medium">
        <color rgb="FF1F3864"/>
      </bottom>
      <diagonal/>
    </border>
    <border>
      <left/>
      <right style="thin">
        <color rgb="FFBFBFBF"/>
      </right>
      <top style="medium">
        <color rgb="FF1F3864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D9D9D9"/>
      </top>
      <bottom/>
      <diagonal/>
    </border>
  </borders>
  <cellStyleXfs count="4">
    <xf numFmtId="0" fontId="51" fillId="0" borderId="0"/>
    <xf numFmtId="172" fontId="51" fillId="0" borderId="0"/>
    <xf numFmtId="9" fontId="51" fillId="0" borderId="0"/>
    <xf numFmtId="0" fontId="92" fillId="0" borderId="0"/>
  </cellStyleXfs>
  <cellXfs count="1053">
    <xf numFmtId="0" fontId="0" fillId="0" borderId="0" pivotButton="0" quotePrefix="0" xfId="0"/>
    <xf numFmtId="0" fontId="5" fillId="4" borderId="0" applyAlignment="1" pivotButton="0" quotePrefix="0" xfId="0">
      <alignment horizontal="right" vertical="center"/>
    </xf>
    <xf numFmtId="0" fontId="11" fillId="12" borderId="0" applyAlignment="1" pivotButton="0" quotePrefix="0" xfId="0">
      <alignment horizontal="left" vertical="center" indent="1"/>
    </xf>
    <xf numFmtId="0" fontId="11" fillId="6" borderId="0" applyAlignment="1" pivotButton="0" quotePrefix="0" xfId="0">
      <alignment horizontal="left" vertical="center" indent="1"/>
    </xf>
    <xf numFmtId="0" fontId="11" fillId="2" borderId="0" applyAlignment="1" pivotButton="0" quotePrefix="0" xfId="0">
      <alignment horizontal="left" vertical="center" indent="1"/>
    </xf>
    <xf numFmtId="0" fontId="13" fillId="7" borderId="0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left" vertical="center" indent="1"/>
    </xf>
    <xf numFmtId="0" fontId="13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 indent="1"/>
    </xf>
    <xf numFmtId="49" fontId="5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 indent="1"/>
    </xf>
    <xf numFmtId="49" fontId="5" fillId="5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164" fontId="5" fillId="5" borderId="0" applyAlignment="1" pivotButton="0" quotePrefix="0" xfId="0">
      <alignment horizontal="right" vertical="center"/>
    </xf>
    <xf numFmtId="164" fontId="6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right" vertical="center"/>
    </xf>
    <xf numFmtId="0" fontId="8" fillId="6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166" fontId="5" fillId="4" borderId="0" applyAlignment="1" pivotButton="0" quotePrefix="0" xfId="0">
      <alignment horizontal="right" vertical="center"/>
    </xf>
    <xf numFmtId="167" fontId="5" fillId="7" borderId="0" applyAlignment="1" pivotButton="0" quotePrefix="0" xfId="0">
      <alignment horizontal="right" vertical="center"/>
    </xf>
    <xf numFmtId="166" fontId="5" fillId="5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8" fontId="5" fillId="7" borderId="0" applyAlignment="1" pivotButton="0" quotePrefix="0" xfId="0">
      <alignment horizontal="right" vertical="center"/>
    </xf>
    <xf numFmtId="0" fontId="10" fillId="4" borderId="0" applyAlignment="1" pivotButton="0" quotePrefix="0" xfId="0">
      <alignment horizontal="left" vertical="center"/>
    </xf>
    <xf numFmtId="167" fontId="5" fillId="4" borderId="0" applyAlignment="1" pivotButton="0" quotePrefix="0" xfId="0">
      <alignment horizontal="right" vertical="center"/>
    </xf>
    <xf numFmtId="165" fontId="5" fillId="4" borderId="0" applyAlignment="1" pivotButton="0" quotePrefix="0" xfId="0">
      <alignment horizontal="right" vertical="center"/>
    </xf>
    <xf numFmtId="166" fontId="5" fillId="7" borderId="0" applyAlignment="1" pivotButton="0" quotePrefix="0" xfId="0">
      <alignment horizontal="right" vertical="center"/>
    </xf>
    <xf numFmtId="165" fontId="5" fillId="5" borderId="0" applyAlignment="1" pivotButton="0" quotePrefix="0" xfId="0">
      <alignment horizontal="right" vertical="center"/>
    </xf>
    <xf numFmtId="164" fontId="5" fillId="7" borderId="0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 wrapText="1"/>
    </xf>
    <xf numFmtId="164" fontId="5" fillId="4" borderId="0" applyAlignment="1" pivotButton="0" quotePrefix="0" xfId="0">
      <alignment horizontal="right" vertical="center"/>
    </xf>
    <xf numFmtId="167" fontId="5" fillId="5" borderId="0" applyAlignment="1" pivotButton="0" quotePrefix="0" xfId="0">
      <alignment horizontal="right" vertical="center"/>
    </xf>
    <xf numFmtId="49" fontId="7" fillId="5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166" fontId="12" fillId="2" borderId="0" applyAlignment="1" pivotButton="0" quotePrefix="0" xfId="0">
      <alignment horizontal="right" vertical="center"/>
    </xf>
    <xf numFmtId="165" fontId="12" fillId="2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 indent="1"/>
    </xf>
    <xf numFmtId="0" fontId="10" fillId="4" borderId="0" applyAlignment="1" pivotButton="0" quotePrefix="0" xfId="0">
      <alignment horizontal="left" vertical="center" indent="2"/>
    </xf>
    <xf numFmtId="0" fontId="14" fillId="7" borderId="0" applyAlignment="1" pivotButton="0" quotePrefix="0" xfId="0">
      <alignment horizontal="left" vertical="center" indent="2"/>
    </xf>
    <xf numFmtId="169" fontId="12" fillId="7" borderId="0" applyAlignment="1" pivotButton="0" quotePrefix="0" xfId="0">
      <alignment horizontal="right" vertical="center"/>
    </xf>
    <xf numFmtId="167" fontId="12" fillId="7" borderId="0" applyAlignment="1" pivotButton="0" quotePrefix="0" xfId="0">
      <alignment horizontal="right" vertical="center"/>
    </xf>
    <xf numFmtId="0" fontId="15" fillId="7" borderId="0" applyAlignment="1" pivotButton="0" quotePrefix="0" xfId="0">
      <alignment horizontal="left" vertical="center" indent="2"/>
    </xf>
    <xf numFmtId="0" fontId="6" fillId="7" borderId="0" applyAlignment="1" pivotButton="0" quotePrefix="0" xfId="0">
      <alignment horizontal="left" vertical="center"/>
    </xf>
    <xf numFmtId="0" fontId="15" fillId="7" borderId="1" applyAlignment="1" pivotButton="0" quotePrefix="0" xfId="0">
      <alignment horizontal="left" vertical="center"/>
    </xf>
    <xf numFmtId="170" fontId="15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3" fontId="5" fillId="4" borderId="0" applyAlignment="1" pivotButton="0" quotePrefix="0" xfId="0">
      <alignment horizontal="right" vertical="center"/>
    </xf>
    <xf numFmtId="0" fontId="14" fillId="8" borderId="0" applyAlignment="1" pivotButton="0" quotePrefix="0" xfId="0">
      <alignment horizontal="left" vertical="center" indent="2"/>
    </xf>
    <xf numFmtId="166" fontId="12" fillId="8" borderId="0" applyAlignment="1" pivotButton="0" quotePrefix="0" xfId="0">
      <alignment horizontal="right" vertical="center"/>
    </xf>
    <xf numFmtId="0" fontId="12" fillId="8" borderId="0" applyAlignment="1" pivotButton="0" quotePrefix="0" xfId="0">
      <alignment horizontal="right" vertical="center"/>
    </xf>
    <xf numFmtId="0" fontId="13" fillId="8" borderId="0" applyAlignment="1" pivotButton="0" quotePrefix="0" xfId="0">
      <alignment horizontal="left" vertical="center" indent="1"/>
    </xf>
    <xf numFmtId="0" fontId="15" fillId="11" borderId="0" pivotButton="0" quotePrefix="0" xfId="0"/>
    <xf numFmtId="0" fontId="16" fillId="11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vertical="center"/>
    </xf>
    <xf numFmtId="0" fontId="4" fillId="4" borderId="0" applyAlignment="1" pivotButton="0" quotePrefix="0" xfId="0">
      <alignment horizontal="left" vertical="center" indent="2"/>
    </xf>
    <xf numFmtId="166" fontId="16" fillId="4" borderId="0" applyAlignment="1" pivotButton="0" quotePrefix="0" xfId="0">
      <alignment horizontal="right" vertical="center"/>
    </xf>
    <xf numFmtId="166" fontId="4" fillId="8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 indent="2"/>
    </xf>
    <xf numFmtId="166" fontId="16" fillId="5" borderId="0" applyAlignment="1" pivotButton="0" quotePrefix="0" xfId="0">
      <alignment horizontal="right" vertical="center"/>
    </xf>
    <xf numFmtId="0" fontId="13" fillId="5" borderId="0" applyAlignment="1" pivotButton="0" quotePrefix="0" xfId="0">
      <alignment horizontal="left" vertical="center" indent="1"/>
    </xf>
    <xf numFmtId="164" fontId="16" fillId="4" borderId="0" applyAlignment="1" pivotButton="0" quotePrefix="0" xfId="0">
      <alignment horizontal="right" vertical="center"/>
    </xf>
    <xf numFmtId="164" fontId="4" fillId="8" borderId="0" applyAlignment="1" pivotButton="0" quotePrefix="0" xfId="0">
      <alignment horizontal="right" vertical="center"/>
    </xf>
    <xf numFmtId="164" fontId="12" fillId="8" borderId="0" applyAlignment="1" pivotButton="0" quotePrefix="0" xfId="0">
      <alignment horizontal="center" vertical="center"/>
    </xf>
    <xf numFmtId="166" fontId="4" fillId="5" borderId="0" applyAlignment="1" pivotButton="0" quotePrefix="0" xfId="0">
      <alignment horizontal="right" vertical="center"/>
    </xf>
    <xf numFmtId="166" fontId="12" fillId="8" borderId="0" applyAlignment="1" pivotButton="0" quotePrefix="0" xfId="0">
      <alignment horizontal="center" vertical="center"/>
    </xf>
    <xf numFmtId="165" fontId="16" fillId="4" borderId="0" applyAlignment="1" pivotButton="0" quotePrefix="0" xfId="0">
      <alignment horizontal="right" vertical="center"/>
    </xf>
    <xf numFmtId="165" fontId="4" fillId="8" borderId="0" applyAlignment="1" pivotButton="0" quotePrefix="0" xfId="0">
      <alignment horizontal="right" vertical="center"/>
    </xf>
    <xf numFmtId="166" fontId="4" fillId="4" borderId="0" applyAlignment="1" pivotButton="0" quotePrefix="0" xfId="0">
      <alignment horizontal="right" vertical="center"/>
    </xf>
    <xf numFmtId="171" fontId="0" fillId="0" borderId="0" pivotButton="0" quotePrefix="0" xfId="0"/>
    <xf numFmtId="170" fontId="4" fillId="8" borderId="0" applyAlignment="1" pivotButton="0" quotePrefix="0" xfId="0">
      <alignment horizontal="right" vertical="center"/>
    </xf>
    <xf numFmtId="165" fontId="16" fillId="5" borderId="0" applyAlignment="1" pivotButton="0" quotePrefix="0" xfId="0">
      <alignment horizontal="right" vertical="center"/>
    </xf>
    <xf numFmtId="166" fontId="15" fillId="7" borderId="0" applyAlignment="1" pivotButton="0" quotePrefix="0" xfId="0">
      <alignment horizontal="right" vertical="center"/>
    </xf>
    <xf numFmtId="166" fontId="15" fillId="8" borderId="0" applyAlignment="1" pivotButton="0" quotePrefix="0" xfId="0">
      <alignment horizontal="right" vertical="center"/>
    </xf>
    <xf numFmtId="166" fontId="5" fillId="8" borderId="0" applyAlignment="1" pivotButton="0" quotePrefix="0" xfId="0">
      <alignment horizontal="right" vertical="center"/>
    </xf>
    <xf numFmtId="165" fontId="4" fillId="4" borderId="0" applyAlignment="1" pivotButton="0" quotePrefix="0" xfId="0">
      <alignment horizontal="right" vertical="center"/>
    </xf>
    <xf numFmtId="165" fontId="4" fillId="5" borderId="0" applyAlignment="1" pivotButton="0" quotePrefix="0" xfId="0">
      <alignment horizontal="right" vertical="center"/>
    </xf>
    <xf numFmtId="165" fontId="16" fillId="4" borderId="0" applyAlignment="1" pivotButton="0" quotePrefix="0" xfId="0">
      <alignment horizontal="center" vertical="center"/>
    </xf>
    <xf numFmtId="165" fontId="4" fillId="11" borderId="0" applyAlignment="1" pivotButton="0" quotePrefix="0" xfId="0">
      <alignment horizontal="right" vertical="center"/>
    </xf>
    <xf numFmtId="165" fontId="18" fillId="4" borderId="0" applyAlignment="1" pivotButton="0" quotePrefix="0" xfId="0">
      <alignment horizontal="center" vertical="center"/>
    </xf>
    <xf numFmtId="165" fontId="4" fillId="7" borderId="0" applyAlignment="1" pivotButton="0" quotePrefix="0" xfId="0">
      <alignment horizontal="center" vertical="center"/>
    </xf>
    <xf numFmtId="0" fontId="15" fillId="8" borderId="0" applyAlignment="1" pivotButton="0" quotePrefix="0" xfId="0">
      <alignment horizontal="left" vertical="center" indent="2"/>
    </xf>
    <xf numFmtId="166" fontId="15" fillId="8" borderId="0" applyAlignment="1" pivotButton="0" quotePrefix="0" xfId="0">
      <alignment horizontal="center" vertical="center"/>
    </xf>
    <xf numFmtId="166" fontId="4" fillId="11" borderId="0" applyAlignment="1" pivotButton="0" quotePrefix="0" xfId="0">
      <alignment horizontal="right" vertical="center"/>
    </xf>
    <xf numFmtId="166" fontId="16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166" fontId="5" fillId="7" borderId="0" applyAlignment="1" pivotButton="0" quotePrefix="0" xfId="0">
      <alignment horizontal="center" vertical="center"/>
    </xf>
    <xf numFmtId="0" fontId="19" fillId="5" borderId="0" applyAlignment="1" pivotButton="0" quotePrefix="0" xfId="0">
      <alignment horizontal="left" vertical="center"/>
    </xf>
    <xf numFmtId="166" fontId="4" fillId="7" borderId="0" applyAlignment="1" pivotButton="0" quotePrefix="0" xfId="0">
      <alignment horizontal="center" vertical="center"/>
    </xf>
    <xf numFmtId="165" fontId="16" fillId="5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left" vertical="center" indent="2"/>
    </xf>
    <xf numFmtId="165" fontId="21" fillId="11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172" fontId="51" fillId="0" borderId="0" pivotButton="0" quotePrefix="0" xfId="1"/>
    <xf numFmtId="0" fontId="4" fillId="8" borderId="0" applyAlignment="1" pivotButton="0" quotePrefix="0" xfId="0">
      <alignment horizontal="left" vertical="center" indent="2"/>
    </xf>
    <xf numFmtId="164" fontId="4" fillId="11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center" vertical="center" wrapText="1"/>
    </xf>
    <xf numFmtId="49" fontId="5" fillId="5" borderId="0" applyAlignment="1" pivotButton="0" quotePrefix="0" xfId="0">
      <alignment horizontal="center" vertical="center"/>
    </xf>
    <xf numFmtId="173" fontId="4" fillId="4" borderId="0" applyAlignment="1" pivotButton="0" quotePrefix="0" xfId="0">
      <alignment horizontal="right" vertical="center"/>
    </xf>
    <xf numFmtId="164" fontId="16" fillId="5" borderId="0" applyAlignment="1" pivotButton="0" quotePrefix="0" xfId="0">
      <alignment horizontal="right" vertical="center"/>
    </xf>
    <xf numFmtId="166" fontId="16" fillId="5" borderId="0" applyAlignment="1" pivotButton="0" quotePrefix="0" xfId="0">
      <alignment horizontal="center" vertical="center"/>
    </xf>
    <xf numFmtId="166" fontId="4" fillId="11" borderId="0" applyAlignment="1" pivotButton="0" quotePrefix="0" xfId="0">
      <alignment horizontal="center" vertical="center"/>
    </xf>
    <xf numFmtId="167" fontId="16" fillId="4" borderId="0" applyAlignment="1" pivotButton="0" quotePrefix="0" xfId="0">
      <alignment horizontal="center" vertical="center"/>
    </xf>
    <xf numFmtId="165" fontId="4" fillId="11" borderId="0" applyAlignment="1" pivotButton="0" quotePrefix="0" xfId="0">
      <alignment horizontal="center" vertical="center"/>
    </xf>
    <xf numFmtId="164" fontId="16" fillId="5" borderId="0" applyAlignment="1" pivotButton="0" quotePrefix="0" xfId="0">
      <alignment horizontal="center" vertical="center"/>
    </xf>
    <xf numFmtId="164" fontId="16" fillId="4" borderId="0" applyAlignment="1" pivotButton="0" quotePrefix="0" xfId="0">
      <alignment horizontal="center" vertical="center"/>
    </xf>
    <xf numFmtId="0" fontId="23" fillId="2" borderId="0" applyAlignment="1" pivotButton="0" quotePrefix="0" xfId="0">
      <alignment horizontal="left" vertical="center" indent="2"/>
    </xf>
    <xf numFmtId="166" fontId="23" fillId="2" borderId="0" applyAlignment="1" pivotButton="0" quotePrefix="0" xfId="0">
      <alignment horizontal="right" vertical="center"/>
    </xf>
    <xf numFmtId="0" fontId="24" fillId="2" borderId="0" applyAlignment="1" pivotButton="0" quotePrefix="0" xfId="0">
      <alignment horizontal="left" vertical="center" indent="1"/>
    </xf>
    <xf numFmtId="166" fontId="15" fillId="11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 indent="2"/>
    </xf>
    <xf numFmtId="166" fontId="4" fillId="7" borderId="0" applyAlignment="1" pivotButton="0" quotePrefix="0" xfId="0">
      <alignment horizontal="right" vertical="center"/>
    </xf>
    <xf numFmtId="0" fontId="3" fillId="6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 indent="1"/>
    </xf>
    <xf numFmtId="165" fontId="25" fillId="10" borderId="0" applyAlignment="1" pivotButton="0" quotePrefix="0" xfId="0">
      <alignment horizontal="center" vertical="center"/>
    </xf>
    <xf numFmtId="170" fontId="26" fillId="7" borderId="0" applyAlignment="1" pivotButton="0" quotePrefix="0" xfId="0">
      <alignment horizontal="center" vertical="center"/>
    </xf>
    <xf numFmtId="174" fontId="0" fillId="0" borderId="0" applyAlignment="1" pivotButton="0" quotePrefix="0" xfId="0">
      <alignment horizontal="center"/>
    </xf>
    <xf numFmtId="175" fontId="13" fillId="15" borderId="0" applyAlignment="1" pivotButton="0" quotePrefix="0" xfId="0">
      <alignment horizontal="center" vertical="center"/>
    </xf>
    <xf numFmtId="166" fontId="13" fillId="15" borderId="0" applyAlignment="1" pivotButton="0" quotePrefix="0" xfId="0">
      <alignment horizontal="center" vertical="center"/>
    </xf>
    <xf numFmtId="172" fontId="13" fillId="15" borderId="0" applyAlignment="1" pivotButton="0" quotePrefix="0" xfId="1">
      <alignment horizontal="center" vertical="center"/>
    </xf>
    <xf numFmtId="175" fontId="13" fillId="15" borderId="0" applyAlignment="1" pivotButton="0" quotePrefix="0" xfId="0">
      <alignment horizontal="right" vertical="center"/>
    </xf>
    <xf numFmtId="170" fontId="4" fillId="4" borderId="0" applyAlignment="1" pivotButton="0" quotePrefix="0" xfId="0">
      <alignment horizontal="right" vertical="center"/>
    </xf>
    <xf numFmtId="0" fontId="15" fillId="8" borderId="0" applyAlignment="1" pivotButton="0" quotePrefix="0" xfId="0">
      <alignment horizontal="left" vertical="center" indent="1"/>
    </xf>
    <xf numFmtId="165" fontId="15" fillId="7" borderId="0" applyAlignment="1" pivotButton="0" quotePrefix="0" xfId="0">
      <alignment horizontal="right" vertical="center"/>
    </xf>
    <xf numFmtId="0" fontId="15" fillId="14" borderId="0" applyAlignment="1" pivotButton="0" quotePrefix="0" xfId="0">
      <alignment horizontal="left" vertical="center" indent="1"/>
    </xf>
    <xf numFmtId="166" fontId="11" fillId="12" borderId="0" applyAlignment="1" pivotButton="0" quotePrefix="0" xfId="0">
      <alignment horizontal="right" vertical="center"/>
    </xf>
    <xf numFmtId="166" fontId="16" fillId="10" borderId="0" applyAlignment="1" pivotButton="0" quotePrefix="0" xfId="0">
      <alignment horizontal="center" vertical="center"/>
    </xf>
    <xf numFmtId="165" fontId="15" fillId="8" borderId="0" applyAlignment="1" pivotButton="0" quotePrefix="0" xfId="0">
      <alignment horizontal="right" vertical="center"/>
    </xf>
    <xf numFmtId="10" fontId="51" fillId="0" borderId="0" applyAlignment="1" pivotButton="0" quotePrefix="0" xfId="2">
      <alignment horizontal="center"/>
    </xf>
    <xf numFmtId="0" fontId="15" fillId="7" borderId="0" applyAlignment="1" pivotButton="0" quotePrefix="0" xfId="0">
      <alignment horizontal="left" vertical="center" indent="1"/>
    </xf>
    <xf numFmtId="0" fontId="15" fillId="4" borderId="0" applyAlignment="1" pivotButton="0" quotePrefix="0" xfId="0">
      <alignment horizontal="left" vertical="center" indent="1"/>
    </xf>
    <xf numFmtId="165" fontId="4" fillId="4" borderId="0" applyAlignment="1" pivotButton="0" quotePrefix="0" xfId="0">
      <alignment horizontal="center" vertical="center"/>
    </xf>
    <xf numFmtId="176" fontId="5" fillId="4" borderId="0" applyAlignment="1" pivotButton="0" quotePrefix="0" xfId="0">
      <alignment horizontal="right" vertical="center"/>
    </xf>
    <xf numFmtId="176" fontId="4" fillId="4" borderId="0" applyAlignment="1" pivotButton="0" quotePrefix="0" xfId="0">
      <alignment horizontal="right" vertical="center"/>
    </xf>
    <xf numFmtId="0" fontId="15" fillId="11" borderId="0" applyAlignment="1" pivotButton="0" quotePrefix="0" xfId="0">
      <alignment horizontal="left" vertical="center" indent="1"/>
    </xf>
    <xf numFmtId="165" fontId="15" fillId="11" borderId="0" applyAlignment="1" pivotButton="0" quotePrefix="0" xfId="0">
      <alignment horizontal="right" vertical="center"/>
    </xf>
    <xf numFmtId="167" fontId="4" fillId="4" borderId="0" applyAlignment="1" pivotButton="0" quotePrefix="0" xfId="0">
      <alignment horizontal="right" vertical="center"/>
    </xf>
    <xf numFmtId="0" fontId="28" fillId="8" borderId="0" applyAlignment="1" pivotButton="0" quotePrefix="0" xfId="0">
      <alignment horizontal="left" vertical="center" indent="2"/>
    </xf>
    <xf numFmtId="167" fontId="28" fillId="8" borderId="0" applyAlignment="1" pivotButton="0" quotePrefix="0" xfId="0">
      <alignment horizontal="right" vertical="center"/>
    </xf>
    <xf numFmtId="0" fontId="29" fillId="8" borderId="0" applyAlignment="1" pivotButton="0" quotePrefix="0" xfId="0">
      <alignment horizontal="left" vertical="center" indent="3"/>
    </xf>
    <xf numFmtId="167" fontId="30" fillId="8" borderId="0" applyAlignment="1" pivotButton="0" quotePrefix="0" xfId="0">
      <alignment horizontal="right" vertical="center"/>
    </xf>
    <xf numFmtId="167" fontId="15" fillId="7" borderId="0" applyAlignment="1" pivotButton="0" quotePrefix="0" xfId="0">
      <alignment horizontal="right" vertical="center"/>
    </xf>
    <xf numFmtId="0" fontId="31" fillId="7" borderId="0" applyAlignment="1" pivotButton="0" quotePrefix="0" xfId="0">
      <alignment horizontal="left" vertical="center" indent="3"/>
    </xf>
    <xf numFmtId="167" fontId="4" fillId="7" borderId="0" applyAlignment="1" pivotButton="0" quotePrefix="0" xfId="0">
      <alignment horizontal="right" vertical="center"/>
    </xf>
    <xf numFmtId="166" fontId="0" fillId="0" borderId="0" pivotButton="0" quotePrefix="0" xfId="0"/>
    <xf numFmtId="10" fontId="51" fillId="0" borderId="0" pivotButton="0" quotePrefix="0" xfId="2"/>
    <xf numFmtId="0" fontId="0" fillId="5" borderId="0" applyAlignment="1" pivotButton="0" quotePrefix="0" xfId="0">
      <alignment horizontal="right"/>
    </xf>
    <xf numFmtId="0" fontId="0" fillId="4" borderId="0" pivotButton="0" quotePrefix="0" xfId="0"/>
    <xf numFmtId="49" fontId="6" fillId="4" borderId="0" applyAlignment="1" pivotButton="0" quotePrefix="0" xfId="0">
      <alignment horizontal="left" vertical="center" indent="1"/>
    </xf>
    <xf numFmtId="167" fontId="16" fillId="4" borderId="0" applyAlignment="1" pivotButton="0" quotePrefix="0" xfId="0">
      <alignment horizontal="right" vertical="center"/>
    </xf>
    <xf numFmtId="167" fontId="16" fillId="5" borderId="0" applyAlignment="1" pivotButton="0" quotePrefix="0" xfId="0">
      <alignment horizontal="right" vertical="center"/>
    </xf>
    <xf numFmtId="0" fontId="0" fillId="5" borderId="0" pivotButton="0" quotePrefix="0" xfId="0"/>
    <xf numFmtId="166" fontId="11" fillId="2" borderId="0" applyAlignment="1" pivotButton="0" quotePrefix="0" xfId="0">
      <alignment horizontal="right" vertical="center"/>
    </xf>
    <xf numFmtId="0" fontId="4" fillId="7" borderId="0" applyAlignment="1" pivotButton="0" quotePrefix="0" xfId="0">
      <alignment horizontal="left" vertical="center"/>
    </xf>
    <xf numFmtId="164" fontId="12" fillId="11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164" fontId="16" fillId="11" borderId="0" applyAlignment="1" pivotButton="0" quotePrefix="0" xfId="0">
      <alignment horizontal="center" vertical="center"/>
    </xf>
    <xf numFmtId="164" fontId="15" fillId="8" borderId="0" applyAlignment="1" pivotButton="0" quotePrefix="0" xfId="0">
      <alignment horizontal="right" vertical="center"/>
    </xf>
    <xf numFmtId="0" fontId="4" fillId="8" borderId="0" applyAlignment="1" pivotButton="0" quotePrefix="0" xfId="0">
      <alignment horizontal="left" vertical="center"/>
    </xf>
    <xf numFmtId="164" fontId="5" fillId="8" borderId="0" applyAlignment="1" pivotButton="0" quotePrefix="0" xfId="0">
      <alignment horizontal="center" vertical="center"/>
    </xf>
    <xf numFmtId="0" fontId="29" fillId="8" borderId="0" applyAlignment="1" pivotButton="0" quotePrefix="0" xfId="0">
      <alignment horizontal="left" vertical="center" indent="1"/>
    </xf>
    <xf numFmtId="0" fontId="32" fillId="4" borderId="0" applyAlignment="1" pivotButton="0" quotePrefix="0" xfId="0">
      <alignment horizontal="left" vertical="center" indent="1"/>
    </xf>
    <xf numFmtId="0" fontId="32" fillId="5" borderId="0" applyAlignment="1" pivotButton="0" quotePrefix="0" xfId="0">
      <alignment horizontal="left" vertical="center" indent="1"/>
    </xf>
    <xf numFmtId="177" fontId="16" fillId="4" borderId="0" applyAlignment="1" pivotButton="0" quotePrefix="0" xfId="0">
      <alignment horizontal="center" vertical="center"/>
    </xf>
    <xf numFmtId="177" fontId="16" fillId="5" borderId="0" applyAlignment="1" pivotButton="0" quotePrefix="0" xfId="0">
      <alignment horizontal="center" vertical="center"/>
    </xf>
    <xf numFmtId="0" fontId="33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right" vertical="center"/>
    </xf>
    <xf numFmtId="177" fontId="16" fillId="10" borderId="0" applyAlignment="1" pivotButton="0" quotePrefix="0" xfId="0">
      <alignment horizontal="center" vertical="center"/>
    </xf>
    <xf numFmtId="177" fontId="4" fillId="4" borderId="0" applyAlignment="1" pivotButton="0" quotePrefix="0" xfId="0">
      <alignment horizontal="right" vertical="center"/>
    </xf>
    <xf numFmtId="0" fontId="33" fillId="5" borderId="0" applyAlignment="1" pivotButton="0" quotePrefix="0" xfId="0">
      <alignment horizontal="center" vertical="center"/>
    </xf>
    <xf numFmtId="164" fontId="4" fillId="5" borderId="0" applyAlignment="1" pivotButton="0" quotePrefix="0" xfId="0">
      <alignment horizontal="center" vertical="center"/>
    </xf>
    <xf numFmtId="164" fontId="4" fillId="5" borderId="0" applyAlignment="1" pivotButton="0" quotePrefix="0" xfId="0">
      <alignment horizontal="right" vertical="center"/>
    </xf>
    <xf numFmtId="176" fontId="4" fillId="5" borderId="0" applyAlignment="1" pivotButton="0" quotePrefix="0" xfId="0">
      <alignment horizontal="right" vertical="center"/>
    </xf>
    <xf numFmtId="177" fontId="4" fillId="5" borderId="0" applyAlignment="1" pivotButton="0" quotePrefix="0" xfId="0">
      <alignment horizontal="right" vertical="center"/>
    </xf>
    <xf numFmtId="164" fontId="5" fillId="7" borderId="0" applyAlignment="1" pivotButton="0" quotePrefix="0" xfId="0">
      <alignment horizontal="center" vertical="center"/>
    </xf>
    <xf numFmtId="164" fontId="15" fillId="7" borderId="0" applyAlignment="1" pivotButton="0" quotePrefix="0" xfId="0">
      <alignment horizontal="right" vertical="center"/>
    </xf>
    <xf numFmtId="176" fontId="15" fillId="7" borderId="0" applyAlignment="1" pivotButton="0" quotePrefix="0" xfId="0">
      <alignment horizontal="right" vertical="center"/>
    </xf>
    <xf numFmtId="0" fontId="0" fillId="7" borderId="0" pivotButton="0" quotePrefix="0" xfId="0"/>
    <xf numFmtId="164" fontId="11" fillId="2" borderId="0" applyAlignment="1" pivotButton="0" quotePrefix="0" xfId="0">
      <alignment horizontal="right" vertical="center"/>
    </xf>
    <xf numFmtId="176" fontId="11" fillId="2" borderId="0" applyAlignment="1" pivotButton="0" quotePrefix="0" xfId="0">
      <alignment horizontal="right" vertical="center"/>
    </xf>
    <xf numFmtId="0" fontId="0" fillId="2" borderId="0" pivotButton="0" quotePrefix="0" xfId="0"/>
    <xf numFmtId="171" fontId="0" fillId="16" borderId="2" pivotButton="0" quotePrefix="0" xfId="0"/>
    <xf numFmtId="0" fontId="0" fillId="0" borderId="2" pivotButton="0" quotePrefix="0" xfId="0"/>
    <xf numFmtId="176" fontId="16" fillId="4" borderId="0" applyAlignment="1" pivotButton="0" quotePrefix="0" xfId="0">
      <alignment horizontal="center" vertical="center"/>
    </xf>
    <xf numFmtId="176" fontId="5" fillId="5" borderId="0" applyAlignment="1" pivotButton="0" quotePrefix="0" xfId="0">
      <alignment horizontal="right" vertical="center"/>
    </xf>
    <xf numFmtId="176" fontId="16" fillId="5" borderId="0" applyAlignment="1" pivotButton="0" quotePrefix="0" xfId="0">
      <alignment horizontal="center" vertical="center"/>
    </xf>
    <xf numFmtId="0" fontId="8" fillId="13" borderId="0" applyAlignment="1" pivotButton="0" quotePrefix="0" xfId="0">
      <alignment horizontal="center" vertical="center" wrapText="1"/>
    </xf>
    <xf numFmtId="176" fontId="15" fillId="4" borderId="0" applyAlignment="1" pivotButton="0" quotePrefix="0" xfId="0">
      <alignment horizontal="right" vertical="center"/>
    </xf>
    <xf numFmtId="176" fontId="15" fillId="5" borderId="0" applyAlignment="1" pivotButton="0" quotePrefix="0" xfId="0">
      <alignment horizontal="right" vertical="center"/>
    </xf>
    <xf numFmtId="177" fontId="15" fillId="5" borderId="0" applyAlignment="1" pivotButton="0" quotePrefix="0" xfId="0">
      <alignment horizontal="right" vertical="center"/>
    </xf>
    <xf numFmtId="166" fontId="28" fillId="8" borderId="0" applyAlignment="1" pivotButton="0" quotePrefix="0" xfId="0">
      <alignment horizontal="right" vertical="center"/>
    </xf>
    <xf numFmtId="0" fontId="32" fillId="8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center" vertical="center"/>
    </xf>
    <xf numFmtId="177" fontId="5" fillId="4" borderId="0" applyAlignment="1" pivotButton="0" quotePrefix="0" xfId="0">
      <alignment horizontal="right" vertical="center"/>
    </xf>
    <xf numFmtId="177" fontId="6" fillId="4" borderId="0" applyAlignment="1" pivotButton="0" quotePrefix="0" xfId="0">
      <alignment horizontal="center" vertical="center"/>
    </xf>
    <xf numFmtId="0" fontId="11" fillId="12" borderId="0" applyAlignment="1" pivotButton="0" quotePrefix="0" xfId="0">
      <alignment horizontal="right" vertical="center"/>
    </xf>
    <xf numFmtId="177" fontId="11" fillId="12" borderId="0" applyAlignment="1" pivotButton="0" quotePrefix="0" xfId="0">
      <alignment horizontal="right" vertical="center"/>
    </xf>
    <xf numFmtId="177" fontId="11" fillId="12" borderId="0" applyAlignment="1" pivotButton="0" quotePrefix="0" xfId="0">
      <alignment horizontal="center" vertical="center"/>
    </xf>
    <xf numFmtId="0" fontId="11" fillId="13" borderId="0" applyAlignment="1" pivotButton="0" quotePrefix="0" xfId="0">
      <alignment horizontal="left" vertical="center" indent="1"/>
    </xf>
    <xf numFmtId="0" fontId="4" fillId="11" borderId="0" applyAlignment="1" pivotButton="0" quotePrefix="0" xfId="0">
      <alignment horizontal="left" vertical="center" indent="2"/>
    </xf>
    <xf numFmtId="166" fontId="16" fillId="11" borderId="0" applyAlignment="1" pivotButton="0" quotePrefix="0" xfId="0">
      <alignment horizontal="center" vertical="center"/>
    </xf>
    <xf numFmtId="0" fontId="36" fillId="11" borderId="0" applyAlignment="1" pivotButton="0" quotePrefix="0" xfId="0">
      <alignment horizontal="left" vertical="center" indent="1"/>
    </xf>
    <xf numFmtId="165" fontId="6" fillId="4" borderId="0" applyAlignment="1" pivotButton="0" quotePrefix="0" xfId="0">
      <alignment horizontal="center" vertical="center"/>
    </xf>
    <xf numFmtId="165" fontId="28" fillId="8" borderId="0" applyAlignment="1" pivotButton="0" quotePrefix="0" xfId="0">
      <alignment horizontal="right" vertical="center"/>
    </xf>
    <xf numFmtId="165" fontId="30" fillId="8" borderId="0" applyAlignment="1" pivotButton="0" quotePrefix="0" xfId="0">
      <alignment horizontal="right" vertical="center"/>
    </xf>
    <xf numFmtId="4" fontId="28" fillId="8" borderId="0" applyAlignment="1" pivotButton="0" quotePrefix="0" xfId="0">
      <alignment horizontal="right" vertical="center"/>
    </xf>
    <xf numFmtId="0" fontId="29" fillId="8" borderId="0" applyAlignment="1" pivotButton="0" quotePrefix="0" xfId="0">
      <alignment horizontal="center" vertical="center"/>
    </xf>
    <xf numFmtId="0" fontId="28" fillId="8" borderId="0" applyAlignment="1" pivotButton="0" quotePrefix="0" xfId="0">
      <alignment horizontal="left" vertical="center" indent="1"/>
    </xf>
    <xf numFmtId="177" fontId="28" fillId="8" borderId="0" applyAlignment="1" pivotButton="0" quotePrefix="0" xfId="0">
      <alignment horizontal="right" vertical="center"/>
    </xf>
    <xf numFmtId="0" fontId="8" fillId="2" borderId="1" applyAlignment="1" pivotButton="0" quotePrefix="0" xfId="0">
      <alignment horizontal="center" vertical="center"/>
    </xf>
    <xf numFmtId="0" fontId="37" fillId="0" borderId="0" pivotButton="0" quotePrefix="0" xfId="0"/>
    <xf numFmtId="0" fontId="5" fillId="11" borderId="0" applyAlignment="1" pivotButton="0" quotePrefix="0" xfId="0">
      <alignment horizontal="right" vertical="center"/>
    </xf>
    <xf numFmtId="166" fontId="5" fillId="11" borderId="0" applyAlignment="1" pivotButton="0" quotePrefix="0" xfId="0">
      <alignment horizontal="right" vertical="center"/>
    </xf>
    <xf numFmtId="0" fontId="16" fillId="4" borderId="0" applyAlignment="1" pivotButton="0" quotePrefix="0" xfId="0">
      <alignment horizontal="center" vertical="center"/>
    </xf>
    <xf numFmtId="0" fontId="16" fillId="4" borderId="0" applyAlignment="1" pivotButton="0" quotePrefix="0" xfId="0">
      <alignment horizontal="right" vertical="center"/>
    </xf>
    <xf numFmtId="0" fontId="16" fillId="5" borderId="0" applyAlignment="1" pivotButton="0" quotePrefix="0" xfId="0">
      <alignment horizontal="center" vertical="center"/>
    </xf>
    <xf numFmtId="0" fontId="16" fillId="5" borderId="0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4" fillId="11" borderId="0" applyAlignment="1" pivotButton="0" quotePrefix="0" xfId="0">
      <alignment horizontal="left" vertical="center" indent="1"/>
    </xf>
    <xf numFmtId="0" fontId="4" fillId="8" borderId="0" applyAlignment="1" pivotButton="0" quotePrefix="0" xfId="0">
      <alignment horizontal="left" vertical="center" indent="1"/>
    </xf>
    <xf numFmtId="0" fontId="3" fillId="5" borderId="0" applyAlignment="1" pivotButton="0" quotePrefix="0" xfId="0">
      <alignment horizontal="left" vertical="center" indent="1"/>
    </xf>
    <xf numFmtId="0" fontId="3" fillId="5" borderId="0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178" fontId="4" fillId="5" borderId="0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10" fontId="4" fillId="5" borderId="0" applyAlignment="1" pivotButton="0" quotePrefix="0" xfId="0">
      <alignment horizontal="right" vertical="center"/>
    </xf>
    <xf numFmtId="10" fontId="10" fillId="5" borderId="1" applyAlignment="1" pivotButton="0" quotePrefix="0" xfId="0">
      <alignment horizontal="right" vertical="center"/>
    </xf>
    <xf numFmtId="178" fontId="26" fillId="5" borderId="0" applyAlignment="1" pivotButton="0" quotePrefix="0" xfId="0">
      <alignment horizontal="right" vertical="center"/>
    </xf>
    <xf numFmtId="178" fontId="4" fillId="4" borderId="1" applyAlignment="1" pivotButton="0" quotePrefix="0" xfId="0">
      <alignment horizontal="right" vertical="center"/>
    </xf>
    <xf numFmtId="0" fontId="38" fillId="5" borderId="0" applyAlignment="1" pivotButton="0" quotePrefix="0" xfId="0">
      <alignment horizontal="left" vertical="center"/>
    </xf>
    <xf numFmtId="0" fontId="33" fillId="5" borderId="0" applyAlignment="1" pivotButton="0" quotePrefix="0" xfId="0">
      <alignment horizontal="left" vertical="center"/>
    </xf>
    <xf numFmtId="178" fontId="15" fillId="5" borderId="0" applyAlignment="1" pivotButton="0" quotePrefix="0" xfId="0">
      <alignment horizontal="right" vertical="center"/>
    </xf>
    <xf numFmtId="170" fontId="26" fillId="15" borderId="0" applyAlignment="1" pivotButton="0" quotePrefix="0" xfId="0">
      <alignment horizontal="center" vertical="center"/>
    </xf>
    <xf numFmtId="170" fontId="26" fillId="5" borderId="0" applyAlignment="1" pivotButton="0" quotePrefix="0" xfId="0">
      <alignment horizontal="center" vertical="center"/>
    </xf>
    <xf numFmtId="178" fontId="39" fillId="5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left" vertical="center"/>
    </xf>
    <xf numFmtId="178" fontId="15" fillId="5" borderId="1" applyAlignment="1" pivotButton="0" quotePrefix="0" xfId="0">
      <alignment horizontal="right" vertical="center"/>
    </xf>
    <xf numFmtId="178" fontId="4" fillId="5" borderId="1" applyAlignment="1" pivotButton="0" quotePrefix="0" xfId="0">
      <alignment horizontal="right" vertical="center"/>
    </xf>
    <xf numFmtId="0" fontId="15" fillId="4" borderId="1" applyAlignment="1" pivotButton="0" quotePrefix="0" xfId="0">
      <alignment horizontal="left" vertical="center"/>
    </xf>
    <xf numFmtId="178" fontId="15" fillId="4" borderId="1" applyAlignment="1" pivotButton="0" quotePrefix="0" xfId="0">
      <alignment horizontal="right" vertical="center"/>
    </xf>
    <xf numFmtId="178" fontId="7" fillId="5" borderId="1" applyAlignment="1" pivotButton="0" quotePrefix="0" xfId="0">
      <alignment horizontal="right" vertical="center"/>
    </xf>
    <xf numFmtId="178" fontId="7" fillId="5" borderId="0" applyAlignment="1" pivotButton="0" quotePrefix="0" xfId="0">
      <alignment horizontal="right" vertical="center"/>
    </xf>
    <xf numFmtId="178" fontId="7" fillId="4" borderId="1" applyAlignment="1" pivotButton="0" quotePrefix="0" xfId="0">
      <alignment horizontal="right" vertical="center"/>
    </xf>
    <xf numFmtId="170" fontId="15" fillId="5" borderId="0" applyAlignment="1" pivotButton="0" quotePrefix="0" xfId="0">
      <alignment horizontal="center" vertical="center"/>
    </xf>
    <xf numFmtId="178" fontId="11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indent="1"/>
    </xf>
    <xf numFmtId="178" fontId="11" fillId="5" borderId="0" applyAlignment="1" pivotButton="0" quotePrefix="0" xfId="0">
      <alignment horizontal="right" vertical="center"/>
    </xf>
    <xf numFmtId="10" fontId="40" fillId="18" borderId="1" applyAlignment="1" pivotButton="0" quotePrefix="0" xfId="0">
      <alignment horizontal="right" vertical="center"/>
    </xf>
    <xf numFmtId="0" fontId="28" fillId="5" borderId="0" applyAlignment="1" pivotButton="0" quotePrefix="0" xfId="0">
      <alignment horizontal="left" vertical="center" indent="1"/>
    </xf>
    <xf numFmtId="10" fontId="40" fillId="5" borderId="0" applyAlignment="1" pivotButton="0" quotePrefix="0" xfId="0">
      <alignment horizontal="right" vertical="center"/>
    </xf>
    <xf numFmtId="0" fontId="41" fillId="15" borderId="0" applyAlignment="1" pivotButton="0" quotePrefix="0" xfId="0">
      <alignment horizontal="right" vertical="center"/>
    </xf>
    <xf numFmtId="0" fontId="26" fillId="15" borderId="0" applyAlignment="1" pivotButton="0" quotePrefix="0" xfId="0">
      <alignment horizontal="center" vertical="center"/>
    </xf>
    <xf numFmtId="0" fontId="42" fillId="11" borderId="0" applyAlignment="1" pivotButton="0" quotePrefix="0" xfId="0">
      <alignment horizontal="left" vertical="center"/>
    </xf>
    <xf numFmtId="0" fontId="26" fillId="11" borderId="0" applyAlignment="1" pivotButton="0" quotePrefix="0" xfId="0">
      <alignment horizontal="center" vertical="center"/>
    </xf>
    <xf numFmtId="0" fontId="36" fillId="11" borderId="0" applyAlignment="1" pivotButton="0" quotePrefix="0" xfId="0">
      <alignment horizontal="left" vertical="center"/>
    </xf>
    <xf numFmtId="178" fontId="10" fillId="4" borderId="1" applyAlignment="1" pivotButton="0" quotePrefix="0" xfId="0">
      <alignment horizontal="right" vertical="center"/>
    </xf>
    <xf numFmtId="0" fontId="4" fillId="7" borderId="0" applyAlignment="1" pivotButton="0" quotePrefix="0" xfId="0">
      <alignment horizontal="left" vertical="center" indent="1"/>
    </xf>
    <xf numFmtId="166" fontId="4" fillId="6" borderId="0" applyAlignment="1" pivotButton="0" quotePrefix="0" xfId="0">
      <alignment horizontal="right" vertical="center"/>
    </xf>
    <xf numFmtId="166" fontId="11" fillId="6" borderId="0" applyAlignment="1" pivotButton="0" quotePrefix="0" xfId="0">
      <alignment horizontal="right" vertical="center"/>
    </xf>
    <xf numFmtId="166" fontId="4" fillId="13" borderId="0" applyAlignment="1" pivotButton="0" quotePrefix="0" xfId="0">
      <alignment horizontal="right" vertical="center"/>
    </xf>
    <xf numFmtId="166" fontId="11" fillId="13" borderId="0" applyAlignment="1" pivotButton="0" quotePrefix="0" xfId="0">
      <alignment horizontal="right" vertical="center"/>
    </xf>
    <xf numFmtId="166" fontId="13" fillId="4" borderId="0" applyAlignment="1" pivotButton="0" quotePrefix="0" xfId="0">
      <alignment horizontal="right" vertical="center"/>
    </xf>
    <xf numFmtId="168" fontId="4" fillId="4" borderId="0" applyAlignment="1" pivotButton="0" quotePrefix="0" xfId="0">
      <alignment horizontal="right" vertical="center"/>
    </xf>
    <xf numFmtId="167" fontId="14" fillId="4" borderId="0" applyAlignment="1" pivotButton="0" quotePrefix="0" xfId="0">
      <alignment horizontal="right" vertical="center"/>
    </xf>
    <xf numFmtId="0" fontId="11" fillId="2" borderId="0" applyAlignment="1" pivotButton="0" quotePrefix="0" xfId="0">
      <alignment horizontal="center" vertical="center"/>
    </xf>
    <xf numFmtId="166" fontId="28" fillId="7" borderId="0" applyAlignment="1" pivotButton="0" quotePrefix="0" xfId="0">
      <alignment horizontal="right" vertical="center"/>
    </xf>
    <xf numFmtId="166" fontId="30" fillId="7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 indent="2"/>
    </xf>
    <xf numFmtId="0" fontId="7" fillId="4" borderId="0" applyAlignment="1" pivotButton="0" quotePrefix="0" xfId="0">
      <alignment horizontal="center" vertical="center"/>
    </xf>
    <xf numFmtId="166" fontId="7" fillId="4" borderId="0" applyAlignment="1" pivotButton="0" quotePrefix="0" xfId="0">
      <alignment horizontal="right" vertical="center"/>
    </xf>
    <xf numFmtId="0" fontId="29" fillId="8" borderId="0" applyAlignment="1" pivotButton="0" quotePrefix="0" xfId="0">
      <alignment horizontal="left" vertical="center" indent="2"/>
    </xf>
    <xf numFmtId="166" fontId="30" fillId="8" borderId="0" applyAlignment="1" pivotButton="0" quotePrefix="0" xfId="0">
      <alignment horizontal="right" vertical="center"/>
    </xf>
    <xf numFmtId="0" fontId="3" fillId="19" borderId="0" applyAlignment="1" pivotButton="0" quotePrefix="0" xfId="0">
      <alignment horizontal="left" vertical="center" indent="1"/>
    </xf>
    <xf numFmtId="0" fontId="20" fillId="15" borderId="0" applyAlignment="1" pivotButton="0" quotePrefix="0" xfId="0">
      <alignment horizontal="left" vertical="center" indent="1"/>
    </xf>
    <xf numFmtId="166" fontId="20" fillId="15" borderId="0" applyAlignment="1" pivotButton="0" quotePrefix="0" xfId="0">
      <alignment horizontal="right" vertical="center"/>
    </xf>
    <xf numFmtId="166" fontId="7" fillId="15" borderId="0" applyAlignment="1" pivotButton="0" quotePrefix="0" xfId="0">
      <alignment horizontal="right" vertical="center"/>
    </xf>
    <xf numFmtId="166" fontId="42" fillId="15" borderId="0" applyAlignment="1" pivotButton="0" quotePrefix="0" xfId="0">
      <alignment horizontal="right" vertical="center"/>
    </xf>
    <xf numFmtId="0" fontId="11" fillId="19" borderId="0" applyAlignment="1" pivotButton="0" quotePrefix="0" xfId="0">
      <alignment horizontal="left" vertical="center" indent="1"/>
    </xf>
    <xf numFmtId="166" fontId="11" fillId="19" borderId="0" applyAlignment="1" pivotButton="0" quotePrefix="0" xfId="0">
      <alignment horizontal="right" vertical="center"/>
    </xf>
    <xf numFmtId="0" fontId="3" fillId="20" borderId="0" applyAlignment="1" pivotButton="0" quotePrefix="0" xfId="0">
      <alignment horizontal="left" vertical="center" indent="1"/>
    </xf>
    <xf numFmtId="165" fontId="20" fillId="15" borderId="0" applyAlignment="1" pivotButton="0" quotePrefix="0" xfId="0">
      <alignment horizontal="right" vertical="center"/>
    </xf>
    <xf numFmtId="0" fontId="6" fillId="15" borderId="0" applyAlignment="1" pivotButton="0" quotePrefix="0" xfId="0">
      <alignment horizontal="left" vertical="center" indent="1"/>
    </xf>
    <xf numFmtId="165" fontId="11" fillId="19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center" vertical="center"/>
    </xf>
    <xf numFmtId="10" fontId="8" fillId="2" borderId="0" applyAlignment="1" pivotButton="0" quotePrefix="0" xfId="0">
      <alignment horizontal="center" vertical="center"/>
    </xf>
    <xf numFmtId="0" fontId="43" fillId="0" borderId="0" applyAlignment="1" pivotButton="0" quotePrefix="0" xfId="0">
      <alignment horizontal="right" vertical="center"/>
    </xf>
    <xf numFmtId="179" fontId="26" fillId="15" borderId="0" applyAlignment="1" pivotButton="0" quotePrefix="0" xfId="0">
      <alignment horizontal="center" vertical="center"/>
    </xf>
    <xf numFmtId="170" fontId="8" fillId="2" borderId="0" applyAlignment="1" pivotButton="0" quotePrefix="0" xfId="0">
      <alignment horizontal="center" vertical="center"/>
    </xf>
    <xf numFmtId="170" fontId="0" fillId="14" borderId="0" applyAlignment="1" pivotButton="0" quotePrefix="0" xfId="0">
      <alignment horizontal="center" vertical="center"/>
    </xf>
    <xf numFmtId="170" fontId="0" fillId="11" borderId="0" applyAlignment="1" pivotButton="0" quotePrefix="0" xfId="0">
      <alignment horizontal="center" vertical="center"/>
    </xf>
    <xf numFmtId="170" fontId="0" fillId="21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9" fontId="8" fillId="2" borderId="0" applyAlignment="1" pivotButton="0" quotePrefix="0" xfId="0">
      <alignment horizontal="center" vertical="center"/>
    </xf>
    <xf numFmtId="9" fontId="26" fillId="15" borderId="0" applyAlignment="1" pivotButton="0" quotePrefix="0" xfId="0">
      <alignment horizontal="center" vertical="center"/>
    </xf>
    <xf numFmtId="180" fontId="26" fillId="15" borderId="1" applyAlignment="1" pivotButton="0" quotePrefix="0" xfId="0">
      <alignment horizontal="right" vertical="center"/>
    </xf>
    <xf numFmtId="0" fontId="13" fillId="4" borderId="1" applyAlignment="1" pivotButton="0" quotePrefix="0" xfId="0">
      <alignment horizontal="left" vertical="center"/>
    </xf>
    <xf numFmtId="0" fontId="26" fillId="15" borderId="1" applyAlignment="1" pivotButton="0" quotePrefix="0" xfId="0">
      <alignment horizontal="center" vertical="center"/>
    </xf>
    <xf numFmtId="10" fontId="14" fillId="4" borderId="1" applyAlignment="1" pivotButton="0" quotePrefix="0" xfId="0">
      <alignment horizontal="center" vertical="center"/>
    </xf>
    <xf numFmtId="170" fontId="14" fillId="4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2" borderId="1" applyAlignment="1" pivotButton="0" quotePrefix="0" xfId="0">
      <alignment horizontal="left" vertical="center"/>
    </xf>
    <xf numFmtId="1" fontId="11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178" fontId="10" fillId="5" borderId="1" applyAlignment="1" pivotButton="0" quotePrefix="0" xfId="0">
      <alignment horizontal="right" vertical="center"/>
    </xf>
    <xf numFmtId="10" fontId="10" fillId="4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left" vertical="center"/>
    </xf>
    <xf numFmtId="178" fontId="10" fillId="8" borderId="1" applyAlignment="1" pivotButton="0" quotePrefix="0" xfId="0">
      <alignment horizontal="right" vertical="center"/>
    </xf>
    <xf numFmtId="178" fontId="14" fillId="7" borderId="1" applyAlignment="1" pivotButton="0" quotePrefix="0" xfId="0">
      <alignment horizontal="right" vertical="center"/>
    </xf>
    <xf numFmtId="10" fontId="14" fillId="7" borderId="1" applyAlignment="1" pivotButton="0" quotePrefix="0" xfId="0">
      <alignment horizontal="right" vertical="center"/>
    </xf>
    <xf numFmtId="178" fontId="45" fillId="0" borderId="0" applyAlignment="1" pivotButton="0" quotePrefix="0" xfId="0">
      <alignment horizontal="right" vertical="center"/>
    </xf>
    <xf numFmtId="0" fontId="11" fillId="22" borderId="1" applyAlignment="1" pivotButton="0" quotePrefix="0" xfId="0">
      <alignment vertical="center"/>
    </xf>
    <xf numFmtId="10" fontId="11" fillId="22" borderId="1" applyAlignment="1" pivotButton="0" quotePrefix="0" xfId="0">
      <alignment horizontal="right" vertical="center"/>
    </xf>
    <xf numFmtId="0" fontId="0" fillId="0" borderId="6" pivotButton="0" quotePrefix="0" xfId="0"/>
    <xf numFmtId="0" fontId="0" fillId="0" borderId="7" pivotButton="0" quotePrefix="0" xfId="0"/>
    <xf numFmtId="0" fontId="11" fillId="22" borderId="1" applyAlignment="1" pivotButton="0" quotePrefix="0" xfId="0">
      <alignment horizontal="left" vertical="center" indent="1"/>
    </xf>
    <xf numFmtId="169" fontId="11" fillId="22" borderId="1" applyAlignment="1" pivotButton="0" quotePrefix="0" xfId="0">
      <alignment horizontal="right" vertical="center"/>
    </xf>
    <xf numFmtId="180" fontId="26" fillId="15" borderId="1" applyAlignment="1" pivotButton="0" quotePrefix="0" xfId="2">
      <alignment horizontal="right" vertical="center"/>
    </xf>
    <xf numFmtId="180" fontId="46" fillId="4" borderId="1" applyAlignment="1" pivotButton="0" quotePrefix="0" xfId="0">
      <alignment horizontal="right" vertical="center"/>
    </xf>
    <xf numFmtId="180" fontId="10" fillId="4" borderId="1" applyAlignment="1" pivotButton="0" quotePrefix="0" xfId="0">
      <alignment horizontal="right" vertical="center"/>
    </xf>
    <xf numFmtId="0" fontId="47" fillId="4" borderId="1" applyAlignment="1" pivotButton="0" quotePrefix="0" xfId="0">
      <alignment horizontal="left" vertical="center"/>
    </xf>
    <xf numFmtId="169" fontId="26" fillId="15" borderId="1" applyAlignment="1" pivotButton="0" quotePrefix="0" xfId="0">
      <alignment horizontal="right" vertical="center"/>
    </xf>
    <xf numFmtId="0" fontId="47" fillId="5" borderId="1" applyAlignment="1" pivotButton="0" quotePrefix="0" xfId="0">
      <alignment horizontal="center" vertical="center"/>
    </xf>
    <xf numFmtId="0" fontId="47" fillId="5" borderId="1" applyAlignment="1" pivotButton="0" quotePrefix="0" xfId="0">
      <alignment horizontal="left" vertical="center"/>
    </xf>
    <xf numFmtId="170" fontId="26" fillId="15" borderId="1" applyAlignment="1" pivotButton="0" quotePrefix="0" xfId="0">
      <alignment horizontal="right" vertical="center"/>
    </xf>
    <xf numFmtId="0" fontId="47" fillId="4" borderId="1" applyAlignment="1" pivotButton="0" quotePrefix="0" xfId="0">
      <alignment horizontal="center" vertical="center"/>
    </xf>
    <xf numFmtId="180" fontId="46" fillId="5" borderId="1" applyAlignment="1" pivotButton="0" quotePrefix="0" xfId="0">
      <alignment horizontal="right" vertical="center"/>
    </xf>
    <xf numFmtId="180" fontId="10" fillId="5" borderId="1" applyAlignment="1" pivotButton="0" quotePrefix="0" xfId="0">
      <alignment horizontal="right" vertical="center"/>
    </xf>
    <xf numFmtId="170" fontId="10" fillId="4" borderId="1" applyAlignment="1" pivotButton="0" quotePrefix="0" xfId="0">
      <alignment horizontal="center" vertical="center"/>
    </xf>
    <xf numFmtId="169" fontId="10" fillId="4" borderId="1" applyAlignment="1" pivotButton="0" quotePrefix="0" xfId="0">
      <alignment horizontal="right" vertical="center"/>
    </xf>
    <xf numFmtId="181" fontId="10" fillId="4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center" vertical="center"/>
    </xf>
    <xf numFmtId="169" fontId="10" fillId="5" borderId="1" applyAlignment="1" pivotButton="0" quotePrefix="0" xfId="0">
      <alignment horizontal="right" vertical="center"/>
    </xf>
    <xf numFmtId="181" fontId="10" fillId="5" borderId="1" applyAlignment="1" pivotButton="0" quotePrefix="0" xfId="0">
      <alignment horizontal="right" vertical="center"/>
    </xf>
    <xf numFmtId="170" fontId="14" fillId="7" borderId="1" applyAlignment="1" pivotButton="0" quotePrefix="0" xfId="0">
      <alignment horizontal="center" vertical="center"/>
    </xf>
    <xf numFmtId="169" fontId="14" fillId="7" borderId="1" applyAlignment="1" pivotButton="0" quotePrefix="0" xfId="0">
      <alignment horizontal="right" vertical="center"/>
    </xf>
    <xf numFmtId="181" fontId="14" fillId="7" borderId="1" applyAlignment="1" pivotButton="0" quotePrefix="0" xfId="0">
      <alignment horizontal="right" vertical="center"/>
    </xf>
    <xf numFmtId="14" fontId="26" fillId="15" borderId="1" applyAlignment="1" pivotButton="0" quotePrefix="0" xfId="0">
      <alignment horizontal="center" vertical="center"/>
    </xf>
    <xf numFmtId="182" fontId="14" fillId="4" borderId="1" applyAlignment="1" pivotButton="0" quotePrefix="0" xfId="0">
      <alignment horizontal="center" vertical="center"/>
    </xf>
    <xf numFmtId="0" fontId="48" fillId="4" borderId="1" applyAlignment="1" pivotButton="0" quotePrefix="0" xfId="0">
      <alignment horizontal="left" vertical="center"/>
    </xf>
    <xf numFmtId="0" fontId="27" fillId="15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/>
    </xf>
    <xf numFmtId="14" fontId="14" fillId="4" borderId="1" applyAlignment="1" pivotButton="0" quotePrefix="0" xfId="0">
      <alignment horizontal="center" vertical="center"/>
    </xf>
    <xf numFmtId="178" fontId="49" fillId="4" borderId="1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4" fontId="10" fillId="5" borderId="1" applyAlignment="1" pivotButton="0" quotePrefix="0" xfId="0">
      <alignment horizontal="center" vertical="center"/>
    </xf>
    <xf numFmtId="178" fontId="36" fillId="23" borderId="1" applyAlignment="1" pivotButton="0" quotePrefix="0" xfId="0">
      <alignment horizontal="right" vertical="center"/>
    </xf>
    <xf numFmtId="178" fontId="26" fillId="15" borderId="1" applyAlignment="1" pivotButton="0" quotePrefix="0" xfId="0">
      <alignment horizontal="right" vertical="center"/>
    </xf>
    <xf numFmtId="0" fontId="13" fillId="5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center" vertical="center"/>
    </xf>
    <xf numFmtId="0" fontId="4" fillId="23" borderId="1" applyAlignment="1" pivotButton="0" quotePrefix="0" xfId="0">
      <alignment horizontal="left" vertical="center"/>
    </xf>
    <xf numFmtId="0" fontId="1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4" fontId="10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178" fontId="11" fillId="2" borderId="1" applyAlignment="1" pivotButton="0" quotePrefix="0" xfId="0">
      <alignment horizontal="right" vertical="center"/>
    </xf>
    <xf numFmtId="0" fontId="4" fillId="18" borderId="1" applyAlignment="1" pivotButton="0" quotePrefix="0" xfId="0">
      <alignment horizontal="left" vertical="center"/>
    </xf>
    <xf numFmtId="10" fontId="4" fillId="5" borderId="1" applyAlignment="1" pivotButton="0" quotePrefix="0" xfId="0">
      <alignment horizontal="right" vertical="center"/>
    </xf>
    <xf numFmtId="183" fontId="4" fillId="4" borderId="1" applyAlignment="1" pivotButton="0" quotePrefix="0" xfId="0">
      <alignment horizontal="right" vertical="center"/>
    </xf>
    <xf numFmtId="169" fontId="4" fillId="5" borderId="1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/>
    </xf>
    <xf numFmtId="0" fontId="50" fillId="0" borderId="0" pivotButton="0" quotePrefix="0" xfId="0"/>
    <xf numFmtId="166" fontId="5" fillId="4" borderId="0" applyAlignment="1" pivotButton="0" quotePrefix="0" xfId="0">
      <alignment horizontal="center" vertical="center"/>
    </xf>
    <xf numFmtId="164" fontId="5" fillId="5" borderId="0" applyAlignment="1" pivotButton="0" quotePrefix="0" xfId="0">
      <alignment horizontal="center" vertical="center"/>
    </xf>
    <xf numFmtId="164" fontId="4" fillId="7" borderId="0" applyAlignment="1" pivotButton="0" quotePrefix="0" xfId="0">
      <alignment horizontal="right" vertical="center"/>
    </xf>
    <xf numFmtId="165" fontId="5" fillId="4" borderId="0" applyAlignment="1" pivotButton="0" quotePrefix="0" xfId="0">
      <alignment horizontal="center" vertical="center"/>
    </xf>
    <xf numFmtId="165" fontId="4" fillId="7" borderId="0" applyAlignment="1" pivotButton="0" quotePrefix="0" xfId="0">
      <alignment horizontal="right" vertical="center"/>
    </xf>
    <xf numFmtId="0" fontId="41" fillId="15" borderId="1" applyAlignment="1" pivotButton="0" quotePrefix="0" xfId="0">
      <alignment horizontal="left" vertical="center"/>
    </xf>
    <xf numFmtId="0" fontId="4" fillId="15" borderId="1" applyAlignment="1" pivotButton="0" quotePrefix="0" xfId="0">
      <alignment horizontal="left" vertical="center"/>
    </xf>
    <xf numFmtId="164" fontId="5" fillId="4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0" fontId="15" fillId="8" borderId="1" applyAlignment="1" pivotButton="0" quotePrefix="0" xfId="0">
      <alignment horizontal="left" vertical="center"/>
    </xf>
    <xf numFmtId="178" fontId="15" fillId="8" borderId="1" applyAlignment="1" pivotButton="0" quotePrefix="0" xfId="0">
      <alignment horizontal="right" vertical="center"/>
    </xf>
    <xf numFmtId="0" fontId="11" fillId="9" borderId="1" applyAlignment="1" pivotButton="0" quotePrefix="0" xfId="0">
      <alignment horizontal="left" vertical="center"/>
    </xf>
    <xf numFmtId="178" fontId="11" fillId="9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11" fillId="13" borderId="1" applyAlignment="1" pivotButton="0" quotePrefix="0" xfId="0">
      <alignment horizontal="left" vertical="center"/>
    </xf>
    <xf numFmtId="178" fontId="11" fillId="13" borderId="1" applyAlignment="1" pivotButton="0" quotePrefix="0" xfId="0">
      <alignment horizontal="right" vertical="center"/>
    </xf>
    <xf numFmtId="0" fontId="4" fillId="13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53" fillId="0" borderId="0" applyAlignment="1" pivotButton="0" quotePrefix="0" xfId="0">
      <alignment horizontal="left" vertical="center"/>
    </xf>
    <xf numFmtId="0" fontId="54" fillId="25" borderId="0" applyAlignment="1" pivotButton="0" quotePrefix="0" xfId="0">
      <alignment horizontal="left" vertical="center"/>
    </xf>
    <xf numFmtId="0" fontId="54" fillId="0" borderId="0" applyAlignment="1" pivotButton="0" quotePrefix="0" xfId="0">
      <alignment horizontal="left" vertical="center"/>
    </xf>
    <xf numFmtId="180" fontId="55" fillId="0" borderId="0" applyAlignment="1" pivotButton="0" quotePrefix="0" xfId="0">
      <alignment horizontal="left" vertical="center"/>
    </xf>
    <xf numFmtId="0" fontId="56" fillId="0" borderId="0" applyAlignment="1" pivotButton="0" quotePrefix="0" xfId="0">
      <alignment horizontal="left" vertical="center"/>
    </xf>
    <xf numFmtId="0" fontId="54" fillId="25" borderId="0" applyAlignment="1" pivotButton="0" quotePrefix="0" xfId="0">
      <alignment horizontal="center" vertical="center"/>
    </xf>
    <xf numFmtId="0" fontId="55" fillId="0" borderId="0" applyAlignment="1" pivotButton="0" quotePrefix="0" xfId="0">
      <alignment horizontal="left" vertical="center"/>
    </xf>
    <xf numFmtId="180" fontId="55" fillId="0" borderId="0" applyAlignment="1" pivotButton="0" quotePrefix="0" xfId="0">
      <alignment horizontal="center" vertical="center"/>
    </xf>
    <xf numFmtId="184" fontId="55" fillId="0" borderId="0" applyAlignment="1" pivotButton="0" quotePrefix="0" xfId="0">
      <alignment horizontal="center" vertical="center"/>
    </xf>
    <xf numFmtId="170" fontId="55" fillId="0" borderId="0" applyAlignment="1" pivotButton="0" quotePrefix="0" xfId="0">
      <alignment horizontal="center" vertical="center"/>
    </xf>
    <xf numFmtId="0" fontId="55" fillId="0" borderId="0" applyAlignment="1" pivotButton="0" quotePrefix="0" xfId="0">
      <alignment horizontal="center" vertical="center"/>
    </xf>
    <xf numFmtId="0" fontId="57" fillId="0" borderId="0" applyAlignment="1" pivotButton="0" quotePrefix="0" xfId="0">
      <alignment horizontal="center" vertical="center"/>
    </xf>
    <xf numFmtId="0" fontId="56" fillId="0" borderId="0" applyAlignment="1" pivotButton="0" quotePrefix="0" xfId="0">
      <alignment horizontal="center" vertical="center"/>
    </xf>
    <xf numFmtId="0" fontId="58" fillId="0" borderId="0" applyAlignment="1" pivotButton="0" quotePrefix="0" xfId="0">
      <alignment horizontal="left" vertical="center"/>
    </xf>
    <xf numFmtId="0" fontId="59" fillId="0" borderId="0" pivotButton="0" quotePrefix="0" xfId="0"/>
    <xf numFmtId="0" fontId="61" fillId="27" borderId="0" applyAlignment="1" pivotButton="0" quotePrefix="0" xfId="0">
      <alignment horizontal="left" vertical="center"/>
    </xf>
    <xf numFmtId="0" fontId="61" fillId="27" borderId="0" applyAlignment="1" pivotButton="0" quotePrefix="0" xfId="0">
      <alignment horizontal="center" vertical="center"/>
    </xf>
    <xf numFmtId="0" fontId="54" fillId="28" borderId="0" applyAlignment="1" pivotButton="0" quotePrefix="0" xfId="0">
      <alignment horizontal="left" vertical="center"/>
    </xf>
    <xf numFmtId="180" fontId="55" fillId="28" borderId="0" applyAlignment="1" pivotButton="0" quotePrefix="0" xfId="0">
      <alignment horizontal="center" vertical="center"/>
    </xf>
    <xf numFmtId="0" fontId="63" fillId="0" borderId="0" applyAlignment="1" pivotButton="0" quotePrefix="0" xfId="0">
      <alignment horizontal="center" vertical="center"/>
    </xf>
    <xf numFmtId="0" fontId="54" fillId="29" borderId="0" applyAlignment="1" pivotButton="0" quotePrefix="0" xfId="0">
      <alignment horizontal="left" vertical="center"/>
    </xf>
    <xf numFmtId="180" fontId="55" fillId="29" borderId="0" applyAlignment="1" pivotButton="0" quotePrefix="0" xfId="0">
      <alignment horizontal="center" vertical="center"/>
    </xf>
    <xf numFmtId="0" fontId="64" fillId="0" borderId="0" applyAlignment="1" pivotButton="0" quotePrefix="0" xfId="0">
      <alignment horizontal="left" vertical="center"/>
    </xf>
    <xf numFmtId="3" fontId="55" fillId="0" borderId="0" applyAlignment="1" pivotButton="0" quotePrefix="0" xfId="0">
      <alignment horizontal="center" vertical="center"/>
    </xf>
    <xf numFmtId="180" fontId="54" fillId="28" borderId="0" applyAlignment="1" pivotButton="0" quotePrefix="0" xfId="0">
      <alignment horizontal="center" vertical="center"/>
    </xf>
    <xf numFmtId="0" fontId="65" fillId="25" borderId="0" applyAlignment="1" pivotButton="0" quotePrefix="0" xfId="0">
      <alignment horizontal="left" vertical="center"/>
    </xf>
    <xf numFmtId="0" fontId="65" fillId="25" borderId="0" applyAlignment="1" pivotButton="0" quotePrefix="0" xfId="0">
      <alignment horizontal="center" vertical="center"/>
    </xf>
    <xf numFmtId="180" fontId="54" fillId="0" borderId="0" applyAlignment="1" pivotButton="0" quotePrefix="0" xfId="0">
      <alignment horizontal="center" vertical="center"/>
    </xf>
    <xf numFmtId="3" fontId="54" fillId="0" borderId="0" applyAlignment="1" pivotButton="0" quotePrefix="0" xfId="0">
      <alignment horizontal="center" vertical="center"/>
    </xf>
    <xf numFmtId="170" fontId="54" fillId="0" borderId="0" applyAlignment="1" pivotButton="0" quotePrefix="0" xfId="0">
      <alignment horizontal="center" vertical="center"/>
    </xf>
    <xf numFmtId="0" fontId="59" fillId="0" borderId="0" applyAlignment="1" pivotButton="0" quotePrefix="0" xfId="0">
      <alignment horizontal="left" vertical="center"/>
    </xf>
    <xf numFmtId="3" fontId="54" fillId="28" borderId="0" applyAlignment="1" pivotButton="0" quotePrefix="0" xfId="0">
      <alignment horizontal="center" vertical="center"/>
    </xf>
    <xf numFmtId="0" fontId="61" fillId="27" borderId="0" applyAlignment="1" pivotButton="0" quotePrefix="0" xfId="0">
      <alignment horizontal="center" vertical="center" wrapText="1"/>
    </xf>
    <xf numFmtId="0" fontId="66" fillId="0" borderId="0" pivotButton="0" quotePrefix="0" xfId="0"/>
    <xf numFmtId="0" fontId="68" fillId="30" borderId="0" applyAlignment="1" pivotButton="0" quotePrefix="0" xfId="0">
      <alignment horizontal="left"/>
    </xf>
    <xf numFmtId="0" fontId="69" fillId="0" borderId="0" pivotButton="0" quotePrefix="0" xfId="0"/>
    <xf numFmtId="0" fontId="70" fillId="31" borderId="0" pivotButton="0" quotePrefix="0" xfId="0"/>
    <xf numFmtId="3" fontId="70" fillId="31" borderId="0" pivotButton="0" quotePrefix="0" xfId="0"/>
    <xf numFmtId="0" fontId="70" fillId="32" borderId="0" pivotButton="0" quotePrefix="0" xfId="0"/>
    <xf numFmtId="180" fontId="70" fillId="32" borderId="0" pivotButton="0" quotePrefix="0" xfId="0"/>
    <xf numFmtId="0" fontId="66" fillId="0" borderId="0" pivotButton="0" quotePrefix="0" xfId="2"/>
    <xf numFmtId="0" fontId="61" fillId="24" borderId="0" applyAlignment="1" pivotButton="0" quotePrefix="0" xfId="0">
      <alignment horizontal="center"/>
    </xf>
    <xf numFmtId="0" fontId="4" fillId="4" borderId="0" pivotButton="0" quotePrefix="0" xfId="0"/>
    <xf numFmtId="166" fontId="16" fillId="4" borderId="0" pivotButton="0" quotePrefix="0" xfId="0"/>
    <xf numFmtId="166" fontId="4" fillId="8" borderId="0" pivotButton="0" quotePrefix="0" xfId="0"/>
    <xf numFmtId="49" fontId="5" fillId="4" borderId="0" pivotButton="0" quotePrefix="0" xfId="0"/>
    <xf numFmtId="165" fontId="5" fillId="4" borderId="0" pivotButton="0" quotePrefix="0" xfId="0"/>
    <xf numFmtId="0" fontId="51" fillId="0" borderId="0" pivotButton="0" quotePrefix="0" xfId="0"/>
    <xf numFmtId="0" fontId="4" fillId="5" borderId="0" pivotButton="0" quotePrefix="0" xfId="0"/>
    <xf numFmtId="166" fontId="16" fillId="5" borderId="0" pivotButton="0" quotePrefix="0" xfId="0"/>
    <xf numFmtId="165" fontId="4" fillId="4" borderId="0" pivotButton="0" quotePrefix="0" xfId="0"/>
    <xf numFmtId="166" fontId="4" fillId="4" borderId="0" pivotButton="0" quotePrefix="0" xfId="0"/>
    <xf numFmtId="170" fontId="22" fillId="0" borderId="0" pivotButton="0" quotePrefix="0" xfId="0"/>
    <xf numFmtId="166" fontId="5" fillId="5" borderId="0" pivotButton="0" quotePrefix="0" xfId="0"/>
    <xf numFmtId="171" fontId="51" fillId="0" borderId="0" pivotButton="0" quotePrefix="0" xfId="0"/>
    <xf numFmtId="0" fontId="71" fillId="33" borderId="0" pivotButton="0" quotePrefix="0" xfId="0"/>
    <xf numFmtId="180" fontId="71" fillId="33" borderId="0" pivotButton="0" quotePrefix="0" xfId="0"/>
    <xf numFmtId="165" fontId="4" fillId="5" borderId="0" pivotButton="0" quotePrefix="0" xfId="0"/>
    <xf numFmtId="165" fontId="4" fillId="8" borderId="0" pivotButton="0" quotePrefix="0" xfId="0"/>
    <xf numFmtId="166" fontId="5" fillId="4" borderId="0" pivotButton="0" quotePrefix="0" xfId="0"/>
    <xf numFmtId="166" fontId="5" fillId="8" borderId="0" pivotButton="0" quotePrefix="0" xfId="0"/>
    <xf numFmtId="0" fontId="13" fillId="4" borderId="0" pivotButton="0" quotePrefix="0" xfId="0"/>
    <xf numFmtId="166" fontId="4" fillId="5" borderId="0" pivotButton="0" quotePrefix="0" xfId="0"/>
    <xf numFmtId="0" fontId="13" fillId="5" borderId="0" pivotButton="0" quotePrefix="0" xfId="0"/>
    <xf numFmtId="173" fontId="4" fillId="4" borderId="0" pivotButton="0" quotePrefix="0" xfId="0"/>
    <xf numFmtId="173" fontId="4" fillId="8" borderId="0" pivotButton="0" quotePrefix="0" xfId="0"/>
    <xf numFmtId="165" fontId="16" fillId="5" borderId="0" pivotButton="0" quotePrefix="0" xfId="0"/>
    <xf numFmtId="164" fontId="16" fillId="5" borderId="0" pivotButton="0" quotePrefix="0" xfId="0"/>
    <xf numFmtId="164" fontId="4" fillId="8" borderId="0" pivotButton="0" quotePrefix="0" xfId="0"/>
    <xf numFmtId="165" fontId="16" fillId="4" borderId="0" pivotButton="0" quotePrefix="0" xfId="0"/>
    <xf numFmtId="0" fontId="16" fillId="10" borderId="0" applyAlignment="1" pivotButton="0" quotePrefix="0" xfId="0">
      <alignment vertical="center"/>
    </xf>
    <xf numFmtId="0" fontId="72" fillId="35" borderId="0" applyAlignment="1" pivotButton="0" quotePrefix="0" xfId="0">
      <alignment horizontal="left" vertical="center" indent="2"/>
    </xf>
    <xf numFmtId="0" fontId="73" fillId="34" borderId="0" applyAlignment="1" pivotButton="0" quotePrefix="0" xfId="0">
      <alignment horizontal="left" vertical="center" indent="2"/>
    </xf>
    <xf numFmtId="0" fontId="74" fillId="36" borderId="0" applyAlignment="1" pivotButton="0" quotePrefix="0" xfId="0">
      <alignment horizontal="left" vertical="center" indent="2"/>
    </xf>
    <xf numFmtId="185" fontId="0" fillId="0" borderId="0" pivotButton="0" quotePrefix="0" xfId="0"/>
    <xf numFmtId="185" fontId="74" fillId="36" borderId="0" applyAlignment="1" pivotButton="0" quotePrefix="0" xfId="0">
      <alignment horizontal="right" vertical="center"/>
    </xf>
    <xf numFmtId="185" fontId="75" fillId="35" borderId="0" applyAlignment="1" pivotButton="0" quotePrefix="0" xfId="0">
      <alignment horizontal="right" vertical="center"/>
    </xf>
    <xf numFmtId="172" fontId="0" fillId="0" borderId="0" pivotButton="0" quotePrefix="0" xfId="0"/>
    <xf numFmtId="0" fontId="78" fillId="39" borderId="0" applyAlignment="1" pivotButton="0" quotePrefix="0" xfId="0">
      <alignment horizontal="left" vertical="center" indent="2"/>
    </xf>
    <xf numFmtId="0" fontId="74" fillId="38" borderId="0" applyAlignment="1" pivotButton="0" quotePrefix="0" xfId="0">
      <alignment horizontal="left" vertical="center" indent="2"/>
    </xf>
    <xf numFmtId="0" fontId="79" fillId="39" borderId="0" applyAlignment="1" pivotButton="0" quotePrefix="0" xfId="0">
      <alignment horizontal="left" vertical="center" indent="2"/>
    </xf>
    <xf numFmtId="0" fontId="72" fillId="38" borderId="0" applyAlignment="1" pivotButton="0" quotePrefix="0" xfId="0">
      <alignment horizontal="left" vertical="center" indent="2"/>
    </xf>
    <xf numFmtId="0" fontId="74" fillId="35" borderId="0" applyAlignment="1" pivotButton="0" quotePrefix="0" xfId="0">
      <alignment horizontal="left" vertical="center" indent="2"/>
    </xf>
    <xf numFmtId="0" fontId="79" fillId="39" borderId="0" applyAlignment="1" pivotButton="0" quotePrefix="0" xfId="0">
      <alignment horizontal="left" vertical="center" indent="3"/>
    </xf>
    <xf numFmtId="0" fontId="74" fillId="35" borderId="0" applyAlignment="1" pivotButton="0" quotePrefix="0" xfId="0">
      <alignment horizontal="left" vertical="center" indent="1"/>
    </xf>
    <xf numFmtId="0" fontId="78" fillId="39" borderId="0" applyAlignment="1" pivotButton="0" quotePrefix="0" xfId="0">
      <alignment horizontal="left" vertical="center" indent="1"/>
    </xf>
    <xf numFmtId="0" fontId="74" fillId="38" borderId="0" applyAlignment="1" pivotButton="0" quotePrefix="0" xfId="0">
      <alignment horizontal="left" vertical="center" indent="1"/>
    </xf>
    <xf numFmtId="0" fontId="73" fillId="42" borderId="0" applyAlignment="1" pivotButton="0" quotePrefix="0" xfId="0">
      <alignment horizontal="left" vertical="center" indent="1"/>
    </xf>
    <xf numFmtId="0" fontId="74" fillId="37" borderId="0" applyAlignment="1" pivotButton="0" quotePrefix="0" xfId="0">
      <alignment horizontal="left" vertical="center" indent="1"/>
    </xf>
    <xf numFmtId="0" fontId="74" fillId="36" borderId="0" applyAlignment="1" pivotButton="0" quotePrefix="0" xfId="0">
      <alignment horizontal="left" vertical="center" indent="1"/>
    </xf>
    <xf numFmtId="175" fontId="80" fillId="39" borderId="0" applyAlignment="1" pivotButton="0" quotePrefix="0" xfId="0">
      <alignment horizontal="center"/>
    </xf>
    <xf numFmtId="185" fontId="72" fillId="38" borderId="0" applyAlignment="1" pivotButton="0" quotePrefix="0" xfId="0">
      <alignment horizontal="right"/>
    </xf>
    <xf numFmtId="175" fontId="81" fillId="39" borderId="0" applyAlignment="1" pivotButton="0" quotePrefix="0" xfId="0">
      <alignment horizontal="center"/>
    </xf>
    <xf numFmtId="185" fontId="74" fillId="35" borderId="0" applyAlignment="1" pivotButton="0" quotePrefix="0" xfId="0">
      <alignment horizontal="right" vertical="center"/>
    </xf>
    <xf numFmtId="175" fontId="80" fillId="39" borderId="0" applyAlignment="1" pivotButton="0" quotePrefix="0" xfId="0">
      <alignment horizontal="center" vertical="center"/>
    </xf>
    <xf numFmtId="185" fontId="74" fillId="38" borderId="0" applyAlignment="1" pivotButton="0" quotePrefix="0" xfId="0">
      <alignment horizontal="right" vertical="center"/>
    </xf>
    <xf numFmtId="175" fontId="82" fillId="39" borderId="0" applyAlignment="1" pivotButton="0" quotePrefix="0" xfId="0">
      <alignment horizontal="center"/>
    </xf>
    <xf numFmtId="175" fontId="83" fillId="39" borderId="0" applyAlignment="1" pivotButton="0" quotePrefix="0" xfId="0">
      <alignment horizontal="center"/>
    </xf>
    <xf numFmtId="175" fontId="82" fillId="39" borderId="0" applyAlignment="1" pivotButton="0" quotePrefix="0" xfId="0">
      <alignment horizontal="center" vertical="center"/>
    </xf>
    <xf numFmtId="185" fontId="4" fillId="4" borderId="0" applyAlignment="1" pivotButton="0" quotePrefix="0" xfId="0">
      <alignment horizontal="right" vertical="center"/>
    </xf>
    <xf numFmtId="185" fontId="4" fillId="5" borderId="0" applyAlignment="1" pivotButton="0" quotePrefix="0" xfId="0">
      <alignment horizontal="right" vertical="center"/>
    </xf>
    <xf numFmtId="165" fontId="0" fillId="0" borderId="0" pivotButton="0" quotePrefix="0" xfId="0"/>
    <xf numFmtId="0" fontId="3" fillId="34" borderId="0" applyAlignment="1" pivotButton="0" quotePrefix="0" xfId="0">
      <alignment horizontal="left"/>
    </xf>
    <xf numFmtId="0" fontId="15" fillId="37" borderId="0" pivotButton="0" quotePrefix="0" xfId="0"/>
    <xf numFmtId="0" fontId="8" fillId="34" borderId="0" applyAlignment="1" pivotButton="0" quotePrefix="0" xfId="0">
      <alignment horizontal="center" vertical="center" wrapText="1"/>
    </xf>
    <xf numFmtId="0" fontId="61" fillId="34" borderId="0" applyAlignment="1" pivotButton="0" quotePrefix="0" xfId="0">
      <alignment horizontal="center"/>
    </xf>
    <xf numFmtId="170" fontId="84" fillId="0" borderId="0" applyAlignment="1" pivotButton="0" quotePrefix="0" xfId="0">
      <alignment horizontal="center"/>
    </xf>
    <xf numFmtId="186" fontId="16" fillId="5" borderId="0" pivotButton="0" quotePrefix="0" xfId="0"/>
    <xf numFmtId="186" fontId="16" fillId="4" borderId="0" pivotButton="0" quotePrefix="0" xfId="0"/>
    <xf numFmtId="186" fontId="12" fillId="37" borderId="0" pivotButton="0" quotePrefix="0" xfId="0"/>
    <xf numFmtId="186" fontId="26" fillId="37" borderId="0" pivotButton="0" quotePrefix="0" xfId="0"/>
    <xf numFmtId="186" fontId="70" fillId="40" borderId="0" pivotButton="0" quotePrefix="0" xfId="0"/>
    <xf numFmtId="10" fontId="84" fillId="0" borderId="0" applyAlignment="1" pivotButton="0" quotePrefix="0" xfId="0">
      <alignment horizontal="center"/>
    </xf>
    <xf numFmtId="0" fontId="3" fillId="34" borderId="0" applyAlignment="1" pivotButton="0" quotePrefix="0" xfId="0">
      <alignment horizontal="left" vertical="center" indent="2"/>
    </xf>
    <xf numFmtId="0" fontId="15" fillId="37" borderId="0" applyAlignment="1" pivotButton="0" quotePrefix="0" xfId="0">
      <alignment horizontal="left" vertical="center" indent="2"/>
    </xf>
    <xf numFmtId="0" fontId="15" fillId="37" borderId="0" applyAlignment="1" pivotButton="0" quotePrefix="0" xfId="0">
      <alignment horizontal="left" vertical="center" indent="1"/>
    </xf>
    <xf numFmtId="0" fontId="15" fillId="40" borderId="0" applyAlignment="1" pivotButton="0" quotePrefix="0" xfId="0">
      <alignment horizontal="left" vertical="center" indent="2"/>
    </xf>
    <xf numFmtId="185" fontId="85" fillId="0" borderId="0" applyAlignment="1" pivotButton="0" quotePrefix="0" xfId="0">
      <alignment horizontal="center" vertical="center"/>
    </xf>
    <xf numFmtId="185" fontId="54" fillId="0" borderId="0" applyAlignment="1" pivotButton="0" quotePrefix="0" xfId="0">
      <alignment horizontal="center" vertical="center"/>
    </xf>
    <xf numFmtId="185" fontId="54" fillId="28" borderId="0" applyAlignment="1" pivotButton="0" quotePrefix="0" xfId="0">
      <alignment horizontal="center" vertical="center"/>
    </xf>
    <xf numFmtId="185" fontId="54" fillId="29" borderId="0" applyAlignment="1" pivotButton="0" quotePrefix="0" xfId="0">
      <alignment horizontal="center" vertical="center"/>
    </xf>
    <xf numFmtId="185" fontId="54" fillId="0" borderId="0" applyAlignment="1" pivotButton="0" quotePrefix="0" xfId="0">
      <alignment horizontal="left" vertical="center"/>
    </xf>
    <xf numFmtId="185" fontId="55" fillId="0" borderId="0" applyAlignment="1" pivotButton="0" quotePrefix="0" xfId="0">
      <alignment horizontal="center" vertical="center"/>
    </xf>
    <xf numFmtId="3" fontId="85" fillId="0" borderId="0" applyAlignment="1" pivotButton="0" quotePrefix="0" xfId="0">
      <alignment horizontal="center" vertical="center"/>
    </xf>
    <xf numFmtId="185" fontId="16" fillId="5" borderId="0" applyAlignment="1" pivotButton="0" quotePrefix="0" xfId="0">
      <alignment horizontal="right" vertical="center"/>
    </xf>
    <xf numFmtId="10" fontId="16" fillId="4" borderId="0" applyAlignment="1" pivotButton="0" quotePrefix="0" xfId="0">
      <alignment horizontal="right" vertical="center"/>
    </xf>
    <xf numFmtId="14" fontId="0" fillId="0" borderId="0" pivotButton="0" quotePrefix="0" xfId="0"/>
    <xf numFmtId="187" fontId="55" fillId="0" borderId="0" applyAlignment="1" pivotButton="0" quotePrefix="0" xfId="0">
      <alignment horizontal="center" vertical="center"/>
    </xf>
    <xf numFmtId="165" fontId="55" fillId="0" borderId="0" applyAlignment="1" pivotButton="0" quotePrefix="0" xfId="0">
      <alignment horizontal="center" vertical="center"/>
    </xf>
    <xf numFmtId="165" fontId="54" fillId="28" borderId="0" applyAlignment="1" pivotButton="0" quotePrefix="0" xfId="0">
      <alignment horizontal="center" vertical="center"/>
    </xf>
    <xf numFmtId="49" fontId="55" fillId="0" borderId="0" applyAlignment="1" pivotButton="0" quotePrefix="0" xfId="0">
      <alignment horizontal="center" vertical="center"/>
    </xf>
    <xf numFmtId="165" fontId="54" fillId="0" borderId="0" applyAlignment="1" pivotButton="0" quotePrefix="0" xfId="0">
      <alignment horizontal="center" vertical="center"/>
    </xf>
    <xf numFmtId="165" fontId="54" fillId="0" borderId="0" applyAlignment="1" pivotButton="0" quotePrefix="0" xfId="0">
      <alignment horizontal="left" vertical="center"/>
    </xf>
    <xf numFmtId="188" fontId="55" fillId="0" borderId="0" applyAlignment="1" pivotButton="0" quotePrefix="0" xfId="0">
      <alignment horizontal="center" vertical="center"/>
    </xf>
    <xf numFmtId="0" fontId="54" fillId="0" borderId="0" applyAlignment="1" pivotButton="0" quotePrefix="0" xfId="0">
      <alignment horizontal="center" vertical="center"/>
    </xf>
    <xf numFmtId="0" fontId="61" fillId="43" borderId="0" applyAlignment="1" pivotButton="0" quotePrefix="0" xfId="0">
      <alignment horizontal="center" vertical="center" wrapText="1"/>
    </xf>
    <xf numFmtId="0" fontId="88" fillId="0" borderId="0" pivotButton="0" quotePrefix="0" xfId="0"/>
    <xf numFmtId="3" fontId="84" fillId="0" borderId="0" applyAlignment="1" pivotButton="0" quotePrefix="0" xfId="1">
      <alignment horizontal="center"/>
    </xf>
    <xf numFmtId="3" fontId="66" fillId="0" borderId="0" applyAlignment="1" pivotButton="0" quotePrefix="0" xfId="0">
      <alignment horizontal="center"/>
    </xf>
    <xf numFmtId="3" fontId="84" fillId="0" borderId="0" applyAlignment="1" pivotButton="0" quotePrefix="0" xfId="0">
      <alignment horizontal="center"/>
    </xf>
    <xf numFmtId="189" fontId="84" fillId="0" borderId="0" applyAlignment="1" pivotButton="0" quotePrefix="0" xfId="0">
      <alignment horizontal="center"/>
    </xf>
    <xf numFmtId="180" fontId="66" fillId="0" borderId="0" applyAlignment="1" pivotButton="0" quotePrefix="0" xfId="0">
      <alignment horizontal="center"/>
    </xf>
    <xf numFmtId="0" fontId="66" fillId="0" borderId="0" applyAlignment="1" pivotButton="0" quotePrefix="0" xfId="0">
      <alignment horizontal="center"/>
    </xf>
    <xf numFmtId="180" fontId="70" fillId="32" borderId="0" applyAlignment="1" pivotButton="0" quotePrefix="0" xfId="0">
      <alignment horizontal="center"/>
    </xf>
    <xf numFmtId="170" fontId="66" fillId="0" borderId="0" applyAlignment="1" pivotButton="0" quotePrefix="0" xfId="0">
      <alignment horizontal="center"/>
    </xf>
    <xf numFmtId="170" fontId="70" fillId="31" borderId="0" applyAlignment="1" pivotButton="0" quotePrefix="0" xfId="0">
      <alignment horizontal="center"/>
    </xf>
    <xf numFmtId="190" fontId="84" fillId="0" borderId="0" applyAlignment="1" pivotButton="0" quotePrefix="0" xfId="0">
      <alignment horizontal="center"/>
    </xf>
    <xf numFmtId="3" fontId="70" fillId="31" borderId="0" applyAlignment="1" pivotButton="0" quotePrefix="0" xfId="0">
      <alignment horizontal="center"/>
    </xf>
    <xf numFmtId="3" fontId="89" fillId="27" borderId="0" applyAlignment="1" pivotButton="0" quotePrefix="0" xfId="0">
      <alignment horizontal="center" vertical="center" wrapText="1"/>
    </xf>
    <xf numFmtId="185" fontId="61" fillId="27" borderId="0" applyAlignment="1" pivotButton="0" quotePrefix="0" xfId="0">
      <alignment horizontal="center" vertical="center" wrapText="1"/>
    </xf>
    <xf numFmtId="191" fontId="61" fillId="27" borderId="0" applyAlignment="1" pivotButton="0" quotePrefix="0" xfId="0">
      <alignment horizontal="center" vertical="center" wrapText="1"/>
    </xf>
    <xf numFmtId="3" fontId="0" fillId="0" borderId="0" pivotButton="0" quotePrefix="0" xfId="0"/>
    <xf numFmtId="191" fontId="0" fillId="0" borderId="0" pivotButton="0" quotePrefix="0" xfId="0"/>
    <xf numFmtId="3" fontId="0" fillId="0" borderId="0" applyAlignment="1" pivotButton="0" quotePrefix="0" xfId="0">
      <alignment horizontal="center"/>
    </xf>
    <xf numFmtId="185" fontId="88" fillId="0" borderId="0" pivotButton="0" quotePrefix="0" xfId="0"/>
    <xf numFmtId="185" fontId="90" fillId="0" borderId="0" pivotButton="0" quotePrefix="0" xfId="0"/>
    <xf numFmtId="165" fontId="88" fillId="0" borderId="0" pivotButton="0" quotePrefix="0" xfId="0"/>
    <xf numFmtId="165" fontId="90" fillId="0" borderId="0" pivotButton="0" quotePrefix="0" xfId="0"/>
    <xf numFmtId="3" fontId="88" fillId="0" borderId="0" pivotButton="0" quotePrefix="0" xfId="0"/>
    <xf numFmtId="185" fontId="91" fillId="44" borderId="0" pivotButton="0" quotePrefix="0" xfId="0"/>
    <xf numFmtId="185" fontId="0" fillId="0" borderId="0" applyAlignment="1" pivotButton="0" quotePrefix="0" xfId="0">
      <alignment horizontal="center"/>
    </xf>
    <xf numFmtId="170" fontId="0" fillId="0" borderId="0" pivotButton="0" quotePrefix="0" xfId="0"/>
    <xf numFmtId="0" fontId="0" fillId="0" borderId="0" pivotButton="0" quotePrefix="1" xfId="0"/>
    <xf numFmtId="0" fontId="93" fillId="0" borderId="0" pivotButton="0" quotePrefix="0" xfId="0"/>
    <xf numFmtId="0" fontId="61" fillId="43" borderId="0" applyAlignment="1" pivotButton="0" quotePrefix="0" xfId="0">
      <alignment horizontal="center"/>
    </xf>
    <xf numFmtId="185" fontId="95" fillId="0" borderId="0" pivotButton="0" quotePrefix="0" xfId="0"/>
    <xf numFmtId="189" fontId="95" fillId="0" borderId="0" pivotButton="0" quotePrefix="0" xfId="0"/>
    <xf numFmtId="187" fontId="95" fillId="0" borderId="0" pivotButton="0" quotePrefix="0" xfId="0"/>
    <xf numFmtId="0" fontId="54" fillId="43" borderId="0" applyAlignment="1" pivotButton="0" quotePrefix="0" xfId="0">
      <alignment horizontal="left" vertical="center"/>
    </xf>
    <xf numFmtId="185" fontId="54" fillId="43" borderId="0" applyAlignment="1" pivotButton="0" quotePrefix="0" xfId="0">
      <alignment horizontal="center" vertical="center"/>
    </xf>
    <xf numFmtId="185" fontId="55" fillId="43" borderId="0" applyAlignment="1" pivotButton="0" quotePrefix="0" xfId="0">
      <alignment horizontal="center" vertical="center"/>
    </xf>
    <xf numFmtId="17" fontId="61" fillId="27" borderId="0" applyAlignment="1" pivotButton="0" quotePrefix="0" xfId="0">
      <alignment horizontal="center" vertical="center"/>
    </xf>
    <xf numFmtId="0" fontId="72" fillId="35" borderId="0" applyAlignment="1" pivotButton="0" quotePrefix="0" xfId="0">
      <alignment horizontal="left" vertical="center" indent="1"/>
    </xf>
    <xf numFmtId="0" fontId="72" fillId="38" borderId="0" applyAlignment="1" pivotButton="0" quotePrefix="0" xfId="0">
      <alignment horizontal="left" vertical="center" indent="1"/>
    </xf>
    <xf numFmtId="0" fontId="96" fillId="45" borderId="0" applyAlignment="1" pivotButton="0" quotePrefix="0" xfId="0">
      <alignment vertical="center"/>
    </xf>
    <xf numFmtId="185" fontId="72" fillId="36" borderId="0" applyAlignment="1" pivotButton="0" quotePrefix="0" xfId="0">
      <alignment horizontal="right" vertical="center"/>
    </xf>
    <xf numFmtId="192" fontId="72" fillId="36" borderId="0" applyAlignment="1" pivotButton="0" quotePrefix="0" xfId="0">
      <alignment horizontal="right" vertical="center"/>
    </xf>
    <xf numFmtId="185" fontId="72" fillId="36" borderId="0" applyAlignment="1" pivotButton="0" quotePrefix="0" xfId="0">
      <alignment horizontal="right"/>
    </xf>
    <xf numFmtId="185" fontId="74" fillId="36" borderId="0" applyAlignment="1" pivotButton="0" quotePrefix="0" xfId="0">
      <alignment horizontal="right"/>
    </xf>
    <xf numFmtId="165" fontId="72" fillId="35" borderId="0" applyAlignment="1" pivotButton="0" quotePrefix="0" xfId="0">
      <alignment horizontal="right"/>
    </xf>
    <xf numFmtId="165" fontId="72" fillId="38" borderId="0" applyAlignment="1" pivotButton="0" quotePrefix="0" xfId="0">
      <alignment horizontal="right"/>
    </xf>
    <xf numFmtId="0" fontId="79" fillId="35" borderId="0" applyAlignment="1" pivotButton="0" quotePrefix="0" xfId="0">
      <alignment horizontal="left" wrapText="1"/>
    </xf>
    <xf numFmtId="0" fontId="79" fillId="38" borderId="0" applyAlignment="1" pivotButton="0" quotePrefix="0" xfId="0">
      <alignment horizontal="left" wrapText="1"/>
    </xf>
    <xf numFmtId="165" fontId="79" fillId="38" borderId="0" applyAlignment="1" pivotButton="0" quotePrefix="0" xfId="0">
      <alignment horizontal="left" wrapText="1"/>
    </xf>
    <xf numFmtId="165" fontId="79" fillId="35" borderId="0" applyAlignment="1" pivotButton="0" quotePrefix="0" xfId="0">
      <alignment horizontal="left" wrapText="1"/>
    </xf>
    <xf numFmtId="171" fontId="79" fillId="38" borderId="0" applyAlignment="1" pivotButton="0" quotePrefix="0" xfId="0">
      <alignment horizontal="left" wrapText="1"/>
    </xf>
    <xf numFmtId="165" fontId="72" fillId="35" borderId="0" applyAlignment="1" pivotButton="0" quotePrefix="0" xfId="0">
      <alignment horizontal="center"/>
    </xf>
    <xf numFmtId="165" fontId="72" fillId="38" borderId="0" applyAlignment="1" pivotButton="0" quotePrefix="0" xfId="0">
      <alignment horizontal="center"/>
    </xf>
    <xf numFmtId="165" fontId="74" fillId="35" borderId="0" applyAlignment="1" pivotButton="0" quotePrefix="0" xfId="0">
      <alignment horizontal="center"/>
    </xf>
    <xf numFmtId="49" fontId="5" fillId="4" borderId="0" applyAlignment="1" pivotButton="0" quotePrefix="0" xfId="0">
      <alignment horizontal="center"/>
    </xf>
    <xf numFmtId="165" fontId="74" fillId="38" borderId="0" applyAlignment="1" pivotButton="0" quotePrefix="0" xfId="0">
      <alignment horizontal="center"/>
    </xf>
    <xf numFmtId="165" fontId="74" fillId="36" borderId="0" applyAlignment="1" pivotButton="0" quotePrefix="0" xfId="0">
      <alignment horizontal="center"/>
    </xf>
    <xf numFmtId="166" fontId="74" fillId="35" borderId="0" applyAlignment="1" pivotButton="0" quotePrefix="0" xfId="0">
      <alignment horizontal="right" vertical="center"/>
    </xf>
    <xf numFmtId="0" fontId="97" fillId="0" borderId="0" applyAlignment="1" pivotButton="0" quotePrefix="0" xfId="0">
      <alignment horizontal="left" vertical="center" indent="1"/>
    </xf>
    <xf numFmtId="0" fontId="98" fillId="0" borderId="0" applyAlignment="1" pivotButton="0" quotePrefix="0" xfId="0">
      <alignment horizontal="left" vertical="center" indent="1"/>
    </xf>
    <xf numFmtId="164" fontId="75" fillId="35" borderId="0" applyAlignment="1" pivotButton="0" quotePrefix="0" xfId="0">
      <alignment horizontal="center"/>
    </xf>
    <xf numFmtId="164" fontId="75" fillId="36" borderId="0" applyAlignment="1" pivotButton="0" quotePrefix="0" xfId="0">
      <alignment horizontal="center"/>
    </xf>
    <xf numFmtId="164" fontId="72" fillId="35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85" fontId="75" fillId="35" borderId="0" applyAlignment="1" pivotButton="0" quotePrefix="0" xfId="0">
      <alignment horizontal="center"/>
    </xf>
    <xf numFmtId="185" fontId="75" fillId="36" borderId="0" applyAlignment="1" pivotButton="0" quotePrefix="0" xfId="0">
      <alignment horizontal="center"/>
    </xf>
    <xf numFmtId="185" fontId="72" fillId="35" borderId="0" applyAlignment="1" pivotButton="0" quotePrefix="0" xfId="0">
      <alignment horizontal="center"/>
    </xf>
    <xf numFmtId="185" fontId="72" fillId="38" borderId="0" applyAlignment="1" pivotButton="0" quotePrefix="0" xfId="0">
      <alignment horizontal="center"/>
    </xf>
    <xf numFmtId="185" fontId="74" fillId="35" borderId="0" applyAlignment="1" pivotButton="0" quotePrefix="0" xfId="0">
      <alignment horizontal="center" vertical="center"/>
    </xf>
    <xf numFmtId="185" fontId="76" fillId="36" borderId="0" applyAlignment="1" pivotButton="0" quotePrefix="0" xfId="0">
      <alignment horizontal="center" vertical="center"/>
    </xf>
    <xf numFmtId="185" fontId="4" fillId="4" borderId="0" applyAlignment="1" pivotButton="0" quotePrefix="0" xfId="0">
      <alignment horizontal="center" vertical="center"/>
    </xf>
    <xf numFmtId="185" fontId="74" fillId="38" borderId="0" applyAlignment="1" pivotButton="0" quotePrefix="0" xfId="0">
      <alignment horizontal="center" vertical="center"/>
    </xf>
    <xf numFmtId="166" fontId="4" fillId="5" borderId="0" applyAlignment="1" pivotButton="0" quotePrefix="0" xfId="0">
      <alignment horizontal="center" vertical="center"/>
    </xf>
    <xf numFmtId="185" fontId="72" fillId="38" borderId="0" applyAlignment="1" pivotButton="0" quotePrefix="0" xfId="0">
      <alignment horizontal="center" vertical="center"/>
    </xf>
    <xf numFmtId="185" fontId="75" fillId="36" borderId="0" applyAlignment="1" pivotButton="0" quotePrefix="0" xfId="0">
      <alignment horizontal="center" vertical="center"/>
    </xf>
    <xf numFmtId="185" fontId="75" fillId="35" borderId="0" applyAlignment="1" pivotButton="0" quotePrefix="0" xfId="0">
      <alignment horizontal="center" vertical="center"/>
    </xf>
    <xf numFmtId="166" fontId="5" fillId="8" borderId="0" applyAlignment="1" pivotButton="0" quotePrefix="0" xfId="0">
      <alignment horizontal="center" vertical="center"/>
    </xf>
    <xf numFmtId="166" fontId="4" fillId="4" borderId="0" applyAlignment="1" pivotButton="0" quotePrefix="0" xfId="0">
      <alignment horizontal="center" vertical="center"/>
    </xf>
    <xf numFmtId="164" fontId="75" fillId="35" borderId="0" applyAlignment="1" pivotButton="0" quotePrefix="0" xfId="0">
      <alignment horizontal="center" vertical="center"/>
    </xf>
    <xf numFmtId="164" fontId="75" fillId="36" borderId="0" applyAlignment="1" pivotButton="0" quotePrefix="0" xfId="0">
      <alignment horizontal="center" vertical="center"/>
    </xf>
    <xf numFmtId="164" fontId="72" fillId="35" borderId="0" applyAlignment="1" pivotButton="0" quotePrefix="0" xfId="0">
      <alignment horizontal="center" vertical="center"/>
    </xf>
    <xf numFmtId="185" fontId="72" fillId="35" borderId="0" applyAlignment="1" pivotButton="0" quotePrefix="0" xfId="0">
      <alignment horizontal="center" vertical="center"/>
    </xf>
    <xf numFmtId="185" fontId="15" fillId="8" borderId="0" applyAlignment="1" pivotButton="0" quotePrefix="0" xfId="0">
      <alignment horizontal="center" vertical="center"/>
    </xf>
    <xf numFmtId="164" fontId="74" fillId="37" borderId="0" applyAlignment="1" pivotButton="0" quotePrefix="0" xfId="0">
      <alignment horizontal="center" vertical="center"/>
    </xf>
    <xf numFmtId="164" fontId="15" fillId="8" borderId="0" applyAlignment="1" pivotButton="0" quotePrefix="0" xfId="0">
      <alignment horizontal="center" vertical="center"/>
    </xf>
    <xf numFmtId="185" fontId="74" fillId="36" borderId="0" applyAlignment="1" pivotButton="0" quotePrefix="0" xfId="0">
      <alignment horizontal="center" vertical="center"/>
    </xf>
    <xf numFmtId="185" fontId="76" fillId="35" borderId="0" applyAlignment="1" pivotButton="0" quotePrefix="0" xfId="0">
      <alignment horizontal="center" vertical="center"/>
    </xf>
    <xf numFmtId="185" fontId="4" fillId="5" borderId="0" applyAlignment="1" pivotButton="0" quotePrefix="0" xfId="0">
      <alignment horizontal="center" vertical="center"/>
    </xf>
    <xf numFmtId="185" fontId="75" fillId="38" borderId="0" applyAlignment="1" pivotButton="0" quotePrefix="0" xfId="0">
      <alignment horizontal="center"/>
    </xf>
    <xf numFmtId="185" fontId="5" fillId="8" borderId="0" applyAlignment="1" pivotButton="0" quotePrefix="0" xfId="0">
      <alignment horizontal="center" vertical="center"/>
    </xf>
    <xf numFmtId="166" fontId="15" fillId="4" borderId="0" applyAlignment="1" pivotButton="0" quotePrefix="0" xfId="0">
      <alignment horizontal="center" vertical="center"/>
    </xf>
    <xf numFmtId="185" fontId="76" fillId="40" borderId="0" applyAlignment="1" pivotButton="0" quotePrefix="0" xfId="0">
      <alignment horizontal="center" vertical="center"/>
    </xf>
    <xf numFmtId="185" fontId="15" fillId="14" borderId="0" applyAlignment="1" pivotButton="0" quotePrefix="0" xfId="0">
      <alignment horizontal="center" vertical="center"/>
    </xf>
    <xf numFmtId="166" fontId="15" fillId="14" borderId="0" applyAlignment="1" pivotButton="0" quotePrefix="0" xfId="0">
      <alignment horizontal="center" vertical="center"/>
    </xf>
    <xf numFmtId="165" fontId="15" fillId="14" borderId="0" applyAlignment="1" pivotButton="0" quotePrefix="0" xfId="0">
      <alignment horizontal="center" vertical="center"/>
    </xf>
    <xf numFmtId="166" fontId="88" fillId="0" borderId="0" applyAlignment="1" pivotButton="0" quotePrefix="0" xfId="0">
      <alignment horizontal="center"/>
    </xf>
    <xf numFmtId="185" fontId="77" fillId="41" borderId="0" applyAlignment="1" pivotButton="0" quotePrefix="0" xfId="0">
      <alignment horizontal="center" vertical="center"/>
    </xf>
    <xf numFmtId="166" fontId="11" fillId="12" borderId="0" applyAlignment="1" pivotButton="0" quotePrefix="0" xfId="0">
      <alignment horizontal="center" vertical="center"/>
    </xf>
    <xf numFmtId="165" fontId="11" fillId="12" borderId="0" applyAlignment="1" pivotButton="0" quotePrefix="0" xfId="0">
      <alignment horizontal="center" vertical="center"/>
    </xf>
    <xf numFmtId="166" fontId="12" fillId="5" borderId="0" applyAlignment="1" pivotButton="0" quotePrefix="0" xfId="0">
      <alignment horizontal="center" vertical="center"/>
    </xf>
    <xf numFmtId="0" fontId="74" fillId="38" borderId="0" applyAlignment="1" pivotButton="0" quotePrefix="0" xfId="0">
      <alignment horizontal="right"/>
    </xf>
    <xf numFmtId="0" fontId="99" fillId="45" borderId="0" applyAlignment="1" pivotButton="0" quotePrefix="0" xfId="0">
      <alignment horizontal="center"/>
    </xf>
    <xf numFmtId="0" fontId="72" fillId="38" borderId="0" pivotButton="0" quotePrefix="0" xfId="0"/>
    <xf numFmtId="0" fontId="74" fillId="37" borderId="0" pivotButton="0" quotePrefix="0" xfId="0"/>
    <xf numFmtId="0" fontId="73" fillId="34" borderId="0" applyAlignment="1" pivotButton="0" quotePrefix="0" xfId="0">
      <alignment horizontal="left" vertical="center"/>
    </xf>
    <xf numFmtId="0" fontId="73" fillId="34" borderId="0" applyAlignment="1" pivotButton="0" quotePrefix="0" xfId="0">
      <alignment horizontal="left"/>
    </xf>
    <xf numFmtId="0" fontId="0" fillId="0" borderId="5" pivotButton="0" quotePrefix="0" xfId="0"/>
    <xf numFmtId="0" fontId="73" fillId="42" borderId="0" applyAlignment="1" pivotButton="0" quotePrefix="0" xfId="0">
      <alignment horizontal="left" vertical="center"/>
    </xf>
    <xf numFmtId="0" fontId="73" fillId="42" borderId="0" applyAlignment="1" pivotButton="0" quotePrefix="0" xfId="0">
      <alignment horizontal="left"/>
    </xf>
    <xf numFmtId="0" fontId="55" fillId="0" borderId="5" applyAlignment="1" pivotButton="0" quotePrefix="0" xfId="0">
      <alignment horizontal="left" vertical="center"/>
    </xf>
    <xf numFmtId="185" fontId="0" fillId="0" borderId="5" applyAlignment="1" pivotButton="0" quotePrefix="0" xfId="0">
      <alignment horizontal="center"/>
    </xf>
    <xf numFmtId="0" fontId="53" fillId="0" borderId="5" applyAlignment="1" pivotButton="0" quotePrefix="0" xfId="0">
      <alignment horizontal="left" vertical="center"/>
    </xf>
    <xf numFmtId="0" fontId="54" fillId="28" borderId="5" applyAlignment="1" pivotButton="0" quotePrefix="0" xfId="0">
      <alignment horizontal="left" vertical="center"/>
    </xf>
    <xf numFmtId="3" fontId="54" fillId="28" borderId="5" applyAlignment="1" pivotButton="0" quotePrefix="0" xfId="0">
      <alignment horizontal="center" vertical="center"/>
    </xf>
    <xf numFmtId="165" fontId="54" fillId="28" borderId="5" applyAlignment="1" pivotButton="0" quotePrefix="0" xfId="0">
      <alignment horizontal="center" vertical="center"/>
    </xf>
    <xf numFmtId="180" fontId="54" fillId="28" borderId="5" applyAlignment="1" pivotButton="0" quotePrefix="0" xfId="0">
      <alignment horizontal="center" vertical="center"/>
    </xf>
    <xf numFmtId="0" fontId="56" fillId="0" borderId="5" applyAlignment="1" pivotButton="0" quotePrefix="0" xfId="0">
      <alignment horizontal="center" vertical="center"/>
    </xf>
    <xf numFmtId="0" fontId="90" fillId="0" borderId="5" pivotButton="0" quotePrefix="0" xfId="0"/>
    <xf numFmtId="3" fontId="90" fillId="0" borderId="5" pivotButton="0" quotePrefix="0" xfId="0"/>
    <xf numFmtId="185" fontId="90" fillId="0" borderId="5" pivotButton="0" quotePrefix="0" xfId="0"/>
    <xf numFmtId="185" fontId="91" fillId="39" borderId="5" pivotButton="0" quotePrefix="0" xfId="0"/>
    <xf numFmtId="165" fontId="90" fillId="0" borderId="5" pivotButton="0" quotePrefix="0" xfId="0"/>
    <xf numFmtId="3" fontId="0" fillId="0" borderId="5" pivotButton="0" quotePrefix="0" xfId="0"/>
    <xf numFmtId="0" fontId="104" fillId="34" borderId="1" applyAlignment="1" pivotButton="0" quotePrefix="0" xfId="0">
      <alignment horizontal="center" vertical="center" wrapText="1"/>
    </xf>
    <xf numFmtId="0" fontId="104" fillId="34" borderId="7" applyAlignment="1" pivotButton="0" quotePrefix="0" xfId="0">
      <alignment horizontal="center" vertical="center" wrapText="1"/>
    </xf>
    <xf numFmtId="0" fontId="0" fillId="38" borderId="0" pivotButton="0" quotePrefix="0" xfId="0"/>
    <xf numFmtId="0" fontId="105" fillId="47" borderId="0" applyAlignment="1" pivotButton="0" quotePrefix="0" xfId="0">
      <alignment horizontal="left"/>
    </xf>
    <xf numFmtId="0" fontId="104" fillId="34" borderId="0" applyAlignment="1" pivotButton="0" quotePrefix="0" xfId="0">
      <alignment horizontal="center" vertical="center" wrapText="1"/>
    </xf>
    <xf numFmtId="0" fontId="73" fillId="46" borderId="0" applyAlignment="1" pivotButton="0" quotePrefix="0" xfId="0">
      <alignment horizontal="left"/>
    </xf>
    <xf numFmtId="0" fontId="73" fillId="46" borderId="9" applyAlignment="1" pivotButton="0" quotePrefix="0" xfId="0">
      <alignment horizontal="left" vertical="center"/>
    </xf>
    <xf numFmtId="0" fontId="104" fillId="34" borderId="11" applyAlignment="1" pivotButton="0" quotePrefix="0" xfId="0">
      <alignment horizontal="center" vertical="center" wrapText="1"/>
    </xf>
    <xf numFmtId="0" fontId="73" fillId="46" borderId="12" applyAlignment="1" pivotButton="0" quotePrefix="0" xfId="0">
      <alignment horizontal="left" vertical="center"/>
    </xf>
    <xf numFmtId="0" fontId="73" fillId="46" borderId="14" applyAlignment="1" pivotButton="0" quotePrefix="0" xfId="0">
      <alignment horizontal="left"/>
    </xf>
    <xf numFmtId="0" fontId="73" fillId="46" borderId="15" applyAlignment="1" pivotButton="0" quotePrefix="0" xfId="0">
      <alignment horizontal="left" vertical="center"/>
    </xf>
    <xf numFmtId="0" fontId="104" fillId="34" borderId="16" applyAlignment="1" pivotButton="0" quotePrefix="0" xfId="0">
      <alignment horizontal="center" vertical="center" wrapText="1"/>
    </xf>
    <xf numFmtId="0" fontId="105" fillId="47" borderId="16" applyAlignment="1" pivotButton="0" quotePrefix="0" xfId="0">
      <alignment horizontal="left"/>
    </xf>
    <xf numFmtId="0" fontId="73" fillId="46" borderId="16" applyAlignment="1" pivotButton="0" quotePrefix="0" xfId="0">
      <alignment horizontal="left"/>
    </xf>
    <xf numFmtId="0" fontId="72" fillId="38" borderId="20" applyAlignment="1" pivotButton="0" quotePrefix="0" xfId="0">
      <alignment horizontal="left" vertical="center"/>
    </xf>
    <xf numFmtId="166" fontId="72" fillId="38" borderId="21" applyAlignment="1" pivotButton="0" quotePrefix="0" xfId="0">
      <alignment horizontal="right" vertical="center"/>
    </xf>
    <xf numFmtId="165" fontId="72" fillId="38" borderId="21" applyAlignment="1" pivotButton="0" quotePrefix="0" xfId="0">
      <alignment horizontal="right" vertical="center"/>
    </xf>
    <xf numFmtId="0" fontId="72" fillId="38" borderId="22" pivotButton="0" quotePrefix="0" xfId="0"/>
    <xf numFmtId="0" fontId="72" fillId="38" borderId="23" pivotButton="0" quotePrefix="0" xfId="0"/>
    <xf numFmtId="0" fontId="72" fillId="38" borderId="24" applyAlignment="1" pivotButton="0" quotePrefix="0" xfId="0">
      <alignment horizontal="left" vertical="center"/>
    </xf>
    <xf numFmtId="166" fontId="72" fillId="38" borderId="25" applyAlignment="1" pivotButton="0" quotePrefix="0" xfId="0">
      <alignment horizontal="right" vertical="center"/>
    </xf>
    <xf numFmtId="165" fontId="72" fillId="38" borderId="25" applyAlignment="1" pivotButton="0" quotePrefix="0" xfId="0">
      <alignment horizontal="right" vertical="center"/>
    </xf>
    <xf numFmtId="0" fontId="72" fillId="38" borderId="26" pivotButton="0" quotePrefix="0" xfId="0"/>
    <xf numFmtId="0" fontId="72" fillId="38" borderId="27" pivotButton="0" quotePrefix="0" xfId="0"/>
    <xf numFmtId="0" fontId="105" fillId="47" borderId="26" applyAlignment="1" pivotButton="0" quotePrefix="0" xfId="0">
      <alignment horizontal="left"/>
    </xf>
    <xf numFmtId="0" fontId="105" fillId="47" borderId="27" applyAlignment="1" pivotButton="0" quotePrefix="0" xfId="0">
      <alignment horizontal="left"/>
    </xf>
    <xf numFmtId="0" fontId="74" fillId="48" borderId="29" applyAlignment="1" pivotButton="0" quotePrefix="0" xfId="0">
      <alignment horizontal="left" vertical="center"/>
    </xf>
    <xf numFmtId="166" fontId="74" fillId="48" borderId="30" applyAlignment="1" pivotButton="0" quotePrefix="0" xfId="0">
      <alignment horizontal="right" vertical="center"/>
    </xf>
    <xf numFmtId="165" fontId="74" fillId="48" borderId="30" applyAlignment="1" pivotButton="0" quotePrefix="0" xfId="0">
      <alignment horizontal="right" vertical="center"/>
    </xf>
    <xf numFmtId="0" fontId="74" fillId="48" borderId="31" pivotButton="0" quotePrefix="0" xfId="0"/>
    <xf numFmtId="0" fontId="74" fillId="48" borderId="32" pivotButton="0" quotePrefix="0" xfId="0"/>
    <xf numFmtId="0" fontId="105" fillId="47" borderId="33" applyAlignment="1" pivotButton="0" quotePrefix="0" xfId="0">
      <alignment horizontal="left" vertical="center"/>
    </xf>
    <xf numFmtId="0" fontId="105" fillId="47" borderId="22" applyAlignment="1" pivotButton="0" quotePrefix="0" xfId="0">
      <alignment horizontal="left"/>
    </xf>
    <xf numFmtId="0" fontId="105" fillId="47" borderId="23" applyAlignment="1" pivotButton="0" quotePrefix="0" xfId="0">
      <alignment horizontal="left"/>
    </xf>
    <xf numFmtId="0" fontId="72" fillId="38" borderId="34" applyAlignment="1" pivotButton="0" quotePrefix="0" xfId="0">
      <alignment horizontal="left"/>
    </xf>
    <xf numFmtId="3" fontId="96" fillId="39" borderId="26" applyAlignment="1" pivotButton="0" quotePrefix="0" xfId="0">
      <alignment horizontal="right"/>
    </xf>
    <xf numFmtId="185" fontId="96" fillId="39" borderId="26" applyAlignment="1" pivotButton="0" quotePrefix="0" xfId="0">
      <alignment horizontal="right"/>
    </xf>
    <xf numFmtId="185" fontId="72" fillId="38" borderId="26" applyAlignment="1" pivotButton="0" quotePrefix="0" xfId="0">
      <alignment horizontal="right"/>
    </xf>
    <xf numFmtId="193" fontId="72" fillId="38" borderId="26" applyAlignment="1" pivotButton="0" quotePrefix="0" xfId="0">
      <alignment horizontal="right"/>
    </xf>
    <xf numFmtId="185" fontId="96" fillId="45" borderId="26" applyAlignment="1" pivotButton="0" quotePrefix="0" xfId="0">
      <alignment horizontal="right"/>
    </xf>
    <xf numFmtId="165" fontId="72" fillId="38" borderId="26" applyAlignment="1" pivotButton="0" quotePrefix="0" xfId="0">
      <alignment horizontal="right"/>
    </xf>
    <xf numFmtId="0" fontId="105" fillId="47" borderId="34" applyAlignment="1" pivotButton="0" quotePrefix="0" xfId="0">
      <alignment horizontal="left"/>
    </xf>
    <xf numFmtId="166" fontId="105" fillId="47" borderId="26" applyAlignment="1" pivotButton="0" quotePrefix="0" xfId="0">
      <alignment horizontal="left"/>
    </xf>
    <xf numFmtId="171" fontId="105" fillId="47" borderId="26" applyAlignment="1" pivotButton="0" quotePrefix="0" xfId="0">
      <alignment horizontal="left"/>
    </xf>
    <xf numFmtId="0" fontId="74" fillId="48" borderId="34" applyAlignment="1" pivotButton="0" quotePrefix="0" xfId="0">
      <alignment horizontal="left"/>
    </xf>
    <xf numFmtId="3" fontId="74" fillId="48" borderId="26" applyAlignment="1" pivotButton="0" quotePrefix="0" xfId="0">
      <alignment horizontal="right"/>
    </xf>
    <xf numFmtId="185" fontId="74" fillId="48" borderId="26" applyAlignment="1" pivotButton="0" quotePrefix="0" xfId="0">
      <alignment horizontal="right"/>
    </xf>
    <xf numFmtId="193" fontId="74" fillId="48" borderId="26" applyAlignment="1" pivotButton="0" quotePrefix="0" xfId="0">
      <alignment horizontal="right"/>
    </xf>
    <xf numFmtId="165" fontId="74" fillId="48" borderId="26" applyAlignment="1" pivotButton="0" quotePrefix="0" xfId="0">
      <alignment horizontal="right"/>
    </xf>
    <xf numFmtId="0" fontId="74" fillId="48" borderId="26" pivotButton="0" quotePrefix="0" xfId="0"/>
    <xf numFmtId="0" fontId="74" fillId="48" borderId="27" pivotButton="0" quotePrefix="0" xfId="0"/>
    <xf numFmtId="0" fontId="73" fillId="34" borderId="35" applyAlignment="1" pivotButton="0" quotePrefix="0" xfId="0">
      <alignment horizontal="left"/>
    </xf>
    <xf numFmtId="3" fontId="73" fillId="34" borderId="36" applyAlignment="1" pivotButton="0" quotePrefix="0" xfId="0">
      <alignment horizontal="right"/>
    </xf>
    <xf numFmtId="185" fontId="73" fillId="34" borderId="36" applyAlignment="1" pivotButton="0" quotePrefix="0" xfId="0">
      <alignment horizontal="right"/>
    </xf>
    <xf numFmtId="193" fontId="73" fillId="34" borderId="36" applyAlignment="1" pivotButton="0" quotePrefix="0" xfId="0">
      <alignment horizontal="right"/>
    </xf>
    <xf numFmtId="165" fontId="73" fillId="34" borderId="36" applyAlignment="1" pivotButton="0" quotePrefix="0" xfId="0">
      <alignment horizontal="right"/>
    </xf>
    <xf numFmtId="0" fontId="73" fillId="34" borderId="36" pivotButton="0" quotePrefix="0" xfId="0"/>
    <xf numFmtId="0" fontId="73" fillId="34" borderId="37" pivotButton="0" quotePrefix="0" xfId="0"/>
    <xf numFmtId="0" fontId="104" fillId="34" borderId="38" applyAlignment="1" pivotButton="0" quotePrefix="0" xfId="0">
      <alignment horizontal="center" vertical="center" wrapText="1"/>
    </xf>
    <xf numFmtId="3" fontId="72" fillId="38" borderId="39" applyAlignment="1" pivotButton="0" quotePrefix="0" xfId="0">
      <alignment horizontal="right" vertical="center"/>
    </xf>
    <xf numFmtId="3" fontId="72" fillId="38" borderId="40" applyAlignment="1" pivotButton="0" quotePrefix="0" xfId="0">
      <alignment horizontal="right" vertical="center"/>
    </xf>
    <xf numFmtId="3" fontId="74" fillId="48" borderId="41" applyAlignment="1" pivotButton="0" quotePrefix="0" xfId="0">
      <alignment horizontal="right" vertical="center"/>
    </xf>
    <xf numFmtId="166" fontId="72" fillId="38" borderId="42" applyAlignment="1" pivotButton="0" quotePrefix="0" xfId="0">
      <alignment horizontal="right" vertical="center"/>
    </xf>
    <xf numFmtId="166" fontId="72" fillId="38" borderId="28" applyAlignment="1" pivotButton="0" quotePrefix="0" xfId="0">
      <alignment horizontal="right" vertical="center"/>
    </xf>
    <xf numFmtId="166" fontId="74" fillId="48" borderId="43" applyAlignment="1" pivotButton="0" quotePrefix="0" xfId="0">
      <alignment horizontal="right" vertical="center"/>
    </xf>
    <xf numFmtId="0" fontId="104" fillId="34" borderId="45" applyAlignment="1" pivotButton="0" quotePrefix="0" xfId="0">
      <alignment horizontal="center" vertical="center" wrapText="1"/>
    </xf>
    <xf numFmtId="3" fontId="72" fillId="38" borderId="47" applyAlignment="1" pivotButton="0" quotePrefix="0" xfId="0">
      <alignment horizontal="right" vertical="center"/>
    </xf>
    <xf numFmtId="3" fontId="72" fillId="38" borderId="48" applyAlignment="1" pivotButton="0" quotePrefix="0" xfId="0">
      <alignment horizontal="right" vertical="center"/>
    </xf>
    <xf numFmtId="0" fontId="105" fillId="47" borderId="49" applyAlignment="1" pivotButton="0" quotePrefix="0" xfId="0">
      <alignment horizontal="left"/>
    </xf>
    <xf numFmtId="3" fontId="74" fillId="48" borderId="50" applyAlignment="1" pivotButton="0" quotePrefix="0" xfId="0">
      <alignment horizontal="right" vertical="center"/>
    </xf>
    <xf numFmtId="0" fontId="105" fillId="47" borderId="51" applyAlignment="1" pivotButton="0" quotePrefix="0" xfId="0">
      <alignment horizontal="left"/>
    </xf>
    <xf numFmtId="164" fontId="96" fillId="39" borderId="49" applyAlignment="1" pivotButton="0" quotePrefix="0" xfId="0">
      <alignment horizontal="right"/>
    </xf>
    <xf numFmtId="164" fontId="74" fillId="48" borderId="49" applyAlignment="1" pivotButton="0" quotePrefix="0" xfId="0">
      <alignment horizontal="right"/>
    </xf>
    <xf numFmtId="164" fontId="73" fillId="34" borderId="52" applyAlignment="1" pivotButton="0" quotePrefix="0" xfId="0">
      <alignment horizontal="right"/>
    </xf>
    <xf numFmtId="0" fontId="104" fillId="34" borderId="54" applyAlignment="1" pivotButton="0" quotePrefix="0" xfId="0">
      <alignment horizontal="center" vertical="center" wrapText="1"/>
    </xf>
    <xf numFmtId="194" fontId="72" fillId="38" borderId="55" applyAlignment="1" pivotButton="0" quotePrefix="0" xfId="0">
      <alignment horizontal="right" vertical="center"/>
    </xf>
    <xf numFmtId="194" fontId="72" fillId="38" borderId="56" applyAlignment="1" pivotButton="0" quotePrefix="0" xfId="0">
      <alignment horizontal="right" vertical="center"/>
    </xf>
    <xf numFmtId="194" fontId="74" fillId="48" borderId="57" applyAlignment="1" pivotButton="0" quotePrefix="0" xfId="0">
      <alignment horizontal="right" vertical="center"/>
    </xf>
    <xf numFmtId="193" fontId="72" fillId="38" borderId="27" applyAlignment="1" pivotButton="0" quotePrefix="0" xfId="0">
      <alignment horizontal="right"/>
    </xf>
    <xf numFmtId="171" fontId="105" fillId="47" borderId="27" applyAlignment="1" pivotButton="0" quotePrefix="0" xfId="0">
      <alignment horizontal="left"/>
    </xf>
    <xf numFmtId="193" fontId="74" fillId="48" borderId="27" applyAlignment="1" pivotButton="0" quotePrefix="0" xfId="0">
      <alignment horizontal="right"/>
    </xf>
    <xf numFmtId="193" fontId="73" fillId="34" borderId="37" applyAlignment="1" pivotButton="0" quotePrefix="0" xfId="0">
      <alignment horizontal="right"/>
    </xf>
    <xf numFmtId="194" fontId="72" fillId="38" borderId="39" applyAlignment="1" pivotButton="0" quotePrefix="0" xfId="0">
      <alignment horizontal="right" vertical="center"/>
    </xf>
    <xf numFmtId="194" fontId="72" fillId="38" borderId="40" applyAlignment="1" pivotButton="0" quotePrefix="0" xfId="0">
      <alignment horizontal="right" vertical="center"/>
    </xf>
    <xf numFmtId="194" fontId="74" fillId="48" borderId="41" applyAlignment="1" pivotButton="0" quotePrefix="0" xfId="0">
      <alignment horizontal="right" vertical="center"/>
    </xf>
    <xf numFmtId="0" fontId="104" fillId="34" borderId="59" applyAlignment="1" pivotButton="0" quotePrefix="0" xfId="0">
      <alignment horizontal="center" vertical="center" wrapText="1"/>
    </xf>
    <xf numFmtId="0" fontId="73" fillId="46" borderId="64" applyAlignment="1" pivotButton="0" quotePrefix="0" xfId="0">
      <alignment horizontal="left"/>
    </xf>
    <xf numFmtId="0" fontId="105" fillId="47" borderId="65" applyAlignment="1" pivotButton="0" quotePrefix="0" xfId="0">
      <alignment horizontal="left"/>
    </xf>
    <xf numFmtId="0" fontId="72" fillId="38" borderId="62" pivotButton="0" quotePrefix="0" xfId="0"/>
    <xf numFmtId="0" fontId="105" fillId="47" borderId="62" applyAlignment="1" pivotButton="0" quotePrefix="0" xfId="0">
      <alignment horizontal="left"/>
    </xf>
    <xf numFmtId="0" fontId="74" fillId="48" borderId="62" pivotButton="0" quotePrefix="0" xfId="0"/>
    <xf numFmtId="0" fontId="73" fillId="34" borderId="66" pivotButton="0" quotePrefix="0" xfId="0"/>
    <xf numFmtId="0" fontId="72" fillId="35" borderId="0" pivotButton="0" quotePrefix="0" xfId="0"/>
    <xf numFmtId="0" fontId="73" fillId="46" borderId="9" applyAlignment="1" pivotButton="0" quotePrefix="0" xfId="0">
      <alignment horizontal="left"/>
    </xf>
    <xf numFmtId="0" fontId="73" fillId="46" borderId="67" applyAlignment="1" pivotButton="0" quotePrefix="0" xfId="0">
      <alignment horizontal="left"/>
    </xf>
    <xf numFmtId="0" fontId="0" fillId="0" borderId="13" pivotButton="0" quotePrefix="0" xfId="0"/>
    <xf numFmtId="0" fontId="73" fillId="46" borderId="15" applyAlignment="1" pivotButton="0" quotePrefix="0" xfId="0">
      <alignment horizontal="left"/>
    </xf>
    <xf numFmtId="0" fontId="0" fillId="0" borderId="16" pivotButton="0" quotePrefix="0" xfId="0"/>
    <xf numFmtId="0" fontId="74" fillId="35" borderId="68" applyAlignment="1" pivotButton="0" quotePrefix="0" xfId="0">
      <alignment horizontal="left"/>
    </xf>
    <xf numFmtId="0" fontId="72" fillId="35" borderId="22" pivotButton="0" quotePrefix="0" xfId="0"/>
    <xf numFmtId="0" fontId="74" fillId="38" borderId="34" applyAlignment="1" pivotButton="0" quotePrefix="0" xfId="0">
      <alignment horizontal="left"/>
    </xf>
    <xf numFmtId="0" fontId="106" fillId="38" borderId="26" applyAlignment="1" pivotButton="0" quotePrefix="0" xfId="0">
      <alignment horizontal="left"/>
    </xf>
    <xf numFmtId="0" fontId="74" fillId="35" borderId="34" applyAlignment="1" pivotButton="0" quotePrefix="0" xfId="0">
      <alignment horizontal="left"/>
    </xf>
    <xf numFmtId="0" fontId="72" fillId="35" borderId="26" pivotButton="0" quotePrefix="0" xfId="0"/>
    <xf numFmtId="0" fontId="106" fillId="35" borderId="26" applyAlignment="1" pivotButton="0" quotePrefix="0" xfId="0">
      <alignment horizontal="left"/>
    </xf>
    <xf numFmtId="0" fontId="73" fillId="46" borderId="69" applyAlignment="1" pivotButton="0" quotePrefix="0" xfId="0">
      <alignment horizontal="left"/>
    </xf>
    <xf numFmtId="0" fontId="77" fillId="34" borderId="4" applyAlignment="1" pivotButton="0" quotePrefix="0" xfId="0">
      <alignment horizontal="center"/>
    </xf>
    <xf numFmtId="185" fontId="74" fillId="35" borderId="70" applyAlignment="1" pivotButton="0" quotePrefix="0" xfId="0">
      <alignment horizontal="right"/>
    </xf>
    <xf numFmtId="185" fontId="74" fillId="38" borderId="28" applyAlignment="1" pivotButton="0" quotePrefix="0" xfId="0">
      <alignment horizontal="right"/>
    </xf>
    <xf numFmtId="185" fontId="72" fillId="35" borderId="28" applyAlignment="1" pivotButton="0" quotePrefix="0" xfId="0">
      <alignment horizontal="right"/>
    </xf>
    <xf numFmtId="166" fontId="74" fillId="38" borderId="42" applyAlignment="1" pivotButton="0" quotePrefix="0" xfId="0">
      <alignment horizontal="right" vertical="center"/>
    </xf>
    <xf numFmtId="166" fontId="74" fillId="38" borderId="28" applyAlignment="1" pivotButton="0" quotePrefix="0" xfId="0">
      <alignment horizontal="right" vertical="center"/>
    </xf>
    <xf numFmtId="0" fontId="74" fillId="39" borderId="35" applyAlignment="1" pivotButton="0" quotePrefix="0" xfId="0">
      <alignment horizontal="left"/>
    </xf>
    <xf numFmtId="0" fontId="74" fillId="39" borderId="36" pivotButton="0" quotePrefix="0" xfId="0"/>
    <xf numFmtId="185" fontId="74" fillId="39" borderId="71" applyAlignment="1" pivotButton="0" quotePrefix="0" xfId="0">
      <alignment horizontal="right"/>
    </xf>
    <xf numFmtId="0" fontId="107" fillId="39" borderId="36" applyAlignment="1" pivotButton="0" quotePrefix="0" xfId="0">
      <alignment horizontal="left"/>
    </xf>
    <xf numFmtId="0" fontId="79" fillId="35" borderId="23" applyAlignment="1" pivotButton="0" quotePrefix="0" xfId="0">
      <alignment horizontal="left" wrapText="1"/>
    </xf>
    <xf numFmtId="0" fontId="79" fillId="38" borderId="27" applyAlignment="1" pivotButton="0" quotePrefix="0" xfId="0">
      <alignment horizontal="left" wrapText="1"/>
    </xf>
    <xf numFmtId="0" fontId="79" fillId="35" borderId="27" applyAlignment="1" pivotButton="0" quotePrefix="0" xfId="0">
      <alignment horizontal="left" wrapText="1"/>
    </xf>
    <xf numFmtId="0" fontId="78" fillId="39" borderId="37" applyAlignment="1" pivotButton="0" quotePrefix="0" xfId="0">
      <alignment horizontal="left" wrapText="1"/>
    </xf>
    <xf numFmtId="0" fontId="79" fillId="38" borderId="61" applyAlignment="1" pivotButton="0" quotePrefix="0" xfId="0">
      <alignment horizontal="left" vertical="center" wrapText="1"/>
    </xf>
    <xf numFmtId="0" fontId="79" fillId="38" borderId="62" applyAlignment="1" pivotButton="0" quotePrefix="0" xfId="0">
      <alignment horizontal="left" vertical="center" wrapText="1"/>
    </xf>
    <xf numFmtId="0" fontId="74" fillId="48" borderId="63" applyAlignment="1" pivotButton="0" quotePrefix="0" xfId="0">
      <alignment horizontal="right" vertical="center" wrapText="1"/>
    </xf>
    <xf numFmtId="0" fontId="92" fillId="0" borderId="0" pivotButton="0" quotePrefix="0" xfId="3"/>
    <xf numFmtId="166" fontId="10" fillId="4" borderId="1" applyAlignment="1" pivotButton="0" quotePrefix="0" xfId="0">
      <alignment horizontal="right" vertical="center"/>
    </xf>
    <xf numFmtId="185" fontId="72" fillId="38" borderId="0" applyAlignment="1" pivotButton="0" quotePrefix="0" xfId="1">
      <alignment horizontal="right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 indent="1"/>
    </xf>
    <xf numFmtId="0" fontId="108" fillId="34" borderId="0" applyAlignment="1" pivotButton="0" quotePrefix="0" xfId="0">
      <alignment horizontal="center" vertical="center"/>
    </xf>
    <xf numFmtId="0" fontId="72" fillId="38" borderId="0" applyAlignment="1" pivotButton="0" quotePrefix="0" xfId="0">
      <alignment horizontal="left" vertical="center"/>
    </xf>
    <xf numFmtId="0" fontId="72" fillId="35" borderId="0" applyAlignment="1" pivotButton="0" quotePrefix="0" xfId="0">
      <alignment horizontal="left" vertical="center"/>
    </xf>
    <xf numFmtId="185" fontId="72" fillId="35" borderId="0" applyAlignment="1" pivotButton="0" quotePrefix="0" xfId="1">
      <alignment horizontal="right"/>
    </xf>
    <xf numFmtId="185" fontId="72" fillId="35" borderId="0" applyAlignment="1" pivotButton="0" quotePrefix="0" xfId="0">
      <alignment horizontal="right" vertical="center"/>
    </xf>
    <xf numFmtId="166" fontId="72" fillId="38" borderId="0" applyAlignment="1" pivotButton="0" quotePrefix="0" xfId="0">
      <alignment horizontal="left" vertical="center"/>
    </xf>
    <xf numFmtId="170" fontId="72" fillId="38" borderId="0" applyAlignment="1" pivotButton="0" quotePrefix="0" xfId="0">
      <alignment horizontal="right" vertical="center"/>
    </xf>
    <xf numFmtId="170" fontId="72" fillId="35" borderId="0" applyAlignment="1" pivotButton="0" quotePrefix="0" xfId="0">
      <alignment horizontal="center" vertical="center"/>
    </xf>
    <xf numFmtId="170" fontId="72" fillId="38" borderId="0" applyAlignment="1" pivotButton="0" quotePrefix="0" xfId="0">
      <alignment horizontal="center" vertical="center"/>
    </xf>
    <xf numFmtId="1" fontId="96" fillId="38" borderId="0" applyAlignment="1" pivotButton="0" quotePrefix="0" xfId="0">
      <alignment horizontal="right" vertical="center"/>
    </xf>
    <xf numFmtId="10" fontId="96" fillId="38" borderId="0" applyAlignment="1" pivotButton="0" quotePrefix="0" xfId="0">
      <alignment horizontal="right" vertical="center"/>
    </xf>
    <xf numFmtId="10" fontId="96" fillId="35" borderId="0" applyAlignment="1" pivotButton="0" quotePrefix="0" xfId="0">
      <alignment horizontal="right" vertical="center"/>
    </xf>
    <xf numFmtId="1" fontId="96" fillId="35" borderId="0" applyAlignment="1" pivotButton="0" quotePrefix="0" xfId="0">
      <alignment horizontal="right" vertical="center"/>
    </xf>
    <xf numFmtId="10" fontId="96" fillId="38" borderId="0" applyAlignment="1" pivotButton="0" quotePrefix="0" xfId="0">
      <alignment horizontal="center" vertical="center"/>
    </xf>
    <xf numFmtId="0" fontId="74" fillId="37" borderId="0" applyAlignment="1" pivotButton="0" quotePrefix="0" xfId="0">
      <alignment horizontal="left" vertical="center"/>
    </xf>
    <xf numFmtId="185" fontId="74" fillId="37" borderId="0" applyAlignment="1" pivotButton="0" quotePrefix="0" xfId="0">
      <alignment horizontal="right" vertical="center"/>
    </xf>
    <xf numFmtId="185" fontId="74" fillId="37" borderId="0" applyAlignment="1" pivotButton="0" quotePrefix="0" xfId="1">
      <alignment horizontal="right"/>
    </xf>
    <xf numFmtId="0" fontId="73" fillId="34" borderId="0" applyAlignment="1" pivotButton="0" quotePrefix="0" xfId="0">
      <alignment horizontal="left" vertical="center" indent="1"/>
    </xf>
    <xf numFmtId="185" fontId="73" fillId="34" borderId="0" applyAlignment="1" pivotButton="0" quotePrefix="0" xfId="0">
      <alignment horizontal="right" vertical="center"/>
    </xf>
    <xf numFmtId="164" fontId="72" fillId="38" borderId="0" applyAlignment="1" pivotButton="0" quotePrefix="0" xfId="0">
      <alignment horizontal="left" vertical="center"/>
    </xf>
    <xf numFmtId="185" fontId="72" fillId="38" borderId="0" applyAlignment="1" pivotButton="0" quotePrefix="0" xfId="0">
      <alignment horizontal="right" vertical="center"/>
    </xf>
    <xf numFmtId="166" fontId="72" fillId="35" borderId="0" applyAlignment="1" pivotButton="0" quotePrefix="0" xfId="0">
      <alignment horizontal="left" vertical="center"/>
    </xf>
    <xf numFmtId="165" fontId="72" fillId="38" borderId="0" applyAlignment="1" pivotButton="0" quotePrefix="0" xfId="0">
      <alignment horizontal="left" vertical="center"/>
    </xf>
    <xf numFmtId="170" fontId="72" fillId="35" borderId="0" applyAlignment="1" pivotButton="0" quotePrefix="0" xfId="0">
      <alignment horizontal="center"/>
    </xf>
    <xf numFmtId="10" fontId="96" fillId="35" borderId="0" applyAlignment="1" pivotButton="0" quotePrefix="0" xfId="0">
      <alignment horizontal="center" vertical="center"/>
    </xf>
    <xf numFmtId="10" fontId="75" fillId="35" borderId="0" applyAlignment="1" pivotButton="0" quotePrefix="0" xfId="0">
      <alignment horizontal="right" vertical="center"/>
    </xf>
    <xf numFmtId="165" fontId="74" fillId="37" borderId="0" applyAlignment="1" pivotButton="0" quotePrefix="0" xfId="0">
      <alignment horizontal="left" vertical="center"/>
    </xf>
    <xf numFmtId="166" fontId="74" fillId="37" borderId="0" applyAlignment="1" pivotButton="0" quotePrefix="0" xfId="0">
      <alignment horizontal="left" vertical="center"/>
    </xf>
    <xf numFmtId="0" fontId="73" fillId="42" borderId="0" pivotButton="0" quotePrefix="0" xfId="0"/>
    <xf numFmtId="185" fontId="73" fillId="42" borderId="0" applyAlignment="1" pivotButton="0" quotePrefix="0" xfId="0">
      <alignment horizontal="right" vertical="center"/>
    </xf>
    <xf numFmtId="170" fontId="74" fillId="38" borderId="0" applyAlignment="1" pivotButton="0" quotePrefix="0" xfId="0">
      <alignment horizontal="right" vertical="center"/>
    </xf>
    <xf numFmtId="170" fontId="74" fillId="37" borderId="0" applyAlignment="1" pivotButton="0" quotePrefix="0" xfId="0">
      <alignment horizontal="right" vertical="center"/>
    </xf>
    <xf numFmtId="166" fontId="73" fillId="34" borderId="0" applyAlignment="1" pivotButton="0" quotePrefix="0" xfId="0">
      <alignment horizontal="left" vertical="center"/>
    </xf>
    <xf numFmtId="166" fontId="74" fillId="38" borderId="0" applyAlignment="1" pivotButton="0" quotePrefix="0" xfId="0">
      <alignment horizontal="right" vertical="center"/>
    </xf>
    <xf numFmtId="166" fontId="74" fillId="37" borderId="0" applyAlignment="1" pivotButton="0" quotePrefix="0" xfId="0">
      <alignment horizontal="right" vertical="center"/>
    </xf>
    <xf numFmtId="0" fontId="102" fillId="46" borderId="0" applyAlignment="1" pivotButton="0" quotePrefix="0" xfId="0">
      <alignment horizontal="left" vertical="center"/>
    </xf>
    <xf numFmtId="0" fontId="102" fillId="46" borderId="0" applyAlignment="1" pivotButton="0" quotePrefix="0" xfId="0">
      <alignment horizontal="left"/>
    </xf>
    <xf numFmtId="0" fontId="0" fillId="0" borderId="0" pivotButton="0" quotePrefix="0" xfId="0"/>
    <xf numFmtId="0" fontId="73" fillId="34" borderId="0" applyAlignment="1" pivotButton="0" quotePrefix="0" xfId="0">
      <alignment horizontal="left" vertical="center"/>
    </xf>
    <xf numFmtId="0" fontId="73" fillId="34" borderId="0" applyAlignment="1" pivotButton="0" quotePrefix="0" xfId="0">
      <alignment horizontal="left"/>
    </xf>
    <xf numFmtId="0" fontId="73" fillId="42" borderId="0" applyAlignment="1" pivotButton="0" quotePrefix="0" xfId="0">
      <alignment horizontal="left" vertical="center"/>
    </xf>
    <xf numFmtId="0" fontId="73" fillId="42" borderId="0" applyAlignment="1" pivotButton="0" quotePrefix="0" xfId="0">
      <alignment horizontal="left"/>
    </xf>
    <xf numFmtId="0" fontId="63" fillId="38" borderId="0" applyAlignment="1" pivotButton="0" quotePrefix="0" xfId="0">
      <alignment horizontal="left" vertical="center" wrapText="1"/>
    </xf>
    <xf numFmtId="0" fontId="103" fillId="38" borderId="0" applyAlignment="1" pivotButton="0" quotePrefix="0" xfId="0">
      <alignment wrapText="1"/>
    </xf>
    <xf numFmtId="0" fontId="53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63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right" vertical="center"/>
    </xf>
    <xf numFmtId="0" fontId="3" fillId="6" borderId="0" applyAlignment="1" pivotButton="0" quotePrefix="0" xfId="0">
      <alignment horizontal="left" vertical="center" indent="1"/>
    </xf>
    <xf numFmtId="0" fontId="16" fillId="10" borderId="0" applyAlignment="1" pivotButton="0" quotePrefix="0" xfId="0">
      <alignment horizontal="left" vertical="center"/>
    </xf>
    <xf numFmtId="166" fontId="16" fillId="10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 indent="1"/>
    </xf>
    <xf numFmtId="170" fontId="16" fillId="10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left" vertical="center" indent="1"/>
    </xf>
    <xf numFmtId="0" fontId="11" fillId="12" borderId="0" applyAlignment="1" pivotButton="0" quotePrefix="0" xfId="0">
      <alignment horizontal="left" vertical="center" indent="1"/>
    </xf>
    <xf numFmtId="0" fontId="11" fillId="6" borderId="0" applyAlignment="1" pivotButton="0" quotePrefix="0" xfId="0">
      <alignment horizontal="left" vertical="center" indent="1"/>
    </xf>
    <xf numFmtId="0" fontId="67" fillId="24" borderId="0" applyAlignment="1" pivotButton="0" quotePrefix="0" xfId="0">
      <alignment horizontal="left" vertical="center"/>
    </xf>
    <xf numFmtId="0" fontId="3" fillId="13" borderId="0" applyAlignment="1" pivotButton="0" quotePrefix="0" xfId="0">
      <alignment horizontal="left" vertical="center" indent="1"/>
    </xf>
    <xf numFmtId="0" fontId="11" fillId="2" borderId="0" applyAlignment="1" pivotButton="0" quotePrefix="0" xfId="0">
      <alignment horizontal="left" vertical="center" indent="1"/>
    </xf>
    <xf numFmtId="0" fontId="13" fillId="7" borderId="0" applyAlignment="1" pivotButton="0" quotePrefix="0" xfId="0">
      <alignment horizontal="left" vertical="center" indent="1"/>
    </xf>
    <xf numFmtId="0" fontId="17" fillId="2" borderId="0" applyAlignment="1" pivotButton="0" quotePrefix="0" xfId="0">
      <alignment horizontal="center" vertical="center"/>
    </xf>
    <xf numFmtId="165" fontId="4" fillId="8" borderId="0" applyAlignment="1" pivotButton="0" quotePrefix="0" xfId="0">
      <alignment horizontal="right" vertical="center"/>
    </xf>
    <xf numFmtId="0" fontId="3" fillId="9" borderId="0" applyAlignment="1" pivotButton="0" quotePrefix="0" xfId="0">
      <alignment horizontal="left" vertical="center" indent="1"/>
    </xf>
    <xf numFmtId="165" fontId="4" fillId="4" borderId="0" applyAlignment="1" pivotButton="0" quotePrefix="0" xfId="0">
      <alignment horizontal="center" vertical="center"/>
    </xf>
    <xf numFmtId="0" fontId="77" fillId="42" borderId="0" pivotButton="0" quotePrefix="0" xfId="0"/>
    <xf numFmtId="0" fontId="54" fillId="25" borderId="0" applyAlignment="1" pivotButton="0" quotePrefix="0" xfId="0">
      <alignment horizontal="left" vertical="center"/>
    </xf>
    <xf numFmtId="0" fontId="54" fillId="26" borderId="0" applyAlignment="1" pivotButton="0" quotePrefix="0" xfId="0">
      <alignment horizontal="left" vertical="center"/>
    </xf>
    <xf numFmtId="0" fontId="54" fillId="0" borderId="0" applyAlignment="1" pivotButton="0" quotePrefix="0" xfId="0">
      <alignment horizontal="left" vertical="center"/>
    </xf>
    <xf numFmtId="0" fontId="52" fillId="24" borderId="0" applyAlignment="1" pivotButton="0" quotePrefix="0" xfId="0">
      <alignment horizontal="left" vertical="center"/>
    </xf>
    <xf numFmtId="0" fontId="62" fillId="24" borderId="0" applyAlignment="1" pivotButton="0" quotePrefix="0" xfId="0">
      <alignment horizontal="left" vertical="center"/>
    </xf>
    <xf numFmtId="0" fontId="60" fillId="0" borderId="0" applyAlignment="1" pivotButton="0" quotePrefix="0" xfId="0">
      <alignment horizontal="left" vertical="center"/>
    </xf>
    <xf numFmtId="0" fontId="15" fillId="7" borderId="0" applyAlignment="1" pivotButton="0" quotePrefix="0" xfId="0">
      <alignment horizontal="left" vertical="center" indent="2"/>
    </xf>
    <xf numFmtId="0" fontId="34" fillId="8" borderId="0" applyAlignment="1" pivotButton="0" quotePrefix="0" xfId="0">
      <alignment horizontal="left" vertical="center" indent="1"/>
    </xf>
    <xf numFmtId="0" fontId="11" fillId="6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13" borderId="0" applyAlignment="1" pivotButton="0" quotePrefix="0" xfId="0">
      <alignment horizontal="left" vertical="center" indent="1"/>
    </xf>
    <xf numFmtId="0" fontId="3" fillId="12" borderId="0" applyAlignment="1" pivotButton="0" quotePrefix="0" xfId="0">
      <alignment horizontal="left" vertical="center" indent="1"/>
    </xf>
    <xf numFmtId="0" fontId="35" fillId="17" borderId="0" applyAlignment="1" pivotButton="0" quotePrefix="0" xfId="0">
      <alignment horizontal="left" vertical="center" indent="1"/>
    </xf>
    <xf numFmtId="0" fontId="104" fillId="34" borderId="7" applyAlignment="1" pivotButton="0" quotePrefix="0" xfId="0">
      <alignment horizontal="center" vertical="center" wrapText="1"/>
    </xf>
    <xf numFmtId="0" fontId="104" fillId="34" borderId="6" applyAlignment="1" pivotButton="0" quotePrefix="0" xfId="0">
      <alignment horizontal="center" vertical="center" wrapText="1"/>
    </xf>
    <xf numFmtId="0" fontId="104" fillId="34" borderId="18" applyAlignment="1" pivotButton="0" quotePrefix="0" xfId="0">
      <alignment horizontal="center" vertical="center" wrapText="1"/>
    </xf>
    <xf numFmtId="0" fontId="105" fillId="47" borderId="24" applyAlignment="1" pivotButton="0" quotePrefix="0" xfId="0">
      <alignment horizontal="left" vertical="center" indent="1"/>
    </xf>
    <xf numFmtId="0" fontId="105" fillId="47" borderId="26" applyAlignment="1" pivotButton="0" quotePrefix="0" xfId="0">
      <alignment horizontal="left"/>
    </xf>
    <xf numFmtId="0" fontId="105" fillId="47" borderId="49" applyAlignment="1" pivotButton="0" quotePrefix="0" xfId="0">
      <alignment horizontal="left"/>
    </xf>
    <xf numFmtId="0" fontId="105" fillId="47" borderId="27" applyAlignment="1" pivotButton="0" quotePrefix="0" xfId="0">
      <alignment horizontal="left"/>
    </xf>
    <xf numFmtId="0" fontId="105" fillId="47" borderId="62" applyAlignment="1" pivotButton="0" quotePrefix="0" xfId="0">
      <alignment horizontal="left" wrapText="1"/>
    </xf>
    <xf numFmtId="0" fontId="105" fillId="47" borderId="17" applyAlignment="1" pivotButton="0" quotePrefix="0" xfId="0">
      <alignment horizontal="left" vertical="center" indent="1"/>
    </xf>
    <xf numFmtId="0" fontId="105" fillId="47" borderId="3" applyAlignment="1" pivotButton="0" quotePrefix="0" xfId="0">
      <alignment horizontal="left"/>
    </xf>
    <xf numFmtId="0" fontId="105" fillId="47" borderId="46" applyAlignment="1" pivotButton="0" quotePrefix="0" xfId="0">
      <alignment horizontal="left"/>
    </xf>
    <xf numFmtId="0" fontId="105" fillId="47" borderId="19" applyAlignment="1" pivotButton="0" quotePrefix="0" xfId="0">
      <alignment horizontal="left"/>
    </xf>
    <xf numFmtId="0" fontId="105" fillId="47" borderId="60" applyAlignment="1" pivotButton="0" quotePrefix="0" xfId="0">
      <alignment horizontal="left"/>
    </xf>
    <xf numFmtId="0" fontId="73" fillId="46" borderId="10" applyAlignment="1" pivotButton="0" quotePrefix="0" xfId="0">
      <alignment horizontal="left" vertical="center" indent="1"/>
    </xf>
    <xf numFmtId="0" fontId="73" fillId="46" borderId="8" applyAlignment="1" pivotButton="0" quotePrefix="0" xfId="0">
      <alignment horizontal="left" vertical="center"/>
    </xf>
    <xf numFmtId="0" fontId="73" fillId="46" borderId="44" applyAlignment="1" pivotButton="0" quotePrefix="0" xfId="0">
      <alignment horizontal="left" vertical="center"/>
    </xf>
    <xf numFmtId="0" fontId="73" fillId="46" borderId="53" applyAlignment="1" pivotButton="0" quotePrefix="0" xfId="0">
      <alignment horizontal="left" vertical="center"/>
    </xf>
    <xf numFmtId="0" fontId="73" fillId="46" borderId="58" applyAlignment="1" pivotButton="0" quotePrefix="0" xfId="0">
      <alignment horizontal="left" vertical="center"/>
    </xf>
    <xf numFmtId="0" fontId="108" fillId="34" borderId="0" applyAlignment="1" pivotButton="0" quotePrefix="0" xfId="0">
      <alignment horizontal="center" vertical="center"/>
    </xf>
    <xf numFmtId="0" fontId="72" fillId="38" borderId="0" applyAlignment="1" pivotButton="0" quotePrefix="0" xfId="0">
      <alignment horizontal="left" vertical="center" indent="1"/>
    </xf>
    <xf numFmtId="0" fontId="72" fillId="38" borderId="0" pivotButton="0" quotePrefix="0" xfId="0"/>
    <xf numFmtId="0" fontId="73" fillId="34" borderId="0" applyAlignment="1" pivotButton="0" quotePrefix="0" xfId="0">
      <alignment horizontal="left" vertical="center" indent="1"/>
    </xf>
    <xf numFmtId="0" fontId="72" fillId="35" borderId="0" applyAlignment="1" pivotButton="0" quotePrefix="0" xfId="0">
      <alignment horizontal="left" vertical="center" indent="1"/>
    </xf>
    <xf numFmtId="0" fontId="72" fillId="35" borderId="0" pivotButton="0" quotePrefix="0" xfId="0"/>
    <xf numFmtId="0" fontId="74" fillId="37" borderId="0" applyAlignment="1" pivotButton="0" quotePrefix="0" xfId="0">
      <alignment horizontal="left" vertical="center" indent="1"/>
    </xf>
    <xf numFmtId="0" fontId="74" fillId="37" borderId="0" pivotButton="0" quotePrefix="0" xfId="0"/>
    <xf numFmtId="0" fontId="73" fillId="42" borderId="0" applyAlignment="1" pivotButton="0" quotePrefix="0" xfId="0">
      <alignment horizontal="left" vertical="center" indent="1"/>
    </xf>
    <xf numFmtId="0" fontId="73" fillId="42" borderId="0" pivotButton="0" quotePrefix="0" xfId="0"/>
    <xf numFmtId="0" fontId="73" fillId="34" borderId="0" pivotButton="0" quotePrefix="0" xfId="0"/>
    <xf numFmtId="0" fontId="6" fillId="4" borderId="0" applyAlignment="1" pivotButton="0" quotePrefix="0" xfId="0">
      <alignment horizontal="left" vertical="center" indent="2"/>
    </xf>
    <xf numFmtId="0" fontId="20" fillId="15" borderId="0" applyAlignment="1" pivotButton="0" quotePrefix="0" xfId="0">
      <alignment horizontal="left" vertical="center" indent="1"/>
    </xf>
    <xf numFmtId="0" fontId="13" fillId="5" borderId="0" applyAlignment="1" pivotButton="0" quotePrefix="0" xfId="0">
      <alignment horizontal="left" vertical="center" indent="1"/>
    </xf>
    <xf numFmtId="0" fontId="13" fillId="0" borderId="0" pivotButton="0" quotePrefix="0" xfId="0"/>
    <xf numFmtId="0" fontId="41" fillId="15" borderId="0" applyAlignment="1" pivotButton="0" quotePrefix="0" xfId="0">
      <alignment horizontal="left" vertical="center"/>
    </xf>
    <xf numFmtId="0" fontId="37" fillId="7" borderId="1" applyAlignment="1" pivotButton="0" quotePrefix="0" xfId="0">
      <alignment horizontal="left" vertical="center" indent="1"/>
    </xf>
    <xf numFmtId="0" fontId="0" fillId="0" borderId="6" pivotButton="0" quotePrefix="0" xfId="0"/>
    <xf numFmtId="0" fontId="0" fillId="0" borderId="7" pivotButton="0" quotePrefix="0" xfId="0"/>
    <xf numFmtId="0" fontId="13" fillId="4" borderId="1" applyAlignment="1" pivotButton="0" quotePrefix="0" xfId="0">
      <alignment horizontal="left" vertical="center"/>
    </xf>
    <xf numFmtId="0" fontId="13" fillId="5" borderId="1" applyAlignment="1" pivotButton="0" quotePrefix="0" xfId="0">
      <alignment horizontal="left" vertical="center" indent="1"/>
    </xf>
    <xf numFmtId="0" fontId="44" fillId="2" borderId="1" applyAlignment="1" pivotButton="0" quotePrefix="0" xfId="0">
      <alignment horizontal="center" vertical="center"/>
    </xf>
    <xf numFmtId="0" fontId="15" fillId="18" borderId="1" applyAlignment="1" pivotButton="0" quotePrefix="0" xfId="0">
      <alignment horizontal="left" vertical="center"/>
    </xf>
    <xf numFmtId="0" fontId="41" fillId="2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11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85" fontId="72" fillId="36" borderId="0" applyAlignment="1" pivotButton="0" quotePrefix="0" xfId="0">
      <alignment horizontal="right" vertical="center"/>
    </xf>
    <xf numFmtId="192" fontId="72" fillId="36" borderId="0" applyAlignment="1" pivotButton="0" quotePrefix="0" xfId="0">
      <alignment horizontal="right" vertical="center"/>
    </xf>
    <xf numFmtId="185" fontId="74" fillId="36" borderId="0" applyAlignment="1" pivotButton="0" quotePrefix="0" xfId="0">
      <alignment horizontal="right" vertical="center"/>
    </xf>
    <xf numFmtId="189" fontId="84" fillId="0" borderId="0" applyAlignment="1" pivotButton="0" quotePrefix="0" xfId="0">
      <alignment horizontal="center"/>
    </xf>
    <xf numFmtId="180" fontId="66" fillId="0" borderId="0" applyAlignment="1" pivotButton="0" quotePrefix="0" xfId="0">
      <alignment horizontal="center"/>
    </xf>
    <xf numFmtId="185" fontId="72" fillId="36" borderId="0" applyAlignment="1" pivotButton="0" quotePrefix="0" xfId="0">
      <alignment horizontal="right"/>
    </xf>
    <xf numFmtId="180" fontId="70" fillId="32" borderId="0" applyAlignment="1" pivotButton="0" quotePrefix="0" xfId="0">
      <alignment horizontal="center"/>
    </xf>
    <xf numFmtId="185" fontId="74" fillId="36" borderId="0" applyAlignment="1" pivotButton="0" quotePrefix="0" xfId="0">
      <alignment horizontal="right"/>
    </xf>
    <xf numFmtId="190" fontId="84" fillId="0" borderId="0" applyAlignment="1" pivotButton="0" quotePrefix="0" xfId="0">
      <alignment horizontal="center"/>
    </xf>
    <xf numFmtId="180" fontId="70" fillId="32" borderId="0" pivotButton="0" quotePrefix="0" xfId="0"/>
    <xf numFmtId="186" fontId="16" fillId="5" borderId="0" pivotButton="0" quotePrefix="0" xfId="0"/>
    <xf numFmtId="186" fontId="16" fillId="4" borderId="0" pivotButton="0" quotePrefix="0" xfId="0"/>
    <xf numFmtId="186" fontId="12" fillId="37" borderId="0" pivotButton="0" quotePrefix="0" xfId="0"/>
    <xf numFmtId="186" fontId="26" fillId="37" borderId="0" pivotButton="0" quotePrefix="0" xfId="0"/>
    <xf numFmtId="186" fontId="70" fillId="40" borderId="0" pivotButton="0" quotePrefix="0" xfId="0"/>
    <xf numFmtId="180" fontId="71" fillId="33" borderId="0" pivotButton="0" quotePrefix="0" xfId="0"/>
    <xf numFmtId="185" fontId="75" fillId="38" borderId="0" applyAlignment="1" pivotButton="0" quotePrefix="0" xfId="0">
      <alignment horizontal="center"/>
    </xf>
    <xf numFmtId="185" fontId="72" fillId="38" borderId="0" applyAlignment="1" pivotButton="0" quotePrefix="0" xfId="0">
      <alignment horizontal="center"/>
    </xf>
    <xf numFmtId="185" fontId="75" fillId="35" borderId="0" applyAlignment="1" pivotButton="0" quotePrefix="0" xfId="0">
      <alignment horizontal="center"/>
    </xf>
    <xf numFmtId="185" fontId="75" fillId="36" borderId="0" applyAlignment="1" pivotButton="0" quotePrefix="0" xfId="0">
      <alignment horizontal="center"/>
    </xf>
    <xf numFmtId="185" fontId="72" fillId="35" borderId="0" applyAlignment="1" pivotButton="0" quotePrefix="0" xfId="0">
      <alignment horizontal="center"/>
    </xf>
    <xf numFmtId="185" fontId="0" fillId="0" borderId="0" applyAlignment="1" pivotButton="0" quotePrefix="0" xfId="0">
      <alignment horizontal="center"/>
    </xf>
    <xf numFmtId="185" fontId="74" fillId="35" borderId="0" applyAlignment="1" pivotButton="0" quotePrefix="0" xfId="0">
      <alignment horizontal="center" vertical="center"/>
    </xf>
    <xf numFmtId="185" fontId="76" fillId="36" borderId="0" applyAlignment="1" pivotButton="0" quotePrefix="0" xfId="0">
      <alignment horizontal="center" vertical="center"/>
    </xf>
    <xf numFmtId="185" fontId="4" fillId="4" borderId="0" applyAlignment="1" pivotButton="0" quotePrefix="0" xfId="0">
      <alignment horizontal="center" vertical="center"/>
    </xf>
    <xf numFmtId="185" fontId="74" fillId="38" borderId="0" applyAlignment="1" pivotButton="0" quotePrefix="0" xfId="0">
      <alignment horizontal="center" vertical="center"/>
    </xf>
    <xf numFmtId="185" fontId="72" fillId="38" borderId="0" applyAlignment="1" pivotButton="0" quotePrefix="0" xfId="0">
      <alignment horizontal="center" vertical="center"/>
    </xf>
    <xf numFmtId="185" fontId="75" fillId="36" borderId="0" applyAlignment="1" pivotButton="0" quotePrefix="0" xfId="0">
      <alignment horizontal="center" vertical="center"/>
    </xf>
    <xf numFmtId="185" fontId="75" fillId="35" borderId="0" applyAlignment="1" pivotButton="0" quotePrefix="0" xfId="0">
      <alignment horizontal="center" vertical="center"/>
    </xf>
    <xf numFmtId="185" fontId="72" fillId="35" borderId="0" applyAlignment="1" pivotButton="0" quotePrefix="0" xfId="0">
      <alignment horizontal="center" vertical="center"/>
    </xf>
    <xf numFmtId="185" fontId="15" fillId="8" borderId="0" applyAlignment="1" pivotButton="0" quotePrefix="0" xfId="0">
      <alignment horizontal="center" vertical="center"/>
    </xf>
    <xf numFmtId="185" fontId="74" fillId="36" borderId="0" applyAlignment="1" pivotButton="0" quotePrefix="0" xfId="0">
      <alignment horizontal="center" vertical="center"/>
    </xf>
    <xf numFmtId="185" fontId="76" fillId="35" borderId="0" applyAlignment="1" pivotButton="0" quotePrefix="0" xfId="0">
      <alignment horizontal="center" vertical="center"/>
    </xf>
    <xf numFmtId="185" fontId="4" fillId="5" borderId="0" applyAlignment="1" pivotButton="0" quotePrefix="0" xfId="0">
      <alignment horizontal="center" vertical="center"/>
    </xf>
    <xf numFmtId="185" fontId="75" fillId="35" borderId="0" applyAlignment="1" pivotButton="0" quotePrefix="0" xfId="0">
      <alignment horizontal="right" vertical="center"/>
    </xf>
    <xf numFmtId="185" fontId="5" fillId="8" borderId="0" applyAlignment="1" pivotButton="0" quotePrefix="0" xfId="0">
      <alignment horizontal="center" vertical="center"/>
    </xf>
    <xf numFmtId="185" fontId="76" fillId="40" borderId="0" applyAlignment="1" pivotButton="0" quotePrefix="0" xfId="0">
      <alignment horizontal="center" vertical="center"/>
    </xf>
    <xf numFmtId="185" fontId="15" fillId="14" borderId="0" applyAlignment="1" pivotButton="0" quotePrefix="0" xfId="0">
      <alignment horizontal="center" vertical="center"/>
    </xf>
    <xf numFmtId="185" fontId="77" fillId="41" borderId="0" applyAlignment="1" pivotButton="0" quotePrefix="0" xfId="0">
      <alignment horizontal="center" vertical="center"/>
    </xf>
    <xf numFmtId="185" fontId="72" fillId="38" borderId="0" applyAlignment="1" pivotButton="0" quotePrefix="0" xfId="0">
      <alignment horizontal="right"/>
    </xf>
    <xf numFmtId="185" fontId="74" fillId="35" borderId="0" applyAlignment="1" pivotButton="0" quotePrefix="0" xfId="0">
      <alignment horizontal="right" vertical="center"/>
    </xf>
    <xf numFmtId="185" fontId="74" fillId="38" borderId="0" applyAlignment="1" pivotButton="0" quotePrefix="0" xfId="0">
      <alignment horizontal="right" vertical="center"/>
    </xf>
    <xf numFmtId="185" fontId="74" fillId="37" borderId="0" applyAlignment="1" pivotButton="0" quotePrefix="0" xfId="0">
      <alignment horizontal="right" vertical="center"/>
    </xf>
    <xf numFmtId="185" fontId="54" fillId="0" borderId="0" applyAlignment="1" pivotButton="0" quotePrefix="0" xfId="0">
      <alignment horizontal="left" vertical="center"/>
    </xf>
    <xf numFmtId="180" fontId="55" fillId="0" borderId="0" applyAlignment="1" pivotButton="0" quotePrefix="0" xfId="0">
      <alignment horizontal="left" vertical="center"/>
    </xf>
    <xf numFmtId="185" fontId="55" fillId="0" borderId="0" applyAlignment="1" pivotButton="0" quotePrefix="0" xfId="0">
      <alignment horizontal="center" vertical="center"/>
    </xf>
    <xf numFmtId="180" fontId="55" fillId="0" borderId="0" applyAlignment="1" pivotButton="0" quotePrefix="0" xfId="0">
      <alignment horizontal="center" vertical="center"/>
    </xf>
    <xf numFmtId="184" fontId="55" fillId="0" borderId="0" applyAlignment="1" pivotButton="0" quotePrefix="0" xfId="0">
      <alignment horizontal="center" vertical="center"/>
    </xf>
    <xf numFmtId="185" fontId="85" fillId="0" borderId="0" applyAlignment="1" pivotButton="0" quotePrefix="0" xfId="0">
      <alignment horizontal="center" vertical="center"/>
    </xf>
    <xf numFmtId="185" fontId="54" fillId="0" borderId="0" applyAlignment="1" pivotButton="0" quotePrefix="0" xfId="0">
      <alignment horizontal="center" vertical="center"/>
    </xf>
    <xf numFmtId="180" fontId="55" fillId="28" borderId="0" applyAlignment="1" pivotButton="0" quotePrefix="0" xfId="0">
      <alignment horizontal="center" vertical="center"/>
    </xf>
    <xf numFmtId="185" fontId="54" fillId="28" borderId="0" applyAlignment="1" pivotButton="0" quotePrefix="0" xfId="0">
      <alignment horizontal="center" vertical="center"/>
    </xf>
    <xf numFmtId="180" fontId="55" fillId="29" borderId="0" applyAlignment="1" pivotButton="0" quotePrefix="0" xfId="0">
      <alignment horizontal="center" vertical="center"/>
    </xf>
    <xf numFmtId="185" fontId="54" fillId="29" borderId="0" applyAlignment="1" pivotButton="0" quotePrefix="0" xfId="0">
      <alignment horizontal="center" vertical="center"/>
    </xf>
    <xf numFmtId="185" fontId="55" fillId="43" borderId="0" applyAlignment="1" pivotButton="0" quotePrefix="0" xfId="0">
      <alignment horizontal="center" vertical="center"/>
    </xf>
    <xf numFmtId="185" fontId="54" fillId="43" borderId="0" applyAlignment="1" pivotButton="0" quotePrefix="0" xfId="0">
      <alignment horizontal="center" vertical="center"/>
    </xf>
    <xf numFmtId="185" fontId="16" fillId="5" borderId="0" applyAlignment="1" pivotButton="0" quotePrefix="0" xfId="0">
      <alignment horizontal="right" vertical="center"/>
    </xf>
    <xf numFmtId="185" fontId="4" fillId="4" borderId="0" applyAlignment="1" pivotButton="0" quotePrefix="0" xfId="0">
      <alignment horizontal="right" vertical="center"/>
    </xf>
    <xf numFmtId="185" fontId="4" fillId="5" borderId="0" applyAlignment="1" pivotButton="0" quotePrefix="0" xfId="0">
      <alignment horizontal="right" vertical="center"/>
    </xf>
    <xf numFmtId="187" fontId="55" fillId="0" borderId="0" applyAlignment="1" pivotButton="0" quotePrefix="0" xfId="0">
      <alignment horizontal="center" vertical="center"/>
    </xf>
    <xf numFmtId="185" fontId="0" fillId="0" borderId="5" applyAlignment="1" pivotButton="0" quotePrefix="0" xfId="0">
      <alignment horizontal="center"/>
    </xf>
    <xf numFmtId="180" fontId="54" fillId="0" borderId="0" applyAlignment="1" pivotButton="0" quotePrefix="0" xfId="0">
      <alignment horizontal="center" vertical="center"/>
    </xf>
    <xf numFmtId="188" fontId="55" fillId="0" borderId="0" applyAlignment="1" pivotButton="0" quotePrefix="0" xfId="0">
      <alignment horizontal="center" vertical="center"/>
    </xf>
    <xf numFmtId="180" fontId="54" fillId="28" borderId="0" applyAlignment="1" pivotButton="0" quotePrefix="0" xfId="0">
      <alignment horizontal="center" vertical="center"/>
    </xf>
    <xf numFmtId="180" fontId="54" fillId="28" borderId="5" applyAlignment="1" pivotButton="0" quotePrefix="0" xfId="0">
      <alignment horizontal="center" vertical="center"/>
    </xf>
    <xf numFmtId="185" fontId="0" fillId="0" borderId="0" pivotButton="0" quotePrefix="0" xfId="0"/>
    <xf numFmtId="191" fontId="0" fillId="0" borderId="0" pivotButton="0" quotePrefix="0" xfId="0"/>
    <xf numFmtId="185" fontId="88" fillId="0" borderId="0" pivotButton="0" quotePrefix="0" xfId="0"/>
    <xf numFmtId="185" fontId="90" fillId="0" borderId="5" pivotButton="0" quotePrefix="0" xfId="0"/>
    <xf numFmtId="185" fontId="91" fillId="39" borderId="5" pivotButton="0" quotePrefix="0" xfId="0"/>
    <xf numFmtId="185" fontId="90" fillId="0" borderId="0" pivotButton="0" quotePrefix="0" xfId="0"/>
    <xf numFmtId="185" fontId="91" fillId="44" borderId="0" pivotButton="0" quotePrefix="0" xfId="0"/>
    <xf numFmtId="185" fontId="61" fillId="27" borderId="0" applyAlignment="1" pivotButton="0" quotePrefix="0" xfId="0">
      <alignment horizontal="center" vertical="center" wrapText="1"/>
    </xf>
    <xf numFmtId="191" fontId="61" fillId="27" borderId="0" applyAlignment="1" pivotButton="0" quotePrefix="0" xfId="0">
      <alignment horizontal="center" vertical="center" wrapText="1"/>
    </xf>
    <xf numFmtId="185" fontId="95" fillId="0" borderId="0" pivotButton="0" quotePrefix="0" xfId="0"/>
    <xf numFmtId="189" fontId="95" fillId="0" borderId="0" pivotButton="0" quotePrefix="0" xfId="0"/>
    <xf numFmtId="187" fontId="95" fillId="0" borderId="0" pivotButton="0" quotePrefix="0" xfId="0"/>
    <xf numFmtId="0" fontId="0" fillId="0" borderId="8" pivotButton="0" quotePrefix="0" xfId="0"/>
    <xf numFmtId="0" fontId="0" fillId="0" borderId="72" pivotButton="0" quotePrefix="0" xfId="0"/>
    <xf numFmtId="0" fontId="0" fillId="0" borderId="3" pivotButton="0" quotePrefix="0" xfId="0"/>
    <xf numFmtId="0" fontId="0" fillId="0" borderId="73" pivotButton="0" quotePrefix="0" xfId="0"/>
    <xf numFmtId="194" fontId="72" fillId="38" borderId="55" applyAlignment="1" pivotButton="0" quotePrefix="0" xfId="0">
      <alignment horizontal="right" vertical="center"/>
    </xf>
    <xf numFmtId="194" fontId="72" fillId="38" borderId="39" applyAlignment="1" pivotButton="0" quotePrefix="0" xfId="0">
      <alignment horizontal="right" vertical="center"/>
    </xf>
    <xf numFmtId="194" fontId="72" fillId="38" borderId="56" applyAlignment="1" pivotButton="0" quotePrefix="0" xfId="0">
      <alignment horizontal="right" vertical="center"/>
    </xf>
    <xf numFmtId="194" fontId="72" fillId="38" borderId="40" applyAlignment="1" pivotButton="0" quotePrefix="0" xfId="0">
      <alignment horizontal="right" vertical="center"/>
    </xf>
    <xf numFmtId="0" fontId="0" fillId="0" borderId="26" pivotButton="0" quotePrefix="0" xfId="0"/>
    <xf numFmtId="0" fontId="0" fillId="0" borderId="28" pivotButton="0" quotePrefix="0" xfId="0"/>
    <xf numFmtId="194" fontId="74" fillId="48" borderId="57" applyAlignment="1" pivotButton="0" quotePrefix="0" xfId="0">
      <alignment horizontal="right" vertical="center"/>
    </xf>
    <xf numFmtId="194" fontId="74" fillId="48" borderId="41" applyAlignment="1" pivotButton="0" quotePrefix="0" xfId="0">
      <alignment horizontal="right" vertical="center"/>
    </xf>
    <xf numFmtId="185" fontId="96" fillId="39" borderId="26" applyAlignment="1" pivotButton="0" quotePrefix="0" xfId="0">
      <alignment horizontal="right"/>
    </xf>
    <xf numFmtId="185" fontId="72" fillId="38" borderId="26" applyAlignment="1" pivotButton="0" quotePrefix="0" xfId="0">
      <alignment horizontal="right"/>
    </xf>
    <xf numFmtId="193" fontId="72" fillId="38" borderId="27" applyAlignment="1" pivotButton="0" quotePrefix="0" xfId="0">
      <alignment horizontal="right"/>
    </xf>
    <xf numFmtId="185" fontId="96" fillId="45" borderId="26" applyAlignment="1" pivotButton="0" quotePrefix="0" xfId="0">
      <alignment horizontal="right"/>
    </xf>
    <xf numFmtId="193" fontId="72" fillId="38" borderId="26" applyAlignment="1" pivotButton="0" quotePrefix="0" xfId="0">
      <alignment horizontal="right"/>
    </xf>
    <xf numFmtId="185" fontId="74" fillId="48" borderId="26" applyAlignment="1" pivotButton="0" quotePrefix="0" xfId="0">
      <alignment horizontal="right"/>
    </xf>
    <xf numFmtId="193" fontId="74" fillId="48" borderId="27" applyAlignment="1" pivotButton="0" quotePrefix="0" xfId="0">
      <alignment horizontal="right"/>
    </xf>
    <xf numFmtId="193" fontId="74" fillId="48" borderId="26" applyAlignment="1" pivotButton="0" quotePrefix="0" xfId="0">
      <alignment horizontal="right"/>
    </xf>
    <xf numFmtId="185" fontId="73" fillId="34" borderId="36" applyAlignment="1" pivotButton="0" quotePrefix="0" xfId="0">
      <alignment horizontal="right"/>
    </xf>
    <xf numFmtId="193" fontId="73" fillId="34" borderId="37" applyAlignment="1" pivotButton="0" quotePrefix="0" xfId="0">
      <alignment horizontal="right"/>
    </xf>
    <xf numFmtId="193" fontId="73" fillId="34" borderId="36" applyAlignment="1" pivotButton="0" quotePrefix="0" xfId="0">
      <alignment horizontal="right"/>
    </xf>
    <xf numFmtId="185" fontId="74" fillId="35" borderId="70" applyAlignment="1" pivotButton="0" quotePrefix="0" xfId="0">
      <alignment horizontal="right"/>
    </xf>
    <xf numFmtId="185" fontId="74" fillId="38" borderId="28" applyAlignment="1" pivotButton="0" quotePrefix="0" xfId="0">
      <alignment horizontal="right"/>
    </xf>
    <xf numFmtId="185" fontId="72" fillId="35" borderId="28" applyAlignment="1" pivotButton="0" quotePrefix="0" xfId="0">
      <alignment horizontal="right"/>
    </xf>
    <xf numFmtId="185" fontId="74" fillId="39" borderId="71" applyAlignment="1" pivotButton="0" quotePrefix="0" xfId="0">
      <alignment horizontal="right"/>
    </xf>
    <xf numFmtId="185" fontId="72" fillId="38" borderId="0" applyAlignment="1" pivotButton="0" quotePrefix="0" xfId="0">
      <alignment horizontal="right" vertical="center"/>
    </xf>
    <xf numFmtId="178" fontId="4" fillId="5" borderId="0" applyAlignment="1" pivotButton="0" quotePrefix="0" xfId="0">
      <alignment horizontal="right" vertical="center"/>
    </xf>
    <xf numFmtId="185" fontId="72" fillId="35" borderId="0" applyAlignment="1" pivotButton="0" quotePrefix="0" xfId="1">
      <alignment horizontal="right"/>
    </xf>
    <xf numFmtId="178" fontId="26" fillId="5" borderId="0" applyAlignment="1" pivotButton="0" quotePrefix="0" xfId="0">
      <alignment horizontal="right" vertical="center"/>
    </xf>
    <xf numFmtId="185" fontId="72" fillId="35" borderId="0" applyAlignment="1" pivotButton="0" quotePrefix="0" xfId="0">
      <alignment horizontal="right" vertical="center"/>
    </xf>
    <xf numFmtId="178" fontId="15" fillId="5" borderId="0" applyAlignment="1" pivotButton="0" quotePrefix="0" xfId="0">
      <alignment horizontal="right" vertical="center"/>
    </xf>
    <xf numFmtId="178" fontId="39" fillId="5" borderId="0" applyAlignment="1" pivotButton="0" quotePrefix="0" xfId="0">
      <alignment horizontal="right" vertical="center"/>
    </xf>
    <xf numFmtId="185" fontId="74" fillId="37" borderId="0" applyAlignment="1" pivotButton="0" quotePrefix="0" xfId="1">
      <alignment horizontal="right"/>
    </xf>
    <xf numFmtId="185" fontId="72" fillId="38" borderId="0" applyAlignment="1" pivotButton="0" quotePrefix="0" xfId="1">
      <alignment horizontal="right"/>
    </xf>
    <xf numFmtId="178" fontId="7" fillId="5" borderId="0" applyAlignment="1" pivotButton="0" quotePrefix="0" xfId="0">
      <alignment horizontal="right" vertical="center"/>
    </xf>
    <xf numFmtId="185" fontId="73" fillId="42" borderId="0" applyAlignment="1" pivotButton="0" quotePrefix="0" xfId="0">
      <alignment horizontal="right" vertical="center"/>
    </xf>
    <xf numFmtId="178" fontId="11" fillId="5" borderId="0" applyAlignment="1" pivotButton="0" quotePrefix="0" xfId="0">
      <alignment horizontal="right" vertical="center"/>
    </xf>
    <xf numFmtId="185" fontId="73" fillId="34" borderId="0" applyAlignment="1" pivotButton="0" quotePrefix="0" xfId="0">
      <alignment horizontal="right" vertical="center"/>
    </xf>
    <xf numFmtId="180" fontId="26" fillId="15" borderId="1" applyAlignment="1" pivotButton="0" quotePrefix="0" xfId="0">
      <alignment horizontal="right" vertical="center"/>
    </xf>
    <xf numFmtId="178" fontId="10" fillId="5" borderId="1" applyAlignment="1" pivotButton="0" quotePrefix="0" xfId="0">
      <alignment horizontal="right" vertical="center"/>
    </xf>
    <xf numFmtId="178" fontId="10" fillId="4" borderId="1" applyAlignment="1" pivotButton="0" quotePrefix="0" xfId="0">
      <alignment horizontal="right" vertical="center"/>
    </xf>
    <xf numFmtId="178" fontId="10" fillId="8" borderId="1" applyAlignment="1" pivotButton="0" quotePrefix="0" xfId="0">
      <alignment horizontal="right" vertical="center"/>
    </xf>
    <xf numFmtId="178" fontId="14" fillId="7" borderId="1" applyAlignment="1" pivotButton="0" quotePrefix="0" xfId="0">
      <alignment horizontal="right" vertical="center"/>
    </xf>
    <xf numFmtId="178" fontId="45" fillId="0" borderId="0" applyAlignment="1" pivotButton="0" quotePrefix="0" xfId="0">
      <alignment horizontal="right" vertical="center"/>
    </xf>
    <xf numFmtId="180" fontId="26" fillId="15" borderId="1" applyAlignment="1" pivotButton="0" quotePrefix="0" xfId="2">
      <alignment horizontal="right" vertical="center"/>
    </xf>
    <xf numFmtId="180" fontId="46" fillId="4" borderId="1" applyAlignment="1" pivotButton="0" quotePrefix="0" xfId="0">
      <alignment horizontal="right" vertical="center"/>
    </xf>
    <xf numFmtId="180" fontId="10" fillId="4" borderId="1" applyAlignment="1" pivotButton="0" quotePrefix="0" xfId="0">
      <alignment horizontal="right" vertical="center"/>
    </xf>
    <xf numFmtId="180" fontId="46" fillId="5" borderId="1" applyAlignment="1" pivotButton="0" quotePrefix="0" xfId="0">
      <alignment horizontal="right" vertical="center"/>
    </xf>
    <xf numFmtId="180" fontId="10" fillId="5" borderId="1" applyAlignment="1" pivotButton="0" quotePrefix="0" xfId="0">
      <alignment horizontal="right" vertical="center"/>
    </xf>
    <xf numFmtId="181" fontId="10" fillId="4" borderId="1" applyAlignment="1" pivotButton="0" quotePrefix="0" xfId="0">
      <alignment horizontal="right" vertical="center"/>
    </xf>
    <xf numFmtId="181" fontId="10" fillId="5" borderId="1" applyAlignment="1" pivotButton="0" quotePrefix="0" xfId="0">
      <alignment horizontal="right" vertical="center"/>
    </xf>
    <xf numFmtId="181" fontId="14" fillId="7" borderId="1" applyAlignment="1" pivotButton="0" quotePrefix="0" xfId="0">
      <alignment horizontal="right" vertical="center"/>
    </xf>
    <xf numFmtId="179" fontId="26" fillId="15" borderId="0" applyAlignment="1" pivotButton="0" quotePrefix="0" xfId="0">
      <alignment horizontal="center" vertical="center"/>
    </xf>
    <xf numFmtId="182" fontId="14" fillId="4" borderId="1" applyAlignment="1" pivotButton="0" quotePrefix="0" xfId="0">
      <alignment horizontal="center" vertical="center"/>
    </xf>
    <xf numFmtId="178" fontId="49" fillId="4" borderId="1" applyAlignment="1" pivotButton="0" quotePrefix="0" xfId="0">
      <alignment horizontal="right" vertical="center"/>
    </xf>
    <xf numFmtId="178" fontId="36" fillId="23" borderId="1" applyAlignment="1" pivotButton="0" quotePrefix="0" xfId="0">
      <alignment horizontal="right" vertical="center"/>
    </xf>
    <xf numFmtId="178" fontId="26" fillId="15" borderId="1" applyAlignment="1" pivotButton="0" quotePrefix="0" xfId="0">
      <alignment horizontal="right" vertical="center"/>
    </xf>
    <xf numFmtId="178" fontId="7" fillId="5" borderId="1" applyAlignment="1" pivotButton="0" quotePrefix="0" xfId="0">
      <alignment horizontal="right" vertical="center"/>
    </xf>
    <xf numFmtId="178" fontId="7" fillId="4" borderId="1" applyAlignment="1" pivotButton="0" quotePrefix="0" xfId="0">
      <alignment horizontal="right" vertical="center"/>
    </xf>
    <xf numFmtId="178" fontId="11" fillId="2" borderId="1" applyAlignment="1" pivotButton="0" quotePrefix="0" xfId="0">
      <alignment horizontal="right" vertical="center"/>
    </xf>
    <xf numFmtId="183" fontId="4" fillId="4" borderId="1" applyAlignment="1" pivotButton="0" quotePrefix="0" xfId="0">
      <alignment horizontal="right" vertical="center"/>
    </xf>
    <xf numFmtId="178" fontId="4" fillId="4" borderId="1" applyAlignment="1" pivotButton="0" quotePrefix="0" xfId="0">
      <alignment horizontal="right" vertical="center"/>
    </xf>
    <xf numFmtId="178" fontId="4" fillId="5" borderId="1" applyAlignment="1" pivotButton="0" quotePrefix="0" xfId="0">
      <alignment horizontal="right" vertical="center"/>
    </xf>
    <xf numFmtId="178" fontId="15" fillId="5" borderId="1" applyAlignment="1" pivotButton="0" quotePrefix="0" xfId="0">
      <alignment horizontal="right" vertical="center"/>
    </xf>
    <xf numFmtId="178" fontId="15" fillId="8" borderId="1" applyAlignment="1" pivotButton="0" quotePrefix="0" xfId="0">
      <alignment horizontal="right" vertical="center"/>
    </xf>
    <xf numFmtId="178" fontId="11" fillId="9" borderId="1" applyAlignment="1" pivotButton="0" quotePrefix="0" xfId="0">
      <alignment horizontal="right" vertical="center"/>
    </xf>
    <xf numFmtId="178" fontId="11" fillId="6" borderId="1" applyAlignment="1" pivotButton="0" quotePrefix="0" xfId="0">
      <alignment horizontal="right" vertical="center"/>
    </xf>
    <xf numFmtId="178" fontId="11" fillId="13" borderId="1" applyAlignment="1" pivotButton="0" quotePrefix="0" xfId="0">
      <alignment horizontal="right" vertical="center"/>
    </xf>
    <xf numFmtId="178" fontId="15" fillId="4" borderId="1" applyAlignment="1" pivotButton="0" quotePrefix="0" xfId="0">
      <alignment horizontal="right" vertical="center"/>
    </xf>
  </cellXfs>
  <cellStyles count="4">
    <cellStyle name="Normal" xfId="0" builtinId="0"/>
    <cellStyle name="Currency" xfId="1" builtinId="4"/>
    <cellStyle name="Percent" xfId="2" builtinId="5"/>
    <cellStyle name="Hyperlink" xfId="3" builtinId="8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2CC"/>
      <rgbColor rgb="FFFF00FF"/>
      <rgbColor rgb="FF00FFFF"/>
      <rgbColor rgb="FF800000"/>
      <rgbColor rgb="FF006100"/>
      <rgbColor rgb="FF000080"/>
      <rgbColor rgb="FF7F6000"/>
      <rgbColor rgb="FF800080"/>
      <rgbColor rgb="FF1F7A6E"/>
      <rgbColor rgb="FFBFBFBF"/>
      <rgbColor rgb="FF808080"/>
      <rgbColor rgb="FF9999FF"/>
      <rgbColor rgb="FF7030A0"/>
      <rgbColor rgb="FFFFFFCC"/>
      <rgbColor rgb="FFE2EFDA"/>
      <rgbColor rgb="FF660066"/>
      <rgbColor rgb="FFFF8080"/>
      <rgbColor rgb="FF2E75B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C6EBD8"/>
      <rgbColor rgb="FFFFFF99"/>
      <rgbColor rgb="FFD6E4F0"/>
      <rgbColor rgb="FFFCE4D6"/>
      <rgbColor rgb="FFF2F2F2"/>
      <rgbColor rgb="FFEAD1DC"/>
      <rgbColor rgb="FF4472C4"/>
      <rgbColor rgb="FF33CCCC"/>
      <rgbColor rgb="FF92D050"/>
      <rgbColor rgb="FFFFCC00"/>
      <rgbColor rgb="FFC9A227"/>
      <rgbColor rgb="FFFF6600"/>
      <rgbColor rgb="FF595959"/>
      <rgbColor rgb="FF969696"/>
      <rgbColor rgb="FF002060"/>
      <rgbColor rgb="FF339966"/>
      <rgbColor rgb="FF003300"/>
      <rgbColor rgb="FF375623"/>
      <rgbColor rgb="FF993300"/>
      <rgbColor rgb="FF993366"/>
      <rgbColor rgb="FF333399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comments/comment1.xml><?xml version="1.0" encoding="utf-8"?>
<comments xmlns="http://schemas.openxmlformats.org/spreadsheetml/2006/main">
  <authors>
    <author>Unknown Author</author>
  </authors>
  <commentList>
    <comment ref="B48" authorId="0" shapeId="0">
      <text>
        <t>Annual 2nd person revenue. Formula: # double-occupied units × monthly fee × 12. E.g., 8 couples × $1,200/mo × 12 = $115,200</t>
      </text>
    </comment>
  </commentList>
</comments>
</file>

<file path=xl/comments/comment2.xml><?xml version="1.0" encoding="utf-8"?>
<comments xmlns="http://schemas.openxmlformats.org/spreadsheetml/2006/main">
  <authors>
    <author>Erik Javellana</author>
  </authors>
  <commentList>
    <comment ref="N59" authorId="0" shapeId="0">
      <text>
        <t>Erik Javellana:
Analyzer LtL was -$332,093 = beds priced ABOVE market = positive adjustment. Entered as positive here.</t>
      </text>
    </comment>
    <comment ref="N62" authorId="0" shapeId="0">
      <text>
        <t>Erik Javellana:
Bad debt moved to expense side row 106</t>
      </text>
    </comment>
    <comment ref="N116" authorId="0" shapeId="0">
      <text>
        <t>Erik Javellana:
EBITDARM = EGI - Labor - Non-Labor (BEFORE management fee)</t>
      </text>
    </comment>
  </commentList>
</comments>
</file>

<file path=xl/comments/comment3.xml><?xml version="1.0" encoding="utf-8"?>
<comments xmlns="http://schemas.openxmlformats.org/spreadsheetml/2006/main">
  <authors>
    <author>Erik Javellana</author>
  </authors>
  <commentList>
    <comment ref="D5" authorId="0" shapeId="0">
      <text>
        <t>Erik Javellana:
Total debt (all tranches) from Scenarios!F23</t>
      </text>
    </comment>
    <comment ref="B21" authorId="0" shapeId="0">
      <text>
        <t>Erik Javellana:
Origination fee % — 1st loan from Scenarios!F140</t>
      </text>
    </comment>
    <comment ref="D21" authorId="0" shapeId="0">
      <text>
        <t>Erik Javellana:
Origination fee $ = sum across all 3 tranches (1st, 2nd, Supplemental)</t>
      </text>
    </comment>
    <comment ref="D35" authorId="0" shapeId="0">
      <text>
        <t>Erik Javellana:
RE Tax reserve: 3 months of annual RE Tax (Scenarios!F108)</t>
      </text>
    </comment>
    <comment ref="D36" authorId="0" shapeId="0">
      <text>
        <t>Erik Javellana:
Insurance reserve: 3 months of annual P&amp;C Insurance (Scenarios!F104)</t>
      </text>
    </comment>
  </commentList>
</comments>
</file>

<file path=xl/comments/comment4.xml><?xml version="1.0" encoding="utf-8"?>
<comments xmlns="http://schemas.openxmlformats.org/spreadsheetml/2006/main">
  <authors>
    <author>Erik Javellana</author>
  </authors>
  <commentList>
    <comment ref="O2" authorId="0" shapeId="0">
      <text>
        <t>Erik Javellana:
Toggle between Average and Max. Drives S5:S15 below. Valid values: Average, Max</t>
      </text>
    </comment>
  </commentList>
</comments>
</file>

<file path=xl/comments/comment5.xml><?xml version="1.0" encoding="utf-8"?>
<comments xmlns="http://schemas.openxmlformats.org/spreadsheetml/2006/main">
  <authors>
    <author>Unknown Author</author>
  </authors>
  <commentList>
    <comment ref="C5" authorId="0" shapeId="0">
      <text>
        <t>Erik Javellana:
  Model both a cash-out refi before exit AND final disposition. Set refi year to NA to skip.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0" topLeftCell="A2" zoomScale="115" zoomScaleNormal="115" workbookViewId="0">
      <selection activeCell="B15" sqref="B15"/>
    </sheetView>
  </sheetViews>
  <sheetFormatPr baseColWidth="8" defaultColWidth="8.85546875" defaultRowHeight="15"/>
  <cols>
    <col width="30" customWidth="1" style="817" min="1" max="1"/>
    <col width="14" customWidth="1" style="817" min="2" max="5"/>
    <col width="30" customWidth="1" style="817" min="6" max="6"/>
  </cols>
  <sheetData>
    <row r="1" ht="39.75" customHeight="1" s="817">
      <c r="A1" s="825" t="inlineStr">
        <is>
          <t>ASSISTED LIVING FACILITY — INVESTMENT SUMMARY</t>
        </is>
      </c>
    </row>
    <row r="2" ht="19.5" customHeight="1" s="817">
      <c r="A2" s="828" t="inlineStr">
        <is>
          <t>Confidential — For Authorized Recipients Only</t>
        </is>
      </c>
    </row>
    <row r="4" ht="24" customHeight="1" s="817">
      <c r="A4" s="827" t="inlineStr">
        <is>
          <t>PROPERTY INFORMATION</t>
        </is>
      </c>
    </row>
    <row r="5" ht="18" customHeight="1" s="817">
      <c r="A5" s="8" t="inlineStr">
        <is>
          <t>Property Name</t>
        </is>
      </c>
      <c r="B5" s="9">
        <f>'Prop Info'!B4</f>
        <v/>
      </c>
    </row>
    <row r="6" ht="18" customHeight="1" s="817">
      <c r="A6" s="10" t="inlineStr">
        <is>
          <t>Location</t>
        </is>
      </c>
      <c r="B6" s="11">
        <f>'Prop Info'!B5</f>
        <v/>
      </c>
    </row>
    <row r="7" ht="18" customHeight="1" s="817">
      <c r="A7" s="8" t="inlineStr">
        <is>
          <t>Year Built</t>
        </is>
      </c>
      <c r="B7" s="9">
        <f>'Prop Info'!B9</f>
        <v/>
      </c>
    </row>
    <row r="8" ht="18" customHeight="1" s="817">
      <c r="A8" s="12" t="inlineStr">
        <is>
          <t>Total Units  (physical rooms)</t>
        </is>
      </c>
      <c r="B8" s="13">
        <f>Scenarios!F8</f>
        <v/>
      </c>
      <c r="C8" s="14">
        <f>IFERROR('Prop Info'!$B$15,0)</f>
        <v/>
      </c>
    </row>
    <row r="9" ht="18" customHeight="1" s="817">
      <c r="A9" s="8" t="inlineStr">
        <is>
          <t>Gross Sq Ft</t>
        </is>
      </c>
      <c r="B9" s="9">
        <f>'Prop Info'!B11</f>
        <v/>
      </c>
    </row>
    <row r="10" ht="18" customHeight="1" s="817">
      <c r="A10" s="10" t="inlineStr">
        <is>
          <t>Asset Class</t>
        </is>
      </c>
      <c r="B10" s="11">
        <f>'Prop Info'!B13</f>
        <v/>
      </c>
    </row>
    <row r="11" ht="18" customHeight="1" s="817">
      <c r="A11" s="8" t="inlineStr">
        <is>
          <t>Active Scenario</t>
        </is>
      </c>
      <c r="B11" s="829">
        <f>Scenarios!B2</f>
        <v/>
      </c>
    </row>
    <row r="12" ht="18" customHeight="1" s="817">
      <c r="A12" s="15" t="inlineStr">
        <is>
          <t>Licensed Beds  /  Occupied Beds (Y1)</t>
        </is>
      </c>
      <c r="B12" s="16">
        <f>IFERROR('Prop Info'!$B$15,0)</f>
        <v/>
      </c>
      <c r="C12" s="17" t="inlineStr">
        <is>
          <t xml:space="preserve"> / </t>
        </is>
      </c>
      <c r="D12" s="16">
        <f>IFERROR(Scenarios!F51,0)</f>
        <v/>
      </c>
      <c r="E12" s="18">
        <f>IFERROR(Scenarios!F51/'Prop Info'!$B$15,0)</f>
        <v/>
      </c>
    </row>
    <row r="13" ht="24" customHeight="1" s="817">
      <c r="A13" s="830" t="inlineStr">
        <is>
          <t>KEY DEAL METRICS</t>
        </is>
      </c>
    </row>
    <row r="14" ht="30" customHeight="1" s="817">
      <c r="A14" s="19" t="inlineStr">
        <is>
          <t>Metric</t>
        </is>
      </c>
      <c r="B14" s="19" t="inlineStr">
        <is>
          <t>Value</t>
        </is>
      </c>
      <c r="C14" s="20" t="inlineStr">
        <is>
          <t>/ Beds</t>
        </is>
      </c>
      <c r="D14" s="19" t="inlineStr">
        <is>
          <t>Returns Metric</t>
        </is>
      </c>
      <c r="E14" s="19" t="inlineStr">
        <is>
          <t>Value</t>
        </is>
      </c>
      <c r="F14" s="19" t="n"/>
    </row>
    <row r="15" ht="18" customHeight="1" s="817">
      <c r="A15" s="8" t="inlineStr">
        <is>
          <t>Purchase Price</t>
        </is>
      </c>
      <c r="B15" s="21">
        <f>Scenarios!F7</f>
        <v/>
      </c>
      <c r="D15" s="8" t="inlineStr">
        <is>
          <t>LP IRR</t>
        </is>
      </c>
      <c r="E15" s="22">
        <f>Waterfall!B69</f>
        <v/>
      </c>
    </row>
    <row r="16" ht="18" customHeight="1" s="817">
      <c r="A16" s="12" t="inlineStr">
        <is>
          <t>Price Per Room  /  Per Bed</t>
        </is>
      </c>
      <c r="B16" s="23">
        <f>Scenarios!F9</f>
        <v/>
      </c>
      <c r="C16" s="24">
        <f>IFERROR(Scenarios!F7/'Prop Info'!$B$15,0)</f>
        <v/>
      </c>
      <c r="D16" s="10" t="inlineStr">
        <is>
          <t>GP IRR</t>
        </is>
      </c>
      <c r="E16" s="22">
        <f>Waterfall!E66</f>
        <v/>
      </c>
    </row>
    <row r="17" ht="18" customHeight="1" s="817">
      <c r="A17" s="8" t="inlineStr">
        <is>
          <t>Total Acquisition Cost</t>
        </is>
      </c>
      <c r="B17" s="21">
        <f>Scenarios!F17</f>
        <v/>
      </c>
      <c r="D17" s="8" t="inlineStr">
        <is>
          <t>LP Equity Multiple</t>
        </is>
      </c>
      <c r="E17" s="25">
        <f>IFERROR(Waterfall!B67,0)</f>
        <v/>
      </c>
    </row>
    <row r="18" ht="18" customHeight="1" s="817">
      <c r="A18" s="10" t="inlineStr">
        <is>
          <t>Loan Amount (Total)</t>
        </is>
      </c>
      <c r="B18" s="23">
        <f>Loans!E4</f>
        <v/>
      </c>
      <c r="D18" s="26" t="inlineStr">
        <is>
          <t>Y1 Cash-on-Cash</t>
        </is>
      </c>
      <c r="E18" s="27">
        <f>'P&amp;L'!D126</f>
        <v/>
      </c>
    </row>
    <row r="19" ht="18" customHeight="1" s="817">
      <c r="A19" s="8" t="inlineStr">
        <is>
          <t>LTV</t>
        </is>
      </c>
      <c r="B19" s="28">
        <f>IFERROR(Scenarios!F144/Scenarios!F7,0)</f>
        <v/>
      </c>
      <c r="D19" s="8" t="inlineStr">
        <is>
          <t>Year 5 NOI</t>
        </is>
      </c>
      <c r="E19" s="29">
        <f>IFERROR(INDEX('P&amp;L'!D115:M116,1,Scenarios!F80),0)+IFERROR(INDEX('P&amp;L'!D112:M113,1,Scenarios!F80),0)</f>
        <v/>
      </c>
    </row>
    <row r="20" ht="18" customHeight="1" s="817">
      <c r="A20" s="10" t="inlineStr">
        <is>
          <t>LTC</t>
        </is>
      </c>
      <c r="B20" s="30">
        <f>IFERROR(Scenarios!F144/Scenarios!F17,0)</f>
        <v/>
      </c>
      <c r="D20" s="10" t="inlineStr">
        <is>
          <t>Exit Year</t>
        </is>
      </c>
      <c r="E20" s="31">
        <f>Scenarios!F80</f>
        <v/>
      </c>
    </row>
    <row r="21" ht="18" customHeight="1" s="817">
      <c r="A21" s="8" t="inlineStr">
        <is>
          <t>Equity Required</t>
        </is>
      </c>
      <c r="B21" s="21">
        <f>Scenarios!F31</f>
        <v/>
      </c>
      <c r="D21" s="8" t="inlineStr">
        <is>
          <t>Exit Cap Rate</t>
        </is>
      </c>
      <c r="E21" s="22">
        <f>Waterfall!B6</f>
        <v/>
      </c>
    </row>
    <row r="22" ht="18" customHeight="1" s="817">
      <c r="A22" s="10" t="inlineStr">
        <is>
          <t>Down Payment %</t>
        </is>
      </c>
      <c r="B22" s="30">
        <f>Scenarios!F10</f>
        <v/>
      </c>
      <c r="D22" s="10" t="inlineStr">
        <is>
          <t>Gross Sale Price</t>
        </is>
      </c>
      <c r="E22" s="29">
        <f>Waterfall!B32</f>
        <v/>
      </c>
    </row>
    <row r="23" ht="18" customHeight="1" s="817">
      <c r="A23" s="8" t="inlineStr">
        <is>
          <t>Entry Cap Rate</t>
        </is>
      </c>
      <c r="B23" s="28">
        <f>IFERROR('P&amp;L'!D97/Scenarios!F7,0)</f>
        <v/>
      </c>
      <c r="D23" s="8" t="inlineStr">
        <is>
          <t>Net to Equity (Exit)</t>
        </is>
      </c>
      <c r="E23" s="29">
        <f>Waterfall!B35</f>
        <v/>
      </c>
    </row>
    <row r="24" ht="18" customHeight="1" s="817">
      <c r="A24" s="10" t="inlineStr">
        <is>
          <t>Stabilized Cap Rate (Y5)</t>
        </is>
      </c>
      <c r="B24" s="30">
        <f>IFERROR((IFERROR(INDEX('P&amp;L'!D115:M116,1,Scenarios!F80),0)+IFERROR(INDEX('P&amp;L'!D112:M113,1,Scenarios!F80),0))/Scenarios!F7,0)</f>
        <v/>
      </c>
      <c r="D24" s="26" t="inlineStr">
        <is>
          <t>Avg Annual Return (LP)</t>
        </is>
      </c>
      <c r="E24" s="27">
        <f>IFERROR((Waterfall!M54-(Waterfall!B9+Waterfall!B10))/(Waterfall!B9+Waterfall!B10)/Scenarios!F80,0)</f>
        <v/>
      </c>
    </row>
    <row r="26" ht="24" customHeight="1" s="817">
      <c r="A26" s="827" t="inlineStr">
        <is>
          <t>CAPITAL STACK</t>
        </is>
      </c>
    </row>
    <row r="27" ht="30" customHeight="1" s="817">
      <c r="A27" s="32" t="inlineStr">
        <is>
          <t>Tranche</t>
        </is>
      </c>
      <c r="B27" s="32" t="inlineStr">
        <is>
          <t>Amount</t>
        </is>
      </c>
      <c r="C27" s="32" t="inlineStr">
        <is>
          <t>%</t>
        </is>
      </c>
      <c r="D27" s="32" t="inlineStr">
        <is>
          <t>Rate</t>
        </is>
      </c>
      <c r="E27" s="32" t="inlineStr">
        <is>
          <t>Term (yrs)</t>
        </is>
      </c>
      <c r="F27" s="32" t="inlineStr">
        <is>
          <t>Amort (yrs)</t>
        </is>
      </c>
    </row>
    <row r="28" ht="18" customHeight="1" s="817">
      <c r="A28" s="8" t="inlineStr">
        <is>
          <t>Senior Loan (1st)</t>
        </is>
      </c>
      <c r="B28" s="21">
        <f>Scenarios!F86</f>
        <v/>
      </c>
      <c r="C28" s="28">
        <f>IFERROR(Scenarios!F86/Scenarios!F17,0)</f>
        <v/>
      </c>
      <c r="D28" s="27">
        <f>Scenarios!F87</f>
        <v/>
      </c>
      <c r="E28" s="33">
        <f>Scenarios!F118</f>
        <v/>
      </c>
      <c r="F28" s="33">
        <f>Scenarios!F88</f>
        <v/>
      </c>
    </row>
    <row r="29" ht="18" customHeight="1" s="817">
      <c r="A29" s="10" t="inlineStr">
        <is>
          <t>2nd Loan</t>
        </is>
      </c>
      <c r="B29" s="23">
        <f>Scenarios!F122</f>
        <v/>
      </c>
      <c r="C29" s="30">
        <f>IFERROR(Scenarios!F122/Scenarios!F17,0)</f>
        <v/>
      </c>
      <c r="D29" s="34">
        <f>Scenarios!F123</f>
        <v/>
      </c>
      <c r="E29" s="13">
        <f>Scenarios!F125</f>
        <v/>
      </c>
      <c r="F29" s="13">
        <f>Scenarios!F124</f>
        <v/>
      </c>
    </row>
    <row r="30" ht="18" customHeight="1" s="817">
      <c r="A30" s="8" t="inlineStr">
        <is>
          <t>Supplemental</t>
        </is>
      </c>
      <c r="B30" s="21">
        <f>Scenarios!F129</f>
        <v/>
      </c>
      <c r="C30" s="28">
        <f>IFERROR(Scenarios!F129/Scenarios!F17,0)</f>
        <v/>
      </c>
      <c r="D30" s="27">
        <f>Scenarios!F130</f>
        <v/>
      </c>
      <c r="E30" s="33">
        <f>Scenarios!F132</f>
        <v/>
      </c>
      <c r="F30" s="33">
        <f>Scenarios!F131</f>
        <v/>
      </c>
    </row>
    <row r="31" ht="18" customHeight="1" s="817">
      <c r="A31" s="10" t="inlineStr">
        <is>
          <t>GP Equity</t>
        </is>
      </c>
      <c r="B31" s="23">
        <f>Scenarios!F32</f>
        <v/>
      </c>
      <c r="C31" s="30">
        <f>Scenarios!F28</f>
        <v/>
      </c>
      <c r="D31" s="35" t="inlineStr">
        <is>
          <t>—</t>
        </is>
      </c>
      <c r="E31" s="35" t="inlineStr">
        <is>
          <t>—</t>
        </is>
      </c>
      <c r="F31" s="35" t="inlineStr">
        <is>
          <t>—</t>
        </is>
      </c>
    </row>
    <row r="32" ht="18" customHeight="1" s="817">
      <c r="A32" s="8" t="inlineStr">
        <is>
          <t>Class A LP Equity</t>
        </is>
      </c>
      <c r="B32" s="21">
        <f>Scenarios!F33</f>
        <v/>
      </c>
      <c r="C32" s="28">
        <f>Scenarios!F29</f>
        <v/>
      </c>
      <c r="D32" s="28">
        <f>Scenarios!F35</f>
        <v/>
      </c>
      <c r="E32" s="36" t="inlineStr">
        <is>
          <t>—</t>
        </is>
      </c>
      <c r="F32" s="36" t="inlineStr">
        <is>
          <t>—</t>
        </is>
      </c>
    </row>
    <row r="33" ht="18" customHeight="1" s="817">
      <c r="A33" s="10" t="inlineStr">
        <is>
          <t>Class B LP Equity</t>
        </is>
      </c>
      <c r="B33" s="23">
        <f>Scenarios!F34</f>
        <v/>
      </c>
      <c r="C33" s="30">
        <f>Scenarios!F30</f>
        <v/>
      </c>
      <c r="D33" s="37" t="inlineStr">
        <is>
          <t>—</t>
        </is>
      </c>
      <c r="E33" s="37" t="inlineStr">
        <is>
          <t>—</t>
        </is>
      </c>
      <c r="F33" s="37" t="inlineStr">
        <is>
          <t>—</t>
        </is>
      </c>
    </row>
    <row r="34" ht="18" customHeight="1" s="817">
      <c r="A34" s="840" t="inlineStr">
        <is>
          <t>TOTAL</t>
        </is>
      </c>
      <c r="B34" s="38">
        <f>Scenarios!F31</f>
        <v/>
      </c>
      <c r="C34" s="39">
        <f>IFERROR(Scenarios!F31/Scenarios!F17,0)</f>
        <v/>
      </c>
      <c r="D34" s="40" t="inlineStr">
        <is>
          <t>—</t>
        </is>
      </c>
      <c r="E34" s="40" t="inlineStr">
        <is>
          <t>—</t>
        </is>
      </c>
      <c r="F34" s="40" t="inlineStr">
        <is>
          <t>—</t>
        </is>
      </c>
    </row>
    <row r="36" ht="21.75" customHeight="1" s="817">
      <c r="A36" s="827" t="inlineStr">
        <is>
          <t>INVESTOR RETURNS SUMMARY</t>
        </is>
      </c>
    </row>
    <row r="37" ht="15.75" customHeight="1" s="817">
      <c r="A37" s="41" t="inlineStr">
        <is>
          <t>Metric</t>
        </is>
      </c>
      <c r="B37" s="41" t="inlineStr">
        <is>
          <t>Class A LP</t>
        </is>
      </c>
      <c r="C37" s="41" t="inlineStr">
        <is>
          <t>Class B LP</t>
        </is>
      </c>
      <c r="D37" s="41" t="inlineStr">
        <is>
          <t>LP Combined</t>
        </is>
      </c>
      <c r="E37" s="41" t="inlineStr">
        <is>
          <t>GP</t>
        </is>
      </c>
      <c r="F37" s="42" t="inlineStr">
        <is>
          <t>Notes</t>
        </is>
      </c>
    </row>
    <row r="38" ht="18" customHeight="1" s="817">
      <c r="A38" s="43" t="inlineStr">
        <is>
          <t>Total Equity Invested</t>
        </is>
      </c>
      <c r="B38" s="21">
        <f>Waterfall!B9</f>
        <v/>
      </c>
      <c r="C38" s="21">
        <f>Waterfall!B10</f>
        <v/>
      </c>
      <c r="D38" s="21">
        <f>Waterfall!B9+Waterfall!B10</f>
        <v/>
      </c>
      <c r="E38" s="21">
        <f>Waterfall!B8</f>
        <v/>
      </c>
      <c r="F38" s="835" t="inlineStr">
        <is>
          <t>Capital contributed by each party</t>
        </is>
      </c>
    </row>
    <row r="39" ht="18" customHeight="1" s="817">
      <c r="A39" s="43" t="inlineStr">
        <is>
          <t>Total Distributions</t>
        </is>
      </c>
      <c r="B39" s="21">
        <f>Waterfall!M55</f>
        <v/>
      </c>
      <c r="C39" s="21">
        <f>Waterfall!M56</f>
        <v/>
      </c>
      <c r="D39" s="21">
        <f>Waterfall!M57</f>
        <v/>
      </c>
      <c r="E39" s="21">
        <f>Waterfall!M58</f>
        <v/>
      </c>
      <c r="F39" s="835" t="inlineStr">
        <is>
          <t>Operating CF + exit proceeds</t>
        </is>
      </c>
    </row>
    <row r="40" ht="18" customHeight="1" s="817">
      <c r="A40" s="43" t="inlineStr">
        <is>
          <t>Net Profit</t>
        </is>
      </c>
      <c r="B40" s="21">
        <f>Waterfall!M55-Waterfall!B9</f>
        <v/>
      </c>
      <c r="C40" s="21">
        <f>IFERROR(Waterfall!M56-Waterfall!B10,0)</f>
        <v/>
      </c>
      <c r="D40" s="21">
        <f>Waterfall!M57-(Waterfall!B9+Waterfall!B10)</f>
        <v/>
      </c>
      <c r="E40" s="21">
        <f>Waterfall!M58-Waterfall!B8</f>
        <v/>
      </c>
    </row>
    <row r="41" ht="18" customHeight="1" s="817">
      <c r="A41" s="44" t="inlineStr">
        <is>
          <t>Equity Multiple (EM)</t>
        </is>
      </c>
      <c r="B41" s="45">
        <f>IFERROR(Waterfall!B67,0)</f>
        <v/>
      </c>
      <c r="C41" s="45">
        <f>IFERROR(Waterfall!C67,0)</f>
        <v/>
      </c>
      <c r="D41" s="45">
        <f>IFERROR(Waterfall!D67,0)</f>
        <v/>
      </c>
      <c r="E41" s="45">
        <f>IFERROR(Waterfall!E67,0)</f>
        <v/>
      </c>
      <c r="F41" s="841" t="inlineStr">
        <is>
          <t>Total value returned / capital in</t>
        </is>
      </c>
    </row>
    <row r="42" ht="18" customHeight="1" s="817">
      <c r="A42" s="44" t="inlineStr">
        <is>
          <t>IRR</t>
        </is>
      </c>
      <c r="B42" s="46">
        <f>Waterfall!B69</f>
        <v/>
      </c>
      <c r="C42" s="46">
        <f>Waterfall!C69</f>
        <v/>
      </c>
      <c r="D42" s="46">
        <f>Waterfall!D69</f>
        <v/>
      </c>
      <c r="E42" s="46">
        <f>Waterfall!E69</f>
        <v/>
      </c>
      <c r="F42" s="841" t="inlineStr">
        <is>
          <t>Includes exit proceeds</t>
        </is>
      </c>
    </row>
    <row r="43" ht="18" customHeight="1" s="817">
      <c r="A43" s="853" t="inlineStr">
        <is>
          <t>Avg Annual Return  (simple, incl. exit)</t>
        </is>
      </c>
      <c r="B43" s="46">
        <f>IFERROR((Waterfall!M55-Waterfall!B9)/Waterfall!B9/Scenarios!F80,0)</f>
        <v/>
      </c>
      <c r="C43" s="46">
        <f>IFERROR((Waterfall!M56-Waterfall!B10)/Waterfall!B10/Scenarios!F80,0)</f>
        <v/>
      </c>
      <c r="D43" s="46">
        <f>IFERROR((Waterfall!M57-(Waterfall!B9+Waterfall!B10))/(Waterfall!B9+Waterfall!B10)/Scenarios!F80,0)</f>
        <v/>
      </c>
      <c r="E43" s="46">
        <f>IFERROR(IF(Waterfall!B8=0,"N/A",(Waterfall!M58-Waterfall!B8)/Waterfall!B8/Scenarios!F80),0)</f>
        <v/>
      </c>
      <c r="F43" s="48" t="inlineStr">
        <is>
          <t>Simple: (total distributions − equity) ÷ equity ÷ hold yrs. Not compounded.</t>
        </is>
      </c>
    </row>
    <row r="44" ht="16.5" customHeight="1" s="817">
      <c r="A44" s="49" t="inlineStr">
        <is>
          <t>Avg Cash-on-Cash Return</t>
        </is>
      </c>
      <c r="B44" s="50">
        <f>'P&amp;L'!D127</f>
        <v/>
      </c>
      <c r="C44" s="50">
        <f>IFERROR(IF(Waterfall!B10=0,0,AVERAGE(OFFSET(Waterfall!B53,0,0,1,MIN(Scenarios!F80,10)))/Waterfall!B10),0)</f>
        <v/>
      </c>
      <c r="D44" s="50">
        <f>'P&amp;L'!D129</f>
        <v/>
      </c>
      <c r="E44" s="50">
        <f>IFERROR(IF(Waterfall!B8=0,0,AVERAGE(OFFSET(Waterfall!B55,0,0,1,MIN(Scenarios!F80,10)))/Waterfall!B8),0)</f>
        <v/>
      </c>
      <c r="F44" s="51" t="inlineStr">
        <is>
          <t>Annual operating cash ÷ equity invested</t>
        </is>
      </c>
    </row>
    <row r="45" ht="21.75" customHeight="1" s="817">
      <c r="A45" s="827" t="inlineStr">
        <is>
          <t>EXIT &amp; DEAL METRICS</t>
        </is>
      </c>
    </row>
    <row r="46" ht="18" customHeight="1" s="817">
      <c r="A46" s="43" t="inlineStr">
        <is>
          <t>Hold Period (yrs)</t>
        </is>
      </c>
      <c r="B46" s="52">
        <f>Scenarios!F80</f>
        <v/>
      </c>
      <c r="C46" s="829" t="n"/>
      <c r="D46" s="829" t="n"/>
      <c r="E46" s="829" t="n"/>
    </row>
    <row r="47" ht="18" customHeight="1" s="817">
      <c r="A47" s="43" t="inlineStr">
        <is>
          <t>Exit Cap Rate</t>
        </is>
      </c>
      <c r="B47" s="28">
        <f>Waterfall!B6</f>
        <v/>
      </c>
      <c r="C47" s="829" t="n"/>
      <c r="D47" s="829" t="n"/>
      <c r="E47" s="829" t="n"/>
      <c r="F47" s="835" t="n"/>
    </row>
    <row r="48" ht="18" customHeight="1" s="817">
      <c r="A48" s="43" t="inlineStr">
        <is>
          <t>Exit Year NOI</t>
        </is>
      </c>
      <c r="B48" s="21">
        <f>IFERROR(INDEX('P&amp;L'!D115:M116,1,Scenarios!F80)+INDEX('P&amp;L'!D112:M113,1,Scenarios!F80),0)</f>
        <v/>
      </c>
      <c r="C48" s="829" t="n"/>
      <c r="D48" s="829" t="n"/>
      <c r="E48" s="829" t="n"/>
      <c r="F48" s="835" t="inlineStr">
        <is>
          <t>Y5 NOI</t>
        </is>
      </c>
    </row>
    <row r="49" ht="18" customHeight="1" s="817">
      <c r="A49" s="43" t="inlineStr">
        <is>
          <t>Gross Sale Price</t>
        </is>
      </c>
      <c r="B49" s="21">
        <f>Waterfall!B32</f>
        <v/>
      </c>
      <c r="C49" s="829" t="n"/>
      <c r="D49" s="829" t="n"/>
      <c r="E49" s="829" t="n"/>
      <c r="F49" s="835" t="inlineStr">
        <is>
          <t>NOI ÷ exit cap</t>
        </is>
      </c>
    </row>
    <row r="50" ht="18" customHeight="1" s="817">
      <c r="A50" s="43" t="inlineStr">
        <is>
          <t>Less: Loan Payoff</t>
        </is>
      </c>
      <c r="B50" s="21">
        <f>Waterfall!B34</f>
        <v/>
      </c>
      <c r="C50" s="829" t="n"/>
      <c r="D50" s="829" t="n"/>
      <c r="E50" s="829" t="n"/>
      <c r="F50" s="835" t="inlineStr">
        <is>
          <t>Amortized balance</t>
        </is>
      </c>
    </row>
    <row r="51" ht="18" customHeight="1" s="817">
      <c r="A51" s="53" t="inlineStr">
        <is>
          <t>Net Sale Proceeds</t>
        </is>
      </c>
      <c r="B51" s="54">
        <f>Waterfall!B35</f>
        <v/>
      </c>
      <c r="C51" s="55" t="n"/>
      <c r="D51" s="55" t="n"/>
      <c r="E51" s="55" t="n"/>
      <c r="F51" s="56" t="inlineStr">
        <is>
          <t>After selling costs &amp; loan</t>
        </is>
      </c>
    </row>
    <row r="52" ht="16.5" customHeight="1" s="817"/>
  </sheetData>
  <mergeCells count="8">
    <mergeCell ref="A2:F2"/>
    <mergeCell ref="B11:D11"/>
    <mergeCell ref="A36:F36"/>
    <mergeCell ref="A13:F13"/>
    <mergeCell ref="A45:F45"/>
    <mergeCell ref="A1:F1"/>
    <mergeCell ref="A4:F4"/>
    <mergeCell ref="A26:F26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topLeftCell="A18" zoomScaleNormal="100" workbookViewId="0">
      <selection activeCell="A34" sqref="A34:D34"/>
    </sheetView>
  </sheetViews>
  <sheetFormatPr baseColWidth="8" defaultColWidth="8.85546875" defaultRowHeight="15"/>
  <cols>
    <col width="30" customWidth="1" style="817" min="1" max="1"/>
    <col width="28" customWidth="1" style="817" min="2" max="2"/>
    <col width="45" customWidth="1" style="817" min="3" max="4"/>
  </cols>
  <sheetData>
    <row r="1" ht="24" customHeight="1" s="817">
      <c r="A1" s="827" t="inlineStr">
        <is>
          <t>PROPERTY INFORMATION &amp; MARKET DATA</t>
        </is>
      </c>
    </row>
    <row r="2" ht="15.75" customHeight="1" s="817">
      <c r="A2" s="835" t="inlineStr">
        <is>
          <t xml:space="preserve">  Blue = manual input. Use the AI Market Research tool (separate app) to auto-populate market fields.</t>
        </is>
      </c>
    </row>
    <row r="3" ht="19.5" customHeight="1" s="817">
      <c r="A3" s="833" t="inlineStr">
        <is>
          <t xml:space="preserve">  PROPERTY DETAILS</t>
        </is>
      </c>
    </row>
    <row r="4" ht="18" customHeight="1" s="817">
      <c r="A4" s="8" t="inlineStr">
        <is>
          <t>Property Name</t>
        </is>
      </c>
      <c r="B4" s="464" t="n"/>
    </row>
    <row r="5" ht="18" customHeight="1" s="817">
      <c r="A5" s="10" t="inlineStr">
        <is>
          <t>Location / Address</t>
        </is>
      </c>
      <c r="B5" s="464" t="n"/>
    </row>
    <row r="6" ht="18" customHeight="1" s="817">
      <c r="A6" s="8" t="inlineStr">
        <is>
          <t># Units</t>
        </is>
      </c>
      <c r="B6" s="464" t="n"/>
    </row>
    <row r="7" ht="18" customHeight="1" s="817">
      <c r="A7" s="10" t="inlineStr">
        <is>
          <t># Buildings</t>
        </is>
      </c>
      <c r="B7" s="464" t="n"/>
    </row>
    <row r="8" ht="18" customHeight="1" s="817">
      <c r="A8" s="8" t="inlineStr">
        <is>
          <t>Height (stories)</t>
        </is>
      </c>
      <c r="B8" s="464" t="n"/>
    </row>
    <row r="9" ht="18" customHeight="1" s="817">
      <c r="A9" s="10" t="inlineStr">
        <is>
          <t>Year Built</t>
        </is>
      </c>
      <c r="B9" s="464" t="n"/>
    </row>
    <row r="10" ht="18" customHeight="1" s="817">
      <c r="A10" s="8" t="inlineStr">
        <is>
          <t>Lot Size (acres)</t>
        </is>
      </c>
      <c r="B10" s="464" t="n"/>
    </row>
    <row r="11" ht="18" customHeight="1" s="817">
      <c r="A11" s="10" t="inlineStr">
        <is>
          <t>Gross Sq Ft</t>
        </is>
      </c>
      <c r="B11" s="464" t="n"/>
    </row>
    <row r="12" ht="18" customHeight="1" s="817">
      <c r="A12" s="8" t="inlineStr">
        <is>
          <t>Parking Spaces</t>
        </is>
      </c>
      <c r="B12" s="464" t="n"/>
    </row>
    <row r="13" ht="18" customHeight="1" s="817">
      <c r="A13" s="10" t="inlineStr">
        <is>
          <t>Asset Class (IL/AL/MC/Mix)</t>
        </is>
      </c>
      <c r="B13" s="464" t="n"/>
    </row>
    <row r="14" ht="18" customHeight="1" s="817">
      <c r="A14" s="8" t="inlineStr">
        <is>
          <t>License Type</t>
        </is>
      </c>
      <c r="B14" s="464" t="n"/>
    </row>
    <row r="15" ht="18" customHeight="1" s="817">
      <c r="A15" s="10" t="inlineStr">
        <is>
          <t>Licensed Bed Count</t>
        </is>
      </c>
      <c r="B15" s="464" t="n"/>
    </row>
    <row r="16" ht="18" customHeight="1" s="817">
      <c r="A16" s="8" t="inlineStr">
        <is>
          <t>IL Units</t>
        </is>
      </c>
      <c r="B16" s="464" t="n"/>
    </row>
    <row r="17" ht="18" customHeight="1" s="817">
      <c r="A17" s="10" t="inlineStr">
        <is>
          <t>AL Units</t>
        </is>
      </c>
      <c r="B17" s="464" t="n"/>
    </row>
    <row r="18" ht="18" customHeight="1" s="817">
      <c r="A18" s="8" t="inlineStr">
        <is>
          <t>MC Units</t>
        </is>
      </c>
      <c r="B18" s="464" t="n"/>
    </row>
    <row r="19" ht="18" customHeight="1" s="817">
      <c r="A19" s="882" t="inlineStr">
        <is>
          <t>Occupied Beds — Total</t>
        </is>
      </c>
      <c r="B19" s="568">
        <f>SUM(B20:B22)</f>
        <v/>
      </c>
    </row>
    <row r="20" ht="18" customHeight="1" s="817">
      <c r="A20" s="879" t="inlineStr">
        <is>
          <t>Occupied Beds — IL</t>
        </is>
      </c>
      <c r="B20" s="568" t="n"/>
    </row>
    <row r="21" ht="18" customHeight="1" s="817">
      <c r="A21" s="882" t="inlineStr">
        <is>
          <t>Occupied Beds — AL</t>
        </is>
      </c>
      <c r="B21" s="568" t="n"/>
    </row>
    <row r="22" ht="18" customHeight="1" s="817">
      <c r="A22" s="879" t="inlineStr">
        <is>
          <t>Occupied Beds — MC</t>
        </is>
      </c>
      <c r="B22" s="568" t="n"/>
    </row>
    <row r="23" ht="19.5" customHeight="1" s="817">
      <c r="A23" s="833" t="inlineStr">
        <is>
          <t xml:space="preserve">  MARKET DATA</t>
        </is>
      </c>
    </row>
    <row r="24" ht="18" customHeight="1" s="817">
      <c r="A24" s="8" t="inlineStr">
        <is>
          <t>City / Market</t>
        </is>
      </c>
      <c r="B24" s="831" t="n"/>
    </row>
    <row r="25" ht="18" customHeight="1" s="817">
      <c r="A25" s="10" t="inlineStr">
        <is>
          <t>MSA Name</t>
        </is>
      </c>
      <c r="B25" s="831" t="n"/>
    </row>
    <row r="26" ht="18" customHeight="1" s="817">
      <c r="A26" s="8" t="inlineStr">
        <is>
          <t>MSA Population</t>
        </is>
      </c>
      <c r="B26" s="831" t="n"/>
    </row>
    <row r="27" ht="18" customHeight="1" s="817">
      <c r="A27" s="10" t="inlineStr">
        <is>
          <t>City Population</t>
        </is>
      </c>
      <c r="B27" s="831" t="n"/>
    </row>
    <row r="28" ht="18" customHeight="1" s="817">
      <c r="A28" s="8" t="inlineStr">
        <is>
          <t>Population Growth Rate</t>
        </is>
      </c>
      <c r="B28" s="834" t="n"/>
    </row>
    <row r="29" ht="18" customHeight="1" s="817">
      <c r="A29" s="10" t="inlineStr">
        <is>
          <t>Senior 65+ Population</t>
        </is>
      </c>
      <c r="B29" s="831" t="n"/>
    </row>
    <row r="30" ht="18" customHeight="1" s="817">
      <c r="A30" s="8" t="inlineStr">
        <is>
          <t>Senior 65+ Growth Rate</t>
        </is>
      </c>
      <c r="B30" s="834" t="n"/>
    </row>
    <row r="31" ht="18" customHeight="1" s="817">
      <c r="A31" s="10" t="inlineStr">
        <is>
          <t>Avg Household Income</t>
        </is>
      </c>
      <c r="B31" s="832" t="n"/>
    </row>
    <row r="32" ht="18" customHeight="1" s="817">
      <c r="A32" s="8" t="inlineStr">
        <is>
          <t>Median Income</t>
        </is>
      </c>
      <c r="B32" s="832" t="n"/>
    </row>
    <row r="33" ht="18" customHeight="1" s="817">
      <c r="A33" s="10" t="inlineStr">
        <is>
          <t>School Ratings (1-10)</t>
        </is>
      </c>
      <c r="B33" s="831" t="n"/>
    </row>
    <row r="34" ht="19.5" customHeight="1" s="817">
      <c r="A34" s="833" t="inlineStr">
        <is>
          <t xml:space="preserve">  COMPETITIVE MARKET</t>
        </is>
      </c>
    </row>
    <row r="35" ht="18" customHeight="1" s="817">
      <c r="A35" s="10" t="inlineStr">
        <is>
          <t>Avg Monthly Base Rent — IL</t>
        </is>
      </c>
      <c r="B35" s="832" t="n"/>
    </row>
    <row r="36" ht="18" customHeight="1" s="817">
      <c r="A36" s="8" t="inlineStr">
        <is>
          <t>Avg Monthly Base Rent — AL</t>
        </is>
      </c>
      <c r="B36" s="832" t="n"/>
    </row>
    <row r="37" ht="18" customHeight="1" s="817">
      <c r="A37" s="10" t="inlineStr">
        <is>
          <t>Avg Monthly Base Rent — MC</t>
        </is>
      </c>
      <c r="B37" s="832" t="n"/>
    </row>
    <row r="38" ht="18" customHeight="1" s="817">
      <c r="A38" s="8" t="inlineStr">
        <is>
          <t>Avg Care Services Fee</t>
        </is>
      </c>
      <c r="B38" s="832" t="n"/>
    </row>
    <row r="39" ht="18" customHeight="1" s="817">
      <c r="A39" s="10" t="inlineStr">
        <is>
          <t>Competitor Occupancy Rate</t>
        </is>
      </c>
      <c r="B39" s="834" t="n"/>
    </row>
    <row r="40" ht="18" customHeight="1" s="817">
      <c r="A40" s="8" t="inlineStr">
        <is>
          <t>New Supply — Beds Under Construction</t>
        </is>
      </c>
      <c r="B40" s="831" t="n"/>
    </row>
    <row r="41" ht="18" customHeight="1" s="817">
      <c r="A41" s="10" t="inlineStr">
        <is>
          <t>Market Penetration Rate</t>
        </is>
      </c>
      <c r="B41" s="834" t="n"/>
    </row>
    <row r="42" ht="19.5" customHeight="1" s="817">
      <c r="A42" s="833" t="inlineStr">
        <is>
          <t xml:space="preserve">  UTILITIES</t>
        </is>
      </c>
    </row>
    <row r="43" ht="18" customHeight="1" s="817">
      <c r="A43" s="10" t="inlineStr">
        <is>
          <t>Electric Meter</t>
        </is>
      </c>
      <c r="B43" s="831" t="n"/>
    </row>
    <row r="44" ht="18" customHeight="1" s="817">
      <c r="A44" s="8" t="inlineStr">
        <is>
          <t>Water Meter</t>
        </is>
      </c>
      <c r="B44" s="831" t="n"/>
    </row>
    <row r="45" ht="18" customHeight="1" s="817">
      <c r="A45" s="10" t="inlineStr">
        <is>
          <t>Gas</t>
        </is>
      </c>
      <c r="B45" s="831" t="n"/>
    </row>
    <row r="46" ht="18" customHeight="1" s="817">
      <c r="A46" s="8" t="inlineStr">
        <is>
          <t>Trash</t>
        </is>
      </c>
      <c r="B46" s="831" t="n"/>
    </row>
    <row r="47" ht="19.5" customHeight="1" s="817">
      <c r="A47" s="833" t="inlineStr">
        <is>
          <t xml:space="preserve">  OTHER NOTES</t>
        </is>
      </c>
    </row>
    <row r="48" ht="18" customHeight="1" s="817">
      <c r="A48" s="8" t="inlineStr">
        <is>
          <t>Other Property Information</t>
        </is>
      </c>
      <c r="B48" s="831" t="n"/>
    </row>
    <row r="49" ht="18" customHeight="1" s="817">
      <c r="A49" s="10" t="inlineStr">
        <is>
          <t>Other Market Information</t>
        </is>
      </c>
      <c r="B49" s="831" t="n"/>
    </row>
    <row r="50" ht="18" customHeight="1" s="817">
      <c r="A50" s="8" t="inlineStr">
        <is>
          <t>Survey / Regulatory Notes</t>
        </is>
      </c>
      <c r="B50" s="831" t="n"/>
    </row>
    <row r="51" ht="18" customHeight="1" s="817">
      <c r="A51" s="10" t="inlineStr">
        <is>
          <t>Value-Add Thesis</t>
        </is>
      </c>
      <c r="B51" s="831" t="n"/>
    </row>
  </sheetData>
  <mergeCells count="32">
    <mergeCell ref="A23:D23"/>
    <mergeCell ref="B44:D44"/>
    <mergeCell ref="B39:D39"/>
    <mergeCell ref="B29:D29"/>
    <mergeCell ref="B38:D38"/>
    <mergeCell ref="B28:D28"/>
    <mergeCell ref="B37:D37"/>
    <mergeCell ref="A34:D34"/>
    <mergeCell ref="B49:D49"/>
    <mergeCell ref="B40:D40"/>
    <mergeCell ref="B30:D30"/>
    <mergeCell ref="B24:D24"/>
    <mergeCell ref="B51:D51"/>
    <mergeCell ref="B33:D33"/>
    <mergeCell ref="A1:D1"/>
    <mergeCell ref="B36:D36"/>
    <mergeCell ref="B45:D45"/>
    <mergeCell ref="B41:D41"/>
    <mergeCell ref="B35:D35"/>
    <mergeCell ref="B50:D50"/>
    <mergeCell ref="B32:D32"/>
    <mergeCell ref="B26:D26"/>
    <mergeCell ref="B25:D25"/>
    <mergeCell ref="B31:D31"/>
    <mergeCell ref="B46:D46"/>
    <mergeCell ref="A3:D3"/>
    <mergeCell ref="B27:D27"/>
    <mergeCell ref="A2:D2"/>
    <mergeCell ref="B43:D43"/>
    <mergeCell ref="A47:D47"/>
    <mergeCell ref="A42:D42"/>
    <mergeCell ref="B48:D48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6"/>
  <sheetViews>
    <sheetView zoomScaleNormal="100" workbookViewId="0">
      <pane xSplit="1" ySplit="4" topLeftCell="B22" activePane="bottomRight" state="frozen"/>
      <selection pane="topRight" activeCell="B1" sqref="B1"/>
      <selection pane="bottomLeft" activeCell="A5" sqref="A5"/>
      <selection pane="bottomRight" activeCell="C149" sqref="C149"/>
    </sheetView>
  </sheetViews>
  <sheetFormatPr baseColWidth="8" defaultColWidth="8.85546875" defaultRowHeight="15" outlineLevelRow="2"/>
  <cols>
    <col width="49.28515625" customWidth="1" style="817" min="1" max="1"/>
    <col width="18" customWidth="1" style="817" min="2" max="5"/>
    <col width="16" customWidth="1" style="817" min="6" max="6"/>
    <col width="17.140625" bestFit="1" customWidth="1" style="817" min="7" max="7"/>
    <col width="45.28515625" customWidth="1" style="817" min="8" max="8"/>
    <col width="14" customWidth="1" style="817" min="9" max="9"/>
    <col width="16" customWidth="1" style="817" min="10" max="10"/>
  </cols>
  <sheetData>
    <row r="1" ht="30" customHeight="1" s="817">
      <c r="A1" s="842" t="inlineStr">
        <is>
          <t>SIDE-BY-SIDE SCENARIO ANALYSIS  —  "The 10-Minute Offer"</t>
        </is>
      </c>
    </row>
    <row r="2" ht="18" customHeight="1" s="817">
      <c r="A2" s="57" t="inlineStr">
        <is>
          <t>Active Scenario →</t>
        </is>
      </c>
      <c r="B2" s="58" t="inlineStr">
        <is>
          <t>Actuals (T-12)</t>
        </is>
      </c>
    </row>
    <row r="3" ht="15.75" customHeight="1" s="817">
      <c r="A3" s="835" t="inlineStr">
        <is>
          <t xml:space="preserve">  Selecting an active scenario drives P&amp;L, Cover Sheet, and Waterfall calculations. All 4 columns always visible for comparison.</t>
        </is>
      </c>
    </row>
    <row r="4" ht="30" customHeight="1" s="817">
      <c r="A4" s="41" t="inlineStr">
        <is>
          <t>Line Item</t>
        </is>
      </c>
      <c r="B4" s="498" t="inlineStr">
        <is>
          <t>Actuals (T-12)</t>
        </is>
      </c>
      <c r="C4" s="59" t="inlineStr">
        <is>
          <t>2. My Version</t>
        </is>
      </c>
      <c r="D4" s="59" t="inlineStr">
        <is>
          <t>3. Projected</t>
        </is>
      </c>
      <c r="E4" s="59" t="inlineStr">
        <is>
          <t>4. Best Scenario</t>
        </is>
      </c>
      <c r="F4" s="60" t="inlineStr">
        <is>
          <t>Active
Scenario</t>
        </is>
      </c>
      <c r="G4" s="41" t="inlineStr">
        <is>
          <t>Licensed Beds / $/Bed</t>
        </is>
      </c>
      <c r="H4" s="32" t="inlineStr">
        <is>
          <t>Benchmark</t>
        </is>
      </c>
    </row>
    <row r="5" ht="24" customHeight="1" s="817">
      <c r="A5" s="61" t="inlineStr">
        <is>
          <t>ACQUISITION</t>
        </is>
      </c>
      <c r="B5" s="61" t="n"/>
      <c r="C5" s="61" t="n"/>
      <c r="D5" s="61" t="n"/>
      <c r="E5" s="61" t="n"/>
      <c r="F5" s="61" t="n"/>
      <c r="G5" s="61" t="n"/>
      <c r="H5" s="61" t="n"/>
    </row>
    <row r="6" ht="18" customHeight="1" s="817">
      <c r="A6" s="62" t="inlineStr">
        <is>
          <t>Asking Price</t>
        </is>
      </c>
      <c r="B6" s="63" t="n"/>
      <c r="C6" s="63">
        <f>B6</f>
        <v/>
      </c>
      <c r="D6" s="63">
        <f>C6</f>
        <v/>
      </c>
      <c r="E6" s="63">
        <f>D6</f>
        <v/>
      </c>
      <c r="F6" s="64">
        <f>CHOOSE(MATCH(B$2,{"Actuals (T-12)","2. My Version","3. Projected","4. Offer"},0),B6,C6,D6,E6)</f>
        <v/>
      </c>
      <c r="G6" s="905">
        <f>IFERROR(F6/F$8,0)</f>
        <v/>
      </c>
      <c r="H6" s="835" t="inlineStr">
        <is>
          <t>$8–16M typical 60-unit AL/MC</t>
        </is>
      </c>
    </row>
    <row r="7" ht="18" customHeight="1" s="817">
      <c r="A7" s="65" t="inlineStr">
        <is>
          <t>Purchase Price / Offer</t>
        </is>
      </c>
      <c r="B7" s="66" t="n"/>
      <c r="C7" s="66">
        <f>B7</f>
        <v/>
      </c>
      <c r="D7" s="66">
        <f>C7</f>
        <v/>
      </c>
      <c r="E7" s="66">
        <f>D7</f>
        <v/>
      </c>
      <c r="F7" s="64">
        <f>CHOOSE(MATCH(B$2,{"Actuals (T-12)","2. My Version","3. Projected","4. Offer"},0),B7,C7,D7,E7)</f>
        <v/>
      </c>
      <c r="G7" s="905">
        <f>IFERROR(F7/F$8,0)</f>
        <v/>
      </c>
      <c r="H7" s="891" t="inlineStr">
        <is>
          <t>Offer 5–15% below ask; value-add</t>
        </is>
      </c>
    </row>
    <row r="8" ht="18" customHeight="1" s="817">
      <c r="A8" s="26" t="inlineStr">
        <is>
          <t># Units  (rooms)  /  Licensed Beds</t>
        </is>
      </c>
      <c r="B8" s="68" t="n"/>
      <c r="C8" s="68">
        <f>Units</f>
        <v/>
      </c>
      <c r="D8" s="68">
        <f>C8</f>
        <v/>
      </c>
      <c r="E8" s="68">
        <f>D8</f>
        <v/>
      </c>
      <c r="F8" s="69">
        <f>CHOOSE(MATCH(B$2,{"Actuals (T-12)","2. My Version","3. Projected","4. Offer"},0),B8,C8,D8,E8)</f>
        <v/>
      </c>
      <c r="G8" s="70">
        <f>'Prop Info'!$B$15</f>
        <v/>
      </c>
      <c r="H8" s="835" t="inlineStr">
        <is>
          <t>Licensed beds from Prop Info — drives GPR. Units = physical rooms.</t>
        </is>
      </c>
    </row>
    <row r="9" ht="18" customHeight="1" s="817">
      <c r="A9" s="12" t="inlineStr">
        <is>
          <t>Price Per Unit  (physical room)</t>
        </is>
      </c>
      <c r="B9" s="71">
        <f>B7/B8</f>
        <v/>
      </c>
      <c r="C9" s="71">
        <f>C7/C8</f>
        <v/>
      </c>
      <c r="D9" s="71">
        <f>D7/D8</f>
        <v/>
      </c>
      <c r="E9" s="71">
        <f>E7/E8</f>
        <v/>
      </c>
      <c r="F9" s="64">
        <f>CHOOSE(MATCH(B$2,{"Actuals (T-12)","2. My Version","3. Projected","4. Offer"},0),B9,C9,D9,E9)</f>
        <v/>
      </c>
      <c r="G9" s="72">
        <f>IFERROR(F7/'Prop Info'!$B$15,0)</f>
        <v/>
      </c>
      <c r="H9" s="891" t="inlineStr">
        <is>
          <t>Price per licensed bed = purchase price ÷ licensed beds</t>
        </is>
      </c>
    </row>
    <row r="10" ht="18" customHeight="1" s="817">
      <c r="A10" s="62" t="inlineStr">
        <is>
          <t>Down Payment %</t>
        </is>
      </c>
      <c r="B10" s="73" t="n"/>
      <c r="C10" s="73">
        <f>B10</f>
        <v/>
      </c>
      <c r="D10" s="73">
        <f>C10</f>
        <v/>
      </c>
      <c r="E10" s="73">
        <f>D10</f>
        <v/>
      </c>
      <c r="F10" s="843">
        <f>CHOOSE(MATCH(B$2,{"Actuals (T-12)","2. My Version","3. Projected","4. Offer"},0),B10,C10,D10,E10)</f>
        <v/>
      </c>
      <c r="G10" s="843" t="n"/>
      <c r="H10" s="835" t="inlineStr">
        <is>
          <t>25–35% down; 65–75% LTV target</t>
        </is>
      </c>
    </row>
    <row r="11" ht="18" customHeight="1" s="817">
      <c r="A11" s="65" t="inlineStr">
        <is>
          <t>Down Payment $</t>
        </is>
      </c>
      <c r="B11" s="71">
        <f>B10*B7</f>
        <v/>
      </c>
      <c r="C11" s="71">
        <f>B11</f>
        <v/>
      </c>
      <c r="D11" s="71">
        <f>D10*D7</f>
        <v/>
      </c>
      <c r="E11" s="71">
        <f>E10*E7</f>
        <v/>
      </c>
      <c r="F11" s="64">
        <f>CHOOSE(MATCH(B$2,{"Actuals (T-12)","2. My Version","3. Projected","4. Offer"},0),B11,C11,D11,E11)</f>
        <v/>
      </c>
      <c r="G11" s="905">
        <f>IFERROR(F11/F$8,0)</f>
        <v/>
      </c>
      <c r="H11" s="891" t="inlineStr">
        <is>
          <t>Auto-calculated from down payment</t>
        </is>
      </c>
    </row>
    <row r="12" ht="18" customHeight="1" s="817">
      <c r="A12" s="62" t="inlineStr">
        <is>
          <t>Repairs / CapEx at Close</t>
        </is>
      </c>
      <c r="B12" s="75">
        <f>Capex!$D$51</f>
        <v/>
      </c>
      <c r="C12" s="75">
        <f>B12</f>
        <v/>
      </c>
      <c r="D12" s="75">
        <f>Capex!$D$51</f>
        <v/>
      </c>
      <c r="E12" s="75">
        <f>Capex!$D$51</f>
        <v/>
      </c>
      <c r="F12" s="64">
        <f>CHOOSE(MATCH(B$2,{"Actuals (T-12)","2. My Version","3. Projected","4. Offer"},0),B12,C12,D12,E12)</f>
        <v/>
      </c>
      <c r="G12" s="905">
        <f>IFERROR(F12/F$8,0)</f>
        <v/>
      </c>
      <c r="H12" s="835" t="inlineStr">
        <is>
          <t>Get contractor bid at LOI stage</t>
        </is>
      </c>
    </row>
    <row r="13" ht="18" customHeight="1" s="817">
      <c r="A13" s="65" t="inlineStr">
        <is>
          <t>Operating Reserves</t>
        </is>
      </c>
      <c r="B13" s="71">
        <f>(B118/12)*1</f>
        <v/>
      </c>
      <c r="C13" s="71">
        <f>B13</f>
        <v/>
      </c>
      <c r="D13" s="71">
        <f>C13</f>
        <v/>
      </c>
      <c r="E13" s="71">
        <f>D13</f>
        <v/>
      </c>
      <c r="F13" s="64">
        <f>CHOOSE(MATCH(B$2,{"Actuals (T-12)","2. My Version","3. Projected","4. Offer"},0),B13,C13,D13,E13)</f>
        <v/>
      </c>
      <c r="G13" s="906">
        <f>IFERROR(F13/(F$118/12),0)</f>
        <v/>
      </c>
      <c r="H13" s="891" t="inlineStr">
        <is>
          <t>3–6 months operating expenses</t>
        </is>
      </c>
      <c r="I13" s="76" t="n"/>
    </row>
    <row r="14" ht="18" customHeight="1" s="817">
      <c r="A14" s="62" t="inlineStr">
        <is>
          <t>Est. Closing Costs</t>
        </is>
      </c>
      <c r="B14" s="75">
        <f>'Acquisition Costs'!$D$37</f>
        <v/>
      </c>
      <c r="C14" s="75">
        <f>'Acquisition Costs'!$D$37</f>
        <v/>
      </c>
      <c r="D14" s="75">
        <f>'Acquisition Costs'!$D$37</f>
        <v/>
      </c>
      <c r="E14" s="75">
        <f>'Acquisition Costs'!$D$37</f>
        <v/>
      </c>
      <c r="F14" s="64">
        <f>CHOOSE(MATCH(B$2,{"Actuals (T-12)","2. My Version","3. Projected","4. Offer"},0),B14,C14,D14,E14)</f>
        <v/>
      </c>
      <c r="G14" s="77">
        <f>F14/F7</f>
        <v/>
      </c>
      <c r="H14" s="835" t="inlineStr">
        <is>
          <t>1.5–2.5% of purchase price</t>
        </is>
      </c>
    </row>
    <row r="15" ht="18" customHeight="1" s="817">
      <c r="A15" s="65" t="inlineStr">
        <is>
          <t>Acquisition Fee (%)</t>
        </is>
      </c>
      <c r="B15" s="78" t="n">
        <v>0</v>
      </c>
      <c r="C15" s="78">
        <f>B15</f>
        <v/>
      </c>
      <c r="D15" s="78">
        <f>C15</f>
        <v/>
      </c>
      <c r="E15" s="78">
        <f>D15</f>
        <v/>
      </c>
      <c r="F15" s="843">
        <f>CHOOSE(MATCH(B$2,{"Actuals (T-12)","2. My Version","3. Projected","4. Offer"},0),B15,C15,D15,E15)</f>
        <v/>
      </c>
      <c r="G15" s="843" t="n"/>
      <c r="H15" s="891" t="inlineStr">
        <is>
          <t>0.5–1.5% acq fee standard</t>
        </is>
      </c>
    </row>
    <row r="16" ht="18" customHeight="1" s="817">
      <c r="A16" s="62" t="inlineStr">
        <is>
          <t>Acquisition Fee ($)</t>
        </is>
      </c>
      <c r="B16" s="75">
        <f>B15*B7</f>
        <v/>
      </c>
      <c r="C16" s="75">
        <f>C15*C7</f>
        <v/>
      </c>
      <c r="D16" s="75">
        <f>D15*D7</f>
        <v/>
      </c>
      <c r="E16" s="75">
        <f>E15*E7</f>
        <v/>
      </c>
      <c r="F16" s="64">
        <f>CHOOSE(MATCH(B$2,{"Actuals (T-12)","2. My Version","3. Projected","4. Offer"},0),B16,C16,D16,E16)</f>
        <v/>
      </c>
      <c r="G16" s="905">
        <f>IFERROR(F16/F$8,0)</f>
        <v/>
      </c>
      <c r="H16" s="835" t="inlineStr">
        <is>
          <t>Auto-calculated</t>
        </is>
      </c>
    </row>
    <row r="17" ht="18" customHeight="1" s="817">
      <c r="A17" s="853" t="inlineStr">
        <is>
          <t>TOTAL ACQUISITION COST</t>
        </is>
      </c>
      <c r="B17" s="79">
        <f>B7+B12+B13+B14+B16</f>
        <v/>
      </c>
      <c r="C17" s="79">
        <f>C7+C12+C13+C14+C16</f>
        <v/>
      </c>
      <c r="D17" s="79">
        <f>D7+D12+D13+D14+D16</f>
        <v/>
      </c>
      <c r="E17" s="79">
        <f>E7+E12+E13+E14+E16</f>
        <v/>
      </c>
      <c r="F17" s="80">
        <f>CHOOSE(MATCH(B$2,{"Actuals (T-12)","2. My Version","3. Projected","4. Offer"},0),B17,C17,D17,E17)</f>
        <v/>
      </c>
      <c r="G17" s="907">
        <f>IFERROR(F17/F$8,0)</f>
        <v/>
      </c>
      <c r="H17" s="841" t="inlineStr">
        <is>
          <t>Auto-calculated total cost</t>
        </is>
      </c>
    </row>
    <row r="19" ht="24" customHeight="1" s="817">
      <c r="A19" s="830" t="inlineStr">
        <is>
          <t>DEBT STRUCTURE</t>
        </is>
      </c>
    </row>
    <row r="20" ht="18" customHeight="1" s="817">
      <c r="A20" s="62" t="inlineStr">
        <is>
          <t>Loan Amount (1st)</t>
        </is>
      </c>
      <c r="B20" s="21">
        <f>B135</f>
        <v/>
      </c>
      <c r="C20" s="21">
        <f>C135</f>
        <v/>
      </c>
      <c r="D20" s="21">
        <f>D135</f>
        <v/>
      </c>
      <c r="E20" s="21">
        <f>E135</f>
        <v/>
      </c>
      <c r="F20" s="81">
        <f>CHOOSE(MATCH(B$2,{"Actuals (T-12)","2. My Version","3. Projected","4. Offer"},0),B20,C20,D20,E20)</f>
        <v/>
      </c>
      <c r="G20" s="81" t="n"/>
      <c r="H20" s="835" t="inlineStr">
        <is>
          <t>60–70% LTV senior; 75% bridge max</t>
        </is>
      </c>
    </row>
    <row r="21" ht="18" customHeight="1" s="817">
      <c r="A21" s="65" t="inlineStr">
        <is>
          <t>Loan Amount (2nd)</t>
        </is>
      </c>
      <c r="B21" s="23">
        <f>B142</f>
        <v/>
      </c>
      <c r="C21" s="23">
        <f>C142</f>
        <v/>
      </c>
      <c r="D21" s="23">
        <f>D142</f>
        <v/>
      </c>
      <c r="E21" s="23">
        <f>E142</f>
        <v/>
      </c>
      <c r="F21" s="81">
        <f>CHOOSE(MATCH(B$2,{"Actuals (T-12)","2. My Version","3. Projected","4. Offer"},0),B21,C21,D21,E21)</f>
        <v/>
      </c>
      <c r="G21" s="81" t="n"/>
      <c r="H21" s="891" t="inlineStr">
        <is>
          <t>$0 if no mezz; up to 10% of stack</t>
        </is>
      </c>
    </row>
    <row r="22" ht="18" customHeight="1" s="817">
      <c r="A22" s="62" t="inlineStr">
        <is>
          <t>Supplemental Loan</t>
        </is>
      </c>
      <c r="B22" s="21">
        <f>B149</f>
        <v/>
      </c>
      <c r="C22" s="21">
        <f>C149</f>
        <v/>
      </c>
      <c r="D22" s="21">
        <f>D149</f>
        <v/>
      </c>
      <c r="E22" s="21">
        <f>E149</f>
        <v/>
      </c>
      <c r="F22" s="81">
        <f>CHOOSE(MATCH(B$2,{"Actuals (T-12)","2. My Version","3. Projected","4. Offer"},0),B22,C22,D22,E22)</f>
        <v/>
      </c>
      <c r="G22" s="81" t="n"/>
      <c r="H22" s="835" t="inlineStr">
        <is>
          <t>$0 supplemental; add if SBA/seller</t>
        </is>
      </c>
    </row>
    <row r="23" ht="18" customHeight="1" s="817">
      <c r="A23" s="853" t="inlineStr">
        <is>
          <t>Total Debt</t>
        </is>
      </c>
      <c r="B23" s="79">
        <f>B20+B21+B22</f>
        <v/>
      </c>
      <c r="C23" s="79">
        <f>C20+C21+C22</f>
        <v/>
      </c>
      <c r="D23" s="79">
        <f>D20+D21+D22</f>
        <v/>
      </c>
      <c r="E23" s="79">
        <f>E20+E21+E22</f>
        <v/>
      </c>
      <c r="F23" s="80">
        <f>CHOOSE(MATCH(B$2,{"Actuals (T-12)","2. My Version","3. Projected","4. Offer"},0),B23,C23,D23,E23)</f>
        <v/>
      </c>
      <c r="G23" s="80" t="n"/>
      <c r="H23" s="841" t="inlineStr">
        <is>
          <t>Auto-calculated total debt</t>
        </is>
      </c>
    </row>
    <row r="24" ht="18" customHeight="1" s="817">
      <c r="A24" s="62" t="inlineStr">
        <is>
          <t>LTV (Loan/Purchase Price)</t>
        </is>
      </c>
      <c r="B24" s="82">
        <f>IFERROR(B23/B7,0)</f>
        <v/>
      </c>
      <c r="C24" s="82">
        <f>IFERROR(C23/C7,0)</f>
        <v/>
      </c>
      <c r="D24" s="82">
        <f>IFERROR(D23/D7,0)</f>
        <v/>
      </c>
      <c r="E24" s="82">
        <f>IFERROR(E23/E7,0)</f>
        <v/>
      </c>
      <c r="F24" s="843">
        <f>CHOOSE(MATCH(B$2,{"Actuals (T-12)","2. My Version","3. Projected","4. Offer"},0),B24,C24,D24,E24)</f>
        <v/>
      </c>
      <c r="G24" s="843" t="n"/>
      <c r="H24" s="835" t="inlineStr">
        <is>
          <t>Target ≤70% LTV (senior only)</t>
        </is>
      </c>
    </row>
    <row r="25" ht="18" customHeight="1" s="817">
      <c r="A25" s="65" t="inlineStr">
        <is>
          <t>LTC (Loan/Total Acq. Cost)</t>
        </is>
      </c>
      <c r="B25" s="83">
        <f>IFERROR(B23/B17,0)</f>
        <v/>
      </c>
      <c r="C25" s="83">
        <f>IFERROR(C23/C17,0)</f>
        <v/>
      </c>
      <c r="D25" s="83">
        <f>IFERROR(D23/D17,0)</f>
        <v/>
      </c>
      <c r="E25" s="83">
        <f>IFERROR(E23/E17,0)</f>
        <v/>
      </c>
      <c r="F25" s="843">
        <f>CHOOSE(MATCH(B$2,{"Actuals (T-12)","2. My Version","3. Projected","4. Offer"},0),B25,C25,D25,E25)</f>
        <v/>
      </c>
      <c r="G25" s="843" t="n"/>
      <c r="H25" s="891" t="inlineStr">
        <is>
          <t>Target ≤80–85% LTC (value-add)</t>
        </is>
      </c>
    </row>
    <row r="27" ht="24" customHeight="1" s="817">
      <c r="A27" s="839" t="inlineStr">
        <is>
          <t>EQUITY STRUCTURE</t>
        </is>
      </c>
    </row>
    <row r="28" ht="18" customHeight="1" s="817">
      <c r="A28" s="62" t="inlineStr">
        <is>
          <t>GP Ownership %</t>
        </is>
      </c>
      <c r="B28" s="84" t="n">
        <v>0.6</v>
      </c>
      <c r="C28" s="84">
        <f>B28</f>
        <v/>
      </c>
      <c r="D28" s="84">
        <f>C28</f>
        <v/>
      </c>
      <c r="E28" s="84">
        <f>D28</f>
        <v/>
      </c>
      <c r="F28" s="85">
        <f>CHOOSE(MATCH(B$2,{"Actuals (T-12)","2. My Version","3. Projected","4. Offer"},0),B28,C28,D28,E28)</f>
        <v/>
      </c>
      <c r="G28" s="85" t="n"/>
      <c r="H28" s="835" t="inlineStr">
        <is>
          <t>GP co-invest 5–15% of total equity</t>
        </is>
      </c>
    </row>
    <row r="29" ht="18" customHeight="1" s="817">
      <c r="A29" s="62" t="inlineStr">
        <is>
          <t>Class A LP %</t>
        </is>
      </c>
      <c r="B29" s="86">
        <f>1-B28</f>
        <v/>
      </c>
      <c r="C29" s="86">
        <f>1-C28</f>
        <v/>
      </c>
      <c r="D29" s="86">
        <f>1-D28</f>
        <v/>
      </c>
      <c r="E29" s="86">
        <f>1-E28</f>
        <v/>
      </c>
      <c r="F29" s="85">
        <f>CHOOSE(MATCH(B$2,{"Actuals (T-12)","2. My Version","3. Projected","4. Offer"},0),B29,C29,D29,E29)</f>
        <v/>
      </c>
      <c r="G29" s="85" t="n"/>
      <c r="H29" s="891" t="inlineStr">
        <is>
          <t>Class A LP 40–65% of total equity</t>
        </is>
      </c>
    </row>
    <row r="30" ht="18" customHeight="1" s="817">
      <c r="A30" s="62" t="inlineStr">
        <is>
          <t>Class B LP % (auto)</t>
        </is>
      </c>
      <c r="B30" s="87">
        <f>1-B28-B29</f>
        <v/>
      </c>
      <c r="C30" s="87">
        <f>1-C28-C29</f>
        <v/>
      </c>
      <c r="D30" s="87">
        <f>1-D28-D29</f>
        <v/>
      </c>
      <c r="E30" s="87">
        <f>1-E28-E29</f>
        <v/>
      </c>
      <c r="F30" s="85">
        <f>CHOOSE(MATCH(B$2,{"Actuals (T-12)","2. My Version","3. Projected","4. Offer"},0),B30,C30,D30,E30)</f>
        <v/>
      </c>
      <c r="G30" s="85" t="n"/>
      <c r="H30" s="835" t="inlineStr">
        <is>
          <t>Class B LP 20–40% of total equity</t>
        </is>
      </c>
    </row>
    <row r="31" ht="18" customHeight="1" s="817">
      <c r="A31" s="88" t="inlineStr">
        <is>
          <t>Total Equity (Acq Cost − Debt)</t>
        </is>
      </c>
      <c r="B31" s="89">
        <f>IFERROR(B17-B164,0)</f>
        <v/>
      </c>
      <c r="C31" s="89">
        <f>IFERROR(C17-C164,0)</f>
        <v/>
      </c>
      <c r="D31" s="89">
        <f>IFERROR(D17-D164,0)</f>
        <v/>
      </c>
      <c r="E31" s="89">
        <f>IFERROR(E17-E164,0)</f>
        <v/>
      </c>
      <c r="F31" s="90">
        <f>CHOOSE(MATCH(B$2,{"Actuals (T-12)","2. My Version","3. Projected","4. Offer"},0),B31,C31,D31,E31)</f>
        <v/>
      </c>
      <c r="G31" s="90" t="n"/>
      <c r="H31" s="841" t="inlineStr">
        <is>
          <t>Auto-calculated</t>
        </is>
      </c>
    </row>
    <row r="32" ht="18" customHeight="1" s="817">
      <c r="A32" s="62" t="inlineStr">
        <is>
          <t>GP Equity ($)</t>
        </is>
      </c>
      <c r="B32" s="91" t="n"/>
      <c r="C32" s="91">
        <f>B32</f>
        <v/>
      </c>
      <c r="D32" s="91">
        <f>C32</f>
        <v/>
      </c>
      <c r="E32" s="91">
        <f>D32</f>
        <v/>
      </c>
      <c r="F32" s="90">
        <f>CHOOSE(MATCH(B$2,{"Actuals (T-12)","2. My Version","3. Projected","4. Offer"},0),B32,C32,D32,E32)</f>
        <v/>
      </c>
      <c r="G32" s="90" t="n"/>
      <c r="H32" s="92" t="inlineStr">
        <is>
          <t>Enter GP co-invest $ directly — not tied to GP Ownership %</t>
        </is>
      </c>
    </row>
    <row r="33" ht="18" customHeight="1" s="817">
      <c r="A33" s="62" t="inlineStr">
        <is>
          <t>Class A LP Equity ($)</t>
        </is>
      </c>
      <c r="B33" s="93">
        <f>B31-B32</f>
        <v/>
      </c>
      <c r="C33" s="93">
        <f>C31-C32</f>
        <v/>
      </c>
      <c r="D33" s="93">
        <f>D31-D32</f>
        <v/>
      </c>
      <c r="E33" s="93">
        <f>E31-E32</f>
        <v/>
      </c>
      <c r="F33" s="90">
        <f>CHOOSE(MATCH(B$2,{"Actuals (T-12)","2. My Version","3. Projected","4. Offer"},0),B33,C33,D33,E33)</f>
        <v/>
      </c>
      <c r="G33" s="90" t="n"/>
      <c r="H33" s="94" t="inlineStr">
        <is>
          <t>Total Equity − GP co-invest. GP can be $0 (all-LP deal).</t>
        </is>
      </c>
    </row>
    <row r="34" ht="18" customHeight="1" s="817">
      <c r="A34" s="62" t="inlineStr">
        <is>
          <t>Class B LP Equity ($)</t>
        </is>
      </c>
      <c r="B34" s="95">
        <f>B30*B31</f>
        <v/>
      </c>
      <c r="C34" s="95">
        <f>C30*C31</f>
        <v/>
      </c>
      <c r="D34" s="95">
        <f>D30*D31</f>
        <v/>
      </c>
      <c r="E34" s="95">
        <f>E30*E31</f>
        <v/>
      </c>
      <c r="F34" s="90">
        <f>CHOOSE(MATCH(B$2,{"Actuals (T-12)","2. My Version","3. Projected","4. Offer"},0),B34,C34,D34,E34)</f>
        <v/>
      </c>
      <c r="G34" s="90" t="n"/>
      <c r="H34" s="835" t="inlineStr">
        <is>
          <t>Auto-calculated</t>
        </is>
      </c>
    </row>
    <row r="35" ht="18" customHeight="1" s="817">
      <c r="A35" s="65" t="inlineStr">
        <is>
          <t>Class A Preferred Return %</t>
        </is>
      </c>
      <c r="B35" s="96" t="n">
        <v>0</v>
      </c>
      <c r="C35" s="96">
        <f>B35</f>
        <v/>
      </c>
      <c r="D35" s="96">
        <f>C35</f>
        <v/>
      </c>
      <c r="E35" s="96">
        <f>D35</f>
        <v/>
      </c>
      <c r="F35" s="843">
        <f>CHOOSE(MATCH(B$2,{"Actuals (T-12)","2. My Version","3. Projected","4. Offer"},0),B35,C35,D35,E35)</f>
        <v/>
      </c>
      <c r="G35" s="843" t="n"/>
      <c r="H35" s="891" t="inlineStr">
        <is>
          <t>Class A pref: 6–9% typical</t>
        </is>
      </c>
    </row>
    <row r="36" ht="18" customHeight="1" s="817">
      <c r="A36" s="97" t="inlineStr">
        <is>
          <t>GP Promote % (defaults to GP% — edit to override)</t>
        </is>
      </c>
      <c r="B36" s="98">
        <f>B28</f>
        <v/>
      </c>
      <c r="C36" s="98">
        <f>C28</f>
        <v/>
      </c>
      <c r="D36" s="98">
        <f>D28</f>
        <v/>
      </c>
      <c r="E36" s="98">
        <f>E28</f>
        <v/>
      </c>
      <c r="F36" s="85">
        <f>CHOOSE(MATCH(B$2,{"Actuals (T-12)","2. My Version","3. Projected","4. Offer"},0),B36,C36,D36,E36)</f>
        <v/>
      </c>
      <c r="G36" s="85" t="n"/>
      <c r="H36" s="99" t="inlineStr">
        <is>
          <t>Promote: 20–30% GP typical. Edit directly.</t>
        </is>
      </c>
    </row>
    <row r="37" ht="21.75" customHeight="1" s="817">
      <c r="A37" s="838" t="inlineStr">
        <is>
          <t>INCOME (YEAR 1 SNAPSHOT)  —  4-Scenario Model</t>
        </is>
      </c>
      <c r="I37" s="427" t="n"/>
      <c r="J37" s="427" t="n"/>
      <c r="K37" s="427" t="n"/>
    </row>
    <row r="38" ht="18" customHeight="1" s="817">
      <c r="A38" s="428" t="inlineStr">
        <is>
          <t>── LICENSED BEDS BY CARE LEVEL ──</t>
        </is>
      </c>
      <c r="B38" s="427" t="n"/>
      <c r="C38" s="427" t="n"/>
      <c r="D38" s="427" t="n"/>
      <c r="E38" s="427" t="n"/>
      <c r="F38" s="427" t="n"/>
      <c r="G38" s="427" t="n"/>
      <c r="H38" s="427" t="n"/>
      <c r="I38" s="427" t="n"/>
      <c r="J38" s="427" t="n"/>
      <c r="K38" s="427" t="n"/>
    </row>
    <row r="39" ht="18" customHeight="1" s="817">
      <c r="A39" s="427" t="inlineStr">
        <is>
          <t xml:space="preserve">  Licensed Beds — IL</t>
        </is>
      </c>
      <c r="B39" s="531" t="n"/>
      <c r="C39" s="532">
        <f>B39</f>
        <v/>
      </c>
      <c r="D39" s="532">
        <f>C39</f>
        <v/>
      </c>
      <c r="E39" s="532">
        <f>D39</f>
        <v/>
      </c>
      <c r="F39" s="532">
        <f>CHOOSE(MATCH(B$2,{"Actuals (T-12)","2. My Version","3. Projected","4. Offer"},0),B39,C39,D39,E39)</f>
        <v/>
      </c>
      <c r="G39" s="427" t="n"/>
      <c r="H39" s="429" t="inlineStr">
        <is>
          <t>Independent Living bed count</t>
        </is>
      </c>
      <c r="I39" s="427" t="n"/>
      <c r="J39" s="427" t="n"/>
      <c r="K39" s="427" t="n"/>
    </row>
    <row r="40" ht="18" customHeight="1" s="817">
      <c r="A40" s="427" t="inlineStr">
        <is>
          <t xml:space="preserve">  Licensed Beds — AL</t>
        </is>
      </c>
      <c r="B40" s="533" t="n"/>
      <c r="C40" s="532">
        <f>B40</f>
        <v/>
      </c>
      <c r="D40" s="532">
        <f>C40</f>
        <v/>
      </c>
      <c r="E40" s="532">
        <f>D40</f>
        <v/>
      </c>
      <c r="F40" s="532">
        <f>CHOOSE(MATCH(B$2,{"Actuals (T-12)","2. My Version","3. Projected","4. Offer"},0),B40,C40,D40,E40)</f>
        <v/>
      </c>
      <c r="G40" s="427" t="n"/>
      <c r="H40" s="429" t="inlineStr">
        <is>
          <t>Assisted Living bed count</t>
        </is>
      </c>
      <c r="I40" s="427" t="n"/>
      <c r="J40" s="427" t="n"/>
      <c r="K40" s="427" t="n"/>
    </row>
    <row r="41" ht="18" customHeight="1" s="817">
      <c r="A41" s="427" t="inlineStr">
        <is>
          <t xml:space="preserve">  Licensed Beds — MC</t>
        </is>
      </c>
      <c r="B41" s="533" t="n"/>
      <c r="C41" s="532">
        <f>B41</f>
        <v/>
      </c>
      <c r="D41" s="532">
        <f>C41</f>
        <v/>
      </c>
      <c r="E41" s="532">
        <f>D41</f>
        <v/>
      </c>
      <c r="F41" s="532">
        <f>CHOOSE(MATCH(B$2,{"Actuals (T-12)","2. My Version","3. Projected","4. Offer"},0),B41,C41,D41,E41)</f>
        <v/>
      </c>
      <c r="G41" s="427" t="n"/>
      <c r="H41" s="429" t="inlineStr">
        <is>
          <t>Memory Care bed count</t>
        </is>
      </c>
      <c r="I41" s="427" t="n"/>
      <c r="J41" s="427" t="n"/>
      <c r="K41" s="427" t="n"/>
    </row>
    <row r="42" ht="18" customHeight="1" s="817">
      <c r="A42" s="430" t="inlineStr">
        <is>
          <t xml:space="preserve">  Total Licensed Beds</t>
        </is>
      </c>
      <c r="B42" s="431">
        <f>B39+B40+B41</f>
        <v/>
      </c>
      <c r="C42" s="431">
        <f>C39+C40+C41</f>
        <v/>
      </c>
      <c r="D42" s="431">
        <f>D39+D40+D41</f>
        <v/>
      </c>
      <c r="E42" s="431">
        <f>E39+E40+E41</f>
        <v/>
      </c>
      <c r="F42" s="431">
        <f>CHOOSE(MATCH(B$2,{"Actuals (T-12)","2. My Version","3. Projected","4. Offer"},0),B42,C42,D42,E42)</f>
        <v/>
      </c>
      <c r="G42" s="427" t="n"/>
      <c r="H42" s="575" t="inlineStr">
        <is>
          <t>Sum of IL+AL+MC licensed beds — must match Prop Info!B15</t>
        </is>
      </c>
      <c r="I42" s="427" t="n"/>
      <c r="J42" s="427" t="n"/>
      <c r="K42" s="427" t="n"/>
    </row>
    <row r="43" ht="18" customHeight="1" s="817">
      <c r="A43" s="428" t="inlineStr">
        <is>
          <t>── AVERAGE MONTHLY RATE / BED ──</t>
        </is>
      </c>
      <c r="B43" s="427" t="n"/>
      <c r="C43" s="427" t="n"/>
      <c r="D43" s="427" t="n"/>
      <c r="E43" s="427" t="n"/>
      <c r="F43" s="427" t="n"/>
      <c r="G43" s="427" t="n"/>
      <c r="H43" s="427" t="n"/>
      <c r="I43" s="427" t="n"/>
      <c r="J43" s="427" t="n"/>
      <c r="K43" s="427" t="n"/>
    </row>
    <row r="44" ht="18" customHeight="1" s="817">
      <c r="A44" s="427" t="inlineStr">
        <is>
          <t xml:space="preserve">  Avg Monthly Rate — IL</t>
        </is>
      </c>
      <c r="B44" s="908" t="n"/>
      <c r="C44" s="909">
        <f>B44</f>
        <v/>
      </c>
      <c r="D44" s="909">
        <f>C44</f>
        <v/>
      </c>
      <c r="E44" s="909">
        <f>D44</f>
        <v/>
      </c>
      <c r="F44" s="909">
        <f>CHOOSE(MATCH(B$2,{"Actuals (T-12)","2. My Version","3. Projected","4. Offer"},0),B44,C44,D44,E44)</f>
        <v/>
      </c>
      <c r="G44" s="427" t="n"/>
      <c r="H44" s="575" t="inlineStr">
        <is>
          <t>IL blended market rate — pull from rent roll</t>
        </is>
      </c>
      <c r="I44" s="427" t="n"/>
      <c r="J44" s="427" t="n"/>
      <c r="K44" s="427" t="n"/>
    </row>
    <row r="45" ht="18" customHeight="1" s="817">
      <c r="A45" s="427" t="inlineStr">
        <is>
          <t xml:space="preserve">  Avg Monthly Rate — AL</t>
        </is>
      </c>
      <c r="B45" s="908" t="n"/>
      <c r="C45" s="909">
        <f>B45</f>
        <v/>
      </c>
      <c r="D45" s="909">
        <f>C45</f>
        <v/>
      </c>
      <c r="E45" s="909">
        <f>D45</f>
        <v/>
      </c>
      <c r="F45" s="909">
        <f>CHOOSE(MATCH(B$2,{"Actuals (T-12)","2. My Version","3. Projected","4. Offer"},0),B45,C45,D45,E45)</f>
        <v/>
      </c>
      <c r="G45" s="427" t="n"/>
      <c r="H45" s="576" t="inlineStr">
        <is>
          <t>AL median ~$4,774/mo nationally (2024); local range varies</t>
        </is>
      </c>
      <c r="I45" s="427" t="n"/>
      <c r="J45" s="427" t="n"/>
      <c r="K45" s="427" t="n"/>
    </row>
    <row r="46" ht="18" customHeight="1" s="817">
      <c r="A46" s="427" t="inlineStr">
        <is>
          <t xml:space="preserve">  Avg Monthly Rate — MC</t>
        </is>
      </c>
      <c r="B46" s="908" t="n"/>
      <c r="C46" s="909">
        <f>B46</f>
        <v/>
      </c>
      <c r="D46" s="909">
        <f>C46</f>
        <v/>
      </c>
      <c r="E46" s="909">
        <f>D46</f>
        <v/>
      </c>
      <c r="F46" s="909">
        <f>CHOOSE(MATCH(B$2,{"Actuals (T-12)","2. My Version","3. Projected","4. Offer"},0),B46,C46,D46,E46)</f>
        <v/>
      </c>
      <c r="G46" s="427" t="n"/>
      <c r="H46" s="575" t="inlineStr">
        <is>
          <t>MC ~$6,160/mo nationally (2024); premium 25-40% over AL</t>
        </is>
      </c>
      <c r="I46" s="427" t="n"/>
      <c r="J46" s="427" t="n"/>
      <c r="K46" s="427" t="n"/>
    </row>
    <row r="47" ht="18" customHeight="1" s="817">
      <c r="A47" s="428" t="inlineStr">
        <is>
          <t>── GROSS POTENTIAL RENT BY CARE LEVEL ──</t>
        </is>
      </c>
      <c r="B47" s="536" t="n"/>
      <c r="C47" s="536" t="n"/>
      <c r="D47" s="536" t="n"/>
      <c r="E47" s="536" t="n"/>
      <c r="F47" s="536" t="n"/>
      <c r="G47" s="427" t="n"/>
      <c r="H47" s="576" t="inlineStr">
        <is>
          <t>GPR = beds × monthly rate × 12 (100% occupied)</t>
        </is>
      </c>
      <c r="I47" s="427" t="n"/>
      <c r="J47" s="427" t="n"/>
      <c r="K47" s="427" t="n"/>
    </row>
    <row r="48" ht="18" customHeight="1" s="817">
      <c r="A48" s="427" t="inlineStr">
        <is>
          <t xml:space="preserve">  GPR — IL</t>
        </is>
      </c>
      <c r="B48" s="909">
        <f>B39*B44*12</f>
        <v/>
      </c>
      <c r="C48" s="909">
        <f>C39*C44*12</f>
        <v/>
      </c>
      <c r="D48" s="909">
        <f>D39*D44*12</f>
        <v/>
      </c>
      <c r="E48" s="909">
        <f>E39*E44*12</f>
        <v/>
      </c>
      <c r="F48" s="909">
        <f>CHOOSE(MATCH(B$2,{"Actuals (T-12)","2. My Version","3. Projected","4. Offer"},0),B48,C48,D48,E48)</f>
        <v/>
      </c>
      <c r="G48" s="910">
        <f>IFERROR(F48/F$42/12,0)</f>
        <v/>
      </c>
      <c r="H48" s="575" t="inlineStr">
        <is>
          <t>Annual gross potential rent at full IL occupancy</t>
        </is>
      </c>
      <c r="I48" s="427" t="n"/>
      <c r="J48" s="427" t="n"/>
      <c r="K48" s="427" t="n"/>
    </row>
    <row r="49" ht="18" customHeight="1" s="817">
      <c r="A49" s="427" t="inlineStr">
        <is>
          <t xml:space="preserve">  GPR — AL</t>
        </is>
      </c>
      <c r="B49" s="909">
        <f>B40*B45*12</f>
        <v/>
      </c>
      <c r="C49" s="909">
        <f>C40*C45*12</f>
        <v/>
      </c>
      <c r="D49" s="909">
        <f>D40*D45*12</f>
        <v/>
      </c>
      <c r="E49" s="909">
        <f>E40*E45*12</f>
        <v/>
      </c>
      <c r="F49" s="909">
        <f>CHOOSE(MATCH(B$2,{"Actuals (T-12)","2. My Version","3. Projected","4. Offer"},0),B49,C49,D49,E49)</f>
        <v/>
      </c>
      <c r="G49" s="910">
        <f>IFERROR(F49/F$42/12,0)</f>
        <v/>
      </c>
      <c r="H49" s="576" t="inlineStr">
        <is>
          <t>Annual gross potential rent at full AL occupancy</t>
        </is>
      </c>
      <c r="I49" s="427" t="n"/>
      <c r="J49" s="427" t="n"/>
      <c r="K49" s="427" t="n"/>
    </row>
    <row r="50" ht="18" customHeight="1" s="817">
      <c r="A50" s="427" t="inlineStr">
        <is>
          <t xml:space="preserve">  GPR — MC</t>
        </is>
      </c>
      <c r="B50" s="909">
        <f>B41*B46*12</f>
        <v/>
      </c>
      <c r="C50" s="909">
        <f>C41*C46*12</f>
        <v/>
      </c>
      <c r="D50" s="909">
        <f>D41*D46*12</f>
        <v/>
      </c>
      <c r="E50" s="909">
        <f>E41*E46*12</f>
        <v/>
      </c>
      <c r="F50" s="909">
        <f>CHOOSE(MATCH(B$2,{"Actuals (T-12)","2. My Version","3. Projected","4. Offer"},0),B50,C50,D50,E50)</f>
        <v/>
      </c>
      <c r="G50" s="910">
        <f>IFERROR(F50/F$42/12,0)</f>
        <v/>
      </c>
      <c r="H50" s="575" t="inlineStr">
        <is>
          <t>Annual gross potential rent at full MC occupancy</t>
        </is>
      </c>
      <c r="I50" s="427" t="n"/>
      <c r="J50" s="427" t="n"/>
      <c r="K50" s="427" t="n"/>
    </row>
    <row r="51" ht="24" customHeight="1" s="817">
      <c r="A51" s="432" t="inlineStr">
        <is>
          <t>TOTAL GROSS POTENTIAL RENT</t>
        </is>
      </c>
      <c r="B51" s="911">
        <f>B48+B49+B50</f>
        <v/>
      </c>
      <c r="C51" s="911">
        <f>C48+C49+C50</f>
        <v/>
      </c>
      <c r="D51" s="911">
        <f>D48+D49+D50</f>
        <v/>
      </c>
      <c r="E51" s="911">
        <f>E48+E49+E50</f>
        <v/>
      </c>
      <c r="F51" s="911">
        <f>CHOOSE(MATCH(B$2,{"Actuals (T-12)","2. My Version","3. Projected","4. Offer"},0),B51,C51,D51,E51)</f>
        <v/>
      </c>
      <c r="G51" s="912">
        <f>IFERROR(F51/F$42/12,0)</f>
        <v/>
      </c>
      <c r="H51" s="429" t="inlineStr">
        <is>
          <t>beds × rate × 12 by level</t>
        </is>
      </c>
      <c r="I51" s="427" t="n"/>
      <c r="J51" s="427" t="n"/>
      <c r="K51" s="427" t="n"/>
    </row>
    <row r="52" ht="18" customHeight="1" s="817">
      <c r="A52" s="428" t="inlineStr">
        <is>
          <t>── VACANCY BY CARE LEVEL ──</t>
        </is>
      </c>
      <c r="B52" s="536" t="n"/>
      <c r="C52" s="536" t="n"/>
      <c r="D52" s="536" t="n"/>
      <c r="E52" s="536" t="n"/>
      <c r="F52" s="536" t="n"/>
      <c r="G52" s="427" t="n"/>
      <c r="H52" s="575" t="inlineStr">
        <is>
          <t>Vacancy losses by care level — drives blended vacancy</t>
        </is>
      </c>
      <c r="I52" s="427" t="n"/>
      <c r="J52" s="427" t="n"/>
      <c r="K52" s="427" t="n"/>
    </row>
    <row r="53" ht="18" customHeight="1" s="817">
      <c r="A53" s="427" t="inlineStr">
        <is>
          <t xml:space="preserve">  Vacancy % — IL</t>
        </is>
      </c>
      <c r="B53" s="500" t="n"/>
      <c r="C53" s="538">
        <f>B53</f>
        <v/>
      </c>
      <c r="D53" s="538">
        <f>C53</f>
        <v/>
      </c>
      <c r="E53" s="538">
        <f>D53</f>
        <v/>
      </c>
      <c r="F53" s="538">
        <f>CHOOSE(MATCH(B$2,{"Actuals (T-12)","2. My Version","3. Projected","4. Offer"},0),B53,C53,D53,E53)</f>
        <v/>
      </c>
      <c r="G53" s="427" t="n"/>
      <c r="H53" s="429" t="inlineStr">
        <is>
          <t>10% typical stabilized</t>
        </is>
      </c>
      <c r="I53" s="427" t="n"/>
      <c r="J53" s="427" t="n"/>
      <c r="K53" s="427" t="n"/>
    </row>
    <row r="54" ht="18" customHeight="1" s="817">
      <c r="A54" s="427" t="inlineStr">
        <is>
          <t xml:space="preserve">  Vacancy % — AL</t>
        </is>
      </c>
      <c r="B54" s="500" t="n"/>
      <c r="C54" s="538">
        <f>B54</f>
        <v/>
      </c>
      <c r="D54" s="538">
        <f>C54</f>
        <v/>
      </c>
      <c r="E54" s="538">
        <f>D54</f>
        <v/>
      </c>
      <c r="F54" s="538">
        <f>CHOOSE(MATCH(B$2,{"Actuals (T-12)","2. My Version","3. Projected","4. Offer"},0),B54,C54,D54,E54)</f>
        <v/>
      </c>
      <c r="G54" s="427" t="n"/>
      <c r="H54" s="429" t="inlineStr">
        <is>
          <t>12% typical value-add</t>
        </is>
      </c>
      <c r="I54" s="427" t="n"/>
      <c r="J54" s="427" t="n"/>
      <c r="K54" s="427" t="n"/>
    </row>
    <row r="55" ht="18" customHeight="1" s="817">
      <c r="A55" s="427" t="inlineStr">
        <is>
          <t xml:space="preserve">  Vacancy % — MC</t>
        </is>
      </c>
      <c r="B55" s="500" t="n"/>
      <c r="C55" s="538">
        <f>B55</f>
        <v/>
      </c>
      <c r="D55" s="538">
        <f>C55</f>
        <v/>
      </c>
      <c r="E55" s="538">
        <f>D55</f>
        <v/>
      </c>
      <c r="F55" s="538">
        <f>CHOOSE(MATCH(B$2,{"Actuals (T-12)","2. My Version","3. Projected","4. Offer"},0),B55,C55,D55,E55)</f>
        <v/>
      </c>
      <c r="G55" s="427" t="n"/>
      <c r="H55" s="429" t="inlineStr">
        <is>
          <t>MC typically tighter</t>
        </is>
      </c>
      <c r="I55" s="427" t="n"/>
      <c r="J55" s="427" t="n"/>
      <c r="K55" s="427" t="n"/>
    </row>
    <row r="56" ht="18" customHeight="1" s="817">
      <c r="A56" s="430" t="inlineStr">
        <is>
          <t xml:space="preserve">  Blended Vacancy % (GPR-Wtd)</t>
        </is>
      </c>
      <c r="B56" s="539">
        <f>IFERROR((B53*B48+B54*B49+B55*B50)/B51,0)</f>
        <v/>
      </c>
      <c r="C56" s="539">
        <f>IFERROR((C53*C48+C54*C49+C55*C50)/C51,0)</f>
        <v/>
      </c>
      <c r="D56" s="539">
        <f>IFERROR((D53*D48+D54*D49+D55*D50)/D51,0)</f>
        <v/>
      </c>
      <c r="E56" s="539">
        <f>IFERROR((E53*E48+E54*E49+E55*E50)/E51,0)</f>
        <v/>
      </c>
      <c r="F56" s="539">
        <f>CHOOSE(MATCH(B$2,{"Actuals (T-12)","2. My Version","3. Projected","4. Offer"},0),B56,C56,D56,E56)</f>
        <v/>
      </c>
      <c r="G56" s="427" t="n"/>
      <c r="H56" s="429" t="inlineStr">
        <is>
          <t>GPR-weighted: (IL_vac%×IL_GPR + AL%×AL_GPR + MC%×MC_GPR) ÷ Total_GPR</t>
        </is>
      </c>
      <c r="I56" s="427" t="n"/>
      <c r="J56" s="427" t="n"/>
      <c r="K56" s="427" t="n"/>
    </row>
    <row r="57" ht="18" customHeight="1" s="817">
      <c r="A57" s="427" t="inlineStr">
        <is>
          <t xml:space="preserve">  Vacancy ($)</t>
        </is>
      </c>
      <c r="B57" s="909">
        <f>-B56*B51</f>
        <v/>
      </c>
      <c r="C57" s="909">
        <f>-C56*C51</f>
        <v/>
      </c>
      <c r="D57" s="909">
        <f>-D56*D51</f>
        <v/>
      </c>
      <c r="E57" s="909">
        <f>-E56*E51</f>
        <v/>
      </c>
      <c r="F57" s="909">
        <f>CHOOSE(MATCH(B$2,{"Actuals (T-12)","2. My Version","3. Projected","4. Offer"},0),B57,C57,D57,E57)</f>
        <v/>
      </c>
      <c r="G57" s="573">
        <f>IFERROR(F57/F$51,0)</f>
        <v/>
      </c>
      <c r="H57" s="576" t="inlineStr">
        <is>
          <t>Vacancy $ = blended vac% × Total GPR (negative)</t>
        </is>
      </c>
      <c r="I57" s="427" t="n"/>
      <c r="J57" s="427" t="n"/>
      <c r="K57" s="427" t="n"/>
    </row>
    <row r="58" ht="18" customHeight="1" s="817">
      <c r="A58" s="427" t="inlineStr">
        <is>
          <t xml:space="preserve">  Loss to Lease %</t>
        </is>
      </c>
      <c r="B58" s="500" t="n"/>
      <c r="C58" s="538">
        <f>B58</f>
        <v/>
      </c>
      <c r="D58" s="538">
        <f>C58</f>
        <v/>
      </c>
      <c r="E58" s="538">
        <f>D58</f>
        <v/>
      </c>
      <c r="F58" s="538">
        <f>CHOOSE(MATCH(B$2,{"Actuals (T-12)","2. My Version","3. Projected","4. Offer"},0),B58,C58,D58,E58)</f>
        <v/>
      </c>
      <c r="G58" s="427" t="n"/>
      <c r="H58" s="575" t="inlineStr">
        <is>
          <t>Loss-to-lease: rate concessions vs market rate</t>
        </is>
      </c>
      <c r="I58" s="427" t="n"/>
      <c r="J58" s="427" t="n"/>
      <c r="K58" s="427" t="n"/>
    </row>
    <row r="59" ht="18" customHeight="1" s="817">
      <c r="A59" s="427" t="inlineStr">
        <is>
          <t xml:space="preserve">  Loss to Lease ($)</t>
        </is>
      </c>
      <c r="B59" s="909">
        <f>-B58*B51</f>
        <v/>
      </c>
      <c r="C59" s="909">
        <f>-C58*C51</f>
        <v/>
      </c>
      <c r="D59" s="909">
        <f>-D58*D51</f>
        <v/>
      </c>
      <c r="E59" s="909">
        <f>-E58*E51</f>
        <v/>
      </c>
      <c r="F59" s="909">
        <f>CHOOSE(MATCH(B$2,{"Actuals (T-12)","2. My Version","3. Projected","4. Offer"},0),B59,C59,D59,E59)</f>
        <v/>
      </c>
      <c r="G59" s="574">
        <f>IFERROR(F59/F$51,0)</f>
        <v/>
      </c>
      <c r="H59" s="576" t="inlineStr">
        <is>
          <t>Loss to lease $ = -LtL% × Total GPR</t>
        </is>
      </c>
      <c r="I59" s="427" t="n"/>
      <c r="J59" s="427" t="n"/>
      <c r="K59" s="427" t="n"/>
    </row>
    <row r="60" ht="18" customHeight="1" s="817">
      <c r="A60" s="427" t="inlineStr">
        <is>
          <t xml:space="preserve">  Concessions / Bad Debt %</t>
        </is>
      </c>
      <c r="B60" s="506" t="n"/>
      <c r="C60" s="538">
        <f>B60</f>
        <v/>
      </c>
      <c r="D60" s="538">
        <f>C60</f>
        <v/>
      </c>
      <c r="E60" s="538">
        <f>D60</f>
        <v/>
      </c>
      <c r="F60" s="538">
        <f>CHOOSE(MATCH(B$2,{"Actuals (T-12)","2. My Version","3. Projected","4. Offer"},0),B60,C60,D60,E60)</f>
        <v/>
      </c>
      <c r="G60" s="427" t="n"/>
      <c r="H60" s="575" t="inlineStr">
        <is>
          <t>Concessions/bad debt: 1-3% of GPR typical</t>
        </is>
      </c>
      <c r="I60" s="427" t="n"/>
      <c r="J60" s="427" t="n"/>
      <c r="K60" s="427" t="n"/>
    </row>
    <row r="61" ht="18" customHeight="1" s="817">
      <c r="A61" s="427" t="inlineStr">
        <is>
          <t xml:space="preserve">  Concessions / Bad Debt ($)</t>
        </is>
      </c>
      <c r="B61" s="909">
        <f>-B60*B51</f>
        <v/>
      </c>
      <c r="C61" s="909">
        <f>-C60*C51</f>
        <v/>
      </c>
      <c r="D61" s="909">
        <f>-D60*D51</f>
        <v/>
      </c>
      <c r="E61" s="909">
        <f>-E60*E51</f>
        <v/>
      </c>
      <c r="F61" s="909">
        <f>CHOOSE(MATCH(B$2,{"Actuals (T-12)","2. My Version","3. Projected","4. Offer"},0),B61,C61,D61,E61)</f>
        <v/>
      </c>
      <c r="G61" s="573">
        <f>IFERROR(F61/F$51,0)</f>
        <v/>
      </c>
      <c r="H61" s="576" t="inlineStr">
        <is>
          <t>Concessions $ = -Conc% × Total GPR</t>
        </is>
      </c>
      <c r="I61" s="427" t="n"/>
      <c r="J61" s="427" t="n"/>
      <c r="K61" s="427" t="n"/>
    </row>
    <row r="62" ht="18" customHeight="1" s="817">
      <c r="A62" s="427" t="inlineStr">
        <is>
          <t xml:space="preserve">  Care Services Fees %</t>
        </is>
      </c>
      <c r="B62" s="500" t="n"/>
      <c r="C62" s="538">
        <f>B62</f>
        <v/>
      </c>
      <c r="D62" s="538">
        <f>C62</f>
        <v/>
      </c>
      <c r="E62" s="538">
        <f>D62</f>
        <v/>
      </c>
      <c r="F62" s="538">
        <f>CHOOSE(MATCH(B$2,{"Actuals (T-12)","2. My Version","3. Projected","4. Offer"},0),B62,C62,D62,E62)</f>
        <v/>
      </c>
      <c r="G62" s="427" t="n"/>
      <c r="H62" s="575" t="inlineStr">
        <is>
          <t>Care services upcharges by acuity level</t>
        </is>
      </c>
      <c r="I62" s="434" t="n"/>
      <c r="J62" s="427" t="n"/>
      <c r="K62" s="427" t="n"/>
    </row>
    <row r="63" ht="18" customHeight="1" s="817">
      <c r="A63" s="427" t="inlineStr">
        <is>
          <t xml:space="preserve">  Care Services Fees ($)</t>
        </is>
      </c>
      <c r="B63" s="909">
        <f>B62*B51</f>
        <v/>
      </c>
      <c r="C63" s="909">
        <f>C62*C51</f>
        <v/>
      </c>
      <c r="D63" s="909">
        <f>D62*D51</f>
        <v/>
      </c>
      <c r="E63" s="909">
        <f>E62*E51</f>
        <v/>
      </c>
      <c r="F63" s="909">
        <f>CHOOSE(MATCH(B$2,{"Actuals (T-12)","2. My Version","3. Projected","4. Offer"},0),B63,C63,D63,E63)</f>
        <v/>
      </c>
      <c r="G63" s="574">
        <f>IFERROR(F63/F$51,0)</f>
        <v/>
      </c>
      <c r="H63" s="576" t="inlineStr">
        <is>
          <t>Care services $ = % × Total GPR (positive add-back)</t>
        </is>
      </c>
      <c r="I63" s="427" t="n"/>
      <c r="J63" s="427" t="n"/>
      <c r="K63" s="427" t="n"/>
    </row>
    <row r="64" ht="18" customHeight="1" s="817">
      <c r="A64" s="427" t="inlineStr">
        <is>
          <t xml:space="preserve">  2nd Person Revenue</t>
        </is>
      </c>
      <c r="B64" s="913" t="n"/>
      <c r="C64" s="909">
        <f>B64</f>
        <v/>
      </c>
      <c r="D64" s="909">
        <f>C64</f>
        <v/>
      </c>
      <c r="E64" s="909">
        <f>D64</f>
        <v/>
      </c>
      <c r="F64" s="909">
        <f>CHOOSE(MATCH(B$2,{"Actuals (T-12)","2. My Version","3. Projected","4. Offer"},0),B64,C64,D64,E64)</f>
        <v/>
      </c>
      <c r="G64" s="573">
        <f>IFERROR(F64/F$66,0)</f>
        <v/>
      </c>
      <c r="H64" s="429" t="inlineStr">
        <is>
          <t>Spousal/couples fee</t>
        </is>
      </c>
      <c r="I64" s="427" t="n"/>
      <c r="J64" s="427" t="n"/>
      <c r="K64" s="427" t="n"/>
    </row>
    <row r="65" ht="18" customHeight="1" s="817">
      <c r="A65" s="427" t="inlineStr">
        <is>
          <t xml:space="preserve">  Other Income</t>
        </is>
      </c>
      <c r="B65" s="913" t="n"/>
      <c r="C65" s="909">
        <f>B65</f>
        <v/>
      </c>
      <c r="D65" s="909">
        <f>C65</f>
        <v/>
      </c>
      <c r="E65" s="909">
        <f>D65</f>
        <v/>
      </c>
      <c r="F65" s="909">
        <f>CHOOSE(MATCH(B$2,{"Actuals (T-12)","2. My Version","3. Projected","4. Offer"},0),B65,C65,D65,E65)</f>
        <v/>
      </c>
      <c r="G65" s="574">
        <f>IFERROR(F65/F$66,0)</f>
        <v/>
      </c>
      <c r="H65" s="429" t="inlineStr">
        <is>
          <t>Ancillary services, beauty, etc.</t>
        </is>
      </c>
      <c r="I65" s="427" t="n"/>
      <c r="J65" s="427" t="n"/>
      <c r="K65" s="427" t="n"/>
    </row>
    <row r="66" ht="18" customHeight="1" s="817">
      <c r="A66" s="432" t="inlineStr">
        <is>
          <t>EFFECTIVE GROSS INCOME</t>
        </is>
      </c>
      <c r="B66" s="914">
        <f>B51+B57+B59+B61+B63+B64+B65</f>
        <v/>
      </c>
      <c r="C66" s="914">
        <f>C51+C57+C59+C61+C63+C64+C65</f>
        <v/>
      </c>
      <c r="D66" s="914">
        <f>D51+D57+D59+D61+D63+D64+D65</f>
        <v/>
      </c>
      <c r="E66" s="914">
        <f>E51+E57+E59+E61+E63+E64+E65</f>
        <v/>
      </c>
      <c r="F66" s="914">
        <f>CHOOSE(MATCH(B$2,{"Actuals (T-12)","2. My Version","3. Projected","4. Offer"},0),B66,C66,D66,E66)</f>
        <v/>
      </c>
      <c r="G66" s="912">
        <f>IFERROR(F66/F$71/12,0)</f>
        <v/>
      </c>
      <c r="H66" s="575" t="inlineStr">
        <is>
          <t>EGI = GPR less vacancy/LtL/conc plus care/2P/other</t>
        </is>
      </c>
      <c r="I66" s="427" t="n"/>
      <c r="J66" s="427" t="n"/>
      <c r="K66" s="427" t="n"/>
    </row>
    <row r="67" ht="18" customHeight="1" s="817">
      <c r="A67" s="428" t="inlineStr">
        <is>
          <t>── OCCUPIED BEDS BY CARE LEVEL ──</t>
        </is>
      </c>
      <c r="B67" s="536" t="n"/>
      <c r="C67" s="536" t="n"/>
      <c r="D67" s="536" t="n"/>
      <c r="E67" s="536" t="n"/>
      <c r="F67" s="536" t="n"/>
      <c r="G67" s="427" t="n"/>
      <c r="H67" s="576" t="inlineStr">
        <is>
          <t>Occupied beds = Licensed beds × (1 − vacancy%)</t>
        </is>
      </c>
      <c r="I67" s="427" t="n"/>
      <c r="J67" s="427" t="n"/>
      <c r="K67" s="427" t="n"/>
    </row>
    <row r="68" ht="18" customHeight="1" s="817">
      <c r="A68" s="427" t="inlineStr">
        <is>
          <t xml:space="preserve">  Occupied Beds — IL</t>
        </is>
      </c>
      <c r="B68" s="532">
        <f>ROUND(B39*(1-B53),0)</f>
        <v/>
      </c>
      <c r="C68" s="532">
        <f>ROUND(C39*(1-C53),0)</f>
        <v/>
      </c>
      <c r="D68" s="532">
        <f>ROUND(D39*(1-D53),0)</f>
        <v/>
      </c>
      <c r="E68" s="532">
        <f>ROUND(E39*(1-E53),0)</f>
        <v/>
      </c>
      <c r="F68" s="532">
        <f>CHOOSE(MATCH(B$2,{"Actuals (T-12)","2. My Version","3. Projected","4. Offer"},0),B68,C68,D68,E68)</f>
        <v/>
      </c>
      <c r="G68" s="427" t="n"/>
      <c r="H68" s="575" t="inlineStr">
        <is>
          <t>IL occupied = IL beds × (1 − IL vac%)</t>
        </is>
      </c>
      <c r="I68" s="427" t="n"/>
      <c r="J68" s="427" t="n"/>
      <c r="K68" s="427" t="n"/>
    </row>
    <row r="69" ht="18" customHeight="1" s="817">
      <c r="A69" s="427" t="inlineStr">
        <is>
          <t xml:space="preserve">  Occupied Beds — AL</t>
        </is>
      </c>
      <c r="B69" s="532">
        <f>ROUND(B40*(1-B54),0)</f>
        <v/>
      </c>
      <c r="C69" s="532">
        <f>ROUND(C40*(1-C54),0)</f>
        <v/>
      </c>
      <c r="D69" s="532">
        <f>ROUND(D40*(1-D54),0)</f>
        <v/>
      </c>
      <c r="E69" s="532">
        <f>ROUND(E40*(1-E54),0)</f>
        <v/>
      </c>
      <c r="F69" s="532">
        <f>CHOOSE(MATCH(B$2,{"Actuals (T-12)","2. My Version","3. Projected","4. Offer"},0),B69,C69,D69,E69)</f>
        <v/>
      </c>
      <c r="G69" s="427" t="n"/>
      <c r="H69" s="576" t="inlineStr">
        <is>
          <t>AL occupied = AL beds × (1 − AL vac%)</t>
        </is>
      </c>
      <c r="I69" s="427" t="n"/>
      <c r="J69" s="427" t="n"/>
      <c r="K69" s="427" t="n"/>
    </row>
    <row r="70" ht="18" customHeight="1" s="817">
      <c r="A70" s="427" t="inlineStr">
        <is>
          <t xml:space="preserve">  Occupied Beds — MC</t>
        </is>
      </c>
      <c r="B70" s="532">
        <f>ROUND(B41*(1-B55),0)</f>
        <v/>
      </c>
      <c r="C70" s="532">
        <f>ROUND(C41*(1-C55),0)</f>
        <v/>
      </c>
      <c r="D70" s="532">
        <f>ROUND(D41*(1-D55),0)</f>
        <v/>
      </c>
      <c r="E70" s="532">
        <f>ROUND(E41*(1-E55),0)</f>
        <v/>
      </c>
      <c r="F70" s="532">
        <f>CHOOSE(MATCH(B$2,{"Actuals (T-12)","2. My Version","3. Projected","4. Offer"},0),B70,C70,D70,E70)</f>
        <v/>
      </c>
      <c r="G70" s="427" t="n"/>
      <c r="H70" s="575" t="inlineStr">
        <is>
          <t>MC occupied = MC beds × (1 − MC vac%)</t>
        </is>
      </c>
      <c r="I70" s="427" t="n"/>
      <c r="J70" s="427" t="n"/>
      <c r="K70" s="427" t="n"/>
    </row>
    <row r="71">
      <c r="A71" s="430" t="inlineStr">
        <is>
          <t>Total Occupied Beds</t>
        </is>
      </c>
      <c r="B71" s="541">
        <f>B68+B69+B70</f>
        <v/>
      </c>
      <c r="C71" s="541">
        <f>C68+C69+C70</f>
        <v/>
      </c>
      <c r="D71" s="541">
        <f>D68+D69+D70</f>
        <v/>
      </c>
      <c r="E71" s="541">
        <f>E68+E69+E70</f>
        <v/>
      </c>
      <c r="F71" s="541">
        <f>CHOOSE(MATCH(B$2,{"Actuals (T-12)","2. My Version","3. Projected","4. Offer"},0),B71,C71,D71,E71)</f>
        <v/>
      </c>
      <c r="G71" s="427" t="n"/>
      <c r="H71" s="576" t="inlineStr">
        <is>
          <t>Total occupied beds — drives census-based metrics</t>
        </is>
      </c>
      <c r="I71" s="427" t="n"/>
      <c r="J71" s="427" t="n"/>
      <c r="K71" s="427" t="n"/>
    </row>
    <row r="72" ht="24" customHeight="1" s="817">
      <c r="A72" s="838" t="inlineStr">
        <is>
          <t>EXPENSES (YEAR 1)</t>
        </is>
      </c>
      <c r="I72" s="427" t="n"/>
      <c r="J72" s="427" t="n"/>
      <c r="K72" s="427" t="n"/>
    </row>
    <row r="73" ht="18" customHeight="1" s="817">
      <c r="A73" s="435" t="inlineStr">
        <is>
          <t>Line Item</t>
        </is>
      </c>
      <c r="B73" s="499" t="inlineStr">
        <is>
          <t>Actuals (T-12)</t>
        </is>
      </c>
      <c r="C73" s="435" t="inlineStr">
        <is>
          <t>2. My Version</t>
        </is>
      </c>
      <c r="D73" s="435" t="inlineStr">
        <is>
          <t>3. Projected</t>
        </is>
      </c>
      <c r="E73" s="435" t="inlineStr">
        <is>
          <t>4. Offer</t>
        </is>
      </c>
      <c r="F73" s="435" t="inlineStr">
        <is>
          <t>Active Scenario</t>
        </is>
      </c>
      <c r="G73" s="435" t="inlineStr">
        <is>
          <t>$/Bed | % EGI</t>
        </is>
      </c>
      <c r="H73" s="435" t="inlineStr">
        <is>
          <t>Notes</t>
        </is>
      </c>
      <c r="I73" s="427" t="n"/>
      <c r="J73" s="427" t="n"/>
      <c r="K73" s="427" t="n"/>
    </row>
    <row r="74" ht="18" customHeight="1" s="817">
      <c r="A74" s="496" t="inlineStr">
        <is>
          <t>── DIRECT LABOR ──</t>
        </is>
      </c>
      <c r="B74" s="437" t="n"/>
      <c r="C74" s="437" t="n"/>
      <c r="D74" s="437" t="n"/>
      <c r="E74" s="437" t="n"/>
      <c r="F74" s="438" t="n"/>
      <c r="G74" s="439" t="inlineStr"/>
      <c r="H74" s="440" t="n"/>
      <c r="I74" s="441" t="n"/>
      <c r="J74" s="427" t="n"/>
      <c r="K74" s="427" t="n"/>
    </row>
    <row r="75" outlineLevel="2" ht="18" customHeight="1" s="817">
      <c r="A75" s="442" t="inlineStr">
        <is>
          <t xml:space="preserve">  Care staff labor (AL / MC / IL)</t>
        </is>
      </c>
      <c r="B75" s="915" t="n"/>
      <c r="C75" s="443">
        <f>B75</f>
        <v/>
      </c>
      <c r="D75" s="443">
        <f>C75</f>
        <v/>
      </c>
      <c r="E75" s="443">
        <f>D75</f>
        <v/>
      </c>
      <c r="F75" s="438">
        <f>CHOOSE(MATCH(B$2,{"Actuals (T-12)","2. My Version","3. Projected","4. Offer"},0),B75,C75,D75,E75)</f>
        <v/>
      </c>
      <c r="G75" s="580">
        <f>IFERROR(F75/F$66,0)</f>
        <v/>
      </c>
      <c r="H75" s="577" t="inlineStr">
        <is>
          <t>Care labor: 20-30% EGI — largest line; tracks acuity &amp; ratios</t>
        </is>
      </c>
      <c r="I75" s="441" t="n"/>
      <c r="J75" s="427" t="n"/>
      <c r="K75" s="427" t="n"/>
    </row>
    <row r="76" outlineLevel="2" ht="18" customHeight="1" s="817">
      <c r="A76" s="436" t="inlineStr">
        <is>
          <t xml:space="preserve">  Wellness / care coordinators</t>
        </is>
      </c>
      <c r="B76" s="916" t="n"/>
      <c r="C76" s="437">
        <f>B76</f>
        <v/>
      </c>
      <c r="D76" s="437">
        <f>C76</f>
        <v/>
      </c>
      <c r="E76" s="437">
        <f>D76</f>
        <v/>
      </c>
      <c r="F76" s="438">
        <f>CHOOSE(MATCH(B$2,{"Actuals (T-12)","2. My Version","3. Projected","4. Offer"},0),B76,C76,D76,E76)</f>
        <v/>
      </c>
      <c r="G76" s="581">
        <f>IFERROR(F76/F$66,0)</f>
        <v/>
      </c>
      <c r="H76" s="578" t="inlineStr">
        <is>
          <t>Wellness/nursing leads: 2-4% EGI — RN/LPN salaries</t>
        </is>
      </c>
      <c r="I76" s="441" t="n"/>
      <c r="J76" s="427" t="n"/>
      <c r="K76" s="427" t="n"/>
    </row>
    <row r="77" outlineLevel="2" ht="18" customHeight="1" s="817">
      <c r="A77" s="442" t="inlineStr">
        <is>
          <t xml:space="preserve">  Contract / agency labor</t>
        </is>
      </c>
      <c r="B77" s="915" t="n"/>
      <c r="C77" s="443">
        <f>B77</f>
        <v/>
      </c>
      <c r="D77" s="443">
        <f>C77</f>
        <v/>
      </c>
      <c r="E77" s="443">
        <f>D77</f>
        <v/>
      </c>
      <c r="F77" s="438">
        <f>CHOOSE(MATCH(B$2,{"Actuals (T-12)","2. My Version","3. Projected","4. Offer"},0),B77,C77,D77,E77)</f>
        <v/>
      </c>
      <c r="G77" s="580">
        <f>IFERROR(F77/F$66,0)</f>
        <v/>
      </c>
      <c r="H77" s="577" t="inlineStr">
        <is>
          <t>Agency labor: 0-5% EGI stabilized; can spike 5-15% in lease-up</t>
        </is>
      </c>
      <c r="I77" s="441" t="n"/>
      <c r="J77" s="427" t="n"/>
      <c r="K77" s="427" t="n"/>
    </row>
    <row r="78" outlineLevel="2" ht="18" customHeight="1" s="817">
      <c r="A78" s="436" t="inlineStr">
        <is>
          <t xml:space="preserve">  Activities labor</t>
        </is>
      </c>
      <c r="B78" s="916" t="n"/>
      <c r="C78" s="437">
        <f>B78</f>
        <v/>
      </c>
      <c r="D78" s="437">
        <f>C78</f>
        <v/>
      </c>
      <c r="E78" s="437">
        <f>D78</f>
        <v/>
      </c>
      <c r="F78" s="438">
        <f>CHOOSE(MATCH(B$2,{"Actuals (T-12)","2. My Version","3. Projected","4. Offer"},0),B78,C78,D78,E78)</f>
        <v/>
      </c>
      <c r="G78" s="581">
        <f>IFERROR(F78/F$66,0)</f>
        <v/>
      </c>
      <c r="H78" s="578" t="inlineStr">
        <is>
          <t>Activities labor: 1-2% EGI — life enrichment program</t>
        </is>
      </c>
      <c r="I78" s="441" t="n"/>
      <c r="J78" s="427" t="n"/>
      <c r="K78" s="427" t="n"/>
    </row>
    <row r="79" outlineLevel="2" ht="18" customHeight="1" s="817">
      <c r="A79" s="442" t="inlineStr">
        <is>
          <t xml:space="preserve">  Dining / food service labor</t>
        </is>
      </c>
      <c r="B79" s="915" t="n"/>
      <c r="C79" s="443">
        <f>B79</f>
        <v/>
      </c>
      <c r="D79" s="443">
        <f>C79</f>
        <v/>
      </c>
      <c r="E79" s="443">
        <f>D79</f>
        <v/>
      </c>
      <c r="F79" s="438">
        <f>CHOOSE(MATCH(B$2,{"Actuals (T-12)","2. My Version","3. Projected","4. Offer"},0),B79,C79,D79,E79)</f>
        <v/>
      </c>
      <c r="G79" s="580">
        <f>IFERROR(F79/F$66,0)</f>
        <v/>
      </c>
      <c r="H79" s="577" t="inlineStr">
        <is>
          <t>Dining labor: 4-6% EGI — chef, cooks, servers, dishwashers</t>
        </is>
      </c>
      <c r="I79" s="441" t="n"/>
      <c r="J79" s="427" t="n"/>
      <c r="K79" s="427" t="n"/>
    </row>
    <row r="80" outlineLevel="2" ht="18" customHeight="1" s="817">
      <c r="A80" s="436" t="inlineStr">
        <is>
          <t xml:space="preserve">  Maintenance &amp; housekeeping labor</t>
        </is>
      </c>
      <c r="B80" s="916" t="n"/>
      <c r="C80" s="437">
        <f>B80</f>
        <v/>
      </c>
      <c r="D80" s="437">
        <f>C80</f>
        <v/>
      </c>
      <c r="E80" s="437">
        <f>D80</f>
        <v/>
      </c>
      <c r="F80" s="438">
        <f>CHOOSE(MATCH(B$2,{"Actuals (T-12)","2. My Version","3. Projected","4. Offer"},0),B80,C80,D80,E80)</f>
        <v/>
      </c>
      <c r="G80" s="581">
        <f>IFERROR(F80/F$66,0)</f>
        <v/>
      </c>
      <c r="H80" s="578" t="inlineStr">
        <is>
          <t>Maintenance &amp; housekeeping labor: 2-4% EGI</t>
        </is>
      </c>
      <c r="I80" s="441" t="n"/>
      <c r="J80" s="427" t="n"/>
      <c r="K80" s="427" t="n"/>
    </row>
    <row r="81" outlineLevel="2" ht="24.75" customHeight="1" s="817">
      <c r="A81" s="442" t="inlineStr">
        <is>
          <t xml:space="preserve">  Administrative labor</t>
        </is>
      </c>
      <c r="B81" s="915" t="n"/>
      <c r="C81" s="443">
        <f>B81</f>
        <v/>
      </c>
      <c r="D81" s="443">
        <f>C81</f>
        <v/>
      </c>
      <c r="E81" s="443">
        <f>D81</f>
        <v/>
      </c>
      <c r="F81" s="438">
        <f>CHOOSE(MATCH(B$2,{"Actuals (T-12)","2. My Version","3. Projected","4. Offer"},0),B81,C81,D81,E81)</f>
        <v/>
      </c>
      <c r="G81" s="580">
        <f>IFERROR(F81/F$66,0)</f>
        <v/>
      </c>
      <c r="H81" s="577" t="inlineStr">
        <is>
          <t>Administrative labor: 3-5% EGI — ED, business office, sales</t>
        </is>
      </c>
      <c r="I81" s="441" t="n"/>
      <c r="J81" s="427" t="n"/>
      <c r="K81" s="427" t="n"/>
    </row>
    <row r="82" outlineLevel="2" ht="24" customHeight="1" s="817">
      <c r="A82" s="436" t="inlineStr">
        <is>
          <t xml:space="preserve">  Bonus wages</t>
        </is>
      </c>
      <c r="B82" s="916" t="n"/>
      <c r="C82" s="445">
        <f>B82</f>
        <v/>
      </c>
      <c r="D82" s="445">
        <f>C82</f>
        <v/>
      </c>
      <c r="E82" s="445">
        <f>D82</f>
        <v/>
      </c>
      <c r="F82" s="438">
        <f>CHOOSE(MATCH(B$2,{"Actuals (T-12)","2. My Version","3. Projected","4. Offer"},0),B82,C82,D82,E82)</f>
        <v/>
      </c>
      <c r="G82" s="581">
        <f>IFERROR(F82/F$66,0)</f>
        <v/>
      </c>
      <c r="H82" s="578" t="inlineStr">
        <is>
          <t>Bonus wages: 0-1% EGI — incentive comp</t>
        </is>
      </c>
      <c r="I82" s="446" t="n"/>
      <c r="J82" s="427" t="n"/>
      <c r="K82" s="427" t="n"/>
    </row>
    <row r="83" ht="15.75" customHeight="1" s="817">
      <c r="A83" s="497" t="inlineStr">
        <is>
          <t>Total Direct Labor</t>
        </is>
      </c>
      <c r="B83" s="917">
        <f>SUM(B75:B82)</f>
        <v/>
      </c>
      <c r="C83" s="447">
        <f>SUM(C75:C82)</f>
        <v/>
      </c>
      <c r="D83" s="447">
        <f>SUM(D75:D82)</f>
        <v/>
      </c>
      <c r="E83" s="447">
        <f>SUM(E75:E82)</f>
        <v/>
      </c>
      <c r="F83" s="438">
        <f>CHOOSE(MATCH(B$2,{"Actuals (T-12)","2. My Version","3. Projected","4. Offer"},0),B83,C83,D83,E83)</f>
        <v/>
      </c>
      <c r="G83" s="582">
        <f>IFERROR(F83/F$66,0)</f>
        <v/>
      </c>
      <c r="H83" s="577" t="inlineStr">
        <is>
          <t>Total Direct Labor: 35-45% EGI stabilized AL/MC</t>
        </is>
      </c>
      <c r="I83" s="441" t="n"/>
      <c r="J83" s="427" t="n"/>
      <c r="K83" s="427" t="n"/>
    </row>
    <row r="84" ht="19.5" customHeight="1" s="817">
      <c r="A84" s="496" t="inlineStr">
        <is>
          <t>── PAYROLL BURDEN ──</t>
        </is>
      </c>
      <c r="B84" s="437" t="n"/>
      <c r="C84" s="437" t="n"/>
      <c r="D84" s="437" t="n"/>
      <c r="E84" s="437" t="n"/>
      <c r="F84" s="438" t="n"/>
      <c r="G84" s="583" t="n"/>
      <c r="H84" s="440" t="n"/>
      <c r="I84" s="441" t="n"/>
      <c r="J84" s="427" t="n"/>
      <c r="K84" s="427" t="n"/>
    </row>
    <row r="85" outlineLevel="2" ht="18" customHeight="1" s="817">
      <c r="A85" s="442" t="inlineStr">
        <is>
          <t xml:space="preserve">  Overtime wages</t>
        </is>
      </c>
      <c r="B85" s="915" t="n"/>
      <c r="C85" s="443">
        <f>B85</f>
        <v/>
      </c>
      <c r="D85" s="443">
        <f>C85</f>
        <v/>
      </c>
      <c r="E85" s="443">
        <f>D85</f>
        <v/>
      </c>
      <c r="F85" s="438">
        <f>CHOOSE(MATCH(B$2,{"Actuals (T-12)","2. My Version","3. Projected","4. Offer"},0),B85,C85,D85,E85)</f>
        <v/>
      </c>
      <c r="G85" s="581">
        <f>IFERROR(F85/F$66,0)</f>
        <v/>
      </c>
      <c r="H85" s="577" t="inlineStr">
        <is>
          <t>Overtime: 1-3% EGI — agency/turnover leading indicator</t>
        </is>
      </c>
      <c r="I85" s="441" t="n"/>
      <c r="J85" s="427" t="n"/>
      <c r="K85" s="427" t="n"/>
    </row>
    <row r="86" outlineLevel="2" ht="18" customHeight="1" s="817">
      <c r="A86" s="436" t="inlineStr">
        <is>
          <t xml:space="preserve">  PTO wages</t>
        </is>
      </c>
      <c r="B86" s="916" t="n"/>
      <c r="C86" s="437">
        <f>B86</f>
        <v/>
      </c>
      <c r="D86" s="437">
        <f>C86</f>
        <v/>
      </c>
      <c r="E86" s="437">
        <f>D86</f>
        <v/>
      </c>
      <c r="F86" s="438">
        <f>CHOOSE(MATCH(B$2,{"Actuals (T-12)","2. My Version","3. Projected","4. Offer"},0),B86,C86,D86,E86)</f>
        <v/>
      </c>
      <c r="G86" s="580">
        <f>IFERROR(F86/F$66,0)</f>
        <v/>
      </c>
      <c r="H86" s="578" t="inlineStr">
        <is>
          <t>PTO accrual: 1-2% EGI — vacation/sick wages</t>
        </is>
      </c>
      <c r="I86" s="441" t="n"/>
      <c r="J86" s="427" t="n"/>
      <c r="K86" s="427" t="n"/>
    </row>
    <row r="87" outlineLevel="2" ht="18" customHeight="1" s="817">
      <c r="A87" s="442" t="inlineStr">
        <is>
          <t xml:space="preserve">  Payroll taxes</t>
        </is>
      </c>
      <c r="B87" s="915" t="n"/>
      <c r="C87" s="443">
        <f>B87</f>
        <v/>
      </c>
      <c r="D87" s="443">
        <f>C87</f>
        <v/>
      </c>
      <c r="E87" s="443">
        <f>D87</f>
        <v/>
      </c>
      <c r="F87" s="438">
        <f>CHOOSE(MATCH(B$2,{"Actuals (T-12)","2. My Version","3. Projected","4. Offer"},0),B87,C87,D87,E87)</f>
        <v/>
      </c>
      <c r="G87" s="581">
        <f>IFERROR(F87/F$66,0)</f>
        <v/>
      </c>
      <c r="H87" s="579" t="inlineStr">
        <is>
          <t>Payroll taxes: 3-4% EGI (~8-10% of wages: FICA/SUTA/FUTA)</t>
        </is>
      </c>
      <c r="I87" s="448" t="n"/>
      <c r="J87" s="427" t="n"/>
      <c r="K87" s="427" t="n"/>
    </row>
    <row r="88" outlineLevel="2" ht="18" customHeight="1" s="817">
      <c r="A88" s="436" t="inlineStr">
        <is>
          <t xml:space="preserve">  Employee benefits (health/dental/vision)</t>
        </is>
      </c>
      <c r="B88" s="916" t="n"/>
      <c r="C88" s="437">
        <f>B88</f>
        <v/>
      </c>
      <c r="D88" s="437">
        <f>C88</f>
        <v/>
      </c>
      <c r="E88" s="437">
        <f>D88</f>
        <v/>
      </c>
      <c r="F88" s="438">
        <f>CHOOSE(MATCH(B$2,{"Actuals (T-12)","2. My Version","3. Projected","4. Offer"},0),B88,C88,D88,E88)</f>
        <v/>
      </c>
      <c r="G88" s="580">
        <f>IFERROR(F88/F$66,0)</f>
        <v/>
      </c>
      <c r="H88" s="578" t="inlineStr">
        <is>
          <t>Health/dental/vision: 4-7% EGI (15-25% of base wages)</t>
        </is>
      </c>
      <c r="I88" s="441" t="n"/>
      <c r="J88" s="427" t="n"/>
      <c r="K88" s="427" t="n"/>
    </row>
    <row r="89" outlineLevel="2" ht="18" customHeight="1" s="817">
      <c r="A89" s="436" t="inlineStr">
        <is>
          <t xml:space="preserve">  Workers' comp insurance</t>
        </is>
      </c>
      <c r="B89" s="916" t="n"/>
      <c r="C89" s="437">
        <f>B89</f>
        <v/>
      </c>
      <c r="D89" s="437">
        <f>C89</f>
        <v/>
      </c>
      <c r="E89" s="437">
        <f>D89</f>
        <v/>
      </c>
      <c r="F89" s="438">
        <f>CHOOSE(MATCH(B$2,{"Actuals (T-12)","2. My Version","3. Projected","4. Offer"},0),B89,C89,D89,E89)</f>
        <v/>
      </c>
      <c r="G89" s="581">
        <f>IFERROR(F89/F$66,0)</f>
        <v/>
      </c>
      <c r="H89" s="577" t="inlineStr">
        <is>
          <t>Workers' comp: 1-2% EGI (2-5% of wages; high in care)</t>
        </is>
      </c>
      <c r="I89" s="441" t="n"/>
      <c r="J89" s="427" t="n"/>
      <c r="K89" s="427" t="n"/>
    </row>
    <row r="90" outlineLevel="2" ht="18" customHeight="1" s="817">
      <c r="A90" s="436" t="inlineStr">
        <is>
          <t xml:space="preserve">  Employee 401(k) / retirement</t>
        </is>
      </c>
      <c r="B90" s="916" t="n"/>
      <c r="C90" s="437">
        <f>B90</f>
        <v/>
      </c>
      <c r="D90" s="437">
        <f>C90</f>
        <v/>
      </c>
      <c r="E90" s="437">
        <f>D90</f>
        <v/>
      </c>
      <c r="F90" s="438">
        <f>CHOOSE(MATCH(B$2,{"Actuals (T-12)","2. My Version","3. Projected","4. Offer"},0),B90,C90,D90,E90)</f>
        <v/>
      </c>
      <c r="G90" s="580">
        <f>IFERROR(F90/F$66,0)</f>
        <v/>
      </c>
      <c r="H90" s="578" t="inlineStr">
        <is>
          <t>401(k)/retirement match: 0-1% EGI (1-4% of wages)</t>
        </is>
      </c>
      <c r="I90" s="441" t="n"/>
      <c r="J90" s="427" t="n"/>
      <c r="K90" s="427" t="n"/>
    </row>
    <row r="91" ht="18" customHeight="1" s="817">
      <c r="A91" s="497" t="inlineStr">
        <is>
          <t>Total Payroll Burden</t>
        </is>
      </c>
      <c r="B91" s="918">
        <f>SUM(B85:B90)</f>
        <v/>
      </c>
      <c r="C91" s="437">
        <f>SUM(C85:C90)</f>
        <v/>
      </c>
      <c r="D91" s="437">
        <f>SUM(D85:D90)</f>
        <v/>
      </c>
      <c r="E91" s="437">
        <f>SUM(E85:E90)</f>
        <v/>
      </c>
      <c r="F91" s="438">
        <f>CHOOSE(MATCH(B$2,{"Actuals (T-12)","2. My Version","3. Projected","4. Offer"},0),B91,C91,D91,E91)</f>
        <v/>
      </c>
      <c r="G91" s="584">
        <f>IFERROR(F91/F$66,0)</f>
        <v/>
      </c>
      <c r="H91" s="577" t="inlineStr">
        <is>
          <t>Total Payroll Burden: 10-15% EGI (25-35% load on labor)</t>
        </is>
      </c>
      <c r="I91" s="441" t="n"/>
      <c r="J91" s="427" t="n"/>
      <c r="K91" s="427" t="n"/>
    </row>
    <row r="92" ht="18" customHeight="1" s="817">
      <c r="A92" s="496" t="inlineStr">
        <is>
          <t>── NON-LABOR OPEX ──</t>
        </is>
      </c>
      <c r="B92" s="437" t="n"/>
      <c r="C92" s="437" t="n"/>
      <c r="D92" s="437" t="n"/>
      <c r="E92" s="437" t="n"/>
      <c r="F92" s="438" t="n"/>
      <c r="G92" s="583" t="n"/>
      <c r="H92" s="444" t="n"/>
      <c r="I92" s="441" t="n"/>
      <c r="J92" s="427" t="n"/>
      <c r="K92" s="427" t="n"/>
    </row>
    <row r="93" outlineLevel="2" ht="18" customHeight="1" s="817">
      <c r="A93" s="436" t="inlineStr">
        <is>
          <t xml:space="preserve">  Food cost</t>
        </is>
      </c>
      <c r="B93" s="916" t="n"/>
      <c r="C93" s="437">
        <f>B93</f>
        <v/>
      </c>
      <c r="D93" s="437">
        <f>C93</f>
        <v/>
      </c>
      <c r="E93" s="437">
        <f>D93</f>
        <v/>
      </c>
      <c r="F93" s="438">
        <f>CHOOSE(MATCH(B$2,{"Actuals (T-12)","2. My Version","3. Projected","4. Offer"},0),B93,C93,D93,E93)</f>
        <v/>
      </c>
      <c r="G93" s="580">
        <f>IFERROR(F93/F$66,0)</f>
        <v/>
      </c>
      <c r="H93" s="577" t="inlineStr">
        <is>
          <t>Food cost: 4-6% EGI — $8-12 per resident per day target</t>
        </is>
      </c>
      <c r="I93" s="441" t="n"/>
      <c r="J93" s="427" t="n"/>
      <c r="K93" s="427" t="n"/>
    </row>
    <row r="94" outlineLevel="2" ht="18" customHeight="1" s="817">
      <c r="A94" s="436" t="inlineStr">
        <is>
          <t xml:space="preserve">  Dining &amp; kitchen supplies</t>
        </is>
      </c>
      <c r="B94" s="916" t="n"/>
      <c r="C94" s="437">
        <f>B94</f>
        <v/>
      </c>
      <c r="D94" s="437">
        <f>C94</f>
        <v/>
      </c>
      <c r="E94" s="437">
        <f>D94</f>
        <v/>
      </c>
      <c r="F94" s="438">
        <f>CHOOSE(MATCH(B$2,{"Actuals (T-12)","2. My Version","3. Projected","4. Offer"},0),B94,C94,D94,E94)</f>
        <v/>
      </c>
      <c r="G94" s="581">
        <f>IFERROR(F94/F$66,0)</f>
        <v/>
      </c>
      <c r="H94" s="578" t="inlineStr">
        <is>
          <t>Dining/kitchen supplies: 0.5-1% EGI — consumables, smallwares</t>
        </is>
      </c>
      <c r="I94" s="441" t="n"/>
      <c r="J94" s="427" t="n"/>
      <c r="K94" s="427" t="n"/>
    </row>
    <row r="95" outlineLevel="2" ht="18" customHeight="1" s="817">
      <c r="A95" s="436" t="inlineStr">
        <is>
          <t xml:space="preserve">  Nursing &amp; care supplies</t>
        </is>
      </c>
      <c r="B95" s="916" t="n"/>
      <c r="C95" s="437">
        <f>B95</f>
        <v/>
      </c>
      <c r="D95" s="437">
        <f>C95</f>
        <v/>
      </c>
      <c r="E95" s="437">
        <f>D95</f>
        <v/>
      </c>
      <c r="F95" s="438">
        <f>CHOOSE(MATCH(B$2,{"Actuals (T-12)","2. My Version","3. Projected","4. Offer"},0),B95,C95,D95,E95)</f>
        <v/>
      </c>
      <c r="G95" s="580">
        <f>IFERROR(F95/F$66,0)</f>
        <v/>
      </c>
      <c r="H95" s="577" t="inlineStr">
        <is>
          <t>Nursing/care supplies: 1-2% EGI — incontinence, PPE, wound</t>
        </is>
      </c>
      <c r="I95" s="441" t="n"/>
      <c r="J95" s="427" t="n"/>
      <c r="K95" s="427" t="n"/>
    </row>
    <row r="96" outlineLevel="2" ht="18" customHeight="1" s="817">
      <c r="A96" s="436" t="inlineStr">
        <is>
          <t xml:space="preserve">  Recreation &amp; activity supplies</t>
        </is>
      </c>
      <c r="B96" s="916" t="n"/>
      <c r="C96" s="437">
        <f>B96</f>
        <v/>
      </c>
      <c r="D96" s="437">
        <f>C96</f>
        <v/>
      </c>
      <c r="E96" s="437">
        <f>D96</f>
        <v/>
      </c>
      <c r="F96" s="438">
        <f>CHOOSE(MATCH(B$2,{"Actuals (T-12)","2. My Version","3. Projected","4. Offer"},0),B96,C96,D96,E96)</f>
        <v/>
      </c>
      <c r="G96" s="581">
        <f>IFERROR(F96/F$66,0)</f>
        <v/>
      </c>
      <c r="H96" s="578" t="inlineStr">
        <is>
          <t>Activity supplies: 0.2-0.5% EGI — programming materials</t>
        </is>
      </c>
      <c r="I96" s="441" t="n"/>
      <c r="J96" s="427" t="n"/>
      <c r="K96" s="427" t="n"/>
    </row>
    <row r="97" outlineLevel="2" ht="18" customHeight="1" s="817">
      <c r="A97" s="436" t="inlineStr">
        <is>
          <t xml:space="preserve">  R&amp;M — fixed (contracts)</t>
        </is>
      </c>
      <c r="B97" s="916" t="n"/>
      <c r="C97" s="437">
        <f>B97</f>
        <v/>
      </c>
      <c r="D97" s="437">
        <f>C97</f>
        <v/>
      </c>
      <c r="E97" s="437">
        <f>D97</f>
        <v/>
      </c>
      <c r="F97" s="438">
        <f>CHOOSE(MATCH(B$2,{"Actuals (T-12)","2. My Version","3. Projected","4. Offer"},0),B97,C97,D97,E97)</f>
        <v/>
      </c>
      <c r="G97" s="580">
        <f>IFERROR(F97/F$66,0)</f>
        <v/>
      </c>
      <c r="H97" s="577" t="inlineStr">
        <is>
          <t>R&amp;M fixed: 1-2% EGI — HVAC, elevator, fire/life contracts</t>
        </is>
      </c>
      <c r="I97" s="441" t="n"/>
      <c r="J97" s="427" t="n"/>
      <c r="K97" s="427" t="n"/>
    </row>
    <row r="98" outlineLevel="2" ht="18" customHeight="1" s="817">
      <c r="A98" s="436" t="inlineStr">
        <is>
          <t xml:space="preserve">  R&amp;M — variable (repairs)</t>
        </is>
      </c>
      <c r="B98" s="916" t="n"/>
      <c r="C98" s="437">
        <f>B98</f>
        <v/>
      </c>
      <c r="D98" s="437">
        <f>C98</f>
        <v/>
      </c>
      <c r="E98" s="437">
        <f>D98</f>
        <v/>
      </c>
      <c r="F98" s="438">
        <f>CHOOSE(MATCH(B$2,{"Actuals (T-12)","2. My Version","3. Projected","4. Offer"},0),B98,C98,D98,E98)</f>
        <v/>
      </c>
      <c r="G98" s="581">
        <f>IFERROR(F98/F$66,0)</f>
        <v/>
      </c>
      <c r="H98" s="578" t="inlineStr">
        <is>
          <t>R&amp;M variable: 1-2% EGI — repairs, parts, ad-hoc service</t>
        </is>
      </c>
      <c r="I98" s="441" t="n"/>
      <c r="J98" s="427" t="n"/>
      <c r="K98" s="427" t="n"/>
    </row>
    <row r="99" outlineLevel="2" ht="18" customHeight="1" s="817">
      <c r="A99" s="436" t="inlineStr">
        <is>
          <t xml:space="preserve">  Housekeeping &amp; laundry supplies</t>
        </is>
      </c>
      <c r="B99" s="916" t="n"/>
      <c r="C99" s="437">
        <f>B99</f>
        <v/>
      </c>
      <c r="D99" s="437">
        <f>C99</f>
        <v/>
      </c>
      <c r="E99" s="437">
        <f>D99</f>
        <v/>
      </c>
      <c r="F99" s="438">
        <f>CHOOSE(MATCH(B$2,{"Actuals (T-12)","2. My Version","3. Projected","4. Offer"},0),B99,C99,D99,E99)</f>
        <v/>
      </c>
      <c r="G99" s="580">
        <f>IFERROR(F99/F$66,0)</f>
        <v/>
      </c>
      <c r="H99" s="577" t="inlineStr">
        <is>
          <t>Housekeeping/laundry supplies: 0.5-1% EGI — chemicals, linens</t>
        </is>
      </c>
      <c r="I99" s="441" t="n"/>
      <c r="J99" s="427" t="n"/>
      <c r="K99" s="427" t="n"/>
    </row>
    <row r="100" outlineLevel="2" ht="18" customHeight="1" s="817">
      <c r="A100" s="436" t="inlineStr">
        <is>
          <t xml:space="preserve">  Sales, advertising &amp; marketing</t>
        </is>
      </c>
      <c r="B100" s="916" t="n"/>
      <c r="C100" s="437">
        <f>B100</f>
        <v/>
      </c>
      <c r="D100" s="437">
        <f>C100</f>
        <v/>
      </c>
      <c r="E100" s="437">
        <f>D100</f>
        <v/>
      </c>
      <c r="F100" s="438">
        <f>CHOOSE(MATCH(B$2,{"Actuals (T-12)","2. My Version","3. Projected","4. Offer"},0),B100,C100,D100,E100)</f>
        <v/>
      </c>
      <c r="G100" s="581">
        <f>IFERROR(F100/F$66,0)</f>
        <v/>
      </c>
      <c r="H100" s="578" t="inlineStr">
        <is>
          <t>Marketing: 2-4% EGI stabilized; 4-8% in lease-up</t>
        </is>
      </c>
      <c r="I100" s="441" t="n"/>
      <c r="J100" s="427" t="n"/>
      <c r="K100" s="427" t="n"/>
    </row>
    <row r="101" outlineLevel="2" ht="18" customHeight="1" s="817">
      <c r="A101" s="436" t="inlineStr">
        <is>
          <t xml:space="preserve">  Referral fees</t>
        </is>
      </c>
      <c r="B101" s="916" t="n"/>
      <c r="C101" s="437">
        <f>B101</f>
        <v/>
      </c>
      <c r="D101" s="437">
        <f>C101</f>
        <v/>
      </c>
      <c r="E101" s="437">
        <f>D101</f>
        <v/>
      </c>
      <c r="F101" s="438">
        <f>CHOOSE(MATCH(B$2,{"Actuals (T-12)","2. My Version","3. Projected","4. Offer"},0),B101,C101,D101,E101)</f>
        <v/>
      </c>
      <c r="G101" s="580">
        <f>IFERROR(F101/F$66,0)</f>
        <v/>
      </c>
      <c r="H101" s="577" t="inlineStr">
        <is>
          <t>Referral fees: 1-3% EGI; ~5% of new-move-in revenue</t>
        </is>
      </c>
      <c r="I101" s="441" t="n"/>
      <c r="J101" s="427" t="n"/>
      <c r="K101" s="427" t="n"/>
    </row>
    <row r="102" outlineLevel="2" ht="18" customHeight="1" s="817">
      <c r="A102" s="436" t="inlineStr">
        <is>
          <t xml:space="preserve">  Utilities (electric, gas, water, trash)</t>
        </is>
      </c>
      <c r="B102" s="916" t="n"/>
      <c r="C102" s="437">
        <f>B102</f>
        <v/>
      </c>
      <c r="D102" s="437">
        <f>C102</f>
        <v/>
      </c>
      <c r="E102" s="437">
        <f>D102</f>
        <v/>
      </c>
      <c r="F102" s="438">
        <f>CHOOSE(MATCH(B$2,{"Actuals (T-12)","2. My Version","3. Projected","4. Offer"},0),B102,C102,D102,E102)</f>
        <v/>
      </c>
      <c r="G102" s="581">
        <f>IFERROR(F102/F$66,0)</f>
        <v/>
      </c>
      <c r="H102" s="578" t="inlineStr">
        <is>
          <t>Utilities: 3-5% EGI — $3-6/sf annually for senior housing</t>
        </is>
      </c>
      <c r="I102" s="441" t="n"/>
      <c r="J102" s="427" t="n"/>
      <c r="K102" s="427" t="n"/>
    </row>
    <row r="103" outlineLevel="2" ht="18" customHeight="1" s="817">
      <c r="A103" s="436" t="inlineStr">
        <is>
          <t xml:space="preserve">  Telephone / IT / technology</t>
        </is>
      </c>
      <c r="B103" s="916" t="n"/>
      <c r="C103" s="437">
        <f>B103</f>
        <v/>
      </c>
      <c r="D103" s="437">
        <f>C103</f>
        <v/>
      </c>
      <c r="E103" s="437">
        <f>D103</f>
        <v/>
      </c>
      <c r="F103" s="438">
        <f>CHOOSE(MATCH(B$2,{"Actuals (T-12)","2. My Version","3. Projected","4. Offer"},0),B103,C103,D103,E103)</f>
        <v/>
      </c>
      <c r="G103" s="580">
        <f>IFERROR(F103/F$66,0)</f>
        <v/>
      </c>
      <c r="H103" s="577" t="inlineStr">
        <is>
          <t>Telephone/IT: 1-2% EGI — internet, phone, software</t>
        </is>
      </c>
      <c r="I103" s="441" t="n"/>
      <c r="J103" s="427" t="n"/>
      <c r="K103" s="427" t="n"/>
    </row>
    <row r="104" outlineLevel="2" ht="18" customHeight="1" s="817">
      <c r="A104" s="436" t="inlineStr">
        <is>
          <t xml:space="preserve">  P&amp;C insurance (bundled)</t>
        </is>
      </c>
      <c r="B104" s="916" t="n"/>
      <c r="C104" s="437">
        <f>B104</f>
        <v/>
      </c>
      <c r="D104" s="437">
        <f>C104</f>
        <v/>
      </c>
      <c r="E104" s="437">
        <f>D104</f>
        <v/>
      </c>
      <c r="F104" s="438">
        <f>CHOOSE(MATCH(B$2,{"Actuals (T-12)","2. My Version","3. Projected","4. Offer"},0),B104,C104,D104,E104)</f>
        <v/>
      </c>
      <c r="G104" s="581">
        <f>IFERROR(F104/F$66,0)</f>
        <v/>
      </c>
      <c r="H104" s="578" t="inlineStr">
        <is>
          <t>P&amp;C insurance: 2-4% EGI — GL + property; rising sharply</t>
        </is>
      </c>
      <c r="I104" s="441" t="n"/>
      <c r="J104" s="427" t="n"/>
      <c r="K104" s="427" t="n"/>
    </row>
    <row r="105" outlineLevel="2" ht="18" customHeight="1" s="817">
      <c r="A105" s="436" t="inlineStr">
        <is>
          <t xml:space="preserve">  Auto insurance</t>
        </is>
      </c>
      <c r="B105" s="916" t="n"/>
      <c r="C105" s="437">
        <f>B105</f>
        <v/>
      </c>
      <c r="D105" s="437">
        <f>C105</f>
        <v/>
      </c>
      <c r="E105" s="437">
        <f>D105</f>
        <v/>
      </c>
      <c r="F105" s="438">
        <f>CHOOSE(MATCH(B$2,{"Actuals (T-12)","2. My Version","3. Projected","4. Offer"},0),B105,C105,D105,E105)</f>
        <v/>
      </c>
      <c r="G105" s="580">
        <f>IFERROR(F105/F$66,0)</f>
        <v/>
      </c>
      <c r="H105" s="577" t="inlineStr">
        <is>
          <t>Auto insurance: 0.1-0.3% EGI — community vehicle/bus</t>
        </is>
      </c>
      <c r="I105" s="441" t="n"/>
      <c r="J105" s="427" t="n"/>
      <c r="K105" s="427" t="n"/>
    </row>
    <row r="106" outlineLevel="2" ht="18" customHeight="1" s="817">
      <c r="A106" s="436" t="inlineStr">
        <is>
          <t xml:space="preserve">  Fire / security monitoring</t>
        </is>
      </c>
      <c r="B106" s="916" t="n"/>
      <c r="C106" s="437">
        <f>B106</f>
        <v/>
      </c>
      <c r="D106" s="437">
        <f>C106</f>
        <v/>
      </c>
      <c r="E106" s="437">
        <f>D106</f>
        <v/>
      </c>
      <c r="F106" s="438">
        <f>CHOOSE(MATCH(B$2,{"Actuals (T-12)","2. My Version","3. Projected","4. Offer"},0),B106,C106,D106,E106)</f>
        <v/>
      </c>
      <c r="G106" s="581">
        <f>IFERROR(F106/F$66,0)</f>
        <v/>
      </c>
      <c r="H106" s="578" t="inlineStr">
        <is>
          <t>Fire/security monitoring: 0.2-0.5% EGI — life safety contracts</t>
        </is>
      </c>
      <c r="I106" s="441" t="n"/>
      <c r="J106" s="427" t="n"/>
      <c r="K106" s="427" t="n"/>
    </row>
    <row r="107" outlineLevel="2" ht="18" customHeight="1" s="817">
      <c r="A107" s="436" t="inlineStr">
        <is>
          <t xml:space="preserve">  Pest elimination</t>
        </is>
      </c>
      <c r="B107" s="916" t="n"/>
      <c r="C107" s="437">
        <f>B107</f>
        <v/>
      </c>
      <c r="D107" s="437">
        <f>C107</f>
        <v/>
      </c>
      <c r="E107" s="437">
        <f>D107</f>
        <v/>
      </c>
      <c r="F107" s="438">
        <f>CHOOSE(MATCH(B$2,{"Actuals (T-12)","2. My Version","3. Projected","4. Offer"},0),B107,C107,D107,E107)</f>
        <v/>
      </c>
      <c r="G107" s="580">
        <f>IFERROR(F107/F$66,0)</f>
        <v/>
      </c>
      <c r="H107" s="577" t="inlineStr">
        <is>
          <t>Pest control: 0.1-0.3% EGI — quarterly service</t>
        </is>
      </c>
      <c r="I107" s="441" t="n"/>
      <c r="J107" s="427" t="n"/>
      <c r="K107" s="427" t="n"/>
    </row>
    <row r="108" outlineLevel="2" ht="18" customHeight="1" s="817">
      <c r="A108" s="436" t="inlineStr">
        <is>
          <t xml:space="preserve">  Real estate taxes</t>
        </is>
      </c>
      <c r="B108" s="916" t="n"/>
      <c r="C108" s="437">
        <f>B108</f>
        <v/>
      </c>
      <c r="D108" s="437">
        <f>C108</f>
        <v/>
      </c>
      <c r="E108" s="437">
        <f>D108</f>
        <v/>
      </c>
      <c r="F108" s="438">
        <f>CHOOSE(MATCH(B$2,{"Actuals (T-12)","2. My Version","3. Projected","4. Offer"},0),B108,C108,D108,E108)</f>
        <v/>
      </c>
      <c r="G108" s="581">
        <f>IFERROR(F108/F$66,0)</f>
        <v/>
      </c>
      <c r="H108" s="578" t="inlineStr">
        <is>
          <t>Real estate taxes: 3-6% EGI — confirm assessor portal</t>
        </is>
      </c>
      <c r="I108" s="441" t="n"/>
      <c r="J108" s="427" t="n"/>
      <c r="K108" s="427" t="n"/>
    </row>
    <row r="109" outlineLevel="2" ht="18" customHeight="1" s="817">
      <c r="A109" s="436" t="inlineStr">
        <is>
          <t xml:space="preserve">  Personal property taxes</t>
        </is>
      </c>
      <c r="B109" s="916" t="n"/>
      <c r="C109" s="437">
        <f>B109</f>
        <v/>
      </c>
      <c r="D109" s="437">
        <f>C109</f>
        <v/>
      </c>
      <c r="E109" s="437">
        <f>D109</f>
        <v/>
      </c>
      <c r="F109" s="438">
        <f>CHOOSE(MATCH(B$2,{"Actuals (T-12)","2. My Version","3. Projected","4. Offer"},0),B109,C109,D109,E109)</f>
        <v/>
      </c>
      <c r="G109" s="580">
        <f>IFERROR(F109/F$66,0)</f>
        <v/>
      </c>
      <c r="H109" s="577" t="inlineStr">
        <is>
          <t>Personal property taxes: 0-0.5% EGI — FF&amp;E if applicable</t>
        </is>
      </c>
      <c r="I109" s="441" t="n"/>
      <c r="J109" s="427" t="n"/>
      <c r="K109" s="427" t="n"/>
    </row>
    <row r="110" outlineLevel="2" ht="18" customHeight="1" s="817">
      <c r="A110" s="436" t="inlineStr">
        <is>
          <t xml:space="preserve">  Legal expenses</t>
        </is>
      </c>
      <c r="B110" s="916" t="n"/>
      <c r="C110" s="437">
        <f>B110</f>
        <v/>
      </c>
      <c r="D110" s="437">
        <f>C110</f>
        <v/>
      </c>
      <c r="E110" s="437">
        <f>D110</f>
        <v/>
      </c>
      <c r="F110" s="438">
        <f>CHOOSE(MATCH(B$2,{"Actuals (T-12)","2. My Version","3. Projected","4. Offer"},0),B110,C110,D110,E110)</f>
        <v/>
      </c>
      <c r="G110" s="581">
        <f>IFERROR(F110/F$66,0)</f>
        <v/>
      </c>
      <c r="H110" s="578" t="inlineStr">
        <is>
          <t>Legal: 0.2-0.5% EGI — corporate, employment, regulatory</t>
        </is>
      </c>
      <c r="I110" s="441" t="n"/>
      <c r="J110" s="427" t="n"/>
      <c r="K110" s="427" t="n"/>
    </row>
    <row r="111" outlineLevel="2" ht="18" customHeight="1" s="817">
      <c r="A111" s="436" t="inlineStr">
        <is>
          <t xml:space="preserve">  Professional services (acctg/consulting)</t>
        </is>
      </c>
      <c r="B111" s="916" t="n"/>
      <c r="C111" s="437">
        <f>B111</f>
        <v/>
      </c>
      <c r="D111" s="437">
        <f>C111</f>
        <v/>
      </c>
      <c r="E111" s="437">
        <f>D111</f>
        <v/>
      </c>
      <c r="F111" s="438">
        <f>CHOOSE(MATCH(B$2,{"Actuals (T-12)","2. My Version","3. Projected","4. Offer"},0),B111,C111,D111,E111)</f>
        <v/>
      </c>
      <c r="G111" s="580">
        <f>IFERROR(F111/F$66,0)</f>
        <v/>
      </c>
      <c r="H111" s="577" t="inlineStr">
        <is>
          <t>Professional services: 0.3-0.7% EGI — accounting, consulting</t>
        </is>
      </c>
      <c r="I111" s="441" t="n"/>
      <c r="J111" s="427" t="n"/>
      <c r="K111" s="427" t="n"/>
    </row>
    <row r="112" outlineLevel="2" ht="18" customHeight="1" s="817">
      <c r="A112" s="436" t="inlineStr">
        <is>
          <t xml:space="preserve">  Bad debt expense</t>
        </is>
      </c>
      <c r="B112" s="916" t="n"/>
      <c r="C112" s="437">
        <f>B112</f>
        <v/>
      </c>
      <c r="D112" s="437">
        <f>C112</f>
        <v/>
      </c>
      <c r="E112" s="437">
        <f>D112</f>
        <v/>
      </c>
      <c r="F112" s="438">
        <f>CHOOSE(MATCH(B$2,{"Actuals (T-12)","2. My Version","3. Projected","4. Offer"},0),B112,C112,D112,E112)</f>
        <v/>
      </c>
      <c r="G112" s="581">
        <f>IFERROR(F112/F$66,0)</f>
        <v/>
      </c>
      <c r="H112" s="578" t="inlineStr">
        <is>
          <t>Bad debt: 0.5-1.5% EGI — uncollected resident receivables</t>
        </is>
      </c>
      <c r="I112" s="441" t="n"/>
      <c r="J112" s="427" t="n"/>
      <c r="K112" s="427" t="n"/>
    </row>
    <row r="113" outlineLevel="2" ht="18" customHeight="1" s="817">
      <c r="A113" s="436" t="inlineStr">
        <is>
          <t xml:space="preserve">  Permits, licenses &amp; dues</t>
        </is>
      </c>
      <c r="B113" s="916" t="n"/>
      <c r="C113" s="437">
        <f>B113</f>
        <v/>
      </c>
      <c r="D113" s="437">
        <f>C113</f>
        <v/>
      </c>
      <c r="E113" s="437">
        <f>D113</f>
        <v/>
      </c>
      <c r="F113" s="438">
        <f>CHOOSE(MATCH(B$2,{"Actuals (T-12)","2. My Version","3. Projected","4. Offer"},0),B113,C113,D113,E113)</f>
        <v/>
      </c>
      <c r="G113" s="580">
        <f>IFERROR(F113/F$66,0)</f>
        <v/>
      </c>
      <c r="H113" s="577" t="inlineStr">
        <is>
          <t>Permits/licenses/dues: 0.2-0.5% EGI — state licensing</t>
        </is>
      </c>
      <c r="I113" s="441" t="n"/>
      <c r="J113" s="427" t="n"/>
      <c r="K113" s="427" t="n"/>
    </row>
    <row r="114" outlineLevel="2" ht="18" customHeight="1" s="817">
      <c r="A114" s="436" t="inlineStr">
        <is>
          <t xml:space="preserve">  Office, admin &amp; G&amp;A</t>
        </is>
      </c>
      <c r="B114" s="916" t="n"/>
      <c r="C114" s="437">
        <f>B114</f>
        <v/>
      </c>
      <c r="D114" s="437">
        <f>C114</f>
        <v/>
      </c>
      <c r="E114" s="437">
        <f>D114</f>
        <v/>
      </c>
      <c r="F114" s="438">
        <f>CHOOSE(MATCH(B$2,{"Actuals (T-12)","2. My Version","3. Projected","4. Offer"},0),B114,C114,D114,E114)</f>
        <v/>
      </c>
      <c r="G114" s="581">
        <f>IFERROR(F114/F$66,0)</f>
        <v/>
      </c>
      <c r="H114" s="578" t="inlineStr">
        <is>
          <t>Office admin/G&amp;A: 0.5-1% EGI — supplies, postage, dues</t>
        </is>
      </c>
      <c r="I114" s="441" t="n"/>
      <c r="J114" s="427" t="n"/>
      <c r="K114" s="427" t="n"/>
    </row>
    <row r="115" outlineLevel="2" ht="18" customHeight="1" s="817">
      <c r="A115" s="436" t="inlineStr">
        <is>
          <t xml:space="preserve">  Other / miscellaneous</t>
        </is>
      </c>
      <c r="B115" s="916" t="n"/>
      <c r="C115" s="437">
        <f>B115</f>
        <v/>
      </c>
      <c r="D115" s="437">
        <f>C115</f>
        <v/>
      </c>
      <c r="E115" s="437">
        <f>D115</f>
        <v/>
      </c>
      <c r="F115" s="438">
        <f>CHOOSE(MATCH(B$2,{"Actuals (T-12)","2. My Version","3. Projected","4. Offer"},0),B115,C115,D115,E115)</f>
        <v/>
      </c>
      <c r="G115" s="580">
        <f>IFERROR(F115/F$66,0)</f>
        <v/>
      </c>
      <c r="H115" s="577" t="inlineStr">
        <is>
          <t>Misc/other: &lt;1% EGI — unallocated catch-all</t>
        </is>
      </c>
      <c r="I115" s="441" t="n"/>
      <c r="J115" s="427" t="n"/>
      <c r="K115" s="427" t="n"/>
    </row>
    <row r="116" ht="18" customHeight="1" s="817">
      <c r="A116" s="497" t="inlineStr">
        <is>
          <t>Total Non-Labor OpEx</t>
        </is>
      </c>
      <c r="B116" s="918">
        <f>SUM(B93:B115)</f>
        <v/>
      </c>
      <c r="C116" s="437">
        <f>SUM(C93:C115)</f>
        <v/>
      </c>
      <c r="D116" s="437">
        <f>SUM(D93:D115)</f>
        <v/>
      </c>
      <c r="E116" s="437">
        <f>SUM(E93:E115)</f>
        <v/>
      </c>
      <c r="F116" s="438">
        <f>CHOOSE(MATCH(B$2,{"Actuals (T-12)","2. My Version","3. Projected","4. Offer"},0),B116,C116,D116,E116)</f>
        <v/>
      </c>
      <c r="G116" s="584">
        <f>IFERROR(F116/F$66,0)</f>
        <v/>
      </c>
      <c r="H116" s="578" t="inlineStr">
        <is>
          <t>Total Non-Labor OpEx: 25-35% EGI stabilized</t>
        </is>
      </c>
      <c r="I116" s="441" t="n"/>
      <c r="J116" s="427" t="n"/>
      <c r="K116" s="427" t="n"/>
    </row>
    <row r="117" ht="18" customHeight="1" s="817">
      <c r="A117" s="497" t="inlineStr">
        <is>
          <t>Management Fee</t>
        </is>
      </c>
      <c r="B117" s="916" t="n"/>
      <c r="C117" s="437">
        <f>C66*$I$82</f>
        <v/>
      </c>
      <c r="D117" s="437">
        <f>D66*$I$82</f>
        <v/>
      </c>
      <c r="E117" s="437">
        <f>E66*$I$82</f>
        <v/>
      </c>
      <c r="F117" s="438">
        <f>CHOOSE(MATCH(B$2,{"Actuals (T-12)","2. My Version","3. Projected","4. Offer"},0),B117,C117,D117,E117)</f>
        <v/>
      </c>
      <c r="G117" s="582">
        <f>IFERROR(F117/F$66,0)</f>
        <v/>
      </c>
      <c r="H117" s="577" t="inlineStr">
        <is>
          <t>Management fee: 4-7% EGI for 3rd-party operators</t>
        </is>
      </c>
      <c r="I117" s="441" t="n"/>
      <c r="J117" s="427" t="n"/>
      <c r="K117" s="427" t="n"/>
    </row>
    <row r="118" ht="18" customHeight="1" s="817">
      <c r="A118" s="432" t="inlineStr">
        <is>
          <t>TOTAL EXPENSES</t>
        </is>
      </c>
      <c r="B118" s="919">
        <f>B83+B91+B116+B117</f>
        <v/>
      </c>
      <c r="C118" s="914">
        <f>C83+C91+C116+C117</f>
        <v/>
      </c>
      <c r="D118" s="914">
        <f>D83+D91+D116+D117</f>
        <v/>
      </c>
      <c r="E118" s="914">
        <f>E83+E91+E116+E117</f>
        <v/>
      </c>
      <c r="F118" s="914">
        <f>CHOOSE(MATCH(B$2,{"Actuals (T-12)","2. My Version","3. Projected","4. Offer"},0),B118,C118,D118,E118)</f>
        <v/>
      </c>
      <c r="G118" s="584">
        <f>IFERROR(F118/F$66,0)</f>
        <v/>
      </c>
      <c r="H118" s="575" t="inlineStr">
        <is>
          <t>TOTAL EXPENSES: 70-78% EGI stabilized; 80%+ value-add/lease-up</t>
        </is>
      </c>
      <c r="I118" s="427" t="n"/>
      <c r="J118" s="427" t="n"/>
      <c r="K118" s="427" t="n"/>
    </row>
    <row r="119" ht="18" customHeight="1" s="817">
      <c r="A119" s="427" t="n"/>
      <c r="B119" s="427" t="n"/>
      <c r="C119" s="427" t="n"/>
      <c r="D119" s="427" t="n"/>
      <c r="E119" s="427" t="n"/>
      <c r="F119" s="427" t="n"/>
      <c r="G119" s="427" t="n"/>
      <c r="H119" s="427" t="n"/>
      <c r="I119" s="427" t="n"/>
      <c r="J119" s="427" t="n"/>
      <c r="K119" s="427" t="n"/>
    </row>
    <row r="120" ht="19.5" customHeight="1" s="817">
      <c r="A120" s="449" t="inlineStr">
        <is>
          <t>NET OPERATING INCOME</t>
        </is>
      </c>
      <c r="B120" s="920">
        <f>B66-B118</f>
        <v/>
      </c>
      <c r="C120" s="920">
        <f>C66-C118</f>
        <v/>
      </c>
      <c r="D120" s="920">
        <f>D66-D118</f>
        <v/>
      </c>
      <c r="E120" s="920">
        <f>E66-E118</f>
        <v/>
      </c>
      <c r="F120" s="920">
        <f>CHOOSE(MATCH(B$2,{"Actuals (T-12)","2. My Version","3. Projected","4. Offer"},0),B120,C120,D120,E120)</f>
        <v/>
      </c>
      <c r="G120" s="585">
        <f>IFERROR(F120/F$66,0)</f>
        <v/>
      </c>
      <c r="H120" s="575" t="inlineStr">
        <is>
          <t>NOI margin: 25-35% EGI target stabilized AL/MC</t>
        </is>
      </c>
      <c r="I120" s="427" t="n"/>
      <c r="J120" s="427" t="n"/>
      <c r="K120" s="427" t="n"/>
    </row>
    <row r="121" ht="18" customHeight="1" s="817">
      <c r="A121" s="427" t="n"/>
      <c r="B121" s="427" t="n"/>
      <c r="C121" s="427" t="n"/>
      <c r="D121" s="427" t="n"/>
      <c r="E121" s="427" t="n"/>
      <c r="F121" s="427" t="n"/>
      <c r="G121" s="427" t="n"/>
      <c r="H121" s="427" t="n"/>
      <c r="I121" s="427" t="n"/>
      <c r="J121" s="427" t="n"/>
      <c r="K121" s="427" t="n"/>
    </row>
    <row r="122" ht="18" customHeight="1" s="817">
      <c r="A122" s="838" t="inlineStr">
        <is>
          <t>DEAL SUMMARY METRICS</t>
        </is>
      </c>
      <c r="I122" s="427" t="n"/>
      <c r="J122" s="427" t="n"/>
      <c r="K122" s="427" t="n"/>
    </row>
    <row r="123" ht="18" customHeight="1" s="817">
      <c r="A123" s="442" t="inlineStr">
        <is>
          <t>Cap Rate (NOI/Purchase Price)</t>
        </is>
      </c>
      <c r="B123" s="451">
        <f>IFERROR(B120/B7,0)</f>
        <v/>
      </c>
      <c r="C123" s="451">
        <f>IFERROR(C120/C7,0)</f>
        <v/>
      </c>
      <c r="D123" s="451">
        <f>IFERROR(D120/D7,0)</f>
        <v/>
      </c>
      <c r="E123" s="451">
        <f>IFERROR(E120/E7,0)</f>
        <v/>
      </c>
      <c r="F123" s="452">
        <f>CHOOSE(MATCH(B$2,{"Actuals (T-12)","2. My Version","3. Projected","4. Offer"},0),B123,C123,D123,E123)</f>
        <v/>
      </c>
      <c r="G123" s="452" t="n"/>
      <c r="H123" s="576" t="inlineStr">
        <is>
          <t>AL/MC cap rate: 6.5-8.5% stabilized; higher value-add</t>
        </is>
      </c>
      <c r="I123" s="441" t="n"/>
      <c r="J123" s="427" t="n"/>
      <c r="K123" s="427" t="n"/>
    </row>
    <row r="124" ht="18" customHeight="1" s="817">
      <c r="A124" s="436" t="inlineStr">
        <is>
          <t>Debt Service (Annual)</t>
        </is>
      </c>
      <c r="B124" s="453">
        <f>B162</f>
        <v/>
      </c>
      <c r="C124" s="453">
        <f>C162</f>
        <v/>
      </c>
      <c r="D124" s="453">
        <f>D162</f>
        <v/>
      </c>
      <c r="E124" s="453">
        <f>E162</f>
        <v/>
      </c>
      <c r="F124" s="454">
        <f>CHOOSE(MATCH(B$2,{"Actuals (T-12)","2. My Version","3. Projected","4. Offer"},0),B124,C124,D124,E124)</f>
        <v/>
      </c>
      <c r="G124" s="454" t="n"/>
      <c r="H124" s="455" t="inlineStr">
        <is>
          <t>DSCR target ≥1.20x; watch Y1</t>
        </is>
      </c>
      <c r="I124" s="441" t="n"/>
      <c r="J124" s="427" t="n"/>
      <c r="K124" s="427" t="n"/>
    </row>
    <row r="125" ht="18" customHeight="1" s="817">
      <c r="A125" s="442" t="inlineStr">
        <is>
          <t>Cash Flow After Debt Service</t>
        </is>
      </c>
      <c r="B125" s="456">
        <f>B120-B124</f>
        <v/>
      </c>
      <c r="C125" s="456">
        <f>C120-C124</f>
        <v/>
      </c>
      <c r="D125" s="456">
        <f>D120-D124</f>
        <v/>
      </c>
      <c r="E125" s="456">
        <f>E120-E124</f>
        <v/>
      </c>
      <c r="F125" s="438">
        <f>CHOOSE(MATCH(B$2,{"Actuals (T-12)","2. My Version","3. Projected","4. Offer"},0),B125,C125,D125,E125)</f>
        <v/>
      </c>
      <c r="G125" s="438" t="n"/>
      <c r="H125" s="457" t="inlineStr">
        <is>
          <t>Positive Y2+ for value-add</t>
        </is>
      </c>
      <c r="I125" s="441" t="n"/>
      <c r="J125" s="427" t="n"/>
      <c r="K125" s="427" t="n"/>
    </row>
    <row r="126" ht="18" customHeight="1" s="817">
      <c r="A126" s="436" t="inlineStr">
        <is>
          <t>Debt Coverage Ratio</t>
        </is>
      </c>
      <c r="B126" s="458">
        <f>IFERROR(B120/B124,0)</f>
        <v/>
      </c>
      <c r="C126" s="458">
        <f>IFERROR(C120/C124,0)</f>
        <v/>
      </c>
      <c r="D126" s="458">
        <f>IFERROR(D120/D124,0)</f>
        <v/>
      </c>
      <c r="E126" s="458">
        <f>D126</f>
        <v/>
      </c>
      <c r="F126" s="459">
        <f>CHOOSE(MATCH(B$2,{"Actuals (T-12)","2. My Version","3. Projected","4. Offer"},0),B126,C126,D126,E126)</f>
        <v/>
      </c>
      <c r="G126" s="459" t="n"/>
      <c r="H126" s="455" t="inlineStr">
        <is>
          <t>≥1.20x required; ≥1.35x preferred</t>
        </is>
      </c>
      <c r="I126" s="441" t="n"/>
      <c r="J126" s="427" t="n"/>
      <c r="K126" s="427" t="n"/>
    </row>
    <row r="127" ht="19.5" customHeight="1" s="817">
      <c r="A127" s="442" t="inlineStr">
        <is>
          <t>Market Cap Rate</t>
        </is>
      </c>
      <c r="B127" s="460" t="n"/>
      <c r="C127" s="460">
        <f>B127</f>
        <v/>
      </c>
      <c r="D127" s="460">
        <f>C127</f>
        <v/>
      </c>
      <c r="E127" s="460">
        <f>D127</f>
        <v/>
      </c>
      <c r="F127" s="452">
        <f>CHOOSE(MATCH(B$2,{"Actuals (T-12)","2. My Version","3. Projected","4. Offer"},0),B127,C127,D127,E127)</f>
        <v/>
      </c>
      <c r="G127" s="452" t="n"/>
      <c r="H127" s="457" t="inlineStr">
        <is>
          <t>6.5–8.5% AL/MC market cap rate</t>
        </is>
      </c>
      <c r="I127" s="441" t="n"/>
      <c r="J127" s="427" t="n"/>
      <c r="K127" s="427" t="n"/>
    </row>
    <row r="128" ht="18" customHeight="1" s="817">
      <c r="A128" s="436" t="inlineStr">
        <is>
          <t>Fair Market Value (NOI/Mkt Cap)</t>
        </is>
      </c>
      <c r="B128" s="445">
        <f>IFERROR(B120/B127,0)</f>
        <v/>
      </c>
      <c r="C128" s="445">
        <f>IFERROR(C120/C127,0)</f>
        <v/>
      </c>
      <c r="D128" s="445">
        <f>IFERROR(D120/D127,0)</f>
        <v/>
      </c>
      <c r="E128" s="445">
        <f>D128</f>
        <v/>
      </c>
      <c r="F128" s="438">
        <f>CHOOSE(MATCH(B$2,{"Actuals (T-12)","2. My Version","3. Projected","4. Offer"},0),B128,C128,D128,E128)</f>
        <v/>
      </c>
      <c r="G128" s="438" t="n"/>
      <c r="H128" s="575" t="inlineStr">
        <is>
          <t>Implied FMV at market cap — sanity check vs offer</t>
        </is>
      </c>
      <c r="I128" s="441" t="n"/>
      <c r="J128" s="427" t="n"/>
      <c r="K128" s="427" t="n"/>
    </row>
    <row r="129" ht="18" customHeight="1" s="817">
      <c r="A129" s="442" t="inlineStr">
        <is>
          <t>Exit Year</t>
        </is>
      </c>
      <c r="B129" s="461" t="n"/>
      <c r="C129" s="461">
        <f>B129</f>
        <v/>
      </c>
      <c r="D129" s="461">
        <f>C129</f>
        <v/>
      </c>
      <c r="E129" s="461">
        <f>D129</f>
        <v/>
      </c>
      <c r="F129" s="462">
        <f>CHOOSE(MATCH(B$2,{"Actuals (T-12)","2. My Version","3. Projected","4. Offer"},0),B129,C129,D129,E129)</f>
        <v/>
      </c>
      <c r="G129" s="462" t="n"/>
      <c r="H129" s="457" t="inlineStr">
        <is>
          <t>Hold: 3–7 years typical PE</t>
        </is>
      </c>
      <c r="I129" s="441" t="n"/>
      <c r="J129" s="427" t="n"/>
      <c r="K129" s="427" t="n"/>
    </row>
    <row r="130" ht="18" customHeight="1" s="817">
      <c r="A130" s="436" t="inlineStr">
        <is>
          <t>Exit Cap Rate</t>
        </is>
      </c>
      <c r="B130" s="463" t="n"/>
      <c r="C130" s="463">
        <f>B130</f>
        <v/>
      </c>
      <c r="D130" s="463">
        <f>C130</f>
        <v/>
      </c>
      <c r="E130" s="463">
        <f>D130</f>
        <v/>
      </c>
      <c r="F130" s="452">
        <f>CHOOSE(MATCH(B$2,{"Actuals (T-12)","2. My Version","3. Projected","4. Offer"},0),B130,C130,D130,E130)</f>
        <v/>
      </c>
      <c r="G130" s="452" t="n"/>
      <c r="H130" s="455" t="inlineStr">
        <is>
          <t>Exit cap: entry cap + 25–75 bps</t>
        </is>
      </c>
      <c r="I130" s="441" t="n"/>
      <c r="J130" s="427" t="n"/>
      <c r="K130" s="427" t="n"/>
    </row>
    <row r="131" ht="18" customHeight="1" s="817">
      <c r="A131" s="427" t="n"/>
      <c r="B131" s="427" t="n"/>
      <c r="C131" s="427" t="n"/>
      <c r="D131" s="427" t="n"/>
      <c r="E131" s="427" t="n"/>
      <c r="F131" s="427" t="n"/>
      <c r="G131" s="427" t="n"/>
      <c r="H131" s="427" t="n"/>
      <c r="I131" s="427" t="n"/>
      <c r="J131" s="427" t="n"/>
      <c r="K131" s="427" t="n"/>
    </row>
    <row r="132" ht="18" customHeight="1" s="817">
      <c r="A132" s="827" t="inlineStr">
        <is>
          <t>DEBT STRUCTURE — PER-SCENARIO LOAN INPUTS  (drives Loans, Waterfall &amp; P&amp;L)</t>
        </is>
      </c>
      <c r="I132" s="441" t="n"/>
      <c r="J132" s="427" t="n"/>
      <c r="K132" s="427" t="n"/>
    </row>
    <row r="133" ht="18" customHeight="1" s="817">
      <c r="A133" s="841" t="inlineStr">
        <is>
          <t xml:space="preserve">  Blue = input per scenario. Active scenario col F feeds all downstream sheets. Use $0 for unused tranches.</t>
        </is>
      </c>
      <c r="I133" s="441" t="n"/>
      <c r="J133" s="427" t="n"/>
      <c r="K133" s="427" t="n"/>
    </row>
    <row r="134" ht="19.5" customHeight="1" s="817">
      <c r="A134" s="840" t="inlineStr">
        <is>
          <t xml:space="preserve">  1ST LOAN — SENIOR / PRIMARY</t>
        </is>
      </c>
      <c r="I134" s="441" t="n"/>
      <c r="J134" s="427" t="n"/>
      <c r="K134" s="427" t="n"/>
    </row>
    <row r="135" ht="18" customHeight="1" s="817">
      <c r="A135" s="65" t="inlineStr">
        <is>
          <t>Loan Amount — 1st ($)</t>
        </is>
      </c>
      <c r="B135" s="108">
        <f>B7*(1-B10)</f>
        <v/>
      </c>
      <c r="C135" s="108">
        <f>C7*(1-C10)</f>
        <v/>
      </c>
      <c r="D135" s="108">
        <f>D7*(1-D10)</f>
        <v/>
      </c>
      <c r="E135" s="108">
        <f>E7*(1-E10)</f>
        <v/>
      </c>
      <c r="F135" s="109">
        <f>CHOOSE(MATCH(B$2,{"Actuals (T-12)","2. My Version","3. Projected","4. Offer"},0),B135,C135,D135,E135)</f>
        <v/>
      </c>
      <c r="G135" s="109" t="n"/>
      <c r="H135" s="891" t="inlineStr">
        <is>
          <t>60–70% LTV first lien; $0 to disable</t>
        </is>
      </c>
      <c r="I135" s="441" t="n"/>
      <c r="J135" s="427" t="n"/>
      <c r="K135" s="427" t="n"/>
    </row>
    <row r="136" ht="18" customHeight="1" s="817">
      <c r="A136" s="62" t="inlineStr">
        <is>
          <t>Interest Rate — 1st (%)</t>
        </is>
      </c>
      <c r="B136" s="110" t="n"/>
      <c r="C136" s="110">
        <f>B136</f>
        <v/>
      </c>
      <c r="D136" s="110">
        <f>C136</f>
        <v/>
      </c>
      <c r="E136" s="84">
        <f>D136</f>
        <v/>
      </c>
      <c r="F136" s="111">
        <f>CHOOSE(MATCH(B$2,{"Actuals (T-12)","2. My Version","3. Projected","4. Offer"},0),B136,C136,D136,E136)</f>
        <v/>
      </c>
      <c r="G136" s="111" t="n"/>
      <c r="H136" s="835" t="inlineStr">
        <is>
          <t>Bridge: 6.5–8%; perm: 5.5–6.5%</t>
        </is>
      </c>
      <c r="I136" s="441" t="n"/>
      <c r="J136" s="427" t="n"/>
      <c r="K136" s="427" t="n"/>
    </row>
    <row r="137" ht="18" customHeight="1" s="817">
      <c r="A137" s="65" t="inlineStr">
        <is>
          <t>Amortization (years) — 1st</t>
        </is>
      </c>
      <c r="B137" s="112" t="n"/>
      <c r="C137" s="112">
        <f>B137</f>
        <v/>
      </c>
      <c r="D137" s="112">
        <f>C137</f>
        <v/>
      </c>
      <c r="E137" s="112">
        <f>D137</f>
        <v/>
      </c>
      <c r="F137" s="103">
        <f>CHOOSE(MATCH(B$2,{"Actuals (T-12)","2. My Version","3. Projected","4. Offer"},0),B137,C137,D137,E137)</f>
        <v/>
      </c>
      <c r="G137" s="103" t="n"/>
      <c r="H137" s="891" t="inlineStr">
        <is>
          <t>25–30yr amortization standard</t>
        </is>
      </c>
      <c r="I137" s="441" t="n"/>
      <c r="J137" s="427" t="n"/>
      <c r="K137" s="427" t="n"/>
    </row>
    <row r="138" ht="18" customHeight="1" s="817">
      <c r="A138" s="62" t="inlineStr">
        <is>
          <t>Loan Term (years) — 1st</t>
        </is>
      </c>
      <c r="B138" s="113" t="n"/>
      <c r="C138" s="113">
        <f>B138</f>
        <v/>
      </c>
      <c r="D138" s="113">
        <f>C138</f>
        <v/>
      </c>
      <c r="E138" s="113">
        <f>D138</f>
        <v/>
      </c>
      <c r="F138" s="103">
        <f>CHOOSE(MATCH(B$2,{"Actuals (T-12)","2. My Version","3. Projected","4. Offer"},0),B138,C138,D138,E138)</f>
        <v/>
      </c>
      <c r="G138" s="103" t="n"/>
      <c r="H138" s="835" t="inlineStr">
        <is>
          <t>Match hold period</t>
        </is>
      </c>
      <c r="I138" s="441" t="n"/>
      <c r="J138" s="427" t="n"/>
      <c r="K138" s="427" t="n"/>
    </row>
    <row r="139" ht="18" customHeight="1" s="817">
      <c r="A139" s="65" t="inlineStr">
        <is>
          <t>Interest-Only Period (months) — 1st</t>
        </is>
      </c>
      <c r="B139" s="112" t="n"/>
      <c r="C139" s="112">
        <f>B139</f>
        <v/>
      </c>
      <c r="D139" s="112">
        <f>C139</f>
        <v/>
      </c>
      <c r="E139" s="112">
        <f>D139</f>
        <v/>
      </c>
      <c r="F139" s="103">
        <f>CHOOSE(MATCH(B$2,{"Actuals (T-12)","2. My Version","3. Projected","4. Offer"},0),B139,C139,D139,E139)</f>
        <v/>
      </c>
      <c r="G139" s="103" t="n"/>
      <c r="H139" s="891" t="inlineStr">
        <is>
          <t>IO 0–24 months; 0=fully amortizing</t>
        </is>
      </c>
      <c r="I139" s="441" t="n"/>
      <c r="J139" s="427" t="n"/>
      <c r="K139" s="427" t="n"/>
    </row>
    <row r="140" ht="18" customHeight="1" s="817">
      <c r="A140" s="62" t="inlineStr">
        <is>
          <t>Origination Fee % — 1st</t>
        </is>
      </c>
      <c r="B140" s="84" t="n"/>
      <c r="C140" s="84">
        <f>B140</f>
        <v/>
      </c>
      <c r="D140" s="84">
        <f>C140</f>
        <v/>
      </c>
      <c r="E140" s="84">
        <f>D140</f>
        <v/>
      </c>
      <c r="F140" s="111">
        <f>CHOOSE(MATCH(B$2,{"Actuals (T-12)","2. My Version","3. Projected","4. Offer"},0),B140,C140,D140,E140)</f>
        <v/>
      </c>
      <c r="G140" s="111" t="n"/>
      <c r="H140" s="835" t="inlineStr">
        <is>
          <t>0.5–1.5% origination fee typical</t>
        </is>
      </c>
      <c r="I140" s="441" t="n"/>
      <c r="J140" s="427" t="n"/>
      <c r="K140" s="427" t="n"/>
    </row>
    <row r="141" ht="18" customHeight="1" s="817">
      <c r="A141" s="833" t="inlineStr">
        <is>
          <t xml:space="preserve">  2ND LOAN — MEZZANINE / BRIDGE</t>
        </is>
      </c>
      <c r="I141" s="441" t="n"/>
      <c r="J141" s="427" t="n"/>
      <c r="K141" s="427" t="n"/>
    </row>
    <row r="142" ht="18" customHeight="1" s="817">
      <c r="A142" s="62" t="inlineStr">
        <is>
          <t>Loan Amount — 2nd ($)</t>
        </is>
      </c>
      <c r="B142" s="91" t="n"/>
      <c r="C142" s="91" t="n"/>
      <c r="D142" s="91" t="n"/>
      <c r="E142" s="91" t="n"/>
      <c r="F142" s="109">
        <f>CHOOSE(MATCH(B$2,{"Actuals (T-12)","2. My Version","3. Projected","4. Offer"},0),B142,C142,D142,E142)</f>
        <v/>
      </c>
      <c r="G142" s="109" t="n"/>
      <c r="H142" s="835" t="inlineStr">
        <is>
          <t>$0 if no mezz; up to 10% of stack</t>
        </is>
      </c>
      <c r="I142" s="441" t="n"/>
      <c r="J142" s="427" t="n"/>
      <c r="K142" s="427" t="n"/>
    </row>
    <row r="143" ht="18" customHeight="1" s="817">
      <c r="A143" s="65" t="inlineStr">
        <is>
          <t>Interest Rate — 2nd (%)</t>
        </is>
      </c>
      <c r="B143" s="96" t="n"/>
      <c r="C143" s="96" t="n"/>
      <c r="D143" s="96" t="n"/>
      <c r="E143" s="96" t="n"/>
      <c r="F143" s="111">
        <f>CHOOSE(MATCH(B$2,{"Actuals (T-12)","2. My Version","3. Projected","4. Offer"},0),B143,C143,D143,E143)</f>
        <v/>
      </c>
      <c r="G143" s="111" t="n"/>
      <c r="H143" s="891" t="inlineStr">
        <is>
          <t>Mezz: 8–12% typical</t>
        </is>
      </c>
      <c r="I143" s="441" t="n"/>
      <c r="J143" s="427" t="n"/>
      <c r="K143" s="427" t="n"/>
    </row>
    <row r="144" ht="18" customHeight="1" s="817">
      <c r="A144" s="62" t="inlineStr">
        <is>
          <t>Amortization (years) — 2nd</t>
        </is>
      </c>
      <c r="B144" s="113" t="n"/>
      <c r="C144" s="113" t="n"/>
      <c r="D144" s="113" t="n"/>
      <c r="E144" s="113" t="n"/>
      <c r="F144" s="103">
        <f>CHOOSE(MATCH(B$2,{"Actuals (T-12)","2. My Version","3. Projected","4. Offer"},0),B144,C144,D144,E144)</f>
        <v/>
      </c>
      <c r="G144" s="103" t="n"/>
      <c r="H144" s="441" t="n"/>
      <c r="I144" s="441" t="n"/>
      <c r="J144" s="427" t="n"/>
      <c r="K144" s="427" t="n"/>
    </row>
    <row r="145" ht="18" customHeight="1" s="817">
      <c r="A145" s="65" t="inlineStr">
        <is>
          <t>Loan Term (years) — 2nd</t>
        </is>
      </c>
      <c r="B145" s="112" t="n"/>
      <c r="C145" s="112" t="n"/>
      <c r="D145" s="112" t="n"/>
      <c r="E145" s="112" t="n"/>
      <c r="F145" s="103">
        <f>CHOOSE(MATCH(B$2,{"Actuals (T-12)","2. My Version","3. Projected","4. Offer"},0),B145,C145,D145,E145)</f>
        <v/>
      </c>
      <c r="G145" s="103" t="n"/>
      <c r="H145" s="441" t="n"/>
      <c r="I145" s="441" t="n"/>
      <c r="J145" s="427" t="n"/>
      <c r="K145" s="427" t="n"/>
    </row>
    <row r="146">
      <c r="A146" s="62" t="inlineStr">
        <is>
          <t>Interest-Only Period (months) — 2nd</t>
        </is>
      </c>
      <c r="B146" s="113" t="n"/>
      <c r="C146" s="113" t="n"/>
      <c r="D146" s="113" t="n"/>
      <c r="E146" s="113" t="n"/>
      <c r="F146" s="103">
        <f>CHOOSE(MATCH(B$2,{"Actuals (T-12)","2. My Version","3. Projected","4. Offer"},0),B146,C146,D146,E146)</f>
        <v/>
      </c>
      <c r="G146" s="103" t="n"/>
      <c r="H146" s="441" t="n"/>
      <c r="I146" s="441" t="n"/>
      <c r="J146" s="427" t="n"/>
      <c r="K146" s="427" t="n"/>
    </row>
    <row r="147">
      <c r="A147" s="65" t="inlineStr">
        <is>
          <t>Origination Fee % — 2nd</t>
        </is>
      </c>
      <c r="B147" s="96" t="n"/>
      <c r="C147" s="96" t="n"/>
      <c r="D147" s="96" t="n"/>
      <c r="E147" s="96" t="n"/>
      <c r="F147" s="111">
        <f>CHOOSE(MATCH(B$2,{"Actuals (T-12)","2. My Version","3. Projected","4. Offer"},0),B147,C147,D147,E147)</f>
        <v/>
      </c>
      <c r="G147" s="111" t="n"/>
      <c r="H147" s="441" t="n"/>
      <c r="I147" s="441" t="n"/>
      <c r="J147" s="427" t="n"/>
      <c r="K147" s="427" t="n"/>
    </row>
    <row r="148">
      <c r="A148" s="837" t="inlineStr">
        <is>
          <t xml:space="preserve">  SUPPLEMENTAL — SBA / SELLER CARRY</t>
        </is>
      </c>
      <c r="I148" s="441" t="n"/>
      <c r="J148" s="427" t="n"/>
      <c r="K148" s="427" t="n"/>
    </row>
    <row r="149">
      <c r="A149" s="65" t="inlineStr">
        <is>
          <t>Loan Amount — Supplemental ($)</t>
        </is>
      </c>
      <c r="B149" s="108" t="n"/>
      <c r="C149" s="108">
        <f>B149</f>
        <v/>
      </c>
      <c r="D149" s="108">
        <f>C149</f>
        <v/>
      </c>
      <c r="E149" s="108" t="n"/>
      <c r="F149" s="109">
        <f>CHOOSE(MATCH(B$2,{"Actuals (T-12)","2. My Version","3. Projected","4. Offer"},0),B149,C149,D149,E149)</f>
        <v/>
      </c>
      <c r="G149" s="109" t="n"/>
      <c r="H149" s="891" t="inlineStr">
        <is>
          <t>$0 if no supplemental tranche</t>
        </is>
      </c>
      <c r="I149" s="441" t="n"/>
      <c r="J149" s="427" t="n"/>
      <c r="K149" s="427" t="n"/>
    </row>
    <row r="150">
      <c r="A150" s="62" t="inlineStr">
        <is>
          <t>Interest Rate — Supplemental (%)</t>
        </is>
      </c>
      <c r="B150" s="84" t="n">
        <v>0</v>
      </c>
      <c r="C150" s="84" t="n"/>
      <c r="D150" s="84" t="n"/>
      <c r="E150" s="84" t="n"/>
      <c r="F150" s="111">
        <f>CHOOSE(MATCH(B$2,{"Actuals (T-12)","2. My Version","3. Projected","4. Offer"},0),B150,C150,D150,E150)</f>
        <v/>
      </c>
      <c r="G150" s="111" t="n"/>
      <c r="H150" s="441" t="n"/>
      <c r="I150" s="441" t="n"/>
      <c r="J150" s="427" t="n"/>
      <c r="K150" s="427" t="n"/>
    </row>
    <row r="151">
      <c r="A151" s="65" t="inlineStr">
        <is>
          <t>Amortization (years) — Supplemental</t>
        </is>
      </c>
      <c r="B151" s="112" t="n">
        <v>0</v>
      </c>
      <c r="C151" s="112" t="n"/>
      <c r="D151" s="112" t="n"/>
      <c r="E151" s="112" t="n"/>
      <c r="F151" s="103">
        <f>CHOOSE(MATCH(B$2,{"Actuals (T-12)","2. My Version","3. Projected","4. Offer"},0),B151,C151,D151,E151)</f>
        <v/>
      </c>
      <c r="G151" s="103" t="n"/>
      <c r="H151" s="441" t="n"/>
      <c r="I151" s="441" t="n"/>
      <c r="J151" s="427" t="n"/>
      <c r="K151" s="427" t="n"/>
    </row>
    <row r="152">
      <c r="A152" s="62" t="inlineStr">
        <is>
          <t>Loan Term (years) — Supplemental</t>
        </is>
      </c>
      <c r="B152" s="113" t="n"/>
      <c r="C152" s="113">
        <f>B152</f>
        <v/>
      </c>
      <c r="D152" s="113">
        <f>C152</f>
        <v/>
      </c>
      <c r="E152" s="113" t="n"/>
      <c r="F152" s="103">
        <f>CHOOSE(MATCH(B$2,{"Actuals (T-12)","2. My Version","3. Projected","4. Offer"},0),B152,C152,D152,E152)</f>
        <v/>
      </c>
      <c r="G152" s="103" t="n"/>
      <c r="H152" s="441" t="n"/>
      <c r="I152" s="441" t="n"/>
      <c r="J152" s="427" t="n"/>
      <c r="K152" s="427" t="n"/>
    </row>
    <row r="153">
      <c r="A153" s="65" t="inlineStr">
        <is>
          <t>Interest-Only Period (months) — Supplemental</t>
        </is>
      </c>
      <c r="B153" s="112" t="n"/>
      <c r="C153" s="112" t="n"/>
      <c r="D153" s="112" t="n"/>
      <c r="E153" s="112" t="n"/>
      <c r="F153" s="103">
        <f>CHOOSE(MATCH(B$2,{"Actuals (T-12)","2. My Version","3. Projected","4. Offer"},0),B153,C153,D153,E153)</f>
        <v/>
      </c>
      <c r="G153" s="103" t="n"/>
      <c r="H153" s="441" t="n"/>
      <c r="I153" s="441" t="n"/>
      <c r="J153" s="427" t="n"/>
      <c r="K153" s="427" t="n"/>
    </row>
    <row r="154">
      <c r="A154" s="62" t="inlineStr">
        <is>
          <t>Origination Fee % — Supplemental</t>
        </is>
      </c>
      <c r="B154" s="84" t="n">
        <v>0</v>
      </c>
      <c r="C154" s="84" t="n"/>
      <c r="D154" s="84" t="n"/>
      <c r="E154" s="84" t="n"/>
      <c r="F154" s="111">
        <f>CHOOSE(MATCH(B$2,{"Actuals (T-12)","2. My Version","3. Projected","4. Offer"},0),B154,C154,D154,E154)</f>
        <v/>
      </c>
      <c r="G154" s="111" t="n"/>
      <c r="H154" s="441" t="n"/>
      <c r="I154" s="441" t="n"/>
      <c r="J154" s="427" t="n"/>
      <c r="K154" s="427" t="n"/>
    </row>
    <row r="155">
      <c r="A155" s="836" t="inlineStr">
        <is>
          <t xml:space="preserve">  CALCULATED METRICS (auto — do not edit)</t>
        </is>
      </c>
      <c r="I155" s="441" t="n"/>
      <c r="J155" s="427" t="n"/>
      <c r="K155" s="427" t="n"/>
    </row>
    <row r="156">
      <c r="A156" s="62" t="inlineStr">
        <is>
          <t xml:space="preserve">  Monthly Payment — 1st</t>
        </is>
      </c>
      <c r="B156" s="75">
        <f>IFERROR(IF(B135=0,0,IF(B139&gt;0,B135*B136/12,-PMT(B136/12,B137*12,B135))),0)</f>
        <v/>
      </c>
      <c r="C156" s="75">
        <f>IFERROR(IF(C135=0,0,IF(C139&gt;0,C135*C136/12,-PMT(C136/12,C137*12,C135))),0)</f>
        <v/>
      </c>
      <c r="D156" s="75">
        <f>IFERROR(IF(D135=0,0,IF(D139&gt;0,D135*D136/12,-PMT(D136/12,D137*12,D135))),0)</f>
        <v/>
      </c>
      <c r="E156" s="75">
        <f>IFERROR(IF(E135=0,0,IF(E139&gt;0,E135*E136/12,-PMT(E136/12,E137*12,E135))),0)</f>
        <v/>
      </c>
      <c r="F156" s="109">
        <f>CHOOSE(MATCH(B$2,{"Actuals (T-12)","2. My Version","3. Projected","4. Offer"},0),B156,C156,D156,E156)</f>
        <v/>
      </c>
      <c r="G156" s="109" t="n"/>
      <c r="H156" s="441" t="n"/>
      <c r="I156" s="441" t="n"/>
      <c r="J156" s="427" t="n"/>
      <c r="K156" s="427" t="n"/>
    </row>
    <row r="157">
      <c r="A157" s="62" t="inlineStr">
        <is>
          <t xml:space="preserve">  Monthly Payment — 2nd</t>
        </is>
      </c>
      <c r="B157" s="75">
        <f>IFERROR(IF(B142=0,0,IF(B146&gt;0,B142*B143/12,-PMT(B143/12,B144*12,B142))),0)</f>
        <v/>
      </c>
      <c r="C157" s="75">
        <f>IFERROR(IF(C142=0,0,IF(C146&gt;0,C142*C143/12,-PMT(C143/12,C144*12,C142))),0)</f>
        <v/>
      </c>
      <c r="D157" s="75">
        <f>IFERROR(IF(D142=0,0,IF(D146&gt;0,D142*D143/12,-PMT(D143/12,D144*12,D142))),0)</f>
        <v/>
      </c>
      <c r="E157" s="75">
        <f>IFERROR(IF(E142=0,0,IF(E146&gt;0,E142*E143/12,-PMT(E143/12,E144*12,E142))),0)</f>
        <v/>
      </c>
      <c r="F157" s="109">
        <f>CHOOSE(MATCH(B$2,{"Actuals (T-12)","2. My Version","3. Projected","4. Offer"},0),B157,C157,D157,E157)</f>
        <v/>
      </c>
      <c r="G157" s="109" t="n"/>
      <c r="H157" s="441" t="n"/>
      <c r="I157" s="441" t="n"/>
      <c r="J157" s="427" t="n"/>
      <c r="K157" s="427" t="n"/>
    </row>
    <row r="158">
      <c r="A158" s="62" t="inlineStr">
        <is>
          <t xml:space="preserve">  Monthly Payment — Supplemental</t>
        </is>
      </c>
      <c r="B158" s="75">
        <f>IFERROR(IF(B149=0,0,IF(B153&gt;0,B149*B150/12,-PMT(B150/12,B151*12,B149))),0)</f>
        <v/>
      </c>
      <c r="C158" s="75">
        <f>IFERROR(IF(C149=0,0,IF(C153&gt;0,C149*C150/12,-PMT(C150/12,C151*12,C149))),0)</f>
        <v/>
      </c>
      <c r="D158" s="75">
        <f>IFERROR(IF(D149=0,0,IF(D153&gt;0,D149*D150/12,-PMT(D150/12,D151*12,D149))),0)</f>
        <v/>
      </c>
      <c r="E158" s="75">
        <f>IFERROR(IF(E149=0,0,IF(E153&gt;0,E149*E150/12,-PMT(E150/12,E151*12,E149))),0)</f>
        <v/>
      </c>
      <c r="F158" s="109">
        <f>CHOOSE(MATCH(B$2,{"Actuals (T-12)","2. My Version","3. Projected","4. Offer"},0),B158,C158,D158,E158)</f>
        <v/>
      </c>
      <c r="G158" s="109" t="n"/>
      <c r="H158" s="441" t="n"/>
      <c r="I158" s="441" t="n"/>
      <c r="J158" s="427" t="n"/>
      <c r="K158" s="427" t="n"/>
    </row>
    <row r="159">
      <c r="A159" s="62" t="inlineStr">
        <is>
          <t>Annual DS — 1st</t>
        </is>
      </c>
      <c r="B159" s="75">
        <f>IFERROR(IF(B135=0,0,B156*12),0)</f>
        <v/>
      </c>
      <c r="C159" s="75">
        <f>IFERROR(IF(C135=0,0,C156*12),0)</f>
        <v/>
      </c>
      <c r="D159" s="75">
        <f>IFERROR(IF(D135=0,0,D156*12),0)</f>
        <v/>
      </c>
      <c r="E159" s="75">
        <f>IFERROR(IF(E135=0,0,E156*12),0)</f>
        <v/>
      </c>
      <c r="F159" s="109">
        <f>CHOOSE(MATCH(B$2,{"Actuals (T-12)","2. My Version","3. Projected","4. Offer"},0),B159,C159,D159,E159)</f>
        <v/>
      </c>
      <c r="G159" s="109" t="n"/>
      <c r="H159" s="441" t="n"/>
      <c r="I159" s="441" t="n"/>
      <c r="J159" s="427" t="n"/>
      <c r="K159" s="427" t="n"/>
    </row>
    <row r="160">
      <c r="A160" s="62" t="inlineStr">
        <is>
          <t>Annual DS — 2nd</t>
        </is>
      </c>
      <c r="B160" s="75">
        <f>IFERROR(IF(B142=0,0,B157*12),0)</f>
        <v/>
      </c>
      <c r="C160" s="75">
        <f>IFERROR(IF(C142=0,0,C157*12),0)</f>
        <v/>
      </c>
      <c r="D160" s="75">
        <f>IFERROR(IF(D142=0,0,D157*12),0)</f>
        <v/>
      </c>
      <c r="E160" s="75">
        <f>IFERROR(IF(E142=0,0,E157*12),0)</f>
        <v/>
      </c>
      <c r="F160" s="109">
        <f>CHOOSE(MATCH(B$2,{"Actuals (T-12)","2. My Version","3. Projected","4. Offer"},0),B160,C160,D160,E160)</f>
        <v/>
      </c>
      <c r="G160" s="109" t="n"/>
      <c r="H160" s="441" t="n"/>
      <c r="I160" s="441" t="n"/>
      <c r="J160" s="427" t="n"/>
      <c r="K160" s="427" t="n"/>
    </row>
    <row r="161">
      <c r="A161" s="62" t="inlineStr">
        <is>
          <t>Annual DS — Supplemental</t>
        </is>
      </c>
      <c r="B161" s="75">
        <f>IFERROR(IF(B149=0,0,B158*12),0)</f>
        <v/>
      </c>
      <c r="C161" s="75">
        <f>IFERROR(IF(C149=0,0,C158*12),0)</f>
        <v/>
      </c>
      <c r="D161" s="75">
        <f>IFERROR(IF(D149=0,0,D158*12),0)</f>
        <v/>
      </c>
      <c r="E161" s="75">
        <f>IFERROR(IF(E149=0,0,E158*12),0)</f>
        <v/>
      </c>
      <c r="F161" s="109">
        <f>CHOOSE(MATCH(B$2,{"Actuals (T-12)","2. My Version","3. Projected","4. Offer"},0),B161,C161,D161,E161)</f>
        <v/>
      </c>
      <c r="G161" s="109" t="n"/>
      <c r="H161" s="441" t="n"/>
      <c r="I161" s="441" t="n"/>
      <c r="J161" s="427" t="n"/>
      <c r="K161" s="427" t="n"/>
    </row>
    <row r="162">
      <c r="A162" s="114" t="inlineStr">
        <is>
          <t>TOTAL ANNUAL DEBT SERVICE</t>
        </is>
      </c>
      <c r="B162" s="115">
        <f>B159+B160+B161</f>
        <v/>
      </c>
      <c r="C162" s="115">
        <f>C159+C160+C161</f>
        <v/>
      </c>
      <c r="D162" s="115">
        <f>D159+D160+D161</f>
        <v/>
      </c>
      <c r="E162" s="115">
        <f>E159+E160+E161</f>
        <v/>
      </c>
      <c r="F162" s="115">
        <f>CHOOSE(MATCH(B$2,{"Actuals (T-12)","2. My Version","3. Projected","4. Offer"},0),B162,C162,D162,E162)</f>
        <v/>
      </c>
      <c r="G162" s="115" t="n"/>
      <c r="H162" s="116" t="inlineStr">
        <is>
          <t>Auto-calculated total DS</t>
        </is>
      </c>
      <c r="I162" s="441" t="n"/>
      <c r="J162" s="427" t="n"/>
      <c r="K162" s="427" t="n"/>
    </row>
    <row r="163">
      <c r="A163" s="88" t="inlineStr">
        <is>
          <t>Total Loan Balance at Exit (payoff)</t>
        </is>
      </c>
      <c r="B163" s="80">
        <f>IFERROR(IF(B135=0,0,IF(B139&gt;0,B135,B135+CUMPRINC(B136/12,B137*12,B135,1,B129*12,0))),0)+IFERROR(IF(B142=0,0,IF(B146&gt;0,B142,B142+CUMPRINC(B143/12,B144*12,B142,1,B129*12,0))),0)+IFERROR(IF(B149=0,0,IF(B153&gt;0,B149,B149+CUMPRINC(B150/12,B151*12,B149,1,B129*12,0))),0)</f>
        <v/>
      </c>
      <c r="C163" s="80">
        <f>IFERROR(IF(C135=0,0,IF(C139&gt;0,C135,C135+CUMPRINC(C136/12,C137*12,C135,1,C129*12,0))),0)+IFERROR(IF(C142=0,0,IF(C146&gt;0,C142,C142+CUMPRINC(C143/12,C144*12,C142,1,C129*12,0))),0)+IFERROR(IF(C149=0,0,IF(C153&gt;0,C149,C149+CUMPRINC(C150/12,C151*12,C149,1,C129*12,0))),0)</f>
        <v/>
      </c>
      <c r="D163" s="80">
        <f>IFERROR(IF(D135=0,0,IF(D139&gt;0,D135,D135+CUMPRINC(D136/12,D137*12,D135,1,D129*12,0))),0)+IFERROR(IF(D142=0,0,IF(D146&gt;0,D142,D142+CUMPRINC(D143/12,D144*12,D142,1,D129*12,0))),0)+IFERROR(IF(D149=0,0,IF(D153&gt;0,D149,D149+CUMPRINC(D150/12,D151*12,D149,1,D129*12,0))),0)</f>
        <v/>
      </c>
      <c r="E163" s="80">
        <f>IFERROR(IF(E135=0,0,IF(E139&gt;0,E135,E135+CUMPRINC(E136/12,E137*12,E135,1,E129*12,0))),0)+IFERROR(IF(E142=0,0,IF(E146&gt;0,E142,E142+CUMPRINC(E143/12,E144*12,E142,1,E129*12,0))),0)+IFERROR(IF(E149=0,0,IF(E153&gt;0,E149,E149+CUMPRINC(E150/12,E151*12,E149,1,E129*12,0))),0)</f>
        <v/>
      </c>
      <c r="F163" s="117">
        <f>CHOOSE(MATCH(B$2,{"Actuals (T-12)","2. My Version","3. Projected","4. Offer"},0),B163,C163,D163,E163)</f>
        <v/>
      </c>
      <c r="G163" s="117" t="n"/>
      <c r="H163" s="56" t="inlineStr">
        <is>
          <t>CUMPRINC-based balloon payoff</t>
        </is>
      </c>
      <c r="I163" s="441" t="n"/>
      <c r="J163" s="427" t="n"/>
      <c r="K163" s="427" t="n"/>
    </row>
    <row r="164">
      <c r="A164" s="118" t="inlineStr">
        <is>
          <t>Total Debt — All Tranches</t>
        </is>
      </c>
      <c r="B164" s="119">
        <f>B135+B142+B149</f>
        <v/>
      </c>
      <c r="C164" s="119">
        <f>C135+C142+C149</f>
        <v/>
      </c>
      <c r="D164" s="119">
        <f>D135+D142+D149</f>
        <v/>
      </c>
      <c r="E164" s="119">
        <f>E135+E142+E149</f>
        <v/>
      </c>
      <c r="F164" s="109">
        <f>CHOOSE(MATCH(B$2,{"Actuals (T-12)","2. My Version","3. Projected","4. Offer"},0),B164,C164,D164,E164)</f>
        <v/>
      </c>
      <c r="G164" s="109" t="n"/>
      <c r="H164" s="841" t="inlineStr">
        <is>
          <t>Auto-calculated total debt</t>
        </is>
      </c>
      <c r="I164" s="441" t="n"/>
      <c r="J164" s="427" t="n"/>
      <c r="K164" s="427" t="n"/>
    </row>
    <row r="165">
      <c r="A165" s="62" t="inlineStr">
        <is>
          <t>LTV — Total Debt / Purchase Price</t>
        </is>
      </c>
      <c r="B165" s="82">
        <f>IFERROR(B164/B7,0)</f>
        <v/>
      </c>
      <c r="C165" s="82">
        <f>IFERROR(C164/C7,0)</f>
        <v/>
      </c>
      <c r="D165" s="82">
        <f>IFERROR(D164/D7,0)</f>
        <v/>
      </c>
      <c r="E165" s="82">
        <f>IFERROR(E164/E7,0)</f>
        <v/>
      </c>
      <c r="F165" s="111">
        <f>CHOOSE(MATCH(B$2,{"Actuals (T-12)","2. My Version","3. Projected","4. Offer"},0),B165,C165,D165,E165)</f>
        <v/>
      </c>
      <c r="G165" s="111" t="n"/>
      <c r="H165" s="835" t="inlineStr">
        <is>
          <t>Target ≤70% LTV (senior only)</t>
        </is>
      </c>
      <c r="I165" s="441" t="n"/>
      <c r="J165" s="427" t="n"/>
      <c r="K165" s="427" t="n"/>
    </row>
    <row r="166">
      <c r="A166" s="102" t="inlineStr">
        <is>
          <t>LTC — Total Debt / Total Acquisition Cost</t>
        </is>
      </c>
      <c r="B166" s="843">
        <f>IFERROR(B164/B17,0)</f>
        <v/>
      </c>
      <c r="C166" s="843">
        <f>IFERROR(C164/C17,0)</f>
        <v/>
      </c>
      <c r="D166" s="843">
        <f>IFERROR(D164/D17,0)</f>
        <v/>
      </c>
      <c r="E166" s="843">
        <f>IFERROR(E164/E17,0)</f>
        <v/>
      </c>
      <c r="F166" s="111">
        <f>CHOOSE(MATCH(B$2,{"Actuals (T-12)","2. My Version","3. Projected","4. Offer"},0),B166,C166,D166,E166)</f>
        <v/>
      </c>
      <c r="G166" s="111" t="n"/>
      <c r="H166" s="56" t="inlineStr">
        <is>
          <t>Target ≤80–85% LTC (value-add)</t>
        </is>
      </c>
      <c r="I166" s="441" t="n"/>
      <c r="J166" s="427" t="n"/>
      <c r="K166" s="427" t="n"/>
    </row>
    <row r="167">
      <c r="A167" s="441" t="n"/>
      <c r="B167" s="441" t="n"/>
      <c r="C167" s="441" t="n"/>
      <c r="D167" s="441" t="n"/>
      <c r="E167" s="441" t="n"/>
      <c r="F167" s="441" t="n"/>
      <c r="G167" s="441" t="n"/>
      <c r="H167" s="441" t="n"/>
      <c r="I167" s="441" t="n"/>
      <c r="J167" s="427" t="n"/>
      <c r="K167" s="427" t="n"/>
    </row>
    <row r="168">
      <c r="A168" s="441" t="n"/>
      <c r="B168" s="441" t="n"/>
      <c r="C168" s="441" t="n"/>
      <c r="D168" s="441" t="n"/>
      <c r="E168" s="441" t="n"/>
      <c r="F168" s="441" t="n"/>
      <c r="G168" s="441" t="n"/>
      <c r="H168" s="441" t="n"/>
      <c r="I168" s="441" t="n"/>
      <c r="J168" s="427" t="n"/>
      <c r="K168" s="427" t="n"/>
    </row>
    <row r="169">
      <c r="A169" s="441" t="n"/>
      <c r="B169" s="441" t="n"/>
      <c r="C169" s="441" t="n"/>
      <c r="D169" s="441" t="n"/>
      <c r="E169" s="441" t="n"/>
      <c r="F169" s="441" t="n"/>
      <c r="G169" s="441" t="n"/>
      <c r="H169" s="441" t="n"/>
      <c r="I169" s="441" t="n"/>
      <c r="J169" s="427" t="n"/>
      <c r="K169" s="427" t="n"/>
    </row>
    <row r="170">
      <c r="A170" s="441" t="n"/>
      <c r="B170" s="441" t="n"/>
      <c r="C170" s="441" t="n"/>
      <c r="D170" s="441" t="n"/>
      <c r="E170" s="441" t="n"/>
      <c r="F170" s="441" t="n"/>
      <c r="G170" s="441" t="n"/>
      <c r="H170" s="441" t="n"/>
      <c r="I170" s="441" t="n"/>
      <c r="J170" s="427" t="n"/>
      <c r="K170" s="427" t="n"/>
    </row>
    <row r="171">
      <c r="A171" s="441" t="n"/>
      <c r="B171" s="441" t="n"/>
      <c r="C171" s="441" t="n"/>
      <c r="D171" s="441" t="n"/>
      <c r="E171" s="441" t="n"/>
      <c r="F171" s="441" t="n"/>
      <c r="G171" s="441" t="n"/>
      <c r="H171" s="441" t="n"/>
      <c r="I171" s="441" t="n"/>
      <c r="J171" s="427" t="n"/>
      <c r="K171" s="427" t="n"/>
    </row>
    <row r="172">
      <c r="A172" s="441" t="n"/>
      <c r="B172" s="441" t="n"/>
      <c r="C172" s="441" t="n"/>
      <c r="D172" s="441" t="n"/>
      <c r="E172" s="441" t="n"/>
      <c r="F172" s="441" t="n"/>
      <c r="G172" s="441" t="n"/>
      <c r="H172" s="441" t="n"/>
      <c r="I172" s="441" t="n"/>
      <c r="J172" s="427" t="n"/>
      <c r="K172" s="427" t="n"/>
    </row>
    <row r="173">
      <c r="A173" s="441" t="n"/>
      <c r="B173" s="441" t="n"/>
      <c r="C173" s="441" t="n"/>
      <c r="D173" s="441" t="n"/>
      <c r="E173" s="441" t="n"/>
      <c r="F173" s="441" t="n"/>
      <c r="G173" s="441" t="n"/>
      <c r="H173" s="441" t="n"/>
      <c r="I173" s="441" t="n"/>
      <c r="J173" s="427" t="n"/>
      <c r="K173" s="427" t="n"/>
    </row>
    <row r="174">
      <c r="A174" s="441" t="n"/>
      <c r="B174" s="441" t="n"/>
      <c r="C174" s="441" t="n"/>
      <c r="D174" s="441" t="n"/>
      <c r="E174" s="441" t="n"/>
      <c r="F174" s="441" t="n"/>
      <c r="G174" s="441" t="n"/>
      <c r="H174" s="441" t="n"/>
      <c r="I174" s="441" t="n"/>
      <c r="J174" s="427" t="n"/>
      <c r="K174" s="427" t="n"/>
    </row>
    <row r="175">
      <c r="A175" s="441" t="n"/>
      <c r="B175" s="441" t="n"/>
      <c r="C175" s="441" t="n"/>
      <c r="D175" s="441" t="n"/>
      <c r="E175" s="441" t="n"/>
      <c r="F175" s="441" t="n"/>
      <c r="G175" s="441" t="n"/>
      <c r="H175" s="441" t="n"/>
      <c r="I175" s="441" t="n"/>
      <c r="J175" s="427" t="n"/>
      <c r="K175" s="427" t="n"/>
    </row>
    <row r="176">
      <c r="A176" s="441" t="n"/>
      <c r="B176" s="441" t="n"/>
      <c r="C176" s="441" t="n"/>
      <c r="D176" s="441" t="n"/>
      <c r="E176" s="441" t="n"/>
      <c r="F176" s="441" t="n"/>
      <c r="G176" s="441" t="n"/>
      <c r="H176" s="441" t="n"/>
      <c r="I176" s="441" t="n"/>
      <c r="J176" s="427" t="n"/>
      <c r="K176" s="427" t="n"/>
    </row>
    <row r="177">
      <c r="A177" s="441" t="n"/>
      <c r="B177" s="441" t="n"/>
      <c r="C177" s="441" t="n"/>
      <c r="D177" s="441" t="n"/>
      <c r="E177" s="441" t="n"/>
      <c r="F177" s="441" t="n"/>
      <c r="G177" s="441" t="n"/>
      <c r="H177" s="441" t="n"/>
      <c r="I177" s="441" t="n"/>
      <c r="J177" s="427" t="n"/>
      <c r="K177" s="427" t="n"/>
    </row>
    <row r="178">
      <c r="A178" s="441" t="n"/>
      <c r="B178" s="441" t="n"/>
      <c r="C178" s="441" t="n"/>
      <c r="D178" s="441" t="n"/>
      <c r="E178" s="441" t="n"/>
      <c r="F178" s="441" t="n"/>
      <c r="G178" s="441" t="n"/>
      <c r="H178" s="441" t="n"/>
      <c r="I178" s="441" t="n"/>
      <c r="J178" s="427" t="n"/>
      <c r="K178" s="427" t="n"/>
    </row>
    <row r="179">
      <c r="A179" s="441" t="n"/>
      <c r="B179" s="441" t="n"/>
      <c r="C179" s="441" t="n"/>
      <c r="D179" s="441" t="n"/>
      <c r="E179" s="441" t="n"/>
      <c r="F179" s="441" t="n"/>
      <c r="G179" s="441" t="n"/>
      <c r="H179" s="441" t="n"/>
      <c r="I179" s="441" t="n"/>
      <c r="J179" s="427" t="n"/>
      <c r="K179" s="427" t="n"/>
    </row>
    <row r="180">
      <c r="A180" s="441" t="n"/>
      <c r="B180" s="441" t="n"/>
      <c r="C180" s="441" t="n"/>
      <c r="D180" s="441" t="n"/>
      <c r="E180" s="441" t="n"/>
      <c r="F180" s="441" t="n"/>
      <c r="G180" s="441" t="n"/>
      <c r="H180" s="441" t="n"/>
      <c r="I180" s="441" t="n"/>
      <c r="J180" s="427" t="n"/>
      <c r="K180" s="427" t="n"/>
    </row>
    <row r="181">
      <c r="A181" s="441" t="n"/>
      <c r="B181" s="441" t="n"/>
      <c r="C181" s="441" t="n"/>
      <c r="D181" s="441" t="n"/>
      <c r="E181" s="441" t="n"/>
      <c r="F181" s="441" t="n"/>
      <c r="G181" s="441" t="n"/>
      <c r="H181" s="441" t="n"/>
      <c r="I181" s="441" t="n"/>
      <c r="J181" s="427" t="n"/>
      <c r="K181" s="427" t="n"/>
    </row>
    <row r="182">
      <c r="A182" s="441" t="n"/>
      <c r="B182" s="441" t="n"/>
      <c r="C182" s="441" t="n"/>
      <c r="D182" s="441" t="n"/>
      <c r="E182" s="441" t="n"/>
      <c r="F182" s="441" t="n"/>
      <c r="G182" s="441" t="n"/>
      <c r="H182" s="441" t="n"/>
      <c r="I182" s="441" t="n"/>
      <c r="J182" s="427" t="n"/>
      <c r="K182" s="427" t="n"/>
    </row>
    <row r="183">
      <c r="A183" s="441" t="n"/>
      <c r="B183" s="441" t="n"/>
      <c r="C183" s="441" t="n"/>
      <c r="D183" s="441" t="n"/>
      <c r="E183" s="441" t="n"/>
      <c r="F183" s="441" t="n"/>
      <c r="G183" s="441" t="n"/>
      <c r="H183" s="441" t="n"/>
      <c r="I183" s="441" t="n"/>
      <c r="J183" s="427" t="n"/>
      <c r="K183" s="427" t="n"/>
    </row>
    <row r="184">
      <c r="A184" s="441" t="n"/>
      <c r="B184" s="441" t="n"/>
      <c r="C184" s="441" t="n"/>
      <c r="D184" s="441" t="n"/>
      <c r="E184" s="441" t="n"/>
      <c r="F184" s="441" t="n"/>
      <c r="G184" s="441" t="n"/>
      <c r="H184" s="441" t="n"/>
      <c r="I184" s="441" t="n"/>
      <c r="J184" s="427" t="n"/>
      <c r="K184" s="427" t="n"/>
    </row>
    <row r="185">
      <c r="A185" s="441" t="n"/>
      <c r="B185" s="441" t="n"/>
      <c r="C185" s="441" t="n"/>
      <c r="D185" s="441" t="n"/>
      <c r="E185" s="441" t="n"/>
      <c r="F185" s="441" t="n"/>
      <c r="G185" s="441" t="n"/>
      <c r="H185" s="441" t="n"/>
      <c r="I185" s="441" t="n"/>
    </row>
    <row r="186">
      <c r="A186" s="441" t="n"/>
      <c r="B186" s="441" t="n"/>
      <c r="C186" s="441" t="n"/>
      <c r="D186" s="441" t="n"/>
      <c r="E186" s="441" t="n"/>
      <c r="F186" s="441" t="n"/>
      <c r="G186" s="441" t="n"/>
      <c r="H186" s="441" t="n"/>
      <c r="I186" s="441" t="n"/>
    </row>
  </sheetData>
  <mergeCells count="13">
    <mergeCell ref="A1:H1"/>
    <mergeCell ref="A3:H3"/>
    <mergeCell ref="A122:H122"/>
    <mergeCell ref="A148:H148"/>
    <mergeCell ref="A134:H134"/>
    <mergeCell ref="A27:H27"/>
    <mergeCell ref="A72:H72"/>
    <mergeCell ref="A19:H19"/>
    <mergeCell ref="A132:H132"/>
    <mergeCell ref="A155:H155"/>
    <mergeCell ref="A37:H37"/>
    <mergeCell ref="A133:H133"/>
    <mergeCell ref="A141:H141"/>
  </mergeCells>
  <dataValidations disablePrompts="1" count="1">
    <dataValidation sqref="B2" showDropDown="0" showInputMessage="0" showErrorMessage="0" allowBlank="0" type="list">
      <formula1>"1. Marketing Package,2. My Version,3. Projected,4. Offer"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30"/>
  <sheetViews>
    <sheetView zoomScaleNormal="100" workbookViewId="0">
      <pane xSplit="1" ySplit="7" topLeftCell="B8" activePane="bottomRight" state="frozen"/>
      <selection pane="topRight" activeCell="B1" sqref="B1"/>
      <selection pane="bottomLeft" activeCell="A36" sqref="A36"/>
      <selection pane="bottomRight" activeCell="F113" sqref="F113"/>
    </sheetView>
  </sheetViews>
  <sheetFormatPr baseColWidth="8" defaultColWidth="8.85546875" defaultRowHeight="15" outlineLevelRow="1"/>
  <cols>
    <col width="37.28515625" bestFit="1" customWidth="1" style="817" min="1" max="1"/>
    <col width="5.42578125" customWidth="1" style="817" min="2" max="2"/>
    <col width="15.28515625" bestFit="1" customWidth="1" style="817" min="3" max="3"/>
    <col width="15.7109375" bestFit="1" customWidth="1" style="817" min="4" max="8"/>
    <col width="17" customWidth="1" style="817" min="9" max="13"/>
    <col width="14" customWidth="1" style="817" min="14" max="16"/>
    <col width="16" customWidth="1" style="817" min="17" max="18"/>
  </cols>
  <sheetData>
    <row r="1" ht="27.75" customHeight="1" s="817">
      <c r="A1" s="842" t="inlineStr">
        <is>
          <t>P&amp;L — 10-YEAR PRO FORMA PROJECTIONS  (Active Scenario drives all inputs)</t>
        </is>
      </c>
    </row>
    <row r="2" ht="15.75" customHeight="1" s="817">
      <c r="A2" s="835" t="inlineStr">
        <is>
          <t xml:space="preserve">  Blue = input | Black = formula | Green = cross-sheet. Escalators auto-pulled from annual averages. Override any cell and highlight yellow.</t>
        </is>
      </c>
    </row>
    <row r="4" ht="24" customHeight="1" s="817">
      <c r="A4" s="120" t="inlineStr">
        <is>
          <t>ESCALATORS &amp; ASSUMPTIONS</t>
        </is>
      </c>
      <c r="B4" s="120" t="n"/>
      <c r="C4" s="120" t="n"/>
      <c r="D4" s="32" t="inlineStr">
        <is>
          <t>Year 1</t>
        </is>
      </c>
      <c r="E4" s="32" t="inlineStr">
        <is>
          <t>Year 2</t>
        </is>
      </c>
      <c r="F4" s="32" t="inlineStr">
        <is>
          <t>Year 3</t>
        </is>
      </c>
      <c r="G4" s="32" t="inlineStr">
        <is>
          <t>Year 4</t>
        </is>
      </c>
      <c r="H4" s="32" t="inlineStr">
        <is>
          <t>Year 5</t>
        </is>
      </c>
      <c r="I4" s="32" t="inlineStr">
        <is>
          <t>Year 6</t>
        </is>
      </c>
      <c r="J4" s="32" t="inlineStr">
        <is>
          <t>Year 7</t>
        </is>
      </c>
      <c r="K4" s="32" t="inlineStr">
        <is>
          <t>Year 8</t>
        </is>
      </c>
      <c r="L4" s="32" t="inlineStr">
        <is>
          <t>Year 9</t>
        </is>
      </c>
      <c r="M4" s="32" t="inlineStr">
        <is>
          <t>Year 10</t>
        </is>
      </c>
      <c r="N4" s="120" t="n"/>
      <c r="O4" s="120" t="n"/>
      <c r="P4" s="120" t="n"/>
      <c r="Q4" s="120" t="n"/>
    </row>
    <row r="5" ht="18" customHeight="1" s="817">
      <c r="A5" s="121" t="inlineStr">
        <is>
          <t>Annual Revenue Escalator</t>
        </is>
      </c>
      <c r="B5" s="121" t="n"/>
      <c r="C5" s="122" t="inlineStr">
        <is>
          <t>—</t>
        </is>
      </c>
      <c r="D5" s="123" t="n">
        <v>0.04</v>
      </c>
      <c r="E5" s="123" t="n">
        <v>0.04</v>
      </c>
      <c r="F5" s="123" t="n">
        <v>0.04</v>
      </c>
      <c r="G5" s="123" t="n">
        <v>0.04</v>
      </c>
      <c r="H5" s="123">
        <f>G5</f>
        <v/>
      </c>
      <c r="I5" s="123">
        <f>H5</f>
        <v/>
      </c>
      <c r="J5" s="123">
        <f>I5</f>
        <v/>
      </c>
      <c r="K5" s="123">
        <f>J5</f>
        <v/>
      </c>
      <c r="L5" s="123">
        <f>K5</f>
        <v/>
      </c>
      <c r="M5" s="123">
        <f>L5</f>
        <v/>
      </c>
      <c r="N5" s="121" t="inlineStr">
        <is>
          <t>Avg:</t>
        </is>
      </c>
      <c r="O5" s="843">
        <f>AVERAGE(D5:M5)</f>
        <v/>
      </c>
    </row>
    <row r="6" ht="18" customHeight="1" s="817">
      <c r="A6" s="121" t="inlineStr">
        <is>
          <t>Annual Expense Escalator</t>
        </is>
      </c>
      <c r="B6" s="121" t="n"/>
      <c r="C6" s="122" t="inlineStr">
        <is>
          <t>—</t>
        </is>
      </c>
      <c r="D6" s="123" t="n">
        <v>0.03</v>
      </c>
      <c r="E6" s="123" t="n">
        <v>0.03</v>
      </c>
      <c r="F6" s="123" t="n">
        <v>0.03</v>
      </c>
      <c r="G6" s="123" t="n">
        <v>0.03</v>
      </c>
      <c r="H6" s="123" t="n">
        <v>0.03</v>
      </c>
      <c r="I6" s="123">
        <f>H6</f>
        <v/>
      </c>
      <c r="J6" s="123">
        <f>I6</f>
        <v/>
      </c>
      <c r="K6" s="123">
        <f>J6</f>
        <v/>
      </c>
      <c r="L6" s="123">
        <f>K6</f>
        <v/>
      </c>
      <c r="M6" s="123">
        <f>L6</f>
        <v/>
      </c>
      <c r="N6" s="121" t="inlineStr">
        <is>
          <t>Avg:</t>
        </is>
      </c>
      <c r="O6" s="843">
        <f>AVERAGE(D6:M6)</f>
        <v/>
      </c>
    </row>
    <row r="8" ht="30" customHeight="1" s="817">
      <c r="A8" s="41" t="inlineStr">
        <is>
          <t>Line Item</t>
        </is>
      </c>
      <c r="B8" s="41" t="n"/>
      <c r="C8" s="59" t="inlineStr">
        <is>
          <t>T-12 Actual</t>
        </is>
      </c>
      <c r="D8" s="32" t="inlineStr">
        <is>
          <t>Year 1</t>
        </is>
      </c>
      <c r="E8" s="32" t="inlineStr">
        <is>
          <t>Year 2</t>
        </is>
      </c>
      <c r="F8" s="32" t="inlineStr">
        <is>
          <t>Year 3</t>
        </is>
      </c>
      <c r="G8" s="32" t="inlineStr">
        <is>
          <t>Year 4</t>
        </is>
      </c>
      <c r="H8" s="32" t="inlineStr">
        <is>
          <t>Year 5</t>
        </is>
      </c>
      <c r="I8" s="32" t="inlineStr">
        <is>
          <t>Year 6</t>
        </is>
      </c>
      <c r="J8" s="32" t="inlineStr">
        <is>
          <t>Year 7</t>
        </is>
      </c>
      <c r="K8" s="32" t="inlineStr">
        <is>
          <t>Year 8</t>
        </is>
      </c>
      <c r="L8" s="32" t="inlineStr">
        <is>
          <t>Year 9</t>
        </is>
      </c>
      <c r="M8" s="32" t="inlineStr">
        <is>
          <t>Year 10</t>
        </is>
      </c>
      <c r="N8" s="32" t="inlineStr">
        <is>
          <t>Total
(Y1–Y5)</t>
        </is>
      </c>
      <c r="O8" s="32" t="inlineStr">
        <is>
          <t>Total
(Y1–Y10)</t>
        </is>
      </c>
      <c r="P8" s="32" t="inlineStr">
        <is>
          <t>Avg / Yr</t>
        </is>
      </c>
      <c r="Q8" s="19" t="inlineStr">
        <is>
          <t>Y1 % EGI
/ Y1 Value</t>
        </is>
      </c>
    </row>
    <row r="9" ht="24" customHeight="1" s="817">
      <c r="A9" s="827" t="inlineStr">
        <is>
          <t>INCOME</t>
        </is>
      </c>
    </row>
    <row r="10" ht="24" customHeight="1" s="817">
      <c r="A10" s="62" t="inlineStr">
        <is>
          <t>Avg. Rent / Bed</t>
        </is>
      </c>
      <c r="B10" s="62" t="n"/>
      <c r="C10" s="921">
        <f>IFERROR((C43/C42)/12,0)</f>
        <v/>
      </c>
      <c r="D10" s="921">
        <f>IFERROR((D43/D42)/12,0)</f>
        <v/>
      </c>
      <c r="E10" s="922">
        <f>IFERROR((E43/E42)/12,0)</f>
        <v/>
      </c>
      <c r="F10" s="922">
        <f>IFERROR((F43/F42)/12,0)</f>
        <v/>
      </c>
      <c r="G10" s="922">
        <f>IFERROR((G43/G42)/12,0)</f>
        <v/>
      </c>
      <c r="H10" s="922">
        <f>IFERROR((H43/H42)/12,0)</f>
        <v/>
      </c>
      <c r="I10" s="922">
        <f>IFERROR((I43/I42)/12,0)</f>
        <v/>
      </c>
      <c r="J10" s="922">
        <f>IFERROR((J43/J42)/12,0)</f>
        <v/>
      </c>
      <c r="K10" s="922">
        <f>IFERROR((K43/K42)/12,0)</f>
        <v/>
      </c>
      <c r="L10" s="922">
        <f>IFERROR((L43/L42)/12,0)</f>
        <v/>
      </c>
      <c r="M10" s="922">
        <f>IFERROR((M43/M42)/12,0)</f>
        <v/>
      </c>
    </row>
    <row r="11" ht="24" customHeight="1" s="817">
      <c r="A11" s="466" t="inlineStr">
        <is>
          <t>── INDEPENDENT LIVING (IL) ──</t>
        </is>
      </c>
      <c r="B11" s="466" t="n"/>
      <c r="D11" s="124" t="n"/>
      <c r="E11" s="124" t="n"/>
      <c r="F11" s="124" t="n"/>
      <c r="G11" s="124" t="n"/>
      <c r="H11" s="124" t="n"/>
      <c r="I11" s="124" t="n"/>
      <c r="J11" s="124" t="n"/>
      <c r="K11" s="124" t="n"/>
      <c r="L11" s="124" t="n"/>
      <c r="M11" s="124" t="n"/>
    </row>
    <row r="12" outlineLevel="1" ht="24" customHeight="1" s="817">
      <c r="A12" s="465" t="inlineStr">
        <is>
          <t xml:space="preserve">  Licensed Beds — IL</t>
        </is>
      </c>
      <c r="B12" s="465" t="n"/>
      <c r="C12" s="589">
        <f>Scenarios!B39</f>
        <v/>
      </c>
      <c r="D12" s="590">
        <f>Scenarios!F39</f>
        <v/>
      </c>
      <c r="E12" s="591">
        <f>D12</f>
        <v/>
      </c>
      <c r="F12" s="591">
        <f>E12</f>
        <v/>
      </c>
      <c r="G12" s="591">
        <f>F12</f>
        <v/>
      </c>
      <c r="H12" s="591">
        <f>G12</f>
        <v/>
      </c>
      <c r="I12" s="591">
        <f>H12</f>
        <v/>
      </c>
      <c r="J12" s="591">
        <f>I12</f>
        <v/>
      </c>
      <c r="K12" s="591">
        <f>J12</f>
        <v/>
      </c>
      <c r="L12" s="591">
        <f>K12</f>
        <v/>
      </c>
      <c r="M12" s="591">
        <f>L12</f>
        <v/>
      </c>
      <c r="N12" s="592" t="n"/>
      <c r="O12" s="592" t="n"/>
      <c r="P12" s="592" t="n"/>
    </row>
    <row r="13" outlineLevel="1" ht="24" customHeight="1" s="817">
      <c r="A13" s="465" t="inlineStr">
        <is>
          <t xml:space="preserve">  Avg Monthly Rate — IL</t>
        </is>
      </c>
      <c r="B13" s="465" t="n"/>
      <c r="C13" s="923">
        <f>Scenarios!B44</f>
        <v/>
      </c>
      <c r="D13" s="924">
        <f>Scenarios!F44</f>
        <v/>
      </c>
      <c r="E13" s="925">
        <f>D13*(1+E$5)</f>
        <v/>
      </c>
      <c r="F13" s="925">
        <f>E13*(1+F$5)</f>
        <v/>
      </c>
      <c r="G13" s="925">
        <f>F13*(1+G$5)</f>
        <v/>
      </c>
      <c r="H13" s="925">
        <f>G13*(1+H$5)</f>
        <v/>
      </c>
      <c r="I13" s="925">
        <f>H13*(1+I$5)</f>
        <v/>
      </c>
      <c r="J13" s="925">
        <f>I13*(1+J$5)</f>
        <v/>
      </c>
      <c r="K13" s="925">
        <f>J13*(1+K$5)</f>
        <v/>
      </c>
      <c r="L13" s="925">
        <f>K13*(1+L$5)</f>
        <v/>
      </c>
      <c r="M13" s="925">
        <f>L13*(1+M$5)</f>
        <v/>
      </c>
      <c r="N13" s="592" t="n"/>
      <c r="O13" s="592" t="n"/>
      <c r="P13" s="592" t="n"/>
    </row>
    <row r="14" outlineLevel="1" ht="24" customHeight="1" s="817">
      <c r="A14" s="465" t="inlineStr">
        <is>
          <t xml:space="preserve">  GPR — IL</t>
        </is>
      </c>
      <c r="B14" s="465" t="n"/>
      <c r="C14" s="925">
        <f>C12*C13*12</f>
        <v/>
      </c>
      <c r="D14" s="924">
        <f>D12*D13*12</f>
        <v/>
      </c>
      <c r="E14" s="925">
        <f>E12*E13*12</f>
        <v/>
      </c>
      <c r="F14" s="925">
        <f>F12*F13*12</f>
        <v/>
      </c>
      <c r="G14" s="925">
        <f>G12*G13*12</f>
        <v/>
      </c>
      <c r="H14" s="925">
        <f>H12*H13*12</f>
        <v/>
      </c>
      <c r="I14" s="925">
        <f>I12*I13*12</f>
        <v/>
      </c>
      <c r="J14" s="925">
        <f>J12*J13*12</f>
        <v/>
      </c>
      <c r="K14" s="925">
        <f>K12*K13*12</f>
        <v/>
      </c>
      <c r="L14" s="925">
        <f>L12*L13*12</f>
        <v/>
      </c>
      <c r="M14" s="925">
        <f>M12*M13*12</f>
        <v/>
      </c>
      <c r="N14" s="925">
        <f>SUM(D14:H14)</f>
        <v/>
      </c>
      <c r="O14" s="925">
        <f>SUM(D14:M14)</f>
        <v/>
      </c>
      <c r="P14" s="926">
        <f>IFERROR(O14/10,0)</f>
        <v/>
      </c>
      <c r="Q14" s="495">
        <f>IFERROR(D14/$D$50,0)</f>
        <v/>
      </c>
    </row>
    <row r="15" outlineLevel="1" ht="24" customHeight="1" s="817">
      <c r="A15" s="472" t="inlineStr">
        <is>
          <t xml:space="preserve">    Vacancy % — IL</t>
        </is>
      </c>
      <c r="B15" s="472" t="n"/>
      <c r="C15" s="484">
        <f>Scenarios!B53</f>
        <v/>
      </c>
      <c r="D15" s="484">
        <f>Scenarios!F53</f>
        <v/>
      </c>
      <c r="E15" s="490">
        <f>D15</f>
        <v/>
      </c>
      <c r="F15" s="490">
        <f>E15</f>
        <v/>
      </c>
      <c r="G15" s="490">
        <f>F15</f>
        <v/>
      </c>
      <c r="H15" s="490">
        <f>G15</f>
        <v/>
      </c>
      <c r="I15" s="490">
        <f>H15</f>
        <v/>
      </c>
      <c r="J15" s="490">
        <f>I15</f>
        <v/>
      </c>
      <c r="K15" s="490">
        <f>J15</f>
        <v/>
      </c>
      <c r="L15" s="490">
        <f>K15</f>
        <v/>
      </c>
      <c r="M15" s="490">
        <f>L15</f>
        <v/>
      </c>
      <c r="N15" s="592" t="n"/>
      <c r="O15" s="592" t="n"/>
      <c r="P15" s="592" t="n"/>
    </row>
    <row r="16" outlineLevel="1" ht="24" customHeight="1" s="817">
      <c r="A16" s="473" t="inlineStr">
        <is>
          <t xml:space="preserve">    Less: Vacancy — IL</t>
        </is>
      </c>
      <c r="B16" s="473" t="n"/>
      <c r="C16" s="922">
        <f>IFERROR(-C15*C14,0)</f>
        <v/>
      </c>
      <c r="D16" s="924">
        <f>IFERROR(-D15*D14,0)</f>
        <v/>
      </c>
      <c r="E16" s="922">
        <f>IFERROR(-E15*E14,0)</f>
        <v/>
      </c>
      <c r="F16" s="922">
        <f>IFERROR(-F15*F14,0)</f>
        <v/>
      </c>
      <c r="G16" s="922">
        <f>IFERROR(-G15*G14,0)</f>
        <v/>
      </c>
      <c r="H16" s="922">
        <f>IFERROR(-H15*H14,0)</f>
        <v/>
      </c>
      <c r="I16" s="922">
        <f>IFERROR(-I15*I14,0)</f>
        <v/>
      </c>
      <c r="J16" s="922">
        <f>IFERROR(-J15*J14,0)</f>
        <v/>
      </c>
      <c r="K16" s="922">
        <f>IFERROR(-K15*K14,0)</f>
        <v/>
      </c>
      <c r="L16" s="922">
        <f>IFERROR(-L15*L14,0)</f>
        <v/>
      </c>
      <c r="M16" s="922">
        <f>IFERROR(-M15*M14,0)</f>
        <v/>
      </c>
      <c r="N16" s="592" t="n"/>
      <c r="O16" s="592" t="n"/>
      <c r="P16" s="592" t="n"/>
    </row>
    <row r="17" outlineLevel="1" ht="24" customHeight="1" s="817">
      <c r="A17" s="474" t="inlineStr">
        <is>
          <t xml:space="preserve">    Loss to Lease % — IL</t>
        </is>
      </c>
      <c r="B17" s="474" t="n"/>
      <c r="C17" s="486">
        <f>Scenarios!B58</f>
        <v/>
      </c>
      <c r="D17" s="486">
        <f>Scenarios!F58</f>
        <v/>
      </c>
      <c r="E17" s="491">
        <f>D17</f>
        <v/>
      </c>
      <c r="F17" s="491">
        <f>E17</f>
        <v/>
      </c>
      <c r="G17" s="491">
        <f>F17</f>
        <v/>
      </c>
      <c r="H17" s="491">
        <f>G17</f>
        <v/>
      </c>
      <c r="I17" s="491">
        <f>H17</f>
        <v/>
      </c>
      <c r="J17" s="491">
        <f>I17</f>
        <v/>
      </c>
      <c r="K17" s="491">
        <f>J17</f>
        <v/>
      </c>
      <c r="L17" s="491">
        <f>K17</f>
        <v/>
      </c>
      <c r="M17" s="491">
        <f>L17</f>
        <v/>
      </c>
      <c r="N17" s="592" t="n"/>
      <c r="O17" s="592" t="n"/>
      <c r="P17" s="592" t="n"/>
    </row>
    <row r="18" outlineLevel="1" ht="24" customHeight="1" s="817">
      <c r="A18" s="475" t="inlineStr">
        <is>
          <t xml:space="preserve">    Less: Loss to Lease — IL</t>
        </is>
      </c>
      <c r="B18" s="475" t="n"/>
      <c r="C18" s="922">
        <f>IFERROR(-C17*C14,0)</f>
        <v/>
      </c>
      <c r="D18" s="924">
        <f>IFERROR(-D17*D14,0)</f>
        <v/>
      </c>
      <c r="E18" s="922">
        <f>IFERROR(-E17*E14,0)</f>
        <v/>
      </c>
      <c r="F18" s="922">
        <f>IFERROR(-F17*F14,0)</f>
        <v/>
      </c>
      <c r="G18" s="922">
        <f>IFERROR(-G17*G14,0)</f>
        <v/>
      </c>
      <c r="H18" s="922">
        <f>IFERROR(-H17*H14,0)</f>
        <v/>
      </c>
      <c r="I18" s="922">
        <f>IFERROR(-I17*I14,0)</f>
        <v/>
      </c>
      <c r="J18" s="922">
        <f>IFERROR(-J17*J14,0)</f>
        <v/>
      </c>
      <c r="K18" s="922">
        <f>IFERROR(-K17*K14,0)</f>
        <v/>
      </c>
      <c r="L18" s="922">
        <f>IFERROR(-L17*L14,0)</f>
        <v/>
      </c>
      <c r="M18" s="922">
        <f>IFERROR(-M17*M14,0)</f>
        <v/>
      </c>
      <c r="N18" s="592" t="n"/>
      <c r="O18" s="592" t="n"/>
      <c r="P18" s="592" t="n"/>
    </row>
    <row r="19" outlineLevel="1" ht="24" customHeight="1" s="817">
      <c r="A19" s="474" t="inlineStr">
        <is>
          <t xml:space="preserve">    Bad Debt / Concessions % — IL</t>
        </is>
      </c>
      <c r="B19" s="474" t="n"/>
      <c r="C19" s="486">
        <f>Scenarios!B60</f>
        <v/>
      </c>
      <c r="D19" s="486">
        <f>Scenarios!F60</f>
        <v/>
      </c>
      <c r="E19" s="491">
        <f>D19</f>
        <v/>
      </c>
      <c r="F19" s="491">
        <f>E19</f>
        <v/>
      </c>
      <c r="G19" s="491">
        <f>F19</f>
        <v/>
      </c>
      <c r="H19" s="491">
        <f>G19</f>
        <v/>
      </c>
      <c r="I19" s="491">
        <f>H19</f>
        <v/>
      </c>
      <c r="J19" s="491">
        <f>I19</f>
        <v/>
      </c>
      <c r="K19" s="491">
        <f>J19</f>
        <v/>
      </c>
      <c r="L19" s="491">
        <f>K19</f>
        <v/>
      </c>
      <c r="M19" s="491">
        <f>L19</f>
        <v/>
      </c>
      <c r="N19" s="592" t="n"/>
      <c r="O19" s="592" t="n"/>
      <c r="P19" s="592" t="n"/>
    </row>
    <row r="20" outlineLevel="1" ht="24" customHeight="1" s="817">
      <c r="A20" s="473" t="inlineStr">
        <is>
          <t xml:space="preserve">    Less: Concessions/Bad Debt — IL</t>
        </is>
      </c>
      <c r="B20" s="473" t="n"/>
      <c r="C20" s="922">
        <f>IFERROR(-C19*C14,0)</f>
        <v/>
      </c>
      <c r="D20" s="924">
        <f>IFERROR(-D19*D14,0)</f>
        <v/>
      </c>
      <c r="E20" s="922">
        <f>IFERROR(-E19*E14,0)</f>
        <v/>
      </c>
      <c r="F20" s="922">
        <f>IFERROR(-F19*F14,0)</f>
        <v/>
      </c>
      <c r="G20" s="922">
        <f>IFERROR(-G19*G14,0)</f>
        <v/>
      </c>
      <c r="H20" s="922">
        <f>IFERROR(-H19*H14,0)</f>
        <v/>
      </c>
      <c r="I20" s="922">
        <f>IFERROR(-I19*I14,0)</f>
        <v/>
      </c>
      <c r="J20" s="922">
        <f>IFERROR(-J19*J14,0)</f>
        <v/>
      </c>
      <c r="K20" s="922">
        <f>IFERROR(-K19*K14,0)</f>
        <v/>
      </c>
      <c r="L20" s="922">
        <f>IFERROR(-L19*L14,0)</f>
        <v/>
      </c>
      <c r="M20" s="922">
        <f>IFERROR(-M19*M14,0)</f>
        <v/>
      </c>
      <c r="N20" s="592" t="n"/>
      <c r="O20" s="592" t="n"/>
      <c r="P20" s="592" t="n"/>
    </row>
    <row r="21" ht="24" customHeight="1" s="817">
      <c r="A21" s="466" t="inlineStr">
        <is>
          <t>── ASSISTED LIVING (AL) ──</t>
        </is>
      </c>
      <c r="B21" s="466" t="n"/>
      <c r="C21" s="925" t="n"/>
      <c r="D21" s="925" t="n"/>
      <c r="E21" s="925" t="n"/>
      <c r="F21" s="925" t="n"/>
      <c r="G21" s="925" t="n"/>
      <c r="H21" s="925" t="n"/>
      <c r="I21" s="925" t="n"/>
      <c r="J21" s="925" t="n"/>
      <c r="K21" s="925" t="n"/>
      <c r="L21" s="925" t="n"/>
      <c r="M21" s="925" t="n"/>
      <c r="N21" s="592" t="n"/>
      <c r="O21" s="592" t="n"/>
      <c r="P21" s="592" t="n"/>
    </row>
    <row r="22" outlineLevel="1" ht="24" customHeight="1" s="817">
      <c r="A22" s="465" t="inlineStr">
        <is>
          <t xml:space="preserve">  Licensed Beds — AL</t>
        </is>
      </c>
      <c r="B22" s="465" t="n"/>
      <c r="C22" s="589">
        <f>Scenarios!B40</f>
        <v/>
      </c>
      <c r="D22" s="590">
        <f>Scenarios!F40</f>
        <v/>
      </c>
      <c r="E22" s="591">
        <f>D22</f>
        <v/>
      </c>
      <c r="F22" s="591">
        <f>E22</f>
        <v/>
      </c>
      <c r="G22" s="591">
        <f>F22</f>
        <v/>
      </c>
      <c r="H22" s="591">
        <f>G22</f>
        <v/>
      </c>
      <c r="I22" s="591">
        <f>H22</f>
        <v/>
      </c>
      <c r="J22" s="591">
        <f>I22</f>
        <v/>
      </c>
      <c r="K22" s="591">
        <f>J22</f>
        <v/>
      </c>
      <c r="L22" s="591">
        <f>K22</f>
        <v/>
      </c>
      <c r="M22" s="591">
        <f>L22</f>
        <v/>
      </c>
      <c r="N22" s="592" t="n"/>
      <c r="O22" s="592" t="n"/>
      <c r="P22" s="592" t="n"/>
    </row>
    <row r="23" outlineLevel="1" ht="24" customHeight="1" s="817">
      <c r="A23" s="465" t="inlineStr">
        <is>
          <t xml:space="preserve">  Avg Monthly Rate — AL</t>
        </is>
      </c>
      <c r="B23" s="465" t="n"/>
      <c r="C23" s="923">
        <f>Scenarios!B45</f>
        <v/>
      </c>
      <c r="D23" s="924">
        <f>Scenarios!F45</f>
        <v/>
      </c>
      <c r="E23" s="925">
        <f>D23*(1+E$5)</f>
        <v/>
      </c>
      <c r="F23" s="925">
        <f>E23*(1+F$5)</f>
        <v/>
      </c>
      <c r="G23" s="925">
        <f>F23*(1+G$5)</f>
        <v/>
      </c>
      <c r="H23" s="925">
        <f>G23*(1+H$5)</f>
        <v/>
      </c>
      <c r="I23" s="925">
        <f>H23*(1+I$5)</f>
        <v/>
      </c>
      <c r="J23" s="925">
        <f>I23*(1+J$5)</f>
        <v/>
      </c>
      <c r="K23" s="925">
        <f>J23*(1+K$5)</f>
        <v/>
      </c>
      <c r="L23" s="925">
        <f>K23*(1+L$5)</f>
        <v/>
      </c>
      <c r="M23" s="925">
        <f>L23*(1+M$5)</f>
        <v/>
      </c>
      <c r="N23" s="592" t="n"/>
      <c r="O23" s="592" t="n"/>
      <c r="P23" s="592" t="n"/>
    </row>
    <row r="24" outlineLevel="1" ht="18" customHeight="1" s="817">
      <c r="A24" s="476" t="inlineStr">
        <is>
          <t xml:space="preserve">  GPR — AL</t>
        </is>
      </c>
      <c r="B24" s="476" t="n"/>
      <c r="C24" s="927">
        <f>C22*C23*12</f>
        <v/>
      </c>
      <c r="D24" s="928">
        <f>D22*D23*12</f>
        <v/>
      </c>
      <c r="E24" s="927">
        <f>E22*E23*12</f>
        <v/>
      </c>
      <c r="F24" s="927">
        <f>F22*F23*12</f>
        <v/>
      </c>
      <c r="G24" s="927">
        <f>G22*G23*12</f>
        <v/>
      </c>
      <c r="H24" s="927">
        <f>H22*H23*12</f>
        <v/>
      </c>
      <c r="I24" s="927">
        <f>I22*I23*12</f>
        <v/>
      </c>
      <c r="J24" s="927">
        <f>J22*J23*12</f>
        <v/>
      </c>
      <c r="K24" s="927">
        <f>K22*K23*12</f>
        <v/>
      </c>
      <c r="L24" s="927">
        <f>L22*L23*12</f>
        <v/>
      </c>
      <c r="M24" s="927">
        <f>M22*M23*12</f>
        <v/>
      </c>
      <c r="N24" s="929">
        <f>SUM(D24:H24)</f>
        <v/>
      </c>
      <c r="O24" s="929">
        <f>SUM(D24:M24)</f>
        <v/>
      </c>
      <c r="P24" s="929">
        <f>IFERROR(O24/10,0)</f>
        <v/>
      </c>
      <c r="Q24" s="82">
        <f>IFERROR(D24/$D$50,0)</f>
        <v/>
      </c>
    </row>
    <row r="25" outlineLevel="1" ht="15" customHeight="1" s="817">
      <c r="A25" s="477" t="inlineStr">
        <is>
          <t xml:space="preserve">    Vacancy % — AL</t>
        </is>
      </c>
      <c r="B25" s="477" t="n"/>
      <c r="C25" s="488">
        <f>Scenarios!B54</f>
        <v/>
      </c>
      <c r="D25" s="488">
        <f>Scenarios!F54</f>
        <v/>
      </c>
      <c r="E25" s="492">
        <f>D25</f>
        <v/>
      </c>
      <c r="F25" s="492">
        <f>E25</f>
        <v/>
      </c>
      <c r="G25" s="492">
        <f>F25</f>
        <v/>
      </c>
      <c r="H25" s="492">
        <f>G25</f>
        <v/>
      </c>
      <c r="I25" s="492">
        <f>H25</f>
        <v/>
      </c>
      <c r="J25" s="492">
        <f>I25</f>
        <v/>
      </c>
      <c r="K25" s="492">
        <f>J25</f>
        <v/>
      </c>
      <c r="L25" s="492">
        <f>K25</f>
        <v/>
      </c>
      <c r="M25" s="492">
        <f>L25</f>
        <v/>
      </c>
      <c r="N25" s="125" t="n"/>
      <c r="O25" s="125" t="n"/>
      <c r="P25" s="126" t="n"/>
      <c r="Q25" s="125" t="n"/>
    </row>
    <row r="26" outlineLevel="1" ht="18" customHeight="1" s="817">
      <c r="A26" s="475" t="inlineStr">
        <is>
          <t xml:space="preserve">    Less: Vacancy — AL</t>
        </is>
      </c>
      <c r="B26" s="475" t="n"/>
      <c r="C26" s="930">
        <f>IFERROR(-C25*C24,0)</f>
        <v/>
      </c>
      <c r="D26" s="928">
        <f>IFERROR(-D25*D24,0)</f>
        <v/>
      </c>
      <c r="E26" s="930">
        <f>IFERROR(-E25*E24,0)</f>
        <v/>
      </c>
      <c r="F26" s="930">
        <f>IFERROR(-F25*F24,0)</f>
        <v/>
      </c>
      <c r="G26" s="930">
        <f>IFERROR(-G25*G24,0)</f>
        <v/>
      </c>
      <c r="H26" s="930">
        <f>IFERROR(-H25*H24,0)</f>
        <v/>
      </c>
      <c r="I26" s="930">
        <f>IFERROR(-I25*I24,0)</f>
        <v/>
      </c>
      <c r="J26" s="930">
        <f>IFERROR(-J25*J24,0)</f>
        <v/>
      </c>
      <c r="K26" s="930">
        <f>IFERROR(-K25*K24,0)</f>
        <v/>
      </c>
      <c r="L26" s="930">
        <f>IFERROR(-L25*L24,0)</f>
        <v/>
      </c>
      <c r="M26" s="930">
        <f>IFERROR(-M25*M24,0)</f>
        <v/>
      </c>
      <c r="N26" s="127" t="n"/>
      <c r="O26" s="127" t="n"/>
      <c r="P26" s="601" t="n"/>
      <c r="Q26" s="128" t="n"/>
    </row>
    <row r="27" outlineLevel="1" ht="15" customHeight="1" s="817">
      <c r="A27" s="477" t="inlineStr">
        <is>
          <t xml:space="preserve">    Loss to Lease % — AL</t>
        </is>
      </c>
      <c r="B27" s="477" t="n"/>
      <c r="C27" s="488">
        <f>Scenarios!B58</f>
        <v/>
      </c>
      <c r="D27" s="488">
        <f>Scenarios!F58</f>
        <v/>
      </c>
      <c r="E27" s="492">
        <f>D27</f>
        <v/>
      </c>
      <c r="F27" s="492">
        <f>E27</f>
        <v/>
      </c>
      <c r="G27" s="492">
        <f>F27</f>
        <v/>
      </c>
      <c r="H27" s="492">
        <f>G27</f>
        <v/>
      </c>
      <c r="I27" s="492">
        <f>H27</f>
        <v/>
      </c>
      <c r="J27" s="492">
        <f>I27</f>
        <v/>
      </c>
      <c r="K27" s="492">
        <f>J27</f>
        <v/>
      </c>
      <c r="L27" s="492">
        <f>K27</f>
        <v/>
      </c>
      <c r="M27" s="492">
        <f>L27</f>
        <v/>
      </c>
      <c r="N27" s="125" t="n"/>
      <c r="O27" s="125" t="n"/>
      <c r="P27" s="126" t="n"/>
      <c r="Q27" s="125" t="n"/>
    </row>
    <row r="28" outlineLevel="1" ht="18" customHeight="1" s="817">
      <c r="A28" s="475" t="inlineStr">
        <is>
          <t xml:space="preserve">    Less: Loss to Lease — AL</t>
        </is>
      </c>
      <c r="B28" s="475" t="n"/>
      <c r="C28" s="931">
        <f>IFERROR(-C27*C24,0)</f>
        <v/>
      </c>
      <c r="D28" s="932">
        <f>IFERROR(-D27*D24,0)</f>
        <v/>
      </c>
      <c r="E28" s="931">
        <f>IFERROR(-E27*E24,0)</f>
        <v/>
      </c>
      <c r="F28" s="931">
        <f>IFERROR(-F27*F24,0)</f>
        <v/>
      </c>
      <c r="G28" s="931">
        <f>IFERROR(-G27*G24,0)</f>
        <v/>
      </c>
      <c r="H28" s="931">
        <f>IFERROR(-H27*H24,0)</f>
        <v/>
      </c>
      <c r="I28" s="931">
        <f>IFERROR(-I27*I24,0)</f>
        <v/>
      </c>
      <c r="J28" s="931">
        <f>IFERROR(-J27*J24,0)</f>
        <v/>
      </c>
      <c r="K28" s="931">
        <f>IFERROR(-K27*K24,0)</f>
        <v/>
      </c>
      <c r="L28" s="931">
        <f>IFERROR(-L27*L24,0)</f>
        <v/>
      </c>
      <c r="M28" s="931">
        <f>IFERROR(-M27*M24,0)</f>
        <v/>
      </c>
      <c r="N28" s="601" t="n"/>
      <c r="O28" s="601" t="n"/>
      <c r="P28" s="601" t="n"/>
      <c r="Q28" s="82" t="n"/>
    </row>
    <row r="29" outlineLevel="1" ht="15" customHeight="1" s="817">
      <c r="A29" s="477" t="inlineStr">
        <is>
          <t xml:space="preserve">    Bad Debt / Concessions % — AL</t>
        </is>
      </c>
      <c r="B29" s="477" t="n"/>
      <c r="C29" s="488">
        <f>Scenarios!B60</f>
        <v/>
      </c>
      <c r="D29" s="488">
        <f>Scenarios!F60</f>
        <v/>
      </c>
      <c r="E29" s="492">
        <f>D29</f>
        <v/>
      </c>
      <c r="F29" s="492">
        <f>E29</f>
        <v/>
      </c>
      <c r="G29" s="492">
        <f>F29</f>
        <v/>
      </c>
      <c r="H29" s="492">
        <f>G29</f>
        <v/>
      </c>
      <c r="I29" s="492">
        <f>H29</f>
        <v/>
      </c>
      <c r="J29" s="492">
        <f>I29</f>
        <v/>
      </c>
      <c r="K29" s="492">
        <f>J29</f>
        <v/>
      </c>
      <c r="L29" s="492">
        <f>K29</f>
        <v/>
      </c>
      <c r="M29" s="492">
        <f>L29</f>
        <v/>
      </c>
      <c r="N29" s="125" t="n"/>
      <c r="O29" s="125" t="n"/>
      <c r="P29" s="126" t="n"/>
      <c r="Q29" s="125" t="n"/>
    </row>
    <row r="30" outlineLevel="1" ht="18" customHeight="1" s="817">
      <c r="A30" s="475" t="inlineStr">
        <is>
          <t xml:space="preserve">    Less: Concessions/Bad Debt — AL</t>
        </is>
      </c>
      <c r="B30" s="475" t="n"/>
      <c r="C30" s="931">
        <f>IFERROR(-C29*C24,0)</f>
        <v/>
      </c>
      <c r="D30" s="932">
        <f>IFERROR(-D29*D24,0)</f>
        <v/>
      </c>
      <c r="E30" s="931">
        <f>IFERROR(-E29*E24,0)</f>
        <v/>
      </c>
      <c r="F30" s="931">
        <f>IFERROR(-F29*F24,0)</f>
        <v/>
      </c>
      <c r="G30" s="931">
        <f>IFERROR(-G29*G24,0)</f>
        <v/>
      </c>
      <c r="H30" s="931">
        <f>IFERROR(-H29*H24,0)</f>
        <v/>
      </c>
      <c r="I30" s="931">
        <f>IFERROR(-I29*I24,0)</f>
        <v/>
      </c>
      <c r="J30" s="931">
        <f>IFERROR(-J29*J24,0)</f>
        <v/>
      </c>
      <c r="K30" s="931">
        <f>IFERROR(-K29*K24,0)</f>
        <v/>
      </c>
      <c r="L30" s="931">
        <f>IFERROR(-L29*L24,0)</f>
        <v/>
      </c>
      <c r="M30" s="931">
        <f>IFERROR(-M29*M24,0)</f>
        <v/>
      </c>
      <c r="N30" s="601" t="n"/>
      <c r="O30" s="601" t="n"/>
      <c r="P30" s="601" t="n"/>
      <c r="Q30" s="82" t="n"/>
    </row>
    <row r="31" ht="18" customHeight="1" s="817">
      <c r="A31" s="466" t="inlineStr">
        <is>
          <t>── MEMORY CARE (MC) ──</t>
        </is>
      </c>
      <c r="B31" s="466" t="n"/>
      <c r="C31" s="933" t="n"/>
      <c r="D31" s="605" t="n"/>
      <c r="E31" s="606" t="n"/>
      <c r="F31" s="606" t="n"/>
      <c r="G31" s="606" t="n"/>
      <c r="H31" s="606" t="n"/>
      <c r="I31" s="606" t="n"/>
      <c r="J31" s="606" t="n"/>
      <c r="K31" s="606" t="n"/>
      <c r="L31" s="606" t="n"/>
      <c r="M31" s="606" t="n"/>
      <c r="N31" s="606" t="n"/>
      <c r="O31" s="606" t="n"/>
      <c r="P31" s="606" t="n"/>
      <c r="Q31" s="82" t="n"/>
    </row>
    <row r="32" outlineLevel="1" ht="18" customHeight="1" s="817">
      <c r="A32" s="465" t="inlineStr">
        <is>
          <t xml:space="preserve">  Licensed Beds — MC</t>
        </is>
      </c>
      <c r="B32" s="465" t="n"/>
      <c r="C32" s="607">
        <f>Scenarios!B41</f>
        <v/>
      </c>
      <c r="D32" s="608">
        <f>Scenarios!F41</f>
        <v/>
      </c>
      <c r="E32" s="609">
        <f>D32</f>
        <v/>
      </c>
      <c r="F32" s="609">
        <f>E32</f>
        <v/>
      </c>
      <c r="G32" s="609">
        <f>F32</f>
        <v/>
      </c>
      <c r="H32" s="609">
        <f>G32</f>
        <v/>
      </c>
      <c r="I32" s="609">
        <f>H32</f>
        <v/>
      </c>
      <c r="J32" s="609">
        <f>I32</f>
        <v/>
      </c>
      <c r="K32" s="609">
        <f>J32</f>
        <v/>
      </c>
      <c r="L32" s="609">
        <f>K32</f>
        <v/>
      </c>
      <c r="M32" s="609">
        <f>L32</f>
        <v/>
      </c>
      <c r="N32" s="606" t="n"/>
      <c r="O32" s="606" t="n"/>
      <c r="P32" s="606" t="n"/>
      <c r="Q32" s="129" t="n"/>
    </row>
    <row r="33" outlineLevel="1" ht="18" customHeight="1" s="817">
      <c r="A33" s="465" t="inlineStr">
        <is>
          <t xml:space="preserve">  Avg Monthly Rate — MC</t>
        </is>
      </c>
      <c r="B33" s="465" t="n"/>
      <c r="C33" s="933">
        <f>Scenarios!B46</f>
        <v/>
      </c>
      <c r="D33" s="932">
        <f>Scenarios!F46</f>
        <v/>
      </c>
      <c r="E33" s="934">
        <f>D33*(1+E$5)</f>
        <v/>
      </c>
      <c r="F33" s="934">
        <f>E33*(1+F$5)</f>
        <v/>
      </c>
      <c r="G33" s="934">
        <f>F33*(1+G$5)</f>
        <v/>
      </c>
      <c r="H33" s="934">
        <f>G33*(1+H$5)</f>
        <v/>
      </c>
      <c r="I33" s="934">
        <f>H33*(1+I$5)</f>
        <v/>
      </c>
      <c r="J33" s="934">
        <f>I33*(1+J$5)</f>
        <v/>
      </c>
      <c r="K33" s="934">
        <f>J33*(1+K$5)</f>
        <v/>
      </c>
      <c r="L33" s="934">
        <f>K33*(1+L$5)</f>
        <v/>
      </c>
      <c r="M33" s="934">
        <f>L33*(1+M$5)</f>
        <v/>
      </c>
      <c r="N33" s="601" t="n"/>
      <c r="O33" s="601" t="n"/>
      <c r="P33" s="601" t="n"/>
      <c r="Q33" s="82" t="n"/>
    </row>
    <row r="34" outlineLevel="1" ht="18" customHeight="1" s="817">
      <c r="A34" s="478" t="inlineStr">
        <is>
          <t xml:space="preserve">  GPR — MC</t>
        </is>
      </c>
      <c r="B34" s="478" t="n"/>
      <c r="C34" s="927">
        <f>C32*C33*12</f>
        <v/>
      </c>
      <c r="D34" s="928">
        <f>D32*D33*12</f>
        <v/>
      </c>
      <c r="E34" s="927">
        <f>E32*E33*12</f>
        <v/>
      </c>
      <c r="F34" s="927">
        <f>F32*F33*12</f>
        <v/>
      </c>
      <c r="G34" s="927">
        <f>G32*G33*12</f>
        <v/>
      </c>
      <c r="H34" s="927">
        <f>H32*H33*12</f>
        <v/>
      </c>
      <c r="I34" s="927">
        <f>I32*I33*12</f>
        <v/>
      </c>
      <c r="J34" s="927">
        <f>J32*J33*12</f>
        <v/>
      </c>
      <c r="K34" s="927">
        <f>K32*K33*12</f>
        <v/>
      </c>
      <c r="L34" s="927">
        <f>L32*L33*12</f>
        <v/>
      </c>
      <c r="M34" s="927">
        <f>M32*M33*12</f>
        <v/>
      </c>
      <c r="N34" s="935">
        <f>SUM(D34:H34)</f>
        <v/>
      </c>
      <c r="O34" s="935">
        <f>SUM(D34:M34)</f>
        <v/>
      </c>
      <c r="P34" s="935">
        <f>IFERROR(O34/10,0)</f>
        <v/>
      </c>
      <c r="Q34" s="131">
        <f>IFERROR(D34/$D$50,0)</f>
        <v/>
      </c>
    </row>
    <row r="35" outlineLevel="1" ht="18" customHeight="1" s="817">
      <c r="A35" s="479" t="inlineStr">
        <is>
          <t xml:space="preserve">    Vacancy % — MC</t>
        </is>
      </c>
      <c r="B35" s="479" t="n"/>
      <c r="C35" s="488">
        <f>Scenarios!B55</f>
        <v/>
      </c>
      <c r="D35" s="488">
        <f>Scenarios!F55</f>
        <v/>
      </c>
      <c r="E35" s="492">
        <f>D35</f>
        <v/>
      </c>
      <c r="F35" s="492">
        <f>E35</f>
        <v/>
      </c>
      <c r="G35" s="492">
        <f>F35</f>
        <v/>
      </c>
      <c r="H35" s="492">
        <f>G35</f>
        <v/>
      </c>
      <c r="I35" s="492">
        <f>H35</f>
        <v/>
      </c>
      <c r="J35" s="492">
        <f>I35</f>
        <v/>
      </c>
      <c r="K35" s="492">
        <f>J35</f>
        <v/>
      </c>
      <c r="L35" s="492">
        <f>K35</f>
        <v/>
      </c>
      <c r="M35" s="492">
        <f>L35</f>
        <v/>
      </c>
      <c r="N35" s="89" t="n"/>
      <c r="O35" s="89" t="n"/>
      <c r="P35" s="89" t="n"/>
      <c r="Q35" s="131" t="n"/>
    </row>
    <row r="36" outlineLevel="1" ht="18" customHeight="1" s="817">
      <c r="A36" s="480" t="inlineStr">
        <is>
          <t xml:space="preserve">    Less: Vacancy — MC</t>
        </is>
      </c>
      <c r="B36" s="480" t="n"/>
      <c r="C36" s="930">
        <f>IFERROR(-C35*C34,0)</f>
        <v/>
      </c>
      <c r="D36" s="928">
        <f>IFERROR(-D35*D34,0)</f>
        <v/>
      </c>
      <c r="E36" s="930">
        <f>IFERROR(-E35*E34,0)</f>
        <v/>
      </c>
      <c r="F36" s="930">
        <f>IFERROR(-F35*F34,0)</f>
        <v/>
      </c>
      <c r="G36" s="930">
        <f>IFERROR(-G35*G34,0)</f>
        <v/>
      </c>
      <c r="H36" s="930">
        <f>IFERROR(-H35*H34,0)</f>
        <v/>
      </c>
      <c r="I36" s="930">
        <f>IFERROR(-I35*I34,0)</f>
        <v/>
      </c>
      <c r="J36" s="930">
        <f>IFERROR(-J35*J34,0)</f>
        <v/>
      </c>
      <c r="K36" s="930">
        <f>IFERROR(-K35*K34,0)</f>
        <v/>
      </c>
      <c r="L36" s="930">
        <f>IFERROR(-L35*L34,0)</f>
        <v/>
      </c>
      <c r="M36" s="930">
        <f>IFERROR(-M35*M34,0)</f>
        <v/>
      </c>
      <c r="N36" s="89" t="n"/>
      <c r="O36" s="89" t="n"/>
      <c r="P36" s="89" t="n"/>
      <c r="Q36" s="131" t="n"/>
    </row>
    <row r="37" outlineLevel="1" ht="18" customHeight="1" s="817">
      <c r="A37" s="479" t="inlineStr">
        <is>
          <t xml:space="preserve">    Loss to Lease % — MC</t>
        </is>
      </c>
      <c r="B37" s="479" t="n"/>
      <c r="C37" s="488">
        <f>Scenarios!B58</f>
        <v/>
      </c>
      <c r="D37" s="488">
        <f>Scenarios!F58</f>
        <v/>
      </c>
      <c r="E37" s="492">
        <f>D37</f>
        <v/>
      </c>
      <c r="F37" s="492">
        <f>E37</f>
        <v/>
      </c>
      <c r="G37" s="492">
        <f>F37</f>
        <v/>
      </c>
      <c r="H37" s="492">
        <f>G37</f>
        <v/>
      </c>
      <c r="I37" s="492">
        <f>H37</f>
        <v/>
      </c>
      <c r="J37" s="492">
        <f>I37</f>
        <v/>
      </c>
      <c r="K37" s="492">
        <f>J37</f>
        <v/>
      </c>
      <c r="L37" s="492">
        <f>K37</f>
        <v/>
      </c>
      <c r="M37" s="492">
        <f>L37</f>
        <v/>
      </c>
      <c r="N37" s="89" t="n"/>
      <c r="O37" s="89" t="n"/>
      <c r="P37" s="89" t="n"/>
      <c r="Q37" s="131" t="n"/>
    </row>
    <row r="38" outlineLevel="1" ht="18" customHeight="1" s="817">
      <c r="A38" s="480" t="inlineStr">
        <is>
          <t xml:space="preserve">    Less: Loss to Lease — MC</t>
        </is>
      </c>
      <c r="B38" s="480" t="n"/>
      <c r="C38" s="930">
        <f>IFERROR(-C37*C34,0)</f>
        <v/>
      </c>
      <c r="D38" s="928">
        <f>IFERROR(-D37*D34,0)</f>
        <v/>
      </c>
      <c r="E38" s="930">
        <f>IFERROR(-E37*E34,0)</f>
        <v/>
      </c>
      <c r="F38" s="930">
        <f>IFERROR(-F37*F34,0)</f>
        <v/>
      </c>
      <c r="G38" s="930">
        <f>IFERROR(-G37*G34,0)</f>
        <v/>
      </c>
      <c r="H38" s="930">
        <f>IFERROR(-H37*H34,0)</f>
        <v/>
      </c>
      <c r="I38" s="930">
        <f>IFERROR(-I37*I34,0)</f>
        <v/>
      </c>
      <c r="J38" s="930">
        <f>IFERROR(-J37*J34,0)</f>
        <v/>
      </c>
      <c r="K38" s="930">
        <f>IFERROR(-K37*K34,0)</f>
        <v/>
      </c>
      <c r="L38" s="930">
        <f>IFERROR(-L37*L34,0)</f>
        <v/>
      </c>
      <c r="M38" s="930">
        <f>IFERROR(-M37*M34,0)</f>
        <v/>
      </c>
      <c r="N38" s="89" t="n"/>
      <c r="O38" s="89" t="n"/>
      <c r="P38" s="89" t="n"/>
      <c r="Q38" s="131" t="n"/>
    </row>
    <row r="39" outlineLevel="1" ht="18" customHeight="1" s="817">
      <c r="A39" s="479" t="inlineStr">
        <is>
          <t xml:space="preserve">    Bad Debt / Concessions % — MC</t>
        </is>
      </c>
      <c r="B39" s="479" t="n"/>
      <c r="C39" s="488">
        <f>Scenarios!B60</f>
        <v/>
      </c>
      <c r="D39" s="488">
        <f>Scenarios!F60</f>
        <v/>
      </c>
      <c r="E39" s="492">
        <f>D39</f>
        <v/>
      </c>
      <c r="F39" s="492">
        <f>E39</f>
        <v/>
      </c>
      <c r="G39" s="492">
        <f>F39</f>
        <v/>
      </c>
      <c r="H39" s="492">
        <f>G39</f>
        <v/>
      </c>
      <c r="I39" s="492">
        <f>H39</f>
        <v/>
      </c>
      <c r="J39" s="492">
        <f>I39</f>
        <v/>
      </c>
      <c r="K39" s="492">
        <f>J39</f>
        <v/>
      </c>
      <c r="L39" s="492">
        <f>K39</f>
        <v/>
      </c>
      <c r="M39" s="492">
        <f>L39</f>
        <v/>
      </c>
      <c r="N39" s="89" t="n"/>
      <c r="O39" s="89" t="n"/>
      <c r="P39" s="89" t="n"/>
      <c r="Q39" s="131" t="n"/>
    </row>
    <row r="40" outlineLevel="1" ht="18" customHeight="1" s="817">
      <c r="A40" s="480" t="inlineStr">
        <is>
          <t xml:space="preserve">    Less: Concessions/Bad Debt — MC</t>
        </is>
      </c>
      <c r="B40" s="480" t="n"/>
      <c r="C40" s="930">
        <f>IFERROR(-C39*C34,0)</f>
        <v/>
      </c>
      <c r="D40" s="928">
        <f>IFERROR(-D39*D34,0)</f>
        <v/>
      </c>
      <c r="E40" s="930">
        <f>IFERROR(-E39*E34,0)</f>
        <v/>
      </c>
      <c r="F40" s="930">
        <f>IFERROR(-F39*F34,0)</f>
        <v/>
      </c>
      <c r="G40" s="930">
        <f>IFERROR(-G39*G34,0)</f>
        <v/>
      </c>
      <c r="H40" s="930">
        <f>IFERROR(-H39*H34,0)</f>
        <v/>
      </c>
      <c r="I40" s="930">
        <f>IFERROR(-I39*I34,0)</f>
        <v/>
      </c>
      <c r="J40" s="930">
        <f>IFERROR(-J39*J34,0)</f>
        <v/>
      </c>
      <c r="K40" s="930">
        <f>IFERROR(-K39*K34,0)</f>
        <v/>
      </c>
      <c r="L40" s="930">
        <f>IFERROR(-L39*L34,0)</f>
        <v/>
      </c>
      <c r="M40" s="930">
        <f>IFERROR(-M39*M34,0)</f>
        <v/>
      </c>
      <c r="N40" s="89" t="n"/>
      <c r="O40" s="89" t="n"/>
      <c r="P40" s="89" t="n"/>
      <c r="Q40" s="131" t="n"/>
    </row>
    <row r="41" ht="18" customHeight="1" s="817">
      <c r="A41" s="886" t="inlineStr">
        <is>
          <t>── SUMMARY ROLLUP ──</t>
        </is>
      </c>
      <c r="B41" s="886" t="n"/>
      <c r="C41" s="928" t="n"/>
      <c r="D41" s="89" t="n"/>
      <c r="E41" s="89" t="n"/>
      <c r="F41" s="89" t="n"/>
      <c r="G41" s="89" t="n"/>
      <c r="H41" s="89" t="n"/>
      <c r="I41" s="89" t="n"/>
      <c r="J41" s="89" t="n"/>
      <c r="K41" s="89" t="n"/>
      <c r="L41" s="89" t="n"/>
      <c r="M41" s="89" t="n"/>
      <c r="N41" s="89" t="n"/>
      <c r="O41" s="89" t="n"/>
      <c r="P41" s="89" t="n"/>
      <c r="Q41" s="131" t="n"/>
    </row>
    <row r="42" ht="18" customHeight="1" s="817">
      <c r="A42" s="884" t="inlineStr">
        <is>
          <t>Total Licensed Beds</t>
        </is>
      </c>
      <c r="B42" s="884" t="n"/>
      <c r="C42" s="612">
        <f>C12+C22+C32</f>
        <v/>
      </c>
      <c r="D42" s="612">
        <f>D12+D22+D32</f>
        <v/>
      </c>
      <c r="E42" s="612">
        <f>E12+E22+E32</f>
        <v/>
      </c>
      <c r="F42" s="612">
        <f>F12+F22+F32</f>
        <v/>
      </c>
      <c r="G42" s="612">
        <f>G12+G22+G32</f>
        <v/>
      </c>
      <c r="H42" s="612">
        <f>H12+H22+H32</f>
        <v/>
      </c>
      <c r="I42" s="612">
        <f>I12+I22+I32</f>
        <v/>
      </c>
      <c r="J42" s="612">
        <f>J12+J22+J32</f>
        <v/>
      </c>
      <c r="K42" s="612">
        <f>K12+K22+K32</f>
        <v/>
      </c>
      <c r="L42" s="612">
        <f>L12+L22+L32</f>
        <v/>
      </c>
      <c r="M42" s="612">
        <f>M12+M22+M32</f>
        <v/>
      </c>
      <c r="N42" s="613">
        <f>D42</f>
        <v/>
      </c>
      <c r="O42" s="613">
        <f>D42</f>
        <v/>
      </c>
      <c r="P42" s="613">
        <f>D42</f>
        <v/>
      </c>
      <c r="Q42" s="131" t="n"/>
    </row>
    <row r="43" ht="18" customHeight="1" s="817">
      <c r="A43" s="483" t="inlineStr">
        <is>
          <t>TOTAL GROSS POTENTIAL RENT</t>
        </is>
      </c>
      <c r="B43" s="483" t="n"/>
      <c r="C43" s="936">
        <f>C14+C24+C34</f>
        <v/>
      </c>
      <c r="D43" s="936">
        <f>D14+D24+D34</f>
        <v/>
      </c>
      <c r="E43" s="936">
        <f>E14+E24+E34</f>
        <v/>
      </c>
      <c r="F43" s="936">
        <f>F14+F24+F34</f>
        <v/>
      </c>
      <c r="G43" s="936">
        <f>G14+G24+G34</f>
        <v/>
      </c>
      <c r="H43" s="936">
        <f>H14+H24+H34</f>
        <v/>
      </c>
      <c r="I43" s="936">
        <f>I14+I24+I34</f>
        <v/>
      </c>
      <c r="J43" s="936">
        <f>J14+J24+J34</f>
        <v/>
      </c>
      <c r="K43" s="936">
        <f>K14+K24+K34</f>
        <v/>
      </c>
      <c r="L43" s="936">
        <f>L14+L24+L34</f>
        <v/>
      </c>
      <c r="M43" s="936">
        <f>M14+M24+M34</f>
        <v/>
      </c>
      <c r="N43" s="935">
        <f>SUM(D43:H43)</f>
        <v/>
      </c>
      <c r="O43" s="935">
        <f>SUM(D43:M43)</f>
        <v/>
      </c>
      <c r="P43" s="935">
        <f>IFERROR(O43/10,0)</f>
        <v/>
      </c>
      <c r="Q43" s="131">
        <f>IFERROR(D43/$D$50,0)</f>
        <v/>
      </c>
    </row>
    <row r="44" ht="18" customHeight="1" s="817">
      <c r="A44" s="478" t="inlineStr">
        <is>
          <t xml:space="preserve">  Less: Total Vacancy</t>
        </is>
      </c>
      <c r="B44" s="478" t="n"/>
      <c r="C44" s="927">
        <f>C16+C26+C36</f>
        <v/>
      </c>
      <c r="D44" s="927">
        <f>D16+D26+D36</f>
        <v/>
      </c>
      <c r="E44" s="927">
        <f>E16+E26+E36</f>
        <v/>
      </c>
      <c r="F44" s="927">
        <f>F16+F26+F36</f>
        <v/>
      </c>
      <c r="G44" s="927">
        <f>G16+G26+G36</f>
        <v/>
      </c>
      <c r="H44" s="927">
        <f>H16+H26+H36</f>
        <v/>
      </c>
      <c r="I44" s="927">
        <f>I16+I26+I36</f>
        <v/>
      </c>
      <c r="J44" s="927">
        <f>J16+J26+J36</f>
        <v/>
      </c>
      <c r="K44" s="927">
        <f>K16+K26+K36</f>
        <v/>
      </c>
      <c r="L44" s="927">
        <f>L16+L26+L36</f>
        <v/>
      </c>
      <c r="M44" s="927">
        <f>M16+M26+M36</f>
        <v/>
      </c>
      <c r="N44" s="935">
        <f>SUM(D44:H44)</f>
        <v/>
      </c>
      <c r="O44" s="935">
        <f>SUM(D44:M44)</f>
        <v/>
      </c>
      <c r="P44" s="935">
        <f>IFERROR(O44/10,0)</f>
        <v/>
      </c>
      <c r="Q44" s="131">
        <f>IFERROR(D44/$D$50,0)</f>
        <v/>
      </c>
    </row>
    <row r="45" ht="18" customHeight="1" s="817">
      <c r="A45" s="478" t="inlineStr">
        <is>
          <t xml:space="preserve">  Less: Total Loss to Lease</t>
        </is>
      </c>
      <c r="B45" s="478" t="n"/>
      <c r="C45" s="927">
        <f>C18+C28+C38</f>
        <v/>
      </c>
      <c r="D45" s="927">
        <f>D18+D28+D38</f>
        <v/>
      </c>
      <c r="E45" s="927">
        <f>E18+E28+E38</f>
        <v/>
      </c>
      <c r="F45" s="927">
        <f>F18+F28+F38</f>
        <v/>
      </c>
      <c r="G45" s="927">
        <f>G18+G28+G38</f>
        <v/>
      </c>
      <c r="H45" s="927">
        <f>H18+H28+H38</f>
        <v/>
      </c>
      <c r="I45" s="927">
        <f>I18+I28+I38</f>
        <v/>
      </c>
      <c r="J45" s="927">
        <f>J18+J28+J38</f>
        <v/>
      </c>
      <c r="K45" s="927">
        <f>K18+K28+K38</f>
        <v/>
      </c>
      <c r="L45" s="927">
        <f>L18+L28+L38</f>
        <v/>
      </c>
      <c r="M45" s="927">
        <f>M18+M28+M38</f>
        <v/>
      </c>
      <c r="N45" s="935">
        <f>SUM(D45:H45)</f>
        <v/>
      </c>
      <c r="O45" s="935">
        <f>SUM(D45:M45)</f>
        <v/>
      </c>
      <c r="P45" s="935">
        <f>IFERROR(O45/10,0)</f>
        <v/>
      </c>
      <c r="Q45" s="131">
        <f>IFERROR(D45/$D$50,0)</f>
        <v/>
      </c>
    </row>
    <row r="46" ht="18" customHeight="1" s="817">
      <c r="A46" s="478" t="inlineStr">
        <is>
          <t xml:space="preserve">  Less: Total Concessions/Bad Debt</t>
        </is>
      </c>
      <c r="B46" s="478" t="n"/>
      <c r="C46" s="927">
        <f>C20+C30+C40</f>
        <v/>
      </c>
      <c r="D46" s="927">
        <f>D20+D30+D40</f>
        <v/>
      </c>
      <c r="E46" s="927">
        <f>E20+E30+E40</f>
        <v/>
      </c>
      <c r="F46" s="927">
        <f>F20+F30+F40</f>
        <v/>
      </c>
      <c r="G46" s="927">
        <f>G20+G30+G40</f>
        <v/>
      </c>
      <c r="H46" s="927">
        <f>H20+H30+H40</f>
        <v/>
      </c>
      <c r="I46" s="927">
        <f>I20+I30+I40</f>
        <v/>
      </c>
      <c r="J46" s="927">
        <f>J20+J30+J40</f>
        <v/>
      </c>
      <c r="K46" s="927">
        <f>K20+K30+K40</f>
        <v/>
      </c>
      <c r="L46" s="927">
        <f>L20+L30+L40</f>
        <v/>
      </c>
      <c r="M46" s="927">
        <f>M20+M30+M40</f>
        <v/>
      </c>
      <c r="N46" s="935">
        <f>SUM(D46:H46)</f>
        <v/>
      </c>
      <c r="O46" s="935">
        <f>SUM(D46:M46)</f>
        <v/>
      </c>
      <c r="P46" s="935">
        <f>IFERROR(O46/10,0)</f>
        <v/>
      </c>
      <c r="Q46" s="131">
        <f>IFERROR(D46/$D$50,0)</f>
        <v/>
      </c>
    </row>
    <row r="47" ht="18" customHeight="1" s="817">
      <c r="A47" s="478" t="inlineStr">
        <is>
          <t>Care Services Fees</t>
        </is>
      </c>
      <c r="B47" s="478" t="n"/>
      <c r="C47" s="937">
        <f>Scenarios!B63</f>
        <v/>
      </c>
      <c r="D47" s="928">
        <f>Scenarios!F63</f>
        <v/>
      </c>
      <c r="E47" s="927">
        <f>D47*(1+E$5)</f>
        <v/>
      </c>
      <c r="F47" s="927">
        <f>E47*(1+F$5)</f>
        <v/>
      </c>
      <c r="G47" s="927">
        <f>F47*(1+G$5)</f>
        <v/>
      </c>
      <c r="H47" s="927">
        <f>G47*(1+H$5)</f>
        <v/>
      </c>
      <c r="I47" s="927">
        <f>H47*(1+I$5)</f>
        <v/>
      </c>
      <c r="J47" s="927">
        <f>I47*(1+J$5)</f>
        <v/>
      </c>
      <c r="K47" s="927">
        <f>J47*(1+K$5)</f>
        <v/>
      </c>
      <c r="L47" s="927">
        <f>K47*(1+L$5)</f>
        <v/>
      </c>
      <c r="M47" s="927">
        <f>L47*(1+M$5)</f>
        <v/>
      </c>
      <c r="N47" s="935">
        <f>SUM(D47:H47)</f>
        <v/>
      </c>
      <c r="O47" s="935">
        <f>SUM(D47:M47)</f>
        <v/>
      </c>
      <c r="P47" s="935">
        <f>IFERROR(O47/10,0)</f>
        <v/>
      </c>
      <c r="Q47" s="131">
        <f>IFERROR(D47/$D$50,0)</f>
        <v/>
      </c>
    </row>
    <row r="48" ht="18" customHeight="1" s="817">
      <c r="A48" s="478" t="inlineStr">
        <is>
          <t>2nd Person Revenue</t>
        </is>
      </c>
      <c r="B48" s="478" t="n"/>
      <c r="C48" s="937">
        <f>Scenarios!B64</f>
        <v/>
      </c>
      <c r="D48" s="928">
        <f>Scenarios!F64</f>
        <v/>
      </c>
      <c r="E48" s="927">
        <f>D48*(1+E$5)</f>
        <v/>
      </c>
      <c r="F48" s="927">
        <f>E48*(1+F$5)</f>
        <v/>
      </c>
      <c r="G48" s="927">
        <f>F48*(1+G$5)</f>
        <v/>
      </c>
      <c r="H48" s="927">
        <f>G48*(1+H$5)</f>
        <v/>
      </c>
      <c r="I48" s="927">
        <f>H48*(1+I$5)</f>
        <v/>
      </c>
      <c r="J48" s="927">
        <f>I48*(1+J$5)</f>
        <v/>
      </c>
      <c r="K48" s="927">
        <f>J48*(1+K$5)</f>
        <v/>
      </c>
      <c r="L48" s="927">
        <f>K48*(1+L$5)</f>
        <v/>
      </c>
      <c r="M48" s="927">
        <f>L48*(1+M$5)</f>
        <v/>
      </c>
      <c r="N48" s="935">
        <f>SUM(D48:H48)</f>
        <v/>
      </c>
      <c r="O48" s="935">
        <f>SUM(D48:M48)</f>
        <v/>
      </c>
      <c r="P48" s="935">
        <f>IFERROR(O48/10,0)</f>
        <v/>
      </c>
      <c r="Q48" s="131">
        <f>IFERROR(D48/$D$50,0)</f>
        <v/>
      </c>
    </row>
    <row r="49" ht="18" customHeight="1" s="817">
      <c r="A49" s="478" t="inlineStr">
        <is>
          <t>Other Income</t>
        </is>
      </c>
      <c r="B49" s="478" t="n"/>
      <c r="C49" s="937">
        <f>Scenarios!B65</f>
        <v/>
      </c>
      <c r="D49" s="928">
        <f>Scenarios!F65</f>
        <v/>
      </c>
      <c r="E49" s="927">
        <f>D49*(1+E$5)</f>
        <v/>
      </c>
      <c r="F49" s="927">
        <f>E49*(1+F$5)</f>
        <v/>
      </c>
      <c r="G49" s="927">
        <f>F49*(1+G$5)</f>
        <v/>
      </c>
      <c r="H49" s="927">
        <f>G49*(1+H$5)</f>
        <v/>
      </c>
      <c r="I49" s="927">
        <f>H49*(1+I$5)</f>
        <v/>
      </c>
      <c r="J49" s="927">
        <f>I49*(1+J$5)</f>
        <v/>
      </c>
      <c r="K49" s="927">
        <f>J49*(1+K$5)</f>
        <v/>
      </c>
      <c r="L49" s="927">
        <f>K49*(1+L$5)</f>
        <v/>
      </c>
      <c r="M49" s="927">
        <f>L49*(1+M$5)</f>
        <v/>
      </c>
      <c r="N49" s="935">
        <f>SUM(D49:H49)</f>
        <v/>
      </c>
      <c r="O49" s="935">
        <f>SUM(D49:M49)</f>
        <v/>
      </c>
      <c r="P49" s="935">
        <f>IFERROR(O49/10,0)</f>
        <v/>
      </c>
      <c r="Q49" s="131">
        <f>IFERROR(D49/$D$50,0)</f>
        <v/>
      </c>
    </row>
    <row r="50" ht="24" customHeight="1" s="817">
      <c r="A50" s="467" t="inlineStr">
        <is>
          <t>EFFECTIVE GROSS INCOME</t>
        </is>
      </c>
      <c r="B50" s="467" t="n"/>
      <c r="C50" s="936">
        <f>C43+C44+C45+C46+C47+C48+C49</f>
        <v/>
      </c>
      <c r="D50" s="936">
        <f>D43+D44+D45+D46+D47+D48+D49</f>
        <v/>
      </c>
      <c r="E50" s="936">
        <f>E43+E44+E45+E46+E47+E48+E49</f>
        <v/>
      </c>
      <c r="F50" s="936">
        <f>F43+F44+F45+F46+F47+F48+F49</f>
        <v/>
      </c>
      <c r="G50" s="936">
        <f>G43+G44+G45+G46+G47+G48+G49</f>
        <v/>
      </c>
      <c r="H50" s="936">
        <f>H43+H44+H45+H46+H47+H48+H49</f>
        <v/>
      </c>
      <c r="I50" s="936">
        <f>I43+I44+I45+I46+I47+I48+I49</f>
        <v/>
      </c>
      <c r="J50" s="936">
        <f>J43+J44+J45+J46+J47+J48+J49</f>
        <v/>
      </c>
      <c r="K50" s="936">
        <f>K43+K44+K45+K46+K47+K48+K49</f>
        <v/>
      </c>
      <c r="L50" s="936">
        <f>L43+L44+L45+L46+L47+L48+L49</f>
        <v/>
      </c>
      <c r="M50" s="936">
        <f>M43+M44+M45+M46+M47+M48+M49</f>
        <v/>
      </c>
      <c r="N50" s="938">
        <f>SUM(D50:H50)</f>
        <v/>
      </c>
      <c r="O50" s="938">
        <f>SUM(D50:M50)</f>
        <v/>
      </c>
      <c r="P50" s="938">
        <f>IFERROR(O50/10,0)</f>
        <v/>
      </c>
      <c r="Q50" s="83">
        <f>IFERROR(D50/$D$50,0)</f>
        <v/>
      </c>
    </row>
    <row r="51" ht="18" customHeight="1" s="817">
      <c r="A51" s="844" t="inlineStr">
        <is>
          <t>EXPENSES</t>
        </is>
      </c>
    </row>
    <row r="52" ht="18" customHeight="1" s="817">
      <c r="A52" s="507" t="inlineStr">
        <is>
          <t>── DIRECT LABOR ──</t>
        </is>
      </c>
      <c r="B52" s="62" t="n"/>
      <c r="C52" s="939" t="n"/>
      <c r="D52" s="81" t="n"/>
      <c r="E52" s="75" t="n"/>
      <c r="F52" s="75" t="n"/>
      <c r="G52" s="75" t="n"/>
      <c r="H52" s="75" t="n"/>
      <c r="I52" s="75" t="n"/>
      <c r="J52" s="75" t="n"/>
      <c r="K52" s="75" t="n"/>
      <c r="L52" s="75" t="n"/>
      <c r="M52" s="75" t="n"/>
      <c r="N52" s="75" t="n"/>
      <c r="O52" s="75" t="n"/>
      <c r="P52" s="75" t="n"/>
      <c r="Q52" s="82" t="n"/>
    </row>
    <row r="53" outlineLevel="1" ht="18" customHeight="1" s="817">
      <c r="A53" s="65" t="inlineStr">
        <is>
          <t xml:space="preserve">  Care staff labor</t>
        </is>
      </c>
      <c r="B53" s="65" t="n"/>
      <c r="C53" s="933">
        <f>Scenarios!B75</f>
        <v/>
      </c>
      <c r="D53" s="940">
        <f>Scenarios!F75</f>
        <v/>
      </c>
      <c r="E53" s="938">
        <f>D53*(1+E$6)</f>
        <v/>
      </c>
      <c r="F53" s="938">
        <f>E53*(1+F$6)</f>
        <v/>
      </c>
      <c r="G53" s="938">
        <f>F53*(1+G$6)</f>
        <v/>
      </c>
      <c r="H53" s="938">
        <f>G53*(1+H$6)</f>
        <v/>
      </c>
      <c r="I53" s="938">
        <f>H53*(1+I$6)</f>
        <v/>
      </c>
      <c r="J53" s="938">
        <f>I53*(1+J$6)</f>
        <v/>
      </c>
      <c r="K53" s="938">
        <f>J53*(1+K$6)</f>
        <v/>
      </c>
      <c r="L53" s="938">
        <f>K53*(1+L$6)</f>
        <v/>
      </c>
      <c r="M53" s="938">
        <f>L53*(1+M$6)</f>
        <v/>
      </c>
      <c r="N53" s="71" t="n"/>
      <c r="O53" s="71" t="n"/>
      <c r="P53" s="71" t="n"/>
      <c r="Q53" s="83" t="n"/>
    </row>
    <row r="54" outlineLevel="1" ht="18" customHeight="1" s="817">
      <c r="A54" s="62" t="inlineStr">
        <is>
          <t xml:space="preserve">  Wellness / care coordinators</t>
        </is>
      </c>
      <c r="B54" s="62" t="n"/>
      <c r="C54" s="933">
        <f>Scenarios!B76</f>
        <v/>
      </c>
      <c r="D54" s="940">
        <f>Scenarios!F76</f>
        <v/>
      </c>
      <c r="E54" s="606">
        <f>D54*(1+E$6)</f>
        <v/>
      </c>
      <c r="F54" s="606">
        <f>E54*(1+F$6)</f>
        <v/>
      </c>
      <c r="G54" s="606">
        <f>F54*(1+G$6)</f>
        <v/>
      </c>
      <c r="H54" s="606">
        <f>G54*(1+H$6)</f>
        <v/>
      </c>
      <c r="I54" s="606">
        <f>H54*(1+I$6)</f>
        <v/>
      </c>
      <c r="J54" s="606">
        <f>I54*(1+J$6)</f>
        <v/>
      </c>
      <c r="K54" s="606">
        <f>J54*(1+K$6)</f>
        <v/>
      </c>
      <c r="L54" s="606">
        <f>K54*(1+L$6)</f>
        <v/>
      </c>
      <c r="M54" s="606">
        <f>L54*(1+M$6)</f>
        <v/>
      </c>
      <c r="N54" s="75" t="n"/>
      <c r="O54" s="75" t="n"/>
      <c r="P54" s="75" t="n"/>
      <c r="Q54" s="82" t="n"/>
    </row>
    <row r="55" outlineLevel="1" ht="18" customHeight="1" s="817">
      <c r="A55" s="65" t="inlineStr">
        <is>
          <t xml:space="preserve">  Contract / agency labor</t>
        </is>
      </c>
      <c r="B55" s="65" t="n"/>
      <c r="C55" s="933">
        <f>Scenarios!B77</f>
        <v/>
      </c>
      <c r="D55" s="940">
        <f>Scenarios!F77</f>
        <v/>
      </c>
      <c r="E55" s="601">
        <f>D55*(1+E$6)</f>
        <v/>
      </c>
      <c r="F55" s="601">
        <f>E55*(1+F$6)</f>
        <v/>
      </c>
      <c r="G55" s="601">
        <f>F55*(1+G$6)</f>
        <v/>
      </c>
      <c r="H55" s="601">
        <f>G55*(1+H$6)</f>
        <v/>
      </c>
      <c r="I55" s="601">
        <f>H55*(1+I$6)</f>
        <v/>
      </c>
      <c r="J55" s="601">
        <f>I55*(1+J$6)</f>
        <v/>
      </c>
      <c r="K55" s="601">
        <f>J55*(1+K$6)</f>
        <v/>
      </c>
      <c r="L55" s="601">
        <f>K55*(1+L$6)</f>
        <v/>
      </c>
      <c r="M55" s="601">
        <f>L55*(1+M$6)</f>
        <v/>
      </c>
      <c r="N55" s="71" t="n"/>
      <c r="O55" s="71" t="n"/>
      <c r="P55" s="71" t="n"/>
      <c r="Q55" s="83" t="n"/>
    </row>
    <row r="56" outlineLevel="1" ht="18" customHeight="1" s="817">
      <c r="A56" s="62" t="inlineStr">
        <is>
          <t xml:space="preserve">  Activities labor</t>
        </is>
      </c>
      <c r="B56" s="62" t="n"/>
      <c r="C56" s="933">
        <f>Scenarios!B78</f>
        <v/>
      </c>
      <c r="D56" s="940">
        <f>Scenarios!F78</f>
        <v/>
      </c>
      <c r="E56" s="606">
        <f>D56*(1+E$6)</f>
        <v/>
      </c>
      <c r="F56" s="606">
        <f>E56*(1+F$6)</f>
        <v/>
      </c>
      <c r="G56" s="606">
        <f>F56*(1+G$6)</f>
        <v/>
      </c>
      <c r="H56" s="606">
        <f>G56*(1+H$6)</f>
        <v/>
      </c>
      <c r="I56" s="606">
        <f>H56*(1+I$6)</f>
        <v/>
      </c>
      <c r="J56" s="606">
        <f>I56*(1+J$6)</f>
        <v/>
      </c>
      <c r="K56" s="606">
        <f>J56*(1+K$6)</f>
        <v/>
      </c>
      <c r="L56" s="606">
        <f>K56*(1+L$6)</f>
        <v/>
      </c>
      <c r="M56" s="606">
        <f>L56*(1+M$6)</f>
        <v/>
      </c>
      <c r="N56" s="75" t="n"/>
      <c r="O56" s="75" t="n"/>
      <c r="P56" s="75" t="n"/>
      <c r="Q56" s="82" t="n"/>
    </row>
    <row r="57" outlineLevel="1" ht="18" customHeight="1" s="817">
      <c r="A57" s="65" t="inlineStr">
        <is>
          <t xml:space="preserve">  Dining / food service labor</t>
        </is>
      </c>
      <c r="B57" s="65" t="n"/>
      <c r="C57" s="933">
        <f>Scenarios!B79</f>
        <v/>
      </c>
      <c r="D57" s="940">
        <f>Scenarios!F79</f>
        <v/>
      </c>
      <c r="E57" s="601">
        <f>D57*(1+E$6)</f>
        <v/>
      </c>
      <c r="F57" s="601">
        <f>E57*(1+F$6)</f>
        <v/>
      </c>
      <c r="G57" s="601">
        <f>F57*(1+G$6)</f>
        <v/>
      </c>
      <c r="H57" s="601">
        <f>G57*(1+H$6)</f>
        <v/>
      </c>
      <c r="I57" s="601">
        <f>H57*(1+I$6)</f>
        <v/>
      </c>
      <c r="J57" s="601">
        <f>I57*(1+J$6)</f>
        <v/>
      </c>
      <c r="K57" s="601">
        <f>J57*(1+K$6)</f>
        <v/>
      </c>
      <c r="L57" s="601">
        <f>K57*(1+L$6)</f>
        <v/>
      </c>
      <c r="M57" s="601">
        <f>L57*(1+M$6)</f>
        <v/>
      </c>
      <c r="N57" s="71" t="n"/>
      <c r="O57" s="71" t="n"/>
      <c r="P57" s="71" t="n"/>
      <c r="Q57" s="83" t="n"/>
    </row>
    <row r="58" outlineLevel="1" ht="18" customHeight="1" s="817">
      <c r="A58" s="62" t="inlineStr">
        <is>
          <t xml:space="preserve">  Maintenance &amp; housekeeping labor</t>
        </is>
      </c>
      <c r="B58" s="62" t="n"/>
      <c r="C58" s="933">
        <f>Scenarios!B80</f>
        <v/>
      </c>
      <c r="D58" s="940">
        <f>Scenarios!F80</f>
        <v/>
      </c>
      <c r="E58" s="606">
        <f>D58*(1+E$6)</f>
        <v/>
      </c>
      <c r="F58" s="606">
        <f>E58*(1+F$6)</f>
        <v/>
      </c>
      <c r="G58" s="606">
        <f>F58*(1+G$6)</f>
        <v/>
      </c>
      <c r="H58" s="606">
        <f>G58*(1+H$6)</f>
        <v/>
      </c>
      <c r="I58" s="606">
        <f>H58*(1+I$6)</f>
        <v/>
      </c>
      <c r="J58" s="606">
        <f>I58*(1+J$6)</f>
        <v/>
      </c>
      <c r="K58" s="606">
        <f>J58*(1+K$6)</f>
        <v/>
      </c>
      <c r="L58" s="606">
        <f>K58*(1+L$6)</f>
        <v/>
      </c>
      <c r="M58" s="606">
        <f>L58*(1+M$6)</f>
        <v/>
      </c>
      <c r="N58" s="75" t="n"/>
      <c r="O58" s="75" t="n"/>
      <c r="P58" s="75" t="n"/>
      <c r="Q58" s="82" t="n"/>
    </row>
    <row r="59" outlineLevel="1" ht="18" customHeight="1" s="817">
      <c r="A59" s="65" t="inlineStr">
        <is>
          <t xml:space="preserve">  Administrative labor</t>
        </is>
      </c>
      <c r="B59" s="65" t="n"/>
      <c r="C59" s="933">
        <f>Scenarios!B81</f>
        <v/>
      </c>
      <c r="D59" s="940">
        <f>Scenarios!F81</f>
        <v/>
      </c>
      <c r="E59" s="601">
        <f>D59*(1+E$6)</f>
        <v/>
      </c>
      <c r="F59" s="601">
        <f>E59*(1+F$6)</f>
        <v/>
      </c>
      <c r="G59" s="601">
        <f>F59*(1+G$6)</f>
        <v/>
      </c>
      <c r="H59" s="601">
        <f>G59*(1+H$6)</f>
        <v/>
      </c>
      <c r="I59" s="601">
        <f>H59*(1+I$6)</f>
        <v/>
      </c>
      <c r="J59" s="601">
        <f>I59*(1+J$6)</f>
        <v/>
      </c>
      <c r="K59" s="601">
        <f>J59*(1+K$6)</f>
        <v/>
      </c>
      <c r="L59" s="601">
        <f>K59*(1+L$6)</f>
        <v/>
      </c>
      <c r="M59" s="601">
        <f>L59*(1+M$6)</f>
        <v/>
      </c>
      <c r="N59" s="71" t="n"/>
      <c r="O59" s="71" t="n"/>
      <c r="P59" s="71" t="n"/>
      <c r="Q59" s="83" t="n"/>
    </row>
    <row r="60" outlineLevel="1" ht="18" customHeight="1" s="817">
      <c r="A60" s="62" t="inlineStr">
        <is>
          <t xml:space="preserve">  Bonus wages</t>
        </is>
      </c>
      <c r="B60" s="62" t="n"/>
      <c r="C60" s="933">
        <f>Scenarios!B82</f>
        <v/>
      </c>
      <c r="D60" s="940">
        <f>Scenarios!F82</f>
        <v/>
      </c>
      <c r="E60" s="606">
        <f>D60*(1+E$6)</f>
        <v/>
      </c>
      <c r="F60" s="606">
        <f>E60*(1+F$6)</f>
        <v/>
      </c>
      <c r="G60" s="606">
        <f>F60*(1+G$6)</f>
        <v/>
      </c>
      <c r="H60" s="606">
        <f>G60*(1+H$6)</f>
        <v/>
      </c>
      <c r="I60" s="606">
        <f>H60*(1+I$6)</f>
        <v/>
      </c>
      <c r="J60" s="606">
        <f>I60*(1+J$6)</f>
        <v/>
      </c>
      <c r="K60" s="606">
        <f>J60*(1+K$6)</f>
        <v/>
      </c>
      <c r="L60" s="606">
        <f>K60*(1+L$6)</f>
        <v/>
      </c>
      <c r="M60" s="606">
        <f>L60*(1+M$6)</f>
        <v/>
      </c>
      <c r="N60" s="75" t="n"/>
      <c r="O60" s="75" t="n"/>
      <c r="P60" s="75" t="n"/>
      <c r="Q60" s="82" t="n"/>
    </row>
    <row r="61" ht="18" customHeight="1" s="817">
      <c r="A61" s="508" t="inlineStr">
        <is>
          <t>Total Direct Labor</t>
        </is>
      </c>
      <c r="B61" s="65" t="n"/>
      <c r="C61" s="933">
        <f>Scenarios!B83</f>
        <v/>
      </c>
      <c r="D61" s="940">
        <f>Scenarios!F83</f>
        <v/>
      </c>
      <c r="E61" s="628">
        <f>SUM(E53:E60)</f>
        <v/>
      </c>
      <c r="F61" s="628">
        <f>SUM(F53:F60)</f>
        <v/>
      </c>
      <c r="G61" s="628">
        <f>SUM(G53:G60)</f>
        <v/>
      </c>
      <c r="H61" s="628">
        <f>SUM(H53:H60)</f>
        <v/>
      </c>
      <c r="I61" s="628">
        <f>SUM(I53:I60)</f>
        <v/>
      </c>
      <c r="J61" s="628">
        <f>SUM(J53:J60)</f>
        <v/>
      </c>
      <c r="K61" s="628">
        <f>SUM(K53:K60)</f>
        <v/>
      </c>
      <c r="L61" s="628">
        <f>SUM(L53:L60)</f>
        <v/>
      </c>
      <c r="M61" s="628">
        <f>SUM(M53:M60)</f>
        <v/>
      </c>
      <c r="N61" s="71" t="n"/>
      <c r="O61" s="71" t="n"/>
      <c r="P61" s="71" t="n"/>
      <c r="Q61" s="83" t="n"/>
    </row>
    <row r="62" ht="18" customHeight="1" s="817">
      <c r="A62" s="507" t="inlineStr">
        <is>
          <t>── PAYROLL BURDEN ──</t>
        </is>
      </c>
      <c r="B62" s="62" t="n"/>
      <c r="C62" s="933" t="n"/>
      <c r="D62" s="605" t="n"/>
      <c r="E62" s="606" t="n"/>
      <c r="F62" s="606" t="n"/>
      <c r="G62" s="606" t="n"/>
      <c r="H62" s="606" t="n"/>
      <c r="I62" s="606" t="n"/>
      <c r="J62" s="606" t="n"/>
      <c r="K62" s="606" t="n"/>
      <c r="L62" s="606" t="n"/>
      <c r="M62" s="606" t="n"/>
      <c r="N62" s="75" t="n"/>
      <c r="O62" s="75" t="n"/>
      <c r="P62" s="75" t="n"/>
      <c r="Q62" s="82" t="n"/>
    </row>
    <row r="63" outlineLevel="1" ht="18" customHeight="1" s="817">
      <c r="A63" s="65" t="inlineStr">
        <is>
          <t xml:space="preserve">  Overtime wages</t>
        </is>
      </c>
      <c r="B63" s="65" t="n"/>
      <c r="C63" s="933">
        <f>Scenarios!B85</f>
        <v/>
      </c>
      <c r="D63" s="940">
        <f>Scenarios!F85</f>
        <v/>
      </c>
      <c r="E63" s="601">
        <f>D63*(1+E$6)</f>
        <v/>
      </c>
      <c r="F63" s="601">
        <f>E63*(1+F$6)</f>
        <v/>
      </c>
      <c r="G63" s="601">
        <f>F63*(1+G$6)</f>
        <v/>
      </c>
      <c r="H63" s="601">
        <f>G63*(1+H$6)</f>
        <v/>
      </c>
      <c r="I63" s="601">
        <f>H63*(1+I$6)</f>
        <v/>
      </c>
      <c r="J63" s="601">
        <f>I63*(1+J$6)</f>
        <v/>
      </c>
      <c r="K63" s="601">
        <f>J63*(1+K$6)</f>
        <v/>
      </c>
      <c r="L63" s="601">
        <f>K63*(1+L$6)</f>
        <v/>
      </c>
      <c r="M63" s="601">
        <f>L63*(1+M$6)</f>
        <v/>
      </c>
      <c r="N63" s="71" t="n"/>
      <c r="O63" s="71" t="n"/>
      <c r="P63" s="71" t="n"/>
      <c r="Q63" s="83" t="n"/>
    </row>
    <row r="64" outlineLevel="1" ht="18" customHeight="1" s="817">
      <c r="A64" s="62" t="inlineStr">
        <is>
          <t xml:space="preserve">  PTO wages</t>
        </is>
      </c>
      <c r="B64" s="62" t="n"/>
      <c r="C64" s="933">
        <f>Scenarios!B86</f>
        <v/>
      </c>
      <c r="D64" s="940">
        <f>Scenarios!F86</f>
        <v/>
      </c>
      <c r="E64" s="606">
        <f>D64*(1+E$6)</f>
        <v/>
      </c>
      <c r="F64" s="606">
        <f>E64*(1+F$6)</f>
        <v/>
      </c>
      <c r="G64" s="606">
        <f>F64*(1+G$6)</f>
        <v/>
      </c>
      <c r="H64" s="606">
        <f>G64*(1+H$6)</f>
        <v/>
      </c>
      <c r="I64" s="606">
        <f>H64*(1+I$6)</f>
        <v/>
      </c>
      <c r="J64" s="606">
        <f>I64*(1+J$6)</f>
        <v/>
      </c>
      <c r="K64" s="606">
        <f>J64*(1+K$6)</f>
        <v/>
      </c>
      <c r="L64" s="606">
        <f>K64*(1+L$6)</f>
        <v/>
      </c>
      <c r="M64" s="606">
        <f>L64*(1+M$6)</f>
        <v/>
      </c>
      <c r="N64" s="75" t="n"/>
      <c r="O64" s="75" t="n"/>
      <c r="P64" s="75" t="n"/>
      <c r="Q64" s="82" t="n"/>
    </row>
    <row r="65" outlineLevel="1" ht="18" customHeight="1" s="817">
      <c r="A65" s="65" t="inlineStr">
        <is>
          <t xml:space="preserve">  Payroll taxes</t>
        </is>
      </c>
      <c r="B65" s="65" t="n"/>
      <c r="C65" s="933">
        <f>Scenarios!B87</f>
        <v/>
      </c>
      <c r="D65" s="940">
        <f>Scenarios!F87</f>
        <v/>
      </c>
      <c r="E65" s="601">
        <f>D65*(1+E$6)</f>
        <v/>
      </c>
      <c r="F65" s="601">
        <f>E65*(1+F$6)</f>
        <v/>
      </c>
      <c r="G65" s="601">
        <f>F65*(1+G$6)</f>
        <v/>
      </c>
      <c r="H65" s="601">
        <f>G65*(1+H$6)</f>
        <v/>
      </c>
      <c r="I65" s="601">
        <f>H65*(1+I$6)</f>
        <v/>
      </c>
      <c r="J65" s="601">
        <f>I65*(1+J$6)</f>
        <v/>
      </c>
      <c r="K65" s="601">
        <f>J65*(1+K$6)</f>
        <v/>
      </c>
      <c r="L65" s="601">
        <f>K65*(1+L$6)</f>
        <v/>
      </c>
      <c r="M65" s="601">
        <f>L65*(1+M$6)</f>
        <v/>
      </c>
      <c r="N65" s="71" t="n"/>
      <c r="O65" s="71" t="n"/>
      <c r="P65" s="71" t="n"/>
      <c r="Q65" s="83" t="n"/>
    </row>
    <row r="66" outlineLevel="1" ht="18" customHeight="1" s="817">
      <c r="A66" s="62" t="inlineStr">
        <is>
          <t xml:space="preserve">  Employee benefits</t>
        </is>
      </c>
      <c r="B66" s="62" t="n"/>
      <c r="C66" s="933">
        <f>Scenarios!B88</f>
        <v/>
      </c>
      <c r="D66" s="940">
        <f>Scenarios!F88</f>
        <v/>
      </c>
      <c r="E66" s="606">
        <f>D66*(1+E$6)</f>
        <v/>
      </c>
      <c r="F66" s="606">
        <f>E66*(1+F$6)</f>
        <v/>
      </c>
      <c r="G66" s="606">
        <f>F66*(1+G$6)</f>
        <v/>
      </c>
      <c r="H66" s="606">
        <f>G66*(1+H$6)</f>
        <v/>
      </c>
      <c r="I66" s="606">
        <f>H66*(1+I$6)</f>
        <v/>
      </c>
      <c r="J66" s="606">
        <f>I66*(1+J$6)</f>
        <v/>
      </c>
      <c r="K66" s="606">
        <f>J66*(1+K$6)</f>
        <v/>
      </c>
      <c r="L66" s="606">
        <f>K66*(1+L$6)</f>
        <v/>
      </c>
      <c r="M66" s="606">
        <f>L66*(1+M$6)</f>
        <v/>
      </c>
      <c r="N66" s="75" t="n"/>
      <c r="O66" s="75" t="n"/>
      <c r="P66" s="75" t="n"/>
      <c r="Q66" s="82" t="n"/>
    </row>
    <row r="67" outlineLevel="1" ht="18" customHeight="1" s="817">
      <c r="A67" s="62" t="inlineStr">
        <is>
          <t xml:space="preserve">  Workers' comp insurance</t>
        </is>
      </c>
      <c r="B67" s="62" t="n"/>
      <c r="C67" s="933">
        <f>Scenarios!B89</f>
        <v/>
      </c>
      <c r="D67" s="940">
        <f>Scenarios!F89</f>
        <v/>
      </c>
      <c r="E67" s="606">
        <f>D67*(1+E$6)</f>
        <v/>
      </c>
      <c r="F67" s="606">
        <f>E67*(1+F$6)</f>
        <v/>
      </c>
      <c r="G67" s="606">
        <f>F67*(1+G$6)</f>
        <v/>
      </c>
      <c r="H67" s="606">
        <f>G67*(1+H$6)</f>
        <v/>
      </c>
      <c r="I67" s="606">
        <f>H67*(1+I$6)</f>
        <v/>
      </c>
      <c r="J67" s="606">
        <f>I67*(1+J$6)</f>
        <v/>
      </c>
      <c r="K67" s="606">
        <f>J67*(1+K$6)</f>
        <v/>
      </c>
      <c r="L67" s="606">
        <f>K67*(1+L$6)</f>
        <v/>
      </c>
      <c r="M67" s="606">
        <f>L67*(1+M$6)</f>
        <v/>
      </c>
      <c r="N67" s="75" t="n"/>
      <c r="O67" s="75" t="n"/>
      <c r="P67" s="75" t="n"/>
      <c r="Q67" s="82" t="n"/>
    </row>
    <row r="68" outlineLevel="1" ht="18" customHeight="1" s="817">
      <c r="A68" s="62" t="inlineStr">
        <is>
          <t xml:space="preserve">  Employee 401(k) / retirement</t>
        </is>
      </c>
      <c r="B68" s="62" t="n"/>
      <c r="C68" s="933">
        <f>Scenarios!B90</f>
        <v/>
      </c>
      <c r="D68" s="940">
        <f>Scenarios!F90</f>
        <v/>
      </c>
      <c r="E68" s="606">
        <f>D68*(1+E$6)</f>
        <v/>
      </c>
      <c r="F68" s="606">
        <f>E68*(1+F$6)</f>
        <v/>
      </c>
      <c r="G68" s="606">
        <f>F68*(1+G$6)</f>
        <v/>
      </c>
      <c r="H68" s="606">
        <f>G68*(1+H$6)</f>
        <v/>
      </c>
      <c r="I68" s="606">
        <f>H68*(1+I$6)</f>
        <v/>
      </c>
      <c r="J68" s="606">
        <f>I68*(1+J$6)</f>
        <v/>
      </c>
      <c r="K68" s="606">
        <f>J68*(1+K$6)</f>
        <v/>
      </c>
      <c r="L68" s="606">
        <f>K68*(1+L$6)</f>
        <v/>
      </c>
      <c r="M68" s="606">
        <f>L68*(1+M$6)</f>
        <v/>
      </c>
      <c r="N68" s="75" t="n"/>
      <c r="O68" s="75" t="n"/>
      <c r="P68" s="75" t="n"/>
      <c r="Q68" s="82" t="n"/>
    </row>
    <row r="69" ht="18" customHeight="1" s="817">
      <c r="A69" s="508" t="inlineStr">
        <is>
          <t>Total Payroll Burden</t>
        </is>
      </c>
      <c r="B69" s="62" t="n"/>
      <c r="C69" s="933">
        <f>Scenarios!B91</f>
        <v/>
      </c>
      <c r="D69" s="940">
        <f>Scenarios!F91</f>
        <v/>
      </c>
      <c r="E69" s="619">
        <f>SUM(E63:E68)</f>
        <v/>
      </c>
      <c r="F69" s="619">
        <f>SUM(F63:F68)</f>
        <v/>
      </c>
      <c r="G69" s="619">
        <f>SUM(G63:G68)</f>
        <v/>
      </c>
      <c r="H69" s="619">
        <f>SUM(H63:H68)</f>
        <v/>
      </c>
      <c r="I69" s="619">
        <f>SUM(I63:I68)</f>
        <v/>
      </c>
      <c r="J69" s="619">
        <f>SUM(J63:J68)</f>
        <v/>
      </c>
      <c r="K69" s="619">
        <f>SUM(K63:K68)</f>
        <v/>
      </c>
      <c r="L69" s="619">
        <f>SUM(L63:L68)</f>
        <v/>
      </c>
      <c r="M69" s="619">
        <f>SUM(M63:M68)</f>
        <v/>
      </c>
      <c r="N69" s="75" t="n"/>
      <c r="O69" s="75" t="n"/>
      <c r="P69" s="75" t="n"/>
      <c r="Q69" s="82" t="n"/>
    </row>
    <row r="70" ht="18" customHeight="1" s="817">
      <c r="A70" s="507" t="inlineStr">
        <is>
          <t>── NON-LABOR OPEX ──</t>
        </is>
      </c>
      <c r="B70" s="62" t="n"/>
      <c r="C70" s="933" t="n"/>
      <c r="D70" s="605" t="n"/>
      <c r="E70" s="606" t="n"/>
      <c r="F70" s="606" t="n"/>
      <c r="G70" s="606" t="n"/>
      <c r="H70" s="606" t="n"/>
      <c r="I70" s="606" t="n"/>
      <c r="J70" s="606" t="n"/>
      <c r="K70" s="606" t="n"/>
      <c r="L70" s="606" t="n"/>
      <c r="M70" s="606" t="n"/>
      <c r="N70" s="75" t="n"/>
      <c r="O70" s="75" t="n"/>
      <c r="P70" s="75" t="n"/>
      <c r="Q70" s="82" t="n"/>
    </row>
    <row r="71" outlineLevel="1" ht="18" customHeight="1" s="817">
      <c r="A71" s="62" t="inlineStr">
        <is>
          <t xml:space="preserve">  Food cost</t>
        </is>
      </c>
      <c r="B71" s="62" t="n"/>
      <c r="C71" s="933">
        <f>Scenarios!B93</f>
        <v/>
      </c>
      <c r="D71" s="940">
        <f>Scenarios!F93</f>
        <v/>
      </c>
      <c r="E71" s="606">
        <f>D71*(1+E$6)</f>
        <v/>
      </c>
      <c r="F71" s="606">
        <f>E71*(1+F$6)</f>
        <v/>
      </c>
      <c r="G71" s="606">
        <f>F71*(1+G$6)</f>
        <v/>
      </c>
      <c r="H71" s="606">
        <f>G71*(1+H$6)</f>
        <v/>
      </c>
      <c r="I71" s="606">
        <f>H71*(1+I$6)</f>
        <v/>
      </c>
      <c r="J71" s="606">
        <f>I71*(1+J$6)</f>
        <v/>
      </c>
      <c r="K71" s="606">
        <f>J71*(1+K$6)</f>
        <v/>
      </c>
      <c r="L71" s="606">
        <f>K71*(1+L$6)</f>
        <v/>
      </c>
      <c r="M71" s="606">
        <f>L71*(1+M$6)</f>
        <v/>
      </c>
      <c r="N71" s="606" t="n"/>
      <c r="O71" s="606" t="n"/>
      <c r="P71" s="606" t="n"/>
      <c r="Q71" s="845" t="n"/>
    </row>
    <row r="72" outlineLevel="1" ht="18" customHeight="1" s="817">
      <c r="A72" s="62" t="inlineStr">
        <is>
          <t xml:space="preserve">  Dining &amp; kitchen supplies</t>
        </is>
      </c>
      <c r="B72" s="62" t="n"/>
      <c r="C72" s="933">
        <f>Scenarios!B94</f>
        <v/>
      </c>
      <c r="D72" s="940">
        <f>Scenarios!F94</f>
        <v/>
      </c>
      <c r="E72" s="606">
        <f>D72*(1+E$6)</f>
        <v/>
      </c>
      <c r="F72" s="606">
        <f>E72*(1+F$6)</f>
        <v/>
      </c>
      <c r="G72" s="606">
        <f>F72*(1+G$6)</f>
        <v/>
      </c>
      <c r="H72" s="606">
        <f>G72*(1+H$6)</f>
        <v/>
      </c>
      <c r="I72" s="606">
        <f>H72*(1+I$6)</f>
        <v/>
      </c>
      <c r="J72" s="606">
        <f>I72*(1+J$6)</f>
        <v/>
      </c>
      <c r="K72" s="606">
        <f>J72*(1+K$6)</f>
        <v/>
      </c>
      <c r="L72" s="606">
        <f>K72*(1+L$6)</f>
        <v/>
      </c>
      <c r="M72" s="606">
        <f>L72*(1+M$6)</f>
        <v/>
      </c>
      <c r="N72" s="606" t="n"/>
      <c r="O72" s="606" t="n"/>
      <c r="P72" s="606" t="n"/>
      <c r="Q72" s="845" t="n"/>
    </row>
    <row r="73" outlineLevel="1" ht="18" customHeight="1" s="817">
      <c r="A73" s="62" t="inlineStr">
        <is>
          <t xml:space="preserve">  Nursing &amp; care supplies</t>
        </is>
      </c>
      <c r="B73" s="62" t="n"/>
      <c r="C73" s="933">
        <f>Scenarios!B95</f>
        <v/>
      </c>
      <c r="D73" s="940">
        <f>Scenarios!F95</f>
        <v/>
      </c>
      <c r="E73" s="606">
        <f>D73*(1+E$6)</f>
        <v/>
      </c>
      <c r="F73" s="606">
        <f>E73*(1+F$6)</f>
        <v/>
      </c>
      <c r="G73" s="606">
        <f>F73*(1+G$6)</f>
        <v/>
      </c>
      <c r="H73" s="606">
        <f>G73*(1+H$6)</f>
        <v/>
      </c>
      <c r="I73" s="606">
        <f>H73*(1+I$6)</f>
        <v/>
      </c>
      <c r="J73" s="606">
        <f>I73*(1+J$6)</f>
        <v/>
      </c>
      <c r="K73" s="606">
        <f>J73*(1+K$6)</f>
        <v/>
      </c>
      <c r="L73" s="606">
        <f>K73*(1+L$6)</f>
        <v/>
      </c>
      <c r="M73" s="606">
        <f>L73*(1+M$6)</f>
        <v/>
      </c>
      <c r="N73" s="606" t="n"/>
      <c r="O73" s="606" t="n"/>
      <c r="P73" s="606" t="n"/>
      <c r="Q73" s="845" t="n"/>
    </row>
    <row r="74" outlineLevel="1" ht="18" customHeight="1" s="817">
      <c r="A74" s="62" t="inlineStr">
        <is>
          <t xml:space="preserve">  Recreation &amp; activity supplies</t>
        </is>
      </c>
      <c r="B74" s="62" t="n"/>
      <c r="C74" s="933">
        <f>Scenarios!B96</f>
        <v/>
      </c>
      <c r="D74" s="940">
        <f>Scenarios!F96</f>
        <v/>
      </c>
      <c r="E74" s="606">
        <f>D74*(1+E$6)</f>
        <v/>
      </c>
      <c r="F74" s="606">
        <f>E74*(1+F$6)</f>
        <v/>
      </c>
      <c r="G74" s="606">
        <f>F74*(1+G$6)</f>
        <v/>
      </c>
      <c r="H74" s="606">
        <f>G74*(1+H$6)</f>
        <v/>
      </c>
      <c r="I74" s="606">
        <f>H74*(1+I$6)</f>
        <v/>
      </c>
      <c r="J74" s="606">
        <f>I74*(1+J$6)</f>
        <v/>
      </c>
      <c r="K74" s="606">
        <f>J74*(1+K$6)</f>
        <v/>
      </c>
      <c r="L74" s="606">
        <f>K74*(1+L$6)</f>
        <v/>
      </c>
      <c r="M74" s="606">
        <f>L74*(1+M$6)</f>
        <v/>
      </c>
      <c r="N74" s="606" t="n"/>
      <c r="O74" s="606" t="n"/>
      <c r="P74" s="606" t="n"/>
      <c r="Q74" s="845" t="n"/>
    </row>
    <row r="75" outlineLevel="1" ht="18" customHeight="1" s="817">
      <c r="A75" s="62" t="inlineStr">
        <is>
          <t xml:space="preserve">  R&amp;M — fixed</t>
        </is>
      </c>
      <c r="B75" s="62" t="n"/>
      <c r="C75" s="933">
        <f>Scenarios!B97</f>
        <v/>
      </c>
      <c r="D75" s="940">
        <f>Scenarios!F97</f>
        <v/>
      </c>
      <c r="E75" s="606">
        <f>D75*(1+E$6)</f>
        <v/>
      </c>
      <c r="F75" s="606">
        <f>E75*(1+F$6)</f>
        <v/>
      </c>
      <c r="G75" s="606">
        <f>F75*(1+G$6)</f>
        <v/>
      </c>
      <c r="H75" s="606">
        <f>G75*(1+H$6)</f>
        <v/>
      </c>
      <c r="I75" s="606">
        <f>H75*(1+I$6)</f>
        <v/>
      </c>
      <c r="J75" s="606">
        <f>I75*(1+J$6)</f>
        <v/>
      </c>
      <c r="K75" s="606">
        <f>J75*(1+K$6)</f>
        <v/>
      </c>
      <c r="L75" s="606">
        <f>K75*(1+L$6)</f>
        <v/>
      </c>
      <c r="M75" s="606">
        <f>L75*(1+M$6)</f>
        <v/>
      </c>
      <c r="N75" s="606" t="n"/>
      <c r="O75" s="606" t="n"/>
      <c r="P75" s="606" t="n"/>
      <c r="Q75" s="845" t="n"/>
    </row>
    <row r="76" outlineLevel="1" ht="18" customHeight="1" s="817">
      <c r="A76" s="62" t="inlineStr">
        <is>
          <t xml:space="preserve">  R&amp;M — variable</t>
        </is>
      </c>
      <c r="B76" s="62" t="n"/>
      <c r="C76" s="933">
        <f>Scenarios!B98</f>
        <v/>
      </c>
      <c r="D76" s="940">
        <f>Scenarios!F98</f>
        <v/>
      </c>
      <c r="E76" s="606">
        <f>D76*(1+E$6)</f>
        <v/>
      </c>
      <c r="F76" s="606">
        <f>E76*(1+F$6)</f>
        <v/>
      </c>
      <c r="G76" s="606">
        <f>F76*(1+G$6)</f>
        <v/>
      </c>
      <c r="H76" s="606">
        <f>G76*(1+H$6)</f>
        <v/>
      </c>
      <c r="I76" s="606">
        <f>H76*(1+I$6)</f>
        <v/>
      </c>
      <c r="J76" s="606">
        <f>I76*(1+J$6)</f>
        <v/>
      </c>
      <c r="K76" s="606">
        <f>J76*(1+K$6)</f>
        <v/>
      </c>
      <c r="L76" s="606">
        <f>K76*(1+L$6)</f>
        <v/>
      </c>
      <c r="M76" s="606">
        <f>L76*(1+M$6)</f>
        <v/>
      </c>
      <c r="N76" s="606" t="n"/>
      <c r="O76" s="606" t="n"/>
      <c r="P76" s="606" t="n"/>
      <c r="Q76" s="845" t="n"/>
    </row>
    <row r="77" outlineLevel="1" ht="18" customHeight="1" s="817">
      <c r="A77" s="62" t="inlineStr">
        <is>
          <t xml:space="preserve">  Housekeeping &amp; laundry supplies</t>
        </is>
      </c>
      <c r="B77" s="62" t="n"/>
      <c r="C77" s="933">
        <f>Scenarios!B99</f>
        <v/>
      </c>
      <c r="D77" s="940">
        <f>Scenarios!F99</f>
        <v/>
      </c>
      <c r="E77" s="606">
        <f>D77*(1+E$6)</f>
        <v/>
      </c>
      <c r="F77" s="606">
        <f>E77*(1+F$6)</f>
        <v/>
      </c>
      <c r="G77" s="606">
        <f>F77*(1+G$6)</f>
        <v/>
      </c>
      <c r="H77" s="606">
        <f>G77*(1+H$6)</f>
        <v/>
      </c>
      <c r="I77" s="606">
        <f>H77*(1+I$6)</f>
        <v/>
      </c>
      <c r="J77" s="606">
        <f>I77*(1+J$6)</f>
        <v/>
      </c>
      <c r="K77" s="606">
        <f>J77*(1+K$6)</f>
        <v/>
      </c>
      <c r="L77" s="606">
        <f>K77*(1+L$6)</f>
        <v/>
      </c>
      <c r="M77" s="606">
        <f>L77*(1+M$6)</f>
        <v/>
      </c>
      <c r="N77" s="606" t="n"/>
      <c r="O77" s="606" t="n"/>
      <c r="P77" s="606" t="n"/>
      <c r="Q77" s="845" t="n"/>
    </row>
    <row r="78" outlineLevel="1" ht="18" customHeight="1" s="817">
      <c r="A78" s="62" t="inlineStr">
        <is>
          <t xml:space="preserve">  Sales, advertising &amp; marketing</t>
        </is>
      </c>
      <c r="B78" s="62" t="n"/>
      <c r="C78" s="933">
        <f>Scenarios!B100</f>
        <v/>
      </c>
      <c r="D78" s="940">
        <f>Scenarios!F100</f>
        <v/>
      </c>
      <c r="E78" s="606">
        <f>D78*(1+E$6)</f>
        <v/>
      </c>
      <c r="F78" s="606">
        <f>E78*(1+F$6)</f>
        <v/>
      </c>
      <c r="G78" s="606">
        <f>F78*(1+G$6)</f>
        <v/>
      </c>
      <c r="H78" s="606">
        <f>G78*(1+H$6)</f>
        <v/>
      </c>
      <c r="I78" s="606">
        <f>H78*(1+I$6)</f>
        <v/>
      </c>
      <c r="J78" s="606">
        <f>I78*(1+J$6)</f>
        <v/>
      </c>
      <c r="K78" s="606">
        <f>J78*(1+K$6)</f>
        <v/>
      </c>
      <c r="L78" s="606">
        <f>K78*(1+L$6)</f>
        <v/>
      </c>
      <c r="M78" s="606">
        <f>L78*(1+M$6)</f>
        <v/>
      </c>
      <c r="N78" s="606" t="n"/>
      <c r="O78" s="606" t="n"/>
      <c r="P78" s="606" t="n"/>
      <c r="Q78" s="845" t="n"/>
    </row>
    <row r="79" outlineLevel="1" ht="18" customHeight="1" s="817">
      <c r="A79" s="62" t="inlineStr">
        <is>
          <t xml:space="preserve">  Referral fees</t>
        </is>
      </c>
      <c r="B79" s="62" t="n"/>
      <c r="C79" s="933">
        <f>Scenarios!B101</f>
        <v/>
      </c>
      <c r="D79" s="940">
        <f>Scenarios!F101</f>
        <v/>
      </c>
      <c r="E79" s="606">
        <f>D79*(1+E$6)</f>
        <v/>
      </c>
      <c r="F79" s="606">
        <f>E79*(1+F$6)</f>
        <v/>
      </c>
      <c r="G79" s="606">
        <f>F79*(1+G$6)</f>
        <v/>
      </c>
      <c r="H79" s="606">
        <f>G79*(1+H$6)</f>
        <v/>
      </c>
      <c r="I79" s="606">
        <f>H79*(1+I$6)</f>
        <v/>
      </c>
      <c r="J79" s="606">
        <f>I79*(1+J$6)</f>
        <v/>
      </c>
      <c r="K79" s="606">
        <f>J79*(1+K$6)</f>
        <v/>
      </c>
      <c r="L79" s="606">
        <f>K79*(1+L$6)</f>
        <v/>
      </c>
      <c r="M79" s="606">
        <f>L79*(1+M$6)</f>
        <v/>
      </c>
      <c r="N79" s="606" t="n"/>
      <c r="O79" s="606" t="n"/>
      <c r="P79" s="606" t="n"/>
      <c r="Q79" s="845" t="n"/>
    </row>
    <row r="80" outlineLevel="1" ht="18" customHeight="1" s="817">
      <c r="A80" s="62" t="inlineStr">
        <is>
          <t xml:space="preserve">  Utilities</t>
        </is>
      </c>
      <c r="B80" s="62" t="n"/>
      <c r="C80" s="933">
        <f>Scenarios!B102</f>
        <v/>
      </c>
      <c r="D80" s="940">
        <f>Scenarios!F102</f>
        <v/>
      </c>
      <c r="E80" s="606">
        <f>D80*(1+E$6)</f>
        <v/>
      </c>
      <c r="F80" s="606">
        <f>E80*(1+F$6)</f>
        <v/>
      </c>
      <c r="G80" s="606">
        <f>F80*(1+G$6)</f>
        <v/>
      </c>
      <c r="H80" s="606">
        <f>G80*(1+H$6)</f>
        <v/>
      </c>
      <c r="I80" s="606">
        <f>H80*(1+I$6)</f>
        <v/>
      </c>
      <c r="J80" s="606">
        <f>I80*(1+J$6)</f>
        <v/>
      </c>
      <c r="K80" s="606">
        <f>J80*(1+K$6)</f>
        <v/>
      </c>
      <c r="L80" s="606">
        <f>K80*(1+L$6)</f>
        <v/>
      </c>
      <c r="M80" s="606">
        <f>L80*(1+M$6)</f>
        <v/>
      </c>
      <c r="N80" s="606" t="n"/>
      <c r="O80" s="606" t="n"/>
      <c r="P80" s="606" t="n"/>
      <c r="Q80" s="845" t="n"/>
    </row>
    <row r="81" outlineLevel="1" ht="18" customHeight="1" s="817">
      <c r="A81" s="62" t="inlineStr">
        <is>
          <t xml:space="preserve">  Telephone / IT / technology</t>
        </is>
      </c>
      <c r="B81" s="62" t="n"/>
      <c r="C81" s="933">
        <f>Scenarios!B103</f>
        <v/>
      </c>
      <c r="D81" s="940">
        <f>Scenarios!F103</f>
        <v/>
      </c>
      <c r="E81" s="606">
        <f>D81*(1+E$6)</f>
        <v/>
      </c>
      <c r="F81" s="606">
        <f>E81*(1+F$6)</f>
        <v/>
      </c>
      <c r="G81" s="606">
        <f>F81*(1+G$6)</f>
        <v/>
      </c>
      <c r="H81" s="606">
        <f>G81*(1+H$6)</f>
        <v/>
      </c>
      <c r="I81" s="606">
        <f>H81*(1+I$6)</f>
        <v/>
      </c>
      <c r="J81" s="606">
        <f>I81*(1+J$6)</f>
        <v/>
      </c>
      <c r="K81" s="606">
        <f>J81*(1+K$6)</f>
        <v/>
      </c>
      <c r="L81" s="606">
        <f>K81*(1+L$6)</f>
        <v/>
      </c>
      <c r="M81" s="606">
        <f>L81*(1+M$6)</f>
        <v/>
      </c>
      <c r="N81" s="606" t="n"/>
      <c r="O81" s="606" t="n"/>
      <c r="P81" s="606" t="n"/>
      <c r="Q81" s="845" t="n"/>
    </row>
    <row r="82" outlineLevel="1" ht="18" customHeight="1" s="817">
      <c r="A82" s="62" t="inlineStr">
        <is>
          <t xml:space="preserve">  P&amp;C insurance</t>
        </is>
      </c>
      <c r="B82" s="62" t="n"/>
      <c r="C82" s="933">
        <f>Scenarios!B104</f>
        <v/>
      </c>
      <c r="D82" s="940">
        <f>Scenarios!F104</f>
        <v/>
      </c>
      <c r="E82" s="606">
        <f>D82*(1+E$6)</f>
        <v/>
      </c>
      <c r="F82" s="606">
        <f>E82*(1+F$6)</f>
        <v/>
      </c>
      <c r="G82" s="606">
        <f>F82*(1+G$6)</f>
        <v/>
      </c>
      <c r="H82" s="606">
        <f>G82*(1+H$6)</f>
        <v/>
      </c>
      <c r="I82" s="606">
        <f>H82*(1+I$6)</f>
        <v/>
      </c>
      <c r="J82" s="606">
        <f>I82*(1+J$6)</f>
        <v/>
      </c>
      <c r="K82" s="606">
        <f>J82*(1+K$6)</f>
        <v/>
      </c>
      <c r="L82" s="606">
        <f>K82*(1+L$6)</f>
        <v/>
      </c>
      <c r="M82" s="606">
        <f>L82*(1+M$6)</f>
        <v/>
      </c>
      <c r="N82" s="606" t="n"/>
      <c r="O82" s="606" t="n"/>
      <c r="P82" s="606" t="n"/>
      <c r="Q82" s="845" t="n"/>
    </row>
    <row r="83" outlineLevel="1" ht="18" customHeight="1" s="817">
      <c r="A83" s="62" t="inlineStr">
        <is>
          <t xml:space="preserve">  Auto insurance</t>
        </is>
      </c>
      <c r="B83" s="62" t="n"/>
      <c r="C83" s="933">
        <f>Scenarios!B105</f>
        <v/>
      </c>
      <c r="D83" s="940">
        <f>Scenarios!F105</f>
        <v/>
      </c>
      <c r="E83" s="606">
        <f>D83*(1+E$6)</f>
        <v/>
      </c>
      <c r="F83" s="606">
        <f>E83*(1+F$6)</f>
        <v/>
      </c>
      <c r="G83" s="606">
        <f>F83*(1+G$6)</f>
        <v/>
      </c>
      <c r="H83" s="606">
        <f>G83*(1+H$6)</f>
        <v/>
      </c>
      <c r="I83" s="606">
        <f>H83*(1+I$6)</f>
        <v/>
      </c>
      <c r="J83" s="606">
        <f>I83*(1+J$6)</f>
        <v/>
      </c>
      <c r="K83" s="606">
        <f>J83*(1+K$6)</f>
        <v/>
      </c>
      <c r="L83" s="606">
        <f>K83*(1+L$6)</f>
        <v/>
      </c>
      <c r="M83" s="606">
        <f>L83*(1+M$6)</f>
        <v/>
      </c>
      <c r="N83" s="606" t="n"/>
      <c r="O83" s="606" t="n"/>
      <c r="P83" s="606" t="n"/>
      <c r="Q83" s="845" t="n"/>
    </row>
    <row r="84" outlineLevel="1" ht="18" customHeight="1" s="817">
      <c r="A84" s="62" t="inlineStr">
        <is>
          <t xml:space="preserve">  Fire / security monitoring</t>
        </is>
      </c>
      <c r="B84" s="62" t="n"/>
      <c r="C84" s="933">
        <f>Scenarios!B106</f>
        <v/>
      </c>
      <c r="D84" s="940">
        <f>Scenarios!F106</f>
        <v/>
      </c>
      <c r="E84" s="606">
        <f>D84*(1+E$6)</f>
        <v/>
      </c>
      <c r="F84" s="606">
        <f>E84*(1+F$6)</f>
        <v/>
      </c>
      <c r="G84" s="606">
        <f>F84*(1+G$6)</f>
        <v/>
      </c>
      <c r="H84" s="606">
        <f>G84*(1+H$6)</f>
        <v/>
      </c>
      <c r="I84" s="606">
        <f>H84*(1+I$6)</f>
        <v/>
      </c>
      <c r="J84" s="606">
        <f>I84*(1+J$6)</f>
        <v/>
      </c>
      <c r="K84" s="606">
        <f>J84*(1+K$6)</f>
        <v/>
      </c>
      <c r="L84" s="606">
        <f>K84*(1+L$6)</f>
        <v/>
      </c>
      <c r="M84" s="606">
        <f>L84*(1+M$6)</f>
        <v/>
      </c>
      <c r="N84" s="606" t="n"/>
      <c r="O84" s="606" t="n"/>
      <c r="P84" s="606" t="n"/>
      <c r="Q84" s="845" t="n"/>
    </row>
    <row r="85" outlineLevel="1" ht="18" customHeight="1" s="817">
      <c r="A85" s="62" t="inlineStr">
        <is>
          <t xml:space="preserve">  Pest elimination</t>
        </is>
      </c>
      <c r="B85" s="62" t="n"/>
      <c r="C85" s="933">
        <f>Scenarios!B107</f>
        <v/>
      </c>
      <c r="D85" s="940">
        <f>Scenarios!F107</f>
        <v/>
      </c>
      <c r="E85" s="606">
        <f>D85*(1+E$6)</f>
        <v/>
      </c>
      <c r="F85" s="606">
        <f>E85*(1+F$6)</f>
        <v/>
      </c>
      <c r="G85" s="606">
        <f>F85*(1+G$6)</f>
        <v/>
      </c>
      <c r="H85" s="606">
        <f>G85*(1+H$6)</f>
        <v/>
      </c>
      <c r="I85" s="606">
        <f>H85*(1+I$6)</f>
        <v/>
      </c>
      <c r="J85" s="606">
        <f>I85*(1+J$6)</f>
        <v/>
      </c>
      <c r="K85" s="606">
        <f>J85*(1+K$6)</f>
        <v/>
      </c>
      <c r="L85" s="606">
        <f>K85*(1+L$6)</f>
        <v/>
      </c>
      <c r="M85" s="606">
        <f>L85*(1+M$6)</f>
        <v/>
      </c>
      <c r="N85" s="606" t="n"/>
      <c r="O85" s="606" t="n"/>
      <c r="P85" s="606" t="n"/>
      <c r="Q85" s="845" t="n"/>
    </row>
    <row r="86" outlineLevel="1" ht="18" customHeight="1" s="817">
      <c r="A86" s="62" t="inlineStr">
        <is>
          <t xml:space="preserve">  Real estate taxes</t>
        </is>
      </c>
      <c r="B86" s="62" t="n"/>
      <c r="C86" s="933">
        <f>Scenarios!B108</f>
        <v/>
      </c>
      <c r="D86" s="940">
        <f>Scenarios!F108</f>
        <v/>
      </c>
      <c r="E86" s="606">
        <f>D86*(1+E$6)</f>
        <v/>
      </c>
      <c r="F86" s="606">
        <f>E86*(1+F$6)</f>
        <v/>
      </c>
      <c r="G86" s="606">
        <f>F86*(1+G$6)</f>
        <v/>
      </c>
      <c r="H86" s="606">
        <f>G86*(1+H$6)</f>
        <v/>
      </c>
      <c r="I86" s="606">
        <f>H86*(1+I$6)</f>
        <v/>
      </c>
      <c r="J86" s="606">
        <f>I86*(1+J$6)</f>
        <v/>
      </c>
      <c r="K86" s="606">
        <f>J86*(1+K$6)</f>
        <v/>
      </c>
      <c r="L86" s="606">
        <f>K86*(1+L$6)</f>
        <v/>
      </c>
      <c r="M86" s="606">
        <f>L86*(1+M$6)</f>
        <v/>
      </c>
      <c r="N86" s="606" t="n"/>
      <c r="O86" s="606" t="n"/>
      <c r="P86" s="606" t="n"/>
      <c r="Q86" s="845" t="n"/>
    </row>
    <row r="87" outlineLevel="1" ht="18" customHeight="1" s="817">
      <c r="A87" s="62" t="inlineStr">
        <is>
          <t xml:space="preserve">  Personal property taxes</t>
        </is>
      </c>
      <c r="B87" s="62" t="n"/>
      <c r="C87" s="933">
        <f>Scenarios!B109</f>
        <v/>
      </c>
      <c r="D87" s="940">
        <f>Scenarios!F109</f>
        <v/>
      </c>
      <c r="E87" s="606">
        <f>D87*(1+E$6)</f>
        <v/>
      </c>
      <c r="F87" s="606">
        <f>E87*(1+F$6)</f>
        <v/>
      </c>
      <c r="G87" s="606">
        <f>F87*(1+G$6)</f>
        <v/>
      </c>
      <c r="H87" s="606">
        <f>G87*(1+H$6)</f>
        <v/>
      </c>
      <c r="I87" s="606">
        <f>H87*(1+I$6)</f>
        <v/>
      </c>
      <c r="J87" s="606">
        <f>I87*(1+J$6)</f>
        <v/>
      </c>
      <c r="K87" s="606">
        <f>J87*(1+K$6)</f>
        <v/>
      </c>
      <c r="L87" s="606">
        <f>K87*(1+L$6)</f>
        <v/>
      </c>
      <c r="M87" s="606">
        <f>L87*(1+M$6)</f>
        <v/>
      </c>
      <c r="N87" s="606" t="n"/>
      <c r="O87" s="606" t="n"/>
      <c r="P87" s="606" t="n"/>
      <c r="Q87" s="845" t="n"/>
    </row>
    <row r="88" outlineLevel="1" ht="18" customHeight="1" s="817">
      <c r="A88" s="62" t="inlineStr">
        <is>
          <t xml:space="preserve">  Legal expenses</t>
        </is>
      </c>
      <c r="B88" s="62" t="n"/>
      <c r="C88" s="933">
        <f>Scenarios!B110</f>
        <v/>
      </c>
      <c r="D88" s="940">
        <f>Scenarios!F110</f>
        <v/>
      </c>
      <c r="E88" s="606">
        <f>D88*(1+E$6)</f>
        <v/>
      </c>
      <c r="F88" s="606">
        <f>E88*(1+F$6)</f>
        <v/>
      </c>
      <c r="G88" s="606">
        <f>F88*(1+G$6)</f>
        <v/>
      </c>
      <c r="H88" s="606">
        <f>G88*(1+H$6)</f>
        <v/>
      </c>
      <c r="I88" s="606">
        <f>H88*(1+I$6)</f>
        <v/>
      </c>
      <c r="J88" s="606">
        <f>I88*(1+J$6)</f>
        <v/>
      </c>
      <c r="K88" s="606">
        <f>J88*(1+K$6)</f>
        <v/>
      </c>
      <c r="L88" s="606">
        <f>K88*(1+L$6)</f>
        <v/>
      </c>
      <c r="M88" s="606">
        <f>L88*(1+M$6)</f>
        <v/>
      </c>
      <c r="N88" s="606" t="n"/>
      <c r="O88" s="606" t="n"/>
      <c r="P88" s="606" t="n"/>
      <c r="Q88" s="845" t="n"/>
    </row>
    <row r="89" outlineLevel="1" ht="18" customHeight="1" s="817">
      <c r="A89" s="62" t="inlineStr">
        <is>
          <t xml:space="preserve">  Professional services</t>
        </is>
      </c>
      <c r="B89" s="62" t="n"/>
      <c r="C89" s="933">
        <f>Scenarios!B111</f>
        <v/>
      </c>
      <c r="D89" s="940">
        <f>Scenarios!F111</f>
        <v/>
      </c>
      <c r="E89" s="606">
        <f>D89*(1+E$6)</f>
        <v/>
      </c>
      <c r="F89" s="606">
        <f>E89*(1+F$6)</f>
        <v/>
      </c>
      <c r="G89" s="606">
        <f>F89*(1+G$6)</f>
        <v/>
      </c>
      <c r="H89" s="606">
        <f>G89*(1+H$6)</f>
        <v/>
      </c>
      <c r="I89" s="606">
        <f>H89*(1+I$6)</f>
        <v/>
      </c>
      <c r="J89" s="606">
        <f>I89*(1+J$6)</f>
        <v/>
      </c>
      <c r="K89" s="606">
        <f>J89*(1+K$6)</f>
        <v/>
      </c>
      <c r="L89" s="606">
        <f>K89*(1+L$6)</f>
        <v/>
      </c>
      <c r="M89" s="606">
        <f>L89*(1+M$6)</f>
        <v/>
      </c>
      <c r="N89" s="606" t="n"/>
      <c r="O89" s="606" t="n"/>
      <c r="P89" s="606" t="n"/>
      <c r="Q89" s="845" t="n"/>
    </row>
    <row r="90" outlineLevel="1" ht="18" customHeight="1" s="817">
      <c r="A90" s="62" t="inlineStr">
        <is>
          <t xml:space="preserve">  Bad debt expense</t>
        </is>
      </c>
      <c r="B90" s="62" t="n"/>
      <c r="C90" s="933">
        <f>Scenarios!B112</f>
        <v/>
      </c>
      <c r="D90" s="940">
        <f>Scenarios!F112</f>
        <v/>
      </c>
      <c r="E90" s="606">
        <f>D90*(1+E$6)</f>
        <v/>
      </c>
      <c r="F90" s="606">
        <f>E90*(1+F$6)</f>
        <v/>
      </c>
      <c r="G90" s="606">
        <f>F90*(1+G$6)</f>
        <v/>
      </c>
      <c r="H90" s="606">
        <f>G90*(1+H$6)</f>
        <v/>
      </c>
      <c r="I90" s="606">
        <f>H90*(1+I$6)</f>
        <v/>
      </c>
      <c r="J90" s="606">
        <f>I90*(1+J$6)</f>
        <v/>
      </c>
      <c r="K90" s="606">
        <f>J90*(1+K$6)</f>
        <v/>
      </c>
      <c r="L90" s="606">
        <f>K90*(1+L$6)</f>
        <v/>
      </c>
      <c r="M90" s="606">
        <f>L90*(1+M$6)</f>
        <v/>
      </c>
      <c r="N90" s="606" t="n"/>
      <c r="O90" s="606" t="n"/>
      <c r="P90" s="606" t="n"/>
      <c r="Q90" s="845" t="n"/>
    </row>
    <row r="91" outlineLevel="1" ht="18" customHeight="1" s="817">
      <c r="A91" s="62" t="inlineStr">
        <is>
          <t xml:space="preserve">  Permits, licenses &amp; dues</t>
        </is>
      </c>
      <c r="B91" s="62" t="n"/>
      <c r="C91" s="933">
        <f>Scenarios!B113</f>
        <v/>
      </c>
      <c r="D91" s="940">
        <f>Scenarios!F113</f>
        <v/>
      </c>
      <c r="E91" s="606">
        <f>D91*(1+E$6)</f>
        <v/>
      </c>
      <c r="F91" s="606">
        <f>E91*(1+F$6)</f>
        <v/>
      </c>
      <c r="G91" s="606">
        <f>F91*(1+G$6)</f>
        <v/>
      </c>
      <c r="H91" s="606">
        <f>G91*(1+H$6)</f>
        <v/>
      </c>
      <c r="I91" s="606">
        <f>H91*(1+I$6)</f>
        <v/>
      </c>
      <c r="J91" s="606">
        <f>I91*(1+J$6)</f>
        <v/>
      </c>
      <c r="K91" s="606">
        <f>J91*(1+K$6)</f>
        <v/>
      </c>
      <c r="L91" s="606">
        <f>K91*(1+L$6)</f>
        <v/>
      </c>
      <c r="M91" s="606">
        <f>L91*(1+M$6)</f>
        <v/>
      </c>
      <c r="N91" s="606" t="n"/>
      <c r="O91" s="606" t="n"/>
      <c r="P91" s="606" t="n"/>
      <c r="Q91" s="845" t="n"/>
    </row>
    <row r="92" outlineLevel="1" ht="18" customHeight="1" s="817">
      <c r="A92" s="62" t="inlineStr">
        <is>
          <t xml:space="preserve">  Office, admin &amp; G&amp;A</t>
        </is>
      </c>
      <c r="B92" s="62" t="n"/>
      <c r="C92" s="933">
        <f>Scenarios!B114</f>
        <v/>
      </c>
      <c r="D92" s="940">
        <f>Scenarios!F114</f>
        <v/>
      </c>
      <c r="E92" s="606">
        <f>D92*(1+E$6)</f>
        <v/>
      </c>
      <c r="F92" s="606">
        <f>E92*(1+F$6)</f>
        <v/>
      </c>
      <c r="G92" s="606">
        <f>F92*(1+G$6)</f>
        <v/>
      </c>
      <c r="H92" s="606">
        <f>G92*(1+H$6)</f>
        <v/>
      </c>
      <c r="I92" s="606">
        <f>H92*(1+I$6)</f>
        <v/>
      </c>
      <c r="J92" s="606">
        <f>I92*(1+J$6)</f>
        <v/>
      </c>
      <c r="K92" s="606">
        <f>J92*(1+K$6)</f>
        <v/>
      </c>
      <c r="L92" s="606">
        <f>K92*(1+L$6)</f>
        <v/>
      </c>
      <c r="M92" s="606">
        <f>L92*(1+M$6)</f>
        <v/>
      </c>
      <c r="N92" s="606" t="n"/>
      <c r="O92" s="606" t="n"/>
      <c r="P92" s="606" t="n"/>
      <c r="Q92" s="845" t="n"/>
    </row>
    <row r="93" outlineLevel="1" ht="18" customHeight="1" s="817">
      <c r="A93" s="62" t="inlineStr">
        <is>
          <t xml:space="preserve">  Other / miscellaneous</t>
        </is>
      </c>
      <c r="B93" s="62" t="n"/>
      <c r="C93" s="933">
        <f>Scenarios!B115</f>
        <v/>
      </c>
      <c r="D93" s="940">
        <f>Scenarios!F115</f>
        <v/>
      </c>
      <c r="E93" s="606">
        <f>D93*(1+E$6)</f>
        <v/>
      </c>
      <c r="F93" s="606">
        <f>E93*(1+F$6)</f>
        <v/>
      </c>
      <c r="G93" s="606">
        <f>F93*(1+G$6)</f>
        <v/>
      </c>
      <c r="H93" s="606">
        <f>G93*(1+H$6)</f>
        <v/>
      </c>
      <c r="I93" s="606">
        <f>H93*(1+I$6)</f>
        <v/>
      </c>
      <c r="J93" s="606">
        <f>I93*(1+J$6)</f>
        <v/>
      </c>
      <c r="K93" s="606">
        <f>J93*(1+K$6)</f>
        <v/>
      </c>
      <c r="L93" s="606">
        <f>K93*(1+L$6)</f>
        <v/>
      </c>
      <c r="M93" s="606">
        <f>L93*(1+M$6)</f>
        <v/>
      </c>
      <c r="N93" s="606" t="n"/>
      <c r="O93" s="606" t="n"/>
      <c r="P93" s="606" t="n"/>
      <c r="Q93" s="845" t="n"/>
    </row>
    <row r="94" ht="18" customHeight="1" s="817">
      <c r="A94" s="508" t="inlineStr">
        <is>
          <t>Total Non-Labor OpEx</t>
        </is>
      </c>
      <c r="B94" s="62" t="n"/>
      <c r="C94" s="933">
        <f>Scenarios!B116</f>
        <v/>
      </c>
      <c r="D94" s="940">
        <f>Scenarios!F116</f>
        <v/>
      </c>
      <c r="E94" s="619">
        <f>SUM(E71:E93)</f>
        <v/>
      </c>
      <c r="F94" s="619">
        <f>SUM(F71:F93)</f>
        <v/>
      </c>
      <c r="G94" s="619">
        <f>SUM(G71:G93)</f>
        <v/>
      </c>
      <c r="H94" s="619">
        <f>SUM(H71:H93)</f>
        <v/>
      </c>
      <c r="I94" s="619">
        <f>SUM(I71:I93)</f>
        <v/>
      </c>
      <c r="J94" s="619">
        <f>SUM(J71:J93)</f>
        <v/>
      </c>
      <c r="K94" s="619">
        <f>SUM(K71:K93)</f>
        <v/>
      </c>
      <c r="L94" s="619">
        <f>SUM(L71:L93)</f>
        <v/>
      </c>
      <c r="M94" s="619">
        <f>SUM(M71:M93)</f>
        <v/>
      </c>
      <c r="N94" s="606" t="n"/>
      <c r="O94" s="606" t="n"/>
      <c r="P94" s="606" t="n"/>
      <c r="Q94" s="845" t="n"/>
    </row>
    <row r="95" ht="18" customHeight="1" s="817">
      <c r="A95" s="509" t="inlineStr">
        <is>
          <t>Management Fee</t>
        </is>
      </c>
      <c r="B95" s="132" t="n"/>
      <c r="C95" s="941">
        <f>Scenarios!B117</f>
        <v/>
      </c>
      <c r="D95" s="942">
        <f>Scenarios!F117</f>
        <v/>
      </c>
      <c r="E95" s="622">
        <f>E50*0.05</f>
        <v/>
      </c>
      <c r="F95" s="622">
        <f>F50*0.05</f>
        <v/>
      </c>
      <c r="G95" s="622">
        <f>G50*0.05</f>
        <v/>
      </c>
      <c r="H95" s="622">
        <f>H50*0.05</f>
        <v/>
      </c>
      <c r="I95" s="622">
        <f>I50*0.05</f>
        <v/>
      </c>
      <c r="J95" s="622">
        <f>J50*0.05</f>
        <v/>
      </c>
      <c r="K95" s="622">
        <f>K50*0.05</f>
        <v/>
      </c>
      <c r="L95" s="622">
        <f>L50*0.05</f>
        <v/>
      </c>
      <c r="M95" s="622">
        <f>M50*0.05</f>
        <v/>
      </c>
      <c r="N95" s="622">
        <f>SUM(D95:H95)</f>
        <v/>
      </c>
      <c r="O95" s="622">
        <f>SUM(D95:M95)</f>
        <v/>
      </c>
      <c r="P95" s="622">
        <f>IFERROR(O95/10,0)</f>
        <v/>
      </c>
      <c r="Q95" s="623">
        <f>IFERROR(D95/D50,0)</f>
        <v/>
      </c>
    </row>
    <row r="96" ht="18" customHeight="1" s="817">
      <c r="A96" s="510" t="inlineStr">
        <is>
          <t>TOTAL OPERATING EXPENSES</t>
        </is>
      </c>
      <c r="C96" s="926">
        <f>C61+C69+C94+C95</f>
        <v/>
      </c>
      <c r="D96" s="926">
        <f>D61+D69+D94+D95</f>
        <v/>
      </c>
      <c r="E96" s="624">
        <f>E61+E69+E94+E95</f>
        <v/>
      </c>
      <c r="F96" s="624">
        <f>F61+F69+F94+F95</f>
        <v/>
      </c>
      <c r="G96" s="624">
        <f>G61+G69+G94+G95</f>
        <v/>
      </c>
      <c r="H96" s="624">
        <f>H61+H69+H94+H95</f>
        <v/>
      </c>
      <c r="I96" s="624">
        <f>I61+I69+I94+I95</f>
        <v/>
      </c>
      <c r="J96" s="624">
        <f>J61+J69+J94+J95</f>
        <v/>
      </c>
      <c r="K96" s="624">
        <f>K61+K69+K94+K95</f>
        <v/>
      </c>
      <c r="L96" s="624">
        <f>L61+L69+L94+L95</f>
        <v/>
      </c>
      <c r="M96" s="624">
        <f>M61+M69+M94+M95</f>
        <v/>
      </c>
      <c r="N96" s="592" t="n"/>
      <c r="O96" s="592" t="n"/>
      <c r="P96" s="592" t="n"/>
      <c r="Q96" s="592" t="n"/>
    </row>
    <row r="97" ht="18" customHeight="1" s="817">
      <c r="A97" s="836" t="inlineStr">
        <is>
          <t>NET OPERATING INCOME (NOI)</t>
        </is>
      </c>
      <c r="B97" s="836" t="n"/>
      <c r="C97" s="943">
        <f>C50-C96</f>
        <v/>
      </c>
      <c r="D97" s="626">
        <f>D50-D96</f>
        <v/>
      </c>
      <c r="E97" s="626">
        <f>E50-E96</f>
        <v/>
      </c>
      <c r="F97" s="626">
        <f>F50-F96</f>
        <v/>
      </c>
      <c r="G97" s="626">
        <f>G50-G96</f>
        <v/>
      </c>
      <c r="H97" s="626">
        <f>H50-H96</f>
        <v/>
      </c>
      <c r="I97" s="626">
        <f>I50-I96</f>
        <v/>
      </c>
      <c r="J97" s="626">
        <f>J50-J96</f>
        <v/>
      </c>
      <c r="K97" s="626">
        <f>K50-K96</f>
        <v/>
      </c>
      <c r="L97" s="626">
        <f>L50-L96</f>
        <v/>
      </c>
      <c r="M97" s="626">
        <f>M50-M96</f>
        <v/>
      </c>
      <c r="N97" s="626">
        <f>SUM(D97:H97)</f>
        <v/>
      </c>
      <c r="O97" s="626">
        <f>SUM(D97:M97)</f>
        <v/>
      </c>
      <c r="P97" s="626">
        <f>IFERROR(O97/10,0)</f>
        <v/>
      </c>
      <c r="Q97" s="627">
        <f>IFERROR(D97/D50,0)</f>
        <v/>
      </c>
    </row>
    <row r="98" ht="24" customHeight="1" s="817">
      <c r="A98" t="inlineStr">
        <is>
          <t>Operating Margin</t>
        </is>
      </c>
      <c r="C98" s="581" t="n"/>
      <c r="D98" s="581">
        <f>D97/D50</f>
        <v/>
      </c>
      <c r="E98" s="581">
        <f>E97/E50</f>
        <v/>
      </c>
      <c r="F98" s="581">
        <f>F97/F50</f>
        <v/>
      </c>
      <c r="G98" s="581">
        <f>G97/G50</f>
        <v/>
      </c>
      <c r="H98" s="581">
        <f>H97/H50</f>
        <v/>
      </c>
      <c r="I98" s="581">
        <f>I97/I50</f>
        <v/>
      </c>
      <c r="J98" s="581">
        <f>J97/J50</f>
        <v/>
      </c>
      <c r="K98" s="581">
        <f>K97/K50</f>
        <v/>
      </c>
      <c r="L98" s="581">
        <f>L97/L50</f>
        <v/>
      </c>
      <c r="M98" s="581">
        <f>M97/M50</f>
        <v/>
      </c>
      <c r="N98" s="581">
        <f>IFERROR(N97/N50,0)</f>
        <v/>
      </c>
      <c r="O98" s="581">
        <f>IFERROR(O97/O50,0)</f>
        <v/>
      </c>
    </row>
    <row r="99" ht="18" customHeight="1" s="817">
      <c r="A99" s="830" t="inlineStr">
        <is>
          <t>DEBT SERVICE</t>
        </is>
      </c>
    </row>
    <row r="100" outlineLevel="1" ht="18" customHeight="1" s="817">
      <c r="A100" s="587" t="inlineStr">
        <is>
          <t>Annual Principal Payment</t>
        </is>
      </c>
      <c r="D100" s="944">
        <f>-IFERROR(Loans!J40,0)</f>
        <v/>
      </c>
      <c r="E100" s="944">
        <f>-IFERROR(Loans!K40,0)</f>
        <v/>
      </c>
      <c r="F100" s="944">
        <f>-IFERROR(Loans!L40,0)</f>
        <v/>
      </c>
      <c r="G100" s="944">
        <f>-IFERROR(Loans!M40,0)</f>
        <v/>
      </c>
      <c r="H100" s="944">
        <f>-IFERROR(Loans!N40,0)</f>
        <v/>
      </c>
      <c r="I100" s="944">
        <f>-IFERROR(Loans!O40,0)</f>
        <v/>
      </c>
      <c r="J100" s="944">
        <f>-IFERROR(Loans!P40,0)</f>
        <v/>
      </c>
      <c r="K100" s="944">
        <f>-IFERROR(Loans!Q40,0)</f>
        <v/>
      </c>
      <c r="L100" s="944">
        <f>-IFERROR(Loans!R40,0)</f>
        <v/>
      </c>
      <c r="M100" s="944">
        <f>-IFERROR(Loans!S40,0)</f>
        <v/>
      </c>
      <c r="N100" s="944">
        <f>SUM(D100:H100)</f>
        <v/>
      </c>
      <c r="O100" s="944">
        <f>SUM(D100:M100)</f>
        <v/>
      </c>
    </row>
    <row r="101" outlineLevel="1" ht="18" customHeight="1" s="817">
      <c r="A101" s="587" t="inlineStr">
        <is>
          <t>Annual Intereset Payment</t>
        </is>
      </c>
      <c r="D101" s="944">
        <f>-IFERROR(Loans!J38,0)</f>
        <v/>
      </c>
      <c r="E101" s="944">
        <f>-IFERROR(Loans!K38,0)</f>
        <v/>
      </c>
      <c r="F101" s="944">
        <f>-IFERROR(Loans!L38,0)</f>
        <v/>
      </c>
      <c r="G101" s="944">
        <f>-IFERROR(Loans!M38,0)</f>
        <v/>
      </c>
      <c r="H101" s="944">
        <f>-IFERROR(Loans!N38,0)</f>
        <v/>
      </c>
      <c r="I101" s="944">
        <f>-IFERROR(Loans!O38,0)</f>
        <v/>
      </c>
      <c r="J101" s="944">
        <f>-IFERROR(Loans!P38,0)</f>
        <v/>
      </c>
      <c r="K101" s="944">
        <f>-IFERROR(Loans!Q38,0)</f>
        <v/>
      </c>
      <c r="L101" s="944">
        <f>-IFERROR(Loans!R38,0)</f>
        <v/>
      </c>
      <c r="M101" s="944">
        <f>-IFERROR(Loans!S38,0)</f>
        <v/>
      </c>
      <c r="N101" s="944">
        <f>SUM(D101:H101)</f>
        <v/>
      </c>
      <c r="O101" s="944">
        <f>SUM(D101:M101)</f>
        <v/>
      </c>
    </row>
    <row r="102" ht="18" customHeight="1" s="817">
      <c r="A102" s="588" t="inlineStr">
        <is>
          <t>Annual Total Debt Service</t>
        </is>
      </c>
      <c r="B102" s="8" t="n"/>
      <c r="C102" s="945" t="n"/>
      <c r="D102" s="945">
        <f>D100+D101</f>
        <v/>
      </c>
      <c r="E102" s="945">
        <f>E100+E101</f>
        <v/>
      </c>
      <c r="F102" s="945">
        <f>F100+F101</f>
        <v/>
      </c>
      <c r="G102" s="945">
        <f>G100+G101</f>
        <v/>
      </c>
      <c r="H102" s="945">
        <f>H100+H101</f>
        <v/>
      </c>
      <c r="I102" s="945">
        <f>I100+I101</f>
        <v/>
      </c>
      <c r="J102" s="945">
        <f>J100+J101</f>
        <v/>
      </c>
      <c r="K102" s="945">
        <f>K100+K101</f>
        <v/>
      </c>
      <c r="L102" s="945">
        <f>L100+L101</f>
        <v/>
      </c>
      <c r="M102" s="945">
        <f>M100+M101</f>
        <v/>
      </c>
      <c r="N102" s="945">
        <f>SUM(D102:H102)</f>
        <v/>
      </c>
      <c r="O102" s="945">
        <f>SUM(D102:M102)</f>
        <v/>
      </c>
      <c r="Q102" s="82">
        <f>IFERROR(ABS(D102)/D50,0)</f>
        <v/>
      </c>
    </row>
    <row r="103" ht="18" customHeight="1" s="817"/>
    <row r="104" ht="18" customHeight="1" s="817">
      <c r="A104" s="130" t="inlineStr">
        <is>
          <t>CASH FLOW AFTER DEBT SERVICE</t>
        </is>
      </c>
      <c r="B104" s="130" t="n"/>
      <c r="C104" s="80">
        <f>C97+C102</f>
        <v/>
      </c>
      <c r="D104" s="80">
        <f>D97+D102</f>
        <v/>
      </c>
      <c r="E104" s="80">
        <f>E97+E102</f>
        <v/>
      </c>
      <c r="F104" s="80">
        <f>F97+F102</f>
        <v/>
      </c>
      <c r="G104" s="80">
        <f>G97+G102</f>
        <v/>
      </c>
      <c r="H104" s="80">
        <f>H97+H102</f>
        <v/>
      </c>
      <c r="I104" s="80">
        <f>I97+I102</f>
        <v/>
      </c>
      <c r="J104" s="80">
        <f>J97+J102</f>
        <v/>
      </c>
      <c r="K104" s="80">
        <f>K97+K102</f>
        <v/>
      </c>
      <c r="L104" s="80">
        <f>L97+L102</f>
        <v/>
      </c>
      <c r="M104" s="80">
        <f>M97+M102</f>
        <v/>
      </c>
      <c r="N104" s="80">
        <f>SUM(D104:H104)</f>
        <v/>
      </c>
      <c r="O104" s="80">
        <f>SUM(D104:M104)</f>
        <v/>
      </c>
      <c r="Q104" s="135">
        <f>IFERROR(D104/D50,0)</f>
        <v/>
      </c>
    </row>
    <row r="105" ht="20.1" customHeight="1" s="817">
      <c r="A105" s="881" t="inlineStr">
        <is>
          <t>OPERATING RESERVE TRACKER</t>
        </is>
      </c>
      <c r="B105" s="881" t="n"/>
      <c r="C105" s="812" t="n"/>
      <c r="D105" s="812" t="n"/>
      <c r="E105" s="812" t="n"/>
      <c r="F105" s="812" t="n"/>
      <c r="G105" s="812" t="n"/>
      <c r="H105" s="812" t="n"/>
      <c r="I105" s="812" t="n"/>
      <c r="J105" s="812" t="n"/>
      <c r="K105" s="812" t="n"/>
      <c r="L105" s="812" t="n"/>
      <c r="M105" s="812" t="n"/>
      <c r="N105" s="80" t="n"/>
      <c r="O105" s="80" t="n"/>
      <c r="Q105" s="135" t="n"/>
    </row>
    <row r="106" ht="15.95" customHeight="1" s="817">
      <c r="A106" s="478" t="inlineStr">
        <is>
          <t>Opening Reserve Balance</t>
        </is>
      </c>
      <c r="B106" s="478" t="n"/>
      <c r="C106" s="586" t="n"/>
      <c r="D106" s="945">
        <f>Scenarios!F13</f>
        <v/>
      </c>
      <c r="E106" s="945">
        <f>D108</f>
        <v/>
      </c>
      <c r="F106" s="945">
        <f>E108</f>
        <v/>
      </c>
      <c r="G106" s="945">
        <f>F108</f>
        <v/>
      </c>
      <c r="H106" s="945">
        <f>G108</f>
        <v/>
      </c>
      <c r="I106" s="945">
        <f>H108</f>
        <v/>
      </c>
      <c r="J106" s="945">
        <f>I108</f>
        <v/>
      </c>
      <c r="K106" s="945">
        <f>J108</f>
        <v/>
      </c>
      <c r="L106" s="945">
        <f>K108</f>
        <v/>
      </c>
      <c r="M106" s="945">
        <f>L108</f>
        <v/>
      </c>
      <c r="N106" s="80" t="n"/>
      <c r="O106" s="80" t="n"/>
      <c r="Q106" s="135" t="n"/>
    </row>
    <row r="107" ht="15.95" customHeight="1" s="817">
      <c r="A107" s="480" t="inlineStr">
        <is>
          <t>Reserve Draw (CF deficit cover)</t>
        </is>
      </c>
      <c r="B107" s="480" t="n"/>
      <c r="C107" s="813" t="n"/>
      <c r="D107" s="946">
        <f>IF(D104&lt;0,MAX(D104,-D106),0)</f>
        <v/>
      </c>
      <c r="E107" s="946">
        <f>IF(E104&lt;0,MAX(E104,-E106),0)</f>
        <v/>
      </c>
      <c r="F107" s="946">
        <f>IF(F104&lt;0,MAX(F104,-F106),0)</f>
        <v/>
      </c>
      <c r="G107" s="946">
        <f>IF(G104&lt;0,MAX(G104,-G106),0)</f>
        <v/>
      </c>
      <c r="H107" s="946">
        <f>IF(H104&lt;0,MAX(H104,-H106),0)</f>
        <v/>
      </c>
      <c r="I107" s="946">
        <f>IF(I104&lt;0,MAX(I104,-I106),0)</f>
        <v/>
      </c>
      <c r="J107" s="946">
        <f>IF(J104&lt;0,MAX(J104,-J106),0)</f>
        <v/>
      </c>
      <c r="K107" s="946">
        <f>IF(K104&lt;0,MAX(K104,-K106),0)</f>
        <v/>
      </c>
      <c r="L107" s="946">
        <f>IF(L104&lt;0,MAX(L104,-L106),0)</f>
        <v/>
      </c>
      <c r="M107" s="946">
        <f>IF(M104&lt;0,MAX(M104,-M106),0)</f>
        <v/>
      </c>
      <c r="N107" s="80" t="n"/>
      <c r="O107" s="80" t="n"/>
      <c r="Q107" s="135" t="n"/>
    </row>
    <row r="108" ht="15.95" customHeight="1" s="817">
      <c r="A108" s="884" t="inlineStr">
        <is>
          <t>Ending Reserve Balance</t>
        </is>
      </c>
      <c r="B108" s="884" t="n"/>
      <c r="C108" s="814" t="n"/>
      <c r="D108" s="947">
        <f>D106+D107</f>
        <v/>
      </c>
      <c r="E108" s="947">
        <f>E106+E107</f>
        <v/>
      </c>
      <c r="F108" s="947">
        <f>F106+F107</f>
        <v/>
      </c>
      <c r="G108" s="947">
        <f>G106+G107</f>
        <v/>
      </c>
      <c r="H108" s="947">
        <f>H106+H107</f>
        <v/>
      </c>
      <c r="I108" s="947">
        <f>I106+I107</f>
        <v/>
      </c>
      <c r="J108" s="947">
        <f>J106+J107</f>
        <v/>
      </c>
      <c r="K108" s="947">
        <f>K106+K107</f>
        <v/>
      </c>
      <c r="L108" s="947">
        <f>L106+L107</f>
        <v/>
      </c>
      <c r="M108" s="947">
        <f>M106+M107</f>
        <v/>
      </c>
      <c r="N108" s="80" t="n"/>
      <c r="O108" s="80" t="n"/>
      <c r="Q108" s="135" t="n"/>
    </row>
    <row r="109" ht="24" customHeight="1" s="817">
      <c r="A109" s="65" t="n"/>
      <c r="B109" s="65" t="n"/>
      <c r="C109" s="134" t="n"/>
      <c r="D109" s="21" t="n"/>
      <c r="E109" s="21" t="n"/>
      <c r="F109" s="21" t="n"/>
      <c r="G109" s="21" t="n"/>
      <c r="H109" s="21" t="n"/>
      <c r="I109" s="21" t="n"/>
      <c r="J109" s="21" t="n"/>
      <c r="K109" s="21" t="n"/>
      <c r="L109" s="21" t="n"/>
      <c r="M109" s="21" t="n"/>
      <c r="Q109" s="82" t="n"/>
    </row>
    <row r="110" ht="18" customHeight="1" s="817">
      <c r="A110" s="839" t="inlineStr">
        <is>
          <t>DISTRIBUTIONS FROM CASH FLOW</t>
        </is>
      </c>
    </row>
    <row r="111" ht="18" customHeight="1" s="817">
      <c r="A111" s="62" t="inlineStr">
        <is>
          <t>Asset Mgmt Fee (2.0% equity)</t>
        </is>
      </c>
      <c r="B111" s="62" t="n"/>
      <c r="C111" s="136" t="n">
        <v>0.01</v>
      </c>
      <c r="D111" s="21">
        <f>IF(1&gt;Waterfall!$B$5,0,D50*$C$111)</f>
        <v/>
      </c>
      <c r="E111" s="21">
        <f>IF(2&gt;Waterfall!$B$5,0,E50*$C$111)</f>
        <v/>
      </c>
      <c r="F111" s="21">
        <f>IF(3&gt;Waterfall!$B$5,0,F50*$C$111)</f>
        <v/>
      </c>
      <c r="G111" s="21">
        <f>IF(4&gt;Waterfall!$B$5,0,G50*$C$111)</f>
        <v/>
      </c>
      <c r="H111" s="21">
        <f>IF(5&gt;Waterfall!$B$5,0,H50*$C$111)</f>
        <v/>
      </c>
      <c r="I111" s="21">
        <f>IF(6&gt;Waterfall!$B$5,0,I50*$C$111)</f>
        <v/>
      </c>
      <c r="J111" s="21">
        <f>IF(7&gt;Waterfall!$B$5,0,J50*$C$111)</f>
        <v/>
      </c>
      <c r="K111" s="21">
        <f>IF(8&gt;Waterfall!$B$5,0,K50*$C$111)</f>
        <v/>
      </c>
      <c r="L111" s="21">
        <f>IF(9&gt;Waterfall!$B$5,0,L50*$C$111)</f>
        <v/>
      </c>
      <c r="M111" s="21">
        <f>IF(10&gt;Waterfall!$B$5,0,M50*$C$111)</f>
        <v/>
      </c>
      <c r="Q111" s="82">
        <f>IFERROR(D111/D50,0)</f>
        <v/>
      </c>
    </row>
    <row r="112" ht="18" customHeight="1" s="817">
      <c r="A112" s="65" t="inlineStr">
        <is>
          <t>Class A LP Preferred Return</t>
        </is>
      </c>
      <c r="B112" s="65" t="n"/>
      <c r="C112" s="136">
        <f>Scenarios!F35</f>
        <v/>
      </c>
      <c r="D112" s="21">
        <f>IFERROR(Waterfall!B43,0)</f>
        <v/>
      </c>
      <c r="E112" s="21">
        <f>IFERROR(Waterfall!C43,0)</f>
        <v/>
      </c>
      <c r="F112" s="21">
        <f>IFERROR(Waterfall!D43,0)</f>
        <v/>
      </c>
      <c r="G112" s="21">
        <f>IFERROR(Waterfall!E43,0)</f>
        <v/>
      </c>
      <c r="H112" s="21">
        <f>IFERROR(Waterfall!F43,0)</f>
        <v/>
      </c>
      <c r="I112" s="21">
        <f>IFERROR(Waterfall!G43,0)</f>
        <v/>
      </c>
      <c r="J112" s="21">
        <f>IFERROR(Waterfall!H43,0)</f>
        <v/>
      </c>
      <c r="K112" s="21">
        <f>IFERROR(Waterfall!I43,0)</f>
        <v/>
      </c>
      <c r="L112" s="21">
        <f>IFERROR(Waterfall!J43,0)</f>
        <v/>
      </c>
      <c r="M112" s="21">
        <f>IFERROR(Waterfall!K43,0)</f>
        <v/>
      </c>
      <c r="N112" s="79" t="n"/>
      <c r="O112" s="79" t="n"/>
      <c r="Q112" s="82">
        <f>IFERROR(D112/D50,0)</f>
        <v/>
      </c>
    </row>
    <row r="113" ht="18" customHeight="1" s="817">
      <c r="A113" s="62" t="inlineStr">
        <is>
          <t>LP Excess CF Share (1 - GP Promote %)</t>
        </is>
      </c>
      <c r="B113" s="62" t="n"/>
      <c r="C113" s="134" t="n"/>
      <c r="D113" s="21">
        <f>IFERROR((Waterfall!B55-Waterfall!B43)+Waterfall!B56,0)</f>
        <v/>
      </c>
      <c r="E113" s="21">
        <f>IFERROR((Waterfall!C55-Waterfall!C43)+Waterfall!C56,0)</f>
        <v/>
      </c>
      <c r="F113" s="21">
        <f>IFERROR((Waterfall!D55-Waterfall!D43)+Waterfall!D56,0)</f>
        <v/>
      </c>
      <c r="G113" s="21">
        <f>IFERROR((Waterfall!E55-Waterfall!E43)+Waterfall!E56,0)</f>
        <v/>
      </c>
      <c r="H113" s="21">
        <f>IFERROR((Waterfall!F55-Waterfall!F43)+Waterfall!F56,0)</f>
        <v/>
      </c>
      <c r="I113" s="21">
        <f>IFERROR((Waterfall!G55-Waterfall!G43)+Waterfall!G56,0)</f>
        <v/>
      </c>
      <c r="J113" s="21">
        <f>IFERROR((Waterfall!H55-Waterfall!H43)+Waterfall!H56,0)</f>
        <v/>
      </c>
      <c r="K113" s="21">
        <f>IFERROR((Waterfall!I55-Waterfall!I43)+Waterfall!I56,0)</f>
        <v/>
      </c>
      <c r="L113" s="21">
        <f>IFERROR((Waterfall!J55-Waterfall!J43)+Waterfall!J56,0)</f>
        <v/>
      </c>
      <c r="M113" s="21">
        <f>IFERROR((Waterfall!K55-Waterfall!K43)+Waterfall!K56,0)</f>
        <v/>
      </c>
      <c r="Q113" s="82">
        <f>IFERROR(D113/D50,0)</f>
        <v/>
      </c>
    </row>
    <row r="114" ht="18" customHeight="1" s="817">
      <c r="A114" s="65" t="inlineStr">
        <is>
          <t>GP Excess CF Share (GP Promote %)</t>
        </is>
      </c>
      <c r="B114" s="65" t="n"/>
      <c r="C114" s="134" t="n"/>
      <c r="D114" s="21">
        <f>IFERROR(Waterfall!B58,0)</f>
        <v/>
      </c>
      <c r="E114" s="21">
        <f>IFERROR(Waterfall!C58,0)</f>
        <v/>
      </c>
      <c r="F114" s="21">
        <f>IFERROR(Waterfall!D58,0)</f>
        <v/>
      </c>
      <c r="G114" s="21">
        <f>IFERROR(Waterfall!E58,0)</f>
        <v/>
      </c>
      <c r="H114" s="21">
        <f>IFERROR(Waterfall!F58,0)</f>
        <v/>
      </c>
      <c r="I114" s="21">
        <f>IFERROR(Waterfall!G58,0)</f>
        <v/>
      </c>
      <c r="J114" s="21">
        <f>IFERROR(Waterfall!H58,0)</f>
        <v/>
      </c>
      <c r="K114" s="21">
        <f>IFERROR(Waterfall!I58,0)</f>
        <v/>
      </c>
      <c r="L114" s="21">
        <f>IFERROR(Waterfall!J58,0)</f>
        <v/>
      </c>
      <c r="M114" s="21">
        <f>IFERROR(Waterfall!K58,0)</f>
        <v/>
      </c>
      <c r="Q114" s="82">
        <f>IFERROR(D114/D50,0)</f>
        <v/>
      </c>
    </row>
    <row r="115" ht="18" customHeight="1" s="817">
      <c r="A115" s="137" t="inlineStr">
        <is>
          <t>Total Distributions</t>
        </is>
      </c>
      <c r="B115" s="137" t="n"/>
      <c r="C115" s="79" t="n"/>
      <c r="D115" s="79">
        <f>SUM(D111:D114)</f>
        <v/>
      </c>
      <c r="E115" s="79">
        <f>SUM(E111:E114)</f>
        <v/>
      </c>
      <c r="F115" s="79">
        <f>SUM(F111:F114)</f>
        <v/>
      </c>
      <c r="G115" s="79">
        <f>SUM(G111:G114)</f>
        <v/>
      </c>
      <c r="H115" s="79">
        <f>SUM(H111:H114)</f>
        <v/>
      </c>
      <c r="I115" s="79">
        <f>SUM(I111:I114)</f>
        <v/>
      </c>
      <c r="J115" s="79">
        <f>SUM(J111:J114)</f>
        <v/>
      </c>
      <c r="K115" s="79">
        <f>SUM(K111:K114)</f>
        <v/>
      </c>
      <c r="L115" s="79">
        <f>SUM(L111:L114)</f>
        <v/>
      </c>
      <c r="M115" s="79">
        <f>SUM(M111:M114)</f>
        <v/>
      </c>
      <c r="N115" s="79">
        <f>SUM(D115:H115)</f>
        <v/>
      </c>
      <c r="O115" s="79">
        <f>SUM(D115:M115)</f>
        <v/>
      </c>
      <c r="Q115" s="131">
        <f>IFERROR(D115/D50,0)</f>
        <v/>
      </c>
    </row>
    <row r="116" ht="24" customHeight="1" s="817">
      <c r="A116" s="138" t="n"/>
      <c r="B116" s="138" t="n"/>
      <c r="D116" s="845" t="n"/>
      <c r="Q116" s="82" t="n"/>
    </row>
    <row r="117" ht="18" customHeight="1" s="817">
      <c r="A117" s="827" t="inlineStr">
        <is>
          <t>KEY METRICS &amp; BREAKEVEN ANALYSIS</t>
        </is>
      </c>
    </row>
    <row r="118" ht="18" customHeight="1" s="817">
      <c r="A118" s="8" t="inlineStr">
        <is>
          <t>Cash on Cash Return</t>
        </is>
      </c>
      <c r="B118" s="8" t="n"/>
      <c r="C118" s="28" t="n"/>
      <c r="D118" s="82">
        <f>IF(1&gt;Waterfall!$B$5,0,IFERROR(D104/Scenarios!F31,0))</f>
        <v/>
      </c>
      <c r="E118" s="82">
        <f>IF(2&gt;Waterfall!$B$5,0,IFERROR(E104/Scenarios!F31,0))</f>
        <v/>
      </c>
      <c r="F118" s="82">
        <f>IF(3&gt;Waterfall!$B$5,0,IFERROR(F104/Scenarios!F31,0))</f>
        <v/>
      </c>
      <c r="G118" s="82">
        <f>IF(4&gt;Waterfall!$B$5,0,IFERROR(G104/Scenarios!F31,0))</f>
        <v/>
      </c>
      <c r="H118" s="82">
        <f>IF(5&gt;Waterfall!$B$5,0,IFERROR(H104/Scenarios!F31,0))</f>
        <v/>
      </c>
      <c r="I118" s="82">
        <f>IF(6&gt;Waterfall!$B$5,0,IFERROR(I104/Scenarios!F31,0))</f>
        <v/>
      </c>
      <c r="J118" s="82">
        <f>IF(7&gt;Waterfall!$B$5,0,IFERROR(J104/Scenarios!F31,0))</f>
        <v/>
      </c>
      <c r="K118" s="82">
        <f>IF(8&gt;Waterfall!$B$5,0,IFERROR(K104/Scenarios!F31,0))</f>
        <v/>
      </c>
      <c r="L118" s="82">
        <f>IF(9&gt;Waterfall!$B$5,0,IFERROR(L104/Scenarios!F31,0))</f>
        <v/>
      </c>
      <c r="M118" s="82">
        <f>IF(10&gt;Waterfall!$B$5,0,IFERROR(M104/Scenarios!F31,0))</f>
        <v/>
      </c>
      <c r="Q118" s="82">
        <f>D118</f>
        <v/>
      </c>
    </row>
    <row r="119" ht="18" customHeight="1" s="817">
      <c r="A119" s="138" t="inlineStr">
        <is>
          <t>Average Cash on Cash (Y1–Y10)</t>
        </is>
      </c>
      <c r="B119" s="138" t="n"/>
      <c r="C119" s="28" t="n"/>
      <c r="D119" s="845">
        <f>IFERROR(AVERAGE(OFFSET(D118,0,0,1,MIN(Scenarios!$F$129,10))),0)</f>
        <v/>
      </c>
      <c r="Q119" s="82">
        <f>D119</f>
        <v/>
      </c>
    </row>
    <row r="120" ht="18" customHeight="1" s="817">
      <c r="A120" s="8" t="inlineStr">
        <is>
          <t>Debt Coverage Ratio</t>
        </is>
      </c>
      <c r="B120" s="8" t="n"/>
      <c r="C120" s="140" t="n"/>
      <c r="D120" s="141">
        <f>IFERROR(D97/ABS(D102),0)</f>
        <v/>
      </c>
      <c r="E120" s="141">
        <f>IFERROR(E97/ABS(E102),0)</f>
        <v/>
      </c>
      <c r="F120" s="141">
        <f>IFERROR(F97/ABS(F102),0)</f>
        <v/>
      </c>
      <c r="G120" s="141">
        <f>IFERROR(G97/ABS(G102),0)</f>
        <v/>
      </c>
      <c r="H120" s="141">
        <f>IFERROR(H97/ABS(H102),0)</f>
        <v/>
      </c>
      <c r="I120" s="141">
        <f>IFERROR(I97/ABS(I102),0)</f>
        <v/>
      </c>
      <c r="J120" s="141">
        <f>IFERROR(J97/ABS(J102),0)</f>
        <v/>
      </c>
      <c r="K120" s="141">
        <f>IFERROR(K97/ABS(K102),0)</f>
        <v/>
      </c>
      <c r="L120" s="141">
        <f>IFERROR(L97/ABS(L102),0)</f>
        <v/>
      </c>
      <c r="M120" s="141">
        <f>IFERROR(M97/ABS(M102),0)</f>
        <v/>
      </c>
      <c r="Q120" s="106">
        <f>D120</f>
        <v/>
      </c>
    </row>
    <row r="121" ht="18" customHeight="1" s="817">
      <c r="A121" s="142" t="inlineStr">
        <is>
          <t>Breakeven Occupancy %</t>
        </is>
      </c>
      <c r="B121" s="142" t="n"/>
      <c r="C121" s="28" t="n"/>
      <c r="D121" s="143">
        <f>IFERROR((D96+ABS(D102))/D43,0)</f>
        <v/>
      </c>
      <c r="E121" s="143">
        <f>IFERROR((E96+ABS(E102))/E43,0)</f>
        <v/>
      </c>
      <c r="F121" s="143">
        <f>IFERROR((F96+ABS(F102))/F43,0)</f>
        <v/>
      </c>
      <c r="G121" s="143">
        <f>IFERROR((G96+ABS(G102))/G43,0)</f>
        <v/>
      </c>
      <c r="H121" s="143">
        <f>IFERROR((H96+ABS(H102))/H43,0)</f>
        <v/>
      </c>
      <c r="I121" s="143">
        <f>IFERROR((I96+ABS(I102))/I43,0)</f>
        <v/>
      </c>
      <c r="J121" s="143">
        <f>IFERROR((J96+ABS(J102))/J43,0)</f>
        <v/>
      </c>
      <c r="K121" s="143">
        <f>IFERROR((K96+ABS(K102))/K43,0)</f>
        <v/>
      </c>
      <c r="L121" s="143">
        <f>IFERROR((L96+ABS(L102))/L43,0)</f>
        <v/>
      </c>
      <c r="M121" s="143">
        <f>IFERROR((M96+ABS(M102))/M43,0)</f>
        <v/>
      </c>
      <c r="Q121" s="82">
        <f>D121</f>
        <v/>
      </c>
    </row>
    <row r="122" ht="18" customHeight="1" s="817">
      <c r="A122" s="8" t="inlineStr">
        <is>
          <t>NOI Margin</t>
        </is>
      </c>
      <c r="B122" s="8" t="n"/>
      <c r="C122" s="28">
        <f>IFERROR(C97/C50,0)</f>
        <v/>
      </c>
      <c r="D122" s="82">
        <f>IFERROR(D97/D50,0)</f>
        <v/>
      </c>
      <c r="E122" s="82">
        <f>IFERROR(E97/E50,0)</f>
        <v/>
      </c>
      <c r="F122" s="82">
        <f>IFERROR(F97/F50,0)</f>
        <v/>
      </c>
      <c r="G122" s="82">
        <f>IFERROR(G97/G50,0)</f>
        <v/>
      </c>
      <c r="H122" s="82">
        <f>IFERROR(H97/H50,0)</f>
        <v/>
      </c>
      <c r="I122" s="82">
        <f>IFERROR(I97/I50,0)</f>
        <v/>
      </c>
      <c r="J122" s="82">
        <f>IFERROR(J97/J50,0)</f>
        <v/>
      </c>
      <c r="K122" s="82">
        <f>IFERROR(K97/K50,0)</f>
        <v/>
      </c>
      <c r="L122" s="82">
        <f>IFERROR(L97/L50,0)</f>
        <v/>
      </c>
      <c r="M122" s="82">
        <f>IFERROR(M97/M50,0)</f>
        <v/>
      </c>
      <c r="Q122" s="843">
        <f>D122</f>
        <v/>
      </c>
    </row>
    <row r="123" ht="18" customHeight="1" s="817">
      <c r="A123" s="8" t="inlineStr">
        <is>
          <t>Cap Rate (on Purchase Price)</t>
        </is>
      </c>
      <c r="B123" s="8" t="n"/>
      <c r="C123" s="28">
        <f>IFERROR(C97/Scenarios!F7,0)</f>
        <v/>
      </c>
      <c r="D123" s="82">
        <f>IFERROR(D97/Scenarios!F7,0)</f>
        <v/>
      </c>
      <c r="E123" s="82">
        <f>IFERROR(E97/Scenarios!F7,0)</f>
        <v/>
      </c>
      <c r="F123" s="82">
        <f>IFERROR(F97/Scenarios!F7,0)</f>
        <v/>
      </c>
      <c r="G123" s="82">
        <f>IFERROR(G97/Scenarios!F7,0)</f>
        <v/>
      </c>
      <c r="H123" s="82">
        <f>IFERROR(H97/Scenarios!F7,0)</f>
        <v/>
      </c>
      <c r="I123" s="82">
        <f>IFERROR(I97/Scenarios!F7,0)</f>
        <v/>
      </c>
      <c r="J123" s="82">
        <f>IFERROR(J97/Scenarios!F7,0)</f>
        <v/>
      </c>
      <c r="K123" s="82">
        <f>IFERROR(K97/Scenarios!F7,0)</f>
        <v/>
      </c>
      <c r="L123" s="82">
        <f>IFERROR(L97/Scenarios!F7,0)</f>
        <v/>
      </c>
      <c r="M123" s="82">
        <f>IFERROR(M97/Scenarios!F7,0)</f>
        <v/>
      </c>
      <c r="Q123" s="144">
        <f>D123</f>
        <v/>
      </c>
    </row>
    <row r="124" ht="19.5" customHeight="1" s="817">
      <c r="A124" s="8" t="inlineStr">
        <is>
          <t>Property Value (@ 7% cap)</t>
        </is>
      </c>
      <c r="B124" s="8" t="n"/>
      <c r="C124" s="101">
        <f>IFERROR(C97/0.07,0)</f>
        <v/>
      </c>
      <c r="D124" s="75">
        <f>IFERROR(D97/0.07,0)</f>
        <v/>
      </c>
      <c r="E124" s="75">
        <f>IFERROR(E97/0.07,0)</f>
        <v/>
      </c>
      <c r="F124" s="75">
        <f>IFERROR(F97/0.07,0)</f>
        <v/>
      </c>
      <c r="G124" s="75">
        <f>IFERROR(G97/0.07,0)</f>
        <v/>
      </c>
      <c r="H124" s="75">
        <f>IFERROR(H97/0.07,0)</f>
        <v/>
      </c>
      <c r="I124" s="75">
        <f>IFERROR(I97/0.07,0)</f>
        <v/>
      </c>
      <c r="J124" s="75">
        <f>IFERROR(J97/0.07,0)</f>
        <v/>
      </c>
      <c r="K124" s="75">
        <f>IFERROR(K97/0.07,0)</f>
        <v/>
      </c>
      <c r="L124" s="75">
        <f>IFERROR(L97/0.07,0)</f>
        <v/>
      </c>
      <c r="M124" s="75">
        <f>IFERROR(M97/0.07,0)</f>
        <v/>
      </c>
      <c r="Q124" s="75">
        <f>D124</f>
        <v/>
      </c>
    </row>
    <row r="125" ht="18" customHeight="1" s="817">
      <c r="A125" s="840" t="inlineStr">
        <is>
          <t>LP-SPECIFIC CASH YIELD  (from Waterfall distributions ÷ LP equity)</t>
        </is>
      </c>
    </row>
    <row r="126" ht="18" customHeight="1" s="817">
      <c r="A126" s="145" t="inlineStr">
        <is>
          <t>Class A LP Cash Yield (annual)</t>
        </is>
      </c>
      <c r="B126" s="145" t="n"/>
      <c r="C126" s="144" t="n"/>
      <c r="D126" s="146">
        <f>IFERROR(Waterfall!B55/Waterfall!$B$9,0)</f>
        <v/>
      </c>
      <c r="E126" s="146">
        <f>IFERROR(Waterfall!C55/Waterfall!$B$9,0)</f>
        <v/>
      </c>
      <c r="F126" s="146">
        <f>IFERROR(Waterfall!D55/Waterfall!$B$9,0)</f>
        <v/>
      </c>
      <c r="G126" s="146">
        <f>IFERROR(Waterfall!E55/Waterfall!$B$9,0)</f>
        <v/>
      </c>
      <c r="H126" s="146">
        <f>IFERROR(Waterfall!F55/Waterfall!$B$9,0)</f>
        <v/>
      </c>
      <c r="I126" s="146">
        <f>IFERROR(Waterfall!G55/Waterfall!$B$9,0)</f>
        <v/>
      </c>
      <c r="J126" s="146">
        <f>IFERROR(Waterfall!H55/Waterfall!$B$9,0)</f>
        <v/>
      </c>
      <c r="K126" s="146">
        <f>IFERROR(Waterfall!I55/Waterfall!$B$9,0)</f>
        <v/>
      </c>
      <c r="L126" s="146">
        <f>IFERROR(Waterfall!J55/Waterfall!$B$9,0)</f>
        <v/>
      </c>
      <c r="M126" s="146">
        <f>IFERROR(Waterfall!K55/Waterfall!$B$9,0)</f>
        <v/>
      </c>
      <c r="Q126" s="146">
        <f>D126</f>
        <v/>
      </c>
    </row>
    <row r="127" ht="18" customHeight="1" s="817">
      <c r="A127" s="147" t="inlineStr">
        <is>
          <t xml:space="preserve">  Avg Class A LP Cash Yield (hold period)</t>
        </is>
      </c>
      <c r="B127" s="147" t="n"/>
      <c r="D127" s="148">
        <f>IFERROR(AVERAGE(OFFSET(D126,0,0,1,MIN(Scenarios!$F$129,10))),0)</f>
        <v/>
      </c>
      <c r="Q127" s="148">
        <f>D127</f>
        <v/>
      </c>
    </row>
    <row r="128" ht="18" customHeight="1" s="817">
      <c r="A128" s="853" t="inlineStr">
        <is>
          <t>Total LP Cash Yield  (Class A + B)</t>
        </is>
      </c>
      <c r="B128" s="853" t="n"/>
      <c r="C128" s="144" t="n"/>
      <c r="D128" s="149">
        <f>IFERROR(Waterfall!B57/(Waterfall!$B$9+Waterfall!$B$10),0)</f>
        <v/>
      </c>
      <c r="E128" s="149">
        <f>IFERROR(Waterfall!C57/(Waterfall!$B$9+Waterfall!$B$10),0)</f>
        <v/>
      </c>
      <c r="F128" s="149">
        <f>IFERROR(Waterfall!D57/(Waterfall!$B$9+Waterfall!$B$10),0)</f>
        <v/>
      </c>
      <c r="G128" s="149">
        <f>IFERROR(Waterfall!E57/(Waterfall!$B$9+Waterfall!$B$10),0)</f>
        <v/>
      </c>
      <c r="H128" s="149">
        <f>IFERROR(Waterfall!F57/(Waterfall!$B$9+Waterfall!$B$10),0)</f>
        <v/>
      </c>
      <c r="I128" s="149">
        <f>IFERROR(Waterfall!G57/(Waterfall!$B$9+Waterfall!$B$10),0)</f>
        <v/>
      </c>
      <c r="J128" s="149">
        <f>IFERROR(Waterfall!H57/(Waterfall!$B$9+Waterfall!$B$10),0)</f>
        <v/>
      </c>
      <c r="K128" s="149">
        <f>IFERROR(Waterfall!I57/(Waterfall!$B$9+Waterfall!$B$10),0)</f>
        <v/>
      </c>
      <c r="L128" s="149">
        <f>IFERROR(Waterfall!J57/(Waterfall!$B$9+Waterfall!$B$10),0)</f>
        <v/>
      </c>
      <c r="M128" s="149">
        <f>IFERROR(Waterfall!K57/(Waterfall!$B$9+Waterfall!$B$10),0)</f>
        <v/>
      </c>
      <c r="Q128" s="149">
        <f>D128</f>
        <v/>
      </c>
    </row>
    <row r="129" ht="15.75" customHeight="1" s="817">
      <c r="A129" s="150" t="inlineStr">
        <is>
          <t xml:space="preserve">  Avg Total LP Cash Yield (hold period)</t>
        </is>
      </c>
      <c r="B129" s="150" t="n"/>
      <c r="D129" s="151">
        <f>IFERROR(AVERAGE(OFFSET(D128,0,0,1,MIN(Scenarios!$F$129,10))),0)</f>
        <v/>
      </c>
      <c r="Q129" s="151">
        <f>D129</f>
        <v/>
      </c>
    </row>
    <row r="130">
      <c r="A130" s="835" t="inlineStr">
        <is>
          <t xml:space="preserve">  Note: LP Cash Yield uses actual Waterfall distributions (after pref + promote). Deal-level CoC (R51) uses total pre-distribution CF — different denominator and numerator.</t>
        </is>
      </c>
    </row>
  </sheetData>
  <mergeCells count="12">
    <mergeCell ref="A9:R9"/>
    <mergeCell ref="A130:Q130"/>
    <mergeCell ref="O5:P5"/>
    <mergeCell ref="A2:R2"/>
    <mergeCell ref="A51:R51"/>
    <mergeCell ref="A99:R99"/>
    <mergeCell ref="O6:P6"/>
    <mergeCell ref="A125:Q125"/>
    <mergeCell ref="A1:R1"/>
    <mergeCell ref="A117:R117"/>
    <mergeCell ref="A110:R110"/>
    <mergeCell ref="D119:M119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79"/>
  <sheetViews>
    <sheetView showGridLines="0" topLeftCell="A137" workbookViewId="0">
      <selection activeCell="E58" sqref="E58"/>
    </sheetView>
  </sheetViews>
  <sheetFormatPr baseColWidth="8" defaultColWidth="8.85546875" defaultRowHeight="15"/>
  <cols>
    <col width="38" customWidth="1" style="817" min="1" max="1"/>
    <col width="14" customWidth="1" style="817" min="2" max="2"/>
    <col width="11" customWidth="1" style="817" min="3" max="16"/>
    <col width="10" customWidth="1" style="817" min="17" max="17"/>
    <col width="12" customWidth="1" style="817" min="18" max="19"/>
  </cols>
  <sheetData>
    <row r="1" ht="18" customHeight="1" s="817">
      <c r="A1" s="850" t="inlineStr">
        <is>
          <t>T-12 ANALYSIS  —  Trailing 12 Diagnostic Layer (Senior Living)</t>
        </is>
      </c>
    </row>
    <row r="2" ht="30" customHeight="1" s="817">
      <c r="A2" s="824" t="inlineStr">
        <is>
          <t>ANALYSIS on top. Standardized aggregation (Layer 3) and raw paste block (Layer 1) below — scroll down to access data. Per Bed/Month uses occupied beds from Rent Roll Analysis. Benchmarks calibrated to assisted/memory care community norms.</t>
        </is>
      </c>
    </row>
    <row r="4" ht="15.95" customHeight="1" s="817">
      <c r="A4" s="847" t="inlineStr">
        <is>
          <t>B.  RECONCILIATION CHECK  —  Are all raw lines mapped?</t>
        </is>
      </c>
    </row>
    <row r="5">
      <c r="A5" s="849" t="inlineStr">
        <is>
          <t>EGI:</t>
        </is>
      </c>
      <c r="B5" s="948">
        <f>N69</f>
        <v/>
      </c>
      <c r="C5" s="849" t="inlineStr">
        <is>
          <t>OpEx:</t>
        </is>
      </c>
      <c r="D5" s="948">
        <f>N114</f>
        <v/>
      </c>
      <c r="E5" s="849" t="inlineStr">
        <is>
          <t>EBITDAR:</t>
        </is>
      </c>
      <c r="F5" s="949" t="n">
        <v>0</v>
      </c>
      <c r="G5" s="849" t="inlineStr">
        <is>
          <t>Unmapped $:</t>
        </is>
      </c>
      <c r="H5" s="949" t="n">
        <v>0</v>
      </c>
      <c r="I5" s="398" t="inlineStr">
        <is>
          <t>🟢 all mapped</t>
        </is>
      </c>
      <c r="L5" s="849" t="inlineStr">
        <is>
          <t>EGI / Occ Bed / Mo:</t>
        </is>
      </c>
      <c r="M5" s="949" t="n">
        <v>0</v>
      </c>
    </row>
    <row r="7">
      <c r="A7" s="847" t="inlineStr">
        <is>
          <t>C.  TREND ANALYSIS  —  T-3 vs. T-6 vs. T-12 (annualized)</t>
        </is>
      </c>
    </row>
    <row r="8">
      <c r="A8" s="847" t="inlineStr">
        <is>
          <t>Metric</t>
        </is>
      </c>
      <c r="B8" s="399" t="inlineStr">
        <is>
          <t>T-12 Actual</t>
        </is>
      </c>
      <c r="C8" s="399" t="inlineStr">
        <is>
          <t>T-6 Annlzd</t>
        </is>
      </c>
      <c r="D8" s="399" t="inlineStr">
        <is>
          <t>T-3 Annlzd</t>
        </is>
      </c>
      <c r="E8" s="399" t="inlineStr">
        <is>
          <t>T-3 vs T-12 Δ$</t>
        </is>
      </c>
      <c r="F8" s="399" t="inlineStr">
        <is>
          <t>T-3 vs T-12 Δ%</t>
        </is>
      </c>
      <c r="G8" s="399" t="inlineStr">
        <is>
          <t>Direction</t>
        </is>
      </c>
      <c r="H8" s="399" t="inlineStr">
        <is>
          <t>Read</t>
        </is>
      </c>
    </row>
    <row r="9">
      <c r="A9" s="400" t="inlineStr">
        <is>
          <t>EGI</t>
        </is>
      </c>
      <c r="B9" s="950">
        <f>N69</f>
        <v/>
      </c>
      <c r="C9" s="951" t="n">
        <v>0</v>
      </c>
      <c r="D9" s="951" t="n">
        <v>0</v>
      </c>
      <c r="E9" s="952" t="n">
        <v>0</v>
      </c>
      <c r="F9" s="403" t="n">
        <v>0</v>
      </c>
      <c r="G9" s="404" t="inlineStr">
        <is>
          <t>→ stable</t>
        </is>
      </c>
      <c r="H9" s="404" t="inlineStr">
        <is>
          <t>stable</t>
        </is>
      </c>
    </row>
    <row r="10">
      <c r="A10" s="400" t="inlineStr">
        <is>
          <t>Total OpEx</t>
        </is>
      </c>
      <c r="B10" s="950">
        <f>N114</f>
        <v/>
      </c>
      <c r="C10" s="951" t="n">
        <v>0</v>
      </c>
      <c r="D10" s="951" t="n">
        <v>0</v>
      </c>
      <c r="E10" s="952" t="n">
        <v>0</v>
      </c>
      <c r="F10" s="403" t="n">
        <v>0</v>
      </c>
      <c r="G10" s="404" t="inlineStr">
        <is>
          <t>→ stable</t>
        </is>
      </c>
      <c r="H10" s="404" t="inlineStr">
        <is>
          <t>stable</t>
        </is>
      </c>
    </row>
    <row r="11">
      <c r="A11" s="400" t="inlineStr">
        <is>
          <t>EBITDAR</t>
        </is>
      </c>
      <c r="B11" s="950">
        <f>N69-N114</f>
        <v/>
      </c>
      <c r="C11" s="951" t="n">
        <v>0</v>
      </c>
      <c r="D11" s="951" t="n">
        <v>0</v>
      </c>
      <c r="E11" s="952" t="n">
        <v>0</v>
      </c>
      <c r="F11" s="403" t="n">
        <v>0</v>
      </c>
      <c r="G11" s="404" t="inlineStr">
        <is>
          <t>→ stable</t>
        </is>
      </c>
      <c r="H11" s="404" t="inlineStr">
        <is>
          <t>stable</t>
        </is>
      </c>
    </row>
    <row r="12">
      <c r="A12" s="400" t="inlineStr">
        <is>
          <t>Bad Debt + Write-offs</t>
        </is>
      </c>
      <c r="B12" s="950">
        <f>N106</f>
        <v/>
      </c>
      <c r="C12" s="951" t="n">
        <v>0</v>
      </c>
      <c r="D12" s="951" t="n">
        <v>0</v>
      </c>
      <c r="E12" s="952" t="n">
        <v>0</v>
      </c>
      <c r="F12" s="403" t="n">
        <v>0</v>
      </c>
      <c r="G12" s="404" t="inlineStr">
        <is>
          <t>→ stable</t>
        </is>
      </c>
      <c r="H12" s="404" t="inlineStr">
        <is>
          <t>stable</t>
        </is>
      </c>
    </row>
    <row r="13">
      <c r="A13" s="400" t="inlineStr">
        <is>
          <t>Total Labor &amp; Burden</t>
        </is>
      </c>
      <c r="B13" s="950">
        <f>N85</f>
        <v/>
      </c>
      <c r="C13" s="951" t="n">
        <v>0</v>
      </c>
      <c r="D13" s="951" t="n">
        <v>0</v>
      </c>
      <c r="E13" s="952" t="n">
        <v>0</v>
      </c>
      <c r="F13" s="403" t="n">
        <v>0</v>
      </c>
      <c r="G13" s="404" t="inlineStr">
        <is>
          <t>→ stable</t>
        </is>
      </c>
      <c r="H13" s="404" t="inlineStr">
        <is>
          <t>stable</t>
        </is>
      </c>
    </row>
    <row r="14">
      <c r="A14" s="400" t="inlineStr">
        <is>
          <t>Food Cost</t>
        </is>
      </c>
      <c r="B14" s="950">
        <f>N87</f>
        <v/>
      </c>
      <c r="C14" s="951" t="n">
        <v>0</v>
      </c>
      <c r="D14" s="951" t="n">
        <v>0</v>
      </c>
      <c r="E14" s="952" t="n">
        <v>0</v>
      </c>
      <c r="F14" s="403" t="n">
        <v>0</v>
      </c>
      <c r="G14" s="404" t="inlineStr">
        <is>
          <t>→ stable</t>
        </is>
      </c>
      <c r="H14" s="404" t="inlineStr">
        <is>
          <t>stable</t>
        </is>
      </c>
    </row>
    <row r="15">
      <c r="A15" s="400" t="inlineStr">
        <is>
          <t>Utilities</t>
        </is>
      </c>
      <c r="B15" s="950">
        <f>N96</f>
        <v/>
      </c>
      <c r="C15" s="951" t="n">
        <v>0</v>
      </c>
      <c r="D15" s="951" t="n">
        <v>0</v>
      </c>
      <c r="E15" s="952" t="n">
        <v>0</v>
      </c>
      <c r="F15" s="403" t="n">
        <v>0</v>
      </c>
      <c r="G15" s="404" t="inlineStr">
        <is>
          <t>→ stable</t>
        </is>
      </c>
      <c r="H15" s="404" t="inlineStr">
        <is>
          <t>stable</t>
        </is>
      </c>
    </row>
    <row r="16">
      <c r="A16" s="400" t="inlineStr">
        <is>
          <t>Overtime Wages</t>
        </is>
      </c>
      <c r="B16" s="950">
        <f>N79</f>
        <v/>
      </c>
      <c r="C16" s="951" t="n">
        <v>0</v>
      </c>
      <c r="D16" s="951" t="n">
        <v>0</v>
      </c>
      <c r="E16" s="952" t="n">
        <v>0</v>
      </c>
      <c r="F16" s="403" t="n">
        <v>0</v>
      </c>
      <c r="G16" s="404" t="inlineStr">
        <is>
          <t>→ stable</t>
        </is>
      </c>
      <c r="H16" s="404" t="inlineStr">
        <is>
          <t>stable</t>
        </is>
      </c>
    </row>
    <row r="18">
      <c r="A18" s="847" t="inlineStr">
        <is>
          <t>D.  ECONOMIC vs. PHYSICAL OCCUPANCY RECONCILIATION</t>
        </is>
      </c>
    </row>
    <row r="19">
      <c r="A19" s="849" t="inlineStr">
        <is>
          <t>Licensed Beds (IL + AL + MC)</t>
        </is>
      </c>
      <c r="B19" s="517" t="n">
        <v>176</v>
      </c>
    </row>
    <row r="20">
      <c r="A20" s="849" t="inlineStr">
        <is>
          <t>Physically Occupied Beds</t>
        </is>
      </c>
      <c r="B20" s="517" t="n">
        <v>128</v>
      </c>
    </row>
    <row r="21">
      <c r="A21" s="849" t="inlineStr">
        <is>
          <t>Physical Occupancy %</t>
        </is>
      </c>
      <c r="B21" s="403">
        <f>IFERROR(B20/B19,0)</f>
        <v/>
      </c>
    </row>
    <row r="22">
      <c r="A22" s="849" t="inlineStr">
        <is>
          <t>Gross Potential Rent / GPR (annual)</t>
        </is>
      </c>
      <c r="B22" s="950">
        <f>N58</f>
        <v/>
      </c>
    </row>
    <row r="23">
      <c r="A23" s="849" t="inlineStr">
        <is>
          <t>Net Rent Revenue (billed)</t>
        </is>
      </c>
      <c r="B23" s="950">
        <f>N63</f>
        <v/>
      </c>
    </row>
    <row r="24">
      <c r="A24" s="849" t="inlineStr">
        <is>
          <t>Total Revenue / EGI</t>
        </is>
      </c>
      <c r="B24" s="950">
        <f>N69</f>
        <v/>
      </c>
    </row>
    <row r="25">
      <c r="A25" s="849" t="inlineStr">
        <is>
          <t>Economic Occupancy % (Net Rent / GPR)</t>
        </is>
      </c>
      <c r="B25" s="403">
        <f>IFERROR(B23/B22,0)</f>
        <v/>
      </c>
    </row>
    <row r="26">
      <c r="A26" s="849" t="inlineStr">
        <is>
          <t>Economic vs. Physical Gap</t>
        </is>
      </c>
      <c r="B26" s="951" t="n">
        <v>0</v>
      </c>
    </row>
    <row r="27">
      <c r="A27" s="400" t="inlineStr">
        <is>
          <t xml:space="preserve">  → Lost Revenue from Gap ($)</t>
        </is>
      </c>
      <c r="B27" s="951" t="n">
        <v>0</v>
      </c>
    </row>
    <row r="29">
      <c r="A29" s="847" t="inlineStr">
        <is>
          <t>E.  BAD DEBT &amp; WRITE-OFF LAYERED ANALYSIS</t>
        </is>
      </c>
    </row>
    <row r="30">
      <c r="A30" s="847" t="inlineStr">
        <is>
          <t>Component</t>
        </is>
      </c>
      <c r="B30" s="399" t="inlineStr">
        <is>
          <t>Amount</t>
        </is>
      </c>
      <c r="C30" s="399" t="inlineStr">
        <is>
          <t>% of GPR</t>
        </is>
      </c>
      <c r="D30" s="399" t="inlineStr">
        <is>
          <t>Per Bed/Mo</t>
        </is>
      </c>
      <c r="E30" s="399" t="inlineStr">
        <is>
          <t>Benchmark</t>
        </is>
      </c>
      <c r="F30" s="399" t="inlineStr">
        <is>
          <t>Read</t>
        </is>
      </c>
    </row>
    <row r="31">
      <c r="A31" s="400" t="inlineStr">
        <is>
          <t>Vacancy Loss</t>
        </is>
      </c>
      <c r="B31" s="951" t="n">
        <v>0</v>
      </c>
      <c r="C31" s="403" t="n">
        <v>0</v>
      </c>
      <c r="D31" s="951" t="n">
        <v>0</v>
      </c>
      <c r="E31" s="405" t="inlineStr">
        <is>
          <t>5–10% GPR</t>
        </is>
      </c>
      <c r="F31" s="406" t="inlineStr">
        <is>
          <t>ok</t>
        </is>
      </c>
    </row>
    <row r="32">
      <c r="A32" s="400" t="inlineStr">
        <is>
          <t>Bad Debt / Write-offs</t>
        </is>
      </c>
      <c r="B32" s="951" t="n">
        <v>0</v>
      </c>
      <c r="C32" s="403" t="n">
        <v>0</v>
      </c>
      <c r="D32" s="951" t="n">
        <v>0</v>
      </c>
      <c r="E32" s="405" t="inlineStr">
        <is>
          <t>1–3% GPR</t>
        </is>
      </c>
      <c r="F32" s="406" t="inlineStr">
        <is>
          <t>ok</t>
        </is>
      </c>
    </row>
    <row r="33">
      <c r="A33" s="400" t="inlineStr">
        <is>
          <t>Concessions &amp; Specials</t>
        </is>
      </c>
      <c r="B33" s="951" t="n">
        <v>0</v>
      </c>
      <c r="C33" s="403" t="n">
        <v>0</v>
      </c>
      <c r="D33" s="951" t="n">
        <v>0</v>
      </c>
      <c r="E33" s="405" t="inlineStr">
        <is>
          <t>0.5–2% GPR</t>
        </is>
      </c>
      <c r="F33" s="406" t="inlineStr">
        <is>
          <t>ok</t>
        </is>
      </c>
    </row>
    <row r="34">
      <c r="A34" s="400" t="inlineStr">
        <is>
          <t>Delinquency Change</t>
        </is>
      </c>
      <c r="B34" s="951" t="n">
        <v>0</v>
      </c>
      <c r="C34" s="403" t="n">
        <v>0</v>
      </c>
      <c r="D34" s="951" t="n">
        <v>0</v>
      </c>
      <c r="E34" s="405" t="inlineStr">
        <is>
          <t>&lt;2% GPR</t>
        </is>
      </c>
      <c r="F34" s="406" t="inlineStr">
        <is>
          <t>ok</t>
        </is>
      </c>
    </row>
    <row r="35">
      <c r="A35" s="849" t="inlineStr">
        <is>
          <t>Total Rent Reductions</t>
        </is>
      </c>
      <c r="B35" s="951" t="n">
        <v>0</v>
      </c>
      <c r="C35" s="403" t="n">
        <v>0</v>
      </c>
      <c r="D35" s="951" t="n">
        <v>0</v>
      </c>
      <c r="E35" s="405" t="n"/>
      <c r="F35" s="406" t="inlineStr">
        <is>
          <t>ok</t>
        </is>
      </c>
    </row>
    <row r="37">
      <c r="A37" s="847" t="inlineStr">
        <is>
          <t>F.  TAX &amp; INSURANCE ACCRUAL CHECK</t>
        </is>
      </c>
    </row>
    <row r="38">
      <c r="A38" s="824" t="inlineStr">
        <is>
          <t>T-12 actuals rarely equal pro forma. Triangulate RE taxes with reassessment estimate; insurance with lender quote.</t>
        </is>
      </c>
    </row>
    <row r="40">
      <c r="A40" s="848" t="inlineStr">
        <is>
          <t>Real Estate Taxes</t>
        </is>
      </c>
    </row>
    <row r="41">
      <c r="A41" s="407" t="inlineStr">
        <is>
          <t xml:space="preserve">  T-12 Actual</t>
        </is>
      </c>
      <c r="B41" s="951" t="n">
        <v>0</v>
      </c>
    </row>
    <row r="42">
      <c r="A42" s="407" t="inlineStr">
        <is>
          <t xml:space="preserve">  Pro Forma Estimate</t>
        </is>
      </c>
      <c r="B42" s="951" t="n">
        <v>0</v>
      </c>
    </row>
    <row r="43">
      <c r="A43" s="407" t="inlineStr">
        <is>
          <t xml:space="preserve">  Variance (Actual − PF)</t>
        </is>
      </c>
      <c r="B43" s="952" t="n">
        <v>0</v>
      </c>
    </row>
    <row r="44">
      <c r="A44" s="407" t="inlineStr">
        <is>
          <t xml:space="preserve">  Status</t>
        </is>
      </c>
      <c r="B44" s="408" t="inlineStr">
        <is>
          <t>⚠ not in T-12 — verify with operator / broker</t>
        </is>
      </c>
    </row>
    <row r="46">
      <c r="A46" s="848" t="inlineStr">
        <is>
          <t>P&amp;C Insurance</t>
        </is>
      </c>
    </row>
    <row r="47">
      <c r="A47" s="407" t="inlineStr">
        <is>
          <t xml:space="preserve">  T-12 Actual</t>
        </is>
      </c>
      <c r="B47" s="951" t="n">
        <v>0</v>
      </c>
    </row>
    <row r="48">
      <c r="A48" s="407" t="inlineStr">
        <is>
          <t xml:space="preserve">  Pro Forma Estimate</t>
        </is>
      </c>
      <c r="B48" s="951" t="n">
        <v>0</v>
      </c>
    </row>
    <row r="49">
      <c r="A49" s="407" t="inlineStr">
        <is>
          <t xml:space="preserve">  Variance (Actual − PF)</t>
        </is>
      </c>
      <c r="B49" s="952" t="n">
        <v>0</v>
      </c>
    </row>
    <row r="50">
      <c r="A50" s="407" t="inlineStr">
        <is>
          <t xml:space="preserve">  Status</t>
        </is>
      </c>
      <c r="B50" s="408" t="inlineStr">
        <is>
          <t>⚠ not in T-12 — verify with operator / broker</t>
        </is>
      </c>
    </row>
    <row r="54">
      <c r="A54" s="852" t="inlineStr">
        <is>
          <t>↓  ↓  ↓   DATA TIER BELOW — Standardized Aggregation (Layer 3) and Raw T-12 (Layer 1)   ↓  ↓  ↓</t>
        </is>
      </c>
    </row>
    <row r="55">
      <c r="A55" s="847" t="inlineStr">
        <is>
          <t>H.  LAYER 3: STANDARDIZED AGGREGATION  —  Bucket-level detail (paste from Analyzer UW Export, col E)</t>
        </is>
      </c>
    </row>
    <row r="56">
      <c r="A56" s="409" t="inlineStr">
        <is>
          <t>Standardized Bucket</t>
        </is>
      </c>
      <c r="B56" s="565">
        <f>C122</f>
        <v/>
      </c>
      <c r="C56" s="565">
        <f>D122</f>
        <v/>
      </c>
      <c r="D56" s="565">
        <f>E122</f>
        <v/>
      </c>
      <c r="E56" s="565">
        <f>F122</f>
        <v/>
      </c>
      <c r="F56" s="565">
        <f>G122</f>
        <v/>
      </c>
      <c r="G56" s="565">
        <f>H122</f>
        <v/>
      </c>
      <c r="H56" s="565">
        <f>I122</f>
        <v/>
      </c>
      <c r="I56" s="565">
        <f>J122</f>
        <v/>
      </c>
      <c r="J56" s="565">
        <f>K122</f>
        <v/>
      </c>
      <c r="K56" s="565">
        <f>L122</f>
        <v/>
      </c>
      <c r="L56" s="565">
        <f>M122</f>
        <v/>
      </c>
      <c r="M56" s="565">
        <f>N122</f>
        <v/>
      </c>
      <c r="N56" s="410" t="inlineStr">
        <is>
          <t>T-12 Total</t>
        </is>
      </c>
      <c r="O56" s="410" t="inlineStr">
        <is>
          <t>T-3 Annlzd</t>
        </is>
      </c>
      <c r="P56" s="410" t="inlineStr">
        <is>
          <t>Per Bed/Mo</t>
        </is>
      </c>
      <c r="Q56" s="410" t="inlineStr">
        <is>
          <t>% of EGI</t>
        </is>
      </c>
      <c r="R56" s="410" t="inlineStr">
        <is>
          <t>Bench Flag</t>
        </is>
      </c>
    </row>
    <row r="57">
      <c r="A57" s="851" t="inlineStr">
        <is>
          <t>INCOME</t>
        </is>
      </c>
    </row>
    <row r="58">
      <c r="A58" s="400" t="inlineStr">
        <is>
          <t>Gross Potential Rent (GPR)</t>
        </is>
      </c>
      <c r="B58" s="951" t="n">
        <v>0</v>
      </c>
      <c r="C58" s="951" t="n">
        <v>0</v>
      </c>
      <c r="D58" s="951" t="n">
        <v>0</v>
      </c>
      <c r="E58" s="951" t="n">
        <v>0</v>
      </c>
      <c r="F58" s="951" t="n">
        <v>0</v>
      </c>
      <c r="G58" s="951" t="n">
        <v>0</v>
      </c>
      <c r="H58" s="951" t="n">
        <v>0</v>
      </c>
      <c r="I58" s="951" t="n">
        <v>0</v>
      </c>
      <c r="J58" s="951" t="n">
        <v>0</v>
      </c>
      <c r="K58" s="951" t="n">
        <v>0</v>
      </c>
      <c r="L58" s="951" t="n">
        <v>0</v>
      </c>
      <c r="M58" s="951" t="n">
        <v>0</v>
      </c>
      <c r="N58" s="953" t="n"/>
      <c r="O58" s="951" t="n">
        <v>0</v>
      </c>
      <c r="P58" s="951" t="n">
        <v>0</v>
      </c>
      <c r="Q58" s="951" t="n">
        <v>0</v>
      </c>
      <c r="R58" s="403" t="n">
        <v>0</v>
      </c>
      <c r="S58" s="404" t="n"/>
    </row>
    <row r="59">
      <c r="A59" s="400" t="inlineStr">
        <is>
          <t xml:space="preserve">  Loss to Lease</t>
        </is>
      </c>
      <c r="B59" s="951" t="n">
        <v>0</v>
      </c>
      <c r="C59" s="951" t="n">
        <v>0</v>
      </c>
      <c r="D59" s="951" t="n">
        <v>0</v>
      </c>
      <c r="E59" s="951" t="n">
        <v>0</v>
      </c>
      <c r="F59" s="951" t="n">
        <v>0</v>
      </c>
      <c r="G59" s="951" t="n">
        <v>0</v>
      </c>
      <c r="H59" s="951" t="n">
        <v>0</v>
      </c>
      <c r="I59" s="951" t="n">
        <v>0</v>
      </c>
      <c r="J59" s="951" t="n">
        <v>0</v>
      </c>
      <c r="K59" s="951" t="n">
        <v>0</v>
      </c>
      <c r="L59" s="951" t="n">
        <v>0</v>
      </c>
      <c r="M59" s="951" t="n">
        <v>0</v>
      </c>
      <c r="N59" s="953" t="n"/>
      <c r="O59" s="951" t="n">
        <v>0</v>
      </c>
      <c r="P59" s="951" t="n">
        <v>0</v>
      </c>
      <c r="Q59" s="951" t="n">
        <v>0</v>
      </c>
      <c r="R59" s="403" t="n">
        <v>0</v>
      </c>
      <c r="S59" s="404" t="n"/>
    </row>
    <row r="60">
      <c r="A60" s="400" t="inlineStr">
        <is>
          <t xml:space="preserve">  Vacancy Loss</t>
        </is>
      </c>
      <c r="B60" s="951" t="n">
        <v>0</v>
      </c>
      <c r="C60" s="951" t="n">
        <v>0</v>
      </c>
      <c r="D60" s="951" t="n">
        <v>0</v>
      </c>
      <c r="E60" s="951" t="n">
        <v>0</v>
      </c>
      <c r="F60" s="951" t="n">
        <v>0</v>
      </c>
      <c r="G60" s="951" t="n">
        <v>0</v>
      </c>
      <c r="H60" s="951" t="n">
        <v>0</v>
      </c>
      <c r="I60" s="951" t="n">
        <v>0</v>
      </c>
      <c r="J60" s="951" t="n">
        <v>0</v>
      </c>
      <c r="K60" s="951" t="n">
        <v>0</v>
      </c>
      <c r="L60" s="951" t="n">
        <v>0</v>
      </c>
      <c r="M60" s="951" t="n">
        <v>0</v>
      </c>
      <c r="N60" s="953" t="n"/>
      <c r="O60" s="951" t="n">
        <v>0</v>
      </c>
      <c r="P60" s="951" t="n">
        <v>0</v>
      </c>
      <c r="Q60" s="951" t="n">
        <v>0</v>
      </c>
      <c r="R60" s="403" t="n">
        <v>0</v>
      </c>
      <c r="S60" s="404" t="n"/>
    </row>
    <row r="61">
      <c r="A61" s="400" t="inlineStr">
        <is>
          <t xml:space="preserve">  Concessions &amp; Specials</t>
        </is>
      </c>
      <c r="B61" s="951" t="n">
        <v>0</v>
      </c>
      <c r="C61" s="951" t="n">
        <v>0</v>
      </c>
      <c r="D61" s="951" t="n">
        <v>0</v>
      </c>
      <c r="E61" s="951" t="n">
        <v>0</v>
      </c>
      <c r="F61" s="951" t="n">
        <v>0</v>
      </c>
      <c r="G61" s="951" t="n">
        <v>0</v>
      </c>
      <c r="H61" s="951" t="n">
        <v>0</v>
      </c>
      <c r="I61" s="951" t="n">
        <v>0</v>
      </c>
      <c r="J61" s="951" t="n">
        <v>0</v>
      </c>
      <c r="K61" s="951" t="n">
        <v>0</v>
      </c>
      <c r="L61" s="951" t="n">
        <v>0</v>
      </c>
      <c r="M61" s="951" t="n">
        <v>0</v>
      </c>
      <c r="N61" s="953" t="n"/>
      <c r="O61" s="951" t="n">
        <v>0</v>
      </c>
      <c r="P61" s="951" t="n">
        <v>0</v>
      </c>
      <c r="Q61" s="951" t="n">
        <v>0</v>
      </c>
      <c r="R61" s="403" t="n">
        <v>0</v>
      </c>
      <c r="S61" s="404" t="n"/>
    </row>
    <row r="62">
      <c r="A62" s="400" t="inlineStr">
        <is>
          <t xml:space="preserve">  Bad Debt / Write-offs</t>
        </is>
      </c>
      <c r="B62" s="951" t="n">
        <v>0</v>
      </c>
      <c r="C62" s="951" t="n">
        <v>0</v>
      </c>
      <c r="D62" s="951" t="n">
        <v>0</v>
      </c>
      <c r="E62" s="951" t="n">
        <v>0</v>
      </c>
      <c r="F62" s="951" t="n">
        <v>0</v>
      </c>
      <c r="G62" s="951" t="n">
        <v>0</v>
      </c>
      <c r="H62" s="951" t="n">
        <v>0</v>
      </c>
      <c r="I62" s="951" t="n">
        <v>0</v>
      </c>
      <c r="J62" s="951" t="n">
        <v>0</v>
      </c>
      <c r="K62" s="951" t="n">
        <v>0</v>
      </c>
      <c r="L62" s="951" t="n">
        <v>0</v>
      </c>
      <c r="M62" s="951" t="n">
        <v>0</v>
      </c>
      <c r="N62" s="953" t="n">
        <v>0</v>
      </c>
      <c r="O62" s="951" t="n">
        <v>0</v>
      </c>
      <c r="P62" s="951" t="n">
        <v>0</v>
      </c>
      <c r="Q62" s="951" t="n">
        <v>0</v>
      </c>
      <c r="R62" s="403" t="n">
        <v>0</v>
      </c>
      <c r="S62" s="404" t="n"/>
    </row>
    <row r="63">
      <c r="A63" s="849" t="inlineStr">
        <is>
          <t>Net Rent Revenue</t>
        </is>
      </c>
      <c r="B63" s="951" t="n">
        <v>0</v>
      </c>
      <c r="C63" s="951" t="n">
        <v>0</v>
      </c>
      <c r="D63" s="951" t="n">
        <v>0</v>
      </c>
      <c r="E63" s="951" t="n">
        <v>0</v>
      </c>
      <c r="F63" s="951" t="n">
        <v>0</v>
      </c>
      <c r="G63" s="951" t="n">
        <v>0</v>
      </c>
      <c r="H63" s="951" t="n">
        <v>0</v>
      </c>
      <c r="I63" s="951" t="n">
        <v>0</v>
      </c>
      <c r="J63" s="951" t="n">
        <v>0</v>
      </c>
      <c r="K63" s="951" t="n">
        <v>0</v>
      </c>
      <c r="L63" s="951" t="n">
        <v>0</v>
      </c>
      <c r="M63" s="951" t="n">
        <v>0</v>
      </c>
      <c r="N63" s="954">
        <f>N58+N59+N60+N61+N62</f>
        <v/>
      </c>
      <c r="O63" s="951" t="n">
        <v>0</v>
      </c>
      <c r="P63" s="951" t="n">
        <v>0</v>
      </c>
      <c r="Q63" s="951" t="n">
        <v>0</v>
      </c>
      <c r="R63" s="403" t="n">
        <v>0</v>
      </c>
      <c r="S63" s="404" t="n"/>
    </row>
    <row r="64">
      <c r="A64" s="400" t="inlineStr">
        <is>
          <t>LOC / Care Services Revenue</t>
        </is>
      </c>
      <c r="B64" s="951" t="n">
        <v>0</v>
      </c>
      <c r="C64" s="951" t="n">
        <v>0</v>
      </c>
      <c r="D64" s="951" t="n">
        <v>0</v>
      </c>
      <c r="E64" s="951" t="n">
        <v>0</v>
      </c>
      <c r="F64" s="951" t="n">
        <v>0</v>
      </c>
      <c r="G64" s="951" t="n">
        <v>0</v>
      </c>
      <c r="H64" s="951" t="n">
        <v>0</v>
      </c>
      <c r="I64" s="951" t="n">
        <v>0</v>
      </c>
      <c r="J64" s="951" t="n">
        <v>0</v>
      </c>
      <c r="K64" s="951" t="n">
        <v>0</v>
      </c>
      <c r="L64" s="951" t="n">
        <v>0</v>
      </c>
      <c r="M64" s="951" t="n">
        <v>0</v>
      </c>
      <c r="N64" s="953" t="n"/>
      <c r="O64" s="951" t="n">
        <v>0</v>
      </c>
      <c r="P64" s="951" t="n">
        <v>0</v>
      </c>
      <c r="Q64" s="951" t="n">
        <v>0</v>
      </c>
      <c r="R64" s="403" t="n">
        <v>0</v>
      </c>
      <c r="S64" s="404" t="n"/>
    </row>
    <row r="65">
      <c r="A65" s="400" t="inlineStr">
        <is>
          <t xml:space="preserve">  Community / Move-in Fees</t>
        </is>
      </c>
      <c r="B65" s="951" t="n">
        <v>0</v>
      </c>
      <c r="C65" s="951" t="n">
        <v>0</v>
      </c>
      <c r="D65" s="951" t="n">
        <v>0</v>
      </c>
      <c r="E65" s="951" t="n">
        <v>0</v>
      </c>
      <c r="F65" s="951" t="n">
        <v>0</v>
      </c>
      <c r="G65" s="951" t="n">
        <v>0</v>
      </c>
      <c r="H65" s="951" t="n">
        <v>0</v>
      </c>
      <c r="I65" s="951" t="n">
        <v>0</v>
      </c>
      <c r="J65" s="951" t="n">
        <v>0</v>
      </c>
      <c r="K65" s="951" t="n">
        <v>0</v>
      </c>
      <c r="L65" s="951" t="n">
        <v>0</v>
      </c>
      <c r="M65" s="951" t="n">
        <v>0</v>
      </c>
      <c r="N65" s="953" t="n"/>
      <c r="O65" s="951" t="n">
        <v>0</v>
      </c>
      <c r="P65" s="951" t="n">
        <v>0</v>
      </c>
      <c r="Q65" s="951" t="n">
        <v>0</v>
      </c>
      <c r="R65" s="403" t="n">
        <v>0</v>
      </c>
      <c r="S65" s="404" t="n"/>
    </row>
    <row r="66">
      <c r="A66" s="400" t="inlineStr">
        <is>
          <t xml:space="preserve">  Respite Care Revenue</t>
        </is>
      </c>
      <c r="B66" s="951" t="n">
        <v>0</v>
      </c>
      <c r="C66" s="951" t="n">
        <v>0</v>
      </c>
      <c r="D66" s="951" t="n">
        <v>0</v>
      </c>
      <c r="E66" s="951" t="n">
        <v>0</v>
      </c>
      <c r="F66" s="951" t="n">
        <v>0</v>
      </c>
      <c r="G66" s="951" t="n">
        <v>0</v>
      </c>
      <c r="H66" s="951" t="n">
        <v>0</v>
      </c>
      <c r="I66" s="951" t="n">
        <v>0</v>
      </c>
      <c r="J66" s="951" t="n">
        <v>0</v>
      </c>
      <c r="K66" s="951" t="n">
        <v>0</v>
      </c>
      <c r="L66" s="951" t="n">
        <v>0</v>
      </c>
      <c r="M66" s="951" t="n">
        <v>0</v>
      </c>
      <c r="N66" s="953" t="n"/>
      <c r="O66" s="951" t="n">
        <v>0</v>
      </c>
      <c r="P66" s="951" t="n">
        <v>0</v>
      </c>
      <c r="Q66" s="951" t="n">
        <v>0</v>
      </c>
      <c r="R66" s="403" t="n">
        <v>0</v>
      </c>
      <c r="S66" s="404" t="n"/>
    </row>
    <row r="67">
      <c r="A67" s="400" t="inlineStr">
        <is>
          <t xml:space="preserve">  2nd Person Revenue</t>
        </is>
      </c>
      <c r="B67" s="951" t="n">
        <v>0</v>
      </c>
      <c r="C67" s="951" t="n">
        <v>0</v>
      </c>
      <c r="D67" s="951" t="n">
        <v>0</v>
      </c>
      <c r="E67" s="951" t="n">
        <v>0</v>
      </c>
      <c r="F67" s="951" t="n">
        <v>0</v>
      </c>
      <c r="G67" s="951" t="n">
        <v>0</v>
      </c>
      <c r="H67" s="951" t="n">
        <v>0</v>
      </c>
      <c r="I67" s="951" t="n">
        <v>0</v>
      </c>
      <c r="J67" s="951" t="n">
        <v>0</v>
      </c>
      <c r="K67" s="951" t="n">
        <v>0</v>
      </c>
      <c r="L67" s="951" t="n">
        <v>0</v>
      </c>
      <c r="M67" s="951" t="n">
        <v>0</v>
      </c>
      <c r="N67" s="953" t="n"/>
      <c r="O67" s="951" t="n">
        <v>0</v>
      </c>
      <c r="P67" s="951" t="n">
        <v>0</v>
      </c>
      <c r="Q67" s="951" t="n">
        <v>0</v>
      </c>
      <c r="R67" s="403" t="n">
        <v>0</v>
      </c>
      <c r="S67" s="404" t="n"/>
    </row>
    <row r="68">
      <c r="A68" s="400" t="inlineStr">
        <is>
          <t xml:space="preserve">  Other Community Revenue</t>
        </is>
      </c>
      <c r="B68" s="951" t="n">
        <v>0</v>
      </c>
      <c r="C68" s="951" t="n">
        <v>0</v>
      </c>
      <c r="D68" s="951" t="n">
        <v>0</v>
      </c>
      <c r="E68" s="951" t="n">
        <v>0</v>
      </c>
      <c r="F68" s="951" t="n">
        <v>0</v>
      </c>
      <c r="G68" s="951" t="n">
        <v>0</v>
      </c>
      <c r="H68" s="951" t="n">
        <v>0</v>
      </c>
      <c r="I68" s="951" t="n">
        <v>0</v>
      </c>
      <c r="J68" s="951" t="n">
        <v>0</v>
      </c>
      <c r="K68" s="951" t="n">
        <v>0</v>
      </c>
      <c r="L68" s="951" t="n">
        <v>0</v>
      </c>
      <c r="M68" s="951" t="n">
        <v>0</v>
      </c>
      <c r="N68" s="953" t="n"/>
      <c r="O68" s="951" t="n">
        <v>0</v>
      </c>
      <c r="P68" s="951" t="n">
        <v>0</v>
      </c>
      <c r="Q68" s="951" t="n">
        <v>0</v>
      </c>
      <c r="R68" s="403" t="n">
        <v>0</v>
      </c>
      <c r="S68" s="404" t="n"/>
    </row>
    <row r="69">
      <c r="A69" s="411" t="inlineStr">
        <is>
          <t>EFFECTIVE GROSS INCOME (EGI)</t>
        </is>
      </c>
      <c r="B69" s="955" t="n">
        <v>0</v>
      </c>
      <c r="C69" s="955" t="n">
        <v>0</v>
      </c>
      <c r="D69" s="955" t="n">
        <v>0</v>
      </c>
      <c r="E69" s="955" t="n">
        <v>0</v>
      </c>
      <c r="F69" s="955" t="n">
        <v>0</v>
      </c>
      <c r="G69" s="955" t="n">
        <v>0</v>
      </c>
      <c r="H69" s="955" t="n">
        <v>0</v>
      </c>
      <c r="I69" s="955" t="n">
        <v>0</v>
      </c>
      <c r="J69" s="955" t="n">
        <v>0</v>
      </c>
      <c r="K69" s="955" t="n">
        <v>0</v>
      </c>
      <c r="L69" s="955" t="n">
        <v>0</v>
      </c>
      <c r="M69" s="955" t="n">
        <v>0</v>
      </c>
      <c r="N69" s="956">
        <f>N63+N64+N65+N66+N67+N68</f>
        <v/>
      </c>
      <c r="O69" s="955" t="n">
        <v>0</v>
      </c>
      <c r="P69" s="951" t="n">
        <v>0</v>
      </c>
      <c r="Q69" s="951" t="n">
        <v>0</v>
      </c>
      <c r="R69" s="403" t="n">
        <v>0</v>
      </c>
      <c r="S69" s="404" t="n"/>
    </row>
    <row r="70">
      <c r="A70" s="851" t="inlineStr">
        <is>
          <t>LABOR  —  Wages &amp; Burden</t>
        </is>
      </c>
    </row>
    <row r="71">
      <c r="A71" s="400" t="inlineStr">
        <is>
          <t>Care Staff Labor</t>
        </is>
      </c>
      <c r="B71" s="951" t="n">
        <v>0</v>
      </c>
      <c r="C71" s="951" t="n">
        <v>0</v>
      </c>
      <c r="D71" s="951" t="n">
        <v>0</v>
      </c>
      <c r="E71" s="951" t="n">
        <v>0</v>
      </c>
      <c r="F71" s="951" t="n">
        <v>0</v>
      </c>
      <c r="G71" s="951" t="n">
        <v>0</v>
      </c>
      <c r="H71" s="951" t="n">
        <v>0</v>
      </c>
      <c r="I71" s="951" t="n">
        <v>0</v>
      </c>
      <c r="J71" s="951" t="n">
        <v>0</v>
      </c>
      <c r="K71" s="951" t="n">
        <v>0</v>
      </c>
      <c r="L71" s="951" t="n">
        <v>0</v>
      </c>
      <c r="M71" s="951" t="n">
        <v>0</v>
      </c>
      <c r="N71" s="953" t="n"/>
      <c r="O71" s="951" t="n">
        <v>0</v>
      </c>
      <c r="P71" s="951" t="n">
        <v>0</v>
      </c>
      <c r="Q71" s="951" t="n">
        <v>0</v>
      </c>
      <c r="R71" s="403" t="n">
        <v>0</v>
      </c>
      <c r="S71" s="413" t="inlineStr">
        <is>
          <t>&lt; $500/bed/mo target</t>
        </is>
      </c>
    </row>
    <row r="72">
      <c r="A72" s="400" t="inlineStr">
        <is>
          <t xml:space="preserve">  Wellness / Care Coordinators</t>
        </is>
      </c>
      <c r="B72" s="951" t="n">
        <v>0</v>
      </c>
      <c r="C72" s="951" t="n">
        <v>0</v>
      </c>
      <c r="D72" s="951" t="n">
        <v>0</v>
      </c>
      <c r="E72" s="951" t="n">
        <v>0</v>
      </c>
      <c r="F72" s="951" t="n">
        <v>0</v>
      </c>
      <c r="G72" s="951" t="n">
        <v>0</v>
      </c>
      <c r="H72" s="951" t="n">
        <v>0</v>
      </c>
      <c r="I72" s="951" t="n">
        <v>0</v>
      </c>
      <c r="J72" s="951" t="n">
        <v>0</v>
      </c>
      <c r="K72" s="951" t="n">
        <v>0</v>
      </c>
      <c r="L72" s="951" t="n">
        <v>0</v>
      </c>
      <c r="M72" s="951" t="n">
        <v>0</v>
      </c>
      <c r="N72" s="953" t="n"/>
      <c r="O72" s="951" t="n">
        <v>0</v>
      </c>
      <c r="P72" s="951" t="n">
        <v>0</v>
      </c>
      <c r="Q72" s="951" t="n">
        <v>0</v>
      </c>
      <c r="R72" s="403" t="n">
        <v>0</v>
      </c>
      <c r="S72" s="413" t="n"/>
    </row>
    <row r="73">
      <c r="A73" s="400" t="inlineStr">
        <is>
          <t xml:space="preserve">  Contract / Agency Labor</t>
        </is>
      </c>
      <c r="B73" s="951" t="n">
        <v>0</v>
      </c>
      <c r="C73" s="951" t="n">
        <v>0</v>
      </c>
      <c r="D73" s="951" t="n">
        <v>0</v>
      </c>
      <c r="E73" s="951" t="n">
        <v>0</v>
      </c>
      <c r="F73" s="951" t="n">
        <v>0</v>
      </c>
      <c r="G73" s="951" t="n">
        <v>0</v>
      </c>
      <c r="H73" s="951" t="n">
        <v>0</v>
      </c>
      <c r="I73" s="951" t="n">
        <v>0</v>
      </c>
      <c r="J73" s="951" t="n">
        <v>0</v>
      </c>
      <c r="K73" s="951" t="n">
        <v>0</v>
      </c>
      <c r="L73" s="951" t="n">
        <v>0</v>
      </c>
      <c r="M73" s="951" t="n">
        <v>0</v>
      </c>
      <c r="N73" s="953" t="n"/>
      <c r="O73" s="951" t="n">
        <v>0</v>
      </c>
      <c r="P73" s="951" t="n">
        <v>0</v>
      </c>
      <c r="Q73" s="951" t="n">
        <v>0</v>
      </c>
      <c r="R73" s="403" t="n">
        <v>0</v>
      </c>
      <c r="S73" s="413" t="inlineStr">
        <is>
          <t>&lt; 2% of total labor ✓</t>
        </is>
      </c>
    </row>
    <row r="74">
      <c r="A74" s="400" t="inlineStr">
        <is>
          <t xml:space="preserve">  Activities Labor</t>
        </is>
      </c>
      <c r="B74" s="951" t="n">
        <v>0</v>
      </c>
      <c r="C74" s="951" t="n">
        <v>0</v>
      </c>
      <c r="D74" s="951" t="n">
        <v>0</v>
      </c>
      <c r="E74" s="951" t="n">
        <v>0</v>
      </c>
      <c r="F74" s="951" t="n">
        <v>0</v>
      </c>
      <c r="G74" s="951" t="n">
        <v>0</v>
      </c>
      <c r="H74" s="951" t="n">
        <v>0</v>
      </c>
      <c r="I74" s="951" t="n">
        <v>0</v>
      </c>
      <c r="J74" s="951" t="n">
        <v>0</v>
      </c>
      <c r="K74" s="951" t="n">
        <v>0</v>
      </c>
      <c r="L74" s="951" t="n">
        <v>0</v>
      </c>
      <c r="M74" s="951" t="n">
        <v>0</v>
      </c>
      <c r="N74" s="953" t="n"/>
      <c r="O74" s="951" t="n">
        <v>0</v>
      </c>
      <c r="P74" s="951" t="n">
        <v>0</v>
      </c>
      <c r="Q74" s="951" t="n">
        <v>0</v>
      </c>
      <c r="R74" s="403" t="n">
        <v>0</v>
      </c>
      <c r="S74" s="413" t="n"/>
    </row>
    <row r="75">
      <c r="A75" s="400" t="inlineStr">
        <is>
          <t xml:space="preserve">  Dining / Food Service Labor</t>
        </is>
      </c>
      <c r="B75" s="951" t="n">
        <v>0</v>
      </c>
      <c r="C75" s="951" t="n">
        <v>0</v>
      </c>
      <c r="D75" s="951" t="n">
        <v>0</v>
      </c>
      <c r="E75" s="951" t="n">
        <v>0</v>
      </c>
      <c r="F75" s="951" t="n">
        <v>0</v>
      </c>
      <c r="G75" s="951" t="n">
        <v>0</v>
      </c>
      <c r="H75" s="951" t="n">
        <v>0</v>
      </c>
      <c r="I75" s="951" t="n">
        <v>0</v>
      </c>
      <c r="J75" s="951" t="n">
        <v>0</v>
      </c>
      <c r="K75" s="951" t="n">
        <v>0</v>
      </c>
      <c r="L75" s="951" t="n">
        <v>0</v>
      </c>
      <c r="M75" s="951" t="n">
        <v>0</v>
      </c>
      <c r="N75" s="953" t="n"/>
      <c r="O75" s="951" t="n">
        <v>0</v>
      </c>
      <c r="P75" s="951" t="n">
        <v>0</v>
      </c>
      <c r="Q75" s="951" t="n">
        <v>0</v>
      </c>
      <c r="R75" s="403" t="n">
        <v>0</v>
      </c>
      <c r="S75" s="413" t="n"/>
    </row>
    <row r="76">
      <c r="A76" s="400" t="inlineStr">
        <is>
          <t xml:space="preserve">  Maintenance &amp; HK Labor</t>
        </is>
      </c>
      <c r="B76" s="951" t="n">
        <v>0</v>
      </c>
      <c r="C76" s="951" t="n">
        <v>0</v>
      </c>
      <c r="D76" s="951" t="n">
        <v>0</v>
      </c>
      <c r="E76" s="951" t="n">
        <v>0</v>
      </c>
      <c r="F76" s="951" t="n">
        <v>0</v>
      </c>
      <c r="G76" s="951" t="n">
        <v>0</v>
      </c>
      <c r="H76" s="951" t="n">
        <v>0</v>
      </c>
      <c r="I76" s="951" t="n">
        <v>0</v>
      </c>
      <c r="J76" s="951" t="n">
        <v>0</v>
      </c>
      <c r="K76" s="951" t="n">
        <v>0</v>
      </c>
      <c r="L76" s="951" t="n">
        <v>0</v>
      </c>
      <c r="M76" s="951" t="n">
        <v>0</v>
      </c>
      <c r="N76" s="953" t="n"/>
      <c r="O76" s="951" t="n">
        <v>0</v>
      </c>
      <c r="P76" s="951" t="n">
        <v>0</v>
      </c>
      <c r="Q76" s="951" t="n">
        <v>0</v>
      </c>
      <c r="R76" s="403" t="n">
        <v>0</v>
      </c>
      <c r="S76" s="413" t="n"/>
    </row>
    <row r="77">
      <c r="A77" s="400" t="inlineStr">
        <is>
          <t xml:space="preserve">  Administrative Labor</t>
        </is>
      </c>
      <c r="B77" s="951" t="n">
        <v>0</v>
      </c>
      <c r="C77" s="951" t="n">
        <v>0</v>
      </c>
      <c r="D77" s="951" t="n">
        <v>0</v>
      </c>
      <c r="E77" s="951" t="n">
        <v>0</v>
      </c>
      <c r="F77" s="951" t="n">
        <v>0</v>
      </c>
      <c r="G77" s="951" t="n">
        <v>0</v>
      </c>
      <c r="H77" s="951" t="n">
        <v>0</v>
      </c>
      <c r="I77" s="951" t="n">
        <v>0</v>
      </c>
      <c r="J77" s="951" t="n">
        <v>0</v>
      </c>
      <c r="K77" s="951" t="n">
        <v>0</v>
      </c>
      <c r="L77" s="951" t="n">
        <v>0</v>
      </c>
      <c r="M77" s="951" t="n">
        <v>0</v>
      </c>
      <c r="N77" s="953" t="n"/>
      <c r="O77" s="951" t="n">
        <v>0</v>
      </c>
      <c r="P77" s="951" t="n">
        <v>0</v>
      </c>
      <c r="Q77" s="951" t="n">
        <v>0</v>
      </c>
      <c r="R77" s="403" t="n">
        <v>0</v>
      </c>
      <c r="S77" s="413" t="n"/>
    </row>
    <row r="78">
      <c r="A78" s="400" t="inlineStr">
        <is>
          <t xml:space="preserve">  Bonus Wages</t>
        </is>
      </c>
      <c r="B78" s="951" t="n">
        <v>0</v>
      </c>
      <c r="C78" s="951" t="n">
        <v>0</v>
      </c>
      <c r="D78" s="951" t="n">
        <v>0</v>
      </c>
      <c r="E78" s="951" t="n">
        <v>0</v>
      </c>
      <c r="F78" s="951" t="n">
        <v>0</v>
      </c>
      <c r="G78" s="951" t="n">
        <v>0</v>
      </c>
      <c r="H78" s="951" t="n">
        <v>0</v>
      </c>
      <c r="I78" s="951" t="n">
        <v>0</v>
      </c>
      <c r="J78" s="951" t="n">
        <v>0</v>
      </c>
      <c r="K78" s="951" t="n">
        <v>0</v>
      </c>
      <c r="L78" s="951" t="n">
        <v>0</v>
      </c>
      <c r="M78" s="951" t="n">
        <v>0</v>
      </c>
      <c r="N78" s="953" t="n"/>
      <c r="O78" s="951" t="n">
        <v>0</v>
      </c>
      <c r="P78" s="951" t="n">
        <v>0</v>
      </c>
      <c r="Q78" s="951" t="n">
        <v>0</v>
      </c>
      <c r="R78" s="403" t="n">
        <v>0</v>
      </c>
      <c r="S78" s="413" t="n"/>
    </row>
    <row r="79">
      <c r="A79" s="400" t="inlineStr">
        <is>
          <t xml:space="preserve">  Overtime Wages</t>
        </is>
      </c>
      <c r="B79" s="951" t="n">
        <v>0</v>
      </c>
      <c r="C79" s="951" t="n">
        <v>0</v>
      </c>
      <c r="D79" s="951" t="n">
        <v>0</v>
      </c>
      <c r="E79" s="951" t="n">
        <v>0</v>
      </c>
      <c r="F79" s="951" t="n">
        <v>0</v>
      </c>
      <c r="G79" s="951" t="n">
        <v>0</v>
      </c>
      <c r="H79" s="951" t="n">
        <v>0</v>
      </c>
      <c r="I79" s="951" t="n">
        <v>0</v>
      </c>
      <c r="J79" s="951" t="n">
        <v>0</v>
      </c>
      <c r="K79" s="951" t="n">
        <v>0</v>
      </c>
      <c r="L79" s="951" t="n">
        <v>0</v>
      </c>
      <c r="M79" s="951" t="n">
        <v>0</v>
      </c>
      <c r="N79" s="953" t="n"/>
      <c r="O79" s="951" t="n">
        <v>0</v>
      </c>
      <c r="P79" s="951" t="n">
        <v>0</v>
      </c>
      <c r="Q79" s="951" t="n">
        <v>0</v>
      </c>
      <c r="R79" s="403" t="n">
        <v>0</v>
      </c>
      <c r="S79" s="413" t="inlineStr">
        <is>
          <t>&lt; 6% of labor ✓; &gt; 8% ✗</t>
        </is>
      </c>
    </row>
    <row r="80">
      <c r="A80" s="400" t="inlineStr">
        <is>
          <t xml:space="preserve">  PTO Wages</t>
        </is>
      </c>
      <c r="B80" s="951" t="n">
        <v>0</v>
      </c>
      <c r="C80" s="951" t="n">
        <v>0</v>
      </c>
      <c r="D80" s="951" t="n">
        <v>0</v>
      </c>
      <c r="E80" s="951" t="n">
        <v>0</v>
      </c>
      <c r="F80" s="951" t="n">
        <v>0</v>
      </c>
      <c r="G80" s="951" t="n">
        <v>0</v>
      </c>
      <c r="H80" s="951" t="n">
        <v>0</v>
      </c>
      <c r="I80" s="951" t="n">
        <v>0</v>
      </c>
      <c r="J80" s="951" t="n">
        <v>0</v>
      </c>
      <c r="K80" s="951" t="n">
        <v>0</v>
      </c>
      <c r="L80" s="951" t="n">
        <v>0</v>
      </c>
      <c r="M80" s="951" t="n">
        <v>0</v>
      </c>
      <c r="N80" s="953" t="n"/>
      <c r="O80" s="951" t="n">
        <v>0</v>
      </c>
      <c r="P80" s="951" t="n">
        <v>0</v>
      </c>
      <c r="Q80" s="951" t="n">
        <v>0</v>
      </c>
      <c r="R80" s="403" t="n">
        <v>0</v>
      </c>
      <c r="S80" s="413" t="n"/>
    </row>
    <row r="81">
      <c r="A81" s="400" t="inlineStr">
        <is>
          <t xml:space="preserve">  Payroll Taxes</t>
        </is>
      </c>
      <c r="B81" s="951" t="n">
        <v>0</v>
      </c>
      <c r="C81" s="951" t="n">
        <v>0</v>
      </c>
      <c r="D81" s="951" t="n">
        <v>0</v>
      </c>
      <c r="E81" s="951" t="n">
        <v>0</v>
      </c>
      <c r="F81" s="951" t="n">
        <v>0</v>
      </c>
      <c r="G81" s="951" t="n">
        <v>0</v>
      </c>
      <c r="H81" s="951" t="n">
        <v>0</v>
      </c>
      <c r="I81" s="951" t="n">
        <v>0</v>
      </c>
      <c r="J81" s="951" t="n">
        <v>0</v>
      </c>
      <c r="K81" s="951" t="n">
        <v>0</v>
      </c>
      <c r="L81" s="951" t="n">
        <v>0</v>
      </c>
      <c r="M81" s="951" t="n">
        <v>0</v>
      </c>
      <c r="N81" s="953" t="n"/>
      <c r="O81" s="951" t="n">
        <v>0</v>
      </c>
      <c r="P81" s="951" t="n">
        <v>0</v>
      </c>
      <c r="Q81" s="951" t="n">
        <v>0</v>
      </c>
      <c r="R81" s="403" t="n">
        <v>0</v>
      </c>
      <c r="S81" s="413" t="inlineStr">
        <is>
          <t>~7.65% of gross wages</t>
        </is>
      </c>
    </row>
    <row r="82">
      <c r="A82" s="400" t="inlineStr">
        <is>
          <t xml:space="preserve">  Employee Benefits</t>
        </is>
      </c>
      <c r="B82" s="951" t="n">
        <v>0</v>
      </c>
      <c r="C82" s="951" t="n">
        <v>0</v>
      </c>
      <c r="D82" s="951" t="n">
        <v>0</v>
      </c>
      <c r="E82" s="951" t="n">
        <v>0</v>
      </c>
      <c r="F82" s="951" t="n">
        <v>0</v>
      </c>
      <c r="G82" s="951" t="n">
        <v>0</v>
      </c>
      <c r="H82" s="951" t="n">
        <v>0</v>
      </c>
      <c r="I82" s="951" t="n">
        <v>0</v>
      </c>
      <c r="J82" s="951" t="n">
        <v>0</v>
      </c>
      <c r="K82" s="951" t="n">
        <v>0</v>
      </c>
      <c r="L82" s="951" t="n">
        <v>0</v>
      </c>
      <c r="M82" s="951" t="n">
        <v>0</v>
      </c>
      <c r="N82" s="953" t="n"/>
      <c r="O82" s="951" t="n">
        <v>0</v>
      </c>
      <c r="P82" s="951" t="n">
        <v>0</v>
      </c>
      <c r="Q82" s="951" t="n">
        <v>0</v>
      </c>
      <c r="R82" s="403" t="n">
        <v>0</v>
      </c>
      <c r="S82" s="413" t="n"/>
    </row>
    <row r="83">
      <c r="A83" s="400" t="inlineStr">
        <is>
          <t xml:space="preserve">  Workers' Comp Insurance</t>
        </is>
      </c>
      <c r="B83" s="951" t="n">
        <v>0</v>
      </c>
      <c r="C83" s="951" t="n">
        <v>0</v>
      </c>
      <c r="D83" s="951" t="n">
        <v>0</v>
      </c>
      <c r="E83" s="951" t="n">
        <v>0</v>
      </c>
      <c r="F83" s="951" t="n">
        <v>0</v>
      </c>
      <c r="G83" s="951" t="n">
        <v>0</v>
      </c>
      <c r="H83" s="951" t="n">
        <v>0</v>
      </c>
      <c r="I83" s="951" t="n">
        <v>0</v>
      </c>
      <c r="J83" s="951" t="n">
        <v>0</v>
      </c>
      <c r="K83" s="951" t="n">
        <v>0</v>
      </c>
      <c r="L83" s="951" t="n">
        <v>0</v>
      </c>
      <c r="M83" s="951" t="n">
        <v>0</v>
      </c>
      <c r="N83" s="953" t="n"/>
      <c r="O83" s="951" t="n">
        <v>0</v>
      </c>
      <c r="P83" s="951" t="n">
        <v>0</v>
      </c>
      <c r="Q83" s="951" t="n">
        <v>0</v>
      </c>
      <c r="R83" s="403" t="n">
        <v>0</v>
      </c>
      <c r="S83" s="413" t="n"/>
    </row>
    <row r="84">
      <c r="A84" s="400" t="inlineStr">
        <is>
          <t xml:space="preserve">  Employee 401(k)</t>
        </is>
      </c>
      <c r="B84" s="951" t="n">
        <v>0</v>
      </c>
      <c r="C84" s="951" t="n">
        <v>0</v>
      </c>
      <c r="D84" s="951" t="n">
        <v>0</v>
      </c>
      <c r="E84" s="951" t="n">
        <v>0</v>
      </c>
      <c r="F84" s="951" t="n">
        <v>0</v>
      </c>
      <c r="G84" s="951" t="n">
        <v>0</v>
      </c>
      <c r="H84" s="951" t="n">
        <v>0</v>
      </c>
      <c r="I84" s="951" t="n">
        <v>0</v>
      </c>
      <c r="J84" s="951" t="n">
        <v>0</v>
      </c>
      <c r="K84" s="951" t="n">
        <v>0</v>
      </c>
      <c r="L84" s="951" t="n">
        <v>0</v>
      </c>
      <c r="M84" s="951" t="n">
        <v>0</v>
      </c>
      <c r="N84" s="953" t="n"/>
      <c r="O84" s="951" t="n">
        <v>0</v>
      </c>
      <c r="P84" s="951" t="n">
        <v>0</v>
      </c>
      <c r="Q84" s="951" t="n">
        <v>0</v>
      </c>
      <c r="R84" s="403" t="n">
        <v>0</v>
      </c>
      <c r="S84" s="413" t="n"/>
    </row>
    <row r="85">
      <c r="A85" s="411" t="inlineStr">
        <is>
          <t>TOTAL LABOR &amp; BURDEN</t>
        </is>
      </c>
      <c r="B85" s="955" t="n">
        <v>0</v>
      </c>
      <c r="C85" s="955" t="n">
        <v>0</v>
      </c>
      <c r="D85" s="955" t="n">
        <v>0</v>
      </c>
      <c r="E85" s="955" t="n">
        <v>0</v>
      </c>
      <c r="F85" s="955" t="n">
        <v>0</v>
      </c>
      <c r="G85" s="955" t="n">
        <v>0</v>
      </c>
      <c r="H85" s="955" t="n">
        <v>0</v>
      </c>
      <c r="I85" s="955" t="n">
        <v>0</v>
      </c>
      <c r="J85" s="955" t="n">
        <v>0</v>
      </c>
      <c r="K85" s="955" t="n">
        <v>0</v>
      </c>
      <c r="L85" s="955" t="n">
        <v>0</v>
      </c>
      <c r="M85" s="955" t="n">
        <v>0</v>
      </c>
      <c r="N85" s="956">
        <f>SUM(N71:N84)</f>
        <v/>
      </c>
      <c r="O85" s="955" t="n">
        <v>0</v>
      </c>
      <c r="P85" s="951" t="n">
        <v>0</v>
      </c>
      <c r="Q85" s="951" t="n">
        <v>0</v>
      </c>
      <c r="R85" s="403" t="n">
        <v>0</v>
      </c>
      <c r="S85" s="413" t="inlineStr">
        <is>
          <t>&lt; 55% EGI ✓; &gt; 60% ✗</t>
        </is>
      </c>
    </row>
    <row r="86">
      <c r="A86" s="851" t="inlineStr">
        <is>
          <t>NON-LABOR OPERATING EXPENSES</t>
        </is>
      </c>
    </row>
    <row r="87">
      <c r="A87" s="400" t="inlineStr">
        <is>
          <t>Food Cost</t>
        </is>
      </c>
      <c r="B87" s="951" t="n">
        <v>0</v>
      </c>
      <c r="C87" s="951" t="n">
        <v>0</v>
      </c>
      <c r="D87" s="951" t="n">
        <v>0</v>
      </c>
      <c r="E87" s="951" t="n">
        <v>0</v>
      </c>
      <c r="F87" s="951" t="n">
        <v>0</v>
      </c>
      <c r="G87" s="951" t="n">
        <v>0</v>
      </c>
      <c r="H87" s="951" t="n">
        <v>0</v>
      </c>
      <c r="I87" s="951" t="n">
        <v>0</v>
      </c>
      <c r="J87" s="951" t="n">
        <v>0</v>
      </c>
      <c r="K87" s="951" t="n">
        <v>0</v>
      </c>
      <c r="L87" s="951" t="n">
        <v>0</v>
      </c>
      <c r="M87" s="951" t="n">
        <v>0</v>
      </c>
      <c r="N87" s="951" t="n"/>
      <c r="O87" s="951" t="n">
        <v>0</v>
      </c>
      <c r="P87" s="951" t="n">
        <v>0</v>
      </c>
      <c r="Q87" s="951" t="n">
        <v>0</v>
      </c>
      <c r="R87" s="403" t="n">
        <v>0</v>
      </c>
      <c r="S87" s="413" t="inlineStr">
        <is>
          <t>&lt; $200/bed/mo ✓; &gt; $250 ✗</t>
        </is>
      </c>
    </row>
    <row r="88">
      <c r="A88" s="400" t="inlineStr">
        <is>
          <t xml:space="preserve">  Dining &amp; Kitchen Supplies</t>
        </is>
      </c>
      <c r="B88" s="951" t="n">
        <v>0</v>
      </c>
      <c r="C88" s="951" t="n">
        <v>0</v>
      </c>
      <c r="D88" s="951" t="n">
        <v>0</v>
      </c>
      <c r="E88" s="951" t="n">
        <v>0</v>
      </c>
      <c r="F88" s="951" t="n">
        <v>0</v>
      </c>
      <c r="G88" s="951" t="n">
        <v>0</v>
      </c>
      <c r="H88" s="951" t="n">
        <v>0</v>
      </c>
      <c r="I88" s="951" t="n">
        <v>0</v>
      </c>
      <c r="J88" s="951" t="n">
        <v>0</v>
      </c>
      <c r="K88" s="951" t="n">
        <v>0</v>
      </c>
      <c r="L88" s="951" t="n">
        <v>0</v>
      </c>
      <c r="M88" s="951" t="n">
        <v>0</v>
      </c>
      <c r="N88" s="951" t="n"/>
      <c r="O88" s="951" t="n">
        <v>0</v>
      </c>
      <c r="P88" s="951" t="n">
        <v>0</v>
      </c>
      <c r="Q88" s="951" t="n">
        <v>0</v>
      </c>
      <c r="R88" s="403" t="n">
        <v>0</v>
      </c>
      <c r="S88" s="413" t="n"/>
    </row>
    <row r="89">
      <c r="A89" s="400" t="inlineStr">
        <is>
          <t xml:space="preserve">  Nursing &amp; Care Supplies</t>
        </is>
      </c>
      <c r="B89" s="951" t="n">
        <v>0</v>
      </c>
      <c r="C89" s="951" t="n">
        <v>0</v>
      </c>
      <c r="D89" s="951" t="n">
        <v>0</v>
      </c>
      <c r="E89" s="951" t="n">
        <v>0</v>
      </c>
      <c r="F89" s="951" t="n">
        <v>0</v>
      </c>
      <c r="G89" s="951" t="n">
        <v>0</v>
      </c>
      <c r="H89" s="951" t="n">
        <v>0</v>
      </c>
      <c r="I89" s="951" t="n">
        <v>0</v>
      </c>
      <c r="J89" s="951" t="n">
        <v>0</v>
      </c>
      <c r="K89" s="951" t="n">
        <v>0</v>
      </c>
      <c r="L89" s="951" t="n">
        <v>0</v>
      </c>
      <c r="M89" s="951" t="n">
        <v>0</v>
      </c>
      <c r="N89" s="951" t="n"/>
      <c r="O89" s="951" t="n">
        <v>0</v>
      </c>
      <c r="P89" s="951" t="n">
        <v>0</v>
      </c>
      <c r="Q89" s="951" t="n">
        <v>0</v>
      </c>
      <c r="R89" s="403" t="n">
        <v>0</v>
      </c>
      <c r="S89" s="413" t="n"/>
    </row>
    <row r="90">
      <c r="A90" s="400" t="inlineStr">
        <is>
          <t xml:space="preserve">  Recreation Supplies</t>
        </is>
      </c>
      <c r="B90" s="951" t="n">
        <v>0</v>
      </c>
      <c r="C90" s="951" t="n">
        <v>0</v>
      </c>
      <c r="D90" s="951" t="n">
        <v>0</v>
      </c>
      <c r="E90" s="951" t="n">
        <v>0</v>
      </c>
      <c r="F90" s="951" t="n">
        <v>0</v>
      </c>
      <c r="G90" s="951" t="n">
        <v>0</v>
      </c>
      <c r="H90" s="951" t="n">
        <v>0</v>
      </c>
      <c r="I90" s="951" t="n">
        <v>0</v>
      </c>
      <c r="J90" s="951" t="n">
        <v>0</v>
      </c>
      <c r="K90" s="951" t="n">
        <v>0</v>
      </c>
      <c r="L90" s="951" t="n">
        <v>0</v>
      </c>
      <c r="M90" s="951" t="n">
        <v>0</v>
      </c>
      <c r="N90" s="951" t="n"/>
      <c r="O90" s="951" t="n">
        <v>0</v>
      </c>
      <c r="P90" s="951" t="n">
        <v>0</v>
      </c>
      <c r="Q90" s="951" t="n">
        <v>0</v>
      </c>
      <c r="R90" s="403" t="n">
        <v>0</v>
      </c>
      <c r="S90" s="413" t="n"/>
    </row>
    <row r="91">
      <c r="A91" s="400" t="inlineStr">
        <is>
          <t>R&amp;M — Fixed</t>
        </is>
      </c>
      <c r="B91" s="951" t="n">
        <v>0</v>
      </c>
      <c r="C91" s="951" t="n">
        <v>0</v>
      </c>
      <c r="D91" s="951" t="n">
        <v>0</v>
      </c>
      <c r="E91" s="951" t="n">
        <v>0</v>
      </c>
      <c r="F91" s="951" t="n">
        <v>0</v>
      </c>
      <c r="G91" s="951" t="n">
        <v>0</v>
      </c>
      <c r="H91" s="951" t="n">
        <v>0</v>
      </c>
      <c r="I91" s="951" t="n">
        <v>0</v>
      </c>
      <c r="J91" s="951" t="n">
        <v>0</v>
      </c>
      <c r="K91" s="951" t="n">
        <v>0</v>
      </c>
      <c r="L91" s="951" t="n">
        <v>0</v>
      </c>
      <c r="M91" s="951" t="n">
        <v>0</v>
      </c>
      <c r="N91" s="951" t="n"/>
      <c r="O91" s="951" t="n">
        <v>0</v>
      </c>
      <c r="P91" s="951" t="n">
        <v>0</v>
      </c>
      <c r="Q91" s="951" t="n">
        <v>0</v>
      </c>
      <c r="R91" s="403" t="n">
        <v>0</v>
      </c>
      <c r="S91" s="413" t="n"/>
    </row>
    <row r="92">
      <c r="A92" s="400" t="inlineStr">
        <is>
          <t xml:space="preserve">  R&amp;M — Variable</t>
        </is>
      </c>
      <c r="B92" s="951" t="n">
        <v>0</v>
      </c>
      <c r="C92" s="951" t="n">
        <v>0</v>
      </c>
      <c r="D92" s="951" t="n">
        <v>0</v>
      </c>
      <c r="E92" s="951" t="n">
        <v>0</v>
      </c>
      <c r="F92" s="951" t="n">
        <v>0</v>
      </c>
      <c r="G92" s="951" t="n">
        <v>0</v>
      </c>
      <c r="H92" s="951" t="n">
        <v>0</v>
      </c>
      <c r="I92" s="951" t="n">
        <v>0</v>
      </c>
      <c r="J92" s="951" t="n">
        <v>0</v>
      </c>
      <c r="K92" s="951" t="n">
        <v>0</v>
      </c>
      <c r="L92" s="951" t="n">
        <v>0</v>
      </c>
      <c r="M92" s="951" t="n">
        <v>0</v>
      </c>
      <c r="N92" s="951" t="n"/>
      <c r="O92" s="951" t="n">
        <v>0</v>
      </c>
      <c r="P92" s="951" t="n">
        <v>0</v>
      </c>
      <c r="Q92" s="951" t="n">
        <v>0</v>
      </c>
      <c r="R92" s="403" t="n">
        <v>0</v>
      </c>
      <c r="S92" s="413" t="n"/>
    </row>
    <row r="93">
      <c r="A93" s="400" t="inlineStr">
        <is>
          <t xml:space="preserve">  HK &amp; Laundry Supplies</t>
        </is>
      </c>
      <c r="B93" s="951" t="n">
        <v>0</v>
      </c>
      <c r="C93" s="951" t="n">
        <v>0</v>
      </c>
      <c r="D93" s="951" t="n">
        <v>0</v>
      </c>
      <c r="E93" s="951" t="n">
        <v>0</v>
      </c>
      <c r="F93" s="951" t="n">
        <v>0</v>
      </c>
      <c r="G93" s="951" t="n">
        <v>0</v>
      </c>
      <c r="H93" s="951" t="n">
        <v>0</v>
      </c>
      <c r="I93" s="951" t="n">
        <v>0</v>
      </c>
      <c r="J93" s="951" t="n">
        <v>0</v>
      </c>
      <c r="K93" s="951" t="n">
        <v>0</v>
      </c>
      <c r="L93" s="951" t="n">
        <v>0</v>
      </c>
      <c r="M93" s="951" t="n">
        <v>0</v>
      </c>
      <c r="N93" s="951" t="n"/>
      <c r="O93" s="951" t="n">
        <v>0</v>
      </c>
      <c r="P93" s="951" t="n">
        <v>0</v>
      </c>
      <c r="Q93" s="951" t="n">
        <v>0</v>
      </c>
      <c r="R93" s="403" t="n">
        <v>0</v>
      </c>
      <c r="S93" s="413" t="n"/>
    </row>
    <row r="94">
      <c r="A94" s="400" t="inlineStr">
        <is>
          <t>Sales, Adv. &amp; Marketing</t>
        </is>
      </c>
      <c r="B94" s="951" t="n">
        <v>0</v>
      </c>
      <c r="C94" s="951" t="n">
        <v>0</v>
      </c>
      <c r="D94" s="951" t="n">
        <v>0</v>
      </c>
      <c r="E94" s="951" t="n">
        <v>0</v>
      </c>
      <c r="F94" s="951" t="n">
        <v>0</v>
      </c>
      <c r="G94" s="951" t="n">
        <v>0</v>
      </c>
      <c r="H94" s="951" t="n">
        <v>0</v>
      </c>
      <c r="I94" s="951" t="n">
        <v>0</v>
      </c>
      <c r="J94" s="951" t="n">
        <v>0</v>
      </c>
      <c r="K94" s="951" t="n">
        <v>0</v>
      </c>
      <c r="L94" s="951" t="n">
        <v>0</v>
      </c>
      <c r="M94" s="951" t="n">
        <v>0</v>
      </c>
      <c r="N94" s="951" t="n"/>
      <c r="O94" s="951" t="n">
        <v>0</v>
      </c>
      <c r="P94" s="951" t="n">
        <v>0</v>
      </c>
      <c r="Q94" s="951" t="n">
        <v>0</v>
      </c>
      <c r="R94" s="403" t="n">
        <v>0</v>
      </c>
      <c r="S94" s="413" t="n"/>
    </row>
    <row r="95">
      <c r="A95" s="400" t="inlineStr">
        <is>
          <t xml:space="preserve">  Referral Fees</t>
        </is>
      </c>
      <c r="B95" s="951" t="n">
        <v>0</v>
      </c>
      <c r="C95" s="951" t="n">
        <v>0</v>
      </c>
      <c r="D95" s="951" t="n">
        <v>0</v>
      </c>
      <c r="E95" s="951" t="n">
        <v>0</v>
      </c>
      <c r="F95" s="951" t="n">
        <v>0</v>
      </c>
      <c r="G95" s="951" t="n">
        <v>0</v>
      </c>
      <c r="H95" s="951" t="n">
        <v>0</v>
      </c>
      <c r="I95" s="951" t="n">
        <v>0</v>
      </c>
      <c r="J95" s="951" t="n">
        <v>0</v>
      </c>
      <c r="K95" s="951" t="n">
        <v>0</v>
      </c>
      <c r="L95" s="951" t="n">
        <v>0</v>
      </c>
      <c r="M95" s="951" t="n">
        <v>0</v>
      </c>
      <c r="N95" s="951" t="n"/>
      <c r="O95" s="951" t="n">
        <v>0</v>
      </c>
      <c r="P95" s="951" t="n">
        <v>0</v>
      </c>
      <c r="Q95" s="951" t="n">
        <v>0</v>
      </c>
      <c r="R95" s="403" t="n">
        <v>0</v>
      </c>
      <c r="S95" s="413" t="inlineStr">
        <is>
          <t>&lt; 3% EGI ✓; &gt; 5% ✗</t>
        </is>
      </c>
    </row>
    <row r="96">
      <c r="A96" s="400" t="inlineStr">
        <is>
          <t>Utilities</t>
        </is>
      </c>
      <c r="B96" s="951" t="n">
        <v>0</v>
      </c>
      <c r="C96" s="951" t="n">
        <v>0</v>
      </c>
      <c r="D96" s="951" t="n">
        <v>0</v>
      </c>
      <c r="E96" s="951" t="n">
        <v>0</v>
      </c>
      <c r="F96" s="951" t="n">
        <v>0</v>
      </c>
      <c r="G96" s="951" t="n">
        <v>0</v>
      </c>
      <c r="H96" s="951" t="n">
        <v>0</v>
      </c>
      <c r="I96" s="951" t="n">
        <v>0</v>
      </c>
      <c r="J96" s="951" t="n">
        <v>0</v>
      </c>
      <c r="K96" s="951" t="n">
        <v>0</v>
      </c>
      <c r="L96" s="951" t="n">
        <v>0</v>
      </c>
      <c r="M96" s="951" t="n">
        <v>0</v>
      </c>
      <c r="N96" s="951" t="n"/>
      <c r="O96" s="951" t="n">
        <v>0</v>
      </c>
      <c r="P96" s="951" t="n">
        <v>0</v>
      </c>
      <c r="Q96" s="951" t="n">
        <v>0</v>
      </c>
      <c r="R96" s="403" t="n">
        <v>0</v>
      </c>
      <c r="S96" s="413" t="n"/>
    </row>
    <row r="97">
      <c r="A97" s="400" t="inlineStr">
        <is>
          <t xml:space="preserve">  Telephone / IT</t>
        </is>
      </c>
      <c r="B97" s="951" t="n">
        <v>0</v>
      </c>
      <c r="C97" s="951" t="n">
        <v>0</v>
      </c>
      <c r="D97" s="951" t="n">
        <v>0</v>
      </c>
      <c r="E97" s="951" t="n">
        <v>0</v>
      </c>
      <c r="F97" s="951" t="n">
        <v>0</v>
      </c>
      <c r="G97" s="951" t="n">
        <v>0</v>
      </c>
      <c r="H97" s="951" t="n">
        <v>0</v>
      </c>
      <c r="I97" s="951" t="n">
        <v>0</v>
      </c>
      <c r="J97" s="951" t="n">
        <v>0</v>
      </c>
      <c r="K97" s="951" t="n">
        <v>0</v>
      </c>
      <c r="L97" s="951" t="n">
        <v>0</v>
      </c>
      <c r="M97" s="951" t="n">
        <v>0</v>
      </c>
      <c r="N97" s="951" t="n"/>
      <c r="O97" s="951" t="n">
        <v>0</v>
      </c>
      <c r="P97" s="951" t="n">
        <v>0</v>
      </c>
      <c r="Q97" s="951" t="n">
        <v>0</v>
      </c>
      <c r="R97" s="403" t="n">
        <v>0</v>
      </c>
      <c r="S97" s="413" t="n"/>
    </row>
    <row r="98">
      <c r="A98" s="400" t="inlineStr">
        <is>
          <t>P&amp;C Insurance</t>
        </is>
      </c>
      <c r="B98" s="951" t="n">
        <v>0</v>
      </c>
      <c r="C98" s="951" t="n">
        <v>0</v>
      </c>
      <c r="D98" s="951" t="n">
        <v>0</v>
      </c>
      <c r="E98" s="951" t="n">
        <v>0</v>
      </c>
      <c r="F98" s="951" t="n">
        <v>0</v>
      </c>
      <c r="G98" s="951" t="n">
        <v>0</v>
      </c>
      <c r="H98" s="951" t="n">
        <v>0</v>
      </c>
      <c r="I98" s="951" t="n">
        <v>0</v>
      </c>
      <c r="J98" s="951" t="n">
        <v>0</v>
      </c>
      <c r="K98" s="951" t="n">
        <v>0</v>
      </c>
      <c r="L98" s="951" t="n">
        <v>0</v>
      </c>
      <c r="M98" s="951" t="n">
        <v>0</v>
      </c>
      <c r="N98" s="951" t="n"/>
      <c r="O98" s="951" t="n">
        <v>0</v>
      </c>
      <c r="P98" s="951" t="n">
        <v>0</v>
      </c>
      <c r="Q98" s="951" t="n">
        <v>0</v>
      </c>
      <c r="R98" s="403" t="n">
        <v>0</v>
      </c>
      <c r="S98" s="413" t="n"/>
    </row>
    <row r="99">
      <c r="A99" s="400" t="inlineStr">
        <is>
          <t xml:space="preserve">  Auto Insurance</t>
        </is>
      </c>
      <c r="B99" s="951" t="n">
        <v>0</v>
      </c>
      <c r="C99" s="951" t="n">
        <v>0</v>
      </c>
      <c r="D99" s="951" t="n">
        <v>0</v>
      </c>
      <c r="E99" s="951" t="n">
        <v>0</v>
      </c>
      <c r="F99" s="951" t="n">
        <v>0</v>
      </c>
      <c r="G99" s="951" t="n">
        <v>0</v>
      </c>
      <c r="H99" s="951" t="n">
        <v>0</v>
      </c>
      <c r="I99" s="951" t="n">
        <v>0</v>
      </c>
      <c r="J99" s="951" t="n">
        <v>0</v>
      </c>
      <c r="K99" s="951" t="n">
        <v>0</v>
      </c>
      <c r="L99" s="951" t="n">
        <v>0</v>
      </c>
      <c r="M99" s="951" t="n">
        <v>0</v>
      </c>
      <c r="N99" s="951" t="n"/>
      <c r="O99" s="951" t="n">
        <v>0</v>
      </c>
      <c r="P99" s="951" t="n">
        <v>0</v>
      </c>
      <c r="Q99" s="951" t="n">
        <v>0</v>
      </c>
      <c r="R99" s="403" t="n">
        <v>0</v>
      </c>
      <c r="S99" s="413" t="n"/>
    </row>
    <row r="100">
      <c r="A100" s="400" t="inlineStr">
        <is>
          <t xml:space="preserve">  Fire / Security Monitoring</t>
        </is>
      </c>
      <c r="B100" s="951" t="n">
        <v>0</v>
      </c>
      <c r="C100" s="951" t="n">
        <v>0</v>
      </c>
      <c r="D100" s="951" t="n">
        <v>0</v>
      </c>
      <c r="E100" s="951" t="n">
        <v>0</v>
      </c>
      <c r="F100" s="951" t="n">
        <v>0</v>
      </c>
      <c r="G100" s="951" t="n">
        <v>0</v>
      </c>
      <c r="H100" s="951" t="n">
        <v>0</v>
      </c>
      <c r="I100" s="951" t="n">
        <v>0</v>
      </c>
      <c r="J100" s="951" t="n">
        <v>0</v>
      </c>
      <c r="K100" s="951" t="n">
        <v>0</v>
      </c>
      <c r="L100" s="951" t="n">
        <v>0</v>
      </c>
      <c r="M100" s="951" t="n">
        <v>0</v>
      </c>
      <c r="N100" s="951" t="n"/>
      <c r="O100" s="951" t="n">
        <v>0</v>
      </c>
      <c r="P100" s="951" t="n">
        <v>0</v>
      </c>
      <c r="Q100" s="951" t="n">
        <v>0</v>
      </c>
      <c r="R100" s="403" t="n">
        <v>0</v>
      </c>
      <c r="S100" s="413" t="n"/>
    </row>
    <row r="101">
      <c r="A101" s="400" t="inlineStr">
        <is>
          <t xml:space="preserve">  Pest Elimination</t>
        </is>
      </c>
      <c r="B101" s="951" t="n">
        <v>0</v>
      </c>
      <c r="C101" s="951" t="n">
        <v>0</v>
      </c>
      <c r="D101" s="951" t="n">
        <v>0</v>
      </c>
      <c r="E101" s="951" t="n">
        <v>0</v>
      </c>
      <c r="F101" s="951" t="n">
        <v>0</v>
      </c>
      <c r="G101" s="951" t="n">
        <v>0</v>
      </c>
      <c r="H101" s="951" t="n">
        <v>0</v>
      </c>
      <c r="I101" s="951" t="n">
        <v>0</v>
      </c>
      <c r="J101" s="951" t="n">
        <v>0</v>
      </c>
      <c r="K101" s="951" t="n">
        <v>0</v>
      </c>
      <c r="L101" s="951" t="n">
        <v>0</v>
      </c>
      <c r="M101" s="951" t="n">
        <v>0</v>
      </c>
      <c r="N101" s="951" t="n"/>
      <c r="O101" s="951" t="n">
        <v>0</v>
      </c>
      <c r="P101" s="951" t="n">
        <v>0</v>
      </c>
      <c r="Q101" s="951" t="n">
        <v>0</v>
      </c>
      <c r="R101" s="403" t="n">
        <v>0</v>
      </c>
      <c r="S101" s="413" t="n"/>
    </row>
    <row r="102">
      <c r="A102" s="400" t="inlineStr">
        <is>
          <t>Real Estate Taxes</t>
        </is>
      </c>
      <c r="B102" s="951" t="n">
        <v>0</v>
      </c>
      <c r="C102" s="951" t="n">
        <v>0</v>
      </c>
      <c r="D102" s="951" t="n">
        <v>0</v>
      </c>
      <c r="E102" s="951" t="n">
        <v>0</v>
      </c>
      <c r="F102" s="951" t="n">
        <v>0</v>
      </c>
      <c r="G102" s="951" t="n">
        <v>0</v>
      </c>
      <c r="H102" s="951" t="n">
        <v>0</v>
      </c>
      <c r="I102" s="951" t="n">
        <v>0</v>
      </c>
      <c r="J102" s="951" t="n">
        <v>0</v>
      </c>
      <c r="K102" s="951" t="n">
        <v>0</v>
      </c>
      <c r="L102" s="951" t="n">
        <v>0</v>
      </c>
      <c r="M102" s="951" t="n">
        <v>0</v>
      </c>
      <c r="N102" s="951" t="n"/>
      <c r="O102" s="951" t="n">
        <v>0</v>
      </c>
      <c r="P102" s="951" t="n">
        <v>0</v>
      </c>
      <c r="Q102" s="951" t="n">
        <v>0</v>
      </c>
      <c r="R102" s="403" t="n">
        <v>0</v>
      </c>
      <c r="S102" s="413" t="n"/>
    </row>
    <row r="103">
      <c r="A103" s="400" t="inlineStr">
        <is>
          <t xml:space="preserve">  Personal Property Taxes</t>
        </is>
      </c>
      <c r="B103" s="951" t="n">
        <v>0</v>
      </c>
      <c r="C103" s="951" t="n">
        <v>0</v>
      </c>
      <c r="D103" s="951" t="n">
        <v>0</v>
      </c>
      <c r="E103" s="951" t="n">
        <v>0</v>
      </c>
      <c r="F103" s="951" t="n">
        <v>0</v>
      </c>
      <c r="G103" s="951" t="n">
        <v>0</v>
      </c>
      <c r="H103" s="951" t="n">
        <v>0</v>
      </c>
      <c r="I103" s="951" t="n">
        <v>0</v>
      </c>
      <c r="J103" s="951" t="n">
        <v>0</v>
      </c>
      <c r="K103" s="951" t="n">
        <v>0</v>
      </c>
      <c r="L103" s="951" t="n">
        <v>0</v>
      </c>
      <c r="M103" s="951" t="n">
        <v>0</v>
      </c>
      <c r="N103" s="951" t="n"/>
      <c r="O103" s="951" t="n">
        <v>0</v>
      </c>
      <c r="P103" s="951" t="n">
        <v>0</v>
      </c>
      <c r="Q103" s="951" t="n">
        <v>0</v>
      </c>
      <c r="R103" s="403" t="n">
        <v>0</v>
      </c>
      <c r="S103" s="413" t="n"/>
    </row>
    <row r="104">
      <c r="A104" s="400" t="inlineStr">
        <is>
          <t xml:space="preserve">  Legal Expenses</t>
        </is>
      </c>
      <c r="B104" s="951" t="n">
        <v>0</v>
      </c>
      <c r="C104" s="951" t="n">
        <v>0</v>
      </c>
      <c r="D104" s="951" t="n">
        <v>0</v>
      </c>
      <c r="E104" s="951" t="n">
        <v>0</v>
      </c>
      <c r="F104" s="951" t="n">
        <v>0</v>
      </c>
      <c r="G104" s="951" t="n">
        <v>0</v>
      </c>
      <c r="H104" s="951" t="n">
        <v>0</v>
      </c>
      <c r="I104" s="951" t="n">
        <v>0</v>
      </c>
      <c r="J104" s="951" t="n">
        <v>0</v>
      </c>
      <c r="K104" s="951" t="n">
        <v>0</v>
      </c>
      <c r="L104" s="951" t="n">
        <v>0</v>
      </c>
      <c r="M104" s="951" t="n">
        <v>0</v>
      </c>
      <c r="N104" s="951" t="n"/>
      <c r="O104" s="951" t="n">
        <v>0</v>
      </c>
      <c r="P104" s="951" t="n">
        <v>0</v>
      </c>
      <c r="Q104" s="951" t="n">
        <v>0</v>
      </c>
      <c r="R104" s="403" t="n">
        <v>0</v>
      </c>
      <c r="S104" s="413" t="n"/>
    </row>
    <row r="105">
      <c r="A105" s="400" t="inlineStr">
        <is>
          <t xml:space="preserve">  Professional Services</t>
        </is>
      </c>
      <c r="B105" s="951" t="n">
        <v>0</v>
      </c>
      <c r="C105" s="951" t="n">
        <v>0</v>
      </c>
      <c r="D105" s="951" t="n">
        <v>0</v>
      </c>
      <c r="E105" s="951" t="n">
        <v>0</v>
      </c>
      <c r="F105" s="951" t="n">
        <v>0</v>
      </c>
      <c r="G105" s="951" t="n">
        <v>0</v>
      </c>
      <c r="H105" s="951" t="n">
        <v>0</v>
      </c>
      <c r="I105" s="951" t="n">
        <v>0</v>
      </c>
      <c r="J105" s="951" t="n">
        <v>0</v>
      </c>
      <c r="K105" s="951" t="n">
        <v>0</v>
      </c>
      <c r="L105" s="951" t="n">
        <v>0</v>
      </c>
      <c r="M105" s="951" t="n">
        <v>0</v>
      </c>
      <c r="N105" s="951" t="n"/>
      <c r="O105" s="951" t="n">
        <v>0</v>
      </c>
      <c r="P105" s="951" t="n">
        <v>0</v>
      </c>
      <c r="Q105" s="951" t="n">
        <v>0</v>
      </c>
      <c r="R105" s="403" t="n">
        <v>0</v>
      </c>
      <c r="S105" s="413" t="n"/>
    </row>
    <row r="106">
      <c r="A106" s="400" t="inlineStr">
        <is>
          <t>Bad Debt Expense</t>
        </is>
      </c>
      <c r="B106" s="951" t="n">
        <v>0</v>
      </c>
      <c r="C106" s="951" t="n">
        <v>0</v>
      </c>
      <c r="D106" s="951" t="n">
        <v>0</v>
      </c>
      <c r="E106" s="951" t="n">
        <v>0</v>
      </c>
      <c r="F106" s="951" t="n">
        <v>0</v>
      </c>
      <c r="G106" s="951" t="n">
        <v>0</v>
      </c>
      <c r="H106" s="951" t="n">
        <v>0</v>
      </c>
      <c r="I106" s="951" t="n">
        <v>0</v>
      </c>
      <c r="J106" s="951" t="n">
        <v>0</v>
      </c>
      <c r="K106" s="951" t="n">
        <v>0</v>
      </c>
      <c r="L106" s="951" t="n">
        <v>0</v>
      </c>
      <c r="M106" s="951" t="n">
        <v>0</v>
      </c>
      <c r="N106" s="951" t="n"/>
      <c r="O106" s="951" t="n">
        <v>0</v>
      </c>
      <c r="P106" s="951" t="n">
        <v>0</v>
      </c>
      <c r="Q106" s="951" t="n">
        <v>0</v>
      </c>
      <c r="R106" s="403" t="n">
        <v>0</v>
      </c>
      <c r="S106" s="413" t="inlineStr">
        <is>
          <t>&lt; 1% EGI ✓; &gt; 3% ✗</t>
        </is>
      </c>
    </row>
    <row r="107">
      <c r="A107" s="400" t="inlineStr">
        <is>
          <t xml:space="preserve">  Permits, Licenses &amp; Dues</t>
        </is>
      </c>
      <c r="B107" s="951" t="n">
        <v>0</v>
      </c>
      <c r="C107" s="951" t="n">
        <v>0</v>
      </c>
      <c r="D107" s="951" t="n">
        <v>0</v>
      </c>
      <c r="E107" s="951" t="n">
        <v>0</v>
      </c>
      <c r="F107" s="951" t="n">
        <v>0</v>
      </c>
      <c r="G107" s="951" t="n">
        <v>0</v>
      </c>
      <c r="H107" s="951" t="n">
        <v>0</v>
      </c>
      <c r="I107" s="951" t="n">
        <v>0</v>
      </c>
      <c r="J107" s="951" t="n">
        <v>0</v>
      </c>
      <c r="K107" s="951" t="n">
        <v>0</v>
      </c>
      <c r="L107" s="951" t="n">
        <v>0</v>
      </c>
      <c r="M107" s="951" t="n">
        <v>0</v>
      </c>
      <c r="N107" s="951" t="n"/>
      <c r="O107" s="951" t="n">
        <v>0</v>
      </c>
      <c r="P107" s="951" t="n">
        <v>0</v>
      </c>
      <c r="Q107" s="951" t="n">
        <v>0</v>
      </c>
      <c r="R107" s="403" t="n">
        <v>0</v>
      </c>
      <c r="S107" s="413" t="n"/>
    </row>
    <row r="108">
      <c r="A108" s="400" t="inlineStr">
        <is>
          <t>Office, Admin &amp; G&amp;A</t>
        </is>
      </c>
      <c r="B108" s="951" t="n">
        <v>0</v>
      </c>
      <c r="C108" s="951" t="n">
        <v>0</v>
      </c>
      <c r="D108" s="951" t="n">
        <v>0</v>
      </c>
      <c r="E108" s="951" t="n">
        <v>0</v>
      </c>
      <c r="F108" s="951" t="n">
        <v>0</v>
      </c>
      <c r="G108" s="951" t="n">
        <v>0</v>
      </c>
      <c r="H108" s="951" t="n">
        <v>0</v>
      </c>
      <c r="I108" s="951" t="n">
        <v>0</v>
      </c>
      <c r="J108" s="951" t="n">
        <v>0</v>
      </c>
      <c r="K108" s="951" t="n">
        <v>0</v>
      </c>
      <c r="L108" s="951" t="n">
        <v>0</v>
      </c>
      <c r="M108" s="951" t="n">
        <v>0</v>
      </c>
      <c r="N108" s="951" t="n"/>
      <c r="O108" s="951" t="n">
        <v>0</v>
      </c>
      <c r="P108" s="951" t="n">
        <v>0</v>
      </c>
      <c r="Q108" s="951" t="n">
        <v>0</v>
      </c>
      <c r="R108" s="403" t="n">
        <v>0</v>
      </c>
      <c r="S108" s="413" t="n"/>
    </row>
    <row r="109">
      <c r="A109" s="400" t="inlineStr">
        <is>
          <t xml:space="preserve">  Other / Miscellaneous</t>
        </is>
      </c>
      <c r="B109" s="951" t="n">
        <v>0</v>
      </c>
      <c r="C109" s="951" t="n">
        <v>0</v>
      </c>
      <c r="D109" s="951" t="n">
        <v>0</v>
      </c>
      <c r="E109" s="951" t="n">
        <v>0</v>
      </c>
      <c r="F109" s="951" t="n">
        <v>0</v>
      </c>
      <c r="G109" s="951" t="n">
        <v>0</v>
      </c>
      <c r="H109" s="951" t="n">
        <v>0</v>
      </c>
      <c r="I109" s="951" t="n">
        <v>0</v>
      </c>
      <c r="J109" s="951" t="n">
        <v>0</v>
      </c>
      <c r="K109" s="951" t="n">
        <v>0</v>
      </c>
      <c r="L109" s="951" t="n">
        <v>0</v>
      </c>
      <c r="M109" s="951" t="n">
        <v>0</v>
      </c>
      <c r="N109" s="951" t="n"/>
      <c r="O109" s="951" t="n">
        <v>0</v>
      </c>
      <c r="P109" s="951" t="n">
        <v>0</v>
      </c>
      <c r="Q109" s="951" t="n">
        <v>0</v>
      </c>
      <c r="R109" s="403" t="n">
        <v>0</v>
      </c>
      <c r="S109" s="413" t="n"/>
    </row>
    <row r="110">
      <c r="A110" s="400" t="inlineStr">
        <is>
          <t xml:space="preserve">  Lease / Ground Lease</t>
        </is>
      </c>
      <c r="B110" s="951" t="n">
        <v>0</v>
      </c>
      <c r="C110" s="951" t="n">
        <v>0</v>
      </c>
      <c r="D110" s="951" t="n">
        <v>0</v>
      </c>
      <c r="E110" s="951" t="n">
        <v>0</v>
      </c>
      <c r="F110" s="951" t="n">
        <v>0</v>
      </c>
      <c r="G110" s="951" t="n">
        <v>0</v>
      </c>
      <c r="H110" s="951" t="n">
        <v>0</v>
      </c>
      <c r="I110" s="951" t="n">
        <v>0</v>
      </c>
      <c r="J110" s="951" t="n">
        <v>0</v>
      </c>
      <c r="K110" s="951" t="n">
        <v>0</v>
      </c>
      <c r="L110" s="951" t="n">
        <v>0</v>
      </c>
      <c r="M110" s="951" t="n">
        <v>0</v>
      </c>
      <c r="N110" s="951" t="n"/>
      <c r="O110" s="951" t="n">
        <v>0</v>
      </c>
      <c r="P110" s="951" t="n">
        <v>0</v>
      </c>
      <c r="Q110" s="951" t="n">
        <v>0</v>
      </c>
      <c r="R110" s="403" t="n">
        <v>0</v>
      </c>
      <c r="S110" s="413" t="n"/>
    </row>
    <row r="111">
      <c r="A111" s="411" t="inlineStr">
        <is>
          <t>TOTAL NON-LABOR</t>
        </is>
      </c>
      <c r="B111" s="955" t="n">
        <v>0</v>
      </c>
      <c r="C111" s="955" t="n">
        <v>0</v>
      </c>
      <c r="D111" s="955" t="n">
        <v>0</v>
      </c>
      <c r="E111" s="955" t="n">
        <v>0</v>
      </c>
      <c r="F111" s="955" t="n">
        <v>0</v>
      </c>
      <c r="G111" s="955" t="n">
        <v>0</v>
      </c>
      <c r="H111" s="955" t="n">
        <v>0</v>
      </c>
      <c r="I111" s="955" t="n">
        <v>0</v>
      </c>
      <c r="J111" s="955" t="n">
        <v>0</v>
      </c>
      <c r="K111" s="955" t="n">
        <v>0</v>
      </c>
      <c r="L111" s="955" t="n">
        <v>0</v>
      </c>
      <c r="M111" s="955" t="n">
        <v>0</v>
      </c>
      <c r="N111" s="956">
        <f>SUM(N87:N110)</f>
        <v/>
      </c>
      <c r="O111" s="955" t="n">
        <v>0</v>
      </c>
      <c r="P111" s="951" t="n">
        <v>0</v>
      </c>
      <c r="Q111" s="951" t="n">
        <v>0</v>
      </c>
      <c r="R111" s="403" t="n">
        <v>0</v>
      </c>
      <c r="S111" s="413" t="n"/>
    </row>
    <row r="112">
      <c r="A112" s="851" t="inlineStr">
        <is>
          <t>MANAGEMENT &amp; NOI</t>
        </is>
      </c>
    </row>
    <row r="113">
      <c r="A113" s="400" t="inlineStr">
        <is>
          <t>Management Fee</t>
        </is>
      </c>
      <c r="B113" s="951" t="n">
        <v>0</v>
      </c>
      <c r="C113" s="951" t="n">
        <v>0</v>
      </c>
      <c r="D113" s="951" t="n">
        <v>0</v>
      </c>
      <c r="E113" s="951" t="n">
        <v>0</v>
      </c>
      <c r="F113" s="951" t="n">
        <v>0</v>
      </c>
      <c r="G113" s="951" t="n">
        <v>0</v>
      </c>
      <c r="H113" s="951" t="n">
        <v>0</v>
      </c>
      <c r="I113" s="951" t="n">
        <v>0</v>
      </c>
      <c r="J113" s="951" t="n">
        <v>0</v>
      </c>
      <c r="K113" s="951" t="n">
        <v>0</v>
      </c>
      <c r="L113" s="951" t="n">
        <v>0</v>
      </c>
      <c r="M113" s="951" t="n">
        <v>0</v>
      </c>
      <c r="N113" s="953" t="n"/>
      <c r="O113" s="951" t="n">
        <v>0</v>
      </c>
      <c r="P113" s="951" t="n">
        <v>0</v>
      </c>
      <c r="Q113" s="951" t="n">
        <v>0</v>
      </c>
      <c r="R113" s="403" t="n">
        <v>0</v>
      </c>
      <c r="S113" s="404" t="n"/>
    </row>
    <row r="114">
      <c r="A114" s="414" t="inlineStr">
        <is>
          <t>TOTAL OPERATING EXPENSES</t>
        </is>
      </c>
      <c r="B114" s="957" t="n">
        <v>0</v>
      </c>
      <c r="C114" s="957" t="n">
        <v>0</v>
      </c>
      <c r="D114" s="957" t="n">
        <v>0</v>
      </c>
      <c r="E114" s="957" t="n">
        <v>0</v>
      </c>
      <c r="F114" s="957" t="n">
        <v>0</v>
      </c>
      <c r="G114" s="957" t="n">
        <v>0</v>
      </c>
      <c r="H114" s="957" t="n">
        <v>0</v>
      </c>
      <c r="I114" s="957" t="n">
        <v>0</v>
      </c>
      <c r="J114" s="957" t="n">
        <v>0</v>
      </c>
      <c r="K114" s="957" t="n">
        <v>0</v>
      </c>
      <c r="L114" s="957" t="n">
        <v>0</v>
      </c>
      <c r="M114" s="957" t="n">
        <v>0</v>
      </c>
      <c r="N114" s="958">
        <f>N85+N111+N113</f>
        <v/>
      </c>
      <c r="O114" s="957" t="n">
        <v>0</v>
      </c>
      <c r="P114" s="951" t="n">
        <v>0</v>
      </c>
      <c r="Q114" s="951" t="n">
        <v>0</v>
      </c>
      <c r="R114" s="403" t="n">
        <v>0</v>
      </c>
      <c r="S114" s="404" t="n"/>
    </row>
    <row r="115">
      <c r="A115" s="562" t="inlineStr">
        <is>
          <t>Total Operating Expenses (excl. mgmt)</t>
        </is>
      </c>
      <c r="B115" s="959" t="n"/>
      <c r="C115" s="959" t="n"/>
      <c r="D115" s="959" t="n"/>
      <c r="E115" s="959" t="n"/>
      <c r="F115" s="959" t="n"/>
      <c r="G115" s="959" t="n"/>
      <c r="H115" s="959" t="n"/>
      <c r="I115" s="959" t="n"/>
      <c r="J115" s="959" t="n"/>
      <c r="K115" s="959" t="n"/>
      <c r="L115" s="959" t="n"/>
      <c r="M115" s="959" t="n"/>
      <c r="N115" s="960">
        <f>N114-N113</f>
        <v/>
      </c>
      <c r="O115" s="957" t="n"/>
      <c r="P115" s="951" t="n"/>
      <c r="Q115" s="951" t="n"/>
      <c r="R115" s="403" t="n"/>
      <c r="S115" s="404" t="n"/>
    </row>
    <row r="116">
      <c r="A116" s="414" t="inlineStr">
        <is>
          <t>EBITDARM</t>
        </is>
      </c>
      <c r="B116" s="957" t="n">
        <v>0</v>
      </c>
      <c r="C116" s="957" t="n">
        <v>0</v>
      </c>
      <c r="D116" s="957" t="n">
        <v>0</v>
      </c>
      <c r="E116" s="957" t="n">
        <v>0</v>
      </c>
      <c r="F116" s="957" t="n">
        <v>0</v>
      </c>
      <c r="G116" s="957" t="n">
        <v>0</v>
      </c>
      <c r="H116" s="957" t="n">
        <v>0</v>
      </c>
      <c r="I116" s="957" t="n">
        <v>0</v>
      </c>
      <c r="J116" s="957" t="n">
        <v>0</v>
      </c>
      <c r="K116" s="957" t="n">
        <v>0</v>
      </c>
      <c r="L116" s="957" t="n">
        <v>0</v>
      </c>
      <c r="M116" s="957" t="n">
        <v>0</v>
      </c>
      <c r="N116" s="958">
        <f>N69-N85-N111</f>
        <v/>
      </c>
      <c r="O116" s="957" t="n">
        <v>0</v>
      </c>
      <c r="P116" s="951" t="n">
        <v>0</v>
      </c>
      <c r="Q116" s="951" t="n">
        <v>0</v>
      </c>
      <c r="R116" s="403" t="n">
        <v>0</v>
      </c>
      <c r="S116" s="404" t="n"/>
    </row>
    <row r="117">
      <c r="A117" s="414" t="inlineStr">
        <is>
          <t>EBITDAR  (= NOI)</t>
        </is>
      </c>
      <c r="B117" s="957" t="n">
        <v>0</v>
      </c>
      <c r="C117" s="957" t="n">
        <v>0</v>
      </c>
      <c r="D117" s="957" t="n">
        <v>0</v>
      </c>
      <c r="E117" s="957" t="n">
        <v>0</v>
      </c>
      <c r="F117" s="957" t="n">
        <v>0</v>
      </c>
      <c r="G117" s="957" t="n">
        <v>0</v>
      </c>
      <c r="H117" s="957" t="n">
        <v>0</v>
      </c>
      <c r="I117" s="957" t="n">
        <v>0</v>
      </c>
      <c r="J117" s="957" t="n">
        <v>0</v>
      </c>
      <c r="K117" s="957" t="n">
        <v>0</v>
      </c>
      <c r="L117" s="957" t="n">
        <v>0</v>
      </c>
      <c r="M117" s="957" t="n">
        <v>0</v>
      </c>
      <c r="N117" s="957" t="n">
        <v>0</v>
      </c>
      <c r="O117" s="957" t="n">
        <v>0</v>
      </c>
      <c r="P117" s="951" t="n">
        <v>0</v>
      </c>
      <c r="Q117" s="951" t="n">
        <v>0</v>
      </c>
      <c r="R117" s="403" t="n">
        <v>0</v>
      </c>
      <c r="S117" s="404" t="n"/>
    </row>
    <row r="118">
      <c r="A118" s="562" t="inlineStr">
        <is>
          <t>EBITDA</t>
        </is>
      </c>
      <c r="B118" s="959" t="n"/>
      <c r="C118" s="959" t="n"/>
      <c r="D118" s="959" t="n"/>
      <c r="E118" s="959" t="n"/>
      <c r="F118" s="959" t="n"/>
      <c r="G118" s="959" t="n"/>
      <c r="H118" s="959" t="n"/>
      <c r="I118" s="959" t="n"/>
      <c r="J118" s="959" t="n"/>
      <c r="K118" s="959" t="n"/>
      <c r="L118" s="959" t="n"/>
      <c r="M118" s="959" t="n"/>
      <c r="N118" s="960" t="n"/>
      <c r="O118" s="957" t="n"/>
      <c r="P118" s="951" t="n"/>
      <c r="Q118" s="951" t="n"/>
      <c r="R118" s="403" t="n"/>
      <c r="S118" s="404" t="n"/>
    </row>
    <row r="121">
      <c r="A121" s="849" t="inlineStr">
        <is>
          <t>I.  LAYER 1: RAW T-12  (paste operator data here, then map column P to Layer 3 bucket)</t>
        </is>
      </c>
    </row>
    <row r="122">
      <c r="A122" s="409" t="inlineStr">
        <is>
          <t>Acct #</t>
        </is>
      </c>
      <c r="B122" s="409" t="inlineStr">
        <is>
          <t>Account Name (raw)</t>
        </is>
      </c>
      <c r="C122" s="410" t="inlineStr">
        <is>
          <t>Apr-25</t>
        </is>
      </c>
      <c r="D122" s="410" t="inlineStr">
        <is>
          <t>May-25</t>
        </is>
      </c>
      <c r="E122" s="410" t="inlineStr">
        <is>
          <t>Jun-25</t>
        </is>
      </c>
      <c r="F122" s="410" t="inlineStr">
        <is>
          <t>Jul-25</t>
        </is>
      </c>
      <c r="G122" s="410" t="inlineStr">
        <is>
          <t>Aug-25</t>
        </is>
      </c>
      <c r="H122" s="410" t="inlineStr">
        <is>
          <t>Sep-25</t>
        </is>
      </c>
      <c r="I122" s="410" t="inlineStr">
        <is>
          <t>Oct-25</t>
        </is>
      </c>
      <c r="J122" s="410" t="inlineStr">
        <is>
          <t>Nov-25</t>
        </is>
      </c>
      <c r="K122" s="410" t="inlineStr">
        <is>
          <t>Dec-25</t>
        </is>
      </c>
      <c r="L122" s="410" t="inlineStr">
        <is>
          <t>Jan-26</t>
        </is>
      </c>
      <c r="M122" s="410" t="inlineStr">
        <is>
          <t>Feb-26</t>
        </is>
      </c>
      <c r="N122" s="410" t="inlineStr">
        <is>
          <t>Mar-26</t>
        </is>
      </c>
      <c r="O122" s="410" t="inlineStr">
        <is>
          <t>T-12 Total</t>
        </is>
      </c>
      <c r="P122" s="410" t="inlineStr">
        <is>
          <t>→ MAPPING</t>
        </is>
      </c>
      <c r="Q122" s="410" t="inlineStr">
        <is>
          <t>Variance</t>
        </is>
      </c>
      <c r="R122" s="410" t="inlineStr">
        <is>
          <t>Notes</t>
        </is>
      </c>
    </row>
    <row r="123">
      <c r="A123" s="400" t="n"/>
      <c r="B123" s="400" t="n"/>
      <c r="C123" s="400" t="n"/>
      <c r="D123" s="400" t="n"/>
      <c r="E123" s="400" t="n"/>
      <c r="F123" s="400" t="n"/>
      <c r="G123" s="400" t="n"/>
      <c r="H123" s="400" t="n"/>
      <c r="I123" s="400" t="n"/>
      <c r="J123" s="400" t="n"/>
      <c r="K123" s="400" t="n"/>
      <c r="L123" s="400" t="n"/>
      <c r="M123" s="400" t="n"/>
      <c r="N123" s="400" t="n"/>
      <c r="O123" s="400" t="n"/>
      <c r="P123" s="416" t="inlineStr">
        <is>
          <t>Gross Potential Rent (GPR)</t>
        </is>
      </c>
    </row>
    <row r="124">
      <c r="A124" s="400" t="n"/>
      <c r="B124" s="400" t="n"/>
      <c r="C124" s="400" t="n"/>
      <c r="D124" s="400" t="n"/>
      <c r="E124" s="400" t="n"/>
      <c r="F124" s="400" t="n"/>
      <c r="G124" s="400" t="n"/>
      <c r="H124" s="400" t="n"/>
      <c r="I124" s="400" t="n"/>
      <c r="J124" s="400" t="n"/>
      <c r="K124" s="400" t="n"/>
      <c r="L124" s="400" t="n"/>
      <c r="M124" s="400" t="n"/>
      <c r="N124" s="400" t="n"/>
      <c r="O124" s="400" t="n"/>
      <c r="P124" s="416" t="inlineStr">
        <is>
          <t>LOC / Care Services Revenue</t>
        </is>
      </c>
    </row>
    <row r="125">
      <c r="A125" s="400" t="n"/>
      <c r="B125" s="400" t="n"/>
      <c r="C125" s="400" t="n"/>
      <c r="D125" s="400" t="n"/>
      <c r="E125" s="400" t="n"/>
      <c r="F125" s="400" t="n"/>
      <c r="G125" s="400" t="n"/>
      <c r="H125" s="400" t="n"/>
      <c r="I125" s="400" t="n"/>
      <c r="J125" s="400" t="n"/>
      <c r="K125" s="400" t="n"/>
      <c r="L125" s="400" t="n"/>
      <c r="M125" s="400" t="n"/>
      <c r="N125" s="400" t="n"/>
      <c r="O125" s="400" t="n"/>
      <c r="P125" s="416" t="inlineStr">
        <is>
          <t>Concessions &amp; Specials</t>
        </is>
      </c>
    </row>
    <row r="126">
      <c r="A126" s="400" t="n"/>
      <c r="B126" s="400" t="n"/>
      <c r="C126" s="400" t="n"/>
      <c r="D126" s="400" t="n"/>
      <c r="E126" s="400" t="n"/>
      <c r="F126" s="400" t="n"/>
      <c r="G126" s="400" t="n"/>
      <c r="H126" s="400" t="n"/>
      <c r="I126" s="400" t="n"/>
      <c r="J126" s="400" t="n"/>
      <c r="K126" s="400" t="n"/>
      <c r="L126" s="400" t="n"/>
      <c r="M126" s="400" t="n"/>
      <c r="N126" s="400" t="n"/>
      <c r="O126" s="400" t="n"/>
      <c r="P126" s="416" t="inlineStr">
        <is>
          <t>Concessions &amp; Specials</t>
        </is>
      </c>
    </row>
    <row r="127">
      <c r="A127" s="400" t="n"/>
      <c r="B127" s="400" t="n"/>
      <c r="C127" s="400" t="n"/>
      <c r="D127" s="400" t="n"/>
      <c r="E127" s="400" t="n"/>
      <c r="F127" s="400" t="n"/>
      <c r="G127" s="400" t="n"/>
      <c r="H127" s="400" t="n"/>
      <c r="I127" s="400" t="n"/>
      <c r="J127" s="400" t="n"/>
      <c r="K127" s="400" t="n"/>
      <c r="L127" s="400" t="n"/>
      <c r="M127" s="400" t="n"/>
      <c r="N127" s="400" t="n"/>
      <c r="O127" s="400" t="n"/>
      <c r="P127" s="416" t="inlineStr">
        <is>
          <t>Concessions &amp; Specials</t>
        </is>
      </c>
    </row>
    <row r="128">
      <c r="A128" s="400" t="n"/>
      <c r="B128" s="400" t="n"/>
      <c r="C128" s="400" t="n"/>
      <c r="D128" s="400" t="n"/>
      <c r="E128" s="400" t="n"/>
      <c r="F128" s="400" t="n"/>
      <c r="G128" s="400" t="n"/>
      <c r="H128" s="400" t="n"/>
      <c r="I128" s="400" t="n"/>
      <c r="J128" s="400" t="n"/>
      <c r="K128" s="400" t="n"/>
      <c r="L128" s="400" t="n"/>
      <c r="M128" s="400" t="n"/>
      <c r="N128" s="400" t="n"/>
      <c r="O128" s="400" t="n"/>
      <c r="P128" s="416" t="inlineStr">
        <is>
          <t>Bad Debt / Write-offs</t>
        </is>
      </c>
    </row>
    <row r="129">
      <c r="A129" s="400" t="n"/>
      <c r="B129" s="400" t="n"/>
      <c r="C129" s="400" t="n"/>
      <c r="D129" s="400" t="n"/>
      <c r="E129" s="400" t="n"/>
      <c r="F129" s="400" t="n"/>
      <c r="G129" s="400" t="n"/>
      <c r="H129" s="400" t="n"/>
      <c r="I129" s="400" t="n"/>
      <c r="J129" s="400" t="n"/>
      <c r="K129" s="400" t="n"/>
      <c r="L129" s="400" t="n"/>
      <c r="M129" s="400" t="n"/>
      <c r="N129" s="400" t="n"/>
      <c r="O129" s="400" t="n"/>
      <c r="P129" s="416" t="inlineStr">
        <is>
          <t>Community / Move-in Fees</t>
        </is>
      </c>
    </row>
    <row r="130">
      <c r="A130" s="400" t="n"/>
      <c r="B130" s="400" t="n"/>
      <c r="C130" s="400" t="n"/>
      <c r="D130" s="400" t="n"/>
      <c r="E130" s="400" t="n"/>
      <c r="F130" s="400" t="n"/>
      <c r="G130" s="400" t="n"/>
      <c r="H130" s="400" t="n"/>
      <c r="I130" s="400" t="n"/>
      <c r="J130" s="400" t="n"/>
      <c r="K130" s="400" t="n"/>
      <c r="L130" s="400" t="n"/>
      <c r="M130" s="400" t="n"/>
      <c r="N130" s="400" t="n"/>
      <c r="O130" s="400" t="n"/>
      <c r="P130" s="416" t="inlineStr">
        <is>
          <t>Respite Care Revenue</t>
        </is>
      </c>
    </row>
    <row r="131">
      <c r="A131" s="400" t="n"/>
      <c r="B131" s="400" t="n"/>
      <c r="C131" s="400" t="n"/>
      <c r="D131" s="400" t="n"/>
      <c r="E131" s="400" t="n"/>
      <c r="F131" s="400" t="n"/>
      <c r="G131" s="400" t="n"/>
      <c r="H131" s="400" t="n"/>
      <c r="I131" s="400" t="n"/>
      <c r="J131" s="400" t="n"/>
      <c r="K131" s="400" t="n"/>
      <c r="L131" s="400" t="n"/>
      <c r="M131" s="400" t="n"/>
      <c r="N131" s="400" t="n"/>
      <c r="O131" s="400" t="n"/>
      <c r="P131" s="416" t="inlineStr">
        <is>
          <t>2nd Person Revenue</t>
        </is>
      </c>
    </row>
    <row r="132">
      <c r="A132" s="400" t="n"/>
      <c r="B132" s="400" t="n"/>
      <c r="C132" s="400" t="n"/>
      <c r="D132" s="400" t="n"/>
      <c r="E132" s="400" t="n"/>
      <c r="F132" s="400" t="n"/>
      <c r="G132" s="400" t="n"/>
      <c r="H132" s="400" t="n"/>
      <c r="I132" s="400" t="n"/>
      <c r="J132" s="400" t="n"/>
      <c r="K132" s="400" t="n"/>
      <c r="L132" s="400" t="n"/>
      <c r="M132" s="400" t="n"/>
      <c r="N132" s="400" t="n"/>
      <c r="O132" s="400" t="n"/>
      <c r="P132" s="416" t="inlineStr">
        <is>
          <t>Other Community Revenue</t>
        </is>
      </c>
    </row>
    <row r="133">
      <c r="A133" s="400" t="n"/>
      <c r="B133" s="400" t="n"/>
      <c r="C133" s="400" t="n"/>
      <c r="D133" s="400" t="n"/>
      <c r="E133" s="400" t="n"/>
      <c r="F133" s="400" t="n"/>
      <c r="G133" s="400" t="n"/>
      <c r="H133" s="400" t="n"/>
      <c r="I133" s="400" t="n"/>
      <c r="J133" s="400" t="n"/>
      <c r="K133" s="400" t="n"/>
      <c r="L133" s="400" t="n"/>
      <c r="M133" s="400" t="n"/>
      <c r="N133" s="400" t="n"/>
      <c r="O133" s="400" t="n"/>
      <c r="P133" s="416" t="inlineStr">
        <is>
          <t>Care Staff Labor</t>
        </is>
      </c>
    </row>
    <row r="134">
      <c r="A134" s="400" t="n"/>
      <c r="B134" s="400" t="n"/>
      <c r="C134" s="400" t="n"/>
      <c r="D134" s="400" t="n"/>
      <c r="E134" s="400" t="n"/>
      <c r="F134" s="400" t="n"/>
      <c r="G134" s="400" t="n"/>
      <c r="H134" s="400" t="n"/>
      <c r="I134" s="400" t="n"/>
      <c r="J134" s="400" t="n"/>
      <c r="K134" s="400" t="n"/>
      <c r="L134" s="400" t="n"/>
      <c r="M134" s="400" t="n"/>
      <c r="N134" s="400" t="n"/>
      <c r="O134" s="400" t="n"/>
      <c r="P134" s="416" t="inlineStr">
        <is>
          <t>Care Staff Labor</t>
        </is>
      </c>
    </row>
    <row r="135">
      <c r="A135" s="400" t="n"/>
      <c r="B135" s="400" t="n"/>
      <c r="C135" s="400" t="n"/>
      <c r="D135" s="400" t="n"/>
      <c r="E135" s="400" t="n"/>
      <c r="F135" s="400" t="n"/>
      <c r="G135" s="400" t="n"/>
      <c r="H135" s="400" t="n"/>
      <c r="I135" s="400" t="n"/>
      <c r="J135" s="400" t="n"/>
      <c r="K135" s="400" t="n"/>
      <c r="L135" s="400" t="n"/>
      <c r="M135" s="400" t="n"/>
      <c r="N135" s="400" t="n"/>
      <c r="O135" s="400" t="n"/>
      <c r="P135" s="416" t="inlineStr">
        <is>
          <t>Wellness / Care Coordinators</t>
        </is>
      </c>
    </row>
    <row r="136">
      <c r="A136" s="400" t="n"/>
      <c r="B136" s="400" t="n"/>
      <c r="C136" s="400" t="n"/>
      <c r="D136" s="400" t="n"/>
      <c r="E136" s="400" t="n"/>
      <c r="F136" s="400" t="n"/>
      <c r="G136" s="400" t="n"/>
      <c r="H136" s="400" t="n"/>
      <c r="I136" s="400" t="n"/>
      <c r="J136" s="400" t="n"/>
      <c r="K136" s="400" t="n"/>
      <c r="L136" s="400" t="n"/>
      <c r="M136" s="400" t="n"/>
      <c r="N136" s="400" t="n"/>
      <c r="O136" s="400" t="n"/>
      <c r="P136" s="416" t="inlineStr">
        <is>
          <t>Contract / Agency Labor</t>
        </is>
      </c>
    </row>
    <row r="137">
      <c r="A137" s="400" t="n"/>
      <c r="B137" s="400" t="n"/>
      <c r="C137" s="400" t="n"/>
      <c r="D137" s="400" t="n"/>
      <c r="E137" s="400" t="n"/>
      <c r="F137" s="400" t="n"/>
      <c r="G137" s="400" t="n"/>
      <c r="H137" s="400" t="n"/>
      <c r="I137" s="400" t="n"/>
      <c r="J137" s="400" t="n"/>
      <c r="K137" s="400" t="n"/>
      <c r="L137" s="400" t="n"/>
      <c r="M137" s="400" t="n"/>
      <c r="N137" s="400" t="n"/>
      <c r="O137" s="400" t="n"/>
      <c r="P137" s="416" t="inlineStr">
        <is>
          <t>Activities Labor</t>
        </is>
      </c>
    </row>
    <row r="138">
      <c r="A138" s="400" t="n"/>
      <c r="B138" s="400" t="n"/>
      <c r="C138" s="400" t="n"/>
      <c r="D138" s="400" t="n"/>
      <c r="E138" s="400" t="n"/>
      <c r="F138" s="400" t="n"/>
      <c r="G138" s="400" t="n"/>
      <c r="H138" s="400" t="n"/>
      <c r="I138" s="400" t="n"/>
      <c r="J138" s="400" t="n"/>
      <c r="K138" s="400" t="n"/>
      <c r="L138" s="400" t="n"/>
      <c r="M138" s="400" t="n"/>
      <c r="N138" s="400" t="n"/>
      <c r="O138" s="400" t="n"/>
      <c r="P138" s="416" t="inlineStr">
        <is>
          <t>Dining / Food Service Labor</t>
        </is>
      </c>
    </row>
    <row r="139">
      <c r="A139" s="400" t="n"/>
      <c r="B139" s="400" t="n"/>
      <c r="C139" s="400" t="n"/>
      <c r="D139" s="400" t="n"/>
      <c r="E139" s="400" t="n"/>
      <c r="F139" s="400" t="n"/>
      <c r="G139" s="400" t="n"/>
      <c r="H139" s="400" t="n"/>
      <c r="I139" s="400" t="n"/>
      <c r="J139" s="400" t="n"/>
      <c r="K139" s="400" t="n"/>
      <c r="L139" s="400" t="n"/>
      <c r="M139" s="400" t="n"/>
      <c r="N139" s="400" t="n"/>
      <c r="O139" s="400" t="n"/>
      <c r="P139" s="416" t="inlineStr">
        <is>
          <t>Maintenance &amp; HK Labor</t>
        </is>
      </c>
    </row>
    <row r="140">
      <c r="A140" s="400" t="n"/>
      <c r="B140" s="400" t="n"/>
      <c r="C140" s="400" t="n"/>
      <c r="D140" s="400" t="n"/>
      <c r="E140" s="400" t="n"/>
      <c r="F140" s="400" t="n"/>
      <c r="G140" s="400" t="n"/>
      <c r="H140" s="400" t="n"/>
      <c r="I140" s="400" t="n"/>
      <c r="J140" s="400" t="n"/>
      <c r="K140" s="400" t="n"/>
      <c r="L140" s="400" t="n"/>
      <c r="M140" s="400" t="n"/>
      <c r="N140" s="400" t="n"/>
      <c r="O140" s="400" t="n"/>
      <c r="P140" s="416" t="inlineStr">
        <is>
          <t>Maintenance &amp; HK Labor</t>
        </is>
      </c>
    </row>
    <row r="141">
      <c r="A141" s="400" t="n"/>
      <c r="B141" s="400" t="n"/>
      <c r="C141" s="400" t="n"/>
      <c r="D141" s="400" t="n"/>
      <c r="E141" s="400" t="n"/>
      <c r="F141" s="400" t="n"/>
      <c r="G141" s="400" t="n"/>
      <c r="H141" s="400" t="n"/>
      <c r="I141" s="400" t="n"/>
      <c r="J141" s="400" t="n"/>
      <c r="K141" s="400" t="n"/>
      <c r="L141" s="400" t="n"/>
      <c r="M141" s="400" t="n"/>
      <c r="N141" s="400" t="n"/>
      <c r="O141" s="400" t="n"/>
      <c r="P141" s="416" t="inlineStr">
        <is>
          <t>Administrative Labor</t>
        </is>
      </c>
    </row>
    <row r="142">
      <c r="A142" s="400" t="n"/>
      <c r="B142" s="400" t="n"/>
      <c r="C142" s="400" t="n"/>
      <c r="D142" s="400" t="n"/>
      <c r="E142" s="400" t="n"/>
      <c r="F142" s="400" t="n"/>
      <c r="G142" s="400" t="n"/>
      <c r="H142" s="400" t="n"/>
      <c r="I142" s="400" t="n"/>
      <c r="J142" s="400" t="n"/>
      <c r="K142" s="400" t="n"/>
      <c r="L142" s="400" t="n"/>
      <c r="M142" s="400" t="n"/>
      <c r="N142" s="400" t="n"/>
      <c r="O142" s="400" t="n"/>
      <c r="P142" s="416" t="inlineStr">
        <is>
          <t>Overtime Wages</t>
        </is>
      </c>
    </row>
    <row r="143">
      <c r="A143" s="400" t="n"/>
      <c r="B143" s="400" t="n"/>
      <c r="C143" s="400" t="n"/>
      <c r="D143" s="400" t="n"/>
      <c r="E143" s="400" t="n"/>
      <c r="F143" s="400" t="n"/>
      <c r="G143" s="400" t="n"/>
      <c r="H143" s="400" t="n"/>
      <c r="I143" s="400" t="n"/>
      <c r="J143" s="400" t="n"/>
      <c r="K143" s="400" t="n"/>
      <c r="L143" s="400" t="n"/>
      <c r="M143" s="400" t="n"/>
      <c r="N143" s="400" t="n"/>
      <c r="O143" s="400" t="n"/>
      <c r="P143" s="416" t="inlineStr">
        <is>
          <t>PTO Wages</t>
        </is>
      </c>
    </row>
    <row r="144">
      <c r="A144" s="400" t="n"/>
      <c r="B144" s="400" t="n"/>
      <c r="C144" s="400" t="n"/>
      <c r="D144" s="400" t="n"/>
      <c r="E144" s="400" t="n"/>
      <c r="F144" s="400" t="n"/>
      <c r="G144" s="400" t="n"/>
      <c r="H144" s="400" t="n"/>
      <c r="I144" s="400" t="n"/>
      <c r="J144" s="400" t="n"/>
      <c r="K144" s="400" t="n"/>
      <c r="L144" s="400" t="n"/>
      <c r="M144" s="400" t="n"/>
      <c r="N144" s="400" t="n"/>
      <c r="O144" s="400" t="n"/>
      <c r="P144" s="416" t="inlineStr">
        <is>
          <t>Bonus Wages</t>
        </is>
      </c>
    </row>
    <row r="145">
      <c r="A145" s="400" t="n"/>
      <c r="B145" s="400" t="n"/>
      <c r="C145" s="400" t="n"/>
      <c r="D145" s="400" t="n"/>
      <c r="E145" s="400" t="n"/>
      <c r="F145" s="400" t="n"/>
      <c r="G145" s="400" t="n"/>
      <c r="H145" s="400" t="n"/>
      <c r="I145" s="400" t="n"/>
      <c r="J145" s="400" t="n"/>
      <c r="K145" s="400" t="n"/>
      <c r="L145" s="400" t="n"/>
      <c r="M145" s="400" t="n"/>
      <c r="N145" s="400" t="n"/>
      <c r="O145" s="400" t="n"/>
      <c r="P145" s="416" t="inlineStr">
        <is>
          <t>Payroll Taxes</t>
        </is>
      </c>
    </row>
    <row r="146">
      <c r="A146" s="400" t="n"/>
      <c r="B146" s="400" t="n"/>
      <c r="C146" s="400" t="n"/>
      <c r="D146" s="400" t="n"/>
      <c r="E146" s="400" t="n"/>
      <c r="F146" s="400" t="n"/>
      <c r="G146" s="400" t="n"/>
      <c r="H146" s="400" t="n"/>
      <c r="I146" s="400" t="n"/>
      <c r="J146" s="400" t="n"/>
      <c r="K146" s="400" t="n"/>
      <c r="L146" s="400" t="n"/>
      <c r="M146" s="400" t="n"/>
      <c r="N146" s="400" t="n"/>
      <c r="O146" s="400" t="n"/>
      <c r="P146" s="416" t="inlineStr">
        <is>
          <t>Employee Benefits</t>
        </is>
      </c>
    </row>
    <row r="147">
      <c r="A147" s="400" t="n"/>
      <c r="B147" s="400" t="n"/>
      <c r="C147" s="400" t="n"/>
      <c r="D147" s="400" t="n"/>
      <c r="E147" s="400" t="n"/>
      <c r="F147" s="400" t="n"/>
      <c r="G147" s="400" t="n"/>
      <c r="H147" s="400" t="n"/>
      <c r="I147" s="400" t="n"/>
      <c r="J147" s="400" t="n"/>
      <c r="K147" s="400" t="n"/>
      <c r="L147" s="400" t="n"/>
      <c r="M147" s="400" t="n"/>
      <c r="N147" s="400" t="n"/>
      <c r="O147" s="400" t="n"/>
      <c r="P147" s="416" t="inlineStr">
        <is>
          <t>Workers' Comp Insurance</t>
        </is>
      </c>
    </row>
    <row r="148">
      <c r="A148" s="400" t="n"/>
      <c r="B148" s="400" t="n"/>
      <c r="C148" s="400" t="n"/>
      <c r="D148" s="400" t="n"/>
      <c r="E148" s="400" t="n"/>
      <c r="F148" s="400" t="n"/>
      <c r="G148" s="400" t="n"/>
      <c r="H148" s="400" t="n"/>
      <c r="I148" s="400" t="n"/>
      <c r="J148" s="400" t="n"/>
      <c r="K148" s="400" t="n"/>
      <c r="L148" s="400" t="n"/>
      <c r="M148" s="400" t="n"/>
      <c r="N148" s="400" t="n"/>
      <c r="O148" s="400" t="n"/>
      <c r="P148" s="416" t="inlineStr">
        <is>
          <t>Employee 401(k)</t>
        </is>
      </c>
    </row>
    <row r="149">
      <c r="A149" s="400" t="n"/>
      <c r="B149" s="400" t="n"/>
      <c r="C149" s="400" t="n"/>
      <c r="D149" s="400" t="n"/>
      <c r="E149" s="400" t="n"/>
      <c r="F149" s="400" t="n"/>
      <c r="G149" s="400" t="n"/>
      <c r="H149" s="400" t="n"/>
      <c r="I149" s="400" t="n"/>
      <c r="J149" s="400" t="n"/>
      <c r="K149" s="400" t="n"/>
      <c r="L149" s="400" t="n"/>
      <c r="M149" s="400" t="n"/>
      <c r="N149" s="400" t="n"/>
      <c r="O149" s="400" t="n"/>
      <c r="P149" s="416" t="inlineStr">
        <is>
          <t>Food Cost</t>
        </is>
      </c>
    </row>
    <row r="150">
      <c r="A150" s="400" t="n"/>
      <c r="B150" s="400" t="n"/>
      <c r="C150" s="400" t="n"/>
      <c r="D150" s="400" t="n"/>
      <c r="E150" s="400" t="n"/>
      <c r="F150" s="400" t="n"/>
      <c r="G150" s="400" t="n"/>
      <c r="H150" s="400" t="n"/>
      <c r="I150" s="400" t="n"/>
      <c r="J150" s="400" t="n"/>
      <c r="K150" s="400" t="n"/>
      <c r="L150" s="400" t="n"/>
      <c r="M150" s="400" t="n"/>
      <c r="N150" s="400" t="n"/>
      <c r="O150" s="400" t="n"/>
      <c r="P150" s="416" t="inlineStr">
        <is>
          <t>Dining &amp; Kitchen Supplies</t>
        </is>
      </c>
    </row>
    <row r="151">
      <c r="A151" s="400" t="n"/>
      <c r="B151" s="400" t="n"/>
      <c r="C151" s="400" t="n"/>
      <c r="D151" s="400" t="n"/>
      <c r="E151" s="400" t="n"/>
      <c r="F151" s="400" t="n"/>
      <c r="G151" s="400" t="n"/>
      <c r="H151" s="400" t="n"/>
      <c r="I151" s="400" t="n"/>
      <c r="J151" s="400" t="n"/>
      <c r="K151" s="400" t="n"/>
      <c r="L151" s="400" t="n"/>
      <c r="M151" s="400" t="n"/>
      <c r="N151" s="400" t="n"/>
      <c r="O151" s="400" t="n"/>
      <c r="P151" s="416" t="inlineStr">
        <is>
          <t>Nursing &amp; Care Supplies</t>
        </is>
      </c>
    </row>
    <row r="152">
      <c r="A152" s="400" t="n"/>
      <c r="B152" s="400" t="n"/>
      <c r="C152" s="400" t="n"/>
      <c r="D152" s="400" t="n"/>
      <c r="E152" s="400" t="n"/>
      <c r="F152" s="400" t="n"/>
      <c r="G152" s="400" t="n"/>
      <c r="H152" s="400" t="n"/>
      <c r="I152" s="400" t="n"/>
      <c r="J152" s="400" t="n"/>
      <c r="K152" s="400" t="n"/>
      <c r="L152" s="400" t="n"/>
      <c r="M152" s="400" t="n"/>
      <c r="N152" s="400" t="n"/>
      <c r="O152" s="400" t="n"/>
      <c r="P152" s="416" t="inlineStr">
        <is>
          <t>Recreation Supplies</t>
        </is>
      </c>
    </row>
    <row r="153">
      <c r="A153" s="400" t="n"/>
      <c r="B153" s="400" t="n"/>
      <c r="C153" s="400" t="n"/>
      <c r="D153" s="400" t="n"/>
      <c r="E153" s="400" t="n"/>
      <c r="F153" s="400" t="n"/>
      <c r="G153" s="400" t="n"/>
      <c r="H153" s="400" t="n"/>
      <c r="I153" s="400" t="n"/>
      <c r="J153" s="400" t="n"/>
      <c r="K153" s="400" t="n"/>
      <c r="L153" s="400" t="n"/>
      <c r="M153" s="400" t="n"/>
      <c r="N153" s="400" t="n"/>
      <c r="O153" s="400" t="n"/>
      <c r="P153" s="416" t="inlineStr">
        <is>
          <t>R&amp;M — Fixed</t>
        </is>
      </c>
    </row>
    <row r="154">
      <c r="A154" s="400" t="n"/>
      <c r="B154" s="400" t="n"/>
      <c r="C154" s="400" t="n"/>
      <c r="D154" s="400" t="n"/>
      <c r="E154" s="400" t="n"/>
      <c r="F154" s="400" t="n"/>
      <c r="G154" s="400" t="n"/>
      <c r="H154" s="400" t="n"/>
      <c r="I154" s="400" t="n"/>
      <c r="J154" s="400" t="n"/>
      <c r="K154" s="400" t="n"/>
      <c r="L154" s="400" t="n"/>
      <c r="M154" s="400" t="n"/>
      <c r="N154" s="400" t="n"/>
      <c r="O154" s="400" t="n"/>
      <c r="P154" s="416" t="inlineStr">
        <is>
          <t>R&amp;M — Variable</t>
        </is>
      </c>
    </row>
    <row r="155">
      <c r="A155" s="400" t="n"/>
      <c r="B155" s="400" t="n"/>
      <c r="C155" s="400" t="n"/>
      <c r="D155" s="400" t="n"/>
      <c r="E155" s="400" t="n"/>
      <c r="F155" s="400" t="n"/>
      <c r="G155" s="400" t="n"/>
      <c r="H155" s="400" t="n"/>
      <c r="I155" s="400" t="n"/>
      <c r="J155" s="400" t="n"/>
      <c r="K155" s="400" t="n"/>
      <c r="L155" s="400" t="n"/>
      <c r="M155" s="400" t="n"/>
      <c r="N155" s="400" t="n"/>
      <c r="O155" s="400" t="n"/>
      <c r="P155" s="416" t="inlineStr">
        <is>
          <t>R&amp;M — Variable</t>
        </is>
      </c>
    </row>
    <row r="156">
      <c r="A156" s="400" t="n"/>
      <c r="B156" s="400" t="n"/>
      <c r="C156" s="400" t="n"/>
      <c r="D156" s="400" t="n"/>
      <c r="E156" s="400" t="n"/>
      <c r="F156" s="400" t="n"/>
      <c r="G156" s="400" t="n"/>
      <c r="H156" s="400" t="n"/>
      <c r="I156" s="400" t="n"/>
      <c r="J156" s="400" t="n"/>
      <c r="K156" s="400" t="n"/>
      <c r="L156" s="400" t="n"/>
      <c r="M156" s="400" t="n"/>
      <c r="N156" s="400" t="n"/>
      <c r="O156" s="400" t="n"/>
      <c r="P156" s="416" t="inlineStr">
        <is>
          <t>HK &amp; Laundry Supplies</t>
        </is>
      </c>
    </row>
    <row r="157">
      <c r="A157" s="400" t="n"/>
      <c r="B157" s="400" t="n"/>
      <c r="C157" s="400" t="n"/>
      <c r="D157" s="400" t="n"/>
      <c r="E157" s="400" t="n"/>
      <c r="F157" s="400" t="n"/>
      <c r="G157" s="400" t="n"/>
      <c r="H157" s="400" t="n"/>
      <c r="I157" s="400" t="n"/>
      <c r="J157" s="400" t="n"/>
      <c r="K157" s="400" t="n"/>
      <c r="L157" s="400" t="n"/>
      <c r="M157" s="400" t="n"/>
      <c r="N157" s="400" t="n"/>
      <c r="O157" s="400" t="n"/>
      <c r="P157" s="416" t="inlineStr">
        <is>
          <t>Sales, Adv. &amp; Marketing</t>
        </is>
      </c>
    </row>
    <row r="158">
      <c r="A158" s="400" t="n"/>
      <c r="B158" s="400" t="n"/>
      <c r="C158" s="400" t="n"/>
      <c r="D158" s="400" t="n"/>
      <c r="E158" s="400" t="n"/>
      <c r="F158" s="400" t="n"/>
      <c r="G158" s="400" t="n"/>
      <c r="H158" s="400" t="n"/>
      <c r="I158" s="400" t="n"/>
      <c r="J158" s="400" t="n"/>
      <c r="K158" s="400" t="n"/>
      <c r="L158" s="400" t="n"/>
      <c r="M158" s="400" t="n"/>
      <c r="N158" s="400" t="n"/>
      <c r="O158" s="400" t="n"/>
      <c r="P158" s="416" t="inlineStr">
        <is>
          <t>Referral Fees</t>
        </is>
      </c>
    </row>
    <row r="159">
      <c r="A159" s="400" t="n"/>
      <c r="B159" s="400" t="n"/>
      <c r="C159" s="400" t="n"/>
      <c r="D159" s="400" t="n"/>
      <c r="E159" s="400" t="n"/>
      <c r="F159" s="400" t="n"/>
      <c r="G159" s="400" t="n"/>
      <c r="H159" s="400" t="n"/>
      <c r="I159" s="400" t="n"/>
      <c r="J159" s="400" t="n"/>
      <c r="K159" s="400" t="n"/>
      <c r="L159" s="400" t="n"/>
      <c r="M159" s="400" t="n"/>
      <c r="N159" s="400" t="n"/>
      <c r="O159" s="400" t="n"/>
      <c r="P159" s="416" t="inlineStr">
        <is>
          <t>Utilities</t>
        </is>
      </c>
    </row>
    <row r="160">
      <c r="A160" s="400" t="n"/>
      <c r="B160" s="400" t="n"/>
      <c r="C160" s="400" t="n"/>
      <c r="D160" s="400" t="n"/>
      <c r="E160" s="400" t="n"/>
      <c r="F160" s="400" t="n"/>
      <c r="G160" s="400" t="n"/>
      <c r="H160" s="400" t="n"/>
      <c r="I160" s="400" t="n"/>
      <c r="J160" s="400" t="n"/>
      <c r="K160" s="400" t="n"/>
      <c r="L160" s="400" t="n"/>
      <c r="M160" s="400" t="n"/>
      <c r="N160" s="400" t="n"/>
      <c r="O160" s="400" t="n"/>
      <c r="P160" s="416" t="inlineStr">
        <is>
          <t>Utilities</t>
        </is>
      </c>
    </row>
    <row r="161">
      <c r="A161" s="400" t="n"/>
      <c r="B161" s="400" t="n"/>
      <c r="C161" s="400" t="n"/>
      <c r="D161" s="400" t="n"/>
      <c r="E161" s="400" t="n"/>
      <c r="F161" s="400" t="n"/>
      <c r="G161" s="400" t="n"/>
      <c r="H161" s="400" t="n"/>
      <c r="I161" s="400" t="n"/>
      <c r="J161" s="400" t="n"/>
      <c r="K161" s="400" t="n"/>
      <c r="L161" s="400" t="n"/>
      <c r="M161" s="400" t="n"/>
      <c r="N161" s="400" t="n"/>
      <c r="O161" s="400" t="n"/>
      <c r="P161" s="416" t="inlineStr">
        <is>
          <t>Utilities</t>
        </is>
      </c>
    </row>
    <row r="162">
      <c r="A162" s="400" t="n"/>
      <c r="B162" s="400" t="n"/>
      <c r="C162" s="400" t="n"/>
      <c r="D162" s="400" t="n"/>
      <c r="E162" s="400" t="n"/>
      <c r="F162" s="400" t="n"/>
      <c r="G162" s="400" t="n"/>
      <c r="H162" s="400" t="n"/>
      <c r="I162" s="400" t="n"/>
      <c r="J162" s="400" t="n"/>
      <c r="K162" s="400" t="n"/>
      <c r="L162" s="400" t="n"/>
      <c r="M162" s="400" t="n"/>
      <c r="N162" s="400" t="n"/>
      <c r="O162" s="400" t="n"/>
      <c r="P162" s="416" t="inlineStr">
        <is>
          <t>Telephone / IT</t>
        </is>
      </c>
    </row>
    <row r="163">
      <c r="A163" s="400" t="n"/>
      <c r="B163" s="400" t="n"/>
      <c r="C163" s="400" t="n"/>
      <c r="D163" s="400" t="n"/>
      <c r="E163" s="400" t="n"/>
      <c r="F163" s="400" t="n"/>
      <c r="G163" s="400" t="n"/>
      <c r="H163" s="400" t="n"/>
      <c r="I163" s="400" t="n"/>
      <c r="J163" s="400" t="n"/>
      <c r="K163" s="400" t="n"/>
      <c r="L163" s="400" t="n"/>
      <c r="M163" s="400" t="n"/>
      <c r="N163" s="400" t="n"/>
      <c r="O163" s="400" t="n"/>
      <c r="P163" s="416" t="inlineStr">
        <is>
          <t>P&amp;C Insurance</t>
        </is>
      </c>
    </row>
    <row r="164">
      <c r="A164" s="400" t="n"/>
      <c r="B164" s="400" t="n"/>
      <c r="C164" s="400" t="n"/>
      <c r="D164" s="400" t="n"/>
      <c r="E164" s="400" t="n"/>
      <c r="F164" s="400" t="n"/>
      <c r="G164" s="400" t="n"/>
      <c r="H164" s="400" t="n"/>
      <c r="I164" s="400" t="n"/>
      <c r="J164" s="400" t="n"/>
      <c r="K164" s="400" t="n"/>
      <c r="L164" s="400" t="n"/>
      <c r="M164" s="400" t="n"/>
      <c r="N164" s="400" t="n"/>
      <c r="O164" s="400" t="n"/>
      <c r="P164" s="416" t="inlineStr">
        <is>
          <t>Real Estate Taxes</t>
        </is>
      </c>
    </row>
    <row r="165">
      <c r="A165" s="400" t="n"/>
      <c r="B165" s="400" t="n"/>
      <c r="C165" s="400" t="n"/>
      <c r="D165" s="400" t="n"/>
      <c r="E165" s="400" t="n"/>
      <c r="F165" s="400" t="n"/>
      <c r="G165" s="400" t="n"/>
      <c r="H165" s="400" t="n"/>
      <c r="I165" s="400" t="n"/>
      <c r="J165" s="400" t="n"/>
      <c r="K165" s="400" t="n"/>
      <c r="L165" s="400" t="n"/>
      <c r="M165" s="400" t="n"/>
      <c r="N165" s="400" t="n"/>
      <c r="O165" s="400" t="n"/>
      <c r="P165" s="416" t="inlineStr">
        <is>
          <t>Personal Property Taxes</t>
        </is>
      </c>
    </row>
    <row r="166">
      <c r="A166" s="400" t="n"/>
      <c r="B166" s="400" t="n"/>
      <c r="C166" s="400" t="n"/>
      <c r="D166" s="400" t="n"/>
      <c r="E166" s="400" t="n"/>
      <c r="F166" s="400" t="n"/>
      <c r="G166" s="400" t="n"/>
      <c r="H166" s="400" t="n"/>
      <c r="I166" s="400" t="n"/>
      <c r="J166" s="400" t="n"/>
      <c r="K166" s="400" t="n"/>
      <c r="L166" s="400" t="n"/>
      <c r="M166" s="400" t="n"/>
      <c r="N166" s="400" t="n"/>
      <c r="O166" s="400" t="n"/>
      <c r="P166" s="416" t="inlineStr">
        <is>
          <t>Legal Expenses</t>
        </is>
      </c>
    </row>
    <row r="167">
      <c r="A167" s="400" t="n"/>
      <c r="B167" s="400" t="n"/>
      <c r="C167" s="400" t="n"/>
      <c r="D167" s="400" t="n"/>
      <c r="E167" s="400" t="n"/>
      <c r="F167" s="400" t="n"/>
      <c r="G167" s="400" t="n"/>
      <c r="H167" s="400" t="n"/>
      <c r="I167" s="400" t="n"/>
      <c r="J167" s="400" t="n"/>
      <c r="K167" s="400" t="n"/>
      <c r="L167" s="400" t="n"/>
      <c r="M167" s="400" t="n"/>
      <c r="N167" s="400" t="n"/>
      <c r="O167" s="400" t="n"/>
      <c r="P167" s="416" t="inlineStr">
        <is>
          <t>Professional Services</t>
        </is>
      </c>
    </row>
    <row r="168">
      <c r="A168" s="400" t="n"/>
      <c r="B168" s="400" t="n"/>
      <c r="C168" s="400" t="n"/>
      <c r="D168" s="400" t="n"/>
      <c r="E168" s="400" t="n"/>
      <c r="F168" s="400" t="n"/>
      <c r="G168" s="400" t="n"/>
      <c r="H168" s="400" t="n"/>
      <c r="I168" s="400" t="n"/>
      <c r="J168" s="400" t="n"/>
      <c r="K168" s="400" t="n"/>
      <c r="L168" s="400" t="n"/>
      <c r="M168" s="400" t="n"/>
      <c r="N168" s="400" t="n"/>
      <c r="O168" s="400" t="n"/>
      <c r="P168" s="416" t="inlineStr">
        <is>
          <t>Bad Debt Expense</t>
        </is>
      </c>
    </row>
    <row r="169">
      <c r="A169" s="400" t="n"/>
      <c r="B169" s="400" t="n"/>
      <c r="C169" s="400" t="n"/>
      <c r="D169" s="400" t="n"/>
      <c r="E169" s="400" t="n"/>
      <c r="F169" s="400" t="n"/>
      <c r="G169" s="400" t="n"/>
      <c r="H169" s="400" t="n"/>
      <c r="I169" s="400" t="n"/>
      <c r="J169" s="400" t="n"/>
      <c r="K169" s="400" t="n"/>
      <c r="L169" s="400" t="n"/>
      <c r="M169" s="400" t="n"/>
      <c r="N169" s="400" t="n"/>
      <c r="O169" s="400" t="n"/>
      <c r="P169" s="416" t="inlineStr">
        <is>
          <t>Permits, Licenses &amp; Dues</t>
        </is>
      </c>
    </row>
    <row r="170">
      <c r="A170" s="400" t="n"/>
      <c r="B170" s="400" t="n"/>
      <c r="C170" s="400" t="n"/>
      <c r="D170" s="400" t="n"/>
      <c r="E170" s="400" t="n"/>
      <c r="F170" s="400" t="n"/>
      <c r="G170" s="400" t="n"/>
      <c r="H170" s="400" t="n"/>
      <c r="I170" s="400" t="n"/>
      <c r="J170" s="400" t="n"/>
      <c r="K170" s="400" t="n"/>
      <c r="L170" s="400" t="n"/>
      <c r="M170" s="400" t="n"/>
      <c r="N170" s="400" t="n"/>
      <c r="O170" s="400" t="n"/>
      <c r="P170" s="416" t="inlineStr">
        <is>
          <t>Office, Admin &amp; G&amp;A</t>
        </is>
      </c>
    </row>
    <row r="171">
      <c r="A171" s="400" t="n"/>
      <c r="B171" s="400" t="n"/>
      <c r="C171" s="400" t="n"/>
      <c r="D171" s="400" t="n"/>
      <c r="E171" s="400" t="n"/>
      <c r="F171" s="400" t="n"/>
      <c r="G171" s="400" t="n"/>
      <c r="H171" s="400" t="n"/>
      <c r="I171" s="400" t="n"/>
      <c r="J171" s="400" t="n"/>
      <c r="K171" s="400" t="n"/>
      <c r="L171" s="400" t="n"/>
      <c r="M171" s="400" t="n"/>
      <c r="N171" s="400" t="n"/>
      <c r="O171" s="400" t="n"/>
      <c r="P171" s="416" t="inlineStr">
        <is>
          <t>Other / Miscellaneous</t>
        </is>
      </c>
    </row>
    <row r="172">
      <c r="A172" s="400" t="n"/>
      <c r="B172" s="400" t="n"/>
      <c r="C172" s="400" t="n"/>
      <c r="D172" s="400" t="n"/>
      <c r="E172" s="400" t="n"/>
      <c r="F172" s="400" t="n"/>
      <c r="G172" s="400" t="n"/>
      <c r="H172" s="400" t="n"/>
      <c r="I172" s="400" t="n"/>
      <c r="J172" s="400" t="n"/>
      <c r="K172" s="400" t="n"/>
      <c r="L172" s="400" t="n"/>
      <c r="M172" s="400" t="n"/>
      <c r="N172" s="400" t="n"/>
      <c r="O172" s="400" t="n"/>
      <c r="P172" s="416" t="inlineStr">
        <is>
          <t>Management Fee</t>
        </is>
      </c>
    </row>
    <row r="175">
      <c r="A175" s="847" t="inlineStr">
        <is>
          <t>J.  RAW TOTALS  —  Source-of-truth sums (should match Section H subtotals)</t>
        </is>
      </c>
    </row>
    <row r="176">
      <c r="A176" s="849" t="inlineStr">
        <is>
          <t>Total Revenue (raw, income-mapped)</t>
        </is>
      </c>
      <c r="O176" s="951" t="n">
        <v>0</v>
      </c>
    </row>
    <row r="177">
      <c r="A177" s="849" t="inlineStr">
        <is>
          <t>Total OpEx (raw, expense-mapped)</t>
        </is>
      </c>
      <c r="O177" s="951" t="n">
        <v>0</v>
      </c>
    </row>
    <row r="178">
      <c r="A178" s="849" t="inlineStr">
        <is>
          <t>EBITDAR</t>
        </is>
      </c>
      <c r="O178" s="951" t="n">
        <v>0</v>
      </c>
    </row>
    <row r="179">
      <c r="A179" s="849" t="inlineStr">
        <is>
          <t>Unmapped lines:</t>
        </is>
      </c>
      <c r="C179" s="417" t="n">
        <v>0</v>
      </c>
      <c r="D179" s="398" t="inlineStr">
        <is>
          <t>🟢 all mapped</t>
        </is>
      </c>
    </row>
  </sheetData>
  <mergeCells count="18">
    <mergeCell ref="A86:R86"/>
    <mergeCell ref="A55:R55"/>
    <mergeCell ref="A29:R29"/>
    <mergeCell ref="A7:R7"/>
    <mergeCell ref="A57:R57"/>
    <mergeCell ref="A121:S121"/>
    <mergeCell ref="A1:S1"/>
    <mergeCell ref="A112:R112"/>
    <mergeCell ref="A46:R46"/>
    <mergeCell ref="A175:R175"/>
    <mergeCell ref="A37:R37"/>
    <mergeCell ref="A70:R70"/>
    <mergeCell ref="A54:S54"/>
    <mergeCell ref="A38:S38"/>
    <mergeCell ref="A2:S2"/>
    <mergeCell ref="A40:R40"/>
    <mergeCell ref="A18:R18"/>
    <mergeCell ref="A4:R4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7"/>
  <sheetViews>
    <sheetView topLeftCell="A12" zoomScale="137" zoomScaleNormal="160" workbookViewId="0">
      <selection activeCell="F33" sqref="F33"/>
    </sheetView>
  </sheetViews>
  <sheetFormatPr baseColWidth="8" defaultColWidth="8.85546875" defaultRowHeight="15"/>
  <cols>
    <col width="27.28515625" customWidth="1" style="817" min="1" max="1"/>
    <col width="10.28515625" customWidth="1" style="817" min="2" max="2"/>
    <col width="33.42578125" customWidth="1" style="817" min="3" max="3"/>
    <col width="16" customWidth="1" style="817" min="4" max="4"/>
    <col width="10.42578125" customWidth="1" style="817" min="6" max="6"/>
    <col width="12.140625" customWidth="1" style="817" min="7" max="7"/>
    <col width="13.85546875" customWidth="1" style="817" min="8" max="8"/>
  </cols>
  <sheetData>
    <row r="1" ht="24" customHeight="1" s="817">
      <c r="A1" s="827" t="inlineStr">
        <is>
          <t>ACQUISITION COSTS — USE OF CAPITAL</t>
        </is>
      </c>
    </row>
    <row r="3" ht="24" customHeight="1" s="817">
      <c r="A3" s="830" t="inlineStr">
        <is>
          <t>USE OF CAPITAL SUMMARY</t>
        </is>
      </c>
    </row>
    <row r="4" ht="18" customHeight="1" s="817">
      <c r="A4" s="8" t="inlineStr">
        <is>
          <t>Purchase Price</t>
        </is>
      </c>
      <c r="D4" s="21">
        <f>Scenarios!F7</f>
        <v/>
      </c>
    </row>
    <row r="5" ht="18" customHeight="1" s="817">
      <c r="A5" s="10" t="inlineStr">
        <is>
          <t>Less: Total Loan Amount</t>
        </is>
      </c>
      <c r="D5" s="961">
        <f>-Scenarios!F23</f>
        <v/>
      </c>
      <c r="F5" s="152" t="n"/>
      <c r="G5" s="76" t="n"/>
      <c r="H5" s="76" t="n"/>
    </row>
    <row r="6" ht="18" customHeight="1" s="817">
      <c r="A6" s="8" t="inlineStr">
        <is>
          <t>Down Payment Required</t>
        </is>
      </c>
      <c r="D6" s="21">
        <f>D4+D5</f>
        <v/>
      </c>
    </row>
    <row r="7" ht="18" customHeight="1" s="817">
      <c r="A7" s="10" t="inlineStr">
        <is>
          <t>Closing Costs</t>
        </is>
      </c>
      <c r="D7" s="29">
        <f>D37</f>
        <v/>
      </c>
    </row>
    <row r="8" ht="18" customHeight="1" s="817">
      <c r="A8" s="8" t="inlineStr">
        <is>
          <t>Acquisition Fee</t>
        </is>
      </c>
      <c r="B8" s="153">
        <f>Scenarios!F15</f>
        <v/>
      </c>
      <c r="D8" s="21">
        <f>Scenarios!F16</f>
        <v/>
      </c>
    </row>
    <row r="9" ht="18" customHeight="1" s="817">
      <c r="A9" s="10" t="inlineStr">
        <is>
          <t>Repair Escrow / CapEx</t>
        </is>
      </c>
      <c r="D9" s="23">
        <f>Scenarios!F12</f>
        <v/>
      </c>
    </row>
    <row r="10" ht="18" customHeight="1" s="817">
      <c r="A10" s="8" t="inlineStr">
        <is>
          <t>Operating Reserves</t>
        </is>
      </c>
      <c r="D10" s="21">
        <f>Scenarios!F13</f>
        <v/>
      </c>
    </row>
    <row r="11" ht="18" customHeight="1" s="817">
      <c r="A11" s="130" t="inlineStr">
        <is>
          <t>TOTAL CASH AT CLOSE</t>
        </is>
      </c>
      <c r="D11" s="80">
        <f>SUM(D6:D10)</f>
        <v/>
      </c>
      <c r="F11" s="152" t="n"/>
    </row>
    <row r="13" ht="24" customHeight="1" s="817">
      <c r="A13" s="827" t="inlineStr">
        <is>
          <t>CLOSING COSTS DETAIL</t>
        </is>
      </c>
    </row>
    <row r="14" ht="30" customHeight="1" s="817">
      <c r="A14" s="32" t="inlineStr">
        <is>
          <t>Item</t>
        </is>
      </c>
      <c r="B14" s="32" t="inlineStr">
        <is>
          <t>Rate/Factor</t>
        </is>
      </c>
      <c r="C14" s="32" t="inlineStr">
        <is>
          <t>Notes</t>
        </is>
      </c>
      <c r="D14" s="32" t="inlineStr">
        <is>
          <t>Amount</t>
        </is>
      </c>
    </row>
    <row r="15" ht="19.5" customHeight="1" s="817">
      <c r="A15" s="833" t="inlineStr">
        <is>
          <t>LENDER FEES &amp; THIRD-PARTY COSTS</t>
        </is>
      </c>
    </row>
    <row r="16" ht="18" customHeight="1" s="817">
      <c r="A16" s="65" t="inlineStr">
        <is>
          <t>Environmental (EDR)</t>
        </is>
      </c>
      <c r="C16" s="154" t="n"/>
      <c r="D16" s="66" t="n"/>
    </row>
    <row r="17" ht="18" customHeight="1" s="817">
      <c r="A17" s="62" t="inlineStr">
        <is>
          <t>Appraisal</t>
        </is>
      </c>
      <c r="C17" s="155" t="n"/>
      <c r="D17" s="63" t="n"/>
    </row>
    <row r="18" ht="18" customHeight="1" s="817">
      <c r="A18" s="65" t="inlineStr">
        <is>
          <t>Structural Inspection</t>
        </is>
      </c>
      <c r="D18" s="66" t="n"/>
    </row>
    <row r="19" ht="18" customHeight="1" s="817">
      <c r="A19" s="62" t="inlineStr">
        <is>
          <t>Lender Legal Fees</t>
        </is>
      </c>
      <c r="D19" s="63" t="n"/>
    </row>
    <row r="20" ht="18" customHeight="1" s="817">
      <c r="A20" s="65" t="inlineStr">
        <is>
          <t>Bank Doc Prep Fee</t>
        </is>
      </c>
      <c r="D20" s="66" t="n"/>
    </row>
    <row r="21" ht="18" customHeight="1" s="817">
      <c r="A21" s="62" t="inlineStr">
        <is>
          <t>Origination Fee</t>
        </is>
      </c>
      <c r="B21" s="519">
        <f>Scenarios!F140</f>
        <v/>
      </c>
      <c r="C21" s="156" t="inlineStr">
        <is>
          <t>Total origination fees — all tranches</t>
        </is>
      </c>
      <c r="D21" s="962">
        <f>Scenarios!F140*Scenarios!F135+Scenarios!F147*Scenarios!F142+Scenarios!F154*Scenarios!F149</f>
        <v/>
      </c>
    </row>
    <row r="22" ht="19.5" customHeight="1" s="817">
      <c r="A22" s="833" t="inlineStr">
        <is>
          <t>TITLE &amp; CLOSING COSTS</t>
        </is>
      </c>
    </row>
    <row r="23" ht="18" customHeight="1" s="817">
      <c r="A23" s="62" t="inlineStr">
        <is>
          <t>Title Policy</t>
        </is>
      </c>
      <c r="B23" s="157" t="n">
        <v>0.003</v>
      </c>
      <c r="C23" s="155" t="inlineStr">
        <is>
          <t>0.30% of purchase price</t>
        </is>
      </c>
      <c r="D23" s="21">
        <f>B23*Scenarios!F7</f>
        <v/>
      </c>
    </row>
    <row r="24" ht="18" customHeight="1" s="817">
      <c r="A24" s="65" t="inlineStr">
        <is>
          <t>Survey</t>
        </is>
      </c>
      <c r="D24" s="66" t="n"/>
    </row>
    <row r="25" ht="18" customHeight="1" s="817">
      <c r="A25" s="62" t="inlineStr">
        <is>
          <t>Recording</t>
        </is>
      </c>
      <c r="D25" s="63" t="n"/>
    </row>
    <row r="26" ht="18" customHeight="1" s="817">
      <c r="A26" s="65" t="inlineStr">
        <is>
          <t>Transfer Taxes</t>
        </is>
      </c>
      <c r="B26" s="158" t="n">
        <v>0.0035</v>
      </c>
      <c r="C26" s="159" t="inlineStr">
        <is>
          <t>0.35% of purchase price</t>
        </is>
      </c>
      <c r="D26" s="21">
        <f>B26*Scenarios!F7</f>
        <v/>
      </c>
    </row>
    <row r="27" ht="18" customHeight="1" s="817">
      <c r="A27" s="62" t="inlineStr">
        <is>
          <t>Title Processing Fee</t>
        </is>
      </c>
      <c r="D27" s="63" t="n"/>
    </row>
    <row r="28" ht="18" customHeight="1" s="817">
      <c r="A28" s="65" t="inlineStr">
        <is>
          <t>Title Search</t>
        </is>
      </c>
      <c r="D28" s="66" t="n"/>
    </row>
    <row r="29" ht="18" customHeight="1" s="817">
      <c r="A29" s="62" t="inlineStr">
        <is>
          <t>Attorney Fees</t>
        </is>
      </c>
      <c r="D29" s="63" t="n"/>
    </row>
    <row r="30" ht="19.5" customHeight="1" s="817">
      <c r="A30" s="833" t="inlineStr">
        <is>
          <t>OTHER COSTS</t>
        </is>
      </c>
    </row>
    <row r="31" ht="18" customHeight="1" s="817">
      <c r="A31" s="62" t="inlineStr">
        <is>
          <t>Legal (LLC, PPM, OA)</t>
        </is>
      </c>
      <c r="D31" s="63" t="n"/>
    </row>
    <row r="32" ht="18" customHeight="1" s="817">
      <c r="A32" s="65" t="inlineStr">
        <is>
          <t>Property Inspection</t>
        </is>
      </c>
      <c r="C32" s="101" t="n"/>
      <c r="D32" s="66" t="n"/>
    </row>
    <row r="33" ht="18" customHeight="1" s="817">
      <c r="A33" s="62" t="inlineStr">
        <is>
          <t>Travel</t>
        </is>
      </c>
      <c r="D33" s="63" t="n"/>
    </row>
    <row r="34" ht="18" customHeight="1" s="817">
      <c r="A34" s="65" t="inlineStr">
        <is>
          <t>Miscellaneous</t>
        </is>
      </c>
      <c r="D34" s="66" t="n"/>
    </row>
    <row r="35" ht="18" customHeight="1" s="817">
      <c r="A35" s="65" t="inlineStr">
        <is>
          <t>RE Taxes</t>
        </is>
      </c>
      <c r="D35" s="963">
        <f>Scenarios!F108/4</f>
        <v/>
      </c>
    </row>
    <row r="36" ht="18" customHeight="1" s="817">
      <c r="A36" s="65" t="inlineStr">
        <is>
          <t>Insurance</t>
        </is>
      </c>
      <c r="D36" s="963">
        <f>Scenarios!F104/4</f>
        <v/>
      </c>
    </row>
    <row r="37" ht="18" customHeight="1" s="817">
      <c r="A37" s="840" t="inlineStr">
        <is>
          <t>TOTAL CLOSING &amp; OTHER COSTS</t>
        </is>
      </c>
      <c r="D37" s="160">
        <f>IF(D4=0, "",SUM(D16:D36))</f>
        <v/>
      </c>
      <c r="E37" s="152" t="n"/>
    </row>
  </sheetData>
  <mergeCells count="7">
    <mergeCell ref="A1:D1"/>
    <mergeCell ref="A22:D22"/>
    <mergeCell ref="A37:C37"/>
    <mergeCell ref="A3:D3"/>
    <mergeCell ref="A30:D30"/>
    <mergeCell ref="A15:D15"/>
    <mergeCell ref="A13:D13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31"/>
  <sheetViews>
    <sheetView zoomScaleNormal="100" workbookViewId="0">
      <pane xSplit="2" ySplit="9" topLeftCell="C59" activePane="bottomRight" state="frozen"/>
      <selection pane="topRight" activeCell="C1" sqref="C1"/>
      <selection pane="bottomLeft" activeCell="A10" sqref="A10"/>
      <selection pane="bottomRight" activeCell="D78" sqref="D78"/>
    </sheetView>
  </sheetViews>
  <sheetFormatPr baseColWidth="8" defaultColWidth="8.85546875" defaultRowHeight="15"/>
  <cols>
    <col width="28" customWidth="1" style="817" min="1" max="1"/>
    <col width="15.28515625" bestFit="1" customWidth="1" style="817" min="2" max="2"/>
    <col width="26.28515625" bestFit="1" customWidth="1" style="817" min="3" max="3"/>
    <col width="59" bestFit="1" customWidth="1" style="817" min="4" max="4"/>
    <col width="46.28515625" bestFit="1" customWidth="1" style="817" min="5" max="5"/>
    <col width="8.7109375" bestFit="1" customWidth="1" style="817" min="6" max="6"/>
    <col width="7" bestFit="1" customWidth="1" style="817" min="7" max="7"/>
    <col width="9" customWidth="1" style="817" min="8" max="8"/>
    <col width="10" customWidth="1" style="817" min="9" max="10"/>
    <col width="12" customWidth="1" style="817" min="11" max="12"/>
    <col width="14" customWidth="1" style="817" min="13" max="13"/>
    <col width="10" customWidth="1" style="817" min="14" max="14"/>
    <col width="18" customWidth="1" style="817" min="15" max="15"/>
    <col width="12.42578125" customWidth="1" style="817" min="16" max="16"/>
  </cols>
  <sheetData>
    <row r="1" ht="24" customHeight="1" s="817">
      <c r="A1" s="827" t="inlineStr">
        <is>
          <t>STAFFING MATRIX — PER-SHIFT | FTE BUILD | HPPD | TOTAL PAYROLL → P&amp;L R28</t>
        </is>
      </c>
    </row>
    <row r="2" ht="15.75" customHeight="1" s="817">
      <c r="A2" s="835" t="inlineStr">
        <is>
          <t xml:space="preserve">  Blue=Input | Black=Formula | Green=Cross-sheet. Cell M69 (Total Payroll) feeds P&amp;L!C28 automatically. Census pulled from Scenarios sheet.</t>
        </is>
      </c>
    </row>
    <row r="4" ht="24" customHeight="1" s="817">
      <c r="A4" s="830" t="inlineStr">
        <is>
          <t>SECTION 1 — CENSUS &amp; STAFFING RATE ASSUMPTIONS</t>
        </is>
      </c>
    </row>
    <row r="5" ht="18" customHeight="1" s="817">
      <c r="A5" s="161" t="inlineStr">
        <is>
          <t>Total Units  (physical rooms, from Scenarios)</t>
        </is>
      </c>
      <c r="C5" s="162">
        <f>IFERROR(Scenarios!F8,90)</f>
        <v/>
      </c>
      <c r="D5" s="163" t="inlineStr">
        <is>
          <t>Physical rooms ≠ licensed beds — see Prop Info for bed count</t>
        </is>
      </c>
    </row>
    <row r="6" ht="18" customHeight="1" s="817">
      <c r="A6" s="164" t="inlineStr">
        <is>
          <t>AL Occupied Beds  (Y1 census)</t>
        </is>
      </c>
      <c r="C6" s="165" t="n"/>
      <c r="D6" s="100" t="inlineStr">
        <is>
          <t>Enter occupied bed count, not room count</t>
        </is>
      </c>
    </row>
    <row r="7" ht="18" customHeight="1" s="817">
      <c r="A7" s="164" t="inlineStr">
        <is>
          <t>MC Occupied Beds  (Y1 census)</t>
        </is>
      </c>
      <c r="C7" s="165" t="n"/>
      <c r="D7" s="100" t="inlineStr">
        <is>
          <t>Enter occupied bed count, not room count</t>
        </is>
      </c>
    </row>
    <row r="8" ht="18" customHeight="1" s="817">
      <c r="A8" s="164" t="inlineStr">
        <is>
          <t>IL Occupied Beds  (Y1 census)</t>
        </is>
      </c>
      <c r="C8" s="165" t="n"/>
    </row>
    <row r="9" ht="18" customHeight="1" s="817">
      <c r="A9" s="161" t="inlineStr">
        <is>
          <t>Total Care Residents  (AL + MC occupied beds)</t>
        </is>
      </c>
      <c r="C9" s="166">
        <f>C6+C7</f>
        <v/>
      </c>
    </row>
    <row r="10" ht="18" customHeight="1" s="817">
      <c r="A10" s="167" t="inlineStr">
        <is>
          <t>Licensed Beds  (from Prop Info — regulatory ceiling)</t>
        </is>
      </c>
      <c r="C10" s="168">
        <f>IFERROR('Prop Info'!$B$15,0)</f>
        <v/>
      </c>
      <c r="D10" s="169" t="inlineStr">
        <is>
          <t>Licensed beds = regulatory max. Occupied beds ≤ licensed beds.</t>
        </is>
      </c>
    </row>
    <row r="11" ht="19.5" customHeight="1" s="817">
      <c r="A11" s="833" t="inlineStr">
        <is>
          <t>Rate &amp; Cost Assumptions</t>
        </is>
      </c>
    </row>
    <row r="12" ht="18" customHeight="1" s="817">
      <c r="A12" s="62" t="inlineStr">
        <is>
          <t>Benefits Load (FICA + health + 401k)</t>
        </is>
      </c>
      <c r="C12" s="84" t="n">
        <v>0.2</v>
      </c>
      <c r="D12" s="170" t="inlineStr">
        <is>
          <t>Typical 18–22%</t>
        </is>
      </c>
    </row>
    <row r="13" ht="18" customHeight="1" s="817">
      <c r="A13" s="65" t="inlineStr">
        <is>
          <t>Overtime Load</t>
        </is>
      </c>
      <c r="C13" s="96" t="n">
        <v>0.05</v>
      </c>
      <c r="D13" s="171" t="inlineStr">
        <is>
          <t>5% of base wages; AL/MC often higher</t>
        </is>
      </c>
    </row>
    <row r="14" ht="18" customHeight="1" s="817">
      <c r="A14" s="62" t="inlineStr">
        <is>
          <t>Eve Differential ($/hr premium)</t>
        </is>
      </c>
      <c r="C14" s="172" t="n">
        <v>1.5</v>
      </c>
      <c r="D14" s="170" t="inlineStr">
        <is>
          <t>3p–11p shift</t>
        </is>
      </c>
    </row>
    <row r="15" ht="18" customHeight="1" s="817">
      <c r="A15" s="65" t="inlineStr">
        <is>
          <t>Night Differential ($/hr premium)</t>
        </is>
      </c>
      <c r="C15" s="173" t="n">
        <v>2.5</v>
      </c>
      <c r="D15" s="171" t="inlineStr">
        <is>
          <t>11p–7a shift</t>
        </is>
      </c>
    </row>
    <row r="16" ht="18" customHeight="1" s="817">
      <c r="A16" s="62" t="inlineStr">
        <is>
          <t>Weekend Premium ($/hr)</t>
        </is>
      </c>
      <c r="C16" s="172" t="n">
        <v>0.75</v>
      </c>
      <c r="D16" s="170" t="inlineStr">
        <is>
          <t>Added to shift differential</t>
        </is>
      </c>
    </row>
    <row r="18" ht="19.5" customHeight="1" s="817">
      <c r="A18" s="833" t="inlineStr">
        <is>
          <t>Target Staffing Ratios (residents : 1 staff)</t>
        </is>
      </c>
    </row>
    <row r="19" ht="15.75" customHeight="1" s="817">
      <c r="A19" s="835" t="inlineStr">
        <is>
          <t xml:space="preserve">  Ratio-driven CNA rows auto-calculate headcount. Verify against your state DOH minimum requirements.</t>
        </is>
      </c>
    </row>
    <row r="20" ht="18" customHeight="1" s="817">
      <c r="A20" s="62" t="inlineStr">
        <is>
          <t>AL — Day Shift (1:X residents per aide)</t>
        </is>
      </c>
      <c r="C20" s="113" t="n">
        <v>6</v>
      </c>
      <c r="D20" s="170" t="inlineStr">
        <is>
          <t>1:6 day; increase MC urgency</t>
        </is>
      </c>
    </row>
    <row r="21" ht="18" customHeight="1" s="817">
      <c r="A21" s="65" t="inlineStr">
        <is>
          <t>AL — Evening Shift (1:X)</t>
        </is>
      </c>
      <c r="C21" s="112" t="n">
        <v>7</v>
      </c>
      <c r="D21" s="171" t="inlineStr">
        <is>
          <t>1:7 eve; lighter acuity overnight</t>
        </is>
      </c>
    </row>
    <row r="22" ht="18" customHeight="1" s="817">
      <c r="A22" s="62" t="inlineStr">
        <is>
          <t>AL — Night Shift (1:X)</t>
        </is>
      </c>
      <c r="C22" s="113" t="n">
        <v>10</v>
      </c>
      <c r="D22" s="170" t="inlineStr">
        <is>
          <t>1:10 night minimum</t>
        </is>
      </c>
    </row>
    <row r="23" ht="18" customHeight="1" s="817">
      <c r="A23" s="65" t="inlineStr">
        <is>
          <t>MC — Day Shift (1:X)</t>
        </is>
      </c>
      <c r="C23" s="112" t="n">
        <v>5</v>
      </c>
      <c r="D23" s="171" t="inlineStr">
        <is>
          <t>1:5 MC day; CMS recommends closer to 1:4</t>
        </is>
      </c>
    </row>
    <row r="24" ht="18" customHeight="1" s="817">
      <c r="A24" s="62" t="inlineStr">
        <is>
          <t>MC — Evening Shift (1:X)</t>
        </is>
      </c>
      <c r="C24" s="113" t="n">
        <v>6</v>
      </c>
      <c r="D24" s="170" t="inlineStr">
        <is>
          <t>1:6 MC eve</t>
        </is>
      </c>
    </row>
    <row r="25" ht="18" customHeight="1" s="817">
      <c r="A25" s="65" t="inlineStr">
        <is>
          <t>MC — Night Shift (1:X)</t>
        </is>
      </c>
      <c r="C25" s="112" t="n">
        <v>8</v>
      </c>
      <c r="D25" s="171" t="inlineStr">
        <is>
          <t>1:8 MC night</t>
        </is>
      </c>
    </row>
    <row r="27" ht="24" customHeight="1" s="817">
      <c r="A27" s="827" t="inlineStr">
        <is>
          <t>SECTION 2 — PER-SHIFT HEADCOUNT MATRIX  (staff per shift × 6 shifts)</t>
        </is>
      </c>
    </row>
    <row r="28" ht="27.75" customHeight="1" s="817">
      <c r="C28" s="856" t="inlineStr">
        <is>
          <t>WEEKDAY</t>
        </is>
      </c>
      <c r="F28" s="855" t="inlineStr">
        <is>
          <t>WEEKEND</t>
        </is>
      </c>
      <c r="I28" s="32" t="inlineStr">
        <is>
          <t>Hrs/Wk</t>
        </is>
      </c>
      <c r="J28" s="32" t="inlineStr">
        <is>
          <t>FTEs</t>
        </is>
      </c>
      <c r="K28" s="32" t="inlineStr">
        <is>
          <t>Base
$/hr</t>
        </is>
      </c>
      <c r="L28" s="32" t="inlineStr">
        <is>
          <t>Shift-Adj
$/hr</t>
        </is>
      </c>
      <c r="M28" s="32" t="inlineStr">
        <is>
          <t>Annual
Cost ($)</t>
        </is>
      </c>
      <c r="N28" s="32" t="inlineStr">
        <is>
          <t>% Total
Payroll</t>
        </is>
      </c>
    </row>
    <row r="29" ht="27.75" customHeight="1" s="817">
      <c r="A29" s="42" t="inlineStr">
        <is>
          <t>Position</t>
        </is>
      </c>
      <c r="B29" s="32" t="inlineStr">
        <is>
          <t>Dept</t>
        </is>
      </c>
      <c r="C29" s="104" t="inlineStr">
        <is>
          <t>Day
7a–3p</t>
        </is>
      </c>
      <c r="D29" s="104" t="inlineStr">
        <is>
          <t>Eve
3p–11p</t>
        </is>
      </c>
      <c r="E29" s="104" t="inlineStr">
        <is>
          <t>Night
11p–7a</t>
        </is>
      </c>
      <c r="F29" s="19" t="inlineStr">
        <is>
          <t>Day
7a–3p</t>
        </is>
      </c>
      <c r="G29" s="19" t="inlineStr">
        <is>
          <t>Eve
3p–11p</t>
        </is>
      </c>
      <c r="H29" s="19" t="inlineStr">
        <is>
          <t>Night
11p–7a</t>
        </is>
      </c>
    </row>
    <row r="30" ht="19.5" customHeight="1" s="817">
      <c r="A30" s="833" t="inlineStr">
        <is>
          <t xml:space="preserve">  Care Staff</t>
        </is>
      </c>
    </row>
    <row r="31" ht="18" customHeight="1" s="817">
      <c r="A31" s="62" t="inlineStr">
        <is>
          <t>Director of Nursing</t>
        </is>
      </c>
      <c r="B31" s="174" t="inlineStr">
        <is>
          <t>Care</t>
        </is>
      </c>
      <c r="C31" s="113" t="n"/>
      <c r="D31" s="175" t="n">
        <v>0</v>
      </c>
      <c r="E31" s="175" t="n">
        <v>0</v>
      </c>
      <c r="F31" s="113" t="n"/>
      <c r="G31" s="175" t="n">
        <v>0</v>
      </c>
      <c r="H31" s="175" t="n">
        <v>0</v>
      </c>
      <c r="I31" s="176">
        <f>((C31+D31+E31)*5+(F31+G31+H31)*2)*8</f>
        <v/>
      </c>
      <c r="J31" s="141">
        <f>IFERROR(I31*52/2080,0)</f>
        <v/>
      </c>
      <c r="K31" s="177" t="n"/>
      <c r="L31" s="178">
        <f>IFERROR((C31*K31+D31*(K31+$C$14)+E31*(K31+$C$15)+F31*(K31+$C$16)+G31*(K31+$C$14+$C$16)+H31*(K31+$C$15+$C$16))/MAX(C31+D31+E31+F31+G31+H31,1),K31)</f>
        <v/>
      </c>
      <c r="M31" s="75">
        <f>IFERROR(J31*2080*L31*(1+$C$12)*(1+$C$13),0)</f>
        <v/>
      </c>
      <c r="N31" s="82">
        <f>IFERROR(M31/M67,0)</f>
        <v/>
      </c>
    </row>
    <row r="32" ht="18" customHeight="1" s="817">
      <c r="A32" s="65" t="inlineStr">
        <is>
          <t>RN / Asst DON</t>
        </is>
      </c>
      <c r="B32" s="179" t="inlineStr">
        <is>
          <t>Care</t>
        </is>
      </c>
      <c r="C32" s="112" t="n"/>
      <c r="D32" s="112" t="n"/>
      <c r="E32" s="180" t="n">
        <v>0</v>
      </c>
      <c r="F32" s="112" t="n"/>
      <c r="G32" s="180" t="n">
        <v>0</v>
      </c>
      <c r="H32" s="180" t="n">
        <v>0</v>
      </c>
      <c r="I32" s="181">
        <f>((C32+D32+E32)*5+(F32+G32+H32)*2)*8</f>
        <v/>
      </c>
      <c r="J32" s="182">
        <f>IFERROR(I32*52/2080,0)</f>
        <v/>
      </c>
      <c r="K32" s="177" t="n"/>
      <c r="L32" s="183">
        <f>IFERROR((C32*K32+D32*(K32+$C$14)+E32*(K32+$C$15)+F32*(K32+$C$16)+G32*(K32+$C$14+$C$16)+H32*(K32+$C$15+$C$16))/MAX(C32+D32+E32+F32+G32+H32,1),K32)</f>
        <v/>
      </c>
      <c r="M32" s="71">
        <f>IFERROR(J32*2080*L32*(1+$C$12)*(1+$C$13),0)</f>
        <v/>
      </c>
      <c r="N32" s="83">
        <f>IFERROR(M32/M67,0)</f>
        <v/>
      </c>
    </row>
    <row r="33" ht="18" customHeight="1" s="817">
      <c r="A33" s="62" t="inlineStr">
        <is>
          <t>Med Tech / CMA</t>
        </is>
      </c>
      <c r="B33" s="174" t="inlineStr">
        <is>
          <t>Care</t>
        </is>
      </c>
      <c r="C33" s="113" t="n"/>
      <c r="D33" s="113" t="n"/>
      <c r="E33" s="113" t="n"/>
      <c r="F33" s="113" t="n"/>
      <c r="G33" s="113" t="n"/>
      <c r="H33" s="113" t="n"/>
      <c r="I33" s="176">
        <f>((C33+D33+E33)*5+(F33+G33+H33)*2)*8</f>
        <v/>
      </c>
      <c r="J33" s="141">
        <f>IFERROR(I33*52/2080,0)</f>
        <v/>
      </c>
      <c r="K33" s="177" t="n"/>
      <c r="L33" s="178">
        <f>IFERROR((C33*K33+D33*(K33+$C$14)+E33*(K33+$C$15)+F33*(K33+$C$16)+G33*(K33+$C$14+$C$16)+H33*(K33+$C$15+$C$16))/MAX(C33+D33+E33+F33+G33+H33,1),K33)</f>
        <v/>
      </c>
      <c r="M33" s="75">
        <f>IFERROR(J33*2080*L33*(1+$C$12)*(1+$C$13),0)</f>
        <v/>
      </c>
      <c r="N33" s="82">
        <f>IFERROR(M33/M67,0)</f>
        <v/>
      </c>
    </row>
    <row r="34" ht="18" customHeight="1" s="817">
      <c r="A34" s="65" t="inlineStr">
        <is>
          <t>CNA — Day (AL)</t>
        </is>
      </c>
      <c r="B34" s="179" t="inlineStr">
        <is>
          <t>Care</t>
        </is>
      </c>
      <c r="C34" s="184">
        <f>IFERROR(CEILING(C6/C20,1),0)</f>
        <v/>
      </c>
      <c r="D34" s="180" t="n">
        <v>0</v>
      </c>
      <c r="E34" s="180" t="n">
        <v>0</v>
      </c>
      <c r="F34" s="184">
        <f>IFERROR(CEILING(C6/C20,1),0)</f>
        <v/>
      </c>
      <c r="G34" s="180" t="n">
        <v>0</v>
      </c>
      <c r="H34" s="180" t="n">
        <v>0</v>
      </c>
      <c r="I34" s="181">
        <f>((C34+D34+E34)*5+(F34+G34+H34)*2)*8</f>
        <v/>
      </c>
      <c r="J34" s="182">
        <f>IFERROR(I34*52/2080,0)</f>
        <v/>
      </c>
      <c r="K34" s="177" t="n"/>
      <c r="L34" s="183">
        <f>IFERROR((C34*K34+D34*(K34+$C$14)+E34*(K34+$C$15)+F34*(K34+$C$16)+G34*(K34+$C$14+$C$16)+H34*(K34+$C$15+$C$16))/MAX(C34+D34+E34+F34+G34+H34,1),K34)</f>
        <v/>
      </c>
      <c r="M34" s="71">
        <f>IFERROR(J34*2080*L34*(1+$C$12)*(1+$C$13),0)</f>
        <v/>
      </c>
      <c r="N34" s="83">
        <f>IFERROR(M34/M67,0)</f>
        <v/>
      </c>
    </row>
    <row r="35" ht="18" customHeight="1" s="817">
      <c r="A35" s="62" t="inlineStr">
        <is>
          <t>CNA — Eve (AL)</t>
        </is>
      </c>
      <c r="B35" s="174" t="inlineStr">
        <is>
          <t>Care</t>
        </is>
      </c>
      <c r="C35" s="175" t="n">
        <v>0</v>
      </c>
      <c r="D35" s="184">
        <f>IFERROR(CEILING(C6/C21,1),0)</f>
        <v/>
      </c>
      <c r="E35" s="175" t="n">
        <v>0</v>
      </c>
      <c r="F35" s="175" t="n">
        <v>0</v>
      </c>
      <c r="G35" s="184">
        <f>IFERROR(CEILING(C6/C21,1),0)</f>
        <v/>
      </c>
      <c r="H35" s="175" t="n">
        <v>0</v>
      </c>
      <c r="I35" s="176">
        <f>((C35+D35+E35)*5+(F35+G35+H35)*2)*8</f>
        <v/>
      </c>
      <c r="J35" s="141">
        <f>IFERROR(I35*52/2080,0)</f>
        <v/>
      </c>
      <c r="K35" s="177" t="n"/>
      <c r="L35" s="178">
        <f>IFERROR((C35*K35+D35*(K35+$C$14)+E35*(K35+$C$15)+F35*(K35+$C$16)+G35*(K35+$C$14+$C$16)+H35*(K35+$C$15+$C$16))/MAX(C35+D35+E35+F35+G35+H35,1),K35)</f>
        <v/>
      </c>
      <c r="M35" s="75">
        <f>IFERROR(J35*2080*L35*(1+$C$12)*(1+$C$13),0)</f>
        <v/>
      </c>
      <c r="N35" s="82">
        <f>IFERROR(M35/M67,0)</f>
        <v/>
      </c>
    </row>
    <row r="36" ht="18" customHeight="1" s="817">
      <c r="A36" s="65" t="inlineStr">
        <is>
          <t>CNA — Night (AL)</t>
        </is>
      </c>
      <c r="B36" s="179" t="inlineStr">
        <is>
          <t>Care</t>
        </is>
      </c>
      <c r="C36" s="180" t="n">
        <v>0</v>
      </c>
      <c r="D36" s="180" t="n">
        <v>0</v>
      </c>
      <c r="E36" s="184">
        <f>IFERROR(CEILING(C6/C22,1),0)</f>
        <v/>
      </c>
      <c r="F36" s="180" t="n">
        <v>0</v>
      </c>
      <c r="G36" s="180" t="n">
        <v>0</v>
      </c>
      <c r="H36" s="184">
        <f>IFERROR(CEILING(C6/C22,1),0)</f>
        <v/>
      </c>
      <c r="I36" s="181">
        <f>((C36+D36+E36)*5+(F36+G36+H36)*2)*8</f>
        <v/>
      </c>
      <c r="J36" s="182">
        <f>IFERROR(I36*52/2080,0)</f>
        <v/>
      </c>
      <c r="K36" s="177" t="n"/>
      <c r="L36" s="183">
        <f>IFERROR((C36*K36+D36*(K36+$C$14)+E36*(K36+$C$15)+F36*(K36+$C$16)+G36*(K36+$C$14+$C$16)+H36*(K36+$C$15+$C$16))/MAX(C36+D36+E36+F36+G36+H36,1),K36)</f>
        <v/>
      </c>
      <c r="M36" s="71">
        <f>IFERROR(J36*2080*L36*(1+$C$12)*(1+$C$13),0)</f>
        <v/>
      </c>
      <c r="N36" s="83">
        <f>IFERROR(M36/M67,0)</f>
        <v/>
      </c>
    </row>
    <row r="37" ht="18" customHeight="1" s="817">
      <c r="A37" s="62" t="inlineStr">
        <is>
          <t>CNA — Day (MC)</t>
        </is>
      </c>
      <c r="B37" s="174" t="inlineStr">
        <is>
          <t>Care</t>
        </is>
      </c>
      <c r="C37" s="184">
        <f>IFERROR(CEILING(C7/C23,1),0)</f>
        <v/>
      </c>
      <c r="D37" s="175" t="n">
        <v>0</v>
      </c>
      <c r="E37" s="175" t="n">
        <v>0</v>
      </c>
      <c r="F37" s="184">
        <f>IFERROR(CEILING(C7/C23,1),0)</f>
        <v/>
      </c>
      <c r="G37" s="175" t="n">
        <v>0</v>
      </c>
      <c r="H37" s="175" t="n">
        <v>0</v>
      </c>
      <c r="I37" s="176">
        <f>((C37+D37+E37)*5+(F37+G37+H37)*2)*8</f>
        <v/>
      </c>
      <c r="J37" s="141">
        <f>IFERROR(I37*52/2080,0)</f>
        <v/>
      </c>
      <c r="K37" s="177" t="n"/>
      <c r="L37" s="178">
        <f>IFERROR((C37*K37+D37*(K37+$C$14)+E37*(K37+$C$15)+F37*(K37+$C$16)+G37*(K37+$C$14+$C$16)+H37*(K37+$C$15+$C$16))/MAX(C37+D37+E37+F37+G37+H37,1),K37)</f>
        <v/>
      </c>
      <c r="M37" s="75">
        <f>IFERROR(J37*2080*L37*(1+$C$12)*(1+$C$13),0)</f>
        <v/>
      </c>
      <c r="N37" s="82">
        <f>IFERROR(M37/M67,0)</f>
        <v/>
      </c>
    </row>
    <row r="38" ht="18" customHeight="1" s="817">
      <c r="A38" s="65" t="inlineStr">
        <is>
          <t>CNA — Eve (MC)</t>
        </is>
      </c>
      <c r="B38" s="179" t="inlineStr">
        <is>
          <t>Care</t>
        </is>
      </c>
      <c r="C38" s="180" t="n">
        <v>0</v>
      </c>
      <c r="D38" s="184">
        <f>IFERROR(CEILING(C7/C24,1),0)</f>
        <v/>
      </c>
      <c r="E38" s="180" t="n">
        <v>0</v>
      </c>
      <c r="F38" s="180" t="n">
        <v>0</v>
      </c>
      <c r="G38" s="184">
        <f>IFERROR(CEILING(C7/C24,1),0)</f>
        <v/>
      </c>
      <c r="H38" s="180" t="n">
        <v>0</v>
      </c>
      <c r="I38" s="181">
        <f>((C38+D38+E38)*5+(F38+G38+H38)*2)*8</f>
        <v/>
      </c>
      <c r="J38" s="182">
        <f>IFERROR(I38*52/2080,0)</f>
        <v/>
      </c>
      <c r="K38" s="177" t="n"/>
      <c r="L38" s="183">
        <f>IFERROR((C38*K38+D38*(K38+$C$14)+E38*(K38+$C$15)+F38*(K38+$C$16)+G38*(K38+$C$14+$C$16)+H38*(K38+$C$15+$C$16))/MAX(C38+D38+E38+F38+G38+H38,1),K38)</f>
        <v/>
      </c>
      <c r="M38" s="71">
        <f>IFERROR(J38*2080*L38*(1+$C$12)*(1+$C$13),0)</f>
        <v/>
      </c>
      <c r="N38" s="83">
        <f>IFERROR(M38/M67,0)</f>
        <v/>
      </c>
    </row>
    <row r="39" ht="18" customHeight="1" s="817">
      <c r="A39" s="62" t="inlineStr">
        <is>
          <t>CNA — Night (MC)</t>
        </is>
      </c>
      <c r="B39" s="174" t="inlineStr">
        <is>
          <t>Care</t>
        </is>
      </c>
      <c r="C39" s="175" t="n">
        <v>0</v>
      </c>
      <c r="D39" s="175" t="n">
        <v>0</v>
      </c>
      <c r="E39" s="184">
        <f>IFERROR(CEILING(C7/C25,1),0)</f>
        <v/>
      </c>
      <c r="F39" s="175" t="n">
        <v>0</v>
      </c>
      <c r="G39" s="175" t="n">
        <v>0</v>
      </c>
      <c r="H39" s="184">
        <f>IFERROR(CEILING(C7/C25,1),0)</f>
        <v/>
      </c>
      <c r="I39" s="176">
        <f>((C39+D39+E39)*5+(F39+G39+H39)*2)*8</f>
        <v/>
      </c>
      <c r="J39" s="141">
        <f>IFERROR(I39*52/2080,0)</f>
        <v/>
      </c>
      <c r="K39" s="177" t="n"/>
      <c r="L39" s="178">
        <f>IFERROR((C39*K39+D39*(K39+$C$14)+E39*(K39+$C$15)+F39*(K39+$C$16)+G39*(K39+$C$14+$C$16)+H39*(K39+$C$15+$C$16))/MAX(C39+D39+E39+F39+G39+H39,1),K39)</f>
        <v/>
      </c>
      <c r="M39" s="75">
        <f>IFERROR(J39*2080*L39*(1+$C$12)*(1+$C$13),0)</f>
        <v/>
      </c>
      <c r="N39" s="82">
        <f>IFERROR(M39/M67,0)</f>
        <v/>
      </c>
    </row>
    <row r="40" ht="18" customHeight="1" s="817">
      <c r="A40" s="853" t="inlineStr">
        <is>
          <t xml:space="preserve">  Subtotal — Care Staff</t>
        </is>
      </c>
      <c r="C40" s="185">
        <f>SUM(C31:C39)</f>
        <v/>
      </c>
      <c r="D40" s="185">
        <f>SUM(D31:D39)</f>
        <v/>
      </c>
      <c r="E40" s="185">
        <f>SUM(E31:E39)</f>
        <v/>
      </c>
      <c r="F40" s="185">
        <f>SUM(F31:F39)</f>
        <v/>
      </c>
      <c r="G40" s="185">
        <f>SUM(G31:G39)</f>
        <v/>
      </c>
      <c r="H40" s="185">
        <f>SUM(H31:H39)</f>
        <v/>
      </c>
      <c r="I40" s="185">
        <f>SUM(I31:I39)</f>
        <v/>
      </c>
      <c r="J40" s="186">
        <f>SUM(J31:J39)</f>
        <v/>
      </c>
      <c r="K40" s="187" t="n"/>
      <c r="L40" s="187" t="n"/>
      <c r="M40" s="79">
        <f>SUM(M31:M39)</f>
        <v/>
      </c>
      <c r="N40" s="187" t="n"/>
    </row>
    <row r="42" ht="19.5" customHeight="1" s="817">
      <c r="A42" s="833" t="inlineStr">
        <is>
          <t xml:space="preserve">  Dining</t>
        </is>
      </c>
    </row>
    <row r="43" ht="18" customHeight="1" s="817">
      <c r="A43" s="62" t="inlineStr">
        <is>
          <t>Dining Manager / Chef</t>
        </is>
      </c>
      <c r="B43" s="174" t="inlineStr">
        <is>
          <t>Dining</t>
        </is>
      </c>
      <c r="C43" s="113" t="n"/>
      <c r="D43" s="113" t="n"/>
      <c r="E43" s="175" t="n">
        <v>0</v>
      </c>
      <c r="F43" s="113" t="n"/>
      <c r="G43" s="113" t="n"/>
      <c r="H43" s="175" t="n">
        <v>0</v>
      </c>
      <c r="I43" s="176">
        <f>((C43+D43+E43)*5+(F43+G43+H43)*2)*8</f>
        <v/>
      </c>
      <c r="J43" s="141">
        <f>IFERROR(I43*52/2080,0)</f>
        <v/>
      </c>
      <c r="K43" s="177" t="n"/>
      <c r="L43" s="178">
        <f>IFERROR((C43*K43+D43*(K43+$C$14)+E43*(K43+$C$15)+F43*(K43+$C$16)+G43*(K43+$C$14+$C$16)+H43*(K43+$C$15+$C$16))/MAX(C43+D43+E43+F43+G43+H43,1),K43)</f>
        <v/>
      </c>
      <c r="M43" s="75">
        <f>IFERROR(J43*2080*L43*(1+$C$12)*(1+$C$13),0)</f>
        <v/>
      </c>
      <c r="N43" s="82">
        <f>IFERROR(M43/M67,0)</f>
        <v/>
      </c>
    </row>
    <row r="44" ht="18" customHeight="1" s="817">
      <c r="A44" s="65" t="inlineStr">
        <is>
          <t>Cook</t>
        </is>
      </c>
      <c r="B44" s="179" t="inlineStr">
        <is>
          <t>Dining</t>
        </is>
      </c>
      <c r="C44" s="112" t="n"/>
      <c r="D44" s="112" t="n"/>
      <c r="E44" s="180" t="n">
        <v>0</v>
      </c>
      <c r="F44" s="112" t="n"/>
      <c r="G44" s="112" t="n"/>
      <c r="H44" s="180" t="n">
        <v>0</v>
      </c>
      <c r="I44" s="181">
        <f>((C44+D44+E44)*5+(F44+G44+H44)*2)*8</f>
        <v/>
      </c>
      <c r="J44" s="182">
        <f>IFERROR(I44*52/2080,0)</f>
        <v/>
      </c>
      <c r="K44" s="177" t="n"/>
      <c r="L44" s="183">
        <f>IFERROR((C44*K44+D44*(K44+$C$14)+E44*(K44+$C$15)+F44*(K44+$C$16)+G44*(K44+$C$14+$C$16)+H44*(K44+$C$15+$C$16))/MAX(C44+D44+E44+F44+G44+H44,1),K44)</f>
        <v/>
      </c>
      <c r="M44" s="71">
        <f>IFERROR(J44*2080*L44*(1+$C$12)*(1+$C$13),0)</f>
        <v/>
      </c>
      <c r="N44" s="83">
        <f>IFERROR(M44/M67,0)</f>
        <v/>
      </c>
    </row>
    <row r="45" ht="18" customHeight="1" s="817">
      <c r="A45" s="62" t="inlineStr">
        <is>
          <t>Dietary Aide / Server</t>
        </is>
      </c>
      <c r="B45" s="174" t="inlineStr">
        <is>
          <t>Dining</t>
        </is>
      </c>
      <c r="C45" s="113" t="n"/>
      <c r="D45" s="113" t="n"/>
      <c r="E45" s="175" t="n">
        <v>0</v>
      </c>
      <c r="F45" s="113" t="n"/>
      <c r="G45" s="113" t="n"/>
      <c r="H45" s="175" t="n">
        <v>0</v>
      </c>
      <c r="I45" s="176">
        <f>((C45+D45+E45)*5+(F45+G45+H45)*2)*8</f>
        <v/>
      </c>
      <c r="J45" s="141">
        <f>IFERROR(I45*52/2080,0)</f>
        <v/>
      </c>
      <c r="K45" s="177" t="n"/>
      <c r="L45" s="178">
        <f>IFERROR((C45*K45+D45*(K45+$C$14)+E45*(K45+$C$15)+F45*(K45+$C$16)+G45*(K45+$C$14+$C$16)+H45*(K45+$C$15+$C$16))/MAX(C45+D45+E45+F45+G45+H45,1),K45)</f>
        <v/>
      </c>
      <c r="M45" s="75">
        <f>IFERROR(J45*2080*L45*(1+$C$12)*(1+$C$13),0)</f>
        <v/>
      </c>
      <c r="N45" s="82">
        <f>IFERROR(M45/M67,0)</f>
        <v/>
      </c>
    </row>
    <row r="46" ht="18" customHeight="1" s="817">
      <c r="A46" s="65" t="inlineStr">
        <is>
          <t>Dishwasher</t>
        </is>
      </c>
      <c r="B46" s="179" t="inlineStr">
        <is>
          <t>Dining</t>
        </is>
      </c>
      <c r="C46" s="112" t="n"/>
      <c r="D46" s="112" t="n"/>
      <c r="E46" s="180" t="n">
        <v>0</v>
      </c>
      <c r="F46" s="112" t="n"/>
      <c r="G46" s="112" t="n"/>
      <c r="H46" s="180" t="n">
        <v>0</v>
      </c>
      <c r="I46" s="181">
        <f>((C46+D46+E46)*5+(F46+G46+H46)*2)*8</f>
        <v/>
      </c>
      <c r="J46" s="182">
        <f>IFERROR(I46*52/2080,0)</f>
        <v/>
      </c>
      <c r="K46" s="177" t="n"/>
      <c r="L46" s="183">
        <f>IFERROR((C46*K46+D46*(K46+$C$14)+E46*(K46+$C$15)+F46*(K46+$C$16)+G46*(K46+$C$14+$C$16)+H46*(K46+$C$15+$C$16))/MAX(C46+D46+E46+F46+G46+H46,1),K46)</f>
        <v/>
      </c>
      <c r="M46" s="71">
        <f>IFERROR(J46*2080*L46*(1+$C$12)*(1+$C$13),0)</f>
        <v/>
      </c>
      <c r="N46" s="83">
        <f>IFERROR(M46/M67,0)</f>
        <v/>
      </c>
    </row>
    <row r="47" ht="18" customHeight="1" s="817">
      <c r="A47" s="853" t="inlineStr">
        <is>
          <t xml:space="preserve">  Subtotal — Dining</t>
        </is>
      </c>
      <c r="C47" s="185">
        <f>SUM(C43:C46)</f>
        <v/>
      </c>
      <c r="D47" s="185">
        <f>SUM(D43:D46)</f>
        <v/>
      </c>
      <c r="E47" s="185">
        <f>SUM(E43:E46)</f>
        <v/>
      </c>
      <c r="F47" s="185">
        <f>SUM(F43:F46)</f>
        <v/>
      </c>
      <c r="G47" s="185">
        <f>SUM(G43:G46)</f>
        <v/>
      </c>
      <c r="H47" s="185">
        <f>SUM(H43:H46)</f>
        <v/>
      </c>
      <c r="I47" s="185">
        <f>SUM(I43:I46)</f>
        <v/>
      </c>
      <c r="J47" s="186">
        <f>SUM(J43:J46)</f>
        <v/>
      </c>
      <c r="K47" s="187" t="n"/>
      <c r="L47" s="187" t="n"/>
      <c r="M47" s="79">
        <f>SUM(M43:M46)</f>
        <v/>
      </c>
      <c r="N47" s="187" t="n"/>
    </row>
    <row r="49" ht="19.5" customHeight="1" s="817">
      <c r="A49" s="833" t="inlineStr">
        <is>
          <t xml:space="preserve">  Housekeeping / Laundry</t>
        </is>
      </c>
    </row>
    <row r="50" ht="18" customHeight="1" s="817">
      <c r="A50" s="62" t="inlineStr">
        <is>
          <t>Housekeeper Sup.</t>
        </is>
      </c>
      <c r="B50" s="174" t="inlineStr">
        <is>
          <t>H/K</t>
        </is>
      </c>
      <c r="C50" s="113" t="n"/>
      <c r="D50" s="175" t="n">
        <v>0</v>
      </c>
      <c r="E50" s="175" t="n">
        <v>0</v>
      </c>
      <c r="F50" s="113" t="n"/>
      <c r="G50" s="175" t="n">
        <v>0</v>
      </c>
      <c r="H50" s="175" t="n">
        <v>0</v>
      </c>
      <c r="I50" s="176">
        <f>((C50+D50+E50)*5+(F50+G50+H50)*2)*8</f>
        <v/>
      </c>
      <c r="J50" s="141">
        <f>IFERROR(I50*52/2080,0)</f>
        <v/>
      </c>
      <c r="K50" s="177" t="n"/>
      <c r="L50" s="178">
        <f>IFERROR((C50*K50+D50*(K50+$C$14)+E50*(K50+$C$15)+F50*(K50+$C$16)+G50*(K50+$C$14+$C$16)+H50*(K50+$C$15+$C$16))/MAX(C50+D50+E50+F50+G50+H50,1),K50)</f>
        <v/>
      </c>
      <c r="M50" s="75">
        <f>IFERROR(J50*2080*L50*(1+$C$12)*(1+$C$13),0)</f>
        <v/>
      </c>
      <c r="N50" s="82">
        <f>IFERROR(M50/M67,0)</f>
        <v/>
      </c>
    </row>
    <row r="51" ht="18" customHeight="1" s="817">
      <c r="A51" s="65" t="inlineStr">
        <is>
          <t>Housekeeper</t>
        </is>
      </c>
      <c r="B51" s="179" t="inlineStr">
        <is>
          <t>H/K</t>
        </is>
      </c>
      <c r="C51" s="112" t="n"/>
      <c r="D51" s="180" t="n">
        <v>0</v>
      </c>
      <c r="E51" s="180" t="n">
        <v>0</v>
      </c>
      <c r="F51" s="112" t="n"/>
      <c r="G51" s="180" t="n">
        <v>0</v>
      </c>
      <c r="H51" s="180" t="n">
        <v>0</v>
      </c>
      <c r="I51" s="181">
        <f>((C51+D51+E51)*5+(F51+G51+H51)*2)*8</f>
        <v/>
      </c>
      <c r="J51" s="182">
        <f>IFERROR(I51*52/2080,0)</f>
        <v/>
      </c>
      <c r="K51" s="177" t="n"/>
      <c r="L51" s="183">
        <f>IFERROR((C51*K51+D51*(K51+$C$14)+E51*(K51+$C$15)+F51*(K51+$C$16)+G51*(K51+$C$14+$C$16)+H51*(K51+$C$15+$C$16))/MAX(C51+D51+E51+F51+G51+H51,1),K51)</f>
        <v/>
      </c>
      <c r="M51" s="71">
        <f>IFERROR(J51*2080*L51*(1+$C$12)*(1+$C$13),0)</f>
        <v/>
      </c>
      <c r="N51" s="83">
        <f>IFERROR(M51/M67,0)</f>
        <v/>
      </c>
    </row>
    <row r="52" ht="18" customHeight="1" s="817">
      <c r="A52" s="62" t="inlineStr">
        <is>
          <t>Laundry Aide</t>
        </is>
      </c>
      <c r="B52" s="174" t="inlineStr">
        <is>
          <t>H/K</t>
        </is>
      </c>
      <c r="C52" s="113" t="n"/>
      <c r="D52" s="113" t="n"/>
      <c r="E52" s="175" t="n">
        <v>0</v>
      </c>
      <c r="F52" s="113" t="n"/>
      <c r="G52" s="175" t="n">
        <v>0</v>
      </c>
      <c r="H52" s="175" t="n">
        <v>0</v>
      </c>
      <c r="I52" s="176">
        <f>((C52+D52+E52)*5+(F52+G52+H52)*2)*8</f>
        <v/>
      </c>
      <c r="J52" s="141">
        <f>IFERROR(I52*52/2080,0)</f>
        <v/>
      </c>
      <c r="K52" s="177" t="n"/>
      <c r="L52" s="178">
        <f>IFERROR((C52*K52+D52*(K52+$C$14)+E52*(K52+$C$15)+F52*(K52+$C$16)+G52*(K52+$C$14+$C$16)+H52*(K52+$C$15+$C$16))/MAX(C52+D52+E52+F52+G52+H52,1),K52)</f>
        <v/>
      </c>
      <c r="M52" s="75">
        <f>IFERROR(J52*2080*L52*(1+$C$12)*(1+$C$13),0)</f>
        <v/>
      </c>
      <c r="N52" s="82">
        <f>IFERROR(M52/M67,0)</f>
        <v/>
      </c>
    </row>
    <row r="53" ht="18" customHeight="1" s="817">
      <c r="A53" s="853" t="inlineStr">
        <is>
          <t xml:space="preserve">  Subtotal — Housekeeping / Laundry</t>
        </is>
      </c>
      <c r="C53" s="185">
        <f>SUM(C50:C52)</f>
        <v/>
      </c>
      <c r="D53" s="185">
        <f>SUM(D50:D52)</f>
        <v/>
      </c>
      <c r="E53" s="185">
        <f>SUM(E50:E52)</f>
        <v/>
      </c>
      <c r="F53" s="185">
        <f>SUM(F50:F52)</f>
        <v/>
      </c>
      <c r="G53" s="185">
        <f>SUM(G50:G52)</f>
        <v/>
      </c>
      <c r="H53" s="185">
        <f>SUM(H50:H52)</f>
        <v/>
      </c>
      <c r="I53" s="185">
        <f>SUM(I50:I52)</f>
        <v/>
      </c>
      <c r="J53" s="186">
        <f>SUM(J50:J52)</f>
        <v/>
      </c>
      <c r="K53" s="187" t="n"/>
      <c r="L53" s="187" t="n"/>
      <c r="M53" s="79">
        <f>SUM(M50:M52)</f>
        <v/>
      </c>
      <c r="N53" s="187" t="n"/>
    </row>
    <row r="55" ht="19.5" customHeight="1" s="817">
      <c r="A55" s="833" t="inlineStr">
        <is>
          <t xml:space="preserve">  Maintenance, Activities &amp; Admin</t>
        </is>
      </c>
    </row>
    <row r="56" ht="18" customHeight="1" s="817">
      <c r="A56" s="62" t="inlineStr">
        <is>
          <t>Maintenance Sup.</t>
        </is>
      </c>
      <c r="B56" s="174" t="inlineStr">
        <is>
          <t>Maint</t>
        </is>
      </c>
      <c r="C56" s="113" t="n"/>
      <c r="D56" s="175" t="n">
        <v>0</v>
      </c>
      <c r="E56" s="175" t="n">
        <v>0</v>
      </c>
      <c r="F56" s="113" t="n"/>
      <c r="G56" s="175" t="n">
        <v>0</v>
      </c>
      <c r="H56" s="175" t="n">
        <v>0</v>
      </c>
      <c r="I56" s="176">
        <f>((C56+D56+E56)*5+(F56+G56+H56)*2)*8</f>
        <v/>
      </c>
      <c r="J56" s="141">
        <f>IFERROR(I56*52/2080,0)</f>
        <v/>
      </c>
      <c r="K56" s="177" t="n"/>
      <c r="L56" s="178">
        <f>IFERROR((C56*K56+D56*(K56+$C$14)+E56*(K56+$C$15)+F56*(K56+$C$16)+G56*(K56+$C$14+$C$16)+H56*(K56+$C$15+$C$16))/MAX(C56+D56+E56+F56+G56+H56,1),K56)</f>
        <v/>
      </c>
      <c r="M56" s="75">
        <f>IFERROR(J56*2080*L56*(1+$C$12)*(1+$C$13),0)</f>
        <v/>
      </c>
      <c r="N56" s="82">
        <f>IFERROR(M56/M67,0)</f>
        <v/>
      </c>
    </row>
    <row r="57" ht="18" customHeight="1" s="817">
      <c r="A57" s="65" t="inlineStr">
        <is>
          <t>Maintenance Tech</t>
        </is>
      </c>
      <c r="B57" s="179" t="inlineStr">
        <is>
          <t>Maint</t>
        </is>
      </c>
      <c r="C57" s="112" t="n"/>
      <c r="D57" s="180" t="n">
        <v>0</v>
      </c>
      <c r="E57" s="180" t="n">
        <v>0</v>
      </c>
      <c r="F57" s="112" t="n"/>
      <c r="G57" s="180" t="n">
        <v>0</v>
      </c>
      <c r="H57" s="180" t="n">
        <v>0</v>
      </c>
      <c r="I57" s="181">
        <f>((C57+D57+E57)*5+(F57+G57+H57)*2)*8</f>
        <v/>
      </c>
      <c r="J57" s="182">
        <f>IFERROR(I57*52/2080,0)</f>
        <v/>
      </c>
      <c r="K57" s="177" t="n"/>
      <c r="L57" s="183">
        <f>IFERROR((C57*K57+D57*(K57+$C$14)+E57*(K57+$C$15)+F57*(K57+$C$16)+G57*(K57+$C$14+$C$16)+H57*(K57+$C$15+$C$16))/MAX(C57+D57+E57+F57+G57+H57,1),K57)</f>
        <v/>
      </c>
      <c r="M57" s="71">
        <f>IFERROR(J57*2080*L57*(1+$C$12)*(1+$C$13),0)</f>
        <v/>
      </c>
      <c r="N57" s="83">
        <f>IFERROR(M57/M67,0)</f>
        <v/>
      </c>
    </row>
    <row r="58" ht="18" customHeight="1" s="817">
      <c r="A58" s="62" t="inlineStr">
        <is>
          <t>Activities Director</t>
        </is>
      </c>
      <c r="B58" s="174" t="inlineStr">
        <is>
          <t>Admin</t>
        </is>
      </c>
      <c r="C58" s="113" t="n"/>
      <c r="D58" s="113" t="n"/>
      <c r="E58" s="175" t="n">
        <v>0</v>
      </c>
      <c r="F58" s="113" t="n"/>
      <c r="G58" s="113" t="n"/>
      <c r="H58" s="175" t="n">
        <v>0</v>
      </c>
      <c r="I58" s="176">
        <f>((C58+D58+E58)*5+(F58+G58+H58)*2)*8</f>
        <v/>
      </c>
      <c r="J58" s="141">
        <f>IFERROR(I58*52/2080,0)</f>
        <v/>
      </c>
      <c r="K58" s="177" t="n"/>
      <c r="L58" s="178">
        <f>IFERROR((C58*K58+D58*(K58+$C$14)+E58*(K58+$C$15)+F58*(K58+$C$16)+G58*(K58+$C$14+$C$16)+H58*(K58+$C$15+$C$16))/MAX(C58+D58+E58+F58+G58+H58,1),K58)</f>
        <v/>
      </c>
      <c r="M58" s="75">
        <f>IFERROR(J58*2080*L58*(1+$C$12)*(1+$C$13),0)</f>
        <v/>
      </c>
      <c r="N58" s="82">
        <f>IFERROR(M58/M67,0)</f>
        <v/>
      </c>
    </row>
    <row r="59" ht="18" customHeight="1" s="817">
      <c r="A59" s="65" t="inlineStr">
        <is>
          <t>Activities Aide</t>
        </is>
      </c>
      <c r="B59" s="179" t="inlineStr">
        <is>
          <t>Admin</t>
        </is>
      </c>
      <c r="C59" s="112" t="n"/>
      <c r="D59" s="112" t="n"/>
      <c r="E59" s="180" t="n">
        <v>0</v>
      </c>
      <c r="F59" s="112" t="n"/>
      <c r="G59" s="112" t="n"/>
      <c r="H59" s="180" t="n">
        <v>0</v>
      </c>
      <c r="I59" s="181">
        <f>((C59+D59+E59)*5+(F59+G59+H59)*2)*8</f>
        <v/>
      </c>
      <c r="J59" s="182">
        <f>IFERROR(I59*52/2080,0)</f>
        <v/>
      </c>
      <c r="K59" s="177" t="n"/>
      <c r="L59" s="183">
        <f>IFERROR((C59*K59+D59*(K59+$C$14)+E59*(K59+$C$15)+F59*(K59+$C$16)+G59*(K59+$C$14+$C$16)+H59*(K59+$C$15+$C$16))/MAX(C59+D59+E59+F59+G59+H59,1),K59)</f>
        <v/>
      </c>
      <c r="M59" s="71">
        <f>IFERROR(J59*2080*L59*(1+$C$12)*(1+$C$13),0)</f>
        <v/>
      </c>
      <c r="N59" s="83">
        <f>IFERROR(M59/M67,0)</f>
        <v/>
      </c>
    </row>
    <row r="60" ht="18" customHeight="1" s="817">
      <c r="A60" s="62" t="inlineStr">
        <is>
          <t>Sales / Mktg Director</t>
        </is>
      </c>
      <c r="B60" s="174" t="inlineStr">
        <is>
          <t>Admin</t>
        </is>
      </c>
      <c r="C60" s="113" t="n"/>
      <c r="D60" s="175" t="n">
        <v>0</v>
      </c>
      <c r="E60" s="175" t="n">
        <v>0</v>
      </c>
      <c r="F60" s="113" t="n"/>
      <c r="G60" s="175" t="n">
        <v>0</v>
      </c>
      <c r="H60" s="175" t="n">
        <v>0</v>
      </c>
      <c r="I60" s="176">
        <f>((C60+D60+E60)*5+(F60+G60+H60)*2)*8</f>
        <v/>
      </c>
      <c r="J60" s="141">
        <f>IFERROR(I60*52/2080,0)</f>
        <v/>
      </c>
      <c r="K60" s="177" t="n"/>
      <c r="L60" s="178">
        <f>IFERROR((C60*K60+D60*(K60+$C$14)+E60*(K60+$C$15)+F60*(K60+$C$16)+G60*(K60+$C$14+$C$16)+H60*(K60+$C$15+$C$16))/MAX(C60+D60+E60+F60+G60+H60,1),K60)</f>
        <v/>
      </c>
      <c r="M60" s="75">
        <f>IFERROR(J60*2080*L60*(1+$C$12)*(1+$C$13),0)</f>
        <v/>
      </c>
      <c r="N60" s="82">
        <f>IFERROR(M60/M67,0)</f>
        <v/>
      </c>
    </row>
    <row r="61" ht="18" customHeight="1" s="817">
      <c r="A61" s="65" t="inlineStr">
        <is>
          <t>Business Office Mgr</t>
        </is>
      </c>
      <c r="B61" s="179" t="inlineStr">
        <is>
          <t>Admin</t>
        </is>
      </c>
      <c r="C61" s="112" t="n"/>
      <c r="D61" s="180" t="n">
        <v>0</v>
      </c>
      <c r="E61" s="180" t="n">
        <v>0</v>
      </c>
      <c r="F61" s="180" t="n">
        <v>0</v>
      </c>
      <c r="G61" s="180" t="n">
        <v>0</v>
      </c>
      <c r="H61" s="180" t="n">
        <v>0</v>
      </c>
      <c r="I61" s="181">
        <f>((C61+D61+E61)*5+(F61+G61+H61)*2)*8</f>
        <v/>
      </c>
      <c r="J61" s="182">
        <f>IFERROR(I61*52/2080,0)</f>
        <v/>
      </c>
      <c r="K61" s="177" t="n"/>
      <c r="L61" s="183">
        <f>IFERROR((C61*K61+D61*(K61+$C$14)+E61*(K61+$C$15)+F61*(K61+$C$16)+G61*(K61+$C$14+$C$16)+H61*(K61+$C$15+$C$16))/MAX(C61+D61+E61+F61+G61+H61,1),K61)</f>
        <v/>
      </c>
      <c r="M61" s="71">
        <f>IFERROR(J61*2080*L61*(1+$C$12)*(1+$C$13),0)</f>
        <v/>
      </c>
      <c r="N61" s="83">
        <f>IFERROR(M61/M67,0)</f>
        <v/>
      </c>
    </row>
    <row r="62" ht="18" customHeight="1" s="817">
      <c r="A62" s="62" t="inlineStr">
        <is>
          <t>Receptionist</t>
        </is>
      </c>
      <c r="B62" s="174" t="inlineStr">
        <is>
          <t>Admin</t>
        </is>
      </c>
      <c r="C62" s="113" t="n"/>
      <c r="D62" s="113" t="n"/>
      <c r="E62" s="175" t="n">
        <v>0</v>
      </c>
      <c r="F62" s="113" t="n"/>
      <c r="G62" s="175" t="n">
        <v>0</v>
      </c>
      <c r="H62" s="175" t="n">
        <v>0</v>
      </c>
      <c r="I62" s="176">
        <f>((C62+D62+E62)*5+(F62+G62+H62)*2)*8</f>
        <v/>
      </c>
      <c r="J62" s="141">
        <f>IFERROR(I62*52/2080,0)</f>
        <v/>
      </c>
      <c r="K62" s="177" t="n"/>
      <c r="L62" s="178">
        <f>IFERROR((C62*K62+D62*(K62+$C$14)+E62*(K62+$C$15)+F62*(K62+$C$16)+G62*(K62+$C$14+$C$16)+H62*(K62+$C$15+$C$16))/MAX(C62+D62+E62+F62+G62+H62,1),K62)</f>
        <v/>
      </c>
      <c r="M62" s="75">
        <f>IFERROR(J62*2080*L62*(1+$C$12)*(1+$C$13),0)</f>
        <v/>
      </c>
      <c r="N62" s="82">
        <f>IFERROR(M62/M67,0)</f>
        <v/>
      </c>
    </row>
    <row r="63" ht="18" customHeight="1" s="817">
      <c r="A63" s="65" t="inlineStr">
        <is>
          <t>Transportation Driver</t>
        </is>
      </c>
      <c r="B63" s="179" t="inlineStr">
        <is>
          <t>Admin</t>
        </is>
      </c>
      <c r="C63" s="112" t="n"/>
      <c r="D63" s="180" t="n">
        <v>0</v>
      </c>
      <c r="E63" s="180" t="n">
        <v>0</v>
      </c>
      <c r="F63" s="180" t="n">
        <v>0</v>
      </c>
      <c r="G63" s="180" t="n">
        <v>0</v>
      </c>
      <c r="H63" s="180" t="n">
        <v>0</v>
      </c>
      <c r="I63" s="181">
        <f>((C63+D63+E63)*5+(F63+G63+H63)*2)*8</f>
        <v/>
      </c>
      <c r="J63" s="182">
        <f>IFERROR(I63*52/2080,0)</f>
        <v/>
      </c>
      <c r="K63" s="177" t="n"/>
      <c r="L63" s="183">
        <f>IFERROR((C63*K63+D63*(K63+$C$14)+E63*(K63+$C$15)+F63*(K63+$C$16)+G63*(K63+$C$14+$C$16)+H63*(K63+$C$15+$C$16))/MAX(C63+D63+E63+F63+G63+H63,1),K63)</f>
        <v/>
      </c>
      <c r="M63" s="71">
        <f>IFERROR(J63*2080*L63*(1+$C$12)*(1+$C$13),0)</f>
        <v/>
      </c>
      <c r="N63" s="83">
        <f>IFERROR(M63/M67,0)</f>
        <v/>
      </c>
    </row>
    <row r="64" ht="18" customHeight="1" s="817">
      <c r="A64" s="62" t="inlineStr">
        <is>
          <t>Executive Director</t>
        </is>
      </c>
      <c r="B64" s="174" t="inlineStr">
        <is>
          <t>Admin</t>
        </is>
      </c>
      <c r="C64" s="113" t="n"/>
      <c r="D64" s="175" t="n">
        <v>0</v>
      </c>
      <c r="E64" s="175" t="n">
        <v>0</v>
      </c>
      <c r="F64" s="175" t="n">
        <v>0</v>
      </c>
      <c r="G64" s="175" t="n">
        <v>0</v>
      </c>
      <c r="H64" s="175" t="n">
        <v>0</v>
      </c>
      <c r="I64" s="176">
        <f>((C64+D64+E64)*5+(F64+G64+H64)*2)*8</f>
        <v/>
      </c>
      <c r="J64" s="141">
        <f>IFERROR(I64*52/2080,0)</f>
        <v/>
      </c>
      <c r="K64" s="177" t="n"/>
      <c r="L64" s="178">
        <f>IFERROR((C64*K64+D64*(K64+$C$14)+E64*(K64+$C$15)+F64*(K64+$C$16)+G64*(K64+$C$14+$C$16)+H64*(K64+$C$15+$C$16))/MAX(C64+D64+E64+F64+G64+H64,1),K64)</f>
        <v/>
      </c>
      <c r="M64" s="75">
        <f>IFERROR(J64*2080*L64*(1+$C$12)*(1+$C$13),0)</f>
        <v/>
      </c>
      <c r="N64" s="82">
        <f>IFERROR(M64/M67,0)</f>
        <v/>
      </c>
    </row>
    <row r="65" ht="18" customHeight="1" s="817">
      <c r="A65" s="853" t="inlineStr">
        <is>
          <t xml:space="preserve">  Subtotal — Maintenance, Activities &amp; Admin</t>
        </is>
      </c>
      <c r="C65" s="185">
        <f>SUM(C56:C64)</f>
        <v/>
      </c>
      <c r="D65" s="185">
        <f>SUM(D56:D64)</f>
        <v/>
      </c>
      <c r="E65" s="185">
        <f>SUM(E56:E64)</f>
        <v/>
      </c>
      <c r="F65" s="185">
        <f>SUM(F56:F64)</f>
        <v/>
      </c>
      <c r="G65" s="185">
        <f>SUM(G56:G64)</f>
        <v/>
      </c>
      <c r="H65" s="185">
        <f>SUM(H56:H64)</f>
        <v/>
      </c>
      <c r="I65" s="185">
        <f>SUM(I56:I64)</f>
        <v/>
      </c>
      <c r="J65" s="186">
        <f>SUM(J56:J64)</f>
        <v/>
      </c>
      <c r="K65" s="187" t="n"/>
      <c r="L65" s="187" t="n"/>
      <c r="M65" s="79">
        <f>SUM(M56:M64)</f>
        <v/>
      </c>
      <c r="N65" s="187" t="n"/>
    </row>
    <row r="67" ht="21.75" customHeight="1" s="817">
      <c r="A67" s="827" t="inlineStr">
        <is>
          <t>TOTAL PAYROLL — ALL DEPARTMENTS  →→  feeds P&amp;L row 28</t>
        </is>
      </c>
      <c r="C67" s="188">
        <f>C40+C47+C53+C65</f>
        <v/>
      </c>
      <c r="D67" s="188">
        <f>D40+D47+D53+D65</f>
        <v/>
      </c>
      <c r="E67" s="188">
        <f>E40+E47+E53+E65</f>
        <v/>
      </c>
      <c r="F67" s="188">
        <f>F40+F47+F53+F65</f>
        <v/>
      </c>
      <c r="G67" s="188">
        <f>G40+G47+G53+G65</f>
        <v/>
      </c>
      <c r="H67" s="188">
        <f>H40+H47+H53+H65</f>
        <v/>
      </c>
      <c r="I67" s="188">
        <f>I40+I47+I53+I65</f>
        <v/>
      </c>
      <c r="J67" s="189">
        <f>J40+J47+J53+J65</f>
        <v/>
      </c>
      <c r="K67" s="190" t="n"/>
      <c r="L67" s="190" t="n"/>
      <c r="M67" s="160">
        <f>M40+M47+M53+M65+O67</f>
        <v/>
      </c>
      <c r="N67" s="190" t="n"/>
      <c r="O67" s="191" t="n"/>
      <c r="P67" s="192" t="inlineStr">
        <is>
          <t>Manual Entry</t>
        </is>
      </c>
    </row>
    <row r="69" ht="24" customHeight="1" s="817">
      <c r="A69" s="830" t="inlineStr">
        <is>
          <t>SECTION 3 — STAFFING LOAD HEATMAP  (actual vs. target ratios per shift)</t>
        </is>
      </c>
    </row>
    <row r="70" ht="15.75" customHeight="1" s="817">
      <c r="A70" s="854" t="inlineStr">
        <is>
          <t xml:space="preserve">  Green=at/below target | Orange=10–20% over target | Red=&gt;20% over (understaffing risk)</t>
        </is>
      </c>
    </row>
    <row r="71" ht="27.75" customHeight="1" s="817">
      <c r="A71" s="19" t="inlineStr">
        <is>
          <t>Shift</t>
        </is>
      </c>
      <c r="B71" s="19" t="inlineStr">
        <is>
          <t>Residents</t>
        </is>
      </c>
      <c r="C71" s="19" t="inlineStr">
        <is>
          <t>WD Staff</t>
        </is>
      </c>
      <c r="D71" s="19" t="inlineStr">
        <is>
          <t>WD Ratio
(R:S)</t>
        </is>
      </c>
      <c r="E71" s="19" t="inlineStr">
        <is>
          <t>WE Staff</t>
        </is>
      </c>
      <c r="F71" s="19" t="inlineStr">
        <is>
          <t>WE Ratio
(R:S)</t>
        </is>
      </c>
      <c r="G71" s="19" t="inlineStr">
        <is>
          <t>Target
Ratio</t>
        </is>
      </c>
      <c r="H71" s="19" t="inlineStr">
        <is>
          <t>WD vs
Target</t>
        </is>
      </c>
      <c r="I71" s="19" t="inlineStr">
        <is>
          <t>Status</t>
        </is>
      </c>
      <c r="J71" s="19" t="inlineStr">
        <is>
          <t>HPPD</t>
        </is>
      </c>
      <c r="K71" s="19" t="inlineStr">
        <is>
          <t>Benchmark</t>
        </is>
      </c>
    </row>
    <row r="72" ht="18" customHeight="1" s="817">
      <c r="A72" s="8" t="inlineStr">
        <is>
          <t>AL — Day   (7a–3p)</t>
        </is>
      </c>
      <c r="B72" s="33">
        <f>C6</f>
        <v/>
      </c>
      <c r="C72" s="33">
        <f>C34</f>
        <v/>
      </c>
      <c r="D72" s="141">
        <f>IFERROR(C6/C34,0)</f>
        <v/>
      </c>
      <c r="E72" s="33">
        <f>F34</f>
        <v/>
      </c>
      <c r="F72" s="141">
        <f>IFERROR(C6/F34,0)</f>
        <v/>
      </c>
      <c r="G72" s="140">
        <f>C20</f>
        <v/>
      </c>
      <c r="H72" s="141">
        <f>IFERROR(D72-G72,0)</f>
        <v/>
      </c>
      <c r="I72" s="36">
        <f>IFERROR(IF(D72&lt;=G72,"On target",IF(D72&lt;=G72*1.2,"Slightly over","Understaffed")),"-")</f>
        <v/>
      </c>
      <c r="J72" s="141">
        <f>IFERROR(C34*8/C6,0)</f>
        <v/>
      </c>
      <c r="K72" s="193" t="n"/>
    </row>
    <row r="73" ht="18" customHeight="1" s="817">
      <c r="A73" s="10" t="inlineStr">
        <is>
          <t>AL — Eve   (3p–11p)</t>
        </is>
      </c>
      <c r="B73" s="13">
        <f>C6</f>
        <v/>
      </c>
      <c r="C73" s="13">
        <f>D35</f>
        <v/>
      </c>
      <c r="D73" s="182">
        <f>IFERROR(C6/D35,0)</f>
        <v/>
      </c>
      <c r="E73" s="13">
        <f>G35</f>
        <v/>
      </c>
      <c r="F73" s="182">
        <f>IFERROR(C6/G35,0)</f>
        <v/>
      </c>
      <c r="G73" s="194">
        <f>C21</f>
        <v/>
      </c>
      <c r="H73" s="182">
        <f>IFERROR(D73-G73,0)</f>
        <v/>
      </c>
      <c r="I73" s="37">
        <f>IFERROR(IF(D73&lt;=G73,"On target",IF(D73&lt;=G73*1.2,"Slightly over","Understaffed")),"-")</f>
        <v/>
      </c>
      <c r="J73" s="182">
        <f>IFERROR(D35*8/C6,0)</f>
        <v/>
      </c>
      <c r="K73" s="195" t="n"/>
    </row>
    <row r="74" ht="18" customHeight="1" s="817">
      <c r="A74" s="8" t="inlineStr">
        <is>
          <t>AL — Night (11p–7a)</t>
        </is>
      </c>
      <c r="B74" s="33">
        <f>C6</f>
        <v/>
      </c>
      <c r="C74" s="33">
        <f>E36</f>
        <v/>
      </c>
      <c r="D74" s="141">
        <f>IFERROR(C6/E36,0)</f>
        <v/>
      </c>
      <c r="E74" s="33">
        <f>H36</f>
        <v/>
      </c>
      <c r="F74" s="141">
        <f>IFERROR(C6/H36,0)</f>
        <v/>
      </c>
      <c r="G74" s="140">
        <f>C22</f>
        <v/>
      </c>
      <c r="H74" s="141">
        <f>IFERROR(D74-G74,0)</f>
        <v/>
      </c>
      <c r="I74" s="36">
        <f>IFERROR(IF(D74&lt;=G74,"On target",IF(D74&lt;=G74*1.2,"Slightly over","Understaffed")),"-")</f>
        <v/>
      </c>
      <c r="J74" s="141">
        <f>IFERROR(E36*8/C6,0)</f>
        <v/>
      </c>
      <c r="K74" s="193" t="n"/>
    </row>
    <row r="75" ht="18" customHeight="1" s="817">
      <c r="A75" s="10" t="inlineStr">
        <is>
          <t>MC — Day   (7a–3p)</t>
        </is>
      </c>
      <c r="B75" s="13">
        <f>C7</f>
        <v/>
      </c>
      <c r="C75" s="13">
        <f>C37</f>
        <v/>
      </c>
      <c r="D75" s="182">
        <f>IFERROR(C7/C37,0)</f>
        <v/>
      </c>
      <c r="E75" s="13">
        <f>F37</f>
        <v/>
      </c>
      <c r="F75" s="182">
        <f>IFERROR(C7/F37,0)</f>
        <v/>
      </c>
      <c r="G75" s="194">
        <f>C23</f>
        <v/>
      </c>
      <c r="H75" s="182">
        <f>IFERROR(D75-G75,0)</f>
        <v/>
      </c>
      <c r="I75" s="37">
        <f>IFERROR(IF(D75&lt;=G75,"On target",IF(D75&lt;=G75*1.2,"Slightly over","Understaffed")),"-")</f>
        <v/>
      </c>
      <c r="J75" s="182">
        <f>IFERROR(C37*8/C7,0)</f>
        <v/>
      </c>
      <c r="K75" s="195" t="n"/>
    </row>
    <row r="76" ht="18" customHeight="1" s="817">
      <c r="A76" s="8" t="inlineStr">
        <is>
          <t>MC — Eve   (3p–11p)</t>
        </is>
      </c>
      <c r="B76" s="33">
        <f>C7</f>
        <v/>
      </c>
      <c r="C76" s="33">
        <f>D38</f>
        <v/>
      </c>
      <c r="D76" s="141">
        <f>IFERROR(C7/D38,0)</f>
        <v/>
      </c>
      <c r="E76" s="33">
        <f>G38</f>
        <v/>
      </c>
      <c r="F76" s="141">
        <f>IFERROR(C7/G38,0)</f>
        <v/>
      </c>
      <c r="G76" s="140">
        <f>C24</f>
        <v/>
      </c>
      <c r="H76" s="141">
        <f>IFERROR(D76-G76,0)</f>
        <v/>
      </c>
      <c r="I76" s="36">
        <f>IFERROR(IF(D76&lt;=G76,"On target",IF(D76&lt;=G76*1.2,"Slightly over","Understaffed")),"-")</f>
        <v/>
      </c>
      <c r="J76" s="141">
        <f>IFERROR(D38*8/C7,0)</f>
        <v/>
      </c>
      <c r="K76" s="193" t="n"/>
    </row>
    <row r="77" ht="18" customHeight="1" s="817">
      <c r="A77" s="10" t="inlineStr">
        <is>
          <t>MC — Night (11p–7a)</t>
        </is>
      </c>
      <c r="B77" s="13">
        <f>C7</f>
        <v/>
      </c>
      <c r="C77" s="13">
        <f>E39</f>
        <v/>
      </c>
      <c r="D77" s="182">
        <f>IFERROR(C7/E39,0)</f>
        <v/>
      </c>
      <c r="E77" s="13">
        <f>H39</f>
        <v/>
      </c>
      <c r="F77" s="182">
        <f>IFERROR(C7/H39,0)</f>
        <v/>
      </c>
      <c r="G77" s="194">
        <f>C25</f>
        <v/>
      </c>
      <c r="H77" s="182">
        <f>IFERROR(D77-G77,0)</f>
        <v/>
      </c>
      <c r="I77" s="37">
        <f>IFERROR(IF(D77&lt;=G77,"On target",IF(D77&lt;=G77*1.2,"Slightly over","Understaffed")),"-")</f>
        <v/>
      </c>
      <c r="J77" s="182">
        <f>IFERROR(E39*8/C7,0)</f>
        <v/>
      </c>
      <c r="K77" s="195" t="n"/>
    </row>
    <row r="79" ht="24" customHeight="1" s="817">
      <c r="A79" s="839" t="inlineStr">
        <is>
          <t>SECTION 4 — HPPD TRACKER  (Hours Per Patient Day)</t>
        </is>
      </c>
    </row>
    <row r="80" ht="15.75" customHeight="1" s="817">
      <c r="A80" s="859" t="inlineStr">
        <is>
          <t xml:space="preserve">  HPPD = care staff FTEs × 2080 ÷ 365 ÷ occupied beds. Benchmark: AL 2.5–3.5 | MC 3.5–4.5. Watched by buyers, lenders, and surveyors.</t>
        </is>
      </c>
    </row>
    <row r="81" ht="24" customHeight="1" s="817">
      <c r="A81" s="196" t="inlineStr">
        <is>
          <t>Metric</t>
        </is>
      </c>
      <c r="B81" s="196" t="inlineStr">
        <is>
          <t>Calculated</t>
        </is>
      </c>
      <c r="C81" s="196" t="inlineStr">
        <is>
          <t>Bench Low</t>
        </is>
      </c>
      <c r="D81" s="196" t="inlineStr">
        <is>
          <t>Bench High</t>
        </is>
      </c>
      <c r="E81" s="196" t="inlineStr">
        <is>
          <t>Status</t>
        </is>
      </c>
      <c r="F81" s="196" t="inlineStr">
        <is>
          <t>Delta vs Mid</t>
        </is>
      </c>
    </row>
    <row r="82" ht="18" customHeight="1" s="817">
      <c r="A82" s="62" t="inlineStr">
        <is>
          <t>Care HPPD — AL</t>
        </is>
      </c>
      <c r="B82" s="197">
        <f>IFERROR((J31+J32+J33+J34+J35+J36+J37+J38+J39)*2080/365/C6,0)</f>
        <v/>
      </c>
      <c r="C82" s="193" t="n">
        <v>2.5</v>
      </c>
      <c r="D82" s="193" t="n">
        <v>3.5</v>
      </c>
      <c r="E82" s="36">
        <f>IFERROR(IF(B82&lt;C82,"Below bench",IF(B82&gt;D82,"Above bench","In range")),"-")</f>
        <v/>
      </c>
      <c r="F82" s="141">
        <f>IFERROR(B82-(C82+D82)/2,0)</f>
        <v/>
      </c>
    </row>
    <row r="83" ht="18" customHeight="1" s="817">
      <c r="A83" s="65" t="inlineStr">
        <is>
          <t>Care HPPD — MC</t>
        </is>
      </c>
      <c r="B83" s="198">
        <f>IFERROR((J31+J32+J33+J34+J35+J36+J37+J38+J39)*2080/365/C7,0)</f>
        <v/>
      </c>
      <c r="C83" s="195" t="n">
        <v>3.5</v>
      </c>
      <c r="D83" s="195" t="n">
        <v>4.5</v>
      </c>
      <c r="E83" s="37">
        <f>IFERROR(IF(B83&lt;C83,"Below bench",IF(B83&gt;D83,"Above bench","In range")),"-")</f>
        <v/>
      </c>
      <c r="F83" s="182">
        <f>IFERROR(B83-(C83+D83)/2,0)</f>
        <v/>
      </c>
    </row>
    <row r="84" ht="18" customHeight="1" s="817">
      <c r="A84" s="62" t="inlineStr">
        <is>
          <t>Care HPPD — Combined</t>
        </is>
      </c>
      <c r="B84" s="197">
        <f>IFERROR((J31+J32+J33+J34+J35+J36+J37+J38+J39)*2080/365/(C6+C7),0)</f>
        <v/>
      </c>
      <c r="C84" s="193" t="n">
        <v>3</v>
      </c>
      <c r="D84" s="193" t="n">
        <v>4</v>
      </c>
      <c r="E84" s="36">
        <f>IFERROR(IF(B84&lt;C84,"Below bench",IF(B84&gt;D84,"Above bench","In range")),"-")</f>
        <v/>
      </c>
      <c r="F84" s="141">
        <f>IFERROR(B84-(C84+D84)/2,0)</f>
        <v/>
      </c>
    </row>
    <row r="85" ht="18" customHeight="1" s="817">
      <c r="A85" s="65" t="inlineStr">
        <is>
          <t>Labor Cost / Resident / Day ($)</t>
        </is>
      </c>
      <c r="B85" s="199">
        <f>IFERROR(M67/365/(C6+C7+C8),0)</f>
        <v/>
      </c>
      <c r="C85" s="173" t="n">
        <v>80</v>
      </c>
      <c r="D85" s="173" t="n">
        <v>140</v>
      </c>
      <c r="E85" s="37">
        <f>IFERROR(IF(B85&lt;C85,"Below bench",IF(B85&gt;D85,"Above bench","In range")),"-")</f>
        <v/>
      </c>
      <c r="F85" s="183">
        <f>IFERROR(B85-(C85+D85)/2,0)</f>
        <v/>
      </c>
    </row>
    <row r="87" ht="24" customHeight="1" s="817">
      <c r="A87" s="858" t="inlineStr">
        <is>
          <t>SECTION 5 — PAYROLL OUTPUT  →  P&amp;L FEED</t>
        </is>
      </c>
    </row>
    <row r="88" ht="15.75" customHeight="1" s="817">
      <c r="A88" s="854" t="inlineStr">
        <is>
          <t xml:space="preserve">  Total Payroll (cell M67) feeds P&amp;L sheet row 28 automatically. Verify the P&amp;L Payroll row shows a green formula.</t>
        </is>
      </c>
    </row>
    <row r="89" ht="18" customHeight="1" s="817">
      <c r="A89" s="88" t="inlineStr">
        <is>
          <t>Total Annual Payroll (all departments)</t>
        </is>
      </c>
      <c r="C89" s="200">
        <f>M67</f>
        <v/>
      </c>
      <c r="D89" s="201" t="inlineStr">
        <is>
          <t>← This value feeds P&amp;L!C28 (Year 1 Payroll)</t>
        </is>
      </c>
      <c r="E89" s="854" t="inlineStr">
        <is>
          <t>P&amp;L formula in C28: ='Staffing Matrix'!M67</t>
        </is>
      </c>
    </row>
    <row r="90" ht="18" customHeight="1" s="817">
      <c r="A90" s="62" t="inlineStr">
        <is>
          <t>Total FTEs (all departments)</t>
        </is>
      </c>
      <c r="C90" s="141">
        <f>J67</f>
        <v/>
      </c>
      <c r="D90" s="170" t="inlineStr">
        <is>
          <t>Full-time equivalents across all 6 shifts</t>
        </is>
      </c>
    </row>
    <row r="91" ht="18" customHeight="1" s="817">
      <c r="A91" s="65" t="inlineStr">
        <is>
          <t>Avg Annual Cost per FTE</t>
        </is>
      </c>
      <c r="C91" s="71">
        <f>IFERROR(M67/J67,0)</f>
        <v/>
      </c>
      <c r="D91" s="171" t="inlineStr">
        <is>
          <t>Loaded cost: wages + benefits + OT</t>
        </is>
      </c>
    </row>
    <row r="93" ht="21.75" customHeight="1" s="817">
      <c r="A93" s="827" t="inlineStr">
        <is>
          <t>SECTION 6 — COST PER RESIDENT DAY (PRD) &amp; LABOR INTENSITY ANALYSIS</t>
        </is>
      </c>
    </row>
    <row r="94" ht="15.75" customHeight="1" s="817">
      <c r="A94" s="835" t="inlineStr">
        <is>
          <t xml:space="preserve">  PRD ties labor cost to census — the lens operators and lenders use alongside HPPD. All figures are annual / occupied-bed based. Enter agency spend below; everything else auto-calculates.</t>
        </is>
      </c>
    </row>
    <row r="96" ht="18" customHeight="1" s="817">
      <c r="A96" s="837" t="inlineStr">
        <is>
          <t xml:space="preserve">  A.  BASE — OCCUPIED RESIDENTS &amp; ANNUAL RESIDENT DAYS</t>
        </is>
      </c>
    </row>
    <row r="97" ht="15.75" customHeight="1" s="817">
      <c r="A97" s="41" t="inlineStr">
        <is>
          <t>Metric</t>
        </is>
      </c>
      <c r="B97" s="41" t="inlineStr">
        <is>
          <t>Value</t>
        </is>
      </c>
      <c r="C97" s="41" t="inlineStr">
        <is>
          <t>Bench Low</t>
        </is>
      </c>
      <c r="D97" s="41" t="inlineStr">
        <is>
          <t>Bench High</t>
        </is>
      </c>
      <c r="E97" s="41" t="inlineStr">
        <is>
          <t>Notes</t>
        </is>
      </c>
    </row>
    <row r="98" ht="18" customHeight="1" s="817">
      <c r="A98" s="62" t="inlineStr">
        <is>
          <t>Total Occupied Residents  (AL + MC + IL)</t>
        </is>
      </c>
      <c r="B98" s="33">
        <f>C6+C7+C8</f>
        <v/>
      </c>
      <c r="C98" s="202" t="inlineStr">
        <is>
          <t>—</t>
        </is>
      </c>
      <c r="D98" s="202" t="inlineStr">
        <is>
          <t>—</t>
        </is>
      </c>
      <c r="E98" s="100" t="inlineStr">
        <is>
          <t>From Section 1 census inputs</t>
        </is>
      </c>
    </row>
    <row r="99" ht="18" customHeight="1" s="817">
      <c r="A99" s="62" t="inlineStr">
        <is>
          <t>Annual Resident Days  (residents × 365)</t>
        </is>
      </c>
      <c r="B99" s="33">
        <f>IFERROR(B98*365,0)</f>
        <v/>
      </c>
      <c r="C99" s="202" t="inlineStr">
        <is>
          <t>—</t>
        </is>
      </c>
      <c r="D99" s="202" t="inlineStr">
        <is>
          <t>—</t>
        </is>
      </c>
      <c r="E99" s="100" t="inlineStr">
        <is>
          <t>Denominator for all PRD metrics below</t>
        </is>
      </c>
    </row>
    <row r="101" ht="18" customHeight="1" s="817">
      <c r="A101" s="833" t="inlineStr">
        <is>
          <t xml:space="preserve">  B.  LABOR COST PER RESIDENT DAY — BY DEPARTMENT  ($)</t>
        </is>
      </c>
    </row>
    <row r="102" ht="15.75" customHeight="1" s="817">
      <c r="A102" s="835" t="inlineStr">
        <is>
          <t xml:space="preserve">  Benchmarks: NIC/Argentum/LeadingAge AL industry data. MC typically runs 25–40% higher.</t>
        </is>
      </c>
    </row>
    <row r="103" ht="15.75" customHeight="1" s="817">
      <c r="A103" s="41" t="inlineStr">
        <is>
          <t>Department</t>
        </is>
      </c>
      <c r="B103" s="41" t="inlineStr">
        <is>
          <t>Annual Payroll ($)</t>
        </is>
      </c>
      <c r="C103" s="41" t="inlineStr">
        <is>
          <t>PRD Cost ($/day)</t>
        </is>
      </c>
      <c r="D103" s="41" t="inlineStr">
        <is>
          <t>Bench Low</t>
        </is>
      </c>
      <c r="E103" s="41" t="inlineStr">
        <is>
          <t>Bench High</t>
        </is>
      </c>
      <c r="F103" s="41" t="inlineStr">
        <is>
          <t>Status</t>
        </is>
      </c>
    </row>
    <row r="104" ht="18" customHeight="1" s="817">
      <c r="A104" s="62" t="inlineStr">
        <is>
          <t>Care Staff  (DON, RN, Med Tech, CNAs)</t>
        </is>
      </c>
      <c r="B104" s="21">
        <f>M40</f>
        <v/>
      </c>
      <c r="C104" s="203">
        <f>IFERROR(M40/B99,0)</f>
        <v/>
      </c>
      <c r="D104" s="204" t="n">
        <v>45</v>
      </c>
      <c r="E104" s="204" t="n">
        <v>75</v>
      </c>
      <c r="F104" s="829">
        <f>IFERROR(IF(C104=0,"—",IF(C104&lt;D104,"Below bench",IF(C104&gt;E104,"Above bench","In range"))),"")</f>
        <v/>
      </c>
    </row>
    <row r="105" ht="18" customHeight="1" s="817">
      <c r="A105" s="62" t="inlineStr">
        <is>
          <t>Dining / Food Service</t>
        </is>
      </c>
      <c r="B105" s="21">
        <f>M47</f>
        <v/>
      </c>
      <c r="C105" s="203">
        <f>IFERROR(M47/B99,0)</f>
        <v/>
      </c>
      <c r="D105" s="204" t="n">
        <v>12</v>
      </c>
      <c r="E105" s="204" t="n">
        <v>22</v>
      </c>
      <c r="F105" s="829">
        <f>IFERROR(IF(C105=0,"—",IF(C105&lt;D105,"Below bench",IF(C105&gt;E105,"Above bench","In range"))),"")</f>
        <v/>
      </c>
    </row>
    <row r="106" ht="18" customHeight="1" s="817">
      <c r="A106" s="62" t="inlineStr">
        <is>
          <t>Housekeeping &amp; Laundry</t>
        </is>
      </c>
      <c r="B106" s="21">
        <f>M53</f>
        <v/>
      </c>
      <c r="C106" s="203">
        <f>IFERROR(M53/B99,0)</f>
        <v/>
      </c>
      <c r="D106" s="204" t="n">
        <v>6</v>
      </c>
      <c r="E106" s="204" t="n">
        <v>14</v>
      </c>
      <c r="F106" s="829">
        <f>IFERROR(IF(C106=0,"—",IF(C106&lt;D106,"Below bench",IF(C106&gt;E106,"Above bench","In range"))),"")</f>
        <v/>
      </c>
    </row>
    <row r="107" ht="18" customHeight="1" s="817">
      <c r="A107" s="62" t="inlineStr">
        <is>
          <t>Maintenance, Activities &amp; Admin</t>
        </is>
      </c>
      <c r="B107" s="21">
        <f>M65</f>
        <v/>
      </c>
      <c r="C107" s="203">
        <f>IFERROR(M65/B99,0)</f>
        <v/>
      </c>
      <c r="D107" s="204" t="n">
        <v>8</v>
      </c>
      <c r="E107" s="204" t="n">
        <v>18</v>
      </c>
      <c r="F107" s="829">
        <f>IFERROR(IF(C107=0,"—",IF(C107&lt;D107,"Below bench",IF(C107&gt;E107,"Above bench","In range"))),"")</f>
        <v/>
      </c>
    </row>
    <row r="108" ht="18" customHeight="1" s="817">
      <c r="A108" s="205" t="inlineStr">
        <is>
          <t>TOTAL LABOR PRD  (all departments)</t>
        </is>
      </c>
      <c r="B108" s="133">
        <f>M67</f>
        <v/>
      </c>
      <c r="C108" s="206">
        <f>IFERROR(M67/B99,0)</f>
        <v/>
      </c>
      <c r="D108" s="207" t="n">
        <v>85</v>
      </c>
      <c r="E108" s="207" t="n">
        <v>130</v>
      </c>
      <c r="F108" s="205">
        <f>IFERROR(IF(C108=0,"—",IF(C108&lt;D108,"Below bench",IF(C108&gt;E108,"Above bench","In range"))),"")</f>
        <v/>
      </c>
    </row>
    <row r="110" ht="18" customHeight="1" s="817">
      <c r="A110" s="857" t="inlineStr">
        <is>
          <t xml:space="preserve">  C.  CONTRACT / AGENCY LABOR EXPOSURE</t>
        </is>
      </c>
    </row>
    <row r="111" ht="15.75" customHeight="1" s="817">
      <c r="A111" s="835" t="inlineStr">
        <is>
          <t xml:space="preserve">  Agency &gt;10–15% of total payroll is flagged by lenders and operators as a census-instability risk. Enter annual agency spend — PRD and exposure % calculate automatically.</t>
        </is>
      </c>
    </row>
    <row r="112" ht="15.75" customHeight="1" s="817">
      <c r="A112" s="41" t="inlineStr">
        <is>
          <t>Metric</t>
        </is>
      </c>
      <c r="B112" s="41" t="inlineStr">
        <is>
          <t>Value</t>
        </is>
      </c>
      <c r="C112" s="41" t="inlineStr">
        <is>
          <t>Bench Low</t>
        </is>
      </c>
      <c r="D112" s="41" t="inlineStr">
        <is>
          <t>Bench High</t>
        </is>
      </c>
      <c r="E112" s="41" t="inlineStr">
        <is>
          <t>Status</t>
        </is>
      </c>
    </row>
    <row r="113" ht="18" customHeight="1" s="817">
      <c r="A113" s="209" t="inlineStr">
        <is>
          <t>Contract / Agency Labor — Annual ($)  ← enter here</t>
        </is>
      </c>
      <c r="B113" s="210" t="n">
        <v>0</v>
      </c>
      <c r="C113" s="202" t="inlineStr">
        <is>
          <t>—</t>
        </is>
      </c>
      <c r="D113" s="202" t="inlineStr">
        <is>
          <t>—</t>
        </is>
      </c>
      <c r="E113" s="211" t="inlineStr">
        <is>
          <t>Blue cell — enter actual or budgeted agency spend</t>
        </is>
      </c>
    </row>
    <row r="114" ht="18" customHeight="1" s="817">
      <c r="A114" s="62" t="inlineStr">
        <is>
          <t>Agency Labor PRD  ($/resident day)</t>
        </is>
      </c>
      <c r="B114" s="203">
        <f>IFERROR(B113/B99,0)</f>
        <v/>
      </c>
      <c r="C114" s="204" t="n">
        <v>0</v>
      </c>
      <c r="D114" s="204" t="n">
        <v>20</v>
      </c>
      <c r="E114" s="829">
        <f>IFERROR(IF(B114=0,"—",IF(B114&lt;=D114,"In range",IF(B114&lt;=D114*1.5,"Watch","High — review"))),"")</f>
        <v/>
      </c>
    </row>
    <row r="115" ht="18" customHeight="1" s="817">
      <c r="A115" s="62" t="inlineStr">
        <is>
          <t>Agency as % of Total Payroll</t>
        </is>
      </c>
      <c r="B115" s="28">
        <f>IFERROR(B113/M67,0)</f>
        <v/>
      </c>
      <c r="C115" s="212" t="n">
        <v>0</v>
      </c>
      <c r="D115" s="212" t="n">
        <v>0.15</v>
      </c>
      <c r="E115" s="829">
        <f>IFERROR(IF(B115=0,"—",IF(B115&lt;0.1,"Good (&lt;10%)",IF(B115&lt;0.15,"Watch (10–15%)",IF(B115&gt;=0.15,"Flag (&gt;15%)")))),"")</f>
        <v/>
      </c>
    </row>
    <row r="117" ht="18" customHeight="1" s="817">
      <c r="A117" s="837" t="inlineStr">
        <is>
          <t xml:space="preserve">  D.  REVENUE &amp; NOI PER RESIDENT DAY  (operational context)</t>
        </is>
      </c>
    </row>
    <row r="118" ht="15.75" customHeight="1" s="817">
      <c r="A118" s="41" t="inlineStr">
        <is>
          <t>Metric</t>
        </is>
      </c>
      <c r="B118" s="41" t="inlineStr">
        <is>
          <t>Annual ($)</t>
        </is>
      </c>
      <c r="C118" s="41" t="inlineStr">
        <is>
          <t>Per Resident Day</t>
        </is>
      </c>
      <c r="D118" s="41" t="inlineStr">
        <is>
          <t>Bench Low</t>
        </is>
      </c>
      <c r="E118" s="41" t="inlineStr">
        <is>
          <t>Bench High</t>
        </is>
      </c>
    </row>
    <row r="119" ht="18" customHeight="1" s="817">
      <c r="A119" s="62" t="inlineStr">
        <is>
          <t>Effective Gross Income (EGI)</t>
        </is>
      </c>
      <c r="B119" s="21">
        <f>'P&amp;L'!D50</f>
        <v/>
      </c>
      <c r="C119" s="203">
        <f>IFERROR('P&amp;L'!D50/B99,0)</f>
        <v/>
      </c>
      <c r="D119" s="204" t="n">
        <v>120</v>
      </c>
      <c r="E119" s="204" t="n">
        <v>200</v>
      </c>
    </row>
    <row r="120" ht="18" customHeight="1" s="817">
      <c r="A120" s="62" t="inlineStr">
        <is>
          <t>Total Operating Expenses</t>
        </is>
      </c>
      <c r="B120" s="21">
        <f>'P&amp;L'!D95</f>
        <v/>
      </c>
      <c r="C120" s="203">
        <f>IFERROR('P&amp;L'!D95/B99,0)</f>
        <v/>
      </c>
      <c r="D120" s="204" t="n">
        <v>90</v>
      </c>
      <c r="E120" s="204" t="n">
        <v>155</v>
      </c>
    </row>
    <row r="121" ht="18" customHeight="1" s="817">
      <c r="A121" s="62" t="inlineStr">
        <is>
          <t>Net Operating Income (NOI)</t>
        </is>
      </c>
      <c r="B121" s="21">
        <f>'P&amp;L'!D97</f>
        <v/>
      </c>
      <c r="C121" s="203">
        <f>IFERROR('P&amp;L'!D97/B99,0)</f>
        <v/>
      </c>
      <c r="D121" s="204" t="n">
        <v>25</v>
      </c>
      <c r="E121" s="204" t="n">
        <v>55</v>
      </c>
    </row>
    <row r="122" ht="18" customHeight="1" s="817">
      <c r="A122" s="102" t="inlineStr">
        <is>
          <t>Total Labor Cost as % of EGI</t>
        </is>
      </c>
      <c r="B122" s="81">
        <f>M67</f>
        <v/>
      </c>
      <c r="C122" s="213">
        <f>IFERROR(M67/'P&amp;L'!D50,0)</f>
        <v/>
      </c>
      <c r="D122" s="212" t="n">
        <v>0.5</v>
      </c>
      <c r="E122" s="214">
        <f>IFERROR(IF(C122&lt;D122,"Low",IF(C122&lt;=D122,"In range","High — flag")),"")</f>
        <v/>
      </c>
    </row>
    <row r="124" ht="18" customHeight="1" s="817">
      <c r="A124" s="840" t="inlineStr">
        <is>
          <t xml:space="preserve">  E.  KEY RATIOS — INVESTOR / LENDER WATCHLIST</t>
        </is>
      </c>
    </row>
    <row r="125" ht="15.75" customHeight="1" s="817">
      <c r="A125" s="835" t="inlineStr">
        <is>
          <t xml:space="preserve">  Five ratios cross-checked at IC and in lender underwriting. Deviations signal operational opportunity or risk.</t>
        </is>
      </c>
    </row>
    <row r="126" ht="15.75" customHeight="1" s="817">
      <c r="A126" s="41" t="inlineStr">
        <is>
          <t>Metric</t>
        </is>
      </c>
      <c r="B126" s="41" t="inlineStr">
        <is>
          <t>This Property</t>
        </is>
      </c>
      <c r="C126" s="41" t="inlineStr">
        <is>
          <t>Target / Benchmark</t>
        </is>
      </c>
      <c r="D126" s="41" t="inlineStr">
        <is>
          <t>Signal</t>
        </is>
      </c>
    </row>
    <row r="127" ht="18" customHeight="1" s="817">
      <c r="A127" s="102" t="inlineStr">
        <is>
          <t>Care HPPD — Combined (from Section 4)</t>
        </is>
      </c>
      <c r="B127" s="215">
        <f>B84</f>
        <v/>
      </c>
      <c r="C127" s="216" t="inlineStr">
        <is>
          <t>≥3.0 AL  /  ≥3.8 MC</t>
        </is>
      </c>
      <c r="D127" s="217">
        <f>IFERROR(IF(B84=0,"—",IF(B84&gt;=3,"On target","Below — check ratios")),"")</f>
        <v/>
      </c>
    </row>
    <row r="128" ht="18" customHeight="1" s="817">
      <c r="A128" s="102" t="inlineStr">
        <is>
          <t>Total Labor PRD  ($/res day)</t>
        </is>
      </c>
      <c r="B128" s="218">
        <f>C108</f>
        <v/>
      </c>
      <c r="C128" s="216" t="inlineStr">
        <is>
          <t>$85 – $130  (AL/MC blended)</t>
        </is>
      </c>
      <c r="D128" s="217">
        <f>IFERROR(IF(C108=0,"—",IF(C108&lt;85,"Low — check wages",IF(C108&lt;=130,"In range","High — review"))),"")</f>
        <v/>
      </c>
    </row>
    <row r="129" ht="18" customHeight="1" s="817">
      <c r="A129" s="102" t="inlineStr">
        <is>
          <t>Direct Care Labor PRD  ($/res day)</t>
        </is>
      </c>
      <c r="B129" s="218">
        <f>C104</f>
        <v/>
      </c>
      <c r="C129" s="216" t="inlineStr">
        <is>
          <t>$45 – $75</t>
        </is>
      </c>
      <c r="D129" s="217">
        <f>IFERROR(IF(C104=0,"—",IF(C104&lt;45,"Low",IF(C104&lt;=75,"In range","High"))),"")</f>
        <v/>
      </c>
    </row>
    <row r="130" ht="18" customHeight="1" s="817">
      <c r="A130" s="102" t="inlineStr">
        <is>
          <t>Agency as % of Total Payroll</t>
        </is>
      </c>
      <c r="B130" s="213">
        <f>B115</f>
        <v/>
      </c>
      <c r="C130" s="216" t="inlineStr">
        <is>
          <t>&lt; 10%  (flag if &gt; 15%)</t>
        </is>
      </c>
      <c r="D130" s="217">
        <f>IFERROR(IF(B115=0,"—",IF(B115&lt;0.1,"Good",IF(B115&lt;0.15,"Watch","Flag"))),"")</f>
        <v/>
      </c>
    </row>
    <row r="131" ht="18" customHeight="1" s="817">
      <c r="A131" s="102" t="inlineStr">
        <is>
          <t>Labor as % of EGI</t>
        </is>
      </c>
      <c r="B131" s="213">
        <f>IFERROR(M67/'P&amp;L'!D50,0)</f>
        <v/>
      </c>
      <c r="C131" s="216" t="inlineStr">
        <is>
          <t>50% – 65%</t>
        </is>
      </c>
      <c r="D131" s="217">
        <f>IFERROR(IF(M67/'P&amp;L'!D50&lt;0.5,"Low",IF(M67/'P&amp;L'!D50&lt;=0.65,"In range","High — flag")),"—")</f>
        <v/>
      </c>
    </row>
  </sheetData>
  <mergeCells count="35">
    <mergeCell ref="A69:O69"/>
    <mergeCell ref="A87:O87"/>
    <mergeCell ref="A80:O80"/>
    <mergeCell ref="A27:O27"/>
    <mergeCell ref="A125:J125"/>
    <mergeCell ref="A96:J96"/>
    <mergeCell ref="A18:O18"/>
    <mergeCell ref="A55:O55"/>
    <mergeCell ref="A102:J102"/>
    <mergeCell ref="A117:J117"/>
    <mergeCell ref="A93:J93"/>
    <mergeCell ref="A111:J111"/>
    <mergeCell ref="A2:O2"/>
    <mergeCell ref="F28:H28"/>
    <mergeCell ref="A65:B65"/>
    <mergeCell ref="E89:J89"/>
    <mergeCell ref="A42:O42"/>
    <mergeCell ref="A4:O4"/>
    <mergeCell ref="A94:J94"/>
    <mergeCell ref="C28:E28"/>
    <mergeCell ref="A110:J110"/>
    <mergeCell ref="A19:O19"/>
    <mergeCell ref="A124:J124"/>
    <mergeCell ref="A47:B47"/>
    <mergeCell ref="A53:B53"/>
    <mergeCell ref="A30:O30"/>
    <mergeCell ref="A11:O11"/>
    <mergeCell ref="A49:O49"/>
    <mergeCell ref="A1:O1"/>
    <mergeCell ref="A79:O79"/>
    <mergeCell ref="A101:J101"/>
    <mergeCell ref="A40:B40"/>
    <mergeCell ref="A88:O88"/>
    <mergeCell ref="A67:B67"/>
    <mergeCell ref="A70:O70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V610"/>
  <sheetViews>
    <sheetView showGridLines="0" tabSelected="1" topLeftCell="A145" zoomScale="85" zoomScaleNormal="85" workbookViewId="0">
      <selection activeCell="D189" sqref="D189"/>
    </sheetView>
  </sheetViews>
  <sheetFormatPr baseColWidth="8" defaultColWidth="8.85546875" defaultRowHeight="15" outlineLevelRow="1"/>
  <cols>
    <col width="52.28515625" customWidth="1" style="817" min="1" max="1"/>
    <col width="13" customWidth="1" style="817" min="2" max="4"/>
    <col width="14.7109375" customWidth="1" style="817" min="5" max="5"/>
    <col width="14.42578125" customWidth="1" style="817" min="6" max="8"/>
    <col width="14.42578125" bestFit="1" customWidth="1" style="817" min="9" max="9"/>
    <col width="18.42578125" bestFit="1" customWidth="1" style="817" min="10" max="10"/>
    <col width="15.42578125" bestFit="1" customWidth="1" style="817" min="11" max="11"/>
    <col width="10.7109375" bestFit="1" customWidth="1" style="817" min="12" max="12"/>
    <col width="9.28515625" bestFit="1" customWidth="1" style="817" min="13" max="13"/>
    <col width="10.140625" bestFit="1" customWidth="1" style="817" min="14" max="14"/>
    <col width="14.42578125" bestFit="1" customWidth="1" style="817" min="15" max="15"/>
    <col width="15.140625" bestFit="1" customWidth="1" style="817" min="16" max="16"/>
    <col width="14.28515625" bestFit="1" customWidth="1" style="817" min="17" max="17"/>
    <col width="13" customWidth="1" style="817" min="18" max="22"/>
    <col outlineLevel="2" width="9.140625" customWidth="1" style="817" min="23" max="23"/>
    <col outlineLevel="2" width="8.85546875" customWidth="1" style="817" min="24" max="24"/>
    <col outlineLevel="1" width="9.140625" customWidth="1" style="817" min="25" max="25"/>
    <col outlineLevel="2" width="8.85546875" customWidth="1" style="817" min="26" max="28"/>
    <col width="15" customWidth="1" style="817" min="42" max="42"/>
    <col width="18.28515625" customWidth="1" style="817" min="43" max="43"/>
    <col width="15" customWidth="1" style="817" min="44" max="44"/>
  </cols>
  <sheetData>
    <row r="1" ht="27.95" customHeight="1" s="817">
      <c r="A1" s="815" t="inlineStr">
        <is>
          <t>RENT ROLL ANALYSIS  —  Diagnostic Layer (Senior Living)</t>
        </is>
      </c>
    </row>
    <row r="2">
      <c r="A2" s="822" t="inlineStr">
        <is>
          <t>ANALYSIS on top. Raw rent roll below — paste from RentrollApp-Cl output. AR aging columns Q–T blank (paste from Analyzer AR Input or operator AR aging report). Care level: IL = Independent Living · AL = Assisted Living · MC = Memory Care.</t>
        </is>
      </c>
    </row>
    <row r="4" ht="21.95" customHeight="1" s="817">
      <c r="A4" s="818" t="inlineStr">
        <is>
          <t>B.  HEALTH CHECK  —  RR vs. Prop Info reconciliation</t>
        </is>
      </c>
    </row>
    <row r="5" outlineLevel="1" s="817">
      <c r="A5" s="849" t="inlineStr">
        <is>
          <t>Date:</t>
        </is>
      </c>
      <c r="B5" s="404" t="n"/>
      <c r="C5" s="849" t="inlineStr">
        <is>
          <t>Property:</t>
        </is>
      </c>
      <c r="D5" s="964">
        <f>TODAY()</f>
        <v/>
      </c>
      <c r="E5" s="849" t="inlineStr">
        <is>
          <t>Lic Beds (Prop):</t>
        </is>
      </c>
      <c r="F5" s="404">
        <f>'Prop Info'!B15</f>
        <v/>
      </c>
      <c r="G5" s="849" t="inlineStr">
        <is>
          <t>Lic Beds (RR):</t>
        </is>
      </c>
      <c r="H5" s="404">
        <f>COUNTA(B211:B610)</f>
        <v/>
      </c>
      <c r="I5" s="849" t="inlineStr">
        <is>
          <t>Match:</t>
        </is>
      </c>
      <c r="J5" s="404">
        <f>IF(F5=H5,"✓ match","⚠ mismatch: "&amp;(H5-F5))</f>
        <v/>
      </c>
      <c r="K5" s="849" t="inlineStr">
        <is>
          <t>Total AR:</t>
        </is>
      </c>
      <c r="L5" s="950">
        <f>SUM(L211:L610)</f>
        <v/>
      </c>
      <c r="N5" s="849" t="inlineStr">
        <is>
          <t>On Notice:</t>
        </is>
      </c>
      <c r="O5" s="404">
        <f>COUNTIF(D211:D610,"Notice")</f>
        <v/>
      </c>
      <c r="Q5" s="849" t="inlineStr">
        <is>
          <t>Occupied:</t>
        </is>
      </c>
      <c r="R5" s="404">
        <f>COUNTIF(D211:D610,"Occupied")+COUNTIF(D211:D610,"Notice")</f>
        <v/>
      </c>
    </row>
    <row r="6" outlineLevel="1" s="817">
      <c r="A6" s="635" t="n"/>
      <c r="B6" s="635" t="n"/>
      <c r="C6" s="635" t="n"/>
      <c r="D6" s="635" t="inlineStr">
        <is>
          <t>As of date for diagnostic</t>
        </is>
      </c>
      <c r="E6" s="635" t="n"/>
      <c r="F6" s="635" t="n"/>
      <c r="G6" s="635" t="n"/>
      <c r="H6" s="635" t="n"/>
      <c r="I6" s="635" t="n"/>
      <c r="J6" s="635" t="n"/>
      <c r="K6" s="635" t="n"/>
      <c r="L6" s="635" t="n"/>
      <c r="M6" s="635" t="n"/>
      <c r="N6" s="635" t="n"/>
    </row>
    <row r="7" ht="21.95" customHeight="1" s="817">
      <c r="A7" s="820" t="inlineStr">
        <is>
          <t>C.  CARE LEVEL CENSUS  —  Licensed beds, occupancy, and rate by level</t>
        </is>
      </c>
    </row>
    <row r="8" outlineLevel="1" s="817">
      <c r="A8" s="409" t="inlineStr">
        <is>
          <t>Care Level</t>
        </is>
      </c>
      <c r="B8" s="410" t="inlineStr">
        <is>
          <t>Licensed Beds</t>
        </is>
      </c>
      <c r="C8" s="410" t="inlineStr">
        <is>
          <t>Occupied Beds</t>
        </is>
      </c>
      <c r="D8" s="410" t="inlineStr">
        <is>
          <t>Occupancy %</t>
        </is>
      </c>
      <c r="E8" s="410" t="inlineStr">
        <is>
          <t>Avg Monthly Rate</t>
        </is>
      </c>
      <c r="F8" s="410" t="inlineStr">
        <is>
          <t>GPR (ann.)</t>
        </is>
      </c>
      <c r="G8" s="410" t="inlineStr">
        <is>
          <t>Avg LOC Rev/Bed</t>
        </is>
      </c>
      <c r="H8" s="410" t="inlineStr">
        <is>
          <t>Total Revenue</t>
        </is>
      </c>
    </row>
    <row r="9" outlineLevel="1" s="817">
      <c r="A9" s="400" t="inlineStr">
        <is>
          <t>IL — Independent Living</t>
        </is>
      </c>
      <c r="B9" s="417">
        <f>COUNTIF($C$211:$C$610,"IL")</f>
        <v/>
      </c>
      <c r="C9" s="417">
        <f>COUNTIFS($C$211:$C$610,"IL",$D$211:$D$610,"Occupied")+COUNTIFS($C$211:$C$610,"IL",$D$211:$D$610,"Notice")</f>
        <v/>
      </c>
      <c r="D9" s="522">
        <f>IFERROR(C9/B9,0)</f>
        <v/>
      </c>
      <c r="E9" s="950">
        <f>IFERROR(AVERAGEIFS($K$211:$K$610,$C$211:$C$610,"IL",$K$211:$K$610,"&gt;0"),0)</f>
        <v/>
      </c>
      <c r="F9" s="950">
        <f>B9*AVERAGEIFS($H$211:$H$610,$C$211:$C$610,"IL",$H$211:$H$610,"&gt;0")*12</f>
        <v/>
      </c>
      <c r="G9" s="950">
        <f>IFERROR(SUMIFS($J$211:$J$610,$C$211:$C$610,"IL")/MAX(C9,1),0)</f>
        <v/>
      </c>
      <c r="H9" s="950">
        <f>SUMIFS($K$211:$K$610,$C$211:$C$610,"IL")*12</f>
        <v/>
      </c>
    </row>
    <row r="10" outlineLevel="1" s="817">
      <c r="A10" s="400" t="inlineStr">
        <is>
          <t>AL — Assisted Living</t>
        </is>
      </c>
      <c r="B10" s="417">
        <f>COUNTIF($C$211:$C$610,"AL")</f>
        <v/>
      </c>
      <c r="C10" s="417">
        <f>COUNTIFS($C$211:$C$610,"AL",$D$211:$D$610,"Occupied")+COUNTIFS($C$211:$C$610,"AL",$D$211:$D$610,"Notice")</f>
        <v/>
      </c>
      <c r="D10" s="522">
        <f>IFERROR(C10/B10,0)</f>
        <v/>
      </c>
      <c r="E10" s="950">
        <f>IFERROR(AVERAGEIFS($K$211:$K$610,$C$211:$C$610,"AL",$K$211:$K$610,"&gt;0"),0)</f>
        <v/>
      </c>
      <c r="F10" s="950">
        <f>B10*AVERAGEIFS($H$211:$H$610,$C$211:$C$610,"AL",$H$211:$H$610,"&gt;0")*12</f>
        <v/>
      </c>
      <c r="G10" s="950">
        <f>IFERROR(SUMIFS($J$211:$J$610,$C$211:$C$610,"AL")/MAX(C10,1),0)</f>
        <v/>
      </c>
      <c r="H10" s="950">
        <f>SUMIFS($K$211:$K$610,$C$211:$C$610,"AL")*12</f>
        <v/>
      </c>
    </row>
    <row r="11" outlineLevel="1" s="817">
      <c r="A11" s="400" t="inlineStr">
        <is>
          <t>MC — Memory Care</t>
        </is>
      </c>
      <c r="B11" s="417">
        <f>COUNTIF($C$211:$C$610,"MC")</f>
        <v/>
      </c>
      <c r="C11" s="417">
        <f>COUNTIFS($C$211:$C$610,"MC",$D$211:$D$610,"Occupied")+COUNTIFS($C$211:$C$610,"MC",$D$211:$D$610,"Notice")</f>
        <v/>
      </c>
      <c r="D11" s="522">
        <f>IFERROR(C11/B11,0)</f>
        <v/>
      </c>
      <c r="E11" s="950">
        <f>IFERROR(AVERAGEIFS($K$211:$K$610,$C$211:$C$610,"MC",$K$211:$K$610,"&gt;0"),0)</f>
        <v/>
      </c>
      <c r="F11" s="950">
        <f>B11*AVERAGEIFS($H$211:$H$610,$C$211:$C$610,"MC",$H$211:$H$610,"&gt;0")*12</f>
        <v/>
      </c>
      <c r="G11" s="950">
        <f>IFERROR(SUMIFS($J$211:$J$610,$C$211:$C$610,"MC")/MAX(C11,1),0)</f>
        <v/>
      </c>
      <c r="H11" s="950">
        <f>SUMIFS($K$211:$K$610,$C$211:$C$610,"MC")*12</f>
        <v/>
      </c>
    </row>
    <row r="12" outlineLevel="1" s="817">
      <c r="A12" s="411" t="inlineStr">
        <is>
          <t>TOTAL</t>
        </is>
      </c>
      <c r="B12" s="425">
        <f>SUM(B9:B11)</f>
        <v/>
      </c>
      <c r="C12" s="425">
        <f>SUM(C9:C11)</f>
        <v/>
      </c>
      <c r="D12" s="523">
        <f>IFERROR(C12/B12,0)</f>
        <v/>
      </c>
      <c r="E12" s="956">
        <f>IFERROR(SUMIFS($K$211:$K$610,$K$211:$K$610,"&gt;0")/COUNTIFS($K$211:$K$610,"&gt;0"),0)</f>
        <v/>
      </c>
      <c r="F12" s="956">
        <f>SUM(F9:F11)</f>
        <v/>
      </c>
      <c r="G12" s="956">
        <f>IFERROR(SUM(J211:J610)/MAX(C12,1),0)</f>
        <v/>
      </c>
      <c r="H12" s="956">
        <f>SUM(H9:H11)</f>
        <v/>
      </c>
    </row>
    <row r="13" outlineLevel="1" s="817">
      <c r="A13" s="635" t="n"/>
      <c r="B13" s="635" t="n"/>
      <c r="C13" s="635" t="n"/>
      <c r="D13" s="635" t="n"/>
      <c r="E13" s="635" t="n"/>
      <c r="F13" s="635" t="n"/>
      <c r="G13" s="635" t="n"/>
      <c r="H13" s="635" t="n"/>
      <c r="I13" s="635" t="n"/>
      <c r="J13" s="635" t="n"/>
      <c r="K13" s="635" t="n"/>
      <c r="L13" s="635" t="n"/>
      <c r="M13" s="635" t="n"/>
      <c r="N13" s="635" t="n"/>
    </row>
    <row r="14" ht="21.95" customHeight="1" s="817">
      <c r="A14" s="818" t="inlineStr">
        <is>
          <t>D.  RESIDENT STATUS TAXONOMY  —  Where everyone stands</t>
        </is>
      </c>
    </row>
    <row r="15" outlineLevel="1" s="817">
      <c r="A15" s="419" t="inlineStr">
        <is>
          <t>Status Bucket</t>
        </is>
      </c>
      <c r="B15" s="420" t="inlineStr">
        <is>
          <t># Beds</t>
        </is>
      </c>
      <c r="C15" s="420" t="inlineStr">
        <is>
          <t>% of Total</t>
        </is>
      </c>
      <c r="D15" s="420" t="inlineStr">
        <is>
          <t>Sched Charges ($/mo)</t>
        </is>
      </c>
      <c r="E15" s="420" t="inlineStr">
        <is>
          <t>Avg Rate/Bed</t>
        </is>
      </c>
      <c r="F15" s="420" t="inlineStr">
        <is>
          <t>AR Balance</t>
        </is>
      </c>
    </row>
    <row r="16" outlineLevel="1" s="817">
      <c r="A16" s="400" t="inlineStr">
        <is>
          <t>Occupied — Current (paying, no balance)</t>
        </is>
      </c>
      <c r="B16" s="417">
        <f>COUNTIFS($D$211:$D$610,"Occupied",$L$211:$L$610,"&lt;=0")+COUNTIFS($D$211:$D$610,"Occupied",$L$211:$L$610,"")</f>
        <v/>
      </c>
      <c r="C16" s="522">
        <f>IFERROR(B16/$B$24,0)</f>
        <v/>
      </c>
      <c r="D16" s="950">
        <f>IFERROR(SUMIFS($K$211:$K$610,$D$211:$D$610,"Occupied",$L$211:$L$610,"&lt;=0")+SUMIFS($K$211:$K$610,$D$211:$D$610,"Occupied",$L$211:$L$610,""),0)</f>
        <v/>
      </c>
      <c r="E16" s="950">
        <f>IFERROR(D16/MAX(B16,1),0)</f>
        <v/>
      </c>
      <c r="F16" s="950" t="n">
        <v>0</v>
      </c>
    </row>
    <row r="17" outlineLevel="1" s="817">
      <c r="A17" s="400" t="inlineStr">
        <is>
          <t>Occupied — Delinquent (30+ days past due)</t>
        </is>
      </c>
      <c r="B17" s="417">
        <f>COUNTIFS($D$211:$D$610,"Occupied",$L$211:$L$610,"&gt;0")+COUNTIFS($D$211:$D$610,"Notice",$L$211:$L$610,"&gt;0")</f>
        <v/>
      </c>
      <c r="C17" s="522">
        <f>IFERROR(B17/$B$24,0)</f>
        <v/>
      </c>
      <c r="D17" s="950">
        <f>SUMIFS($K$211:$K$610,$D$211:$D$610,"Occupied",$L$211:$L$610,"&gt;0")+SUMIFS($K$211:$K$610,$D$211:$D$610,"Notice",$L$211:$L$610,"&gt;0")</f>
        <v/>
      </c>
      <c r="E17" s="950">
        <f>IFERROR(D17/MAX(B17,1),0)</f>
        <v/>
      </c>
      <c r="F17" s="950">
        <f>SUMIFS($L$211:$L$610,$D$211:$D$610,"Occupied",$L$211:$L$610,"&gt;0")+SUMIFS($L$211:$L$610,$D$211:$D$610,"Notice",$L$211:$L$610,"&gt;0")</f>
        <v/>
      </c>
    </row>
    <row r="18" outlineLevel="1" s="817">
      <c r="A18" s="400" t="inlineStr">
        <is>
          <t>Occupied — On Notice (30-day notice given)</t>
        </is>
      </c>
      <c r="B18" s="417">
        <f>COUNTIF($D$211:$D$610,"Notice")</f>
        <v/>
      </c>
      <c r="C18" s="522">
        <f>IFERROR(B18/$B$24,0)</f>
        <v/>
      </c>
      <c r="D18" s="950">
        <f>SUMIFS($K$211:$K$610,$D$211:$D$610,"Notice")</f>
        <v/>
      </c>
      <c r="E18" s="950">
        <f>IFERROR(D18/MAX(B18,1),0)</f>
        <v/>
      </c>
      <c r="F18" s="950">
        <f>SUMIFS($L$211:$L$610,$D$211:$D$610,"Notice")</f>
        <v/>
      </c>
    </row>
    <row r="19" outlineLevel="1" s="817">
      <c r="A19" s="400" t="inlineStr">
        <is>
          <t>Occupied — Respite / Short-term</t>
        </is>
      </c>
      <c r="B19" s="417">
        <f>COUNTIF($D$211:$D$610,"Respite")</f>
        <v/>
      </c>
      <c r="C19" s="522">
        <f>IFERROR(B19/$B$24,0)</f>
        <v/>
      </c>
      <c r="D19" s="950">
        <f>SUMIFS($K$211:$K$610,$D$211:$D$610,"Respite")</f>
        <v/>
      </c>
      <c r="E19" s="950">
        <f>IFERROR(D19/MAX(B19,1),0)</f>
        <v/>
      </c>
      <c r="F19" s="950">
        <f>SUMIFS($L$211:$L$610,$D$211:$D$610,"Respite")</f>
        <v/>
      </c>
    </row>
    <row r="20" outlineLevel="1" s="817">
      <c r="A20" s="400" t="inlineStr">
        <is>
          <t>Occupied — Hospice</t>
        </is>
      </c>
      <c r="B20" s="417">
        <f>COUNTIF($D$211:$D$610,"Hospice")</f>
        <v/>
      </c>
      <c r="C20" s="522">
        <f>IFERROR(B20/$B$24,0)</f>
        <v/>
      </c>
      <c r="D20" s="950">
        <f>SUMIFS($K$211:$K$610,$D$211:$D$610,"Hospice")</f>
        <v/>
      </c>
      <c r="E20" s="950">
        <f>IFERROR(D20/MAX(B20,1),0)</f>
        <v/>
      </c>
      <c r="F20" s="950">
        <f>SUMIFS($L$211:$L$610,$D$211:$D$610,"Hospice")</f>
        <v/>
      </c>
    </row>
    <row r="21" outlineLevel="1" s="817">
      <c r="A21" s="400" t="inlineStr">
        <is>
          <t>Vacant — Turned (ready)</t>
        </is>
      </c>
      <c r="B21" s="417">
        <f>COUNTIFS($D$211:$D$610,"Vacant",$G$211:$G$610,"&lt;&gt;")</f>
        <v/>
      </c>
      <c r="C21" s="522">
        <f>IFERROR(B21/$B$24,0)</f>
        <v/>
      </c>
      <c r="D21" s="950" t="n">
        <v>0</v>
      </c>
      <c r="E21" s="950" t="n">
        <v>0</v>
      </c>
      <c r="F21" s="950" t="n">
        <v>0</v>
      </c>
    </row>
    <row r="22" outlineLevel="1" s="817">
      <c r="A22" s="400" t="inlineStr">
        <is>
          <t>Vacant — Not Turned</t>
        </is>
      </c>
      <c r="B22" s="417">
        <f>COUNTIFS($D$211:$D$610,"Vacant",$G$211:$G$610,"")</f>
        <v/>
      </c>
      <c r="C22" s="522">
        <f>IFERROR(B22/$B$24,0)</f>
        <v/>
      </c>
      <c r="D22" s="950" t="n">
        <v>0</v>
      </c>
      <c r="E22" s="950" t="n">
        <v>0</v>
      </c>
      <c r="F22" s="950" t="n">
        <v>0</v>
      </c>
    </row>
    <row r="23" outlineLevel="1" s="817">
      <c r="A23" s="400" t="inlineStr">
        <is>
          <t>Reserved / Pre-Admitted (signed, not in)</t>
        </is>
      </c>
      <c r="B23" s="417">
        <f>COUNTIF($D$211:$D$610,"Reserved")+COUNTIFS($D$211:$D$610,"Vacant",$F$211:$F$610,"&gt;"&amp;TODAY())</f>
        <v/>
      </c>
      <c r="C23" s="522">
        <f>IFERROR(B23/$B$24,0)</f>
        <v/>
      </c>
      <c r="D23" s="950">
        <f>SUMIFS($K$211:$K$610,$D$211:$D$610,"Reserved")</f>
        <v/>
      </c>
      <c r="E23" s="950">
        <f>IFERROR(D23/MAX(B23,1),0)</f>
        <v/>
      </c>
      <c r="F23" s="950" t="n">
        <v>0</v>
      </c>
    </row>
    <row r="24" outlineLevel="1" s="817">
      <c r="A24" s="411" t="inlineStr">
        <is>
          <t>TOTAL</t>
        </is>
      </c>
      <c r="B24" s="425">
        <f>COUNTA($B$211:$B$610)</f>
        <v/>
      </c>
      <c r="C24" s="523">
        <f>SUM(C16:C23)</f>
        <v/>
      </c>
      <c r="D24" s="956">
        <f>SUM(D16:D23)</f>
        <v/>
      </c>
      <c r="E24" s="956">
        <f>IFERROR(D24/MAX(B24,1),0)</f>
        <v/>
      </c>
      <c r="F24" s="956">
        <f>SUM(F16:F23)</f>
        <v/>
      </c>
    </row>
    <row r="25" outlineLevel="1" s="817">
      <c r="A25" s="824" t="inlineStr">
        <is>
          <t xml:space="preserve">  Tie-out: Occ + Vacant + Reserved = Licensed Beds  |  Occ Mkt + Vac Loss should tie to Section E GPR</t>
        </is>
      </c>
    </row>
    <row r="26" outlineLevel="1" s="817">
      <c r="A26" s="635" t="n"/>
      <c r="B26" s="635" t="n"/>
      <c r="C26" s="635" t="n"/>
      <c r="D26" s="635" t="n"/>
      <c r="E26" s="635" t="n"/>
      <c r="F26" s="635" t="n"/>
      <c r="G26" s="635" t="n"/>
      <c r="H26" s="635" t="n"/>
      <c r="I26" s="635" t="n"/>
      <c r="J26" s="635" t="n"/>
      <c r="K26" s="635" t="n"/>
      <c r="L26" s="635" t="n"/>
      <c r="M26" s="635" t="n"/>
      <c r="N26" s="635" t="n"/>
    </row>
    <row r="27" ht="21.95" customHeight="1" s="817">
      <c r="A27" s="820" t="inlineStr">
        <is>
          <t>E.  GPR RECONCILIATION  —  Three views of potential revenue</t>
        </is>
      </c>
    </row>
    <row r="28" outlineLevel="1" s="817">
      <c r="A28" s="419" t="inlineStr">
        <is>
          <t>Metric</t>
        </is>
      </c>
      <c r="B28" s="420" t="inlineStr">
        <is>
          <t>Annual Amount</t>
        </is>
      </c>
      <c r="C28" s="420" t="inlineStr">
        <is>
          <t>Per Bed/Mo</t>
        </is>
      </c>
      <c r="D28" s="420" t="inlineStr">
        <is>
          <t>Notes</t>
        </is>
      </c>
    </row>
    <row r="29" outlineLevel="1" s="817">
      <c r="A29" s="849" t="inlineStr">
        <is>
          <t>Market GPR  (all licensed beds × market rate × 12)</t>
        </is>
      </c>
      <c r="B29" s="954">
        <f>SUM(H211:H610)*12</f>
        <v/>
      </c>
      <c r="C29" s="954">
        <f>IFERROR(B29/12/MAX(B12,1),0)</f>
        <v/>
      </c>
      <c r="D29" s="824" t="inlineStr">
        <is>
          <t>Max revenue at 100% occupancy</t>
        </is>
      </c>
    </row>
    <row r="30" outlineLevel="1" s="817">
      <c r="A30" s="400" t="inlineStr">
        <is>
          <t>Scheduled GPR  (occupied × sched charges × 12)</t>
        </is>
      </c>
      <c r="B30" s="950">
        <f t="array" ref="B30">SUMPRODUCT((($D$211:$D$610="Occupied")+($D$211:$D$610="Notice"))*$K$211:$K$610)*12</f>
        <v/>
      </c>
      <c r="C30" s="950">
        <f>IFERROR(B30/12/MAX(C12,1),0)</f>
        <v/>
      </c>
      <c r="D30" s="824" t="inlineStr">
        <is>
          <t>Contracted charges on occupied beds</t>
        </is>
      </c>
    </row>
    <row r="31" outlineLevel="1" s="817">
      <c r="A31" s="400" t="inlineStr">
        <is>
          <t>Loss to Lease  (achievable rate − in-place scheduled, occupied)</t>
        </is>
      </c>
      <c r="B31" s="950">
        <f t="array" ref="B31">(SUMPRODUCT((($C$211:$C$610="IL")*(($D$211:$D$610="Occupied")+($D$211:$D$610="Notice")))*(_xlfn.MAXIFS($K$211:$K$610,$C$211:$C$610,"IL",$D$211:$D$610,"Occupied")-$K$211:$K$610))+SUMPRODUCT((($C$211:$C$610="AL")*(($D$211:$D$610="Occupied")+($D$211:$D$610="Notice")))*(_xlfn.MAXIFS($K$211:$K$610,$C$211:$C$610,"AL",$D$211:$D$610,"Occupied")-$K$211:$K$610))+SUMPRODUCT((($C$211:$C$610="MC")*(($D$211:$D$610="Occupied")+($D$211:$D$610="Notice")))*(_xlfn.MAXIFS($K$211:$K$610,$C$211:$C$610,"MC",$D$211:$D$610,"Occupied")-$K$211:$K$610)))*12</f>
        <v/>
      </c>
      <c r="C31" s="950">
        <f>IFERROR(B31/12/MAX(C12,1),0)</f>
        <v/>
      </c>
      <c r="D31" s="824" t="inlineStr">
        <is>
          <t>Achievable = max scheduled rate within same care level (peer ceiling per CL)</t>
        </is>
      </c>
    </row>
    <row r="32" outlineLevel="1" s="817">
      <c r="A32" s="400" t="inlineStr">
        <is>
          <t>Loss to Lease %</t>
        </is>
      </c>
      <c r="B32" s="522">
        <f>IFERROR(B31/B30,0)</f>
        <v/>
      </c>
      <c r="C32" s="404" t="n"/>
      <c r="D32" s="824" t="inlineStr">
        <is>
          <t>LTL as % of scheduled GPR</t>
        </is>
      </c>
    </row>
    <row r="33" outlineLevel="1" s="817">
      <c r="A33" s="400" t="inlineStr">
        <is>
          <t>Vacancy Loss  (vacant beds × market rate × 12)</t>
        </is>
      </c>
      <c r="B33" s="950">
        <f>SUMIFS($H$211:$H$610,$D$211:$D$610,"Vacant")*12</f>
        <v/>
      </c>
      <c r="C33" s="950">
        <f>IFERROR(B33/12/MAX(COUNTIF($D$211:$D$610,"Vacant"),1),0)</f>
        <v/>
      </c>
      <c r="D33" s="824" t="inlineStr">
        <is>
          <t>Lost revenue from empty beds</t>
        </is>
      </c>
    </row>
    <row r="34" outlineLevel="1" s="817">
      <c r="A34" s="400" t="inlineStr">
        <is>
          <t>Bad Debt Risk  (delinquent + on-notice × sched × 12)</t>
        </is>
      </c>
      <c r="B34" s="950">
        <f>F17*12+F18*12</f>
        <v/>
      </c>
      <c r="C34" s="950">
        <f>IFERROR(B34/12/MAX(B17+B18,1),0)</f>
        <v/>
      </c>
      <c r="D34" s="824" t="inlineStr">
        <is>
          <t>Annualized at-risk revenue</t>
        </is>
      </c>
    </row>
    <row r="35" outlineLevel="1" s="817">
      <c r="A35" s="400" t="inlineStr">
        <is>
          <t>LOC / Care Services Revenue  (Analyzer UW Output)</t>
        </is>
      </c>
      <c r="B35" s="950">
        <f>SUM(J211:J610)*12</f>
        <v/>
      </c>
      <c r="C35" s="950">
        <f>IFERROR(B35/12/MAX(C12,1),0)</f>
        <v/>
      </c>
      <c r="D35" s="824" t="inlineStr">
        <is>
          <t>Add-on care charges — source from Analyzer</t>
        </is>
      </c>
    </row>
    <row r="36" outlineLevel="1" s="817">
      <c r="A36" s="849" t="inlineStr">
        <is>
          <t>Economic GPR  (Market − LTL − Vac − Bad Debt + LOC)</t>
        </is>
      </c>
      <c r="B36" s="954">
        <f>B29-B31-B33-B34+B35</f>
        <v/>
      </c>
      <c r="C36" s="954">
        <f>IFERROR(B36/12/MAX(B12,1),0)</f>
        <v/>
      </c>
      <c r="D36" s="824" t="inlineStr">
        <is>
          <t>Realistic collected revenue estimate</t>
        </is>
      </c>
    </row>
    <row r="37" outlineLevel="1" s="817">
      <c r="A37" s="400" t="inlineStr">
        <is>
          <t>Economic Occupancy %  (Econ GPR / Market GPR)</t>
        </is>
      </c>
      <c r="B37" s="522">
        <f>IFERROR(B36/B29,0)</f>
        <v/>
      </c>
      <c r="C37" s="404" t="n"/>
      <c r="D37" s="824" t="inlineStr">
        <is>
          <t>Compare to physical occupancy above</t>
        </is>
      </c>
    </row>
    <row r="38" outlineLevel="1" s="817">
      <c r="A38" s="400" t="inlineStr">
        <is>
          <t>Current RR GPR — Occupied Scheduled (point-in-time)</t>
        </is>
      </c>
      <c r="B38" s="950">
        <f t="array" ref="B38">SUMPRODUCT((($D$211:$D$610="Occupied")+($D$211:$D$610="Notice"))*$K$211:$K$610)*12</f>
        <v/>
      </c>
      <c r="C38" s="950">
        <f>IFERROR(B38/12/MAX(C12,1),0)</f>
        <v/>
      </c>
      <c r="D38" s="824" t="inlineStr">
        <is>
          <t>Scheduled rent × occupied beds × 12</t>
        </is>
      </c>
    </row>
    <row r="39" outlineLevel="1" s="817">
      <c r="A39" s="638" t="inlineStr">
        <is>
          <t>Market vs Actual Collected  (operator posted rate − actual charges, occupied)</t>
        </is>
      </c>
      <c r="B39" s="965">
        <f t="array" ref="B39">SUMPRODUCT((($D$211:$D$610="Occupied")+($D$211:$D$610="Notice"))*($H$211:$H$610-$I$211:$I$610))*12</f>
        <v/>
      </c>
      <c r="C39" s="965">
        <f>IFERROR(B39/12/MAX(C12,1),0)</f>
        <v/>
      </c>
      <c r="D39" s="640" t="inlineStr">
        <is>
          <t>Negative = collecting MORE than posted market (over-billing or care fees in I). Positive = collecting LESS than posted market (concessions / discounts in actuals).</t>
        </is>
      </c>
      <c r="E39" s="635" t="n"/>
      <c r="F39" s="635" t="n"/>
      <c r="G39" s="635" t="n"/>
      <c r="H39" s="635" t="n"/>
      <c r="I39" s="635" t="n"/>
      <c r="J39" s="635" t="n"/>
      <c r="K39" s="635" t="n"/>
      <c r="L39" s="635" t="n"/>
      <c r="M39" s="635" t="n"/>
      <c r="N39" s="635" t="n"/>
    </row>
    <row r="40" ht="21.95" customHeight="1" s="817">
      <c r="A40" s="818" t="inlineStr">
        <is>
          <t>F.  LENGTH OF STAY COHORT  —  How long residents have been here</t>
        </is>
      </c>
    </row>
    <row r="41" outlineLevel="1" s="817">
      <c r="A41" s="419" t="inlineStr">
        <is>
          <t>Tenure</t>
        </is>
      </c>
      <c r="B41" s="420" t="inlineStr">
        <is>
          <t># Residents</t>
        </is>
      </c>
      <c r="C41" s="420" t="inlineStr">
        <is>
          <t>% Occupied</t>
        </is>
      </c>
      <c r="D41" s="420" t="inlineStr">
        <is>
          <t>Avg Sched Rate</t>
        </is>
      </c>
      <c r="E41" s="420" t="inlineStr">
        <is>
          <t>Avg Market Rate</t>
        </is>
      </c>
      <c r="F41" s="420" t="inlineStr">
        <is>
          <t>LTL/mo/bed</t>
        </is>
      </c>
      <c r="G41" s="420" t="inlineStr">
        <is>
          <t>Read</t>
        </is>
      </c>
    </row>
    <row r="42" outlineLevel="1" s="817">
      <c r="A42" s="400" t="inlineStr">
        <is>
          <t>0–6 months</t>
        </is>
      </c>
      <c r="B42" s="417">
        <f t="array" ref="B42">SUMPRODUCT((($D$211:$D$610="Occupied")+($D$211:$D$610="Notice"))*($F$211:$F$610&gt;=TODAY()-180)*($F$211:$F$610&lt;&gt;""))</f>
        <v/>
      </c>
      <c r="C42" s="522">
        <f>IFERROR(B42/MAX($C$12,1),0)</f>
        <v/>
      </c>
      <c r="D42" s="950">
        <f t="array" ref="D42">IFERROR(SUMPRODUCT((($D$211:$D$610="Occupied")+($D$211:$D$610="Notice"))*($F$211:$F$610&gt;=TODAY()-180)*($F$211:$F$610&lt;&gt;"")*$K$211:$K$610)/MAX(B42,1),0)</f>
        <v/>
      </c>
      <c r="E42" s="950">
        <f t="array" ref="E42">IFERROR(SUMPRODUCT((($D$211:$D$610="Occupied")+($D$211:$D$610="Notice"))*($F$211:$F$610&gt;=TODAY()-180)*($F$211:$F$610&lt;&gt;"")*$H$211:$H$610)/MAX(B42,1),0)</f>
        <v/>
      </c>
      <c r="F42" s="950">
        <f>IFERROR(E42-D42,0)</f>
        <v/>
      </c>
      <c r="G42" s="824" t="inlineStr">
        <is>
          <t>Recent admissions — high care needs assessment period</t>
        </is>
      </c>
    </row>
    <row r="43" outlineLevel="1" s="817">
      <c r="A43" s="400" t="inlineStr">
        <is>
          <t>6–12 months</t>
        </is>
      </c>
      <c r="B43" s="417">
        <f t="array" ref="B43">SUMPRODUCT((($D$211:$D$610="Occupied")+($D$211:$D$610="Notice"))*($F$211:$F$610&gt;=TODAY()-365)*($F$211:$F$610&lt;TODAY()-180)*($F$211:$F$610&lt;&gt;""))</f>
        <v/>
      </c>
      <c r="C43" s="522">
        <f>IFERROR(B43/MAX($C$12,1),0)</f>
        <v/>
      </c>
      <c r="D43" s="950">
        <f t="array" ref="D43">IFERROR(SUMPRODUCT((($D$211:$D$610="Occupied")+($D$211:$D$610="Notice"))*($F$211:$F$610&gt;=TODAY()-365)*($F$211:$F$610&lt;TODAY()-180)*($F$211:$F$610&lt;&gt;"")*$K$211:$K$610)/MAX(B43,1),0)</f>
        <v/>
      </c>
      <c r="E43" s="950">
        <f t="array" ref="E43">IFERROR(SUMPRODUCT((($D$211:$D$610="Occupied")+($D$211:$D$610="Notice"))*($F$211:$F$610&gt;=TODAY()-365)*($F$211:$F$610&lt;TODAY()-180)*($F$211:$F$610&lt;&gt;"")*$H$211:$H$610)/MAX(B43,1),0)</f>
        <v/>
      </c>
      <c r="F43" s="950">
        <f>IFERROR(E43-D43,0)</f>
        <v/>
      </c>
      <c r="G43" s="824" t="inlineStr">
        <is>
          <t>Stabilizing</t>
        </is>
      </c>
    </row>
    <row r="44" outlineLevel="1" s="817">
      <c r="A44" s="400" t="inlineStr">
        <is>
          <t>1–2 years</t>
        </is>
      </c>
      <c r="B44" s="417">
        <f t="array" ref="B44">SUMPRODUCT((($D$211:$D$610="Occupied")+($D$211:$D$610="Notice"))*($F$211:$F$610&gt;=TODAY()-730)*($F$211:$F$610&lt;TODAY()-365)*($F$211:$F$610&lt;&gt;""))</f>
        <v/>
      </c>
      <c r="C44" s="522">
        <f>IFERROR(B44/MAX($C$12,1),0)</f>
        <v/>
      </c>
      <c r="D44" s="950">
        <f t="array" ref="D44">IFERROR(SUMPRODUCT((($D$211:$D$610="Occupied")+($D$211:$D$610="Notice"))*($F$211:$F$610&gt;=TODAY()-730)*($F$211:$F$610&lt;TODAY()-365)*($F$211:$F$610&lt;&gt;"")*$K$211:$K$610)/MAX(B44,1),0)</f>
        <v/>
      </c>
      <c r="E44" s="950">
        <f t="array" ref="E44">IFERROR(SUMPRODUCT((($D$211:$D$610="Occupied")+($D$211:$D$610="Notice"))*($F$211:$F$610&gt;=TODAY()-730)*($F$211:$F$610&lt;TODAY()-365)*($F$211:$F$610&lt;&gt;"")*$H$211:$H$610)/MAX(B44,1),0)</f>
        <v/>
      </c>
      <c r="F44" s="950">
        <f>IFERROR(E44-D44,0)</f>
        <v/>
      </c>
      <c r="G44" s="824" t="inlineStr">
        <is>
          <t>Established residents</t>
        </is>
      </c>
    </row>
    <row r="45" outlineLevel="1" s="817">
      <c r="A45" s="400" t="inlineStr">
        <is>
          <t>2–3 years</t>
        </is>
      </c>
      <c r="B45" s="417">
        <f t="array" ref="B45">SUMPRODUCT((($D$211:$D$610="Occupied")+($D$211:$D$610="Notice"))*($F$211:$F$610&gt;=TODAY()-1095)*($F$211:$F$610&lt;TODAY()-730)*($F$211:$F$610&lt;&gt;""))</f>
        <v/>
      </c>
      <c r="C45" s="522">
        <f>IFERROR(B45/MAX($C$12,1),0)</f>
        <v/>
      </c>
      <c r="D45" s="950">
        <f t="array" ref="D45">IFERROR(SUMPRODUCT((($D$211:$D$610="Occupied")+($D$211:$D$610="Notice"))*($F$211:$F$610&gt;=TODAY()-1095)*($F$211:$F$610&lt;TODAY()-730)*($F$211:$F$610&lt;&gt;"")*$K$211:$K$610)/MAX(B45,1),0)</f>
        <v/>
      </c>
      <c r="E45" s="950">
        <f t="array" ref="E45">IFERROR(SUMPRODUCT((($D$211:$D$610="Occupied")+($D$211:$D$610="Notice"))*($F$211:$F$610&gt;=TODAY()-1095)*($F$211:$F$610&lt;TODAY()-730)*($F$211:$F$610&lt;&gt;"")*$H$211:$H$610)/MAX(B45,1),0)</f>
        <v/>
      </c>
      <c r="F45" s="950">
        <f>IFERROR(E45-D45,0)</f>
        <v/>
      </c>
      <c r="G45" s="824" t="inlineStr">
        <is>
          <t>Likely below market rate</t>
        </is>
      </c>
    </row>
    <row r="46" outlineLevel="1" s="817">
      <c r="A46" s="400" t="inlineStr">
        <is>
          <t>3+ years</t>
        </is>
      </c>
      <c r="B46" s="417">
        <f t="array" ref="B46">SUMPRODUCT((($D$211:$D$610="Occupied")+($D$211:$D$610="Notice"))*($F$211:$F$610&lt;TODAY()-1095)*($F$211:$F$610&lt;&gt;""))</f>
        <v/>
      </c>
      <c r="C46" s="522">
        <f>IFERROR(B46/MAX($C$12,1),0)</f>
        <v/>
      </c>
      <c r="D46" s="950">
        <f t="array" ref="D46">IFERROR(SUMPRODUCT((($D$211:$D$610="Occupied")+($D$211:$D$610="Notice"))*($F$211:$F$610&lt;TODAY()-1095)*($F$211:$F$610&lt;&gt;"")*$K$211:$K$610)/MAX(B46,1),0)</f>
        <v/>
      </c>
      <c r="E46" s="950">
        <f t="array" ref="E46">IFERROR(SUMPRODUCT((($D$211:$D$610="Occupied")+($D$211:$D$610="Notice"))*($F$211:$F$610&lt;TODAY()-1095)*($F$211:$F$610&lt;&gt;"")*$H$211:$H$610)/MAX(B46,1),0)</f>
        <v/>
      </c>
      <c r="F46" s="950">
        <f>IFERROR(E46-D46,0)</f>
        <v/>
      </c>
      <c r="G46" s="824" t="inlineStr">
        <is>
          <t>Deep below market — rate increase opportunity</t>
        </is>
      </c>
    </row>
    <row r="47" outlineLevel="1" s="817"/>
    <row r="48" outlineLevel="1" s="817">
      <c r="A48" s="635" t="n"/>
      <c r="B48" s="635" t="n"/>
      <c r="C48" s="635" t="n"/>
      <c r="D48" s="635" t="n"/>
      <c r="E48" s="635" t="n"/>
      <c r="F48" s="635" t="n"/>
      <c r="G48" s="635" t="n"/>
      <c r="H48" s="635" t="n"/>
      <c r="I48" s="635" t="n"/>
      <c r="J48" s="635" t="n"/>
      <c r="K48" s="635" t="n"/>
      <c r="L48" s="635" t="n"/>
      <c r="M48" s="635" t="n"/>
      <c r="N48" s="635" t="n"/>
    </row>
    <row r="49" ht="21.95" customHeight="1" s="817">
      <c r="A49" s="820" t="inlineStr">
        <is>
          <t>G.  DAYS VACANT TRACKER  —  How long have the empty beds been empty?</t>
        </is>
      </c>
    </row>
    <row r="50" outlineLevel="1" s="817">
      <c r="A50" s="824" t="inlineStr">
        <is>
          <t xml:space="preserve">  Calculated from last discharge / move-out date. Blank discharge = unknown duration.</t>
        </is>
      </c>
    </row>
    <row r="51" outlineLevel="1" s="817">
      <c r="A51" s="419" t="inlineStr">
        <is>
          <t>Vacancy Bucket</t>
        </is>
      </c>
      <c r="B51" s="420" t="inlineStr">
        <is>
          <t># Beds</t>
        </is>
      </c>
      <c r="C51" s="420" t="inlineStr">
        <is>
          <t>% of Vacant</t>
        </is>
      </c>
      <c r="D51" s="420" t="inlineStr">
        <is>
          <t>Lost Revenue ($/yr)</t>
        </is>
      </c>
      <c r="E51" s="420" t="inlineStr">
        <is>
          <t>Est. Turn Scope</t>
        </is>
      </c>
    </row>
    <row r="52" outlineLevel="1" s="817">
      <c r="A52" s="400" t="inlineStr">
        <is>
          <t>0–30 days since discharge</t>
        </is>
      </c>
      <c r="B52" s="417">
        <f t="array" ref="B52">SUMPRODUCT(($D$211:$D$610="Vacant")*($G$211:$G$610&gt;=TODAY()-30)*($G$211:$G$610&lt;&gt;""))</f>
        <v/>
      </c>
      <c r="C52" s="522">
        <f>IFERROR(B52/MAX(COUNTIF($D$211:$D$610,"Vacant"),1),0)</f>
        <v/>
      </c>
      <c r="D52" s="950">
        <f t="array" ref="D52">SUMPRODUCT(($D$211:$D$610="Vacant")*($G$211:$G$610&gt;=TODAY()-30)*($G$211:$G$610&lt;&gt;"")*$H$211:$H$610)*12</f>
        <v/>
      </c>
      <c r="E52" s="824" t="inlineStr">
        <is>
          <t>Standard turn</t>
        </is>
      </c>
    </row>
    <row r="53" outlineLevel="1" s="817">
      <c r="A53" s="400" t="inlineStr">
        <is>
          <t>31–90 days</t>
        </is>
      </c>
      <c r="B53" s="417">
        <f t="array" ref="B53">SUMPRODUCT(($D$211:$D$610="Vacant")*($G$211:$G$610&gt;=TODAY()-90)*($G$211:$G$610&lt;TODAY()-30)*($G$211:$G$610&lt;&gt;""))</f>
        <v/>
      </c>
      <c r="C53" s="522">
        <f>IFERROR(B53/MAX(COUNTIF($D$211:$D$610,"Vacant"),1),0)</f>
        <v/>
      </c>
      <c r="D53" s="950">
        <f t="array" ref="D53">SUMPRODUCT(($D$211:$D$610="Vacant")*($G$211:$G$610&gt;=TODAY()-90)*($G$211:$G$610&lt;TODAY()-30)*($G$211:$G$610&lt;&gt;"")*$H$211:$H$610)*12</f>
        <v/>
      </c>
      <c r="E53" s="824" t="inlineStr">
        <is>
          <t>Light to medium refurb</t>
        </is>
      </c>
    </row>
    <row r="54" outlineLevel="1" s="817">
      <c r="A54" s="400" t="inlineStr">
        <is>
          <t>90–180 days</t>
        </is>
      </c>
      <c r="B54" s="417">
        <f t="array" ref="B54">SUMPRODUCT(($D$211:$D$610="Vacant")*($G$211:$G$610&gt;=TODAY()-180)*($G$211:$G$610&lt;TODAY()-90)*($G$211:$G$610&lt;&gt;""))</f>
        <v/>
      </c>
      <c r="C54" s="522">
        <f>IFERROR(B54/MAX(COUNTIF($D$211:$D$610,"Vacant"),1),0)</f>
        <v/>
      </c>
      <c r="D54" s="950">
        <f t="array" ref="D54">SUMPRODUCT(($D$211:$D$610="Vacant")*($G$211:$G$610&gt;=TODAY()-180)*($G$211:$G$610&lt;TODAY()-90)*($G$211:$G$610&lt;&gt;"")*$H$211:$H$610)*12</f>
        <v/>
      </c>
      <c r="E54" s="824" t="inlineStr">
        <is>
          <t>Medium refurb likely</t>
        </is>
      </c>
    </row>
    <row r="55" outlineLevel="1" s="817">
      <c r="A55" s="400" t="inlineStr">
        <is>
          <t>180–365 days</t>
        </is>
      </c>
      <c r="B55" s="417">
        <f t="array" ref="B55">SUMPRODUCT(($D$211:$D$610="Vacant")*($G$211:$G$610&gt;=TODAY()-365)*($G$211:$G$610&lt;TODAY()-180)*($G$211:$G$610&lt;&gt;""))</f>
        <v/>
      </c>
      <c r="C55" s="522">
        <f>IFERROR(B55/MAX(COUNTIF($D$211:$D$610,"Vacant"),1),0)</f>
        <v/>
      </c>
      <c r="D55" s="950">
        <f t="array" ref="D55">SUMPRODUCT(($D$211:$D$610="Vacant")*($G$211:$G$610&gt;=TODAY()-365)*($G$211:$G$610&lt;TODAY()-180)*($G$211:$G$610&lt;&gt;"")*$H$211:$H$610)*12</f>
        <v/>
      </c>
      <c r="E55" s="824" t="inlineStr">
        <is>
          <t>Heavy refurb / deep clean</t>
        </is>
      </c>
    </row>
    <row r="56" outlineLevel="1" s="817">
      <c r="A56" s="400" t="inlineStr">
        <is>
          <t>365+ days</t>
        </is>
      </c>
      <c r="B56" s="417">
        <f t="array" ref="B56">SUMPRODUCT(($D$211:$D$610="Vacant")*($G$211:$G$610&lt;TODAY()-365)*($G$211:$G$610&lt;&gt;""))</f>
        <v/>
      </c>
      <c r="C56" s="522">
        <f>IFERROR(B56/MAX(COUNTIF($D$211:$D$610,"Vacant"),1),0)</f>
        <v/>
      </c>
      <c r="D56" s="950">
        <f t="array" ref="D56">SUMPRODUCT(($D$211:$D$610="Vacant")*($G$211:$G$610&lt;TODAY()-365)*($G$211:$G$610&lt;&gt;"")*$H$211:$H$610)*12</f>
        <v/>
      </c>
      <c r="E56" s="824" t="inlineStr">
        <is>
          <t>Assess for off-line / renovation</t>
        </is>
      </c>
    </row>
    <row r="57" outlineLevel="1" s="817">
      <c r="A57" s="400" t="inlineStr">
        <is>
          <t>Discharge date unknown</t>
        </is>
      </c>
      <c r="B57" s="417">
        <f>COUNTIFS($D$211:$D$610,"Vacant",$G$211:$G$610,"")</f>
        <v/>
      </c>
      <c r="C57" s="522">
        <f>IFERROR(B57/MAX(COUNTIF($D$211:$D$610,"Vacant"),1),0)</f>
        <v/>
      </c>
      <c r="D57" s="950">
        <f>SUMIFS($H$211:$H$610,$D$211:$D$610,"Vacant",$G$211:$G$610,"")*12</f>
        <v/>
      </c>
      <c r="E57" s="824" t="inlineStr">
        <is>
          <t>Investigate</t>
        </is>
      </c>
    </row>
    <row r="58" outlineLevel="1" s="817">
      <c r="A58" s="849" t="inlineStr">
        <is>
          <t>Total Lost Annual Revenue</t>
        </is>
      </c>
      <c r="B58" s="422">
        <f>SUM(B52:B57)</f>
        <v/>
      </c>
      <c r="C58" s="525">
        <f>SUM(C52:C57)</f>
        <v/>
      </c>
      <c r="D58" s="954">
        <f>SUM(D52:D57)</f>
        <v/>
      </c>
      <c r="E58" s="824" t="n"/>
    </row>
    <row r="59" outlineLevel="1" s="817"/>
    <row r="60" outlineLevel="1" s="817">
      <c r="A60" s="635" t="n"/>
      <c r="B60" s="635" t="n"/>
      <c r="C60" s="635" t="n"/>
      <c r="D60" s="635" t="n"/>
      <c r="E60" s="635" t="n"/>
      <c r="F60" s="635" t="n"/>
      <c r="G60" s="635" t="n"/>
      <c r="H60" s="635" t="n"/>
      <c r="I60" s="635" t="n"/>
      <c r="J60" s="635" t="n"/>
      <c r="K60" s="635" t="n"/>
      <c r="L60" s="635" t="n"/>
      <c r="M60" s="635" t="n"/>
      <c r="N60" s="635" t="n"/>
    </row>
    <row r="61" ht="21.95" customHeight="1" s="817">
      <c r="A61" s="818" t="inlineStr">
        <is>
          <t>H.  DELINQUENCY  —  AR aging summary  (paste from Analyzer AR Input or operator aging report into cols Q–T)</t>
        </is>
      </c>
    </row>
    <row r="62" outlineLevel="1" s="817">
      <c r="A62" s="419" t="inlineStr">
        <is>
          <t>Aging Bucket</t>
        </is>
      </c>
      <c r="B62" s="420" t="inlineStr">
        <is>
          <t># Residents</t>
        </is>
      </c>
      <c r="C62" s="420" t="inlineStr">
        <is>
          <t>Total $</t>
        </is>
      </c>
      <c r="D62" s="420" t="inlineStr">
        <is>
          <t>% of Total AR</t>
        </is>
      </c>
      <c r="E62" s="420" t="inlineStr">
        <is>
          <t>Avg per Resident</t>
        </is>
      </c>
      <c r="F62" s="420" t="inlineStr">
        <is>
          <t>Payer Mix Flag</t>
        </is>
      </c>
    </row>
    <row r="63" outlineLevel="1" s="817">
      <c r="A63" s="400" t="inlineStr">
        <is>
          <t>0–30 Days</t>
        </is>
      </c>
      <c r="B63" s="417">
        <f t="array" ref="B63">SUMPRODUCT(($N$211:$N$610&gt;0)*1)</f>
        <v/>
      </c>
      <c r="C63" s="950">
        <f>SUM(N211:N610)</f>
        <v/>
      </c>
      <c r="D63" s="522">
        <f>IFERROR(C63/MAX(SUM($L$211:$L$610),1),0)</f>
        <v/>
      </c>
      <c r="E63" s="950">
        <f>IFERROR(C63/MAX(B63,1),0)</f>
        <v/>
      </c>
      <c r="F63" s="424" t="inlineStr">
        <is>
          <t>Current</t>
        </is>
      </c>
    </row>
    <row r="64" outlineLevel="1" s="817">
      <c r="A64" s="400" t="inlineStr">
        <is>
          <t>31–60 Days</t>
        </is>
      </c>
      <c r="B64" s="417">
        <f t="array" ref="B64">SUMPRODUCT(($O$211:$O$610&gt;0)*1)</f>
        <v/>
      </c>
      <c r="C64" s="950">
        <f>SUM(O211:O610)</f>
        <v/>
      </c>
      <c r="D64" s="522">
        <f>IFERROR(C64/MAX(SUM($L$211:$L$610),1),0)</f>
        <v/>
      </c>
      <c r="E64" s="950">
        <f>IFERROR(C64/MAX(B64,1),0)</f>
        <v/>
      </c>
      <c r="F64" s="424" t="inlineStr">
        <is>
          <t>Watch</t>
        </is>
      </c>
    </row>
    <row r="65" outlineLevel="1" s="817">
      <c r="A65" s="400" t="inlineStr">
        <is>
          <t>61–90 Days</t>
        </is>
      </c>
      <c r="B65" s="417">
        <f t="array" ref="B65">SUMPRODUCT(($P$211:$P$610&gt;0)*1)</f>
        <v/>
      </c>
      <c r="C65" s="950">
        <f>SUM(P211:P610)</f>
        <v/>
      </c>
      <c r="D65" s="522">
        <f>IFERROR(C65/MAX(SUM($L$211:$L$610),1),0)</f>
        <v/>
      </c>
      <c r="E65" s="950">
        <f>IFERROR(C65/MAX(B65,1),0)</f>
        <v/>
      </c>
      <c r="F65" s="424" t="inlineStr">
        <is>
          <t>Escalate</t>
        </is>
      </c>
    </row>
    <row r="66" outlineLevel="1" s="817">
      <c r="A66" s="849" t="inlineStr">
        <is>
          <t>90+ Days</t>
        </is>
      </c>
      <c r="B66" s="422">
        <f t="array" ref="B66">SUMPRODUCT(($Q$211:$Q$610&gt;0)*1)</f>
        <v/>
      </c>
      <c r="C66" s="954">
        <f>SUM(Q211:Q610)</f>
        <v/>
      </c>
      <c r="D66" s="525">
        <f>IFERROR(C66/MAX(SUM($L$211:$L$610),1),0)</f>
        <v/>
      </c>
      <c r="E66" s="954">
        <f>IFERROR(C66/MAX(B66,1),0)</f>
        <v/>
      </c>
      <c r="F66" s="424" t="inlineStr">
        <is>
          <t>Collections</t>
        </is>
      </c>
    </row>
    <row r="67" outlineLevel="1" s="817">
      <c r="A67" s="849" t="inlineStr">
        <is>
          <t>Total AR (from balance col)</t>
        </is>
      </c>
      <c r="B67" s="422">
        <f>COUNTIF($L$211:$L$610,"&gt;0")</f>
        <v/>
      </c>
      <c r="C67" s="954">
        <f>SUM(L211:L610)</f>
        <v/>
      </c>
      <c r="D67" s="525">
        <f>IF(SUM(C63:C66)=0,0,SUM(C63:C66)/MAX(C67,1))</f>
        <v/>
      </c>
      <c r="E67" s="954">
        <f>IFERROR(C67/MAX(B67,1),0)</f>
        <v/>
      </c>
      <c r="F67" s="424">
        <f>IF(SUM(C63:C66)=0,"⚠ aging not loaded — paste aging report into N–Q","✓ aging loaded")</f>
        <v/>
      </c>
    </row>
    <row r="68" outlineLevel="1" s="817"/>
    <row r="69" outlineLevel="1" s="817">
      <c r="A69" s="635" t="n"/>
      <c r="B69" s="635" t="n"/>
      <c r="C69" s="635" t="n"/>
      <c r="D69" s="635" t="n"/>
      <c r="E69" s="635" t="n"/>
      <c r="F69" s="635" t="n"/>
      <c r="G69" s="635" t="n"/>
      <c r="H69" s="635" t="n"/>
      <c r="I69" s="635" t="n"/>
      <c r="J69" s="635" t="n"/>
      <c r="K69" s="635" t="n"/>
      <c r="L69" s="635" t="n"/>
      <c r="M69" s="635" t="n"/>
      <c r="N69" s="635" t="n"/>
    </row>
    <row r="70" ht="21.95" customHeight="1" s="817">
      <c r="A70" s="820" t="inlineStr">
        <is>
          <t>I.  TOP-10 DELINQUENT RESIDENTS  —  Highest AR balances</t>
        </is>
      </c>
    </row>
    <row r="71" outlineLevel="1" s="817">
      <c r="A71" s="824" t="inlineStr">
        <is>
          <t xml:space="preserve">  Sorted by Balance descending. ✱✱ prefix = operator flagged for legal/collections action.</t>
        </is>
      </c>
    </row>
    <row r="72" outlineLevel="1" s="817">
      <c r="A72" s="419" t="inlineStr">
        <is>
          <t>Rank</t>
        </is>
      </c>
      <c r="B72" s="420" t="inlineStr">
        <is>
          <t>Wing</t>
        </is>
      </c>
      <c r="C72" s="420" t="inlineStr">
        <is>
          <t>Bed</t>
        </is>
      </c>
      <c r="D72" s="420" t="inlineStr">
        <is>
          <t>Resident</t>
        </is>
      </c>
      <c r="E72" s="420" t="inlineStr">
        <is>
          <t>Care Level</t>
        </is>
      </c>
      <c r="F72" s="420" t="inlineStr">
        <is>
          <t>Payer Type</t>
        </is>
      </c>
      <c r="G72" s="420" t="inlineStr">
        <is>
          <t>AR Balance</t>
        </is>
      </c>
      <c r="H72" s="420" t="inlineStr">
        <is>
          <t>Deposit</t>
        </is>
      </c>
      <c r="I72" s="420" t="inlineStr">
        <is>
          <t>Flag</t>
        </is>
      </c>
      <c r="J72" s="420" t="inlineStr">
        <is>
          <t>Deposit</t>
        </is>
      </c>
      <c r="K72" s="420" t="inlineStr">
        <is>
          <t>Net Exposure</t>
        </is>
      </c>
      <c r="L72" s="420" t="inlineStr">
        <is>
          <t>Notes</t>
        </is>
      </c>
    </row>
    <row r="73" outlineLevel="1" s="817">
      <c r="A73" s="400" t="n">
        <v>1</v>
      </c>
      <c r="B73">
        <f t="array" ref="B73">IFERROR(INDEX($A$211:$A$610,MATCH(LARGE($L$211:$L$610+ROW($L$211:$L$610)/1000000,ROW()-72),$L$211:$L$610+ROW($L$211:$L$610)/1000000,0)),"")</f>
        <v/>
      </c>
      <c r="C73">
        <f t="array" ref="C73">IFERROR(INDEX($B$211:$B$610,MATCH(LARGE($L$211:$L$610+ROW($L$211:$L$610)/1000000,ROW()-72),$L$211:$L$610+ROW($L$211:$L$610)/1000000,0)),"")</f>
        <v/>
      </c>
      <c r="D73">
        <f t="array" ref="D73">IFERROR(INDEX($E$211:$E$610,MATCH(LARGE($L$211:$L$610+ROW($L$211:$L$610)/1000000,ROW()-72),$L$211:$L$610+ROW($L$211:$L$610)/1000000,0)),"")</f>
        <v/>
      </c>
      <c r="E73">
        <f t="array" ref="E73">IFERROR(INDEX($C$211:$C$610,MATCH(LARGE($L$211:$L$610+ROW($L$211:$L$610)/1000000,ROW()-72),$L$211:$L$610+ROW($L$211:$L$610)/1000000,0)),"")</f>
        <v/>
      </c>
      <c r="F73">
        <f t="array" ref="F73">IFERROR(INDEX($R$211:$R$610,MATCH(LARGE($L$211:$L$610+ROW($L$211:$L$610)/1000000,ROW()-72),$L$211:$L$610+ROW($L$211:$L$610)/1000000,0)),"")</f>
        <v/>
      </c>
      <c r="G73" s="950">
        <f>IFERROR(LARGE($L$211:$L$610,ROW()-72),0)</f>
        <v/>
      </c>
      <c r="H73" s="950">
        <f t="array" ref="H73">IFERROR(INDEX($M$211:$M$610,MATCH(LARGE($L$211:$L$610+ROW($L$211:$L$610)/1000000,ROW()-72),$L$211:$L$610+ROW($L$211:$L$610)/1000000,0)),0)</f>
        <v/>
      </c>
      <c r="I73" s="524" t="inlineStr">
        <is>
          <t>=IFERROR(IF(LEFT(INDEX($S$211:$S$610,MATCH(LARGE($L$211:$L$610+ROW($L$211:$L$610)/1000000,ROW()-72),$L$211:$L$610+ROW($L$211:$L$610)/1000000,0)),2)="✱✱","✱✱",""),"")</t>
        </is>
      </c>
      <c r="J73" s="951" t="n">
        <v>0</v>
      </c>
      <c r="K73" s="951" t="n">
        <v>0</v>
      </c>
    </row>
    <row r="74" outlineLevel="1" s="817">
      <c r="A74" s="400" t="n">
        <v>2</v>
      </c>
      <c r="B74">
        <f t="array" ref="B74">IFERROR(INDEX($A$211:$A$610,MATCH(LARGE($L$211:$L$610+ROW($L$211:$L$610)/1000000,ROW()-72),$L$211:$L$610+ROW($L$211:$L$610)/1000000,0)),"")</f>
        <v/>
      </c>
      <c r="C74">
        <f t="array" ref="C74">IFERROR(INDEX($B$211:$B$610,MATCH(LARGE($L$211:$L$610+ROW($L$211:$L$610)/1000000,ROW()-72),$L$211:$L$610+ROW($L$211:$L$610)/1000000,0)),"")</f>
        <v/>
      </c>
      <c r="D74">
        <f t="array" ref="D74">IFERROR(INDEX($E$211:$E$610,MATCH(LARGE($L$211:$L$610+ROW($L$211:$L$610)/1000000,ROW()-72),$L$211:$L$610+ROW($L$211:$L$610)/1000000,0)),"")</f>
        <v/>
      </c>
      <c r="E74">
        <f t="array" ref="E74">IFERROR(INDEX($C$211:$C$610,MATCH(LARGE($L$211:$L$610+ROW($L$211:$L$610)/1000000,ROW()-72),$L$211:$L$610+ROW($L$211:$L$610)/1000000,0)),"")</f>
        <v/>
      </c>
      <c r="F74">
        <f t="array" ref="F74">IFERROR(INDEX($R$211:$R$610,MATCH(LARGE($L$211:$L$610+ROW($L$211:$L$610)/1000000,ROW()-72),$L$211:$L$610+ROW($L$211:$L$610)/1000000,0)),"")</f>
        <v/>
      </c>
      <c r="G74" s="950">
        <f>IFERROR(LARGE($L$211:$L$610,ROW()-72),0)</f>
        <v/>
      </c>
      <c r="H74" s="950">
        <f t="array" ref="H74">IFERROR(INDEX($M$211:$M$610,MATCH(LARGE($L$211:$L$610+ROW($L$211:$L$610)/1000000,ROW()-72),$L$211:$L$610+ROW($L$211:$L$610)/1000000,0)),0)</f>
        <v/>
      </c>
      <c r="I74" s="524" t="inlineStr">
        <is>
          <t>=IFERROR(IF(LEFT(INDEX($S$211:$S$610,MATCH(LARGE($L$211:$L$610+ROW($L$211:$L$610)/1000000,ROW()-72),$L$211:$L$610+ROW($L$211:$L$610)/1000000,0)),2)="✱✱","✱✱",""),"")</t>
        </is>
      </c>
      <c r="J74" s="951" t="n">
        <v>0</v>
      </c>
      <c r="K74" s="951" t="n">
        <v>0</v>
      </c>
    </row>
    <row r="75" outlineLevel="1" s="817">
      <c r="A75" s="400" t="n">
        <v>3</v>
      </c>
      <c r="B75">
        <f t="array" ref="B75">IFERROR(INDEX($A$211:$A$610,MATCH(LARGE($L$211:$L$610+ROW($L$211:$L$610)/1000000,ROW()-72),$L$211:$L$610+ROW($L$211:$L$610)/1000000,0)),"")</f>
        <v/>
      </c>
      <c r="C75">
        <f t="array" ref="C75">IFERROR(INDEX($B$211:$B$610,MATCH(LARGE($L$211:$L$610+ROW($L$211:$L$610)/1000000,ROW()-72),$L$211:$L$610+ROW($L$211:$L$610)/1000000,0)),"")</f>
        <v/>
      </c>
      <c r="D75">
        <f t="array" ref="D75">IFERROR(INDEX($E$211:$E$610,MATCH(LARGE($L$211:$L$610+ROW($L$211:$L$610)/1000000,ROW()-72),$L$211:$L$610+ROW($L$211:$L$610)/1000000,0)),"")</f>
        <v/>
      </c>
      <c r="E75">
        <f t="array" ref="E75">IFERROR(INDEX($C$211:$C$610,MATCH(LARGE($L$211:$L$610+ROW($L$211:$L$610)/1000000,ROW()-72),$L$211:$L$610+ROW($L$211:$L$610)/1000000,0)),"")</f>
        <v/>
      </c>
      <c r="F75">
        <f t="array" ref="F75">IFERROR(INDEX($R$211:$R$610,MATCH(LARGE($L$211:$L$610+ROW($L$211:$L$610)/1000000,ROW()-72),$L$211:$L$610+ROW($L$211:$L$610)/1000000,0)),"")</f>
        <v/>
      </c>
      <c r="G75" s="950">
        <f>IFERROR(LARGE($L$211:$L$610,ROW()-72),0)</f>
        <v/>
      </c>
      <c r="H75" s="950">
        <f t="array" ref="H75">IFERROR(INDEX($M$211:$M$610,MATCH(LARGE($L$211:$L$610+ROW($L$211:$L$610)/1000000,ROW()-72),$L$211:$L$610+ROW($L$211:$L$610)/1000000,0)),0)</f>
        <v/>
      </c>
      <c r="I75" s="524" t="inlineStr">
        <is>
          <t>=IFERROR(IF(LEFT(INDEX($S$211:$S$610,MATCH(LARGE($L$211:$L$610+ROW($L$211:$L$610)/1000000,ROW()-72),$L$211:$L$610+ROW($L$211:$L$610)/1000000,0)),2)="✱✱","✱✱",""),"")</t>
        </is>
      </c>
      <c r="J75" s="951" t="n">
        <v>0</v>
      </c>
      <c r="K75" s="951" t="n">
        <v>0</v>
      </c>
    </row>
    <row r="76" outlineLevel="1" s="817">
      <c r="A76" s="400" t="n">
        <v>4</v>
      </c>
      <c r="B76">
        <f t="array" ref="B76">IFERROR(INDEX($A$211:$A$610,MATCH(LARGE($L$211:$L$610+ROW($L$211:$L$610)/1000000,ROW()-72),$L$211:$L$610+ROW($L$211:$L$610)/1000000,0)),"")</f>
        <v/>
      </c>
      <c r="C76">
        <f t="array" ref="C76">IFERROR(INDEX($B$211:$B$610,MATCH(LARGE($L$211:$L$610+ROW($L$211:$L$610)/1000000,ROW()-72),$L$211:$L$610+ROW($L$211:$L$610)/1000000,0)),"")</f>
        <v/>
      </c>
      <c r="D76">
        <f t="array" ref="D76">IFERROR(INDEX($E$211:$E$610,MATCH(LARGE($L$211:$L$610+ROW($L$211:$L$610)/1000000,ROW()-72),$L$211:$L$610+ROW($L$211:$L$610)/1000000,0)),"")</f>
        <v/>
      </c>
      <c r="E76">
        <f t="array" ref="E76">IFERROR(INDEX($C$211:$C$610,MATCH(LARGE($L$211:$L$610+ROW($L$211:$L$610)/1000000,ROW()-72),$L$211:$L$610+ROW($L$211:$L$610)/1000000,0)),"")</f>
        <v/>
      </c>
      <c r="F76">
        <f t="array" ref="F76">IFERROR(INDEX($R$211:$R$610,MATCH(LARGE($L$211:$L$610+ROW($L$211:$L$610)/1000000,ROW()-72),$L$211:$L$610+ROW($L$211:$L$610)/1000000,0)),"")</f>
        <v/>
      </c>
      <c r="G76" s="950">
        <f>IFERROR(LARGE($L$211:$L$610,ROW()-72),0)</f>
        <v/>
      </c>
      <c r="H76" s="950">
        <f t="array" ref="H76">IFERROR(INDEX($M$211:$M$610,MATCH(LARGE($L$211:$L$610+ROW($L$211:$L$610)/1000000,ROW()-72),$L$211:$L$610+ROW($L$211:$L$610)/1000000,0)),0)</f>
        <v/>
      </c>
      <c r="I76" s="524" t="inlineStr">
        <is>
          <t>=IFERROR(IF(LEFT(INDEX($S$211:$S$610,MATCH(LARGE($L$211:$L$610+ROW($L$211:$L$610)/1000000,ROW()-72),$L$211:$L$610+ROW($L$211:$L$610)/1000000,0)),2)="✱✱","✱✱",""),"")</t>
        </is>
      </c>
      <c r="J76" s="951" t="n">
        <v>0</v>
      </c>
      <c r="K76" s="951" t="n">
        <v>0</v>
      </c>
    </row>
    <row r="77" outlineLevel="1" s="817">
      <c r="A77" s="400" t="n">
        <v>5</v>
      </c>
      <c r="B77">
        <f t="array" ref="B77">IFERROR(INDEX($A$211:$A$610,MATCH(LARGE($L$211:$L$610+ROW($L$211:$L$610)/1000000,ROW()-72),$L$211:$L$610+ROW($L$211:$L$610)/1000000,0)),"")</f>
        <v/>
      </c>
      <c r="C77">
        <f t="array" ref="C77">IFERROR(INDEX($B$211:$B$610,MATCH(LARGE($L$211:$L$610+ROW($L$211:$L$610)/1000000,ROW()-72),$L$211:$L$610+ROW($L$211:$L$610)/1000000,0)),"")</f>
        <v/>
      </c>
      <c r="D77">
        <f t="array" ref="D77">IFERROR(INDEX($E$211:$E$610,MATCH(LARGE($L$211:$L$610+ROW($L$211:$L$610)/1000000,ROW()-72),$L$211:$L$610+ROW($L$211:$L$610)/1000000,0)),"")</f>
        <v/>
      </c>
      <c r="E77">
        <f t="array" ref="E77">IFERROR(INDEX($C$211:$C$610,MATCH(LARGE($L$211:$L$610+ROW($L$211:$L$610)/1000000,ROW()-72),$L$211:$L$610+ROW($L$211:$L$610)/1000000,0)),"")</f>
        <v/>
      </c>
      <c r="F77">
        <f t="array" ref="F77">IFERROR(INDEX($R$211:$R$610,MATCH(LARGE($L$211:$L$610+ROW($L$211:$L$610)/1000000,ROW()-72),$L$211:$L$610+ROW($L$211:$L$610)/1000000,0)),"")</f>
        <v/>
      </c>
      <c r="G77" s="950">
        <f>IFERROR(LARGE($L$211:$L$610,ROW()-72),0)</f>
        <v/>
      </c>
      <c r="H77" s="950">
        <f t="array" ref="H77">IFERROR(INDEX($M$211:$M$610,MATCH(LARGE($L$211:$L$610+ROW($L$211:$L$610)/1000000,ROW()-72),$L$211:$L$610+ROW($L$211:$L$610)/1000000,0)),0)</f>
        <v/>
      </c>
      <c r="I77" s="524" t="inlineStr">
        <is>
          <t>=IFERROR(IF(LEFT(INDEX($S$211:$S$610,MATCH(LARGE($L$211:$L$610+ROW($L$211:$L$610)/1000000,ROW()-72),$L$211:$L$610+ROW($L$211:$L$610)/1000000,0)),2)="✱✱","✱✱",""),"")</t>
        </is>
      </c>
      <c r="J77" s="951" t="n">
        <v>0</v>
      </c>
      <c r="K77" s="951" t="n">
        <v>0</v>
      </c>
    </row>
    <row r="78" outlineLevel="1" s="817">
      <c r="A78" s="400" t="n">
        <v>6</v>
      </c>
      <c r="B78">
        <f t="array" ref="B78">IFERROR(INDEX($A$211:$A$610,MATCH(LARGE($L$211:$L$610+ROW($L$211:$L$610)/1000000,ROW()-72),$L$211:$L$610+ROW($L$211:$L$610)/1000000,0)),"")</f>
        <v/>
      </c>
      <c r="C78">
        <f t="array" ref="C78">IFERROR(INDEX($B$211:$B$610,MATCH(LARGE($L$211:$L$610+ROW($L$211:$L$610)/1000000,ROW()-72),$L$211:$L$610+ROW($L$211:$L$610)/1000000,0)),"")</f>
        <v/>
      </c>
      <c r="D78">
        <f t="array" ref="D78">IFERROR(INDEX($E$211:$E$610,MATCH(LARGE($L$211:$L$610+ROW($L$211:$L$610)/1000000,ROW()-72),$L$211:$L$610+ROW($L$211:$L$610)/1000000,0)),"")</f>
        <v/>
      </c>
      <c r="E78">
        <f t="array" ref="E78">IFERROR(INDEX($C$211:$C$610,MATCH(LARGE($L$211:$L$610+ROW($L$211:$L$610)/1000000,ROW()-72),$L$211:$L$610+ROW($L$211:$L$610)/1000000,0)),"")</f>
        <v/>
      </c>
      <c r="F78">
        <f t="array" ref="F78">IFERROR(INDEX($R$211:$R$610,MATCH(LARGE($L$211:$L$610+ROW($L$211:$L$610)/1000000,ROW()-72),$L$211:$L$610+ROW($L$211:$L$610)/1000000,0)),"")</f>
        <v/>
      </c>
      <c r="G78" s="950">
        <f>IFERROR(LARGE($L$211:$L$610,ROW()-72),0)</f>
        <v/>
      </c>
      <c r="H78" s="950">
        <f t="array" ref="H78">IFERROR(INDEX($M$211:$M$610,MATCH(LARGE($L$211:$L$610+ROW($L$211:$L$610)/1000000,ROW()-72),$L$211:$L$610+ROW($L$211:$L$610)/1000000,0)),0)</f>
        <v/>
      </c>
      <c r="I78" s="524" t="inlineStr">
        <is>
          <t>=IFERROR(IF(LEFT(INDEX($S$211:$S$610,MATCH(LARGE($L$211:$L$610+ROW($L$211:$L$610)/1000000,ROW()-72),$L$211:$L$610+ROW($L$211:$L$610)/1000000,0)),2)="✱✱","✱✱",""),"")</t>
        </is>
      </c>
      <c r="J78" s="951" t="n">
        <v>0</v>
      </c>
      <c r="K78" s="951" t="n">
        <v>0</v>
      </c>
    </row>
    <row r="79" outlineLevel="1" s="817">
      <c r="A79" s="400" t="n">
        <v>7</v>
      </c>
      <c r="B79">
        <f t="array" ref="B79">IFERROR(INDEX($A$211:$A$610,MATCH(LARGE($L$211:$L$610+ROW($L$211:$L$610)/1000000,ROW()-72),$L$211:$L$610+ROW($L$211:$L$610)/1000000,0)),"")</f>
        <v/>
      </c>
      <c r="C79">
        <f t="array" ref="C79">IFERROR(INDEX($B$211:$B$610,MATCH(LARGE($L$211:$L$610+ROW($L$211:$L$610)/1000000,ROW()-72),$L$211:$L$610+ROW($L$211:$L$610)/1000000,0)),"")</f>
        <v/>
      </c>
      <c r="D79">
        <f t="array" ref="D79">IFERROR(INDEX($E$211:$E$610,MATCH(LARGE($L$211:$L$610+ROW($L$211:$L$610)/1000000,ROW()-72),$L$211:$L$610+ROW($L$211:$L$610)/1000000,0)),"")</f>
        <v/>
      </c>
      <c r="E79">
        <f t="array" ref="E79">IFERROR(INDEX($C$211:$C$610,MATCH(LARGE($L$211:$L$610+ROW($L$211:$L$610)/1000000,ROW()-72),$L$211:$L$610+ROW($L$211:$L$610)/1000000,0)),"")</f>
        <v/>
      </c>
      <c r="F79">
        <f t="array" ref="F79">IFERROR(INDEX($R$211:$R$610,MATCH(LARGE($L$211:$L$610+ROW($L$211:$L$610)/1000000,ROW()-72),$L$211:$L$610+ROW($L$211:$L$610)/1000000,0)),"")</f>
        <v/>
      </c>
      <c r="G79" s="950">
        <f>IFERROR(LARGE($L$211:$L$610,ROW()-72),0)</f>
        <v/>
      </c>
      <c r="H79" s="950">
        <f t="array" ref="H79">IFERROR(INDEX($M$211:$M$610,MATCH(LARGE($L$211:$L$610+ROW($L$211:$L$610)/1000000,ROW()-72),$L$211:$L$610+ROW($L$211:$L$610)/1000000,0)),0)</f>
        <v/>
      </c>
      <c r="I79" s="524" t="inlineStr">
        <is>
          <t>=IFERROR(IF(LEFT(INDEX($S$211:$S$610,MATCH(LARGE($L$211:$L$610+ROW($L$211:$L$610)/1000000,ROW()-72),$L$211:$L$610+ROW($L$211:$L$610)/1000000,0)),2)="✱✱","✱✱",""),"")</t>
        </is>
      </c>
      <c r="J79" s="951" t="n">
        <v>0</v>
      </c>
      <c r="K79" s="951" t="n">
        <v>0</v>
      </c>
    </row>
    <row r="80" outlineLevel="1" s="817">
      <c r="A80" s="400" t="n">
        <v>8</v>
      </c>
      <c r="B80">
        <f t="array" ref="B80">IFERROR(INDEX($A$211:$A$610,MATCH(LARGE($L$211:$L$610+ROW($L$211:$L$610)/1000000,ROW()-72),$L$211:$L$610+ROW($L$211:$L$610)/1000000,0)),"")</f>
        <v/>
      </c>
      <c r="C80">
        <f t="array" ref="C80">IFERROR(INDEX($B$211:$B$610,MATCH(LARGE($L$211:$L$610+ROW($L$211:$L$610)/1000000,ROW()-72),$L$211:$L$610+ROW($L$211:$L$610)/1000000,0)),"")</f>
        <v/>
      </c>
      <c r="D80">
        <f t="array" ref="D80">IFERROR(INDEX($E$211:$E$610,MATCH(LARGE($L$211:$L$610+ROW($L$211:$L$610)/1000000,ROW()-72),$L$211:$L$610+ROW($L$211:$L$610)/1000000,0)),"")</f>
        <v/>
      </c>
      <c r="E80">
        <f t="array" ref="E80">IFERROR(INDEX($C$211:$C$610,MATCH(LARGE($L$211:$L$610+ROW($L$211:$L$610)/1000000,ROW()-72),$L$211:$L$610+ROW($L$211:$L$610)/1000000,0)),"")</f>
        <v/>
      </c>
      <c r="F80">
        <f t="array" ref="F80">IFERROR(INDEX($R$211:$R$610,MATCH(LARGE($L$211:$L$610+ROW($L$211:$L$610)/1000000,ROW()-72),$L$211:$L$610+ROW($L$211:$L$610)/1000000,0)),"")</f>
        <v/>
      </c>
      <c r="G80" s="950">
        <f>IFERROR(LARGE($L$211:$L$610,ROW()-72),0)</f>
        <v/>
      </c>
      <c r="H80" s="950">
        <f t="array" ref="H80">IFERROR(INDEX($M$211:$M$610,MATCH(LARGE($L$211:$L$610+ROW($L$211:$L$610)/1000000,ROW()-72),$L$211:$L$610+ROW($L$211:$L$610)/1000000,0)),0)</f>
        <v/>
      </c>
      <c r="I80" s="524" t="inlineStr">
        <is>
          <t>=IFERROR(IF(LEFT(INDEX($S$211:$S$610,MATCH(LARGE($L$211:$L$610+ROW($L$211:$L$610)/1000000,ROW()-72),$L$211:$L$610+ROW($L$211:$L$610)/1000000,0)),2)="✱✱","✱✱",""),"")</t>
        </is>
      </c>
      <c r="J80" s="951" t="n">
        <v>0</v>
      </c>
      <c r="K80" s="951" t="n">
        <v>0</v>
      </c>
    </row>
    <row r="81" outlineLevel="1" s="817">
      <c r="A81" s="400" t="n">
        <v>9</v>
      </c>
      <c r="B81">
        <f t="array" ref="B81">IFERROR(INDEX($A$211:$A$610,MATCH(LARGE($L$211:$L$610+ROW($L$211:$L$610)/1000000,ROW()-72),$L$211:$L$610+ROW($L$211:$L$610)/1000000,0)),"")</f>
        <v/>
      </c>
      <c r="C81">
        <f t="array" ref="C81">IFERROR(INDEX($B$211:$B$610,MATCH(LARGE($L$211:$L$610+ROW($L$211:$L$610)/1000000,ROW()-72),$L$211:$L$610+ROW($L$211:$L$610)/1000000,0)),"")</f>
        <v/>
      </c>
      <c r="D81">
        <f t="array" ref="D81">IFERROR(INDEX($E$211:$E$610,MATCH(LARGE($L$211:$L$610+ROW($L$211:$L$610)/1000000,ROW()-72),$L$211:$L$610+ROW($L$211:$L$610)/1000000,0)),"")</f>
        <v/>
      </c>
      <c r="E81">
        <f t="array" ref="E81">IFERROR(INDEX($C$211:$C$610,MATCH(LARGE($L$211:$L$610+ROW($L$211:$L$610)/1000000,ROW()-72),$L$211:$L$610+ROW($L$211:$L$610)/1000000,0)),"")</f>
        <v/>
      </c>
      <c r="F81">
        <f t="array" ref="F81">IFERROR(INDEX($R$211:$R$610,MATCH(LARGE($L$211:$L$610+ROW($L$211:$L$610)/1000000,ROW()-72),$L$211:$L$610+ROW($L$211:$L$610)/1000000,0)),"")</f>
        <v/>
      </c>
      <c r="G81" s="950">
        <f>IFERROR(LARGE($L$211:$L$610,ROW()-72),0)</f>
        <v/>
      </c>
      <c r="H81" s="950">
        <f t="array" ref="H81">IFERROR(INDEX($M$211:$M$610,MATCH(LARGE($L$211:$L$610+ROW($L$211:$L$610)/1000000,ROW()-72),$L$211:$L$610+ROW($L$211:$L$610)/1000000,0)),0)</f>
        <v/>
      </c>
      <c r="I81" s="524" t="inlineStr">
        <is>
          <t>=IFERROR(IF(LEFT(INDEX($S$211:$S$610,MATCH(LARGE($L$211:$L$610+ROW($L$211:$L$610)/1000000,ROW()-72),$L$211:$L$610+ROW($L$211:$L$610)/1000000,0)),2)="✱✱","✱✱",""),"")</t>
        </is>
      </c>
      <c r="J81" s="951" t="n">
        <v>0</v>
      </c>
      <c r="K81" s="951" t="n">
        <v>0</v>
      </c>
    </row>
    <row r="82" outlineLevel="1" s="817">
      <c r="A82" s="400" t="n">
        <v>10</v>
      </c>
      <c r="B82">
        <f t="array" ref="B82">IFERROR(INDEX($A$211:$A$610,MATCH(LARGE($L$211:$L$610+ROW($L$211:$L$610)/1000000,ROW()-72),$L$211:$L$610+ROW($L$211:$L$610)/1000000,0)),"")</f>
        <v/>
      </c>
      <c r="C82">
        <f t="array" ref="C82">IFERROR(INDEX($B$211:$B$610,MATCH(LARGE($L$211:$L$610+ROW($L$211:$L$610)/1000000,ROW()-72),$L$211:$L$610+ROW($L$211:$L$610)/1000000,0)),"")</f>
        <v/>
      </c>
      <c r="D82">
        <f t="array" ref="D82">IFERROR(INDEX($E$211:$E$610,MATCH(LARGE($L$211:$L$610+ROW($L$211:$L$610)/1000000,ROW()-72),$L$211:$L$610+ROW($L$211:$L$610)/1000000,0)),"")</f>
        <v/>
      </c>
      <c r="E82">
        <f t="array" ref="E82">IFERROR(INDEX($C$211:$C$610,MATCH(LARGE($L$211:$L$610+ROW($L$211:$L$610)/1000000,ROW()-72),$L$211:$L$610+ROW($L$211:$L$610)/1000000,0)),"")</f>
        <v/>
      </c>
      <c r="F82">
        <f t="array" ref="F82">IFERROR(INDEX($R$211:$R$610,MATCH(LARGE($L$211:$L$610+ROW($L$211:$L$610)/1000000,ROW()-72),$L$211:$L$610+ROW($L$211:$L$610)/1000000,0)),"")</f>
        <v/>
      </c>
      <c r="G82" s="950">
        <f>IFERROR(LARGE($L$211:$L$610,ROW()-72),0)</f>
        <v/>
      </c>
      <c r="H82" s="950">
        <f t="array" ref="H82">IFERROR(INDEX($M$211:$M$610,MATCH(LARGE($L$211:$L$610+ROW($L$211:$L$610)/1000000,ROW()-72),$L$211:$L$610+ROW($L$211:$L$610)/1000000,0)),0)</f>
        <v/>
      </c>
      <c r="I82" s="524" t="inlineStr">
        <is>
          <t>=IFERROR(IF(LEFT(INDEX($S$211:$S$610,MATCH(LARGE($L$211:$L$610+ROW($L$211:$L$610)/1000000,ROW()-72),$L$211:$L$610+ROW($L$211:$L$610)/1000000,0)),2)="✱✱","✱✱",""),"")</t>
        </is>
      </c>
      <c r="J82" s="951" t="n">
        <v>0</v>
      </c>
      <c r="K82" s="951" t="n">
        <v>0</v>
      </c>
    </row>
    <row r="83" outlineLevel="1" s="817">
      <c r="A83" s="400" t="inlineStr">
        <is>
          <t>Top 10 Total</t>
        </is>
      </c>
      <c r="G83" s="954">
        <f>SUM(G73:G82)</f>
        <v/>
      </c>
      <c r="H83" s="966" t="n">
        <v>0</v>
      </c>
      <c r="I83" s="528" t="n">
        <v>0</v>
      </c>
      <c r="J83" s="966" t="n">
        <v>0</v>
      </c>
      <c r="K83" s="966" t="n">
        <v>0</v>
      </c>
    </row>
    <row r="84" outlineLevel="1" s="817">
      <c r="A84" s="849" t="inlineStr">
        <is>
          <t>Top 10 as % of total AR</t>
        </is>
      </c>
      <c r="G84" s="525">
        <f>IFERROR(G83/MAX(SUM($L$211:$L$610),1),0)</f>
        <v/>
      </c>
      <c r="I84" s="525" t="n">
        <v>0</v>
      </c>
    </row>
    <row r="85" outlineLevel="1" s="817">
      <c r="A85" s="849" t="inlineStr">
        <is>
          <t>Collections-flagged Residents (count)</t>
        </is>
      </c>
      <c r="B85" s="422">
        <f t="array" ref="B85">SUMPRODUCT((LEFT($S$211:$S$610,2)="✱✱")*1)</f>
        <v/>
      </c>
      <c r="C85" s="849" t="inlineStr">
        <is>
          <t>Collections $ Exposure</t>
        </is>
      </c>
      <c r="D85" s="954">
        <f>SUMIFS($L$211:$L$610,$S$211:$S$610,"✱✱*")</f>
        <v/>
      </c>
      <c r="F85" s="526">
        <f>IFERROR(D85/MAX(SUM($L$211:$L$610),1),0)</f>
        <v/>
      </c>
      <c r="G85" s="423" t="n">
        <v>0</v>
      </c>
    </row>
    <row r="86" outlineLevel="1" s="817">
      <c r="A86" s="635" t="n"/>
      <c r="B86" s="635" t="n"/>
      <c r="C86" s="635" t="n"/>
      <c r="D86" s="635" t="n"/>
      <c r="E86" s="635" t="n"/>
      <c r="F86" s="635" t="n"/>
      <c r="G86" s="635" t="n"/>
      <c r="H86" s="635" t="n"/>
      <c r="I86" s="635" t="n"/>
      <c r="J86" s="635" t="n"/>
      <c r="K86" s="635" t="n"/>
      <c r="L86" s="635" t="n"/>
      <c r="M86" s="635" t="n"/>
      <c r="N86" s="635" t="n"/>
    </row>
    <row r="87" ht="21.95" customHeight="1" s="817">
      <c r="A87" s="818" t="inlineStr">
        <is>
          <t>J.  ADMISSION VELOCITY  —  Recent move-ins (how fast is this property leasing?)</t>
        </is>
      </c>
    </row>
    <row r="88" outlineLevel="1" s="817">
      <c r="A88" s="824" t="inlineStr">
        <is>
          <t xml:space="preserve">  Move-ins within last N days. Annualized pace helps benchmark against stabilized absorption assumptions.</t>
        </is>
      </c>
    </row>
    <row r="89" outlineLevel="1" s="817">
      <c r="A89" s="419" t="inlineStr">
        <is>
          <t>Window</t>
        </is>
      </c>
      <c r="B89" s="420" t="inlineStr">
        <is>
          <t># New Admissions</t>
        </is>
      </c>
      <c r="C89" s="420" t="inlineStr">
        <is>
          <t>Avg Rate Achieved</t>
        </is>
      </c>
      <c r="D89" s="420" t="inlineStr">
        <is>
          <t>Annualized Pace (beds/yr)</t>
        </is>
      </c>
      <c r="E89" s="420" t="inlineStr">
        <is>
          <t>Mo to Stabilize at Pace</t>
        </is>
      </c>
    </row>
    <row r="90" outlineLevel="1" s="817">
      <c r="A90" s="400" t="inlineStr">
        <is>
          <t>Last 30 days</t>
        </is>
      </c>
      <c r="B90" s="417">
        <f t="array" ref="B90">SUMPRODUCT(($F$211:$F$610&gt;=TODAY()-30)*($F$211:$F$610&lt;&gt;""))</f>
        <v/>
      </c>
      <c r="C90" s="950">
        <f t="array" ref="C90">IFERROR(SUMPRODUCT(($F$211:$F$610&gt;=TODAY()-30)*($F$211:$F$610&lt;&gt;"")*$K$211:$K$610)/MAX(B90,1),0)</f>
        <v/>
      </c>
      <c r="D90" s="417">
        <f>B90*(365/30)</f>
        <v/>
      </c>
      <c r="E90" s="967">
        <f>IFERROR((COUNTIFS($D$211:$D$610,"Vacant")+COUNTIFS($D$211:$D$610,"Vacant - Available")+COUNTIFS($D$211:$D$610,"Vacant - Not Turned"))/MAX(D90,0.001)*12,0)</f>
        <v/>
      </c>
    </row>
    <row r="91" outlineLevel="1" s="817">
      <c r="A91" s="400" t="inlineStr">
        <is>
          <t>Last 60 days</t>
        </is>
      </c>
      <c r="B91" s="417">
        <f t="array" ref="B91">SUMPRODUCT(($F$211:$F$610&gt;=TODAY()-60)*($F$211:$F$610&lt;&gt;""))</f>
        <v/>
      </c>
      <c r="C91" s="950">
        <f t="array" ref="C91">IFERROR(SUMPRODUCT(($F$211:$F$610&gt;=TODAY()-60)*($F$211:$F$610&lt;&gt;"")*$K$211:$K$610)/MAX(B91,1),0)</f>
        <v/>
      </c>
      <c r="D91" s="417">
        <f>B91*(365/60)</f>
        <v/>
      </c>
      <c r="E91" s="967">
        <f>IFERROR((COUNTIFS($D$211:$D$610,"Vacant")+COUNTIFS($D$211:$D$610,"Vacant - Available")+COUNTIFS($D$211:$D$610,"Vacant - Not Turned"))/MAX(D91,0.001)*12,0)</f>
        <v/>
      </c>
    </row>
    <row r="92" outlineLevel="1" s="817">
      <c r="A92" s="400" t="inlineStr">
        <is>
          <t>Last 90 days</t>
        </is>
      </c>
      <c r="B92" s="417">
        <f t="array" ref="B92">SUMPRODUCT(($F$211:$F$610&gt;=TODAY()-90)*($F$211:$F$610&lt;&gt;""))</f>
        <v/>
      </c>
      <c r="C92" s="950">
        <f t="array" ref="C92">IFERROR(SUMPRODUCT(($F$211:$F$610&gt;=TODAY()-90)*($F$211:$F$610&lt;&gt;"")*$K$211:$K$610)/MAX(B92,1),0)</f>
        <v/>
      </c>
      <c r="D92" s="417">
        <f>B92*(365/90)</f>
        <v/>
      </c>
      <c r="E92" s="967">
        <f>IFERROR((COUNTIFS($D$211:$D$610,"Vacant")+COUNTIFS($D$211:$D$610,"Vacant - Available")+COUNTIFS($D$211:$D$610,"Vacant - Not Turned"))/MAX(D92,0.001)*12,0)</f>
        <v/>
      </c>
    </row>
    <row r="93" outlineLevel="1" s="817">
      <c r="A93" s="400" t="inlineStr">
        <is>
          <t>Last 180 days</t>
        </is>
      </c>
      <c r="B93" s="417">
        <f t="array" ref="B93">SUMPRODUCT(($F$211:$F$610&gt;=TODAY()-180)*($F$211:$F$610&lt;&gt;""))</f>
        <v/>
      </c>
      <c r="C93" s="950">
        <f t="array" ref="C93">IFERROR(SUMPRODUCT(($F$211:$F$610&gt;=TODAY()-180)*($F$211:$F$610&lt;&gt;"")*$K$211:$K$610)/MAX(B93,1),0)</f>
        <v/>
      </c>
      <c r="D93" s="417">
        <f>B93*(365/180)</f>
        <v/>
      </c>
      <c r="E93" s="967">
        <f>IFERROR((COUNTIFS($D$211:$D$610,"Vacant")+COUNTIFS($D$211:$D$610,"Vacant - Available")+COUNTIFS($D$211:$D$610,"Vacant - Not Turned"))/MAX(D93,0.001)*12,0)</f>
        <v/>
      </c>
    </row>
    <row r="94" outlineLevel="1" s="817"/>
    <row r="95" outlineLevel="1" s="817">
      <c r="A95" s="635" t="n"/>
      <c r="B95" s="635" t="n"/>
      <c r="C95" s="635" t="n"/>
      <c r="D95" s="635" t="n"/>
      <c r="E95" s="635" t="n"/>
      <c r="F95" s="635" t="n"/>
      <c r="G95" s="635" t="n"/>
      <c r="H95" s="635" t="n"/>
      <c r="I95" s="635" t="n"/>
      <c r="J95" s="635" t="n"/>
      <c r="K95" s="635" t="n"/>
      <c r="L95" s="635" t="n"/>
      <c r="M95" s="635" t="n"/>
      <c r="N95" s="635" t="n"/>
    </row>
    <row r="96" ht="21.95" customHeight="1" s="817">
      <c r="A96" s="820" t="inlineStr">
        <is>
          <t>K.  PAYER MIX  —  Revenue resilience and reimbursement risk</t>
        </is>
      </c>
    </row>
    <row r="97" outlineLevel="1" s="817">
      <c r="A97" s="824" t="inlineStr">
        <is>
          <t xml:space="preserve">  Medicaid/Medicare are government-backed (lower default risk). Private pay is market-sensitive. LTC Insurance is contractual but requires prior auth.</t>
        </is>
      </c>
    </row>
    <row r="98" outlineLevel="1" s="817">
      <c r="A98" s="409" t="inlineStr">
        <is>
          <t>Payer Type</t>
        </is>
      </c>
      <c r="B98" s="410" t="inlineStr">
        <is>
          <t># Residents</t>
        </is>
      </c>
      <c r="C98" s="410" t="inlineStr">
        <is>
          <t>% Occupied</t>
        </is>
      </c>
      <c r="D98" s="410" t="inlineStr">
        <is>
          <t>Monthly Revenue</t>
        </is>
      </c>
      <c r="E98" s="410" t="inlineStr">
        <is>
          <t>Annual Revenue</t>
        </is>
      </c>
      <c r="F98" s="410" t="inlineStr">
        <is>
          <t>% of Sched</t>
        </is>
      </c>
      <c r="G98" s="410" t="inlineStr">
        <is>
          <t>Reliability</t>
        </is>
      </c>
      <c r="H98" s="410" t="inlineStr">
        <is>
          <t>90+ AR $</t>
        </is>
      </c>
    </row>
    <row r="99" outlineLevel="1" s="817">
      <c r="A99" s="400" t="inlineStr">
        <is>
          <t>Private Pay</t>
        </is>
      </c>
      <c r="B99" s="417">
        <f>COUNTIF($R$211:$R$610,"Private Pay")</f>
        <v/>
      </c>
      <c r="C99" s="522">
        <f>IFERROR(B99/MAX(COUNTIF($D$211:$D$610,"Occupied")+COUNTIF($D$211:$D$610,"Notice"),1),0)</f>
        <v/>
      </c>
      <c r="D99" s="950">
        <f>SUMIF($R$211:$R$610,"Private Pay",$K$211:$K$610)</f>
        <v/>
      </c>
      <c r="E99" s="950">
        <f>D99*12</f>
        <v/>
      </c>
      <c r="F99" s="522">
        <f>IFERROR(D99/MAX(SUM($K$211:$K$610),1),0)</f>
        <v/>
      </c>
      <c r="G99" s="951" t="n">
        <v>0</v>
      </c>
      <c r="H99" s="824" t="inlineStr">
        <is>
          <t>🟡 market-sensitive</t>
        </is>
      </c>
    </row>
    <row r="100" outlineLevel="1" s="817">
      <c r="A100" s="400" t="inlineStr">
        <is>
          <t>Medicaid</t>
        </is>
      </c>
      <c r="B100" s="417">
        <f>COUNTIF($R$211:$R$610,"Medicaid")</f>
        <v/>
      </c>
      <c r="C100" s="522">
        <f>IFERROR(B100/MAX(COUNTIF($D$211:$D$610,"Occupied")+COUNTIF($D$211:$D$610,"Notice"),1),0)</f>
        <v/>
      </c>
      <c r="D100" s="950">
        <f>SUMIF($R$211:$R$610,"Medicaid",$K$211:$K$610)</f>
        <v/>
      </c>
      <c r="E100" s="950">
        <f>D100*12</f>
        <v/>
      </c>
      <c r="F100" s="522">
        <f>IFERROR(D100/MAX(SUM($K$211:$K$610),1),0)</f>
        <v/>
      </c>
      <c r="G100" s="951" t="n">
        <v>0</v>
      </c>
      <c r="H100" s="824" t="inlineStr">
        <is>
          <t>🟢 govt-backed</t>
        </is>
      </c>
    </row>
    <row r="101" outlineLevel="1" s="817">
      <c r="A101" s="400" t="inlineStr">
        <is>
          <t>Medicare</t>
        </is>
      </c>
      <c r="B101" s="417">
        <f>COUNTIF($R$211:$R$610,"Medicare")</f>
        <v/>
      </c>
      <c r="C101" s="522">
        <f>IFERROR(B101/MAX(COUNTIF($D$211:$D$610,"Occupied")+COUNTIF($D$211:$D$610,"Notice"),1),0)</f>
        <v/>
      </c>
      <c r="D101" s="950">
        <f>SUMIF($R$211:$R$610,"Medicare",$K$211:$K$610)</f>
        <v/>
      </c>
      <c r="E101" s="950">
        <f>D101*12</f>
        <v/>
      </c>
      <c r="F101" s="522">
        <f>IFERROR(D101/MAX(SUM($K$211:$K$610),1),0)</f>
        <v/>
      </c>
      <c r="G101" s="951" t="n">
        <v>0</v>
      </c>
      <c r="H101" s="824" t="inlineStr">
        <is>
          <t>🟢 govt-backed (episodic)</t>
        </is>
      </c>
    </row>
    <row r="102" outlineLevel="1" s="817">
      <c r="A102" s="400" t="inlineStr">
        <is>
          <t>VA Benefits</t>
        </is>
      </c>
      <c r="B102" s="417">
        <f>COUNTIF($R$211:$R$610,"VA*")</f>
        <v/>
      </c>
      <c r="C102" s="522">
        <f>IFERROR(B102/MAX(COUNTIF($D$211:$D$610,"Occupied")+COUNTIF($D$211:$D$610,"Notice"),1),0)</f>
        <v/>
      </c>
      <c r="D102" s="950">
        <f>SUMIF($R$211:$R$610,"VA*",$K$211:$K$610)</f>
        <v/>
      </c>
      <c r="E102" s="950">
        <f>D102*12</f>
        <v/>
      </c>
      <c r="F102" s="522">
        <f>IFERROR(D102/MAX(SUM($K$211:$K$610),1),0)</f>
        <v/>
      </c>
      <c r="G102" s="951" t="n">
        <v>0</v>
      </c>
      <c r="H102" s="824" t="inlineStr">
        <is>
          <t>🟢 govt-backed</t>
        </is>
      </c>
    </row>
    <row r="103" outlineLevel="1" s="817">
      <c r="A103" s="400" t="inlineStr">
        <is>
          <t>LTC Insurance</t>
        </is>
      </c>
      <c r="B103" s="417">
        <f>COUNTIF($R$211:$R$610,"LTC*")</f>
        <v/>
      </c>
      <c r="C103" s="522">
        <f>IFERROR(B103/MAX(COUNTIF($D$211:$D$610,"Occupied")+COUNTIF($D$211:$D$610,"Notice"),1),0)</f>
        <v/>
      </c>
      <c r="D103" s="950">
        <f>SUMIF($R$211:$R$610,"LTC*",$K$211:$K$610)</f>
        <v/>
      </c>
      <c r="E103" s="950">
        <f>D103*12</f>
        <v/>
      </c>
      <c r="F103" s="522">
        <f>IFERROR(D103/MAX(SUM($K$211:$K$610),1),0)</f>
        <v/>
      </c>
      <c r="G103" s="951" t="n">
        <v>0</v>
      </c>
      <c r="H103" s="824" t="inlineStr">
        <is>
          <t>🟡 contractual / prior-auth risk</t>
        </is>
      </c>
    </row>
    <row r="104" outlineLevel="1" s="817">
      <c r="A104" s="400" t="inlineStr">
        <is>
          <t>Other / Unknown</t>
        </is>
      </c>
      <c r="B104" s="417">
        <f>COUNTIFS($D$211:$D$610,"Occupied")+COUNTIFS($D$211:$D$610,"Notice")-SUM(B99:B103)</f>
        <v/>
      </c>
      <c r="C104" s="522">
        <f>IFERROR(B104/MAX(COUNTIF($D$211:$D$610,"Occupied")+COUNTIF($D$211:$D$610,"Notice"),1),0)</f>
        <v/>
      </c>
      <c r="D104" s="950">
        <f>SUMIFS($K$211:$K$610,$D$211:$D$610,"Occupied")+SUMIFS($K$211:$K$610,$D$211:$D$610,"Notice")-SUM(D99:D103)</f>
        <v/>
      </c>
      <c r="E104" s="950">
        <f>D104*12</f>
        <v/>
      </c>
      <c r="F104" s="522">
        <f>IFERROR(D104/MAX(SUM($K$211:$K$610),1),0)</f>
        <v/>
      </c>
      <c r="G104" s="951" t="n">
        <v>0</v>
      </c>
      <c r="H104" s="824" t="n"/>
    </row>
    <row r="105" outlineLevel="1" s="817">
      <c r="A105" s="411" t="inlineStr">
        <is>
          <t>TOTAL</t>
        </is>
      </c>
      <c r="B105" s="425">
        <f>SUM(B99:B104)</f>
        <v/>
      </c>
      <c r="C105" s="523">
        <f>SUM(C99:C104)</f>
        <v/>
      </c>
      <c r="D105" s="956">
        <f>SUM(D99:D104)</f>
        <v/>
      </c>
      <c r="E105" s="956">
        <f>SUM(E99:E104)</f>
        <v/>
      </c>
      <c r="F105" s="523">
        <f>SUM(F99:F104)</f>
        <v/>
      </c>
      <c r="G105" s="968" t="n">
        <v>0</v>
      </c>
      <c r="H105" s="824" t="n"/>
    </row>
    <row r="106" outlineLevel="1" s="817"/>
    <row r="107" outlineLevel="1" s="817">
      <c r="A107" s="849" t="inlineStr">
        <is>
          <t>Private Pay Concentration:</t>
        </is>
      </c>
      <c r="B107" s="525">
        <f>C99</f>
        <v/>
      </c>
      <c r="D107" s="849" t="inlineStr">
        <is>
          <t>Govt-backed (Medicaid+Medicare+VA):</t>
        </is>
      </c>
      <c r="E107" s="525">
        <f>C100+C101+C102</f>
        <v/>
      </c>
    </row>
    <row r="108" outlineLevel="1" s="817">
      <c r="A108" s="635" t="n"/>
      <c r="B108" s="635" t="n"/>
      <c r="C108" s="635" t="n"/>
      <c r="D108" s="635" t="n"/>
      <c r="E108" s="635" t="n"/>
      <c r="F108" s="635" t="n"/>
      <c r="G108" s="635" t="n"/>
      <c r="H108" s="635" t="n"/>
      <c r="I108" s="635" t="n"/>
      <c r="J108" s="635" t="n"/>
      <c r="K108" s="635" t="n"/>
      <c r="L108" s="635" t="n"/>
      <c r="M108" s="635" t="n"/>
      <c r="N108" s="635" t="n"/>
    </row>
    <row r="109" ht="21.95" customHeight="1" s="817">
      <c r="A109" s="818" t="inlineStr">
        <is>
          <t>L.  RATE PER BED BY CARE LEVEL  —  Pricing posture vs. comp set</t>
        </is>
      </c>
    </row>
    <row r="110" outlineLevel="1" s="817">
      <c r="A110" s="824" t="inlineStr">
        <is>
          <t xml:space="preserve">  Compare avg scheduled rate to market rate from Rental Comps tab. &gt;5% below market = recapture opportunity.</t>
        </is>
      </c>
    </row>
    <row r="111" outlineLevel="1" s="817">
      <c r="A111" s="419" t="inlineStr">
        <is>
          <t>Care Level</t>
        </is>
      </c>
      <c r="B111" s="420" t="inlineStr">
        <is>
          <t># Occupied</t>
        </is>
      </c>
      <c r="C111" s="420" t="inlineStr">
        <is>
          <t>Avg Sched Rate</t>
        </is>
      </c>
      <c r="D111" s="420" t="inlineStr">
        <is>
          <t>Avg Market Rate</t>
        </is>
      </c>
      <c r="E111" s="420" t="inlineStr">
        <is>
          <t>LTL/mo</t>
        </is>
      </c>
      <c r="F111" s="420" t="inlineStr">
        <is>
          <t>LTL %</t>
        </is>
      </c>
      <c r="G111" s="420" t="inlineStr">
        <is>
          <t>Annual Recapture</t>
        </is>
      </c>
      <c r="H111" s="420" t="inlineStr">
        <is>
          <t>vs Comp Flag</t>
        </is>
      </c>
    </row>
    <row r="112" outlineLevel="1" s="817">
      <c r="A112" s="400" t="inlineStr">
        <is>
          <t>IL — Independent Living</t>
        </is>
      </c>
      <c r="B112" s="417">
        <f>COUNTIFS($C$211:$C$610,"IL",$D$211:$D$610,"Occupied")+COUNTIFS($C$211:$C$610,"IL",$D$211:$D$610,"Notice")</f>
        <v/>
      </c>
      <c r="C112" s="950">
        <f>IFERROR(SUMIFS($K$211:$K$610,$C$211:$C$610,"IL",$D$211:$D$610,"Occupied")/MAX(COUNTIFS($C$211:$C$610,"IL",$D$211:$D$610,"Occupied"),1),0)</f>
        <v/>
      </c>
      <c r="D112" s="950">
        <f>IFERROR(SUMIFS($H$211:$H$610,$C$211:$C$610,"IL")/MAX(COUNTIF($C$211:$C$610,"IL"),1),0)</f>
        <v/>
      </c>
      <c r="E112" s="950">
        <f>MAX(D112-C112,0)*B112</f>
        <v/>
      </c>
      <c r="F112" s="522">
        <f>IFERROR((D112-C112)/MAX(D112,1),0)</f>
        <v/>
      </c>
      <c r="G112" s="951" t="n">
        <v>0</v>
      </c>
      <c r="H112" s="824" t="inlineStr">
        <is>
          <t>— see Rental Comps —</t>
        </is>
      </c>
    </row>
    <row r="113" outlineLevel="1" s="817">
      <c r="A113" s="400" t="inlineStr">
        <is>
          <t>AL — Assisted Living</t>
        </is>
      </c>
      <c r="B113" s="417">
        <f>COUNTIFS($C$211:$C$610,"AL",$D$211:$D$610,"Occupied")+COUNTIFS($C$211:$C$610,"AL",$D$211:$D$610,"Notice")</f>
        <v/>
      </c>
      <c r="C113" s="950">
        <f>IFERROR(SUMIFS($K$211:$K$610,$C$211:$C$610,"AL",$D$211:$D$610,"Occupied")/MAX(COUNTIFS($C$211:$C$610,"AL",$D$211:$D$610,"Occupied"),1),0)</f>
        <v/>
      </c>
      <c r="D113" s="950">
        <f>IFERROR(SUMIFS($H$211:$H$610,$C$211:$C$610,"AL")/MAX(COUNTIF($C$211:$C$610,"AL"),1),0)</f>
        <v/>
      </c>
      <c r="E113" s="950">
        <f>MAX(D113-C113,0)*B113</f>
        <v/>
      </c>
      <c r="F113" s="522">
        <f>IFERROR((D113-C113)/MAX(D113,1),0)</f>
        <v/>
      </c>
      <c r="G113" s="951" t="n">
        <v>0</v>
      </c>
      <c r="H113" s="824" t="inlineStr">
        <is>
          <t>— see Rental Comps —</t>
        </is>
      </c>
    </row>
    <row r="114" outlineLevel="1" s="817">
      <c r="A114" s="400" t="inlineStr">
        <is>
          <t>MC — Memory Care</t>
        </is>
      </c>
      <c r="B114" s="417">
        <f>COUNTIFS($C$211:$C$610,"MC",$D$211:$D$610,"Occupied")+COUNTIFS($C$211:$C$610,"MC",$D$211:$D$610,"Notice")</f>
        <v/>
      </c>
      <c r="C114" s="950">
        <f>IFERROR(SUMIFS($K$211:$K$610,$C$211:$C$610,"MC",$D$211:$D$610,"Occupied")/MAX(COUNTIFS($C$211:$C$610,"MC",$D$211:$D$610,"Occupied"),1),0)</f>
        <v/>
      </c>
      <c r="D114" s="950">
        <f>IFERROR(SUMIFS($H$211:$H$610,$C$211:$C$610,"MC")/MAX(COUNTIF($C$211:$C$610,"MC"),1),0)</f>
        <v/>
      </c>
      <c r="E114" s="950">
        <f>MAX(D114-C114,0)*B114</f>
        <v/>
      </c>
      <c r="F114" s="522">
        <f>IFERROR((D114-C114)/MAX(D114,1),0)</f>
        <v/>
      </c>
      <c r="G114" s="951" t="n">
        <v>0</v>
      </c>
      <c r="H114" s="824" t="inlineStr">
        <is>
          <t>— see Rental Comps —</t>
        </is>
      </c>
    </row>
    <row r="115" outlineLevel="1" s="817">
      <c r="A115" s="411" t="inlineStr">
        <is>
          <t>TOTAL</t>
        </is>
      </c>
      <c r="B115" s="425">
        <f>SUM(B112:B114)</f>
        <v/>
      </c>
      <c r="C115" s="956">
        <f>IFERROR(SUMIFS($K$211:$K$610,$D$211:$D$610,"Occupied")/MAX(COUNTIFS($D$211:$D$610,"Occupied"),1),0)</f>
        <v/>
      </c>
      <c r="D115" s="956">
        <f>IFERROR(SUM($H$211:$H$610)/MAX(COUNTA($B$211:$B$610),1),0)</f>
        <v/>
      </c>
      <c r="E115" s="956">
        <f>SUM(E112:E114)</f>
        <v/>
      </c>
      <c r="F115" s="523">
        <f>IFERROR((D115-C115)/MAX(D115,1),0)</f>
        <v/>
      </c>
      <c r="G115" s="968" t="n">
        <v>0</v>
      </c>
      <c r="H115" s="824" t="inlineStr">
        <is>
          <t>— see Rental Comps —</t>
        </is>
      </c>
    </row>
    <row r="116" outlineLevel="1" s="817"/>
    <row r="117" outlineLevel="1" s="817">
      <c r="A117" s="635" t="n"/>
      <c r="B117" s="635" t="n"/>
      <c r="C117" s="635" t="n"/>
      <c r="D117" s="635" t="n"/>
      <c r="E117" s="635" t="n"/>
      <c r="F117" s="635" t="n"/>
      <c r="G117" s="635" t="n"/>
      <c r="H117" s="635" t="n"/>
      <c r="I117" s="635" t="n"/>
      <c r="J117" s="635" t="n"/>
      <c r="K117" s="635" t="n"/>
      <c r="L117" s="635" t="n"/>
      <c r="M117" s="635" t="n"/>
      <c r="N117" s="635" t="n"/>
    </row>
    <row r="118" ht="21.95" customHeight="1" s="817">
      <c r="A118" s="820" t="inlineStr">
        <is>
          <t>M.  CHARGE VARIANCE  —  Actual vs. Scheduled  (catches billing errors / undocumented concessions)</t>
        </is>
      </c>
    </row>
    <row r="119" outlineLevel="1" s="817">
      <c r="A119" s="419" t="inlineStr">
        <is>
          <t>Variance Bucket</t>
        </is>
      </c>
      <c r="B119" s="420" t="inlineStr">
        <is>
          <t># Residents</t>
        </is>
      </c>
      <c r="C119" s="420" t="inlineStr">
        <is>
          <t>% Occupied</t>
        </is>
      </c>
      <c r="D119" s="420" t="inlineStr">
        <is>
          <t>Total Variance ($/mo)</t>
        </is>
      </c>
      <c r="E119" s="420" t="inlineStr">
        <is>
          <t>Annualized</t>
        </is>
      </c>
    </row>
    <row r="120" outlineLevel="1" s="817">
      <c r="A120" s="400" t="inlineStr">
        <is>
          <t>Actual &gt; Scheduled (over-billed?)</t>
        </is>
      </c>
      <c r="B120" s="417">
        <f t="array" ref="B120">SUMPRODUCT(($D$211:$D$610="Occupied")*($I$211:$I$610&gt;$K$211:$K$610))</f>
        <v/>
      </c>
      <c r="C120" s="522">
        <f>IFERROR(B120/MAX(COUNTIFS($D$211:$D$610,"Occupied"),1),0)</f>
        <v/>
      </c>
      <c r="D120" s="950">
        <f t="array" ref="D120">SUMPRODUCT(($D$211:$D$610="Occupied")*($I$211:$I$610&gt;$K$211:$K$610)*($I$211:$I$610-$K$211:$K$610))</f>
        <v/>
      </c>
      <c r="E120" s="950">
        <f>D120*12</f>
        <v/>
      </c>
    </row>
    <row r="121" outlineLevel="1" s="817">
      <c r="A121" s="400" t="inlineStr">
        <is>
          <t>Actual = Scheduled (clean)</t>
        </is>
      </c>
      <c r="B121" s="417">
        <f t="array" ref="B121">SUMPRODUCT(($D$211:$D$610="Occupied")*($I$211:$I$610=$K$211:$K$610))</f>
        <v/>
      </c>
      <c r="C121" s="522">
        <f>IFERROR(B121/MAX(COUNTIFS($D$211:$D$610,"Occupied"),1),0)</f>
        <v/>
      </c>
      <c r="D121" s="950" t="n">
        <v>0</v>
      </c>
      <c r="E121" s="950" t="n">
        <v>0</v>
      </c>
    </row>
    <row r="122" outlineLevel="1" s="817">
      <c r="A122" s="400" t="inlineStr">
        <is>
          <t>Actual &lt; Scheduled (under-billed / concession)</t>
        </is>
      </c>
      <c r="B122" s="417">
        <f t="array" ref="B122">SUMPRODUCT(($D$211:$D$610="Occupied")*($I$211:$I$610&lt;$K$211:$K$610))</f>
        <v/>
      </c>
      <c r="C122" s="522">
        <f>IFERROR(B122/MAX(COUNTIFS($D$211:$D$610,"Occupied"),1),0)</f>
        <v/>
      </c>
      <c r="D122" s="950">
        <f t="array" ref="D122">-SUMPRODUCT(($D$211:$D$610="Occupied")*($I$211:$I$610&lt;$K$211:$K$610)*($K$211:$K$610-$I$211:$I$610))</f>
        <v/>
      </c>
      <c r="E122" s="950">
        <f>D122*12</f>
        <v/>
      </c>
    </row>
    <row r="123" outlineLevel="1" s="817">
      <c r="A123" s="849" t="inlineStr">
        <is>
          <t>Net Variance (Actual − Scheduled, all occupied)</t>
        </is>
      </c>
      <c r="B123" s="422">
        <f>B120+B121+B122</f>
        <v/>
      </c>
      <c r="C123" s="525">
        <f>SUM(C120:C122)</f>
        <v/>
      </c>
      <c r="D123" s="954">
        <f>SUMIFS($I$211:$I$610,$D$211:$D$610,"Occupied")-SUMIFS($K$211:$K$610,$D$211:$D$610,"Occupied")</f>
        <v/>
      </c>
      <c r="E123" s="954">
        <f>D123*12</f>
        <v/>
      </c>
      <c r="F123" s="398">
        <f>IF(ABS(D123)&lt;MAX(SUMIFS($K$211:$K$610,$D$211:$D$610,"Occupied"),1)*0.01,"🟢 minimal variance",IF(D123&lt;0,"🟡 net under-billing — investigate","🟢 net over-collection"))</f>
        <v/>
      </c>
    </row>
    <row r="124" outlineLevel="1" s="817"/>
    <row r="125" outlineLevel="1" s="817">
      <c r="A125" s="635" t="n"/>
      <c r="B125" s="635" t="n"/>
      <c r="C125" s="635" t="n"/>
      <c r="D125" s="635" t="n"/>
      <c r="E125" s="635" t="n"/>
      <c r="F125" s="635" t="n"/>
      <c r="G125" s="635" t="n"/>
      <c r="H125" s="635" t="n"/>
      <c r="I125" s="635" t="n"/>
      <c r="J125" s="635" t="n"/>
      <c r="K125" s="635" t="n"/>
      <c r="L125" s="635" t="n"/>
      <c r="M125" s="635" t="n"/>
      <c r="N125" s="635" t="n"/>
    </row>
    <row r="126" ht="21.95" customHeight="1" s="817">
      <c r="A126" s="818" t="inlineStr">
        <is>
          <t>N.  DEPOSIT COVERAGE ON DELINQUENT RESIDENTS  —  Recovery expectation at move-out</t>
        </is>
      </c>
    </row>
    <row r="127" outlineLevel="1" s="817">
      <c r="A127" s="419" t="inlineStr">
        <is>
          <t>Coverage Bucket</t>
        </is>
      </c>
      <c r="B127" s="420" t="inlineStr">
        <is>
          <t># Residents</t>
        </is>
      </c>
      <c r="C127" s="420" t="inlineStr">
        <is>
          <t>Total Balance</t>
        </is>
      </c>
      <c r="D127" s="420" t="inlineStr">
        <is>
          <t>Total Deposits</t>
        </is>
      </c>
      <c r="E127" s="420" t="inlineStr">
        <is>
          <t>Coverage %</t>
        </is>
      </c>
      <c r="F127" s="420" t="inlineStr">
        <is>
          <t>Uncovered $</t>
        </is>
      </c>
    </row>
    <row r="128" outlineLevel="1" s="817">
      <c r="A128" s="400" t="inlineStr">
        <is>
          <t>Fully covered  (deposit ≥ balance)</t>
        </is>
      </c>
      <c r="B128" s="417">
        <f t="array" ref="B128">SUMPRODUCT(($L$211:$L$610&gt;0)*($M$211:$M$610&gt;=$L$211:$L$610)*($D$211:$D$610&lt;&gt;"Vacant"))</f>
        <v/>
      </c>
      <c r="C128" s="950">
        <f t="array" ref="C128">SUMPRODUCT(($L$211:$L$610&gt;0)*($M$211:$M$610&gt;=$L$211:$L$610)*($D$211:$D$610&lt;&gt;"Vacant")*$L$211:$L$610)</f>
        <v/>
      </c>
      <c r="D128" s="950">
        <f t="array" ref="D128">SUMPRODUCT(($L$211:$L$610&gt;0)*($M$211:$M$610&gt;=$L$211:$L$610)*($D$211:$D$610&lt;&gt;"Vacant")*$M$211:$M$610)</f>
        <v/>
      </c>
      <c r="E128" s="522">
        <f>IFERROR(D128/MAX(C128,1),0)</f>
        <v/>
      </c>
      <c r="F128" s="950" t="n">
        <v>0</v>
      </c>
    </row>
    <row r="129" outlineLevel="1" s="817">
      <c r="A129" s="400" t="inlineStr">
        <is>
          <t>Partially covered  (0 &lt; deposit &lt; balance)</t>
        </is>
      </c>
      <c r="B129" s="417">
        <f t="array" ref="B129">SUMPRODUCT(($L$211:$L$610&gt;0)*($M$211:$M$610&gt;0)*($M$211:$M$610&lt;$L$211:$L$610))</f>
        <v/>
      </c>
      <c r="C129" s="950">
        <f t="array" ref="C129">SUMPRODUCT(($L$211:$L$610&gt;0)*($M$211:$M$610&gt;0)*($M$211:$M$610&lt;$L$211:$L$610)*$L$211:$L$610)</f>
        <v/>
      </c>
      <c r="D129" s="950">
        <f t="array" ref="D129">SUMPRODUCT(($L$211:$L$610&gt;0)*($M$211:$M$610&gt;0)*($M$211:$M$610&lt;$L$211:$L$610)*$M$211:$M$610)</f>
        <v/>
      </c>
      <c r="E129" s="522">
        <f>IFERROR(D129/MAX(C129,1),0)</f>
        <v/>
      </c>
      <c r="F129" s="950">
        <f>C129-D129</f>
        <v/>
      </c>
    </row>
    <row r="130" outlineLevel="1" s="817">
      <c r="A130" s="400" t="inlineStr">
        <is>
          <t>Zero deposit + balance owed</t>
        </is>
      </c>
      <c r="B130" s="417">
        <f t="array" ref="B130">SUMPRODUCT(($L$211:$L$610&gt;0)*(IFERROR(($M$211:$M$610=0)+($M$211:$M$610=""),0)))</f>
        <v/>
      </c>
      <c r="C130" s="950">
        <f t="array" ref="C130">SUMPRODUCT(($L$211:$L$610&gt;0)*(IFERROR(($M$211:$M$610=0)+($M$211:$M$610=""),0))*$L$211:$L$610)</f>
        <v/>
      </c>
      <c r="D130" s="950" t="n">
        <v>0</v>
      </c>
      <c r="E130" s="522" t="n">
        <v>0</v>
      </c>
      <c r="F130" s="950">
        <f>C130</f>
        <v/>
      </c>
    </row>
    <row r="131" outlineLevel="1" s="817">
      <c r="A131" s="411" t="inlineStr">
        <is>
          <t>Total: Occupied with positive balance</t>
        </is>
      </c>
      <c r="B131" s="425">
        <f>SUM(B128:B130)</f>
        <v/>
      </c>
      <c r="C131" s="956">
        <f>SUM(C128:C130)</f>
        <v/>
      </c>
      <c r="D131" s="956">
        <f>SUM(D128:D130)</f>
        <v/>
      </c>
      <c r="E131" s="523">
        <f>IFERROR(D131/MAX(C131,1),0)</f>
        <v/>
      </c>
      <c r="F131" s="956">
        <f>SUM(F128:F130)</f>
        <v/>
      </c>
    </row>
    <row r="132" outlineLevel="1" s="817"/>
    <row r="133" outlineLevel="1" s="817">
      <c r="A133" s="635" t="n"/>
      <c r="B133" s="635" t="n"/>
      <c r="C133" s="635" t="n"/>
      <c r="D133" s="635" t="n"/>
      <c r="E133" s="635" t="n"/>
      <c r="F133" s="635" t="n"/>
      <c r="G133" s="635" t="n"/>
      <c r="H133" s="635" t="n"/>
      <c r="I133" s="635" t="n"/>
      <c r="J133" s="635" t="n"/>
      <c r="K133" s="635" t="n"/>
      <c r="L133" s="635" t="n"/>
      <c r="M133" s="635" t="n"/>
      <c r="N133" s="635" t="n"/>
    </row>
    <row r="134" ht="21.95" customHeight="1" s="817">
      <c r="A134" s="820" t="inlineStr">
        <is>
          <t>O.  MOVE-IN SEASONALITY  —  When did current residents sign on?</t>
        </is>
      </c>
    </row>
    <row r="135" outlineLevel="1" s="817">
      <c r="A135" s="824" t="inlineStr">
        <is>
          <t xml:space="preserve">  Distribution of current occupied residents by month-of-move-in. Predicts expiration clusters and occupancy seasonality.</t>
        </is>
      </c>
    </row>
    <row r="136" outlineLevel="1" s="817">
      <c r="A136" s="419" t="inlineStr">
        <is>
          <t>Move-In Month</t>
        </is>
      </c>
      <c r="B136" s="420" t="inlineStr">
        <is>
          <t># Residents</t>
        </is>
      </c>
      <c r="C136" s="420" t="inlineStr">
        <is>
          <t>% Occupied</t>
        </is>
      </c>
      <c r="D136" s="420" t="inlineStr">
        <is>
          <t>Bar</t>
        </is>
      </c>
    </row>
    <row r="137" outlineLevel="1" s="817">
      <c r="A137" s="400" t="inlineStr">
        <is>
          <t>Jan</t>
        </is>
      </c>
      <c r="B137" s="417">
        <f t="array" ref="B137">SUMPRODUCT(($D$211:$D$610="Occupied")*(MONTH($F$211:$F$610)=1)*($F$211:$F$610&lt;&gt;""))</f>
        <v/>
      </c>
      <c r="C137" s="522">
        <f>IFERROR(B137/MAX(COUNTIF($D$211:$D$610,"Occupied"),1),0)</f>
        <v/>
      </c>
      <c r="D137">
        <f>REPT("█",ROUND(C137*100,0))</f>
        <v/>
      </c>
    </row>
    <row r="138" outlineLevel="1" s="817">
      <c r="A138" s="400" t="inlineStr">
        <is>
          <t>Feb</t>
        </is>
      </c>
      <c r="B138" s="417">
        <f t="array" ref="B138">SUMPRODUCT(($D$211:$D$610="Occupied")*(MONTH($F$211:$F$610)=2)*($F$211:$F$610&lt;&gt;""))</f>
        <v/>
      </c>
      <c r="C138" s="522">
        <f>IFERROR(B138/MAX(COUNTIF($D$211:$D$610,"Occupied"),1),0)</f>
        <v/>
      </c>
      <c r="D138">
        <f>REPT("█",ROUND(C138*100,0))</f>
        <v/>
      </c>
    </row>
    <row r="139" outlineLevel="1" s="817">
      <c r="A139" s="400" t="inlineStr">
        <is>
          <t>Mar</t>
        </is>
      </c>
      <c r="B139" s="417">
        <f t="array" ref="B139">SUMPRODUCT(($D$211:$D$610="Occupied")*(MONTH($F$211:$F$610)=3)*($F$211:$F$610&lt;&gt;""))</f>
        <v/>
      </c>
      <c r="C139" s="522">
        <f>IFERROR(B139/MAX(COUNTIF($D$211:$D$610,"Occupied"),1),0)</f>
        <v/>
      </c>
      <c r="D139">
        <f>REPT("█",ROUND(C139*100,0))</f>
        <v/>
      </c>
    </row>
    <row r="140" outlineLevel="1" s="817">
      <c r="A140" s="400" t="inlineStr">
        <is>
          <t>Apr</t>
        </is>
      </c>
      <c r="B140" s="417">
        <f t="array" ref="B140">SUMPRODUCT(($D$211:$D$610="Occupied")*(MONTH($F$211:$F$610)=4)*($F$211:$F$610&lt;&gt;""))</f>
        <v/>
      </c>
      <c r="C140" s="522">
        <f>IFERROR(B140/MAX(COUNTIF($D$211:$D$610,"Occupied"),1),0)</f>
        <v/>
      </c>
      <c r="D140">
        <f>REPT("█",ROUND(C140*100,0))</f>
        <v/>
      </c>
    </row>
    <row r="141" outlineLevel="1" s="817">
      <c r="A141" s="400" t="inlineStr">
        <is>
          <t>May</t>
        </is>
      </c>
      <c r="B141" s="417">
        <f t="array" ref="B141">SUMPRODUCT(($D$211:$D$610="Occupied")*(MONTH($F$211:$F$610)=5)*($F$211:$F$610&lt;&gt;""))</f>
        <v/>
      </c>
      <c r="C141" s="522">
        <f>IFERROR(B141/MAX(COUNTIF($D$211:$D$610,"Occupied"),1),0)</f>
        <v/>
      </c>
      <c r="D141">
        <f>REPT("█",ROUND(C141*100,0))</f>
        <v/>
      </c>
    </row>
    <row r="142" outlineLevel="1" s="817">
      <c r="A142" s="400" t="inlineStr">
        <is>
          <t>Jun</t>
        </is>
      </c>
      <c r="B142" s="417">
        <f t="array" ref="B142">SUMPRODUCT(($D$211:$D$610="Occupied")*(MONTH($F$211:$F$610)=6)*($F$211:$F$610&lt;&gt;""))</f>
        <v/>
      </c>
      <c r="C142" s="522">
        <f>IFERROR(B142/MAX(COUNTIF($D$211:$D$610,"Occupied"),1),0)</f>
        <v/>
      </c>
      <c r="D142">
        <f>REPT("█",ROUND(C142*100,0))</f>
        <v/>
      </c>
    </row>
    <row r="143" outlineLevel="1" s="817">
      <c r="A143" s="400" t="inlineStr">
        <is>
          <t>Jul</t>
        </is>
      </c>
      <c r="B143" s="417">
        <f t="array" ref="B143">SUMPRODUCT(($D$211:$D$610="Occupied")*(MONTH($F$211:$F$610)=7)*($F$211:$F$610&lt;&gt;""))</f>
        <v/>
      </c>
      <c r="C143" s="522">
        <f>IFERROR(B143/MAX(COUNTIF($D$211:$D$610,"Occupied"),1),0)</f>
        <v/>
      </c>
      <c r="D143">
        <f>REPT("█",ROUND(C143*100,0))</f>
        <v/>
      </c>
    </row>
    <row r="144" outlineLevel="1" s="817">
      <c r="A144" s="400" t="inlineStr">
        <is>
          <t>Aug</t>
        </is>
      </c>
      <c r="B144" s="417">
        <f t="array" ref="B144">SUMPRODUCT(($D$211:$D$610="Occupied")*(MONTH($F$211:$F$610)=8)*($F$211:$F$610&lt;&gt;""))</f>
        <v/>
      </c>
      <c r="C144" s="522">
        <f>IFERROR(B144/MAX(COUNTIF($D$211:$D$610,"Occupied"),1),0)</f>
        <v/>
      </c>
      <c r="D144">
        <f>REPT("█",ROUND(C144*100,0))</f>
        <v/>
      </c>
    </row>
    <row r="145" outlineLevel="1" s="817">
      <c r="A145" s="400" t="inlineStr">
        <is>
          <t>Sep</t>
        </is>
      </c>
      <c r="B145" s="417">
        <f t="array" ref="B145">SUMPRODUCT(($D$211:$D$610="Occupied")*(MONTH($F$211:$F$610)=9)*($F$211:$F$610&lt;&gt;""))</f>
        <v/>
      </c>
      <c r="C145" s="522">
        <f>IFERROR(B145/MAX(COUNTIF($D$211:$D$610,"Occupied"),1),0)</f>
        <v/>
      </c>
      <c r="D145">
        <f>REPT("█",ROUND(C145*100,0))</f>
        <v/>
      </c>
    </row>
    <row r="146" outlineLevel="1" s="817">
      <c r="A146" s="400" t="inlineStr">
        <is>
          <t>Oct</t>
        </is>
      </c>
      <c r="B146" s="417">
        <f t="array" ref="B146">SUMPRODUCT(($D$211:$D$610="Occupied")*(MONTH($F$211:$F$610)=10)*($F$211:$F$610&lt;&gt;""))</f>
        <v/>
      </c>
      <c r="C146" s="522">
        <f>IFERROR(B146/MAX(COUNTIF($D$211:$D$610,"Occupied"),1),0)</f>
        <v/>
      </c>
      <c r="D146">
        <f>REPT("█",ROUND(C146*100,0))</f>
        <v/>
      </c>
    </row>
    <row r="147" outlineLevel="1" s="817">
      <c r="A147" s="400" t="inlineStr">
        <is>
          <t>Nov</t>
        </is>
      </c>
      <c r="B147" s="417">
        <f t="array" ref="B147">SUMPRODUCT(($D$211:$D$610="Occupied")*(MONTH($F$211:$F$610)=11)*($F$211:$F$610&lt;&gt;""))</f>
        <v/>
      </c>
      <c r="C147" s="522">
        <f>IFERROR(B147/MAX(COUNTIF($D$211:$D$610,"Occupied"),1),0)</f>
        <v/>
      </c>
      <c r="D147">
        <f>REPT("█",ROUND(C147*100,0))</f>
        <v/>
      </c>
    </row>
    <row r="148" outlineLevel="1" s="817">
      <c r="A148" s="400" t="inlineStr">
        <is>
          <t>Dec</t>
        </is>
      </c>
      <c r="B148" s="417">
        <f t="array" ref="B148">SUMPRODUCT(($D$211:$D$610="Occupied")*(MONTH($F$211:$F$610)=12)*($F$211:$F$610&lt;&gt;""))</f>
        <v/>
      </c>
      <c r="C148" s="522">
        <f>IFERROR(B148/MAX(COUNTIF($D$211:$D$610,"Occupied"),1),0)</f>
        <v/>
      </c>
      <c r="D148">
        <f>REPT("█",ROUND(C148*100,0))</f>
        <v/>
      </c>
    </row>
    <row r="149" outlineLevel="1" s="817"/>
    <row r="150" outlineLevel="1" s="817">
      <c r="A150" s="849" t="inlineStr">
        <is>
          <t>Peak move-in month</t>
        </is>
      </c>
      <c r="B150" s="404">
        <f t="array" ref="B150">INDEX({"Jan";"Feb";"Mar";"Apr";"May";"Jun";"Jul";"Aug";"Sep";"Oct";"Nov";"Dec"},MATCH(MAX(B137:B148),B137:B148,0))</f>
        <v/>
      </c>
    </row>
    <row r="151" outlineLevel="1" s="817">
      <c r="A151" s="849" t="inlineStr">
        <is>
          <t>Q4 (Oct–Dec) % — typical SL peak</t>
        </is>
      </c>
      <c r="B151" s="522">
        <f>IFERROR((B146+B147+B148)/MAX(SUM(B137:B148),1),0)</f>
        <v/>
      </c>
    </row>
    <row r="152" outlineLevel="1" s="817">
      <c r="A152" s="635" t="n"/>
      <c r="B152" s="635" t="n"/>
      <c r="C152" s="635" t="n"/>
      <c r="D152" s="635" t="n"/>
      <c r="E152" s="635" t="n"/>
      <c r="F152" s="635" t="n"/>
      <c r="G152" s="635" t="n"/>
      <c r="H152" s="635" t="n"/>
      <c r="I152" s="635" t="n"/>
      <c r="J152" s="635" t="n"/>
      <c r="K152" s="635" t="n"/>
      <c r="L152" s="635" t="n"/>
      <c r="M152" s="635" t="n"/>
      <c r="N152" s="635" t="n"/>
    </row>
    <row r="153" ht="21.95" customHeight="1" s="817">
      <c r="A153" s="818" t="inlineStr">
        <is>
          <t>P.  PRE-ADMISSION PIPELINE  —  Deposits paid / signed, not yet moved in</t>
        </is>
      </c>
    </row>
    <row r="154" outlineLevel="1" s="817">
      <c r="A154" s="824" t="inlineStr">
        <is>
          <t xml:space="preserve">  Detected as residents with Lease Start / Admission date in the future or with "Reserved" status in raw roll.</t>
        </is>
      </c>
    </row>
    <row r="155" outlineLevel="1" s="817">
      <c r="A155" s="419" t="inlineStr">
        <is>
          <t>Pipeline Metric</t>
        </is>
      </c>
      <c r="B155" s="420" t="inlineStr">
        <is>
          <t>Value</t>
        </is>
      </c>
      <c r="C155" s="420" t="inlineStr">
        <is>
          <t>Note</t>
        </is>
      </c>
    </row>
    <row r="156" outlineLevel="1" s="817">
      <c r="A156" s="400" t="inlineStr">
        <is>
          <t>Pre-admitted residents  (deposit paid)</t>
        </is>
      </c>
      <c r="B156" s="404">
        <f t="array" ref="B156">COUNTIF($D$211:$D$610,"Reserved")+COUNTIF($D$211:$D$610,"Pre-Admit*")+SUMPRODUCT(($F$211:$F$610&gt;TODAY())*($F$211:$F$610&lt;&gt;""))</f>
        <v/>
      </c>
      <c r="C156" s="824" t="inlineStr">
        <is>
          <t>Count of pending admissions</t>
        </is>
      </c>
    </row>
    <row r="157" outlineLevel="1" s="817">
      <c r="A157" s="400" t="inlineStr">
        <is>
          <t>Pre-admitted on currently vacant beds</t>
        </is>
      </c>
      <c r="B157" s="404">
        <f t="array" ref="B157">SUMPRODUCT(($D$211:$D$610="Vacant")*($F$211:$F$610&gt;TODAY())*($F$211:$F$610&lt;&gt;""))+SUMPRODUCT(($D$211:$D$610="Reserved")*1)</f>
        <v/>
      </c>
      <c r="C157" s="824" t="inlineStr">
        <is>
          <t>Vacant beds already committed</t>
        </is>
      </c>
    </row>
    <row r="158" outlineLevel="1" s="817">
      <c r="A158" s="400" t="inlineStr">
        <is>
          <t>Total committed monthly revenue (annualized)</t>
        </is>
      </c>
      <c r="B158" s="950">
        <f t="array" ref="B158">(SUMIFS($K$211:$K$610,$D$211:$D$610,"Reserved")+SUMIFS($K$211:$K$610,$D$211:$D$610,"Pre-Admit*")+SUMPRODUCT(($F$211:$F$610&gt;TODAY())*($F$211:$F$610&lt;&gt;"")*$K$211:$K$610))*12</f>
        <v/>
      </c>
      <c r="C158" s="824" t="inlineStr">
        <is>
          <t>Revenue locked in pre-occupancy</t>
        </is>
      </c>
    </row>
    <row r="159" outlineLevel="1" s="817">
      <c r="A159" s="400" t="inlineStr">
        <is>
          <t>Days to soonest admission</t>
        </is>
      </c>
      <c r="B159" s="404">
        <f t="array" ref="B159">IFERROR(MIN(IF(($F$211:$F$610&gt;TODAY())*($F$211:$F$610&lt;&gt;""),$F$211:$F$610-TODAY())),"none")</f>
        <v/>
      </c>
      <c r="C159" s="824" t="inlineStr">
        <is>
          <t>How fast occupancy increases</t>
        </is>
      </c>
    </row>
    <row r="160" outlineLevel="1" s="817">
      <c r="A160" s="400" t="inlineStr">
        <is>
          <t>Avg days until pre-admission start</t>
        </is>
      </c>
      <c r="B160" s="404">
        <f>IFERROR(AVERAGEIFS($F$211:$F$610,$F$211:$F$610,"&gt;"&amp;TODAY())-TODAY(),"none")</f>
        <v/>
      </c>
      <c r="C160" s="824" t="inlineStr">
        <is>
          <t>Lead time on pipeline</t>
        </is>
      </c>
    </row>
    <row r="161" outlineLevel="1" s="817"/>
    <row r="162" outlineLevel="1" s="817">
      <c r="A162" s="635" t="n"/>
      <c r="B162" s="635" t="n"/>
      <c r="C162" s="635" t="n"/>
      <c r="D162" s="635" t="n"/>
      <c r="E162" s="635" t="n"/>
      <c r="F162" s="635" t="n"/>
      <c r="G162" s="635" t="n"/>
      <c r="H162" s="635" t="n"/>
      <c r="I162" s="635" t="n"/>
      <c r="J162" s="635" t="n"/>
      <c r="K162" s="635" t="n"/>
      <c r="L162" s="635" t="n"/>
      <c r="M162" s="635" t="n"/>
      <c r="N162" s="635" t="n"/>
    </row>
    <row r="163" ht="21.95" customHeight="1" s="817">
      <c r="A163" s="820" t="inlineStr">
        <is>
          <t>Q.  WING / CARE-LEVEL VACANCY CONCENTRATION  —  Catches localized issues</t>
        </is>
      </c>
    </row>
    <row r="164" outlineLevel="1" s="817">
      <c r="A164" s="824" t="inlineStr">
        <is>
          <t xml:space="preserve">  Vacancy clustered in one wing or care level often signals a localized problem (staffing, reputation, systems). Flag if any wing &gt; 50% vacant.</t>
        </is>
      </c>
    </row>
    <row r="165" outlineLevel="1" s="817">
      <c r="A165" s="419" t="inlineStr">
        <is>
          <t>Wing / Level</t>
        </is>
      </c>
      <c r="B165" s="420" t="inlineStr">
        <is>
          <t>Total Beds</t>
        </is>
      </c>
      <c r="C165" s="420" t="inlineStr">
        <is>
          <t>Occupied</t>
        </is>
      </c>
      <c r="D165" s="420" t="inlineStr">
        <is>
          <t>Vacant</t>
        </is>
      </c>
      <c r="E165" s="420" t="inlineStr">
        <is>
          <t>Vac %</t>
        </is>
      </c>
      <c r="F165" s="420" t="inlineStr">
        <is>
          <t>Collections Cases</t>
        </is>
      </c>
      <c r="G165" s="420" t="inlineStr">
        <is>
          <t>AR Balance</t>
        </is>
      </c>
      <c r="H165" s="420" t="inlineStr">
        <is>
          <t>Read</t>
        </is>
      </c>
    </row>
    <row r="166" outlineLevel="1" s="817">
      <c r="A166" s="400" t="inlineStr">
        <is>
          <t>IL Wing</t>
        </is>
      </c>
      <c r="B166" s="417">
        <f t="array" ref="B166">SUMPRODUCT(($C$211:$C$610="IL")*1)</f>
        <v/>
      </c>
      <c r="C166" s="417">
        <f>COUNTIFS($C$211:$C$610,"IL",$D$211:$D$610,"Occupied")+COUNTIFS($C$211:$C$610,"IL",$D$211:$D$610,"Notice")</f>
        <v/>
      </c>
      <c r="D166" s="417">
        <f>B166-C166</f>
        <v/>
      </c>
      <c r="E166" s="522">
        <f>IFERROR(D166/MAX(B166,1),0)</f>
        <v/>
      </c>
      <c r="F166" s="951">
        <f>IF(E166&gt;0.5,"⚠ &gt;50% vacant — flag",IF(E166&gt;0.3,"🟡 elevated","🟢 within norm"))</f>
        <v/>
      </c>
      <c r="G166" s="951" t="n">
        <v>0</v>
      </c>
      <c r="H166" s="406" t="inlineStr">
        <is>
          <t>ok</t>
        </is>
      </c>
    </row>
    <row r="167" outlineLevel="1" s="817">
      <c r="A167" s="400" t="inlineStr">
        <is>
          <t>AL Wing</t>
        </is>
      </c>
      <c r="B167" s="417">
        <f t="array" ref="B167">SUMPRODUCT(($C$211:$C$610="AL")*1)</f>
        <v/>
      </c>
      <c r="C167" s="417">
        <f>COUNTIFS($C$211:$C$610,"AL",$D$211:$D$610,"Occupied")+COUNTIFS($C$211:$C$610,"AL",$D$211:$D$610,"Notice")</f>
        <v/>
      </c>
      <c r="D167" s="417">
        <f>B167-C167</f>
        <v/>
      </c>
      <c r="E167" s="522">
        <f>IFERROR(D167/MAX(B167,1),0)</f>
        <v/>
      </c>
      <c r="F167" s="951">
        <f>IF(E167&gt;0.5,"⚠ &gt;50% vacant — flag",IF(E167&gt;0.3,"🟡 elevated","🟢 within norm"))</f>
        <v/>
      </c>
      <c r="G167" s="951" t="n">
        <v>0</v>
      </c>
      <c r="H167" s="406" t="inlineStr">
        <is>
          <t>ok</t>
        </is>
      </c>
    </row>
    <row r="168" outlineLevel="1" s="817">
      <c r="A168" s="400" t="inlineStr">
        <is>
          <t>MC Wing</t>
        </is>
      </c>
      <c r="B168" s="417">
        <f t="array" ref="B168">SUMPRODUCT(($C$211:$C$610="MC")*1)</f>
        <v/>
      </c>
      <c r="C168" s="417">
        <f>COUNTIFS($C$211:$C$610,"MC",$D$211:$D$610,"Occupied")+COUNTIFS($C$211:$C$610,"MC",$D$211:$D$610,"Notice")</f>
        <v/>
      </c>
      <c r="D168" s="417">
        <f>B168-C168</f>
        <v/>
      </c>
      <c r="E168" s="522">
        <f>IFERROR(D168/MAX(B168,1),0)</f>
        <v/>
      </c>
      <c r="F168" s="951">
        <f>IF(E168&gt;0.5,"⚠ &gt;50% vacant — flag",IF(E168&gt;0.3,"🟡 elevated","🟢 within norm"))</f>
        <v/>
      </c>
      <c r="G168" s="951" t="n">
        <v>0</v>
      </c>
      <c r="H168" s="406" t="inlineStr">
        <is>
          <t>ok</t>
        </is>
      </c>
    </row>
    <row r="169" outlineLevel="1" s="817">
      <c r="A169" s="641" t="inlineStr">
        <is>
          <t>TOTAL</t>
        </is>
      </c>
      <c r="B169" s="642">
        <f>SUM(B166:B168)</f>
        <v/>
      </c>
      <c r="C169" s="642">
        <f>SUM(C166:C168)</f>
        <v/>
      </c>
      <c r="D169" s="642">
        <f>SUM(D166:D168)</f>
        <v/>
      </c>
      <c r="E169" s="643">
        <f>IFERROR(D169/MAX(B169,1),0)</f>
        <v/>
      </c>
      <c r="F169" s="969" t="n">
        <v>0</v>
      </c>
      <c r="G169" s="969" t="n">
        <v>0</v>
      </c>
      <c r="H169" s="645" t="inlineStr">
        <is>
          <t>ok</t>
        </is>
      </c>
      <c r="I169" s="635" t="n"/>
      <c r="J169" s="635" t="n"/>
      <c r="K169" s="635" t="n"/>
      <c r="L169" s="635" t="n"/>
      <c r="M169" s="635" t="n"/>
      <c r="N169" s="635" t="n"/>
    </row>
    <row r="170" ht="21.95" customHeight="1" s="817">
      <c r="A170" s="818" t="inlineStr">
        <is>
          <t>R.  UNIT TYPE PRICING BY CARE LEVEL  —  Min/avg/max rent by care level × unit type</t>
        </is>
      </c>
      <c r="B170" s="819" t="n"/>
      <c r="C170" s="819" t="n"/>
      <c r="D170" s="819" t="n"/>
      <c r="E170" s="819" t="n"/>
      <c r="F170" s="819" t="n"/>
      <c r="G170" s="819" t="n"/>
      <c r="H170" s="819" t="n"/>
      <c r="I170" s="819" t="n"/>
      <c r="J170" s="819" t="n"/>
      <c r="K170" s="819" t="n"/>
      <c r="L170" s="819" t="n"/>
      <c r="M170" s="819" t="n"/>
      <c r="N170" s="819" t="n"/>
    </row>
    <row r="171" outlineLevel="1" s="817">
      <c r="A171" s="400" t="inlineStr">
        <is>
          <t xml:space="preserve">  ⓘ Dynamic — pulls care level + unit types directly from the rent roll. Sq Ft uses standard IL sizes (Studio 450 · 1BR 700 · 2BR 1,000 · 3BR 1,300 · Suite 350 · Cottage 900). Override col D inline for actuals.</t>
        </is>
      </c>
    </row>
    <row r="172" outlineLevel="1" s="817">
      <c r="A172" s="530" t="inlineStr">
        <is>
          <t>Care Level</t>
        </is>
      </c>
      <c r="B172" s="530" t="inlineStr">
        <is>
          <t>Unit Type</t>
        </is>
      </c>
      <c r="C172" s="530" t="inlineStr">
        <is>
          <t># Occupied</t>
        </is>
      </c>
      <c r="D172" s="530" t="inlineStr">
        <is>
          <t>Est. Sq Ft</t>
        </is>
      </c>
      <c r="E172" s="530" t="inlineStr">
        <is>
          <t>Min Base Rent</t>
        </is>
      </c>
      <c r="F172" s="530" t="inlineStr">
        <is>
          <t>Avg Base Rent</t>
        </is>
      </c>
      <c r="G172" s="530" t="inlineStr">
        <is>
          <t>Max Base Rent</t>
        </is>
      </c>
      <c r="H172" s="530" t="inlineStr">
        <is>
          <t>Spread</t>
        </is>
      </c>
      <c r="I172" s="530" t="inlineStr">
        <is>
          <t>Avg $/SqFt/Mo</t>
        </is>
      </c>
      <c r="J172" s="530" t="inlineStr">
        <is>
          <t>Current Total Sched</t>
        </is>
      </c>
      <c r="K172" s="530" t="inlineStr">
        <is>
          <t>Max Collectable</t>
        </is>
      </c>
      <c r="L172" s="530" t="inlineStr">
        <is>
          <t>Upside ($)</t>
        </is>
      </c>
      <c r="M172" s="530" t="inlineStr">
        <is>
          <t>Upside %</t>
        </is>
      </c>
      <c r="N172" s="530" t="inlineStr">
        <is>
          <t>Total Beds</t>
        </is>
      </c>
      <c r="O172" s="530" t="inlineStr">
        <is>
          <t>Max @ Full Occ</t>
        </is>
      </c>
      <c r="P172" s="530" t="inlineStr">
        <is>
          <t>Total Upside ($)</t>
        </is>
      </c>
      <c r="Q172" s="530" t="inlineStr">
        <is>
          <t>Total Upside %</t>
        </is>
      </c>
      <c r="Z172" t="inlineStr">
        <is>
          <t>_key</t>
        </is>
      </c>
    </row>
    <row r="173" outlineLevel="1" s="817">
      <c r="A173">
        <f t="array" ref="A173">IFERROR(TEXTBEFORE(ANCHORARRAY(Z173),"|"),"")</f>
        <v/>
      </c>
      <c r="B173">
        <f t="array" ref="B173">IFERROR(TEXTAFTER(ANCHORARRAY(Z173),"|"),"")</f>
        <v/>
      </c>
      <c r="C173" s="547">
        <f t="array" ref="C173">IF(Z173="",0,COUNTIFS($X$211:$X$610,_xlfn.ANCHORARRAY(Z173)))</f>
        <v/>
      </c>
      <c r="D173" s="547">
        <f t="array" ref="D173">IFERROR(AVERAGEIFS($T$211:$T$610,$C$211:$C$610,ANCHORARRAY(A173),$AC$211:$AC$610,ANCHORARRAY(B173)),"")</f>
        <v/>
      </c>
      <c r="E173" s="970">
        <f t="array" ref="E173">_xlfn.MINIFS($K$211:$K$610,$X$211:$X$610,_xlfn.ANCHORARRAY(Z173))</f>
        <v/>
      </c>
      <c r="F173" s="970">
        <f t="array" ref="F173">IFERROR(AVERAGEIFS($K$211:$K$610,$X$211:$X$610,_xlfn.ANCHORARRAY(Z173)),0)</f>
        <v/>
      </c>
      <c r="G173" s="970">
        <f t="array" ref="G173">_xlfn.MAXIFS($K$211:$K$610,$X$211:$X$610,_xlfn.ANCHORARRAY(Z173))</f>
        <v/>
      </c>
      <c r="H173" s="970">
        <f t="array" ref="H173">_xlfn.ANCHORARRAY(G173)-_xlfn.ANCHORARRAY(E173)</f>
        <v/>
      </c>
      <c r="I173" s="971">
        <f t="array" ref="I173">IFERROR(_xlfn.ANCHORARRAY(F173)/_xlfn.ANCHORARRAY(D173),0)</f>
        <v/>
      </c>
      <c r="J173" s="970">
        <f t="array" ref="J173">SUMIFS($K$211:$K$610,$X$211:$X$610,_xlfn.ANCHORARRAY(Z173))</f>
        <v/>
      </c>
      <c r="K173" s="970">
        <f t="array" ref="K173">_xlfn.ANCHORARRAY(G173)*_xlfn.ANCHORARRAY(C173)</f>
        <v/>
      </c>
      <c r="L173" s="970">
        <f t="array" ref="L173">_xlfn.ANCHORARRAY(K173)-_xlfn.ANCHORARRAY(J173)</f>
        <v/>
      </c>
      <c r="M173" s="495">
        <f t="array" ref="M173">IFERROR(_xlfn.ANCHORARRAY(L173)/_xlfn.ANCHORARRAY(J173),0)</f>
        <v/>
      </c>
      <c r="N173" s="545">
        <f t="array" ref="N173">IF(Z173="",0,COUNTIFS($Y$211:$Y$610,_xlfn.ANCHORARRAY(Z173)))</f>
        <v/>
      </c>
      <c r="O173" s="970">
        <f t="array" ref="O173">_xlfn.ANCHORARRAY(G173)*_xlfn.ANCHORARRAY(N173)</f>
        <v/>
      </c>
      <c r="P173" s="970">
        <f t="array" ref="P173">_xlfn.ANCHORARRAY(O173)-_xlfn.ANCHORARRAY(J173)</f>
        <v/>
      </c>
      <c r="Q173" s="495">
        <f t="array" ref="Q173">IFERROR(_xlfn.ANCHORARRAY(P173)/_xlfn.ANCHORARRAY(J173),0)</f>
        <v/>
      </c>
      <c r="Z173">
        <f t="array" ref="Z173">IFERROR(_xlfn._xlws.SORT(_xlfn.UNIQUE(_xlfn._xlws.FILTER($X$211:$X$610,$X$211:$X$610&lt;&gt;""))),"")</f>
        <v/>
      </c>
    </row>
    <row r="174" outlineLevel="1" s="817">
      <c r="C174" s="547" t="n"/>
      <c r="D174" s="547" t="n"/>
      <c r="E174" s="970" t="n"/>
      <c r="F174" s="970" t="n"/>
      <c r="G174" s="970" t="n"/>
      <c r="H174" s="970" t="n"/>
      <c r="I174" s="971" t="n"/>
      <c r="J174" s="970" t="n"/>
      <c r="K174" s="970" t="n"/>
      <c r="L174" s="970" t="n"/>
      <c r="M174" s="495" t="n"/>
      <c r="N174" s="545" t="n"/>
      <c r="O174" s="970" t="n"/>
      <c r="P174" s="970" t="n"/>
      <c r="Q174" s="495" t="n"/>
    </row>
    <row r="175" outlineLevel="1" s="817">
      <c r="C175" s="547" t="n"/>
      <c r="D175" s="547" t="n"/>
      <c r="E175" s="970" t="n"/>
      <c r="F175" s="970" t="n"/>
      <c r="G175" s="970" t="n"/>
      <c r="H175" s="970" t="n"/>
      <c r="I175" s="971" t="n"/>
      <c r="J175" s="970" t="n"/>
      <c r="K175" s="970" t="n"/>
      <c r="L175" s="970" t="n"/>
      <c r="M175" s="495" t="n"/>
      <c r="N175" s="545" t="n"/>
      <c r="O175" s="970" t="n"/>
      <c r="P175" s="970" t="n"/>
      <c r="Q175" s="495" t="n"/>
    </row>
    <row r="176" outlineLevel="1" s="817">
      <c r="C176" s="547" t="n"/>
      <c r="D176" s="547" t="n"/>
      <c r="E176" s="970" t="n"/>
      <c r="F176" s="970" t="n"/>
      <c r="G176" s="970" t="n"/>
      <c r="H176" s="970" t="n"/>
      <c r="I176" s="971" t="n"/>
      <c r="J176" s="970" t="n"/>
      <c r="K176" s="970" t="n"/>
      <c r="L176" s="970" t="n"/>
      <c r="M176" s="495" t="n"/>
      <c r="N176" s="545" t="n"/>
      <c r="O176" s="970" t="n"/>
      <c r="P176" s="970" t="n"/>
      <c r="Q176" s="495" t="n"/>
    </row>
    <row r="177" outlineLevel="1" s="817">
      <c r="C177" s="547" t="n"/>
      <c r="D177" s="547" t="n"/>
      <c r="E177" s="970" t="n"/>
      <c r="F177" s="970" t="n"/>
      <c r="G177" s="970" t="n"/>
      <c r="H177" s="970" t="n"/>
      <c r="I177" s="971" t="n"/>
      <c r="J177" s="970" t="n"/>
      <c r="K177" s="970" t="n"/>
      <c r="L177" s="970" t="n"/>
      <c r="M177" s="495" t="n"/>
      <c r="N177" s="545" t="n"/>
      <c r="O177" s="970" t="n"/>
      <c r="P177" s="970" t="n"/>
      <c r="Q177" s="495" t="n"/>
    </row>
    <row r="178" outlineLevel="1" s="817">
      <c r="C178" s="547" t="n"/>
      <c r="D178" s="547" t="n"/>
      <c r="E178" s="970" t="n"/>
      <c r="F178" s="970" t="n"/>
      <c r="G178" s="970" t="n"/>
      <c r="H178" s="970" t="n"/>
      <c r="I178" s="971" t="n"/>
      <c r="J178" s="970" t="n"/>
      <c r="K178" s="970" t="n"/>
      <c r="L178" s="970" t="n"/>
      <c r="M178" s="495" t="n"/>
      <c r="N178" s="545" t="n"/>
      <c r="O178" s="970" t="n"/>
      <c r="P178" s="970" t="n"/>
      <c r="Q178" s="495" t="n"/>
    </row>
    <row r="179" outlineLevel="1" s="817">
      <c r="J179" s="970" t="n"/>
      <c r="K179" s="970" t="n"/>
      <c r="L179" s="970" t="n"/>
      <c r="M179" s="495" t="n"/>
      <c r="N179" s="545" t="n"/>
      <c r="O179" s="970" t="n"/>
      <c r="P179" s="970" t="n"/>
      <c r="Q179" s="495" t="n"/>
    </row>
    <row r="180" outlineLevel="1" s="817">
      <c r="A180" s="530" t="inlineStr">
        <is>
          <t>TOTAL</t>
        </is>
      </c>
      <c r="B180" s="530" t="n"/>
      <c r="C180" s="552">
        <f>SUM(_xlfn.ANCHORARRAY(C173))</f>
        <v/>
      </c>
      <c r="D180" s="530" t="n"/>
      <c r="E180" s="530" t="n"/>
      <c r="F180" s="530" t="n"/>
      <c r="G180" s="530" t="n"/>
      <c r="H180" s="530" t="n"/>
      <c r="I180" s="530" t="n"/>
      <c r="J180" s="972">
        <f>SUM(_xlfn.ANCHORARRAY(J173))</f>
        <v/>
      </c>
      <c r="K180" s="972">
        <f>SUM(_xlfn.ANCHORARRAY(K173))</f>
        <v/>
      </c>
      <c r="L180" s="972">
        <f>K180-J180</f>
        <v/>
      </c>
      <c r="M180" s="550">
        <f>IFERROR(L180/J180,0)</f>
        <v/>
      </c>
      <c r="N180" s="552">
        <f>SUM(_xlfn.ANCHORARRAY(N173))</f>
        <v/>
      </c>
      <c r="O180" s="972">
        <f>SUM(_xlfn.ANCHORARRAY(O173))</f>
        <v/>
      </c>
      <c r="P180" s="972">
        <f>O180-J180</f>
        <v/>
      </c>
      <c r="Q180" s="550">
        <f>IFERROR(P180/J180,0)</f>
        <v/>
      </c>
    </row>
    <row r="181" outlineLevel="1" s="817">
      <c r="A181" s="646" t="inlineStr">
        <is>
          <t>TOTAL (annualized)</t>
        </is>
      </c>
      <c r="B181" s="646" t="n"/>
      <c r="C181" s="647" t="n"/>
      <c r="D181" s="646" t="n"/>
      <c r="E181" s="646" t="n"/>
      <c r="F181" s="646" t="n"/>
      <c r="G181" s="646" t="n"/>
      <c r="H181" s="646" t="n"/>
      <c r="I181" s="646" t="n"/>
      <c r="J181" s="973">
        <f>J180*12</f>
        <v/>
      </c>
      <c r="K181" s="973">
        <f>K180*12</f>
        <v/>
      </c>
      <c r="L181" s="974">
        <f>L180*12</f>
        <v/>
      </c>
      <c r="M181" s="650">
        <f>M180</f>
        <v/>
      </c>
      <c r="N181" s="647" t="n"/>
      <c r="O181" s="975">
        <f>O180*12</f>
        <v/>
      </c>
      <c r="P181" s="976">
        <f>P180*12</f>
        <v/>
      </c>
      <c r="Q181" s="551">
        <f>Q180</f>
        <v/>
      </c>
    </row>
    <row r="182" ht="21.95" customHeight="1" s="817">
      <c r="A182" s="821" t="inlineStr">
        <is>
          <t>S.  CONCESSIONS AUDIT  —  Logged, parsed, and implied rate reductions</t>
        </is>
      </c>
      <c r="B182" s="821" t="n"/>
      <c r="C182" s="821" t="n"/>
      <c r="D182" s="821" t="n"/>
      <c r="E182" s="821" t="n"/>
      <c r="F182" s="821" t="n"/>
      <c r="G182" s="821" t="n"/>
      <c r="H182" s="821" t="n"/>
      <c r="I182" s="821" t="n"/>
      <c r="J182" s="821" t="n"/>
      <c r="K182" s="821" t="n"/>
      <c r="L182" s="821" t="n"/>
      <c r="M182" s="821" t="n"/>
      <c r="N182" s="821" t="n"/>
    </row>
    <row r="183" outlineLevel="1" s="817">
      <c r="A183" t="inlineStr">
        <is>
          <t xml:space="preserve">  ⓘ Three signals: Structured = entered in col AD by ops · Notes-parsed = '$X/mo con' wording in col S, now backfilled to AD · Implied = market&gt;actual with no explanation logged. Step-up/Rate-swap = need date-aware formulas. Effective Conc in col AS.</t>
        </is>
      </c>
      <c r="W183">
        <f>IF(OR(S183="",S183="Notes"),"",TRIM(IFERROR(LEFT(S183,FIND(";",S183)-1),S183)))</f>
        <v/>
      </c>
      <c r="X183">
        <f>IF(AND(D183="Occupied",C183&lt;&gt;"",C183&lt;&gt;"Care Level",W183&lt;&gt;"",W183&lt;&gt;"Unit Type (base)"),C183&amp;"|"&amp;W183,"")</f>
        <v/>
      </c>
    </row>
    <row r="184" outlineLevel="1" s="817">
      <c r="A184" s="530" t="inlineStr">
        <is>
          <t>Source</t>
        </is>
      </c>
      <c r="B184" s="530" t="inlineStr">
        <is>
          <t># Residents</t>
        </is>
      </c>
      <c r="C184" s="530" t="inlineStr">
        <is>
          <t>Total Monthly</t>
        </is>
      </c>
      <c r="D184" s="530" t="inlineStr">
        <is>
          <t>Annualized</t>
        </is>
      </c>
      <c r="E184" s="530" t="inlineStr">
        <is>
          <t>% of GPR</t>
        </is>
      </c>
      <c r="F184" s="530" t="inlineStr">
        <is>
          <t>Notes</t>
        </is>
      </c>
      <c r="W184">
        <f>IF(OR(S184="",S184="Notes"),"",TRIM(IFERROR(LEFT(S184,FIND(";",S184)-1),S184)))</f>
        <v/>
      </c>
      <c r="X184">
        <f>IF(AND(D184="Occupied",C184&lt;&gt;"",C184&lt;&gt;"Care Level",W184&lt;&gt;"",W184&lt;&gt;"Unit Type (base)"),C184&amp;"|"&amp;W184,"")</f>
        <v/>
      </c>
    </row>
    <row r="185" outlineLevel="1" s="817">
      <c r="A185" t="inlineStr">
        <is>
          <t>Structured (in col AD)</t>
        </is>
      </c>
      <c r="B185" s="545">
        <f>COUNTIF($AU$211:$AU$610,"Structured")</f>
        <v/>
      </c>
      <c r="C185" s="970">
        <f>SUMIFS($AD$211:$AD$610,$AU$211:$AU$610,"Structured")</f>
        <v/>
      </c>
      <c r="D185" s="970">
        <f>C185*12</f>
        <v/>
      </c>
      <c r="E185" s="495">
        <f>IFERROR(C185/SUM($H$211:$H$610),0)</f>
        <v/>
      </c>
      <c r="F185" t="inlineStr">
        <is>
          <t>Explicit concession entries from operator</t>
        </is>
      </c>
      <c r="W185">
        <f>IF(OR(S185="",S185="Notes"),"",TRIM(IFERROR(LEFT(S185,FIND(";",S185)-1),S185)))</f>
        <v/>
      </c>
      <c r="X185">
        <f>IF(AND(D185="Occupied",C185&lt;&gt;"",C185&lt;&gt;"Care Level",W185&lt;&gt;"",W185&lt;&gt;"Unit Type (base)"),C185&amp;"|"&amp;W185,"")</f>
        <v/>
      </c>
    </row>
    <row r="186" outlineLevel="1" s="817">
      <c r="A186" t="inlineStr">
        <is>
          <t>Notes-parsed (now backfilled)</t>
        </is>
      </c>
      <c r="B186" s="545">
        <f>COUNTIF($AU$211:$AU$610,"Notes-parsed")</f>
        <v/>
      </c>
      <c r="C186" s="970">
        <f>SUMIFS($AD$211:$AD$610,$AU$211:$AU$610,"Notes-parsed")</f>
        <v/>
      </c>
      <c r="D186" s="970">
        <f>C186*12</f>
        <v/>
      </c>
      <c r="E186" s="495">
        <f>IFERROR(C186/SUM($H$211:$H$610),0)</f>
        <v/>
      </c>
      <c r="F186" s="556" t="inlineStr">
        <is>
          <t>$X/mo con' wording parsed from Notes col S and written to AD</t>
        </is>
      </c>
      <c r="W186">
        <f>IF(OR(S186="",S186="Notes"),"",TRIM(IFERROR(LEFT(S186,FIND(";",S186)-1),S186)))</f>
        <v/>
      </c>
      <c r="X186">
        <f>IF(AND(D186="Occupied",C186&lt;&gt;"",C186&lt;&gt;"Care Level",W186&lt;&gt;"",W186&lt;&gt;"Unit Type (base)"),C186&amp;"|"&amp;W186,"")</f>
        <v/>
      </c>
    </row>
    <row r="187" outlineLevel="1" s="817">
      <c r="A187" t="inlineStr">
        <is>
          <t>Implied (market−actual gap)</t>
        </is>
      </c>
      <c r="B187" s="545">
        <f>COUNTIF($AU$211:$AU$610,"Implied")</f>
        <v/>
      </c>
      <c r="C187" s="970">
        <f t="array" ref="C187">-SUMPRODUCT(($AU$211:$AU$610="Implied")*($H$211:$H$610-$I$211:$I$610))</f>
        <v/>
      </c>
      <c r="D187" s="970">
        <f>C187*12</f>
        <v/>
      </c>
      <c r="E187" s="495">
        <f>IFERROR(C187/SUM($H$211:$H$610),0)</f>
        <v/>
      </c>
      <c r="F187" t="inlineStr">
        <is>
          <t>⚠ Undocumented rent reductions — likely legacy rates, downgrades, or unlogged concessions</t>
        </is>
      </c>
      <c r="W187">
        <f>IF(OR(S187="",S187="Notes"),"",TRIM(IFERROR(LEFT(S187,FIND(";",S187)-1),S187)))</f>
        <v/>
      </c>
      <c r="X187">
        <f>IF(AND(D187="Occupied",C187&lt;&gt;"",C187&lt;&gt;"Care Level",W187&lt;&gt;"",W187&lt;&gt;"Unit Type (base)"),C187&amp;"|"&amp;W187,"")</f>
        <v/>
      </c>
    </row>
    <row r="188" outlineLevel="1" s="817">
      <c r="A188" t="inlineStr">
        <is>
          <t>Step-up / Rate-swap (need formulas)</t>
        </is>
      </c>
      <c r="B188" s="545">
        <f>COUNTIF($AU$211:$AU$610,"Step-up")+COUNTIF($AU$211:$AU$610,"Rate-swap")</f>
        <v/>
      </c>
      <c r="C188" t="inlineStr">
        <is>
          <t>see notes col S</t>
        </is>
      </c>
      <c r="D188" t="inlineStr">
        <is>
          <t>see notes col S</t>
        </is>
      </c>
      <c r="F188" t="inlineStr">
        <is>
          <t>Quarterly step-ups or % rate substitutions — current effective amount depends on date</t>
        </is>
      </c>
      <c r="W188">
        <f>IF(OR(S188="",S188="Notes"),"",TRIM(IFERROR(LEFT(S188,FIND(";",S188)-1),S188)))</f>
        <v/>
      </c>
      <c r="X188">
        <f>IF(AND(D188="Occupied",C188&lt;&gt;"",C188&lt;&gt;"Care Level",W188&lt;&gt;"",W188&lt;&gt;"Unit Type (base)"),C188&amp;"|"&amp;W188,"")</f>
        <v/>
      </c>
    </row>
    <row r="189" outlineLevel="1" s="817">
      <c r="B189" s="545" t="n"/>
    </row>
    <row r="190" outlineLevel="1" s="817">
      <c r="B190" s="545" t="n"/>
    </row>
    <row r="191" outlineLevel="1" s="817">
      <c r="B191" s="545" t="n"/>
    </row>
    <row r="192" outlineLevel="1" s="817">
      <c r="B192" s="545" t="n"/>
    </row>
    <row r="193" outlineLevel="1" s="817">
      <c r="B193" s="545" t="n"/>
    </row>
    <row r="194" outlineLevel="1" s="817">
      <c r="B194" s="545" t="n"/>
    </row>
    <row r="195" outlineLevel="1" s="817">
      <c r="B195" s="545" t="n"/>
    </row>
    <row r="196" outlineLevel="1" s="817">
      <c r="B196" s="545" t="n"/>
    </row>
    <row r="197" outlineLevel="1" s="817">
      <c r="B197" s="545" t="n"/>
    </row>
    <row r="198" outlineLevel="1" s="817">
      <c r="B198" s="545" t="n"/>
    </row>
    <row r="199" outlineLevel="1" s="817">
      <c r="B199" s="545" t="n"/>
    </row>
    <row r="200" outlineLevel="1" s="817">
      <c r="B200" s="545" t="n"/>
    </row>
    <row r="201" outlineLevel="1" s="817">
      <c r="B201" s="545" t="n"/>
    </row>
    <row r="202" outlineLevel="1" s="817">
      <c r="B202" s="545" t="n"/>
    </row>
    <row r="203" outlineLevel="1" s="817">
      <c r="B203" s="545" t="n"/>
    </row>
    <row r="204" outlineLevel="1" s="817">
      <c r="B204" s="545" t="n"/>
    </row>
    <row r="205" outlineLevel="1" s="817">
      <c r="B205" s="545" t="n"/>
    </row>
    <row r="206" outlineLevel="1" s="817">
      <c r="B206" s="545" t="n"/>
    </row>
    <row r="207" outlineLevel="1" s="817">
      <c r="B207" s="545" t="n"/>
    </row>
    <row r="208" outlineLevel="1" s="817">
      <c r="A208" s="635" t="n"/>
      <c r="B208" s="651" t="n"/>
      <c r="C208" s="635" t="n"/>
      <c r="D208" s="635" t="n"/>
      <c r="E208" s="635" t="n"/>
      <c r="F208" s="635" t="n"/>
      <c r="G208" s="635" t="n"/>
      <c r="H208" s="635" t="n"/>
      <c r="I208" s="635" t="n"/>
      <c r="J208" s="635" t="n"/>
      <c r="K208" s="635" t="n"/>
      <c r="L208" s="635" t="n"/>
      <c r="M208" s="635" t="n"/>
      <c r="N208" s="635" t="n"/>
    </row>
    <row r="209">
      <c r="B209" s="545" t="n"/>
    </row>
    <row r="210" ht="30" customHeight="1" s="817">
      <c r="A210" s="426" t="inlineStr">
        <is>
          <t>Unit/Bed</t>
        </is>
      </c>
      <c r="B210" s="426" t="inlineStr">
        <is>
          <t>Bed</t>
        </is>
      </c>
      <c r="C210" s="542" t="inlineStr">
        <is>
          <t>Care Level</t>
        </is>
      </c>
      <c r="D210" s="977" t="inlineStr">
        <is>
          <t>Status</t>
        </is>
      </c>
      <c r="E210" s="978" t="inlineStr">
        <is>
          <t>Resident</t>
        </is>
      </c>
      <c r="F210" s="978" t="inlineStr">
        <is>
          <t>Move-In Date</t>
        </is>
      </c>
      <c r="G210" s="426" t="inlineStr">
        <is>
          <t>Discharge Date</t>
        </is>
      </c>
      <c r="H210" s="426" t="inlineStr">
        <is>
          <t>Market Rate</t>
        </is>
      </c>
      <c r="I210" s="426" t="inlineStr">
        <is>
          <t>Actual Charges</t>
        </is>
      </c>
      <c r="J210" s="426" t="inlineStr">
        <is>
          <t>LOC Revenue</t>
        </is>
      </c>
      <c r="K210" s="426" t="inlineStr">
        <is>
          <t>Total Sched (Base+LOC)</t>
        </is>
      </c>
      <c r="L210" s="426" t="inlineStr">
        <is>
          <t>AR Balance</t>
        </is>
      </c>
      <c r="M210" s="426" t="inlineStr">
        <is>
          <t>Deposit</t>
        </is>
      </c>
      <c r="N210" s="426" t="inlineStr">
        <is>
          <t>0–30 Days</t>
        </is>
      </c>
      <c r="O210" s="426" t="inlineStr">
        <is>
          <t>31–60</t>
        </is>
      </c>
      <c r="P210" s="426" t="inlineStr">
        <is>
          <t>61–90</t>
        </is>
      </c>
      <c r="Q210" s="426" t="inlineStr">
        <is>
          <t>90+</t>
        </is>
      </c>
      <c r="R210" s="426" t="inlineStr">
        <is>
          <t>Payer Type</t>
        </is>
      </c>
      <c r="S210" s="426" t="inlineStr">
        <is>
          <t>Notes</t>
        </is>
      </c>
      <c r="T210" s="529" t="inlineStr">
        <is>
          <t>Sq Ft (est)</t>
        </is>
      </c>
      <c r="U210" s="529" t="inlineStr">
        <is>
          <t>$/SqFt/Mo</t>
        </is>
      </c>
      <c r="V210" s="529" t="inlineStr">
        <is>
          <t>$/SqFt/Yr</t>
        </is>
      </c>
      <c r="W210" t="inlineStr">
        <is>
          <t>Unit Type (base)</t>
        </is>
      </c>
      <c r="X210" t="inlineStr">
        <is>
          <t>Care|UnitType</t>
        </is>
      </c>
      <c r="Y210" s="529" t="inlineStr">
        <is>
          <t>Care|Unit (all)</t>
        </is>
      </c>
      <c r="Z210" s="529" t="inlineStr">
        <is>
          <t>_key</t>
        </is>
      </c>
      <c r="AA210" t="inlineStr">
        <is>
          <t>Mkt-Actual $</t>
        </is>
      </c>
      <c r="AB210" t="inlineStr">
        <is>
          <t>Mkt-Actual %</t>
        </is>
      </c>
      <c r="AC210" s="530" t="inlineStr">
        <is>
          <t>Apt Type</t>
        </is>
      </c>
      <c r="AD210" s="530" t="inlineStr">
        <is>
          <t>Concession $</t>
        </is>
      </c>
      <c r="AE210" s="530" t="inlineStr">
        <is>
          <t>Concession End</t>
        </is>
      </c>
      <c r="AF210" s="530" t="inlineStr">
        <is>
          <t>Care Level $</t>
        </is>
      </c>
      <c r="AG210" s="530" t="inlineStr">
        <is>
          <t>Med Mgmt $</t>
        </is>
      </c>
      <c r="AH210" s="530" t="inlineStr">
        <is>
          <t>Pharmacy $</t>
        </is>
      </c>
      <c r="AI210" s="530" t="inlineStr">
        <is>
          <t>Other LOC $</t>
        </is>
      </c>
      <c r="AJ210" s="530" t="inlineStr">
        <is>
          <t>2nd Person $</t>
        </is>
      </c>
      <c r="AK210" s="530" t="inlineStr">
        <is>
          <t>Meal Plan $</t>
        </is>
      </c>
      <c r="AL210" s="530" t="inlineStr">
        <is>
          <t>Scooter $</t>
        </is>
      </c>
      <c r="AM210" s="530" t="inlineStr">
        <is>
          <t>Housekeeping $</t>
        </is>
      </c>
      <c r="AN210" s="530" t="inlineStr">
        <is>
          <t>Laundry $</t>
        </is>
      </c>
      <c r="AO210" s="530" t="inlineStr">
        <is>
          <t>Pet $</t>
        </is>
      </c>
      <c r="AP210" s="557" t="inlineStr">
        <is>
          <t>Care Level Tier</t>
        </is>
      </c>
      <c r="AQ210" s="558" t="inlineStr">
        <is>
          <t>Total Ancillary $</t>
        </is>
      </c>
      <c r="AR210" s="557" t="inlineStr">
        <is>
          <t>Preleased Date</t>
        </is>
      </c>
      <c r="AS210" s="530" t="inlineStr">
        <is>
          <t>ACH</t>
        </is>
      </c>
      <c r="AT210" s="530" t="inlineStr">
        <is>
          <t>Market PSF</t>
        </is>
      </c>
      <c r="AU210" s="530" t="inlineStr">
        <is>
          <t>Conc Source</t>
        </is>
      </c>
      <c r="AV210" s="530" t="inlineStr">
        <is>
          <t>Effective Conc $</t>
        </is>
      </c>
    </row>
    <row r="211" outlineLevel="1" s="817">
      <c r="F211" s="520" t="n"/>
      <c r="G211" s="520" t="n"/>
      <c r="H211" s="970" t="n"/>
      <c r="I211" s="970" t="n"/>
      <c r="J211" s="970" t="n"/>
      <c r="K211" s="970" t="n"/>
      <c r="L211" s="970" t="n"/>
      <c r="M211" s="970" t="n"/>
      <c r="N211" s="970" t="n"/>
      <c r="O211" s="970" t="n"/>
      <c r="P211" s="970" t="n"/>
      <c r="Q211" s="970" t="n"/>
      <c r="T211" s="545" t="n"/>
      <c r="U211" s="971" t="n"/>
      <c r="V211" s="971" t="n"/>
      <c r="W211">
        <f>IF(AND($D211="Occupied",$AC211&lt;&gt;""),$AC211,"")</f>
        <v/>
      </c>
      <c r="X211">
        <f>IF(AND(D211="Occupied",C211&lt;&gt;"",W211&lt;&gt;""),C211&amp;"|"&amp;W211,"")</f>
        <v/>
      </c>
      <c r="Y211">
        <f>IF(AND(C211&lt;&gt;"",W211&lt;&gt;""),C211&amp;"|"&amp;W211,"")</f>
        <v/>
      </c>
      <c r="AA211" s="970" t="n"/>
      <c r="AB211" s="555" t="n"/>
      <c r="AD211" s="970" t="n"/>
      <c r="AE211" s="520" t="n"/>
      <c r="AF211" s="970" t="n"/>
      <c r="AG211" s="970" t="n"/>
      <c r="AH211" s="970" t="n"/>
      <c r="AI211" s="970" t="n"/>
      <c r="AJ211" s="970" t="n"/>
      <c r="AK211" s="970" t="n"/>
      <c r="AL211" s="970" t="n"/>
      <c r="AM211" s="970" t="n"/>
      <c r="AN211" s="970" t="n"/>
      <c r="AO211" s="970" t="n"/>
      <c r="AP211" s="979" t="n"/>
      <c r="AQ211" s="980">
        <f>SUM(AK211:AO211)</f>
        <v/>
      </c>
      <c r="AR211" s="981" t="n"/>
      <c r="AT211" s="971" t="n"/>
      <c r="AU211">
        <f t="array" ref="AU211">IF(D211&lt;&gt;"Occupied","",_xlfn.IFS(AND(ISNUMBER(AD211),AD211&lt;&gt;0),"Structured",ISNUMBER(SEARCH("/mo con",S211)),"Notes-parsed",ISNUMBER(SEARCH("step",S211)),"Step-up",ISNUMBER(SEARCH("swap",S211)),"Rate-swap",AND(ISNUMBER(H211),ISNUMBER(I211),H211&gt;I211),"Implied",TRUE,""))</f>
        <v/>
      </c>
      <c r="AV211" s="970" t="n"/>
    </row>
    <row r="212" outlineLevel="1" s="817">
      <c r="F212" s="520" t="n"/>
      <c r="G212" s="520" t="n"/>
      <c r="H212" s="970" t="n"/>
      <c r="I212" s="970" t="n"/>
      <c r="J212" s="970" t="n"/>
      <c r="K212" s="970" t="n"/>
      <c r="L212" s="970" t="n"/>
      <c r="M212" s="970" t="n"/>
      <c r="N212" s="970" t="n"/>
      <c r="O212" s="970" t="n"/>
      <c r="P212" s="970" t="n"/>
      <c r="Q212" s="970" t="n"/>
      <c r="T212" s="545" t="n"/>
      <c r="U212" s="971" t="n"/>
      <c r="V212" s="971" t="n"/>
      <c r="W212">
        <f>IF(AND($D212="Occupied",$AC212&lt;&gt;""),$AC212,"")</f>
        <v/>
      </c>
      <c r="X212">
        <f>IF(AND(D212="Occupied",C212&lt;&gt;"",W212&lt;&gt;""),C212&amp;"|"&amp;W212,"")</f>
        <v/>
      </c>
      <c r="Y212">
        <f>IF(AND(C212&lt;&gt;"",W212&lt;&gt;""),C212&amp;"|"&amp;W212,"")</f>
        <v/>
      </c>
      <c r="AA212" s="970" t="n"/>
      <c r="AB212" s="555" t="n"/>
      <c r="AD212" s="970" t="n"/>
      <c r="AE212" s="520" t="n"/>
      <c r="AF212" s="970" t="n"/>
      <c r="AG212" s="970" t="n"/>
      <c r="AH212" s="970" t="n"/>
      <c r="AI212" s="970" t="n"/>
      <c r="AJ212" s="970" t="n"/>
      <c r="AK212" s="970" t="n"/>
      <c r="AL212" s="970" t="n"/>
      <c r="AM212" s="970" t="n"/>
      <c r="AN212" s="970" t="n"/>
      <c r="AO212" s="970" t="n"/>
      <c r="AP212" s="979" t="n"/>
      <c r="AQ212" s="980">
        <f>SUM(AK212:AO212)</f>
        <v/>
      </c>
      <c r="AR212" s="981" t="n"/>
      <c r="AT212" s="971" t="n"/>
      <c r="AU212">
        <f t="array" ref="AU212">IF(D212&lt;&gt;"Occupied","",_xlfn.IFS(AND(ISNUMBER(AD212),AD212&lt;&gt;0),"Structured",ISNUMBER(SEARCH("/mo con",S212)),"Notes-parsed",ISNUMBER(SEARCH("step",S212)),"Step-up",ISNUMBER(SEARCH("swap",S212)),"Rate-swap",AND(ISNUMBER(H212),ISNUMBER(I212),H212&gt;I212),"Implied",TRUE,""))</f>
        <v/>
      </c>
      <c r="AV212" s="970" t="n"/>
    </row>
    <row r="213" outlineLevel="1" s="817">
      <c r="F213" s="520" t="n"/>
      <c r="G213" s="520" t="n"/>
      <c r="H213" s="970" t="n"/>
      <c r="I213" s="970" t="n"/>
      <c r="J213" s="970" t="n"/>
      <c r="K213" s="970" t="n"/>
      <c r="L213" s="970" t="n"/>
      <c r="M213" s="970" t="n"/>
      <c r="N213" s="970" t="n"/>
      <c r="O213" s="970" t="n"/>
      <c r="P213" s="970" t="n"/>
      <c r="Q213" s="970" t="n"/>
      <c r="T213" s="545" t="n"/>
      <c r="U213" s="971" t="n"/>
      <c r="V213" s="971" t="n"/>
      <c r="W213">
        <f>IF(AND($D213="Occupied",$AC213&lt;&gt;""),$AC213,"")</f>
        <v/>
      </c>
      <c r="X213">
        <f>IF(AND(D213="Occupied",C213&lt;&gt;"",W213&lt;&gt;""),C213&amp;"|"&amp;W213,"")</f>
        <v/>
      </c>
      <c r="Y213">
        <f>IF(AND(C213&lt;&gt;"",W213&lt;&gt;""),C213&amp;"|"&amp;W213,"")</f>
        <v/>
      </c>
      <c r="AA213" s="970" t="n"/>
      <c r="AB213" s="555" t="n"/>
      <c r="AD213" s="970" t="n"/>
      <c r="AE213" s="520" t="n"/>
      <c r="AF213" s="970" t="n"/>
      <c r="AG213" s="970" t="n"/>
      <c r="AH213" s="970" t="n"/>
      <c r="AI213" s="970" t="n"/>
      <c r="AJ213" s="970" t="n"/>
      <c r="AK213" s="970" t="n"/>
      <c r="AL213" s="970" t="n"/>
      <c r="AM213" s="970" t="n"/>
      <c r="AN213" s="970" t="n"/>
      <c r="AO213" s="970" t="n"/>
      <c r="AP213" s="979" t="n"/>
      <c r="AQ213" s="980">
        <f>SUM(AK213:AO213)</f>
        <v/>
      </c>
      <c r="AR213" s="981" t="n"/>
      <c r="AT213" s="971" t="n"/>
      <c r="AU213">
        <f t="array" ref="AU213">IF(D213&lt;&gt;"Occupied","",_xlfn.IFS(AND(ISNUMBER(AD213),AD213&lt;&gt;0),"Structured",ISNUMBER(SEARCH("/mo con",S213)),"Notes-parsed",ISNUMBER(SEARCH("step",S213)),"Step-up",ISNUMBER(SEARCH("swap",S213)),"Rate-swap",AND(ISNUMBER(H213),ISNUMBER(I213),H213&gt;I213),"Implied",TRUE,""))</f>
        <v/>
      </c>
      <c r="AV213" s="970" t="n"/>
    </row>
    <row r="214" outlineLevel="1" s="817">
      <c r="F214" s="520" t="n"/>
      <c r="G214" s="520" t="n"/>
      <c r="H214" s="970" t="n"/>
      <c r="I214" s="970" t="n"/>
      <c r="J214" s="970" t="n"/>
      <c r="K214" s="970" t="n"/>
      <c r="L214" s="970" t="n"/>
      <c r="M214" s="970" t="n"/>
      <c r="N214" s="970" t="n"/>
      <c r="O214" s="970" t="n"/>
      <c r="P214" s="970" t="n"/>
      <c r="Q214" s="970" t="n"/>
      <c r="T214" s="545" t="n"/>
      <c r="U214" s="971" t="n"/>
      <c r="V214" s="971" t="n"/>
      <c r="W214">
        <f>IF(AND($D214="Occupied",$AC214&lt;&gt;""),$AC214,"")</f>
        <v/>
      </c>
      <c r="X214">
        <f>IF(AND(D214="Occupied",C214&lt;&gt;"",W214&lt;&gt;""),C214&amp;"|"&amp;W214,"")</f>
        <v/>
      </c>
      <c r="Y214">
        <f>IF(AND(C214&lt;&gt;"",W214&lt;&gt;""),C214&amp;"|"&amp;W214,"")</f>
        <v/>
      </c>
      <c r="AA214" s="970" t="n"/>
      <c r="AB214" s="555" t="n"/>
      <c r="AD214" s="970" t="n"/>
      <c r="AE214" s="520" t="n"/>
      <c r="AF214" s="970" t="n"/>
      <c r="AG214" s="970" t="n"/>
      <c r="AH214" s="970" t="n"/>
      <c r="AI214" s="970" t="n"/>
      <c r="AJ214" s="970" t="n"/>
      <c r="AK214" s="970" t="n"/>
      <c r="AL214" s="970" t="n"/>
      <c r="AM214" s="970" t="n"/>
      <c r="AN214" s="970" t="n"/>
      <c r="AO214" s="970" t="n"/>
      <c r="AP214" s="979" t="n"/>
      <c r="AQ214" s="980">
        <f>SUM(AK214:AO214)</f>
        <v/>
      </c>
      <c r="AR214" s="981" t="n"/>
      <c r="AT214" s="971" t="n"/>
      <c r="AU214">
        <f t="array" ref="AU214">IF(D214&lt;&gt;"Occupied","",_xlfn.IFS(AND(ISNUMBER(AD214),AD214&lt;&gt;0),"Structured",ISNUMBER(SEARCH("/mo con",S214)),"Notes-parsed",ISNUMBER(SEARCH("step",S214)),"Step-up",ISNUMBER(SEARCH("swap",S214)),"Rate-swap",AND(ISNUMBER(H214),ISNUMBER(I214),H214&gt;I214),"Implied",TRUE,""))</f>
        <v/>
      </c>
      <c r="AV214" s="970" t="n"/>
    </row>
    <row r="215" outlineLevel="1" s="817">
      <c r="F215" s="520" t="n"/>
      <c r="G215" s="520" t="n"/>
      <c r="H215" s="970" t="n"/>
      <c r="I215" s="970" t="n"/>
      <c r="J215" s="970" t="n"/>
      <c r="K215" s="970" t="n"/>
      <c r="L215" s="970" t="n"/>
      <c r="M215" s="970" t="n"/>
      <c r="N215" s="970" t="n"/>
      <c r="O215" s="970" t="n"/>
      <c r="P215" s="970" t="n"/>
      <c r="Q215" s="970" t="n"/>
      <c r="T215" s="545" t="n"/>
      <c r="U215" s="971" t="n"/>
      <c r="V215" s="971" t="n"/>
      <c r="W215">
        <f>IF(AND($D215="Occupied",$AC215&lt;&gt;""),$AC215,"")</f>
        <v/>
      </c>
      <c r="X215">
        <f>IF(AND(D215="Occupied",C215&lt;&gt;"",W215&lt;&gt;""),C215&amp;"|"&amp;W215,"")</f>
        <v/>
      </c>
      <c r="Y215">
        <f>IF(AND(C215&lt;&gt;"",W215&lt;&gt;""),C215&amp;"|"&amp;W215,"")</f>
        <v/>
      </c>
      <c r="AA215" s="970" t="n"/>
      <c r="AB215" s="555" t="n"/>
      <c r="AD215" s="970" t="n"/>
      <c r="AE215" s="520" t="n"/>
      <c r="AF215" s="970" t="n"/>
      <c r="AG215" s="970" t="n"/>
      <c r="AH215" s="970" t="n"/>
      <c r="AI215" s="970" t="n"/>
      <c r="AJ215" s="970" t="n"/>
      <c r="AK215" s="970" t="n"/>
      <c r="AL215" s="970" t="n"/>
      <c r="AM215" s="970" t="n"/>
      <c r="AN215" s="970" t="n"/>
      <c r="AO215" s="970" t="n"/>
      <c r="AP215" s="979" t="n"/>
      <c r="AQ215" s="980">
        <f>SUM(AK215:AO215)</f>
        <v/>
      </c>
      <c r="AR215" s="981" t="n"/>
      <c r="AT215" s="971" t="n"/>
      <c r="AU215">
        <f t="array" ref="AU215">IF(D215&lt;&gt;"Occupied","",_xlfn.IFS(AND(ISNUMBER(AD215),AD215&lt;&gt;0),"Structured",ISNUMBER(SEARCH("/mo con",S215)),"Notes-parsed",ISNUMBER(SEARCH("step",S215)),"Step-up",ISNUMBER(SEARCH("swap",S215)),"Rate-swap",AND(ISNUMBER(H215),ISNUMBER(I215),H215&gt;I215),"Implied",TRUE,""))</f>
        <v/>
      </c>
      <c r="AV215" s="970" t="n"/>
    </row>
    <row r="216" outlineLevel="1" s="817">
      <c r="F216" s="520" t="n"/>
      <c r="G216" s="520" t="n"/>
      <c r="H216" s="970" t="n"/>
      <c r="I216" s="970" t="n"/>
      <c r="J216" s="970" t="n"/>
      <c r="K216" s="970" t="n"/>
      <c r="L216" s="970" t="n"/>
      <c r="M216" s="970" t="n"/>
      <c r="N216" s="970" t="n"/>
      <c r="O216" s="970" t="n"/>
      <c r="P216" s="970" t="n"/>
      <c r="Q216" s="970" t="n"/>
      <c r="T216" s="545" t="n"/>
      <c r="U216" s="971" t="n"/>
      <c r="V216" s="971" t="n"/>
      <c r="W216">
        <f>IF(AND($D216="Occupied",$AC216&lt;&gt;""),$AC216,"")</f>
        <v/>
      </c>
      <c r="X216">
        <f>IF(AND(D216="Occupied",C216&lt;&gt;"",W216&lt;&gt;""),C216&amp;"|"&amp;W216,"")</f>
        <v/>
      </c>
      <c r="Y216">
        <f>IF(AND(C216&lt;&gt;"",W216&lt;&gt;""),C216&amp;"|"&amp;W216,"")</f>
        <v/>
      </c>
      <c r="AA216" s="970" t="n"/>
      <c r="AB216" s="555" t="n"/>
      <c r="AD216" s="970" t="n"/>
      <c r="AE216" s="520" t="n"/>
      <c r="AF216" s="970" t="n"/>
      <c r="AG216" s="970" t="n"/>
      <c r="AH216" s="970" t="n"/>
      <c r="AI216" s="970" t="n"/>
      <c r="AJ216" s="970" t="n"/>
      <c r="AK216" s="970" t="n"/>
      <c r="AL216" s="970" t="n"/>
      <c r="AM216" s="970" t="n"/>
      <c r="AN216" s="970" t="n"/>
      <c r="AO216" s="970" t="n"/>
      <c r="AP216" s="979" t="n"/>
      <c r="AQ216" s="980">
        <f>SUM(AK216:AO216)</f>
        <v/>
      </c>
      <c r="AR216" s="981" t="n"/>
      <c r="AT216" s="971" t="n"/>
      <c r="AU216">
        <f t="array" ref="AU216">IF(D216&lt;&gt;"Occupied","",_xlfn.IFS(AND(ISNUMBER(AD216),AD216&lt;&gt;0),"Structured",ISNUMBER(SEARCH("/mo con",S216)),"Notes-parsed",ISNUMBER(SEARCH("step",S216)),"Step-up",ISNUMBER(SEARCH("swap",S216)),"Rate-swap",AND(ISNUMBER(H216),ISNUMBER(I216),H216&gt;I216),"Implied",TRUE,""))</f>
        <v/>
      </c>
      <c r="AV216" s="970" t="n"/>
    </row>
    <row r="217" outlineLevel="1" s="817">
      <c r="F217" s="520" t="n"/>
      <c r="G217" s="520" t="n"/>
      <c r="H217" s="970" t="n"/>
      <c r="I217" s="970" t="n"/>
      <c r="J217" s="970" t="n"/>
      <c r="K217" s="970" t="n"/>
      <c r="L217" s="970" t="n"/>
      <c r="M217" s="970" t="n"/>
      <c r="N217" s="970" t="n"/>
      <c r="O217" s="970" t="n"/>
      <c r="P217" s="970" t="n"/>
      <c r="Q217" s="970" t="n"/>
      <c r="T217" s="545" t="n"/>
      <c r="U217" s="971" t="n"/>
      <c r="V217" s="971" t="n"/>
      <c r="W217">
        <f>IF(AND($D217="Occupied",$AC217&lt;&gt;""),$AC217,"")</f>
        <v/>
      </c>
      <c r="X217">
        <f>IF(AND(D217="Occupied",C217&lt;&gt;"",W217&lt;&gt;""),C217&amp;"|"&amp;W217,"")</f>
        <v/>
      </c>
      <c r="Y217">
        <f>IF(AND(C217&lt;&gt;"",W217&lt;&gt;""),C217&amp;"|"&amp;W217,"")</f>
        <v/>
      </c>
      <c r="AA217" s="970" t="n"/>
      <c r="AB217" s="555" t="n"/>
      <c r="AD217" s="970" t="n"/>
      <c r="AE217" s="520" t="n"/>
      <c r="AF217" s="970" t="n"/>
      <c r="AG217" s="970" t="n"/>
      <c r="AH217" s="970" t="n"/>
      <c r="AI217" s="970" t="n"/>
      <c r="AJ217" s="970" t="n"/>
      <c r="AK217" s="970" t="n"/>
      <c r="AL217" s="970" t="n"/>
      <c r="AM217" s="970" t="n"/>
      <c r="AN217" s="970" t="n"/>
      <c r="AO217" s="970" t="n"/>
      <c r="AP217" s="979" t="n"/>
      <c r="AQ217" s="980">
        <f>SUM(AK217:AO217)</f>
        <v/>
      </c>
      <c r="AR217" s="981" t="n"/>
      <c r="AT217" s="971" t="n"/>
      <c r="AU217">
        <f t="array" ref="AU217">IF(D217&lt;&gt;"Occupied","",_xlfn.IFS(AND(ISNUMBER(AD217),AD217&lt;&gt;0),"Structured",ISNUMBER(SEARCH("/mo con",S217)),"Notes-parsed",ISNUMBER(SEARCH("step",S217)),"Step-up",ISNUMBER(SEARCH("swap",S217)),"Rate-swap",AND(ISNUMBER(H217),ISNUMBER(I217),H217&gt;I217),"Implied",TRUE,""))</f>
        <v/>
      </c>
      <c r="AV217" s="970" t="n"/>
    </row>
    <row r="218" outlineLevel="1" s="817">
      <c r="F218" s="520" t="n"/>
      <c r="G218" s="520" t="n"/>
      <c r="H218" s="970" t="n"/>
      <c r="I218" s="970" t="n"/>
      <c r="J218" s="970" t="n"/>
      <c r="K218" s="970" t="n"/>
      <c r="L218" s="970" t="n"/>
      <c r="M218" s="970" t="n"/>
      <c r="N218" s="970" t="n"/>
      <c r="O218" s="970" t="n"/>
      <c r="P218" s="970" t="n"/>
      <c r="Q218" s="970" t="n"/>
      <c r="T218" s="545" t="n"/>
      <c r="U218" s="971" t="n"/>
      <c r="V218" s="971" t="n"/>
      <c r="W218">
        <f>IF(AND($D218="Occupied",$AC218&lt;&gt;""),$AC218,"")</f>
        <v/>
      </c>
      <c r="X218">
        <f>IF(AND(D218="Occupied",C218&lt;&gt;"",W218&lt;&gt;""),C218&amp;"|"&amp;W218,"")</f>
        <v/>
      </c>
      <c r="Y218">
        <f>IF(AND(C218&lt;&gt;"",W218&lt;&gt;""),C218&amp;"|"&amp;W218,"")</f>
        <v/>
      </c>
      <c r="AA218" s="970" t="n"/>
      <c r="AB218" s="555" t="n"/>
      <c r="AD218" s="970" t="n"/>
      <c r="AE218" s="520" t="n"/>
      <c r="AF218" s="970" t="n"/>
      <c r="AG218" s="970" t="n"/>
      <c r="AH218" s="970" t="n"/>
      <c r="AI218" s="970" t="n"/>
      <c r="AJ218" s="970" t="n"/>
      <c r="AK218" s="970" t="n"/>
      <c r="AL218" s="970" t="n"/>
      <c r="AM218" s="970" t="n"/>
      <c r="AN218" s="970" t="n"/>
      <c r="AO218" s="970" t="n"/>
      <c r="AP218" s="979" t="n"/>
      <c r="AQ218" s="980">
        <f>SUM(AK218:AO218)</f>
        <v/>
      </c>
      <c r="AR218" s="981" t="n"/>
      <c r="AT218" s="971" t="n"/>
      <c r="AU218">
        <f t="array" ref="AU218">IF(D218&lt;&gt;"Occupied","",_xlfn.IFS(AND(ISNUMBER(AD218),AD218&lt;&gt;0),"Structured",ISNUMBER(SEARCH("/mo con",S218)),"Notes-parsed",ISNUMBER(SEARCH("step",S218)),"Step-up",ISNUMBER(SEARCH("swap",S218)),"Rate-swap",AND(ISNUMBER(H218),ISNUMBER(I218),H218&gt;I218),"Implied",TRUE,""))</f>
        <v/>
      </c>
      <c r="AV218" s="970" t="n"/>
    </row>
    <row r="219" outlineLevel="1" s="817">
      <c r="F219" s="520" t="n"/>
      <c r="G219" s="520" t="n"/>
      <c r="H219" s="970" t="n"/>
      <c r="I219" s="970" t="n"/>
      <c r="J219" s="970" t="n"/>
      <c r="K219" s="970" t="n"/>
      <c r="L219" s="970" t="n"/>
      <c r="M219" s="970" t="n"/>
      <c r="N219" s="970" t="n"/>
      <c r="O219" s="970" t="n"/>
      <c r="P219" s="970" t="n"/>
      <c r="Q219" s="970" t="n"/>
      <c r="T219" s="545" t="n"/>
      <c r="U219" s="971" t="n"/>
      <c r="V219" s="971" t="n"/>
      <c r="W219">
        <f>IF(AND($D219="Occupied",$AC219&lt;&gt;""),$AC219,"")</f>
        <v/>
      </c>
      <c r="X219">
        <f>IF(AND(D219="Occupied",C219&lt;&gt;"",W219&lt;&gt;""),C219&amp;"|"&amp;W219,"")</f>
        <v/>
      </c>
      <c r="Y219">
        <f>IF(AND(C219&lt;&gt;"",W219&lt;&gt;""),C219&amp;"|"&amp;W219,"")</f>
        <v/>
      </c>
      <c r="AA219" s="970" t="n"/>
      <c r="AB219" s="555" t="n"/>
      <c r="AD219" s="970" t="n"/>
      <c r="AE219" s="520" t="n"/>
      <c r="AF219" s="970" t="n"/>
      <c r="AG219" s="970" t="n"/>
      <c r="AH219" s="970" t="n"/>
      <c r="AI219" s="970" t="n"/>
      <c r="AJ219" s="970" t="n"/>
      <c r="AK219" s="970" t="n"/>
      <c r="AL219" s="970" t="n"/>
      <c r="AM219" s="970" t="n"/>
      <c r="AN219" s="970" t="n"/>
      <c r="AO219" s="970" t="n"/>
      <c r="AP219" s="979" t="n"/>
      <c r="AQ219" s="980">
        <f>SUM(AK219:AO219)</f>
        <v/>
      </c>
      <c r="AR219" s="981" t="n"/>
      <c r="AT219" s="971" t="n"/>
      <c r="AU219">
        <f t="array" ref="AU219">IF(D219&lt;&gt;"Occupied","",_xlfn.IFS(AND(ISNUMBER(AD219),AD219&lt;&gt;0),"Structured",ISNUMBER(SEARCH("/mo con",S219)),"Notes-parsed",ISNUMBER(SEARCH("step",S219)),"Step-up",ISNUMBER(SEARCH("swap",S219)),"Rate-swap",AND(ISNUMBER(H219),ISNUMBER(I219),H219&gt;I219),"Implied",TRUE,""))</f>
        <v/>
      </c>
      <c r="AV219" s="970" t="n"/>
    </row>
    <row r="220" outlineLevel="1" s="817">
      <c r="F220" s="520" t="n"/>
      <c r="G220" s="520" t="n"/>
      <c r="H220" s="970" t="n"/>
      <c r="I220" s="970" t="n"/>
      <c r="J220" s="970" t="n"/>
      <c r="K220" s="970" t="n"/>
      <c r="L220" s="970" t="n"/>
      <c r="M220" s="970" t="n"/>
      <c r="N220" s="970" t="n"/>
      <c r="O220" s="970" t="n"/>
      <c r="P220" s="970" t="n"/>
      <c r="Q220" s="970" t="n"/>
      <c r="T220" s="545" t="n"/>
      <c r="U220" s="971" t="n"/>
      <c r="V220" s="971" t="n"/>
      <c r="W220">
        <f>IF(AND($D220="Occupied",$AC220&lt;&gt;""),$AC220,"")</f>
        <v/>
      </c>
      <c r="X220">
        <f>IF(AND(D220="Occupied",C220&lt;&gt;"",W220&lt;&gt;""),C220&amp;"|"&amp;W220,"")</f>
        <v/>
      </c>
      <c r="Y220">
        <f>IF(AND(C220&lt;&gt;"",W220&lt;&gt;""),C220&amp;"|"&amp;W220,"")</f>
        <v/>
      </c>
      <c r="AA220" s="970" t="n"/>
      <c r="AB220" s="555" t="n"/>
      <c r="AD220" s="970" t="n"/>
      <c r="AE220" s="520" t="n"/>
      <c r="AF220" s="970" t="n"/>
      <c r="AG220" s="970" t="n"/>
      <c r="AH220" s="970" t="n"/>
      <c r="AI220" s="970" t="n"/>
      <c r="AJ220" s="970" t="n"/>
      <c r="AK220" s="970" t="n"/>
      <c r="AL220" s="970" t="n"/>
      <c r="AM220" s="970" t="n"/>
      <c r="AN220" s="970" t="n"/>
      <c r="AO220" s="970" t="n"/>
      <c r="AP220" s="979" t="n"/>
      <c r="AQ220" s="980">
        <f>SUM(AK220:AO220)</f>
        <v/>
      </c>
      <c r="AR220" s="981" t="n"/>
      <c r="AT220" s="971" t="n"/>
      <c r="AU220">
        <f t="array" ref="AU220">IF(D220&lt;&gt;"Occupied","",_xlfn.IFS(AND(ISNUMBER(AD220),AD220&lt;&gt;0),"Structured",ISNUMBER(SEARCH("/mo con",S220)),"Notes-parsed",ISNUMBER(SEARCH("step",S220)),"Step-up",ISNUMBER(SEARCH("swap",S220)),"Rate-swap",AND(ISNUMBER(H220),ISNUMBER(I220),H220&gt;I220),"Implied",TRUE,""))</f>
        <v/>
      </c>
      <c r="AV220" s="970" t="n"/>
    </row>
    <row r="221" outlineLevel="1" s="817">
      <c r="F221" s="520" t="n"/>
      <c r="G221" s="520" t="n"/>
      <c r="H221" s="970" t="n"/>
      <c r="I221" s="970" t="n"/>
      <c r="J221" s="970" t="n"/>
      <c r="K221" s="970" t="n"/>
      <c r="L221" s="970" t="n"/>
      <c r="M221" s="970" t="n"/>
      <c r="N221" s="970" t="n"/>
      <c r="O221" s="970" t="n"/>
      <c r="P221" s="970" t="n"/>
      <c r="Q221" s="970" t="n"/>
      <c r="T221" s="545" t="n"/>
      <c r="U221" s="971" t="n"/>
      <c r="V221" s="971" t="n"/>
      <c r="W221">
        <f>IF(AND($D221="Occupied",$AC221&lt;&gt;""),$AC221,"")</f>
        <v/>
      </c>
      <c r="X221">
        <f>IF(AND(D221="Occupied",C221&lt;&gt;"",W221&lt;&gt;""),C221&amp;"|"&amp;W221,"")</f>
        <v/>
      </c>
      <c r="Y221">
        <f>IF(AND(C221&lt;&gt;"",W221&lt;&gt;""),C221&amp;"|"&amp;W221,"")</f>
        <v/>
      </c>
      <c r="AA221" s="970" t="n"/>
      <c r="AB221" s="555" t="n"/>
      <c r="AD221" s="970" t="n"/>
      <c r="AE221" s="520" t="n"/>
      <c r="AF221" s="970" t="n"/>
      <c r="AG221" s="970" t="n"/>
      <c r="AH221" s="970" t="n"/>
      <c r="AI221" s="970" t="n"/>
      <c r="AJ221" s="970" t="n"/>
      <c r="AK221" s="970" t="n"/>
      <c r="AL221" s="970" t="n"/>
      <c r="AM221" s="970" t="n"/>
      <c r="AN221" s="970" t="n"/>
      <c r="AO221" s="970" t="n"/>
      <c r="AP221" s="979" t="n"/>
      <c r="AQ221" s="980">
        <f>SUM(AK221:AO221)</f>
        <v/>
      </c>
      <c r="AR221" s="981" t="n"/>
      <c r="AT221" s="971" t="n"/>
      <c r="AU221">
        <f t="array" ref="AU221">IF(D221&lt;&gt;"Occupied","",_xlfn.IFS(AND(ISNUMBER(AD221),AD221&lt;&gt;0),"Structured",ISNUMBER(SEARCH("/mo con",S221)),"Notes-parsed",ISNUMBER(SEARCH("step",S221)),"Step-up",ISNUMBER(SEARCH("swap",S221)),"Rate-swap",AND(ISNUMBER(H221),ISNUMBER(I221),H221&gt;I221),"Implied",TRUE,""))</f>
        <v/>
      </c>
      <c r="AV221" s="970" t="n"/>
    </row>
    <row r="222" outlineLevel="1" s="817">
      <c r="F222" s="520" t="n"/>
      <c r="G222" s="520" t="n"/>
      <c r="H222" s="970" t="n"/>
      <c r="I222" s="970" t="n"/>
      <c r="J222" s="970" t="n"/>
      <c r="K222" s="970" t="n"/>
      <c r="L222" s="970" t="n"/>
      <c r="M222" s="970" t="n"/>
      <c r="N222" s="970" t="n"/>
      <c r="O222" s="970" t="n"/>
      <c r="P222" s="970" t="n"/>
      <c r="Q222" s="970" t="n"/>
      <c r="T222" s="545" t="n"/>
      <c r="U222" s="971" t="n"/>
      <c r="V222" s="971" t="n"/>
      <c r="W222">
        <f>IF(AND($D222="Occupied",$AC222&lt;&gt;""),$AC222,"")</f>
        <v/>
      </c>
      <c r="X222">
        <f>IF(AND(D222="Occupied",C222&lt;&gt;"",W222&lt;&gt;""),C222&amp;"|"&amp;W222,"")</f>
        <v/>
      </c>
      <c r="Y222">
        <f>IF(AND(C222&lt;&gt;"",W222&lt;&gt;""),C222&amp;"|"&amp;W222,"")</f>
        <v/>
      </c>
      <c r="AA222" s="970" t="n"/>
      <c r="AB222" s="555" t="n"/>
      <c r="AD222" s="970" t="n"/>
      <c r="AE222" s="520" t="n"/>
      <c r="AF222" s="970" t="n"/>
      <c r="AG222" s="970" t="n"/>
      <c r="AH222" s="970" t="n"/>
      <c r="AI222" s="970" t="n"/>
      <c r="AJ222" s="970" t="n"/>
      <c r="AK222" s="970" t="n"/>
      <c r="AL222" s="970" t="n"/>
      <c r="AM222" s="970" t="n"/>
      <c r="AN222" s="970" t="n"/>
      <c r="AO222" s="970" t="n"/>
      <c r="AP222" s="979" t="n"/>
      <c r="AQ222" s="980">
        <f>SUM(AK222:AO222)</f>
        <v/>
      </c>
      <c r="AR222" s="981" t="n"/>
      <c r="AT222" s="971" t="n"/>
      <c r="AU222">
        <f t="array" ref="AU222">IF(D222&lt;&gt;"Occupied","",_xlfn.IFS(AND(ISNUMBER(AD222),AD222&lt;&gt;0),"Structured",ISNUMBER(SEARCH("/mo con",S222)),"Notes-parsed",ISNUMBER(SEARCH("step",S222)),"Step-up",ISNUMBER(SEARCH("swap",S222)),"Rate-swap",AND(ISNUMBER(H222),ISNUMBER(I222),H222&gt;I222),"Implied",TRUE,""))</f>
        <v/>
      </c>
      <c r="AV222" s="970" t="n"/>
    </row>
    <row r="223" outlineLevel="1" s="817">
      <c r="F223" s="520" t="n"/>
      <c r="G223" s="520" t="n"/>
      <c r="H223" s="970" t="n"/>
      <c r="I223" s="970" t="n"/>
      <c r="J223" s="970" t="n"/>
      <c r="K223" s="970" t="n"/>
      <c r="L223" s="970" t="n"/>
      <c r="M223" s="970" t="n"/>
      <c r="N223" s="970" t="n"/>
      <c r="O223" s="970" t="n"/>
      <c r="P223" s="970" t="n"/>
      <c r="Q223" s="970" t="n"/>
      <c r="T223" s="545" t="n"/>
      <c r="U223" s="971" t="n"/>
      <c r="V223" s="971" t="n"/>
      <c r="W223">
        <f>IF(AND($D223="Occupied",$AC223&lt;&gt;""),$AC223,"")</f>
        <v/>
      </c>
      <c r="X223">
        <f>IF(AND(D223="Occupied",C223&lt;&gt;"",W223&lt;&gt;""),C223&amp;"|"&amp;W223,"")</f>
        <v/>
      </c>
      <c r="Y223">
        <f>IF(AND(C223&lt;&gt;"",W223&lt;&gt;""),C223&amp;"|"&amp;W223,"")</f>
        <v/>
      </c>
      <c r="AA223" s="970" t="n"/>
      <c r="AB223" s="555" t="n"/>
      <c r="AD223" s="970" t="n"/>
      <c r="AE223" s="520" t="n"/>
      <c r="AF223" s="970" t="n"/>
      <c r="AG223" s="970" t="n"/>
      <c r="AH223" s="970" t="n"/>
      <c r="AI223" s="970" t="n"/>
      <c r="AJ223" s="970" t="n"/>
      <c r="AK223" s="970" t="n"/>
      <c r="AL223" s="970" t="n"/>
      <c r="AM223" s="970" t="n"/>
      <c r="AN223" s="970" t="n"/>
      <c r="AO223" s="970" t="n"/>
      <c r="AP223" s="979" t="n"/>
      <c r="AQ223" s="980">
        <f>SUM(AK223:AO223)</f>
        <v/>
      </c>
      <c r="AR223" s="981" t="n"/>
      <c r="AT223" s="971" t="n"/>
      <c r="AU223">
        <f t="array" ref="AU223">IF(D223&lt;&gt;"Occupied","",_xlfn.IFS(AND(ISNUMBER(AD223),AD223&lt;&gt;0),"Structured",ISNUMBER(SEARCH("/mo con",S223)),"Notes-parsed",ISNUMBER(SEARCH("step",S223)),"Step-up",ISNUMBER(SEARCH("swap",S223)),"Rate-swap",AND(ISNUMBER(H223),ISNUMBER(I223),H223&gt;I223),"Implied",TRUE,""))</f>
        <v/>
      </c>
      <c r="AV223" s="970" t="n"/>
    </row>
    <row r="224" outlineLevel="1" s="817">
      <c r="F224" s="520" t="n"/>
      <c r="G224" s="520" t="n"/>
      <c r="H224" s="970" t="n"/>
      <c r="I224" s="970" t="n"/>
      <c r="J224" s="970" t="n"/>
      <c r="K224" s="970" t="n"/>
      <c r="L224" s="970" t="n"/>
      <c r="M224" s="970" t="n"/>
      <c r="N224" s="970" t="n"/>
      <c r="O224" s="970" t="n"/>
      <c r="P224" s="970" t="n"/>
      <c r="Q224" s="970" t="n"/>
      <c r="T224" s="545" t="n"/>
      <c r="U224" s="971" t="n"/>
      <c r="V224" s="971" t="n"/>
      <c r="W224">
        <f>IF(AND($D224="Occupied",$AC224&lt;&gt;""),$AC224,"")</f>
        <v/>
      </c>
      <c r="X224">
        <f>IF(AND(D224="Occupied",C224&lt;&gt;"",W224&lt;&gt;""),C224&amp;"|"&amp;W224,"")</f>
        <v/>
      </c>
      <c r="Y224">
        <f>IF(AND(C224&lt;&gt;"",W224&lt;&gt;""),C224&amp;"|"&amp;W224,"")</f>
        <v/>
      </c>
      <c r="AA224" s="970" t="n"/>
      <c r="AB224" s="555" t="n"/>
      <c r="AD224" s="970" t="n"/>
      <c r="AE224" s="520" t="n"/>
      <c r="AF224" s="970" t="n"/>
      <c r="AG224" s="970" t="n"/>
      <c r="AH224" s="970" t="n"/>
      <c r="AI224" s="970" t="n"/>
      <c r="AJ224" s="970" t="n"/>
      <c r="AK224" s="970" t="n"/>
      <c r="AL224" s="970" t="n"/>
      <c r="AM224" s="970" t="n"/>
      <c r="AN224" s="970" t="n"/>
      <c r="AO224" s="970" t="n"/>
      <c r="AP224" s="979" t="n"/>
      <c r="AQ224" s="980">
        <f>SUM(AK224:AO224)</f>
        <v/>
      </c>
      <c r="AR224" s="981" t="n"/>
      <c r="AT224" s="971" t="n"/>
      <c r="AU224">
        <f t="array" ref="AU224">IF(D224&lt;&gt;"Occupied","",_xlfn.IFS(AND(ISNUMBER(AD224),AD224&lt;&gt;0),"Structured",ISNUMBER(SEARCH("/mo con",S224)),"Notes-parsed",ISNUMBER(SEARCH("step",S224)),"Step-up",ISNUMBER(SEARCH("swap",S224)),"Rate-swap",AND(ISNUMBER(H224),ISNUMBER(I224),H224&gt;I224),"Implied",TRUE,""))</f>
        <v/>
      </c>
      <c r="AV224" s="970" t="n"/>
    </row>
    <row r="225" outlineLevel="1" s="817">
      <c r="F225" s="520" t="n"/>
      <c r="G225" s="520" t="n"/>
      <c r="H225" s="970" t="n"/>
      <c r="I225" s="970" t="n"/>
      <c r="J225" s="970" t="n"/>
      <c r="K225" s="970" t="n"/>
      <c r="L225" s="970" t="n"/>
      <c r="M225" s="970" t="n"/>
      <c r="N225" s="970" t="n"/>
      <c r="O225" s="970" t="n"/>
      <c r="P225" s="970" t="n"/>
      <c r="Q225" s="970" t="n"/>
      <c r="T225" s="545" t="n"/>
      <c r="U225" s="971" t="n"/>
      <c r="V225" s="971" t="n"/>
      <c r="W225">
        <f>IF(AND($D225="Occupied",$AC225&lt;&gt;""),$AC225,"")</f>
        <v/>
      </c>
      <c r="X225">
        <f>IF(AND(D225="Occupied",C225&lt;&gt;"",W225&lt;&gt;""),C225&amp;"|"&amp;W225,"")</f>
        <v/>
      </c>
      <c r="Y225">
        <f>IF(AND(C225&lt;&gt;"",W225&lt;&gt;""),C225&amp;"|"&amp;W225,"")</f>
        <v/>
      </c>
      <c r="AA225" s="970" t="n"/>
      <c r="AB225" s="555" t="n"/>
      <c r="AD225" s="970" t="n"/>
      <c r="AE225" s="520" t="n"/>
      <c r="AF225" s="970" t="n"/>
      <c r="AG225" s="970" t="n"/>
      <c r="AH225" s="970" t="n"/>
      <c r="AI225" s="970" t="n"/>
      <c r="AJ225" s="970" t="n"/>
      <c r="AK225" s="970" t="n"/>
      <c r="AL225" s="970" t="n"/>
      <c r="AM225" s="970" t="n"/>
      <c r="AN225" s="970" t="n"/>
      <c r="AO225" s="970" t="n"/>
      <c r="AP225" s="979" t="n"/>
      <c r="AQ225" s="980">
        <f>SUM(AK225:AO225)</f>
        <v/>
      </c>
      <c r="AR225" s="981" t="n"/>
      <c r="AT225" s="971" t="n"/>
      <c r="AU225">
        <f t="array" ref="AU225">IF(D225&lt;&gt;"Occupied","",_xlfn.IFS(AND(ISNUMBER(AD225),AD225&lt;&gt;0),"Structured",ISNUMBER(SEARCH("/mo con",S225)),"Notes-parsed",ISNUMBER(SEARCH("step",S225)),"Step-up",ISNUMBER(SEARCH("swap",S225)),"Rate-swap",AND(ISNUMBER(H225),ISNUMBER(I225),H225&gt;I225),"Implied",TRUE,""))</f>
        <v/>
      </c>
      <c r="AV225" s="970" t="n"/>
    </row>
    <row r="226" outlineLevel="1" s="817">
      <c r="F226" s="520" t="n"/>
      <c r="G226" s="520" t="n"/>
      <c r="H226" s="970" t="n"/>
      <c r="I226" s="970" t="n"/>
      <c r="J226" s="970" t="n"/>
      <c r="K226" s="970" t="n"/>
      <c r="L226" s="970" t="n"/>
      <c r="M226" s="970" t="n"/>
      <c r="N226" s="970" t="n"/>
      <c r="O226" s="970" t="n"/>
      <c r="P226" s="970" t="n"/>
      <c r="Q226" s="970" t="n"/>
      <c r="T226" s="545" t="n"/>
      <c r="U226" s="971" t="n"/>
      <c r="V226" s="971" t="n"/>
      <c r="W226">
        <f>IF(AND($D226="Occupied",$AC226&lt;&gt;""),$AC226,"")</f>
        <v/>
      </c>
      <c r="X226">
        <f>IF(AND(D226="Occupied",C226&lt;&gt;"",W226&lt;&gt;""),C226&amp;"|"&amp;W226,"")</f>
        <v/>
      </c>
      <c r="Y226">
        <f>IF(AND(C226&lt;&gt;"",W226&lt;&gt;""),C226&amp;"|"&amp;W226,"")</f>
        <v/>
      </c>
      <c r="AA226" s="970" t="n"/>
      <c r="AB226" s="555" t="n"/>
      <c r="AD226" s="970" t="n"/>
      <c r="AE226" s="520" t="n"/>
      <c r="AF226" s="970" t="n"/>
      <c r="AG226" s="970" t="n"/>
      <c r="AH226" s="970" t="n"/>
      <c r="AI226" s="970" t="n"/>
      <c r="AJ226" s="970" t="n"/>
      <c r="AK226" s="970" t="n"/>
      <c r="AL226" s="970" t="n"/>
      <c r="AM226" s="970" t="n"/>
      <c r="AN226" s="970" t="n"/>
      <c r="AO226" s="970" t="n"/>
      <c r="AP226" s="979" t="n"/>
      <c r="AQ226" s="980">
        <f>SUM(AK226:AO226)</f>
        <v/>
      </c>
      <c r="AR226" s="981" t="n"/>
      <c r="AT226" s="971" t="n"/>
      <c r="AU226">
        <f t="array" ref="AU226">IF(D226&lt;&gt;"Occupied","",_xlfn.IFS(AND(ISNUMBER(AD226),AD226&lt;&gt;0),"Structured",ISNUMBER(SEARCH("/mo con",S226)),"Notes-parsed",ISNUMBER(SEARCH("step",S226)),"Step-up",ISNUMBER(SEARCH("swap",S226)),"Rate-swap",AND(ISNUMBER(H226),ISNUMBER(I226),H226&gt;I226),"Implied",TRUE,""))</f>
        <v/>
      </c>
      <c r="AV226" s="970" t="n"/>
    </row>
    <row r="227" outlineLevel="1" s="817">
      <c r="F227" s="520" t="n"/>
      <c r="G227" s="520" t="n"/>
      <c r="H227" s="970" t="n"/>
      <c r="I227" s="970" t="n"/>
      <c r="J227" s="970" t="n"/>
      <c r="K227" s="970" t="n"/>
      <c r="L227" s="970" t="n"/>
      <c r="M227" s="970" t="n"/>
      <c r="N227" s="970" t="n"/>
      <c r="O227" s="970" t="n"/>
      <c r="P227" s="970" t="n"/>
      <c r="Q227" s="970" t="n"/>
      <c r="T227" s="545" t="n"/>
      <c r="U227" s="971" t="n"/>
      <c r="V227" s="971" t="n"/>
      <c r="W227">
        <f>IF(AND($D227="Occupied",$AC227&lt;&gt;""),$AC227,"")</f>
        <v/>
      </c>
      <c r="X227">
        <f>IF(AND(D227="Occupied",C227&lt;&gt;"",W227&lt;&gt;""),C227&amp;"|"&amp;W227,"")</f>
        <v/>
      </c>
      <c r="Y227">
        <f>IF(AND(C227&lt;&gt;"",W227&lt;&gt;""),C227&amp;"|"&amp;W227,"")</f>
        <v/>
      </c>
      <c r="AA227" s="970" t="n"/>
      <c r="AB227" s="555" t="n"/>
      <c r="AD227" s="970" t="n"/>
      <c r="AE227" s="520" t="n"/>
      <c r="AF227" s="970" t="n"/>
      <c r="AG227" s="970" t="n"/>
      <c r="AH227" s="970" t="n"/>
      <c r="AI227" s="970" t="n"/>
      <c r="AJ227" s="970" t="n"/>
      <c r="AK227" s="970" t="n"/>
      <c r="AL227" s="970" t="n"/>
      <c r="AM227" s="970" t="n"/>
      <c r="AN227" s="970" t="n"/>
      <c r="AO227" s="970" t="n"/>
      <c r="AP227" s="979" t="n"/>
      <c r="AQ227" s="980">
        <f>SUM(AK227:AO227)</f>
        <v/>
      </c>
      <c r="AR227" s="981" t="n"/>
      <c r="AT227" s="971" t="n"/>
      <c r="AU227">
        <f t="array" ref="AU227">IF(D227&lt;&gt;"Occupied","",_xlfn.IFS(AND(ISNUMBER(AD227),AD227&lt;&gt;0),"Structured",ISNUMBER(SEARCH("/mo con",S227)),"Notes-parsed",ISNUMBER(SEARCH("step",S227)),"Step-up",ISNUMBER(SEARCH("swap",S227)),"Rate-swap",AND(ISNUMBER(H227),ISNUMBER(I227),H227&gt;I227),"Implied",TRUE,""))</f>
        <v/>
      </c>
      <c r="AV227" s="970" t="n"/>
    </row>
    <row r="228" outlineLevel="1" s="817">
      <c r="F228" s="520" t="n"/>
      <c r="G228" s="520" t="n"/>
      <c r="H228" s="970" t="n"/>
      <c r="I228" s="970" t="n"/>
      <c r="J228" s="970" t="n"/>
      <c r="K228" s="970" t="n"/>
      <c r="L228" s="970" t="n"/>
      <c r="M228" s="970" t="n"/>
      <c r="N228" s="970" t="n"/>
      <c r="O228" s="970" t="n"/>
      <c r="P228" s="970" t="n"/>
      <c r="Q228" s="970" t="n"/>
      <c r="T228" s="545" t="n"/>
      <c r="U228" s="971" t="n"/>
      <c r="V228" s="971" t="n"/>
      <c r="W228">
        <f>IF(AND($D228="Occupied",$AC228&lt;&gt;""),$AC228,"")</f>
        <v/>
      </c>
      <c r="X228">
        <f>IF(AND(D228="Occupied",C228&lt;&gt;"",W228&lt;&gt;""),C228&amp;"|"&amp;W228,"")</f>
        <v/>
      </c>
      <c r="Y228">
        <f>IF(AND(C228&lt;&gt;"",W228&lt;&gt;""),C228&amp;"|"&amp;W228,"")</f>
        <v/>
      </c>
      <c r="AA228" s="970" t="n"/>
      <c r="AB228" s="555" t="n"/>
      <c r="AD228" s="970" t="n"/>
      <c r="AE228" s="520" t="n"/>
      <c r="AF228" s="970" t="n"/>
      <c r="AG228" s="970" t="n"/>
      <c r="AH228" s="970" t="n"/>
      <c r="AI228" s="970" t="n"/>
      <c r="AJ228" s="970" t="n"/>
      <c r="AK228" s="970" t="n"/>
      <c r="AL228" s="970" t="n"/>
      <c r="AM228" s="970" t="n"/>
      <c r="AN228" s="970" t="n"/>
      <c r="AO228" s="970" t="n"/>
      <c r="AP228" s="979" t="n"/>
      <c r="AQ228" s="980">
        <f>SUM(AK228:AO228)</f>
        <v/>
      </c>
      <c r="AR228" s="981" t="n"/>
      <c r="AT228" s="971" t="n"/>
      <c r="AU228">
        <f t="array" ref="AU228">IF(D228&lt;&gt;"Occupied","",_xlfn.IFS(AND(ISNUMBER(AD228),AD228&lt;&gt;0),"Structured",ISNUMBER(SEARCH("/mo con",S228)),"Notes-parsed",ISNUMBER(SEARCH("step",S228)),"Step-up",ISNUMBER(SEARCH("swap",S228)),"Rate-swap",AND(ISNUMBER(H228),ISNUMBER(I228),H228&gt;I228),"Implied",TRUE,""))</f>
        <v/>
      </c>
      <c r="AV228" s="970" t="n"/>
    </row>
    <row r="229" outlineLevel="1" s="817">
      <c r="F229" s="520" t="n"/>
      <c r="G229" s="520" t="n"/>
      <c r="H229" s="970" t="n"/>
      <c r="I229" s="970" t="n"/>
      <c r="J229" s="970" t="n"/>
      <c r="K229" s="970" t="n"/>
      <c r="L229" s="970" t="n"/>
      <c r="M229" s="970" t="n"/>
      <c r="N229" s="970" t="n"/>
      <c r="O229" s="970" t="n"/>
      <c r="P229" s="970" t="n"/>
      <c r="Q229" s="970" t="n"/>
      <c r="T229" s="545" t="n"/>
      <c r="U229" s="971" t="n"/>
      <c r="V229" s="971" t="n"/>
      <c r="W229">
        <f>IF(AND($D229="Occupied",$AC229&lt;&gt;""),$AC229,"")</f>
        <v/>
      </c>
      <c r="X229">
        <f>IF(AND(D229="Occupied",C229&lt;&gt;"",W229&lt;&gt;""),C229&amp;"|"&amp;W229,"")</f>
        <v/>
      </c>
      <c r="Y229">
        <f>IF(AND(C229&lt;&gt;"",W229&lt;&gt;""),C229&amp;"|"&amp;W229,"")</f>
        <v/>
      </c>
      <c r="AA229" s="970" t="n"/>
      <c r="AB229" s="555" t="n"/>
      <c r="AD229" s="970" t="n"/>
      <c r="AE229" s="520" t="n"/>
      <c r="AF229" s="970" t="n"/>
      <c r="AG229" s="970" t="n"/>
      <c r="AH229" s="970" t="n"/>
      <c r="AI229" s="970" t="n"/>
      <c r="AJ229" s="970" t="n"/>
      <c r="AK229" s="970" t="n"/>
      <c r="AL229" s="970" t="n"/>
      <c r="AM229" s="970" t="n"/>
      <c r="AN229" s="970" t="n"/>
      <c r="AO229" s="970" t="n"/>
      <c r="AP229" s="979" t="n"/>
      <c r="AQ229" s="980">
        <f>SUM(AK229:AO229)</f>
        <v/>
      </c>
      <c r="AR229" s="981" t="n"/>
      <c r="AT229" s="971" t="n"/>
      <c r="AU229">
        <f t="array" ref="AU229">IF(D229&lt;&gt;"Occupied","",_xlfn.IFS(AND(ISNUMBER(AD229),AD229&lt;&gt;0),"Structured",ISNUMBER(SEARCH("/mo con",S229)),"Notes-parsed",ISNUMBER(SEARCH("step",S229)),"Step-up",ISNUMBER(SEARCH("swap",S229)),"Rate-swap",AND(ISNUMBER(H229),ISNUMBER(I229),H229&gt;I229),"Implied",TRUE,""))</f>
        <v/>
      </c>
      <c r="AV229" s="970" t="n"/>
    </row>
    <row r="230" outlineLevel="1" s="817">
      <c r="F230" s="520" t="n"/>
      <c r="G230" s="520" t="n"/>
      <c r="H230" s="970" t="n"/>
      <c r="I230" s="970" t="n"/>
      <c r="J230" s="970" t="n"/>
      <c r="K230" s="970" t="n"/>
      <c r="L230" s="970" t="n"/>
      <c r="M230" s="970" t="n"/>
      <c r="N230" s="970" t="n"/>
      <c r="O230" s="970" t="n"/>
      <c r="P230" s="970" t="n"/>
      <c r="Q230" s="970" t="n"/>
      <c r="T230" s="545" t="n"/>
      <c r="U230" s="971" t="n"/>
      <c r="V230" s="971" t="n"/>
      <c r="W230">
        <f>IF(AND($D230="Occupied",$AC230&lt;&gt;""),$AC230,"")</f>
        <v/>
      </c>
      <c r="X230">
        <f>IF(AND(D230="Occupied",C230&lt;&gt;"",W230&lt;&gt;""),C230&amp;"|"&amp;W230,"")</f>
        <v/>
      </c>
      <c r="Y230">
        <f>IF(AND(C230&lt;&gt;"",W230&lt;&gt;""),C230&amp;"|"&amp;W230,"")</f>
        <v/>
      </c>
      <c r="AA230" s="970" t="n"/>
      <c r="AB230" s="555" t="n"/>
      <c r="AD230" s="970" t="n"/>
      <c r="AE230" s="520" t="n"/>
      <c r="AF230" s="970" t="n"/>
      <c r="AG230" s="970" t="n"/>
      <c r="AH230" s="970" t="n"/>
      <c r="AI230" s="970" t="n"/>
      <c r="AJ230" s="970" t="n"/>
      <c r="AK230" s="970" t="n"/>
      <c r="AL230" s="970" t="n"/>
      <c r="AM230" s="970" t="n"/>
      <c r="AN230" s="970" t="n"/>
      <c r="AO230" s="970" t="n"/>
      <c r="AP230" s="979" t="n"/>
      <c r="AQ230" s="980">
        <f>SUM(AK230:AO230)</f>
        <v/>
      </c>
      <c r="AR230" s="981" t="n"/>
      <c r="AT230" s="971" t="n"/>
      <c r="AU230">
        <f t="array" ref="AU230">IF(D230&lt;&gt;"Occupied","",_xlfn.IFS(AND(ISNUMBER(AD230),AD230&lt;&gt;0),"Structured",ISNUMBER(SEARCH("/mo con",S230)),"Notes-parsed",ISNUMBER(SEARCH("step",S230)),"Step-up",ISNUMBER(SEARCH("swap",S230)),"Rate-swap",AND(ISNUMBER(H230),ISNUMBER(I230),H230&gt;I230),"Implied",TRUE,""))</f>
        <v/>
      </c>
      <c r="AV230" s="970" t="n"/>
    </row>
    <row r="231" outlineLevel="1" s="817">
      <c r="F231" s="520" t="n"/>
      <c r="G231" s="520" t="n"/>
      <c r="H231" s="970" t="n"/>
      <c r="I231" s="970" t="n"/>
      <c r="J231" s="970" t="n"/>
      <c r="K231" s="970" t="n"/>
      <c r="L231" s="970" t="n"/>
      <c r="M231" s="970" t="n"/>
      <c r="N231" s="970" t="n"/>
      <c r="O231" s="970" t="n"/>
      <c r="P231" s="970" t="n"/>
      <c r="Q231" s="970" t="n"/>
      <c r="T231" s="545" t="n"/>
      <c r="U231" s="971" t="n"/>
      <c r="V231" s="971" t="n"/>
      <c r="W231">
        <f>IF(AND($D231="Occupied",$AC231&lt;&gt;""),$AC231,"")</f>
        <v/>
      </c>
      <c r="X231">
        <f>IF(AND(D231="Occupied",C231&lt;&gt;"",W231&lt;&gt;""),C231&amp;"|"&amp;W231,"")</f>
        <v/>
      </c>
      <c r="Y231">
        <f>IF(AND(C231&lt;&gt;"",W231&lt;&gt;""),C231&amp;"|"&amp;W231,"")</f>
        <v/>
      </c>
      <c r="AA231" s="970" t="n"/>
      <c r="AB231" s="555" t="n"/>
      <c r="AD231" s="970" t="n"/>
      <c r="AE231" s="520" t="n"/>
      <c r="AF231" s="970" t="n"/>
      <c r="AG231" s="970" t="n"/>
      <c r="AH231" s="970" t="n"/>
      <c r="AI231" s="970" t="n"/>
      <c r="AJ231" s="970" t="n"/>
      <c r="AK231" s="970" t="n"/>
      <c r="AL231" s="970" t="n"/>
      <c r="AM231" s="970" t="n"/>
      <c r="AN231" s="970" t="n"/>
      <c r="AO231" s="970" t="n"/>
      <c r="AP231" s="979" t="n"/>
      <c r="AQ231" s="980">
        <f>SUM(AK231:AO231)</f>
        <v/>
      </c>
      <c r="AR231" s="981" t="n"/>
      <c r="AT231" s="971" t="n"/>
      <c r="AU231">
        <f t="array" ref="AU231">IF(D231&lt;&gt;"Occupied","",_xlfn.IFS(AND(ISNUMBER(AD231),AD231&lt;&gt;0),"Structured",ISNUMBER(SEARCH("/mo con",S231)),"Notes-parsed",ISNUMBER(SEARCH("step",S231)),"Step-up",ISNUMBER(SEARCH("swap",S231)),"Rate-swap",AND(ISNUMBER(H231),ISNUMBER(I231),H231&gt;I231),"Implied",TRUE,""))</f>
        <v/>
      </c>
      <c r="AV231" s="970" t="n"/>
    </row>
    <row r="232" outlineLevel="1" s="817">
      <c r="F232" s="520" t="n"/>
      <c r="G232" s="520" t="n"/>
      <c r="H232" s="970" t="n"/>
      <c r="I232" s="970" t="n"/>
      <c r="J232" s="970" t="n"/>
      <c r="K232" s="970" t="n"/>
      <c r="L232" s="970" t="n"/>
      <c r="M232" s="970" t="n"/>
      <c r="N232" s="970" t="n"/>
      <c r="O232" s="970" t="n"/>
      <c r="P232" s="970" t="n"/>
      <c r="Q232" s="970" t="n"/>
      <c r="T232" s="545" t="n"/>
      <c r="U232" s="971" t="n"/>
      <c r="V232" s="971" t="n"/>
      <c r="W232">
        <f>IF(AND($D232="Occupied",$AC232&lt;&gt;""),$AC232,"")</f>
        <v/>
      </c>
      <c r="X232">
        <f>IF(AND(D232="Occupied",C232&lt;&gt;"",W232&lt;&gt;""),C232&amp;"|"&amp;W232,"")</f>
        <v/>
      </c>
      <c r="Y232">
        <f>IF(AND(C232&lt;&gt;"",W232&lt;&gt;""),C232&amp;"|"&amp;W232,"")</f>
        <v/>
      </c>
      <c r="AA232" s="970" t="n"/>
      <c r="AB232" s="555" t="n"/>
      <c r="AD232" s="970" t="n"/>
      <c r="AE232" s="520" t="n"/>
      <c r="AF232" s="970" t="n"/>
      <c r="AG232" s="970" t="n"/>
      <c r="AH232" s="970" t="n"/>
      <c r="AI232" s="970" t="n"/>
      <c r="AJ232" s="970" t="n"/>
      <c r="AK232" s="970" t="n"/>
      <c r="AL232" s="970" t="n"/>
      <c r="AM232" s="970" t="n"/>
      <c r="AN232" s="970" t="n"/>
      <c r="AO232" s="970" t="n"/>
      <c r="AP232" s="979" t="n"/>
      <c r="AQ232" s="980">
        <f>SUM(AK232:AO232)</f>
        <v/>
      </c>
      <c r="AR232" s="981" t="n"/>
      <c r="AT232" s="971" t="n"/>
      <c r="AU232">
        <f t="array" ref="AU232">IF(D232&lt;&gt;"Occupied","",_xlfn.IFS(AND(ISNUMBER(AD232),AD232&lt;&gt;0),"Structured",ISNUMBER(SEARCH("/mo con",S232)),"Notes-parsed",ISNUMBER(SEARCH("step",S232)),"Step-up",ISNUMBER(SEARCH("swap",S232)),"Rate-swap",AND(ISNUMBER(H232),ISNUMBER(I232),H232&gt;I232),"Implied",TRUE,""))</f>
        <v/>
      </c>
      <c r="AV232" s="970" t="n"/>
    </row>
    <row r="233" outlineLevel="1" s="817">
      <c r="F233" s="520" t="n"/>
      <c r="G233" s="520" t="n"/>
      <c r="H233" s="970" t="n"/>
      <c r="I233" s="970" t="n"/>
      <c r="J233" s="970" t="n"/>
      <c r="K233" s="970" t="n"/>
      <c r="L233" s="970" t="n"/>
      <c r="M233" s="970" t="n"/>
      <c r="N233" s="970" t="n"/>
      <c r="O233" s="970" t="n"/>
      <c r="P233" s="970" t="n"/>
      <c r="Q233" s="970" t="n"/>
      <c r="T233" s="545" t="n"/>
      <c r="U233" s="971" t="n"/>
      <c r="V233" s="971" t="n"/>
      <c r="W233">
        <f>IF(AND($D233="Occupied",$AC233&lt;&gt;""),$AC233,"")</f>
        <v/>
      </c>
      <c r="X233">
        <f>IF(AND(D233="Occupied",C233&lt;&gt;"",W233&lt;&gt;""),C233&amp;"|"&amp;W233,"")</f>
        <v/>
      </c>
      <c r="Y233">
        <f>IF(AND(C233&lt;&gt;"",W233&lt;&gt;""),C233&amp;"|"&amp;W233,"")</f>
        <v/>
      </c>
      <c r="AA233" s="970" t="n"/>
      <c r="AB233" s="555" t="n"/>
      <c r="AD233" s="970" t="n"/>
      <c r="AE233" s="520" t="n"/>
      <c r="AF233" s="970" t="n"/>
      <c r="AG233" s="970" t="n"/>
      <c r="AH233" s="970" t="n"/>
      <c r="AI233" s="970" t="n"/>
      <c r="AJ233" s="970" t="n"/>
      <c r="AK233" s="970" t="n"/>
      <c r="AL233" s="970" t="n"/>
      <c r="AM233" s="970" t="n"/>
      <c r="AN233" s="970" t="n"/>
      <c r="AO233" s="970" t="n"/>
      <c r="AP233" s="979" t="n"/>
      <c r="AQ233" s="980">
        <f>SUM(AK233:AO233)</f>
        <v/>
      </c>
      <c r="AR233" s="981" t="n"/>
      <c r="AT233" s="971" t="n"/>
      <c r="AU233">
        <f t="array" ref="AU233">IF(D233&lt;&gt;"Occupied","",_xlfn.IFS(AND(ISNUMBER(AD233),AD233&lt;&gt;0),"Structured",ISNUMBER(SEARCH("/mo con",S233)),"Notes-parsed",ISNUMBER(SEARCH("step",S233)),"Step-up",ISNUMBER(SEARCH("swap",S233)),"Rate-swap",AND(ISNUMBER(H233),ISNUMBER(I233),H233&gt;I233),"Implied",TRUE,""))</f>
        <v/>
      </c>
      <c r="AV233" s="970" t="n"/>
    </row>
    <row r="234" outlineLevel="1" s="817">
      <c r="F234" s="520" t="n"/>
      <c r="G234" s="520" t="n"/>
      <c r="H234" s="970" t="n"/>
      <c r="I234" s="970" t="n"/>
      <c r="J234" s="970" t="n"/>
      <c r="K234" s="970" t="n"/>
      <c r="L234" s="970" t="n"/>
      <c r="M234" s="970" t="n"/>
      <c r="N234" s="970" t="n"/>
      <c r="O234" s="970" t="n"/>
      <c r="P234" s="970" t="n"/>
      <c r="Q234" s="970" t="n"/>
      <c r="T234" s="545" t="n"/>
      <c r="U234" s="971" t="n"/>
      <c r="V234" s="971" t="n"/>
      <c r="W234">
        <f>IF(AND($D234="Occupied",$AC234&lt;&gt;""),$AC234,"")</f>
        <v/>
      </c>
      <c r="X234">
        <f>IF(AND(D234="Occupied",C234&lt;&gt;"",W234&lt;&gt;""),C234&amp;"|"&amp;W234,"")</f>
        <v/>
      </c>
      <c r="Y234">
        <f>IF(AND(C234&lt;&gt;"",W234&lt;&gt;""),C234&amp;"|"&amp;W234,"")</f>
        <v/>
      </c>
      <c r="AA234" s="970" t="n"/>
      <c r="AB234" s="555" t="n"/>
      <c r="AD234" s="970" t="n"/>
      <c r="AE234" s="520" t="n"/>
      <c r="AF234" s="970" t="n"/>
      <c r="AG234" s="970" t="n"/>
      <c r="AH234" s="970" t="n"/>
      <c r="AI234" s="970" t="n"/>
      <c r="AJ234" s="970" t="n"/>
      <c r="AK234" s="970" t="n"/>
      <c r="AL234" s="970" t="n"/>
      <c r="AM234" s="970" t="n"/>
      <c r="AN234" s="970" t="n"/>
      <c r="AO234" s="970" t="n"/>
      <c r="AP234" s="979" t="n"/>
      <c r="AQ234" s="980">
        <f>SUM(AK234:AO234)</f>
        <v/>
      </c>
      <c r="AR234" s="981" t="n"/>
      <c r="AT234" s="971" t="n"/>
      <c r="AU234">
        <f t="array" ref="AU234">IF(D234&lt;&gt;"Occupied","",_xlfn.IFS(AND(ISNUMBER(AD234),AD234&lt;&gt;0),"Structured",ISNUMBER(SEARCH("/mo con",S234)),"Notes-parsed",ISNUMBER(SEARCH("step",S234)),"Step-up",ISNUMBER(SEARCH("swap",S234)),"Rate-swap",AND(ISNUMBER(H234),ISNUMBER(I234),H234&gt;I234),"Implied",TRUE,""))</f>
        <v/>
      </c>
      <c r="AV234" s="970" t="n"/>
    </row>
    <row r="235" outlineLevel="1" s="817">
      <c r="F235" s="520" t="n"/>
      <c r="G235" s="520" t="n"/>
      <c r="H235" s="970" t="n"/>
      <c r="I235" s="970" t="n"/>
      <c r="J235" s="970" t="n"/>
      <c r="K235" s="970" t="n"/>
      <c r="L235" s="970" t="n"/>
      <c r="M235" s="970" t="n"/>
      <c r="N235" s="970" t="n"/>
      <c r="O235" s="970" t="n"/>
      <c r="P235" s="970" t="n"/>
      <c r="Q235" s="970" t="n"/>
      <c r="T235" s="545" t="n"/>
      <c r="U235" s="971" t="n"/>
      <c r="V235" s="971" t="n"/>
      <c r="W235">
        <f>IF(AND($D235="Occupied",$AC235&lt;&gt;""),$AC235,"")</f>
        <v/>
      </c>
      <c r="X235">
        <f>IF(AND(D235="Occupied",C235&lt;&gt;"",W235&lt;&gt;""),C235&amp;"|"&amp;W235,"")</f>
        <v/>
      </c>
      <c r="Y235">
        <f>IF(AND(C235&lt;&gt;"",W235&lt;&gt;""),C235&amp;"|"&amp;W235,"")</f>
        <v/>
      </c>
      <c r="AA235" s="970" t="n"/>
      <c r="AB235" s="555" t="n"/>
      <c r="AD235" s="970" t="n"/>
      <c r="AE235" s="520" t="n"/>
      <c r="AF235" s="970" t="n"/>
      <c r="AG235" s="970" t="n"/>
      <c r="AH235" s="970" t="n"/>
      <c r="AI235" s="970" t="n"/>
      <c r="AJ235" s="970" t="n"/>
      <c r="AK235" s="970" t="n"/>
      <c r="AL235" s="970" t="n"/>
      <c r="AM235" s="970" t="n"/>
      <c r="AN235" s="970" t="n"/>
      <c r="AO235" s="970" t="n"/>
      <c r="AP235" s="979" t="n"/>
      <c r="AQ235" s="980">
        <f>SUM(AK235:AO235)</f>
        <v/>
      </c>
      <c r="AR235" s="981" t="n"/>
      <c r="AT235" s="971" t="n"/>
      <c r="AU235">
        <f t="array" ref="AU235">IF(D235&lt;&gt;"Occupied","",_xlfn.IFS(AND(ISNUMBER(AD235),AD235&lt;&gt;0),"Structured",ISNUMBER(SEARCH("/mo con",S235)),"Notes-parsed",ISNUMBER(SEARCH("step",S235)),"Step-up",ISNUMBER(SEARCH("swap",S235)),"Rate-swap",AND(ISNUMBER(H235),ISNUMBER(I235),H235&gt;I235),"Implied",TRUE,""))</f>
        <v/>
      </c>
      <c r="AV235" s="970" t="n"/>
    </row>
    <row r="236" outlineLevel="1" s="817">
      <c r="F236" s="520" t="n"/>
      <c r="G236" s="520" t="n"/>
      <c r="H236" s="970" t="n"/>
      <c r="I236" s="970" t="n"/>
      <c r="J236" s="970" t="n"/>
      <c r="K236" s="970" t="n"/>
      <c r="L236" s="970" t="n"/>
      <c r="M236" s="970" t="n"/>
      <c r="N236" s="970" t="n"/>
      <c r="O236" s="970" t="n"/>
      <c r="P236" s="970" t="n"/>
      <c r="Q236" s="970" t="n"/>
      <c r="T236" s="545" t="n"/>
      <c r="U236" s="971" t="n"/>
      <c r="V236" s="971" t="n"/>
      <c r="W236">
        <f>IF(AND($D236="Occupied",$AC236&lt;&gt;""),$AC236,"")</f>
        <v/>
      </c>
      <c r="X236">
        <f>IF(AND(D236="Occupied",C236&lt;&gt;"",W236&lt;&gt;""),C236&amp;"|"&amp;W236,"")</f>
        <v/>
      </c>
      <c r="Y236">
        <f>IF(AND(C236&lt;&gt;"",W236&lt;&gt;""),C236&amp;"|"&amp;W236,"")</f>
        <v/>
      </c>
      <c r="AA236" s="970" t="n"/>
      <c r="AB236" s="555" t="n"/>
      <c r="AD236" s="970" t="n"/>
      <c r="AE236" s="520" t="n"/>
      <c r="AF236" s="970" t="n"/>
      <c r="AG236" s="970" t="n"/>
      <c r="AH236" s="970" t="n"/>
      <c r="AI236" s="970" t="n"/>
      <c r="AJ236" s="970" t="n"/>
      <c r="AK236" s="970" t="n"/>
      <c r="AL236" s="970" t="n"/>
      <c r="AM236" s="970" t="n"/>
      <c r="AN236" s="970" t="n"/>
      <c r="AO236" s="970" t="n"/>
      <c r="AP236" s="979" t="n"/>
      <c r="AQ236" s="980">
        <f>SUM(AK236:AO236)</f>
        <v/>
      </c>
      <c r="AR236" s="981" t="n"/>
      <c r="AT236" s="971" t="n"/>
      <c r="AU236">
        <f t="array" ref="AU236">IF(D236&lt;&gt;"Occupied","",_xlfn.IFS(AND(ISNUMBER(AD236),AD236&lt;&gt;0),"Structured",ISNUMBER(SEARCH("/mo con",S236)),"Notes-parsed",ISNUMBER(SEARCH("step",S236)),"Step-up",ISNUMBER(SEARCH("swap",S236)),"Rate-swap",AND(ISNUMBER(H236),ISNUMBER(I236),H236&gt;I236),"Implied",TRUE,""))</f>
        <v/>
      </c>
      <c r="AV236" s="970" t="n"/>
    </row>
    <row r="237" outlineLevel="1" s="817">
      <c r="F237" s="520" t="n"/>
      <c r="G237" s="520" t="n"/>
      <c r="H237" s="970" t="n"/>
      <c r="I237" s="970" t="n"/>
      <c r="J237" s="970" t="n"/>
      <c r="K237" s="970" t="n"/>
      <c r="L237" s="970" t="n"/>
      <c r="M237" s="970" t="n"/>
      <c r="N237" s="970" t="n"/>
      <c r="O237" s="970" t="n"/>
      <c r="P237" s="970" t="n"/>
      <c r="Q237" s="970" t="n"/>
      <c r="T237" s="545" t="n"/>
      <c r="U237" s="971" t="n"/>
      <c r="V237" s="971" t="n"/>
      <c r="W237">
        <f>IF(AND($D237="Occupied",$AC237&lt;&gt;""),$AC237,"")</f>
        <v/>
      </c>
      <c r="X237">
        <f>IF(AND(D237="Occupied",C237&lt;&gt;"",W237&lt;&gt;""),C237&amp;"|"&amp;W237,"")</f>
        <v/>
      </c>
      <c r="Y237">
        <f>IF(AND(C237&lt;&gt;"",W237&lt;&gt;""),C237&amp;"|"&amp;W237,"")</f>
        <v/>
      </c>
      <c r="AA237" s="970" t="n"/>
      <c r="AB237" s="555" t="n"/>
      <c r="AD237" s="970" t="n"/>
      <c r="AE237" s="520" t="n"/>
      <c r="AF237" s="970" t="n"/>
      <c r="AG237" s="970" t="n"/>
      <c r="AH237" s="970" t="n"/>
      <c r="AI237" s="970" t="n"/>
      <c r="AJ237" s="970" t="n"/>
      <c r="AK237" s="970" t="n"/>
      <c r="AL237" s="970" t="n"/>
      <c r="AM237" s="970" t="n"/>
      <c r="AN237" s="970" t="n"/>
      <c r="AO237" s="970" t="n"/>
      <c r="AP237" s="979" t="n"/>
      <c r="AQ237" s="980">
        <f>SUM(AK237:AO237)</f>
        <v/>
      </c>
      <c r="AR237" s="981" t="n"/>
      <c r="AT237" s="971" t="n"/>
      <c r="AU237">
        <f t="array" ref="AU237">IF(D237&lt;&gt;"Occupied","",_xlfn.IFS(AND(ISNUMBER(AD237),AD237&lt;&gt;0),"Structured",ISNUMBER(SEARCH("/mo con",S237)),"Notes-parsed",ISNUMBER(SEARCH("step",S237)),"Step-up",ISNUMBER(SEARCH("swap",S237)),"Rate-swap",AND(ISNUMBER(H237),ISNUMBER(I237),H237&gt;I237),"Implied",TRUE,""))</f>
        <v/>
      </c>
      <c r="AV237" s="970" t="n"/>
    </row>
    <row r="238" outlineLevel="1" s="817">
      <c r="F238" s="520" t="n"/>
      <c r="G238" s="520" t="n"/>
      <c r="H238" s="970" t="n"/>
      <c r="I238" s="970" t="n"/>
      <c r="J238" s="970" t="n"/>
      <c r="K238" s="970" t="n"/>
      <c r="L238" s="970" t="n"/>
      <c r="M238" s="970" t="n"/>
      <c r="N238" s="970" t="n"/>
      <c r="O238" s="970" t="n"/>
      <c r="P238" s="970" t="n"/>
      <c r="Q238" s="970" t="n"/>
      <c r="T238" s="545" t="n"/>
      <c r="U238" s="971" t="n"/>
      <c r="V238" s="971" t="n"/>
      <c r="W238">
        <f>IF(AND($D238="Occupied",$AC238&lt;&gt;""),$AC238,"")</f>
        <v/>
      </c>
      <c r="X238">
        <f>IF(AND(D238="Occupied",C238&lt;&gt;"",W238&lt;&gt;""),C238&amp;"|"&amp;W238,"")</f>
        <v/>
      </c>
      <c r="Y238">
        <f>IF(AND(C238&lt;&gt;"",W238&lt;&gt;""),C238&amp;"|"&amp;W238,"")</f>
        <v/>
      </c>
      <c r="AA238" s="970" t="n"/>
      <c r="AB238" s="555" t="n"/>
      <c r="AD238" s="970" t="n"/>
      <c r="AE238" s="520" t="n"/>
      <c r="AF238" s="970" t="n"/>
      <c r="AG238" s="970" t="n"/>
      <c r="AH238" s="970" t="n"/>
      <c r="AI238" s="970" t="n"/>
      <c r="AJ238" s="970" t="n"/>
      <c r="AK238" s="970" t="n"/>
      <c r="AL238" s="970" t="n"/>
      <c r="AM238" s="970" t="n"/>
      <c r="AN238" s="970" t="n"/>
      <c r="AO238" s="970" t="n"/>
      <c r="AP238" s="979" t="n"/>
      <c r="AQ238" s="980">
        <f>SUM(AK238:AO238)</f>
        <v/>
      </c>
      <c r="AR238" s="981" t="n"/>
      <c r="AT238" s="971" t="n"/>
      <c r="AU238">
        <f t="array" ref="AU238">IF(D238&lt;&gt;"Occupied","",_xlfn.IFS(AND(ISNUMBER(AD238),AD238&lt;&gt;0),"Structured",ISNUMBER(SEARCH("/mo con",S238)),"Notes-parsed",ISNUMBER(SEARCH("step",S238)),"Step-up",ISNUMBER(SEARCH("swap",S238)),"Rate-swap",AND(ISNUMBER(H238),ISNUMBER(I238),H238&gt;I238),"Implied",TRUE,""))</f>
        <v/>
      </c>
      <c r="AV238" s="970" t="n"/>
    </row>
    <row r="239" outlineLevel="1" s="817">
      <c r="F239" s="520" t="n"/>
      <c r="G239" s="520" t="n"/>
      <c r="H239" s="970" t="n"/>
      <c r="I239" s="970" t="n"/>
      <c r="J239" s="970" t="n"/>
      <c r="K239" s="970" t="n"/>
      <c r="L239" s="970" t="n"/>
      <c r="M239" s="970" t="n"/>
      <c r="N239" s="970" t="n"/>
      <c r="O239" s="970" t="n"/>
      <c r="P239" s="970" t="n"/>
      <c r="Q239" s="970" t="n"/>
      <c r="T239" s="545" t="n"/>
      <c r="U239" s="971" t="n"/>
      <c r="V239" s="971" t="n"/>
      <c r="W239">
        <f>IF(AND($D239="Occupied",$AC239&lt;&gt;""),$AC239,"")</f>
        <v/>
      </c>
      <c r="X239">
        <f>IF(AND(D239="Occupied",C239&lt;&gt;"",W239&lt;&gt;""),C239&amp;"|"&amp;W239,"")</f>
        <v/>
      </c>
      <c r="Y239">
        <f>IF(AND(C239&lt;&gt;"",W239&lt;&gt;""),C239&amp;"|"&amp;W239,"")</f>
        <v/>
      </c>
      <c r="AA239" s="970" t="n"/>
      <c r="AB239" s="555" t="n"/>
      <c r="AD239" s="970" t="n"/>
      <c r="AE239" s="520" t="n"/>
      <c r="AF239" s="970" t="n"/>
      <c r="AG239" s="970" t="n"/>
      <c r="AH239" s="970" t="n"/>
      <c r="AI239" s="970" t="n"/>
      <c r="AJ239" s="970" t="n"/>
      <c r="AK239" s="970" t="n"/>
      <c r="AL239" s="970" t="n"/>
      <c r="AM239" s="970" t="n"/>
      <c r="AN239" s="970" t="n"/>
      <c r="AO239" s="970" t="n"/>
      <c r="AP239" s="979" t="n"/>
      <c r="AQ239" s="980">
        <f>SUM(AK239:AO239)</f>
        <v/>
      </c>
      <c r="AR239" s="981" t="n"/>
      <c r="AT239" s="971" t="n"/>
      <c r="AU239">
        <f t="array" ref="AU239">IF(D239&lt;&gt;"Occupied","",_xlfn.IFS(AND(ISNUMBER(AD239),AD239&lt;&gt;0),"Structured",ISNUMBER(SEARCH("/mo con",S239)),"Notes-parsed",ISNUMBER(SEARCH("step",S239)),"Step-up",ISNUMBER(SEARCH("swap",S239)),"Rate-swap",AND(ISNUMBER(H239),ISNUMBER(I239),H239&gt;I239),"Implied",TRUE,""))</f>
        <v/>
      </c>
      <c r="AV239" s="970" t="n"/>
    </row>
    <row r="240" outlineLevel="1" s="817">
      <c r="F240" s="520" t="n"/>
      <c r="G240" s="520" t="n"/>
      <c r="H240" s="970" t="n"/>
      <c r="I240" s="970" t="n"/>
      <c r="J240" s="970" t="n"/>
      <c r="K240" s="970" t="n"/>
      <c r="L240" s="970" t="n"/>
      <c r="M240" s="970" t="n"/>
      <c r="N240" s="970" t="n"/>
      <c r="O240" s="970" t="n"/>
      <c r="P240" s="970" t="n"/>
      <c r="Q240" s="970" t="n"/>
      <c r="T240" s="545" t="n"/>
      <c r="U240" s="971" t="n"/>
      <c r="V240" s="971" t="n"/>
      <c r="W240">
        <f>IF(AND($D240="Occupied",$AC240&lt;&gt;""),$AC240,"")</f>
        <v/>
      </c>
      <c r="X240">
        <f>IF(AND(D240="Occupied",C240&lt;&gt;"",W240&lt;&gt;""),C240&amp;"|"&amp;W240,"")</f>
        <v/>
      </c>
      <c r="Y240">
        <f>IF(AND(C240&lt;&gt;"",W240&lt;&gt;""),C240&amp;"|"&amp;W240,"")</f>
        <v/>
      </c>
      <c r="AA240" s="970" t="n"/>
      <c r="AB240" s="555" t="n"/>
      <c r="AD240" s="970" t="n"/>
      <c r="AE240" s="520" t="n"/>
      <c r="AF240" s="970" t="n"/>
      <c r="AG240" s="970" t="n"/>
      <c r="AH240" s="970" t="n"/>
      <c r="AI240" s="970" t="n"/>
      <c r="AJ240" s="970" t="n"/>
      <c r="AK240" s="970" t="n"/>
      <c r="AL240" s="970" t="n"/>
      <c r="AM240" s="970" t="n"/>
      <c r="AN240" s="970" t="n"/>
      <c r="AO240" s="970" t="n"/>
      <c r="AP240" s="979" t="n"/>
      <c r="AQ240" s="980">
        <f>SUM(AK240:AO240)</f>
        <v/>
      </c>
      <c r="AR240" s="981" t="n"/>
      <c r="AT240" s="971" t="n"/>
      <c r="AU240">
        <f t="array" ref="AU240">IF(D240&lt;&gt;"Occupied","",_xlfn.IFS(AND(ISNUMBER(AD240),AD240&lt;&gt;0),"Structured",ISNUMBER(SEARCH("/mo con",S240)),"Notes-parsed",ISNUMBER(SEARCH("step",S240)),"Step-up",ISNUMBER(SEARCH("swap",S240)),"Rate-swap",AND(ISNUMBER(H240),ISNUMBER(I240),H240&gt;I240),"Implied",TRUE,""))</f>
        <v/>
      </c>
      <c r="AV240" s="970" t="n"/>
    </row>
    <row r="241" outlineLevel="1" s="817">
      <c r="F241" s="520" t="n"/>
      <c r="G241" s="520" t="n"/>
      <c r="H241" s="970" t="n"/>
      <c r="I241" s="970" t="n"/>
      <c r="J241" s="970" t="n"/>
      <c r="K241" s="970" t="n"/>
      <c r="L241" s="970" t="n"/>
      <c r="M241" s="970" t="n"/>
      <c r="N241" s="970" t="n"/>
      <c r="O241" s="970" t="n"/>
      <c r="P241" s="970" t="n"/>
      <c r="Q241" s="970" t="n"/>
      <c r="T241" s="545" t="n"/>
      <c r="U241" s="971" t="n"/>
      <c r="V241" s="971" t="n"/>
      <c r="W241">
        <f>IF(AND($D241="Occupied",$AC241&lt;&gt;""),$AC241,"")</f>
        <v/>
      </c>
      <c r="X241">
        <f>IF(AND(D241="Occupied",C241&lt;&gt;"",W241&lt;&gt;""),C241&amp;"|"&amp;W241,"")</f>
        <v/>
      </c>
      <c r="Y241">
        <f>IF(AND(C241&lt;&gt;"",W241&lt;&gt;""),C241&amp;"|"&amp;W241,"")</f>
        <v/>
      </c>
      <c r="AA241" s="970" t="n"/>
      <c r="AB241" s="555" t="n"/>
      <c r="AD241" s="970" t="n"/>
      <c r="AE241" s="520" t="n"/>
      <c r="AF241" s="970" t="n"/>
      <c r="AG241" s="970" t="n"/>
      <c r="AH241" s="970" t="n"/>
      <c r="AI241" s="970" t="n"/>
      <c r="AJ241" s="970" t="n"/>
      <c r="AK241" s="970" t="n"/>
      <c r="AL241" s="970" t="n"/>
      <c r="AM241" s="970" t="n"/>
      <c r="AN241" s="970" t="n"/>
      <c r="AO241" s="970" t="n"/>
      <c r="AP241" s="979" t="n"/>
      <c r="AQ241" s="980">
        <f>SUM(AK241:AO241)</f>
        <v/>
      </c>
      <c r="AR241" s="981" t="n"/>
      <c r="AT241" s="971" t="n"/>
      <c r="AU241">
        <f t="array" ref="AU241">IF(D241&lt;&gt;"Occupied","",_xlfn.IFS(AND(ISNUMBER(AD241),AD241&lt;&gt;0),"Structured",ISNUMBER(SEARCH("/mo con",S241)),"Notes-parsed",ISNUMBER(SEARCH("step",S241)),"Step-up",ISNUMBER(SEARCH("swap",S241)),"Rate-swap",AND(ISNUMBER(H241),ISNUMBER(I241),H241&gt;I241),"Implied",TRUE,""))</f>
        <v/>
      </c>
      <c r="AV241" s="970" t="n"/>
    </row>
    <row r="242" outlineLevel="1" s="817">
      <c r="F242" s="520" t="n"/>
      <c r="G242" s="520" t="n"/>
      <c r="H242" s="970" t="n"/>
      <c r="I242" s="970" t="n"/>
      <c r="J242" s="970" t="n"/>
      <c r="K242" s="970" t="n"/>
      <c r="L242" s="970" t="n"/>
      <c r="M242" s="970" t="n"/>
      <c r="N242" s="970" t="n"/>
      <c r="O242" s="970" t="n"/>
      <c r="P242" s="970" t="n"/>
      <c r="Q242" s="970" t="n"/>
      <c r="T242" s="545" t="n"/>
      <c r="U242" s="971" t="n"/>
      <c r="V242" s="971" t="n"/>
      <c r="W242">
        <f>IF(AND($D242="Occupied",$AC242&lt;&gt;""),$AC242,"")</f>
        <v/>
      </c>
      <c r="X242">
        <f>IF(AND(D242="Occupied",C242&lt;&gt;"",W242&lt;&gt;""),C242&amp;"|"&amp;W242,"")</f>
        <v/>
      </c>
      <c r="Y242">
        <f>IF(AND(C242&lt;&gt;"",W242&lt;&gt;""),C242&amp;"|"&amp;W242,"")</f>
        <v/>
      </c>
      <c r="AA242" s="970" t="n"/>
      <c r="AB242" s="555" t="n"/>
      <c r="AD242" s="970" t="n"/>
      <c r="AE242" s="520" t="n"/>
      <c r="AF242" s="970" t="n"/>
      <c r="AG242" s="970" t="n"/>
      <c r="AH242" s="970" t="n"/>
      <c r="AI242" s="970" t="n"/>
      <c r="AJ242" s="970" t="n"/>
      <c r="AK242" s="970" t="n"/>
      <c r="AL242" s="970" t="n"/>
      <c r="AM242" s="970" t="n"/>
      <c r="AN242" s="970" t="n"/>
      <c r="AO242" s="970" t="n"/>
      <c r="AP242" s="979" t="n"/>
      <c r="AQ242" s="980">
        <f>SUM(AK242:AO242)</f>
        <v/>
      </c>
      <c r="AR242" s="981" t="n"/>
      <c r="AT242" s="971" t="n"/>
      <c r="AU242">
        <f t="array" ref="AU242">IF(D242&lt;&gt;"Occupied","",_xlfn.IFS(AND(ISNUMBER(AD242),AD242&lt;&gt;0),"Structured",ISNUMBER(SEARCH("/mo con",S242)),"Notes-parsed",ISNUMBER(SEARCH("step",S242)),"Step-up",ISNUMBER(SEARCH("swap",S242)),"Rate-swap",AND(ISNUMBER(H242),ISNUMBER(I242),H242&gt;I242),"Implied",TRUE,""))</f>
        <v/>
      </c>
      <c r="AV242" s="970" t="n"/>
    </row>
    <row r="243" outlineLevel="1" s="817">
      <c r="F243" s="520" t="n"/>
      <c r="G243" s="520" t="n"/>
      <c r="H243" s="970" t="n"/>
      <c r="I243" s="970" t="n"/>
      <c r="J243" s="970" t="n"/>
      <c r="K243" s="970" t="n"/>
      <c r="L243" s="970" t="n"/>
      <c r="M243" s="970" t="n"/>
      <c r="N243" s="970" t="n"/>
      <c r="O243" s="970" t="n"/>
      <c r="P243" s="970" t="n"/>
      <c r="Q243" s="970" t="n"/>
      <c r="T243" s="545" t="n"/>
      <c r="U243" s="971" t="n"/>
      <c r="V243" s="971" t="n"/>
      <c r="W243">
        <f>IF(AND($D243="Occupied",$AC243&lt;&gt;""),$AC243,"")</f>
        <v/>
      </c>
      <c r="X243">
        <f>IF(AND(D243="Occupied",C243&lt;&gt;"",W243&lt;&gt;""),C243&amp;"|"&amp;W243,"")</f>
        <v/>
      </c>
      <c r="Y243">
        <f>IF(AND(C243&lt;&gt;"",W243&lt;&gt;""),C243&amp;"|"&amp;W243,"")</f>
        <v/>
      </c>
      <c r="AA243" s="970" t="n"/>
      <c r="AB243" s="555" t="n"/>
      <c r="AD243" s="970" t="n"/>
      <c r="AE243" s="520" t="n"/>
      <c r="AF243" s="970" t="n"/>
      <c r="AG243" s="970" t="n"/>
      <c r="AH243" s="970" t="n"/>
      <c r="AI243" s="970" t="n"/>
      <c r="AJ243" s="970" t="n"/>
      <c r="AK243" s="970" t="n"/>
      <c r="AL243" s="970" t="n"/>
      <c r="AM243" s="970" t="n"/>
      <c r="AN243" s="970" t="n"/>
      <c r="AO243" s="970" t="n"/>
      <c r="AP243" s="979" t="n"/>
      <c r="AQ243" s="980">
        <f>SUM(AK243:AO243)</f>
        <v/>
      </c>
      <c r="AR243" s="981" t="n"/>
      <c r="AT243" s="971" t="n"/>
      <c r="AU243">
        <f t="array" ref="AU243">IF(D243&lt;&gt;"Occupied","",_xlfn.IFS(AND(ISNUMBER(AD243),AD243&lt;&gt;0),"Structured",ISNUMBER(SEARCH("/mo con",S243)),"Notes-parsed",ISNUMBER(SEARCH("step",S243)),"Step-up",ISNUMBER(SEARCH("swap",S243)),"Rate-swap",AND(ISNUMBER(H243),ISNUMBER(I243),H243&gt;I243),"Implied",TRUE,""))</f>
        <v/>
      </c>
      <c r="AV243" s="970" t="n"/>
    </row>
    <row r="244" outlineLevel="1" s="817">
      <c r="F244" s="520" t="n"/>
      <c r="G244" s="520" t="n"/>
      <c r="H244" s="970" t="n"/>
      <c r="I244" s="970" t="n"/>
      <c r="J244" s="970" t="n"/>
      <c r="K244" s="970" t="n"/>
      <c r="L244" s="970" t="n"/>
      <c r="M244" s="970" t="n"/>
      <c r="N244" s="970" t="n"/>
      <c r="O244" s="970" t="n"/>
      <c r="P244" s="970" t="n"/>
      <c r="Q244" s="970" t="n"/>
      <c r="T244" s="545" t="n"/>
      <c r="U244" s="971" t="n"/>
      <c r="V244" s="971" t="n"/>
      <c r="W244">
        <f>IF(AND($D244="Occupied",$AC244&lt;&gt;""),$AC244,"")</f>
        <v/>
      </c>
      <c r="X244">
        <f>IF(AND(D244="Occupied",C244&lt;&gt;"",W244&lt;&gt;""),C244&amp;"|"&amp;W244,"")</f>
        <v/>
      </c>
      <c r="Y244">
        <f>IF(AND(C244&lt;&gt;"",W244&lt;&gt;""),C244&amp;"|"&amp;W244,"")</f>
        <v/>
      </c>
      <c r="AA244" s="970" t="n"/>
      <c r="AB244" s="555" t="n"/>
      <c r="AD244" s="970" t="n"/>
      <c r="AE244" s="520" t="n"/>
      <c r="AF244" s="970" t="n"/>
      <c r="AG244" s="970" t="n"/>
      <c r="AH244" s="970" t="n"/>
      <c r="AI244" s="970" t="n"/>
      <c r="AJ244" s="970" t="n"/>
      <c r="AK244" s="970" t="n"/>
      <c r="AL244" s="970" t="n"/>
      <c r="AM244" s="970" t="n"/>
      <c r="AN244" s="970" t="n"/>
      <c r="AO244" s="970" t="n"/>
      <c r="AP244" s="979" t="n"/>
      <c r="AQ244" s="980">
        <f>SUM(AK244:AO244)</f>
        <v/>
      </c>
      <c r="AR244" s="981" t="n"/>
      <c r="AT244" s="971" t="n"/>
      <c r="AU244">
        <f t="array" ref="AU244">IF(D244&lt;&gt;"Occupied","",_xlfn.IFS(AND(ISNUMBER(AD244),AD244&lt;&gt;0),"Structured",ISNUMBER(SEARCH("/mo con",S244)),"Notes-parsed",ISNUMBER(SEARCH("step",S244)),"Step-up",ISNUMBER(SEARCH("swap",S244)),"Rate-swap",AND(ISNUMBER(H244),ISNUMBER(I244),H244&gt;I244),"Implied",TRUE,""))</f>
        <v/>
      </c>
      <c r="AV244" s="970" t="n"/>
    </row>
    <row r="245" outlineLevel="1" s="817">
      <c r="F245" s="520" t="n"/>
      <c r="G245" s="520" t="n"/>
      <c r="H245" s="970" t="n"/>
      <c r="I245" s="970" t="n"/>
      <c r="J245" s="970" t="n"/>
      <c r="K245" s="970" t="n"/>
      <c r="L245" s="970" t="n"/>
      <c r="M245" s="970" t="n"/>
      <c r="N245" s="970" t="n"/>
      <c r="O245" s="970" t="n"/>
      <c r="P245" s="970" t="n"/>
      <c r="Q245" s="970" t="n"/>
      <c r="T245" s="545" t="n"/>
      <c r="U245" s="971" t="n"/>
      <c r="V245" s="971" t="n"/>
      <c r="W245">
        <f>IF(AND($D245="Occupied",$AC245&lt;&gt;""),$AC245,"")</f>
        <v/>
      </c>
      <c r="X245">
        <f>IF(AND(D245="Occupied",C245&lt;&gt;"",W245&lt;&gt;""),C245&amp;"|"&amp;W245,"")</f>
        <v/>
      </c>
      <c r="Y245">
        <f>IF(AND(C245&lt;&gt;"",W245&lt;&gt;""),C245&amp;"|"&amp;W245,"")</f>
        <v/>
      </c>
      <c r="AA245" s="970" t="n"/>
      <c r="AB245" s="555" t="n"/>
      <c r="AD245" s="970" t="n"/>
      <c r="AE245" s="520" t="n"/>
      <c r="AF245" s="970" t="n"/>
      <c r="AG245" s="970" t="n"/>
      <c r="AH245" s="970" t="n"/>
      <c r="AI245" s="970" t="n"/>
      <c r="AJ245" s="970" t="n"/>
      <c r="AK245" s="970" t="n"/>
      <c r="AL245" s="970" t="n"/>
      <c r="AM245" s="970" t="n"/>
      <c r="AN245" s="970" t="n"/>
      <c r="AO245" s="970" t="n"/>
      <c r="AP245" s="979" t="n"/>
      <c r="AQ245" s="980">
        <f>SUM(AK245:AO245)</f>
        <v/>
      </c>
      <c r="AR245" s="981" t="n"/>
      <c r="AT245" s="971" t="n"/>
      <c r="AU245">
        <f t="array" ref="AU245">IF(D245&lt;&gt;"Occupied","",_xlfn.IFS(AND(ISNUMBER(AD245),AD245&lt;&gt;0),"Structured",ISNUMBER(SEARCH("/mo con",S245)),"Notes-parsed",ISNUMBER(SEARCH("step",S245)),"Step-up",ISNUMBER(SEARCH("swap",S245)),"Rate-swap",AND(ISNUMBER(H245),ISNUMBER(I245),H245&gt;I245),"Implied",TRUE,""))</f>
        <v/>
      </c>
      <c r="AV245" s="970" t="n"/>
    </row>
    <row r="246" outlineLevel="1" s="817">
      <c r="F246" s="520" t="n"/>
      <c r="G246" s="520" t="n"/>
      <c r="H246" s="970" t="n"/>
      <c r="I246" s="970" t="n"/>
      <c r="J246" s="970" t="n"/>
      <c r="K246" s="970" t="n"/>
      <c r="L246" s="970" t="n"/>
      <c r="M246" s="970" t="n"/>
      <c r="N246" s="970" t="n"/>
      <c r="O246" s="970" t="n"/>
      <c r="P246" s="970" t="n"/>
      <c r="Q246" s="970" t="n"/>
      <c r="T246" s="545" t="n"/>
      <c r="U246" s="971" t="n"/>
      <c r="V246" s="971" t="n"/>
      <c r="W246">
        <f>IF(AND($D246="Occupied",$AC246&lt;&gt;""),$AC246,"")</f>
        <v/>
      </c>
      <c r="X246">
        <f>IF(AND(D246="Occupied",C246&lt;&gt;"",W246&lt;&gt;""),C246&amp;"|"&amp;W246,"")</f>
        <v/>
      </c>
      <c r="Y246">
        <f>IF(AND(C246&lt;&gt;"",W246&lt;&gt;""),C246&amp;"|"&amp;W246,"")</f>
        <v/>
      </c>
      <c r="AA246" s="970" t="n"/>
      <c r="AB246" s="555" t="n"/>
      <c r="AD246" s="970" t="n"/>
      <c r="AE246" s="520" t="n"/>
      <c r="AF246" s="970" t="n"/>
      <c r="AG246" s="970" t="n"/>
      <c r="AH246" s="970" t="n"/>
      <c r="AI246" s="970" t="n"/>
      <c r="AJ246" s="970" t="n"/>
      <c r="AK246" s="970" t="n"/>
      <c r="AL246" s="970" t="n"/>
      <c r="AM246" s="970" t="n"/>
      <c r="AN246" s="970" t="n"/>
      <c r="AO246" s="970" t="n"/>
      <c r="AP246" s="979" t="n"/>
      <c r="AQ246" s="980">
        <f>SUM(AK246:AO246)</f>
        <v/>
      </c>
      <c r="AR246" s="981" t="n"/>
      <c r="AT246" s="971" t="n"/>
      <c r="AU246">
        <f t="array" ref="AU246">IF(D246&lt;&gt;"Occupied","",_xlfn.IFS(AND(ISNUMBER(AD246),AD246&lt;&gt;0),"Structured",ISNUMBER(SEARCH("/mo con",S246)),"Notes-parsed",ISNUMBER(SEARCH("step",S246)),"Step-up",ISNUMBER(SEARCH("swap",S246)),"Rate-swap",AND(ISNUMBER(H246),ISNUMBER(I246),H246&gt;I246),"Implied",TRUE,""))</f>
        <v/>
      </c>
      <c r="AV246" s="970" t="n"/>
    </row>
    <row r="247" outlineLevel="1" s="817">
      <c r="F247" s="520" t="n"/>
      <c r="G247" s="520" t="n"/>
      <c r="H247" s="970" t="n"/>
      <c r="I247" s="970" t="n"/>
      <c r="J247" s="970" t="n"/>
      <c r="K247" s="970" t="n"/>
      <c r="L247" s="970" t="n"/>
      <c r="M247" s="970" t="n"/>
      <c r="N247" s="970" t="n"/>
      <c r="O247" s="970" t="n"/>
      <c r="P247" s="970" t="n"/>
      <c r="Q247" s="970" t="n"/>
      <c r="T247" s="545" t="n"/>
      <c r="U247" s="971" t="n"/>
      <c r="V247" s="971" t="n"/>
      <c r="W247">
        <f>IF(AND($D247="Occupied",$AC247&lt;&gt;""),$AC247,"")</f>
        <v/>
      </c>
      <c r="X247">
        <f>IF(AND(D247="Occupied",C247&lt;&gt;"",W247&lt;&gt;""),C247&amp;"|"&amp;W247,"")</f>
        <v/>
      </c>
      <c r="Y247">
        <f>IF(AND(C247&lt;&gt;"",W247&lt;&gt;""),C247&amp;"|"&amp;W247,"")</f>
        <v/>
      </c>
      <c r="AA247" s="970" t="n"/>
      <c r="AB247" s="555" t="n"/>
      <c r="AD247" s="970" t="n"/>
      <c r="AE247" s="520" t="n"/>
      <c r="AF247" s="970" t="n"/>
      <c r="AG247" s="970" t="n"/>
      <c r="AH247" s="970" t="n"/>
      <c r="AI247" s="970" t="n"/>
      <c r="AJ247" s="970" t="n"/>
      <c r="AK247" s="970" t="n"/>
      <c r="AL247" s="970" t="n"/>
      <c r="AM247" s="970" t="n"/>
      <c r="AN247" s="970" t="n"/>
      <c r="AO247" s="970" t="n"/>
      <c r="AP247" s="979" t="n"/>
      <c r="AQ247" s="980">
        <f>SUM(AK247:AO247)</f>
        <v/>
      </c>
      <c r="AR247" s="981" t="n"/>
      <c r="AT247" s="971" t="n"/>
      <c r="AU247">
        <f t="array" ref="AU247">IF(D247&lt;&gt;"Occupied","",_xlfn.IFS(AND(ISNUMBER(AD247),AD247&lt;&gt;0),"Structured",ISNUMBER(SEARCH("/mo con",S247)),"Notes-parsed",ISNUMBER(SEARCH("step",S247)),"Step-up",ISNUMBER(SEARCH("swap",S247)),"Rate-swap",AND(ISNUMBER(H247),ISNUMBER(I247),H247&gt;I247),"Implied",TRUE,""))</f>
        <v/>
      </c>
      <c r="AV247" s="970" t="n"/>
    </row>
    <row r="248" outlineLevel="1" s="817">
      <c r="F248" s="520" t="n"/>
      <c r="G248" s="520" t="n"/>
      <c r="H248" s="970" t="n"/>
      <c r="I248" s="970" t="n"/>
      <c r="J248" s="970" t="n"/>
      <c r="K248" s="970" t="n"/>
      <c r="L248" s="970" t="n"/>
      <c r="M248" s="970" t="n"/>
      <c r="N248" s="970" t="n"/>
      <c r="O248" s="970" t="n"/>
      <c r="P248" s="970" t="n"/>
      <c r="Q248" s="970" t="n"/>
      <c r="T248" s="545" t="n"/>
      <c r="U248" s="971" t="n"/>
      <c r="V248" s="971" t="n"/>
      <c r="W248">
        <f>IF(AND($D248="Occupied",$AC248&lt;&gt;""),$AC248,"")</f>
        <v/>
      </c>
      <c r="X248">
        <f>IF(AND(D248="Occupied",C248&lt;&gt;"",W248&lt;&gt;""),C248&amp;"|"&amp;W248,"")</f>
        <v/>
      </c>
      <c r="Y248">
        <f>IF(AND(C248&lt;&gt;"",W248&lt;&gt;""),C248&amp;"|"&amp;W248,"")</f>
        <v/>
      </c>
      <c r="AA248" s="970" t="n"/>
      <c r="AB248" s="555" t="n"/>
      <c r="AD248" s="970" t="n"/>
      <c r="AE248" s="520" t="n"/>
      <c r="AF248" s="970" t="n"/>
      <c r="AG248" s="970" t="n"/>
      <c r="AH248" s="970" t="n"/>
      <c r="AI248" s="970" t="n"/>
      <c r="AJ248" s="970" t="n"/>
      <c r="AK248" s="970" t="n"/>
      <c r="AL248" s="970" t="n"/>
      <c r="AM248" s="970" t="n"/>
      <c r="AN248" s="970" t="n"/>
      <c r="AO248" s="970" t="n"/>
      <c r="AP248" s="979" t="n"/>
      <c r="AQ248" s="980">
        <f>SUM(AK248:AO248)</f>
        <v/>
      </c>
      <c r="AR248" s="981" t="n"/>
      <c r="AT248" s="971" t="n"/>
      <c r="AU248">
        <f t="array" ref="AU248">IF(D248&lt;&gt;"Occupied","",_xlfn.IFS(AND(ISNUMBER(AD248),AD248&lt;&gt;0),"Structured",ISNUMBER(SEARCH("/mo con",S248)),"Notes-parsed",ISNUMBER(SEARCH("step",S248)),"Step-up",ISNUMBER(SEARCH("swap",S248)),"Rate-swap",AND(ISNUMBER(H248),ISNUMBER(I248),H248&gt;I248),"Implied",TRUE,""))</f>
        <v/>
      </c>
      <c r="AV248" s="970" t="n"/>
    </row>
    <row r="249" outlineLevel="1" s="817">
      <c r="F249" s="520" t="n"/>
      <c r="G249" s="520" t="n"/>
      <c r="H249" s="970" t="n"/>
      <c r="I249" s="970" t="n"/>
      <c r="J249" s="970" t="n"/>
      <c r="K249" s="970" t="n"/>
      <c r="L249" s="970" t="n"/>
      <c r="M249" s="970" t="n"/>
      <c r="N249" s="970" t="n"/>
      <c r="O249" s="970" t="n"/>
      <c r="P249" s="970" t="n"/>
      <c r="Q249" s="970" t="n"/>
      <c r="T249" s="545" t="n"/>
      <c r="U249" s="971" t="n"/>
      <c r="V249" s="971" t="n"/>
      <c r="W249">
        <f>IF(AND($D249="Occupied",$AC249&lt;&gt;""),$AC249,"")</f>
        <v/>
      </c>
      <c r="X249">
        <f>IF(AND(D249="Occupied",C249&lt;&gt;"",W249&lt;&gt;""),C249&amp;"|"&amp;W249,"")</f>
        <v/>
      </c>
      <c r="Y249">
        <f>IF(AND(C249&lt;&gt;"",W249&lt;&gt;""),C249&amp;"|"&amp;W249,"")</f>
        <v/>
      </c>
      <c r="AA249" s="970" t="n"/>
      <c r="AB249" s="555" t="n"/>
      <c r="AD249" s="970" t="n"/>
      <c r="AE249" s="520" t="n"/>
      <c r="AF249" s="970" t="n"/>
      <c r="AG249" s="970" t="n"/>
      <c r="AH249" s="970" t="n"/>
      <c r="AI249" s="970" t="n"/>
      <c r="AJ249" s="970" t="n"/>
      <c r="AK249" s="970" t="n"/>
      <c r="AL249" s="970" t="n"/>
      <c r="AM249" s="970" t="n"/>
      <c r="AN249" s="970" t="n"/>
      <c r="AO249" s="970" t="n"/>
      <c r="AP249" s="979" t="n"/>
      <c r="AQ249" s="980">
        <f>SUM(AK249:AO249)</f>
        <v/>
      </c>
      <c r="AR249" s="981" t="n"/>
      <c r="AT249" s="971" t="n"/>
      <c r="AU249">
        <f t="array" ref="AU249">IF(D249&lt;&gt;"Occupied","",_xlfn.IFS(AND(ISNUMBER(AD249),AD249&lt;&gt;0),"Structured",ISNUMBER(SEARCH("/mo con",S249)),"Notes-parsed",ISNUMBER(SEARCH("step",S249)),"Step-up",ISNUMBER(SEARCH("swap",S249)),"Rate-swap",AND(ISNUMBER(H249),ISNUMBER(I249),H249&gt;I249),"Implied",TRUE,""))</f>
        <v/>
      </c>
      <c r="AV249" s="970" t="n"/>
    </row>
    <row r="250" outlineLevel="1" s="817">
      <c r="F250" s="520" t="n"/>
      <c r="G250" s="520" t="n"/>
      <c r="H250" s="970" t="n"/>
      <c r="I250" s="970" t="n"/>
      <c r="J250" s="970" t="n"/>
      <c r="K250" s="970" t="n"/>
      <c r="L250" s="970" t="n"/>
      <c r="M250" s="970" t="n"/>
      <c r="N250" s="970" t="n"/>
      <c r="O250" s="970" t="n"/>
      <c r="P250" s="970" t="n"/>
      <c r="Q250" s="970" t="n"/>
      <c r="T250" s="545" t="n"/>
      <c r="U250" s="971" t="n"/>
      <c r="V250" s="971" t="n"/>
      <c r="W250">
        <f>IF(AND($D250="Occupied",$AC250&lt;&gt;""),$AC250,"")</f>
        <v/>
      </c>
      <c r="X250">
        <f>IF(AND(D250="Occupied",C250&lt;&gt;"",W250&lt;&gt;""),C250&amp;"|"&amp;W250,"")</f>
        <v/>
      </c>
      <c r="Y250">
        <f>IF(AND(C250&lt;&gt;"",W250&lt;&gt;""),C250&amp;"|"&amp;W250,"")</f>
        <v/>
      </c>
      <c r="AA250" s="970" t="n"/>
      <c r="AB250" s="555" t="n"/>
      <c r="AD250" s="970" t="n"/>
      <c r="AE250" s="520" t="n"/>
      <c r="AF250" s="970" t="n"/>
      <c r="AG250" s="970" t="n"/>
      <c r="AH250" s="970" t="n"/>
      <c r="AI250" s="970" t="n"/>
      <c r="AJ250" s="970" t="n"/>
      <c r="AK250" s="970" t="n"/>
      <c r="AL250" s="970" t="n"/>
      <c r="AM250" s="970" t="n"/>
      <c r="AN250" s="970" t="n"/>
      <c r="AO250" s="970" t="n"/>
      <c r="AP250" s="979" t="n"/>
      <c r="AQ250" s="980">
        <f>SUM(AK250:AO250)</f>
        <v/>
      </c>
      <c r="AR250" s="981" t="n"/>
      <c r="AT250" s="971" t="n"/>
      <c r="AU250">
        <f t="array" ref="AU250">IF(D250&lt;&gt;"Occupied","",_xlfn.IFS(AND(ISNUMBER(AD250),AD250&lt;&gt;0),"Structured",ISNUMBER(SEARCH("/mo con",S250)),"Notes-parsed",ISNUMBER(SEARCH("step",S250)),"Step-up",ISNUMBER(SEARCH("swap",S250)),"Rate-swap",AND(ISNUMBER(H250),ISNUMBER(I250),H250&gt;I250),"Implied",TRUE,""))</f>
        <v/>
      </c>
      <c r="AV250" s="970" t="n"/>
    </row>
    <row r="251" outlineLevel="1" s="817">
      <c r="F251" s="520" t="n"/>
      <c r="G251" s="520" t="n"/>
      <c r="H251" s="970" t="n"/>
      <c r="I251" s="970" t="n"/>
      <c r="J251" s="970" t="n"/>
      <c r="K251" s="970" t="n"/>
      <c r="L251" s="970" t="n"/>
      <c r="M251" s="970" t="n"/>
      <c r="N251" s="970" t="n"/>
      <c r="O251" s="970" t="n"/>
      <c r="P251" s="970" t="n"/>
      <c r="Q251" s="970" t="n"/>
      <c r="T251" s="545" t="n"/>
      <c r="U251" s="971" t="n"/>
      <c r="V251" s="971" t="n"/>
      <c r="W251">
        <f>IF(AND($D251="Occupied",$AC251&lt;&gt;""),$AC251,"")</f>
        <v/>
      </c>
      <c r="X251">
        <f>IF(AND(D251="Occupied",C251&lt;&gt;"",W251&lt;&gt;""),C251&amp;"|"&amp;W251,"")</f>
        <v/>
      </c>
      <c r="Y251">
        <f>IF(AND(C251&lt;&gt;"",W251&lt;&gt;""),C251&amp;"|"&amp;W251,"")</f>
        <v/>
      </c>
      <c r="AA251" s="970" t="n"/>
      <c r="AB251" s="555" t="n"/>
      <c r="AD251" s="970" t="n"/>
      <c r="AE251" s="520" t="n"/>
      <c r="AF251" s="970" t="n"/>
      <c r="AG251" s="970" t="n"/>
      <c r="AH251" s="970" t="n"/>
      <c r="AI251" s="970" t="n"/>
      <c r="AJ251" s="970" t="n"/>
      <c r="AK251" s="970" t="n"/>
      <c r="AL251" s="970" t="n"/>
      <c r="AM251" s="970" t="n"/>
      <c r="AN251" s="970" t="n"/>
      <c r="AO251" s="970" t="n"/>
      <c r="AP251" s="979" t="n"/>
      <c r="AQ251" s="980">
        <f>SUM(AK251:AO251)</f>
        <v/>
      </c>
      <c r="AR251" s="981" t="n"/>
      <c r="AT251" s="971" t="n"/>
      <c r="AU251">
        <f t="array" ref="AU251">IF(D251&lt;&gt;"Occupied","",_xlfn.IFS(AND(ISNUMBER(AD251),AD251&lt;&gt;0),"Structured",ISNUMBER(SEARCH("/mo con",S251)),"Notes-parsed",ISNUMBER(SEARCH("step",S251)),"Step-up",ISNUMBER(SEARCH("swap",S251)),"Rate-swap",AND(ISNUMBER(H251),ISNUMBER(I251),H251&gt;I251),"Implied",TRUE,""))</f>
        <v/>
      </c>
      <c r="AV251" s="970" t="n"/>
    </row>
    <row r="252" outlineLevel="1" s="817">
      <c r="F252" s="520" t="n"/>
      <c r="G252" s="520" t="n"/>
      <c r="H252" s="970" t="n"/>
      <c r="I252" s="970" t="n"/>
      <c r="J252" s="970" t="n"/>
      <c r="K252" s="970" t="n"/>
      <c r="L252" s="970" t="n"/>
      <c r="M252" s="970" t="n"/>
      <c r="N252" s="970" t="n"/>
      <c r="O252" s="970" t="n"/>
      <c r="P252" s="970" t="n"/>
      <c r="Q252" s="970" t="n"/>
      <c r="T252" s="545" t="n"/>
      <c r="U252" s="971" t="n"/>
      <c r="V252" s="971" t="n"/>
      <c r="W252">
        <f>IF(AND($D252="Occupied",$AC252&lt;&gt;""),$AC252,"")</f>
        <v/>
      </c>
      <c r="X252">
        <f>IF(AND(D252="Occupied",C252&lt;&gt;"",W252&lt;&gt;""),C252&amp;"|"&amp;W252,"")</f>
        <v/>
      </c>
      <c r="Y252">
        <f>IF(AND(C252&lt;&gt;"",W252&lt;&gt;""),C252&amp;"|"&amp;W252,"")</f>
        <v/>
      </c>
      <c r="AA252" s="970" t="n"/>
      <c r="AB252" s="555" t="n"/>
      <c r="AD252" s="970" t="n"/>
      <c r="AE252" s="520" t="n"/>
      <c r="AF252" s="970" t="n"/>
      <c r="AG252" s="970" t="n"/>
      <c r="AH252" s="970" t="n"/>
      <c r="AI252" s="970" t="n"/>
      <c r="AJ252" s="970" t="n"/>
      <c r="AK252" s="970" t="n"/>
      <c r="AL252" s="970" t="n"/>
      <c r="AM252" s="970" t="n"/>
      <c r="AN252" s="970" t="n"/>
      <c r="AO252" s="970" t="n"/>
      <c r="AP252" s="979" t="n"/>
      <c r="AQ252" s="980">
        <f>SUM(AK252:AO252)</f>
        <v/>
      </c>
      <c r="AR252" s="981" t="n"/>
      <c r="AT252" s="971" t="n"/>
      <c r="AU252">
        <f t="array" ref="AU252">IF(D252&lt;&gt;"Occupied","",_xlfn.IFS(AND(ISNUMBER(AD252),AD252&lt;&gt;0),"Structured",ISNUMBER(SEARCH("/mo con",S252)),"Notes-parsed",ISNUMBER(SEARCH("step",S252)),"Step-up",ISNUMBER(SEARCH("swap",S252)),"Rate-swap",AND(ISNUMBER(H252),ISNUMBER(I252),H252&gt;I252),"Implied",TRUE,""))</f>
        <v/>
      </c>
      <c r="AV252" s="970" t="n"/>
    </row>
    <row r="253" outlineLevel="1" s="817">
      <c r="F253" s="520" t="n"/>
      <c r="G253" s="520" t="n"/>
      <c r="H253" s="970" t="n"/>
      <c r="I253" s="970" t="n"/>
      <c r="J253" s="970" t="n"/>
      <c r="K253" s="970" t="n"/>
      <c r="L253" s="970" t="n"/>
      <c r="M253" s="970" t="n"/>
      <c r="N253" s="970" t="n"/>
      <c r="O253" s="970" t="n"/>
      <c r="P253" s="970" t="n"/>
      <c r="Q253" s="970" t="n"/>
      <c r="T253" s="545" t="n"/>
      <c r="U253" s="971" t="n"/>
      <c r="V253" s="971" t="n"/>
      <c r="W253">
        <f>IF(AND($D253="Occupied",$AC253&lt;&gt;""),$AC253,"")</f>
        <v/>
      </c>
      <c r="X253">
        <f>IF(AND(D253="Occupied",C253&lt;&gt;"",W253&lt;&gt;""),C253&amp;"|"&amp;W253,"")</f>
        <v/>
      </c>
      <c r="Y253">
        <f>IF(AND(C253&lt;&gt;"",W253&lt;&gt;""),C253&amp;"|"&amp;W253,"")</f>
        <v/>
      </c>
      <c r="AA253" s="970" t="n"/>
      <c r="AB253" s="555" t="n"/>
      <c r="AD253" s="970" t="n"/>
      <c r="AE253" s="520" t="n"/>
      <c r="AF253" s="970" t="n"/>
      <c r="AG253" s="970" t="n"/>
      <c r="AH253" s="970" t="n"/>
      <c r="AI253" s="970" t="n"/>
      <c r="AJ253" s="970" t="n"/>
      <c r="AK253" s="970" t="n"/>
      <c r="AL253" s="970" t="n"/>
      <c r="AM253" s="970" t="n"/>
      <c r="AN253" s="970" t="n"/>
      <c r="AO253" s="970" t="n"/>
      <c r="AP253" s="979" t="n"/>
      <c r="AQ253" s="980">
        <f>SUM(AK253:AO253)</f>
        <v/>
      </c>
      <c r="AR253" s="981" t="n"/>
      <c r="AT253" s="971" t="n"/>
      <c r="AU253">
        <f t="array" ref="AU253">IF(D253&lt;&gt;"Occupied","",_xlfn.IFS(AND(ISNUMBER(AD253),AD253&lt;&gt;0),"Structured",ISNUMBER(SEARCH("/mo con",S253)),"Notes-parsed",ISNUMBER(SEARCH("step",S253)),"Step-up",ISNUMBER(SEARCH("swap",S253)),"Rate-swap",AND(ISNUMBER(H253),ISNUMBER(I253),H253&gt;I253),"Implied",TRUE,""))</f>
        <v/>
      </c>
      <c r="AV253" s="970" t="n"/>
    </row>
    <row r="254" outlineLevel="1" s="817">
      <c r="F254" s="520" t="n"/>
      <c r="G254" s="520" t="n"/>
      <c r="H254" s="970" t="n"/>
      <c r="I254" s="970" t="n"/>
      <c r="J254" s="970" t="n"/>
      <c r="K254" s="970" t="n"/>
      <c r="L254" s="970" t="n"/>
      <c r="M254" s="970" t="n"/>
      <c r="N254" s="970" t="n"/>
      <c r="O254" s="970" t="n"/>
      <c r="P254" s="970" t="n"/>
      <c r="Q254" s="970" t="n"/>
      <c r="T254" s="545" t="n"/>
      <c r="U254" s="971" t="n"/>
      <c r="V254" s="971" t="n"/>
      <c r="W254">
        <f>IF(AND($D254="Occupied",$AC254&lt;&gt;""),$AC254,"")</f>
        <v/>
      </c>
      <c r="X254">
        <f>IF(AND(D254="Occupied",C254&lt;&gt;"",W254&lt;&gt;""),C254&amp;"|"&amp;W254,"")</f>
        <v/>
      </c>
      <c r="Y254">
        <f>IF(AND(C254&lt;&gt;"",W254&lt;&gt;""),C254&amp;"|"&amp;W254,"")</f>
        <v/>
      </c>
      <c r="AA254" s="970" t="n"/>
      <c r="AB254" s="555" t="n"/>
      <c r="AD254" s="970" t="n"/>
      <c r="AE254" s="520" t="n"/>
      <c r="AF254" s="970" t="n"/>
      <c r="AG254" s="970" t="n"/>
      <c r="AH254" s="970" t="n"/>
      <c r="AI254" s="970" t="n"/>
      <c r="AJ254" s="970" t="n"/>
      <c r="AK254" s="970" t="n"/>
      <c r="AL254" s="970" t="n"/>
      <c r="AM254" s="970" t="n"/>
      <c r="AN254" s="970" t="n"/>
      <c r="AO254" s="970" t="n"/>
      <c r="AP254" s="979" t="n"/>
      <c r="AQ254" s="980">
        <f>SUM(AK254:AO254)</f>
        <v/>
      </c>
      <c r="AR254" s="981" t="n"/>
      <c r="AT254" s="971" t="n"/>
      <c r="AU254">
        <f t="array" ref="AU254">IF(D254&lt;&gt;"Occupied","",_xlfn.IFS(AND(ISNUMBER(AD254),AD254&lt;&gt;0),"Structured",ISNUMBER(SEARCH("/mo con",S254)),"Notes-parsed",ISNUMBER(SEARCH("step",S254)),"Step-up",ISNUMBER(SEARCH("swap",S254)),"Rate-swap",AND(ISNUMBER(H254),ISNUMBER(I254),H254&gt;I254),"Implied",TRUE,""))</f>
        <v/>
      </c>
      <c r="AV254" s="970" t="n"/>
    </row>
    <row r="255" outlineLevel="1" s="817">
      <c r="F255" s="520" t="n"/>
      <c r="G255" s="520" t="n"/>
      <c r="H255" s="970" t="n"/>
      <c r="I255" s="970" t="n"/>
      <c r="J255" s="970" t="n"/>
      <c r="K255" s="970" t="n"/>
      <c r="L255" s="970" t="n"/>
      <c r="M255" s="970" t="n"/>
      <c r="N255" s="970" t="n"/>
      <c r="O255" s="970" t="n"/>
      <c r="P255" s="970" t="n"/>
      <c r="Q255" s="970" t="n"/>
      <c r="T255" s="545" t="n"/>
      <c r="U255" s="971" t="n"/>
      <c r="V255" s="971" t="n"/>
      <c r="W255">
        <f>IF(AND($D255="Occupied",$AC255&lt;&gt;""),$AC255,"")</f>
        <v/>
      </c>
      <c r="X255">
        <f>IF(AND(D255="Occupied",C255&lt;&gt;"",W255&lt;&gt;""),C255&amp;"|"&amp;W255,"")</f>
        <v/>
      </c>
      <c r="Y255">
        <f>IF(AND(C255&lt;&gt;"",W255&lt;&gt;""),C255&amp;"|"&amp;W255,"")</f>
        <v/>
      </c>
      <c r="AA255" s="970" t="n"/>
      <c r="AB255" s="555" t="n"/>
      <c r="AD255" s="970" t="n"/>
      <c r="AE255" s="520" t="n"/>
      <c r="AF255" s="970" t="n"/>
      <c r="AG255" s="970" t="n"/>
      <c r="AH255" s="970" t="n"/>
      <c r="AI255" s="970" t="n"/>
      <c r="AJ255" s="970" t="n"/>
      <c r="AK255" s="970" t="n"/>
      <c r="AL255" s="970" t="n"/>
      <c r="AM255" s="970" t="n"/>
      <c r="AN255" s="970" t="n"/>
      <c r="AO255" s="970" t="n"/>
      <c r="AP255" s="979" t="n"/>
      <c r="AQ255" s="980">
        <f>SUM(AK255:AO255)</f>
        <v/>
      </c>
      <c r="AR255" s="981" t="n"/>
      <c r="AT255" s="971" t="n"/>
      <c r="AU255">
        <f t="array" ref="AU255">IF(D255&lt;&gt;"Occupied","",_xlfn.IFS(AND(ISNUMBER(AD255),AD255&lt;&gt;0),"Structured",ISNUMBER(SEARCH("/mo con",S255)),"Notes-parsed",ISNUMBER(SEARCH("step",S255)),"Step-up",ISNUMBER(SEARCH("swap",S255)),"Rate-swap",AND(ISNUMBER(H255),ISNUMBER(I255),H255&gt;I255),"Implied",TRUE,""))</f>
        <v/>
      </c>
      <c r="AV255" s="970" t="n"/>
    </row>
    <row r="256" outlineLevel="1" s="817">
      <c r="F256" s="520" t="n"/>
      <c r="G256" s="520" t="n"/>
      <c r="H256" s="970" t="n"/>
      <c r="I256" s="970" t="n"/>
      <c r="J256" s="970" t="n"/>
      <c r="K256" s="970" t="n"/>
      <c r="L256" s="970" t="n"/>
      <c r="M256" s="970" t="n"/>
      <c r="N256" s="970" t="n"/>
      <c r="O256" s="970" t="n"/>
      <c r="P256" s="970" t="n"/>
      <c r="Q256" s="970" t="n"/>
      <c r="T256" s="545" t="n"/>
      <c r="U256" s="971" t="n"/>
      <c r="V256" s="971" t="n"/>
      <c r="W256">
        <f>IF(AND($D256="Occupied",$AC256&lt;&gt;""),$AC256,"")</f>
        <v/>
      </c>
      <c r="X256">
        <f>IF(AND(D256="Occupied",C256&lt;&gt;"",W256&lt;&gt;""),C256&amp;"|"&amp;W256,"")</f>
        <v/>
      </c>
      <c r="Y256">
        <f>IF(AND(C256&lt;&gt;"",W256&lt;&gt;""),C256&amp;"|"&amp;W256,"")</f>
        <v/>
      </c>
      <c r="AA256" s="970" t="n"/>
      <c r="AB256" s="555" t="n"/>
      <c r="AD256" s="970" t="n"/>
      <c r="AE256" s="520" t="n"/>
      <c r="AF256" s="970" t="n"/>
      <c r="AG256" s="970" t="n"/>
      <c r="AH256" s="970" t="n"/>
      <c r="AI256" s="970" t="n"/>
      <c r="AJ256" s="970" t="n"/>
      <c r="AK256" s="970" t="n"/>
      <c r="AL256" s="970" t="n"/>
      <c r="AM256" s="970" t="n"/>
      <c r="AN256" s="970" t="n"/>
      <c r="AO256" s="970" t="n"/>
      <c r="AP256" s="979" t="n"/>
      <c r="AQ256" s="980">
        <f>SUM(AK256:AO256)</f>
        <v/>
      </c>
      <c r="AR256" s="981" t="n"/>
      <c r="AT256" s="971" t="n"/>
      <c r="AU256">
        <f t="array" ref="AU256">IF(D256&lt;&gt;"Occupied","",_xlfn.IFS(AND(ISNUMBER(AD256),AD256&lt;&gt;0),"Structured",ISNUMBER(SEARCH("/mo con",S256)),"Notes-parsed",ISNUMBER(SEARCH("step",S256)),"Step-up",ISNUMBER(SEARCH("swap",S256)),"Rate-swap",AND(ISNUMBER(H256),ISNUMBER(I256),H256&gt;I256),"Implied",TRUE,""))</f>
        <v/>
      </c>
      <c r="AV256" s="970" t="n"/>
    </row>
    <row r="257" outlineLevel="1" s="817">
      <c r="F257" s="520" t="n"/>
      <c r="G257" s="520" t="n"/>
      <c r="H257" s="970" t="n"/>
      <c r="I257" s="970" t="n"/>
      <c r="J257" s="970" t="n"/>
      <c r="K257" s="970" t="n"/>
      <c r="L257" s="970" t="n"/>
      <c r="M257" s="970" t="n"/>
      <c r="N257" s="970" t="n"/>
      <c r="O257" s="970" t="n"/>
      <c r="P257" s="970" t="n"/>
      <c r="Q257" s="970" t="n"/>
      <c r="T257" s="545" t="n"/>
      <c r="U257" s="971" t="n"/>
      <c r="V257" s="971" t="n"/>
      <c r="W257">
        <f>IF(AND($D257="Occupied",$AC257&lt;&gt;""),$AC257,"")</f>
        <v/>
      </c>
      <c r="X257">
        <f>IF(AND(D257="Occupied",C257&lt;&gt;"",W257&lt;&gt;""),C257&amp;"|"&amp;W257,"")</f>
        <v/>
      </c>
      <c r="Y257">
        <f>IF(AND(C257&lt;&gt;"",W257&lt;&gt;""),C257&amp;"|"&amp;W257,"")</f>
        <v/>
      </c>
      <c r="AA257" s="970" t="n"/>
      <c r="AB257" s="555" t="n"/>
      <c r="AD257" s="970" t="n"/>
      <c r="AE257" s="520" t="n"/>
      <c r="AF257" s="970" t="n"/>
      <c r="AG257" s="970" t="n"/>
      <c r="AH257" s="970" t="n"/>
      <c r="AI257" s="970" t="n"/>
      <c r="AJ257" s="970" t="n"/>
      <c r="AK257" s="970" t="n"/>
      <c r="AL257" s="970" t="n"/>
      <c r="AM257" s="970" t="n"/>
      <c r="AN257" s="970" t="n"/>
      <c r="AO257" s="970" t="n"/>
      <c r="AP257" s="979" t="n"/>
      <c r="AQ257" s="980">
        <f>SUM(AK257:AO257)</f>
        <v/>
      </c>
      <c r="AR257" s="981" t="n"/>
      <c r="AT257" s="971" t="n"/>
      <c r="AU257">
        <f t="array" ref="AU257">IF(D257&lt;&gt;"Occupied","",_xlfn.IFS(AND(ISNUMBER(AD257),AD257&lt;&gt;0),"Structured",ISNUMBER(SEARCH("/mo con",S257)),"Notes-parsed",ISNUMBER(SEARCH("step",S257)),"Step-up",ISNUMBER(SEARCH("swap",S257)),"Rate-swap",AND(ISNUMBER(H257),ISNUMBER(I257),H257&gt;I257),"Implied",TRUE,""))</f>
        <v/>
      </c>
      <c r="AV257" s="970" t="n"/>
    </row>
    <row r="258" outlineLevel="1" s="817">
      <c r="F258" s="520" t="n"/>
      <c r="G258" s="520" t="n"/>
      <c r="H258" s="970" t="n"/>
      <c r="I258" s="970" t="n"/>
      <c r="J258" s="970" t="n"/>
      <c r="K258" s="970" t="n"/>
      <c r="L258" s="970" t="n"/>
      <c r="M258" s="970" t="n"/>
      <c r="N258" s="970" t="n"/>
      <c r="O258" s="970" t="n"/>
      <c r="P258" s="970" t="n"/>
      <c r="Q258" s="970" t="n"/>
      <c r="T258" s="545" t="n"/>
      <c r="U258" s="971" t="n"/>
      <c r="V258" s="971" t="n"/>
      <c r="W258">
        <f>IF(AND($D258="Occupied",$AC258&lt;&gt;""),$AC258,"")</f>
        <v/>
      </c>
      <c r="X258">
        <f>IF(AND(D258="Occupied",C258&lt;&gt;"",W258&lt;&gt;""),C258&amp;"|"&amp;W258,"")</f>
        <v/>
      </c>
      <c r="Y258">
        <f>IF(AND(C258&lt;&gt;"",W258&lt;&gt;""),C258&amp;"|"&amp;W258,"")</f>
        <v/>
      </c>
      <c r="AA258" s="970" t="n"/>
      <c r="AB258" s="555" t="n"/>
      <c r="AD258" s="970" t="n"/>
      <c r="AE258" s="520" t="n"/>
      <c r="AF258" s="970" t="n"/>
      <c r="AG258" s="970" t="n"/>
      <c r="AH258" s="970" t="n"/>
      <c r="AI258" s="970" t="n"/>
      <c r="AJ258" s="970" t="n"/>
      <c r="AK258" s="970" t="n"/>
      <c r="AL258" s="970" t="n"/>
      <c r="AM258" s="970" t="n"/>
      <c r="AN258" s="970" t="n"/>
      <c r="AO258" s="970" t="n"/>
      <c r="AP258" s="979" t="n"/>
      <c r="AQ258" s="980">
        <f>SUM(AK258:AO258)</f>
        <v/>
      </c>
      <c r="AR258" s="981" t="n"/>
      <c r="AT258" s="971" t="n"/>
      <c r="AU258">
        <f t="array" ref="AU258">IF(D258&lt;&gt;"Occupied","",_xlfn.IFS(AND(ISNUMBER(AD258),AD258&lt;&gt;0),"Structured",ISNUMBER(SEARCH("/mo con",S258)),"Notes-parsed",ISNUMBER(SEARCH("step",S258)),"Step-up",ISNUMBER(SEARCH("swap",S258)),"Rate-swap",AND(ISNUMBER(H258),ISNUMBER(I258),H258&gt;I258),"Implied",TRUE,""))</f>
        <v/>
      </c>
      <c r="AV258" s="970" t="n"/>
    </row>
    <row r="259" outlineLevel="1" s="817">
      <c r="F259" s="520" t="n"/>
      <c r="G259" s="520" t="n"/>
      <c r="H259" s="970" t="n"/>
      <c r="I259" s="970" t="n"/>
      <c r="J259" s="970" t="n"/>
      <c r="K259" s="970" t="n"/>
      <c r="L259" s="970" t="n"/>
      <c r="M259" s="970" t="n"/>
      <c r="N259" s="970" t="n"/>
      <c r="O259" s="970" t="n"/>
      <c r="P259" s="970" t="n"/>
      <c r="Q259" s="970" t="n"/>
      <c r="T259" s="545" t="n"/>
      <c r="U259" s="971" t="n"/>
      <c r="V259" s="971" t="n"/>
      <c r="W259">
        <f>IF(AND($D259="Occupied",$AC259&lt;&gt;""),$AC259,"")</f>
        <v/>
      </c>
      <c r="X259">
        <f>IF(AND(D259="Occupied",C259&lt;&gt;"",W259&lt;&gt;""),C259&amp;"|"&amp;W259,"")</f>
        <v/>
      </c>
      <c r="Y259">
        <f>IF(AND(C259&lt;&gt;"",W259&lt;&gt;""),C259&amp;"|"&amp;W259,"")</f>
        <v/>
      </c>
      <c r="AA259" s="970" t="n"/>
      <c r="AB259" s="555" t="n"/>
      <c r="AD259" s="970" t="n"/>
      <c r="AE259" s="520" t="n"/>
      <c r="AF259" s="970" t="n"/>
      <c r="AG259" s="970" t="n"/>
      <c r="AH259" s="970" t="n"/>
      <c r="AI259" s="970" t="n"/>
      <c r="AJ259" s="970" t="n"/>
      <c r="AK259" s="970" t="n"/>
      <c r="AL259" s="970" t="n"/>
      <c r="AM259" s="970" t="n"/>
      <c r="AN259" s="970" t="n"/>
      <c r="AO259" s="970" t="n"/>
      <c r="AP259" s="979" t="n"/>
      <c r="AQ259" s="980">
        <f>SUM(AK259:AO259)</f>
        <v/>
      </c>
      <c r="AR259" s="981" t="n"/>
      <c r="AT259" s="971" t="n"/>
      <c r="AU259">
        <f t="array" ref="AU259">IF(D259&lt;&gt;"Occupied","",_xlfn.IFS(AND(ISNUMBER(AD259),AD259&lt;&gt;0),"Structured",ISNUMBER(SEARCH("/mo con",S259)),"Notes-parsed",ISNUMBER(SEARCH("step",S259)),"Step-up",ISNUMBER(SEARCH("swap",S259)),"Rate-swap",AND(ISNUMBER(H259),ISNUMBER(I259),H259&gt;I259),"Implied",TRUE,""))</f>
        <v/>
      </c>
      <c r="AV259" s="970" t="n"/>
    </row>
    <row r="260" outlineLevel="1" s="817">
      <c r="F260" s="520" t="n"/>
      <c r="G260" s="520" t="n"/>
      <c r="H260" s="970" t="n"/>
      <c r="I260" s="970" t="n"/>
      <c r="J260" s="970" t="n"/>
      <c r="K260" s="970" t="n"/>
      <c r="L260" s="970" t="n"/>
      <c r="M260" s="970" t="n"/>
      <c r="N260" s="970" t="n"/>
      <c r="O260" s="970" t="n"/>
      <c r="P260" s="970" t="n"/>
      <c r="Q260" s="970" t="n"/>
      <c r="T260" s="545" t="n"/>
      <c r="U260" s="971" t="n"/>
      <c r="V260" s="971" t="n"/>
      <c r="W260">
        <f>IF(AND($D260="Occupied",$AC260&lt;&gt;""),$AC260,"")</f>
        <v/>
      </c>
      <c r="X260">
        <f>IF(AND(D260="Occupied",C260&lt;&gt;"",W260&lt;&gt;""),C260&amp;"|"&amp;W260,"")</f>
        <v/>
      </c>
      <c r="Y260">
        <f>IF(AND(C260&lt;&gt;"",W260&lt;&gt;""),C260&amp;"|"&amp;W260,"")</f>
        <v/>
      </c>
      <c r="AA260" s="970" t="n"/>
      <c r="AB260" s="555" t="n"/>
      <c r="AD260" s="970" t="n"/>
      <c r="AE260" s="520" t="n"/>
      <c r="AF260" s="970" t="n"/>
      <c r="AG260" s="970" t="n"/>
      <c r="AH260" s="970" t="n"/>
      <c r="AI260" s="970" t="n"/>
      <c r="AJ260" s="970" t="n"/>
      <c r="AK260" s="970" t="n"/>
      <c r="AL260" s="970" t="n"/>
      <c r="AM260" s="970" t="n"/>
      <c r="AN260" s="970" t="n"/>
      <c r="AO260" s="970" t="n"/>
      <c r="AP260" s="979" t="n"/>
      <c r="AQ260" s="980">
        <f>SUM(AK260:AO260)</f>
        <v/>
      </c>
      <c r="AR260" s="981" t="n"/>
      <c r="AT260" s="971" t="n"/>
      <c r="AU260">
        <f t="array" ref="AU260">IF(D260&lt;&gt;"Occupied","",_xlfn.IFS(AND(ISNUMBER(AD260),AD260&lt;&gt;0),"Structured",ISNUMBER(SEARCH("/mo con",S260)),"Notes-parsed",ISNUMBER(SEARCH("step",S260)),"Step-up",ISNUMBER(SEARCH("swap",S260)),"Rate-swap",AND(ISNUMBER(H260),ISNUMBER(I260),H260&gt;I260),"Implied",TRUE,""))</f>
        <v/>
      </c>
      <c r="AV260" s="970" t="n"/>
    </row>
    <row r="261" outlineLevel="1" s="817">
      <c r="F261" s="520" t="n"/>
      <c r="G261" s="520" t="n"/>
      <c r="H261" s="970" t="n"/>
      <c r="I261" s="970" t="n"/>
      <c r="J261" s="970" t="n"/>
      <c r="K261" s="970" t="n"/>
      <c r="L261" s="970" t="n"/>
      <c r="M261" s="970" t="n"/>
      <c r="N261" s="970" t="n"/>
      <c r="O261" s="970" t="n"/>
      <c r="P261" s="970" t="n"/>
      <c r="Q261" s="970" t="n"/>
      <c r="T261" s="545" t="n"/>
      <c r="U261" s="971" t="n"/>
      <c r="V261" s="971" t="n"/>
      <c r="W261">
        <f>IF(AND($D261="Occupied",$AC261&lt;&gt;""),$AC261,"")</f>
        <v/>
      </c>
      <c r="X261">
        <f>IF(AND(D261="Occupied",C261&lt;&gt;"",W261&lt;&gt;""),C261&amp;"|"&amp;W261,"")</f>
        <v/>
      </c>
      <c r="Y261">
        <f>IF(AND(C261&lt;&gt;"",W261&lt;&gt;""),C261&amp;"|"&amp;W261,"")</f>
        <v/>
      </c>
      <c r="AA261" s="970" t="n"/>
      <c r="AB261" s="555" t="n"/>
      <c r="AD261" s="970" t="n"/>
      <c r="AE261" s="520" t="n"/>
      <c r="AF261" s="970" t="n"/>
      <c r="AG261" s="970" t="n"/>
      <c r="AH261" s="970" t="n"/>
      <c r="AI261" s="970" t="n"/>
      <c r="AJ261" s="970" t="n"/>
      <c r="AK261" s="970" t="n"/>
      <c r="AL261" s="970" t="n"/>
      <c r="AM261" s="970" t="n"/>
      <c r="AN261" s="970" t="n"/>
      <c r="AO261" s="970" t="n"/>
      <c r="AP261" s="979" t="n"/>
      <c r="AQ261" s="980">
        <f>SUM(AK261:AO261)</f>
        <v/>
      </c>
      <c r="AR261" s="981" t="n"/>
      <c r="AT261" s="971" t="n"/>
      <c r="AU261">
        <f t="array" ref="AU261">IF(D261&lt;&gt;"Occupied","",_xlfn.IFS(AND(ISNUMBER(AD261),AD261&lt;&gt;0),"Structured",ISNUMBER(SEARCH("/mo con",S261)),"Notes-parsed",ISNUMBER(SEARCH("step",S261)),"Step-up",ISNUMBER(SEARCH("swap",S261)),"Rate-swap",AND(ISNUMBER(H261),ISNUMBER(I261),H261&gt;I261),"Implied",TRUE,""))</f>
        <v/>
      </c>
      <c r="AV261" s="970" t="n"/>
    </row>
    <row r="262" outlineLevel="1" s="817">
      <c r="F262" s="520" t="n"/>
      <c r="G262" s="520" t="n"/>
      <c r="H262" s="970" t="n"/>
      <c r="I262" s="970" t="n"/>
      <c r="J262" s="970" t="n"/>
      <c r="K262" s="970" t="n"/>
      <c r="L262" s="970" t="n"/>
      <c r="M262" s="970" t="n"/>
      <c r="N262" s="970" t="n"/>
      <c r="O262" s="970" t="n"/>
      <c r="P262" s="970" t="n"/>
      <c r="Q262" s="970" t="n"/>
      <c r="T262" s="545" t="n"/>
      <c r="U262" s="971" t="n"/>
      <c r="V262" s="971" t="n"/>
      <c r="W262">
        <f>IF(AND($D262="Occupied",$AC262&lt;&gt;""),$AC262,"")</f>
        <v/>
      </c>
      <c r="X262">
        <f>IF(AND(D262="Occupied",C262&lt;&gt;"",W262&lt;&gt;""),C262&amp;"|"&amp;W262,"")</f>
        <v/>
      </c>
      <c r="Y262">
        <f>IF(AND(C262&lt;&gt;"",W262&lt;&gt;""),C262&amp;"|"&amp;W262,"")</f>
        <v/>
      </c>
      <c r="AA262" s="970" t="n"/>
      <c r="AB262" s="555" t="n"/>
      <c r="AD262" s="970" t="n"/>
      <c r="AE262" s="520" t="n"/>
      <c r="AF262" s="970" t="n"/>
      <c r="AG262" s="970" t="n"/>
      <c r="AH262" s="970" t="n"/>
      <c r="AI262" s="970" t="n"/>
      <c r="AJ262" s="970" t="n"/>
      <c r="AK262" s="970" t="n"/>
      <c r="AL262" s="970" t="n"/>
      <c r="AM262" s="970" t="n"/>
      <c r="AN262" s="970" t="n"/>
      <c r="AO262" s="970" t="n"/>
      <c r="AP262" s="979" t="n"/>
      <c r="AQ262" s="980">
        <f>SUM(AK262:AO262)</f>
        <v/>
      </c>
      <c r="AR262" s="981" t="n"/>
      <c r="AT262" s="971" t="n"/>
      <c r="AU262">
        <f t="array" ref="AU262">IF(D262&lt;&gt;"Occupied","",_xlfn.IFS(AND(ISNUMBER(AD262),AD262&lt;&gt;0),"Structured",ISNUMBER(SEARCH("/mo con",S262)),"Notes-parsed",ISNUMBER(SEARCH("step",S262)),"Step-up",ISNUMBER(SEARCH("swap",S262)),"Rate-swap",AND(ISNUMBER(H262),ISNUMBER(I262),H262&gt;I262),"Implied",TRUE,""))</f>
        <v/>
      </c>
      <c r="AV262" s="970" t="n"/>
    </row>
    <row r="263" outlineLevel="1" s="817">
      <c r="F263" s="520" t="n"/>
      <c r="G263" s="520" t="n"/>
      <c r="H263" s="970" t="n"/>
      <c r="I263" s="970" t="n"/>
      <c r="J263" s="970" t="n"/>
      <c r="K263" s="970" t="n"/>
      <c r="L263" s="970" t="n"/>
      <c r="M263" s="970" t="n"/>
      <c r="N263" s="970" t="n"/>
      <c r="O263" s="970" t="n"/>
      <c r="P263" s="970" t="n"/>
      <c r="Q263" s="970" t="n"/>
      <c r="T263" s="545" t="n"/>
      <c r="U263" s="971" t="n"/>
      <c r="V263" s="971" t="n"/>
      <c r="W263">
        <f>IF(AND($D263="Occupied",$AC263&lt;&gt;""),$AC263,"")</f>
        <v/>
      </c>
      <c r="X263">
        <f>IF(AND(D263="Occupied",C263&lt;&gt;"",W263&lt;&gt;""),C263&amp;"|"&amp;W263,"")</f>
        <v/>
      </c>
      <c r="Y263">
        <f>IF(AND(C263&lt;&gt;"",W263&lt;&gt;""),C263&amp;"|"&amp;W263,"")</f>
        <v/>
      </c>
      <c r="AA263" s="970" t="n"/>
      <c r="AB263" s="555" t="n"/>
      <c r="AD263" s="970" t="n"/>
      <c r="AE263" s="520" t="n"/>
      <c r="AF263" s="970" t="n"/>
      <c r="AG263" s="970" t="n"/>
      <c r="AH263" s="970" t="n"/>
      <c r="AI263" s="970" t="n"/>
      <c r="AJ263" s="970" t="n"/>
      <c r="AK263" s="970" t="n"/>
      <c r="AL263" s="970" t="n"/>
      <c r="AM263" s="970" t="n"/>
      <c r="AN263" s="970" t="n"/>
      <c r="AO263" s="970" t="n"/>
      <c r="AP263" s="979" t="n"/>
      <c r="AQ263" s="980">
        <f>SUM(AK263:AO263)</f>
        <v/>
      </c>
      <c r="AR263" s="981" t="n"/>
      <c r="AT263" s="971" t="n"/>
      <c r="AU263">
        <f t="array" ref="AU263">IF(D263&lt;&gt;"Occupied","",_xlfn.IFS(AND(ISNUMBER(AD263),AD263&lt;&gt;0),"Structured",ISNUMBER(SEARCH("/mo con",S263)),"Notes-parsed",ISNUMBER(SEARCH("step",S263)),"Step-up",ISNUMBER(SEARCH("swap",S263)),"Rate-swap",AND(ISNUMBER(H263),ISNUMBER(I263),H263&gt;I263),"Implied",TRUE,""))</f>
        <v/>
      </c>
      <c r="AV263" s="970" t="n"/>
    </row>
    <row r="264" outlineLevel="1" s="817">
      <c r="F264" s="520" t="n"/>
      <c r="G264" s="520" t="n"/>
      <c r="H264" s="970" t="n"/>
      <c r="I264" s="970" t="n"/>
      <c r="J264" s="970" t="n"/>
      <c r="K264" s="970" t="n"/>
      <c r="L264" s="970" t="n"/>
      <c r="M264" s="970" t="n"/>
      <c r="N264" s="970" t="n"/>
      <c r="O264" s="970" t="n"/>
      <c r="P264" s="970" t="n"/>
      <c r="Q264" s="970" t="n"/>
      <c r="T264" s="545" t="n"/>
      <c r="U264" s="971" t="n"/>
      <c r="V264" s="971" t="n"/>
      <c r="W264">
        <f>IF(AND($D264="Occupied",$AC264&lt;&gt;""),$AC264,"")</f>
        <v/>
      </c>
      <c r="X264">
        <f>IF(AND(D264="Occupied",C264&lt;&gt;"",W264&lt;&gt;""),C264&amp;"|"&amp;W264,"")</f>
        <v/>
      </c>
      <c r="Y264">
        <f>IF(AND(C264&lt;&gt;"",W264&lt;&gt;""),C264&amp;"|"&amp;W264,"")</f>
        <v/>
      </c>
      <c r="AA264" s="970" t="n"/>
      <c r="AB264" s="555" t="n"/>
      <c r="AD264" s="970" t="n"/>
      <c r="AE264" s="520" t="n"/>
      <c r="AF264" s="970" t="n"/>
      <c r="AG264" s="970" t="n"/>
      <c r="AH264" s="970" t="n"/>
      <c r="AI264" s="970" t="n"/>
      <c r="AJ264" s="970" t="n"/>
      <c r="AK264" s="970" t="n"/>
      <c r="AL264" s="970" t="n"/>
      <c r="AM264" s="970" t="n"/>
      <c r="AN264" s="970" t="n"/>
      <c r="AO264" s="970" t="n"/>
      <c r="AP264" s="979" t="n"/>
      <c r="AQ264" s="980">
        <f>SUM(AK264:AO264)</f>
        <v/>
      </c>
      <c r="AR264" s="981" t="n"/>
      <c r="AT264" s="971" t="n"/>
      <c r="AU264">
        <f t="array" ref="AU264">IF(D264&lt;&gt;"Occupied","",_xlfn.IFS(AND(ISNUMBER(AD264),AD264&lt;&gt;0),"Structured",ISNUMBER(SEARCH("/mo con",S264)),"Notes-parsed",ISNUMBER(SEARCH("step",S264)),"Step-up",ISNUMBER(SEARCH("swap",S264)),"Rate-swap",AND(ISNUMBER(H264),ISNUMBER(I264),H264&gt;I264),"Implied",TRUE,""))</f>
        <v/>
      </c>
      <c r="AV264" s="970" t="n"/>
    </row>
    <row r="265" outlineLevel="1" s="817">
      <c r="F265" s="520" t="n"/>
      <c r="G265" s="520" t="n"/>
      <c r="H265" s="970" t="n"/>
      <c r="I265" s="970" t="n"/>
      <c r="J265" s="970" t="n"/>
      <c r="K265" s="970" t="n"/>
      <c r="L265" s="970" t="n"/>
      <c r="M265" s="970" t="n"/>
      <c r="N265" s="970" t="n"/>
      <c r="O265" s="970" t="n"/>
      <c r="P265" s="970" t="n"/>
      <c r="Q265" s="970" t="n"/>
      <c r="T265" s="545" t="n"/>
      <c r="U265" s="971" t="n"/>
      <c r="V265" s="971" t="n"/>
      <c r="W265">
        <f>IF(AND($D265="Occupied",$AC265&lt;&gt;""),$AC265,"")</f>
        <v/>
      </c>
      <c r="X265">
        <f>IF(AND(D265="Occupied",C265&lt;&gt;"",W265&lt;&gt;""),C265&amp;"|"&amp;W265,"")</f>
        <v/>
      </c>
      <c r="Y265">
        <f>IF(AND(C265&lt;&gt;"",W265&lt;&gt;""),C265&amp;"|"&amp;W265,"")</f>
        <v/>
      </c>
      <c r="AA265" s="970" t="n"/>
      <c r="AB265" s="555" t="n"/>
      <c r="AD265" s="970" t="n"/>
      <c r="AE265" s="520" t="n"/>
      <c r="AF265" s="970" t="n"/>
      <c r="AG265" s="970" t="n"/>
      <c r="AH265" s="970" t="n"/>
      <c r="AI265" s="970" t="n"/>
      <c r="AJ265" s="970" t="n"/>
      <c r="AK265" s="970" t="n"/>
      <c r="AL265" s="970" t="n"/>
      <c r="AM265" s="970" t="n"/>
      <c r="AN265" s="970" t="n"/>
      <c r="AO265" s="970" t="n"/>
      <c r="AP265" s="979" t="n"/>
      <c r="AQ265" s="980">
        <f>SUM(AK265:AO265)</f>
        <v/>
      </c>
      <c r="AR265" s="981" t="n"/>
      <c r="AT265" s="971" t="n"/>
      <c r="AU265">
        <f t="array" ref="AU265">IF(D265&lt;&gt;"Occupied","",_xlfn.IFS(AND(ISNUMBER(AD265),AD265&lt;&gt;0),"Structured",ISNUMBER(SEARCH("/mo con",S265)),"Notes-parsed",ISNUMBER(SEARCH("step",S265)),"Step-up",ISNUMBER(SEARCH("swap",S265)),"Rate-swap",AND(ISNUMBER(H265),ISNUMBER(I265),H265&gt;I265),"Implied",TRUE,""))</f>
        <v/>
      </c>
      <c r="AV265" s="970" t="n"/>
    </row>
    <row r="266" outlineLevel="1" s="817">
      <c r="F266" s="520" t="n"/>
      <c r="G266" s="520" t="n"/>
      <c r="H266" s="970" t="n"/>
      <c r="I266" s="970" t="n"/>
      <c r="J266" s="970" t="n"/>
      <c r="K266" s="970" t="n"/>
      <c r="L266" s="970" t="n"/>
      <c r="M266" s="970" t="n"/>
      <c r="N266" s="970" t="n"/>
      <c r="O266" s="970" t="n"/>
      <c r="P266" s="970" t="n"/>
      <c r="Q266" s="970" t="n"/>
      <c r="T266" s="545" t="n"/>
      <c r="U266" s="971" t="n"/>
      <c r="V266" s="971" t="n"/>
      <c r="W266">
        <f>IF(AND($D266="Occupied",$AC266&lt;&gt;""),$AC266,"")</f>
        <v/>
      </c>
      <c r="X266">
        <f>IF(AND(D266="Occupied",C266&lt;&gt;"",W266&lt;&gt;""),C266&amp;"|"&amp;W266,"")</f>
        <v/>
      </c>
      <c r="Y266">
        <f>IF(AND(C266&lt;&gt;"",W266&lt;&gt;""),C266&amp;"|"&amp;W266,"")</f>
        <v/>
      </c>
      <c r="AA266" s="970" t="n"/>
      <c r="AB266" s="555" t="n"/>
      <c r="AD266" s="970" t="n"/>
      <c r="AE266" s="520" t="n"/>
      <c r="AF266" s="970" t="n"/>
      <c r="AG266" s="970" t="n"/>
      <c r="AH266" s="970" t="n"/>
      <c r="AI266" s="970" t="n"/>
      <c r="AJ266" s="970" t="n"/>
      <c r="AK266" s="970" t="n"/>
      <c r="AL266" s="970" t="n"/>
      <c r="AM266" s="970" t="n"/>
      <c r="AN266" s="970" t="n"/>
      <c r="AO266" s="970" t="n"/>
      <c r="AP266" s="979" t="n"/>
      <c r="AQ266" s="980">
        <f>SUM(AK266:AO266)</f>
        <v/>
      </c>
      <c r="AR266" s="981" t="n"/>
      <c r="AT266" s="971" t="n"/>
      <c r="AU266">
        <f t="array" ref="AU266">IF(D266&lt;&gt;"Occupied","",_xlfn.IFS(AND(ISNUMBER(AD266),AD266&lt;&gt;0),"Structured",ISNUMBER(SEARCH("/mo con",S266)),"Notes-parsed",ISNUMBER(SEARCH("step",S266)),"Step-up",ISNUMBER(SEARCH("swap",S266)),"Rate-swap",AND(ISNUMBER(H266),ISNUMBER(I266),H266&gt;I266),"Implied",TRUE,""))</f>
        <v/>
      </c>
      <c r="AV266" s="970" t="n"/>
    </row>
    <row r="267" outlineLevel="1" s="817">
      <c r="F267" s="520" t="n"/>
      <c r="G267" s="520" t="n"/>
      <c r="H267" s="970" t="n"/>
      <c r="I267" s="970" t="n"/>
      <c r="J267" s="970" t="n"/>
      <c r="K267" s="970" t="n"/>
      <c r="L267" s="970" t="n"/>
      <c r="M267" s="970" t="n"/>
      <c r="N267" s="970" t="n"/>
      <c r="O267" s="970" t="n"/>
      <c r="P267" s="970" t="n"/>
      <c r="Q267" s="970" t="n"/>
      <c r="T267" s="545" t="n"/>
      <c r="U267" s="971" t="n"/>
      <c r="V267" s="971" t="n"/>
      <c r="W267">
        <f>IF(AND($D267="Occupied",$AC267&lt;&gt;""),$AC267,"")</f>
        <v/>
      </c>
      <c r="X267">
        <f>IF(AND(D267="Occupied",C267&lt;&gt;"",W267&lt;&gt;""),C267&amp;"|"&amp;W267,"")</f>
        <v/>
      </c>
      <c r="Y267">
        <f>IF(AND(C267&lt;&gt;"",W267&lt;&gt;""),C267&amp;"|"&amp;W267,"")</f>
        <v/>
      </c>
      <c r="AA267" s="970" t="n"/>
      <c r="AB267" s="555" t="n"/>
      <c r="AD267" s="970" t="n"/>
      <c r="AE267" s="520" t="n"/>
      <c r="AF267" s="970" t="n"/>
      <c r="AG267" s="970" t="n"/>
      <c r="AH267" s="970" t="n"/>
      <c r="AI267" s="970" t="n"/>
      <c r="AJ267" s="970" t="n"/>
      <c r="AK267" s="970" t="n"/>
      <c r="AL267" s="970" t="n"/>
      <c r="AM267" s="970" t="n"/>
      <c r="AN267" s="970" t="n"/>
      <c r="AO267" s="970" t="n"/>
      <c r="AP267" s="979" t="n"/>
      <c r="AQ267" s="980">
        <f>SUM(AK267:AO267)</f>
        <v/>
      </c>
      <c r="AR267" s="981" t="n"/>
      <c r="AT267" s="971" t="n"/>
      <c r="AU267">
        <f t="array" ref="AU267">IF(D267&lt;&gt;"Occupied","",_xlfn.IFS(AND(ISNUMBER(AD267),AD267&lt;&gt;0),"Structured",ISNUMBER(SEARCH("/mo con",S267)),"Notes-parsed",ISNUMBER(SEARCH("step",S267)),"Step-up",ISNUMBER(SEARCH("swap",S267)),"Rate-swap",AND(ISNUMBER(H267),ISNUMBER(I267),H267&gt;I267),"Implied",TRUE,""))</f>
        <v/>
      </c>
      <c r="AV267" s="970" t="n"/>
    </row>
    <row r="268" outlineLevel="1" s="817">
      <c r="F268" s="520" t="n"/>
      <c r="G268" s="520" t="n"/>
      <c r="H268" s="970" t="n"/>
      <c r="I268" s="970" t="n"/>
      <c r="J268" s="970" t="n"/>
      <c r="K268" s="970" t="n"/>
      <c r="L268" s="970" t="n"/>
      <c r="M268" s="970" t="n"/>
      <c r="N268" s="970" t="n"/>
      <c r="O268" s="970" t="n"/>
      <c r="P268" s="970" t="n"/>
      <c r="Q268" s="970" t="n"/>
      <c r="T268" s="545" t="n"/>
      <c r="U268" s="971" t="n"/>
      <c r="V268" s="971" t="n"/>
      <c r="W268">
        <f>IF(AND($D268="Occupied",$AC268&lt;&gt;""),$AC268,"")</f>
        <v/>
      </c>
      <c r="X268">
        <f>IF(AND(D268="Occupied",C268&lt;&gt;"",W268&lt;&gt;""),C268&amp;"|"&amp;W268,"")</f>
        <v/>
      </c>
      <c r="Y268">
        <f>IF(AND(C268&lt;&gt;"",W268&lt;&gt;""),C268&amp;"|"&amp;W268,"")</f>
        <v/>
      </c>
      <c r="AA268" s="970" t="n"/>
      <c r="AB268" s="555" t="n"/>
      <c r="AD268" s="970" t="n"/>
      <c r="AE268" s="520" t="n"/>
      <c r="AF268" s="970" t="n"/>
      <c r="AG268" s="970" t="n"/>
      <c r="AH268" s="970" t="n"/>
      <c r="AI268" s="970" t="n"/>
      <c r="AJ268" s="970" t="n"/>
      <c r="AK268" s="970" t="n"/>
      <c r="AL268" s="970" t="n"/>
      <c r="AM268" s="970" t="n"/>
      <c r="AN268" s="970" t="n"/>
      <c r="AO268" s="970" t="n"/>
      <c r="AP268" s="979" t="n"/>
      <c r="AQ268" s="980">
        <f>SUM(AK268:AO268)</f>
        <v/>
      </c>
      <c r="AR268" s="981" t="n"/>
      <c r="AT268" s="971" t="n"/>
      <c r="AU268">
        <f t="array" ref="AU268">IF(D268&lt;&gt;"Occupied","",_xlfn.IFS(AND(ISNUMBER(AD268),AD268&lt;&gt;0),"Structured",ISNUMBER(SEARCH("/mo con",S268)),"Notes-parsed",ISNUMBER(SEARCH("step",S268)),"Step-up",ISNUMBER(SEARCH("swap",S268)),"Rate-swap",AND(ISNUMBER(H268),ISNUMBER(I268),H268&gt;I268),"Implied",TRUE,""))</f>
        <v/>
      </c>
      <c r="AV268" s="970" t="n"/>
    </row>
    <row r="269" outlineLevel="1" s="817">
      <c r="F269" s="520" t="n"/>
      <c r="G269" s="520" t="n"/>
      <c r="H269" s="970" t="n"/>
      <c r="I269" s="970" t="n"/>
      <c r="J269" s="970" t="n"/>
      <c r="K269" s="970" t="n"/>
      <c r="L269" s="970" t="n"/>
      <c r="M269" s="970" t="n"/>
      <c r="N269" s="970" t="n"/>
      <c r="O269" s="970" t="n"/>
      <c r="P269" s="970" t="n"/>
      <c r="Q269" s="970" t="n"/>
      <c r="T269" s="545" t="n"/>
      <c r="U269" s="971" t="n"/>
      <c r="V269" s="971" t="n"/>
      <c r="W269">
        <f>IF(AND($D269="Occupied",$AC269&lt;&gt;""),$AC269,"")</f>
        <v/>
      </c>
      <c r="X269">
        <f>IF(AND(D269="Occupied",C269&lt;&gt;"",W269&lt;&gt;""),C269&amp;"|"&amp;W269,"")</f>
        <v/>
      </c>
      <c r="Y269">
        <f>IF(AND(C269&lt;&gt;"",W269&lt;&gt;""),C269&amp;"|"&amp;W269,"")</f>
        <v/>
      </c>
      <c r="AA269" s="970" t="n"/>
      <c r="AB269" s="555" t="n"/>
      <c r="AD269" s="970" t="n"/>
      <c r="AE269" s="520" t="n"/>
      <c r="AF269" s="970" t="n"/>
      <c r="AG269" s="970" t="n"/>
      <c r="AH269" s="970" t="n"/>
      <c r="AI269" s="970" t="n"/>
      <c r="AJ269" s="970" t="n"/>
      <c r="AK269" s="970" t="n"/>
      <c r="AL269" s="970" t="n"/>
      <c r="AM269" s="970" t="n"/>
      <c r="AN269" s="970" t="n"/>
      <c r="AO269" s="970" t="n"/>
      <c r="AP269" s="979" t="n"/>
      <c r="AQ269" s="980">
        <f>SUM(AK269:AO269)</f>
        <v/>
      </c>
      <c r="AR269" s="981" t="n"/>
      <c r="AT269" s="971" t="n"/>
      <c r="AU269">
        <f t="array" ref="AU269">IF(D269&lt;&gt;"Occupied","",_xlfn.IFS(AND(ISNUMBER(AD269),AD269&lt;&gt;0),"Structured",ISNUMBER(SEARCH("/mo con",S269)),"Notes-parsed",ISNUMBER(SEARCH("step",S269)),"Step-up",ISNUMBER(SEARCH("swap",S269)),"Rate-swap",AND(ISNUMBER(H269),ISNUMBER(I269),H269&gt;I269),"Implied",TRUE,""))</f>
        <v/>
      </c>
      <c r="AV269" s="970" t="n"/>
    </row>
    <row r="270" outlineLevel="1" s="817">
      <c r="F270" s="520" t="n"/>
      <c r="G270" s="520" t="n"/>
      <c r="H270" s="970" t="n"/>
      <c r="I270" s="970" t="n"/>
      <c r="J270" s="970" t="n"/>
      <c r="K270" s="970" t="n"/>
      <c r="L270" s="970" t="n"/>
      <c r="M270" s="970" t="n"/>
      <c r="N270" s="970" t="n"/>
      <c r="O270" s="970" t="n"/>
      <c r="P270" s="970" t="n"/>
      <c r="Q270" s="970" t="n"/>
      <c r="T270" s="545" t="n"/>
      <c r="U270" s="971" t="n"/>
      <c r="V270" s="971" t="n"/>
      <c r="W270">
        <f>IF(AND($D270="Occupied",$AC270&lt;&gt;""),$AC270,"")</f>
        <v/>
      </c>
      <c r="X270">
        <f>IF(AND(D270="Occupied",C270&lt;&gt;"",W270&lt;&gt;""),C270&amp;"|"&amp;W270,"")</f>
        <v/>
      </c>
      <c r="Y270">
        <f>IF(AND(C270&lt;&gt;"",W270&lt;&gt;""),C270&amp;"|"&amp;W270,"")</f>
        <v/>
      </c>
      <c r="AA270" s="970" t="n"/>
      <c r="AB270" s="555" t="n"/>
      <c r="AD270" s="970" t="n"/>
      <c r="AE270" s="520" t="n"/>
      <c r="AF270" s="970" t="n"/>
      <c r="AG270" s="970" t="n"/>
      <c r="AH270" s="970" t="n"/>
      <c r="AI270" s="970" t="n"/>
      <c r="AJ270" s="970" t="n"/>
      <c r="AK270" s="970" t="n"/>
      <c r="AL270" s="970" t="n"/>
      <c r="AM270" s="970" t="n"/>
      <c r="AN270" s="970" t="n"/>
      <c r="AO270" s="970" t="n"/>
      <c r="AP270" s="979" t="n"/>
      <c r="AQ270" s="980">
        <f>SUM(AK270:AO270)</f>
        <v/>
      </c>
      <c r="AR270" s="981" t="n"/>
      <c r="AT270" s="971" t="n"/>
      <c r="AU270">
        <f t="array" ref="AU270">IF(D270&lt;&gt;"Occupied","",_xlfn.IFS(AND(ISNUMBER(AD270),AD270&lt;&gt;0),"Structured",ISNUMBER(SEARCH("/mo con",S270)),"Notes-parsed",ISNUMBER(SEARCH("step",S270)),"Step-up",ISNUMBER(SEARCH("swap",S270)),"Rate-swap",AND(ISNUMBER(H270),ISNUMBER(I270),H270&gt;I270),"Implied",TRUE,""))</f>
        <v/>
      </c>
      <c r="AV270" s="970" t="n"/>
    </row>
    <row r="271" outlineLevel="1" s="817">
      <c r="F271" s="520" t="n"/>
      <c r="G271" s="520" t="n"/>
      <c r="H271" s="970" t="n"/>
      <c r="I271" s="970" t="n"/>
      <c r="J271" s="970" t="n"/>
      <c r="K271" s="970" t="n"/>
      <c r="L271" s="970" t="n"/>
      <c r="M271" s="970" t="n"/>
      <c r="N271" s="970" t="n"/>
      <c r="O271" s="970" t="n"/>
      <c r="P271" s="970" t="n"/>
      <c r="Q271" s="970" t="n"/>
      <c r="T271" s="545" t="n"/>
      <c r="U271" s="971" t="n"/>
      <c r="V271" s="971" t="n"/>
      <c r="W271">
        <f>IF(AND($D271="Occupied",$AC271&lt;&gt;""),$AC271,"")</f>
        <v/>
      </c>
      <c r="X271">
        <f>IF(AND(D271="Occupied",C271&lt;&gt;"",W271&lt;&gt;""),C271&amp;"|"&amp;W271,"")</f>
        <v/>
      </c>
      <c r="Y271">
        <f>IF(AND(C271&lt;&gt;"",W271&lt;&gt;""),C271&amp;"|"&amp;W271,"")</f>
        <v/>
      </c>
      <c r="AA271" s="970" t="n"/>
      <c r="AB271" s="555" t="n"/>
      <c r="AD271" s="970" t="n"/>
      <c r="AE271" s="520" t="n"/>
      <c r="AF271" s="970" t="n"/>
      <c r="AG271" s="970" t="n"/>
      <c r="AH271" s="970" t="n"/>
      <c r="AI271" s="970" t="n"/>
      <c r="AJ271" s="970" t="n"/>
      <c r="AK271" s="970" t="n"/>
      <c r="AL271" s="970" t="n"/>
      <c r="AM271" s="970" t="n"/>
      <c r="AN271" s="970" t="n"/>
      <c r="AO271" s="970" t="n"/>
      <c r="AP271" s="979" t="n"/>
      <c r="AQ271" s="980">
        <f>SUM(AK271:AO271)</f>
        <v/>
      </c>
      <c r="AR271" s="981" t="n"/>
      <c r="AT271" s="971" t="n"/>
      <c r="AU271">
        <f t="array" ref="AU271">IF(D271&lt;&gt;"Occupied","",_xlfn.IFS(AND(ISNUMBER(AD271),AD271&lt;&gt;0),"Structured",ISNUMBER(SEARCH("/mo con",S271)),"Notes-parsed",ISNUMBER(SEARCH("step",S271)),"Step-up",ISNUMBER(SEARCH("swap",S271)),"Rate-swap",AND(ISNUMBER(H271),ISNUMBER(I271),H271&gt;I271),"Implied",TRUE,""))</f>
        <v/>
      </c>
      <c r="AV271" s="970" t="n"/>
    </row>
    <row r="272" outlineLevel="1" s="817">
      <c r="F272" s="520" t="n"/>
      <c r="G272" s="520" t="n"/>
      <c r="H272" s="970" t="n"/>
      <c r="I272" s="970" t="n"/>
      <c r="J272" s="970" t="n"/>
      <c r="K272" s="970" t="n"/>
      <c r="L272" s="970" t="n"/>
      <c r="M272" s="970" t="n"/>
      <c r="N272" s="970" t="n"/>
      <c r="O272" s="970" t="n"/>
      <c r="P272" s="970" t="n"/>
      <c r="Q272" s="970" t="n"/>
      <c r="T272" s="545" t="n"/>
      <c r="U272" s="971" t="n"/>
      <c r="V272" s="971" t="n"/>
      <c r="W272">
        <f>IF(AND($D272="Occupied",$AC272&lt;&gt;""),$AC272,"")</f>
        <v/>
      </c>
      <c r="X272">
        <f>IF(AND(D272="Occupied",C272&lt;&gt;"",W272&lt;&gt;""),C272&amp;"|"&amp;W272,"")</f>
        <v/>
      </c>
      <c r="Y272">
        <f>IF(AND(C272&lt;&gt;"",W272&lt;&gt;""),C272&amp;"|"&amp;W272,"")</f>
        <v/>
      </c>
      <c r="AA272" s="970" t="n"/>
      <c r="AB272" s="555" t="n"/>
      <c r="AD272" s="970" t="n"/>
      <c r="AE272" s="520" t="n"/>
      <c r="AF272" s="970" t="n"/>
      <c r="AG272" s="970" t="n"/>
      <c r="AH272" s="970" t="n"/>
      <c r="AI272" s="970" t="n"/>
      <c r="AJ272" s="970" t="n"/>
      <c r="AK272" s="970" t="n"/>
      <c r="AL272" s="970" t="n"/>
      <c r="AM272" s="970" t="n"/>
      <c r="AN272" s="970" t="n"/>
      <c r="AO272" s="970" t="n"/>
      <c r="AP272" s="979" t="n"/>
      <c r="AQ272" s="980">
        <f>SUM(AK272:AO272)</f>
        <v/>
      </c>
      <c r="AR272" s="981" t="n"/>
      <c r="AT272" s="971" t="n"/>
      <c r="AU272">
        <f t="array" ref="AU272">IF(D272&lt;&gt;"Occupied","",_xlfn.IFS(AND(ISNUMBER(AD272),AD272&lt;&gt;0),"Structured",ISNUMBER(SEARCH("/mo con",S272)),"Notes-parsed",ISNUMBER(SEARCH("step",S272)),"Step-up",ISNUMBER(SEARCH("swap",S272)),"Rate-swap",AND(ISNUMBER(H272),ISNUMBER(I272),H272&gt;I272),"Implied",TRUE,""))</f>
        <v/>
      </c>
      <c r="AV272" s="970" t="n"/>
    </row>
    <row r="273" outlineLevel="1" s="817">
      <c r="F273" s="520" t="n"/>
      <c r="G273" s="520" t="n"/>
      <c r="H273" s="970" t="n"/>
      <c r="I273" s="970" t="n"/>
      <c r="J273" s="970" t="n"/>
      <c r="K273" s="970" t="n"/>
      <c r="L273" s="970" t="n"/>
      <c r="M273" s="970" t="n"/>
      <c r="N273" s="970" t="n"/>
      <c r="O273" s="970" t="n"/>
      <c r="P273" s="970" t="n"/>
      <c r="Q273" s="970" t="n"/>
      <c r="T273" s="545" t="n"/>
      <c r="U273" s="971" t="n"/>
      <c r="V273" s="971" t="n"/>
      <c r="W273">
        <f>IF(AND($D273="Occupied",$AC273&lt;&gt;""),$AC273,"")</f>
        <v/>
      </c>
      <c r="X273">
        <f>IF(AND(D273="Occupied",C273&lt;&gt;"",W273&lt;&gt;""),C273&amp;"|"&amp;W273,"")</f>
        <v/>
      </c>
      <c r="Y273">
        <f>IF(AND(C273&lt;&gt;"",W273&lt;&gt;""),C273&amp;"|"&amp;W273,"")</f>
        <v/>
      </c>
      <c r="AA273" s="970" t="n"/>
      <c r="AB273" s="555" t="n"/>
      <c r="AD273" s="970" t="n"/>
      <c r="AE273" s="520" t="n"/>
      <c r="AF273" s="970" t="n"/>
      <c r="AG273" s="970" t="n"/>
      <c r="AH273" s="970" t="n"/>
      <c r="AI273" s="970" t="n"/>
      <c r="AJ273" s="970" t="n"/>
      <c r="AK273" s="970" t="n"/>
      <c r="AL273" s="970" t="n"/>
      <c r="AM273" s="970" t="n"/>
      <c r="AN273" s="970" t="n"/>
      <c r="AO273" s="970" t="n"/>
      <c r="AP273" s="979" t="n"/>
      <c r="AQ273" s="980">
        <f>SUM(AK273:AO273)</f>
        <v/>
      </c>
      <c r="AR273" s="981" t="n"/>
      <c r="AT273" s="971" t="n"/>
      <c r="AU273">
        <f t="array" ref="AU273">IF(D273&lt;&gt;"Occupied","",_xlfn.IFS(AND(ISNUMBER(AD273),AD273&lt;&gt;0),"Structured",ISNUMBER(SEARCH("/mo con",S273)),"Notes-parsed",ISNUMBER(SEARCH("step",S273)),"Step-up",ISNUMBER(SEARCH("swap",S273)),"Rate-swap",AND(ISNUMBER(H273),ISNUMBER(I273),H273&gt;I273),"Implied",TRUE,""))</f>
        <v/>
      </c>
      <c r="AV273" s="970" t="n"/>
    </row>
    <row r="274" outlineLevel="1" s="817">
      <c r="F274" s="520" t="n"/>
      <c r="G274" s="520" t="n"/>
      <c r="H274" s="970" t="n"/>
      <c r="I274" s="970" t="n"/>
      <c r="J274" s="970" t="n"/>
      <c r="K274" s="970" t="n"/>
      <c r="L274" s="970" t="n"/>
      <c r="M274" s="970" t="n"/>
      <c r="N274" s="970" t="n"/>
      <c r="O274" s="970" t="n"/>
      <c r="P274" s="970" t="n"/>
      <c r="Q274" s="970" t="n"/>
      <c r="T274" s="545" t="n"/>
      <c r="U274" s="971" t="n"/>
      <c r="V274" s="971" t="n"/>
      <c r="W274">
        <f>IF(AND($D274="Occupied",$AC274&lt;&gt;""),$AC274,"")</f>
        <v/>
      </c>
      <c r="X274">
        <f>IF(AND(D274="Occupied",C274&lt;&gt;"",W274&lt;&gt;""),C274&amp;"|"&amp;W274,"")</f>
        <v/>
      </c>
      <c r="Y274">
        <f>IF(AND(C274&lt;&gt;"",W274&lt;&gt;""),C274&amp;"|"&amp;W274,"")</f>
        <v/>
      </c>
      <c r="AA274" s="970" t="n"/>
      <c r="AB274" s="555" t="n"/>
      <c r="AD274" s="970" t="n"/>
      <c r="AE274" s="520" t="n"/>
      <c r="AF274" s="970" t="n"/>
      <c r="AG274" s="970" t="n"/>
      <c r="AH274" s="970" t="n"/>
      <c r="AI274" s="970" t="n"/>
      <c r="AJ274" s="970" t="n"/>
      <c r="AK274" s="970" t="n"/>
      <c r="AL274" s="970" t="n"/>
      <c r="AM274" s="970" t="n"/>
      <c r="AN274" s="970" t="n"/>
      <c r="AO274" s="970" t="n"/>
      <c r="AP274" s="979" t="n"/>
      <c r="AQ274" s="980">
        <f>SUM(AK274:AO274)</f>
        <v/>
      </c>
      <c r="AR274" s="981" t="n"/>
      <c r="AT274" s="971" t="n"/>
      <c r="AU274">
        <f t="array" ref="AU274">IF(D274&lt;&gt;"Occupied","",_xlfn.IFS(AND(ISNUMBER(AD274),AD274&lt;&gt;0),"Structured",ISNUMBER(SEARCH("/mo con",S274)),"Notes-parsed",ISNUMBER(SEARCH("step",S274)),"Step-up",ISNUMBER(SEARCH("swap",S274)),"Rate-swap",AND(ISNUMBER(H274),ISNUMBER(I274),H274&gt;I274),"Implied",TRUE,""))</f>
        <v/>
      </c>
      <c r="AV274" s="970" t="n"/>
    </row>
    <row r="275" outlineLevel="1" s="817">
      <c r="F275" s="520" t="n"/>
      <c r="G275" s="520" t="n"/>
      <c r="H275" s="970" t="n"/>
      <c r="I275" s="970" t="n"/>
      <c r="J275" s="970" t="n"/>
      <c r="K275" s="970" t="n"/>
      <c r="L275" s="970" t="n"/>
      <c r="M275" s="970" t="n"/>
      <c r="N275" s="970" t="n"/>
      <c r="O275" s="970" t="n"/>
      <c r="P275" s="970" t="n"/>
      <c r="Q275" s="970" t="n"/>
      <c r="T275" s="545" t="n"/>
      <c r="U275" s="971" t="n"/>
      <c r="V275" s="971" t="n"/>
      <c r="W275">
        <f>IF(AND($D275="Occupied",$AC275&lt;&gt;""),$AC275,"")</f>
        <v/>
      </c>
      <c r="X275">
        <f>IF(AND(D275="Occupied",C275&lt;&gt;"",W275&lt;&gt;""),C275&amp;"|"&amp;W275,"")</f>
        <v/>
      </c>
      <c r="Y275">
        <f>IF(AND(C275&lt;&gt;"",W275&lt;&gt;""),C275&amp;"|"&amp;W275,"")</f>
        <v/>
      </c>
      <c r="AA275" s="970" t="n"/>
      <c r="AB275" s="555" t="n"/>
      <c r="AD275" s="970" t="n"/>
      <c r="AE275" s="520" t="n"/>
      <c r="AF275" s="970" t="n"/>
      <c r="AG275" s="970" t="n"/>
      <c r="AH275" s="970" t="n"/>
      <c r="AI275" s="970" t="n"/>
      <c r="AJ275" s="970" t="n"/>
      <c r="AK275" s="970" t="n"/>
      <c r="AL275" s="970" t="n"/>
      <c r="AM275" s="970" t="n"/>
      <c r="AN275" s="970" t="n"/>
      <c r="AO275" s="970" t="n"/>
      <c r="AP275" s="979" t="n"/>
      <c r="AQ275" s="980">
        <f>SUM(AK275:AO275)</f>
        <v/>
      </c>
      <c r="AR275" s="981" t="n"/>
      <c r="AT275" s="971" t="n"/>
      <c r="AU275">
        <f t="array" ref="AU275">IF(D275&lt;&gt;"Occupied","",_xlfn.IFS(AND(ISNUMBER(AD275),AD275&lt;&gt;0),"Structured",ISNUMBER(SEARCH("/mo con",S275)),"Notes-parsed",ISNUMBER(SEARCH("step",S275)),"Step-up",ISNUMBER(SEARCH("swap",S275)),"Rate-swap",AND(ISNUMBER(H275),ISNUMBER(I275),H275&gt;I275),"Implied",TRUE,""))</f>
        <v/>
      </c>
      <c r="AV275" s="970" t="n"/>
    </row>
    <row r="276" outlineLevel="1" s="817">
      <c r="F276" s="520" t="n"/>
      <c r="G276" s="520" t="n"/>
      <c r="H276" s="970" t="n"/>
      <c r="I276" s="970" t="n"/>
      <c r="J276" s="970" t="n"/>
      <c r="K276" s="970" t="n"/>
      <c r="L276" s="970" t="n"/>
      <c r="M276" s="970" t="n"/>
      <c r="N276" s="970" t="n"/>
      <c r="O276" s="970" t="n"/>
      <c r="P276" s="970" t="n"/>
      <c r="Q276" s="970" t="n"/>
      <c r="T276" s="545" t="n"/>
      <c r="U276" s="971" t="n"/>
      <c r="V276" s="971" t="n"/>
      <c r="W276">
        <f>IF(AND($D276="Occupied",$AC276&lt;&gt;""),$AC276,"")</f>
        <v/>
      </c>
      <c r="X276">
        <f>IF(AND(D276="Occupied",C276&lt;&gt;"",W276&lt;&gt;""),C276&amp;"|"&amp;W276,"")</f>
        <v/>
      </c>
      <c r="Y276">
        <f>IF(AND(C276&lt;&gt;"",W276&lt;&gt;""),C276&amp;"|"&amp;W276,"")</f>
        <v/>
      </c>
      <c r="AA276" s="970" t="n"/>
      <c r="AB276" s="555" t="n"/>
      <c r="AD276" s="970" t="n"/>
      <c r="AE276" s="520" t="n"/>
      <c r="AF276" s="970" t="n"/>
      <c r="AG276" s="970" t="n"/>
      <c r="AH276" s="970" t="n"/>
      <c r="AI276" s="970" t="n"/>
      <c r="AJ276" s="970" t="n"/>
      <c r="AK276" s="970" t="n"/>
      <c r="AL276" s="970" t="n"/>
      <c r="AM276" s="970" t="n"/>
      <c r="AN276" s="970" t="n"/>
      <c r="AO276" s="970" t="n"/>
      <c r="AP276" s="979" t="n"/>
      <c r="AQ276" s="980">
        <f>SUM(AK276:AO276)</f>
        <v/>
      </c>
      <c r="AR276" s="981" t="n"/>
      <c r="AT276" s="971" t="n"/>
      <c r="AU276">
        <f t="array" ref="AU276">IF(D276&lt;&gt;"Occupied","",_xlfn.IFS(AND(ISNUMBER(AD276),AD276&lt;&gt;0),"Structured",ISNUMBER(SEARCH("/mo con",S276)),"Notes-parsed",ISNUMBER(SEARCH("step",S276)),"Step-up",ISNUMBER(SEARCH("swap",S276)),"Rate-swap",AND(ISNUMBER(H276),ISNUMBER(I276),H276&gt;I276),"Implied",TRUE,""))</f>
        <v/>
      </c>
      <c r="AV276" s="970" t="n"/>
    </row>
    <row r="277" outlineLevel="1" s="817">
      <c r="F277" s="520" t="n"/>
      <c r="G277" s="520" t="n"/>
      <c r="H277" s="970" t="n"/>
      <c r="I277" s="970" t="n"/>
      <c r="J277" s="970" t="n"/>
      <c r="K277" s="970" t="n"/>
      <c r="L277" s="970" t="n"/>
      <c r="M277" s="970" t="n"/>
      <c r="N277" s="970" t="n"/>
      <c r="O277" s="970" t="n"/>
      <c r="P277" s="970" t="n"/>
      <c r="Q277" s="970" t="n"/>
      <c r="T277" s="545" t="n"/>
      <c r="U277" s="971" t="n"/>
      <c r="V277" s="971" t="n"/>
      <c r="W277">
        <f>IF(AND($D277="Occupied",$AC277&lt;&gt;""),$AC277,"")</f>
        <v/>
      </c>
      <c r="X277">
        <f>IF(AND(D277="Occupied",C277&lt;&gt;"",W277&lt;&gt;""),C277&amp;"|"&amp;W277,"")</f>
        <v/>
      </c>
      <c r="Y277">
        <f>IF(AND(C277&lt;&gt;"",W277&lt;&gt;""),C277&amp;"|"&amp;W277,"")</f>
        <v/>
      </c>
      <c r="AA277" s="970" t="n"/>
      <c r="AB277" s="555" t="n"/>
      <c r="AD277" s="970" t="n"/>
      <c r="AE277" s="520" t="n"/>
      <c r="AF277" s="970" t="n"/>
      <c r="AG277" s="970" t="n"/>
      <c r="AH277" s="970" t="n"/>
      <c r="AI277" s="970" t="n"/>
      <c r="AJ277" s="970" t="n"/>
      <c r="AK277" s="970" t="n"/>
      <c r="AL277" s="970" t="n"/>
      <c r="AM277" s="970" t="n"/>
      <c r="AN277" s="970" t="n"/>
      <c r="AO277" s="970" t="n"/>
      <c r="AP277" s="979" t="n"/>
      <c r="AQ277" s="980">
        <f>SUM(AK277:AO277)</f>
        <v/>
      </c>
      <c r="AR277" s="981" t="n"/>
      <c r="AT277" s="971" t="n"/>
      <c r="AU277">
        <f t="array" ref="AU277">IF(D277&lt;&gt;"Occupied","",_xlfn.IFS(AND(ISNUMBER(AD277),AD277&lt;&gt;0),"Structured",ISNUMBER(SEARCH("/mo con",S277)),"Notes-parsed",ISNUMBER(SEARCH("step",S277)),"Step-up",ISNUMBER(SEARCH("swap",S277)),"Rate-swap",AND(ISNUMBER(H277),ISNUMBER(I277),H277&gt;I277),"Implied",TRUE,""))</f>
        <v/>
      </c>
      <c r="AV277" s="970" t="n"/>
    </row>
    <row r="278" outlineLevel="1" s="817">
      <c r="F278" s="520" t="n"/>
      <c r="G278" s="520" t="n"/>
      <c r="H278" s="970" t="n"/>
      <c r="I278" s="970" t="n"/>
      <c r="J278" s="970" t="n"/>
      <c r="K278" s="970" t="n"/>
      <c r="L278" s="970" t="n"/>
      <c r="M278" s="970" t="n"/>
      <c r="N278" s="970" t="n"/>
      <c r="O278" s="970" t="n"/>
      <c r="P278" s="970" t="n"/>
      <c r="Q278" s="970" t="n"/>
      <c r="T278" s="545" t="n"/>
      <c r="U278" s="971" t="n"/>
      <c r="V278" s="971" t="n"/>
      <c r="W278">
        <f>IF(AND($D278="Occupied",$AC278&lt;&gt;""),$AC278,"")</f>
        <v/>
      </c>
      <c r="X278">
        <f>IF(AND(D278="Occupied",C278&lt;&gt;"",W278&lt;&gt;""),C278&amp;"|"&amp;W278,"")</f>
        <v/>
      </c>
      <c r="Y278">
        <f>IF(AND(C278&lt;&gt;"",W278&lt;&gt;""),C278&amp;"|"&amp;W278,"")</f>
        <v/>
      </c>
      <c r="AA278" s="970" t="n"/>
      <c r="AB278" s="555" t="n"/>
      <c r="AD278" s="970" t="n"/>
      <c r="AE278" s="520" t="n"/>
      <c r="AF278" s="970" t="n"/>
      <c r="AG278" s="970" t="n"/>
      <c r="AH278" s="970" t="n"/>
      <c r="AI278" s="970" t="n"/>
      <c r="AJ278" s="970" t="n"/>
      <c r="AK278" s="970" t="n"/>
      <c r="AL278" s="970" t="n"/>
      <c r="AM278" s="970" t="n"/>
      <c r="AN278" s="970" t="n"/>
      <c r="AO278" s="970" t="n"/>
      <c r="AP278" s="979" t="n"/>
      <c r="AQ278" s="980">
        <f>SUM(AK278:AO278)</f>
        <v/>
      </c>
      <c r="AR278" s="981" t="n"/>
      <c r="AT278" s="971" t="n"/>
      <c r="AU278">
        <f t="array" ref="AU278">IF(D278&lt;&gt;"Occupied","",_xlfn.IFS(AND(ISNUMBER(AD278),AD278&lt;&gt;0),"Structured",ISNUMBER(SEARCH("/mo con",S278)),"Notes-parsed",ISNUMBER(SEARCH("step",S278)),"Step-up",ISNUMBER(SEARCH("swap",S278)),"Rate-swap",AND(ISNUMBER(H278),ISNUMBER(I278),H278&gt;I278),"Implied",TRUE,""))</f>
        <v/>
      </c>
      <c r="AV278" s="970" t="n"/>
    </row>
    <row r="279" outlineLevel="1" s="817">
      <c r="F279" s="520" t="n"/>
      <c r="G279" s="520" t="n"/>
      <c r="H279" s="970" t="n"/>
      <c r="I279" s="970" t="n"/>
      <c r="J279" s="970" t="n"/>
      <c r="K279" s="970" t="n"/>
      <c r="L279" s="970" t="n"/>
      <c r="M279" s="970" t="n"/>
      <c r="N279" s="970" t="n"/>
      <c r="O279" s="970" t="n"/>
      <c r="P279" s="970" t="n"/>
      <c r="Q279" s="970" t="n"/>
      <c r="T279" s="545" t="n"/>
      <c r="U279" s="971" t="n"/>
      <c r="V279" s="971" t="n"/>
      <c r="W279">
        <f>IF(AND($D279="Occupied",$AC279&lt;&gt;""),$AC279,"")</f>
        <v/>
      </c>
      <c r="X279">
        <f>IF(AND(D279="Occupied",C279&lt;&gt;"",W279&lt;&gt;""),C279&amp;"|"&amp;W279,"")</f>
        <v/>
      </c>
      <c r="Y279">
        <f>IF(AND(C279&lt;&gt;"",W279&lt;&gt;""),C279&amp;"|"&amp;W279,"")</f>
        <v/>
      </c>
      <c r="AA279" s="970" t="n"/>
      <c r="AB279" s="555" t="n"/>
      <c r="AD279" s="970" t="n"/>
      <c r="AE279" s="520" t="n"/>
      <c r="AF279" s="970" t="n"/>
      <c r="AG279" s="970" t="n"/>
      <c r="AH279" s="970" t="n"/>
      <c r="AI279" s="970" t="n"/>
      <c r="AJ279" s="970" t="n"/>
      <c r="AK279" s="970" t="n"/>
      <c r="AL279" s="970" t="n"/>
      <c r="AM279" s="970" t="n"/>
      <c r="AN279" s="970" t="n"/>
      <c r="AO279" s="970" t="n"/>
      <c r="AP279" s="979" t="n"/>
      <c r="AQ279" s="980">
        <f>SUM(AK279:AO279)</f>
        <v/>
      </c>
      <c r="AR279" s="981" t="n"/>
      <c r="AT279" s="971" t="n"/>
      <c r="AU279">
        <f t="array" ref="AU279">IF(D279&lt;&gt;"Occupied","",_xlfn.IFS(AND(ISNUMBER(AD279),AD279&lt;&gt;0),"Structured",ISNUMBER(SEARCH("/mo con",S279)),"Notes-parsed",ISNUMBER(SEARCH("step",S279)),"Step-up",ISNUMBER(SEARCH("swap",S279)),"Rate-swap",AND(ISNUMBER(H279),ISNUMBER(I279),H279&gt;I279),"Implied",TRUE,""))</f>
        <v/>
      </c>
      <c r="AV279" s="970" t="n"/>
    </row>
    <row r="280" outlineLevel="1" s="817">
      <c r="F280" s="520" t="n"/>
      <c r="G280" s="520" t="n"/>
      <c r="H280" s="970" t="n"/>
      <c r="I280" s="970" t="n"/>
      <c r="J280" s="970" t="n"/>
      <c r="K280" s="970" t="n"/>
      <c r="L280" s="970" t="n"/>
      <c r="M280" s="970" t="n"/>
      <c r="N280" s="970" t="n"/>
      <c r="O280" s="970" t="n"/>
      <c r="P280" s="970" t="n"/>
      <c r="Q280" s="970" t="n"/>
      <c r="T280" s="545" t="n"/>
      <c r="U280" s="971" t="n"/>
      <c r="V280" s="971" t="n"/>
      <c r="W280">
        <f>IF(AND($D280="Occupied",$AC280&lt;&gt;""),$AC280,"")</f>
        <v/>
      </c>
      <c r="X280">
        <f>IF(AND(D280="Occupied",C280&lt;&gt;"",W280&lt;&gt;""),C280&amp;"|"&amp;W280,"")</f>
        <v/>
      </c>
      <c r="Y280">
        <f>IF(AND(C280&lt;&gt;"",W280&lt;&gt;""),C280&amp;"|"&amp;W280,"")</f>
        <v/>
      </c>
      <c r="AA280" s="970" t="n"/>
      <c r="AB280" s="555" t="n"/>
      <c r="AD280" s="970" t="n"/>
      <c r="AE280" s="520" t="n"/>
      <c r="AF280" s="970" t="n"/>
      <c r="AG280" s="970" t="n"/>
      <c r="AH280" s="970" t="n"/>
      <c r="AI280" s="970" t="n"/>
      <c r="AJ280" s="970" t="n"/>
      <c r="AK280" s="970" t="n"/>
      <c r="AL280" s="970" t="n"/>
      <c r="AM280" s="970" t="n"/>
      <c r="AN280" s="970" t="n"/>
      <c r="AO280" s="970" t="n"/>
      <c r="AP280" s="979" t="n"/>
      <c r="AQ280" s="980">
        <f>SUM(AK280:AO280)</f>
        <v/>
      </c>
      <c r="AR280" s="981" t="n"/>
      <c r="AT280" s="971" t="n"/>
      <c r="AU280">
        <f t="array" ref="AU280">IF(D280&lt;&gt;"Occupied","",_xlfn.IFS(AND(ISNUMBER(AD280),AD280&lt;&gt;0),"Structured",ISNUMBER(SEARCH("/mo con",S280)),"Notes-parsed",ISNUMBER(SEARCH("step",S280)),"Step-up",ISNUMBER(SEARCH("swap",S280)),"Rate-swap",AND(ISNUMBER(H280),ISNUMBER(I280),H280&gt;I280),"Implied",TRUE,""))</f>
        <v/>
      </c>
      <c r="AV280" s="970" t="n"/>
    </row>
    <row r="281" outlineLevel="1" s="817">
      <c r="F281" s="520" t="n"/>
      <c r="G281" s="520" t="n"/>
      <c r="H281" s="970" t="n"/>
      <c r="I281" s="970" t="n"/>
      <c r="J281" s="970" t="n"/>
      <c r="K281" s="970" t="n"/>
      <c r="L281" s="970" t="n"/>
      <c r="M281" s="970" t="n"/>
      <c r="N281" s="970" t="n"/>
      <c r="O281" s="970" t="n"/>
      <c r="P281" s="970" t="n"/>
      <c r="Q281" s="970" t="n"/>
      <c r="T281" s="545" t="n"/>
      <c r="U281" s="971" t="n"/>
      <c r="V281" s="971" t="n"/>
      <c r="W281">
        <f>IF(AND($D281="Occupied",$AC281&lt;&gt;""),$AC281,"")</f>
        <v/>
      </c>
      <c r="X281">
        <f>IF(AND(D281="Occupied",C281&lt;&gt;"",W281&lt;&gt;""),C281&amp;"|"&amp;W281,"")</f>
        <v/>
      </c>
      <c r="Y281">
        <f>IF(AND(C281&lt;&gt;"",W281&lt;&gt;""),C281&amp;"|"&amp;W281,"")</f>
        <v/>
      </c>
      <c r="AA281" s="970" t="n"/>
      <c r="AB281" s="555" t="n"/>
      <c r="AD281" s="970" t="n"/>
      <c r="AE281" s="520" t="n"/>
      <c r="AF281" s="970" t="n"/>
      <c r="AG281" s="970" t="n"/>
      <c r="AH281" s="970" t="n"/>
      <c r="AI281" s="970" t="n"/>
      <c r="AJ281" s="970" t="n"/>
      <c r="AK281" s="970" t="n"/>
      <c r="AL281" s="970" t="n"/>
      <c r="AM281" s="970" t="n"/>
      <c r="AN281" s="970" t="n"/>
      <c r="AO281" s="970" t="n"/>
      <c r="AP281" s="979" t="n"/>
      <c r="AQ281" s="980">
        <f>SUM(AK281:AO281)</f>
        <v/>
      </c>
      <c r="AR281" s="981" t="n"/>
      <c r="AT281" s="971" t="n"/>
      <c r="AU281">
        <f t="array" ref="AU281">IF(D281&lt;&gt;"Occupied","",_xlfn.IFS(AND(ISNUMBER(AD281),AD281&lt;&gt;0),"Structured",ISNUMBER(SEARCH("/mo con",S281)),"Notes-parsed",ISNUMBER(SEARCH("step",S281)),"Step-up",ISNUMBER(SEARCH("swap",S281)),"Rate-swap",AND(ISNUMBER(H281),ISNUMBER(I281),H281&gt;I281),"Implied",TRUE,""))</f>
        <v/>
      </c>
      <c r="AV281" s="970" t="n"/>
    </row>
    <row r="282" outlineLevel="1" s="817">
      <c r="F282" s="520" t="n"/>
      <c r="G282" s="520" t="n"/>
      <c r="H282" s="970" t="n"/>
      <c r="I282" s="970" t="n"/>
      <c r="J282" s="970" t="n"/>
      <c r="K282" s="970" t="n"/>
      <c r="L282" s="970" t="n"/>
      <c r="M282" s="970" t="n"/>
      <c r="N282" s="970" t="n"/>
      <c r="O282" s="970" t="n"/>
      <c r="P282" s="970" t="n"/>
      <c r="Q282" s="970" t="n"/>
      <c r="T282" s="545" t="n"/>
      <c r="U282" s="971" t="n"/>
      <c r="V282" s="971" t="n"/>
      <c r="W282">
        <f>IF(AND($D282="Occupied",$AC282&lt;&gt;""),$AC282,"")</f>
        <v/>
      </c>
      <c r="X282">
        <f>IF(AND(D282="Occupied",C282&lt;&gt;"",W282&lt;&gt;""),C282&amp;"|"&amp;W282,"")</f>
        <v/>
      </c>
      <c r="Y282">
        <f>IF(AND(C282&lt;&gt;"",W282&lt;&gt;""),C282&amp;"|"&amp;W282,"")</f>
        <v/>
      </c>
      <c r="AA282" s="970" t="n"/>
      <c r="AB282" s="555" t="n"/>
      <c r="AD282" s="970" t="n"/>
      <c r="AE282" s="520" t="n"/>
      <c r="AF282" s="970" t="n"/>
      <c r="AG282" s="970" t="n"/>
      <c r="AH282" s="970" t="n"/>
      <c r="AI282" s="970" t="n"/>
      <c r="AJ282" s="970" t="n"/>
      <c r="AK282" s="970" t="n"/>
      <c r="AL282" s="970" t="n"/>
      <c r="AM282" s="970" t="n"/>
      <c r="AN282" s="970" t="n"/>
      <c r="AO282" s="970" t="n"/>
      <c r="AP282" s="979" t="n"/>
      <c r="AQ282" s="980">
        <f>SUM(AK282:AO282)</f>
        <v/>
      </c>
      <c r="AR282" s="981" t="n"/>
      <c r="AT282" s="971" t="n"/>
      <c r="AU282">
        <f t="array" ref="AU282">IF(D282&lt;&gt;"Occupied","",_xlfn.IFS(AND(ISNUMBER(AD282),AD282&lt;&gt;0),"Structured",ISNUMBER(SEARCH("/mo con",S282)),"Notes-parsed",ISNUMBER(SEARCH("step",S282)),"Step-up",ISNUMBER(SEARCH("swap",S282)),"Rate-swap",AND(ISNUMBER(H282),ISNUMBER(I282),H282&gt;I282),"Implied",TRUE,""))</f>
        <v/>
      </c>
      <c r="AV282" s="970" t="n"/>
    </row>
    <row r="283" outlineLevel="1" s="817">
      <c r="F283" s="520" t="n"/>
      <c r="G283" s="520" t="n"/>
      <c r="H283" s="970" t="n"/>
      <c r="I283" s="970" t="n"/>
      <c r="J283" s="970" t="n"/>
      <c r="K283" s="970" t="n"/>
      <c r="L283" s="970" t="n"/>
      <c r="M283" s="970" t="n"/>
      <c r="N283" s="970" t="n"/>
      <c r="O283" s="970" t="n"/>
      <c r="P283" s="970" t="n"/>
      <c r="Q283" s="970" t="n"/>
      <c r="T283" s="545" t="n"/>
      <c r="U283" s="971" t="n"/>
      <c r="V283" s="971" t="n"/>
      <c r="W283">
        <f>IF(AND($D283="Occupied",$AC283&lt;&gt;""),$AC283,"")</f>
        <v/>
      </c>
      <c r="X283">
        <f>IF(AND(D283="Occupied",C283&lt;&gt;"",W283&lt;&gt;""),C283&amp;"|"&amp;W283,"")</f>
        <v/>
      </c>
      <c r="Y283">
        <f>IF(AND(C283&lt;&gt;"",W283&lt;&gt;""),C283&amp;"|"&amp;W283,"")</f>
        <v/>
      </c>
      <c r="AA283" s="970" t="n"/>
      <c r="AB283" s="555" t="n"/>
      <c r="AD283" s="970" t="n"/>
      <c r="AE283" s="520" t="n"/>
      <c r="AF283" s="970" t="n"/>
      <c r="AG283" s="970" t="n"/>
      <c r="AH283" s="970" t="n"/>
      <c r="AI283" s="970" t="n"/>
      <c r="AJ283" s="970" t="n"/>
      <c r="AK283" s="970" t="n"/>
      <c r="AL283" s="970" t="n"/>
      <c r="AM283" s="970" t="n"/>
      <c r="AN283" s="970" t="n"/>
      <c r="AO283" s="970" t="n"/>
      <c r="AP283" s="979" t="n"/>
      <c r="AQ283" s="980">
        <f>SUM(AK283:AO283)</f>
        <v/>
      </c>
      <c r="AR283" s="981" t="n"/>
      <c r="AT283" s="971" t="n"/>
      <c r="AU283">
        <f t="array" ref="AU283">IF(D283&lt;&gt;"Occupied","",_xlfn.IFS(AND(ISNUMBER(AD283),AD283&lt;&gt;0),"Structured",ISNUMBER(SEARCH("/mo con",S283)),"Notes-parsed",ISNUMBER(SEARCH("step",S283)),"Step-up",ISNUMBER(SEARCH("swap",S283)),"Rate-swap",AND(ISNUMBER(H283),ISNUMBER(I283),H283&gt;I283),"Implied",TRUE,""))</f>
        <v/>
      </c>
      <c r="AV283" s="970" t="n"/>
    </row>
    <row r="284" outlineLevel="1" s="817">
      <c r="F284" s="520" t="n"/>
      <c r="G284" s="520" t="n"/>
      <c r="H284" s="970" t="n"/>
      <c r="I284" s="970" t="n"/>
      <c r="J284" s="970" t="n"/>
      <c r="K284" s="970" t="n"/>
      <c r="L284" s="970" t="n"/>
      <c r="M284" s="970" t="n"/>
      <c r="N284" s="970" t="n"/>
      <c r="O284" s="970" t="n"/>
      <c r="P284" s="970" t="n"/>
      <c r="Q284" s="970" t="n"/>
      <c r="T284" s="545" t="n"/>
      <c r="U284" s="971" t="n"/>
      <c r="V284" s="971" t="n"/>
      <c r="W284">
        <f>IF(AND($D284="Occupied",$AC284&lt;&gt;""),$AC284,"")</f>
        <v/>
      </c>
      <c r="X284">
        <f>IF(AND(D284="Occupied",C284&lt;&gt;"",W284&lt;&gt;""),C284&amp;"|"&amp;W284,"")</f>
        <v/>
      </c>
      <c r="Y284">
        <f>IF(AND(C284&lt;&gt;"",W284&lt;&gt;""),C284&amp;"|"&amp;W284,"")</f>
        <v/>
      </c>
      <c r="AA284" s="970" t="n"/>
      <c r="AB284" s="555" t="n"/>
      <c r="AD284" s="970" t="n"/>
      <c r="AE284" s="520" t="n"/>
      <c r="AF284" s="970" t="n"/>
      <c r="AG284" s="970" t="n"/>
      <c r="AH284" s="970" t="n"/>
      <c r="AI284" s="970" t="n"/>
      <c r="AJ284" s="970" t="n"/>
      <c r="AK284" s="970" t="n"/>
      <c r="AL284" s="970" t="n"/>
      <c r="AM284" s="970" t="n"/>
      <c r="AN284" s="970" t="n"/>
      <c r="AO284" s="970" t="n"/>
      <c r="AP284" s="979" t="n"/>
      <c r="AQ284" s="980">
        <f>SUM(AK284:AO284)</f>
        <v/>
      </c>
      <c r="AR284" s="981" t="n"/>
      <c r="AT284" s="971" t="n"/>
      <c r="AU284">
        <f t="array" ref="AU284">IF(D284&lt;&gt;"Occupied","",_xlfn.IFS(AND(ISNUMBER(AD284),AD284&lt;&gt;0),"Structured",ISNUMBER(SEARCH("/mo con",S284)),"Notes-parsed",ISNUMBER(SEARCH("step",S284)),"Step-up",ISNUMBER(SEARCH("swap",S284)),"Rate-swap",AND(ISNUMBER(H284),ISNUMBER(I284),H284&gt;I284),"Implied",TRUE,""))</f>
        <v/>
      </c>
      <c r="AV284" s="970" t="n"/>
    </row>
    <row r="285" outlineLevel="1" s="817">
      <c r="F285" s="520" t="n"/>
      <c r="G285" s="520" t="n"/>
      <c r="H285" s="970" t="n"/>
      <c r="I285" s="970" t="n"/>
      <c r="J285" s="970" t="n"/>
      <c r="K285" s="970" t="n"/>
      <c r="L285" s="970" t="n"/>
      <c r="M285" s="970" t="n"/>
      <c r="N285" s="970" t="n"/>
      <c r="O285" s="970" t="n"/>
      <c r="P285" s="970" t="n"/>
      <c r="Q285" s="970" t="n"/>
      <c r="T285" s="545" t="n"/>
      <c r="U285" s="971" t="n"/>
      <c r="V285" s="971" t="n"/>
      <c r="W285">
        <f>IF(AND($D285="Occupied",$AC285&lt;&gt;""),$AC285,"")</f>
        <v/>
      </c>
      <c r="X285">
        <f>IF(AND(D285="Occupied",C285&lt;&gt;"",W285&lt;&gt;""),C285&amp;"|"&amp;W285,"")</f>
        <v/>
      </c>
      <c r="Y285">
        <f>IF(AND(C285&lt;&gt;"",W285&lt;&gt;""),C285&amp;"|"&amp;W285,"")</f>
        <v/>
      </c>
      <c r="AA285" s="970" t="n"/>
      <c r="AB285" s="555" t="n"/>
      <c r="AD285" s="970" t="n"/>
      <c r="AE285" s="520" t="n"/>
      <c r="AF285" s="970" t="n"/>
      <c r="AG285" s="970" t="n"/>
      <c r="AH285" s="970" t="n"/>
      <c r="AI285" s="970" t="n"/>
      <c r="AJ285" s="970" t="n"/>
      <c r="AK285" s="970" t="n"/>
      <c r="AL285" s="970" t="n"/>
      <c r="AM285" s="970" t="n"/>
      <c r="AN285" s="970" t="n"/>
      <c r="AO285" s="970" t="n"/>
      <c r="AP285" s="979" t="n"/>
      <c r="AQ285" s="980">
        <f>SUM(AK285:AO285)</f>
        <v/>
      </c>
      <c r="AR285" s="981" t="n"/>
      <c r="AT285" s="971" t="n"/>
      <c r="AU285">
        <f t="array" ref="AU285">IF(D285&lt;&gt;"Occupied","",_xlfn.IFS(AND(ISNUMBER(AD285),AD285&lt;&gt;0),"Structured",ISNUMBER(SEARCH("/mo con",S285)),"Notes-parsed",ISNUMBER(SEARCH("step",S285)),"Step-up",ISNUMBER(SEARCH("swap",S285)),"Rate-swap",AND(ISNUMBER(H285),ISNUMBER(I285),H285&gt;I285),"Implied",TRUE,""))</f>
        <v/>
      </c>
      <c r="AV285" s="970" t="n"/>
    </row>
    <row r="286" outlineLevel="1" s="817">
      <c r="F286" s="520" t="n"/>
      <c r="G286" s="520" t="n"/>
      <c r="H286" s="970" t="n"/>
      <c r="I286" s="970" t="n"/>
      <c r="J286" s="970" t="n"/>
      <c r="K286" s="970" t="n"/>
      <c r="L286" s="970" t="n"/>
      <c r="M286" s="970" t="n"/>
      <c r="N286" s="970" t="n"/>
      <c r="O286" s="970" t="n"/>
      <c r="P286" s="970" t="n"/>
      <c r="Q286" s="970" t="n"/>
      <c r="T286" s="545" t="n"/>
      <c r="U286" s="971" t="n"/>
      <c r="V286" s="971" t="n"/>
      <c r="W286">
        <f>IF(AND($D286="Occupied",$AC286&lt;&gt;""),$AC286,"")</f>
        <v/>
      </c>
      <c r="X286">
        <f>IF(AND(D286="Occupied",C286&lt;&gt;"",W286&lt;&gt;""),C286&amp;"|"&amp;W286,"")</f>
        <v/>
      </c>
      <c r="Y286">
        <f>IF(AND(C286&lt;&gt;"",W286&lt;&gt;""),C286&amp;"|"&amp;W286,"")</f>
        <v/>
      </c>
      <c r="AA286" s="970" t="n"/>
      <c r="AB286" s="555" t="n"/>
      <c r="AD286" s="970" t="n"/>
      <c r="AE286" s="520" t="n"/>
      <c r="AF286" s="970" t="n"/>
      <c r="AG286" s="970" t="n"/>
      <c r="AH286" s="970" t="n"/>
      <c r="AI286" s="970" t="n"/>
      <c r="AJ286" s="970" t="n"/>
      <c r="AK286" s="970" t="n"/>
      <c r="AL286" s="970" t="n"/>
      <c r="AM286" s="970" t="n"/>
      <c r="AN286" s="970" t="n"/>
      <c r="AO286" s="970" t="n"/>
      <c r="AP286" s="979" t="n"/>
      <c r="AQ286" s="980">
        <f>SUM(AK286:AO286)</f>
        <v/>
      </c>
      <c r="AR286" s="981" t="n"/>
      <c r="AT286" s="971" t="n"/>
      <c r="AU286">
        <f t="array" ref="AU286">IF(D286&lt;&gt;"Occupied","",_xlfn.IFS(AND(ISNUMBER(AD286),AD286&lt;&gt;0),"Structured",ISNUMBER(SEARCH("/mo con",S286)),"Notes-parsed",ISNUMBER(SEARCH("step",S286)),"Step-up",ISNUMBER(SEARCH("swap",S286)),"Rate-swap",AND(ISNUMBER(H286),ISNUMBER(I286),H286&gt;I286),"Implied",TRUE,""))</f>
        <v/>
      </c>
      <c r="AV286" s="970" t="n"/>
    </row>
    <row r="287" outlineLevel="1" s="817">
      <c r="F287" s="520" t="n"/>
      <c r="G287" s="520" t="n"/>
      <c r="H287" s="970" t="n"/>
      <c r="I287" s="970" t="n"/>
      <c r="J287" s="970" t="n"/>
      <c r="K287" s="970" t="n"/>
      <c r="L287" s="970" t="n"/>
      <c r="M287" s="970" t="n"/>
      <c r="N287" s="970" t="n"/>
      <c r="O287" s="970" t="n"/>
      <c r="P287" s="970" t="n"/>
      <c r="Q287" s="970" t="n"/>
      <c r="T287" s="545" t="n"/>
      <c r="U287" s="971" t="n"/>
      <c r="V287" s="971" t="n"/>
      <c r="W287">
        <f>IF(AND($D287="Occupied",$AC287&lt;&gt;""),$AC287,"")</f>
        <v/>
      </c>
      <c r="X287">
        <f>IF(AND(D287="Occupied",C287&lt;&gt;"",W287&lt;&gt;""),C287&amp;"|"&amp;W287,"")</f>
        <v/>
      </c>
      <c r="Y287">
        <f>IF(AND(C287&lt;&gt;"",W287&lt;&gt;""),C287&amp;"|"&amp;W287,"")</f>
        <v/>
      </c>
      <c r="AA287" s="970" t="n"/>
      <c r="AB287" s="555" t="n"/>
      <c r="AD287" s="970" t="n"/>
      <c r="AE287" s="520" t="n"/>
      <c r="AF287" s="970" t="n"/>
      <c r="AG287" s="970" t="n"/>
      <c r="AH287" s="970" t="n"/>
      <c r="AI287" s="970" t="n"/>
      <c r="AJ287" s="970" t="n"/>
      <c r="AK287" s="970" t="n"/>
      <c r="AL287" s="970" t="n"/>
      <c r="AM287" s="970" t="n"/>
      <c r="AN287" s="970" t="n"/>
      <c r="AO287" s="970" t="n"/>
      <c r="AP287" s="979" t="n"/>
      <c r="AQ287" s="980">
        <f>SUM(AK287:AO287)</f>
        <v/>
      </c>
      <c r="AR287" s="981" t="n"/>
      <c r="AT287" s="971" t="n"/>
      <c r="AU287">
        <f t="array" ref="AU287">IF(D287&lt;&gt;"Occupied","",_xlfn.IFS(AND(ISNUMBER(AD287),AD287&lt;&gt;0),"Structured",ISNUMBER(SEARCH("/mo con",S287)),"Notes-parsed",ISNUMBER(SEARCH("step",S287)),"Step-up",ISNUMBER(SEARCH("swap",S287)),"Rate-swap",AND(ISNUMBER(H287),ISNUMBER(I287),H287&gt;I287),"Implied",TRUE,""))</f>
        <v/>
      </c>
      <c r="AV287" s="970" t="n"/>
    </row>
    <row r="288" outlineLevel="1" s="817">
      <c r="F288" s="520" t="n"/>
      <c r="G288" s="520" t="n"/>
      <c r="H288" s="970" t="n"/>
      <c r="I288" s="970" t="n"/>
      <c r="J288" s="970" t="n"/>
      <c r="K288" s="970" t="n"/>
      <c r="L288" s="970" t="n"/>
      <c r="M288" s="970" t="n"/>
      <c r="N288" s="970" t="n"/>
      <c r="O288" s="970" t="n"/>
      <c r="P288" s="970" t="n"/>
      <c r="Q288" s="970" t="n"/>
      <c r="T288" s="545" t="n"/>
      <c r="U288" s="971" t="n"/>
      <c r="V288" s="971" t="n"/>
      <c r="W288">
        <f>IF(AND($D288="Occupied",$AC288&lt;&gt;""),$AC288,"")</f>
        <v/>
      </c>
      <c r="X288">
        <f>IF(AND(D288="Occupied",C288&lt;&gt;"",W288&lt;&gt;""),C288&amp;"|"&amp;W288,"")</f>
        <v/>
      </c>
      <c r="Y288">
        <f>IF(AND(C288&lt;&gt;"",W288&lt;&gt;""),C288&amp;"|"&amp;W288,"")</f>
        <v/>
      </c>
      <c r="AA288" s="970" t="n"/>
      <c r="AB288" s="555" t="n"/>
      <c r="AD288" s="970" t="n"/>
      <c r="AE288" s="520" t="n"/>
      <c r="AF288" s="970" t="n"/>
      <c r="AG288" s="970" t="n"/>
      <c r="AH288" s="970" t="n"/>
      <c r="AI288" s="970" t="n"/>
      <c r="AJ288" s="970" t="n"/>
      <c r="AK288" s="970" t="n"/>
      <c r="AL288" s="970" t="n"/>
      <c r="AM288" s="970" t="n"/>
      <c r="AN288" s="970" t="n"/>
      <c r="AO288" s="970" t="n"/>
      <c r="AP288" s="979" t="n"/>
      <c r="AQ288" s="980">
        <f>SUM(AK288:AO288)</f>
        <v/>
      </c>
      <c r="AR288" s="981" t="n"/>
      <c r="AT288" s="971" t="n"/>
      <c r="AU288">
        <f t="array" ref="AU288">IF(D288&lt;&gt;"Occupied","",_xlfn.IFS(AND(ISNUMBER(AD288),AD288&lt;&gt;0),"Structured",ISNUMBER(SEARCH("/mo con",S288)),"Notes-parsed",ISNUMBER(SEARCH("step",S288)),"Step-up",ISNUMBER(SEARCH("swap",S288)),"Rate-swap",AND(ISNUMBER(H288),ISNUMBER(I288),H288&gt;I288),"Implied",TRUE,""))</f>
        <v/>
      </c>
      <c r="AV288" s="970" t="n"/>
    </row>
    <row r="289" outlineLevel="1" s="817">
      <c r="F289" s="520" t="n"/>
      <c r="G289" s="520" t="n"/>
      <c r="H289" s="970" t="n"/>
      <c r="I289" s="970" t="n"/>
      <c r="J289" s="970" t="n"/>
      <c r="K289" s="970" t="n"/>
      <c r="L289" s="970" t="n"/>
      <c r="M289" s="970" t="n"/>
      <c r="N289" s="970" t="n"/>
      <c r="O289" s="970" t="n"/>
      <c r="P289" s="970" t="n"/>
      <c r="Q289" s="970" t="n"/>
      <c r="T289" s="545" t="n"/>
      <c r="U289" s="971" t="n"/>
      <c r="V289" s="971" t="n"/>
      <c r="W289">
        <f>IF(AND($D289="Occupied",$AC289&lt;&gt;""),$AC289,"")</f>
        <v/>
      </c>
      <c r="X289">
        <f>IF(AND(D289="Occupied",C289&lt;&gt;"",W289&lt;&gt;""),C289&amp;"|"&amp;W289,"")</f>
        <v/>
      </c>
      <c r="Y289">
        <f>IF(AND(C289&lt;&gt;"",W289&lt;&gt;""),C289&amp;"|"&amp;W289,"")</f>
        <v/>
      </c>
      <c r="AA289" s="970" t="n"/>
      <c r="AB289" s="555" t="n"/>
      <c r="AD289" s="970" t="n"/>
      <c r="AE289" s="520" t="n"/>
      <c r="AF289" s="970" t="n"/>
      <c r="AG289" s="970" t="n"/>
      <c r="AH289" s="970" t="n"/>
      <c r="AI289" s="970" t="n"/>
      <c r="AJ289" s="970" t="n"/>
      <c r="AK289" s="970" t="n"/>
      <c r="AL289" s="970" t="n"/>
      <c r="AM289" s="970" t="n"/>
      <c r="AN289" s="970" t="n"/>
      <c r="AO289" s="970" t="n"/>
      <c r="AP289" s="979" t="n"/>
      <c r="AQ289" s="980">
        <f>SUM(AK289:AO289)</f>
        <v/>
      </c>
      <c r="AR289" s="981" t="n"/>
      <c r="AT289" s="971" t="n"/>
      <c r="AU289">
        <f t="array" ref="AU289">IF(D289&lt;&gt;"Occupied","",_xlfn.IFS(AND(ISNUMBER(AD289),AD289&lt;&gt;0),"Structured",ISNUMBER(SEARCH("/mo con",S289)),"Notes-parsed",ISNUMBER(SEARCH("step",S289)),"Step-up",ISNUMBER(SEARCH("swap",S289)),"Rate-swap",AND(ISNUMBER(H289),ISNUMBER(I289),H289&gt;I289),"Implied",TRUE,""))</f>
        <v/>
      </c>
      <c r="AV289" s="970" t="n"/>
    </row>
    <row r="290" outlineLevel="1" s="817">
      <c r="F290" s="520" t="n"/>
      <c r="G290" s="520" t="n"/>
      <c r="H290" s="970" t="n"/>
      <c r="I290" s="970" t="n"/>
      <c r="J290" s="970" t="n"/>
      <c r="K290" s="970" t="n"/>
      <c r="L290" s="970" t="n"/>
      <c r="M290" s="970" t="n"/>
      <c r="N290" s="970" t="n"/>
      <c r="O290" s="970" t="n"/>
      <c r="P290" s="970" t="n"/>
      <c r="Q290" s="970" t="n"/>
      <c r="T290" s="545" t="n"/>
      <c r="U290" s="971" t="n"/>
      <c r="V290" s="971" t="n"/>
      <c r="W290">
        <f>IF(AND($D290="Occupied",$AC290&lt;&gt;""),$AC290,"")</f>
        <v/>
      </c>
      <c r="X290">
        <f>IF(AND(D290="Occupied",C290&lt;&gt;"",W290&lt;&gt;""),C290&amp;"|"&amp;W290,"")</f>
        <v/>
      </c>
      <c r="Y290">
        <f>IF(AND(C290&lt;&gt;"",W290&lt;&gt;""),C290&amp;"|"&amp;W290,"")</f>
        <v/>
      </c>
      <c r="AA290" s="970" t="n"/>
      <c r="AB290" s="555" t="n"/>
      <c r="AD290" s="970" t="n"/>
      <c r="AE290" s="520" t="n"/>
      <c r="AF290" s="970" t="n"/>
      <c r="AG290" s="970" t="n"/>
      <c r="AH290" s="970" t="n"/>
      <c r="AI290" s="970" t="n"/>
      <c r="AJ290" s="970" t="n"/>
      <c r="AK290" s="970" t="n"/>
      <c r="AL290" s="970" t="n"/>
      <c r="AM290" s="970" t="n"/>
      <c r="AN290" s="970" t="n"/>
      <c r="AO290" s="970" t="n"/>
      <c r="AP290" s="979" t="n"/>
      <c r="AQ290" s="980">
        <f>SUM(AK290:AO290)</f>
        <v/>
      </c>
      <c r="AR290" s="981" t="n"/>
      <c r="AT290" s="971" t="n"/>
      <c r="AU290">
        <f t="array" ref="AU290">IF(D290&lt;&gt;"Occupied","",_xlfn.IFS(AND(ISNUMBER(AD290),AD290&lt;&gt;0),"Structured",ISNUMBER(SEARCH("/mo con",S290)),"Notes-parsed",ISNUMBER(SEARCH("step",S290)),"Step-up",ISNUMBER(SEARCH("swap",S290)),"Rate-swap",AND(ISNUMBER(H290),ISNUMBER(I290),H290&gt;I290),"Implied",TRUE,""))</f>
        <v/>
      </c>
      <c r="AV290" s="970" t="n"/>
    </row>
    <row r="291" outlineLevel="1" s="817">
      <c r="F291" s="520" t="n"/>
      <c r="G291" s="520" t="n"/>
      <c r="H291" s="970" t="n"/>
      <c r="I291" s="970" t="n"/>
      <c r="J291" s="970" t="n"/>
      <c r="K291" s="970" t="n"/>
      <c r="L291" s="970" t="n"/>
      <c r="M291" s="970" t="n"/>
      <c r="N291" s="970" t="n"/>
      <c r="O291" s="970" t="n"/>
      <c r="P291" s="970" t="n"/>
      <c r="Q291" s="970" t="n"/>
      <c r="T291" s="545" t="n"/>
      <c r="U291" s="971" t="n"/>
      <c r="V291" s="971" t="n"/>
      <c r="W291">
        <f>IF(AND($D291="Occupied",$AC291&lt;&gt;""),$AC291,"")</f>
        <v/>
      </c>
      <c r="X291">
        <f>IF(AND(D291="Occupied",C291&lt;&gt;"",W291&lt;&gt;""),C291&amp;"|"&amp;W291,"")</f>
        <v/>
      </c>
      <c r="Y291">
        <f>IF(AND(C291&lt;&gt;"",W291&lt;&gt;""),C291&amp;"|"&amp;W291,"")</f>
        <v/>
      </c>
      <c r="AA291" s="970" t="n"/>
      <c r="AB291" s="555" t="n"/>
      <c r="AD291" s="970" t="n"/>
      <c r="AE291" s="520" t="n"/>
      <c r="AF291" s="970" t="n"/>
      <c r="AG291" s="970" t="n"/>
      <c r="AH291" s="970" t="n"/>
      <c r="AI291" s="970" t="n"/>
      <c r="AJ291" s="970" t="n"/>
      <c r="AK291" s="970" t="n"/>
      <c r="AL291" s="970" t="n"/>
      <c r="AM291" s="970" t="n"/>
      <c r="AN291" s="970" t="n"/>
      <c r="AO291" s="970" t="n"/>
      <c r="AP291" s="979" t="n"/>
      <c r="AQ291" s="980">
        <f>SUM(AK291:AO291)</f>
        <v/>
      </c>
      <c r="AR291" s="981" t="n"/>
      <c r="AT291" s="971" t="n"/>
      <c r="AU291">
        <f t="array" ref="AU291">IF(D291&lt;&gt;"Occupied","",_xlfn.IFS(AND(ISNUMBER(AD291),AD291&lt;&gt;0),"Structured",ISNUMBER(SEARCH("/mo con",S291)),"Notes-parsed",ISNUMBER(SEARCH("step",S291)),"Step-up",ISNUMBER(SEARCH("swap",S291)),"Rate-swap",AND(ISNUMBER(H291),ISNUMBER(I291),H291&gt;I291),"Implied",TRUE,""))</f>
        <v/>
      </c>
      <c r="AV291" s="970" t="n"/>
    </row>
    <row r="292" outlineLevel="1" s="817">
      <c r="F292" s="520" t="n"/>
      <c r="G292" s="520" t="n"/>
      <c r="H292" s="970" t="n"/>
      <c r="I292" s="970" t="n"/>
      <c r="J292" s="970" t="n"/>
      <c r="K292" s="970" t="n"/>
      <c r="L292" s="970" t="n"/>
      <c r="M292" s="970" t="n"/>
      <c r="N292" s="970" t="n"/>
      <c r="O292" s="970" t="n"/>
      <c r="P292" s="970" t="n"/>
      <c r="Q292" s="970" t="n"/>
      <c r="T292" s="545" t="n"/>
      <c r="U292" s="971" t="n"/>
      <c r="V292" s="971" t="n"/>
      <c r="W292">
        <f>IF(AND($D292="Occupied",$AC292&lt;&gt;""),$AC292,"")</f>
        <v/>
      </c>
      <c r="X292">
        <f>IF(AND(D292="Occupied",C292&lt;&gt;"",W292&lt;&gt;""),C292&amp;"|"&amp;W292,"")</f>
        <v/>
      </c>
      <c r="Y292">
        <f>IF(AND(C292&lt;&gt;"",W292&lt;&gt;""),C292&amp;"|"&amp;W292,"")</f>
        <v/>
      </c>
      <c r="AA292" s="970" t="n"/>
      <c r="AB292" s="555" t="n"/>
      <c r="AD292" s="970" t="n"/>
      <c r="AE292" s="520" t="n"/>
      <c r="AF292" s="970" t="n"/>
      <c r="AG292" s="970" t="n"/>
      <c r="AH292" s="970" t="n"/>
      <c r="AI292" s="970" t="n"/>
      <c r="AJ292" s="970" t="n"/>
      <c r="AK292" s="970" t="n"/>
      <c r="AL292" s="970" t="n"/>
      <c r="AM292" s="970" t="n"/>
      <c r="AN292" s="970" t="n"/>
      <c r="AO292" s="970" t="n"/>
      <c r="AP292" s="979" t="n"/>
      <c r="AQ292" s="980">
        <f>SUM(AK292:AO292)</f>
        <v/>
      </c>
      <c r="AR292" s="981" t="n"/>
      <c r="AT292" s="971" t="n"/>
      <c r="AU292">
        <f t="array" ref="AU292">IF(D292&lt;&gt;"Occupied","",_xlfn.IFS(AND(ISNUMBER(AD292),AD292&lt;&gt;0),"Structured",ISNUMBER(SEARCH("/mo con",S292)),"Notes-parsed",ISNUMBER(SEARCH("step",S292)),"Step-up",ISNUMBER(SEARCH("swap",S292)),"Rate-swap",AND(ISNUMBER(H292),ISNUMBER(I292),H292&gt;I292),"Implied",TRUE,""))</f>
        <v/>
      </c>
      <c r="AV292" s="970" t="n"/>
    </row>
    <row r="293" outlineLevel="1" s="817">
      <c r="F293" s="520" t="n"/>
      <c r="G293" s="520" t="n"/>
      <c r="H293" s="970" t="n"/>
      <c r="I293" s="970" t="n"/>
      <c r="J293" s="970" t="n"/>
      <c r="K293" s="970" t="n"/>
      <c r="L293" s="970" t="n"/>
      <c r="M293" s="970" t="n"/>
      <c r="N293" s="970" t="n"/>
      <c r="O293" s="970" t="n"/>
      <c r="P293" s="970" t="n"/>
      <c r="Q293" s="970" t="n"/>
      <c r="T293" s="545" t="n"/>
      <c r="U293" s="971" t="n"/>
      <c r="V293" s="971" t="n"/>
      <c r="W293">
        <f>IF(AND($D293="Occupied",$AC293&lt;&gt;""),$AC293,"")</f>
        <v/>
      </c>
      <c r="X293">
        <f>IF(AND(D293="Occupied",C293&lt;&gt;"",W293&lt;&gt;""),C293&amp;"|"&amp;W293,"")</f>
        <v/>
      </c>
      <c r="Y293">
        <f>IF(AND(C293&lt;&gt;"",W293&lt;&gt;""),C293&amp;"|"&amp;W293,"")</f>
        <v/>
      </c>
      <c r="AA293" s="970" t="n"/>
      <c r="AB293" s="555" t="n"/>
      <c r="AD293" s="970" t="n"/>
      <c r="AE293" s="520" t="n"/>
      <c r="AF293" s="970" t="n"/>
      <c r="AG293" s="970" t="n"/>
      <c r="AH293" s="970" t="n"/>
      <c r="AI293" s="970" t="n"/>
      <c r="AJ293" s="970" t="n"/>
      <c r="AK293" s="970" t="n"/>
      <c r="AL293" s="970" t="n"/>
      <c r="AM293" s="970" t="n"/>
      <c r="AN293" s="970" t="n"/>
      <c r="AO293" s="970" t="n"/>
      <c r="AP293" s="979" t="n"/>
      <c r="AQ293" s="980">
        <f>SUM(AK293:AO293)</f>
        <v/>
      </c>
      <c r="AR293" s="981" t="n"/>
      <c r="AT293" s="971" t="n"/>
      <c r="AU293">
        <f t="array" ref="AU293">IF(D293&lt;&gt;"Occupied","",_xlfn.IFS(AND(ISNUMBER(AD293),AD293&lt;&gt;0),"Structured",ISNUMBER(SEARCH("/mo con",S293)),"Notes-parsed",ISNUMBER(SEARCH("step",S293)),"Step-up",ISNUMBER(SEARCH("swap",S293)),"Rate-swap",AND(ISNUMBER(H293),ISNUMBER(I293),H293&gt;I293),"Implied",TRUE,""))</f>
        <v/>
      </c>
      <c r="AV293" s="970" t="n"/>
    </row>
    <row r="294" outlineLevel="1" s="817">
      <c r="F294" s="520" t="n"/>
      <c r="G294" s="520" t="n"/>
      <c r="H294" s="970" t="n"/>
      <c r="I294" s="970" t="n"/>
      <c r="J294" s="970" t="n"/>
      <c r="K294" s="970" t="n"/>
      <c r="L294" s="970" t="n"/>
      <c r="M294" s="970" t="n"/>
      <c r="N294" s="970" t="n"/>
      <c r="O294" s="970" t="n"/>
      <c r="P294" s="970" t="n"/>
      <c r="Q294" s="970" t="n"/>
      <c r="T294" s="545" t="n"/>
      <c r="U294" s="971" t="n"/>
      <c r="V294" s="971" t="n"/>
      <c r="W294">
        <f>IF(AND($D294="Occupied",$AC294&lt;&gt;""),$AC294,"")</f>
        <v/>
      </c>
      <c r="X294">
        <f>IF(AND(D294="Occupied",C294&lt;&gt;"",W294&lt;&gt;""),C294&amp;"|"&amp;W294,"")</f>
        <v/>
      </c>
      <c r="Y294">
        <f>IF(AND(C294&lt;&gt;"",W294&lt;&gt;""),C294&amp;"|"&amp;W294,"")</f>
        <v/>
      </c>
      <c r="AA294" s="970" t="n"/>
      <c r="AB294" s="555" t="n"/>
      <c r="AD294" s="970" t="n"/>
      <c r="AE294" s="520" t="n"/>
      <c r="AF294" s="970" t="n"/>
      <c r="AG294" s="970" t="n"/>
      <c r="AH294" s="970" t="n"/>
      <c r="AI294" s="970" t="n"/>
      <c r="AJ294" s="970" t="n"/>
      <c r="AK294" s="970" t="n"/>
      <c r="AL294" s="970" t="n"/>
      <c r="AM294" s="970" t="n"/>
      <c r="AN294" s="970" t="n"/>
      <c r="AO294" s="970" t="n"/>
      <c r="AP294" s="979" t="n"/>
      <c r="AQ294" s="980">
        <f>SUM(AK294:AO294)</f>
        <v/>
      </c>
      <c r="AR294" s="981" t="n"/>
      <c r="AT294" s="971" t="n"/>
      <c r="AU294">
        <f t="array" ref="AU294">IF(D294&lt;&gt;"Occupied","",_xlfn.IFS(AND(ISNUMBER(AD294),AD294&lt;&gt;0),"Structured",ISNUMBER(SEARCH("/mo con",S294)),"Notes-parsed",ISNUMBER(SEARCH("step",S294)),"Step-up",ISNUMBER(SEARCH("swap",S294)),"Rate-swap",AND(ISNUMBER(H294),ISNUMBER(I294),H294&gt;I294),"Implied",TRUE,""))</f>
        <v/>
      </c>
      <c r="AV294" s="970" t="n"/>
    </row>
    <row r="295" outlineLevel="1" s="817">
      <c r="F295" s="520" t="n"/>
      <c r="G295" s="520" t="n"/>
      <c r="H295" s="970" t="n"/>
      <c r="I295" s="970" t="n"/>
      <c r="J295" s="970" t="n"/>
      <c r="K295" s="970" t="n"/>
      <c r="L295" s="970" t="n"/>
      <c r="M295" s="970" t="n"/>
      <c r="N295" s="970" t="n"/>
      <c r="O295" s="970" t="n"/>
      <c r="P295" s="970" t="n"/>
      <c r="Q295" s="970" t="n"/>
      <c r="T295" s="545" t="n"/>
      <c r="U295" s="971" t="n"/>
      <c r="V295" s="971" t="n"/>
      <c r="W295">
        <f>IF(AND($D295="Occupied",$AC295&lt;&gt;""),$AC295,"")</f>
        <v/>
      </c>
      <c r="X295">
        <f>IF(AND(D295="Occupied",C295&lt;&gt;"",W295&lt;&gt;""),C295&amp;"|"&amp;W295,"")</f>
        <v/>
      </c>
      <c r="Y295">
        <f>IF(AND(C295&lt;&gt;"",W295&lt;&gt;""),C295&amp;"|"&amp;W295,"")</f>
        <v/>
      </c>
      <c r="AA295" s="970" t="n"/>
      <c r="AB295" s="555" t="n"/>
      <c r="AD295" s="970" t="n"/>
      <c r="AE295" s="520" t="n"/>
      <c r="AF295" s="970" t="n"/>
      <c r="AG295" s="970" t="n"/>
      <c r="AH295" s="970" t="n"/>
      <c r="AI295" s="970" t="n"/>
      <c r="AJ295" s="970" t="n"/>
      <c r="AK295" s="970" t="n"/>
      <c r="AL295" s="970" t="n"/>
      <c r="AM295" s="970" t="n"/>
      <c r="AN295" s="970" t="n"/>
      <c r="AO295" s="970" t="n"/>
      <c r="AP295" s="979" t="n"/>
      <c r="AQ295" s="980">
        <f>SUM(AK295:AO295)</f>
        <v/>
      </c>
      <c r="AR295" s="981" t="n"/>
      <c r="AT295" s="971" t="n"/>
      <c r="AU295">
        <f t="array" ref="AU295">IF(D295&lt;&gt;"Occupied","",_xlfn.IFS(AND(ISNUMBER(AD295),AD295&lt;&gt;0),"Structured",ISNUMBER(SEARCH("/mo con",S295)),"Notes-parsed",ISNUMBER(SEARCH("step",S295)),"Step-up",ISNUMBER(SEARCH("swap",S295)),"Rate-swap",AND(ISNUMBER(H295),ISNUMBER(I295),H295&gt;I295),"Implied",TRUE,""))</f>
        <v/>
      </c>
      <c r="AV295" s="970" t="n"/>
    </row>
    <row r="296" outlineLevel="1" s="817">
      <c r="F296" s="520" t="n"/>
      <c r="G296" s="520" t="n"/>
      <c r="H296" s="970" t="n"/>
      <c r="I296" s="970" t="n"/>
      <c r="J296" s="970" t="n"/>
      <c r="K296" s="970" t="n"/>
      <c r="L296" s="970" t="n"/>
      <c r="M296" s="970" t="n"/>
      <c r="N296" s="970" t="n"/>
      <c r="O296" s="970" t="n"/>
      <c r="P296" s="970" t="n"/>
      <c r="Q296" s="970" t="n"/>
      <c r="T296" s="545" t="n"/>
      <c r="U296" s="971" t="n"/>
      <c r="V296" s="971" t="n"/>
      <c r="W296">
        <f>IF(AND($D296="Occupied",$AC296&lt;&gt;""),$AC296,"")</f>
        <v/>
      </c>
      <c r="X296">
        <f>IF(AND(D296="Occupied",C296&lt;&gt;"",W296&lt;&gt;""),C296&amp;"|"&amp;W296,"")</f>
        <v/>
      </c>
      <c r="Y296">
        <f>IF(AND(C296&lt;&gt;"",W296&lt;&gt;""),C296&amp;"|"&amp;W296,"")</f>
        <v/>
      </c>
      <c r="AA296" s="970" t="n"/>
      <c r="AB296" s="555" t="n"/>
      <c r="AD296" s="970" t="n"/>
      <c r="AE296" s="520" t="n"/>
      <c r="AF296" s="970" t="n"/>
      <c r="AG296" s="970" t="n"/>
      <c r="AH296" s="970" t="n"/>
      <c r="AI296" s="970" t="n"/>
      <c r="AJ296" s="970" t="n"/>
      <c r="AK296" s="970" t="n"/>
      <c r="AL296" s="970" t="n"/>
      <c r="AM296" s="970" t="n"/>
      <c r="AN296" s="970" t="n"/>
      <c r="AO296" s="970" t="n"/>
      <c r="AP296" s="979" t="n"/>
      <c r="AQ296" s="980">
        <f>SUM(AK296:AO296)</f>
        <v/>
      </c>
      <c r="AR296" s="981" t="n"/>
      <c r="AT296" s="971" t="n"/>
      <c r="AU296">
        <f t="array" ref="AU296">IF(D296&lt;&gt;"Occupied","",_xlfn.IFS(AND(ISNUMBER(AD296),AD296&lt;&gt;0),"Structured",ISNUMBER(SEARCH("/mo con",S296)),"Notes-parsed",ISNUMBER(SEARCH("step",S296)),"Step-up",ISNUMBER(SEARCH("swap",S296)),"Rate-swap",AND(ISNUMBER(H296),ISNUMBER(I296),H296&gt;I296),"Implied",TRUE,""))</f>
        <v/>
      </c>
      <c r="AV296" s="970" t="n"/>
    </row>
    <row r="297" outlineLevel="1" s="817">
      <c r="F297" s="520" t="n"/>
      <c r="G297" s="520" t="n"/>
      <c r="H297" s="970" t="n"/>
      <c r="I297" s="970" t="n"/>
      <c r="J297" s="970" t="n"/>
      <c r="K297" s="970" t="n"/>
      <c r="L297" s="970" t="n"/>
      <c r="M297" s="970" t="n"/>
      <c r="N297" s="970" t="n"/>
      <c r="O297" s="970" t="n"/>
      <c r="P297" s="970" t="n"/>
      <c r="Q297" s="970" t="n"/>
      <c r="T297" s="545" t="n"/>
      <c r="U297" s="971" t="n"/>
      <c r="V297" s="971" t="n"/>
      <c r="W297">
        <f>IF(AND($D297="Occupied",$AC297&lt;&gt;""),$AC297,"")</f>
        <v/>
      </c>
      <c r="X297">
        <f>IF(AND(D297="Occupied",C297&lt;&gt;"",W297&lt;&gt;""),C297&amp;"|"&amp;W297,"")</f>
        <v/>
      </c>
      <c r="Y297">
        <f>IF(AND(C297&lt;&gt;"",W297&lt;&gt;""),C297&amp;"|"&amp;W297,"")</f>
        <v/>
      </c>
      <c r="AA297" s="970" t="n"/>
      <c r="AB297" s="555" t="n"/>
      <c r="AD297" s="970" t="n"/>
      <c r="AE297" s="520" t="n"/>
      <c r="AF297" s="970" t="n"/>
      <c r="AG297" s="970" t="n"/>
      <c r="AH297" s="970" t="n"/>
      <c r="AI297" s="970" t="n"/>
      <c r="AJ297" s="970" t="n"/>
      <c r="AK297" s="970" t="n"/>
      <c r="AL297" s="970" t="n"/>
      <c r="AM297" s="970" t="n"/>
      <c r="AN297" s="970" t="n"/>
      <c r="AO297" s="970" t="n"/>
      <c r="AP297" s="979" t="n"/>
      <c r="AQ297" s="980">
        <f>SUM(AK297:AO297)</f>
        <v/>
      </c>
      <c r="AR297" s="981" t="n"/>
      <c r="AT297" s="971" t="n"/>
      <c r="AU297">
        <f t="array" ref="AU297">IF(D297&lt;&gt;"Occupied","",_xlfn.IFS(AND(ISNUMBER(AD297),AD297&lt;&gt;0),"Structured",ISNUMBER(SEARCH("/mo con",S297)),"Notes-parsed",ISNUMBER(SEARCH("step",S297)),"Step-up",ISNUMBER(SEARCH("swap",S297)),"Rate-swap",AND(ISNUMBER(H297),ISNUMBER(I297),H297&gt;I297),"Implied",TRUE,""))</f>
        <v/>
      </c>
      <c r="AV297" s="970" t="n"/>
    </row>
    <row r="298" outlineLevel="1" s="817">
      <c r="F298" s="520" t="n"/>
      <c r="G298" s="520" t="n"/>
      <c r="H298" s="970" t="n"/>
      <c r="I298" s="970" t="n"/>
      <c r="J298" s="970" t="n"/>
      <c r="K298" s="970" t="n"/>
      <c r="L298" s="970" t="n"/>
      <c r="M298" s="970" t="n"/>
      <c r="N298" s="970" t="n"/>
      <c r="O298" s="970" t="n"/>
      <c r="P298" s="970" t="n"/>
      <c r="Q298" s="970" t="n"/>
      <c r="T298" s="545" t="n"/>
      <c r="U298" s="971" t="n"/>
      <c r="V298" s="971" t="n"/>
      <c r="W298">
        <f>IF(AND($D298="Occupied",$AC298&lt;&gt;""),$AC298,"")</f>
        <v/>
      </c>
      <c r="X298">
        <f>IF(AND(D298="Occupied",C298&lt;&gt;"",W298&lt;&gt;""),C298&amp;"|"&amp;W298,"")</f>
        <v/>
      </c>
      <c r="Y298">
        <f>IF(AND(C298&lt;&gt;"",W298&lt;&gt;""),C298&amp;"|"&amp;W298,"")</f>
        <v/>
      </c>
      <c r="AA298" s="970" t="n"/>
      <c r="AB298" s="555" t="n"/>
      <c r="AD298" s="970" t="n"/>
      <c r="AE298" s="520" t="n"/>
      <c r="AF298" s="970" t="n"/>
      <c r="AG298" s="970" t="n"/>
      <c r="AH298" s="970" t="n"/>
      <c r="AI298" s="970" t="n"/>
      <c r="AJ298" s="970" t="n"/>
      <c r="AK298" s="970" t="n"/>
      <c r="AL298" s="970" t="n"/>
      <c r="AM298" s="970" t="n"/>
      <c r="AN298" s="970" t="n"/>
      <c r="AO298" s="970" t="n"/>
      <c r="AP298" s="979" t="n"/>
      <c r="AQ298" s="980">
        <f>SUM(AK298:AO298)</f>
        <v/>
      </c>
      <c r="AR298" s="981" t="n"/>
      <c r="AT298" s="971" t="n"/>
      <c r="AU298">
        <f t="array" ref="AU298">IF(D298&lt;&gt;"Occupied","",_xlfn.IFS(AND(ISNUMBER(AD298),AD298&lt;&gt;0),"Structured",ISNUMBER(SEARCH("/mo con",S298)),"Notes-parsed",ISNUMBER(SEARCH("step",S298)),"Step-up",ISNUMBER(SEARCH("swap",S298)),"Rate-swap",AND(ISNUMBER(H298),ISNUMBER(I298),H298&gt;I298),"Implied",TRUE,""))</f>
        <v/>
      </c>
      <c r="AV298" s="970" t="n"/>
    </row>
    <row r="299" outlineLevel="1" s="817">
      <c r="F299" s="520" t="n"/>
      <c r="G299" s="520" t="n"/>
      <c r="H299" s="970" t="n"/>
      <c r="I299" s="970" t="n"/>
      <c r="J299" s="970" t="n"/>
      <c r="K299" s="970" t="n"/>
      <c r="L299" s="970" t="n"/>
      <c r="M299" s="970" t="n"/>
      <c r="N299" s="970" t="n"/>
      <c r="O299" s="970" t="n"/>
      <c r="P299" s="970" t="n"/>
      <c r="Q299" s="970" t="n"/>
      <c r="T299" s="545" t="n"/>
      <c r="U299" s="971" t="n"/>
      <c r="V299" s="971" t="n"/>
      <c r="W299">
        <f>IF(AND($D299="Occupied",$AC299&lt;&gt;""),$AC299,"")</f>
        <v/>
      </c>
      <c r="X299">
        <f>IF(AND(D299="Occupied",C299&lt;&gt;"",W299&lt;&gt;""),C299&amp;"|"&amp;W299,"")</f>
        <v/>
      </c>
      <c r="Y299">
        <f>IF(AND(C299&lt;&gt;"",W299&lt;&gt;""),C299&amp;"|"&amp;W299,"")</f>
        <v/>
      </c>
      <c r="AA299" s="970" t="n"/>
      <c r="AB299" s="555" t="n"/>
      <c r="AD299" s="970" t="n"/>
      <c r="AE299" s="520" t="n"/>
      <c r="AF299" s="970" t="n"/>
      <c r="AG299" s="970" t="n"/>
      <c r="AH299" s="970" t="n"/>
      <c r="AI299" s="970" t="n"/>
      <c r="AJ299" s="970" t="n"/>
      <c r="AK299" s="970" t="n"/>
      <c r="AL299" s="970" t="n"/>
      <c r="AM299" s="970" t="n"/>
      <c r="AN299" s="970" t="n"/>
      <c r="AO299" s="970" t="n"/>
      <c r="AP299" s="979" t="n"/>
      <c r="AQ299" s="980">
        <f>SUM(AK299:AO299)</f>
        <v/>
      </c>
      <c r="AR299" s="981" t="n"/>
      <c r="AT299" s="971" t="n"/>
      <c r="AU299">
        <f t="array" ref="AU299">IF(D299&lt;&gt;"Occupied","",_xlfn.IFS(AND(ISNUMBER(AD299),AD299&lt;&gt;0),"Structured",ISNUMBER(SEARCH("/mo con",S299)),"Notes-parsed",ISNUMBER(SEARCH("step",S299)),"Step-up",ISNUMBER(SEARCH("swap",S299)),"Rate-swap",AND(ISNUMBER(H299),ISNUMBER(I299),H299&gt;I299),"Implied",TRUE,""))</f>
        <v/>
      </c>
      <c r="AV299" s="970" t="n"/>
    </row>
    <row r="300" outlineLevel="1" s="817">
      <c r="F300" s="520" t="n"/>
      <c r="G300" s="520" t="n"/>
      <c r="H300" s="970" t="n"/>
      <c r="I300" s="970" t="n"/>
      <c r="J300" s="970" t="n"/>
      <c r="K300" s="970" t="n"/>
      <c r="L300" s="970" t="n"/>
      <c r="M300" s="970" t="n"/>
      <c r="N300" s="970" t="n"/>
      <c r="O300" s="970" t="n"/>
      <c r="P300" s="970" t="n"/>
      <c r="Q300" s="970" t="n"/>
      <c r="T300" s="545" t="n"/>
      <c r="U300" s="971" t="n"/>
      <c r="V300" s="971" t="n"/>
      <c r="W300">
        <f>IF(AND($D300="Occupied",$AC300&lt;&gt;""),$AC300,"")</f>
        <v/>
      </c>
      <c r="X300">
        <f>IF(AND(D300="Occupied",C300&lt;&gt;"",W300&lt;&gt;""),C300&amp;"|"&amp;W300,"")</f>
        <v/>
      </c>
      <c r="Y300">
        <f>IF(AND(C300&lt;&gt;"",W300&lt;&gt;""),C300&amp;"|"&amp;W300,"")</f>
        <v/>
      </c>
      <c r="AA300" s="970" t="n"/>
      <c r="AB300" s="555" t="n"/>
      <c r="AD300" s="970" t="n"/>
      <c r="AE300" s="520" t="n"/>
      <c r="AF300" s="970" t="n"/>
      <c r="AG300" s="970" t="n"/>
      <c r="AH300" s="970" t="n"/>
      <c r="AI300" s="970" t="n"/>
      <c r="AJ300" s="970" t="n"/>
      <c r="AK300" s="970" t="n"/>
      <c r="AL300" s="970" t="n"/>
      <c r="AM300" s="970" t="n"/>
      <c r="AN300" s="970" t="n"/>
      <c r="AO300" s="970" t="n"/>
      <c r="AP300" s="979" t="n"/>
      <c r="AQ300" s="980">
        <f>SUM(AK300:AO300)</f>
        <v/>
      </c>
      <c r="AR300" s="981" t="n"/>
      <c r="AT300" s="971" t="n"/>
      <c r="AU300">
        <f t="array" ref="AU300">IF(D300&lt;&gt;"Occupied","",_xlfn.IFS(AND(ISNUMBER(AD300),AD300&lt;&gt;0),"Structured",ISNUMBER(SEARCH("/mo con",S300)),"Notes-parsed",ISNUMBER(SEARCH("step",S300)),"Step-up",ISNUMBER(SEARCH("swap",S300)),"Rate-swap",AND(ISNUMBER(H300),ISNUMBER(I300),H300&gt;I300),"Implied",TRUE,""))</f>
        <v/>
      </c>
      <c r="AV300" s="970" t="n"/>
    </row>
    <row r="301" outlineLevel="1" s="817">
      <c r="F301" s="520" t="n"/>
      <c r="G301" s="520" t="n"/>
      <c r="H301" s="970" t="n"/>
      <c r="I301" s="970" t="n"/>
      <c r="J301" s="970" t="n"/>
      <c r="K301" s="970" t="n"/>
      <c r="L301" s="970" t="n"/>
      <c r="M301" s="970" t="n"/>
      <c r="N301" s="970" t="n"/>
      <c r="O301" s="970" t="n"/>
      <c r="P301" s="970" t="n"/>
      <c r="Q301" s="970" t="n"/>
      <c r="T301" s="545" t="n"/>
      <c r="U301" s="971" t="n"/>
      <c r="V301" s="971" t="n"/>
      <c r="W301">
        <f>IF(AND($D301="Occupied",$AC301&lt;&gt;""),$AC301,"")</f>
        <v/>
      </c>
      <c r="X301">
        <f>IF(AND(D301="Occupied",C301&lt;&gt;"",W301&lt;&gt;""),C301&amp;"|"&amp;W301,"")</f>
        <v/>
      </c>
      <c r="Y301">
        <f>IF(AND(C301&lt;&gt;"",W301&lt;&gt;""),C301&amp;"|"&amp;W301,"")</f>
        <v/>
      </c>
      <c r="AA301" s="970" t="n"/>
      <c r="AB301" s="555" t="n"/>
      <c r="AD301" s="970" t="n"/>
      <c r="AE301" s="520" t="n"/>
      <c r="AF301" s="970" t="n"/>
      <c r="AG301" s="970" t="n"/>
      <c r="AH301" s="970" t="n"/>
      <c r="AI301" s="970" t="n"/>
      <c r="AJ301" s="970" t="n"/>
      <c r="AK301" s="970" t="n"/>
      <c r="AL301" s="970" t="n"/>
      <c r="AM301" s="970" t="n"/>
      <c r="AN301" s="970" t="n"/>
      <c r="AO301" s="970" t="n"/>
      <c r="AP301" s="979" t="n"/>
      <c r="AQ301" s="980">
        <f>SUM(AK301:AO301)</f>
        <v/>
      </c>
      <c r="AR301" s="981" t="n"/>
      <c r="AT301" s="971" t="n"/>
      <c r="AU301">
        <f t="array" ref="AU301">IF(D301&lt;&gt;"Occupied","",_xlfn.IFS(AND(ISNUMBER(AD301),AD301&lt;&gt;0),"Structured",ISNUMBER(SEARCH("/mo con",S301)),"Notes-parsed",ISNUMBER(SEARCH("step",S301)),"Step-up",ISNUMBER(SEARCH("swap",S301)),"Rate-swap",AND(ISNUMBER(H301),ISNUMBER(I301),H301&gt;I301),"Implied",TRUE,""))</f>
        <v/>
      </c>
      <c r="AV301" s="970" t="n"/>
    </row>
    <row r="302" outlineLevel="1" s="817">
      <c r="F302" s="520" t="n"/>
      <c r="G302" s="520" t="n"/>
      <c r="H302" s="970" t="n"/>
      <c r="I302" s="970" t="n"/>
      <c r="J302" s="970" t="n"/>
      <c r="K302" s="970" t="n"/>
      <c r="L302" s="970" t="n"/>
      <c r="M302" s="970" t="n"/>
      <c r="N302" s="970" t="n"/>
      <c r="O302" s="970" t="n"/>
      <c r="P302" s="970" t="n"/>
      <c r="Q302" s="970" t="n"/>
      <c r="T302" s="545" t="n"/>
      <c r="U302" s="971" t="n"/>
      <c r="V302" s="971" t="n"/>
      <c r="W302">
        <f>IF(AND($D302="Occupied",$AC302&lt;&gt;""),$AC302,"")</f>
        <v/>
      </c>
      <c r="X302">
        <f>IF(AND(D302="Occupied",C302&lt;&gt;"",W302&lt;&gt;""),C302&amp;"|"&amp;W302,"")</f>
        <v/>
      </c>
      <c r="Y302">
        <f>IF(AND(C302&lt;&gt;"",W302&lt;&gt;""),C302&amp;"|"&amp;W302,"")</f>
        <v/>
      </c>
      <c r="AA302" s="970" t="n"/>
      <c r="AB302" s="555" t="n"/>
      <c r="AD302" s="970" t="n"/>
      <c r="AE302" s="520" t="n"/>
      <c r="AF302" s="970" t="n"/>
      <c r="AG302" s="970" t="n"/>
      <c r="AH302" s="970" t="n"/>
      <c r="AI302" s="970" t="n"/>
      <c r="AJ302" s="970" t="n"/>
      <c r="AK302" s="970" t="n"/>
      <c r="AL302" s="970" t="n"/>
      <c r="AM302" s="970" t="n"/>
      <c r="AN302" s="970" t="n"/>
      <c r="AO302" s="970" t="n"/>
      <c r="AP302" s="979" t="n"/>
      <c r="AQ302" s="980">
        <f>SUM(AK302:AO302)</f>
        <v/>
      </c>
      <c r="AR302" s="981" t="n"/>
      <c r="AT302" s="971" t="n"/>
      <c r="AU302">
        <f t="array" ref="AU302">IF(D302&lt;&gt;"Occupied","",_xlfn.IFS(AND(ISNUMBER(AD302),AD302&lt;&gt;0),"Structured",ISNUMBER(SEARCH("/mo con",S302)),"Notes-parsed",ISNUMBER(SEARCH("step",S302)),"Step-up",ISNUMBER(SEARCH("swap",S302)),"Rate-swap",AND(ISNUMBER(H302),ISNUMBER(I302),H302&gt;I302),"Implied",TRUE,""))</f>
        <v/>
      </c>
      <c r="AV302" s="970" t="n"/>
    </row>
    <row r="303" outlineLevel="1" s="817">
      <c r="F303" s="520" t="n"/>
      <c r="G303" s="520" t="n"/>
      <c r="H303" s="970" t="n"/>
      <c r="I303" s="970" t="n"/>
      <c r="J303" s="970" t="n"/>
      <c r="K303" s="970" t="n"/>
      <c r="L303" s="970" t="n"/>
      <c r="M303" s="970" t="n"/>
      <c r="N303" s="970" t="n"/>
      <c r="O303" s="970" t="n"/>
      <c r="P303" s="970" t="n"/>
      <c r="Q303" s="970" t="n"/>
      <c r="T303" s="545" t="n"/>
      <c r="U303" s="971" t="n"/>
      <c r="V303" s="971" t="n"/>
      <c r="W303">
        <f>IF(AND($D303="Occupied",$AC303&lt;&gt;""),$AC303,"")</f>
        <v/>
      </c>
      <c r="X303">
        <f>IF(AND(D303="Occupied",C303&lt;&gt;"",W303&lt;&gt;""),C303&amp;"|"&amp;W303,"")</f>
        <v/>
      </c>
      <c r="Y303">
        <f>IF(AND(C303&lt;&gt;"",W303&lt;&gt;""),C303&amp;"|"&amp;W303,"")</f>
        <v/>
      </c>
      <c r="AA303" s="970" t="n"/>
      <c r="AB303" s="555" t="n"/>
      <c r="AD303" s="970" t="n"/>
      <c r="AE303" s="520" t="n"/>
      <c r="AF303" s="970" t="n"/>
      <c r="AG303" s="970" t="n"/>
      <c r="AH303" s="970" t="n"/>
      <c r="AI303" s="970" t="n"/>
      <c r="AJ303" s="970" t="n"/>
      <c r="AK303" s="970" t="n"/>
      <c r="AL303" s="970" t="n"/>
      <c r="AM303" s="970" t="n"/>
      <c r="AN303" s="970" t="n"/>
      <c r="AO303" s="970" t="n"/>
      <c r="AP303" s="979" t="n"/>
      <c r="AQ303" s="980">
        <f>SUM(AK303:AO303)</f>
        <v/>
      </c>
      <c r="AR303" s="981" t="n"/>
      <c r="AT303" s="971" t="n"/>
      <c r="AU303">
        <f t="array" ref="AU303">IF(D303&lt;&gt;"Occupied","",_xlfn.IFS(AND(ISNUMBER(AD303),AD303&lt;&gt;0),"Structured",ISNUMBER(SEARCH("/mo con",S303)),"Notes-parsed",ISNUMBER(SEARCH("step",S303)),"Step-up",ISNUMBER(SEARCH("swap",S303)),"Rate-swap",AND(ISNUMBER(H303),ISNUMBER(I303),H303&gt;I303),"Implied",TRUE,""))</f>
        <v/>
      </c>
      <c r="AV303" s="970" t="n"/>
    </row>
    <row r="304" outlineLevel="1" s="817">
      <c r="F304" s="520" t="n"/>
      <c r="G304" s="520" t="n"/>
      <c r="H304" s="970" t="n"/>
      <c r="I304" s="970" t="n"/>
      <c r="J304" s="970" t="n"/>
      <c r="K304" s="970" t="n"/>
      <c r="L304" s="970" t="n"/>
      <c r="M304" s="970" t="n"/>
      <c r="N304" s="970" t="n"/>
      <c r="O304" s="970" t="n"/>
      <c r="P304" s="970" t="n"/>
      <c r="Q304" s="970" t="n"/>
      <c r="T304" s="545" t="n"/>
      <c r="U304" s="971" t="n"/>
      <c r="V304" s="971" t="n"/>
      <c r="W304">
        <f>IF(AND($D304="Occupied",$AC304&lt;&gt;""),$AC304,"")</f>
        <v/>
      </c>
      <c r="X304">
        <f>IF(AND(D304="Occupied",C304&lt;&gt;"",W304&lt;&gt;""),C304&amp;"|"&amp;W304,"")</f>
        <v/>
      </c>
      <c r="Y304">
        <f>IF(AND(C304&lt;&gt;"",W304&lt;&gt;""),C304&amp;"|"&amp;W304,"")</f>
        <v/>
      </c>
      <c r="AA304" s="970" t="n"/>
      <c r="AB304" s="555" t="n"/>
      <c r="AD304" s="970" t="n"/>
      <c r="AE304" s="520" t="n"/>
      <c r="AF304" s="970" t="n"/>
      <c r="AG304" s="970" t="n"/>
      <c r="AH304" s="970" t="n"/>
      <c r="AI304" s="970" t="n"/>
      <c r="AJ304" s="970" t="n"/>
      <c r="AK304" s="970" t="n"/>
      <c r="AL304" s="970" t="n"/>
      <c r="AM304" s="970" t="n"/>
      <c r="AN304" s="970" t="n"/>
      <c r="AO304" s="970" t="n"/>
      <c r="AP304" s="979" t="n"/>
      <c r="AQ304" s="980">
        <f>SUM(AK304:AO304)</f>
        <v/>
      </c>
      <c r="AR304" s="981" t="n"/>
      <c r="AT304" s="971" t="n"/>
      <c r="AU304">
        <f t="array" ref="AU304">IF(D304&lt;&gt;"Occupied","",_xlfn.IFS(AND(ISNUMBER(AD304),AD304&lt;&gt;0),"Structured",ISNUMBER(SEARCH("/mo con",S304)),"Notes-parsed",ISNUMBER(SEARCH("step",S304)),"Step-up",ISNUMBER(SEARCH("swap",S304)),"Rate-swap",AND(ISNUMBER(H304),ISNUMBER(I304),H304&gt;I304),"Implied",TRUE,""))</f>
        <v/>
      </c>
      <c r="AV304" s="970" t="n"/>
    </row>
    <row r="305" outlineLevel="1" s="817">
      <c r="F305" s="520" t="n"/>
      <c r="G305" s="520" t="n"/>
      <c r="H305" s="970" t="n"/>
      <c r="I305" s="970" t="n"/>
      <c r="J305" s="970" t="n"/>
      <c r="K305" s="970" t="n"/>
      <c r="L305" s="970" t="n"/>
      <c r="M305" s="970" t="n"/>
      <c r="N305" s="970" t="n"/>
      <c r="O305" s="970" t="n"/>
      <c r="P305" s="970" t="n"/>
      <c r="Q305" s="970" t="n"/>
      <c r="T305" s="545" t="n"/>
      <c r="U305" s="971" t="n"/>
      <c r="V305" s="971" t="n"/>
      <c r="W305">
        <f>IF(AND($D305="Occupied",$AC305&lt;&gt;""),$AC305,"")</f>
        <v/>
      </c>
      <c r="X305">
        <f>IF(AND(D305="Occupied",C305&lt;&gt;"",W305&lt;&gt;""),C305&amp;"|"&amp;W305,"")</f>
        <v/>
      </c>
      <c r="Y305">
        <f>IF(AND(C305&lt;&gt;"",W305&lt;&gt;""),C305&amp;"|"&amp;W305,"")</f>
        <v/>
      </c>
      <c r="AA305" s="970" t="n"/>
      <c r="AB305" s="555" t="n"/>
      <c r="AD305" s="970" t="n"/>
      <c r="AE305" s="520" t="n"/>
      <c r="AF305" s="970" t="n"/>
      <c r="AG305" s="970" t="n"/>
      <c r="AH305" s="970" t="n"/>
      <c r="AI305" s="970" t="n"/>
      <c r="AJ305" s="970" t="n"/>
      <c r="AK305" s="970" t="n"/>
      <c r="AL305" s="970" t="n"/>
      <c r="AM305" s="970" t="n"/>
      <c r="AN305" s="970" t="n"/>
      <c r="AO305" s="970" t="n"/>
      <c r="AP305" s="979" t="n"/>
      <c r="AQ305" s="980">
        <f>SUM(AK305:AO305)</f>
        <v/>
      </c>
      <c r="AR305" s="981" t="n"/>
      <c r="AT305" s="971" t="n"/>
      <c r="AU305">
        <f t="array" ref="AU305">IF(D305&lt;&gt;"Occupied","",_xlfn.IFS(AND(ISNUMBER(AD305),AD305&lt;&gt;0),"Structured",ISNUMBER(SEARCH("/mo con",S305)),"Notes-parsed",ISNUMBER(SEARCH("step",S305)),"Step-up",ISNUMBER(SEARCH("swap",S305)),"Rate-swap",AND(ISNUMBER(H305),ISNUMBER(I305),H305&gt;I305),"Implied",TRUE,""))</f>
        <v/>
      </c>
      <c r="AV305" s="970" t="n"/>
    </row>
    <row r="306" outlineLevel="1" s="817">
      <c r="F306" s="520" t="n"/>
      <c r="G306" s="520" t="n"/>
      <c r="H306" s="970" t="n"/>
      <c r="I306" s="970" t="n"/>
      <c r="J306" s="970" t="n"/>
      <c r="K306" s="970" t="n"/>
      <c r="L306" s="970" t="n"/>
      <c r="M306" s="970" t="n"/>
      <c r="N306" s="970" t="n"/>
      <c r="O306" s="970" t="n"/>
      <c r="P306" s="970" t="n"/>
      <c r="Q306" s="970" t="n"/>
      <c r="T306" s="545" t="n"/>
      <c r="U306" s="971" t="n"/>
      <c r="V306" s="971" t="n"/>
      <c r="W306">
        <f>IF(AND($D306="Occupied",$AC306&lt;&gt;""),$AC306,"")</f>
        <v/>
      </c>
      <c r="X306">
        <f>IF(AND(D306="Occupied",C306&lt;&gt;"",W306&lt;&gt;""),C306&amp;"|"&amp;W306,"")</f>
        <v/>
      </c>
      <c r="Y306">
        <f>IF(AND(C306&lt;&gt;"",W306&lt;&gt;""),C306&amp;"|"&amp;W306,"")</f>
        <v/>
      </c>
      <c r="AA306" s="970" t="n"/>
      <c r="AB306" s="555" t="n"/>
      <c r="AD306" s="970" t="n"/>
      <c r="AE306" s="520" t="n"/>
      <c r="AF306" s="970" t="n"/>
      <c r="AG306" s="970" t="n"/>
      <c r="AH306" s="970" t="n"/>
      <c r="AI306" s="970" t="n"/>
      <c r="AJ306" s="970" t="n"/>
      <c r="AK306" s="970" t="n"/>
      <c r="AL306" s="970" t="n"/>
      <c r="AM306" s="970" t="n"/>
      <c r="AN306" s="970" t="n"/>
      <c r="AO306" s="970" t="n"/>
      <c r="AP306" s="979" t="n"/>
      <c r="AQ306" s="980">
        <f>SUM(AK306:AO306)</f>
        <v/>
      </c>
      <c r="AR306" s="981" t="n"/>
      <c r="AT306" s="971" t="n"/>
      <c r="AU306">
        <f t="array" ref="AU306">IF(D306&lt;&gt;"Occupied","",_xlfn.IFS(AND(ISNUMBER(AD306),AD306&lt;&gt;0),"Structured",ISNUMBER(SEARCH("/mo con",S306)),"Notes-parsed",ISNUMBER(SEARCH("step",S306)),"Step-up",ISNUMBER(SEARCH("swap",S306)),"Rate-swap",AND(ISNUMBER(H306),ISNUMBER(I306),H306&gt;I306),"Implied",TRUE,""))</f>
        <v/>
      </c>
      <c r="AV306" s="970" t="n"/>
    </row>
    <row r="307" outlineLevel="1" s="817">
      <c r="F307" s="520" t="n"/>
      <c r="G307" s="520" t="n"/>
      <c r="H307" s="970" t="n"/>
      <c r="I307" s="970" t="n"/>
      <c r="J307" s="970" t="n"/>
      <c r="K307" s="970" t="n"/>
      <c r="L307" s="970" t="n"/>
      <c r="M307" s="970" t="n"/>
      <c r="N307" s="970" t="n"/>
      <c r="O307" s="970" t="n"/>
      <c r="P307" s="970" t="n"/>
      <c r="Q307" s="970" t="n"/>
      <c r="T307" s="545" t="n"/>
      <c r="U307" s="971" t="n"/>
      <c r="V307" s="971" t="n"/>
      <c r="W307">
        <f>IF(AND($D307="Occupied",$AC307&lt;&gt;""),$AC307,"")</f>
        <v/>
      </c>
      <c r="X307">
        <f>IF(AND(D307="Occupied",C307&lt;&gt;"",W307&lt;&gt;""),C307&amp;"|"&amp;W307,"")</f>
        <v/>
      </c>
      <c r="Y307">
        <f>IF(AND(C307&lt;&gt;"",W307&lt;&gt;""),C307&amp;"|"&amp;W307,"")</f>
        <v/>
      </c>
      <c r="AA307" s="970" t="n"/>
      <c r="AB307" s="555" t="n"/>
      <c r="AD307" s="970" t="n"/>
      <c r="AE307" s="520" t="n"/>
      <c r="AF307" s="970" t="n"/>
      <c r="AG307" s="970" t="n"/>
      <c r="AH307" s="970" t="n"/>
      <c r="AI307" s="970" t="n"/>
      <c r="AJ307" s="970" t="n"/>
      <c r="AK307" s="970" t="n"/>
      <c r="AL307" s="970" t="n"/>
      <c r="AM307" s="970" t="n"/>
      <c r="AN307" s="970" t="n"/>
      <c r="AO307" s="970" t="n"/>
      <c r="AP307" s="979" t="n"/>
      <c r="AQ307" s="980">
        <f>SUM(AK307:AO307)</f>
        <v/>
      </c>
      <c r="AR307" s="981" t="n"/>
      <c r="AT307" s="971" t="n"/>
      <c r="AU307">
        <f t="array" ref="AU307">IF(D307&lt;&gt;"Occupied","",_xlfn.IFS(AND(ISNUMBER(AD307),AD307&lt;&gt;0),"Structured",ISNUMBER(SEARCH("/mo con",S307)),"Notes-parsed",ISNUMBER(SEARCH("step",S307)),"Step-up",ISNUMBER(SEARCH("swap",S307)),"Rate-swap",AND(ISNUMBER(H307),ISNUMBER(I307),H307&gt;I307),"Implied",TRUE,""))</f>
        <v/>
      </c>
      <c r="AV307" s="970" t="n"/>
    </row>
    <row r="308" outlineLevel="1" s="817">
      <c r="F308" s="520" t="n"/>
      <c r="G308" s="520" t="n"/>
      <c r="H308" s="970" t="n"/>
      <c r="I308" s="970" t="n"/>
      <c r="J308" s="970" t="n"/>
      <c r="K308" s="970" t="n"/>
      <c r="L308" s="970" t="n"/>
      <c r="M308" s="970" t="n"/>
      <c r="N308" s="970" t="n"/>
      <c r="O308" s="970" t="n"/>
      <c r="P308" s="970" t="n"/>
      <c r="Q308" s="970" t="n"/>
      <c r="T308" s="545" t="n"/>
      <c r="U308" s="971" t="n"/>
      <c r="V308" s="971" t="n"/>
      <c r="W308">
        <f>IF(AND($D308="Occupied",$AC308&lt;&gt;""),$AC308,"")</f>
        <v/>
      </c>
      <c r="X308">
        <f>IF(AND(D308="Occupied",C308&lt;&gt;"",W308&lt;&gt;""),C308&amp;"|"&amp;W308,"")</f>
        <v/>
      </c>
      <c r="Y308">
        <f>IF(AND(C308&lt;&gt;"",W308&lt;&gt;""),C308&amp;"|"&amp;W308,"")</f>
        <v/>
      </c>
      <c r="AA308" s="970" t="n"/>
      <c r="AB308" s="555" t="n"/>
      <c r="AD308" s="970" t="n"/>
      <c r="AE308" s="520" t="n"/>
      <c r="AF308" s="970" t="n"/>
      <c r="AG308" s="970" t="n"/>
      <c r="AH308" s="970" t="n"/>
      <c r="AI308" s="970" t="n"/>
      <c r="AJ308" s="970" t="n"/>
      <c r="AK308" s="970" t="n"/>
      <c r="AL308" s="970" t="n"/>
      <c r="AM308" s="970" t="n"/>
      <c r="AN308" s="970" t="n"/>
      <c r="AO308" s="970" t="n"/>
      <c r="AP308" s="979" t="n"/>
      <c r="AQ308" s="980">
        <f>SUM(AK308:AO308)</f>
        <v/>
      </c>
      <c r="AR308" s="981" t="n"/>
      <c r="AT308" s="971" t="n"/>
      <c r="AU308">
        <f t="array" ref="AU308">IF(D308&lt;&gt;"Occupied","",_xlfn.IFS(AND(ISNUMBER(AD308),AD308&lt;&gt;0),"Structured",ISNUMBER(SEARCH("/mo con",S308)),"Notes-parsed",ISNUMBER(SEARCH("step",S308)),"Step-up",ISNUMBER(SEARCH("swap",S308)),"Rate-swap",AND(ISNUMBER(H308),ISNUMBER(I308),H308&gt;I308),"Implied",TRUE,""))</f>
        <v/>
      </c>
      <c r="AV308" s="970" t="n"/>
    </row>
    <row r="309" outlineLevel="1" s="817">
      <c r="F309" s="520" t="n"/>
      <c r="G309" s="520" t="n"/>
      <c r="H309" s="970" t="n"/>
      <c r="I309" s="970" t="n"/>
      <c r="J309" s="970" t="n"/>
      <c r="K309" s="970" t="n"/>
      <c r="L309" s="970" t="n"/>
      <c r="M309" s="970" t="n"/>
      <c r="N309" s="970" t="n"/>
      <c r="O309" s="970" t="n"/>
      <c r="P309" s="970" t="n"/>
      <c r="Q309" s="970" t="n"/>
      <c r="T309" s="545" t="n"/>
      <c r="U309" s="971" t="n"/>
      <c r="V309" s="971" t="n"/>
      <c r="W309">
        <f>IF(AND($D309="Occupied",$AC309&lt;&gt;""),$AC309,"")</f>
        <v/>
      </c>
      <c r="X309">
        <f>IF(AND(D309="Occupied",C309&lt;&gt;"",W309&lt;&gt;""),C309&amp;"|"&amp;W309,"")</f>
        <v/>
      </c>
      <c r="Y309">
        <f>IF(AND(C309&lt;&gt;"",W309&lt;&gt;""),C309&amp;"|"&amp;W309,"")</f>
        <v/>
      </c>
      <c r="AA309" s="970" t="n"/>
      <c r="AB309" s="555" t="n"/>
      <c r="AD309" s="970" t="n"/>
      <c r="AE309" s="520" t="n"/>
      <c r="AF309" s="970" t="n"/>
      <c r="AG309" s="970" t="n"/>
      <c r="AH309" s="970" t="n"/>
      <c r="AI309" s="970" t="n"/>
      <c r="AJ309" s="970" t="n"/>
      <c r="AK309" s="970" t="n"/>
      <c r="AL309" s="970" t="n"/>
      <c r="AM309" s="970" t="n"/>
      <c r="AN309" s="970" t="n"/>
      <c r="AO309" s="970" t="n"/>
      <c r="AP309" s="979" t="n"/>
      <c r="AQ309" s="980">
        <f>SUM(AK309:AO309)</f>
        <v/>
      </c>
      <c r="AR309" s="981" t="n"/>
      <c r="AT309" s="971" t="n"/>
      <c r="AU309">
        <f t="array" ref="AU309">IF(D309&lt;&gt;"Occupied","",_xlfn.IFS(AND(ISNUMBER(AD309),AD309&lt;&gt;0),"Structured",ISNUMBER(SEARCH("/mo con",S309)),"Notes-parsed",ISNUMBER(SEARCH("step",S309)),"Step-up",ISNUMBER(SEARCH("swap",S309)),"Rate-swap",AND(ISNUMBER(H309),ISNUMBER(I309),H309&gt;I309),"Implied",TRUE,""))</f>
        <v/>
      </c>
      <c r="AV309" s="970" t="n"/>
    </row>
    <row r="310" outlineLevel="1" s="817">
      <c r="F310" s="520" t="n"/>
      <c r="G310" s="520" t="n"/>
      <c r="H310" s="970" t="n"/>
      <c r="I310" s="970" t="n"/>
      <c r="J310" s="970" t="n"/>
      <c r="K310" s="970" t="n"/>
      <c r="L310" s="970" t="n"/>
      <c r="M310" s="970" t="n"/>
      <c r="N310" s="970" t="n"/>
      <c r="O310" s="970" t="n"/>
      <c r="P310" s="970" t="n"/>
      <c r="Q310" s="970" t="n"/>
      <c r="T310" s="545" t="n"/>
      <c r="U310" s="971" t="n"/>
      <c r="V310" s="971" t="n"/>
      <c r="W310">
        <f>IF(AND($D310="Occupied",$AC310&lt;&gt;""),$AC310,"")</f>
        <v/>
      </c>
      <c r="X310">
        <f>IF(AND(D310="Occupied",C310&lt;&gt;"",W310&lt;&gt;""),C310&amp;"|"&amp;W310,"")</f>
        <v/>
      </c>
      <c r="Y310">
        <f>IF(AND(C310&lt;&gt;"",W310&lt;&gt;""),C310&amp;"|"&amp;W310,"")</f>
        <v/>
      </c>
      <c r="AA310" s="970" t="n"/>
      <c r="AB310" s="555" t="n"/>
      <c r="AD310" s="970" t="n"/>
      <c r="AE310" s="520" t="n"/>
      <c r="AF310" s="970" t="n"/>
      <c r="AG310" s="970" t="n"/>
      <c r="AH310" s="970" t="n"/>
      <c r="AI310" s="970" t="n"/>
      <c r="AJ310" s="970" t="n"/>
      <c r="AK310" s="970" t="n"/>
      <c r="AL310" s="970" t="n"/>
      <c r="AM310" s="970" t="n"/>
      <c r="AN310" s="970" t="n"/>
      <c r="AO310" s="970" t="n"/>
      <c r="AP310" s="979" t="n"/>
      <c r="AQ310" s="980">
        <f>SUM(AK310:AO310)</f>
        <v/>
      </c>
      <c r="AR310" s="981" t="n"/>
      <c r="AT310" s="971" t="n"/>
      <c r="AU310">
        <f t="array" ref="AU310">IF(D310&lt;&gt;"Occupied","",_xlfn.IFS(AND(ISNUMBER(AD310),AD310&lt;&gt;0),"Structured",ISNUMBER(SEARCH("/mo con",S310)),"Notes-parsed",ISNUMBER(SEARCH("step",S310)),"Step-up",ISNUMBER(SEARCH("swap",S310)),"Rate-swap",AND(ISNUMBER(H310),ISNUMBER(I310),H310&gt;I310),"Implied",TRUE,""))</f>
        <v/>
      </c>
      <c r="AV310" s="970" t="n"/>
    </row>
    <row r="311" outlineLevel="1" s="817">
      <c r="F311" s="520" t="n"/>
      <c r="G311" s="520" t="n"/>
      <c r="H311" s="970" t="n"/>
      <c r="I311" s="970" t="n"/>
      <c r="J311" s="970" t="n"/>
      <c r="K311" s="970" t="n"/>
      <c r="L311" s="970" t="n"/>
      <c r="M311" s="970" t="n"/>
      <c r="N311" s="970" t="n"/>
      <c r="O311" s="970" t="n"/>
      <c r="P311" s="970" t="n"/>
      <c r="Q311" s="970" t="n"/>
      <c r="T311" s="545" t="n"/>
      <c r="U311" s="971" t="n"/>
      <c r="V311" s="971" t="n"/>
      <c r="W311">
        <f>IF(AND($D311="Occupied",$AC311&lt;&gt;""),$AC311,"")</f>
        <v/>
      </c>
      <c r="X311">
        <f>IF(AND(D311="Occupied",C311&lt;&gt;"",W311&lt;&gt;""),C311&amp;"|"&amp;W311,"")</f>
        <v/>
      </c>
      <c r="Y311">
        <f>IF(AND(C311&lt;&gt;"",W311&lt;&gt;""),C311&amp;"|"&amp;W311,"")</f>
        <v/>
      </c>
      <c r="AA311" s="970" t="n"/>
      <c r="AB311" s="555" t="n"/>
      <c r="AD311" s="970" t="n"/>
      <c r="AE311" s="520" t="n"/>
      <c r="AF311" s="970" t="n"/>
      <c r="AG311" s="970" t="n"/>
      <c r="AH311" s="970" t="n"/>
      <c r="AI311" s="970" t="n"/>
      <c r="AJ311" s="970" t="n"/>
      <c r="AK311" s="970" t="n"/>
      <c r="AL311" s="970" t="n"/>
      <c r="AM311" s="970" t="n"/>
      <c r="AN311" s="970" t="n"/>
      <c r="AO311" s="970" t="n"/>
      <c r="AP311" s="979" t="n"/>
      <c r="AQ311" s="980">
        <f>SUM(AK311:AO311)</f>
        <v/>
      </c>
      <c r="AR311" s="981" t="n"/>
      <c r="AT311" s="971" t="n"/>
      <c r="AU311">
        <f t="array" ref="AU311">IF(D311&lt;&gt;"Occupied","",_xlfn.IFS(AND(ISNUMBER(AD311),AD311&lt;&gt;0),"Structured",ISNUMBER(SEARCH("/mo con",S311)),"Notes-parsed",ISNUMBER(SEARCH("step",S311)),"Step-up",ISNUMBER(SEARCH("swap",S311)),"Rate-swap",AND(ISNUMBER(H311),ISNUMBER(I311),H311&gt;I311),"Implied",TRUE,""))</f>
        <v/>
      </c>
      <c r="AV311" s="970" t="n"/>
    </row>
    <row r="312" outlineLevel="1" s="817">
      <c r="F312" s="520" t="n"/>
      <c r="G312" s="520" t="n"/>
      <c r="H312" s="970" t="n"/>
      <c r="I312" s="970" t="n"/>
      <c r="J312" s="970" t="n"/>
      <c r="K312" s="970" t="n"/>
      <c r="L312" s="970" t="n"/>
      <c r="M312" s="970" t="n"/>
      <c r="N312" s="970" t="n"/>
      <c r="O312" s="970" t="n"/>
      <c r="P312" s="970" t="n"/>
      <c r="Q312" s="970" t="n"/>
      <c r="T312" s="545" t="n"/>
      <c r="U312" s="971" t="n"/>
      <c r="V312" s="971" t="n"/>
      <c r="W312">
        <f>IF(AND($D312="Occupied",$AC312&lt;&gt;""),$AC312,"")</f>
        <v/>
      </c>
      <c r="X312">
        <f>IF(AND(D312="Occupied",C312&lt;&gt;"",W312&lt;&gt;""),C312&amp;"|"&amp;W312,"")</f>
        <v/>
      </c>
      <c r="Y312">
        <f>IF(AND(C312&lt;&gt;"",W312&lt;&gt;""),C312&amp;"|"&amp;W312,"")</f>
        <v/>
      </c>
      <c r="AA312" s="970" t="n"/>
      <c r="AB312" s="555" t="n"/>
      <c r="AD312" s="970" t="n"/>
      <c r="AE312" s="520" t="n"/>
      <c r="AF312" s="970" t="n"/>
      <c r="AG312" s="970" t="n"/>
      <c r="AH312" s="970" t="n"/>
      <c r="AI312" s="970" t="n"/>
      <c r="AJ312" s="970" t="n"/>
      <c r="AK312" s="970" t="n"/>
      <c r="AL312" s="970" t="n"/>
      <c r="AM312" s="970" t="n"/>
      <c r="AN312" s="970" t="n"/>
      <c r="AO312" s="970" t="n"/>
      <c r="AP312" s="979" t="n"/>
      <c r="AQ312" s="980">
        <f>SUM(AK312:AO312)</f>
        <v/>
      </c>
      <c r="AR312" s="981" t="n"/>
      <c r="AT312" s="971" t="n"/>
      <c r="AU312">
        <f t="array" ref="AU312">IF(D312&lt;&gt;"Occupied","",_xlfn.IFS(AND(ISNUMBER(AD312),AD312&lt;&gt;0),"Structured",ISNUMBER(SEARCH("/mo con",S312)),"Notes-parsed",ISNUMBER(SEARCH("step",S312)),"Step-up",ISNUMBER(SEARCH("swap",S312)),"Rate-swap",AND(ISNUMBER(H312),ISNUMBER(I312),H312&gt;I312),"Implied",TRUE,""))</f>
        <v/>
      </c>
      <c r="AV312" s="970" t="n"/>
    </row>
    <row r="313" outlineLevel="1" s="817">
      <c r="F313" s="520" t="n"/>
      <c r="G313" s="520" t="n"/>
      <c r="H313" s="970" t="n"/>
      <c r="I313" s="970" t="n"/>
      <c r="J313" s="970" t="n"/>
      <c r="K313" s="970" t="n"/>
      <c r="L313" s="970" t="n"/>
      <c r="M313" s="970" t="n"/>
      <c r="N313" s="970" t="n"/>
      <c r="O313" s="970" t="n"/>
      <c r="P313" s="970" t="n"/>
      <c r="Q313" s="970" t="n"/>
      <c r="T313" s="545" t="n"/>
      <c r="U313" s="971" t="n"/>
      <c r="V313" s="971" t="n"/>
      <c r="W313">
        <f>IF(AND($D313="Occupied",$AC313&lt;&gt;""),$AC313,"")</f>
        <v/>
      </c>
      <c r="X313">
        <f>IF(AND(D313="Occupied",C313&lt;&gt;"",W313&lt;&gt;""),C313&amp;"|"&amp;W313,"")</f>
        <v/>
      </c>
      <c r="Y313">
        <f>IF(AND(C313&lt;&gt;"",W313&lt;&gt;""),C313&amp;"|"&amp;W313,"")</f>
        <v/>
      </c>
      <c r="AA313" s="970" t="n"/>
      <c r="AB313" s="555" t="n"/>
      <c r="AD313" s="970" t="n"/>
      <c r="AE313" s="520" t="n"/>
      <c r="AF313" s="970" t="n"/>
      <c r="AG313" s="970" t="n"/>
      <c r="AH313" s="970" t="n"/>
      <c r="AI313" s="970" t="n"/>
      <c r="AJ313" s="970" t="n"/>
      <c r="AK313" s="970" t="n"/>
      <c r="AL313" s="970" t="n"/>
      <c r="AM313" s="970" t="n"/>
      <c r="AN313" s="970" t="n"/>
      <c r="AO313" s="970" t="n"/>
      <c r="AP313" s="979" t="n"/>
      <c r="AQ313" s="980">
        <f>SUM(AK313:AO313)</f>
        <v/>
      </c>
      <c r="AR313" s="981" t="n"/>
      <c r="AT313" s="971" t="n"/>
      <c r="AU313">
        <f t="array" ref="AU313">IF(D313&lt;&gt;"Occupied","",_xlfn.IFS(AND(ISNUMBER(AD313),AD313&lt;&gt;0),"Structured",ISNUMBER(SEARCH("/mo con",S313)),"Notes-parsed",ISNUMBER(SEARCH("step",S313)),"Step-up",ISNUMBER(SEARCH("swap",S313)),"Rate-swap",AND(ISNUMBER(H313),ISNUMBER(I313),H313&gt;I313),"Implied",TRUE,""))</f>
        <v/>
      </c>
      <c r="AV313" s="970" t="n"/>
    </row>
    <row r="314" outlineLevel="1" s="817">
      <c r="F314" s="520" t="n"/>
      <c r="G314" s="520" t="n"/>
      <c r="H314" s="970" t="n"/>
      <c r="I314" s="970" t="n"/>
      <c r="J314" s="970" t="n"/>
      <c r="K314" s="970" t="n"/>
      <c r="L314" s="970" t="n"/>
      <c r="M314" s="970" t="n"/>
      <c r="N314" s="970" t="n"/>
      <c r="O314" s="970" t="n"/>
      <c r="P314" s="970" t="n"/>
      <c r="Q314" s="970" t="n"/>
      <c r="T314" s="545" t="n"/>
      <c r="U314" s="971" t="n"/>
      <c r="V314" s="971" t="n"/>
      <c r="W314">
        <f>IF(AND($D314="Occupied",$AC314&lt;&gt;""),$AC314,"")</f>
        <v/>
      </c>
      <c r="X314">
        <f>IF(AND(D314="Occupied",C314&lt;&gt;"",W314&lt;&gt;""),C314&amp;"|"&amp;W314,"")</f>
        <v/>
      </c>
      <c r="Y314">
        <f>IF(AND(C314&lt;&gt;"",W314&lt;&gt;""),C314&amp;"|"&amp;W314,"")</f>
        <v/>
      </c>
      <c r="AA314" s="970" t="n"/>
      <c r="AB314" s="555" t="n"/>
      <c r="AD314" s="970" t="n"/>
      <c r="AE314" s="520" t="n"/>
      <c r="AF314" s="970" t="n"/>
      <c r="AG314" s="970" t="n"/>
      <c r="AH314" s="970" t="n"/>
      <c r="AI314" s="970" t="n"/>
      <c r="AJ314" s="970" t="n"/>
      <c r="AK314" s="970" t="n"/>
      <c r="AL314" s="970" t="n"/>
      <c r="AM314" s="970" t="n"/>
      <c r="AN314" s="970" t="n"/>
      <c r="AO314" s="970" t="n"/>
      <c r="AP314" s="979" t="n"/>
      <c r="AQ314" s="980">
        <f>SUM(AK314:AO314)</f>
        <v/>
      </c>
      <c r="AR314" s="981" t="n"/>
      <c r="AT314" s="971" t="n"/>
      <c r="AU314">
        <f t="array" ref="AU314">IF(D314&lt;&gt;"Occupied","",_xlfn.IFS(AND(ISNUMBER(AD314),AD314&lt;&gt;0),"Structured",ISNUMBER(SEARCH("/mo con",S314)),"Notes-parsed",ISNUMBER(SEARCH("step",S314)),"Step-up",ISNUMBER(SEARCH("swap",S314)),"Rate-swap",AND(ISNUMBER(H314),ISNUMBER(I314),H314&gt;I314),"Implied",TRUE,""))</f>
        <v/>
      </c>
      <c r="AV314" s="970" t="n"/>
    </row>
    <row r="315" outlineLevel="1" s="817">
      <c r="F315" s="520" t="n"/>
      <c r="G315" s="520" t="n"/>
      <c r="H315" s="970" t="n"/>
      <c r="I315" s="970" t="n"/>
      <c r="J315" s="970" t="n"/>
      <c r="K315" s="970" t="n"/>
      <c r="L315" s="970" t="n"/>
      <c r="M315" s="970" t="n"/>
      <c r="N315" s="970" t="n"/>
      <c r="O315" s="970" t="n"/>
      <c r="P315" s="970" t="n"/>
      <c r="Q315" s="970" t="n"/>
      <c r="T315" s="545" t="n"/>
      <c r="U315" s="971" t="n"/>
      <c r="V315" s="971" t="n"/>
      <c r="W315">
        <f>IF(AND($D315="Occupied",$AC315&lt;&gt;""),$AC315,"")</f>
        <v/>
      </c>
      <c r="X315">
        <f>IF(AND(D315="Occupied",C315&lt;&gt;"",W315&lt;&gt;""),C315&amp;"|"&amp;W315,"")</f>
        <v/>
      </c>
      <c r="Y315">
        <f>IF(AND(C315&lt;&gt;"",W315&lt;&gt;""),C315&amp;"|"&amp;W315,"")</f>
        <v/>
      </c>
      <c r="AA315" s="970" t="n"/>
      <c r="AB315" s="555" t="n"/>
      <c r="AD315" s="970" t="n"/>
      <c r="AE315" s="520" t="n"/>
      <c r="AF315" s="970" t="n"/>
      <c r="AG315" s="970" t="n"/>
      <c r="AH315" s="970" t="n"/>
      <c r="AI315" s="970" t="n"/>
      <c r="AJ315" s="970" t="n"/>
      <c r="AK315" s="970" t="n"/>
      <c r="AL315" s="970" t="n"/>
      <c r="AM315" s="970" t="n"/>
      <c r="AN315" s="970" t="n"/>
      <c r="AO315" s="970" t="n"/>
      <c r="AP315" s="979" t="n"/>
      <c r="AQ315" s="980">
        <f>SUM(AK315:AO315)</f>
        <v/>
      </c>
      <c r="AR315" s="981" t="n"/>
      <c r="AT315" s="971" t="n"/>
      <c r="AU315">
        <f t="array" ref="AU315">IF(D315&lt;&gt;"Occupied","",_xlfn.IFS(AND(ISNUMBER(AD315),AD315&lt;&gt;0),"Structured",ISNUMBER(SEARCH("/mo con",S315)),"Notes-parsed",ISNUMBER(SEARCH("step",S315)),"Step-up",ISNUMBER(SEARCH("swap",S315)),"Rate-swap",AND(ISNUMBER(H315),ISNUMBER(I315),H315&gt;I315),"Implied",TRUE,""))</f>
        <v/>
      </c>
      <c r="AV315" s="970" t="n"/>
    </row>
    <row r="316" outlineLevel="1" s="817">
      <c r="F316" s="520" t="n"/>
      <c r="G316" s="520" t="n"/>
      <c r="H316" s="970" t="n"/>
      <c r="I316" s="970" t="n"/>
      <c r="J316" s="970" t="n"/>
      <c r="K316" s="970" t="n"/>
      <c r="L316" s="970" t="n"/>
      <c r="M316" s="970" t="n"/>
      <c r="N316" s="970" t="n"/>
      <c r="O316" s="970" t="n"/>
      <c r="P316" s="970" t="n"/>
      <c r="Q316" s="970" t="n"/>
      <c r="T316" s="545" t="n"/>
      <c r="U316" s="971" t="n"/>
      <c r="V316" s="971" t="n"/>
      <c r="W316">
        <f>IF(AND($D316="Occupied",$AC316&lt;&gt;""),$AC316,"")</f>
        <v/>
      </c>
      <c r="X316">
        <f>IF(AND(D316="Occupied",C316&lt;&gt;"",W316&lt;&gt;""),C316&amp;"|"&amp;W316,"")</f>
        <v/>
      </c>
      <c r="Y316">
        <f>IF(AND(C316&lt;&gt;"",W316&lt;&gt;""),C316&amp;"|"&amp;W316,"")</f>
        <v/>
      </c>
      <c r="AA316" s="970" t="n"/>
      <c r="AB316" s="555" t="n"/>
      <c r="AD316" s="970" t="n"/>
      <c r="AE316" s="520" t="n"/>
      <c r="AF316" s="970" t="n"/>
      <c r="AG316" s="970" t="n"/>
      <c r="AH316" s="970" t="n"/>
      <c r="AI316" s="970" t="n"/>
      <c r="AJ316" s="970" t="n"/>
      <c r="AK316" s="970" t="n"/>
      <c r="AL316" s="970" t="n"/>
      <c r="AM316" s="970" t="n"/>
      <c r="AN316" s="970" t="n"/>
      <c r="AO316" s="970" t="n"/>
      <c r="AP316" s="979" t="n"/>
      <c r="AQ316" s="980">
        <f>SUM(AK316:AO316)</f>
        <v/>
      </c>
      <c r="AR316" s="981" t="n"/>
      <c r="AT316" s="971" t="n"/>
      <c r="AU316">
        <f t="array" ref="AU316">IF(D316&lt;&gt;"Occupied","",_xlfn.IFS(AND(ISNUMBER(AD316),AD316&lt;&gt;0),"Structured",ISNUMBER(SEARCH("/mo con",S316)),"Notes-parsed",ISNUMBER(SEARCH("step",S316)),"Step-up",ISNUMBER(SEARCH("swap",S316)),"Rate-swap",AND(ISNUMBER(H316),ISNUMBER(I316),H316&gt;I316),"Implied",TRUE,""))</f>
        <v/>
      </c>
      <c r="AV316" s="970" t="n"/>
    </row>
    <row r="317" outlineLevel="1" s="817">
      <c r="F317" s="520" t="n"/>
      <c r="G317" s="520" t="n"/>
      <c r="H317" s="970" t="n"/>
      <c r="I317" s="970" t="n"/>
      <c r="J317" s="970" t="n"/>
      <c r="K317" s="970" t="n"/>
      <c r="L317" s="970" t="n"/>
      <c r="M317" s="970" t="n"/>
      <c r="N317" s="970" t="n"/>
      <c r="O317" s="970" t="n"/>
      <c r="P317" s="970" t="n"/>
      <c r="Q317" s="970" t="n"/>
      <c r="T317" s="545" t="n"/>
      <c r="U317" s="971" t="n"/>
      <c r="V317" s="971" t="n"/>
      <c r="W317">
        <f>IF(AND($D317="Occupied",$AC317&lt;&gt;""),$AC317,"")</f>
        <v/>
      </c>
      <c r="X317">
        <f>IF(AND(D317="Occupied",C317&lt;&gt;"",W317&lt;&gt;""),C317&amp;"|"&amp;W317,"")</f>
        <v/>
      </c>
      <c r="Y317">
        <f>IF(AND(C317&lt;&gt;"",W317&lt;&gt;""),C317&amp;"|"&amp;W317,"")</f>
        <v/>
      </c>
      <c r="AA317" s="970" t="n"/>
      <c r="AB317" s="555" t="n"/>
      <c r="AD317" s="970" t="n"/>
      <c r="AE317" s="520" t="n"/>
      <c r="AF317" s="970" t="n"/>
      <c r="AG317" s="970" t="n"/>
      <c r="AH317" s="970" t="n"/>
      <c r="AI317" s="970" t="n"/>
      <c r="AJ317" s="970" t="n"/>
      <c r="AK317" s="970" t="n"/>
      <c r="AL317" s="970" t="n"/>
      <c r="AM317" s="970" t="n"/>
      <c r="AN317" s="970" t="n"/>
      <c r="AO317" s="970" t="n"/>
      <c r="AP317" s="979" t="n"/>
      <c r="AQ317" s="980">
        <f>SUM(AK317:AO317)</f>
        <v/>
      </c>
      <c r="AR317" s="981" t="n"/>
      <c r="AT317" s="971" t="n"/>
      <c r="AU317">
        <f t="array" ref="AU317">IF(D317&lt;&gt;"Occupied","",_xlfn.IFS(AND(ISNUMBER(AD317),AD317&lt;&gt;0),"Structured",ISNUMBER(SEARCH("/mo con",S317)),"Notes-parsed",ISNUMBER(SEARCH("step",S317)),"Step-up",ISNUMBER(SEARCH("swap",S317)),"Rate-swap",AND(ISNUMBER(H317),ISNUMBER(I317),H317&gt;I317),"Implied",TRUE,""))</f>
        <v/>
      </c>
      <c r="AV317" s="970" t="n"/>
    </row>
    <row r="318" outlineLevel="1" s="817">
      <c r="F318" s="520" t="n"/>
      <c r="G318" s="520" t="n"/>
      <c r="H318" s="970" t="n"/>
      <c r="I318" s="970" t="n"/>
      <c r="J318" s="970" t="n"/>
      <c r="K318" s="970" t="n"/>
      <c r="L318" s="970" t="n"/>
      <c r="M318" s="970" t="n"/>
      <c r="N318" s="970" t="n"/>
      <c r="O318" s="970" t="n"/>
      <c r="P318" s="970" t="n"/>
      <c r="Q318" s="970" t="n"/>
      <c r="T318" s="545" t="n"/>
      <c r="U318" s="971" t="n"/>
      <c r="V318" s="971" t="n"/>
      <c r="W318">
        <f>IF(AND($D318="Occupied",$AC318&lt;&gt;""),$AC318,"")</f>
        <v/>
      </c>
      <c r="X318">
        <f>IF(AND(D318="Occupied",C318&lt;&gt;"",W318&lt;&gt;""),C318&amp;"|"&amp;W318,"")</f>
        <v/>
      </c>
      <c r="Y318">
        <f>IF(AND(C318&lt;&gt;"",W318&lt;&gt;""),C318&amp;"|"&amp;W318,"")</f>
        <v/>
      </c>
      <c r="AA318" s="970" t="n"/>
      <c r="AB318" s="555" t="n"/>
      <c r="AD318" s="970" t="n"/>
      <c r="AE318" s="520" t="n"/>
      <c r="AF318" s="970" t="n"/>
      <c r="AG318" s="970" t="n"/>
      <c r="AH318" s="970" t="n"/>
      <c r="AI318" s="970" t="n"/>
      <c r="AJ318" s="970" t="n"/>
      <c r="AK318" s="970" t="n"/>
      <c r="AL318" s="970" t="n"/>
      <c r="AM318" s="970" t="n"/>
      <c r="AN318" s="970" t="n"/>
      <c r="AO318" s="970" t="n"/>
      <c r="AP318" s="979" t="n"/>
      <c r="AQ318" s="980">
        <f>SUM(AK318:AO318)</f>
        <v/>
      </c>
      <c r="AR318" s="981" t="n"/>
      <c r="AT318" s="971" t="n"/>
      <c r="AU318">
        <f t="array" ref="AU318">IF(D318&lt;&gt;"Occupied","",_xlfn.IFS(AND(ISNUMBER(AD318),AD318&lt;&gt;0),"Structured",ISNUMBER(SEARCH("/mo con",S318)),"Notes-parsed",ISNUMBER(SEARCH("step",S318)),"Step-up",ISNUMBER(SEARCH("swap",S318)),"Rate-swap",AND(ISNUMBER(H318),ISNUMBER(I318),H318&gt;I318),"Implied",TRUE,""))</f>
        <v/>
      </c>
      <c r="AV318" s="970" t="n"/>
    </row>
    <row r="319" outlineLevel="1" s="817">
      <c r="F319" s="520" t="n"/>
      <c r="G319" s="520" t="n"/>
      <c r="H319" s="970" t="n"/>
      <c r="I319" s="970" t="n"/>
      <c r="J319" s="970" t="n"/>
      <c r="K319" s="970" t="n"/>
      <c r="L319" s="970" t="n"/>
      <c r="M319" s="970" t="n"/>
      <c r="N319" s="970" t="n"/>
      <c r="O319" s="970" t="n"/>
      <c r="P319" s="970" t="n"/>
      <c r="Q319" s="970" t="n"/>
      <c r="T319" s="545" t="n"/>
      <c r="U319" s="971" t="n"/>
      <c r="V319" s="971" t="n"/>
      <c r="W319">
        <f>IF(AND($D319="Occupied",$AC319&lt;&gt;""),$AC319,"")</f>
        <v/>
      </c>
      <c r="X319">
        <f>IF(AND(D319="Occupied",C319&lt;&gt;"",W319&lt;&gt;""),C319&amp;"|"&amp;W319,"")</f>
        <v/>
      </c>
      <c r="Y319">
        <f>IF(AND(C319&lt;&gt;"",W319&lt;&gt;""),C319&amp;"|"&amp;W319,"")</f>
        <v/>
      </c>
      <c r="AA319" s="970" t="n"/>
      <c r="AB319" s="555" t="n"/>
      <c r="AD319" s="970" t="n"/>
      <c r="AE319" s="520" t="n"/>
      <c r="AF319" s="970" t="n"/>
      <c r="AG319" s="970" t="n"/>
      <c r="AH319" s="970" t="n"/>
      <c r="AI319" s="970" t="n"/>
      <c r="AJ319" s="970" t="n"/>
      <c r="AK319" s="970" t="n"/>
      <c r="AL319" s="970" t="n"/>
      <c r="AM319" s="970" t="n"/>
      <c r="AN319" s="970" t="n"/>
      <c r="AO319" s="970" t="n"/>
      <c r="AP319" s="979" t="n"/>
      <c r="AQ319" s="980">
        <f>SUM(AK319:AO319)</f>
        <v/>
      </c>
      <c r="AR319" s="981" t="n"/>
      <c r="AT319" s="971" t="n"/>
      <c r="AU319">
        <f t="array" ref="AU319">IF(D319&lt;&gt;"Occupied","",_xlfn.IFS(AND(ISNUMBER(AD319),AD319&lt;&gt;0),"Structured",ISNUMBER(SEARCH("/mo con",S319)),"Notes-parsed",ISNUMBER(SEARCH("step",S319)),"Step-up",ISNUMBER(SEARCH("swap",S319)),"Rate-swap",AND(ISNUMBER(H319),ISNUMBER(I319),H319&gt;I319),"Implied",TRUE,""))</f>
        <v/>
      </c>
      <c r="AV319" s="970" t="n"/>
    </row>
    <row r="320" outlineLevel="1" s="817">
      <c r="F320" s="520" t="n"/>
      <c r="G320" s="520" t="n"/>
      <c r="H320" s="970" t="n"/>
      <c r="I320" s="970" t="n"/>
      <c r="J320" s="970" t="n"/>
      <c r="K320" s="970" t="n"/>
      <c r="L320" s="970" t="n"/>
      <c r="M320" s="970" t="n"/>
      <c r="N320" s="970" t="n"/>
      <c r="O320" s="970" t="n"/>
      <c r="P320" s="970" t="n"/>
      <c r="Q320" s="970" t="n"/>
      <c r="T320" s="545" t="n"/>
      <c r="U320" s="971" t="n"/>
      <c r="V320" s="971" t="n"/>
      <c r="W320">
        <f>IF(AND($D320="Occupied",$AC320&lt;&gt;""),$AC320,"")</f>
        <v/>
      </c>
      <c r="X320">
        <f>IF(AND(D320="Occupied",C320&lt;&gt;"",W320&lt;&gt;""),C320&amp;"|"&amp;W320,"")</f>
        <v/>
      </c>
      <c r="Y320">
        <f>IF(AND(C320&lt;&gt;"",W320&lt;&gt;""),C320&amp;"|"&amp;W320,"")</f>
        <v/>
      </c>
      <c r="AA320" s="970" t="n"/>
      <c r="AB320" s="555" t="n"/>
      <c r="AD320" s="970" t="n"/>
      <c r="AE320" s="520" t="n"/>
      <c r="AF320" s="970" t="n"/>
      <c r="AG320" s="970" t="n"/>
      <c r="AH320" s="970" t="n"/>
      <c r="AI320" s="970" t="n"/>
      <c r="AJ320" s="970" t="n"/>
      <c r="AK320" s="970" t="n"/>
      <c r="AL320" s="970" t="n"/>
      <c r="AM320" s="970" t="n"/>
      <c r="AN320" s="970" t="n"/>
      <c r="AO320" s="970" t="n"/>
      <c r="AP320" s="979" t="n"/>
      <c r="AQ320" s="980">
        <f>SUM(AK320:AO320)</f>
        <v/>
      </c>
      <c r="AR320" s="981" t="n"/>
      <c r="AT320" s="971" t="n"/>
      <c r="AU320">
        <f t="array" ref="AU320">IF(D320&lt;&gt;"Occupied","",_xlfn.IFS(AND(ISNUMBER(AD320),AD320&lt;&gt;0),"Structured",ISNUMBER(SEARCH("/mo con",S320)),"Notes-parsed",ISNUMBER(SEARCH("step",S320)),"Step-up",ISNUMBER(SEARCH("swap",S320)),"Rate-swap",AND(ISNUMBER(H320),ISNUMBER(I320),H320&gt;I320),"Implied",TRUE,""))</f>
        <v/>
      </c>
      <c r="AV320" s="970" t="n"/>
    </row>
    <row r="321" outlineLevel="1" s="817">
      <c r="F321" s="520" t="n"/>
      <c r="G321" s="520" t="n"/>
      <c r="H321" s="970" t="n"/>
      <c r="I321" s="970" t="n"/>
      <c r="J321" s="970" t="n"/>
      <c r="K321" s="970" t="n"/>
      <c r="L321" s="970" t="n"/>
      <c r="M321" s="970" t="n"/>
      <c r="N321" s="970" t="n"/>
      <c r="O321" s="970" t="n"/>
      <c r="P321" s="970" t="n"/>
      <c r="Q321" s="970" t="n"/>
      <c r="T321" s="545" t="n"/>
      <c r="U321" s="971" t="n"/>
      <c r="V321" s="971" t="n"/>
      <c r="W321">
        <f>IF(AND($D321="Occupied",$AC321&lt;&gt;""),$AC321,"")</f>
        <v/>
      </c>
      <c r="X321">
        <f>IF(AND(D321="Occupied",C321&lt;&gt;"",W321&lt;&gt;""),C321&amp;"|"&amp;W321,"")</f>
        <v/>
      </c>
      <c r="Y321">
        <f>IF(AND(C321&lt;&gt;"",W321&lt;&gt;""),C321&amp;"|"&amp;W321,"")</f>
        <v/>
      </c>
      <c r="AA321" s="970" t="n"/>
      <c r="AB321" s="555" t="n"/>
      <c r="AD321" s="970" t="n"/>
      <c r="AE321" s="520" t="n"/>
      <c r="AF321" s="970" t="n"/>
      <c r="AG321" s="970" t="n"/>
      <c r="AH321" s="970" t="n"/>
      <c r="AI321" s="970" t="n"/>
      <c r="AJ321" s="970" t="n"/>
      <c r="AK321" s="970" t="n"/>
      <c r="AL321" s="970" t="n"/>
      <c r="AM321" s="970" t="n"/>
      <c r="AN321" s="970" t="n"/>
      <c r="AO321" s="970" t="n"/>
      <c r="AP321" s="979" t="n"/>
      <c r="AQ321" s="980">
        <f>SUM(AK321:AO321)</f>
        <v/>
      </c>
      <c r="AR321" s="981" t="n"/>
      <c r="AT321" s="971" t="n"/>
      <c r="AU321">
        <f t="array" ref="AU321">IF(D321&lt;&gt;"Occupied","",_xlfn.IFS(AND(ISNUMBER(AD321),AD321&lt;&gt;0),"Structured",ISNUMBER(SEARCH("/mo con",S321)),"Notes-parsed",ISNUMBER(SEARCH("step",S321)),"Step-up",ISNUMBER(SEARCH("swap",S321)),"Rate-swap",AND(ISNUMBER(H321),ISNUMBER(I321),H321&gt;I321),"Implied",TRUE,""))</f>
        <v/>
      </c>
      <c r="AV321" s="970" t="n"/>
    </row>
    <row r="322" outlineLevel="1" s="817">
      <c r="F322" s="520" t="n"/>
      <c r="G322" s="520" t="n"/>
      <c r="H322" s="970" t="n"/>
      <c r="I322" s="970" t="n"/>
      <c r="J322" s="970" t="n"/>
      <c r="K322" s="970" t="n"/>
      <c r="L322" s="970" t="n"/>
      <c r="M322" s="970" t="n"/>
      <c r="N322" s="970" t="n"/>
      <c r="O322" s="970" t="n"/>
      <c r="P322" s="970" t="n"/>
      <c r="Q322" s="970" t="n"/>
      <c r="T322" s="545" t="n"/>
      <c r="U322" s="971" t="n"/>
      <c r="V322" s="971" t="n"/>
      <c r="W322">
        <f>IF(AND($D322="Occupied",$AC322&lt;&gt;""),$AC322,"")</f>
        <v/>
      </c>
      <c r="X322">
        <f>IF(AND(D322="Occupied",C322&lt;&gt;"",W322&lt;&gt;""),C322&amp;"|"&amp;W322,"")</f>
        <v/>
      </c>
      <c r="Y322">
        <f>IF(AND(C322&lt;&gt;"",W322&lt;&gt;""),C322&amp;"|"&amp;W322,"")</f>
        <v/>
      </c>
      <c r="AA322" s="970" t="n"/>
      <c r="AB322" s="555" t="n"/>
      <c r="AD322" s="970" t="n"/>
      <c r="AE322" s="520" t="n"/>
      <c r="AF322" s="970" t="n"/>
      <c r="AG322" s="970" t="n"/>
      <c r="AH322" s="970" t="n"/>
      <c r="AI322" s="970" t="n"/>
      <c r="AJ322" s="970" t="n"/>
      <c r="AK322" s="970" t="n"/>
      <c r="AL322" s="970" t="n"/>
      <c r="AM322" s="970" t="n"/>
      <c r="AN322" s="970" t="n"/>
      <c r="AO322" s="970" t="n"/>
      <c r="AP322" s="979" t="n"/>
      <c r="AQ322" s="980">
        <f>SUM(AK322:AO322)</f>
        <v/>
      </c>
      <c r="AR322" s="981" t="n"/>
      <c r="AT322" s="971" t="n"/>
      <c r="AU322">
        <f t="array" ref="AU322">IF(D322&lt;&gt;"Occupied","",_xlfn.IFS(AND(ISNUMBER(AD322),AD322&lt;&gt;0),"Structured",ISNUMBER(SEARCH("/mo con",S322)),"Notes-parsed",ISNUMBER(SEARCH("step",S322)),"Step-up",ISNUMBER(SEARCH("swap",S322)),"Rate-swap",AND(ISNUMBER(H322),ISNUMBER(I322),H322&gt;I322),"Implied",TRUE,""))</f>
        <v/>
      </c>
      <c r="AV322" s="970" t="n"/>
    </row>
    <row r="323" outlineLevel="1" s="817">
      <c r="F323" s="520" t="n"/>
      <c r="G323" s="520" t="n"/>
      <c r="H323" s="970" t="n"/>
      <c r="I323" s="970" t="n"/>
      <c r="J323" s="970" t="n"/>
      <c r="K323" s="970" t="n"/>
      <c r="L323" s="970" t="n"/>
      <c r="M323" s="970" t="n"/>
      <c r="N323" s="970" t="n"/>
      <c r="O323" s="970" t="n"/>
      <c r="P323" s="970" t="n"/>
      <c r="Q323" s="970" t="n"/>
      <c r="T323" s="545" t="n"/>
      <c r="U323" s="971" t="n"/>
      <c r="V323" s="971" t="n"/>
      <c r="W323">
        <f>IF(AND($D323="Occupied",$AC323&lt;&gt;""),$AC323,"")</f>
        <v/>
      </c>
      <c r="X323">
        <f>IF(AND(D323="Occupied",C323&lt;&gt;"",W323&lt;&gt;""),C323&amp;"|"&amp;W323,"")</f>
        <v/>
      </c>
      <c r="Y323">
        <f>IF(AND(C323&lt;&gt;"",W323&lt;&gt;""),C323&amp;"|"&amp;W323,"")</f>
        <v/>
      </c>
      <c r="AA323" s="970" t="n"/>
      <c r="AB323" s="555" t="n"/>
      <c r="AD323" s="970" t="n"/>
      <c r="AE323" s="520" t="n"/>
      <c r="AF323" s="970" t="n"/>
      <c r="AG323" s="970" t="n"/>
      <c r="AH323" s="970" t="n"/>
      <c r="AI323" s="970" t="n"/>
      <c r="AJ323" s="970" t="n"/>
      <c r="AK323" s="970" t="n"/>
      <c r="AL323" s="970" t="n"/>
      <c r="AM323" s="970" t="n"/>
      <c r="AN323" s="970" t="n"/>
      <c r="AO323" s="970" t="n"/>
      <c r="AP323" s="979" t="n"/>
      <c r="AQ323" s="980">
        <f>SUM(AK323:AO323)</f>
        <v/>
      </c>
      <c r="AR323" s="981" t="n"/>
      <c r="AT323" s="971" t="n"/>
      <c r="AU323">
        <f t="array" ref="AU323">IF(D323&lt;&gt;"Occupied","",_xlfn.IFS(AND(ISNUMBER(AD323),AD323&lt;&gt;0),"Structured",ISNUMBER(SEARCH("/mo con",S323)),"Notes-parsed",ISNUMBER(SEARCH("step",S323)),"Step-up",ISNUMBER(SEARCH("swap",S323)),"Rate-swap",AND(ISNUMBER(H323),ISNUMBER(I323),H323&gt;I323),"Implied",TRUE,""))</f>
        <v/>
      </c>
      <c r="AV323" s="970" t="n"/>
    </row>
    <row r="324" outlineLevel="1" s="817">
      <c r="F324" s="520" t="n"/>
      <c r="G324" s="520" t="n"/>
      <c r="H324" s="970" t="n"/>
      <c r="I324" s="970" t="n"/>
      <c r="J324" s="970" t="n"/>
      <c r="K324" s="970" t="n"/>
      <c r="L324" s="970" t="n"/>
      <c r="M324" s="970" t="n"/>
      <c r="N324" s="970" t="n"/>
      <c r="O324" s="970" t="n"/>
      <c r="P324" s="970" t="n"/>
      <c r="Q324" s="970" t="n"/>
      <c r="T324" s="545" t="n"/>
      <c r="U324" s="971" t="n"/>
      <c r="V324" s="971" t="n"/>
      <c r="W324">
        <f>IF(AND($D324="Occupied",$AC324&lt;&gt;""),$AC324,"")</f>
        <v/>
      </c>
      <c r="X324">
        <f>IF(AND(D324="Occupied",C324&lt;&gt;"",W324&lt;&gt;""),C324&amp;"|"&amp;W324,"")</f>
        <v/>
      </c>
      <c r="Y324">
        <f>IF(AND(C324&lt;&gt;"",W324&lt;&gt;""),C324&amp;"|"&amp;W324,"")</f>
        <v/>
      </c>
      <c r="AA324" s="970" t="n"/>
      <c r="AB324" s="555" t="n"/>
      <c r="AD324" s="970" t="n"/>
      <c r="AE324" s="520" t="n"/>
      <c r="AF324" s="970" t="n"/>
      <c r="AG324" s="970" t="n"/>
      <c r="AH324" s="970" t="n"/>
      <c r="AI324" s="970" t="n"/>
      <c r="AJ324" s="970" t="n"/>
      <c r="AK324" s="970" t="n"/>
      <c r="AL324" s="970" t="n"/>
      <c r="AM324" s="970" t="n"/>
      <c r="AN324" s="970" t="n"/>
      <c r="AO324" s="970" t="n"/>
      <c r="AP324" s="979" t="n"/>
      <c r="AQ324" s="980">
        <f>SUM(AK324:AO324)</f>
        <v/>
      </c>
      <c r="AR324" s="981" t="n"/>
      <c r="AT324" s="971" t="n"/>
      <c r="AU324">
        <f t="array" ref="AU324">IF(D324&lt;&gt;"Occupied","",_xlfn.IFS(AND(ISNUMBER(AD324),AD324&lt;&gt;0),"Structured",ISNUMBER(SEARCH("/mo con",S324)),"Notes-parsed",ISNUMBER(SEARCH("step",S324)),"Step-up",ISNUMBER(SEARCH("swap",S324)),"Rate-swap",AND(ISNUMBER(H324),ISNUMBER(I324),H324&gt;I324),"Implied",TRUE,""))</f>
        <v/>
      </c>
      <c r="AV324" s="970" t="n"/>
    </row>
    <row r="325" outlineLevel="1" s="817">
      <c r="F325" s="520" t="n"/>
      <c r="G325" s="520" t="n"/>
      <c r="H325" s="970" t="n"/>
      <c r="I325" s="970" t="n"/>
      <c r="J325" s="970" t="n"/>
      <c r="K325" s="970" t="n"/>
      <c r="L325" s="970" t="n"/>
      <c r="M325" s="970" t="n"/>
      <c r="N325" s="970" t="n"/>
      <c r="O325" s="970" t="n"/>
      <c r="P325" s="970" t="n"/>
      <c r="Q325" s="970" t="n"/>
      <c r="T325" s="545" t="n"/>
      <c r="U325" s="971" t="n"/>
      <c r="V325" s="971" t="n"/>
      <c r="W325">
        <f>IF(AND($D325="Occupied",$AC325&lt;&gt;""),$AC325,"")</f>
        <v/>
      </c>
      <c r="X325">
        <f>IF(AND(D325="Occupied",C325&lt;&gt;"",W325&lt;&gt;""),C325&amp;"|"&amp;W325,"")</f>
        <v/>
      </c>
      <c r="Y325">
        <f>IF(AND(C325&lt;&gt;"",W325&lt;&gt;""),C325&amp;"|"&amp;W325,"")</f>
        <v/>
      </c>
      <c r="AA325" s="970" t="n"/>
      <c r="AB325" s="555" t="n"/>
      <c r="AD325" s="970" t="n"/>
      <c r="AE325" s="520" t="n"/>
      <c r="AF325" s="970" t="n"/>
      <c r="AG325" s="970" t="n"/>
      <c r="AH325" s="970" t="n"/>
      <c r="AI325" s="970" t="n"/>
      <c r="AJ325" s="970" t="n"/>
      <c r="AK325" s="970" t="n"/>
      <c r="AL325" s="970" t="n"/>
      <c r="AM325" s="970" t="n"/>
      <c r="AN325" s="970" t="n"/>
      <c r="AO325" s="970" t="n"/>
      <c r="AP325" s="979" t="n"/>
      <c r="AQ325" s="980">
        <f>SUM(AK325:AO325)</f>
        <v/>
      </c>
      <c r="AR325" s="981" t="n"/>
      <c r="AT325" s="971" t="n"/>
      <c r="AU325">
        <f t="array" ref="AU325">IF(D325&lt;&gt;"Occupied","",_xlfn.IFS(AND(ISNUMBER(AD325),AD325&lt;&gt;0),"Structured",ISNUMBER(SEARCH("/mo con",S325)),"Notes-parsed",ISNUMBER(SEARCH("step",S325)),"Step-up",ISNUMBER(SEARCH("swap",S325)),"Rate-swap",AND(ISNUMBER(H325),ISNUMBER(I325),H325&gt;I325),"Implied",TRUE,""))</f>
        <v/>
      </c>
      <c r="AV325" s="970" t="n"/>
    </row>
    <row r="326" outlineLevel="1" s="817">
      <c r="F326" s="520" t="n"/>
      <c r="G326" s="520" t="n"/>
      <c r="H326" s="970" t="n"/>
      <c r="I326" s="970" t="n"/>
      <c r="J326" s="970" t="n"/>
      <c r="K326" s="970" t="n"/>
      <c r="L326" s="970" t="n"/>
      <c r="M326" s="970" t="n"/>
      <c r="N326" s="970" t="n"/>
      <c r="O326" s="970" t="n"/>
      <c r="P326" s="970" t="n"/>
      <c r="Q326" s="970" t="n"/>
      <c r="T326" s="545" t="n"/>
      <c r="U326" s="971" t="n"/>
      <c r="V326" s="971" t="n"/>
      <c r="W326">
        <f>IF(AND($D326="Occupied",$AC326&lt;&gt;""),$AC326,"")</f>
        <v/>
      </c>
      <c r="X326">
        <f>IF(AND(D326="Occupied",C326&lt;&gt;"",W326&lt;&gt;""),C326&amp;"|"&amp;W326,"")</f>
        <v/>
      </c>
      <c r="Y326">
        <f>IF(AND(C326&lt;&gt;"",W326&lt;&gt;""),C326&amp;"|"&amp;W326,"")</f>
        <v/>
      </c>
      <c r="AA326" s="970" t="n"/>
      <c r="AB326" s="555" t="n"/>
      <c r="AD326" s="970" t="n"/>
      <c r="AE326" s="520" t="n"/>
      <c r="AF326" s="970" t="n"/>
      <c r="AG326" s="970" t="n"/>
      <c r="AH326" s="970" t="n"/>
      <c r="AI326" s="970" t="n"/>
      <c r="AJ326" s="970" t="n"/>
      <c r="AK326" s="970" t="n"/>
      <c r="AL326" s="970" t="n"/>
      <c r="AM326" s="970" t="n"/>
      <c r="AN326" s="970" t="n"/>
      <c r="AO326" s="970" t="n"/>
      <c r="AP326" s="979" t="n"/>
      <c r="AQ326" s="980">
        <f>SUM(AK326:AO326)</f>
        <v/>
      </c>
      <c r="AR326" s="981" t="n"/>
      <c r="AT326" s="971" t="n"/>
      <c r="AU326">
        <f t="array" ref="AU326">IF(D326&lt;&gt;"Occupied","",_xlfn.IFS(AND(ISNUMBER(AD326),AD326&lt;&gt;0),"Structured",ISNUMBER(SEARCH("/mo con",S326)),"Notes-parsed",ISNUMBER(SEARCH("step",S326)),"Step-up",ISNUMBER(SEARCH("swap",S326)),"Rate-swap",AND(ISNUMBER(H326),ISNUMBER(I326),H326&gt;I326),"Implied",TRUE,""))</f>
        <v/>
      </c>
      <c r="AV326" s="970" t="n"/>
    </row>
    <row r="327" outlineLevel="1" s="817">
      <c r="F327" s="520" t="n"/>
      <c r="G327" s="520" t="n"/>
      <c r="H327" s="970" t="n"/>
      <c r="I327" s="970" t="n"/>
      <c r="J327" s="970" t="n"/>
      <c r="K327" s="970" t="n"/>
      <c r="L327" s="970" t="n"/>
      <c r="M327" s="970" t="n"/>
      <c r="N327" s="970" t="n"/>
      <c r="O327" s="970" t="n"/>
      <c r="P327" s="970" t="n"/>
      <c r="Q327" s="970" t="n"/>
      <c r="T327" s="545" t="n"/>
      <c r="U327" s="971" t="n"/>
      <c r="V327" s="971" t="n"/>
      <c r="W327">
        <f>IF(AND($D327="Occupied",$AC327&lt;&gt;""),$AC327,"")</f>
        <v/>
      </c>
      <c r="X327">
        <f>IF(AND(D327="Occupied",C327&lt;&gt;"",W327&lt;&gt;""),C327&amp;"|"&amp;W327,"")</f>
        <v/>
      </c>
      <c r="Y327">
        <f>IF(AND(C327&lt;&gt;"",W327&lt;&gt;""),C327&amp;"|"&amp;W327,"")</f>
        <v/>
      </c>
      <c r="AA327" s="970" t="n"/>
      <c r="AB327" s="555" t="n"/>
      <c r="AD327" s="970" t="n"/>
      <c r="AE327" s="520" t="n"/>
      <c r="AF327" s="970" t="n"/>
      <c r="AG327" s="970" t="n"/>
      <c r="AH327" s="970" t="n"/>
      <c r="AI327" s="970" t="n"/>
      <c r="AJ327" s="970" t="n"/>
      <c r="AK327" s="970" t="n"/>
      <c r="AL327" s="970" t="n"/>
      <c r="AM327" s="970" t="n"/>
      <c r="AN327" s="970" t="n"/>
      <c r="AO327" s="970" t="n"/>
      <c r="AP327" s="979" t="n"/>
      <c r="AQ327" s="980">
        <f>SUM(AK327:AO327)</f>
        <v/>
      </c>
      <c r="AR327" s="981" t="n"/>
      <c r="AT327" s="971" t="n"/>
      <c r="AU327">
        <f t="array" ref="AU327">IF(D327&lt;&gt;"Occupied","",_xlfn.IFS(AND(ISNUMBER(AD327),AD327&lt;&gt;0),"Structured",ISNUMBER(SEARCH("/mo con",S327)),"Notes-parsed",ISNUMBER(SEARCH("step",S327)),"Step-up",ISNUMBER(SEARCH("swap",S327)),"Rate-swap",AND(ISNUMBER(H327),ISNUMBER(I327),H327&gt;I327),"Implied",TRUE,""))</f>
        <v/>
      </c>
      <c r="AV327" s="970" t="n"/>
    </row>
    <row r="328" outlineLevel="1" s="817">
      <c r="F328" s="520" t="n"/>
      <c r="G328" s="520" t="n"/>
      <c r="H328" s="970" t="n"/>
      <c r="I328" s="970" t="n"/>
      <c r="J328" s="970" t="n"/>
      <c r="K328" s="970" t="n"/>
      <c r="L328" s="970" t="n"/>
      <c r="M328" s="970" t="n"/>
      <c r="N328" s="970" t="n"/>
      <c r="O328" s="970" t="n"/>
      <c r="P328" s="970" t="n"/>
      <c r="Q328" s="970" t="n"/>
      <c r="T328" s="545" t="n"/>
      <c r="U328" s="971" t="n"/>
      <c r="V328" s="971" t="n"/>
      <c r="W328">
        <f>IF(AND($D328="Occupied",$AC328&lt;&gt;""),$AC328,"")</f>
        <v/>
      </c>
      <c r="X328">
        <f>IF(AND(D328="Occupied",C328&lt;&gt;"",W328&lt;&gt;""),C328&amp;"|"&amp;W328,"")</f>
        <v/>
      </c>
      <c r="Y328">
        <f>IF(AND(C328&lt;&gt;"",W328&lt;&gt;""),C328&amp;"|"&amp;W328,"")</f>
        <v/>
      </c>
      <c r="AA328" s="970" t="n"/>
      <c r="AB328" s="555" t="n"/>
      <c r="AD328" s="970" t="n"/>
      <c r="AE328" s="520" t="n"/>
      <c r="AF328" s="970" t="n"/>
      <c r="AG328" s="970" t="n"/>
      <c r="AH328" s="970" t="n"/>
      <c r="AI328" s="970" t="n"/>
      <c r="AJ328" s="970" t="n"/>
      <c r="AK328" s="970" t="n"/>
      <c r="AL328" s="970" t="n"/>
      <c r="AM328" s="970" t="n"/>
      <c r="AN328" s="970" t="n"/>
      <c r="AO328" s="970" t="n"/>
      <c r="AP328" s="979" t="n"/>
      <c r="AQ328" s="980">
        <f>SUM(AK328:AO328)</f>
        <v/>
      </c>
      <c r="AR328" s="981" t="n"/>
      <c r="AT328" s="971" t="n"/>
      <c r="AU328">
        <f t="array" ref="AU328">IF(D328&lt;&gt;"Occupied","",_xlfn.IFS(AND(ISNUMBER(AD328),AD328&lt;&gt;0),"Structured",ISNUMBER(SEARCH("/mo con",S328)),"Notes-parsed",ISNUMBER(SEARCH("step",S328)),"Step-up",ISNUMBER(SEARCH("swap",S328)),"Rate-swap",AND(ISNUMBER(H328),ISNUMBER(I328),H328&gt;I328),"Implied",TRUE,""))</f>
        <v/>
      </c>
      <c r="AV328" s="970" t="n"/>
    </row>
    <row r="329" outlineLevel="1" s="817">
      <c r="F329" s="520" t="n"/>
      <c r="G329" s="520" t="n"/>
      <c r="H329" s="970" t="n"/>
      <c r="I329" s="970" t="n"/>
      <c r="J329" s="970" t="n"/>
      <c r="K329" s="970" t="n"/>
      <c r="L329" s="970" t="n"/>
      <c r="M329" s="970" t="n"/>
      <c r="N329" s="970" t="n"/>
      <c r="O329" s="970" t="n"/>
      <c r="P329" s="970" t="n"/>
      <c r="Q329" s="970" t="n"/>
      <c r="T329" s="545" t="n"/>
      <c r="U329" s="971" t="n"/>
      <c r="V329" s="971" t="n"/>
      <c r="W329">
        <f>IF(AND($D329="Occupied",$AC329&lt;&gt;""),$AC329,"")</f>
        <v/>
      </c>
      <c r="X329">
        <f>IF(AND(D329="Occupied",C329&lt;&gt;"",W329&lt;&gt;""),C329&amp;"|"&amp;W329,"")</f>
        <v/>
      </c>
      <c r="Y329">
        <f>IF(AND(C329&lt;&gt;"",W329&lt;&gt;""),C329&amp;"|"&amp;W329,"")</f>
        <v/>
      </c>
      <c r="AA329" s="970" t="n"/>
      <c r="AB329" s="555" t="n"/>
      <c r="AD329" s="970" t="n"/>
      <c r="AE329" s="520" t="n"/>
      <c r="AF329" s="970" t="n"/>
      <c r="AG329" s="970" t="n"/>
      <c r="AH329" s="970" t="n"/>
      <c r="AI329" s="970" t="n"/>
      <c r="AJ329" s="970" t="n"/>
      <c r="AK329" s="970" t="n"/>
      <c r="AL329" s="970" t="n"/>
      <c r="AM329" s="970" t="n"/>
      <c r="AN329" s="970" t="n"/>
      <c r="AO329" s="970" t="n"/>
      <c r="AP329" s="979" t="n"/>
      <c r="AQ329" s="980">
        <f>SUM(AK329:AO329)</f>
        <v/>
      </c>
      <c r="AR329" s="981" t="n"/>
      <c r="AT329" s="971" t="n"/>
      <c r="AU329">
        <f t="array" ref="AU329">IF(D329&lt;&gt;"Occupied","",_xlfn.IFS(AND(ISNUMBER(AD329),AD329&lt;&gt;0),"Structured",ISNUMBER(SEARCH("/mo con",S329)),"Notes-parsed",ISNUMBER(SEARCH("step",S329)),"Step-up",ISNUMBER(SEARCH("swap",S329)),"Rate-swap",AND(ISNUMBER(H329),ISNUMBER(I329),H329&gt;I329),"Implied",TRUE,""))</f>
        <v/>
      </c>
      <c r="AV329" s="970" t="n"/>
    </row>
    <row r="330" outlineLevel="1" s="817">
      <c r="F330" s="520" t="n"/>
      <c r="G330" s="520" t="n"/>
      <c r="H330" s="970" t="n"/>
      <c r="I330" s="970" t="n"/>
      <c r="J330" s="970" t="n"/>
      <c r="K330" s="970" t="n"/>
      <c r="L330" s="970" t="n"/>
      <c r="M330" s="970" t="n"/>
      <c r="N330" s="970" t="n"/>
      <c r="O330" s="970" t="n"/>
      <c r="P330" s="970" t="n"/>
      <c r="Q330" s="970" t="n"/>
      <c r="T330" s="545" t="n"/>
      <c r="U330" s="971" t="n"/>
      <c r="V330" s="971" t="n"/>
      <c r="W330">
        <f>IF(AND($D330="Occupied",$AC330&lt;&gt;""),$AC330,"")</f>
        <v/>
      </c>
      <c r="X330">
        <f>IF(AND(D330="Occupied",C330&lt;&gt;"",W330&lt;&gt;""),C330&amp;"|"&amp;W330,"")</f>
        <v/>
      </c>
      <c r="Y330">
        <f>IF(AND(C330&lt;&gt;"",W330&lt;&gt;""),C330&amp;"|"&amp;W330,"")</f>
        <v/>
      </c>
      <c r="AA330" s="970" t="n"/>
      <c r="AB330" s="555" t="n"/>
      <c r="AD330" s="970" t="n"/>
      <c r="AE330" s="520" t="n"/>
      <c r="AF330" s="970" t="n"/>
      <c r="AG330" s="970" t="n"/>
      <c r="AH330" s="970" t="n"/>
      <c r="AI330" s="970" t="n"/>
      <c r="AJ330" s="970" t="n"/>
      <c r="AK330" s="970" t="n"/>
      <c r="AL330" s="970" t="n"/>
      <c r="AM330" s="970" t="n"/>
      <c r="AN330" s="970" t="n"/>
      <c r="AO330" s="970" t="n"/>
      <c r="AP330" s="979" t="n"/>
      <c r="AQ330" s="980">
        <f>SUM(AK330:AO330)</f>
        <v/>
      </c>
      <c r="AR330" s="981" t="n"/>
      <c r="AT330" s="971" t="n"/>
      <c r="AU330">
        <f t="array" ref="AU330">IF(D330&lt;&gt;"Occupied","",_xlfn.IFS(AND(ISNUMBER(AD330),AD330&lt;&gt;0),"Structured",ISNUMBER(SEARCH("/mo con",S330)),"Notes-parsed",ISNUMBER(SEARCH("step",S330)),"Step-up",ISNUMBER(SEARCH("swap",S330)),"Rate-swap",AND(ISNUMBER(H330),ISNUMBER(I330),H330&gt;I330),"Implied",TRUE,""))</f>
        <v/>
      </c>
      <c r="AV330" s="970" t="n"/>
    </row>
    <row r="331" outlineLevel="1" s="817">
      <c r="F331" s="520" t="n"/>
      <c r="G331" s="520" t="n"/>
      <c r="H331" s="970" t="n"/>
      <c r="I331" s="970" t="n"/>
      <c r="J331" s="970" t="n"/>
      <c r="K331" s="970" t="n"/>
      <c r="L331" s="970" t="n"/>
      <c r="M331" s="970" t="n"/>
      <c r="N331" s="970" t="n"/>
      <c r="O331" s="970" t="n"/>
      <c r="P331" s="970" t="n"/>
      <c r="Q331" s="970" t="n"/>
      <c r="T331" s="545" t="n"/>
      <c r="U331" s="971" t="n"/>
      <c r="V331" s="971" t="n"/>
      <c r="W331">
        <f>IF(AND($D331="Occupied",$AC331&lt;&gt;""),$AC331,"")</f>
        <v/>
      </c>
      <c r="X331">
        <f>IF(AND(D331="Occupied",C331&lt;&gt;"",W331&lt;&gt;""),C331&amp;"|"&amp;W331,"")</f>
        <v/>
      </c>
      <c r="Y331">
        <f>IF(AND(C331&lt;&gt;"",W331&lt;&gt;""),C331&amp;"|"&amp;W331,"")</f>
        <v/>
      </c>
      <c r="AA331" s="970" t="n"/>
      <c r="AB331" s="555" t="n"/>
      <c r="AD331" s="970" t="n"/>
      <c r="AE331" s="520" t="n"/>
      <c r="AF331" s="970" t="n"/>
      <c r="AG331" s="970" t="n"/>
      <c r="AH331" s="970" t="n"/>
      <c r="AI331" s="970" t="n"/>
      <c r="AJ331" s="970" t="n"/>
      <c r="AK331" s="970" t="n"/>
      <c r="AL331" s="970" t="n"/>
      <c r="AM331" s="970" t="n"/>
      <c r="AN331" s="970" t="n"/>
      <c r="AO331" s="970" t="n"/>
      <c r="AP331" s="979" t="n"/>
      <c r="AQ331" s="980">
        <f>SUM(AK331:AO331)</f>
        <v/>
      </c>
      <c r="AR331" s="981" t="n"/>
      <c r="AT331" s="971" t="n"/>
      <c r="AU331">
        <f t="array" ref="AU331">IF(D331&lt;&gt;"Occupied","",_xlfn.IFS(AND(ISNUMBER(AD331),AD331&lt;&gt;0),"Structured",ISNUMBER(SEARCH("/mo con",S331)),"Notes-parsed",ISNUMBER(SEARCH("step",S331)),"Step-up",ISNUMBER(SEARCH("swap",S331)),"Rate-swap",AND(ISNUMBER(H331),ISNUMBER(I331),H331&gt;I331),"Implied",TRUE,""))</f>
        <v/>
      </c>
      <c r="AV331" s="970" t="n"/>
    </row>
    <row r="332" outlineLevel="1" s="817">
      <c r="F332" s="520" t="n"/>
      <c r="G332" s="520" t="n"/>
      <c r="H332" s="970" t="n"/>
      <c r="I332" s="970" t="n"/>
      <c r="J332" s="970" t="n"/>
      <c r="K332" s="970" t="n"/>
      <c r="L332" s="970" t="n"/>
      <c r="M332" s="970" t="n"/>
      <c r="N332" s="970" t="n"/>
      <c r="O332" s="970" t="n"/>
      <c r="P332" s="970" t="n"/>
      <c r="Q332" s="970" t="n"/>
      <c r="T332" s="545" t="n"/>
      <c r="U332" s="971" t="n"/>
      <c r="V332" s="971" t="n"/>
      <c r="W332">
        <f>IF(AND($D332="Occupied",$AC332&lt;&gt;""),$AC332,"")</f>
        <v/>
      </c>
      <c r="X332">
        <f>IF(AND(D332="Occupied",C332&lt;&gt;"",W332&lt;&gt;""),C332&amp;"|"&amp;W332,"")</f>
        <v/>
      </c>
      <c r="Y332">
        <f>IF(AND(C332&lt;&gt;"",W332&lt;&gt;""),C332&amp;"|"&amp;W332,"")</f>
        <v/>
      </c>
      <c r="AA332" s="970" t="n"/>
      <c r="AB332" s="555" t="n"/>
      <c r="AD332" s="970" t="n"/>
      <c r="AE332" s="520" t="n"/>
      <c r="AF332" s="970" t="n"/>
      <c r="AG332" s="970" t="n"/>
      <c r="AH332" s="970" t="n"/>
      <c r="AI332" s="970" t="n"/>
      <c r="AJ332" s="970" t="n"/>
      <c r="AK332" s="970" t="n"/>
      <c r="AL332" s="970" t="n"/>
      <c r="AM332" s="970" t="n"/>
      <c r="AN332" s="970" t="n"/>
      <c r="AO332" s="970" t="n"/>
      <c r="AP332" s="979" t="n"/>
      <c r="AQ332" s="980">
        <f>SUM(AK332:AO332)</f>
        <v/>
      </c>
      <c r="AR332" s="981" t="n"/>
      <c r="AT332" s="971" t="n"/>
      <c r="AU332">
        <f t="array" ref="AU332">IF(D332&lt;&gt;"Occupied","",_xlfn.IFS(AND(ISNUMBER(AD332),AD332&lt;&gt;0),"Structured",ISNUMBER(SEARCH("/mo con",S332)),"Notes-parsed",ISNUMBER(SEARCH("step",S332)),"Step-up",ISNUMBER(SEARCH("swap",S332)),"Rate-swap",AND(ISNUMBER(H332),ISNUMBER(I332),H332&gt;I332),"Implied",TRUE,""))</f>
        <v/>
      </c>
      <c r="AV332" s="970" t="n"/>
    </row>
    <row r="333" outlineLevel="1" s="817">
      <c r="F333" s="520" t="n"/>
      <c r="G333" s="520" t="n"/>
      <c r="H333" s="970" t="n"/>
      <c r="I333" s="970" t="n"/>
      <c r="J333" s="970" t="n"/>
      <c r="K333" s="970" t="n"/>
      <c r="L333" s="970" t="n"/>
      <c r="M333" s="970" t="n"/>
      <c r="N333" s="970" t="n"/>
      <c r="O333" s="970" t="n"/>
      <c r="P333" s="970" t="n"/>
      <c r="Q333" s="970" t="n"/>
      <c r="T333" s="545" t="n"/>
      <c r="U333" s="971" t="n"/>
      <c r="V333" s="971" t="n"/>
      <c r="W333">
        <f>IF(AND($D333="Occupied",$AC333&lt;&gt;""),$AC333,"")</f>
        <v/>
      </c>
      <c r="X333">
        <f>IF(AND(D333="Occupied",C333&lt;&gt;"",W333&lt;&gt;""),C333&amp;"|"&amp;W333,"")</f>
        <v/>
      </c>
      <c r="Y333">
        <f>IF(AND(C333&lt;&gt;"",W333&lt;&gt;""),C333&amp;"|"&amp;W333,"")</f>
        <v/>
      </c>
      <c r="AA333" s="970" t="n"/>
      <c r="AB333" s="555" t="n"/>
      <c r="AD333" s="970" t="n"/>
      <c r="AE333" s="520" t="n"/>
      <c r="AF333" s="970" t="n"/>
      <c r="AG333" s="970" t="n"/>
      <c r="AH333" s="970" t="n"/>
      <c r="AI333" s="970" t="n"/>
      <c r="AJ333" s="970" t="n"/>
      <c r="AK333" s="970" t="n"/>
      <c r="AL333" s="970" t="n"/>
      <c r="AM333" s="970" t="n"/>
      <c r="AN333" s="970" t="n"/>
      <c r="AO333" s="970" t="n"/>
      <c r="AP333" s="979" t="n"/>
      <c r="AQ333" s="980">
        <f>SUM(AK333:AO333)</f>
        <v/>
      </c>
      <c r="AR333" s="981" t="n"/>
      <c r="AT333" s="971" t="n"/>
      <c r="AU333">
        <f t="array" ref="AU333">IF(D333&lt;&gt;"Occupied","",_xlfn.IFS(AND(ISNUMBER(AD333),AD333&lt;&gt;0),"Structured",ISNUMBER(SEARCH("/mo con",S333)),"Notes-parsed",ISNUMBER(SEARCH("step",S333)),"Step-up",ISNUMBER(SEARCH("swap",S333)),"Rate-swap",AND(ISNUMBER(H333),ISNUMBER(I333),H333&gt;I333),"Implied",TRUE,""))</f>
        <v/>
      </c>
      <c r="AV333" s="970" t="n"/>
    </row>
    <row r="334" outlineLevel="1" s="817">
      <c r="F334" s="520" t="n"/>
      <c r="G334" s="520" t="n"/>
      <c r="H334" s="970" t="n"/>
      <c r="I334" s="970" t="n"/>
      <c r="J334" s="970" t="n"/>
      <c r="K334" s="970" t="n"/>
      <c r="L334" s="970" t="n"/>
      <c r="M334" s="970" t="n"/>
      <c r="N334" s="970" t="n"/>
      <c r="O334" s="970" t="n"/>
      <c r="P334" s="970" t="n"/>
      <c r="Q334" s="970" t="n"/>
      <c r="T334" s="545" t="n"/>
      <c r="U334" s="971" t="n"/>
      <c r="V334" s="971" t="n"/>
      <c r="W334">
        <f>IF(AND($D334="Occupied",$AC334&lt;&gt;""),$AC334,"")</f>
        <v/>
      </c>
      <c r="X334">
        <f>IF(AND(D334="Occupied",C334&lt;&gt;"",W334&lt;&gt;""),C334&amp;"|"&amp;W334,"")</f>
        <v/>
      </c>
      <c r="Y334">
        <f>IF(AND(C334&lt;&gt;"",W334&lt;&gt;""),C334&amp;"|"&amp;W334,"")</f>
        <v/>
      </c>
      <c r="AA334" s="970" t="n"/>
      <c r="AB334" s="555" t="n"/>
      <c r="AD334" s="970" t="n"/>
      <c r="AE334" s="520" t="n"/>
      <c r="AF334" s="970" t="n"/>
      <c r="AG334" s="970" t="n"/>
      <c r="AH334" s="970" t="n"/>
      <c r="AI334" s="970" t="n"/>
      <c r="AJ334" s="970" t="n"/>
      <c r="AK334" s="970" t="n"/>
      <c r="AL334" s="970" t="n"/>
      <c r="AM334" s="970" t="n"/>
      <c r="AN334" s="970" t="n"/>
      <c r="AO334" s="970" t="n"/>
      <c r="AP334" s="979" t="n"/>
      <c r="AQ334" s="980">
        <f>SUM(AK334:AO334)</f>
        <v/>
      </c>
      <c r="AR334" s="981" t="n"/>
      <c r="AT334" s="971" t="n"/>
      <c r="AU334">
        <f t="array" ref="AU334">IF(D334&lt;&gt;"Occupied","",_xlfn.IFS(AND(ISNUMBER(AD334),AD334&lt;&gt;0),"Structured",ISNUMBER(SEARCH("/mo con",S334)),"Notes-parsed",ISNUMBER(SEARCH("step",S334)),"Step-up",ISNUMBER(SEARCH("swap",S334)),"Rate-swap",AND(ISNUMBER(H334),ISNUMBER(I334),H334&gt;I334),"Implied",TRUE,""))</f>
        <v/>
      </c>
      <c r="AV334" s="970" t="n"/>
    </row>
    <row r="335" outlineLevel="1" s="817">
      <c r="F335" s="520" t="n"/>
      <c r="G335" s="520" t="n"/>
      <c r="H335" s="970" t="n"/>
      <c r="I335" s="970" t="n"/>
      <c r="J335" s="970" t="n"/>
      <c r="K335" s="970" t="n"/>
      <c r="L335" s="970" t="n"/>
      <c r="M335" s="970" t="n"/>
      <c r="N335" s="970" t="n"/>
      <c r="O335" s="970" t="n"/>
      <c r="P335" s="970" t="n"/>
      <c r="Q335" s="970" t="n"/>
      <c r="T335" s="545" t="n"/>
      <c r="U335" s="971" t="n"/>
      <c r="V335" s="971" t="n"/>
      <c r="W335">
        <f>IF(AND($D335="Occupied",$AC335&lt;&gt;""),$AC335,"")</f>
        <v/>
      </c>
      <c r="X335">
        <f>IF(AND(D335="Occupied",C335&lt;&gt;"",W335&lt;&gt;""),C335&amp;"|"&amp;W335,"")</f>
        <v/>
      </c>
      <c r="Y335">
        <f>IF(AND(C335&lt;&gt;"",W335&lt;&gt;""),C335&amp;"|"&amp;W335,"")</f>
        <v/>
      </c>
      <c r="AA335" s="970" t="n"/>
      <c r="AB335" s="555" t="n"/>
      <c r="AD335" s="970" t="n"/>
      <c r="AE335" s="520" t="n"/>
      <c r="AF335" s="970" t="n"/>
      <c r="AG335" s="970" t="n"/>
      <c r="AH335" s="970" t="n"/>
      <c r="AI335" s="970" t="n"/>
      <c r="AJ335" s="970" t="n"/>
      <c r="AK335" s="970" t="n"/>
      <c r="AL335" s="970" t="n"/>
      <c r="AM335" s="970" t="n"/>
      <c r="AN335" s="970" t="n"/>
      <c r="AO335" s="970" t="n"/>
      <c r="AP335" s="979" t="n"/>
      <c r="AQ335" s="980">
        <f>SUM(AK335:AO335)</f>
        <v/>
      </c>
      <c r="AR335" s="981" t="n"/>
      <c r="AT335" s="971" t="n"/>
      <c r="AU335">
        <f t="array" ref="AU335">IF(D335&lt;&gt;"Occupied","",_xlfn.IFS(AND(ISNUMBER(AD335),AD335&lt;&gt;0),"Structured",ISNUMBER(SEARCH("/mo con",S335)),"Notes-parsed",ISNUMBER(SEARCH("step",S335)),"Step-up",ISNUMBER(SEARCH("swap",S335)),"Rate-swap",AND(ISNUMBER(H335),ISNUMBER(I335),H335&gt;I335),"Implied",TRUE,""))</f>
        <v/>
      </c>
      <c r="AV335" s="970" t="n"/>
    </row>
    <row r="336" outlineLevel="1" s="817">
      <c r="F336" s="520" t="n"/>
      <c r="G336" s="520" t="n"/>
      <c r="H336" s="970" t="n"/>
      <c r="I336" s="970" t="n"/>
      <c r="J336" s="970" t="n"/>
      <c r="K336" s="970" t="n"/>
      <c r="L336" s="970" t="n"/>
      <c r="M336" s="970" t="n"/>
      <c r="N336" s="970" t="n"/>
      <c r="O336" s="970" t="n"/>
      <c r="P336" s="970" t="n"/>
      <c r="Q336" s="970" t="n"/>
      <c r="T336" s="545" t="n"/>
      <c r="U336" s="971" t="n"/>
      <c r="V336" s="971" t="n"/>
      <c r="W336">
        <f>IF(AND($D336="Occupied",$AC336&lt;&gt;""),$AC336,"")</f>
        <v/>
      </c>
      <c r="X336">
        <f>IF(AND(D336="Occupied",C336&lt;&gt;"",W336&lt;&gt;""),C336&amp;"|"&amp;W336,"")</f>
        <v/>
      </c>
      <c r="Y336">
        <f>IF(AND(C336&lt;&gt;"",W336&lt;&gt;""),C336&amp;"|"&amp;W336,"")</f>
        <v/>
      </c>
      <c r="AA336" s="970" t="n"/>
      <c r="AB336" s="555" t="n"/>
      <c r="AD336" s="970" t="n"/>
      <c r="AE336" s="520" t="n"/>
      <c r="AF336" s="970" t="n"/>
      <c r="AG336" s="970" t="n"/>
      <c r="AH336" s="970" t="n"/>
      <c r="AI336" s="970" t="n"/>
      <c r="AJ336" s="970" t="n"/>
      <c r="AK336" s="970" t="n"/>
      <c r="AL336" s="970" t="n"/>
      <c r="AM336" s="970" t="n"/>
      <c r="AN336" s="970" t="n"/>
      <c r="AO336" s="970" t="n"/>
      <c r="AP336" s="979" t="n"/>
      <c r="AQ336" s="980">
        <f>SUM(AK336:AO336)</f>
        <v/>
      </c>
      <c r="AR336" s="981" t="n"/>
      <c r="AT336" s="971" t="n"/>
      <c r="AU336">
        <f t="array" ref="AU336">IF(D336&lt;&gt;"Occupied","",_xlfn.IFS(AND(ISNUMBER(AD336),AD336&lt;&gt;0),"Structured",ISNUMBER(SEARCH("/mo con",S336)),"Notes-parsed",ISNUMBER(SEARCH("step",S336)),"Step-up",ISNUMBER(SEARCH("swap",S336)),"Rate-swap",AND(ISNUMBER(H336),ISNUMBER(I336),H336&gt;I336),"Implied",TRUE,""))</f>
        <v/>
      </c>
      <c r="AV336" s="970" t="n"/>
    </row>
    <row r="337" outlineLevel="1" s="817">
      <c r="F337" s="520" t="n"/>
      <c r="G337" s="520" t="n"/>
      <c r="H337" s="970" t="n"/>
      <c r="I337" s="970" t="n"/>
      <c r="J337" s="970" t="n"/>
      <c r="K337" s="970" t="n"/>
      <c r="L337" s="970" t="n"/>
      <c r="M337" s="970" t="n"/>
      <c r="N337" s="970" t="n"/>
      <c r="O337" s="970" t="n"/>
      <c r="P337" s="970" t="n"/>
      <c r="Q337" s="970" t="n"/>
      <c r="T337" s="545" t="n"/>
      <c r="U337" s="971" t="n"/>
      <c r="V337" s="971" t="n"/>
      <c r="W337">
        <f>IF(AND($D337="Occupied",$AC337&lt;&gt;""),$AC337,"")</f>
        <v/>
      </c>
      <c r="X337">
        <f>IF(AND(D337="Occupied",C337&lt;&gt;"",W337&lt;&gt;""),C337&amp;"|"&amp;W337,"")</f>
        <v/>
      </c>
      <c r="Y337">
        <f>IF(AND(C337&lt;&gt;"",W337&lt;&gt;""),C337&amp;"|"&amp;W337,"")</f>
        <v/>
      </c>
      <c r="AA337" s="970" t="n"/>
      <c r="AB337" s="555" t="n"/>
      <c r="AD337" s="970" t="n"/>
      <c r="AE337" s="520" t="n"/>
      <c r="AF337" s="970" t="n"/>
      <c r="AG337" s="970" t="n"/>
      <c r="AH337" s="970" t="n"/>
      <c r="AI337" s="970" t="n"/>
      <c r="AJ337" s="970" t="n"/>
      <c r="AK337" s="970" t="n"/>
      <c r="AL337" s="970" t="n"/>
      <c r="AM337" s="970" t="n"/>
      <c r="AN337" s="970" t="n"/>
      <c r="AO337" s="970" t="n"/>
      <c r="AP337" s="979" t="n"/>
      <c r="AQ337" s="980">
        <f>SUM(AK337:AO337)</f>
        <v/>
      </c>
      <c r="AR337" s="981" t="n"/>
      <c r="AT337" s="971" t="n"/>
      <c r="AU337">
        <f t="array" ref="AU337">IF(D337&lt;&gt;"Occupied","",_xlfn.IFS(AND(ISNUMBER(AD337),AD337&lt;&gt;0),"Structured",ISNUMBER(SEARCH("/mo con",S337)),"Notes-parsed",ISNUMBER(SEARCH("step",S337)),"Step-up",ISNUMBER(SEARCH("swap",S337)),"Rate-swap",AND(ISNUMBER(H337),ISNUMBER(I337),H337&gt;I337),"Implied",TRUE,""))</f>
        <v/>
      </c>
      <c r="AV337" s="970" t="n"/>
    </row>
    <row r="338" outlineLevel="1" s="817">
      <c r="F338" s="520" t="n"/>
      <c r="G338" s="520" t="n"/>
      <c r="H338" s="970" t="n"/>
      <c r="I338" s="970" t="n"/>
      <c r="J338" s="970" t="n"/>
      <c r="K338" s="970" t="n"/>
      <c r="L338" s="970" t="n"/>
      <c r="M338" s="970" t="n"/>
      <c r="N338" s="970" t="n"/>
      <c r="O338" s="970" t="n"/>
      <c r="P338" s="970" t="n"/>
      <c r="Q338" s="970" t="n"/>
      <c r="T338" s="545" t="n"/>
      <c r="U338" s="971" t="n"/>
      <c r="V338" s="971" t="n"/>
      <c r="W338">
        <f>IF(AND($D338="Occupied",$AC338&lt;&gt;""),$AC338,"")</f>
        <v/>
      </c>
      <c r="X338">
        <f>IF(AND(D338="Occupied",C338&lt;&gt;"",W338&lt;&gt;""),C338&amp;"|"&amp;W338,"")</f>
        <v/>
      </c>
      <c r="Y338">
        <f>IF(AND(C338&lt;&gt;"",W338&lt;&gt;""),C338&amp;"|"&amp;W338,"")</f>
        <v/>
      </c>
      <c r="AA338" s="970" t="n"/>
      <c r="AB338" s="555" t="n"/>
      <c r="AD338" s="970" t="n"/>
      <c r="AE338" s="520" t="n"/>
      <c r="AF338" s="970" t="n"/>
      <c r="AG338" s="970" t="n"/>
      <c r="AH338" s="970" t="n"/>
      <c r="AI338" s="970" t="n"/>
      <c r="AJ338" s="970" t="n"/>
      <c r="AK338" s="970" t="n"/>
      <c r="AL338" s="970" t="n"/>
      <c r="AM338" s="970" t="n"/>
      <c r="AN338" s="970" t="n"/>
      <c r="AO338" s="970" t="n"/>
      <c r="AP338" s="979" t="n"/>
      <c r="AQ338" s="980">
        <f>SUM(AK338:AO338)</f>
        <v/>
      </c>
      <c r="AR338" s="981" t="n"/>
      <c r="AT338" s="971" t="n"/>
      <c r="AU338">
        <f t="array" ref="AU338">IF(D338&lt;&gt;"Occupied","",_xlfn.IFS(AND(ISNUMBER(AD338),AD338&lt;&gt;0),"Structured",ISNUMBER(SEARCH("/mo con",S338)),"Notes-parsed",ISNUMBER(SEARCH("step",S338)),"Step-up",ISNUMBER(SEARCH("swap",S338)),"Rate-swap",AND(ISNUMBER(H338),ISNUMBER(I338),H338&gt;I338),"Implied",TRUE,""))</f>
        <v/>
      </c>
      <c r="AV338" s="970" t="n"/>
    </row>
    <row r="339" outlineLevel="1" s="817">
      <c r="F339" s="520" t="n"/>
      <c r="G339" s="520" t="n"/>
      <c r="H339" s="970" t="n"/>
      <c r="I339" s="970" t="n"/>
      <c r="J339" s="970" t="n"/>
      <c r="K339" s="970" t="n"/>
      <c r="L339" s="970" t="n"/>
      <c r="M339" s="970" t="n"/>
      <c r="N339" s="970" t="n"/>
      <c r="O339" s="970" t="n"/>
      <c r="P339" s="970" t="n"/>
      <c r="Q339" s="970" t="n"/>
      <c r="T339" s="545" t="n"/>
      <c r="U339" s="971" t="n"/>
      <c r="V339" s="971" t="n"/>
      <c r="W339">
        <f>IF(AND($D339="Occupied",$AC339&lt;&gt;""),$AC339,"")</f>
        <v/>
      </c>
      <c r="X339">
        <f>IF(AND(D339="Occupied",C339&lt;&gt;"",W339&lt;&gt;""),C339&amp;"|"&amp;W339,"")</f>
        <v/>
      </c>
      <c r="Y339">
        <f>IF(AND(C339&lt;&gt;"",W339&lt;&gt;""),C339&amp;"|"&amp;W339,"")</f>
        <v/>
      </c>
      <c r="AA339" s="970" t="n"/>
      <c r="AB339" s="555" t="n"/>
      <c r="AD339" s="970" t="n"/>
      <c r="AE339" s="520" t="n"/>
      <c r="AF339" s="970" t="n"/>
      <c r="AG339" s="970" t="n"/>
      <c r="AH339" s="970" t="n"/>
      <c r="AI339" s="970" t="n"/>
      <c r="AJ339" s="970" t="n"/>
      <c r="AK339" s="970" t="n"/>
      <c r="AL339" s="970" t="n"/>
      <c r="AM339" s="970" t="n"/>
      <c r="AN339" s="970" t="n"/>
      <c r="AO339" s="970" t="n"/>
      <c r="AP339" s="979" t="n"/>
      <c r="AQ339" s="980">
        <f>SUM(AK339:AO339)</f>
        <v/>
      </c>
      <c r="AR339" s="981" t="n"/>
      <c r="AT339" s="971" t="n"/>
      <c r="AU339">
        <f t="array" ref="AU339">IF(D339&lt;&gt;"Occupied","",_xlfn.IFS(AND(ISNUMBER(AD339),AD339&lt;&gt;0),"Structured",ISNUMBER(SEARCH("/mo con",S339)),"Notes-parsed",ISNUMBER(SEARCH("step",S339)),"Step-up",ISNUMBER(SEARCH("swap",S339)),"Rate-swap",AND(ISNUMBER(H339),ISNUMBER(I339),H339&gt;I339),"Implied",TRUE,""))</f>
        <v/>
      </c>
      <c r="AV339" s="970" t="n"/>
    </row>
    <row r="340" outlineLevel="1" s="817">
      <c r="F340" s="520" t="n"/>
      <c r="G340" s="520" t="n"/>
      <c r="H340" s="970" t="n"/>
      <c r="I340" s="970" t="n"/>
      <c r="J340" s="970" t="n"/>
      <c r="K340" s="970" t="n"/>
      <c r="L340" s="970" t="n"/>
      <c r="M340" s="970" t="n"/>
      <c r="N340" s="970" t="n"/>
      <c r="O340" s="970" t="n"/>
      <c r="P340" s="970" t="n"/>
      <c r="Q340" s="970" t="n"/>
      <c r="T340" s="545" t="n"/>
      <c r="U340" s="971" t="n"/>
      <c r="V340" s="971" t="n"/>
      <c r="W340">
        <f>IF(AND($D340="Occupied",$AC340&lt;&gt;""),$AC340,"")</f>
        <v/>
      </c>
      <c r="X340">
        <f>IF(AND(D340="Occupied",C340&lt;&gt;"",W340&lt;&gt;""),C340&amp;"|"&amp;W340,"")</f>
        <v/>
      </c>
      <c r="Y340">
        <f>IF(AND(C340&lt;&gt;"",W340&lt;&gt;""),C340&amp;"|"&amp;W340,"")</f>
        <v/>
      </c>
      <c r="AA340" s="970" t="n"/>
      <c r="AB340" s="555" t="n"/>
      <c r="AD340" s="970" t="n"/>
      <c r="AE340" s="520" t="n"/>
      <c r="AF340" s="970" t="n"/>
      <c r="AG340" s="970" t="n"/>
      <c r="AH340" s="970" t="n"/>
      <c r="AI340" s="970" t="n"/>
      <c r="AJ340" s="970" t="n"/>
      <c r="AK340" s="970" t="n"/>
      <c r="AL340" s="970" t="n"/>
      <c r="AM340" s="970" t="n"/>
      <c r="AN340" s="970" t="n"/>
      <c r="AO340" s="970" t="n"/>
      <c r="AP340" s="979" t="n"/>
      <c r="AQ340" s="980">
        <f>SUM(AK340:AO340)</f>
        <v/>
      </c>
      <c r="AR340" s="981" t="n"/>
      <c r="AT340" s="971" t="n"/>
      <c r="AU340">
        <f t="array" ref="AU340">IF(D340&lt;&gt;"Occupied","",_xlfn.IFS(AND(ISNUMBER(AD340),AD340&lt;&gt;0),"Structured",ISNUMBER(SEARCH("/mo con",S340)),"Notes-parsed",ISNUMBER(SEARCH("step",S340)),"Step-up",ISNUMBER(SEARCH("swap",S340)),"Rate-swap",AND(ISNUMBER(H340),ISNUMBER(I340),H340&gt;I340),"Implied",TRUE,""))</f>
        <v/>
      </c>
      <c r="AV340" s="970" t="n"/>
    </row>
    <row r="341" outlineLevel="1" s="817">
      <c r="F341" s="520" t="n"/>
      <c r="G341" s="520" t="n"/>
      <c r="H341" s="970" t="n"/>
      <c r="I341" s="970" t="n"/>
      <c r="J341" s="970" t="n"/>
      <c r="K341" s="970" t="n"/>
      <c r="L341" s="970" t="n"/>
      <c r="M341" s="970" t="n"/>
      <c r="N341" s="970" t="n"/>
      <c r="O341" s="970" t="n"/>
      <c r="P341" s="970" t="n"/>
      <c r="Q341" s="970" t="n"/>
      <c r="T341" s="545" t="n"/>
      <c r="U341" s="971" t="n"/>
      <c r="V341" s="971" t="n"/>
      <c r="W341">
        <f>IF(AND($D341="Occupied",$AC341&lt;&gt;""),$AC341,"")</f>
        <v/>
      </c>
      <c r="X341">
        <f>IF(AND(D341="Occupied",C341&lt;&gt;"",W341&lt;&gt;""),C341&amp;"|"&amp;W341,"")</f>
        <v/>
      </c>
      <c r="Y341">
        <f>IF(AND(C341&lt;&gt;"",W341&lt;&gt;""),C341&amp;"|"&amp;W341,"")</f>
        <v/>
      </c>
      <c r="AA341" s="970" t="n"/>
      <c r="AB341" s="555" t="n"/>
      <c r="AD341" s="970" t="n"/>
      <c r="AE341" s="520" t="n"/>
      <c r="AF341" s="970" t="n"/>
      <c r="AG341" s="970" t="n"/>
      <c r="AH341" s="970" t="n"/>
      <c r="AI341" s="970" t="n"/>
      <c r="AJ341" s="970" t="n"/>
      <c r="AK341" s="970" t="n"/>
      <c r="AL341" s="970" t="n"/>
      <c r="AM341" s="970" t="n"/>
      <c r="AN341" s="970" t="n"/>
      <c r="AO341" s="970" t="n"/>
      <c r="AP341" s="979" t="n"/>
      <c r="AQ341" s="980">
        <f>SUM(AK341:AO341)</f>
        <v/>
      </c>
      <c r="AR341" s="981" t="n"/>
      <c r="AT341" s="971" t="n"/>
      <c r="AU341">
        <f t="array" ref="AU341">IF(D341&lt;&gt;"Occupied","",_xlfn.IFS(AND(ISNUMBER(AD341),AD341&lt;&gt;0),"Structured",ISNUMBER(SEARCH("/mo con",S341)),"Notes-parsed",ISNUMBER(SEARCH("step",S341)),"Step-up",ISNUMBER(SEARCH("swap",S341)),"Rate-swap",AND(ISNUMBER(H341),ISNUMBER(I341),H341&gt;I341),"Implied",TRUE,""))</f>
        <v/>
      </c>
      <c r="AV341" s="970" t="n"/>
    </row>
    <row r="342" outlineLevel="1" s="817">
      <c r="F342" s="520" t="n"/>
      <c r="G342" s="520" t="n"/>
      <c r="H342" s="970" t="n"/>
      <c r="I342" s="970" t="n"/>
      <c r="J342" s="970" t="n"/>
      <c r="K342" s="970" t="n"/>
      <c r="L342" s="970" t="n"/>
      <c r="M342" s="970" t="n"/>
      <c r="N342" s="970" t="n"/>
      <c r="O342" s="970" t="n"/>
      <c r="P342" s="970" t="n"/>
      <c r="Q342" s="970" t="n"/>
      <c r="T342" s="545" t="n"/>
      <c r="U342" s="971" t="n"/>
      <c r="V342" s="971" t="n"/>
      <c r="W342">
        <f>IF(AND($D342="Occupied",$AC342&lt;&gt;""),$AC342,"")</f>
        <v/>
      </c>
      <c r="X342">
        <f>IF(AND(D342="Occupied",C342&lt;&gt;"",W342&lt;&gt;""),C342&amp;"|"&amp;W342,"")</f>
        <v/>
      </c>
      <c r="Y342">
        <f>IF(AND(C342&lt;&gt;"",W342&lt;&gt;""),C342&amp;"|"&amp;W342,"")</f>
        <v/>
      </c>
      <c r="AA342" s="970" t="n"/>
      <c r="AB342" s="555" t="n"/>
      <c r="AD342" s="970" t="n"/>
      <c r="AE342" s="520" t="n"/>
      <c r="AF342" s="970" t="n"/>
      <c r="AG342" s="970" t="n"/>
      <c r="AH342" s="970" t="n"/>
      <c r="AI342" s="970" t="n"/>
      <c r="AJ342" s="970" t="n"/>
      <c r="AK342" s="970" t="n"/>
      <c r="AL342" s="970" t="n"/>
      <c r="AM342" s="970" t="n"/>
      <c r="AN342" s="970" t="n"/>
      <c r="AO342" s="970" t="n"/>
      <c r="AP342" s="979" t="n"/>
      <c r="AQ342" s="980">
        <f>SUM(AK342:AO342)</f>
        <v/>
      </c>
      <c r="AR342" s="981" t="n"/>
      <c r="AT342" s="971" t="n"/>
      <c r="AU342">
        <f t="array" ref="AU342">IF(D342&lt;&gt;"Occupied","",_xlfn.IFS(AND(ISNUMBER(AD342),AD342&lt;&gt;0),"Structured",ISNUMBER(SEARCH("/mo con",S342)),"Notes-parsed",ISNUMBER(SEARCH("step",S342)),"Step-up",ISNUMBER(SEARCH("swap",S342)),"Rate-swap",AND(ISNUMBER(H342),ISNUMBER(I342),H342&gt;I342),"Implied",TRUE,""))</f>
        <v/>
      </c>
      <c r="AV342" s="970" t="n"/>
    </row>
    <row r="343" outlineLevel="1" s="817">
      <c r="F343" s="520" t="n"/>
      <c r="G343" s="520" t="n"/>
      <c r="H343" s="970" t="n"/>
      <c r="I343" s="970" t="n"/>
      <c r="J343" s="970" t="n"/>
      <c r="K343" s="970" t="n"/>
      <c r="L343" s="970" t="n"/>
      <c r="M343" s="970" t="n"/>
      <c r="N343" s="970" t="n"/>
      <c r="O343" s="970" t="n"/>
      <c r="P343" s="970" t="n"/>
      <c r="Q343" s="970" t="n"/>
      <c r="T343" s="545" t="n"/>
      <c r="U343" s="971" t="n"/>
      <c r="V343" s="971" t="n"/>
      <c r="W343">
        <f>IF(AND($D343="Occupied",$AC343&lt;&gt;""),$AC343,"")</f>
        <v/>
      </c>
      <c r="X343">
        <f>IF(AND(D343="Occupied",C343&lt;&gt;"",W343&lt;&gt;""),C343&amp;"|"&amp;W343,"")</f>
        <v/>
      </c>
      <c r="Y343">
        <f>IF(AND(C343&lt;&gt;"",W343&lt;&gt;""),C343&amp;"|"&amp;W343,"")</f>
        <v/>
      </c>
      <c r="AA343" s="970" t="n"/>
      <c r="AB343" s="555" t="n"/>
      <c r="AD343" s="970" t="n"/>
      <c r="AE343" s="520" t="n"/>
      <c r="AF343" s="970" t="n"/>
      <c r="AG343" s="970" t="n"/>
      <c r="AH343" s="970" t="n"/>
      <c r="AI343" s="970" t="n"/>
      <c r="AJ343" s="970" t="n"/>
      <c r="AK343" s="970" t="n"/>
      <c r="AL343" s="970" t="n"/>
      <c r="AM343" s="970" t="n"/>
      <c r="AN343" s="970" t="n"/>
      <c r="AO343" s="970" t="n"/>
      <c r="AP343" s="979" t="n"/>
      <c r="AQ343" s="980">
        <f>SUM(AK343:AO343)</f>
        <v/>
      </c>
      <c r="AR343" s="981" t="n"/>
      <c r="AT343" s="971" t="n"/>
      <c r="AU343">
        <f t="array" ref="AU343">IF(D343&lt;&gt;"Occupied","",_xlfn.IFS(AND(ISNUMBER(AD343),AD343&lt;&gt;0),"Structured",ISNUMBER(SEARCH("/mo con",S343)),"Notes-parsed",ISNUMBER(SEARCH("step",S343)),"Step-up",ISNUMBER(SEARCH("swap",S343)),"Rate-swap",AND(ISNUMBER(H343),ISNUMBER(I343),H343&gt;I343),"Implied",TRUE,""))</f>
        <v/>
      </c>
      <c r="AV343" s="970" t="n"/>
    </row>
    <row r="344" outlineLevel="1" s="817">
      <c r="F344" s="520" t="n"/>
      <c r="G344" s="520" t="n"/>
      <c r="H344" s="970" t="n"/>
      <c r="I344" s="970" t="n"/>
      <c r="J344" s="970" t="n"/>
      <c r="K344" s="970" t="n"/>
      <c r="L344" s="970" t="n"/>
      <c r="M344" s="970" t="n"/>
      <c r="N344" s="970" t="n"/>
      <c r="O344" s="970" t="n"/>
      <c r="P344" s="970" t="n"/>
      <c r="Q344" s="970" t="n"/>
      <c r="T344" s="545" t="n"/>
      <c r="U344" s="971" t="n"/>
      <c r="V344" s="971" t="n"/>
      <c r="W344">
        <f>IF(AND($D344="Occupied",$AC344&lt;&gt;""),$AC344,"")</f>
        <v/>
      </c>
      <c r="X344">
        <f>IF(AND(D344="Occupied",C344&lt;&gt;"",W344&lt;&gt;""),C344&amp;"|"&amp;W344,"")</f>
        <v/>
      </c>
      <c r="Y344">
        <f>IF(AND(C344&lt;&gt;"",W344&lt;&gt;""),C344&amp;"|"&amp;W344,"")</f>
        <v/>
      </c>
      <c r="AA344" s="970" t="n"/>
      <c r="AB344" s="555" t="n"/>
      <c r="AD344" s="970" t="n"/>
      <c r="AE344" s="520" t="n"/>
      <c r="AF344" s="970" t="n"/>
      <c r="AG344" s="970" t="n"/>
      <c r="AH344" s="970" t="n"/>
      <c r="AI344" s="970" t="n"/>
      <c r="AJ344" s="970" t="n"/>
      <c r="AK344" s="970" t="n"/>
      <c r="AL344" s="970" t="n"/>
      <c r="AM344" s="970" t="n"/>
      <c r="AN344" s="970" t="n"/>
      <c r="AO344" s="970" t="n"/>
      <c r="AP344" s="979" t="n"/>
      <c r="AQ344" s="980">
        <f>SUM(AK344:AO344)</f>
        <v/>
      </c>
      <c r="AR344" s="981" t="n"/>
      <c r="AT344" s="971" t="n"/>
      <c r="AU344">
        <f t="array" ref="AU344">IF(D344&lt;&gt;"Occupied","",_xlfn.IFS(AND(ISNUMBER(AD344),AD344&lt;&gt;0),"Structured",ISNUMBER(SEARCH("/mo con",S344)),"Notes-parsed",ISNUMBER(SEARCH("step",S344)),"Step-up",ISNUMBER(SEARCH("swap",S344)),"Rate-swap",AND(ISNUMBER(H344),ISNUMBER(I344),H344&gt;I344),"Implied",TRUE,""))</f>
        <v/>
      </c>
      <c r="AV344" s="970" t="n"/>
    </row>
    <row r="345" outlineLevel="1" s="817">
      <c r="F345" s="520" t="n"/>
      <c r="G345" s="520" t="n"/>
      <c r="H345" s="970" t="n"/>
      <c r="I345" s="970" t="n"/>
      <c r="J345" s="970" t="n"/>
      <c r="K345" s="970" t="n"/>
      <c r="L345" s="970" t="n"/>
      <c r="M345" s="970" t="n"/>
      <c r="N345" s="970" t="n"/>
      <c r="O345" s="970" t="n"/>
      <c r="P345" s="970" t="n"/>
      <c r="Q345" s="970" t="n"/>
      <c r="T345" s="545" t="n"/>
      <c r="U345" s="971" t="n"/>
      <c r="V345" s="971" t="n"/>
      <c r="W345">
        <f>IF(AND($D345="Occupied",$AC345&lt;&gt;""),$AC345,"")</f>
        <v/>
      </c>
      <c r="X345">
        <f>IF(AND(D345="Occupied",C345&lt;&gt;"",W345&lt;&gt;""),C345&amp;"|"&amp;W345,"")</f>
        <v/>
      </c>
      <c r="Y345">
        <f>IF(AND(C345&lt;&gt;"",W345&lt;&gt;""),C345&amp;"|"&amp;W345,"")</f>
        <v/>
      </c>
      <c r="AA345" s="970" t="n"/>
      <c r="AB345" s="555" t="n"/>
      <c r="AD345" s="970" t="n"/>
      <c r="AE345" s="520" t="n"/>
      <c r="AF345" s="970" t="n"/>
      <c r="AG345" s="970" t="n"/>
      <c r="AH345" s="970" t="n"/>
      <c r="AI345" s="970" t="n"/>
      <c r="AJ345" s="970" t="n"/>
      <c r="AK345" s="970" t="n"/>
      <c r="AL345" s="970" t="n"/>
      <c r="AM345" s="970" t="n"/>
      <c r="AN345" s="970" t="n"/>
      <c r="AO345" s="970" t="n"/>
      <c r="AP345" s="979" t="n"/>
      <c r="AQ345" s="980">
        <f>SUM(AK345:AO345)</f>
        <v/>
      </c>
      <c r="AR345" s="981" t="n"/>
      <c r="AT345" s="971" t="n"/>
      <c r="AU345">
        <f t="array" ref="AU345">IF(D345&lt;&gt;"Occupied","",_xlfn.IFS(AND(ISNUMBER(AD345),AD345&lt;&gt;0),"Structured",ISNUMBER(SEARCH("/mo con",S345)),"Notes-parsed",ISNUMBER(SEARCH("step",S345)),"Step-up",ISNUMBER(SEARCH("swap",S345)),"Rate-swap",AND(ISNUMBER(H345),ISNUMBER(I345),H345&gt;I345),"Implied",TRUE,""))</f>
        <v/>
      </c>
      <c r="AV345" s="970" t="n"/>
    </row>
    <row r="346" outlineLevel="1" s="817">
      <c r="F346" s="520" t="n"/>
      <c r="G346" s="520" t="n"/>
      <c r="H346" s="970" t="n"/>
      <c r="I346" s="970" t="n"/>
      <c r="J346" s="970" t="n"/>
      <c r="K346" s="970" t="n"/>
      <c r="L346" s="970" t="n"/>
      <c r="M346" s="970" t="n"/>
      <c r="N346" s="970" t="n"/>
      <c r="O346" s="970" t="n"/>
      <c r="P346" s="970" t="n"/>
      <c r="Q346" s="970" t="n"/>
      <c r="T346" s="545" t="n"/>
      <c r="U346" s="971" t="n"/>
      <c r="V346" s="971" t="n"/>
      <c r="W346">
        <f>IF(AND($D346="Occupied",$AC346&lt;&gt;""),$AC346,"")</f>
        <v/>
      </c>
      <c r="X346">
        <f>IF(AND(D346="Occupied",C346&lt;&gt;"",W346&lt;&gt;""),C346&amp;"|"&amp;W346,"")</f>
        <v/>
      </c>
      <c r="Y346">
        <f>IF(AND(C346&lt;&gt;"",W346&lt;&gt;""),C346&amp;"|"&amp;W346,"")</f>
        <v/>
      </c>
      <c r="AA346" s="970" t="n"/>
      <c r="AB346" s="555" t="n"/>
      <c r="AD346" s="970" t="n"/>
      <c r="AE346" s="520" t="n"/>
      <c r="AF346" s="970" t="n"/>
      <c r="AG346" s="970" t="n"/>
      <c r="AH346" s="970" t="n"/>
      <c r="AI346" s="970" t="n"/>
      <c r="AJ346" s="970" t="n"/>
      <c r="AK346" s="970" t="n"/>
      <c r="AL346" s="970" t="n"/>
      <c r="AM346" s="970" t="n"/>
      <c r="AN346" s="970" t="n"/>
      <c r="AO346" s="970" t="n"/>
      <c r="AP346" s="979" t="n"/>
      <c r="AQ346" s="980">
        <f>SUM(AK346:AO346)</f>
        <v/>
      </c>
      <c r="AR346" s="981" t="n"/>
      <c r="AT346" s="971" t="n"/>
      <c r="AU346">
        <f t="array" ref="AU346">IF(D346&lt;&gt;"Occupied","",_xlfn.IFS(AND(ISNUMBER(AD346),AD346&lt;&gt;0),"Structured",ISNUMBER(SEARCH("/mo con",S346)),"Notes-parsed",ISNUMBER(SEARCH("step",S346)),"Step-up",ISNUMBER(SEARCH("swap",S346)),"Rate-swap",AND(ISNUMBER(H346),ISNUMBER(I346),H346&gt;I346),"Implied",TRUE,""))</f>
        <v/>
      </c>
      <c r="AV346" s="970" t="n"/>
    </row>
    <row r="347" outlineLevel="1" s="817">
      <c r="F347" s="520" t="n"/>
      <c r="G347" s="520" t="n"/>
      <c r="H347" s="970" t="n"/>
      <c r="I347" s="970" t="n"/>
      <c r="J347" s="970" t="n"/>
      <c r="K347" s="970" t="n"/>
      <c r="L347" s="970" t="n"/>
      <c r="M347" s="970" t="n"/>
      <c r="N347" s="970" t="n"/>
      <c r="O347" s="970" t="n"/>
      <c r="P347" s="970" t="n"/>
      <c r="Q347" s="970" t="n"/>
      <c r="T347" s="545" t="n"/>
      <c r="U347" s="971" t="n"/>
      <c r="V347" s="971" t="n"/>
      <c r="W347">
        <f>IF(AND($D347="Occupied",$AC347&lt;&gt;""),$AC347,"")</f>
        <v/>
      </c>
      <c r="X347">
        <f>IF(AND(D347="Occupied",C347&lt;&gt;"",W347&lt;&gt;""),C347&amp;"|"&amp;W347,"")</f>
        <v/>
      </c>
      <c r="Y347">
        <f>IF(AND(C347&lt;&gt;"",W347&lt;&gt;""),C347&amp;"|"&amp;W347,"")</f>
        <v/>
      </c>
      <c r="AA347" s="970" t="n"/>
      <c r="AB347" s="555" t="n"/>
      <c r="AD347" s="970" t="n"/>
      <c r="AE347" s="520" t="n"/>
      <c r="AF347" s="970" t="n"/>
      <c r="AG347" s="970" t="n"/>
      <c r="AH347" s="970" t="n"/>
      <c r="AI347" s="970" t="n"/>
      <c r="AJ347" s="970" t="n"/>
      <c r="AK347" s="970" t="n"/>
      <c r="AL347" s="970" t="n"/>
      <c r="AM347" s="970" t="n"/>
      <c r="AN347" s="970" t="n"/>
      <c r="AO347" s="970" t="n"/>
      <c r="AP347" s="979" t="n"/>
      <c r="AQ347" s="980">
        <f>SUM(AK347:AO347)</f>
        <v/>
      </c>
      <c r="AR347" s="981" t="n"/>
      <c r="AT347" s="971" t="n"/>
      <c r="AU347">
        <f t="array" ref="AU347">IF(D347&lt;&gt;"Occupied","",_xlfn.IFS(AND(ISNUMBER(AD347),AD347&lt;&gt;0),"Structured",ISNUMBER(SEARCH("/mo con",S347)),"Notes-parsed",ISNUMBER(SEARCH("step",S347)),"Step-up",ISNUMBER(SEARCH("swap",S347)),"Rate-swap",AND(ISNUMBER(H347),ISNUMBER(I347),H347&gt;I347),"Implied",TRUE,""))</f>
        <v/>
      </c>
      <c r="AV347" s="970" t="n"/>
    </row>
    <row r="348" outlineLevel="1" s="817">
      <c r="F348" s="520" t="n"/>
      <c r="G348" s="520" t="n"/>
      <c r="H348" s="970" t="n"/>
      <c r="I348" s="970" t="n"/>
      <c r="J348" s="970" t="n"/>
      <c r="K348" s="970" t="n"/>
      <c r="L348" s="970" t="n"/>
      <c r="M348" s="970" t="n"/>
      <c r="N348" s="970" t="n"/>
      <c r="O348" s="970" t="n"/>
      <c r="P348" s="970" t="n"/>
      <c r="Q348" s="970" t="n"/>
      <c r="T348" s="545" t="n"/>
      <c r="U348" s="971" t="n"/>
      <c r="V348" s="971" t="n"/>
      <c r="W348">
        <f>IF(AND($D348="Occupied",$AC348&lt;&gt;""),$AC348,"")</f>
        <v/>
      </c>
      <c r="X348">
        <f>IF(AND(D348="Occupied",C348&lt;&gt;"",W348&lt;&gt;""),C348&amp;"|"&amp;W348,"")</f>
        <v/>
      </c>
      <c r="Y348">
        <f>IF(AND(C348&lt;&gt;"",W348&lt;&gt;""),C348&amp;"|"&amp;W348,"")</f>
        <v/>
      </c>
      <c r="AA348" s="970" t="n"/>
      <c r="AB348" s="555" t="n"/>
      <c r="AD348" s="970" t="n"/>
      <c r="AE348" s="520" t="n"/>
      <c r="AF348" s="970" t="n"/>
      <c r="AG348" s="970" t="n"/>
      <c r="AH348" s="970" t="n"/>
      <c r="AI348" s="970" t="n"/>
      <c r="AJ348" s="970" t="n"/>
      <c r="AK348" s="970" t="n"/>
      <c r="AL348" s="970" t="n"/>
      <c r="AM348" s="970" t="n"/>
      <c r="AN348" s="970" t="n"/>
      <c r="AO348" s="970" t="n"/>
      <c r="AP348" s="979" t="n"/>
      <c r="AQ348" s="980">
        <f>SUM(AK348:AO348)</f>
        <v/>
      </c>
      <c r="AR348" s="981" t="n"/>
      <c r="AT348" s="971" t="n"/>
      <c r="AU348">
        <f t="array" ref="AU348">IF(D348&lt;&gt;"Occupied","",_xlfn.IFS(AND(ISNUMBER(AD348),AD348&lt;&gt;0),"Structured",ISNUMBER(SEARCH("/mo con",S348)),"Notes-parsed",ISNUMBER(SEARCH("step",S348)),"Step-up",ISNUMBER(SEARCH("swap",S348)),"Rate-swap",AND(ISNUMBER(H348),ISNUMBER(I348),H348&gt;I348),"Implied",TRUE,""))</f>
        <v/>
      </c>
      <c r="AV348" s="970" t="n"/>
    </row>
    <row r="349" outlineLevel="1" s="817">
      <c r="F349" s="520" t="n"/>
      <c r="G349" s="520" t="n"/>
      <c r="H349" s="970" t="n"/>
      <c r="I349" s="970" t="n"/>
      <c r="J349" s="970" t="n"/>
      <c r="K349" s="970" t="n"/>
      <c r="L349" s="970" t="n"/>
      <c r="M349" s="970" t="n"/>
      <c r="N349" s="970" t="n"/>
      <c r="O349" s="970" t="n"/>
      <c r="P349" s="970" t="n"/>
      <c r="Q349" s="970" t="n"/>
      <c r="T349" s="545" t="n"/>
      <c r="U349" s="971" t="n"/>
      <c r="V349" s="971" t="n"/>
      <c r="W349">
        <f>IF(AND($D349="Occupied",$AC349&lt;&gt;""),$AC349,"")</f>
        <v/>
      </c>
      <c r="X349">
        <f>IF(AND(D349="Occupied",C349&lt;&gt;"",W349&lt;&gt;""),C349&amp;"|"&amp;W349,"")</f>
        <v/>
      </c>
      <c r="Y349">
        <f>IF(AND(C349&lt;&gt;"",W349&lt;&gt;""),C349&amp;"|"&amp;W349,"")</f>
        <v/>
      </c>
      <c r="AA349" s="970" t="n"/>
      <c r="AB349" s="555" t="n"/>
      <c r="AD349" s="970" t="n"/>
      <c r="AE349" s="520" t="n"/>
      <c r="AF349" s="970" t="n"/>
      <c r="AG349" s="970" t="n"/>
      <c r="AH349" s="970" t="n"/>
      <c r="AI349" s="970" t="n"/>
      <c r="AJ349" s="970" t="n"/>
      <c r="AK349" s="970" t="n"/>
      <c r="AL349" s="970" t="n"/>
      <c r="AM349" s="970" t="n"/>
      <c r="AN349" s="970" t="n"/>
      <c r="AO349" s="970" t="n"/>
      <c r="AP349" s="979" t="n"/>
      <c r="AQ349" s="980">
        <f>SUM(AK349:AO349)</f>
        <v/>
      </c>
      <c r="AR349" s="981" t="n"/>
      <c r="AT349" s="971" t="n"/>
      <c r="AU349">
        <f t="array" ref="AU349">IF(D349&lt;&gt;"Occupied","",_xlfn.IFS(AND(ISNUMBER(AD349),AD349&lt;&gt;0),"Structured",ISNUMBER(SEARCH("/mo con",S349)),"Notes-parsed",ISNUMBER(SEARCH("step",S349)),"Step-up",ISNUMBER(SEARCH("swap",S349)),"Rate-swap",AND(ISNUMBER(H349),ISNUMBER(I349),H349&gt;I349),"Implied",TRUE,""))</f>
        <v/>
      </c>
      <c r="AV349" s="970" t="n"/>
    </row>
    <row r="350" outlineLevel="1" s="817">
      <c r="F350" s="520" t="n"/>
      <c r="G350" s="520" t="n"/>
      <c r="H350" s="970" t="n"/>
      <c r="I350" s="970" t="n"/>
      <c r="J350" s="970" t="n"/>
      <c r="K350" s="970" t="n"/>
      <c r="L350" s="970" t="n"/>
      <c r="M350" s="970" t="n"/>
      <c r="N350" s="970" t="n"/>
      <c r="O350" s="970" t="n"/>
      <c r="P350" s="970" t="n"/>
      <c r="Q350" s="970" t="n"/>
      <c r="T350" s="545" t="n"/>
      <c r="U350" s="971" t="n"/>
      <c r="V350" s="971" t="n"/>
      <c r="W350">
        <f>IF(AND($D350="Occupied",$AC350&lt;&gt;""),$AC350,"")</f>
        <v/>
      </c>
      <c r="X350">
        <f>IF(AND(D350="Occupied",C350&lt;&gt;"",W350&lt;&gt;""),C350&amp;"|"&amp;W350,"")</f>
        <v/>
      </c>
      <c r="Y350">
        <f>IF(AND(C350&lt;&gt;"",W350&lt;&gt;""),C350&amp;"|"&amp;W350,"")</f>
        <v/>
      </c>
      <c r="AA350" s="970" t="n"/>
      <c r="AB350" s="555" t="n"/>
      <c r="AD350" s="970" t="n"/>
      <c r="AE350" s="520" t="n"/>
      <c r="AF350" s="970" t="n"/>
      <c r="AG350" s="970" t="n"/>
      <c r="AH350" s="970" t="n"/>
      <c r="AI350" s="970" t="n"/>
      <c r="AJ350" s="970" t="n"/>
      <c r="AK350" s="970" t="n"/>
      <c r="AL350" s="970" t="n"/>
      <c r="AM350" s="970" t="n"/>
      <c r="AN350" s="970" t="n"/>
      <c r="AO350" s="970" t="n"/>
      <c r="AP350" s="979" t="n"/>
      <c r="AQ350" s="980">
        <f>SUM(AK350:AO350)</f>
        <v/>
      </c>
      <c r="AR350" s="981" t="n"/>
      <c r="AT350" s="971" t="n"/>
      <c r="AU350">
        <f t="array" ref="AU350">IF(D350&lt;&gt;"Occupied","",_xlfn.IFS(AND(ISNUMBER(AD350),AD350&lt;&gt;0),"Structured",ISNUMBER(SEARCH("/mo con",S350)),"Notes-parsed",ISNUMBER(SEARCH("step",S350)),"Step-up",ISNUMBER(SEARCH("swap",S350)),"Rate-swap",AND(ISNUMBER(H350),ISNUMBER(I350),H350&gt;I350),"Implied",TRUE,""))</f>
        <v/>
      </c>
      <c r="AV350" s="970" t="n"/>
    </row>
    <row r="351" outlineLevel="1" s="817">
      <c r="F351" s="520" t="n"/>
      <c r="G351" s="520" t="n"/>
      <c r="H351" s="970" t="n"/>
      <c r="I351" s="970" t="n"/>
      <c r="J351" s="970" t="n"/>
      <c r="K351" s="970" t="n"/>
      <c r="L351" s="970" t="n"/>
      <c r="M351" s="970" t="n"/>
      <c r="N351" s="970" t="n"/>
      <c r="O351" s="970" t="n"/>
      <c r="P351" s="970" t="n"/>
      <c r="Q351" s="970" t="n"/>
      <c r="T351" s="545" t="n"/>
      <c r="U351" s="971" t="n"/>
      <c r="V351" s="971" t="n"/>
      <c r="W351">
        <f>IF(AND($D351="Occupied",$AC351&lt;&gt;""),$AC351,"")</f>
        <v/>
      </c>
      <c r="X351">
        <f>IF(AND(D351="Occupied",C351&lt;&gt;"",W351&lt;&gt;""),C351&amp;"|"&amp;W351,"")</f>
        <v/>
      </c>
      <c r="Y351">
        <f>IF(AND(C351&lt;&gt;"",W351&lt;&gt;""),C351&amp;"|"&amp;W351,"")</f>
        <v/>
      </c>
      <c r="AA351" s="970" t="n"/>
      <c r="AB351" s="555" t="n"/>
      <c r="AD351" s="970" t="n"/>
      <c r="AE351" s="520" t="n"/>
      <c r="AF351" s="970" t="n"/>
      <c r="AG351" s="970" t="n"/>
      <c r="AH351" s="970" t="n"/>
      <c r="AI351" s="970" t="n"/>
      <c r="AJ351" s="970" t="n"/>
      <c r="AK351" s="970" t="n"/>
      <c r="AL351" s="970" t="n"/>
      <c r="AM351" s="970" t="n"/>
      <c r="AN351" s="970" t="n"/>
      <c r="AO351" s="970" t="n"/>
      <c r="AP351" s="979" t="n"/>
      <c r="AQ351" s="980">
        <f>SUM(AK351:AO351)</f>
        <v/>
      </c>
      <c r="AR351" s="981" t="n"/>
      <c r="AT351" s="971" t="n"/>
      <c r="AU351">
        <f t="array" ref="AU351">IF(D351&lt;&gt;"Occupied","",_xlfn.IFS(AND(ISNUMBER(AD351),AD351&lt;&gt;0),"Structured",ISNUMBER(SEARCH("/mo con",S351)),"Notes-parsed",ISNUMBER(SEARCH("step",S351)),"Step-up",ISNUMBER(SEARCH("swap",S351)),"Rate-swap",AND(ISNUMBER(H351),ISNUMBER(I351),H351&gt;I351),"Implied",TRUE,""))</f>
        <v/>
      </c>
      <c r="AV351" s="970" t="n"/>
    </row>
    <row r="352" outlineLevel="1" s="817">
      <c r="F352" s="520" t="n"/>
      <c r="G352" s="520" t="n"/>
      <c r="H352" s="970" t="n"/>
      <c r="I352" s="970" t="n"/>
      <c r="J352" s="970" t="n"/>
      <c r="K352" s="970" t="n"/>
      <c r="L352" s="970" t="n"/>
      <c r="M352" s="970" t="n"/>
      <c r="N352" s="970" t="n"/>
      <c r="O352" s="970" t="n"/>
      <c r="P352" s="970" t="n"/>
      <c r="Q352" s="970" t="n"/>
      <c r="T352" s="545" t="n"/>
      <c r="U352" s="971" t="n"/>
      <c r="V352" s="971" t="n"/>
      <c r="W352">
        <f>IF(AND($D352="Occupied",$AC352&lt;&gt;""),$AC352,"")</f>
        <v/>
      </c>
      <c r="X352">
        <f>IF(AND(D352="Occupied",C352&lt;&gt;"",W352&lt;&gt;""),C352&amp;"|"&amp;W352,"")</f>
        <v/>
      </c>
      <c r="Y352">
        <f>IF(AND(C352&lt;&gt;"",W352&lt;&gt;""),C352&amp;"|"&amp;W352,"")</f>
        <v/>
      </c>
      <c r="AA352" s="970" t="n"/>
      <c r="AB352" s="555" t="n"/>
      <c r="AD352" s="970" t="n"/>
      <c r="AE352" s="520" t="n"/>
      <c r="AF352" s="970" t="n"/>
      <c r="AG352" s="970" t="n"/>
      <c r="AH352" s="970" t="n"/>
      <c r="AI352" s="970" t="n"/>
      <c r="AJ352" s="970" t="n"/>
      <c r="AK352" s="970" t="n"/>
      <c r="AL352" s="970" t="n"/>
      <c r="AM352" s="970" t="n"/>
      <c r="AN352" s="970" t="n"/>
      <c r="AO352" s="970" t="n"/>
      <c r="AP352" s="979" t="n"/>
      <c r="AQ352" s="980">
        <f>SUM(AK352:AO352)</f>
        <v/>
      </c>
      <c r="AR352" s="981" t="n"/>
      <c r="AT352" s="971" t="n"/>
      <c r="AU352">
        <f t="array" ref="AU352">IF(D352&lt;&gt;"Occupied","",_xlfn.IFS(AND(ISNUMBER(AD352),AD352&lt;&gt;0),"Structured",ISNUMBER(SEARCH("/mo con",S352)),"Notes-parsed",ISNUMBER(SEARCH("step",S352)),"Step-up",ISNUMBER(SEARCH("swap",S352)),"Rate-swap",AND(ISNUMBER(H352),ISNUMBER(I352),H352&gt;I352),"Implied",TRUE,""))</f>
        <v/>
      </c>
      <c r="AV352" s="970" t="n"/>
    </row>
    <row r="353" outlineLevel="1" s="817">
      <c r="F353" s="520" t="n"/>
      <c r="G353" s="520" t="n"/>
      <c r="H353" s="970" t="n"/>
      <c r="I353" s="970" t="n"/>
      <c r="J353" s="970" t="n"/>
      <c r="K353" s="970" t="n"/>
      <c r="L353" s="970" t="n"/>
      <c r="M353" s="970" t="n"/>
      <c r="N353" s="970" t="n"/>
      <c r="O353" s="970" t="n"/>
      <c r="P353" s="970" t="n"/>
      <c r="Q353" s="970" t="n"/>
      <c r="T353" s="545" t="n"/>
      <c r="U353" s="971" t="n"/>
      <c r="V353" s="971" t="n"/>
      <c r="W353">
        <f>IF(AND($D353="Occupied",$AC353&lt;&gt;""),$AC353,"")</f>
        <v/>
      </c>
      <c r="X353">
        <f>IF(AND(D353="Occupied",C353&lt;&gt;"",W353&lt;&gt;""),C353&amp;"|"&amp;W353,"")</f>
        <v/>
      </c>
      <c r="Y353">
        <f>IF(AND(C353&lt;&gt;"",W353&lt;&gt;""),C353&amp;"|"&amp;W353,"")</f>
        <v/>
      </c>
      <c r="AA353" s="970" t="n"/>
      <c r="AB353" s="555" t="n"/>
      <c r="AD353" s="970" t="n"/>
      <c r="AE353" s="520" t="n"/>
      <c r="AF353" s="970" t="n"/>
      <c r="AG353" s="970" t="n"/>
      <c r="AH353" s="970" t="n"/>
      <c r="AI353" s="970" t="n"/>
      <c r="AJ353" s="970" t="n"/>
      <c r="AK353" s="970" t="n"/>
      <c r="AL353" s="970" t="n"/>
      <c r="AM353" s="970" t="n"/>
      <c r="AN353" s="970" t="n"/>
      <c r="AO353" s="970" t="n"/>
      <c r="AP353" s="979" t="n"/>
      <c r="AQ353" s="980">
        <f>SUM(AK353:AO353)</f>
        <v/>
      </c>
      <c r="AR353" s="981" t="n"/>
      <c r="AT353" s="971" t="n"/>
      <c r="AU353">
        <f t="array" ref="AU353">IF(D353&lt;&gt;"Occupied","",_xlfn.IFS(AND(ISNUMBER(AD353),AD353&lt;&gt;0),"Structured",ISNUMBER(SEARCH("/mo con",S353)),"Notes-parsed",ISNUMBER(SEARCH("step",S353)),"Step-up",ISNUMBER(SEARCH("swap",S353)),"Rate-swap",AND(ISNUMBER(H353),ISNUMBER(I353),H353&gt;I353),"Implied",TRUE,""))</f>
        <v/>
      </c>
      <c r="AV353" s="970" t="n"/>
    </row>
    <row r="354" outlineLevel="1" s="817">
      <c r="F354" s="520" t="n"/>
      <c r="G354" s="520" t="n"/>
      <c r="H354" s="970" t="n"/>
      <c r="I354" s="970" t="n"/>
      <c r="J354" s="970" t="n"/>
      <c r="K354" s="970" t="n"/>
      <c r="L354" s="970" t="n"/>
      <c r="M354" s="970" t="n"/>
      <c r="N354" s="970" t="n"/>
      <c r="O354" s="970" t="n"/>
      <c r="P354" s="970" t="n"/>
      <c r="Q354" s="970" t="n"/>
      <c r="T354" s="545" t="n"/>
      <c r="U354" s="971" t="n"/>
      <c r="V354" s="971" t="n"/>
      <c r="W354">
        <f>IF(AND($D354="Occupied",$AC354&lt;&gt;""),$AC354,"")</f>
        <v/>
      </c>
      <c r="X354">
        <f>IF(AND(D354="Occupied",C354&lt;&gt;"",W354&lt;&gt;""),C354&amp;"|"&amp;W354,"")</f>
        <v/>
      </c>
      <c r="Y354">
        <f>IF(AND(C354&lt;&gt;"",W354&lt;&gt;""),C354&amp;"|"&amp;W354,"")</f>
        <v/>
      </c>
      <c r="AA354" s="970" t="n"/>
      <c r="AB354" s="555" t="n"/>
      <c r="AD354" s="970" t="n"/>
      <c r="AE354" s="520" t="n"/>
      <c r="AF354" s="970" t="n"/>
      <c r="AG354" s="970" t="n"/>
      <c r="AH354" s="970" t="n"/>
      <c r="AI354" s="970" t="n"/>
      <c r="AJ354" s="970" t="n"/>
      <c r="AK354" s="970" t="n"/>
      <c r="AL354" s="970" t="n"/>
      <c r="AM354" s="970" t="n"/>
      <c r="AN354" s="970" t="n"/>
      <c r="AO354" s="970" t="n"/>
      <c r="AP354" s="979" t="n"/>
      <c r="AQ354" s="980">
        <f>SUM(AK354:AO354)</f>
        <v/>
      </c>
      <c r="AR354" s="981" t="n"/>
      <c r="AT354" s="971" t="n"/>
      <c r="AU354">
        <f t="array" ref="AU354">IF(D354&lt;&gt;"Occupied","",_xlfn.IFS(AND(ISNUMBER(AD354),AD354&lt;&gt;0),"Structured",ISNUMBER(SEARCH("/mo con",S354)),"Notes-parsed",ISNUMBER(SEARCH("step",S354)),"Step-up",ISNUMBER(SEARCH("swap",S354)),"Rate-swap",AND(ISNUMBER(H354),ISNUMBER(I354),H354&gt;I354),"Implied",TRUE,""))</f>
        <v/>
      </c>
      <c r="AV354" s="970" t="n"/>
    </row>
    <row r="355" outlineLevel="1" s="817">
      <c r="F355" s="520" t="n"/>
      <c r="G355" s="520" t="n"/>
      <c r="H355" s="970" t="n"/>
      <c r="I355" s="970" t="n"/>
      <c r="J355" s="970" t="n"/>
      <c r="K355" s="970" t="n"/>
      <c r="L355" s="970" t="n"/>
      <c r="M355" s="970" t="n"/>
      <c r="N355" s="970" t="n"/>
      <c r="O355" s="970" t="n"/>
      <c r="P355" s="970" t="n"/>
      <c r="Q355" s="970" t="n"/>
      <c r="T355" s="545" t="n"/>
      <c r="U355" s="971" t="n"/>
      <c r="V355" s="971" t="n"/>
      <c r="W355">
        <f>IF(AND($D355="Occupied",$AC355&lt;&gt;""),$AC355,"")</f>
        <v/>
      </c>
      <c r="X355">
        <f>IF(AND(D355="Occupied",C355&lt;&gt;"",W355&lt;&gt;""),C355&amp;"|"&amp;W355,"")</f>
        <v/>
      </c>
      <c r="Y355">
        <f>IF(AND(C355&lt;&gt;"",W355&lt;&gt;""),C355&amp;"|"&amp;W355,"")</f>
        <v/>
      </c>
      <c r="AA355" s="970" t="n"/>
      <c r="AB355" s="555" t="n"/>
      <c r="AD355" s="970" t="n"/>
      <c r="AE355" s="520" t="n"/>
      <c r="AF355" s="970" t="n"/>
      <c r="AG355" s="970" t="n"/>
      <c r="AH355" s="970" t="n"/>
      <c r="AI355" s="970" t="n"/>
      <c r="AJ355" s="970" t="n"/>
      <c r="AK355" s="970" t="n"/>
      <c r="AL355" s="970" t="n"/>
      <c r="AM355" s="970" t="n"/>
      <c r="AN355" s="970" t="n"/>
      <c r="AO355" s="970" t="n"/>
      <c r="AP355" s="979" t="n"/>
      <c r="AQ355" s="980">
        <f>SUM(AK355:AO355)</f>
        <v/>
      </c>
      <c r="AR355" s="981" t="n"/>
      <c r="AT355" s="971" t="n"/>
      <c r="AU355">
        <f t="array" ref="AU355">IF(D355&lt;&gt;"Occupied","",_xlfn.IFS(AND(ISNUMBER(AD355),AD355&lt;&gt;0),"Structured",ISNUMBER(SEARCH("/mo con",S355)),"Notes-parsed",ISNUMBER(SEARCH("step",S355)),"Step-up",ISNUMBER(SEARCH("swap",S355)),"Rate-swap",AND(ISNUMBER(H355),ISNUMBER(I355),H355&gt;I355),"Implied",TRUE,""))</f>
        <v/>
      </c>
      <c r="AV355" s="970" t="n"/>
    </row>
    <row r="356" outlineLevel="1" s="817">
      <c r="F356" s="520" t="n"/>
      <c r="G356" s="520" t="n"/>
      <c r="H356" s="970" t="n"/>
      <c r="I356" s="970" t="n"/>
      <c r="J356" s="970" t="n"/>
      <c r="K356" s="970" t="n"/>
      <c r="L356" s="970" t="n"/>
      <c r="M356" s="970" t="n"/>
      <c r="N356" s="970" t="n"/>
      <c r="O356" s="970" t="n"/>
      <c r="P356" s="970" t="n"/>
      <c r="Q356" s="970" t="n"/>
      <c r="T356" s="545" t="n"/>
      <c r="U356" s="971" t="n"/>
      <c r="V356" s="971" t="n"/>
      <c r="W356">
        <f>IF(AND($D356="Occupied",$AC356&lt;&gt;""),$AC356,"")</f>
        <v/>
      </c>
      <c r="X356">
        <f>IF(AND(D356="Occupied",C356&lt;&gt;"",W356&lt;&gt;""),C356&amp;"|"&amp;W356,"")</f>
        <v/>
      </c>
      <c r="Y356">
        <f>IF(AND(C356&lt;&gt;"",W356&lt;&gt;""),C356&amp;"|"&amp;W356,"")</f>
        <v/>
      </c>
      <c r="AA356" s="970" t="n"/>
      <c r="AB356" s="555" t="n"/>
      <c r="AD356" s="970" t="n"/>
      <c r="AE356" s="520" t="n"/>
      <c r="AF356" s="970" t="n"/>
      <c r="AG356" s="970" t="n"/>
      <c r="AH356" s="970" t="n"/>
      <c r="AI356" s="970" t="n"/>
      <c r="AJ356" s="970" t="n"/>
      <c r="AK356" s="970" t="n"/>
      <c r="AL356" s="970" t="n"/>
      <c r="AM356" s="970" t="n"/>
      <c r="AN356" s="970" t="n"/>
      <c r="AO356" s="970" t="n"/>
      <c r="AP356" s="979" t="n"/>
      <c r="AQ356" s="980">
        <f>SUM(AK356:AO356)</f>
        <v/>
      </c>
      <c r="AR356" s="981" t="n"/>
      <c r="AT356" s="971" t="n"/>
      <c r="AU356">
        <f t="array" ref="AU356">IF(D356&lt;&gt;"Occupied","",_xlfn.IFS(AND(ISNUMBER(AD356),AD356&lt;&gt;0),"Structured",ISNUMBER(SEARCH("/mo con",S356)),"Notes-parsed",ISNUMBER(SEARCH("step",S356)),"Step-up",ISNUMBER(SEARCH("swap",S356)),"Rate-swap",AND(ISNUMBER(H356),ISNUMBER(I356),H356&gt;I356),"Implied",TRUE,""))</f>
        <v/>
      </c>
      <c r="AV356" s="970" t="n"/>
    </row>
    <row r="357" outlineLevel="1" s="817">
      <c r="F357" s="520" t="n"/>
      <c r="G357" s="520" t="n"/>
      <c r="H357" s="970" t="n"/>
      <c r="I357" s="970" t="n"/>
      <c r="J357" s="970" t="n"/>
      <c r="K357" s="970" t="n"/>
      <c r="L357" s="970" t="n"/>
      <c r="M357" s="970" t="n"/>
      <c r="N357" s="970" t="n"/>
      <c r="O357" s="970" t="n"/>
      <c r="P357" s="970" t="n"/>
      <c r="Q357" s="970" t="n"/>
      <c r="T357" s="545" t="n"/>
      <c r="U357" s="971" t="n"/>
      <c r="V357" s="971" t="n"/>
      <c r="W357">
        <f>IF(AND($D357="Occupied",$AC357&lt;&gt;""),$AC357,"")</f>
        <v/>
      </c>
      <c r="X357">
        <f>IF(AND(D357="Occupied",C357&lt;&gt;"",W357&lt;&gt;""),C357&amp;"|"&amp;W357,"")</f>
        <v/>
      </c>
      <c r="Y357">
        <f>IF(AND(C357&lt;&gt;"",W357&lt;&gt;""),C357&amp;"|"&amp;W357,"")</f>
        <v/>
      </c>
      <c r="AA357" s="970" t="n"/>
      <c r="AB357" s="555" t="n"/>
      <c r="AD357" s="970" t="n"/>
      <c r="AE357" s="520" t="n"/>
      <c r="AF357" s="970" t="n"/>
      <c r="AG357" s="970" t="n"/>
      <c r="AH357" s="970" t="n"/>
      <c r="AI357" s="970" t="n"/>
      <c r="AJ357" s="970" t="n"/>
      <c r="AK357" s="970" t="n"/>
      <c r="AL357" s="970" t="n"/>
      <c r="AM357" s="970" t="n"/>
      <c r="AN357" s="970" t="n"/>
      <c r="AO357" s="970" t="n"/>
      <c r="AP357" s="979" t="n"/>
      <c r="AQ357" s="980">
        <f>SUM(AK357:AO357)</f>
        <v/>
      </c>
      <c r="AR357" s="981" t="n"/>
      <c r="AT357" s="971" t="n"/>
      <c r="AU357">
        <f t="array" ref="AU357">IF(D357&lt;&gt;"Occupied","",_xlfn.IFS(AND(ISNUMBER(AD357),AD357&lt;&gt;0),"Structured",ISNUMBER(SEARCH("/mo con",S357)),"Notes-parsed",ISNUMBER(SEARCH("step",S357)),"Step-up",ISNUMBER(SEARCH("swap",S357)),"Rate-swap",AND(ISNUMBER(H357),ISNUMBER(I357),H357&gt;I357),"Implied",TRUE,""))</f>
        <v/>
      </c>
      <c r="AV357" s="970" t="n"/>
    </row>
    <row r="358" outlineLevel="1" s="817">
      <c r="F358" s="520" t="n"/>
      <c r="G358" s="520" t="n"/>
      <c r="H358" s="970" t="n"/>
      <c r="I358" s="970" t="n"/>
      <c r="J358" s="970" t="n"/>
      <c r="K358" s="970" t="n"/>
      <c r="L358" s="970" t="n"/>
      <c r="M358" s="970" t="n"/>
      <c r="N358" s="970" t="n"/>
      <c r="O358" s="970" t="n"/>
      <c r="P358" s="970" t="n"/>
      <c r="Q358" s="970" t="n"/>
      <c r="T358" s="545" t="n"/>
      <c r="U358" s="971" t="n"/>
      <c r="V358" s="971" t="n"/>
      <c r="W358">
        <f>IF(AND($D358="Occupied",$AC358&lt;&gt;""),$AC358,"")</f>
        <v/>
      </c>
      <c r="X358">
        <f>IF(AND(D358="Occupied",C358&lt;&gt;"",W358&lt;&gt;""),C358&amp;"|"&amp;W358,"")</f>
        <v/>
      </c>
      <c r="Y358">
        <f>IF(AND(C358&lt;&gt;"",W358&lt;&gt;""),C358&amp;"|"&amp;W358,"")</f>
        <v/>
      </c>
      <c r="AA358" s="970" t="n"/>
      <c r="AB358" s="555" t="n"/>
      <c r="AD358" s="970" t="n"/>
      <c r="AE358" s="520" t="n"/>
      <c r="AF358" s="970" t="n"/>
      <c r="AG358" s="970" t="n"/>
      <c r="AH358" s="970" t="n"/>
      <c r="AI358" s="970" t="n"/>
      <c r="AJ358" s="970" t="n"/>
      <c r="AK358" s="970" t="n"/>
      <c r="AL358" s="970" t="n"/>
      <c r="AM358" s="970" t="n"/>
      <c r="AN358" s="970" t="n"/>
      <c r="AO358" s="970" t="n"/>
      <c r="AP358" s="979" t="n"/>
      <c r="AQ358" s="980">
        <f>SUM(AK358:AO358)</f>
        <v/>
      </c>
      <c r="AR358" s="981" t="n"/>
      <c r="AT358" s="971" t="n"/>
      <c r="AU358">
        <f t="array" ref="AU358">IF(D358&lt;&gt;"Occupied","",_xlfn.IFS(AND(ISNUMBER(AD358),AD358&lt;&gt;0),"Structured",ISNUMBER(SEARCH("/mo con",S358)),"Notes-parsed",ISNUMBER(SEARCH("step",S358)),"Step-up",ISNUMBER(SEARCH("swap",S358)),"Rate-swap",AND(ISNUMBER(H358),ISNUMBER(I358),H358&gt;I358),"Implied",TRUE,""))</f>
        <v/>
      </c>
      <c r="AV358" s="970" t="n"/>
    </row>
    <row r="359" outlineLevel="1" s="817">
      <c r="F359" s="520" t="n"/>
      <c r="G359" s="520" t="n"/>
      <c r="H359" s="970" t="n"/>
      <c r="I359" s="970" t="n"/>
      <c r="J359" s="970" t="n"/>
      <c r="K359" s="970" t="n"/>
      <c r="L359" s="970" t="n"/>
      <c r="M359" s="970" t="n"/>
      <c r="N359" s="970" t="n"/>
      <c r="O359" s="970" t="n"/>
      <c r="P359" s="970" t="n"/>
      <c r="Q359" s="970" t="n"/>
      <c r="T359" s="545" t="n"/>
      <c r="U359" s="971" t="n"/>
      <c r="V359" s="971" t="n"/>
      <c r="W359">
        <f>IF(AND($D359="Occupied",$AC359&lt;&gt;""),$AC359,"")</f>
        <v/>
      </c>
      <c r="X359">
        <f>IF(AND(D359="Occupied",C359&lt;&gt;"",W359&lt;&gt;""),C359&amp;"|"&amp;W359,"")</f>
        <v/>
      </c>
      <c r="Y359">
        <f>IF(AND(C359&lt;&gt;"",W359&lt;&gt;""),C359&amp;"|"&amp;W359,"")</f>
        <v/>
      </c>
      <c r="AA359" s="970" t="n"/>
      <c r="AB359" s="555" t="n"/>
      <c r="AD359" s="970" t="n"/>
      <c r="AE359" s="520" t="n"/>
      <c r="AF359" s="970" t="n"/>
      <c r="AG359" s="970" t="n"/>
      <c r="AH359" s="970" t="n"/>
      <c r="AI359" s="970" t="n"/>
      <c r="AJ359" s="970" t="n"/>
      <c r="AK359" s="970" t="n"/>
      <c r="AL359" s="970" t="n"/>
      <c r="AM359" s="970" t="n"/>
      <c r="AN359" s="970" t="n"/>
      <c r="AO359" s="970" t="n"/>
      <c r="AP359" s="979" t="n"/>
      <c r="AQ359" s="980">
        <f>SUM(AK359:AO359)</f>
        <v/>
      </c>
      <c r="AR359" s="981" t="n"/>
      <c r="AT359" s="971" t="n"/>
      <c r="AU359">
        <f t="array" ref="AU359">IF(D359&lt;&gt;"Occupied","",_xlfn.IFS(AND(ISNUMBER(AD359),AD359&lt;&gt;0),"Structured",ISNUMBER(SEARCH("/mo con",S359)),"Notes-parsed",ISNUMBER(SEARCH("step",S359)),"Step-up",ISNUMBER(SEARCH("swap",S359)),"Rate-swap",AND(ISNUMBER(H359),ISNUMBER(I359),H359&gt;I359),"Implied",TRUE,""))</f>
        <v/>
      </c>
      <c r="AV359" s="970" t="n"/>
    </row>
    <row r="360" outlineLevel="1" s="817">
      <c r="F360" s="520" t="n"/>
      <c r="G360" s="520" t="n"/>
      <c r="H360" s="970" t="n"/>
      <c r="I360" s="970" t="n"/>
      <c r="J360" s="970" t="n"/>
      <c r="K360" s="970" t="n"/>
      <c r="L360" s="970" t="n"/>
      <c r="M360" s="970" t="n"/>
      <c r="N360" s="970" t="n"/>
      <c r="O360" s="970" t="n"/>
      <c r="P360" s="970" t="n"/>
      <c r="Q360" s="970" t="n"/>
      <c r="T360" s="545" t="n"/>
      <c r="U360" s="971" t="n"/>
      <c r="V360" s="971" t="n"/>
      <c r="W360">
        <f>IF(AND($D360="Occupied",$AC360&lt;&gt;""),$AC360,"")</f>
        <v/>
      </c>
      <c r="X360">
        <f>IF(AND(D360="Occupied",C360&lt;&gt;"",W360&lt;&gt;""),C360&amp;"|"&amp;W360,"")</f>
        <v/>
      </c>
      <c r="Y360">
        <f>IF(AND(C360&lt;&gt;"",W360&lt;&gt;""),C360&amp;"|"&amp;W360,"")</f>
        <v/>
      </c>
      <c r="AA360" s="970" t="n"/>
      <c r="AB360" s="555" t="n"/>
      <c r="AD360" s="970" t="n"/>
      <c r="AE360" s="520" t="n"/>
      <c r="AF360" s="970" t="n"/>
      <c r="AG360" s="970" t="n"/>
      <c r="AH360" s="970" t="n"/>
      <c r="AI360" s="970" t="n"/>
      <c r="AJ360" s="970" t="n"/>
      <c r="AK360" s="970" t="n"/>
      <c r="AL360" s="970" t="n"/>
      <c r="AM360" s="970" t="n"/>
      <c r="AN360" s="970" t="n"/>
      <c r="AO360" s="970" t="n"/>
      <c r="AP360" s="979" t="n"/>
      <c r="AQ360" s="980">
        <f>SUM(AK360:AO360)</f>
        <v/>
      </c>
      <c r="AR360" s="981" t="n"/>
      <c r="AT360" s="971" t="n"/>
      <c r="AU360">
        <f t="array" ref="AU360">IF(D360&lt;&gt;"Occupied","",_xlfn.IFS(AND(ISNUMBER(AD360),AD360&lt;&gt;0),"Structured",ISNUMBER(SEARCH("/mo con",S360)),"Notes-parsed",ISNUMBER(SEARCH("step",S360)),"Step-up",ISNUMBER(SEARCH("swap",S360)),"Rate-swap",AND(ISNUMBER(H360),ISNUMBER(I360),H360&gt;I360),"Implied",TRUE,""))</f>
        <v/>
      </c>
      <c r="AV360" s="970" t="n"/>
    </row>
    <row r="361" outlineLevel="1" s="817">
      <c r="F361" s="520" t="n"/>
      <c r="G361" s="520" t="n"/>
      <c r="H361" s="970" t="n"/>
      <c r="I361" s="970" t="n"/>
      <c r="J361" s="970" t="n"/>
      <c r="K361" s="970" t="n"/>
      <c r="L361" s="970" t="n"/>
      <c r="M361" s="970" t="n"/>
      <c r="N361" s="970" t="n"/>
      <c r="O361" s="970" t="n"/>
      <c r="P361" s="970" t="n"/>
      <c r="Q361" s="970" t="n"/>
      <c r="T361" s="545" t="n"/>
      <c r="U361" s="971" t="n"/>
      <c r="V361" s="971" t="n"/>
      <c r="W361">
        <f>IF(AND($D361="Occupied",$AC361&lt;&gt;""),$AC361,"")</f>
        <v/>
      </c>
      <c r="X361">
        <f>IF(AND(D361="Occupied",C361&lt;&gt;"",W361&lt;&gt;""),C361&amp;"|"&amp;W361,"")</f>
        <v/>
      </c>
      <c r="Y361">
        <f>IF(AND(C361&lt;&gt;"",W361&lt;&gt;""),C361&amp;"|"&amp;W361,"")</f>
        <v/>
      </c>
      <c r="AA361" s="970" t="n"/>
      <c r="AB361" s="555" t="n"/>
      <c r="AD361" s="970" t="n"/>
      <c r="AE361" s="520" t="n"/>
      <c r="AF361" s="970" t="n"/>
      <c r="AG361" s="970" t="n"/>
      <c r="AH361" s="970" t="n"/>
      <c r="AI361" s="970" t="n"/>
      <c r="AJ361" s="970" t="n"/>
      <c r="AK361" s="970" t="n"/>
      <c r="AL361" s="970" t="n"/>
      <c r="AM361" s="970" t="n"/>
      <c r="AN361" s="970" t="n"/>
      <c r="AO361" s="970" t="n"/>
      <c r="AP361" s="979" t="n"/>
      <c r="AQ361" s="980">
        <f>SUM(AK361:AO361)</f>
        <v/>
      </c>
      <c r="AR361" s="981" t="n"/>
      <c r="AT361" s="971" t="n"/>
      <c r="AU361">
        <f t="array" ref="AU361">IF(D361&lt;&gt;"Occupied","",_xlfn.IFS(AND(ISNUMBER(AD361),AD361&lt;&gt;0),"Structured",ISNUMBER(SEARCH("/mo con",S361)),"Notes-parsed",ISNUMBER(SEARCH("step",S361)),"Step-up",ISNUMBER(SEARCH("swap",S361)),"Rate-swap",AND(ISNUMBER(H361),ISNUMBER(I361),H361&gt;I361),"Implied",TRUE,""))</f>
        <v/>
      </c>
      <c r="AV361" s="970" t="n"/>
    </row>
    <row r="362" outlineLevel="1" s="817">
      <c r="F362" s="520" t="n"/>
      <c r="G362" s="520" t="n"/>
      <c r="H362" s="970" t="n"/>
      <c r="I362" s="970" t="n"/>
      <c r="J362" s="970" t="n"/>
      <c r="K362" s="970" t="n"/>
      <c r="L362" s="970" t="n"/>
      <c r="M362" s="970" t="n"/>
      <c r="N362" s="970" t="n"/>
      <c r="O362" s="970" t="n"/>
      <c r="P362" s="970" t="n"/>
      <c r="Q362" s="970" t="n"/>
      <c r="T362" s="545" t="n"/>
      <c r="U362" s="971" t="n"/>
      <c r="V362" s="971" t="n"/>
      <c r="W362">
        <f>IF(AND($D362="Occupied",$AC362&lt;&gt;""),$AC362,"")</f>
        <v/>
      </c>
      <c r="X362">
        <f>IF(AND(D362="Occupied",C362&lt;&gt;"",W362&lt;&gt;""),C362&amp;"|"&amp;W362,"")</f>
        <v/>
      </c>
      <c r="Y362">
        <f>IF(AND(C362&lt;&gt;"",W362&lt;&gt;""),C362&amp;"|"&amp;W362,"")</f>
        <v/>
      </c>
      <c r="AA362" s="970" t="n"/>
      <c r="AB362" s="555" t="n"/>
      <c r="AD362" s="970" t="n"/>
      <c r="AE362" s="520" t="n"/>
      <c r="AF362" s="970" t="n"/>
      <c r="AG362" s="970" t="n"/>
      <c r="AH362" s="970" t="n"/>
      <c r="AI362" s="970" t="n"/>
      <c r="AJ362" s="970" t="n"/>
      <c r="AK362" s="970" t="n"/>
      <c r="AL362" s="970" t="n"/>
      <c r="AM362" s="970" t="n"/>
      <c r="AN362" s="970" t="n"/>
      <c r="AO362" s="970" t="n"/>
      <c r="AP362" s="979" t="n"/>
      <c r="AQ362" s="980">
        <f>SUM(AK362:AO362)</f>
        <v/>
      </c>
      <c r="AR362" s="981" t="n"/>
      <c r="AT362" s="971" t="n"/>
      <c r="AU362">
        <f t="array" ref="AU362">IF(D362&lt;&gt;"Occupied","",_xlfn.IFS(AND(ISNUMBER(AD362),AD362&lt;&gt;0),"Structured",ISNUMBER(SEARCH("/mo con",S362)),"Notes-parsed",ISNUMBER(SEARCH("step",S362)),"Step-up",ISNUMBER(SEARCH("swap",S362)),"Rate-swap",AND(ISNUMBER(H362),ISNUMBER(I362),H362&gt;I362),"Implied",TRUE,""))</f>
        <v/>
      </c>
      <c r="AV362" s="970" t="n"/>
    </row>
    <row r="363" outlineLevel="1" s="817">
      <c r="F363" s="520" t="n"/>
      <c r="G363" s="520" t="n"/>
      <c r="H363" s="970" t="n"/>
      <c r="I363" s="970" t="n"/>
      <c r="J363" s="970" t="n"/>
      <c r="K363" s="970" t="n"/>
      <c r="L363" s="970" t="n"/>
      <c r="M363" s="970" t="n"/>
      <c r="N363" s="970" t="n"/>
      <c r="O363" s="970" t="n"/>
      <c r="P363" s="970" t="n"/>
      <c r="Q363" s="970" t="n"/>
      <c r="T363" s="545" t="n"/>
      <c r="U363" s="971" t="n"/>
      <c r="V363" s="971" t="n"/>
      <c r="W363">
        <f>IF(AND($D363="Occupied",$AC363&lt;&gt;""),$AC363,"")</f>
        <v/>
      </c>
      <c r="X363">
        <f>IF(AND(D363="Occupied",C363&lt;&gt;"",W363&lt;&gt;""),C363&amp;"|"&amp;W363,"")</f>
        <v/>
      </c>
      <c r="Y363">
        <f>IF(AND(C363&lt;&gt;"",W363&lt;&gt;""),C363&amp;"|"&amp;W363,"")</f>
        <v/>
      </c>
      <c r="AA363" s="970" t="n"/>
      <c r="AB363" s="555" t="n"/>
      <c r="AD363" s="970" t="n"/>
      <c r="AE363" s="520" t="n"/>
      <c r="AF363" s="970" t="n"/>
      <c r="AG363" s="970" t="n"/>
      <c r="AH363" s="970" t="n"/>
      <c r="AI363" s="970" t="n"/>
      <c r="AJ363" s="970" t="n"/>
      <c r="AK363" s="970" t="n"/>
      <c r="AL363" s="970" t="n"/>
      <c r="AM363" s="970" t="n"/>
      <c r="AN363" s="970" t="n"/>
      <c r="AO363" s="970" t="n"/>
      <c r="AP363" s="979" t="n"/>
      <c r="AQ363" s="980">
        <f>SUM(AK363:AO363)</f>
        <v/>
      </c>
      <c r="AR363" s="981" t="n"/>
      <c r="AT363" s="971" t="n"/>
      <c r="AU363">
        <f t="array" ref="AU363">IF(D363&lt;&gt;"Occupied","",_xlfn.IFS(AND(ISNUMBER(AD363),AD363&lt;&gt;0),"Structured",ISNUMBER(SEARCH("/mo con",S363)),"Notes-parsed",ISNUMBER(SEARCH("step",S363)),"Step-up",ISNUMBER(SEARCH("swap",S363)),"Rate-swap",AND(ISNUMBER(H363),ISNUMBER(I363),H363&gt;I363),"Implied",TRUE,""))</f>
        <v/>
      </c>
      <c r="AV363" s="970" t="n"/>
    </row>
    <row r="364" outlineLevel="1" s="817">
      <c r="F364" s="520" t="n"/>
      <c r="G364" s="520" t="n"/>
      <c r="H364" s="970" t="n"/>
      <c r="I364" s="970" t="n"/>
      <c r="J364" s="970" t="n"/>
      <c r="K364" s="970" t="n"/>
      <c r="L364" s="970" t="n"/>
      <c r="M364" s="970" t="n"/>
      <c r="N364" s="970" t="n"/>
      <c r="O364" s="970" t="n"/>
      <c r="P364" s="970" t="n"/>
      <c r="Q364" s="970" t="n"/>
      <c r="T364" s="545" t="n"/>
      <c r="U364" s="971" t="n"/>
      <c r="V364" s="971" t="n"/>
      <c r="W364">
        <f>IF(AND($D364="Occupied",$AC364&lt;&gt;""),$AC364,"")</f>
        <v/>
      </c>
      <c r="X364">
        <f>IF(AND(D364="Occupied",C364&lt;&gt;"",W364&lt;&gt;""),C364&amp;"|"&amp;W364,"")</f>
        <v/>
      </c>
      <c r="Y364">
        <f>IF(AND(C364&lt;&gt;"",W364&lt;&gt;""),C364&amp;"|"&amp;W364,"")</f>
        <v/>
      </c>
      <c r="AA364" s="970" t="n"/>
      <c r="AB364" s="555" t="n"/>
      <c r="AD364" s="970" t="n"/>
      <c r="AE364" s="520" t="n"/>
      <c r="AF364" s="970" t="n"/>
      <c r="AG364" s="970" t="n"/>
      <c r="AH364" s="970" t="n"/>
      <c r="AI364" s="970" t="n"/>
      <c r="AJ364" s="970" t="n"/>
      <c r="AK364" s="970" t="n"/>
      <c r="AL364" s="970" t="n"/>
      <c r="AM364" s="970" t="n"/>
      <c r="AN364" s="970" t="n"/>
      <c r="AO364" s="970" t="n"/>
      <c r="AP364" s="979" t="n"/>
      <c r="AQ364" s="980">
        <f>SUM(AK364:AO364)</f>
        <v/>
      </c>
      <c r="AR364" s="981" t="n"/>
      <c r="AT364" s="971" t="n"/>
      <c r="AU364">
        <f t="array" ref="AU364">IF(D364&lt;&gt;"Occupied","",_xlfn.IFS(AND(ISNUMBER(AD364),AD364&lt;&gt;0),"Structured",ISNUMBER(SEARCH("/mo con",S364)),"Notes-parsed",ISNUMBER(SEARCH("step",S364)),"Step-up",ISNUMBER(SEARCH("swap",S364)),"Rate-swap",AND(ISNUMBER(H364),ISNUMBER(I364),H364&gt;I364),"Implied",TRUE,""))</f>
        <v/>
      </c>
      <c r="AV364" s="970" t="n"/>
    </row>
    <row r="365" outlineLevel="1" s="817">
      <c r="F365" s="520" t="n"/>
      <c r="G365" s="520" t="n"/>
      <c r="H365" s="970" t="n"/>
      <c r="I365" s="970" t="n"/>
      <c r="J365" s="970" t="n"/>
      <c r="K365" s="970" t="n"/>
      <c r="L365" s="970" t="n"/>
      <c r="M365" s="970" t="n"/>
      <c r="N365" s="970" t="n"/>
      <c r="O365" s="970" t="n"/>
      <c r="P365" s="970" t="n"/>
      <c r="Q365" s="970" t="n"/>
      <c r="T365" s="545" t="n"/>
      <c r="U365" s="971" t="n"/>
      <c r="V365" s="971" t="n"/>
      <c r="W365">
        <f>IF(AND($D365="Occupied",$AC365&lt;&gt;""),$AC365,"")</f>
        <v/>
      </c>
      <c r="X365">
        <f>IF(AND(D365="Occupied",C365&lt;&gt;"",W365&lt;&gt;""),C365&amp;"|"&amp;W365,"")</f>
        <v/>
      </c>
      <c r="Y365">
        <f>IF(AND(C365&lt;&gt;"",W365&lt;&gt;""),C365&amp;"|"&amp;W365,"")</f>
        <v/>
      </c>
      <c r="AA365" s="970" t="n"/>
      <c r="AB365" s="555" t="n"/>
      <c r="AD365" s="970" t="n"/>
      <c r="AE365" s="520" t="n"/>
      <c r="AF365" s="970" t="n"/>
      <c r="AG365" s="970" t="n"/>
      <c r="AH365" s="970" t="n"/>
      <c r="AI365" s="970" t="n"/>
      <c r="AJ365" s="970" t="n"/>
      <c r="AK365" s="970" t="n"/>
      <c r="AL365" s="970" t="n"/>
      <c r="AM365" s="970" t="n"/>
      <c r="AN365" s="970" t="n"/>
      <c r="AO365" s="970" t="n"/>
      <c r="AP365" s="979" t="n"/>
      <c r="AQ365" s="980">
        <f>SUM(AK365:AO365)</f>
        <v/>
      </c>
      <c r="AR365" s="981" t="n"/>
      <c r="AT365" s="971" t="n"/>
      <c r="AU365">
        <f t="array" ref="AU365">IF(D365&lt;&gt;"Occupied","",_xlfn.IFS(AND(ISNUMBER(AD365),AD365&lt;&gt;0),"Structured",ISNUMBER(SEARCH("/mo con",S365)),"Notes-parsed",ISNUMBER(SEARCH("step",S365)),"Step-up",ISNUMBER(SEARCH("swap",S365)),"Rate-swap",AND(ISNUMBER(H365),ISNUMBER(I365),H365&gt;I365),"Implied",TRUE,""))</f>
        <v/>
      </c>
      <c r="AV365" s="970" t="n"/>
    </row>
    <row r="366" outlineLevel="1" s="817">
      <c r="F366" s="520" t="n"/>
      <c r="G366" s="520" t="n"/>
      <c r="H366" s="970" t="n"/>
      <c r="I366" s="970" t="n"/>
      <c r="J366" s="970" t="n"/>
      <c r="K366" s="970" t="n"/>
      <c r="L366" s="970" t="n"/>
      <c r="M366" s="970" t="n"/>
      <c r="N366" s="970" t="n"/>
      <c r="O366" s="970" t="n"/>
      <c r="P366" s="970" t="n"/>
      <c r="Q366" s="970" t="n"/>
      <c r="T366" s="545" t="n"/>
      <c r="U366" s="971" t="n"/>
      <c r="V366" s="971" t="n"/>
      <c r="W366">
        <f>IF(AND($D366="Occupied",$AC366&lt;&gt;""),$AC366,"")</f>
        <v/>
      </c>
      <c r="X366">
        <f>IF(AND(D366="Occupied",C366&lt;&gt;"",W366&lt;&gt;""),C366&amp;"|"&amp;W366,"")</f>
        <v/>
      </c>
      <c r="Y366">
        <f>IF(AND(C366&lt;&gt;"",W366&lt;&gt;""),C366&amp;"|"&amp;W366,"")</f>
        <v/>
      </c>
      <c r="AA366" s="970" t="n"/>
      <c r="AB366" s="555" t="n"/>
      <c r="AD366" s="970" t="n"/>
      <c r="AE366" s="520" t="n"/>
      <c r="AF366" s="970" t="n"/>
      <c r="AG366" s="970" t="n"/>
      <c r="AH366" s="970" t="n"/>
      <c r="AI366" s="970" t="n"/>
      <c r="AJ366" s="970" t="n"/>
      <c r="AK366" s="970" t="n"/>
      <c r="AL366" s="970" t="n"/>
      <c r="AM366" s="970" t="n"/>
      <c r="AN366" s="970" t="n"/>
      <c r="AO366" s="970" t="n"/>
      <c r="AP366" s="979" t="n"/>
      <c r="AQ366" s="980">
        <f>SUM(AK366:AO366)</f>
        <v/>
      </c>
      <c r="AR366" s="981" t="n"/>
      <c r="AT366" s="971" t="n"/>
      <c r="AU366">
        <f t="array" ref="AU366">IF(D366&lt;&gt;"Occupied","",_xlfn.IFS(AND(ISNUMBER(AD366),AD366&lt;&gt;0),"Structured",ISNUMBER(SEARCH("/mo con",S366)),"Notes-parsed",ISNUMBER(SEARCH("step",S366)),"Step-up",ISNUMBER(SEARCH("swap",S366)),"Rate-swap",AND(ISNUMBER(H366),ISNUMBER(I366),H366&gt;I366),"Implied",TRUE,""))</f>
        <v/>
      </c>
      <c r="AV366" s="970" t="n"/>
    </row>
    <row r="367" outlineLevel="1" s="817">
      <c r="F367" s="520" t="n"/>
      <c r="G367" s="520" t="n"/>
      <c r="H367" s="970" t="n"/>
      <c r="I367" s="970" t="n"/>
      <c r="J367" s="970" t="n"/>
      <c r="K367" s="970" t="n"/>
      <c r="L367" s="970" t="n"/>
      <c r="M367" s="970" t="n"/>
      <c r="N367" s="970" t="n"/>
      <c r="O367" s="970" t="n"/>
      <c r="P367" s="970" t="n"/>
      <c r="Q367" s="970" t="n"/>
      <c r="T367" s="545" t="n"/>
      <c r="U367" s="971" t="n"/>
      <c r="V367" s="971" t="n"/>
      <c r="W367">
        <f>IF(AND($D367="Occupied",$AC367&lt;&gt;""),$AC367,"")</f>
        <v/>
      </c>
      <c r="X367">
        <f>IF(AND(D367="Occupied",C367&lt;&gt;"",W367&lt;&gt;""),C367&amp;"|"&amp;W367,"")</f>
        <v/>
      </c>
      <c r="Y367">
        <f>IF(AND(C367&lt;&gt;"",W367&lt;&gt;""),C367&amp;"|"&amp;W367,"")</f>
        <v/>
      </c>
      <c r="AA367" s="970" t="n"/>
      <c r="AB367" s="555" t="n"/>
      <c r="AD367" s="970" t="n"/>
      <c r="AE367" s="520" t="n"/>
      <c r="AF367" s="970" t="n"/>
      <c r="AG367" s="970" t="n"/>
      <c r="AH367" s="970" t="n"/>
      <c r="AI367" s="970" t="n"/>
      <c r="AJ367" s="970" t="n"/>
      <c r="AK367" s="970" t="n"/>
      <c r="AL367" s="970" t="n"/>
      <c r="AM367" s="970" t="n"/>
      <c r="AN367" s="970" t="n"/>
      <c r="AO367" s="970" t="n"/>
      <c r="AP367" s="979" t="n"/>
      <c r="AQ367" s="980">
        <f>SUM(AK367:AO367)</f>
        <v/>
      </c>
      <c r="AR367" s="981" t="n"/>
      <c r="AT367" s="971" t="n"/>
      <c r="AU367">
        <f t="array" ref="AU367">IF(D367&lt;&gt;"Occupied","",_xlfn.IFS(AND(ISNUMBER(AD367),AD367&lt;&gt;0),"Structured",ISNUMBER(SEARCH("/mo con",S367)),"Notes-parsed",ISNUMBER(SEARCH("step",S367)),"Step-up",ISNUMBER(SEARCH("swap",S367)),"Rate-swap",AND(ISNUMBER(H367),ISNUMBER(I367),H367&gt;I367),"Implied",TRUE,""))</f>
        <v/>
      </c>
      <c r="AV367" s="970" t="n"/>
    </row>
    <row r="368" outlineLevel="1" s="817">
      <c r="F368" s="520" t="n"/>
      <c r="G368" s="520" t="n"/>
      <c r="H368" s="970" t="n"/>
      <c r="I368" s="970" t="n"/>
      <c r="J368" s="970" t="n"/>
      <c r="K368" s="970" t="n"/>
      <c r="L368" s="970" t="n"/>
      <c r="M368" s="970" t="n"/>
      <c r="N368" s="970" t="n"/>
      <c r="O368" s="970" t="n"/>
      <c r="P368" s="970" t="n"/>
      <c r="Q368" s="970" t="n"/>
      <c r="T368" s="545" t="n"/>
      <c r="U368" s="971" t="n"/>
      <c r="V368" s="971" t="n"/>
      <c r="W368">
        <f>IF(AND($D368="Occupied",$AC368&lt;&gt;""),$AC368,"")</f>
        <v/>
      </c>
      <c r="X368">
        <f>IF(AND(D368="Occupied",C368&lt;&gt;"",W368&lt;&gt;""),C368&amp;"|"&amp;W368,"")</f>
        <v/>
      </c>
      <c r="Y368">
        <f>IF(AND(C368&lt;&gt;"",W368&lt;&gt;""),C368&amp;"|"&amp;W368,"")</f>
        <v/>
      </c>
      <c r="AA368" s="970" t="n"/>
      <c r="AB368" s="555" t="n"/>
      <c r="AD368" s="970" t="n"/>
      <c r="AE368" s="520" t="n"/>
      <c r="AF368" s="970" t="n"/>
      <c r="AG368" s="970" t="n"/>
      <c r="AH368" s="970" t="n"/>
      <c r="AI368" s="970" t="n"/>
      <c r="AJ368" s="970" t="n"/>
      <c r="AK368" s="970" t="n"/>
      <c r="AL368" s="970" t="n"/>
      <c r="AM368" s="970" t="n"/>
      <c r="AN368" s="970" t="n"/>
      <c r="AO368" s="970" t="n"/>
      <c r="AP368" s="979" t="n"/>
      <c r="AQ368" s="980">
        <f>SUM(AK368:AO368)</f>
        <v/>
      </c>
      <c r="AR368" s="981" t="n"/>
      <c r="AT368" s="971" t="n"/>
      <c r="AU368">
        <f t="array" ref="AU368">IF(D368&lt;&gt;"Occupied","",_xlfn.IFS(AND(ISNUMBER(AD368),AD368&lt;&gt;0),"Structured",ISNUMBER(SEARCH("/mo con",S368)),"Notes-parsed",ISNUMBER(SEARCH("step",S368)),"Step-up",ISNUMBER(SEARCH("swap",S368)),"Rate-swap",AND(ISNUMBER(H368),ISNUMBER(I368),H368&gt;I368),"Implied",TRUE,""))</f>
        <v/>
      </c>
      <c r="AV368" s="970" t="n"/>
    </row>
    <row r="369" outlineLevel="1" s="817">
      <c r="F369" s="520" t="n"/>
      <c r="G369" s="520" t="n"/>
      <c r="H369" s="970" t="n"/>
      <c r="I369" s="970" t="n"/>
      <c r="J369" s="970" t="n"/>
      <c r="K369" s="970" t="n"/>
      <c r="L369" s="970" t="n"/>
      <c r="M369" s="970" t="n"/>
      <c r="N369" s="970" t="n"/>
      <c r="O369" s="970" t="n"/>
      <c r="P369" s="970" t="n"/>
      <c r="Q369" s="970" t="n"/>
      <c r="T369" s="545" t="n"/>
      <c r="U369" s="971" t="n"/>
      <c r="V369" s="971" t="n"/>
      <c r="W369">
        <f>IF(AND($D369="Occupied",$AC369&lt;&gt;""),$AC369,"")</f>
        <v/>
      </c>
      <c r="X369">
        <f>IF(AND(D369="Occupied",C369&lt;&gt;"",W369&lt;&gt;""),C369&amp;"|"&amp;W369,"")</f>
        <v/>
      </c>
      <c r="Y369">
        <f>IF(AND(C369&lt;&gt;"",W369&lt;&gt;""),C369&amp;"|"&amp;W369,"")</f>
        <v/>
      </c>
      <c r="AA369" s="970" t="n"/>
      <c r="AB369" s="555" t="n"/>
      <c r="AD369" s="970" t="n"/>
      <c r="AE369" s="520" t="n"/>
      <c r="AF369" s="970" t="n"/>
      <c r="AG369" s="970" t="n"/>
      <c r="AH369" s="970" t="n"/>
      <c r="AI369" s="970" t="n"/>
      <c r="AJ369" s="970" t="n"/>
      <c r="AK369" s="970" t="n"/>
      <c r="AL369" s="970" t="n"/>
      <c r="AM369" s="970" t="n"/>
      <c r="AN369" s="970" t="n"/>
      <c r="AO369" s="970" t="n"/>
      <c r="AP369" s="979" t="n"/>
      <c r="AQ369" s="980">
        <f>SUM(AK369:AO369)</f>
        <v/>
      </c>
      <c r="AR369" s="981" t="n"/>
      <c r="AT369" s="971" t="n"/>
      <c r="AU369">
        <f t="array" ref="AU369">IF(D369&lt;&gt;"Occupied","",_xlfn.IFS(AND(ISNUMBER(AD369),AD369&lt;&gt;0),"Structured",ISNUMBER(SEARCH("/mo con",S369)),"Notes-parsed",ISNUMBER(SEARCH("step",S369)),"Step-up",ISNUMBER(SEARCH("swap",S369)),"Rate-swap",AND(ISNUMBER(H369),ISNUMBER(I369),H369&gt;I369),"Implied",TRUE,""))</f>
        <v/>
      </c>
      <c r="AV369" s="970" t="n"/>
    </row>
    <row r="370" outlineLevel="1" s="817">
      <c r="F370" s="520" t="n"/>
      <c r="G370" s="520" t="n"/>
      <c r="H370" s="970" t="n"/>
      <c r="I370" s="970" t="n"/>
      <c r="J370" s="970" t="n"/>
      <c r="K370" s="970" t="n"/>
      <c r="L370" s="970" t="n"/>
      <c r="M370" s="970" t="n"/>
      <c r="N370" s="970" t="n"/>
      <c r="O370" s="970" t="n"/>
      <c r="P370" s="970" t="n"/>
      <c r="Q370" s="970" t="n"/>
      <c r="T370" s="545" t="n"/>
      <c r="U370" s="971" t="n"/>
      <c r="V370" s="971" t="n"/>
      <c r="W370">
        <f>IF(AND($D370="Occupied",$AC370&lt;&gt;""),$AC370,"")</f>
        <v/>
      </c>
      <c r="X370">
        <f>IF(AND(D370="Occupied",C370&lt;&gt;"",W370&lt;&gt;""),C370&amp;"|"&amp;W370,"")</f>
        <v/>
      </c>
      <c r="Y370">
        <f>IF(AND(C370&lt;&gt;"",W370&lt;&gt;""),C370&amp;"|"&amp;W370,"")</f>
        <v/>
      </c>
      <c r="AA370" s="970" t="n"/>
      <c r="AB370" s="555" t="n"/>
      <c r="AD370" s="970" t="n"/>
      <c r="AE370" s="520" t="n"/>
      <c r="AF370" s="970" t="n"/>
      <c r="AG370" s="970" t="n"/>
      <c r="AH370" s="970" t="n"/>
      <c r="AI370" s="970" t="n"/>
      <c r="AJ370" s="970" t="n"/>
      <c r="AK370" s="970" t="n"/>
      <c r="AL370" s="970" t="n"/>
      <c r="AM370" s="970" t="n"/>
      <c r="AN370" s="970" t="n"/>
      <c r="AO370" s="970" t="n"/>
      <c r="AP370" s="979" t="n"/>
      <c r="AQ370" s="980">
        <f>SUM(AK370:AO370)</f>
        <v/>
      </c>
      <c r="AR370" s="981" t="n"/>
      <c r="AT370" s="971" t="n"/>
      <c r="AU370">
        <f t="array" ref="AU370">IF(D370&lt;&gt;"Occupied","",_xlfn.IFS(AND(ISNUMBER(AD370),AD370&lt;&gt;0),"Structured",ISNUMBER(SEARCH("/mo con",S370)),"Notes-parsed",ISNUMBER(SEARCH("step",S370)),"Step-up",ISNUMBER(SEARCH("swap",S370)),"Rate-swap",AND(ISNUMBER(H370),ISNUMBER(I370),H370&gt;I370),"Implied",TRUE,""))</f>
        <v/>
      </c>
      <c r="AV370" s="970" t="n"/>
    </row>
    <row r="371" outlineLevel="1" s="817">
      <c r="F371" s="520" t="n"/>
      <c r="G371" s="520" t="n"/>
      <c r="H371" s="970" t="n"/>
      <c r="I371" s="970" t="n"/>
      <c r="J371" s="970" t="n"/>
      <c r="K371" s="970" t="n"/>
      <c r="L371" s="970" t="n"/>
      <c r="M371" s="970" t="n"/>
      <c r="N371" s="970" t="n"/>
      <c r="O371" s="970" t="n"/>
      <c r="P371" s="970" t="n"/>
      <c r="Q371" s="970" t="n"/>
      <c r="T371" s="545" t="n"/>
      <c r="U371" s="971" t="n"/>
      <c r="V371" s="971" t="n"/>
      <c r="W371">
        <f>IF(AND($D371="Occupied",$AC371&lt;&gt;""),$AC371,"")</f>
        <v/>
      </c>
      <c r="X371">
        <f>IF(AND(D371="Occupied",C371&lt;&gt;"",W371&lt;&gt;""),C371&amp;"|"&amp;W371,"")</f>
        <v/>
      </c>
      <c r="Y371">
        <f>IF(AND(C371&lt;&gt;"",W371&lt;&gt;""),C371&amp;"|"&amp;W371,"")</f>
        <v/>
      </c>
      <c r="AA371" s="970" t="n"/>
      <c r="AB371" s="555" t="n"/>
      <c r="AD371" s="970" t="n"/>
      <c r="AE371" s="520" t="n"/>
      <c r="AF371" s="970" t="n"/>
      <c r="AG371" s="970" t="n"/>
      <c r="AH371" s="970" t="n"/>
      <c r="AI371" s="970" t="n"/>
      <c r="AJ371" s="970" t="n"/>
      <c r="AK371" s="970" t="n"/>
      <c r="AL371" s="970" t="n"/>
      <c r="AM371" s="970" t="n"/>
      <c r="AN371" s="970" t="n"/>
      <c r="AO371" s="970" t="n"/>
      <c r="AP371" s="979" t="n"/>
      <c r="AQ371" s="980">
        <f>SUM(AK371:AO371)</f>
        <v/>
      </c>
      <c r="AR371" s="981" t="n"/>
      <c r="AT371" s="971" t="n"/>
      <c r="AU371">
        <f t="array" ref="AU371">IF(D371&lt;&gt;"Occupied","",_xlfn.IFS(AND(ISNUMBER(AD371),AD371&lt;&gt;0),"Structured",ISNUMBER(SEARCH("/mo con",S371)),"Notes-parsed",ISNUMBER(SEARCH("step",S371)),"Step-up",ISNUMBER(SEARCH("swap",S371)),"Rate-swap",AND(ISNUMBER(H371),ISNUMBER(I371),H371&gt;I371),"Implied",TRUE,""))</f>
        <v/>
      </c>
      <c r="AV371" s="970" t="n"/>
    </row>
    <row r="372" outlineLevel="1" s="817">
      <c r="F372" s="520" t="n"/>
      <c r="G372" s="520" t="n"/>
      <c r="H372" s="970" t="n"/>
      <c r="I372" s="970" t="n"/>
      <c r="J372" s="970" t="n"/>
      <c r="K372" s="970" t="n"/>
      <c r="L372" s="970" t="n"/>
      <c r="M372" s="970" t="n"/>
      <c r="N372" s="970" t="n"/>
      <c r="O372" s="970" t="n"/>
      <c r="P372" s="970" t="n"/>
      <c r="Q372" s="970" t="n"/>
      <c r="T372" s="545" t="n"/>
      <c r="U372" s="971" t="n"/>
      <c r="V372" s="971" t="n"/>
      <c r="W372">
        <f>IF(AND($D372="Occupied",$AC372&lt;&gt;""),$AC372,"")</f>
        <v/>
      </c>
      <c r="X372">
        <f>IF(AND(D372="Occupied",C372&lt;&gt;"",W372&lt;&gt;""),C372&amp;"|"&amp;W372,"")</f>
        <v/>
      </c>
      <c r="Y372">
        <f>IF(AND(C372&lt;&gt;"",W372&lt;&gt;""),C372&amp;"|"&amp;W372,"")</f>
        <v/>
      </c>
      <c r="AA372" s="970" t="n"/>
      <c r="AB372" s="555" t="n"/>
      <c r="AD372" s="970" t="n"/>
      <c r="AE372" s="520" t="n"/>
      <c r="AF372" s="970" t="n"/>
      <c r="AG372" s="970" t="n"/>
      <c r="AH372" s="970" t="n"/>
      <c r="AI372" s="970" t="n"/>
      <c r="AJ372" s="970" t="n"/>
      <c r="AK372" s="970" t="n"/>
      <c r="AL372" s="970" t="n"/>
      <c r="AM372" s="970" t="n"/>
      <c r="AN372" s="970" t="n"/>
      <c r="AO372" s="970" t="n"/>
      <c r="AP372" s="979" t="n"/>
      <c r="AQ372" s="980">
        <f>SUM(AK372:AO372)</f>
        <v/>
      </c>
      <c r="AR372" s="981" t="n"/>
      <c r="AT372" s="971" t="n"/>
      <c r="AU372">
        <f t="array" ref="AU372">IF(D372&lt;&gt;"Occupied","",_xlfn.IFS(AND(ISNUMBER(AD372),AD372&lt;&gt;0),"Structured",ISNUMBER(SEARCH("/mo con",S372)),"Notes-parsed",ISNUMBER(SEARCH("step",S372)),"Step-up",ISNUMBER(SEARCH("swap",S372)),"Rate-swap",AND(ISNUMBER(H372),ISNUMBER(I372),H372&gt;I372),"Implied",TRUE,""))</f>
        <v/>
      </c>
      <c r="AV372" s="970" t="n"/>
    </row>
    <row r="373" outlineLevel="1" s="817">
      <c r="F373" s="520" t="n"/>
      <c r="G373" s="520" t="n"/>
      <c r="H373" s="970" t="n"/>
      <c r="I373" s="970" t="n"/>
      <c r="J373" s="970" t="n"/>
      <c r="K373" s="970" t="n"/>
      <c r="L373" s="970" t="n"/>
      <c r="M373" s="970" t="n"/>
      <c r="N373" s="970" t="n"/>
      <c r="O373" s="970" t="n"/>
      <c r="P373" s="970" t="n"/>
      <c r="Q373" s="970" t="n"/>
      <c r="T373" s="545" t="n"/>
      <c r="U373" s="971" t="n"/>
      <c r="V373" s="971" t="n"/>
      <c r="W373">
        <f>IF(AND($D373="Occupied",$AC373&lt;&gt;""),$AC373,"")</f>
        <v/>
      </c>
      <c r="X373">
        <f>IF(AND(D373="Occupied",C373&lt;&gt;"",W373&lt;&gt;""),C373&amp;"|"&amp;W373,"")</f>
        <v/>
      </c>
      <c r="Y373">
        <f>IF(AND(C373&lt;&gt;"",W373&lt;&gt;""),C373&amp;"|"&amp;W373,"")</f>
        <v/>
      </c>
      <c r="AA373" s="970" t="n"/>
      <c r="AB373" s="555" t="n"/>
      <c r="AD373" s="970" t="n"/>
      <c r="AE373" s="520" t="n"/>
      <c r="AF373" s="970" t="n"/>
      <c r="AG373" s="970" t="n"/>
      <c r="AH373" s="970" t="n"/>
      <c r="AI373" s="970" t="n"/>
      <c r="AJ373" s="970" t="n"/>
      <c r="AK373" s="970" t="n"/>
      <c r="AL373" s="970" t="n"/>
      <c r="AM373" s="970" t="n"/>
      <c r="AN373" s="970" t="n"/>
      <c r="AO373" s="970" t="n"/>
      <c r="AP373" s="979" t="n"/>
      <c r="AQ373" s="980">
        <f>SUM(AK373:AO373)</f>
        <v/>
      </c>
      <c r="AR373" s="981" t="n"/>
      <c r="AT373" s="971" t="n"/>
      <c r="AU373">
        <f t="array" ref="AU373">IF(D373&lt;&gt;"Occupied","",_xlfn.IFS(AND(ISNUMBER(AD373),AD373&lt;&gt;0),"Structured",ISNUMBER(SEARCH("/mo con",S373)),"Notes-parsed",ISNUMBER(SEARCH("step",S373)),"Step-up",ISNUMBER(SEARCH("swap",S373)),"Rate-swap",AND(ISNUMBER(H373),ISNUMBER(I373),H373&gt;I373),"Implied",TRUE,""))</f>
        <v/>
      </c>
      <c r="AV373" s="970" t="n"/>
    </row>
    <row r="374" outlineLevel="1" s="817">
      <c r="F374" s="520" t="n"/>
      <c r="G374" s="520" t="n"/>
      <c r="H374" s="970" t="n"/>
      <c r="I374" s="970" t="n"/>
      <c r="J374" s="970" t="n"/>
      <c r="K374" s="970" t="n"/>
      <c r="L374" s="970" t="n"/>
      <c r="M374" s="970" t="n"/>
      <c r="N374" s="970" t="n"/>
      <c r="O374" s="970" t="n"/>
      <c r="P374" s="970" t="n"/>
      <c r="Q374" s="970" t="n"/>
      <c r="T374" s="545" t="n"/>
      <c r="U374" s="971" t="n"/>
      <c r="V374" s="971" t="n"/>
      <c r="W374">
        <f>IF(AND($D374="Occupied",$AC374&lt;&gt;""),$AC374,"")</f>
        <v/>
      </c>
      <c r="X374">
        <f>IF(AND(D374="Occupied",C374&lt;&gt;"",W374&lt;&gt;""),C374&amp;"|"&amp;W374,"")</f>
        <v/>
      </c>
      <c r="Y374">
        <f>IF(AND(C374&lt;&gt;"",W374&lt;&gt;""),C374&amp;"|"&amp;W374,"")</f>
        <v/>
      </c>
      <c r="AA374" s="970" t="n"/>
      <c r="AB374" s="555" t="n"/>
      <c r="AD374" s="970" t="n"/>
      <c r="AE374" s="520" t="n"/>
      <c r="AF374" s="970" t="n"/>
      <c r="AG374" s="970" t="n"/>
      <c r="AH374" s="970" t="n"/>
      <c r="AI374" s="970" t="n"/>
      <c r="AJ374" s="970" t="n"/>
      <c r="AK374" s="970" t="n"/>
      <c r="AL374" s="970" t="n"/>
      <c r="AM374" s="970" t="n"/>
      <c r="AN374" s="970" t="n"/>
      <c r="AO374" s="970" t="n"/>
      <c r="AP374" s="979" t="n"/>
      <c r="AQ374" s="980">
        <f>SUM(AK374:AO374)</f>
        <v/>
      </c>
      <c r="AR374" s="981" t="n"/>
      <c r="AT374" s="971" t="n"/>
      <c r="AU374">
        <f t="array" ref="AU374">IF(D374&lt;&gt;"Occupied","",_xlfn.IFS(AND(ISNUMBER(AD374),AD374&lt;&gt;0),"Structured",ISNUMBER(SEARCH("/mo con",S374)),"Notes-parsed",ISNUMBER(SEARCH("step",S374)),"Step-up",ISNUMBER(SEARCH("swap",S374)),"Rate-swap",AND(ISNUMBER(H374),ISNUMBER(I374),H374&gt;I374),"Implied",TRUE,""))</f>
        <v/>
      </c>
      <c r="AV374" s="970" t="n"/>
    </row>
    <row r="375" outlineLevel="1" s="817">
      <c r="F375" s="520" t="n"/>
      <c r="G375" s="520" t="n"/>
      <c r="H375" s="970" t="n"/>
      <c r="I375" s="970" t="n"/>
      <c r="J375" s="970" t="n"/>
      <c r="K375" s="970" t="n"/>
      <c r="L375" s="970" t="n"/>
      <c r="M375" s="970" t="n"/>
      <c r="N375" s="970" t="n"/>
      <c r="O375" s="970" t="n"/>
      <c r="P375" s="970" t="n"/>
      <c r="Q375" s="970" t="n"/>
      <c r="T375" s="545" t="n"/>
      <c r="U375" s="971" t="n"/>
      <c r="V375" s="971" t="n"/>
      <c r="W375">
        <f>IF(AND($D375="Occupied",$AC375&lt;&gt;""),$AC375,"")</f>
        <v/>
      </c>
      <c r="X375">
        <f>IF(AND(D375="Occupied",C375&lt;&gt;"",W375&lt;&gt;""),C375&amp;"|"&amp;W375,"")</f>
        <v/>
      </c>
      <c r="Y375">
        <f>IF(AND(C375&lt;&gt;"",W375&lt;&gt;""),C375&amp;"|"&amp;W375,"")</f>
        <v/>
      </c>
      <c r="AA375" s="970" t="n"/>
      <c r="AB375" s="555" t="n"/>
      <c r="AD375" s="970" t="n"/>
      <c r="AE375" s="520" t="n"/>
      <c r="AF375" s="970" t="n"/>
      <c r="AG375" s="970" t="n"/>
      <c r="AH375" s="970" t="n"/>
      <c r="AI375" s="970" t="n"/>
      <c r="AJ375" s="970" t="n"/>
      <c r="AK375" s="970" t="n"/>
      <c r="AL375" s="970" t="n"/>
      <c r="AM375" s="970" t="n"/>
      <c r="AN375" s="970" t="n"/>
      <c r="AO375" s="970" t="n"/>
      <c r="AP375" s="979" t="n"/>
      <c r="AQ375" s="980">
        <f>SUM(AK375:AO375)</f>
        <v/>
      </c>
      <c r="AR375" s="981" t="n"/>
      <c r="AT375" s="971" t="n"/>
      <c r="AU375">
        <f t="array" ref="AU375">IF(D375&lt;&gt;"Occupied","",_xlfn.IFS(AND(ISNUMBER(AD375),AD375&lt;&gt;0),"Structured",ISNUMBER(SEARCH("/mo con",S375)),"Notes-parsed",ISNUMBER(SEARCH("step",S375)),"Step-up",ISNUMBER(SEARCH("swap",S375)),"Rate-swap",AND(ISNUMBER(H375),ISNUMBER(I375),H375&gt;I375),"Implied",TRUE,""))</f>
        <v/>
      </c>
      <c r="AV375" s="970" t="n"/>
    </row>
    <row r="376" outlineLevel="1" s="817">
      <c r="F376" s="520" t="n"/>
      <c r="G376" s="520" t="n"/>
      <c r="H376" s="970" t="n"/>
      <c r="I376" s="970" t="n"/>
      <c r="J376" s="970" t="n"/>
      <c r="K376" s="970" t="n"/>
      <c r="L376" s="970" t="n"/>
      <c r="M376" s="970" t="n"/>
      <c r="N376" s="970" t="n"/>
      <c r="O376" s="970" t="n"/>
      <c r="P376" s="970" t="n"/>
      <c r="Q376" s="970" t="n"/>
      <c r="T376" s="545" t="n"/>
      <c r="U376" s="971" t="n"/>
      <c r="V376" s="971" t="n"/>
      <c r="W376">
        <f>IF(AND($D376="Occupied",$AC376&lt;&gt;""),$AC376,"")</f>
        <v/>
      </c>
      <c r="X376">
        <f>IF(AND(D376="Occupied",C376&lt;&gt;"",W376&lt;&gt;""),C376&amp;"|"&amp;W376,"")</f>
        <v/>
      </c>
      <c r="Y376">
        <f>IF(AND(C376&lt;&gt;"",W376&lt;&gt;""),C376&amp;"|"&amp;W376,"")</f>
        <v/>
      </c>
      <c r="AA376" s="970" t="n"/>
      <c r="AB376" s="555" t="n"/>
      <c r="AD376" s="970" t="n"/>
      <c r="AE376" s="520" t="n"/>
      <c r="AF376" s="970" t="n"/>
      <c r="AG376" s="970" t="n"/>
      <c r="AH376" s="970" t="n"/>
      <c r="AI376" s="970" t="n"/>
      <c r="AJ376" s="970" t="n"/>
      <c r="AK376" s="970" t="n"/>
      <c r="AL376" s="970" t="n"/>
      <c r="AM376" s="970" t="n"/>
      <c r="AN376" s="970" t="n"/>
      <c r="AO376" s="970" t="n"/>
      <c r="AP376" s="979" t="n"/>
      <c r="AQ376" s="980">
        <f>SUM(AK376:AO376)</f>
        <v/>
      </c>
      <c r="AR376" s="981" t="n"/>
      <c r="AT376" s="971" t="n"/>
      <c r="AU376">
        <f t="array" ref="AU376">IF(D376&lt;&gt;"Occupied","",_xlfn.IFS(AND(ISNUMBER(AD376),AD376&lt;&gt;0),"Structured",ISNUMBER(SEARCH("/mo con",S376)),"Notes-parsed",ISNUMBER(SEARCH("step",S376)),"Step-up",ISNUMBER(SEARCH("swap",S376)),"Rate-swap",AND(ISNUMBER(H376),ISNUMBER(I376),H376&gt;I376),"Implied",TRUE,""))</f>
        <v/>
      </c>
      <c r="AV376" s="970" t="n"/>
    </row>
    <row r="377" outlineLevel="1" s="817">
      <c r="F377" s="520" t="n"/>
      <c r="G377" s="520" t="n"/>
      <c r="H377" s="970" t="n"/>
      <c r="I377" s="970" t="n"/>
      <c r="J377" s="970" t="n"/>
      <c r="K377" s="970" t="n"/>
      <c r="L377" s="970" t="n"/>
      <c r="M377" s="970" t="n"/>
      <c r="N377" s="970" t="n"/>
      <c r="O377" s="970" t="n"/>
      <c r="P377" s="970" t="n"/>
      <c r="Q377" s="970" t="n"/>
      <c r="T377" s="545" t="n"/>
      <c r="U377" s="971" t="n"/>
      <c r="V377" s="971" t="n"/>
      <c r="W377">
        <f>IF(AND($D377="Occupied",$AC377&lt;&gt;""),$AC377,"")</f>
        <v/>
      </c>
      <c r="X377">
        <f>IF(AND(D377="Occupied",C377&lt;&gt;"",W377&lt;&gt;""),C377&amp;"|"&amp;W377,"")</f>
        <v/>
      </c>
      <c r="Y377">
        <f>IF(AND(C377&lt;&gt;"",W377&lt;&gt;""),C377&amp;"|"&amp;W377,"")</f>
        <v/>
      </c>
      <c r="AA377" s="970" t="n"/>
      <c r="AB377" s="555" t="n"/>
      <c r="AD377" s="970" t="n"/>
      <c r="AE377" s="520" t="n"/>
      <c r="AF377" s="970" t="n"/>
      <c r="AG377" s="970" t="n"/>
      <c r="AH377" s="970" t="n"/>
      <c r="AI377" s="970" t="n"/>
      <c r="AJ377" s="970" t="n"/>
      <c r="AK377" s="970" t="n"/>
      <c r="AL377" s="970" t="n"/>
      <c r="AM377" s="970" t="n"/>
      <c r="AN377" s="970" t="n"/>
      <c r="AO377" s="970" t="n"/>
      <c r="AP377" s="979" t="n"/>
      <c r="AQ377" s="980">
        <f>SUM(AK377:AO377)</f>
        <v/>
      </c>
      <c r="AR377" s="981" t="n"/>
      <c r="AT377" s="971" t="n"/>
      <c r="AU377">
        <f t="array" ref="AU377">IF(D377&lt;&gt;"Occupied","",_xlfn.IFS(AND(ISNUMBER(AD377),AD377&lt;&gt;0),"Structured",ISNUMBER(SEARCH("/mo con",S377)),"Notes-parsed",ISNUMBER(SEARCH("step",S377)),"Step-up",ISNUMBER(SEARCH("swap",S377)),"Rate-swap",AND(ISNUMBER(H377),ISNUMBER(I377),H377&gt;I377),"Implied",TRUE,""))</f>
        <v/>
      </c>
      <c r="AV377" s="970" t="n"/>
    </row>
    <row r="378" outlineLevel="1" s="817">
      <c r="F378" s="520" t="n"/>
      <c r="G378" s="520" t="n"/>
      <c r="H378" s="970" t="n"/>
      <c r="I378" s="970" t="n"/>
      <c r="J378" s="970" t="n"/>
      <c r="K378" s="970" t="n"/>
      <c r="L378" s="970" t="n"/>
      <c r="M378" s="970" t="n"/>
      <c r="N378" s="970" t="n"/>
      <c r="O378" s="970" t="n"/>
      <c r="P378" s="970" t="n"/>
      <c r="Q378" s="970" t="n"/>
      <c r="T378" s="545" t="n"/>
      <c r="U378" s="971" t="n"/>
      <c r="V378" s="971" t="n"/>
      <c r="W378">
        <f>IF(AND($D378="Occupied",$AC378&lt;&gt;""),$AC378,"")</f>
        <v/>
      </c>
      <c r="X378">
        <f>IF(AND(D378="Occupied",C378&lt;&gt;"",W378&lt;&gt;""),C378&amp;"|"&amp;W378,"")</f>
        <v/>
      </c>
      <c r="Y378">
        <f>IF(AND(C378&lt;&gt;"",W378&lt;&gt;""),C378&amp;"|"&amp;W378,"")</f>
        <v/>
      </c>
      <c r="AA378" s="970" t="n"/>
      <c r="AB378" s="555" t="n"/>
      <c r="AD378" s="970" t="n"/>
      <c r="AE378" s="520" t="n"/>
      <c r="AF378" s="970" t="n"/>
      <c r="AG378" s="970" t="n"/>
      <c r="AH378" s="970" t="n"/>
      <c r="AI378" s="970" t="n"/>
      <c r="AJ378" s="970" t="n"/>
      <c r="AK378" s="970" t="n"/>
      <c r="AL378" s="970" t="n"/>
      <c r="AM378" s="970" t="n"/>
      <c r="AN378" s="970" t="n"/>
      <c r="AO378" s="970" t="n"/>
      <c r="AP378" s="979" t="n"/>
      <c r="AQ378" s="980">
        <f>SUM(AK378:AO378)</f>
        <v/>
      </c>
      <c r="AR378" s="981" t="n"/>
      <c r="AT378" s="971" t="n"/>
      <c r="AU378">
        <f t="array" ref="AU378">IF(D378&lt;&gt;"Occupied","",_xlfn.IFS(AND(ISNUMBER(AD378),AD378&lt;&gt;0),"Structured",ISNUMBER(SEARCH("/mo con",S378)),"Notes-parsed",ISNUMBER(SEARCH("step",S378)),"Step-up",ISNUMBER(SEARCH("swap",S378)),"Rate-swap",AND(ISNUMBER(H378),ISNUMBER(I378),H378&gt;I378),"Implied",TRUE,""))</f>
        <v/>
      </c>
      <c r="AV378" s="970" t="n"/>
    </row>
    <row r="379" outlineLevel="1" s="817">
      <c r="F379" s="520" t="n"/>
      <c r="G379" s="520" t="n"/>
      <c r="H379" s="970" t="n"/>
      <c r="I379" s="970" t="n"/>
      <c r="J379" s="970" t="n"/>
      <c r="K379" s="970" t="n"/>
      <c r="L379" s="970" t="n"/>
      <c r="M379" s="970" t="n"/>
      <c r="N379" s="970" t="n"/>
      <c r="O379" s="970" t="n"/>
      <c r="P379" s="970" t="n"/>
      <c r="Q379" s="970" t="n"/>
      <c r="T379" s="545" t="n"/>
      <c r="U379" s="971" t="n"/>
      <c r="V379" s="971" t="n"/>
      <c r="W379">
        <f>IF(AND($D379="Occupied",$AC379&lt;&gt;""),$AC379,"")</f>
        <v/>
      </c>
      <c r="X379">
        <f>IF(AND(D379="Occupied",C379&lt;&gt;"",W379&lt;&gt;""),C379&amp;"|"&amp;W379,"")</f>
        <v/>
      </c>
      <c r="Y379">
        <f>IF(AND(C379&lt;&gt;"",W379&lt;&gt;""),C379&amp;"|"&amp;W379,"")</f>
        <v/>
      </c>
      <c r="AA379" s="970" t="n"/>
      <c r="AB379" s="555" t="n"/>
      <c r="AD379" s="970" t="n"/>
      <c r="AE379" s="520" t="n"/>
      <c r="AF379" s="970" t="n"/>
      <c r="AG379" s="970" t="n"/>
      <c r="AH379" s="970" t="n"/>
      <c r="AI379" s="970" t="n"/>
      <c r="AJ379" s="970" t="n"/>
      <c r="AK379" s="970" t="n"/>
      <c r="AL379" s="970" t="n"/>
      <c r="AM379" s="970" t="n"/>
      <c r="AN379" s="970" t="n"/>
      <c r="AO379" s="970" t="n"/>
      <c r="AP379" s="979" t="n"/>
      <c r="AQ379" s="980">
        <f>SUM(AK379:AO379)</f>
        <v/>
      </c>
      <c r="AR379" s="981" t="n"/>
      <c r="AT379" s="971" t="n"/>
      <c r="AU379">
        <f t="array" ref="AU379">IF(D379&lt;&gt;"Occupied","",_xlfn.IFS(AND(ISNUMBER(AD379),AD379&lt;&gt;0),"Structured",ISNUMBER(SEARCH("/mo con",S379)),"Notes-parsed",ISNUMBER(SEARCH("step",S379)),"Step-up",ISNUMBER(SEARCH("swap",S379)),"Rate-swap",AND(ISNUMBER(H379),ISNUMBER(I379),H379&gt;I379),"Implied",TRUE,""))</f>
        <v/>
      </c>
      <c r="AV379" s="970" t="n"/>
    </row>
    <row r="380" outlineLevel="1" s="817">
      <c r="F380" s="520" t="n"/>
      <c r="G380" s="520" t="n"/>
      <c r="H380" s="970" t="n"/>
      <c r="I380" s="970" t="n"/>
      <c r="J380" s="970" t="n"/>
      <c r="K380" s="970" t="n"/>
      <c r="L380" s="970" t="n"/>
      <c r="M380" s="970" t="n"/>
      <c r="N380" s="970" t="n"/>
      <c r="O380" s="970" t="n"/>
      <c r="P380" s="970" t="n"/>
      <c r="Q380" s="970" t="n"/>
      <c r="T380" s="545" t="n"/>
      <c r="U380" s="971" t="n"/>
      <c r="V380" s="971" t="n"/>
      <c r="W380">
        <f>IF(AND($D380="Occupied",$AC380&lt;&gt;""),$AC380,"")</f>
        <v/>
      </c>
      <c r="X380">
        <f>IF(AND(D380="Occupied",C380&lt;&gt;"",W380&lt;&gt;""),C380&amp;"|"&amp;W380,"")</f>
        <v/>
      </c>
      <c r="Y380">
        <f>IF(AND(C380&lt;&gt;"",W380&lt;&gt;""),C380&amp;"|"&amp;W380,"")</f>
        <v/>
      </c>
      <c r="AA380" s="970" t="n"/>
      <c r="AB380" s="555" t="n"/>
      <c r="AD380" s="970" t="n"/>
      <c r="AE380" s="520" t="n"/>
      <c r="AF380" s="970" t="n"/>
      <c r="AG380" s="970" t="n"/>
      <c r="AH380" s="970" t="n"/>
      <c r="AI380" s="970" t="n"/>
      <c r="AJ380" s="970" t="n"/>
      <c r="AK380" s="970" t="n"/>
      <c r="AL380" s="970" t="n"/>
      <c r="AM380" s="970" t="n"/>
      <c r="AN380" s="970" t="n"/>
      <c r="AO380" s="970" t="n"/>
      <c r="AP380" s="979" t="n"/>
      <c r="AQ380" s="980">
        <f>SUM(AK380:AO380)</f>
        <v/>
      </c>
      <c r="AR380" s="981" t="n"/>
      <c r="AT380" s="971" t="n"/>
      <c r="AU380">
        <f t="array" ref="AU380">IF(D380&lt;&gt;"Occupied","",_xlfn.IFS(AND(ISNUMBER(AD380),AD380&lt;&gt;0),"Structured",ISNUMBER(SEARCH("/mo con",S380)),"Notes-parsed",ISNUMBER(SEARCH("step",S380)),"Step-up",ISNUMBER(SEARCH("swap",S380)),"Rate-swap",AND(ISNUMBER(H380),ISNUMBER(I380),H380&gt;I380),"Implied",TRUE,""))</f>
        <v/>
      </c>
      <c r="AV380" s="970" t="n"/>
    </row>
    <row r="381" outlineLevel="1" s="817">
      <c r="F381" s="520" t="n"/>
      <c r="G381" s="520" t="n"/>
      <c r="H381" s="970" t="n"/>
      <c r="I381" s="970" t="n"/>
      <c r="J381" s="970" t="n"/>
      <c r="K381" s="970" t="n"/>
      <c r="L381" s="970" t="n"/>
      <c r="M381" s="970" t="n"/>
      <c r="N381" s="970" t="n"/>
      <c r="O381" s="970" t="n"/>
      <c r="P381" s="970" t="n"/>
      <c r="Q381" s="970" t="n"/>
      <c r="T381" s="545" t="n"/>
      <c r="U381" s="971" t="n"/>
      <c r="V381" s="971" t="n"/>
      <c r="W381">
        <f>IF(AND($D381="Occupied",$AC381&lt;&gt;""),$AC381,"")</f>
        <v/>
      </c>
      <c r="X381">
        <f>IF(AND(D381="Occupied",C381&lt;&gt;"",W381&lt;&gt;""),C381&amp;"|"&amp;W381,"")</f>
        <v/>
      </c>
      <c r="Y381">
        <f>IF(AND(C381&lt;&gt;"",W381&lt;&gt;""),C381&amp;"|"&amp;W381,"")</f>
        <v/>
      </c>
      <c r="AA381" s="970" t="n"/>
      <c r="AB381" s="555" t="n"/>
      <c r="AD381" s="970" t="n"/>
      <c r="AE381" s="520" t="n"/>
      <c r="AF381" s="970" t="n"/>
      <c r="AG381" s="970" t="n"/>
      <c r="AH381" s="970" t="n"/>
      <c r="AI381" s="970" t="n"/>
      <c r="AJ381" s="970" t="n"/>
      <c r="AK381" s="970" t="n"/>
      <c r="AL381" s="970" t="n"/>
      <c r="AM381" s="970" t="n"/>
      <c r="AN381" s="970" t="n"/>
      <c r="AO381" s="970" t="n"/>
      <c r="AP381" s="979" t="n"/>
      <c r="AQ381" s="980">
        <f>SUM(AK381:AO381)</f>
        <v/>
      </c>
      <c r="AR381" s="981" t="n"/>
      <c r="AT381" s="971" t="n"/>
      <c r="AU381">
        <f t="array" ref="AU381">IF(D381&lt;&gt;"Occupied","",_xlfn.IFS(AND(ISNUMBER(AD381),AD381&lt;&gt;0),"Structured",ISNUMBER(SEARCH("/mo con",S381)),"Notes-parsed",ISNUMBER(SEARCH("step",S381)),"Step-up",ISNUMBER(SEARCH("swap",S381)),"Rate-swap",AND(ISNUMBER(H381),ISNUMBER(I381),H381&gt;I381),"Implied",TRUE,""))</f>
        <v/>
      </c>
      <c r="AV381" s="970" t="n"/>
    </row>
    <row r="382" outlineLevel="1" s="817">
      <c r="F382" s="520" t="n"/>
      <c r="G382" s="520" t="n"/>
      <c r="H382" s="970" t="n"/>
      <c r="I382" s="970" t="n"/>
      <c r="J382" s="970" t="n"/>
      <c r="K382" s="970" t="n"/>
      <c r="L382" s="970" t="n"/>
      <c r="M382" s="970" t="n"/>
      <c r="N382" s="970" t="n"/>
      <c r="O382" s="970" t="n"/>
      <c r="P382" s="970" t="n"/>
      <c r="Q382" s="970" t="n"/>
      <c r="T382" s="545" t="n"/>
      <c r="U382" s="971" t="n"/>
      <c r="V382" s="971" t="n"/>
      <c r="W382">
        <f>IF(AND($D382="Occupied",$AC382&lt;&gt;""),$AC382,"")</f>
        <v/>
      </c>
      <c r="X382">
        <f>IF(AND(D382="Occupied",C382&lt;&gt;"",W382&lt;&gt;""),C382&amp;"|"&amp;W382,"")</f>
        <v/>
      </c>
      <c r="Y382">
        <f>IF(AND(C382&lt;&gt;"",W382&lt;&gt;""),C382&amp;"|"&amp;W382,"")</f>
        <v/>
      </c>
      <c r="AA382" s="970" t="n"/>
      <c r="AB382" s="555" t="n"/>
      <c r="AD382" s="970" t="n"/>
      <c r="AE382" s="520" t="n"/>
      <c r="AF382" s="970" t="n"/>
      <c r="AG382" s="970" t="n"/>
      <c r="AH382" s="970" t="n"/>
      <c r="AI382" s="970" t="n"/>
      <c r="AJ382" s="970" t="n"/>
      <c r="AK382" s="970" t="n"/>
      <c r="AL382" s="970" t="n"/>
      <c r="AM382" s="970" t="n"/>
      <c r="AN382" s="970" t="n"/>
      <c r="AO382" s="970" t="n"/>
      <c r="AP382" s="979" t="n"/>
      <c r="AQ382" s="980">
        <f>SUM(AK382:AO382)</f>
        <v/>
      </c>
      <c r="AR382" s="981" t="n"/>
      <c r="AT382" s="971" t="n"/>
      <c r="AU382">
        <f t="array" ref="AU382">IF(D382&lt;&gt;"Occupied","",_xlfn.IFS(AND(ISNUMBER(AD382),AD382&lt;&gt;0),"Structured",ISNUMBER(SEARCH("/mo con",S382)),"Notes-parsed",ISNUMBER(SEARCH("step",S382)),"Step-up",ISNUMBER(SEARCH("swap",S382)),"Rate-swap",AND(ISNUMBER(H382),ISNUMBER(I382),H382&gt;I382),"Implied",TRUE,""))</f>
        <v/>
      </c>
      <c r="AV382" s="970" t="n"/>
    </row>
    <row r="383" outlineLevel="1" s="817">
      <c r="F383" s="520" t="n"/>
      <c r="G383" s="520" t="n"/>
      <c r="H383" s="970" t="n"/>
      <c r="I383" s="970" t="n"/>
      <c r="J383" s="970" t="n"/>
      <c r="K383" s="970" t="n"/>
      <c r="L383" s="970" t="n"/>
      <c r="M383" s="970" t="n"/>
      <c r="N383" s="970" t="n"/>
      <c r="O383" s="970" t="n"/>
      <c r="P383" s="970" t="n"/>
      <c r="Q383" s="970" t="n"/>
      <c r="T383" s="545" t="n"/>
      <c r="U383" s="971" t="n"/>
      <c r="V383" s="971" t="n"/>
      <c r="W383">
        <f>IF(AND($D383="Occupied",$AC383&lt;&gt;""),$AC383,"")</f>
        <v/>
      </c>
      <c r="X383">
        <f>IF(AND(D383="Occupied",C383&lt;&gt;"",W383&lt;&gt;""),C383&amp;"|"&amp;W383,"")</f>
        <v/>
      </c>
      <c r="Y383">
        <f>IF(AND(C383&lt;&gt;"",W383&lt;&gt;""),C383&amp;"|"&amp;W383,"")</f>
        <v/>
      </c>
      <c r="AA383" s="970" t="n"/>
      <c r="AB383" s="555" t="n"/>
      <c r="AD383" s="970" t="n"/>
      <c r="AE383" s="520" t="n"/>
      <c r="AF383" s="970" t="n"/>
      <c r="AG383" s="970" t="n"/>
      <c r="AH383" s="970" t="n"/>
      <c r="AI383" s="970" t="n"/>
      <c r="AJ383" s="970" t="n"/>
      <c r="AK383" s="970" t="n"/>
      <c r="AL383" s="970" t="n"/>
      <c r="AM383" s="970" t="n"/>
      <c r="AN383" s="970" t="n"/>
      <c r="AO383" s="970" t="n"/>
      <c r="AP383" s="979" t="n"/>
      <c r="AQ383" s="980">
        <f>SUM(AK383:AO383)</f>
        <v/>
      </c>
      <c r="AR383" s="981" t="n"/>
      <c r="AT383" s="971" t="n"/>
      <c r="AU383">
        <f t="array" ref="AU383">IF(D383&lt;&gt;"Occupied","",_xlfn.IFS(AND(ISNUMBER(AD383),AD383&lt;&gt;0),"Structured",ISNUMBER(SEARCH("/mo con",S383)),"Notes-parsed",ISNUMBER(SEARCH("step",S383)),"Step-up",ISNUMBER(SEARCH("swap",S383)),"Rate-swap",AND(ISNUMBER(H383),ISNUMBER(I383),H383&gt;I383),"Implied",TRUE,""))</f>
        <v/>
      </c>
      <c r="AV383" s="970" t="n"/>
    </row>
    <row r="384" outlineLevel="1" s="817">
      <c r="F384" s="520" t="n"/>
      <c r="G384" s="520" t="n"/>
      <c r="H384" s="970" t="n"/>
      <c r="I384" s="970" t="n"/>
      <c r="J384" s="970" t="n"/>
      <c r="K384" s="970" t="n"/>
      <c r="L384" s="970" t="n"/>
      <c r="M384" s="970" t="n"/>
      <c r="N384" s="970" t="n"/>
      <c r="O384" s="970" t="n"/>
      <c r="P384" s="970" t="n"/>
      <c r="Q384" s="970" t="n"/>
      <c r="T384" s="545" t="n"/>
      <c r="U384" s="971" t="n"/>
      <c r="V384" s="971" t="n"/>
      <c r="W384">
        <f>IF(AND($D384="Occupied",$AC384&lt;&gt;""),$AC384,"")</f>
        <v/>
      </c>
      <c r="X384">
        <f>IF(AND(D384="Occupied",C384&lt;&gt;"",W384&lt;&gt;""),C384&amp;"|"&amp;W384,"")</f>
        <v/>
      </c>
      <c r="Y384">
        <f>IF(AND(C384&lt;&gt;"",W384&lt;&gt;""),C384&amp;"|"&amp;W384,"")</f>
        <v/>
      </c>
      <c r="AA384" s="970" t="n"/>
      <c r="AB384" s="555" t="n"/>
      <c r="AD384" s="970" t="n"/>
      <c r="AE384" s="520" t="n"/>
      <c r="AF384" s="970" t="n"/>
      <c r="AG384" s="970" t="n"/>
      <c r="AH384" s="970" t="n"/>
      <c r="AI384" s="970" t="n"/>
      <c r="AJ384" s="970" t="n"/>
      <c r="AK384" s="970" t="n"/>
      <c r="AL384" s="970" t="n"/>
      <c r="AM384" s="970" t="n"/>
      <c r="AN384" s="970" t="n"/>
      <c r="AO384" s="970" t="n"/>
      <c r="AP384" s="979" t="n"/>
      <c r="AQ384" s="980">
        <f>SUM(AK384:AO384)</f>
        <v/>
      </c>
      <c r="AR384" s="981" t="n"/>
      <c r="AT384" s="971" t="n"/>
      <c r="AU384">
        <f t="array" ref="AU384">IF(D384&lt;&gt;"Occupied","",_xlfn.IFS(AND(ISNUMBER(AD384),AD384&lt;&gt;0),"Structured",ISNUMBER(SEARCH("/mo con",S384)),"Notes-parsed",ISNUMBER(SEARCH("step",S384)),"Step-up",ISNUMBER(SEARCH("swap",S384)),"Rate-swap",AND(ISNUMBER(H384),ISNUMBER(I384),H384&gt;I384),"Implied",TRUE,""))</f>
        <v/>
      </c>
      <c r="AV384" s="970" t="n"/>
    </row>
    <row r="385" outlineLevel="1" s="817">
      <c r="F385" s="520" t="n"/>
      <c r="G385" s="520" t="n"/>
      <c r="H385" s="970" t="n"/>
      <c r="I385" s="970" t="n"/>
      <c r="J385" s="970" t="n"/>
      <c r="K385" s="970" t="n"/>
      <c r="L385" s="970" t="n"/>
      <c r="M385" s="970" t="n"/>
      <c r="N385" s="970" t="n"/>
      <c r="O385" s="970" t="n"/>
      <c r="P385" s="970" t="n"/>
      <c r="Q385" s="970" t="n"/>
      <c r="T385" s="545" t="n"/>
      <c r="U385" s="971" t="n"/>
      <c r="V385" s="971" t="n"/>
      <c r="W385">
        <f>IF(AND($D385="Occupied",$AC385&lt;&gt;""),$AC385,"")</f>
        <v/>
      </c>
      <c r="X385">
        <f>IF(AND(D385="Occupied",C385&lt;&gt;"",W385&lt;&gt;""),C385&amp;"|"&amp;W385,"")</f>
        <v/>
      </c>
      <c r="Y385">
        <f>IF(AND(C385&lt;&gt;"",W385&lt;&gt;""),C385&amp;"|"&amp;W385,"")</f>
        <v/>
      </c>
      <c r="AA385" s="970" t="n"/>
      <c r="AB385" s="555" t="n"/>
      <c r="AD385" s="970" t="n"/>
      <c r="AE385" s="520" t="n"/>
      <c r="AF385" s="970" t="n"/>
      <c r="AG385" s="970" t="n"/>
      <c r="AH385" s="970" t="n"/>
      <c r="AI385" s="970" t="n"/>
      <c r="AJ385" s="970" t="n"/>
      <c r="AK385" s="970" t="n"/>
      <c r="AL385" s="970" t="n"/>
      <c r="AM385" s="970" t="n"/>
      <c r="AN385" s="970" t="n"/>
      <c r="AO385" s="970" t="n"/>
      <c r="AP385" s="979" t="n"/>
      <c r="AQ385" s="980">
        <f>SUM(AK385:AO385)</f>
        <v/>
      </c>
      <c r="AR385" s="981" t="n"/>
      <c r="AT385" s="971" t="n"/>
      <c r="AU385">
        <f t="array" ref="AU385">IF(D385&lt;&gt;"Occupied","",_xlfn.IFS(AND(ISNUMBER(AD385),AD385&lt;&gt;0),"Structured",ISNUMBER(SEARCH("/mo con",S385)),"Notes-parsed",ISNUMBER(SEARCH("step",S385)),"Step-up",ISNUMBER(SEARCH("swap",S385)),"Rate-swap",AND(ISNUMBER(H385),ISNUMBER(I385),H385&gt;I385),"Implied",TRUE,""))</f>
        <v/>
      </c>
      <c r="AV385" s="970" t="n"/>
    </row>
    <row r="386" outlineLevel="1" s="817">
      <c r="F386" s="520" t="n"/>
      <c r="G386" s="520" t="n"/>
      <c r="H386" s="970" t="n"/>
      <c r="I386" s="970" t="n"/>
      <c r="J386" s="970" t="n"/>
      <c r="K386" s="970" t="n"/>
      <c r="L386" s="970" t="n"/>
      <c r="M386" s="970" t="n"/>
      <c r="N386" s="970" t="n"/>
      <c r="O386" s="970" t="n"/>
      <c r="P386" s="970" t="n"/>
      <c r="Q386" s="970" t="n"/>
      <c r="T386" s="545" t="n"/>
      <c r="U386" s="971" t="n"/>
      <c r="V386" s="971" t="n"/>
      <c r="W386">
        <f>IF(AND($D386="Occupied",$AC386&lt;&gt;""),$AC386,"")</f>
        <v/>
      </c>
      <c r="X386">
        <f>IF(AND(D386="Occupied",C386&lt;&gt;"",W386&lt;&gt;""),C386&amp;"|"&amp;W386,"")</f>
        <v/>
      </c>
      <c r="Y386">
        <f>IF(AND(C386&lt;&gt;"",W386&lt;&gt;""),C386&amp;"|"&amp;W386,"")</f>
        <v/>
      </c>
      <c r="AA386" s="970" t="n"/>
      <c r="AB386" s="555" t="n"/>
      <c r="AD386" s="970" t="n"/>
      <c r="AE386" s="520" t="n"/>
      <c r="AF386" s="970" t="n"/>
      <c r="AG386" s="970" t="n"/>
      <c r="AH386" s="970" t="n"/>
      <c r="AI386" s="970" t="n"/>
      <c r="AJ386" s="970" t="n"/>
      <c r="AK386" s="970" t="n"/>
      <c r="AL386" s="970" t="n"/>
      <c r="AM386" s="970" t="n"/>
      <c r="AN386" s="970" t="n"/>
      <c r="AO386" s="970" t="n"/>
      <c r="AP386" s="979" t="n"/>
      <c r="AQ386" s="980">
        <f>SUM(AK386:AO386)</f>
        <v/>
      </c>
      <c r="AR386" s="981" t="n"/>
      <c r="AT386" s="971" t="n"/>
      <c r="AU386">
        <f t="array" ref="AU386">IF(D386&lt;&gt;"Occupied","",_xlfn.IFS(AND(ISNUMBER(AD386),AD386&lt;&gt;0),"Structured",ISNUMBER(SEARCH("/mo con",S386)),"Notes-parsed",ISNUMBER(SEARCH("step",S386)),"Step-up",ISNUMBER(SEARCH("swap",S386)),"Rate-swap",AND(ISNUMBER(H386),ISNUMBER(I386),H386&gt;I386),"Implied",TRUE,""))</f>
        <v/>
      </c>
      <c r="AV386" s="970" t="n"/>
    </row>
    <row r="387" outlineLevel="1" s="817">
      <c r="W387">
        <f>IF(AND($D387="Occupied",$AC387&lt;&gt;""),$AC387,"")</f>
        <v/>
      </c>
      <c r="X387">
        <f>IF(AND(D387="Occupied",C387&lt;&gt;"",W387&lt;&gt;""),C387&amp;"|"&amp;W387,"")</f>
        <v/>
      </c>
      <c r="Y387">
        <f>IF(AND(C387&lt;&gt;"",W387&lt;&gt;""),C387&amp;"|"&amp;W387,"")</f>
        <v/>
      </c>
      <c r="AA387" s="970" t="n"/>
      <c r="AB387" s="555" t="n"/>
      <c r="AQ387" s="980">
        <f>SUM(AK387:AO387)</f>
        <v/>
      </c>
      <c r="AU387">
        <f t="array" ref="AU387">IF(D387&lt;&gt;"Occupied","",_xlfn.IFS(AND(ISNUMBER(AD387),AD387&lt;&gt;0),"Structured",ISNUMBER(SEARCH("/mo con",S387)),"Notes-parsed",ISNUMBER(SEARCH("step",S387)),"Step-up",ISNUMBER(SEARCH("swap",S387)),"Rate-swap",AND(ISNUMBER(H387),ISNUMBER(I387),H387&gt;I387),"Implied",TRUE,""))</f>
        <v/>
      </c>
      <c r="AV387" s="970" t="n"/>
    </row>
    <row r="388" outlineLevel="1" s="817">
      <c r="W388">
        <f>IF(AND($D388="Occupied",$AC388&lt;&gt;""),$AC388,"")</f>
        <v/>
      </c>
      <c r="X388">
        <f>IF(AND(D388="Occupied",C388&lt;&gt;"",W388&lt;&gt;""),C388&amp;"|"&amp;W388,"")</f>
        <v/>
      </c>
      <c r="Y388">
        <f>IF(AND(C388&lt;&gt;"",W388&lt;&gt;""),C388&amp;"|"&amp;W388,"")</f>
        <v/>
      </c>
      <c r="AA388" s="970" t="n"/>
      <c r="AB388" s="555" t="n"/>
      <c r="AQ388" s="980">
        <f>SUM(AK388:AO388)</f>
        <v/>
      </c>
      <c r="AU388">
        <f t="array" ref="AU388">IF(D388&lt;&gt;"Occupied","",_xlfn.IFS(AND(ISNUMBER(AD388),AD388&lt;&gt;0),"Structured",ISNUMBER(SEARCH("/mo con",S388)),"Notes-parsed",ISNUMBER(SEARCH("step",S388)),"Step-up",ISNUMBER(SEARCH("swap",S388)),"Rate-swap",AND(ISNUMBER(H388),ISNUMBER(I388),H388&gt;I388),"Implied",TRUE,""))</f>
        <v/>
      </c>
      <c r="AV388" s="970" t="n"/>
    </row>
    <row r="389" outlineLevel="1" s="817">
      <c r="W389">
        <f>IF(AND($D389="Occupied",$AC389&lt;&gt;""),$AC389,"")</f>
        <v/>
      </c>
      <c r="X389">
        <f>IF(AND(D389="Occupied",C389&lt;&gt;"",W389&lt;&gt;""),C389&amp;"|"&amp;W389,"")</f>
        <v/>
      </c>
      <c r="Y389">
        <f>IF(AND(C389&lt;&gt;"",W389&lt;&gt;""),C389&amp;"|"&amp;W389,"")</f>
        <v/>
      </c>
      <c r="AA389" s="970" t="n"/>
      <c r="AB389" s="555" t="n"/>
      <c r="AQ389" s="980">
        <f>SUM(AK389:AO389)</f>
        <v/>
      </c>
      <c r="AU389">
        <f t="array" ref="AU389">IF(D389&lt;&gt;"Occupied","",_xlfn.IFS(AND(ISNUMBER(AD389),AD389&lt;&gt;0),"Structured",ISNUMBER(SEARCH("/mo con",S389)),"Notes-parsed",ISNUMBER(SEARCH("step",S389)),"Step-up",ISNUMBER(SEARCH("swap",S389)),"Rate-swap",AND(ISNUMBER(H389),ISNUMBER(I389),H389&gt;I389),"Implied",TRUE,""))</f>
        <v/>
      </c>
      <c r="AV389" s="970" t="n"/>
    </row>
    <row r="390" outlineLevel="1" s="817">
      <c r="W390">
        <f>IF(AND($D390="Occupied",$AC390&lt;&gt;""),$AC390,"")</f>
        <v/>
      </c>
      <c r="X390">
        <f>IF(AND(D390="Occupied",C390&lt;&gt;"",W390&lt;&gt;""),C390&amp;"|"&amp;W390,"")</f>
        <v/>
      </c>
      <c r="Y390">
        <f>IF(AND(C390&lt;&gt;"",W390&lt;&gt;""),C390&amp;"|"&amp;W390,"")</f>
        <v/>
      </c>
      <c r="AA390" s="970" t="n"/>
      <c r="AB390" s="555" t="n"/>
      <c r="AQ390" s="980">
        <f>SUM(AK390:AO390)</f>
        <v/>
      </c>
      <c r="AU390">
        <f t="array" ref="AU390">IF(D390&lt;&gt;"Occupied","",_xlfn.IFS(AND(ISNUMBER(AD390),AD390&lt;&gt;0),"Structured",ISNUMBER(SEARCH("/mo con",S390)),"Notes-parsed",ISNUMBER(SEARCH("step",S390)),"Step-up",ISNUMBER(SEARCH("swap",S390)),"Rate-swap",AND(ISNUMBER(H390),ISNUMBER(I390),H390&gt;I390),"Implied",TRUE,""))</f>
        <v/>
      </c>
      <c r="AV390" s="970" t="n"/>
    </row>
    <row r="391" outlineLevel="1" s="817">
      <c r="W391">
        <f>IF(AND($D391="Occupied",$AC391&lt;&gt;""),$AC391,"")</f>
        <v/>
      </c>
      <c r="X391">
        <f>IF(AND(D391="Occupied",C391&lt;&gt;"",W391&lt;&gt;""),C391&amp;"|"&amp;W391,"")</f>
        <v/>
      </c>
      <c r="Y391">
        <f>IF(AND(C391&lt;&gt;"",W391&lt;&gt;""),C391&amp;"|"&amp;W391,"")</f>
        <v/>
      </c>
      <c r="AA391" s="970" t="n"/>
      <c r="AB391" s="555" t="n"/>
      <c r="AQ391" s="980">
        <f>SUM(AK391:AO391)</f>
        <v/>
      </c>
      <c r="AU391">
        <f t="array" ref="AU391">IF(D391&lt;&gt;"Occupied","",_xlfn.IFS(AND(ISNUMBER(AD391),AD391&lt;&gt;0),"Structured",ISNUMBER(SEARCH("/mo con",S391)),"Notes-parsed",ISNUMBER(SEARCH("step",S391)),"Step-up",ISNUMBER(SEARCH("swap",S391)),"Rate-swap",AND(ISNUMBER(H391),ISNUMBER(I391),H391&gt;I391),"Implied",TRUE,""))</f>
        <v/>
      </c>
      <c r="AV391" s="970" t="n"/>
    </row>
    <row r="392" outlineLevel="1" s="817">
      <c r="W392">
        <f>IF(AND($D392="Occupied",$AC392&lt;&gt;""),$AC392,"")</f>
        <v/>
      </c>
      <c r="X392">
        <f>IF(AND(D392="Occupied",C392&lt;&gt;"",W392&lt;&gt;""),C392&amp;"|"&amp;W392,"")</f>
        <v/>
      </c>
      <c r="Y392">
        <f>IF(AND(C392&lt;&gt;"",W392&lt;&gt;""),C392&amp;"|"&amp;W392,"")</f>
        <v/>
      </c>
      <c r="AA392" s="970" t="n"/>
      <c r="AB392" s="555" t="n"/>
      <c r="AQ392" s="980">
        <f>SUM(AK392:AO392)</f>
        <v/>
      </c>
      <c r="AU392">
        <f t="array" ref="AU392">IF(D392&lt;&gt;"Occupied","",_xlfn.IFS(AND(ISNUMBER(AD392),AD392&lt;&gt;0),"Structured",ISNUMBER(SEARCH("/mo con",S392)),"Notes-parsed",ISNUMBER(SEARCH("step",S392)),"Step-up",ISNUMBER(SEARCH("swap",S392)),"Rate-swap",AND(ISNUMBER(H392),ISNUMBER(I392),H392&gt;I392),"Implied",TRUE,""))</f>
        <v/>
      </c>
      <c r="AV392" s="970" t="n"/>
    </row>
    <row r="393" outlineLevel="1" s="817">
      <c r="W393">
        <f>IF(AND($D393="Occupied",$AC393&lt;&gt;""),$AC393,"")</f>
        <v/>
      </c>
      <c r="X393">
        <f>IF(AND(D393="Occupied",C393&lt;&gt;"",W393&lt;&gt;""),C393&amp;"|"&amp;W393,"")</f>
        <v/>
      </c>
      <c r="Y393">
        <f>IF(AND(C393&lt;&gt;"",W393&lt;&gt;""),C393&amp;"|"&amp;W393,"")</f>
        <v/>
      </c>
      <c r="AA393" s="970" t="n"/>
      <c r="AB393" s="555" t="n"/>
      <c r="AQ393" s="980">
        <f>SUM(AK393:AO393)</f>
        <v/>
      </c>
      <c r="AU393">
        <f t="array" ref="AU393">IF(D393&lt;&gt;"Occupied","",_xlfn.IFS(AND(ISNUMBER(AD393),AD393&lt;&gt;0),"Structured",ISNUMBER(SEARCH("/mo con",S393)),"Notes-parsed",ISNUMBER(SEARCH("step",S393)),"Step-up",ISNUMBER(SEARCH("swap",S393)),"Rate-swap",AND(ISNUMBER(H393),ISNUMBER(I393),H393&gt;I393),"Implied",TRUE,""))</f>
        <v/>
      </c>
      <c r="AV393" s="970" t="n"/>
    </row>
    <row r="394" outlineLevel="1" s="817">
      <c r="W394">
        <f>IF(AND($D394="Occupied",$AC394&lt;&gt;""),$AC394,"")</f>
        <v/>
      </c>
      <c r="X394">
        <f>IF(AND(D394="Occupied",C394&lt;&gt;"",W394&lt;&gt;""),C394&amp;"|"&amp;W394,"")</f>
        <v/>
      </c>
      <c r="Y394">
        <f>IF(AND(C394&lt;&gt;"",W394&lt;&gt;""),C394&amp;"|"&amp;W394,"")</f>
        <v/>
      </c>
      <c r="AA394" s="970" t="n"/>
      <c r="AB394" s="555" t="n"/>
      <c r="AQ394" s="980">
        <f>SUM(AK394:AO394)</f>
        <v/>
      </c>
      <c r="AU394">
        <f t="array" ref="AU394">IF(D394&lt;&gt;"Occupied","",_xlfn.IFS(AND(ISNUMBER(AD394),AD394&lt;&gt;0),"Structured",ISNUMBER(SEARCH("/mo con",S394)),"Notes-parsed",ISNUMBER(SEARCH("step",S394)),"Step-up",ISNUMBER(SEARCH("swap",S394)),"Rate-swap",AND(ISNUMBER(H394),ISNUMBER(I394),H394&gt;I394),"Implied",TRUE,""))</f>
        <v/>
      </c>
      <c r="AV394" s="970" t="n"/>
    </row>
    <row r="395" outlineLevel="1" s="817">
      <c r="W395">
        <f>IF(AND($D395="Occupied",$AC395&lt;&gt;""),$AC395,"")</f>
        <v/>
      </c>
      <c r="X395">
        <f>IF(AND(D395="Occupied",C395&lt;&gt;"",W395&lt;&gt;""),C395&amp;"|"&amp;W395,"")</f>
        <v/>
      </c>
      <c r="Y395">
        <f>IF(AND(C395&lt;&gt;"",W395&lt;&gt;""),C395&amp;"|"&amp;W395,"")</f>
        <v/>
      </c>
      <c r="AA395" s="970" t="n"/>
      <c r="AB395" s="555" t="n"/>
      <c r="AQ395" s="980">
        <f>SUM(AK395:AO395)</f>
        <v/>
      </c>
      <c r="AU395">
        <f t="array" ref="AU395">IF(D395&lt;&gt;"Occupied","",_xlfn.IFS(AND(ISNUMBER(AD395),AD395&lt;&gt;0),"Structured",ISNUMBER(SEARCH("/mo con",S395)),"Notes-parsed",ISNUMBER(SEARCH("step",S395)),"Step-up",ISNUMBER(SEARCH("swap",S395)),"Rate-swap",AND(ISNUMBER(H395),ISNUMBER(I395),H395&gt;I395),"Implied",TRUE,""))</f>
        <v/>
      </c>
      <c r="AV395" s="970" t="n"/>
    </row>
    <row r="396" outlineLevel="1" s="817">
      <c r="W396">
        <f>IF(AND($D396="Occupied",$AC396&lt;&gt;""),$AC396,"")</f>
        <v/>
      </c>
      <c r="X396">
        <f>IF(AND(D396="Occupied",C396&lt;&gt;"",W396&lt;&gt;""),C396&amp;"|"&amp;W396,"")</f>
        <v/>
      </c>
      <c r="Y396">
        <f>IF(AND(C396&lt;&gt;"",W396&lt;&gt;""),C396&amp;"|"&amp;W396,"")</f>
        <v/>
      </c>
      <c r="AA396" s="970" t="n"/>
      <c r="AB396" s="555" t="n"/>
      <c r="AQ396" s="980">
        <f>SUM(AK396:AO396)</f>
        <v/>
      </c>
      <c r="AU396">
        <f t="array" ref="AU396">IF(D396&lt;&gt;"Occupied","",_xlfn.IFS(AND(ISNUMBER(AD396),AD396&lt;&gt;0),"Structured",ISNUMBER(SEARCH("/mo con",S396)),"Notes-parsed",ISNUMBER(SEARCH("step",S396)),"Step-up",ISNUMBER(SEARCH("swap",S396)),"Rate-swap",AND(ISNUMBER(H396),ISNUMBER(I396),H396&gt;I396),"Implied",TRUE,""))</f>
        <v/>
      </c>
      <c r="AV396" s="970" t="n"/>
    </row>
    <row r="397" outlineLevel="1" s="817">
      <c r="W397">
        <f>IF(AND($D397="Occupied",$AC397&lt;&gt;""),$AC397,"")</f>
        <v/>
      </c>
      <c r="X397">
        <f>IF(AND(D397="Occupied",C397&lt;&gt;"",W397&lt;&gt;""),C397&amp;"|"&amp;W397,"")</f>
        <v/>
      </c>
      <c r="Y397">
        <f>IF(AND(C397&lt;&gt;"",W397&lt;&gt;""),C397&amp;"|"&amp;W397,"")</f>
        <v/>
      </c>
      <c r="AA397" s="970" t="n"/>
      <c r="AB397" s="555" t="n"/>
      <c r="AQ397" s="980">
        <f>SUM(AK397:AO397)</f>
        <v/>
      </c>
      <c r="AU397">
        <f t="array" ref="AU397">IF(D397&lt;&gt;"Occupied","",_xlfn.IFS(AND(ISNUMBER(AD397),AD397&lt;&gt;0),"Structured",ISNUMBER(SEARCH("/mo con",S397)),"Notes-parsed",ISNUMBER(SEARCH("step",S397)),"Step-up",ISNUMBER(SEARCH("swap",S397)),"Rate-swap",AND(ISNUMBER(H397),ISNUMBER(I397),H397&gt;I397),"Implied",TRUE,""))</f>
        <v/>
      </c>
      <c r="AV397" s="970" t="n"/>
    </row>
    <row r="398" outlineLevel="1" s="817">
      <c r="W398">
        <f>IF(AND($D398="Occupied",$AC398&lt;&gt;""),$AC398,"")</f>
        <v/>
      </c>
      <c r="X398">
        <f>IF(AND(D398="Occupied",C398&lt;&gt;"",W398&lt;&gt;""),C398&amp;"|"&amp;W398,"")</f>
        <v/>
      </c>
      <c r="Y398">
        <f>IF(AND(C398&lt;&gt;"",W398&lt;&gt;""),C398&amp;"|"&amp;W398,"")</f>
        <v/>
      </c>
      <c r="AA398" s="970" t="n"/>
      <c r="AB398" s="555" t="n"/>
      <c r="AQ398" s="980">
        <f>SUM(AK398:AO398)</f>
        <v/>
      </c>
      <c r="AU398">
        <f t="array" ref="AU398">IF(D398&lt;&gt;"Occupied","",_xlfn.IFS(AND(ISNUMBER(AD398),AD398&lt;&gt;0),"Structured",ISNUMBER(SEARCH("/mo con",S398)),"Notes-parsed",ISNUMBER(SEARCH("step",S398)),"Step-up",ISNUMBER(SEARCH("swap",S398)),"Rate-swap",AND(ISNUMBER(H398),ISNUMBER(I398),H398&gt;I398),"Implied",TRUE,""))</f>
        <v/>
      </c>
      <c r="AV398" s="970" t="n"/>
    </row>
    <row r="399" outlineLevel="1" s="817">
      <c r="W399">
        <f>IF(AND($D399="Occupied",$AC399&lt;&gt;""),$AC399,"")</f>
        <v/>
      </c>
      <c r="X399">
        <f>IF(AND(D399="Occupied",C399&lt;&gt;"",W399&lt;&gt;""),C399&amp;"|"&amp;W399,"")</f>
        <v/>
      </c>
      <c r="Y399">
        <f>IF(AND(C399&lt;&gt;"",W399&lt;&gt;""),C399&amp;"|"&amp;W399,"")</f>
        <v/>
      </c>
      <c r="AA399" s="970" t="n"/>
      <c r="AB399" s="555" t="n"/>
      <c r="AQ399" s="980">
        <f>SUM(AK399:AO399)</f>
        <v/>
      </c>
      <c r="AU399">
        <f t="array" ref="AU399">IF(D399&lt;&gt;"Occupied","",_xlfn.IFS(AND(ISNUMBER(AD399),AD399&lt;&gt;0),"Structured",ISNUMBER(SEARCH("/mo con",S399)),"Notes-parsed",ISNUMBER(SEARCH("step",S399)),"Step-up",ISNUMBER(SEARCH("swap",S399)),"Rate-swap",AND(ISNUMBER(H399),ISNUMBER(I399),H399&gt;I399),"Implied",TRUE,""))</f>
        <v/>
      </c>
      <c r="AV399" s="970" t="n"/>
    </row>
    <row r="400" outlineLevel="1" s="817">
      <c r="W400">
        <f>IF(AND($D400="Occupied",$AC400&lt;&gt;""),$AC400,"")</f>
        <v/>
      </c>
      <c r="X400">
        <f>IF(AND(D400="Occupied",C400&lt;&gt;"",W400&lt;&gt;""),C400&amp;"|"&amp;W400,"")</f>
        <v/>
      </c>
      <c r="Y400">
        <f>IF(AND(C400&lt;&gt;"",W400&lt;&gt;""),C400&amp;"|"&amp;W400,"")</f>
        <v/>
      </c>
      <c r="AA400" s="970" t="n"/>
      <c r="AB400" s="555" t="n"/>
      <c r="AQ400" s="980">
        <f>SUM(AK400:AO400)</f>
        <v/>
      </c>
      <c r="AU400">
        <f t="array" ref="AU400">IF(D400&lt;&gt;"Occupied","",_xlfn.IFS(AND(ISNUMBER(AD400),AD400&lt;&gt;0),"Structured",ISNUMBER(SEARCH("/mo con",S400)),"Notes-parsed",ISNUMBER(SEARCH("step",S400)),"Step-up",ISNUMBER(SEARCH("swap",S400)),"Rate-swap",AND(ISNUMBER(H400),ISNUMBER(I400),H400&gt;I400),"Implied",TRUE,""))</f>
        <v/>
      </c>
      <c r="AV400" s="970" t="n"/>
    </row>
    <row r="401" outlineLevel="1" s="817">
      <c r="W401">
        <f>IF(AND($D401="Occupied",$AC401&lt;&gt;""),$AC401,"")</f>
        <v/>
      </c>
      <c r="X401">
        <f>IF(AND(D401="Occupied",C401&lt;&gt;"",W401&lt;&gt;""),C401&amp;"|"&amp;W401,"")</f>
        <v/>
      </c>
      <c r="Y401">
        <f>IF(AND(C401&lt;&gt;"",W401&lt;&gt;""),C401&amp;"|"&amp;W401,"")</f>
        <v/>
      </c>
      <c r="AA401" s="970" t="n"/>
      <c r="AB401" s="555" t="n"/>
      <c r="AQ401" s="980">
        <f>SUM(AK401:AO401)</f>
        <v/>
      </c>
      <c r="AU401">
        <f t="array" ref="AU401">IF(D401&lt;&gt;"Occupied","",_xlfn.IFS(AND(ISNUMBER(AD401),AD401&lt;&gt;0),"Structured",ISNUMBER(SEARCH("/mo con",S401)),"Notes-parsed",ISNUMBER(SEARCH("step",S401)),"Step-up",ISNUMBER(SEARCH("swap",S401)),"Rate-swap",AND(ISNUMBER(H401),ISNUMBER(I401),H401&gt;I401),"Implied",TRUE,""))</f>
        <v/>
      </c>
      <c r="AV401" s="970" t="n"/>
    </row>
    <row r="402" outlineLevel="1" s="817">
      <c r="W402">
        <f>IF(AND($D402="Occupied",$AC402&lt;&gt;""),$AC402,"")</f>
        <v/>
      </c>
      <c r="X402">
        <f>IF(AND(D402="Occupied",C402&lt;&gt;"",W402&lt;&gt;""),C402&amp;"|"&amp;W402,"")</f>
        <v/>
      </c>
      <c r="Y402">
        <f>IF(AND(C402&lt;&gt;"",W402&lt;&gt;""),C402&amp;"|"&amp;W402,"")</f>
        <v/>
      </c>
      <c r="AA402" s="970" t="n"/>
      <c r="AB402" s="555" t="n"/>
      <c r="AQ402" s="980">
        <f>SUM(AK402:AO402)</f>
        <v/>
      </c>
      <c r="AU402">
        <f t="array" ref="AU402">IF(D402&lt;&gt;"Occupied","",_xlfn.IFS(AND(ISNUMBER(AD402),AD402&lt;&gt;0),"Structured",ISNUMBER(SEARCH("/mo con",S402)),"Notes-parsed",ISNUMBER(SEARCH("step",S402)),"Step-up",ISNUMBER(SEARCH("swap",S402)),"Rate-swap",AND(ISNUMBER(H402),ISNUMBER(I402),H402&gt;I402),"Implied",TRUE,""))</f>
        <v/>
      </c>
      <c r="AV402" s="970" t="n"/>
    </row>
    <row r="403" outlineLevel="1" s="817">
      <c r="W403">
        <f>IF(AND($D403="Occupied",$AC403&lt;&gt;""),$AC403,"")</f>
        <v/>
      </c>
      <c r="X403">
        <f>IF(AND(D403="Occupied",C403&lt;&gt;"",W403&lt;&gt;""),C403&amp;"|"&amp;W403,"")</f>
        <v/>
      </c>
      <c r="Y403">
        <f>IF(AND(C403&lt;&gt;"",W403&lt;&gt;""),C403&amp;"|"&amp;W403,"")</f>
        <v/>
      </c>
      <c r="AA403" s="970" t="n"/>
      <c r="AB403" s="555" t="n"/>
      <c r="AQ403" s="980">
        <f>SUM(AK403:AO403)</f>
        <v/>
      </c>
      <c r="AU403">
        <f t="array" ref="AU403">IF(D403&lt;&gt;"Occupied","",_xlfn.IFS(AND(ISNUMBER(AD403),AD403&lt;&gt;0),"Structured",ISNUMBER(SEARCH("/mo con",S403)),"Notes-parsed",ISNUMBER(SEARCH("step",S403)),"Step-up",ISNUMBER(SEARCH("swap",S403)),"Rate-swap",AND(ISNUMBER(H403),ISNUMBER(I403),H403&gt;I403),"Implied",TRUE,""))</f>
        <v/>
      </c>
      <c r="AV403" s="970" t="n"/>
    </row>
    <row r="404" outlineLevel="1" s="817">
      <c r="W404">
        <f>IF(AND($D404="Occupied",$AC404&lt;&gt;""),$AC404,"")</f>
        <v/>
      </c>
      <c r="X404">
        <f>IF(AND(D404="Occupied",C404&lt;&gt;"",W404&lt;&gt;""),C404&amp;"|"&amp;W404,"")</f>
        <v/>
      </c>
      <c r="Y404">
        <f>IF(AND(C404&lt;&gt;"",W404&lt;&gt;""),C404&amp;"|"&amp;W404,"")</f>
        <v/>
      </c>
      <c r="AA404" s="970" t="n"/>
      <c r="AB404" s="555" t="n"/>
      <c r="AQ404" s="980">
        <f>SUM(AK404:AO404)</f>
        <v/>
      </c>
      <c r="AU404">
        <f t="array" ref="AU404">IF(D404&lt;&gt;"Occupied","",_xlfn.IFS(AND(ISNUMBER(AD404),AD404&lt;&gt;0),"Structured",ISNUMBER(SEARCH("/mo con",S404)),"Notes-parsed",ISNUMBER(SEARCH("step",S404)),"Step-up",ISNUMBER(SEARCH("swap",S404)),"Rate-swap",AND(ISNUMBER(H404),ISNUMBER(I404),H404&gt;I404),"Implied",TRUE,""))</f>
        <v/>
      </c>
      <c r="AV404" s="970" t="n"/>
    </row>
    <row r="405" outlineLevel="1" s="817">
      <c r="W405">
        <f>IF(AND($D405="Occupied",$AC405&lt;&gt;""),$AC405,"")</f>
        <v/>
      </c>
      <c r="X405">
        <f>IF(AND(D405="Occupied",C405&lt;&gt;"",W405&lt;&gt;""),C405&amp;"|"&amp;W405,"")</f>
        <v/>
      </c>
      <c r="Y405">
        <f>IF(AND(C405&lt;&gt;"",W405&lt;&gt;""),C405&amp;"|"&amp;W405,"")</f>
        <v/>
      </c>
      <c r="AA405" s="970" t="n"/>
      <c r="AB405" s="555" t="n"/>
      <c r="AQ405" s="980">
        <f>SUM(AK405:AO405)</f>
        <v/>
      </c>
      <c r="AU405">
        <f t="array" ref="AU405">IF(D405&lt;&gt;"Occupied","",_xlfn.IFS(AND(ISNUMBER(AD405),AD405&lt;&gt;0),"Structured",ISNUMBER(SEARCH("/mo con",S405)),"Notes-parsed",ISNUMBER(SEARCH("step",S405)),"Step-up",ISNUMBER(SEARCH("swap",S405)),"Rate-swap",AND(ISNUMBER(H405),ISNUMBER(I405),H405&gt;I405),"Implied",TRUE,""))</f>
        <v/>
      </c>
      <c r="AV405" s="970" t="n"/>
    </row>
    <row r="406" outlineLevel="1" s="817">
      <c r="W406">
        <f>IF(AND($D406="Occupied",$AC406&lt;&gt;""),$AC406,"")</f>
        <v/>
      </c>
      <c r="X406">
        <f>IF(AND(D406="Occupied",C406&lt;&gt;"",W406&lt;&gt;""),C406&amp;"|"&amp;W406,"")</f>
        <v/>
      </c>
      <c r="Y406">
        <f>IF(AND(C406&lt;&gt;"",W406&lt;&gt;""),C406&amp;"|"&amp;W406,"")</f>
        <v/>
      </c>
      <c r="AA406" s="970" t="n"/>
      <c r="AB406" s="555" t="n"/>
      <c r="AQ406" s="980">
        <f>SUM(AK406:AO406)</f>
        <v/>
      </c>
      <c r="AU406">
        <f t="array" ref="AU406">IF(D406&lt;&gt;"Occupied","",_xlfn.IFS(AND(ISNUMBER(AD406),AD406&lt;&gt;0),"Structured",ISNUMBER(SEARCH("/mo con",S406)),"Notes-parsed",ISNUMBER(SEARCH("step",S406)),"Step-up",ISNUMBER(SEARCH("swap",S406)),"Rate-swap",AND(ISNUMBER(H406),ISNUMBER(I406),H406&gt;I406),"Implied",TRUE,""))</f>
        <v/>
      </c>
      <c r="AV406" s="970" t="n"/>
    </row>
    <row r="407" outlineLevel="1" s="817">
      <c r="W407">
        <f>IF(AND($D407="Occupied",$AC407&lt;&gt;""),$AC407,"")</f>
        <v/>
      </c>
      <c r="X407">
        <f>IF(AND(D407="Occupied",C407&lt;&gt;"",W407&lt;&gt;""),C407&amp;"|"&amp;W407,"")</f>
        <v/>
      </c>
      <c r="Y407">
        <f>IF(AND(C407&lt;&gt;"",W407&lt;&gt;""),C407&amp;"|"&amp;W407,"")</f>
        <v/>
      </c>
      <c r="AA407" s="970" t="n"/>
      <c r="AB407" s="555" t="n"/>
      <c r="AQ407" s="980">
        <f>SUM(AK407:AO407)</f>
        <v/>
      </c>
      <c r="AU407">
        <f t="array" ref="AU407">IF(D407&lt;&gt;"Occupied","",_xlfn.IFS(AND(ISNUMBER(AD407),AD407&lt;&gt;0),"Structured",ISNUMBER(SEARCH("/mo con",S407)),"Notes-parsed",ISNUMBER(SEARCH("step",S407)),"Step-up",ISNUMBER(SEARCH("swap",S407)),"Rate-swap",AND(ISNUMBER(H407),ISNUMBER(I407),H407&gt;I407),"Implied",TRUE,""))</f>
        <v/>
      </c>
      <c r="AV407" s="970" t="n"/>
    </row>
    <row r="408" outlineLevel="1" s="817">
      <c r="W408">
        <f>IF(AND($D408="Occupied",$AC408&lt;&gt;""),$AC408,"")</f>
        <v/>
      </c>
      <c r="X408">
        <f>IF(AND(D408="Occupied",C408&lt;&gt;"",W408&lt;&gt;""),C408&amp;"|"&amp;W408,"")</f>
        <v/>
      </c>
      <c r="Y408">
        <f>IF(AND(C408&lt;&gt;"",W408&lt;&gt;""),C408&amp;"|"&amp;W408,"")</f>
        <v/>
      </c>
      <c r="AA408" s="970" t="n"/>
      <c r="AB408" s="555" t="n"/>
      <c r="AQ408" s="980">
        <f>SUM(AK408:AO408)</f>
        <v/>
      </c>
      <c r="AU408">
        <f t="array" ref="AU408">IF(D408&lt;&gt;"Occupied","",_xlfn.IFS(AND(ISNUMBER(AD408),AD408&lt;&gt;0),"Structured",ISNUMBER(SEARCH("/mo con",S408)),"Notes-parsed",ISNUMBER(SEARCH("step",S408)),"Step-up",ISNUMBER(SEARCH("swap",S408)),"Rate-swap",AND(ISNUMBER(H408),ISNUMBER(I408),H408&gt;I408),"Implied",TRUE,""))</f>
        <v/>
      </c>
      <c r="AV408" s="970" t="n"/>
    </row>
    <row r="409" outlineLevel="1" s="817">
      <c r="W409">
        <f>IF(AND($D409="Occupied",$AC409&lt;&gt;""),$AC409,"")</f>
        <v/>
      </c>
      <c r="X409">
        <f>IF(AND(D409="Occupied",C409&lt;&gt;"",W409&lt;&gt;""),C409&amp;"|"&amp;W409,"")</f>
        <v/>
      </c>
      <c r="Y409">
        <f>IF(AND(C409&lt;&gt;"",W409&lt;&gt;""),C409&amp;"|"&amp;W409,"")</f>
        <v/>
      </c>
      <c r="AA409" s="970" t="n"/>
      <c r="AB409" s="555" t="n"/>
      <c r="AQ409" s="980">
        <f>SUM(AK409:AO409)</f>
        <v/>
      </c>
      <c r="AU409">
        <f t="array" ref="AU409">IF(D409&lt;&gt;"Occupied","",_xlfn.IFS(AND(ISNUMBER(AD409),AD409&lt;&gt;0),"Structured",ISNUMBER(SEARCH("/mo con",S409)),"Notes-parsed",ISNUMBER(SEARCH("step",S409)),"Step-up",ISNUMBER(SEARCH("swap",S409)),"Rate-swap",AND(ISNUMBER(H409),ISNUMBER(I409),H409&gt;I409),"Implied",TRUE,""))</f>
        <v/>
      </c>
      <c r="AV409" s="970" t="n"/>
    </row>
    <row r="410" outlineLevel="1" s="817">
      <c r="W410">
        <f>IF(AND($D410="Occupied",$AC410&lt;&gt;""),$AC410,"")</f>
        <v/>
      </c>
      <c r="X410">
        <f>IF(AND(D410="Occupied",C410&lt;&gt;"",W410&lt;&gt;""),C410&amp;"|"&amp;W410,"")</f>
        <v/>
      </c>
      <c r="Y410">
        <f>IF(AND(C410&lt;&gt;"",W410&lt;&gt;""),C410&amp;"|"&amp;W410,"")</f>
        <v/>
      </c>
      <c r="AA410" s="970" t="n"/>
      <c r="AB410" s="555" t="n"/>
      <c r="AQ410" s="980">
        <f>SUM(AK410:AO410)</f>
        <v/>
      </c>
      <c r="AU410">
        <f t="array" ref="AU410">IF(D410&lt;&gt;"Occupied","",_xlfn.IFS(AND(ISNUMBER(AD410),AD410&lt;&gt;0),"Structured",ISNUMBER(SEARCH("/mo con",S410)),"Notes-parsed",ISNUMBER(SEARCH("step",S410)),"Step-up",ISNUMBER(SEARCH("swap",S410)),"Rate-swap",AND(ISNUMBER(H410),ISNUMBER(I410),H410&gt;I410),"Implied",TRUE,""))</f>
        <v/>
      </c>
      <c r="AV410" s="970" t="n"/>
    </row>
    <row r="411" outlineLevel="1" s="817">
      <c r="W411">
        <f>IF(AND($D411="Occupied",$AC411&lt;&gt;""),$AC411,"")</f>
        <v/>
      </c>
      <c r="X411">
        <f>IF(AND(D411="Occupied",C411&lt;&gt;"",W411&lt;&gt;""),C411&amp;"|"&amp;W411,"")</f>
        <v/>
      </c>
      <c r="Y411">
        <f>IF(AND(C411&lt;&gt;"",W411&lt;&gt;""),C411&amp;"|"&amp;W411,"")</f>
        <v/>
      </c>
      <c r="AA411" s="970" t="n"/>
      <c r="AB411" s="555" t="n"/>
      <c r="AQ411" s="980">
        <f>SUM(AK411:AO411)</f>
        <v/>
      </c>
      <c r="AU411">
        <f t="array" ref="AU411">IF(D411&lt;&gt;"Occupied","",_xlfn.IFS(AND(ISNUMBER(AD411),AD411&lt;&gt;0),"Structured",ISNUMBER(SEARCH("/mo con",S411)),"Notes-parsed",ISNUMBER(SEARCH("step",S411)),"Step-up",ISNUMBER(SEARCH("swap",S411)),"Rate-swap",AND(ISNUMBER(H411),ISNUMBER(I411),H411&gt;I411),"Implied",TRUE,""))</f>
        <v/>
      </c>
      <c r="AV411" s="970" t="n"/>
    </row>
    <row r="412" outlineLevel="1" s="817">
      <c r="W412">
        <f>IF(AND($D412="Occupied",$AC412&lt;&gt;""),$AC412,"")</f>
        <v/>
      </c>
      <c r="X412">
        <f>IF(AND(D412="Occupied",C412&lt;&gt;"",W412&lt;&gt;""),C412&amp;"|"&amp;W412,"")</f>
        <v/>
      </c>
      <c r="Y412">
        <f>IF(AND(C412&lt;&gt;"",W412&lt;&gt;""),C412&amp;"|"&amp;W412,"")</f>
        <v/>
      </c>
      <c r="AA412" s="970" t="n"/>
      <c r="AB412" s="555" t="n"/>
      <c r="AQ412" s="980">
        <f>SUM(AK412:AO412)</f>
        <v/>
      </c>
      <c r="AU412">
        <f t="array" ref="AU412">IF(D412&lt;&gt;"Occupied","",_xlfn.IFS(AND(ISNUMBER(AD412),AD412&lt;&gt;0),"Structured",ISNUMBER(SEARCH("/mo con",S412)),"Notes-parsed",ISNUMBER(SEARCH("step",S412)),"Step-up",ISNUMBER(SEARCH("swap",S412)),"Rate-swap",AND(ISNUMBER(H412),ISNUMBER(I412),H412&gt;I412),"Implied",TRUE,""))</f>
        <v/>
      </c>
      <c r="AV412" s="970" t="n"/>
    </row>
    <row r="413" outlineLevel="1" s="817">
      <c r="W413">
        <f>IF(AND($D413="Occupied",$AC413&lt;&gt;""),$AC413,"")</f>
        <v/>
      </c>
      <c r="X413">
        <f>IF(AND(D413="Occupied",C413&lt;&gt;"",W413&lt;&gt;""),C413&amp;"|"&amp;W413,"")</f>
        <v/>
      </c>
      <c r="Y413">
        <f>IF(AND(C413&lt;&gt;"",W413&lt;&gt;""),C413&amp;"|"&amp;W413,"")</f>
        <v/>
      </c>
      <c r="AA413" s="970" t="n"/>
      <c r="AB413" s="555" t="n"/>
      <c r="AQ413" s="980">
        <f>SUM(AK413:AO413)</f>
        <v/>
      </c>
      <c r="AU413">
        <f t="array" ref="AU413">IF(D413&lt;&gt;"Occupied","",_xlfn.IFS(AND(ISNUMBER(AD413),AD413&lt;&gt;0),"Structured",ISNUMBER(SEARCH("/mo con",S413)),"Notes-parsed",ISNUMBER(SEARCH("step",S413)),"Step-up",ISNUMBER(SEARCH("swap",S413)),"Rate-swap",AND(ISNUMBER(H413),ISNUMBER(I413),H413&gt;I413),"Implied",TRUE,""))</f>
        <v/>
      </c>
      <c r="AV413" s="970" t="n"/>
    </row>
    <row r="414" outlineLevel="1" s="817">
      <c r="W414">
        <f>IF(AND($D414="Occupied",$AC414&lt;&gt;""),$AC414,"")</f>
        <v/>
      </c>
      <c r="X414">
        <f>IF(AND(D414="Occupied",C414&lt;&gt;"",W414&lt;&gt;""),C414&amp;"|"&amp;W414,"")</f>
        <v/>
      </c>
      <c r="Y414">
        <f>IF(AND(C414&lt;&gt;"",W414&lt;&gt;""),C414&amp;"|"&amp;W414,"")</f>
        <v/>
      </c>
      <c r="AA414" s="970" t="n"/>
      <c r="AB414" s="555" t="n"/>
      <c r="AQ414" s="980">
        <f>SUM(AK414:AO414)</f>
        <v/>
      </c>
      <c r="AU414">
        <f t="array" ref="AU414">IF(D414&lt;&gt;"Occupied","",_xlfn.IFS(AND(ISNUMBER(AD414),AD414&lt;&gt;0),"Structured",ISNUMBER(SEARCH("/mo con",S414)),"Notes-parsed",ISNUMBER(SEARCH("step",S414)),"Step-up",ISNUMBER(SEARCH("swap",S414)),"Rate-swap",AND(ISNUMBER(H414),ISNUMBER(I414),H414&gt;I414),"Implied",TRUE,""))</f>
        <v/>
      </c>
      <c r="AV414" s="970" t="n"/>
    </row>
    <row r="415" outlineLevel="1" s="817">
      <c r="W415">
        <f>IF(AND($D415="Occupied",$AC415&lt;&gt;""),$AC415,"")</f>
        <v/>
      </c>
      <c r="X415">
        <f>IF(AND(D415="Occupied",C415&lt;&gt;"",W415&lt;&gt;""),C415&amp;"|"&amp;W415,"")</f>
        <v/>
      </c>
      <c r="Y415">
        <f>IF(AND(C415&lt;&gt;"",W415&lt;&gt;""),C415&amp;"|"&amp;W415,"")</f>
        <v/>
      </c>
      <c r="AA415" s="970" t="n"/>
      <c r="AB415" s="555" t="n"/>
      <c r="AQ415" s="980">
        <f>SUM(AK415:AO415)</f>
        <v/>
      </c>
      <c r="AU415">
        <f t="array" ref="AU415">IF(D415&lt;&gt;"Occupied","",_xlfn.IFS(AND(ISNUMBER(AD415),AD415&lt;&gt;0),"Structured",ISNUMBER(SEARCH("/mo con",S415)),"Notes-parsed",ISNUMBER(SEARCH("step",S415)),"Step-up",ISNUMBER(SEARCH("swap",S415)),"Rate-swap",AND(ISNUMBER(H415),ISNUMBER(I415),H415&gt;I415),"Implied",TRUE,""))</f>
        <v/>
      </c>
      <c r="AV415" s="970" t="n"/>
    </row>
    <row r="416" outlineLevel="1" s="817">
      <c r="W416">
        <f>IF(AND($D416="Occupied",$AC416&lt;&gt;""),$AC416,"")</f>
        <v/>
      </c>
      <c r="X416">
        <f>IF(AND(D416="Occupied",C416&lt;&gt;"",W416&lt;&gt;""),C416&amp;"|"&amp;W416,"")</f>
        <v/>
      </c>
      <c r="Y416">
        <f>IF(AND(C416&lt;&gt;"",W416&lt;&gt;""),C416&amp;"|"&amp;W416,"")</f>
        <v/>
      </c>
      <c r="AA416" s="970" t="n"/>
      <c r="AB416" s="555" t="n"/>
      <c r="AQ416" s="980">
        <f>SUM(AK416:AO416)</f>
        <v/>
      </c>
      <c r="AU416">
        <f t="array" ref="AU416">IF(D416&lt;&gt;"Occupied","",_xlfn.IFS(AND(ISNUMBER(AD416),AD416&lt;&gt;0),"Structured",ISNUMBER(SEARCH("/mo con",S416)),"Notes-parsed",ISNUMBER(SEARCH("step",S416)),"Step-up",ISNUMBER(SEARCH("swap",S416)),"Rate-swap",AND(ISNUMBER(H416),ISNUMBER(I416),H416&gt;I416),"Implied",TRUE,""))</f>
        <v/>
      </c>
      <c r="AV416" s="970" t="n"/>
    </row>
    <row r="417" outlineLevel="1" s="817">
      <c r="W417">
        <f>IF(AND($D417="Occupied",$AC417&lt;&gt;""),$AC417,"")</f>
        <v/>
      </c>
      <c r="X417">
        <f>IF(AND(D417="Occupied",C417&lt;&gt;"",W417&lt;&gt;""),C417&amp;"|"&amp;W417,"")</f>
        <v/>
      </c>
      <c r="Y417">
        <f>IF(AND(C417&lt;&gt;"",W417&lt;&gt;""),C417&amp;"|"&amp;W417,"")</f>
        <v/>
      </c>
      <c r="AA417" s="970" t="n"/>
      <c r="AB417" s="555" t="n"/>
      <c r="AQ417" s="980">
        <f>SUM(AK417:AO417)</f>
        <v/>
      </c>
      <c r="AU417">
        <f t="array" ref="AU417">IF(D417&lt;&gt;"Occupied","",_xlfn.IFS(AND(ISNUMBER(AD417),AD417&lt;&gt;0),"Structured",ISNUMBER(SEARCH("/mo con",S417)),"Notes-parsed",ISNUMBER(SEARCH("step",S417)),"Step-up",ISNUMBER(SEARCH("swap",S417)),"Rate-swap",AND(ISNUMBER(H417),ISNUMBER(I417),H417&gt;I417),"Implied",TRUE,""))</f>
        <v/>
      </c>
      <c r="AV417" s="970" t="n"/>
    </row>
    <row r="418" outlineLevel="1" s="817">
      <c r="W418">
        <f>IF(AND($D418="Occupied",$AC418&lt;&gt;""),$AC418,"")</f>
        <v/>
      </c>
      <c r="X418">
        <f>IF(AND(D418="Occupied",C418&lt;&gt;"",W418&lt;&gt;""),C418&amp;"|"&amp;W418,"")</f>
        <v/>
      </c>
      <c r="Y418">
        <f>IF(AND(C418&lt;&gt;"",W418&lt;&gt;""),C418&amp;"|"&amp;W418,"")</f>
        <v/>
      </c>
      <c r="AA418" s="970" t="n"/>
      <c r="AB418" s="555" t="n"/>
      <c r="AQ418" s="980">
        <f>SUM(AK418:AO418)</f>
        <v/>
      </c>
      <c r="AU418">
        <f t="array" ref="AU418">IF(D418&lt;&gt;"Occupied","",_xlfn.IFS(AND(ISNUMBER(AD418),AD418&lt;&gt;0),"Structured",ISNUMBER(SEARCH("/mo con",S418)),"Notes-parsed",ISNUMBER(SEARCH("step",S418)),"Step-up",ISNUMBER(SEARCH("swap",S418)),"Rate-swap",AND(ISNUMBER(H418),ISNUMBER(I418),H418&gt;I418),"Implied",TRUE,""))</f>
        <v/>
      </c>
      <c r="AV418" s="970" t="n"/>
    </row>
    <row r="419" outlineLevel="1" s="817">
      <c r="W419">
        <f>IF(AND($D419="Occupied",$AC419&lt;&gt;""),$AC419,"")</f>
        <v/>
      </c>
      <c r="X419">
        <f>IF(AND(D419="Occupied",C419&lt;&gt;"",W419&lt;&gt;""),C419&amp;"|"&amp;W419,"")</f>
        <v/>
      </c>
      <c r="Y419">
        <f>IF(AND(C419&lt;&gt;"",W419&lt;&gt;""),C419&amp;"|"&amp;W419,"")</f>
        <v/>
      </c>
      <c r="AA419" s="970" t="n"/>
      <c r="AB419" s="555" t="n"/>
      <c r="AQ419" s="980">
        <f>SUM(AK419:AO419)</f>
        <v/>
      </c>
      <c r="AU419">
        <f t="array" ref="AU419">IF(D419&lt;&gt;"Occupied","",_xlfn.IFS(AND(ISNUMBER(AD419),AD419&lt;&gt;0),"Structured",ISNUMBER(SEARCH("/mo con",S419)),"Notes-parsed",ISNUMBER(SEARCH("step",S419)),"Step-up",ISNUMBER(SEARCH("swap",S419)),"Rate-swap",AND(ISNUMBER(H419),ISNUMBER(I419),H419&gt;I419),"Implied",TRUE,""))</f>
        <v/>
      </c>
      <c r="AV419" s="970" t="n"/>
    </row>
    <row r="420" outlineLevel="1" s="817">
      <c r="W420">
        <f>IF(AND($D420="Occupied",$AC420&lt;&gt;""),$AC420,"")</f>
        <v/>
      </c>
      <c r="X420">
        <f>IF(AND(D420="Occupied",C420&lt;&gt;"",W420&lt;&gt;""),C420&amp;"|"&amp;W420,"")</f>
        <v/>
      </c>
      <c r="Y420">
        <f>IF(AND(C420&lt;&gt;"",W420&lt;&gt;""),C420&amp;"|"&amp;W420,"")</f>
        <v/>
      </c>
      <c r="AA420" s="970" t="n"/>
      <c r="AB420" s="555" t="n"/>
      <c r="AQ420" s="980">
        <f>SUM(AK420:AO420)</f>
        <v/>
      </c>
      <c r="AU420">
        <f t="array" ref="AU420">IF(D420&lt;&gt;"Occupied","",_xlfn.IFS(AND(ISNUMBER(AD420),AD420&lt;&gt;0),"Structured",ISNUMBER(SEARCH("/mo con",S420)),"Notes-parsed",ISNUMBER(SEARCH("step",S420)),"Step-up",ISNUMBER(SEARCH("swap",S420)),"Rate-swap",AND(ISNUMBER(H420),ISNUMBER(I420),H420&gt;I420),"Implied",TRUE,""))</f>
        <v/>
      </c>
      <c r="AV420" s="970" t="n"/>
    </row>
    <row r="421" outlineLevel="1" s="817">
      <c r="W421">
        <f>IF(AND($D421="Occupied",$AC421&lt;&gt;""),$AC421,"")</f>
        <v/>
      </c>
      <c r="X421">
        <f>IF(AND(D421="Occupied",C421&lt;&gt;"",W421&lt;&gt;""),C421&amp;"|"&amp;W421,"")</f>
        <v/>
      </c>
      <c r="Y421">
        <f>IF(AND(C421&lt;&gt;"",W421&lt;&gt;""),C421&amp;"|"&amp;W421,"")</f>
        <v/>
      </c>
      <c r="AA421" s="970" t="n"/>
      <c r="AB421" s="555" t="n"/>
      <c r="AQ421" s="980">
        <f>SUM(AK421:AO421)</f>
        <v/>
      </c>
      <c r="AU421">
        <f t="array" ref="AU421">IF(D421&lt;&gt;"Occupied","",_xlfn.IFS(AND(ISNUMBER(AD421),AD421&lt;&gt;0),"Structured",ISNUMBER(SEARCH("/mo con",S421)),"Notes-parsed",ISNUMBER(SEARCH("step",S421)),"Step-up",ISNUMBER(SEARCH("swap",S421)),"Rate-swap",AND(ISNUMBER(H421),ISNUMBER(I421),H421&gt;I421),"Implied",TRUE,""))</f>
        <v/>
      </c>
      <c r="AV421" s="970" t="n"/>
    </row>
    <row r="422" outlineLevel="1" s="817">
      <c r="W422">
        <f>IF(AND($D422="Occupied",$AC422&lt;&gt;""),$AC422,"")</f>
        <v/>
      </c>
      <c r="X422">
        <f>IF(AND(D422="Occupied",C422&lt;&gt;"",W422&lt;&gt;""),C422&amp;"|"&amp;W422,"")</f>
        <v/>
      </c>
      <c r="Y422">
        <f>IF(AND(C422&lt;&gt;"",W422&lt;&gt;""),C422&amp;"|"&amp;W422,"")</f>
        <v/>
      </c>
      <c r="AA422" s="970" t="n"/>
      <c r="AB422" s="555" t="n"/>
      <c r="AQ422" s="980">
        <f>SUM(AK422:AO422)</f>
        <v/>
      </c>
      <c r="AU422">
        <f t="array" ref="AU422">IF(D422&lt;&gt;"Occupied","",_xlfn.IFS(AND(ISNUMBER(AD422),AD422&lt;&gt;0),"Structured",ISNUMBER(SEARCH("/mo con",S422)),"Notes-parsed",ISNUMBER(SEARCH("step",S422)),"Step-up",ISNUMBER(SEARCH("swap",S422)),"Rate-swap",AND(ISNUMBER(H422),ISNUMBER(I422),H422&gt;I422),"Implied",TRUE,""))</f>
        <v/>
      </c>
      <c r="AV422" s="970" t="n"/>
    </row>
    <row r="423" outlineLevel="1" s="817">
      <c r="W423">
        <f>IF(AND($D423="Occupied",$AC423&lt;&gt;""),$AC423,"")</f>
        <v/>
      </c>
      <c r="X423">
        <f>IF(AND(D423="Occupied",C423&lt;&gt;"",W423&lt;&gt;""),C423&amp;"|"&amp;W423,"")</f>
        <v/>
      </c>
      <c r="Y423">
        <f>IF(AND(C423&lt;&gt;"",W423&lt;&gt;""),C423&amp;"|"&amp;W423,"")</f>
        <v/>
      </c>
      <c r="AA423" s="970" t="n"/>
      <c r="AB423" s="555" t="n"/>
      <c r="AQ423" s="980">
        <f>SUM(AK423:AO423)</f>
        <v/>
      </c>
      <c r="AU423">
        <f t="array" ref="AU423">IF(D423&lt;&gt;"Occupied","",_xlfn.IFS(AND(ISNUMBER(AD423),AD423&lt;&gt;0),"Structured",ISNUMBER(SEARCH("/mo con",S423)),"Notes-parsed",ISNUMBER(SEARCH("step",S423)),"Step-up",ISNUMBER(SEARCH("swap",S423)),"Rate-swap",AND(ISNUMBER(H423),ISNUMBER(I423),H423&gt;I423),"Implied",TRUE,""))</f>
        <v/>
      </c>
      <c r="AV423" s="970">
        <f>IF(AD423&lt;&gt;"",AD423,IF(AU423="Implied",-(H423-I423),IF(OR(AU423="Step-up",AU423="Rate-swap"),"see notes","")))</f>
        <v/>
      </c>
    </row>
    <row r="424" outlineLevel="1" s="817">
      <c r="W424">
        <f>IF(AND($D424="Occupied",$AC424&lt;&gt;""),$AC424,"")</f>
        <v/>
      </c>
      <c r="X424">
        <f>IF(AND(D424="Occupied",C424&lt;&gt;"",W424&lt;&gt;""),C424&amp;"|"&amp;W424,"")</f>
        <v/>
      </c>
      <c r="Y424">
        <f>IF(AND(C424&lt;&gt;"",W424&lt;&gt;""),C424&amp;"|"&amp;W424,"")</f>
        <v/>
      </c>
      <c r="AA424" s="970" t="n"/>
      <c r="AB424" s="555" t="n"/>
      <c r="AQ424" s="980">
        <f>SUM(AK424:AO424)</f>
        <v/>
      </c>
      <c r="AU424">
        <f t="array" ref="AU424">IF(D424&lt;&gt;"Occupied","",_xlfn.IFS(AND(ISNUMBER(AD424),AD424&lt;&gt;0),"Structured",ISNUMBER(SEARCH("/mo con",S424)),"Notes-parsed",ISNUMBER(SEARCH("step",S424)),"Step-up",ISNUMBER(SEARCH("swap",S424)),"Rate-swap",AND(ISNUMBER(H424),ISNUMBER(I424),H424&gt;I424),"Implied",TRUE,""))</f>
        <v/>
      </c>
      <c r="AV424" s="970">
        <f>IF(AD424&lt;&gt;"",AD424,IF(AU424="Implied",-(H424-I424),IF(OR(AU424="Step-up",AU424="Rate-swap"),"see notes","")))</f>
        <v/>
      </c>
    </row>
    <row r="425" outlineLevel="1" s="817">
      <c r="W425">
        <f>IF(AND($D425="Occupied",$AC425&lt;&gt;""),$AC425,"")</f>
        <v/>
      </c>
      <c r="X425">
        <f>IF(AND(D425="Occupied",C425&lt;&gt;"",W425&lt;&gt;""),C425&amp;"|"&amp;W425,"")</f>
        <v/>
      </c>
      <c r="Y425">
        <f>IF(AND(C425&lt;&gt;"",W425&lt;&gt;""),C425&amp;"|"&amp;W425,"")</f>
        <v/>
      </c>
      <c r="AA425" s="970" t="n"/>
      <c r="AB425" s="555" t="n"/>
      <c r="AQ425" s="980">
        <f>SUM(AK425:AO425)</f>
        <v/>
      </c>
      <c r="AU425">
        <f t="array" ref="AU425">IF(D425&lt;&gt;"Occupied","",_xlfn.IFS(AND(ISNUMBER(AD425),AD425&lt;&gt;0),"Structured",ISNUMBER(SEARCH("/mo con",S425)),"Notes-parsed",ISNUMBER(SEARCH("step",S425)),"Step-up",ISNUMBER(SEARCH("swap",S425)),"Rate-swap",AND(ISNUMBER(H425),ISNUMBER(I425),H425&gt;I425),"Implied",TRUE,""))</f>
        <v/>
      </c>
      <c r="AV425" s="970">
        <f>IF(AD425&lt;&gt;"",AD425,IF(AU425="Implied",-(H425-I425),IF(OR(AU425="Step-up",AU425="Rate-swap"),"see notes","")))</f>
        <v/>
      </c>
    </row>
    <row r="426" outlineLevel="1" s="817">
      <c r="W426">
        <f>IF(AND($D426="Occupied",$AC426&lt;&gt;""),$AC426,"")</f>
        <v/>
      </c>
      <c r="X426">
        <f>IF(AND(D426="Occupied",C426&lt;&gt;"",W426&lt;&gt;""),C426&amp;"|"&amp;W426,"")</f>
        <v/>
      </c>
      <c r="Y426">
        <f>IF(AND(C426&lt;&gt;"",W426&lt;&gt;""),C426&amp;"|"&amp;W426,"")</f>
        <v/>
      </c>
      <c r="AA426" s="970" t="n"/>
      <c r="AB426" s="555" t="n"/>
      <c r="AQ426" s="980">
        <f>SUM(AK426:AO426)</f>
        <v/>
      </c>
      <c r="AU426">
        <f t="array" ref="AU426">IF(D426&lt;&gt;"Occupied","",_xlfn.IFS(AND(ISNUMBER(AD426),AD426&lt;&gt;0),"Structured",ISNUMBER(SEARCH("/mo con",S426)),"Notes-parsed",ISNUMBER(SEARCH("step",S426)),"Step-up",ISNUMBER(SEARCH("swap",S426)),"Rate-swap",AND(ISNUMBER(H426),ISNUMBER(I426),H426&gt;I426),"Implied",TRUE,""))</f>
        <v/>
      </c>
      <c r="AV426" s="970">
        <f>IF(AD426&lt;&gt;"",AD426,IF(AU426="Implied",-(H426-I426),IF(OR(AU426="Step-up",AU426="Rate-swap"),"see notes","")))</f>
        <v/>
      </c>
    </row>
    <row r="427" outlineLevel="1" s="817">
      <c r="W427">
        <f>IF(AND($D427="Occupied",$AC427&lt;&gt;""),$AC427,"")</f>
        <v/>
      </c>
      <c r="X427">
        <f>IF(AND(D427="Occupied",C427&lt;&gt;"",W427&lt;&gt;""),C427&amp;"|"&amp;W427,"")</f>
        <v/>
      </c>
      <c r="Y427">
        <f>IF(AND(C427&lt;&gt;"",W427&lt;&gt;""),C427&amp;"|"&amp;W427,"")</f>
        <v/>
      </c>
      <c r="AA427" s="970" t="n"/>
      <c r="AB427" s="555" t="n"/>
      <c r="AQ427" s="980">
        <f>SUM(AK427:AO427)</f>
        <v/>
      </c>
      <c r="AU427">
        <f t="array" ref="AU427">IF(D427&lt;&gt;"Occupied","",_xlfn.IFS(AND(ISNUMBER(AD427),AD427&lt;&gt;0),"Structured",ISNUMBER(SEARCH("/mo con",S427)),"Notes-parsed",ISNUMBER(SEARCH("step",S427)),"Step-up",ISNUMBER(SEARCH("swap",S427)),"Rate-swap",AND(ISNUMBER(H427),ISNUMBER(I427),H427&gt;I427),"Implied",TRUE,""))</f>
        <v/>
      </c>
      <c r="AV427" s="970">
        <f>IF(AD427&lt;&gt;"",AD427,IF(AU427="Implied",-(H427-I427),IF(OR(AU427="Step-up",AU427="Rate-swap"),"see notes","")))</f>
        <v/>
      </c>
    </row>
    <row r="428" outlineLevel="1" s="817">
      <c r="W428">
        <f>IF(AND($D428="Occupied",$AC428&lt;&gt;""),$AC428,"")</f>
        <v/>
      </c>
      <c r="X428">
        <f>IF(AND(D428="Occupied",C428&lt;&gt;"",W428&lt;&gt;""),C428&amp;"|"&amp;W428,"")</f>
        <v/>
      </c>
      <c r="Y428">
        <f>IF(AND(C428&lt;&gt;"",W428&lt;&gt;""),C428&amp;"|"&amp;W428,"")</f>
        <v/>
      </c>
      <c r="AA428" s="970" t="n"/>
      <c r="AB428" s="555" t="n"/>
      <c r="AQ428" s="980">
        <f>SUM(AK428:AO428)</f>
        <v/>
      </c>
      <c r="AU428">
        <f t="array" ref="AU428">IF(D428&lt;&gt;"Occupied","",_xlfn.IFS(AND(ISNUMBER(AD428),AD428&lt;&gt;0),"Structured",ISNUMBER(SEARCH("/mo con",S428)),"Notes-parsed",ISNUMBER(SEARCH("step",S428)),"Step-up",ISNUMBER(SEARCH("swap",S428)),"Rate-swap",AND(ISNUMBER(H428),ISNUMBER(I428),H428&gt;I428),"Implied",TRUE,""))</f>
        <v/>
      </c>
      <c r="AV428" s="970">
        <f>IF(AD428&lt;&gt;"",AD428,IF(AU428="Implied",-(H428-I428),IF(OR(AU428="Step-up",AU428="Rate-swap"),"see notes","")))</f>
        <v/>
      </c>
    </row>
    <row r="429" outlineLevel="1" s="817">
      <c r="W429">
        <f>IF(AND($D429="Occupied",$AC429&lt;&gt;""),$AC429,"")</f>
        <v/>
      </c>
      <c r="X429">
        <f>IF(AND(D429="Occupied",C429&lt;&gt;"",W429&lt;&gt;""),C429&amp;"|"&amp;W429,"")</f>
        <v/>
      </c>
      <c r="Y429">
        <f>IF(AND(C429&lt;&gt;"",W429&lt;&gt;""),C429&amp;"|"&amp;W429,"")</f>
        <v/>
      </c>
      <c r="AA429" s="970" t="n"/>
      <c r="AB429" s="555" t="n"/>
      <c r="AQ429" s="980">
        <f>SUM(AK429:AO429)</f>
        <v/>
      </c>
      <c r="AU429">
        <f t="array" ref="AU429">IF(D429&lt;&gt;"Occupied","",_xlfn.IFS(AND(ISNUMBER(AD429),AD429&lt;&gt;0),"Structured",ISNUMBER(SEARCH("/mo con",S429)),"Notes-parsed",ISNUMBER(SEARCH("step",S429)),"Step-up",ISNUMBER(SEARCH("swap",S429)),"Rate-swap",AND(ISNUMBER(H429),ISNUMBER(I429),H429&gt;I429),"Implied",TRUE,""))</f>
        <v/>
      </c>
      <c r="AV429" s="970">
        <f>IF(AD429&lt;&gt;"",AD429,IF(AU429="Implied",-(H429-I429),IF(OR(AU429="Step-up",AU429="Rate-swap"),"see notes","")))</f>
        <v/>
      </c>
    </row>
    <row r="430" outlineLevel="1" s="817">
      <c r="W430">
        <f>IF(AND($D430="Occupied",$AC430&lt;&gt;""),$AC430,"")</f>
        <v/>
      </c>
      <c r="X430">
        <f>IF(AND(D430="Occupied",C430&lt;&gt;"",W430&lt;&gt;""),C430&amp;"|"&amp;W430,"")</f>
        <v/>
      </c>
      <c r="Y430">
        <f>IF(AND(C430&lt;&gt;"",W430&lt;&gt;""),C430&amp;"|"&amp;W430,"")</f>
        <v/>
      </c>
      <c r="AA430" s="970" t="n"/>
      <c r="AB430" s="555" t="n"/>
      <c r="AQ430" s="980">
        <f>SUM(AK430:AO430)</f>
        <v/>
      </c>
      <c r="AU430">
        <f t="array" ref="AU430">IF(D430&lt;&gt;"Occupied","",_xlfn.IFS(AND(ISNUMBER(AD430),AD430&lt;&gt;0),"Structured",ISNUMBER(SEARCH("/mo con",S430)),"Notes-parsed",ISNUMBER(SEARCH("step",S430)),"Step-up",ISNUMBER(SEARCH("swap",S430)),"Rate-swap",AND(ISNUMBER(H430),ISNUMBER(I430),H430&gt;I430),"Implied",TRUE,""))</f>
        <v/>
      </c>
      <c r="AV430" s="970">
        <f>IF(AD430&lt;&gt;"",AD430,IF(AU430="Implied",-(H430-I430),IF(OR(AU430="Step-up",AU430="Rate-swap"),"see notes","")))</f>
        <v/>
      </c>
    </row>
    <row r="431" outlineLevel="1" s="817">
      <c r="W431">
        <f>IF(AND($D431="Occupied",$AC431&lt;&gt;""),$AC431,"")</f>
        <v/>
      </c>
      <c r="X431">
        <f>IF(AND(D431="Occupied",C431&lt;&gt;"",W431&lt;&gt;""),C431&amp;"|"&amp;W431,"")</f>
        <v/>
      </c>
      <c r="Y431">
        <f>IF(AND(C431&lt;&gt;"",W431&lt;&gt;""),C431&amp;"|"&amp;W431,"")</f>
        <v/>
      </c>
      <c r="AA431" s="970" t="n"/>
      <c r="AB431" s="555" t="n"/>
      <c r="AQ431" s="980">
        <f>SUM(AK431:AO431)</f>
        <v/>
      </c>
      <c r="AU431">
        <f t="array" ref="AU431">IF(D431&lt;&gt;"Occupied","",_xlfn.IFS(AND(ISNUMBER(AD431),AD431&lt;&gt;0),"Structured",ISNUMBER(SEARCH("/mo con",S431)),"Notes-parsed",ISNUMBER(SEARCH("step",S431)),"Step-up",ISNUMBER(SEARCH("swap",S431)),"Rate-swap",AND(ISNUMBER(H431),ISNUMBER(I431),H431&gt;I431),"Implied",TRUE,""))</f>
        <v/>
      </c>
      <c r="AV431" s="970">
        <f>IF(AD431&lt;&gt;"",AD431,IF(AU431="Implied",-(H431-I431),IF(OR(AU431="Step-up",AU431="Rate-swap"),"see notes","")))</f>
        <v/>
      </c>
    </row>
    <row r="432" outlineLevel="1" s="817">
      <c r="W432">
        <f>IF(AND($D432="Occupied",$AC432&lt;&gt;""),$AC432,"")</f>
        <v/>
      </c>
      <c r="X432">
        <f>IF(AND(D432="Occupied",C432&lt;&gt;"",W432&lt;&gt;""),C432&amp;"|"&amp;W432,"")</f>
        <v/>
      </c>
      <c r="Y432">
        <f>IF(AND(C432&lt;&gt;"",W432&lt;&gt;""),C432&amp;"|"&amp;W432,"")</f>
        <v/>
      </c>
      <c r="AA432" s="970" t="n"/>
      <c r="AB432" s="555" t="n"/>
      <c r="AQ432" s="980">
        <f>SUM(AK432:AO432)</f>
        <v/>
      </c>
      <c r="AU432">
        <f t="array" ref="AU432">IF(D432&lt;&gt;"Occupied","",_xlfn.IFS(AND(ISNUMBER(AD432),AD432&lt;&gt;0),"Structured",ISNUMBER(SEARCH("/mo con",S432)),"Notes-parsed",ISNUMBER(SEARCH("step",S432)),"Step-up",ISNUMBER(SEARCH("swap",S432)),"Rate-swap",AND(ISNUMBER(H432),ISNUMBER(I432),H432&gt;I432),"Implied",TRUE,""))</f>
        <v/>
      </c>
      <c r="AV432" s="970">
        <f>IF(AD432&lt;&gt;"",AD432,IF(AU432="Implied",-(H432-I432),IF(OR(AU432="Step-up",AU432="Rate-swap"),"see notes","")))</f>
        <v/>
      </c>
    </row>
    <row r="433" outlineLevel="1" s="817">
      <c r="W433">
        <f>IF(AND($D433="Occupied",$AC433&lt;&gt;""),$AC433,"")</f>
        <v/>
      </c>
      <c r="X433">
        <f>IF(AND(D433="Occupied",C433&lt;&gt;"",W433&lt;&gt;""),C433&amp;"|"&amp;W433,"")</f>
        <v/>
      </c>
      <c r="Y433">
        <f>IF(AND(C433&lt;&gt;"",W433&lt;&gt;""),C433&amp;"|"&amp;W433,"")</f>
        <v/>
      </c>
      <c r="AA433" s="970" t="n"/>
      <c r="AB433" s="555" t="n"/>
      <c r="AQ433" s="980">
        <f>SUM(AK433:AO433)</f>
        <v/>
      </c>
      <c r="AU433">
        <f t="array" ref="AU433">IF(D433&lt;&gt;"Occupied","",_xlfn.IFS(AND(ISNUMBER(AD433),AD433&lt;&gt;0),"Structured",ISNUMBER(SEARCH("/mo con",S433)),"Notes-parsed",ISNUMBER(SEARCH("step",S433)),"Step-up",ISNUMBER(SEARCH("swap",S433)),"Rate-swap",AND(ISNUMBER(H433),ISNUMBER(I433),H433&gt;I433),"Implied",TRUE,""))</f>
        <v/>
      </c>
      <c r="AV433" s="970">
        <f>IF(AD433&lt;&gt;"",AD433,IF(AU433="Implied",-(H433-I433),IF(OR(AU433="Step-up",AU433="Rate-swap"),"see notes","")))</f>
        <v/>
      </c>
    </row>
    <row r="434" outlineLevel="1" s="817">
      <c r="W434">
        <f>IF(AND($D434="Occupied",$AC434&lt;&gt;""),$AC434,"")</f>
        <v/>
      </c>
      <c r="X434">
        <f>IF(AND(D434="Occupied",C434&lt;&gt;"",W434&lt;&gt;""),C434&amp;"|"&amp;W434,"")</f>
        <v/>
      </c>
      <c r="Y434">
        <f>IF(AND(C434&lt;&gt;"",W434&lt;&gt;""),C434&amp;"|"&amp;W434,"")</f>
        <v/>
      </c>
      <c r="AA434" s="970" t="n"/>
      <c r="AB434" s="555" t="n"/>
      <c r="AQ434" s="980">
        <f>SUM(AK434:AO434)</f>
        <v/>
      </c>
      <c r="AU434">
        <f t="array" ref="AU434">IF(D434&lt;&gt;"Occupied","",_xlfn.IFS(AND(ISNUMBER(AD434),AD434&lt;&gt;0),"Structured",ISNUMBER(SEARCH("/mo con",S434)),"Notes-parsed",ISNUMBER(SEARCH("step",S434)),"Step-up",ISNUMBER(SEARCH("swap",S434)),"Rate-swap",AND(ISNUMBER(H434),ISNUMBER(I434),H434&gt;I434),"Implied",TRUE,""))</f>
        <v/>
      </c>
      <c r="AV434" s="970">
        <f>IF(AD434&lt;&gt;"",AD434,IF(AU434="Implied",-(H434-I434),IF(OR(AU434="Step-up",AU434="Rate-swap"),"see notes","")))</f>
        <v/>
      </c>
    </row>
    <row r="435" outlineLevel="1" s="817">
      <c r="W435">
        <f>IF(AND($D435="Occupied",$AC435&lt;&gt;""),$AC435,"")</f>
        <v/>
      </c>
      <c r="X435">
        <f>IF(AND(D435="Occupied",C435&lt;&gt;"",W435&lt;&gt;""),C435&amp;"|"&amp;W435,"")</f>
        <v/>
      </c>
      <c r="Y435">
        <f>IF(AND(C435&lt;&gt;"",W435&lt;&gt;""),C435&amp;"|"&amp;W435,"")</f>
        <v/>
      </c>
      <c r="AA435" s="970" t="n"/>
      <c r="AB435" s="555" t="n"/>
      <c r="AQ435" s="980">
        <f>SUM(AK435:AO435)</f>
        <v/>
      </c>
      <c r="AU435">
        <f t="array" ref="AU435">IF(D435&lt;&gt;"Occupied","",_xlfn.IFS(AND(ISNUMBER(AD435),AD435&lt;&gt;0),"Structured",ISNUMBER(SEARCH("/mo con",S435)),"Notes-parsed",ISNUMBER(SEARCH("step",S435)),"Step-up",ISNUMBER(SEARCH("swap",S435)),"Rate-swap",AND(ISNUMBER(H435),ISNUMBER(I435),H435&gt;I435),"Implied",TRUE,""))</f>
        <v/>
      </c>
      <c r="AV435" s="970">
        <f>IF(AD435&lt;&gt;"",AD435,IF(AU435="Implied",-(H435-I435),IF(OR(AU435="Step-up",AU435="Rate-swap"),"see notes","")))</f>
        <v/>
      </c>
    </row>
    <row r="436" outlineLevel="1" s="817">
      <c r="W436">
        <f>IF(AND($D436="Occupied",$AC436&lt;&gt;""),$AC436,"")</f>
        <v/>
      </c>
      <c r="X436">
        <f>IF(AND(D436="Occupied",C436&lt;&gt;"",W436&lt;&gt;""),C436&amp;"|"&amp;W436,"")</f>
        <v/>
      </c>
      <c r="Y436">
        <f>IF(AND(C436&lt;&gt;"",W436&lt;&gt;""),C436&amp;"|"&amp;W436,"")</f>
        <v/>
      </c>
      <c r="AA436" s="970" t="n"/>
      <c r="AB436" s="555" t="n"/>
      <c r="AQ436" s="980">
        <f>SUM(AK436:AO436)</f>
        <v/>
      </c>
      <c r="AU436">
        <f t="array" ref="AU436">IF(D436&lt;&gt;"Occupied","",_xlfn.IFS(AND(ISNUMBER(AD436),AD436&lt;&gt;0),"Structured",ISNUMBER(SEARCH("/mo con",S436)),"Notes-parsed",ISNUMBER(SEARCH("step",S436)),"Step-up",ISNUMBER(SEARCH("swap",S436)),"Rate-swap",AND(ISNUMBER(H436),ISNUMBER(I436),H436&gt;I436),"Implied",TRUE,""))</f>
        <v/>
      </c>
      <c r="AV436" s="970">
        <f>IF(AD436&lt;&gt;"",AD436,IF(AU436="Implied",-(H436-I436),IF(OR(AU436="Step-up",AU436="Rate-swap"),"see notes","")))</f>
        <v/>
      </c>
    </row>
    <row r="437" outlineLevel="1" s="817">
      <c r="W437">
        <f>IF(AND($D437="Occupied",$AC437&lt;&gt;""),$AC437,"")</f>
        <v/>
      </c>
      <c r="X437">
        <f>IF(AND(D437="Occupied",C437&lt;&gt;"",W437&lt;&gt;""),C437&amp;"|"&amp;W437,"")</f>
        <v/>
      </c>
      <c r="Y437">
        <f>IF(AND(C437&lt;&gt;"",W437&lt;&gt;""),C437&amp;"|"&amp;W437,"")</f>
        <v/>
      </c>
      <c r="AA437" s="970" t="n"/>
      <c r="AB437" s="555" t="n"/>
      <c r="AQ437" s="980">
        <f>SUM(AK437:AO437)</f>
        <v/>
      </c>
      <c r="AU437">
        <f t="array" ref="AU437">IF(D437&lt;&gt;"Occupied","",_xlfn.IFS(AND(ISNUMBER(AD437),AD437&lt;&gt;0),"Structured",ISNUMBER(SEARCH("/mo con",S437)),"Notes-parsed",ISNUMBER(SEARCH("step",S437)),"Step-up",ISNUMBER(SEARCH("swap",S437)),"Rate-swap",AND(ISNUMBER(H437),ISNUMBER(I437),H437&gt;I437),"Implied",TRUE,""))</f>
        <v/>
      </c>
      <c r="AV437" s="970">
        <f>IF(AD437&lt;&gt;"",AD437,IF(AU437="Implied",-(H437-I437),IF(OR(AU437="Step-up",AU437="Rate-swap"),"see notes","")))</f>
        <v/>
      </c>
    </row>
    <row r="438" outlineLevel="1" s="817">
      <c r="W438">
        <f>IF(AND($D438="Occupied",$AC438&lt;&gt;""),$AC438,"")</f>
        <v/>
      </c>
      <c r="X438">
        <f>IF(AND(D438="Occupied",C438&lt;&gt;"",W438&lt;&gt;""),C438&amp;"|"&amp;W438,"")</f>
        <v/>
      </c>
      <c r="Y438">
        <f>IF(AND(C438&lt;&gt;"",W438&lt;&gt;""),C438&amp;"|"&amp;W438,"")</f>
        <v/>
      </c>
      <c r="AA438" s="970" t="n"/>
      <c r="AB438" s="555" t="n"/>
      <c r="AQ438" s="980">
        <f>SUM(AK438:AO438)</f>
        <v/>
      </c>
      <c r="AU438">
        <f t="array" ref="AU438">IF(D438&lt;&gt;"Occupied","",_xlfn.IFS(AND(ISNUMBER(AD438),AD438&lt;&gt;0),"Structured",ISNUMBER(SEARCH("/mo con",S438)),"Notes-parsed",ISNUMBER(SEARCH("step",S438)),"Step-up",ISNUMBER(SEARCH("swap",S438)),"Rate-swap",AND(ISNUMBER(H438),ISNUMBER(I438),H438&gt;I438),"Implied",TRUE,""))</f>
        <v/>
      </c>
      <c r="AV438" s="970">
        <f>IF(AD438&lt;&gt;"",AD438,IF(AU438="Implied",-(H438-I438),IF(OR(AU438="Step-up",AU438="Rate-swap"),"see notes","")))</f>
        <v/>
      </c>
    </row>
    <row r="439" outlineLevel="1" s="817">
      <c r="W439">
        <f>IF(AND($D439="Occupied",$AC439&lt;&gt;""),$AC439,"")</f>
        <v/>
      </c>
      <c r="X439">
        <f>IF(AND(D439="Occupied",C439&lt;&gt;"",W439&lt;&gt;""),C439&amp;"|"&amp;W439,"")</f>
        <v/>
      </c>
      <c r="Y439">
        <f>IF(AND(C439&lt;&gt;"",W439&lt;&gt;""),C439&amp;"|"&amp;W439,"")</f>
        <v/>
      </c>
      <c r="AA439" s="970" t="n"/>
      <c r="AB439" s="555" t="n"/>
      <c r="AQ439" s="980">
        <f>SUM(AK439:AO439)</f>
        <v/>
      </c>
      <c r="AU439">
        <f t="array" ref="AU439">IF(D439&lt;&gt;"Occupied","",_xlfn.IFS(AND(ISNUMBER(AD439),AD439&lt;&gt;0),"Structured",ISNUMBER(SEARCH("/mo con",S439)),"Notes-parsed",ISNUMBER(SEARCH("step",S439)),"Step-up",ISNUMBER(SEARCH("swap",S439)),"Rate-swap",AND(ISNUMBER(H439),ISNUMBER(I439),H439&gt;I439),"Implied",TRUE,""))</f>
        <v/>
      </c>
      <c r="AV439" s="970">
        <f>IF(AD439&lt;&gt;"",AD439,IF(AU439="Implied",-(H439-I439),IF(OR(AU439="Step-up",AU439="Rate-swap"),"see notes","")))</f>
        <v/>
      </c>
    </row>
    <row r="440" outlineLevel="1" s="817">
      <c r="W440">
        <f>IF(AND($D440="Occupied",$AC440&lt;&gt;""),$AC440,"")</f>
        <v/>
      </c>
      <c r="X440">
        <f>IF(AND(D440="Occupied",C440&lt;&gt;"",W440&lt;&gt;""),C440&amp;"|"&amp;W440,"")</f>
        <v/>
      </c>
      <c r="Y440">
        <f>IF(AND(C440&lt;&gt;"",W440&lt;&gt;""),C440&amp;"|"&amp;W440,"")</f>
        <v/>
      </c>
      <c r="AA440" s="970" t="n"/>
      <c r="AB440" s="555" t="n"/>
      <c r="AQ440" s="980">
        <f>SUM(AK440:AO440)</f>
        <v/>
      </c>
      <c r="AU440">
        <f t="array" ref="AU440">IF(D440&lt;&gt;"Occupied","",_xlfn.IFS(AND(ISNUMBER(AD440),AD440&lt;&gt;0),"Structured",ISNUMBER(SEARCH("/mo con",S440)),"Notes-parsed",ISNUMBER(SEARCH("step",S440)),"Step-up",ISNUMBER(SEARCH("swap",S440)),"Rate-swap",AND(ISNUMBER(H440),ISNUMBER(I440),H440&gt;I440),"Implied",TRUE,""))</f>
        <v/>
      </c>
      <c r="AV440" s="970">
        <f>IF(AD440&lt;&gt;"",AD440,IF(AU440="Implied",-(H440-I440),IF(OR(AU440="Step-up",AU440="Rate-swap"),"see notes","")))</f>
        <v/>
      </c>
    </row>
    <row r="441" outlineLevel="1" s="817">
      <c r="W441">
        <f>IF(AND($D441="Occupied",$AC441&lt;&gt;""),$AC441,"")</f>
        <v/>
      </c>
      <c r="X441">
        <f>IF(AND(D441="Occupied",C441&lt;&gt;"",W441&lt;&gt;""),C441&amp;"|"&amp;W441,"")</f>
        <v/>
      </c>
      <c r="Y441">
        <f>IF(AND(C441&lt;&gt;"",W441&lt;&gt;""),C441&amp;"|"&amp;W441,"")</f>
        <v/>
      </c>
      <c r="AA441" s="970" t="n"/>
      <c r="AB441" s="555" t="n"/>
      <c r="AQ441" s="980">
        <f>SUM(AK441:AO441)</f>
        <v/>
      </c>
      <c r="AU441">
        <f t="array" ref="AU441">IF(D441&lt;&gt;"Occupied","",_xlfn.IFS(AND(ISNUMBER(AD441),AD441&lt;&gt;0),"Structured",ISNUMBER(SEARCH("/mo con",S441)),"Notes-parsed",ISNUMBER(SEARCH("step",S441)),"Step-up",ISNUMBER(SEARCH("swap",S441)),"Rate-swap",AND(ISNUMBER(H441),ISNUMBER(I441),H441&gt;I441),"Implied",TRUE,""))</f>
        <v/>
      </c>
      <c r="AV441" s="970">
        <f>IF(AD441&lt;&gt;"",AD441,IF(AU441="Implied",-(H441-I441),IF(OR(AU441="Step-up",AU441="Rate-swap"),"see notes","")))</f>
        <v/>
      </c>
    </row>
    <row r="442" outlineLevel="1" s="817">
      <c r="W442">
        <f>IF(AND($D442="Occupied",$AC442&lt;&gt;""),$AC442,"")</f>
        <v/>
      </c>
      <c r="X442">
        <f>IF(AND(D442="Occupied",C442&lt;&gt;"",W442&lt;&gt;""),C442&amp;"|"&amp;W442,"")</f>
        <v/>
      </c>
      <c r="Y442">
        <f>IF(AND(C442&lt;&gt;"",W442&lt;&gt;""),C442&amp;"|"&amp;W442,"")</f>
        <v/>
      </c>
      <c r="AA442" s="970">
        <f>IF(AND(I442&gt;0,H442&gt;0),H442-I442,"")</f>
        <v/>
      </c>
      <c r="AB442" s="555">
        <f>IF(AND(I442&gt;0,H442&gt;0),(H442-I442)/H442,"")</f>
        <v/>
      </c>
      <c r="AQ442" s="980">
        <f>SUM(AK442:AO442)</f>
        <v/>
      </c>
      <c r="AU442">
        <f t="array" ref="AU442">IF(D442&lt;&gt;"Occupied","",_xlfn.IFS(AND(ISNUMBER(AD442),AD442&lt;&gt;0),"Structured",ISNUMBER(SEARCH("/mo con",S442)),"Notes-parsed",ISNUMBER(SEARCH("step",S442)),"Step-up",ISNUMBER(SEARCH("swap",S442)),"Rate-swap",AND(ISNUMBER(H442),ISNUMBER(I442),H442&gt;I442),"Implied",TRUE,""))</f>
        <v/>
      </c>
      <c r="AV442" s="970">
        <f>IF(AD442&lt;&gt;"",AD442,IF(AU442="Implied",-(H442-I442),IF(OR(AU442="Step-up",AU442="Rate-swap"),"see notes","")))</f>
        <v/>
      </c>
    </row>
    <row r="443" outlineLevel="1" s="817">
      <c r="W443">
        <f>IF(AND($D443="Occupied",$AC443&lt;&gt;""),$AC443,"")</f>
        <v/>
      </c>
      <c r="X443">
        <f>IF(AND(D443="Occupied",C443&lt;&gt;"",W443&lt;&gt;""),C443&amp;"|"&amp;W443,"")</f>
        <v/>
      </c>
      <c r="Y443">
        <f>IF(AND(C443&lt;&gt;"",W443&lt;&gt;""),C443&amp;"|"&amp;W443,"")</f>
        <v/>
      </c>
      <c r="AA443" s="970">
        <f>IF(AND(I443&gt;0,H443&gt;0),H443-I443,"")</f>
        <v/>
      </c>
      <c r="AB443" s="555">
        <f>IF(AND(I443&gt;0,H443&gt;0),(H443-I443)/H443,"")</f>
        <v/>
      </c>
      <c r="AQ443" s="980">
        <f>SUM(AK443:AO443)</f>
        <v/>
      </c>
      <c r="AU443">
        <f t="array" ref="AU443">IF(D443&lt;&gt;"Occupied","",_xlfn.IFS(AND(ISNUMBER(AD443),AD443&lt;&gt;0),"Structured",ISNUMBER(SEARCH("/mo con",S443)),"Notes-parsed",ISNUMBER(SEARCH("step",S443)),"Step-up",ISNUMBER(SEARCH("swap",S443)),"Rate-swap",AND(ISNUMBER(H443),ISNUMBER(I443),H443&gt;I443),"Implied",TRUE,""))</f>
        <v/>
      </c>
      <c r="AV443" s="970">
        <f>IF(AD443&lt;&gt;"",AD443,IF(AU443="Implied",-(H443-I443),IF(OR(AU443="Step-up",AU443="Rate-swap"),"see notes","")))</f>
        <v/>
      </c>
    </row>
    <row r="444" outlineLevel="1" s="817">
      <c r="W444">
        <f>IF(AND($D444="Occupied",$AC444&lt;&gt;""),$AC444,"")</f>
        <v/>
      </c>
      <c r="X444">
        <f>IF(AND(D444="Occupied",C444&lt;&gt;"",W444&lt;&gt;""),C444&amp;"|"&amp;W444,"")</f>
        <v/>
      </c>
      <c r="Y444">
        <f>IF(AND(C444&lt;&gt;"",W444&lt;&gt;""),C444&amp;"|"&amp;W444,"")</f>
        <v/>
      </c>
      <c r="AA444" s="970">
        <f>IF(AND(I444&gt;0,H444&gt;0),H444-I444,"")</f>
        <v/>
      </c>
      <c r="AB444" s="555">
        <f>IF(AND(I444&gt;0,H444&gt;0),(H444-I444)/H444,"")</f>
        <v/>
      </c>
      <c r="AQ444" s="980">
        <f>SUM(AK444:AO444)</f>
        <v/>
      </c>
      <c r="AU444">
        <f t="array" ref="AU444">IF(D444&lt;&gt;"Occupied","",_xlfn.IFS(AND(ISNUMBER(AD444),AD444&lt;&gt;0),"Structured",ISNUMBER(SEARCH("/mo con",S444)),"Notes-parsed",ISNUMBER(SEARCH("step",S444)),"Step-up",ISNUMBER(SEARCH("swap",S444)),"Rate-swap",AND(ISNUMBER(H444),ISNUMBER(I444),H444&gt;I444),"Implied",TRUE,""))</f>
        <v/>
      </c>
      <c r="AV444" s="970">
        <f>IF(AD444&lt;&gt;"",AD444,IF(AU444="Implied",-(H444-I444),IF(OR(AU444="Step-up",AU444="Rate-swap"),"see notes","")))</f>
        <v/>
      </c>
    </row>
    <row r="445" outlineLevel="1" s="817">
      <c r="W445">
        <f>IF(AND($D445="Occupied",$AC445&lt;&gt;""),$AC445,"")</f>
        <v/>
      </c>
      <c r="X445">
        <f>IF(AND(D445="Occupied",C445&lt;&gt;"",W445&lt;&gt;""),C445&amp;"|"&amp;W445,"")</f>
        <v/>
      </c>
      <c r="Y445">
        <f>IF(AND(C445&lt;&gt;"",W445&lt;&gt;""),C445&amp;"|"&amp;W445,"")</f>
        <v/>
      </c>
      <c r="AA445" s="970">
        <f>IF(AND(I445&gt;0,H445&gt;0),H445-I445,"")</f>
        <v/>
      </c>
      <c r="AB445" s="555">
        <f>IF(AND(I445&gt;0,H445&gt;0),(H445-I445)/H445,"")</f>
        <v/>
      </c>
      <c r="AQ445" s="980">
        <f>SUM(AK445:AO445)</f>
        <v/>
      </c>
      <c r="AU445">
        <f t="array" ref="AU445">IF(D445&lt;&gt;"Occupied","",_xlfn.IFS(AND(ISNUMBER(AD445),AD445&lt;&gt;0),"Structured",ISNUMBER(SEARCH("/mo con",S445)),"Notes-parsed",ISNUMBER(SEARCH("step",S445)),"Step-up",ISNUMBER(SEARCH("swap",S445)),"Rate-swap",AND(ISNUMBER(H445),ISNUMBER(I445),H445&gt;I445),"Implied",TRUE,""))</f>
        <v/>
      </c>
      <c r="AV445" s="970">
        <f>IF(AD445&lt;&gt;"",AD445,IF(AU445="Implied",-(H445-I445),IF(OR(AU445="Step-up",AU445="Rate-swap"),"see notes","")))</f>
        <v/>
      </c>
    </row>
    <row r="446" outlineLevel="1" s="817">
      <c r="W446">
        <f>IF(AND($D446="Occupied",$AC446&lt;&gt;""),$AC446,"")</f>
        <v/>
      </c>
      <c r="X446">
        <f>IF(AND(D446="Occupied",C446&lt;&gt;"",W446&lt;&gt;""),C446&amp;"|"&amp;W446,"")</f>
        <v/>
      </c>
      <c r="Y446">
        <f>IF(AND(C446&lt;&gt;"",W446&lt;&gt;""),C446&amp;"|"&amp;W446,"")</f>
        <v/>
      </c>
      <c r="AA446" s="970">
        <f>IF(AND(I446&gt;0,H446&gt;0),H446-I446,"")</f>
        <v/>
      </c>
      <c r="AB446" s="555">
        <f>IF(AND(I446&gt;0,H446&gt;0),(H446-I446)/H446,"")</f>
        <v/>
      </c>
      <c r="AQ446" s="980">
        <f>SUM(AK446:AO446)</f>
        <v/>
      </c>
      <c r="AU446">
        <f t="array" ref="AU446">IF(D446&lt;&gt;"Occupied","",_xlfn.IFS(AND(ISNUMBER(AD446),AD446&lt;&gt;0),"Structured",ISNUMBER(SEARCH("/mo con",S446)),"Notes-parsed",ISNUMBER(SEARCH("step",S446)),"Step-up",ISNUMBER(SEARCH("swap",S446)),"Rate-swap",AND(ISNUMBER(H446),ISNUMBER(I446),H446&gt;I446),"Implied",TRUE,""))</f>
        <v/>
      </c>
      <c r="AV446" s="970">
        <f>IF(AD446&lt;&gt;"",AD446,IF(AU446="Implied",-(H446-I446),IF(OR(AU446="Step-up",AU446="Rate-swap"),"see notes","")))</f>
        <v/>
      </c>
    </row>
    <row r="447" outlineLevel="1" s="817">
      <c r="W447">
        <f>IF(AND($D447="Occupied",$AC447&lt;&gt;""),$AC447,"")</f>
        <v/>
      </c>
      <c r="X447">
        <f>IF(AND(D447="Occupied",C447&lt;&gt;"",W447&lt;&gt;""),C447&amp;"|"&amp;W447,"")</f>
        <v/>
      </c>
      <c r="Y447">
        <f>IF(AND(C447&lt;&gt;"",W447&lt;&gt;""),C447&amp;"|"&amp;W447,"")</f>
        <v/>
      </c>
      <c r="AA447" s="970">
        <f>IF(AND(I447&gt;0,H447&gt;0),H447-I447,"")</f>
        <v/>
      </c>
      <c r="AB447" s="555">
        <f>IF(AND(I447&gt;0,H447&gt;0),(H447-I447)/H447,"")</f>
        <v/>
      </c>
      <c r="AQ447" s="980">
        <f>SUM(AK447:AO447)</f>
        <v/>
      </c>
      <c r="AU447">
        <f t="array" ref="AU447">IF(D447&lt;&gt;"Occupied","",_xlfn.IFS(AND(ISNUMBER(AD447),AD447&lt;&gt;0),"Structured",ISNUMBER(SEARCH("/mo con",S447)),"Notes-parsed",ISNUMBER(SEARCH("step",S447)),"Step-up",ISNUMBER(SEARCH("swap",S447)),"Rate-swap",AND(ISNUMBER(H447),ISNUMBER(I447),H447&gt;I447),"Implied",TRUE,""))</f>
        <v/>
      </c>
      <c r="AV447" s="970">
        <f>IF(AD447&lt;&gt;"",AD447,IF(AU447="Implied",-(H447-I447),IF(OR(AU447="Step-up",AU447="Rate-swap"),"see notes","")))</f>
        <v/>
      </c>
    </row>
    <row r="448" outlineLevel="1" s="817">
      <c r="W448">
        <f>IF(AND($D448="Occupied",$AC448&lt;&gt;""),$AC448,"")</f>
        <v/>
      </c>
      <c r="X448">
        <f>IF(AND(D448="Occupied",C448&lt;&gt;"",W448&lt;&gt;""),C448&amp;"|"&amp;W448,"")</f>
        <v/>
      </c>
      <c r="Y448">
        <f>IF(AND(C448&lt;&gt;"",W448&lt;&gt;""),C448&amp;"|"&amp;W448,"")</f>
        <v/>
      </c>
      <c r="AA448" s="970">
        <f>IF(AND(I448&gt;0,H448&gt;0),H448-I448,"")</f>
        <v/>
      </c>
      <c r="AB448" s="555">
        <f>IF(AND(I448&gt;0,H448&gt;0),(H448-I448)/H448,"")</f>
        <v/>
      </c>
      <c r="AQ448" s="980">
        <f>SUM(AK448:AO448)</f>
        <v/>
      </c>
      <c r="AU448">
        <f t="array" ref="AU448">IF(D448&lt;&gt;"Occupied","",_xlfn.IFS(AND(ISNUMBER(AD448),AD448&lt;&gt;0),"Structured",ISNUMBER(SEARCH("/mo con",S448)),"Notes-parsed",ISNUMBER(SEARCH("step",S448)),"Step-up",ISNUMBER(SEARCH("swap",S448)),"Rate-swap",AND(ISNUMBER(H448),ISNUMBER(I448),H448&gt;I448),"Implied",TRUE,""))</f>
        <v/>
      </c>
      <c r="AV448" s="970">
        <f>IF(AD448&lt;&gt;"",AD448,IF(AU448="Implied",-(H448-I448),IF(OR(AU448="Step-up",AU448="Rate-swap"),"see notes","")))</f>
        <v/>
      </c>
    </row>
    <row r="449" outlineLevel="1" s="817">
      <c r="W449">
        <f>IF(AND($D449="Occupied",$AC449&lt;&gt;""),$AC449,"")</f>
        <v/>
      </c>
      <c r="X449">
        <f>IF(AND(D449="Occupied",C449&lt;&gt;"",W449&lt;&gt;""),C449&amp;"|"&amp;W449,"")</f>
        <v/>
      </c>
      <c r="Y449">
        <f>IF(AND(C449&lt;&gt;"",W449&lt;&gt;""),C449&amp;"|"&amp;W449,"")</f>
        <v/>
      </c>
      <c r="AA449" s="970">
        <f>IF(AND(I449&gt;0,H449&gt;0),H449-I449,"")</f>
        <v/>
      </c>
      <c r="AB449" s="555">
        <f>IF(AND(I449&gt;0,H449&gt;0),(H449-I449)/H449,"")</f>
        <v/>
      </c>
      <c r="AQ449" s="980">
        <f>SUM(AK449:AO449)</f>
        <v/>
      </c>
      <c r="AU449">
        <f t="array" ref="AU449">IF(D449&lt;&gt;"Occupied","",_xlfn.IFS(AND(ISNUMBER(AD449),AD449&lt;&gt;0),"Structured",ISNUMBER(SEARCH("/mo con",S449)),"Notes-parsed",ISNUMBER(SEARCH("step",S449)),"Step-up",ISNUMBER(SEARCH("swap",S449)),"Rate-swap",AND(ISNUMBER(H449),ISNUMBER(I449),H449&gt;I449),"Implied",TRUE,""))</f>
        <v/>
      </c>
      <c r="AV449" s="970">
        <f>IF(AD449&lt;&gt;"",AD449,IF(AU449="Implied",-(H449-I449),IF(OR(AU449="Step-up",AU449="Rate-swap"),"see notes","")))</f>
        <v/>
      </c>
    </row>
    <row r="450" outlineLevel="1" s="817">
      <c r="W450">
        <f>IF(AND($D450="Occupied",$AC450&lt;&gt;""),$AC450,"")</f>
        <v/>
      </c>
      <c r="X450">
        <f>IF(AND(D450="Occupied",C450&lt;&gt;"",W450&lt;&gt;""),C450&amp;"|"&amp;W450,"")</f>
        <v/>
      </c>
      <c r="Y450">
        <f>IF(AND(C450&lt;&gt;"",W450&lt;&gt;""),C450&amp;"|"&amp;W450,"")</f>
        <v/>
      </c>
      <c r="AA450" s="970">
        <f>IF(AND(I450&gt;0,H450&gt;0),H450-I450,"")</f>
        <v/>
      </c>
      <c r="AB450" s="555">
        <f>IF(AND(I450&gt;0,H450&gt;0),(H450-I450)/H450,"")</f>
        <v/>
      </c>
      <c r="AQ450" s="980">
        <f>SUM(AK450:AO450)</f>
        <v/>
      </c>
      <c r="AU450">
        <f t="array" ref="AU450">IF(D450&lt;&gt;"Occupied","",_xlfn.IFS(AND(ISNUMBER(AD450),AD450&lt;&gt;0),"Structured",ISNUMBER(SEARCH("/mo con",S450)),"Notes-parsed",ISNUMBER(SEARCH("step",S450)),"Step-up",ISNUMBER(SEARCH("swap",S450)),"Rate-swap",AND(ISNUMBER(H450),ISNUMBER(I450),H450&gt;I450),"Implied",TRUE,""))</f>
        <v/>
      </c>
      <c r="AV450" s="970">
        <f>IF(AD450&lt;&gt;"",AD450,IF(AU450="Implied",-(H450-I450),IF(OR(AU450="Step-up",AU450="Rate-swap"),"see notes","")))</f>
        <v/>
      </c>
    </row>
    <row r="451" outlineLevel="1" s="817">
      <c r="W451">
        <f>IF(AND($D451="Occupied",$AC451&lt;&gt;""),$AC451,"")</f>
        <v/>
      </c>
      <c r="X451">
        <f>IF(AND(D451="Occupied",C451&lt;&gt;"",W451&lt;&gt;""),C451&amp;"|"&amp;W451,"")</f>
        <v/>
      </c>
      <c r="Y451">
        <f>IF(AND(C451&lt;&gt;"",W451&lt;&gt;""),C451&amp;"|"&amp;W451,"")</f>
        <v/>
      </c>
      <c r="AA451" s="970">
        <f>IF(AND(I451&gt;0,H451&gt;0),H451-I451,"")</f>
        <v/>
      </c>
      <c r="AB451" s="555">
        <f>IF(AND(I451&gt;0,H451&gt;0),(H451-I451)/H451,"")</f>
        <v/>
      </c>
      <c r="AQ451" s="980">
        <f>SUM(AK451:AO451)</f>
        <v/>
      </c>
      <c r="AU451">
        <f t="array" ref="AU451">IF(D451&lt;&gt;"Occupied","",_xlfn.IFS(AND(ISNUMBER(AD451),AD451&lt;&gt;0),"Structured",ISNUMBER(SEARCH("/mo con",S451)),"Notes-parsed",ISNUMBER(SEARCH("step",S451)),"Step-up",ISNUMBER(SEARCH("swap",S451)),"Rate-swap",AND(ISNUMBER(H451),ISNUMBER(I451),H451&gt;I451),"Implied",TRUE,""))</f>
        <v/>
      </c>
      <c r="AV451" s="970">
        <f>IF(AD451&lt;&gt;"",AD451,IF(AU451="Implied",-(H451-I451),IF(OR(AU451="Step-up",AU451="Rate-swap"),"see notes","")))</f>
        <v/>
      </c>
    </row>
    <row r="452" outlineLevel="1" s="817">
      <c r="W452">
        <f>IF(AND($D452="Occupied",$AC452&lt;&gt;""),$AC452,"")</f>
        <v/>
      </c>
      <c r="X452">
        <f>IF(AND(D452="Occupied",C452&lt;&gt;"",W452&lt;&gt;""),C452&amp;"|"&amp;W452,"")</f>
        <v/>
      </c>
      <c r="Y452">
        <f>IF(AND(C452&lt;&gt;"",W452&lt;&gt;""),C452&amp;"|"&amp;W452,"")</f>
        <v/>
      </c>
      <c r="AA452" s="970">
        <f>IF(AND(I452&gt;0,H452&gt;0),H452-I452,"")</f>
        <v/>
      </c>
      <c r="AB452" s="555">
        <f>IF(AND(I452&gt;0,H452&gt;0),(H452-I452)/H452,"")</f>
        <v/>
      </c>
      <c r="AQ452" s="980">
        <f>SUM(AK452:AO452)</f>
        <v/>
      </c>
      <c r="AU452">
        <f t="array" ref="AU452">IF(D452&lt;&gt;"Occupied","",_xlfn.IFS(AND(ISNUMBER(AD452),AD452&lt;&gt;0),"Structured",ISNUMBER(SEARCH("/mo con",S452)),"Notes-parsed",ISNUMBER(SEARCH("step",S452)),"Step-up",ISNUMBER(SEARCH("swap",S452)),"Rate-swap",AND(ISNUMBER(H452),ISNUMBER(I452),H452&gt;I452),"Implied",TRUE,""))</f>
        <v/>
      </c>
      <c r="AV452" s="970">
        <f>IF(AD452&lt;&gt;"",AD452,IF(AU452="Implied",-(H452-I452),IF(OR(AU452="Step-up",AU452="Rate-swap"),"see notes","")))</f>
        <v/>
      </c>
    </row>
    <row r="453" outlineLevel="1" s="817">
      <c r="W453">
        <f>IF(AND($D453="Occupied",$AC453&lt;&gt;""),$AC453,"")</f>
        <v/>
      </c>
      <c r="X453">
        <f>IF(AND(D453="Occupied",C453&lt;&gt;"",W453&lt;&gt;""),C453&amp;"|"&amp;W453,"")</f>
        <v/>
      </c>
      <c r="Y453">
        <f>IF(AND(C453&lt;&gt;"",W453&lt;&gt;""),C453&amp;"|"&amp;W453,"")</f>
        <v/>
      </c>
      <c r="AA453" s="970">
        <f>IF(AND(I453&gt;0,H453&gt;0),H453-I453,"")</f>
        <v/>
      </c>
      <c r="AB453" s="555">
        <f>IF(AND(I453&gt;0,H453&gt;0),(H453-I453)/H453,"")</f>
        <v/>
      </c>
      <c r="AQ453" s="980">
        <f>SUM(AK453:AO453)</f>
        <v/>
      </c>
      <c r="AU453">
        <f t="array" ref="AU453">IF(D453&lt;&gt;"Occupied","",_xlfn.IFS(AND(ISNUMBER(AD453),AD453&lt;&gt;0),"Structured",ISNUMBER(SEARCH("/mo con",S453)),"Notes-parsed",ISNUMBER(SEARCH("step",S453)),"Step-up",ISNUMBER(SEARCH("swap",S453)),"Rate-swap",AND(ISNUMBER(H453),ISNUMBER(I453),H453&gt;I453),"Implied",TRUE,""))</f>
        <v/>
      </c>
      <c r="AV453" s="970">
        <f>IF(AD453&lt;&gt;"",AD453,IF(AU453="Implied",-(H453-I453),IF(OR(AU453="Step-up",AU453="Rate-swap"),"see notes","")))</f>
        <v/>
      </c>
    </row>
    <row r="454" outlineLevel="1" s="817">
      <c r="W454">
        <f>IF(AND($D454="Occupied",$AC454&lt;&gt;""),$AC454,"")</f>
        <v/>
      </c>
      <c r="X454">
        <f>IF(AND(D454="Occupied",C454&lt;&gt;"",W454&lt;&gt;""),C454&amp;"|"&amp;W454,"")</f>
        <v/>
      </c>
      <c r="Y454">
        <f>IF(AND(C454&lt;&gt;"",W454&lt;&gt;""),C454&amp;"|"&amp;W454,"")</f>
        <v/>
      </c>
      <c r="AA454" s="970">
        <f>IF(AND(I454&gt;0,H454&gt;0),H454-I454,"")</f>
        <v/>
      </c>
      <c r="AB454" s="555">
        <f>IF(AND(I454&gt;0,H454&gt;0),(H454-I454)/H454,"")</f>
        <v/>
      </c>
      <c r="AQ454" s="980">
        <f>SUM(AK454:AO454)</f>
        <v/>
      </c>
      <c r="AU454">
        <f t="array" ref="AU454">IF(D454&lt;&gt;"Occupied","",_xlfn.IFS(AND(ISNUMBER(AD454),AD454&lt;&gt;0),"Structured",ISNUMBER(SEARCH("/mo con",S454)),"Notes-parsed",ISNUMBER(SEARCH("step",S454)),"Step-up",ISNUMBER(SEARCH("swap",S454)),"Rate-swap",AND(ISNUMBER(H454),ISNUMBER(I454),H454&gt;I454),"Implied",TRUE,""))</f>
        <v/>
      </c>
      <c r="AV454" s="970">
        <f>IF(AD454&lt;&gt;"",AD454,IF(AU454="Implied",-(H454-I454),IF(OR(AU454="Step-up",AU454="Rate-swap"),"see notes","")))</f>
        <v/>
      </c>
    </row>
    <row r="455" outlineLevel="1" s="817">
      <c r="W455">
        <f>IF(AND($D455="Occupied",$AC455&lt;&gt;""),$AC455,"")</f>
        <v/>
      </c>
      <c r="X455">
        <f>IF(AND(D455="Occupied",C455&lt;&gt;"",W455&lt;&gt;""),C455&amp;"|"&amp;W455,"")</f>
        <v/>
      </c>
      <c r="Y455">
        <f>IF(AND(C455&lt;&gt;"",W455&lt;&gt;""),C455&amp;"|"&amp;W455,"")</f>
        <v/>
      </c>
      <c r="AA455" s="970">
        <f>IF(AND(I455&gt;0,H455&gt;0),H455-I455,"")</f>
        <v/>
      </c>
      <c r="AB455" s="555">
        <f>IF(AND(I455&gt;0,H455&gt;0),(H455-I455)/H455,"")</f>
        <v/>
      </c>
      <c r="AQ455" s="980">
        <f>SUM(AK455:AO455)</f>
        <v/>
      </c>
      <c r="AU455">
        <f t="array" ref="AU455">IF(D455&lt;&gt;"Occupied","",_xlfn.IFS(AND(ISNUMBER(AD455),AD455&lt;&gt;0),"Structured",ISNUMBER(SEARCH("/mo con",S455)),"Notes-parsed",ISNUMBER(SEARCH("step",S455)),"Step-up",ISNUMBER(SEARCH("swap",S455)),"Rate-swap",AND(ISNUMBER(H455),ISNUMBER(I455),H455&gt;I455),"Implied",TRUE,""))</f>
        <v/>
      </c>
      <c r="AV455" s="970">
        <f>IF(AD455&lt;&gt;"",AD455,IF(AU455="Implied",-(H455-I455),IF(OR(AU455="Step-up",AU455="Rate-swap"),"see notes","")))</f>
        <v/>
      </c>
    </row>
    <row r="456" outlineLevel="1" s="817">
      <c r="W456">
        <f>IF(AND($D456="Occupied",$AC456&lt;&gt;""),$AC456,"")</f>
        <v/>
      </c>
      <c r="X456">
        <f>IF(AND(D456="Occupied",C456&lt;&gt;"",W456&lt;&gt;""),C456&amp;"|"&amp;W456,"")</f>
        <v/>
      </c>
      <c r="Y456">
        <f>IF(AND(C456&lt;&gt;"",W456&lt;&gt;""),C456&amp;"|"&amp;W456,"")</f>
        <v/>
      </c>
      <c r="AA456" s="970">
        <f>IF(AND(I456&gt;0,H456&gt;0),H456-I456,"")</f>
        <v/>
      </c>
      <c r="AB456" s="555">
        <f>IF(AND(I456&gt;0,H456&gt;0),(H456-I456)/H456,"")</f>
        <v/>
      </c>
      <c r="AQ456" s="980">
        <f>SUM(AK456:AO456)</f>
        <v/>
      </c>
      <c r="AU456">
        <f t="array" ref="AU456">IF(D456&lt;&gt;"Occupied","",_xlfn.IFS(AND(ISNUMBER(AD456),AD456&lt;&gt;0),"Structured",ISNUMBER(SEARCH("/mo con",S456)),"Notes-parsed",ISNUMBER(SEARCH("step",S456)),"Step-up",ISNUMBER(SEARCH("swap",S456)),"Rate-swap",AND(ISNUMBER(H456),ISNUMBER(I456),H456&gt;I456),"Implied",TRUE,""))</f>
        <v/>
      </c>
      <c r="AV456" s="970">
        <f>IF(AD456&lt;&gt;"",AD456,IF(AU456="Implied",-(H456-I456),IF(OR(AU456="Step-up",AU456="Rate-swap"),"see notes","")))</f>
        <v/>
      </c>
    </row>
    <row r="457" outlineLevel="1" s="817">
      <c r="W457">
        <f>IF(AND($D457="Occupied",$AC457&lt;&gt;""),$AC457,"")</f>
        <v/>
      </c>
      <c r="X457">
        <f>IF(AND(D457="Occupied",C457&lt;&gt;"",W457&lt;&gt;""),C457&amp;"|"&amp;W457,"")</f>
        <v/>
      </c>
      <c r="Y457">
        <f>IF(AND(C457&lt;&gt;"",W457&lt;&gt;""),C457&amp;"|"&amp;W457,"")</f>
        <v/>
      </c>
      <c r="AA457" s="970">
        <f>IF(AND(I457&gt;0,H457&gt;0),H457-I457,"")</f>
        <v/>
      </c>
      <c r="AB457" s="555">
        <f>IF(AND(I457&gt;0,H457&gt;0),(H457-I457)/H457,"")</f>
        <v/>
      </c>
      <c r="AQ457" s="980">
        <f>SUM(AK457:AO457)</f>
        <v/>
      </c>
      <c r="AU457">
        <f t="array" ref="AU457">IF(D457&lt;&gt;"Occupied","",_xlfn.IFS(AND(ISNUMBER(AD457),AD457&lt;&gt;0),"Structured",ISNUMBER(SEARCH("/mo con",S457)),"Notes-parsed",ISNUMBER(SEARCH("step",S457)),"Step-up",ISNUMBER(SEARCH("swap",S457)),"Rate-swap",AND(ISNUMBER(H457),ISNUMBER(I457),H457&gt;I457),"Implied",TRUE,""))</f>
        <v/>
      </c>
      <c r="AV457" s="970">
        <f>IF(AD457&lt;&gt;"",AD457,IF(AU457="Implied",-(H457-I457),IF(OR(AU457="Step-up",AU457="Rate-swap"),"see notes","")))</f>
        <v/>
      </c>
    </row>
    <row r="458" outlineLevel="1" s="817">
      <c r="W458">
        <f>IF(AND($D458="Occupied",$AC458&lt;&gt;""),$AC458,"")</f>
        <v/>
      </c>
      <c r="X458">
        <f>IF(AND(D458="Occupied",C458&lt;&gt;"",W458&lt;&gt;""),C458&amp;"|"&amp;W458,"")</f>
        <v/>
      </c>
      <c r="Y458">
        <f>IF(AND(C458&lt;&gt;"",W458&lt;&gt;""),C458&amp;"|"&amp;W458,"")</f>
        <v/>
      </c>
      <c r="AA458" s="970">
        <f>IF(AND(I458&gt;0,H458&gt;0),H458-I458,"")</f>
        <v/>
      </c>
      <c r="AB458" s="555">
        <f>IF(AND(I458&gt;0,H458&gt;0),(H458-I458)/H458,"")</f>
        <v/>
      </c>
      <c r="AQ458" s="980">
        <f>SUM(AK458:AO458)</f>
        <v/>
      </c>
      <c r="AU458">
        <f t="array" ref="AU458">IF(D458&lt;&gt;"Occupied","",_xlfn.IFS(AND(ISNUMBER(AD458),AD458&lt;&gt;0),"Structured",ISNUMBER(SEARCH("/mo con",S458)),"Notes-parsed",ISNUMBER(SEARCH("step",S458)),"Step-up",ISNUMBER(SEARCH("swap",S458)),"Rate-swap",AND(ISNUMBER(H458),ISNUMBER(I458),H458&gt;I458),"Implied",TRUE,""))</f>
        <v/>
      </c>
      <c r="AV458" s="970">
        <f>IF(AD458&lt;&gt;"",AD458,IF(AU458="Implied",-(H458-I458),IF(OR(AU458="Step-up",AU458="Rate-swap"),"see notes","")))</f>
        <v/>
      </c>
    </row>
    <row r="459" outlineLevel="1" s="817">
      <c r="W459">
        <f>IF(AND($D459="Occupied",$AC459&lt;&gt;""),$AC459,"")</f>
        <v/>
      </c>
      <c r="X459">
        <f>IF(AND(D459="Occupied",C459&lt;&gt;"",W459&lt;&gt;""),C459&amp;"|"&amp;W459,"")</f>
        <v/>
      </c>
      <c r="Y459">
        <f>IF(AND(C459&lt;&gt;"",W459&lt;&gt;""),C459&amp;"|"&amp;W459,"")</f>
        <v/>
      </c>
      <c r="AA459" s="970">
        <f>IF(AND(I459&gt;0,H459&gt;0),H459-I459,"")</f>
        <v/>
      </c>
      <c r="AB459" s="555">
        <f>IF(AND(I459&gt;0,H459&gt;0),(H459-I459)/H459,"")</f>
        <v/>
      </c>
      <c r="AQ459" s="980">
        <f>SUM(AK459:AO459)</f>
        <v/>
      </c>
      <c r="AU459">
        <f t="array" ref="AU459">IF(D459&lt;&gt;"Occupied","",_xlfn.IFS(AND(ISNUMBER(AD459),AD459&lt;&gt;0),"Structured",ISNUMBER(SEARCH("/mo con",S459)),"Notes-parsed",ISNUMBER(SEARCH("step",S459)),"Step-up",ISNUMBER(SEARCH("swap",S459)),"Rate-swap",AND(ISNUMBER(H459),ISNUMBER(I459),H459&gt;I459),"Implied",TRUE,""))</f>
        <v/>
      </c>
      <c r="AV459" s="970">
        <f>IF(AD459&lt;&gt;"",AD459,IF(AU459="Implied",-(H459-I459),IF(OR(AU459="Step-up",AU459="Rate-swap"),"see notes","")))</f>
        <v/>
      </c>
    </row>
    <row r="460" outlineLevel="1" s="817">
      <c r="W460">
        <f>IF(AND($D460="Occupied",$AC460&lt;&gt;""),$AC460,"")</f>
        <v/>
      </c>
      <c r="X460">
        <f>IF(AND(D460="Occupied",C460&lt;&gt;"",W460&lt;&gt;""),C460&amp;"|"&amp;W460,"")</f>
        <v/>
      </c>
      <c r="Y460">
        <f>IF(AND(C460&lt;&gt;"",W460&lt;&gt;""),C460&amp;"|"&amp;W460,"")</f>
        <v/>
      </c>
      <c r="AA460" s="970">
        <f>IF(AND(I460&gt;0,H460&gt;0),H460-I460,"")</f>
        <v/>
      </c>
      <c r="AB460" s="555">
        <f>IF(AND(I460&gt;0,H460&gt;0),(H460-I460)/H460,"")</f>
        <v/>
      </c>
      <c r="AQ460" s="980">
        <f>SUM(AK460:AO460)</f>
        <v/>
      </c>
      <c r="AU460">
        <f t="array" ref="AU460">IF(D460&lt;&gt;"Occupied","",_xlfn.IFS(AND(ISNUMBER(AD460),AD460&lt;&gt;0),"Structured",ISNUMBER(SEARCH("/mo con",S460)),"Notes-parsed",ISNUMBER(SEARCH("step",S460)),"Step-up",ISNUMBER(SEARCH("swap",S460)),"Rate-swap",AND(ISNUMBER(H460),ISNUMBER(I460),H460&gt;I460),"Implied",TRUE,""))</f>
        <v/>
      </c>
      <c r="AV460" s="970">
        <f>IF(AD460&lt;&gt;"",AD460,IF(AU460="Implied",-(H460-I460),IF(OR(AU460="Step-up",AU460="Rate-swap"),"see notes","")))</f>
        <v/>
      </c>
    </row>
    <row r="461" outlineLevel="1" s="817">
      <c r="W461">
        <f>IF(AND($D461="Occupied",$AC461&lt;&gt;""),$AC461,"")</f>
        <v/>
      </c>
      <c r="X461">
        <f>IF(AND(D461="Occupied",C461&lt;&gt;"",W461&lt;&gt;""),C461&amp;"|"&amp;W461,"")</f>
        <v/>
      </c>
      <c r="Y461">
        <f>IF(AND(C461&lt;&gt;"",W461&lt;&gt;""),C461&amp;"|"&amp;W461,"")</f>
        <v/>
      </c>
      <c r="AA461" s="970">
        <f>IF(AND(I461&gt;0,H461&gt;0),H461-I461,"")</f>
        <v/>
      </c>
      <c r="AB461" s="555">
        <f>IF(AND(I461&gt;0,H461&gt;0),(H461-I461)/H461,"")</f>
        <v/>
      </c>
      <c r="AQ461" s="980">
        <f>SUM(AK461:AO461)</f>
        <v/>
      </c>
      <c r="AU461">
        <f t="array" ref="AU461">IF(D461&lt;&gt;"Occupied","",_xlfn.IFS(AND(ISNUMBER(AD461),AD461&lt;&gt;0),"Structured",ISNUMBER(SEARCH("/mo con",S461)),"Notes-parsed",ISNUMBER(SEARCH("step",S461)),"Step-up",ISNUMBER(SEARCH("swap",S461)),"Rate-swap",AND(ISNUMBER(H461),ISNUMBER(I461),H461&gt;I461),"Implied",TRUE,""))</f>
        <v/>
      </c>
      <c r="AV461" s="970">
        <f>IF(AD461&lt;&gt;"",AD461,IF(AU461="Implied",-(H461-I461),IF(OR(AU461="Step-up",AU461="Rate-swap"),"see notes","")))</f>
        <v/>
      </c>
    </row>
    <row r="462" outlineLevel="1" s="817">
      <c r="W462">
        <f>IF(AND($D462="Occupied",$AC462&lt;&gt;""),$AC462,"")</f>
        <v/>
      </c>
      <c r="X462">
        <f>IF(AND(D462="Occupied",C462&lt;&gt;"",W462&lt;&gt;""),C462&amp;"|"&amp;W462,"")</f>
        <v/>
      </c>
      <c r="Y462">
        <f>IF(AND(C462&lt;&gt;"",W462&lt;&gt;""),C462&amp;"|"&amp;W462,"")</f>
        <v/>
      </c>
      <c r="AA462" s="970">
        <f>IF(AND(I462&gt;0,H462&gt;0),H462-I462,"")</f>
        <v/>
      </c>
      <c r="AB462" s="555">
        <f>IF(AND(I462&gt;0,H462&gt;0),(H462-I462)/H462,"")</f>
        <v/>
      </c>
      <c r="AQ462" s="980">
        <f>SUM(AK462:AO462)</f>
        <v/>
      </c>
      <c r="AU462">
        <f t="array" ref="AU462">IF(D462&lt;&gt;"Occupied","",_xlfn.IFS(AND(ISNUMBER(AD462),AD462&lt;&gt;0),"Structured",ISNUMBER(SEARCH("/mo con",S462)),"Notes-parsed",ISNUMBER(SEARCH("step",S462)),"Step-up",ISNUMBER(SEARCH("swap",S462)),"Rate-swap",AND(ISNUMBER(H462),ISNUMBER(I462),H462&gt;I462),"Implied",TRUE,""))</f>
        <v/>
      </c>
      <c r="AV462" s="970">
        <f>IF(AD462&lt;&gt;"",AD462,IF(AU462="Implied",-(H462-I462),IF(OR(AU462="Step-up",AU462="Rate-swap"),"see notes","")))</f>
        <v/>
      </c>
    </row>
    <row r="463" outlineLevel="1" s="817">
      <c r="W463">
        <f>IF(AND($D463="Occupied",$AC463&lt;&gt;""),$AC463,"")</f>
        <v/>
      </c>
      <c r="X463">
        <f>IF(AND(D463="Occupied",C463&lt;&gt;"",W463&lt;&gt;""),C463&amp;"|"&amp;W463,"")</f>
        <v/>
      </c>
      <c r="Y463">
        <f>IF(AND(C463&lt;&gt;"",W463&lt;&gt;""),C463&amp;"|"&amp;W463,"")</f>
        <v/>
      </c>
      <c r="AA463" s="970">
        <f>IF(AND(I463&gt;0,H463&gt;0),H463-I463,"")</f>
        <v/>
      </c>
      <c r="AB463" s="555">
        <f>IF(AND(I463&gt;0,H463&gt;0),(H463-I463)/H463,"")</f>
        <v/>
      </c>
      <c r="AQ463" s="980">
        <f>SUM(AK463:AO463)</f>
        <v/>
      </c>
      <c r="AU463">
        <f t="array" ref="AU463">IF(D463&lt;&gt;"Occupied","",_xlfn.IFS(AND(ISNUMBER(AD463),AD463&lt;&gt;0),"Structured",ISNUMBER(SEARCH("/mo con",S463)),"Notes-parsed",ISNUMBER(SEARCH("step",S463)),"Step-up",ISNUMBER(SEARCH("swap",S463)),"Rate-swap",AND(ISNUMBER(H463),ISNUMBER(I463),H463&gt;I463),"Implied",TRUE,""))</f>
        <v/>
      </c>
      <c r="AV463" s="970">
        <f>IF(AD463&lt;&gt;"",AD463,IF(AU463="Implied",-(H463-I463),IF(OR(AU463="Step-up",AU463="Rate-swap"),"see notes","")))</f>
        <v/>
      </c>
    </row>
    <row r="464" outlineLevel="1" s="817">
      <c r="W464">
        <f>IF(AND($D464="Occupied",$AC464&lt;&gt;""),$AC464,"")</f>
        <v/>
      </c>
      <c r="X464">
        <f>IF(AND(D464="Occupied",C464&lt;&gt;"",W464&lt;&gt;""),C464&amp;"|"&amp;W464,"")</f>
        <v/>
      </c>
      <c r="Y464">
        <f>IF(AND(C464&lt;&gt;"",W464&lt;&gt;""),C464&amp;"|"&amp;W464,"")</f>
        <v/>
      </c>
      <c r="AA464" s="970">
        <f>IF(AND(I464&gt;0,H464&gt;0),H464-I464,"")</f>
        <v/>
      </c>
      <c r="AB464" s="555">
        <f>IF(AND(I464&gt;0,H464&gt;0),(H464-I464)/H464,"")</f>
        <v/>
      </c>
      <c r="AQ464" s="980">
        <f>SUM(AK464:AO464)</f>
        <v/>
      </c>
      <c r="AU464">
        <f t="array" ref="AU464">IF(D464&lt;&gt;"Occupied","",_xlfn.IFS(AND(ISNUMBER(AD464),AD464&lt;&gt;0),"Structured",ISNUMBER(SEARCH("/mo con",S464)),"Notes-parsed",ISNUMBER(SEARCH("step",S464)),"Step-up",ISNUMBER(SEARCH("swap",S464)),"Rate-swap",AND(ISNUMBER(H464),ISNUMBER(I464),H464&gt;I464),"Implied",TRUE,""))</f>
        <v/>
      </c>
      <c r="AV464" s="970">
        <f>IF(AD464&lt;&gt;"",AD464,IF(AU464="Implied",-(H464-I464),IF(OR(AU464="Step-up",AU464="Rate-swap"),"see notes","")))</f>
        <v/>
      </c>
    </row>
    <row r="465" outlineLevel="1" s="817">
      <c r="W465">
        <f>IF(AND($D465="Occupied",$AC465&lt;&gt;""),$AC465,"")</f>
        <v/>
      </c>
      <c r="X465">
        <f>IF(AND(D465="Occupied",C465&lt;&gt;"",W465&lt;&gt;""),C465&amp;"|"&amp;W465,"")</f>
        <v/>
      </c>
      <c r="Y465">
        <f>IF(AND(C465&lt;&gt;"",W465&lt;&gt;""),C465&amp;"|"&amp;W465,"")</f>
        <v/>
      </c>
      <c r="AA465" s="970">
        <f>IF(AND(I465&gt;0,H465&gt;0),H465-I465,"")</f>
        <v/>
      </c>
      <c r="AB465" s="555">
        <f>IF(AND(I465&gt;0,H465&gt;0),(H465-I465)/H465,"")</f>
        <v/>
      </c>
      <c r="AQ465" s="980">
        <f>SUM(AK465:AO465)</f>
        <v/>
      </c>
      <c r="AU465">
        <f t="array" ref="AU465">IF(D465&lt;&gt;"Occupied","",_xlfn.IFS(AND(ISNUMBER(AD465),AD465&lt;&gt;0),"Structured",ISNUMBER(SEARCH("/mo con",S465)),"Notes-parsed",ISNUMBER(SEARCH("step",S465)),"Step-up",ISNUMBER(SEARCH("swap",S465)),"Rate-swap",AND(ISNUMBER(H465),ISNUMBER(I465),H465&gt;I465),"Implied",TRUE,""))</f>
        <v/>
      </c>
      <c r="AV465" s="970">
        <f>IF(AD465&lt;&gt;"",AD465,IF(AU465="Implied",-(H465-I465),IF(OR(AU465="Step-up",AU465="Rate-swap"),"see notes","")))</f>
        <v/>
      </c>
    </row>
    <row r="466" outlineLevel="1" s="817">
      <c r="W466">
        <f>IF(AND($D466="Occupied",$AC466&lt;&gt;""),$AC466,"")</f>
        <v/>
      </c>
      <c r="X466">
        <f>IF(AND(D466="Occupied",C466&lt;&gt;"",W466&lt;&gt;""),C466&amp;"|"&amp;W466,"")</f>
        <v/>
      </c>
      <c r="Y466">
        <f>IF(AND(C466&lt;&gt;"",W466&lt;&gt;""),C466&amp;"|"&amp;W466,"")</f>
        <v/>
      </c>
      <c r="AA466" s="970">
        <f>IF(AND(I466&gt;0,H466&gt;0),H466-I466,"")</f>
        <v/>
      </c>
      <c r="AB466" s="555">
        <f>IF(AND(I466&gt;0,H466&gt;0),(H466-I466)/H466,"")</f>
        <v/>
      </c>
      <c r="AQ466" s="980">
        <f>SUM(AK466:AO466)</f>
        <v/>
      </c>
      <c r="AU466">
        <f t="array" ref="AU466">IF(D466&lt;&gt;"Occupied","",_xlfn.IFS(AND(ISNUMBER(AD466),AD466&lt;&gt;0),"Structured",ISNUMBER(SEARCH("/mo con",S466)),"Notes-parsed",ISNUMBER(SEARCH("step",S466)),"Step-up",ISNUMBER(SEARCH("swap",S466)),"Rate-swap",AND(ISNUMBER(H466),ISNUMBER(I466),H466&gt;I466),"Implied",TRUE,""))</f>
        <v/>
      </c>
      <c r="AV466" s="970">
        <f>IF(AD466&lt;&gt;"",AD466,IF(AU466="Implied",-(H466-I466),IF(OR(AU466="Step-up",AU466="Rate-swap"),"see notes","")))</f>
        <v/>
      </c>
    </row>
    <row r="467" outlineLevel="1" s="817">
      <c r="W467">
        <f>IF(AND($D467="Occupied",$AC467&lt;&gt;""),$AC467,"")</f>
        <v/>
      </c>
      <c r="X467">
        <f>IF(AND(D467="Occupied",C467&lt;&gt;"",W467&lt;&gt;""),C467&amp;"|"&amp;W467,"")</f>
        <v/>
      </c>
      <c r="Y467">
        <f>IF(AND(C467&lt;&gt;"",W467&lt;&gt;""),C467&amp;"|"&amp;W467,"")</f>
        <v/>
      </c>
      <c r="AA467" s="970">
        <f>IF(AND(I467&gt;0,H467&gt;0),H467-I467,"")</f>
        <v/>
      </c>
      <c r="AB467" s="555">
        <f>IF(AND(I467&gt;0,H467&gt;0),(H467-I467)/H467,"")</f>
        <v/>
      </c>
      <c r="AQ467" s="980">
        <f>SUM(AK467:AO467)</f>
        <v/>
      </c>
      <c r="AU467">
        <f t="array" ref="AU467">IF(D467&lt;&gt;"Occupied","",_xlfn.IFS(AND(ISNUMBER(AD467),AD467&lt;&gt;0),"Structured",ISNUMBER(SEARCH("/mo con",S467)),"Notes-parsed",ISNUMBER(SEARCH("step",S467)),"Step-up",ISNUMBER(SEARCH("swap",S467)),"Rate-swap",AND(ISNUMBER(H467),ISNUMBER(I467),H467&gt;I467),"Implied",TRUE,""))</f>
        <v/>
      </c>
      <c r="AV467" s="970">
        <f>IF(AD467&lt;&gt;"",AD467,IF(AU467="Implied",-(H467-I467),IF(OR(AU467="Step-up",AU467="Rate-swap"),"see notes","")))</f>
        <v/>
      </c>
    </row>
    <row r="468" outlineLevel="1" s="817">
      <c r="W468">
        <f>IF(AND($D468="Occupied",$AC468&lt;&gt;""),$AC468,"")</f>
        <v/>
      </c>
      <c r="X468">
        <f>IF(AND(D468="Occupied",C468&lt;&gt;"",W468&lt;&gt;""),C468&amp;"|"&amp;W468,"")</f>
        <v/>
      </c>
      <c r="Y468">
        <f>IF(AND(C468&lt;&gt;"",W468&lt;&gt;""),C468&amp;"|"&amp;W468,"")</f>
        <v/>
      </c>
      <c r="AA468" s="970">
        <f>IF(AND(I468&gt;0,H468&gt;0),H468-I468,"")</f>
        <v/>
      </c>
      <c r="AB468" s="555">
        <f>IF(AND(I468&gt;0,H468&gt;0),(H468-I468)/H468,"")</f>
        <v/>
      </c>
      <c r="AQ468" s="980">
        <f>SUM(AK468:AO468)</f>
        <v/>
      </c>
      <c r="AU468">
        <f t="array" ref="AU468">IF(D468&lt;&gt;"Occupied","",_xlfn.IFS(AND(ISNUMBER(AD468),AD468&lt;&gt;0),"Structured",ISNUMBER(SEARCH("/mo con",S468)),"Notes-parsed",ISNUMBER(SEARCH("step",S468)),"Step-up",ISNUMBER(SEARCH("swap",S468)),"Rate-swap",AND(ISNUMBER(H468),ISNUMBER(I468),H468&gt;I468),"Implied",TRUE,""))</f>
        <v/>
      </c>
      <c r="AV468" s="970">
        <f>IF(AD468&lt;&gt;"",AD468,IF(AU468="Implied",-(H468-I468),IF(OR(AU468="Step-up",AU468="Rate-swap"),"see notes","")))</f>
        <v/>
      </c>
    </row>
    <row r="469" outlineLevel="1" s="817">
      <c r="W469">
        <f>IF(AND($D469="Occupied",$AC469&lt;&gt;""),$AC469,"")</f>
        <v/>
      </c>
      <c r="X469">
        <f>IF(AND(D469="Occupied",C469&lt;&gt;"",W469&lt;&gt;""),C469&amp;"|"&amp;W469,"")</f>
        <v/>
      </c>
      <c r="Y469">
        <f>IF(AND(C469&lt;&gt;"",W469&lt;&gt;""),C469&amp;"|"&amp;W469,"")</f>
        <v/>
      </c>
      <c r="AA469" s="970">
        <f>IF(AND(I469&gt;0,H469&gt;0),H469-I469,"")</f>
        <v/>
      </c>
      <c r="AB469" s="555">
        <f>IF(AND(I469&gt;0,H469&gt;0),(H469-I469)/H469,"")</f>
        <v/>
      </c>
      <c r="AQ469" s="980">
        <f>SUM(AK469:AO469)</f>
        <v/>
      </c>
      <c r="AU469">
        <f t="array" ref="AU469">IF(D469&lt;&gt;"Occupied","",_xlfn.IFS(AND(ISNUMBER(AD469),AD469&lt;&gt;0),"Structured",ISNUMBER(SEARCH("/mo con",S469)),"Notes-parsed",ISNUMBER(SEARCH("step",S469)),"Step-up",ISNUMBER(SEARCH("swap",S469)),"Rate-swap",AND(ISNUMBER(H469),ISNUMBER(I469),H469&gt;I469),"Implied",TRUE,""))</f>
        <v/>
      </c>
      <c r="AV469" s="970">
        <f>IF(AD469&lt;&gt;"",AD469,IF(AU469="Implied",-(H469-I469),IF(OR(AU469="Step-up",AU469="Rate-swap"),"see notes","")))</f>
        <v/>
      </c>
    </row>
    <row r="470" outlineLevel="1" s="817">
      <c r="W470">
        <f>IF(AND($D470="Occupied",$AC470&lt;&gt;""),$AC470,"")</f>
        <v/>
      </c>
      <c r="X470">
        <f>IF(AND(D470="Occupied",C470&lt;&gt;"",W470&lt;&gt;""),C470&amp;"|"&amp;W470,"")</f>
        <v/>
      </c>
      <c r="Y470">
        <f>IF(AND(C470&lt;&gt;"",W470&lt;&gt;""),C470&amp;"|"&amp;W470,"")</f>
        <v/>
      </c>
      <c r="AA470" s="970">
        <f>IF(AND(I470&gt;0,H470&gt;0),H470-I470,"")</f>
        <v/>
      </c>
      <c r="AB470" s="555">
        <f>IF(AND(I470&gt;0,H470&gt;0),(H470-I470)/H470,"")</f>
        <v/>
      </c>
      <c r="AQ470" s="980">
        <f>SUM(AK470:AO470)</f>
        <v/>
      </c>
      <c r="AU470">
        <f t="array" ref="AU470">IF(D470&lt;&gt;"Occupied","",_xlfn.IFS(AND(ISNUMBER(AD470),AD470&lt;&gt;0),"Structured",ISNUMBER(SEARCH("/mo con",S470)),"Notes-parsed",ISNUMBER(SEARCH("step",S470)),"Step-up",ISNUMBER(SEARCH("swap",S470)),"Rate-swap",AND(ISNUMBER(H470),ISNUMBER(I470),H470&gt;I470),"Implied",TRUE,""))</f>
        <v/>
      </c>
      <c r="AV470" s="970">
        <f>IF(AD470&lt;&gt;"",AD470,IF(AU470="Implied",-(H470-I470),IF(OR(AU470="Step-up",AU470="Rate-swap"),"see notes","")))</f>
        <v/>
      </c>
    </row>
    <row r="471" outlineLevel="1" s="817">
      <c r="W471">
        <f>IF(AND($D471="Occupied",$AC471&lt;&gt;""),$AC471,"")</f>
        <v/>
      </c>
      <c r="X471">
        <f>IF(AND(D471="Occupied",C471&lt;&gt;"",W471&lt;&gt;""),C471&amp;"|"&amp;W471,"")</f>
        <v/>
      </c>
      <c r="Y471">
        <f>IF(AND(C471&lt;&gt;"",W471&lt;&gt;""),C471&amp;"|"&amp;W471,"")</f>
        <v/>
      </c>
      <c r="AA471" s="970">
        <f>IF(AND(I471&gt;0,H471&gt;0),H471-I471,"")</f>
        <v/>
      </c>
      <c r="AB471" s="555">
        <f>IF(AND(I471&gt;0,H471&gt;0),(H471-I471)/H471,"")</f>
        <v/>
      </c>
      <c r="AQ471" s="980">
        <f>SUM(AK471:AO471)</f>
        <v/>
      </c>
      <c r="AU471">
        <f t="array" ref="AU471">IF(D471&lt;&gt;"Occupied","",_xlfn.IFS(AND(ISNUMBER(AD471),AD471&lt;&gt;0),"Structured",ISNUMBER(SEARCH("/mo con",S471)),"Notes-parsed",ISNUMBER(SEARCH("step",S471)),"Step-up",ISNUMBER(SEARCH("swap",S471)),"Rate-swap",AND(ISNUMBER(H471),ISNUMBER(I471),H471&gt;I471),"Implied",TRUE,""))</f>
        <v/>
      </c>
      <c r="AV471" s="970">
        <f>IF(AD471&lt;&gt;"",AD471,IF(AU471="Implied",-(H471-I471),IF(OR(AU471="Step-up",AU471="Rate-swap"),"see notes","")))</f>
        <v/>
      </c>
    </row>
    <row r="472" outlineLevel="1" s="817">
      <c r="W472">
        <f>IF(AND($D472="Occupied",$AC472&lt;&gt;""),$AC472,"")</f>
        <v/>
      </c>
      <c r="X472">
        <f>IF(AND(D472="Occupied",C472&lt;&gt;"",W472&lt;&gt;""),C472&amp;"|"&amp;W472,"")</f>
        <v/>
      </c>
      <c r="Y472">
        <f>IF(AND(C472&lt;&gt;"",W472&lt;&gt;""),C472&amp;"|"&amp;W472,"")</f>
        <v/>
      </c>
      <c r="AA472" s="970">
        <f>IF(AND(I472&gt;0,H472&gt;0),H472-I472,"")</f>
        <v/>
      </c>
      <c r="AB472" s="555">
        <f>IF(AND(I472&gt;0,H472&gt;0),(H472-I472)/H472,"")</f>
        <v/>
      </c>
      <c r="AQ472" s="980">
        <f>SUM(AK472:AO472)</f>
        <v/>
      </c>
      <c r="AU472">
        <f t="array" ref="AU472">IF(D472&lt;&gt;"Occupied","",_xlfn.IFS(AND(ISNUMBER(AD472),AD472&lt;&gt;0),"Structured",ISNUMBER(SEARCH("/mo con",S472)),"Notes-parsed",ISNUMBER(SEARCH("step",S472)),"Step-up",ISNUMBER(SEARCH("swap",S472)),"Rate-swap",AND(ISNUMBER(H472),ISNUMBER(I472),H472&gt;I472),"Implied",TRUE,""))</f>
        <v/>
      </c>
      <c r="AV472" s="970">
        <f>IF(AD472&lt;&gt;"",AD472,IF(AU472="Implied",-(H472-I472),IF(OR(AU472="Step-up",AU472="Rate-swap"),"see notes","")))</f>
        <v/>
      </c>
    </row>
    <row r="473" outlineLevel="1" s="817">
      <c r="W473">
        <f>IF(AND($D473="Occupied",$AC473&lt;&gt;""),$AC473,"")</f>
        <v/>
      </c>
      <c r="X473">
        <f>IF(AND(D473="Occupied",C473&lt;&gt;"",W473&lt;&gt;""),C473&amp;"|"&amp;W473,"")</f>
        <v/>
      </c>
      <c r="Y473">
        <f>IF(AND(C473&lt;&gt;"",W473&lt;&gt;""),C473&amp;"|"&amp;W473,"")</f>
        <v/>
      </c>
      <c r="AA473" s="970">
        <f>IF(AND(I473&gt;0,H473&gt;0),H473-I473,"")</f>
        <v/>
      </c>
      <c r="AB473" s="555">
        <f>IF(AND(I473&gt;0,H473&gt;0),(H473-I473)/H473,"")</f>
        <v/>
      </c>
      <c r="AQ473" s="980">
        <f>SUM(AK473:AO473)</f>
        <v/>
      </c>
      <c r="AU473">
        <f t="array" ref="AU473">IF(D473&lt;&gt;"Occupied","",_xlfn.IFS(AND(ISNUMBER(AD473),AD473&lt;&gt;0),"Structured",ISNUMBER(SEARCH("/mo con",S473)),"Notes-parsed",ISNUMBER(SEARCH("step",S473)),"Step-up",ISNUMBER(SEARCH("swap",S473)),"Rate-swap",AND(ISNUMBER(H473),ISNUMBER(I473),H473&gt;I473),"Implied",TRUE,""))</f>
        <v/>
      </c>
      <c r="AV473" s="970">
        <f>IF(AD473&lt;&gt;"",AD473,IF(AU473="Implied",-(H473-I473),IF(OR(AU473="Step-up",AU473="Rate-swap"),"see notes","")))</f>
        <v/>
      </c>
    </row>
    <row r="474" outlineLevel="1" s="817">
      <c r="W474">
        <f>IF(AND($D474="Occupied",$AC474&lt;&gt;""),$AC474,"")</f>
        <v/>
      </c>
      <c r="X474">
        <f>IF(AND(D474="Occupied",C474&lt;&gt;"",W474&lt;&gt;""),C474&amp;"|"&amp;W474,"")</f>
        <v/>
      </c>
      <c r="Y474">
        <f>IF(AND(C474&lt;&gt;"",W474&lt;&gt;""),C474&amp;"|"&amp;W474,"")</f>
        <v/>
      </c>
      <c r="AA474" s="970">
        <f>IF(AND(I474&gt;0,H474&gt;0),H474-I474,"")</f>
        <v/>
      </c>
      <c r="AB474" s="555">
        <f>IF(AND(I474&gt;0,H474&gt;0),(H474-I474)/H474,"")</f>
        <v/>
      </c>
      <c r="AQ474" s="980">
        <f>SUM(AK474:AO474)</f>
        <v/>
      </c>
      <c r="AU474">
        <f t="array" ref="AU474">IF(D474&lt;&gt;"Occupied","",_xlfn.IFS(AND(ISNUMBER(AD474),AD474&lt;&gt;0),"Structured",ISNUMBER(SEARCH("/mo con",S474)),"Notes-parsed",ISNUMBER(SEARCH("step",S474)),"Step-up",ISNUMBER(SEARCH("swap",S474)),"Rate-swap",AND(ISNUMBER(H474),ISNUMBER(I474),H474&gt;I474),"Implied",TRUE,""))</f>
        <v/>
      </c>
      <c r="AV474" s="970">
        <f>IF(AD474&lt;&gt;"",AD474,IF(AU474="Implied",-(H474-I474),IF(OR(AU474="Step-up",AU474="Rate-swap"),"see notes","")))</f>
        <v/>
      </c>
    </row>
    <row r="475" outlineLevel="1" s="817">
      <c r="W475">
        <f>IF(AND($D475="Occupied",$AC475&lt;&gt;""),$AC475,"")</f>
        <v/>
      </c>
      <c r="X475">
        <f>IF(AND(D475="Occupied",C475&lt;&gt;"",W475&lt;&gt;""),C475&amp;"|"&amp;W475,"")</f>
        <v/>
      </c>
      <c r="Y475">
        <f>IF(AND(C475&lt;&gt;"",W475&lt;&gt;""),C475&amp;"|"&amp;W475,"")</f>
        <v/>
      </c>
      <c r="AA475" s="970">
        <f>IF(AND(I475&gt;0,H475&gt;0),H475-I475,"")</f>
        <v/>
      </c>
      <c r="AB475" s="555">
        <f>IF(AND(I475&gt;0,H475&gt;0),(H475-I475)/H475,"")</f>
        <v/>
      </c>
      <c r="AQ475" s="980">
        <f>SUM(AK475:AO475)</f>
        <v/>
      </c>
      <c r="AU475">
        <f t="array" ref="AU475">IF(D475&lt;&gt;"Occupied","",_xlfn.IFS(AND(ISNUMBER(AD475),AD475&lt;&gt;0),"Structured",ISNUMBER(SEARCH("/mo con",S475)),"Notes-parsed",ISNUMBER(SEARCH("step",S475)),"Step-up",ISNUMBER(SEARCH("swap",S475)),"Rate-swap",AND(ISNUMBER(H475),ISNUMBER(I475),H475&gt;I475),"Implied",TRUE,""))</f>
        <v/>
      </c>
      <c r="AV475" s="970">
        <f>IF(AD475&lt;&gt;"",AD475,IF(AU475="Implied",-(H475-I475),IF(OR(AU475="Step-up",AU475="Rate-swap"),"see notes","")))</f>
        <v/>
      </c>
    </row>
    <row r="476" outlineLevel="1" s="817">
      <c r="W476">
        <f>IF(AND($D476="Occupied",$AC476&lt;&gt;""),$AC476,"")</f>
        <v/>
      </c>
      <c r="X476">
        <f>IF(AND(D476="Occupied",C476&lt;&gt;"",W476&lt;&gt;""),C476&amp;"|"&amp;W476,"")</f>
        <v/>
      </c>
      <c r="Y476">
        <f>IF(AND(C476&lt;&gt;"",W476&lt;&gt;""),C476&amp;"|"&amp;W476,"")</f>
        <v/>
      </c>
      <c r="AA476" s="970">
        <f>IF(AND(I476&gt;0,H476&gt;0),H476-I476,"")</f>
        <v/>
      </c>
      <c r="AB476" s="555">
        <f>IF(AND(I476&gt;0,H476&gt;0),(H476-I476)/H476,"")</f>
        <v/>
      </c>
      <c r="AQ476" s="980">
        <f>SUM(AK476:AO476)</f>
        <v/>
      </c>
      <c r="AU476">
        <f t="array" ref="AU476">IF(D476&lt;&gt;"Occupied","",_xlfn.IFS(AND(ISNUMBER(AD476),AD476&lt;&gt;0),"Structured",ISNUMBER(SEARCH("/mo con",S476)),"Notes-parsed",ISNUMBER(SEARCH("step",S476)),"Step-up",ISNUMBER(SEARCH("swap",S476)),"Rate-swap",AND(ISNUMBER(H476),ISNUMBER(I476),H476&gt;I476),"Implied",TRUE,""))</f>
        <v/>
      </c>
      <c r="AV476" s="970">
        <f>IF(AD476&lt;&gt;"",AD476,IF(AU476="Implied",-(H476-I476),IF(OR(AU476="Step-up",AU476="Rate-swap"),"see notes","")))</f>
        <v/>
      </c>
    </row>
    <row r="477" outlineLevel="1" s="817">
      <c r="W477">
        <f>IF(AND($D477="Occupied",$AC477&lt;&gt;""),$AC477,"")</f>
        <v/>
      </c>
      <c r="X477">
        <f>IF(AND(D477="Occupied",C477&lt;&gt;"",W477&lt;&gt;""),C477&amp;"|"&amp;W477,"")</f>
        <v/>
      </c>
      <c r="Y477">
        <f>IF(AND(C477&lt;&gt;"",W477&lt;&gt;""),C477&amp;"|"&amp;W477,"")</f>
        <v/>
      </c>
      <c r="AA477" s="970">
        <f>IF(AND(I477&gt;0,H477&gt;0),H477-I477,"")</f>
        <v/>
      </c>
      <c r="AB477" s="555">
        <f>IF(AND(I477&gt;0,H477&gt;0),(H477-I477)/H477,"")</f>
        <v/>
      </c>
      <c r="AQ477" s="980">
        <f>SUM(AK477:AO477)</f>
        <v/>
      </c>
      <c r="AU477">
        <f t="array" ref="AU477">IF(D477&lt;&gt;"Occupied","",_xlfn.IFS(AND(ISNUMBER(AD477),AD477&lt;&gt;0),"Structured",ISNUMBER(SEARCH("/mo con",S477)),"Notes-parsed",ISNUMBER(SEARCH("step",S477)),"Step-up",ISNUMBER(SEARCH("swap",S477)),"Rate-swap",AND(ISNUMBER(H477),ISNUMBER(I477),H477&gt;I477),"Implied",TRUE,""))</f>
        <v/>
      </c>
      <c r="AV477" s="970">
        <f>IF(AD477&lt;&gt;"",AD477,IF(AU477="Implied",-(H477-I477),IF(OR(AU477="Step-up",AU477="Rate-swap"),"see notes","")))</f>
        <v/>
      </c>
    </row>
    <row r="478" outlineLevel="1" s="817">
      <c r="W478">
        <f>IF(AND($D478="Occupied",$AC478&lt;&gt;""),$AC478,"")</f>
        <v/>
      </c>
      <c r="X478">
        <f>IF(AND(D478="Occupied",C478&lt;&gt;"",W478&lt;&gt;""),C478&amp;"|"&amp;W478,"")</f>
        <v/>
      </c>
      <c r="Y478">
        <f>IF(AND(C478&lt;&gt;"",W478&lt;&gt;""),C478&amp;"|"&amp;W478,"")</f>
        <v/>
      </c>
      <c r="AA478" s="970">
        <f>IF(AND(I478&gt;0,H478&gt;0),H478-I478,"")</f>
        <v/>
      </c>
      <c r="AB478" s="555">
        <f>IF(AND(I478&gt;0,H478&gt;0),(H478-I478)/H478,"")</f>
        <v/>
      </c>
      <c r="AQ478" s="980">
        <f>SUM(AK478:AO478)</f>
        <v/>
      </c>
      <c r="AU478">
        <f t="array" ref="AU478">IF(D478&lt;&gt;"Occupied","",_xlfn.IFS(AND(ISNUMBER(AD478),AD478&lt;&gt;0),"Structured",ISNUMBER(SEARCH("/mo con",S478)),"Notes-parsed",ISNUMBER(SEARCH("step",S478)),"Step-up",ISNUMBER(SEARCH("swap",S478)),"Rate-swap",AND(ISNUMBER(H478),ISNUMBER(I478),H478&gt;I478),"Implied",TRUE,""))</f>
        <v/>
      </c>
      <c r="AV478" s="970">
        <f>IF(AD478&lt;&gt;"",AD478,IF(AU478="Implied",-(H478-I478),IF(OR(AU478="Step-up",AU478="Rate-swap"),"see notes","")))</f>
        <v/>
      </c>
    </row>
    <row r="479" outlineLevel="1" s="817">
      <c r="W479">
        <f>IF(AND($D479="Occupied",$AC479&lt;&gt;""),$AC479,"")</f>
        <v/>
      </c>
      <c r="X479">
        <f>IF(AND(D479="Occupied",C479&lt;&gt;"",W479&lt;&gt;""),C479&amp;"|"&amp;W479,"")</f>
        <v/>
      </c>
      <c r="Y479">
        <f>IF(AND(C479&lt;&gt;"",W479&lt;&gt;""),C479&amp;"|"&amp;W479,"")</f>
        <v/>
      </c>
      <c r="AA479" s="970">
        <f>IF(AND(I479&gt;0,H479&gt;0),H479-I479,"")</f>
        <v/>
      </c>
      <c r="AB479" s="555">
        <f>IF(AND(I479&gt;0,H479&gt;0),(H479-I479)/H479,"")</f>
        <v/>
      </c>
      <c r="AQ479" s="980">
        <f>SUM(AK479:AO479)</f>
        <v/>
      </c>
      <c r="AU479">
        <f t="array" ref="AU479">IF(D479&lt;&gt;"Occupied","",_xlfn.IFS(AND(ISNUMBER(AD479),AD479&lt;&gt;0),"Structured",ISNUMBER(SEARCH("/mo con",S479)),"Notes-parsed",ISNUMBER(SEARCH("step",S479)),"Step-up",ISNUMBER(SEARCH("swap",S479)),"Rate-swap",AND(ISNUMBER(H479),ISNUMBER(I479),H479&gt;I479),"Implied",TRUE,""))</f>
        <v/>
      </c>
      <c r="AV479" s="970">
        <f>IF(AD479&lt;&gt;"",AD479,IF(AU479="Implied",-(H479-I479),IF(OR(AU479="Step-up",AU479="Rate-swap"),"see notes","")))</f>
        <v/>
      </c>
    </row>
    <row r="480" outlineLevel="1" s="817">
      <c r="W480">
        <f>IF(AND($D480="Occupied",$AC480&lt;&gt;""),$AC480,"")</f>
        <v/>
      </c>
      <c r="X480">
        <f>IF(AND(D480="Occupied",C480&lt;&gt;"",W480&lt;&gt;""),C480&amp;"|"&amp;W480,"")</f>
        <v/>
      </c>
      <c r="Y480">
        <f>IF(AND(C480&lt;&gt;"",W480&lt;&gt;""),C480&amp;"|"&amp;W480,"")</f>
        <v/>
      </c>
      <c r="AA480" s="970">
        <f>IF(AND(I480&gt;0,H480&gt;0),H480-I480,"")</f>
        <v/>
      </c>
      <c r="AB480" s="555">
        <f>IF(AND(I480&gt;0,H480&gt;0),(H480-I480)/H480,"")</f>
        <v/>
      </c>
      <c r="AQ480" s="980">
        <f>SUM(AK480:AO480)</f>
        <v/>
      </c>
      <c r="AU480">
        <f t="array" ref="AU480">IF(D480&lt;&gt;"Occupied","",_xlfn.IFS(AND(ISNUMBER(AD480),AD480&lt;&gt;0),"Structured",ISNUMBER(SEARCH("/mo con",S480)),"Notes-parsed",ISNUMBER(SEARCH("step",S480)),"Step-up",ISNUMBER(SEARCH("swap",S480)),"Rate-swap",AND(ISNUMBER(H480),ISNUMBER(I480),H480&gt;I480),"Implied",TRUE,""))</f>
        <v/>
      </c>
      <c r="AV480" s="970">
        <f>IF(AD480&lt;&gt;"",AD480,IF(AU480="Implied",-(H480-I480),IF(OR(AU480="Step-up",AU480="Rate-swap"),"see notes","")))</f>
        <v/>
      </c>
    </row>
    <row r="481" outlineLevel="1" s="817">
      <c r="W481">
        <f>IF(AND($D481="Occupied",$AC481&lt;&gt;""),$AC481,"")</f>
        <v/>
      </c>
      <c r="X481">
        <f>IF(AND(D481="Occupied",C481&lt;&gt;"",W481&lt;&gt;""),C481&amp;"|"&amp;W481,"")</f>
        <v/>
      </c>
      <c r="Y481">
        <f>IF(AND(C481&lt;&gt;"",W481&lt;&gt;""),C481&amp;"|"&amp;W481,"")</f>
        <v/>
      </c>
      <c r="AA481" s="970">
        <f>IF(AND(I481&gt;0,H481&gt;0),H481-I481,"")</f>
        <v/>
      </c>
      <c r="AB481" s="555">
        <f>IF(AND(I481&gt;0,H481&gt;0),(H481-I481)/H481,"")</f>
        <v/>
      </c>
      <c r="AQ481" s="980">
        <f>SUM(AK481:AO481)</f>
        <v/>
      </c>
      <c r="AU481">
        <f t="array" ref="AU481">IF(D481&lt;&gt;"Occupied","",_xlfn.IFS(AND(ISNUMBER(AD481),AD481&lt;&gt;0),"Structured",ISNUMBER(SEARCH("/mo con",S481)),"Notes-parsed",ISNUMBER(SEARCH("step",S481)),"Step-up",ISNUMBER(SEARCH("swap",S481)),"Rate-swap",AND(ISNUMBER(H481),ISNUMBER(I481),H481&gt;I481),"Implied",TRUE,""))</f>
        <v/>
      </c>
      <c r="AV481" s="970">
        <f>IF(AD481&lt;&gt;"",AD481,IF(AU481="Implied",-(H481-I481),IF(OR(AU481="Step-up",AU481="Rate-swap"),"see notes","")))</f>
        <v/>
      </c>
    </row>
    <row r="482" outlineLevel="1" s="817">
      <c r="W482">
        <f>IF(AND($D482="Occupied",$AC482&lt;&gt;""),$AC482,"")</f>
        <v/>
      </c>
      <c r="X482">
        <f>IF(AND(D482="Occupied",C482&lt;&gt;"",W482&lt;&gt;""),C482&amp;"|"&amp;W482,"")</f>
        <v/>
      </c>
      <c r="Y482">
        <f>IF(AND(C482&lt;&gt;"",W482&lt;&gt;""),C482&amp;"|"&amp;W482,"")</f>
        <v/>
      </c>
      <c r="AA482" s="970">
        <f>IF(AND(I482&gt;0,H482&gt;0),H482-I482,"")</f>
        <v/>
      </c>
      <c r="AB482" s="555">
        <f>IF(AND(I482&gt;0,H482&gt;0),(H482-I482)/H482,"")</f>
        <v/>
      </c>
      <c r="AQ482" s="980">
        <f>SUM(AK482:AO482)</f>
        <v/>
      </c>
      <c r="AU482">
        <f t="array" ref="AU482">IF(D482&lt;&gt;"Occupied","",_xlfn.IFS(AND(ISNUMBER(AD482),AD482&lt;&gt;0),"Structured",ISNUMBER(SEARCH("/mo con",S482)),"Notes-parsed",ISNUMBER(SEARCH("step",S482)),"Step-up",ISNUMBER(SEARCH("swap",S482)),"Rate-swap",AND(ISNUMBER(H482),ISNUMBER(I482),H482&gt;I482),"Implied",TRUE,""))</f>
        <v/>
      </c>
      <c r="AV482" s="970">
        <f>IF(AD482&lt;&gt;"",AD482,IF(AU482="Implied",-(H482-I482),IF(OR(AU482="Step-up",AU482="Rate-swap"),"see notes","")))</f>
        <v/>
      </c>
    </row>
    <row r="483" outlineLevel="1" s="817">
      <c r="W483">
        <f>IF(AND($D483="Occupied",$AC483&lt;&gt;""),$AC483,"")</f>
        <v/>
      </c>
      <c r="X483">
        <f>IF(AND(D483="Occupied",C483&lt;&gt;"",W483&lt;&gt;""),C483&amp;"|"&amp;W483,"")</f>
        <v/>
      </c>
      <c r="Y483">
        <f>IF(AND(C483&lt;&gt;"",W483&lt;&gt;""),C483&amp;"|"&amp;W483,"")</f>
        <v/>
      </c>
      <c r="AA483" s="970">
        <f>IF(AND(I483&gt;0,H483&gt;0),H483-I483,"")</f>
        <v/>
      </c>
      <c r="AB483" s="555">
        <f>IF(AND(I483&gt;0,H483&gt;0),(H483-I483)/H483,"")</f>
        <v/>
      </c>
      <c r="AQ483" s="980">
        <f>SUM(AK483:AO483)</f>
        <v/>
      </c>
      <c r="AU483">
        <f t="array" ref="AU483">IF(D483&lt;&gt;"Occupied","",_xlfn.IFS(AND(ISNUMBER(AD483),AD483&lt;&gt;0),"Structured",ISNUMBER(SEARCH("/mo con",S483)),"Notes-parsed",ISNUMBER(SEARCH("step",S483)),"Step-up",ISNUMBER(SEARCH("swap",S483)),"Rate-swap",AND(ISNUMBER(H483),ISNUMBER(I483),H483&gt;I483),"Implied",TRUE,""))</f>
        <v/>
      </c>
      <c r="AV483" s="970">
        <f>IF(AD483&lt;&gt;"",AD483,IF(AU483="Implied",-(H483-I483),IF(OR(AU483="Step-up",AU483="Rate-swap"),"see notes","")))</f>
        <v/>
      </c>
    </row>
    <row r="484" outlineLevel="1" s="817">
      <c r="W484">
        <f>IF(AND($D484="Occupied",$AC484&lt;&gt;""),$AC484,"")</f>
        <v/>
      </c>
      <c r="X484">
        <f>IF(AND(D484="Occupied",C484&lt;&gt;"",W484&lt;&gt;""),C484&amp;"|"&amp;W484,"")</f>
        <v/>
      </c>
      <c r="Y484">
        <f>IF(AND(C484&lt;&gt;"",W484&lt;&gt;""),C484&amp;"|"&amp;W484,"")</f>
        <v/>
      </c>
      <c r="AA484" s="970">
        <f>IF(AND(I484&gt;0,H484&gt;0),H484-I484,"")</f>
        <v/>
      </c>
      <c r="AB484" s="555">
        <f>IF(AND(I484&gt;0,H484&gt;0),(H484-I484)/H484,"")</f>
        <v/>
      </c>
      <c r="AQ484" s="980">
        <f>SUM(AK484:AO484)</f>
        <v/>
      </c>
      <c r="AU484">
        <f t="array" ref="AU484">IF(D484&lt;&gt;"Occupied","",_xlfn.IFS(AND(ISNUMBER(AD484),AD484&lt;&gt;0),"Structured",ISNUMBER(SEARCH("/mo con",S484)),"Notes-parsed",ISNUMBER(SEARCH("step",S484)),"Step-up",ISNUMBER(SEARCH("swap",S484)),"Rate-swap",AND(ISNUMBER(H484),ISNUMBER(I484),H484&gt;I484),"Implied",TRUE,""))</f>
        <v/>
      </c>
      <c r="AV484" s="970">
        <f>IF(AD484&lt;&gt;"",AD484,IF(AU484="Implied",-(H484-I484),IF(OR(AU484="Step-up",AU484="Rate-swap"),"see notes","")))</f>
        <v/>
      </c>
    </row>
    <row r="485" outlineLevel="1" s="817">
      <c r="W485">
        <f>IF(AND($D485="Occupied",$AC485&lt;&gt;""),$AC485,"")</f>
        <v/>
      </c>
      <c r="X485">
        <f>IF(AND(D485="Occupied",C485&lt;&gt;"",W485&lt;&gt;""),C485&amp;"|"&amp;W485,"")</f>
        <v/>
      </c>
      <c r="Y485">
        <f>IF(AND(C485&lt;&gt;"",W485&lt;&gt;""),C485&amp;"|"&amp;W485,"")</f>
        <v/>
      </c>
      <c r="AA485" s="970">
        <f>IF(AND(I485&gt;0,H485&gt;0),H485-I485,"")</f>
        <v/>
      </c>
      <c r="AB485" s="555">
        <f>IF(AND(I485&gt;0,H485&gt;0),(H485-I485)/H485,"")</f>
        <v/>
      </c>
      <c r="AQ485" s="980">
        <f>SUM(AK485:AO485)</f>
        <v/>
      </c>
      <c r="AU485">
        <f t="array" ref="AU485">IF(D485&lt;&gt;"Occupied","",_xlfn.IFS(AND(ISNUMBER(AD485),AD485&lt;&gt;0),"Structured",ISNUMBER(SEARCH("/mo con",S485)),"Notes-parsed",ISNUMBER(SEARCH("step",S485)),"Step-up",ISNUMBER(SEARCH("swap",S485)),"Rate-swap",AND(ISNUMBER(H485),ISNUMBER(I485),H485&gt;I485),"Implied",TRUE,""))</f>
        <v/>
      </c>
      <c r="AV485" s="970">
        <f>IF(AD485&lt;&gt;"",AD485,IF(AU485="Implied",-(H485-I485),IF(OR(AU485="Step-up",AU485="Rate-swap"),"see notes","")))</f>
        <v/>
      </c>
    </row>
    <row r="486" outlineLevel="1" s="817">
      <c r="W486">
        <f>IF(AND($D486="Occupied",$AC486&lt;&gt;""),$AC486,"")</f>
        <v/>
      </c>
      <c r="X486">
        <f>IF(AND(D486="Occupied",C486&lt;&gt;"",W486&lt;&gt;""),C486&amp;"|"&amp;W486,"")</f>
        <v/>
      </c>
      <c r="Y486">
        <f>IF(AND(C486&lt;&gt;"",W486&lt;&gt;""),C486&amp;"|"&amp;W486,"")</f>
        <v/>
      </c>
      <c r="AA486" s="970">
        <f>IF(AND(I486&gt;0,H486&gt;0),H486-I486,"")</f>
        <v/>
      </c>
      <c r="AB486" s="555">
        <f>IF(AND(I486&gt;0,H486&gt;0),(H486-I486)/H486,"")</f>
        <v/>
      </c>
      <c r="AQ486" s="980">
        <f>SUM(AK486:AO486)</f>
        <v/>
      </c>
      <c r="AU486">
        <f t="array" ref="AU486">IF(D486&lt;&gt;"Occupied","",_xlfn.IFS(AND(ISNUMBER(AD486),AD486&lt;&gt;0),"Structured",ISNUMBER(SEARCH("/mo con",S486)),"Notes-parsed",ISNUMBER(SEARCH("step",S486)),"Step-up",ISNUMBER(SEARCH("swap",S486)),"Rate-swap",AND(ISNUMBER(H486),ISNUMBER(I486),H486&gt;I486),"Implied",TRUE,""))</f>
        <v/>
      </c>
      <c r="AV486" s="970">
        <f>IF(AD486&lt;&gt;"",AD486,IF(AU486="Implied",-(H486-I486),IF(OR(AU486="Step-up",AU486="Rate-swap"),"see notes","")))</f>
        <v/>
      </c>
    </row>
    <row r="487" outlineLevel="1" s="817">
      <c r="W487">
        <f>IF(AND($D487="Occupied",$AC487&lt;&gt;""),$AC487,"")</f>
        <v/>
      </c>
      <c r="X487">
        <f>IF(AND(D487="Occupied",C487&lt;&gt;"",W487&lt;&gt;""),C487&amp;"|"&amp;W487,"")</f>
        <v/>
      </c>
      <c r="Y487">
        <f>IF(AND(C487&lt;&gt;"",W487&lt;&gt;""),C487&amp;"|"&amp;W487,"")</f>
        <v/>
      </c>
      <c r="AA487" s="970">
        <f>IF(AND(I487&gt;0,H487&gt;0),H487-I487,"")</f>
        <v/>
      </c>
      <c r="AB487" s="555">
        <f>IF(AND(I487&gt;0,H487&gt;0),(H487-I487)/H487,"")</f>
        <v/>
      </c>
      <c r="AQ487" s="980">
        <f>SUM(AK487:AO487)</f>
        <v/>
      </c>
      <c r="AU487">
        <f t="array" ref="AU487">IF(D487&lt;&gt;"Occupied","",_xlfn.IFS(AND(ISNUMBER(AD487),AD487&lt;&gt;0),"Structured",ISNUMBER(SEARCH("/mo con",S487)),"Notes-parsed",ISNUMBER(SEARCH("step",S487)),"Step-up",ISNUMBER(SEARCH("swap",S487)),"Rate-swap",AND(ISNUMBER(H487),ISNUMBER(I487),H487&gt;I487),"Implied",TRUE,""))</f>
        <v/>
      </c>
      <c r="AV487" s="970">
        <f>IF(AD487&lt;&gt;"",AD487,IF(AU487="Implied",-(H487-I487),IF(OR(AU487="Step-up",AU487="Rate-swap"),"see notes","")))</f>
        <v/>
      </c>
    </row>
    <row r="488" outlineLevel="1" s="817">
      <c r="W488">
        <f>IF(AND($D488="Occupied",$AC488&lt;&gt;""),$AC488,"")</f>
        <v/>
      </c>
      <c r="X488">
        <f>IF(AND(D488="Occupied",C488&lt;&gt;"",W488&lt;&gt;""),C488&amp;"|"&amp;W488,"")</f>
        <v/>
      </c>
      <c r="Y488">
        <f>IF(AND(C488&lt;&gt;"",W488&lt;&gt;""),C488&amp;"|"&amp;W488,"")</f>
        <v/>
      </c>
      <c r="AA488" s="970">
        <f>IF(AND(I488&gt;0,H488&gt;0),H488-I488,"")</f>
        <v/>
      </c>
      <c r="AB488" s="555">
        <f>IF(AND(I488&gt;0,H488&gt;0),(H488-I488)/H488,"")</f>
        <v/>
      </c>
      <c r="AQ488" s="980">
        <f>SUM(AK488:AO488)</f>
        <v/>
      </c>
      <c r="AU488">
        <f t="array" ref="AU488">IF(D488&lt;&gt;"Occupied","",_xlfn.IFS(AND(ISNUMBER(AD488),AD488&lt;&gt;0),"Structured",ISNUMBER(SEARCH("/mo con",S488)),"Notes-parsed",ISNUMBER(SEARCH("step",S488)),"Step-up",ISNUMBER(SEARCH("swap",S488)),"Rate-swap",AND(ISNUMBER(H488),ISNUMBER(I488),H488&gt;I488),"Implied",TRUE,""))</f>
        <v/>
      </c>
      <c r="AV488" s="970">
        <f>IF(AD488&lt;&gt;"",AD488,IF(AU488="Implied",-(H488-I488),IF(OR(AU488="Step-up",AU488="Rate-swap"),"see notes","")))</f>
        <v/>
      </c>
    </row>
    <row r="489" outlineLevel="1" s="817">
      <c r="W489">
        <f>IF(AND($D489="Occupied",$AC489&lt;&gt;""),$AC489,"")</f>
        <v/>
      </c>
      <c r="X489">
        <f>IF(AND(D489="Occupied",C489&lt;&gt;"",W489&lt;&gt;""),C489&amp;"|"&amp;W489,"")</f>
        <v/>
      </c>
      <c r="Y489">
        <f>IF(AND(C489&lt;&gt;"",W489&lt;&gt;""),C489&amp;"|"&amp;W489,"")</f>
        <v/>
      </c>
      <c r="AA489" s="970">
        <f>IF(AND(I489&gt;0,H489&gt;0),H489-I489,"")</f>
        <v/>
      </c>
      <c r="AB489" s="555">
        <f>IF(AND(I489&gt;0,H489&gt;0),(H489-I489)/H489,"")</f>
        <v/>
      </c>
      <c r="AQ489" s="980">
        <f>SUM(AK489:AO489)</f>
        <v/>
      </c>
      <c r="AU489">
        <f t="array" ref="AU489">IF(D489&lt;&gt;"Occupied","",_xlfn.IFS(AND(ISNUMBER(AD489),AD489&lt;&gt;0),"Structured",ISNUMBER(SEARCH("/mo con",S489)),"Notes-parsed",ISNUMBER(SEARCH("step",S489)),"Step-up",ISNUMBER(SEARCH("swap",S489)),"Rate-swap",AND(ISNUMBER(H489),ISNUMBER(I489),H489&gt;I489),"Implied",TRUE,""))</f>
        <v/>
      </c>
      <c r="AV489" s="970">
        <f>IF(AD489&lt;&gt;"",AD489,IF(AU489="Implied",-(H489-I489),IF(OR(AU489="Step-up",AU489="Rate-swap"),"see notes","")))</f>
        <v/>
      </c>
    </row>
    <row r="490" outlineLevel="1" s="817">
      <c r="W490">
        <f>IF(AND($D490="Occupied",$AC490&lt;&gt;""),$AC490,"")</f>
        <v/>
      </c>
      <c r="X490">
        <f>IF(AND(D490="Occupied",C490&lt;&gt;"",W490&lt;&gt;""),C490&amp;"|"&amp;W490,"")</f>
        <v/>
      </c>
      <c r="Y490">
        <f>IF(AND(C490&lt;&gt;"",W490&lt;&gt;""),C490&amp;"|"&amp;W490,"")</f>
        <v/>
      </c>
      <c r="AA490" s="970">
        <f>IF(AND(I490&gt;0,H490&gt;0),H490-I490,"")</f>
        <v/>
      </c>
      <c r="AB490" s="555">
        <f>IF(AND(I490&gt;0,H490&gt;0),(H490-I490)/H490,"")</f>
        <v/>
      </c>
      <c r="AQ490" s="980">
        <f>SUM(AK490:AO490)</f>
        <v/>
      </c>
      <c r="AU490">
        <f t="array" ref="AU490">IF(D490&lt;&gt;"Occupied","",_xlfn.IFS(AND(ISNUMBER(AD490),AD490&lt;&gt;0),"Structured",ISNUMBER(SEARCH("/mo con",S490)),"Notes-parsed",ISNUMBER(SEARCH("step",S490)),"Step-up",ISNUMBER(SEARCH("swap",S490)),"Rate-swap",AND(ISNUMBER(H490),ISNUMBER(I490),H490&gt;I490),"Implied",TRUE,""))</f>
        <v/>
      </c>
      <c r="AV490" s="970">
        <f>IF(AD490&lt;&gt;"",AD490,IF(AU490="Implied",-(H490-I490),IF(OR(AU490="Step-up",AU490="Rate-swap"),"see notes","")))</f>
        <v/>
      </c>
    </row>
    <row r="491" outlineLevel="1" s="817">
      <c r="W491">
        <f>IF(AND($D491="Occupied",$AC491&lt;&gt;""),$AC491,"")</f>
        <v/>
      </c>
      <c r="X491">
        <f>IF(AND(D491="Occupied",C491&lt;&gt;"",W491&lt;&gt;""),C491&amp;"|"&amp;W491,"")</f>
        <v/>
      </c>
      <c r="Y491">
        <f>IF(AND(C491&lt;&gt;"",W491&lt;&gt;""),C491&amp;"|"&amp;W491,"")</f>
        <v/>
      </c>
      <c r="AA491" s="970">
        <f>IF(AND(I491&gt;0,H491&gt;0),H491-I491,"")</f>
        <v/>
      </c>
      <c r="AB491" s="555">
        <f>IF(AND(I491&gt;0,H491&gt;0),(H491-I491)/H491,"")</f>
        <v/>
      </c>
      <c r="AQ491" s="980">
        <f>SUM(AK491:AO491)</f>
        <v/>
      </c>
      <c r="AU491">
        <f t="array" ref="AU491">IF(D491&lt;&gt;"Occupied","",_xlfn.IFS(AND(ISNUMBER(AD491),AD491&lt;&gt;0),"Structured",ISNUMBER(SEARCH("/mo con",S491)),"Notes-parsed",ISNUMBER(SEARCH("step",S491)),"Step-up",ISNUMBER(SEARCH("swap",S491)),"Rate-swap",AND(ISNUMBER(H491),ISNUMBER(I491),H491&gt;I491),"Implied",TRUE,""))</f>
        <v/>
      </c>
      <c r="AV491" s="970">
        <f>IF(AD491&lt;&gt;"",AD491,IF(AU491="Implied",-(H491-I491),IF(OR(AU491="Step-up",AU491="Rate-swap"),"see notes","")))</f>
        <v/>
      </c>
    </row>
    <row r="492" outlineLevel="1" s="817">
      <c r="W492">
        <f>IF(AND($D492="Occupied",$AC492&lt;&gt;""),$AC492,"")</f>
        <v/>
      </c>
      <c r="X492">
        <f>IF(AND(D492="Occupied",C492&lt;&gt;"",W492&lt;&gt;""),C492&amp;"|"&amp;W492,"")</f>
        <v/>
      </c>
      <c r="Y492">
        <f>IF(AND(C492&lt;&gt;"",W492&lt;&gt;""),C492&amp;"|"&amp;W492,"")</f>
        <v/>
      </c>
      <c r="AA492" s="970">
        <f>IF(AND(I492&gt;0,H492&gt;0),H492-I492,"")</f>
        <v/>
      </c>
      <c r="AB492" s="555">
        <f>IF(AND(I492&gt;0,H492&gt;0),(H492-I492)/H492,"")</f>
        <v/>
      </c>
      <c r="AQ492" s="980">
        <f>SUM(AK492:AO492)</f>
        <v/>
      </c>
      <c r="AU492">
        <f t="array" ref="AU492">IF(D492&lt;&gt;"Occupied","",_xlfn.IFS(AND(ISNUMBER(AD492),AD492&lt;&gt;0),"Structured",ISNUMBER(SEARCH("/mo con",S492)),"Notes-parsed",ISNUMBER(SEARCH("step",S492)),"Step-up",ISNUMBER(SEARCH("swap",S492)),"Rate-swap",AND(ISNUMBER(H492),ISNUMBER(I492),H492&gt;I492),"Implied",TRUE,""))</f>
        <v/>
      </c>
      <c r="AV492" s="970">
        <f>IF(AD492&lt;&gt;"",AD492,IF(AU492="Implied",-(H492-I492),IF(OR(AU492="Step-up",AU492="Rate-swap"),"see notes","")))</f>
        <v/>
      </c>
    </row>
    <row r="493" outlineLevel="1" s="817">
      <c r="W493">
        <f>IF(AND($D493="Occupied",$AC493&lt;&gt;""),$AC493,"")</f>
        <v/>
      </c>
      <c r="X493">
        <f>IF(AND(D493="Occupied",C493&lt;&gt;"",W493&lt;&gt;""),C493&amp;"|"&amp;W493,"")</f>
        <v/>
      </c>
      <c r="Y493">
        <f>IF(AND(C493&lt;&gt;"",W493&lt;&gt;""),C493&amp;"|"&amp;W493,"")</f>
        <v/>
      </c>
      <c r="AA493" s="970">
        <f>IF(AND(I493&gt;0,H493&gt;0),H493-I493,"")</f>
        <v/>
      </c>
      <c r="AB493" s="555">
        <f>IF(AND(I493&gt;0,H493&gt;0),(H493-I493)/H493,"")</f>
        <v/>
      </c>
      <c r="AQ493" s="980">
        <f>SUM(AK493:AO493)</f>
        <v/>
      </c>
      <c r="AU493">
        <f t="array" ref="AU493">IF(D493&lt;&gt;"Occupied","",_xlfn.IFS(AND(ISNUMBER(AD493),AD493&lt;&gt;0),"Structured",ISNUMBER(SEARCH("/mo con",S493)),"Notes-parsed",ISNUMBER(SEARCH("step",S493)),"Step-up",ISNUMBER(SEARCH("swap",S493)),"Rate-swap",AND(ISNUMBER(H493),ISNUMBER(I493),H493&gt;I493),"Implied",TRUE,""))</f>
        <v/>
      </c>
      <c r="AV493" s="970">
        <f>IF(AD493&lt;&gt;"",AD493,IF(AU493="Implied",-(H493-I493),IF(OR(AU493="Step-up",AU493="Rate-swap"),"see notes","")))</f>
        <v/>
      </c>
    </row>
    <row r="494" outlineLevel="1" s="817">
      <c r="W494">
        <f>IF(AND($D494="Occupied",$AC494&lt;&gt;""),$AC494,"")</f>
        <v/>
      </c>
      <c r="X494">
        <f>IF(AND(D494="Occupied",C494&lt;&gt;"",W494&lt;&gt;""),C494&amp;"|"&amp;W494,"")</f>
        <v/>
      </c>
      <c r="Y494">
        <f>IF(AND(C494&lt;&gt;"",W494&lt;&gt;""),C494&amp;"|"&amp;W494,"")</f>
        <v/>
      </c>
      <c r="AA494" s="970">
        <f>IF(AND(I494&gt;0,H494&gt;0),H494-I494,"")</f>
        <v/>
      </c>
      <c r="AB494" s="555">
        <f>IF(AND(I494&gt;0,H494&gt;0),(H494-I494)/H494,"")</f>
        <v/>
      </c>
      <c r="AQ494" s="980">
        <f>SUM(AK494:AO494)</f>
        <v/>
      </c>
      <c r="AU494">
        <f t="array" ref="AU494">IF(D494&lt;&gt;"Occupied","",_xlfn.IFS(AND(ISNUMBER(AD494),AD494&lt;&gt;0),"Structured",ISNUMBER(SEARCH("/mo con",S494)),"Notes-parsed",ISNUMBER(SEARCH("step",S494)),"Step-up",ISNUMBER(SEARCH("swap",S494)),"Rate-swap",AND(ISNUMBER(H494),ISNUMBER(I494),H494&gt;I494),"Implied",TRUE,""))</f>
        <v/>
      </c>
      <c r="AV494" s="970">
        <f>IF(AD494&lt;&gt;"",AD494,IF(AU494="Implied",-(H494-I494),IF(OR(AU494="Step-up",AU494="Rate-swap"),"see notes","")))</f>
        <v/>
      </c>
    </row>
    <row r="495" outlineLevel="1" s="817">
      <c r="W495">
        <f>IF(AND($D495="Occupied",$AC495&lt;&gt;""),$AC495,"")</f>
        <v/>
      </c>
      <c r="X495">
        <f>IF(AND(D495="Occupied",C495&lt;&gt;"",W495&lt;&gt;""),C495&amp;"|"&amp;W495,"")</f>
        <v/>
      </c>
      <c r="Y495">
        <f>IF(AND(C495&lt;&gt;"",W495&lt;&gt;""),C495&amp;"|"&amp;W495,"")</f>
        <v/>
      </c>
      <c r="AA495" s="970">
        <f>IF(AND(I495&gt;0,H495&gt;0),H495-I495,"")</f>
        <v/>
      </c>
      <c r="AB495" s="555">
        <f>IF(AND(I495&gt;0,H495&gt;0),(H495-I495)/H495,"")</f>
        <v/>
      </c>
      <c r="AQ495" s="980">
        <f>SUM(AK495:AO495)</f>
        <v/>
      </c>
      <c r="AU495">
        <f t="array" ref="AU495">IF(D495&lt;&gt;"Occupied","",_xlfn.IFS(AND(ISNUMBER(AD495),AD495&lt;&gt;0),"Structured",ISNUMBER(SEARCH("/mo con",S495)),"Notes-parsed",ISNUMBER(SEARCH("step",S495)),"Step-up",ISNUMBER(SEARCH("swap",S495)),"Rate-swap",AND(ISNUMBER(H495),ISNUMBER(I495),H495&gt;I495),"Implied",TRUE,""))</f>
        <v/>
      </c>
      <c r="AV495" s="970">
        <f>IF(AD495&lt;&gt;"",AD495,IF(AU495="Implied",-(H495-I495),IF(OR(AU495="Step-up",AU495="Rate-swap"),"see notes","")))</f>
        <v/>
      </c>
    </row>
    <row r="496" outlineLevel="1" s="817">
      <c r="W496">
        <f>IF(AND($D496="Occupied",$AC496&lt;&gt;""),$AC496,"")</f>
        <v/>
      </c>
      <c r="X496">
        <f>IF(AND(D496="Occupied",C496&lt;&gt;"",W496&lt;&gt;""),C496&amp;"|"&amp;W496,"")</f>
        <v/>
      </c>
      <c r="Y496">
        <f>IF(AND(C496&lt;&gt;"",W496&lt;&gt;""),C496&amp;"|"&amp;W496,"")</f>
        <v/>
      </c>
      <c r="AA496" s="970">
        <f>IF(AND(I496&gt;0,H496&gt;0),H496-I496,"")</f>
        <v/>
      </c>
      <c r="AB496" s="555">
        <f>IF(AND(I496&gt;0,H496&gt;0),(H496-I496)/H496,"")</f>
        <v/>
      </c>
      <c r="AQ496" s="980">
        <f>SUM(AK496:AO496)</f>
        <v/>
      </c>
      <c r="AU496">
        <f t="array" ref="AU496">IF(D496&lt;&gt;"Occupied","",_xlfn.IFS(AND(ISNUMBER(AD496),AD496&lt;&gt;0),"Structured",ISNUMBER(SEARCH("/mo con",S496)),"Notes-parsed",ISNUMBER(SEARCH("step",S496)),"Step-up",ISNUMBER(SEARCH("swap",S496)),"Rate-swap",AND(ISNUMBER(H496),ISNUMBER(I496),H496&gt;I496),"Implied",TRUE,""))</f>
        <v/>
      </c>
      <c r="AV496" s="970">
        <f>IF(AD496&lt;&gt;"",AD496,IF(AU496="Implied",-(H496-I496),IF(OR(AU496="Step-up",AU496="Rate-swap"),"see notes","")))</f>
        <v/>
      </c>
    </row>
    <row r="497" outlineLevel="1" s="817">
      <c r="W497">
        <f>IF(AND($D497="Occupied",$AC497&lt;&gt;""),$AC497,"")</f>
        <v/>
      </c>
      <c r="X497">
        <f>IF(AND(D497="Occupied",C497&lt;&gt;"",W497&lt;&gt;""),C497&amp;"|"&amp;W497,"")</f>
        <v/>
      </c>
      <c r="Y497">
        <f>IF(AND(C497&lt;&gt;"",W497&lt;&gt;""),C497&amp;"|"&amp;W497,"")</f>
        <v/>
      </c>
      <c r="AA497" s="970">
        <f>IF(AND(I497&gt;0,H497&gt;0),H497-I497,"")</f>
        <v/>
      </c>
      <c r="AB497" s="555">
        <f>IF(AND(I497&gt;0,H497&gt;0),(H497-I497)/H497,"")</f>
        <v/>
      </c>
      <c r="AQ497" s="980">
        <f>SUM(AK497:AO497)</f>
        <v/>
      </c>
      <c r="AU497">
        <f t="array" ref="AU497">IF(D497&lt;&gt;"Occupied","",_xlfn.IFS(AND(ISNUMBER(AD497),AD497&lt;&gt;0),"Structured",ISNUMBER(SEARCH("/mo con",S497)),"Notes-parsed",ISNUMBER(SEARCH("step",S497)),"Step-up",ISNUMBER(SEARCH("swap",S497)),"Rate-swap",AND(ISNUMBER(H497),ISNUMBER(I497),H497&gt;I497),"Implied",TRUE,""))</f>
        <v/>
      </c>
      <c r="AV497" s="970">
        <f>IF(AD497&lt;&gt;"",AD497,IF(AU497="Implied",-(H497-I497),IF(OR(AU497="Step-up",AU497="Rate-swap"),"see notes","")))</f>
        <v/>
      </c>
    </row>
    <row r="498" outlineLevel="1" s="817">
      <c r="W498">
        <f>IF(AND($D498="Occupied",$AC498&lt;&gt;""),$AC498,"")</f>
        <v/>
      </c>
      <c r="X498">
        <f>IF(AND(D498="Occupied",C498&lt;&gt;"",W498&lt;&gt;""),C498&amp;"|"&amp;W498,"")</f>
        <v/>
      </c>
      <c r="Y498">
        <f>IF(AND(C498&lt;&gt;"",W498&lt;&gt;""),C498&amp;"|"&amp;W498,"")</f>
        <v/>
      </c>
      <c r="AA498" s="970">
        <f>IF(AND(I498&gt;0,H498&gt;0),H498-I498,"")</f>
        <v/>
      </c>
      <c r="AB498" s="555">
        <f>IF(AND(I498&gt;0,H498&gt;0),(H498-I498)/H498,"")</f>
        <v/>
      </c>
      <c r="AQ498" s="980">
        <f>SUM(AK498:AO498)</f>
        <v/>
      </c>
      <c r="AU498">
        <f t="array" ref="AU498">IF(D498&lt;&gt;"Occupied","",_xlfn.IFS(AND(ISNUMBER(AD498),AD498&lt;&gt;0),"Structured",ISNUMBER(SEARCH("/mo con",S498)),"Notes-parsed",ISNUMBER(SEARCH("step",S498)),"Step-up",ISNUMBER(SEARCH("swap",S498)),"Rate-swap",AND(ISNUMBER(H498),ISNUMBER(I498),H498&gt;I498),"Implied",TRUE,""))</f>
        <v/>
      </c>
      <c r="AV498" s="970">
        <f>IF(AD498&lt;&gt;"",AD498,IF(AU498="Implied",-(H498-I498),IF(OR(AU498="Step-up",AU498="Rate-swap"),"see notes","")))</f>
        <v/>
      </c>
    </row>
    <row r="499" outlineLevel="1" s="817">
      <c r="W499">
        <f>IF(AND($D499="Occupied",$AC499&lt;&gt;""),$AC499,"")</f>
        <v/>
      </c>
      <c r="X499">
        <f>IF(AND(D499="Occupied",C499&lt;&gt;"",W499&lt;&gt;""),C499&amp;"|"&amp;W499,"")</f>
        <v/>
      </c>
      <c r="Y499">
        <f>IF(AND(C499&lt;&gt;"",W499&lt;&gt;""),C499&amp;"|"&amp;W499,"")</f>
        <v/>
      </c>
      <c r="AA499" s="970">
        <f>IF(AND(I499&gt;0,H499&gt;0),H499-I499,"")</f>
        <v/>
      </c>
      <c r="AB499" s="555">
        <f>IF(AND(I499&gt;0,H499&gt;0),(H499-I499)/H499,"")</f>
        <v/>
      </c>
      <c r="AQ499" s="980">
        <f>SUM(AK499:AO499)</f>
        <v/>
      </c>
      <c r="AU499">
        <f t="array" ref="AU499">IF(D499&lt;&gt;"Occupied","",_xlfn.IFS(AND(ISNUMBER(AD499),AD499&lt;&gt;0),"Structured",ISNUMBER(SEARCH("/mo con",S499)),"Notes-parsed",ISNUMBER(SEARCH("step",S499)),"Step-up",ISNUMBER(SEARCH("swap",S499)),"Rate-swap",AND(ISNUMBER(H499),ISNUMBER(I499),H499&gt;I499),"Implied",TRUE,""))</f>
        <v/>
      </c>
      <c r="AV499" s="970">
        <f>IF(AD499&lt;&gt;"",AD499,IF(AU499="Implied",-(H499-I499),IF(OR(AU499="Step-up",AU499="Rate-swap"),"see notes","")))</f>
        <v/>
      </c>
    </row>
    <row r="500" outlineLevel="1" s="817">
      <c r="W500">
        <f>IF(AND($D500="Occupied",$AC500&lt;&gt;""),$AC500,"")</f>
        <v/>
      </c>
      <c r="X500">
        <f>IF(AND(D500="Occupied",C500&lt;&gt;"",W500&lt;&gt;""),C500&amp;"|"&amp;W500,"")</f>
        <v/>
      </c>
      <c r="Y500">
        <f>IF(AND(C500&lt;&gt;"",W500&lt;&gt;""),C500&amp;"|"&amp;W500,"")</f>
        <v/>
      </c>
      <c r="AA500" s="970">
        <f>IF(AND(I500&gt;0,H500&gt;0),H500-I500,"")</f>
        <v/>
      </c>
      <c r="AB500" s="555">
        <f>IF(AND(I500&gt;0,H500&gt;0),(H500-I500)/H500,"")</f>
        <v/>
      </c>
      <c r="AQ500" s="980">
        <f>SUM(AK500:AO500)</f>
        <v/>
      </c>
      <c r="AU500">
        <f t="array" ref="AU500">IF(D500&lt;&gt;"Occupied","",_xlfn.IFS(AND(ISNUMBER(AD500),AD500&lt;&gt;0),"Structured",ISNUMBER(SEARCH("/mo con",S500)),"Notes-parsed",ISNUMBER(SEARCH("step",S500)),"Step-up",ISNUMBER(SEARCH("swap",S500)),"Rate-swap",AND(ISNUMBER(H500),ISNUMBER(I500),H500&gt;I500),"Implied",TRUE,""))</f>
        <v/>
      </c>
      <c r="AV500" s="970">
        <f>IF(AD500&lt;&gt;"",AD500,IF(AU500="Implied",-(H500-I500),IF(OR(AU500="Step-up",AU500="Rate-swap"),"see notes","")))</f>
        <v/>
      </c>
    </row>
    <row r="501" outlineLevel="1" s="817">
      <c r="W501">
        <f>IF(AND($D501="Occupied",$AC501&lt;&gt;""),$AC501,"")</f>
        <v/>
      </c>
      <c r="X501">
        <f>IF(AND(D501="Occupied",C501&lt;&gt;"",W501&lt;&gt;""),C501&amp;"|"&amp;W501,"")</f>
        <v/>
      </c>
      <c r="Y501">
        <f>IF(AND(C501&lt;&gt;"",W501&lt;&gt;""),C501&amp;"|"&amp;W501,"")</f>
        <v/>
      </c>
      <c r="AA501" s="970">
        <f>IF(AND(I501&gt;0,H501&gt;0),H501-I501,"")</f>
        <v/>
      </c>
      <c r="AB501" s="555">
        <f>IF(AND(I501&gt;0,H501&gt;0),(H501-I501)/H501,"")</f>
        <v/>
      </c>
      <c r="AQ501" s="980">
        <f>SUM(AK501:AO501)</f>
        <v/>
      </c>
      <c r="AU501">
        <f t="array" ref="AU501">IF(D501&lt;&gt;"Occupied","",_xlfn.IFS(AND(ISNUMBER(AD501),AD501&lt;&gt;0),"Structured",ISNUMBER(SEARCH("/mo con",S501)),"Notes-parsed",ISNUMBER(SEARCH("step",S501)),"Step-up",ISNUMBER(SEARCH("swap",S501)),"Rate-swap",AND(ISNUMBER(H501),ISNUMBER(I501),H501&gt;I501),"Implied",TRUE,""))</f>
        <v/>
      </c>
      <c r="AV501" s="970">
        <f>IF(AD501&lt;&gt;"",AD501,IF(AU501="Implied",-(H501-I501),IF(OR(AU501="Step-up",AU501="Rate-swap"),"see notes","")))</f>
        <v/>
      </c>
    </row>
    <row r="502" outlineLevel="1" s="817">
      <c r="W502">
        <f>IF(AND($D502="Occupied",$AC502&lt;&gt;""),$AC502,"")</f>
        <v/>
      </c>
      <c r="X502">
        <f>IF(AND(D502="Occupied",C502&lt;&gt;"",W502&lt;&gt;""),C502&amp;"|"&amp;W502,"")</f>
        <v/>
      </c>
      <c r="Y502">
        <f>IF(AND(C502&lt;&gt;"",W502&lt;&gt;""),C502&amp;"|"&amp;W502,"")</f>
        <v/>
      </c>
      <c r="AA502" s="970">
        <f>IF(AND(I502&gt;0,H502&gt;0),H502-I502,"")</f>
        <v/>
      </c>
      <c r="AB502" s="555">
        <f>IF(AND(I502&gt;0,H502&gt;0),(H502-I502)/H502,"")</f>
        <v/>
      </c>
      <c r="AQ502" s="980">
        <f>SUM(AK502:AO502)</f>
        <v/>
      </c>
      <c r="AU502">
        <f t="array" ref="AU502">IF(D502&lt;&gt;"Occupied","",_xlfn.IFS(AND(ISNUMBER(AD502),AD502&lt;&gt;0),"Structured",ISNUMBER(SEARCH("/mo con",S502)),"Notes-parsed",ISNUMBER(SEARCH("step",S502)),"Step-up",ISNUMBER(SEARCH("swap",S502)),"Rate-swap",AND(ISNUMBER(H502),ISNUMBER(I502),H502&gt;I502),"Implied",TRUE,""))</f>
        <v/>
      </c>
      <c r="AV502" s="970">
        <f>IF(AD502&lt;&gt;"",AD502,IF(AU502="Implied",-(H502-I502),IF(OR(AU502="Step-up",AU502="Rate-swap"),"see notes","")))</f>
        <v/>
      </c>
    </row>
    <row r="503" outlineLevel="1" s="817">
      <c r="W503">
        <f>IF(AND($D503="Occupied",$AC503&lt;&gt;""),$AC503,"")</f>
        <v/>
      </c>
      <c r="X503">
        <f>IF(AND(D503="Occupied",C503&lt;&gt;"",W503&lt;&gt;""),C503&amp;"|"&amp;W503,"")</f>
        <v/>
      </c>
      <c r="Y503">
        <f>IF(AND(C503&lt;&gt;"",W503&lt;&gt;""),C503&amp;"|"&amp;W503,"")</f>
        <v/>
      </c>
      <c r="AA503" s="970">
        <f>IF(AND(I503&gt;0,H503&gt;0),H503-I503,"")</f>
        <v/>
      </c>
      <c r="AB503" s="555">
        <f>IF(AND(I503&gt;0,H503&gt;0),(H503-I503)/H503,"")</f>
        <v/>
      </c>
      <c r="AQ503" s="980">
        <f>SUM(AK503:AO503)</f>
        <v/>
      </c>
      <c r="AU503">
        <f t="array" ref="AU503">IF(D503&lt;&gt;"Occupied","",_xlfn.IFS(AND(ISNUMBER(AD503),AD503&lt;&gt;0),"Structured",ISNUMBER(SEARCH("/mo con",S503)),"Notes-parsed",ISNUMBER(SEARCH("step",S503)),"Step-up",ISNUMBER(SEARCH("swap",S503)),"Rate-swap",AND(ISNUMBER(H503),ISNUMBER(I503),H503&gt;I503),"Implied",TRUE,""))</f>
        <v/>
      </c>
      <c r="AV503" s="970">
        <f>IF(AD503&lt;&gt;"",AD503,IF(AU503="Implied",-(H503-I503),IF(OR(AU503="Step-up",AU503="Rate-swap"),"see notes","")))</f>
        <v/>
      </c>
    </row>
    <row r="504" outlineLevel="1" s="817">
      <c r="W504">
        <f>IF(AND($D504="Occupied",$AC504&lt;&gt;""),$AC504,"")</f>
        <v/>
      </c>
      <c r="X504">
        <f>IF(AND(D504="Occupied",C504&lt;&gt;"",W504&lt;&gt;""),C504&amp;"|"&amp;W504,"")</f>
        <v/>
      </c>
      <c r="Y504">
        <f>IF(AND(C504&lt;&gt;"",W504&lt;&gt;""),C504&amp;"|"&amp;W504,"")</f>
        <v/>
      </c>
      <c r="AA504" s="970">
        <f>IF(AND(I504&gt;0,H504&gt;0),H504-I504,"")</f>
        <v/>
      </c>
      <c r="AB504" s="555">
        <f>IF(AND(I504&gt;0,H504&gt;0),(H504-I504)/H504,"")</f>
        <v/>
      </c>
      <c r="AQ504" s="980">
        <f>SUM(AK504:AO504)</f>
        <v/>
      </c>
      <c r="AU504">
        <f t="array" ref="AU504">IF(D504&lt;&gt;"Occupied","",_xlfn.IFS(AND(ISNUMBER(AD504),AD504&lt;&gt;0),"Structured",ISNUMBER(SEARCH("/mo con",S504)),"Notes-parsed",ISNUMBER(SEARCH("step",S504)),"Step-up",ISNUMBER(SEARCH("swap",S504)),"Rate-swap",AND(ISNUMBER(H504),ISNUMBER(I504),H504&gt;I504),"Implied",TRUE,""))</f>
        <v/>
      </c>
      <c r="AV504" s="970">
        <f>IF(AD504&lt;&gt;"",AD504,IF(AU504="Implied",-(H504-I504),IF(OR(AU504="Step-up",AU504="Rate-swap"),"see notes","")))</f>
        <v/>
      </c>
    </row>
    <row r="505" outlineLevel="1" s="817">
      <c r="W505">
        <f>IF(AND($D505="Occupied",$AC505&lt;&gt;""),$AC505,"")</f>
        <v/>
      </c>
      <c r="X505">
        <f>IF(AND(D505="Occupied",C505&lt;&gt;"",W505&lt;&gt;""),C505&amp;"|"&amp;W505,"")</f>
        <v/>
      </c>
      <c r="Y505">
        <f>IF(AND(C505&lt;&gt;"",W505&lt;&gt;""),C505&amp;"|"&amp;W505,"")</f>
        <v/>
      </c>
      <c r="AA505" s="970">
        <f>IF(AND(I505&gt;0,H505&gt;0),H505-I505,"")</f>
        <v/>
      </c>
      <c r="AB505" s="555">
        <f>IF(AND(I505&gt;0,H505&gt;0),(H505-I505)/H505,"")</f>
        <v/>
      </c>
      <c r="AQ505" s="980">
        <f>SUM(AK505:AO505)</f>
        <v/>
      </c>
      <c r="AU505">
        <f t="array" ref="AU505">IF(D505&lt;&gt;"Occupied","",_xlfn.IFS(AND(ISNUMBER(AD505),AD505&lt;&gt;0),"Structured",ISNUMBER(SEARCH("/mo con",S505)),"Notes-parsed",ISNUMBER(SEARCH("step",S505)),"Step-up",ISNUMBER(SEARCH("swap",S505)),"Rate-swap",AND(ISNUMBER(H505),ISNUMBER(I505),H505&gt;I505),"Implied",TRUE,""))</f>
        <v/>
      </c>
      <c r="AV505" s="970">
        <f>IF(AD505&lt;&gt;"",AD505,IF(AU505="Implied",-(H505-I505),IF(OR(AU505="Step-up",AU505="Rate-swap"),"see notes","")))</f>
        <v/>
      </c>
    </row>
    <row r="506" outlineLevel="1" s="817">
      <c r="W506">
        <f>IF(AND($D506="Occupied",$AC506&lt;&gt;""),$AC506,"")</f>
        <v/>
      </c>
      <c r="X506">
        <f>IF(AND(D506="Occupied",C506&lt;&gt;"",W506&lt;&gt;""),C506&amp;"|"&amp;W506,"")</f>
        <v/>
      </c>
      <c r="Y506">
        <f>IF(AND(C506&lt;&gt;"",W506&lt;&gt;""),C506&amp;"|"&amp;W506,"")</f>
        <v/>
      </c>
      <c r="AA506" s="970">
        <f>IF(AND(I506&gt;0,H506&gt;0),H506-I506,"")</f>
        <v/>
      </c>
      <c r="AB506" s="555">
        <f>IF(AND(I506&gt;0,H506&gt;0),(H506-I506)/H506,"")</f>
        <v/>
      </c>
      <c r="AQ506" s="980">
        <f>SUM(AK506:AO506)</f>
        <v/>
      </c>
      <c r="AU506">
        <f t="array" ref="AU506">IF(D506&lt;&gt;"Occupied","",_xlfn.IFS(AND(ISNUMBER(AD506),AD506&lt;&gt;0),"Structured",ISNUMBER(SEARCH("/mo con",S506)),"Notes-parsed",ISNUMBER(SEARCH("step",S506)),"Step-up",ISNUMBER(SEARCH("swap",S506)),"Rate-swap",AND(ISNUMBER(H506),ISNUMBER(I506),H506&gt;I506),"Implied",TRUE,""))</f>
        <v/>
      </c>
      <c r="AV506" s="970">
        <f>IF(AD506&lt;&gt;"",AD506,IF(AU506="Implied",-(H506-I506),IF(OR(AU506="Step-up",AU506="Rate-swap"),"see notes","")))</f>
        <v/>
      </c>
    </row>
    <row r="507" outlineLevel="1" s="817">
      <c r="W507">
        <f>IF(AND($D507="Occupied",$AC507&lt;&gt;""),$AC507,"")</f>
        <v/>
      </c>
      <c r="X507">
        <f>IF(AND(D507="Occupied",C507&lt;&gt;"",W507&lt;&gt;""),C507&amp;"|"&amp;W507,"")</f>
        <v/>
      </c>
      <c r="Y507">
        <f>IF(AND(C507&lt;&gt;"",W507&lt;&gt;""),C507&amp;"|"&amp;W507,"")</f>
        <v/>
      </c>
      <c r="AA507" s="970">
        <f>IF(AND(I507&gt;0,H507&gt;0),H507-I507,"")</f>
        <v/>
      </c>
      <c r="AB507" s="555">
        <f>IF(AND(I507&gt;0,H507&gt;0),(H507-I507)/H507,"")</f>
        <v/>
      </c>
      <c r="AQ507" s="980">
        <f>SUM(AK507:AO507)</f>
        <v/>
      </c>
      <c r="AU507">
        <f t="array" ref="AU507">IF(D507&lt;&gt;"Occupied","",_xlfn.IFS(AND(ISNUMBER(AD507),AD507&lt;&gt;0),"Structured",ISNUMBER(SEARCH("/mo con",S507)),"Notes-parsed",ISNUMBER(SEARCH("step",S507)),"Step-up",ISNUMBER(SEARCH("swap",S507)),"Rate-swap",AND(ISNUMBER(H507),ISNUMBER(I507),H507&gt;I507),"Implied",TRUE,""))</f>
        <v/>
      </c>
      <c r="AV507" s="970">
        <f>IF(AD507&lt;&gt;"",AD507,IF(AU507="Implied",-(H507-I507),IF(OR(AU507="Step-up",AU507="Rate-swap"),"see notes","")))</f>
        <v/>
      </c>
    </row>
    <row r="508" outlineLevel="1" s="817">
      <c r="W508">
        <f>IF(AND($D508="Occupied",$AC508&lt;&gt;""),$AC508,"")</f>
        <v/>
      </c>
      <c r="X508">
        <f>IF(AND(D508="Occupied",C508&lt;&gt;"",W508&lt;&gt;""),C508&amp;"|"&amp;W508,"")</f>
        <v/>
      </c>
      <c r="Y508">
        <f>IF(AND(C508&lt;&gt;"",W508&lt;&gt;""),C508&amp;"|"&amp;W508,"")</f>
        <v/>
      </c>
      <c r="AA508" s="970">
        <f>IF(AND(I508&gt;0,H508&gt;0),H508-I508,"")</f>
        <v/>
      </c>
      <c r="AB508" s="555">
        <f>IF(AND(I508&gt;0,H508&gt;0),(H508-I508)/H508,"")</f>
        <v/>
      </c>
      <c r="AQ508" s="980">
        <f>SUM(AK508:AO508)</f>
        <v/>
      </c>
      <c r="AU508">
        <f t="array" ref="AU508">IF(D508&lt;&gt;"Occupied","",_xlfn.IFS(AND(ISNUMBER(AD508),AD508&lt;&gt;0),"Structured",ISNUMBER(SEARCH("/mo con",S508)),"Notes-parsed",ISNUMBER(SEARCH("step",S508)),"Step-up",ISNUMBER(SEARCH("swap",S508)),"Rate-swap",AND(ISNUMBER(H508),ISNUMBER(I508),H508&gt;I508),"Implied",TRUE,""))</f>
        <v/>
      </c>
      <c r="AV508" s="970">
        <f>IF(AD508&lt;&gt;"",AD508,IF(AU508="Implied",-(H508-I508),IF(OR(AU508="Step-up",AU508="Rate-swap"),"see notes","")))</f>
        <v/>
      </c>
    </row>
    <row r="509" outlineLevel="1" s="817">
      <c r="W509">
        <f>IF(AND($D509="Occupied",$AC509&lt;&gt;""),$AC509,"")</f>
        <v/>
      </c>
      <c r="X509">
        <f>IF(AND(D509="Occupied",C509&lt;&gt;"",W509&lt;&gt;""),C509&amp;"|"&amp;W509,"")</f>
        <v/>
      </c>
      <c r="Y509">
        <f>IF(AND(C509&lt;&gt;"",W509&lt;&gt;""),C509&amp;"|"&amp;W509,"")</f>
        <v/>
      </c>
      <c r="AA509" s="970">
        <f>IF(AND(I509&gt;0,H509&gt;0),H509-I509,"")</f>
        <v/>
      </c>
      <c r="AB509" s="555">
        <f>IF(AND(I509&gt;0,H509&gt;0),(H509-I509)/H509,"")</f>
        <v/>
      </c>
      <c r="AQ509" s="980">
        <f>SUM(AK509:AO509)</f>
        <v/>
      </c>
      <c r="AU509">
        <f t="array" ref="AU509">IF(D509&lt;&gt;"Occupied","",_xlfn.IFS(AND(ISNUMBER(AD509),AD509&lt;&gt;0),"Structured",ISNUMBER(SEARCH("/mo con",S509)),"Notes-parsed",ISNUMBER(SEARCH("step",S509)),"Step-up",ISNUMBER(SEARCH("swap",S509)),"Rate-swap",AND(ISNUMBER(H509),ISNUMBER(I509),H509&gt;I509),"Implied",TRUE,""))</f>
        <v/>
      </c>
      <c r="AV509" s="970">
        <f>IF(AD509&lt;&gt;"",AD509,IF(AU509="Implied",-(H509-I509),IF(OR(AU509="Step-up",AU509="Rate-swap"),"see notes","")))</f>
        <v/>
      </c>
    </row>
    <row r="510" outlineLevel="1" s="817">
      <c r="W510">
        <f>IF(AND($D510="Occupied",$AC510&lt;&gt;""),$AC510,"")</f>
        <v/>
      </c>
      <c r="X510">
        <f>IF(AND(D510="Occupied",C510&lt;&gt;"",W510&lt;&gt;""),C510&amp;"|"&amp;W510,"")</f>
        <v/>
      </c>
      <c r="Y510">
        <f>IF(AND(C510&lt;&gt;"",W510&lt;&gt;""),C510&amp;"|"&amp;W510,"")</f>
        <v/>
      </c>
      <c r="AA510" s="970">
        <f>IF(AND(I510&gt;0,H510&gt;0),H510-I510,"")</f>
        <v/>
      </c>
      <c r="AB510" s="555">
        <f>IF(AND(I510&gt;0,H510&gt;0),(H510-I510)/H510,"")</f>
        <v/>
      </c>
      <c r="AQ510" s="980">
        <f>SUM(AK510:AO510)</f>
        <v/>
      </c>
      <c r="AU510">
        <f t="array" ref="AU510">IF(D510&lt;&gt;"Occupied","",_xlfn.IFS(AND(ISNUMBER(AD510),AD510&lt;&gt;0),"Structured",ISNUMBER(SEARCH("/mo con",S510)),"Notes-parsed",ISNUMBER(SEARCH("step",S510)),"Step-up",ISNUMBER(SEARCH("swap",S510)),"Rate-swap",AND(ISNUMBER(H510),ISNUMBER(I510),H510&gt;I510),"Implied",TRUE,""))</f>
        <v/>
      </c>
      <c r="AV510" s="970">
        <f>IF(AD510&lt;&gt;"",AD510,IF(AU510="Implied",-(H510-I510),IF(OR(AU510="Step-up",AU510="Rate-swap"),"see notes","")))</f>
        <v/>
      </c>
    </row>
    <row r="511" outlineLevel="1" s="817">
      <c r="W511">
        <f>IF(AND($D511="Occupied",$AC511&lt;&gt;""),$AC511,"")</f>
        <v/>
      </c>
      <c r="X511">
        <f>IF(AND(D511="Occupied",C511&lt;&gt;"",W511&lt;&gt;""),C511&amp;"|"&amp;W511,"")</f>
        <v/>
      </c>
      <c r="Y511">
        <f>IF(AND(C511&lt;&gt;"",W511&lt;&gt;""),C511&amp;"|"&amp;W511,"")</f>
        <v/>
      </c>
      <c r="AA511" s="970">
        <f>IF(AND(I511&gt;0,H511&gt;0),H511-I511,"")</f>
        <v/>
      </c>
      <c r="AB511" s="555">
        <f>IF(AND(I511&gt;0,H511&gt;0),(H511-I511)/H511,"")</f>
        <v/>
      </c>
      <c r="AQ511" s="980">
        <f>SUM(AK511:AO511)</f>
        <v/>
      </c>
      <c r="AU511">
        <f t="array" ref="AU511">IF(D511&lt;&gt;"Occupied","",_xlfn.IFS(AND(ISNUMBER(AD511),AD511&lt;&gt;0),"Structured",ISNUMBER(SEARCH("/mo con",S511)),"Notes-parsed",ISNUMBER(SEARCH("step",S511)),"Step-up",ISNUMBER(SEARCH("swap",S511)),"Rate-swap",AND(ISNUMBER(H511),ISNUMBER(I511),H511&gt;I511),"Implied",TRUE,""))</f>
        <v/>
      </c>
      <c r="AV511" s="970">
        <f>IF(AD511&lt;&gt;"",AD511,IF(AU511="Implied",-(H511-I511),IF(OR(AU511="Step-up",AU511="Rate-swap"),"see notes","")))</f>
        <v/>
      </c>
    </row>
    <row r="512" outlineLevel="1" s="817">
      <c r="W512">
        <f>IF(AND($D512="Occupied",$AC512&lt;&gt;""),$AC512,"")</f>
        <v/>
      </c>
      <c r="X512">
        <f>IF(AND(D512="Occupied",C512&lt;&gt;"",W512&lt;&gt;""),C512&amp;"|"&amp;W512,"")</f>
        <v/>
      </c>
      <c r="Y512">
        <f>IF(AND(C512&lt;&gt;"",W512&lt;&gt;""),C512&amp;"|"&amp;W512,"")</f>
        <v/>
      </c>
      <c r="AA512" s="970">
        <f>IF(AND(I512&gt;0,H512&gt;0),H512-I512,"")</f>
        <v/>
      </c>
      <c r="AB512" s="555">
        <f>IF(AND(I512&gt;0,H512&gt;0),(H512-I512)/H512,"")</f>
        <v/>
      </c>
      <c r="AQ512" s="980">
        <f>SUM(AK512:AO512)</f>
        <v/>
      </c>
      <c r="AU512">
        <f t="array" ref="AU512">IF(D512&lt;&gt;"Occupied","",_xlfn.IFS(AND(ISNUMBER(AD512),AD512&lt;&gt;0),"Structured",ISNUMBER(SEARCH("/mo con",S512)),"Notes-parsed",ISNUMBER(SEARCH("step",S512)),"Step-up",ISNUMBER(SEARCH("swap",S512)),"Rate-swap",AND(ISNUMBER(H512),ISNUMBER(I512),H512&gt;I512),"Implied",TRUE,""))</f>
        <v/>
      </c>
      <c r="AV512" s="970">
        <f>IF(AD512&lt;&gt;"",AD512,IF(AU512="Implied",-(H512-I512),IF(OR(AU512="Step-up",AU512="Rate-swap"),"see notes","")))</f>
        <v/>
      </c>
    </row>
    <row r="513" outlineLevel="1" s="817">
      <c r="W513">
        <f>IF(AND($D513="Occupied",$AC513&lt;&gt;""),$AC513,"")</f>
        <v/>
      </c>
      <c r="X513">
        <f>IF(AND(D513="Occupied",C513&lt;&gt;"",W513&lt;&gt;""),C513&amp;"|"&amp;W513,"")</f>
        <v/>
      </c>
      <c r="Y513">
        <f>IF(AND(C513&lt;&gt;"",W513&lt;&gt;""),C513&amp;"|"&amp;W513,"")</f>
        <v/>
      </c>
      <c r="AA513" s="970">
        <f>IF(AND(I513&gt;0,H513&gt;0),H513-I513,"")</f>
        <v/>
      </c>
      <c r="AB513" s="555">
        <f>IF(AND(I513&gt;0,H513&gt;0),(H513-I513)/H513,"")</f>
        <v/>
      </c>
      <c r="AQ513" s="980">
        <f>SUM(AK513:AO513)</f>
        <v/>
      </c>
      <c r="AU513">
        <f t="array" ref="AU513">IF(D513&lt;&gt;"Occupied","",_xlfn.IFS(AND(ISNUMBER(AD513),AD513&lt;&gt;0),"Structured",ISNUMBER(SEARCH("/mo con",S513)),"Notes-parsed",ISNUMBER(SEARCH("step",S513)),"Step-up",ISNUMBER(SEARCH("swap",S513)),"Rate-swap",AND(ISNUMBER(H513),ISNUMBER(I513),H513&gt;I513),"Implied",TRUE,""))</f>
        <v/>
      </c>
      <c r="AV513" s="970">
        <f>IF(AD513&lt;&gt;"",AD513,IF(AU513="Implied",-(H513-I513),IF(OR(AU513="Step-up",AU513="Rate-swap"),"see notes","")))</f>
        <v/>
      </c>
    </row>
    <row r="514" outlineLevel="1" s="817">
      <c r="W514">
        <f>IF(AND($D514="Occupied",$AC514&lt;&gt;""),$AC514,"")</f>
        <v/>
      </c>
      <c r="X514">
        <f>IF(AND(D514="Occupied",C514&lt;&gt;"",W514&lt;&gt;""),C514&amp;"|"&amp;W514,"")</f>
        <v/>
      </c>
      <c r="Y514">
        <f>IF(AND(C514&lt;&gt;"",W514&lt;&gt;""),C514&amp;"|"&amp;W514,"")</f>
        <v/>
      </c>
      <c r="AA514" s="970">
        <f>IF(AND(I514&gt;0,H514&gt;0),H514-I514,"")</f>
        <v/>
      </c>
      <c r="AB514" s="555">
        <f>IF(AND(I514&gt;0,H514&gt;0),(H514-I514)/H514,"")</f>
        <v/>
      </c>
      <c r="AQ514" s="980">
        <f>SUM(AK514:AO514)</f>
        <v/>
      </c>
      <c r="AU514">
        <f t="array" ref="AU514">IF(D514&lt;&gt;"Occupied","",_xlfn.IFS(AND(ISNUMBER(AD514),AD514&lt;&gt;0),"Structured",ISNUMBER(SEARCH("/mo con",S514)),"Notes-parsed",ISNUMBER(SEARCH("step",S514)),"Step-up",ISNUMBER(SEARCH("swap",S514)),"Rate-swap",AND(ISNUMBER(H514),ISNUMBER(I514),H514&gt;I514),"Implied",TRUE,""))</f>
        <v/>
      </c>
      <c r="AV514" s="970">
        <f>IF(AD514&lt;&gt;"",AD514,IF(AU514="Implied",-(H514-I514),IF(OR(AU514="Step-up",AU514="Rate-swap"),"see notes","")))</f>
        <v/>
      </c>
    </row>
    <row r="515" outlineLevel="1" s="817">
      <c r="W515">
        <f>IF(AND($D515="Occupied",$AC515&lt;&gt;""),$AC515,"")</f>
        <v/>
      </c>
      <c r="X515">
        <f>IF(AND(D515="Occupied",C515&lt;&gt;"",W515&lt;&gt;""),C515&amp;"|"&amp;W515,"")</f>
        <v/>
      </c>
      <c r="Y515">
        <f>IF(AND(C515&lt;&gt;"",W515&lt;&gt;""),C515&amp;"|"&amp;W515,"")</f>
        <v/>
      </c>
      <c r="AA515" s="970">
        <f>IF(AND(I515&gt;0,H515&gt;0),H515-I515,"")</f>
        <v/>
      </c>
      <c r="AB515" s="555">
        <f>IF(AND(I515&gt;0,H515&gt;0),(H515-I515)/H515,"")</f>
        <v/>
      </c>
      <c r="AQ515" s="980">
        <f>SUM(AK515:AO515)</f>
        <v/>
      </c>
      <c r="AU515">
        <f t="array" ref="AU515">IF(D515&lt;&gt;"Occupied","",_xlfn.IFS(AND(ISNUMBER(AD515),AD515&lt;&gt;0),"Structured",ISNUMBER(SEARCH("/mo con",S515)),"Notes-parsed",ISNUMBER(SEARCH("step",S515)),"Step-up",ISNUMBER(SEARCH("swap",S515)),"Rate-swap",AND(ISNUMBER(H515),ISNUMBER(I515),H515&gt;I515),"Implied",TRUE,""))</f>
        <v/>
      </c>
      <c r="AV515" s="970">
        <f>IF(AD515&lt;&gt;"",AD515,IF(AU515="Implied",-(H515-I515),IF(OR(AU515="Step-up",AU515="Rate-swap"),"see notes","")))</f>
        <v/>
      </c>
    </row>
    <row r="516" outlineLevel="1" s="817">
      <c r="W516">
        <f>IF(AND($D516="Occupied",$AC516&lt;&gt;""),$AC516,"")</f>
        <v/>
      </c>
      <c r="X516">
        <f>IF(AND(D516="Occupied",C516&lt;&gt;"",W516&lt;&gt;""),C516&amp;"|"&amp;W516,"")</f>
        <v/>
      </c>
      <c r="Y516">
        <f>IF(AND(C516&lt;&gt;"",W516&lt;&gt;""),C516&amp;"|"&amp;W516,"")</f>
        <v/>
      </c>
      <c r="AA516" s="970">
        <f>IF(AND(I516&gt;0,H516&gt;0),H516-I516,"")</f>
        <v/>
      </c>
      <c r="AB516" s="555">
        <f>IF(AND(I516&gt;0,H516&gt;0),(H516-I516)/H516,"")</f>
        <v/>
      </c>
      <c r="AQ516" s="980">
        <f>SUM(AK516:AO516)</f>
        <v/>
      </c>
      <c r="AU516">
        <f t="array" ref="AU516">IF(D516&lt;&gt;"Occupied","",_xlfn.IFS(AND(ISNUMBER(AD516),AD516&lt;&gt;0),"Structured",ISNUMBER(SEARCH("/mo con",S516)),"Notes-parsed",ISNUMBER(SEARCH("step",S516)),"Step-up",ISNUMBER(SEARCH("swap",S516)),"Rate-swap",AND(ISNUMBER(H516),ISNUMBER(I516),H516&gt;I516),"Implied",TRUE,""))</f>
        <v/>
      </c>
      <c r="AV516" s="970">
        <f>IF(AD516&lt;&gt;"",AD516,IF(AU516="Implied",-(H516-I516),IF(OR(AU516="Step-up",AU516="Rate-swap"),"see notes","")))</f>
        <v/>
      </c>
    </row>
    <row r="517" outlineLevel="1" s="817">
      <c r="W517">
        <f>IF(AND($D517="Occupied",$AC517&lt;&gt;""),$AC517,"")</f>
        <v/>
      </c>
      <c r="X517">
        <f>IF(AND(D517="Occupied",C517&lt;&gt;"",W517&lt;&gt;""),C517&amp;"|"&amp;W517,"")</f>
        <v/>
      </c>
      <c r="Y517">
        <f>IF(AND(C517&lt;&gt;"",W517&lt;&gt;""),C517&amp;"|"&amp;W517,"")</f>
        <v/>
      </c>
      <c r="AA517" s="970">
        <f>IF(AND(I517&gt;0,H517&gt;0),H517-I517,"")</f>
        <v/>
      </c>
      <c r="AB517" s="555">
        <f>IF(AND(I517&gt;0,H517&gt;0),(H517-I517)/H517,"")</f>
        <v/>
      </c>
      <c r="AQ517" s="980">
        <f>SUM(AK517:AO517)</f>
        <v/>
      </c>
      <c r="AU517">
        <f t="array" ref="AU517">IF(D517&lt;&gt;"Occupied","",_xlfn.IFS(AND(ISNUMBER(AD517),AD517&lt;&gt;0),"Structured",ISNUMBER(SEARCH("/mo con",S517)),"Notes-parsed",ISNUMBER(SEARCH("step",S517)),"Step-up",ISNUMBER(SEARCH("swap",S517)),"Rate-swap",AND(ISNUMBER(H517),ISNUMBER(I517),H517&gt;I517),"Implied",TRUE,""))</f>
        <v/>
      </c>
      <c r="AV517" s="970">
        <f>IF(AD517&lt;&gt;"",AD517,IF(AU517="Implied",-(H517-I517),IF(OR(AU517="Step-up",AU517="Rate-swap"),"see notes","")))</f>
        <v/>
      </c>
    </row>
    <row r="518" outlineLevel="1" s="817">
      <c r="W518">
        <f>IF(AND($D518="Occupied",$AC518&lt;&gt;""),$AC518,"")</f>
        <v/>
      </c>
      <c r="X518">
        <f>IF(AND(D518="Occupied",C518&lt;&gt;"",W518&lt;&gt;""),C518&amp;"|"&amp;W518,"")</f>
        <v/>
      </c>
      <c r="Y518">
        <f>IF(AND(C518&lt;&gt;"",W518&lt;&gt;""),C518&amp;"|"&amp;W518,"")</f>
        <v/>
      </c>
      <c r="AA518" s="970">
        <f>IF(AND(I518&gt;0,H518&gt;0),H518-I518,"")</f>
        <v/>
      </c>
      <c r="AB518" s="555">
        <f>IF(AND(I518&gt;0,H518&gt;0),(H518-I518)/H518,"")</f>
        <v/>
      </c>
      <c r="AQ518" s="980">
        <f>SUM(AK518:AO518)</f>
        <v/>
      </c>
      <c r="AU518">
        <f t="array" ref="AU518">IF(D518&lt;&gt;"Occupied","",_xlfn.IFS(AND(ISNUMBER(AD518),AD518&lt;&gt;0),"Structured",ISNUMBER(SEARCH("/mo con",S518)),"Notes-parsed",ISNUMBER(SEARCH("step",S518)),"Step-up",ISNUMBER(SEARCH("swap",S518)),"Rate-swap",AND(ISNUMBER(H518),ISNUMBER(I518),H518&gt;I518),"Implied",TRUE,""))</f>
        <v/>
      </c>
      <c r="AV518" s="970">
        <f>IF(AD518&lt;&gt;"",AD518,IF(AU518="Implied",-(H518-I518),IF(OR(AU518="Step-up",AU518="Rate-swap"),"see notes","")))</f>
        <v/>
      </c>
    </row>
    <row r="519" outlineLevel="1" s="817">
      <c r="W519">
        <f>IF(AND($D519="Occupied",$AC519&lt;&gt;""),$AC519,"")</f>
        <v/>
      </c>
      <c r="X519">
        <f>IF(AND(D519="Occupied",C519&lt;&gt;"",W519&lt;&gt;""),C519&amp;"|"&amp;W519,"")</f>
        <v/>
      </c>
      <c r="Y519">
        <f>IF(AND(C519&lt;&gt;"",W519&lt;&gt;""),C519&amp;"|"&amp;W519,"")</f>
        <v/>
      </c>
      <c r="AA519" s="970">
        <f>IF(AND(I519&gt;0,H519&gt;0),H519-I519,"")</f>
        <v/>
      </c>
      <c r="AB519" s="555">
        <f>IF(AND(I519&gt;0,H519&gt;0),(H519-I519)/H519,"")</f>
        <v/>
      </c>
      <c r="AQ519" s="980">
        <f>SUM(AK519:AO519)</f>
        <v/>
      </c>
      <c r="AU519">
        <f t="array" ref="AU519">IF(D519&lt;&gt;"Occupied","",_xlfn.IFS(AND(ISNUMBER(AD519),AD519&lt;&gt;0),"Structured",ISNUMBER(SEARCH("/mo con",S519)),"Notes-parsed",ISNUMBER(SEARCH("step",S519)),"Step-up",ISNUMBER(SEARCH("swap",S519)),"Rate-swap",AND(ISNUMBER(H519),ISNUMBER(I519),H519&gt;I519),"Implied",TRUE,""))</f>
        <v/>
      </c>
      <c r="AV519" s="970">
        <f>IF(AD519&lt;&gt;"",AD519,IF(AU519="Implied",-(H519-I519),IF(OR(AU519="Step-up",AU519="Rate-swap"),"see notes","")))</f>
        <v/>
      </c>
    </row>
    <row r="520" outlineLevel="1" s="817">
      <c r="W520">
        <f>IF(AND($D520="Occupied",$AC520&lt;&gt;""),$AC520,"")</f>
        <v/>
      </c>
      <c r="X520">
        <f>IF(AND(D520="Occupied",C520&lt;&gt;"",W520&lt;&gt;""),C520&amp;"|"&amp;W520,"")</f>
        <v/>
      </c>
      <c r="Y520">
        <f>IF(AND(C520&lt;&gt;"",W520&lt;&gt;""),C520&amp;"|"&amp;W520,"")</f>
        <v/>
      </c>
      <c r="AA520" s="970">
        <f>IF(AND(I520&gt;0,H520&gt;0),H520-I520,"")</f>
        <v/>
      </c>
      <c r="AB520" s="555">
        <f>IF(AND(I520&gt;0,H520&gt;0),(H520-I520)/H520,"")</f>
        <v/>
      </c>
      <c r="AQ520" s="980">
        <f>SUM(AK520:AO520)</f>
        <v/>
      </c>
      <c r="AU520">
        <f t="array" ref="AU520">IF(D520&lt;&gt;"Occupied","",_xlfn.IFS(AND(ISNUMBER(AD520),AD520&lt;&gt;0),"Structured",ISNUMBER(SEARCH("/mo con",S520)),"Notes-parsed",ISNUMBER(SEARCH("step",S520)),"Step-up",ISNUMBER(SEARCH("swap",S520)),"Rate-swap",AND(ISNUMBER(H520),ISNUMBER(I520),H520&gt;I520),"Implied",TRUE,""))</f>
        <v/>
      </c>
      <c r="AV520" s="970">
        <f>IF(AD520&lt;&gt;"",AD520,IF(AU520="Implied",-(H520-I520),IF(OR(AU520="Step-up",AU520="Rate-swap"),"see notes","")))</f>
        <v/>
      </c>
    </row>
    <row r="521" outlineLevel="1" s="817">
      <c r="W521">
        <f>IF(AND($D521="Occupied",$AC521&lt;&gt;""),$AC521,"")</f>
        <v/>
      </c>
      <c r="X521">
        <f>IF(AND(D521="Occupied",C521&lt;&gt;"",W521&lt;&gt;""),C521&amp;"|"&amp;W521,"")</f>
        <v/>
      </c>
      <c r="Y521">
        <f>IF(AND(C521&lt;&gt;"",W521&lt;&gt;""),C521&amp;"|"&amp;W521,"")</f>
        <v/>
      </c>
      <c r="AA521" s="970">
        <f>IF(AND(I521&gt;0,H521&gt;0),H521-I521,"")</f>
        <v/>
      </c>
      <c r="AB521" s="555">
        <f>IF(AND(I521&gt;0,H521&gt;0),(H521-I521)/H521,"")</f>
        <v/>
      </c>
      <c r="AQ521" s="980">
        <f>SUM(AK521:AO521)</f>
        <v/>
      </c>
      <c r="AU521">
        <f t="array" ref="AU521">IF(D521&lt;&gt;"Occupied","",_xlfn.IFS(AND(ISNUMBER(AD521),AD521&lt;&gt;0),"Structured",ISNUMBER(SEARCH("/mo con",S521)),"Notes-parsed",ISNUMBER(SEARCH("step",S521)),"Step-up",ISNUMBER(SEARCH("swap",S521)),"Rate-swap",AND(ISNUMBER(H521),ISNUMBER(I521),H521&gt;I521),"Implied",TRUE,""))</f>
        <v/>
      </c>
      <c r="AV521" s="970">
        <f>IF(AD521&lt;&gt;"",AD521,IF(AU521="Implied",-(H521-I521),IF(OR(AU521="Step-up",AU521="Rate-swap"),"see notes","")))</f>
        <v/>
      </c>
    </row>
    <row r="522" outlineLevel="1" s="817">
      <c r="W522">
        <f>IF(AND($D522="Occupied",$AC522&lt;&gt;""),$AC522,"")</f>
        <v/>
      </c>
      <c r="X522">
        <f>IF(AND(D522="Occupied",C522&lt;&gt;"",W522&lt;&gt;""),C522&amp;"|"&amp;W522,"")</f>
        <v/>
      </c>
      <c r="Y522">
        <f>IF(AND(C522&lt;&gt;"",W522&lt;&gt;""),C522&amp;"|"&amp;W522,"")</f>
        <v/>
      </c>
      <c r="AA522" s="970">
        <f>IF(AND(I522&gt;0,H522&gt;0),H522-I522,"")</f>
        <v/>
      </c>
      <c r="AB522" s="555">
        <f>IF(AND(I522&gt;0,H522&gt;0),(H522-I522)/H522,"")</f>
        <v/>
      </c>
      <c r="AQ522" s="980">
        <f>SUM(AK522:AO522)</f>
        <v/>
      </c>
      <c r="AU522">
        <f t="array" ref="AU522">IF(D522&lt;&gt;"Occupied","",_xlfn.IFS(AND(ISNUMBER(AD522),AD522&lt;&gt;0),"Structured",ISNUMBER(SEARCH("/mo con",S522)),"Notes-parsed",ISNUMBER(SEARCH("step",S522)),"Step-up",ISNUMBER(SEARCH("swap",S522)),"Rate-swap",AND(ISNUMBER(H522),ISNUMBER(I522),H522&gt;I522),"Implied",TRUE,""))</f>
        <v/>
      </c>
      <c r="AV522" s="970">
        <f>IF(AD522&lt;&gt;"",AD522,IF(AU522="Implied",-(H522-I522),IF(OR(AU522="Step-up",AU522="Rate-swap"),"see notes","")))</f>
        <v/>
      </c>
    </row>
    <row r="523" outlineLevel="1" s="817">
      <c r="W523">
        <f>IF(AND($D523="Occupied",$AC523&lt;&gt;""),$AC523,"")</f>
        <v/>
      </c>
      <c r="X523">
        <f>IF(AND(D523="Occupied",C523&lt;&gt;"",W523&lt;&gt;""),C523&amp;"|"&amp;W523,"")</f>
        <v/>
      </c>
      <c r="Y523">
        <f>IF(AND(C523&lt;&gt;"",W523&lt;&gt;""),C523&amp;"|"&amp;W523,"")</f>
        <v/>
      </c>
      <c r="AA523" s="970">
        <f>IF(AND(I523&gt;0,H523&gt;0),H523-I523,"")</f>
        <v/>
      </c>
      <c r="AB523" s="555">
        <f>IF(AND(I523&gt;0,H523&gt;0),(H523-I523)/H523,"")</f>
        <v/>
      </c>
      <c r="AQ523" s="980">
        <f>SUM(AK523:AO523)</f>
        <v/>
      </c>
      <c r="AU523">
        <f t="array" ref="AU523">IF(D523&lt;&gt;"Occupied","",_xlfn.IFS(AND(ISNUMBER(AD523),AD523&lt;&gt;0),"Structured",ISNUMBER(SEARCH("/mo con",S523)),"Notes-parsed",ISNUMBER(SEARCH("step",S523)),"Step-up",ISNUMBER(SEARCH("swap",S523)),"Rate-swap",AND(ISNUMBER(H523),ISNUMBER(I523),H523&gt;I523),"Implied",TRUE,""))</f>
        <v/>
      </c>
      <c r="AV523" s="970">
        <f>IF(AD523&lt;&gt;"",AD523,IF(AU523="Implied",-(H523-I523),IF(OR(AU523="Step-up",AU523="Rate-swap"),"see notes","")))</f>
        <v/>
      </c>
    </row>
    <row r="524" outlineLevel="1" s="817">
      <c r="W524">
        <f>IF(AND($D524="Occupied",$AC524&lt;&gt;""),$AC524,"")</f>
        <v/>
      </c>
      <c r="X524">
        <f>IF(AND(D524="Occupied",C524&lt;&gt;"",W524&lt;&gt;""),C524&amp;"|"&amp;W524,"")</f>
        <v/>
      </c>
      <c r="Y524">
        <f>IF(AND(C524&lt;&gt;"",W524&lt;&gt;""),C524&amp;"|"&amp;W524,"")</f>
        <v/>
      </c>
      <c r="AA524" s="970">
        <f>IF(AND(I524&gt;0,H524&gt;0),H524-I524,"")</f>
        <v/>
      </c>
      <c r="AB524" s="555">
        <f>IF(AND(I524&gt;0,H524&gt;0),(H524-I524)/H524,"")</f>
        <v/>
      </c>
      <c r="AQ524" s="980">
        <f>SUM(AK524:AO524)</f>
        <v/>
      </c>
      <c r="AU524">
        <f t="array" ref="AU524">IF(D524&lt;&gt;"Occupied","",_xlfn.IFS(AND(ISNUMBER(AD524),AD524&lt;&gt;0),"Structured",ISNUMBER(SEARCH("/mo con",S524)),"Notes-parsed",ISNUMBER(SEARCH("step",S524)),"Step-up",ISNUMBER(SEARCH("swap",S524)),"Rate-swap",AND(ISNUMBER(H524),ISNUMBER(I524),H524&gt;I524),"Implied",TRUE,""))</f>
        <v/>
      </c>
      <c r="AV524" s="970">
        <f>IF(AD524&lt;&gt;"",AD524,IF(AU524="Implied",-(H524-I524),IF(OR(AU524="Step-up",AU524="Rate-swap"),"see notes","")))</f>
        <v/>
      </c>
    </row>
    <row r="525" outlineLevel="1" s="817">
      <c r="W525">
        <f>IF(AND($D525="Occupied",$AC525&lt;&gt;""),$AC525,"")</f>
        <v/>
      </c>
      <c r="X525">
        <f>IF(AND(D525="Occupied",C525&lt;&gt;"",W525&lt;&gt;""),C525&amp;"|"&amp;W525,"")</f>
        <v/>
      </c>
      <c r="Y525">
        <f>IF(AND(C525&lt;&gt;"",W525&lt;&gt;""),C525&amp;"|"&amp;W525,"")</f>
        <v/>
      </c>
      <c r="AA525" s="970">
        <f>IF(AND(I525&gt;0,H525&gt;0),H525-I525,"")</f>
        <v/>
      </c>
      <c r="AB525" s="555">
        <f>IF(AND(I525&gt;0,H525&gt;0),(H525-I525)/H525,"")</f>
        <v/>
      </c>
      <c r="AQ525" s="980">
        <f>SUM(AK525:AO525)</f>
        <v/>
      </c>
      <c r="AU525">
        <f t="array" ref="AU525">IF(D525&lt;&gt;"Occupied","",_xlfn.IFS(AND(ISNUMBER(AD525),AD525&lt;&gt;0),"Structured",ISNUMBER(SEARCH("/mo con",S525)),"Notes-parsed",ISNUMBER(SEARCH("step",S525)),"Step-up",ISNUMBER(SEARCH("swap",S525)),"Rate-swap",AND(ISNUMBER(H525),ISNUMBER(I525),H525&gt;I525),"Implied",TRUE,""))</f>
        <v/>
      </c>
      <c r="AV525" s="970">
        <f>IF(AD525&lt;&gt;"",AD525,IF(AU525="Implied",-(H525-I525),IF(OR(AU525="Step-up",AU525="Rate-swap"),"see notes","")))</f>
        <v/>
      </c>
    </row>
    <row r="526" outlineLevel="1" s="817">
      <c r="W526">
        <f>IF(AND($D526="Occupied",$AC526&lt;&gt;""),$AC526,"")</f>
        <v/>
      </c>
      <c r="X526">
        <f>IF(AND(D526="Occupied",C526&lt;&gt;"",W526&lt;&gt;""),C526&amp;"|"&amp;W526,"")</f>
        <v/>
      </c>
      <c r="Y526">
        <f>IF(AND(C526&lt;&gt;"",W526&lt;&gt;""),C526&amp;"|"&amp;W526,"")</f>
        <v/>
      </c>
      <c r="AA526" s="970">
        <f>IF(AND(I526&gt;0,H526&gt;0),H526-I526,"")</f>
        <v/>
      </c>
      <c r="AB526" s="555">
        <f>IF(AND(I526&gt;0,H526&gt;0),(H526-I526)/H526,"")</f>
        <v/>
      </c>
      <c r="AQ526" s="980">
        <f>SUM(AK526:AO526)</f>
        <v/>
      </c>
      <c r="AU526">
        <f t="array" ref="AU526">IF(D526&lt;&gt;"Occupied","",_xlfn.IFS(AND(ISNUMBER(AD526),AD526&lt;&gt;0),"Structured",ISNUMBER(SEARCH("/mo con",S526)),"Notes-parsed",ISNUMBER(SEARCH("step",S526)),"Step-up",ISNUMBER(SEARCH("swap",S526)),"Rate-swap",AND(ISNUMBER(H526),ISNUMBER(I526),H526&gt;I526),"Implied",TRUE,""))</f>
        <v/>
      </c>
      <c r="AV526" s="970">
        <f>IF(AD526&lt;&gt;"",AD526,IF(AU526="Implied",-(H526-I526),IF(OR(AU526="Step-up",AU526="Rate-swap"),"see notes","")))</f>
        <v/>
      </c>
    </row>
    <row r="527" outlineLevel="1" s="817">
      <c r="W527">
        <f>IF(AND($D527="Occupied",$AC527&lt;&gt;""),$AC527,"")</f>
        <v/>
      </c>
      <c r="X527">
        <f>IF(AND(D527="Occupied",C527&lt;&gt;"",W527&lt;&gt;""),C527&amp;"|"&amp;W527,"")</f>
        <v/>
      </c>
      <c r="Y527">
        <f>IF(AND(C527&lt;&gt;"",W527&lt;&gt;""),C527&amp;"|"&amp;W527,"")</f>
        <v/>
      </c>
      <c r="AA527" s="970">
        <f>IF(AND(I527&gt;0,H527&gt;0),H527-I527,"")</f>
        <v/>
      </c>
      <c r="AB527" s="555">
        <f>IF(AND(I527&gt;0,H527&gt;0),(H527-I527)/H527,"")</f>
        <v/>
      </c>
      <c r="AQ527" s="980">
        <f>SUM(AK527:AO527)</f>
        <v/>
      </c>
      <c r="AU527">
        <f t="array" ref="AU527">IF(D527&lt;&gt;"Occupied","",_xlfn.IFS(AND(ISNUMBER(AD527),AD527&lt;&gt;0),"Structured",ISNUMBER(SEARCH("/mo con",S527)),"Notes-parsed",ISNUMBER(SEARCH("step",S527)),"Step-up",ISNUMBER(SEARCH("swap",S527)),"Rate-swap",AND(ISNUMBER(H527),ISNUMBER(I527),H527&gt;I527),"Implied",TRUE,""))</f>
        <v/>
      </c>
      <c r="AV527" s="970">
        <f>IF(AD527&lt;&gt;"",AD527,IF(AU527="Implied",-(H527-I527),IF(OR(AU527="Step-up",AU527="Rate-swap"),"see notes","")))</f>
        <v/>
      </c>
    </row>
    <row r="528" outlineLevel="1" s="817">
      <c r="W528">
        <f>IF(AND($D528="Occupied",$AC528&lt;&gt;""),$AC528,"")</f>
        <v/>
      </c>
      <c r="X528">
        <f>IF(AND(D528="Occupied",C528&lt;&gt;"",W528&lt;&gt;""),C528&amp;"|"&amp;W528,"")</f>
        <v/>
      </c>
      <c r="Y528">
        <f>IF(AND(C528&lt;&gt;"",W528&lt;&gt;""),C528&amp;"|"&amp;W528,"")</f>
        <v/>
      </c>
      <c r="AA528" s="970">
        <f>IF(AND(I528&gt;0,H528&gt;0),H528-I528,"")</f>
        <v/>
      </c>
      <c r="AB528" s="555">
        <f>IF(AND(I528&gt;0,H528&gt;0),(H528-I528)/H528,"")</f>
        <v/>
      </c>
      <c r="AQ528" s="980">
        <f>SUM(AK528:AO528)</f>
        <v/>
      </c>
      <c r="AU528">
        <f t="array" ref="AU528">IF(D528&lt;&gt;"Occupied","",_xlfn.IFS(AND(ISNUMBER(AD528),AD528&lt;&gt;0),"Structured",ISNUMBER(SEARCH("/mo con",S528)),"Notes-parsed",ISNUMBER(SEARCH("step",S528)),"Step-up",ISNUMBER(SEARCH("swap",S528)),"Rate-swap",AND(ISNUMBER(H528),ISNUMBER(I528),H528&gt;I528),"Implied",TRUE,""))</f>
        <v/>
      </c>
      <c r="AV528" s="970">
        <f>IF(AD528&lt;&gt;"",AD528,IF(AU528="Implied",-(H528-I528),IF(OR(AU528="Step-up",AU528="Rate-swap"),"see notes","")))</f>
        <v/>
      </c>
    </row>
    <row r="529" outlineLevel="1" s="817">
      <c r="W529">
        <f>IF(AND($D529="Occupied",$AC529&lt;&gt;""),$AC529,"")</f>
        <v/>
      </c>
      <c r="X529">
        <f>IF(AND(D529="Occupied",C529&lt;&gt;"",W529&lt;&gt;""),C529&amp;"|"&amp;W529,"")</f>
        <v/>
      </c>
      <c r="Y529">
        <f>IF(AND(C529&lt;&gt;"",W529&lt;&gt;""),C529&amp;"|"&amp;W529,"")</f>
        <v/>
      </c>
      <c r="AA529" s="970">
        <f>IF(AND(I529&gt;0,H529&gt;0),H529-I529,"")</f>
        <v/>
      </c>
      <c r="AB529" s="555">
        <f>IF(AND(I529&gt;0,H529&gt;0),(H529-I529)/H529,"")</f>
        <v/>
      </c>
      <c r="AQ529" s="980">
        <f>SUM(AK529:AO529)</f>
        <v/>
      </c>
      <c r="AU529">
        <f t="array" ref="AU529">IF(D529&lt;&gt;"Occupied","",_xlfn.IFS(AND(ISNUMBER(AD529),AD529&lt;&gt;0),"Structured",ISNUMBER(SEARCH("/mo con",S529)),"Notes-parsed",ISNUMBER(SEARCH("step",S529)),"Step-up",ISNUMBER(SEARCH("swap",S529)),"Rate-swap",AND(ISNUMBER(H529),ISNUMBER(I529),H529&gt;I529),"Implied",TRUE,""))</f>
        <v/>
      </c>
      <c r="AV529" s="970">
        <f>IF(AD529&lt;&gt;"",AD529,IF(AU529="Implied",-(H529-I529),IF(OR(AU529="Step-up",AU529="Rate-swap"),"see notes","")))</f>
        <v/>
      </c>
    </row>
    <row r="530" outlineLevel="1" s="817">
      <c r="W530">
        <f>IF(AND($D530="Occupied",$AC530&lt;&gt;""),$AC530,"")</f>
        <v/>
      </c>
      <c r="X530">
        <f>IF(AND(D530="Occupied",C530&lt;&gt;"",W530&lt;&gt;""),C530&amp;"|"&amp;W530,"")</f>
        <v/>
      </c>
      <c r="Y530">
        <f>IF(AND(C530&lt;&gt;"",W530&lt;&gt;""),C530&amp;"|"&amp;W530,"")</f>
        <v/>
      </c>
      <c r="AA530" s="970">
        <f>IF(AND(I530&gt;0,H530&gt;0),H530-I530,"")</f>
        <v/>
      </c>
      <c r="AB530" s="555">
        <f>IF(AND(I530&gt;0,H530&gt;0),(H530-I530)/H530,"")</f>
        <v/>
      </c>
      <c r="AQ530" s="980">
        <f>SUM(AK530:AO530)</f>
        <v/>
      </c>
      <c r="AU530">
        <f t="array" ref="AU530">IF(D530&lt;&gt;"Occupied","",_xlfn.IFS(AND(ISNUMBER(AD530),AD530&lt;&gt;0),"Structured",ISNUMBER(SEARCH("/mo con",S530)),"Notes-parsed",ISNUMBER(SEARCH("step",S530)),"Step-up",ISNUMBER(SEARCH("swap",S530)),"Rate-swap",AND(ISNUMBER(H530),ISNUMBER(I530),H530&gt;I530),"Implied",TRUE,""))</f>
        <v/>
      </c>
      <c r="AV530" s="970">
        <f>IF(AD530&lt;&gt;"",AD530,IF(AU530="Implied",-(H530-I530),IF(OR(AU530="Step-up",AU530="Rate-swap"),"see notes","")))</f>
        <v/>
      </c>
    </row>
    <row r="531" outlineLevel="1" s="817">
      <c r="W531">
        <f>IF(AND($D531="Occupied",$AC531&lt;&gt;""),$AC531,"")</f>
        <v/>
      </c>
      <c r="X531">
        <f>IF(AND(D531="Occupied",C531&lt;&gt;"",W531&lt;&gt;""),C531&amp;"|"&amp;W531,"")</f>
        <v/>
      </c>
      <c r="Y531">
        <f>IF(AND(C531&lt;&gt;"",W531&lt;&gt;""),C531&amp;"|"&amp;W531,"")</f>
        <v/>
      </c>
      <c r="AA531" s="970">
        <f>IF(AND(I531&gt;0,H531&gt;0),H531-I531,"")</f>
        <v/>
      </c>
      <c r="AB531" s="555">
        <f>IF(AND(I531&gt;0,H531&gt;0),(H531-I531)/H531,"")</f>
        <v/>
      </c>
      <c r="AQ531" s="980">
        <f>SUM(AK531:AO531)</f>
        <v/>
      </c>
      <c r="AU531">
        <f t="array" ref="AU531">IF(D531&lt;&gt;"Occupied","",_xlfn.IFS(AND(ISNUMBER(AD531),AD531&lt;&gt;0),"Structured",ISNUMBER(SEARCH("/mo con",S531)),"Notes-parsed",ISNUMBER(SEARCH("step",S531)),"Step-up",ISNUMBER(SEARCH("swap",S531)),"Rate-swap",AND(ISNUMBER(H531),ISNUMBER(I531),H531&gt;I531),"Implied",TRUE,""))</f>
        <v/>
      </c>
      <c r="AV531" s="970">
        <f>IF(AD531&lt;&gt;"",AD531,IF(AU531="Implied",-(H531-I531),IF(OR(AU531="Step-up",AU531="Rate-swap"),"see notes","")))</f>
        <v/>
      </c>
    </row>
    <row r="532" outlineLevel="1" s="817">
      <c r="W532">
        <f>IF(AND($D532="Occupied",$AC532&lt;&gt;""),$AC532,"")</f>
        <v/>
      </c>
      <c r="X532">
        <f>IF(AND(D532="Occupied",C532&lt;&gt;"",W532&lt;&gt;""),C532&amp;"|"&amp;W532,"")</f>
        <v/>
      </c>
      <c r="Y532">
        <f>IF(AND(C532&lt;&gt;"",W532&lt;&gt;""),C532&amp;"|"&amp;W532,"")</f>
        <v/>
      </c>
      <c r="AA532" s="970">
        <f>IF(AND(I532&gt;0,H532&gt;0),H532-I532,"")</f>
        <v/>
      </c>
      <c r="AB532" s="555">
        <f>IF(AND(I532&gt;0,H532&gt;0),(H532-I532)/H532,"")</f>
        <v/>
      </c>
      <c r="AQ532" s="980">
        <f>SUM(AK532:AO532)</f>
        <v/>
      </c>
      <c r="AU532">
        <f t="array" ref="AU532">IF(D532&lt;&gt;"Occupied","",_xlfn.IFS(AND(ISNUMBER(AD532),AD532&lt;&gt;0),"Structured",ISNUMBER(SEARCH("/mo con",S532)),"Notes-parsed",ISNUMBER(SEARCH("step",S532)),"Step-up",ISNUMBER(SEARCH("swap",S532)),"Rate-swap",AND(ISNUMBER(H532),ISNUMBER(I532),H532&gt;I532),"Implied",TRUE,""))</f>
        <v/>
      </c>
      <c r="AV532" s="970">
        <f>IF(AD532&lt;&gt;"",AD532,IF(AU532="Implied",-(H532-I532),IF(OR(AU532="Step-up",AU532="Rate-swap"),"see notes","")))</f>
        <v/>
      </c>
    </row>
    <row r="533" outlineLevel="1" s="817">
      <c r="W533">
        <f>IF(AND($D533="Occupied",$AC533&lt;&gt;""),$AC533,"")</f>
        <v/>
      </c>
      <c r="X533">
        <f>IF(AND(D533="Occupied",C533&lt;&gt;"",W533&lt;&gt;""),C533&amp;"|"&amp;W533,"")</f>
        <v/>
      </c>
      <c r="Y533">
        <f>IF(AND(C533&lt;&gt;"",W533&lt;&gt;""),C533&amp;"|"&amp;W533,"")</f>
        <v/>
      </c>
      <c r="AA533" s="970">
        <f>IF(AND(I533&gt;0,H533&gt;0),H533-I533,"")</f>
        <v/>
      </c>
      <c r="AB533" s="555">
        <f>IF(AND(I533&gt;0,H533&gt;0),(H533-I533)/H533,"")</f>
        <v/>
      </c>
      <c r="AQ533" s="980">
        <f>SUM(AK533:AO533)</f>
        <v/>
      </c>
      <c r="AU533">
        <f t="array" ref="AU533">IF(D533&lt;&gt;"Occupied","",_xlfn.IFS(AND(ISNUMBER(AD533),AD533&lt;&gt;0),"Structured",ISNUMBER(SEARCH("/mo con",S533)),"Notes-parsed",ISNUMBER(SEARCH("step",S533)),"Step-up",ISNUMBER(SEARCH("swap",S533)),"Rate-swap",AND(ISNUMBER(H533),ISNUMBER(I533),H533&gt;I533),"Implied",TRUE,""))</f>
        <v/>
      </c>
      <c r="AV533" s="970">
        <f>IF(AD533&lt;&gt;"",AD533,IF(AU533="Implied",-(H533-I533),IF(OR(AU533="Step-up",AU533="Rate-swap"),"see notes","")))</f>
        <v/>
      </c>
    </row>
    <row r="534" outlineLevel="1" s="817">
      <c r="W534">
        <f>IF(AND($D534="Occupied",$AC534&lt;&gt;""),$AC534,"")</f>
        <v/>
      </c>
      <c r="X534">
        <f>IF(AND(D534="Occupied",C534&lt;&gt;"",W534&lt;&gt;""),C534&amp;"|"&amp;W534,"")</f>
        <v/>
      </c>
      <c r="Y534">
        <f>IF(AND(C534&lt;&gt;"",W534&lt;&gt;""),C534&amp;"|"&amp;W534,"")</f>
        <v/>
      </c>
      <c r="AA534" s="970">
        <f>IF(AND(I534&gt;0,H534&gt;0),H534-I534,"")</f>
        <v/>
      </c>
      <c r="AB534" s="555">
        <f>IF(AND(I534&gt;0,H534&gt;0),(H534-I534)/H534,"")</f>
        <v/>
      </c>
      <c r="AQ534" s="980">
        <f>SUM(AK534:AO534)</f>
        <v/>
      </c>
      <c r="AU534">
        <f t="array" ref="AU534">IF(D534&lt;&gt;"Occupied","",_xlfn.IFS(AND(ISNUMBER(AD534),AD534&lt;&gt;0),"Structured",ISNUMBER(SEARCH("/mo con",S534)),"Notes-parsed",ISNUMBER(SEARCH("step",S534)),"Step-up",ISNUMBER(SEARCH("swap",S534)),"Rate-swap",AND(ISNUMBER(H534),ISNUMBER(I534),H534&gt;I534),"Implied",TRUE,""))</f>
        <v/>
      </c>
      <c r="AV534" s="970">
        <f>IF(AD534&lt;&gt;"",AD534,IF(AU534="Implied",-(H534-I534),IF(OR(AU534="Step-up",AU534="Rate-swap"),"see notes","")))</f>
        <v/>
      </c>
    </row>
    <row r="535" outlineLevel="1" s="817">
      <c r="W535">
        <f>IF(AND($D535="Occupied",$AC535&lt;&gt;""),$AC535,"")</f>
        <v/>
      </c>
      <c r="X535">
        <f>IF(AND(D535="Occupied",C535&lt;&gt;"",W535&lt;&gt;""),C535&amp;"|"&amp;W535,"")</f>
        <v/>
      </c>
      <c r="Y535">
        <f>IF(AND(C535&lt;&gt;"",W535&lt;&gt;""),C535&amp;"|"&amp;W535,"")</f>
        <v/>
      </c>
      <c r="AA535" s="970">
        <f>IF(AND(I535&gt;0,H535&gt;0),H535-I535,"")</f>
        <v/>
      </c>
      <c r="AB535" s="555">
        <f>IF(AND(I535&gt;0,H535&gt;0),(H535-I535)/H535,"")</f>
        <v/>
      </c>
      <c r="AQ535" s="980">
        <f>SUM(AK535:AO535)</f>
        <v/>
      </c>
      <c r="AU535">
        <f t="array" ref="AU535">IF(D535&lt;&gt;"Occupied","",_xlfn.IFS(AND(ISNUMBER(AD535),AD535&lt;&gt;0),"Structured",ISNUMBER(SEARCH("/mo con",S535)),"Notes-parsed",ISNUMBER(SEARCH("step",S535)),"Step-up",ISNUMBER(SEARCH("swap",S535)),"Rate-swap",AND(ISNUMBER(H535),ISNUMBER(I535),H535&gt;I535),"Implied",TRUE,""))</f>
        <v/>
      </c>
      <c r="AV535" s="970">
        <f>IF(AD535&lt;&gt;"",AD535,IF(AU535="Implied",-(H535-I535),IF(OR(AU535="Step-up",AU535="Rate-swap"),"see notes","")))</f>
        <v/>
      </c>
    </row>
    <row r="536" outlineLevel="1" s="817">
      <c r="W536">
        <f>IF(AND($D536="Occupied",$AC536&lt;&gt;""),$AC536,"")</f>
        <v/>
      </c>
      <c r="X536">
        <f>IF(AND(D536="Occupied",C536&lt;&gt;"",W536&lt;&gt;""),C536&amp;"|"&amp;W536,"")</f>
        <v/>
      </c>
      <c r="Y536">
        <f>IF(AND(C536&lt;&gt;"",W536&lt;&gt;""),C536&amp;"|"&amp;W536,"")</f>
        <v/>
      </c>
      <c r="AA536" s="970">
        <f>IF(AND(I536&gt;0,H536&gt;0),H536-I536,"")</f>
        <v/>
      </c>
      <c r="AB536" s="555">
        <f>IF(AND(I536&gt;0,H536&gt;0),(H536-I536)/H536,"")</f>
        <v/>
      </c>
      <c r="AQ536" s="980">
        <f>SUM(AK536:AO536)</f>
        <v/>
      </c>
      <c r="AU536">
        <f t="array" ref="AU536">IF(D536&lt;&gt;"Occupied","",_xlfn.IFS(AND(ISNUMBER(AD536),AD536&lt;&gt;0),"Structured",ISNUMBER(SEARCH("/mo con",S536)),"Notes-parsed",ISNUMBER(SEARCH("step",S536)),"Step-up",ISNUMBER(SEARCH("swap",S536)),"Rate-swap",AND(ISNUMBER(H536),ISNUMBER(I536),H536&gt;I536),"Implied",TRUE,""))</f>
        <v/>
      </c>
      <c r="AV536" s="970">
        <f>IF(AD536&lt;&gt;"",AD536,IF(AU536="Implied",-(H536-I536),IF(OR(AU536="Step-up",AU536="Rate-swap"),"see notes","")))</f>
        <v/>
      </c>
    </row>
    <row r="537" outlineLevel="1" s="817">
      <c r="W537">
        <f>IF(AND($D537="Occupied",$AC537&lt;&gt;""),$AC537,"")</f>
        <v/>
      </c>
      <c r="X537">
        <f>IF(AND(D537="Occupied",C537&lt;&gt;"",W537&lt;&gt;""),C537&amp;"|"&amp;W537,"")</f>
        <v/>
      </c>
      <c r="Y537">
        <f>IF(AND(C537&lt;&gt;"",W537&lt;&gt;""),C537&amp;"|"&amp;W537,"")</f>
        <v/>
      </c>
      <c r="AA537" s="970">
        <f>IF(AND(I537&gt;0,H537&gt;0),H537-I537,"")</f>
        <v/>
      </c>
      <c r="AB537" s="555">
        <f>IF(AND(I537&gt;0,H537&gt;0),(H537-I537)/H537,"")</f>
        <v/>
      </c>
      <c r="AQ537" s="980">
        <f>SUM(AK537:AO537)</f>
        <v/>
      </c>
      <c r="AU537">
        <f t="array" ref="AU537">IF(D537&lt;&gt;"Occupied","",_xlfn.IFS(AND(ISNUMBER(AD537),AD537&lt;&gt;0),"Structured",ISNUMBER(SEARCH("/mo con",S537)),"Notes-parsed",ISNUMBER(SEARCH("step",S537)),"Step-up",ISNUMBER(SEARCH("swap",S537)),"Rate-swap",AND(ISNUMBER(H537),ISNUMBER(I537),H537&gt;I537),"Implied",TRUE,""))</f>
        <v/>
      </c>
      <c r="AV537" s="970">
        <f>IF(AD537&lt;&gt;"",AD537,IF(AU537="Implied",-(H537-I537),IF(OR(AU537="Step-up",AU537="Rate-swap"),"see notes","")))</f>
        <v/>
      </c>
    </row>
    <row r="538" outlineLevel="1" s="817">
      <c r="W538">
        <f>IF(AND($D538="Occupied",$AC538&lt;&gt;""),$AC538,"")</f>
        <v/>
      </c>
      <c r="X538">
        <f>IF(AND(D538="Occupied",C538&lt;&gt;"",W538&lt;&gt;""),C538&amp;"|"&amp;W538,"")</f>
        <v/>
      </c>
      <c r="Y538">
        <f>IF(AND(C538&lt;&gt;"",W538&lt;&gt;""),C538&amp;"|"&amp;W538,"")</f>
        <v/>
      </c>
      <c r="AA538" s="970">
        <f>IF(AND(I538&gt;0,H538&gt;0),H538-I538,"")</f>
        <v/>
      </c>
      <c r="AB538" s="555">
        <f>IF(AND(I538&gt;0,H538&gt;0),(H538-I538)/H538,"")</f>
        <v/>
      </c>
      <c r="AQ538" s="980">
        <f>SUM(AK538:AO538)</f>
        <v/>
      </c>
      <c r="AU538">
        <f t="array" ref="AU538">IF(D538&lt;&gt;"Occupied","",_xlfn.IFS(AND(ISNUMBER(AD538),AD538&lt;&gt;0),"Structured",ISNUMBER(SEARCH("/mo con",S538)),"Notes-parsed",ISNUMBER(SEARCH("step",S538)),"Step-up",ISNUMBER(SEARCH("swap",S538)),"Rate-swap",AND(ISNUMBER(H538),ISNUMBER(I538),H538&gt;I538),"Implied",TRUE,""))</f>
        <v/>
      </c>
      <c r="AV538" s="970">
        <f>IF(AD538&lt;&gt;"",AD538,IF(AU538="Implied",-(H538-I538),IF(OR(AU538="Step-up",AU538="Rate-swap"),"see notes","")))</f>
        <v/>
      </c>
    </row>
    <row r="539" outlineLevel="1" s="817">
      <c r="W539">
        <f>IF(AND($D539="Occupied",$AC539&lt;&gt;""),$AC539,"")</f>
        <v/>
      </c>
      <c r="X539">
        <f>IF(AND(D539="Occupied",C539&lt;&gt;"",W539&lt;&gt;""),C539&amp;"|"&amp;W539,"")</f>
        <v/>
      </c>
      <c r="Y539">
        <f>IF(AND(C539&lt;&gt;"",W539&lt;&gt;""),C539&amp;"|"&amp;W539,"")</f>
        <v/>
      </c>
      <c r="AA539" s="970">
        <f>IF(AND(I539&gt;0,H539&gt;0),H539-I539,"")</f>
        <v/>
      </c>
      <c r="AB539" s="555">
        <f>IF(AND(I539&gt;0,H539&gt;0),(H539-I539)/H539,"")</f>
        <v/>
      </c>
      <c r="AQ539" s="980">
        <f>SUM(AK539:AO539)</f>
        <v/>
      </c>
      <c r="AU539">
        <f t="array" ref="AU539">IF(D539&lt;&gt;"Occupied","",_xlfn.IFS(AND(ISNUMBER(AD539),AD539&lt;&gt;0),"Structured",ISNUMBER(SEARCH("/mo con",S539)),"Notes-parsed",ISNUMBER(SEARCH("step",S539)),"Step-up",ISNUMBER(SEARCH("swap",S539)),"Rate-swap",AND(ISNUMBER(H539),ISNUMBER(I539),H539&gt;I539),"Implied",TRUE,""))</f>
        <v/>
      </c>
      <c r="AV539" s="970">
        <f>IF(AD539&lt;&gt;"",AD539,IF(AU539="Implied",-(H539-I539),IF(OR(AU539="Step-up",AU539="Rate-swap"),"see notes","")))</f>
        <v/>
      </c>
    </row>
    <row r="540" outlineLevel="1" s="817">
      <c r="W540">
        <f>IF(AND($D540="Occupied",$AC540&lt;&gt;""),$AC540,"")</f>
        <v/>
      </c>
      <c r="X540">
        <f>IF(AND(D540="Occupied",C540&lt;&gt;"",W540&lt;&gt;""),C540&amp;"|"&amp;W540,"")</f>
        <v/>
      </c>
      <c r="Y540">
        <f>IF(AND(C540&lt;&gt;"",W540&lt;&gt;""),C540&amp;"|"&amp;W540,"")</f>
        <v/>
      </c>
      <c r="AA540" s="970">
        <f>IF(AND(I540&gt;0,H540&gt;0),H540-I540,"")</f>
        <v/>
      </c>
      <c r="AB540" s="555">
        <f>IF(AND(I540&gt;0,H540&gt;0),(H540-I540)/H540,"")</f>
        <v/>
      </c>
      <c r="AQ540" s="980">
        <f>SUM(AK540:AO540)</f>
        <v/>
      </c>
      <c r="AU540">
        <f t="array" ref="AU540">IF(D540&lt;&gt;"Occupied","",_xlfn.IFS(AND(ISNUMBER(AD540),AD540&lt;&gt;0),"Structured",ISNUMBER(SEARCH("/mo con",S540)),"Notes-parsed",ISNUMBER(SEARCH("step",S540)),"Step-up",ISNUMBER(SEARCH("swap",S540)),"Rate-swap",AND(ISNUMBER(H540),ISNUMBER(I540),H540&gt;I540),"Implied",TRUE,""))</f>
        <v/>
      </c>
      <c r="AV540" s="970">
        <f>IF(AD540&lt;&gt;"",AD540,IF(AU540="Implied",-(H540-I540),IF(OR(AU540="Step-up",AU540="Rate-swap"),"see notes","")))</f>
        <v/>
      </c>
    </row>
    <row r="541" outlineLevel="1" s="817">
      <c r="W541">
        <f>IF(AND($D541="Occupied",$AC541&lt;&gt;""),$AC541,"")</f>
        <v/>
      </c>
      <c r="X541">
        <f>IF(AND(D541="Occupied",C541&lt;&gt;"",W541&lt;&gt;""),C541&amp;"|"&amp;W541,"")</f>
        <v/>
      </c>
      <c r="Y541">
        <f>IF(AND(C541&lt;&gt;"",W541&lt;&gt;""),C541&amp;"|"&amp;W541,"")</f>
        <v/>
      </c>
      <c r="AA541" s="970">
        <f>IF(AND(I541&gt;0,H541&gt;0),H541-I541,"")</f>
        <v/>
      </c>
      <c r="AB541" s="555">
        <f>IF(AND(I541&gt;0,H541&gt;0),(H541-I541)/H541,"")</f>
        <v/>
      </c>
      <c r="AQ541" s="980">
        <f>SUM(AK541:AO541)</f>
        <v/>
      </c>
      <c r="AU541">
        <f t="array" ref="AU541">IF(D541&lt;&gt;"Occupied","",_xlfn.IFS(AND(ISNUMBER(AD541),AD541&lt;&gt;0),"Structured",ISNUMBER(SEARCH("/mo con",S541)),"Notes-parsed",ISNUMBER(SEARCH("step",S541)),"Step-up",ISNUMBER(SEARCH("swap",S541)),"Rate-swap",AND(ISNUMBER(H541),ISNUMBER(I541),H541&gt;I541),"Implied",TRUE,""))</f>
        <v/>
      </c>
      <c r="AV541" s="970">
        <f>IF(AD541&lt;&gt;"",AD541,IF(AU541="Implied",-(H541-I541),IF(OR(AU541="Step-up",AU541="Rate-swap"),"see notes","")))</f>
        <v/>
      </c>
    </row>
    <row r="542" outlineLevel="1" s="817">
      <c r="W542">
        <f>IF(AND($D542="Occupied",$AC542&lt;&gt;""),$AC542,"")</f>
        <v/>
      </c>
      <c r="X542">
        <f>IF(AND(D542="Occupied",C542&lt;&gt;"",W542&lt;&gt;""),C542&amp;"|"&amp;W542,"")</f>
        <v/>
      </c>
      <c r="Y542">
        <f>IF(AND(C542&lt;&gt;"",W542&lt;&gt;""),C542&amp;"|"&amp;W542,"")</f>
        <v/>
      </c>
      <c r="AA542" s="970">
        <f>IF(AND(I542&gt;0,H542&gt;0),H542-I542,"")</f>
        <v/>
      </c>
      <c r="AB542" s="555">
        <f>IF(AND(I542&gt;0,H542&gt;0),(H542-I542)/H542,"")</f>
        <v/>
      </c>
      <c r="AQ542" s="980">
        <f>SUM(AK542:AO542)</f>
        <v/>
      </c>
      <c r="AU542">
        <f t="array" ref="AU542">IF(D542&lt;&gt;"Occupied","",_xlfn.IFS(AND(ISNUMBER(AD542),AD542&lt;&gt;0),"Structured",ISNUMBER(SEARCH("/mo con",S542)),"Notes-parsed",ISNUMBER(SEARCH("step",S542)),"Step-up",ISNUMBER(SEARCH("swap",S542)),"Rate-swap",AND(ISNUMBER(H542),ISNUMBER(I542),H542&gt;I542),"Implied",TRUE,""))</f>
        <v/>
      </c>
      <c r="AV542" s="970">
        <f>IF(AD542&lt;&gt;"",AD542,IF(AU542="Implied",-(H542-I542),IF(OR(AU542="Step-up",AU542="Rate-swap"),"see notes","")))</f>
        <v/>
      </c>
    </row>
    <row r="543" outlineLevel="1" s="817">
      <c r="W543">
        <f>IF(AND($D543="Occupied",$AC543&lt;&gt;""),$AC543,"")</f>
        <v/>
      </c>
      <c r="X543">
        <f>IF(AND(D543="Occupied",C543&lt;&gt;"",W543&lt;&gt;""),C543&amp;"|"&amp;W543,"")</f>
        <v/>
      </c>
      <c r="Y543">
        <f>IF(AND(C543&lt;&gt;"",W543&lt;&gt;""),C543&amp;"|"&amp;W543,"")</f>
        <v/>
      </c>
      <c r="AA543" s="970">
        <f>IF(AND(I543&gt;0,H543&gt;0),H543-I543,"")</f>
        <v/>
      </c>
      <c r="AB543" s="555">
        <f>IF(AND(I543&gt;0,H543&gt;0),(H543-I543)/H543,"")</f>
        <v/>
      </c>
      <c r="AQ543" s="980">
        <f>SUM(AK543:AO543)</f>
        <v/>
      </c>
      <c r="AU543">
        <f t="array" ref="AU543">IF(D543&lt;&gt;"Occupied","",_xlfn.IFS(AND(ISNUMBER(AD543),AD543&lt;&gt;0),"Structured",ISNUMBER(SEARCH("/mo con",S543)),"Notes-parsed",ISNUMBER(SEARCH("step",S543)),"Step-up",ISNUMBER(SEARCH("swap",S543)),"Rate-swap",AND(ISNUMBER(H543),ISNUMBER(I543),H543&gt;I543),"Implied",TRUE,""))</f>
        <v/>
      </c>
      <c r="AV543" s="970">
        <f>IF(AD543&lt;&gt;"",AD543,IF(AU543="Implied",-(H543-I543),IF(OR(AU543="Step-up",AU543="Rate-swap"),"see notes","")))</f>
        <v/>
      </c>
    </row>
    <row r="544" outlineLevel="1" s="817">
      <c r="W544">
        <f>IF(AND($D544="Occupied",$AC544&lt;&gt;""),$AC544,"")</f>
        <v/>
      </c>
      <c r="X544">
        <f>IF(AND(D544="Occupied",C544&lt;&gt;"",W544&lt;&gt;""),C544&amp;"|"&amp;W544,"")</f>
        <v/>
      </c>
      <c r="Y544">
        <f>IF(AND(C544&lt;&gt;"",W544&lt;&gt;""),C544&amp;"|"&amp;W544,"")</f>
        <v/>
      </c>
      <c r="AA544" s="970">
        <f>IF(AND(I544&gt;0,H544&gt;0),H544-I544,"")</f>
        <v/>
      </c>
      <c r="AB544" s="555">
        <f>IF(AND(I544&gt;0,H544&gt;0),(H544-I544)/H544,"")</f>
        <v/>
      </c>
      <c r="AQ544" s="980">
        <f>SUM(AK544:AO544)</f>
        <v/>
      </c>
      <c r="AU544">
        <f t="array" ref="AU544">IF(D544&lt;&gt;"Occupied","",_xlfn.IFS(AND(ISNUMBER(AD544),AD544&lt;&gt;0),"Structured",ISNUMBER(SEARCH("/mo con",S544)),"Notes-parsed",ISNUMBER(SEARCH("step",S544)),"Step-up",ISNUMBER(SEARCH("swap",S544)),"Rate-swap",AND(ISNUMBER(H544),ISNUMBER(I544),H544&gt;I544),"Implied",TRUE,""))</f>
        <v/>
      </c>
      <c r="AV544" s="970">
        <f>IF(AD544&lt;&gt;"",AD544,IF(AU544="Implied",-(H544-I544),IF(OR(AU544="Step-up",AU544="Rate-swap"),"see notes","")))</f>
        <v/>
      </c>
    </row>
    <row r="545" outlineLevel="1" s="817">
      <c r="W545">
        <f>IF(AND($D545="Occupied",$AC545&lt;&gt;""),$AC545,"")</f>
        <v/>
      </c>
      <c r="X545">
        <f>IF(AND(D545="Occupied",C545&lt;&gt;"",W545&lt;&gt;""),C545&amp;"|"&amp;W545,"")</f>
        <v/>
      </c>
      <c r="Y545">
        <f>IF(AND(C545&lt;&gt;"",W545&lt;&gt;""),C545&amp;"|"&amp;W545,"")</f>
        <v/>
      </c>
      <c r="AA545" s="970">
        <f>IF(AND(I545&gt;0,H545&gt;0),H545-I545,"")</f>
        <v/>
      </c>
      <c r="AB545" s="555">
        <f>IF(AND(I545&gt;0,H545&gt;0),(H545-I545)/H545,"")</f>
        <v/>
      </c>
      <c r="AQ545" s="980">
        <f>SUM(AK545:AO545)</f>
        <v/>
      </c>
      <c r="AU545">
        <f t="array" ref="AU545">IF(D545&lt;&gt;"Occupied","",_xlfn.IFS(AND(ISNUMBER(AD545),AD545&lt;&gt;0),"Structured",ISNUMBER(SEARCH("/mo con",S545)),"Notes-parsed",ISNUMBER(SEARCH("step",S545)),"Step-up",ISNUMBER(SEARCH("swap",S545)),"Rate-swap",AND(ISNUMBER(H545),ISNUMBER(I545),H545&gt;I545),"Implied",TRUE,""))</f>
        <v/>
      </c>
      <c r="AV545" s="970">
        <f>IF(AD545&lt;&gt;"",AD545,IF(AU545="Implied",-(H545-I545),IF(OR(AU545="Step-up",AU545="Rate-swap"),"see notes","")))</f>
        <v/>
      </c>
    </row>
    <row r="546" outlineLevel="1" s="817">
      <c r="W546">
        <f>IF(AND($D546="Occupied",$AC546&lt;&gt;""),$AC546,"")</f>
        <v/>
      </c>
      <c r="X546">
        <f>IF(AND(D546="Occupied",C546&lt;&gt;"",W546&lt;&gt;""),C546&amp;"|"&amp;W546,"")</f>
        <v/>
      </c>
      <c r="Y546">
        <f>IF(AND(C546&lt;&gt;"",W546&lt;&gt;""),C546&amp;"|"&amp;W546,"")</f>
        <v/>
      </c>
      <c r="AA546" s="970">
        <f>IF(AND(I546&gt;0,H546&gt;0),H546-I546,"")</f>
        <v/>
      </c>
      <c r="AB546" s="555">
        <f>IF(AND(I546&gt;0,H546&gt;0),(H546-I546)/H546,"")</f>
        <v/>
      </c>
      <c r="AQ546" s="980">
        <f>SUM(AK546:AO546)</f>
        <v/>
      </c>
      <c r="AU546">
        <f t="array" ref="AU546">IF(D546&lt;&gt;"Occupied","",_xlfn.IFS(AND(ISNUMBER(AD546),AD546&lt;&gt;0),"Structured",ISNUMBER(SEARCH("/mo con",S546)),"Notes-parsed",ISNUMBER(SEARCH("step",S546)),"Step-up",ISNUMBER(SEARCH("swap",S546)),"Rate-swap",AND(ISNUMBER(H546),ISNUMBER(I546),H546&gt;I546),"Implied",TRUE,""))</f>
        <v/>
      </c>
      <c r="AV546" s="970">
        <f>IF(AD546&lt;&gt;"",AD546,IF(AU546="Implied",-(H546-I546),IF(OR(AU546="Step-up",AU546="Rate-swap"),"see notes","")))</f>
        <v/>
      </c>
    </row>
    <row r="547" outlineLevel="1" s="817">
      <c r="W547">
        <f>IF(AND($D547="Occupied",$AC547&lt;&gt;""),$AC547,"")</f>
        <v/>
      </c>
      <c r="X547">
        <f>IF(AND(D547="Occupied",C547&lt;&gt;"",W547&lt;&gt;""),C547&amp;"|"&amp;W547,"")</f>
        <v/>
      </c>
      <c r="Y547">
        <f>IF(AND(C547&lt;&gt;"",W547&lt;&gt;""),C547&amp;"|"&amp;W547,"")</f>
        <v/>
      </c>
      <c r="AA547" s="970">
        <f>IF(AND(I547&gt;0,H547&gt;0),H547-I547,"")</f>
        <v/>
      </c>
      <c r="AB547" s="555">
        <f>IF(AND(I547&gt;0,H547&gt;0),(H547-I547)/H547,"")</f>
        <v/>
      </c>
      <c r="AQ547" s="980">
        <f>SUM(AK547:AO547)</f>
        <v/>
      </c>
      <c r="AU547">
        <f t="array" ref="AU547">IF(D547&lt;&gt;"Occupied","",_xlfn.IFS(AND(ISNUMBER(AD547),AD547&lt;&gt;0),"Structured",ISNUMBER(SEARCH("/mo con",S547)),"Notes-parsed",ISNUMBER(SEARCH("step",S547)),"Step-up",ISNUMBER(SEARCH("swap",S547)),"Rate-swap",AND(ISNUMBER(H547),ISNUMBER(I547),H547&gt;I547),"Implied",TRUE,""))</f>
        <v/>
      </c>
      <c r="AV547" s="970">
        <f>IF(AD547&lt;&gt;"",AD547,IF(AU547="Implied",-(H547-I547),IF(OR(AU547="Step-up",AU547="Rate-swap"),"see notes","")))</f>
        <v/>
      </c>
    </row>
    <row r="548" outlineLevel="1" s="817">
      <c r="W548">
        <f>IF(AND($D548="Occupied",$AC548&lt;&gt;""),$AC548,"")</f>
        <v/>
      </c>
      <c r="X548">
        <f>IF(AND(D548="Occupied",C548&lt;&gt;"",W548&lt;&gt;""),C548&amp;"|"&amp;W548,"")</f>
        <v/>
      </c>
      <c r="Y548">
        <f>IF(AND(C548&lt;&gt;"",W548&lt;&gt;""),C548&amp;"|"&amp;W548,"")</f>
        <v/>
      </c>
      <c r="AA548" s="970">
        <f>IF(AND(I548&gt;0,H548&gt;0),H548-I548,"")</f>
        <v/>
      </c>
      <c r="AB548" s="555">
        <f>IF(AND(I548&gt;0,H548&gt;0),(H548-I548)/H548,"")</f>
        <v/>
      </c>
      <c r="AQ548" s="980">
        <f>SUM(AK548:AO548)</f>
        <v/>
      </c>
      <c r="AU548">
        <f t="array" ref="AU548">IF(D548&lt;&gt;"Occupied","",_xlfn.IFS(AND(ISNUMBER(AD548),AD548&lt;&gt;0),"Structured",ISNUMBER(SEARCH("/mo con",S548)),"Notes-parsed",ISNUMBER(SEARCH("step",S548)),"Step-up",ISNUMBER(SEARCH("swap",S548)),"Rate-swap",AND(ISNUMBER(H548),ISNUMBER(I548),H548&gt;I548),"Implied",TRUE,""))</f>
        <v/>
      </c>
      <c r="AV548" s="970">
        <f>IF(AD548&lt;&gt;"",AD548,IF(AU548="Implied",-(H548-I548),IF(OR(AU548="Step-up",AU548="Rate-swap"),"see notes","")))</f>
        <v/>
      </c>
    </row>
    <row r="549" outlineLevel="1" s="817">
      <c r="W549">
        <f>IF(AND($D549="Occupied",$AC549&lt;&gt;""),$AC549,"")</f>
        <v/>
      </c>
      <c r="X549">
        <f>IF(AND(D549="Occupied",C549&lt;&gt;"",W549&lt;&gt;""),C549&amp;"|"&amp;W549,"")</f>
        <v/>
      </c>
      <c r="Y549">
        <f>IF(AND(C549&lt;&gt;"",W549&lt;&gt;""),C549&amp;"|"&amp;W549,"")</f>
        <v/>
      </c>
      <c r="AA549" s="970">
        <f>IF(AND(I549&gt;0,H549&gt;0),H549-I549,"")</f>
        <v/>
      </c>
      <c r="AB549" s="555">
        <f>IF(AND(I549&gt;0,H549&gt;0),(H549-I549)/H549,"")</f>
        <v/>
      </c>
      <c r="AQ549" s="980">
        <f>SUM(AK549:AO549)</f>
        <v/>
      </c>
      <c r="AU549">
        <f t="array" ref="AU549">IF(D549&lt;&gt;"Occupied","",_xlfn.IFS(AND(ISNUMBER(AD549),AD549&lt;&gt;0),"Structured",ISNUMBER(SEARCH("/mo con",S549)),"Notes-parsed",ISNUMBER(SEARCH("step",S549)),"Step-up",ISNUMBER(SEARCH("swap",S549)),"Rate-swap",AND(ISNUMBER(H549),ISNUMBER(I549),H549&gt;I549),"Implied",TRUE,""))</f>
        <v/>
      </c>
      <c r="AV549" s="970">
        <f>IF(AD549&lt;&gt;"",AD549,IF(AU549="Implied",-(H549-I549),IF(OR(AU549="Step-up",AU549="Rate-swap"),"see notes","")))</f>
        <v/>
      </c>
    </row>
    <row r="550" outlineLevel="1" s="817">
      <c r="W550">
        <f>IF(AND($D550="Occupied",$AC550&lt;&gt;""),$AC550,"")</f>
        <v/>
      </c>
      <c r="X550">
        <f>IF(AND(D550="Occupied",C550&lt;&gt;"",W550&lt;&gt;""),C550&amp;"|"&amp;W550,"")</f>
        <v/>
      </c>
      <c r="Y550">
        <f>IF(AND(C550&lt;&gt;"",W550&lt;&gt;""),C550&amp;"|"&amp;W550,"")</f>
        <v/>
      </c>
      <c r="AA550" s="970">
        <f>IF(AND(I550&gt;0,H550&gt;0),H550-I550,"")</f>
        <v/>
      </c>
      <c r="AB550" s="555">
        <f>IF(AND(I550&gt;0,H550&gt;0),(H550-I550)/H550,"")</f>
        <v/>
      </c>
      <c r="AQ550" s="980">
        <f>SUM(AK550:AO550)</f>
        <v/>
      </c>
      <c r="AU550">
        <f t="array" ref="AU550">IF(D550&lt;&gt;"Occupied","",_xlfn.IFS(AND(ISNUMBER(AD550),AD550&lt;&gt;0),"Structured",ISNUMBER(SEARCH("/mo con",S550)),"Notes-parsed",ISNUMBER(SEARCH("step",S550)),"Step-up",ISNUMBER(SEARCH("swap",S550)),"Rate-swap",AND(ISNUMBER(H550),ISNUMBER(I550),H550&gt;I550),"Implied",TRUE,""))</f>
        <v/>
      </c>
      <c r="AV550" s="970">
        <f>IF(AD550&lt;&gt;"",AD550,IF(AU550="Implied",-(H550-I550),IF(OR(AU550="Step-up",AU550="Rate-swap"),"see notes","")))</f>
        <v/>
      </c>
    </row>
    <row r="551" outlineLevel="1" s="817">
      <c r="W551">
        <f>IF(AND($D551="Occupied",$AC551&lt;&gt;""),$AC551,"")</f>
        <v/>
      </c>
      <c r="X551">
        <f>IF(AND(D551="Occupied",C551&lt;&gt;"",W551&lt;&gt;""),C551&amp;"|"&amp;W551,"")</f>
        <v/>
      </c>
      <c r="Y551">
        <f>IF(AND(C551&lt;&gt;"",W551&lt;&gt;""),C551&amp;"|"&amp;W551,"")</f>
        <v/>
      </c>
      <c r="AA551" s="970">
        <f>IF(AND(I551&gt;0,H551&gt;0),H551-I551,"")</f>
        <v/>
      </c>
      <c r="AB551" s="555">
        <f>IF(AND(I551&gt;0,H551&gt;0),(H551-I551)/H551,"")</f>
        <v/>
      </c>
      <c r="AQ551" s="980">
        <f>SUM(AK551:AO551)</f>
        <v/>
      </c>
      <c r="AU551">
        <f t="array" ref="AU551">IF(D551&lt;&gt;"Occupied","",_xlfn.IFS(AND(ISNUMBER(AD551),AD551&lt;&gt;0),"Structured",ISNUMBER(SEARCH("/mo con",S551)),"Notes-parsed",ISNUMBER(SEARCH("step",S551)),"Step-up",ISNUMBER(SEARCH("swap",S551)),"Rate-swap",AND(ISNUMBER(H551),ISNUMBER(I551),H551&gt;I551),"Implied",TRUE,""))</f>
        <v/>
      </c>
      <c r="AV551" s="970">
        <f>IF(AD551&lt;&gt;"",AD551,IF(AU551="Implied",-(H551-I551),IF(OR(AU551="Step-up",AU551="Rate-swap"),"see notes","")))</f>
        <v/>
      </c>
    </row>
    <row r="552" outlineLevel="1" s="817">
      <c r="W552">
        <f>IF(AND($D552="Occupied",$AC552&lt;&gt;""),$AC552,"")</f>
        <v/>
      </c>
      <c r="X552">
        <f>IF(AND(D552="Occupied",C552&lt;&gt;"",W552&lt;&gt;""),C552&amp;"|"&amp;W552,"")</f>
        <v/>
      </c>
      <c r="Y552">
        <f>IF(AND(C552&lt;&gt;"",W552&lt;&gt;""),C552&amp;"|"&amp;W552,"")</f>
        <v/>
      </c>
      <c r="AA552" s="970">
        <f>IF(AND(I552&gt;0,H552&gt;0),H552-I552,"")</f>
        <v/>
      </c>
      <c r="AB552" s="555">
        <f>IF(AND(I552&gt;0,H552&gt;0),(H552-I552)/H552,"")</f>
        <v/>
      </c>
      <c r="AQ552" s="980">
        <f>SUM(AK552:AO552)</f>
        <v/>
      </c>
      <c r="AU552">
        <f t="array" ref="AU552">IF(D552&lt;&gt;"Occupied","",_xlfn.IFS(AND(ISNUMBER(AD552),AD552&lt;&gt;0),"Structured",ISNUMBER(SEARCH("/mo con",S552)),"Notes-parsed",ISNUMBER(SEARCH("step",S552)),"Step-up",ISNUMBER(SEARCH("swap",S552)),"Rate-swap",AND(ISNUMBER(H552),ISNUMBER(I552),H552&gt;I552),"Implied",TRUE,""))</f>
        <v/>
      </c>
      <c r="AV552" s="970">
        <f>IF(AD552&lt;&gt;"",AD552,IF(AU552="Implied",-(H552-I552),IF(OR(AU552="Step-up",AU552="Rate-swap"),"see notes","")))</f>
        <v/>
      </c>
    </row>
    <row r="553" outlineLevel="1" s="817">
      <c r="W553">
        <f>IF(AND($D553="Occupied",$AC553&lt;&gt;""),$AC553,"")</f>
        <v/>
      </c>
      <c r="X553">
        <f>IF(AND(D553="Occupied",C553&lt;&gt;"",W553&lt;&gt;""),C553&amp;"|"&amp;W553,"")</f>
        <v/>
      </c>
      <c r="Y553">
        <f>IF(AND(C553&lt;&gt;"",W553&lt;&gt;""),C553&amp;"|"&amp;W553,"")</f>
        <v/>
      </c>
      <c r="AA553" s="970">
        <f>IF(AND(I553&gt;0,H553&gt;0),H553-I553,"")</f>
        <v/>
      </c>
      <c r="AB553" s="555">
        <f>IF(AND(I553&gt;0,H553&gt;0),(H553-I553)/H553,"")</f>
        <v/>
      </c>
      <c r="AQ553" s="980">
        <f>SUM(AK553:AO553)</f>
        <v/>
      </c>
      <c r="AU553">
        <f t="array" ref="AU553">IF(D553&lt;&gt;"Occupied","",_xlfn.IFS(AND(ISNUMBER(AD553),AD553&lt;&gt;0),"Structured",ISNUMBER(SEARCH("/mo con",S553)),"Notes-parsed",ISNUMBER(SEARCH("step",S553)),"Step-up",ISNUMBER(SEARCH("swap",S553)),"Rate-swap",AND(ISNUMBER(H553),ISNUMBER(I553),H553&gt;I553),"Implied",TRUE,""))</f>
        <v/>
      </c>
      <c r="AV553" s="970">
        <f>IF(AD553&lt;&gt;"",AD553,IF(AU553="Implied",-(H553-I553),IF(OR(AU553="Step-up",AU553="Rate-swap"),"see notes","")))</f>
        <v/>
      </c>
    </row>
    <row r="554" outlineLevel="1" s="817">
      <c r="W554">
        <f>IF(AND($D554="Occupied",$AC554&lt;&gt;""),$AC554,"")</f>
        <v/>
      </c>
      <c r="X554">
        <f>IF(AND(D554="Occupied",C554&lt;&gt;"",W554&lt;&gt;""),C554&amp;"|"&amp;W554,"")</f>
        <v/>
      </c>
      <c r="Y554">
        <f>IF(AND(C554&lt;&gt;"",W554&lt;&gt;""),C554&amp;"|"&amp;W554,"")</f>
        <v/>
      </c>
      <c r="AA554" s="970">
        <f>IF(AND(I554&gt;0,H554&gt;0),H554-I554,"")</f>
        <v/>
      </c>
      <c r="AB554" s="555">
        <f>IF(AND(I554&gt;0,H554&gt;0),(H554-I554)/H554,"")</f>
        <v/>
      </c>
      <c r="AQ554" s="980">
        <f>SUM(AK554:AO554)</f>
        <v/>
      </c>
      <c r="AU554">
        <f t="array" ref="AU554">IF(D554&lt;&gt;"Occupied","",_xlfn.IFS(AND(ISNUMBER(AD554),AD554&lt;&gt;0),"Structured",ISNUMBER(SEARCH("/mo con",S554)),"Notes-parsed",ISNUMBER(SEARCH("step",S554)),"Step-up",ISNUMBER(SEARCH("swap",S554)),"Rate-swap",AND(ISNUMBER(H554),ISNUMBER(I554),H554&gt;I554),"Implied",TRUE,""))</f>
        <v/>
      </c>
      <c r="AV554" s="970">
        <f>IF(AD554&lt;&gt;"",AD554,IF(AU554="Implied",-(H554-I554),IF(OR(AU554="Step-up",AU554="Rate-swap"),"see notes","")))</f>
        <v/>
      </c>
    </row>
    <row r="555" outlineLevel="1" s="817">
      <c r="W555">
        <f>IF(AND($D555="Occupied",$AC555&lt;&gt;""),$AC555,"")</f>
        <v/>
      </c>
      <c r="X555">
        <f>IF(AND(D555="Occupied",C555&lt;&gt;"",W555&lt;&gt;""),C555&amp;"|"&amp;W555,"")</f>
        <v/>
      </c>
      <c r="Y555">
        <f>IF(AND(C555&lt;&gt;"",W555&lt;&gt;""),C555&amp;"|"&amp;W555,"")</f>
        <v/>
      </c>
      <c r="AA555" s="970">
        <f>IF(AND(I555&gt;0,H555&gt;0),H555-I555,"")</f>
        <v/>
      </c>
      <c r="AB555" s="555">
        <f>IF(AND(I555&gt;0,H555&gt;0),(H555-I555)/H555,"")</f>
        <v/>
      </c>
      <c r="AQ555" s="980">
        <f>SUM(AK555:AO555)</f>
        <v/>
      </c>
      <c r="AU555">
        <f t="array" ref="AU555">IF(D555&lt;&gt;"Occupied","",_xlfn.IFS(AND(ISNUMBER(AD555),AD555&lt;&gt;0),"Structured",ISNUMBER(SEARCH("/mo con",S555)),"Notes-parsed",ISNUMBER(SEARCH("step",S555)),"Step-up",ISNUMBER(SEARCH("swap",S555)),"Rate-swap",AND(ISNUMBER(H555),ISNUMBER(I555),H555&gt;I555),"Implied",TRUE,""))</f>
        <v/>
      </c>
      <c r="AV555" s="970">
        <f>IF(AD555&lt;&gt;"",AD555,IF(AU555="Implied",-(H555-I555),IF(OR(AU555="Step-up",AU555="Rate-swap"),"see notes","")))</f>
        <v/>
      </c>
    </row>
    <row r="556" outlineLevel="1" s="817">
      <c r="W556">
        <f>IF(AND($D556="Occupied",$AC556&lt;&gt;""),$AC556,"")</f>
        <v/>
      </c>
      <c r="X556">
        <f>IF(AND(D556="Occupied",C556&lt;&gt;"",W556&lt;&gt;""),C556&amp;"|"&amp;W556,"")</f>
        <v/>
      </c>
      <c r="Y556">
        <f>IF(AND(C556&lt;&gt;"",W556&lt;&gt;""),C556&amp;"|"&amp;W556,"")</f>
        <v/>
      </c>
      <c r="AA556" s="970">
        <f>IF(AND(I556&gt;0,H556&gt;0),H556-I556,"")</f>
        <v/>
      </c>
      <c r="AB556" s="555">
        <f>IF(AND(I556&gt;0,H556&gt;0),(H556-I556)/H556,"")</f>
        <v/>
      </c>
      <c r="AQ556" s="980">
        <f>SUM(AK556:AO556)</f>
        <v/>
      </c>
      <c r="AU556">
        <f t="array" ref="AU556">IF(D556&lt;&gt;"Occupied","",_xlfn.IFS(AND(ISNUMBER(AD556),AD556&lt;&gt;0),"Structured",ISNUMBER(SEARCH("/mo con",S556)),"Notes-parsed",ISNUMBER(SEARCH("step",S556)),"Step-up",ISNUMBER(SEARCH("swap",S556)),"Rate-swap",AND(ISNUMBER(H556),ISNUMBER(I556),H556&gt;I556),"Implied",TRUE,""))</f>
        <v/>
      </c>
      <c r="AV556" s="970">
        <f>IF(AD556&lt;&gt;"",AD556,IF(AU556="Implied",-(H556-I556),IF(OR(AU556="Step-up",AU556="Rate-swap"),"see notes","")))</f>
        <v/>
      </c>
    </row>
    <row r="557" outlineLevel="1" s="817">
      <c r="W557">
        <f>IF(AND($D557="Occupied",$AC557&lt;&gt;""),$AC557,"")</f>
        <v/>
      </c>
      <c r="X557">
        <f>IF(AND(D557="Occupied",C557&lt;&gt;"",W557&lt;&gt;""),C557&amp;"|"&amp;W557,"")</f>
        <v/>
      </c>
      <c r="Y557">
        <f>IF(AND(C557&lt;&gt;"",W557&lt;&gt;""),C557&amp;"|"&amp;W557,"")</f>
        <v/>
      </c>
      <c r="AA557" s="970">
        <f>IF(AND(I557&gt;0,H557&gt;0),H557-I557,"")</f>
        <v/>
      </c>
      <c r="AB557" s="555">
        <f>IF(AND(I557&gt;0,H557&gt;0),(H557-I557)/H557,"")</f>
        <v/>
      </c>
      <c r="AQ557" s="980">
        <f>SUM(AK557:AO557)</f>
        <v/>
      </c>
      <c r="AU557">
        <f t="array" ref="AU557">IF(D557&lt;&gt;"Occupied","",_xlfn.IFS(AND(ISNUMBER(AD557),AD557&lt;&gt;0),"Structured",ISNUMBER(SEARCH("/mo con",S557)),"Notes-parsed",ISNUMBER(SEARCH("step",S557)),"Step-up",ISNUMBER(SEARCH("swap",S557)),"Rate-swap",AND(ISNUMBER(H557),ISNUMBER(I557),H557&gt;I557),"Implied",TRUE,""))</f>
        <v/>
      </c>
      <c r="AV557" s="970">
        <f>IF(AD557&lt;&gt;"",AD557,IF(AU557="Implied",-(H557-I557),IF(OR(AU557="Step-up",AU557="Rate-swap"),"see notes","")))</f>
        <v/>
      </c>
    </row>
    <row r="558" outlineLevel="1" s="817">
      <c r="W558">
        <f>IF(AND($D558="Occupied",$AC558&lt;&gt;""),$AC558,"")</f>
        <v/>
      </c>
      <c r="X558">
        <f>IF(AND(D558="Occupied",C558&lt;&gt;"",W558&lt;&gt;""),C558&amp;"|"&amp;W558,"")</f>
        <v/>
      </c>
      <c r="Y558">
        <f>IF(AND(C558&lt;&gt;"",W558&lt;&gt;""),C558&amp;"|"&amp;W558,"")</f>
        <v/>
      </c>
      <c r="AA558" s="970">
        <f>IF(AND(I558&gt;0,H558&gt;0),H558-I558,"")</f>
        <v/>
      </c>
      <c r="AB558" s="555">
        <f>IF(AND(I558&gt;0,H558&gt;0),(H558-I558)/H558,"")</f>
        <v/>
      </c>
      <c r="AQ558" s="980">
        <f>SUM(AK558:AO558)</f>
        <v/>
      </c>
      <c r="AU558">
        <f t="array" ref="AU558">IF(D558&lt;&gt;"Occupied","",_xlfn.IFS(AND(ISNUMBER(AD558),AD558&lt;&gt;0),"Structured",ISNUMBER(SEARCH("/mo con",S558)),"Notes-parsed",ISNUMBER(SEARCH("step",S558)),"Step-up",ISNUMBER(SEARCH("swap",S558)),"Rate-swap",AND(ISNUMBER(H558),ISNUMBER(I558),H558&gt;I558),"Implied",TRUE,""))</f>
        <v/>
      </c>
      <c r="AV558" s="970">
        <f>IF(AD558&lt;&gt;"",AD558,IF(AU558="Implied",-(H558-I558),IF(OR(AU558="Step-up",AU558="Rate-swap"),"see notes","")))</f>
        <v/>
      </c>
    </row>
    <row r="559" outlineLevel="1" s="817">
      <c r="W559">
        <f>IF(AND($D559="Occupied",$AC559&lt;&gt;""),$AC559,"")</f>
        <v/>
      </c>
      <c r="X559">
        <f>IF(AND(D559="Occupied",C559&lt;&gt;"",W559&lt;&gt;""),C559&amp;"|"&amp;W559,"")</f>
        <v/>
      </c>
      <c r="Y559">
        <f>IF(AND(C559&lt;&gt;"",W559&lt;&gt;""),C559&amp;"|"&amp;W559,"")</f>
        <v/>
      </c>
      <c r="AA559" s="970">
        <f>IF(AND(I559&gt;0,H559&gt;0),H559-I559,"")</f>
        <v/>
      </c>
      <c r="AB559" s="555">
        <f>IF(AND(I559&gt;0,H559&gt;0),(H559-I559)/H559,"")</f>
        <v/>
      </c>
      <c r="AQ559" s="980">
        <f>SUM(AK559:AO559)</f>
        <v/>
      </c>
      <c r="AU559">
        <f t="array" ref="AU559">IF(D559&lt;&gt;"Occupied","",_xlfn.IFS(AND(ISNUMBER(AD559),AD559&lt;&gt;0),"Structured",ISNUMBER(SEARCH("/mo con",S559)),"Notes-parsed",ISNUMBER(SEARCH("step",S559)),"Step-up",ISNUMBER(SEARCH("swap",S559)),"Rate-swap",AND(ISNUMBER(H559),ISNUMBER(I559),H559&gt;I559),"Implied",TRUE,""))</f>
        <v/>
      </c>
      <c r="AV559" s="970">
        <f>IF(AD559&lt;&gt;"",AD559,IF(AU559="Implied",-(H559-I559),IF(OR(AU559="Step-up",AU559="Rate-swap"),"see notes","")))</f>
        <v/>
      </c>
    </row>
    <row r="560" outlineLevel="1" s="817">
      <c r="W560">
        <f>IF(AND($D560="Occupied",$AC560&lt;&gt;""),$AC560,"")</f>
        <v/>
      </c>
      <c r="X560">
        <f>IF(AND(D560="Occupied",C560&lt;&gt;"",W560&lt;&gt;""),C560&amp;"|"&amp;W560,"")</f>
        <v/>
      </c>
      <c r="Y560">
        <f>IF(AND(C560&lt;&gt;"",W560&lt;&gt;""),C560&amp;"|"&amp;W560,"")</f>
        <v/>
      </c>
      <c r="AA560" s="970">
        <f>IF(AND(I560&gt;0,H560&gt;0),H560-I560,"")</f>
        <v/>
      </c>
      <c r="AB560" s="555">
        <f>IF(AND(I560&gt;0,H560&gt;0),(H560-I560)/H560,"")</f>
        <v/>
      </c>
      <c r="AQ560" s="980">
        <f>SUM(AK560:AO560)</f>
        <v/>
      </c>
      <c r="AU560">
        <f t="array" ref="AU560">IF(D560&lt;&gt;"Occupied","",_xlfn.IFS(AND(ISNUMBER(AD560),AD560&lt;&gt;0),"Structured",ISNUMBER(SEARCH("/mo con",S560)),"Notes-parsed",ISNUMBER(SEARCH("step",S560)),"Step-up",ISNUMBER(SEARCH("swap",S560)),"Rate-swap",AND(ISNUMBER(H560),ISNUMBER(I560),H560&gt;I560),"Implied",TRUE,""))</f>
        <v/>
      </c>
      <c r="AV560" s="970">
        <f>IF(AD560&lt;&gt;"",AD560,IF(AU560="Implied",-(H560-I560),IF(OR(AU560="Step-up",AU560="Rate-swap"),"see notes","")))</f>
        <v/>
      </c>
    </row>
    <row r="561" outlineLevel="1" s="817">
      <c r="W561">
        <f>IF(AND($D561="Occupied",$AC561&lt;&gt;""),$AC561,"")</f>
        <v/>
      </c>
      <c r="X561">
        <f>IF(AND(D561="Occupied",C561&lt;&gt;"",W561&lt;&gt;""),C561&amp;"|"&amp;W561,"")</f>
        <v/>
      </c>
      <c r="Y561">
        <f>IF(AND(C561&lt;&gt;"",W561&lt;&gt;""),C561&amp;"|"&amp;W561,"")</f>
        <v/>
      </c>
      <c r="AA561" s="970">
        <f>IF(AND(I561&gt;0,H561&gt;0),H561-I561,"")</f>
        <v/>
      </c>
      <c r="AB561" s="555">
        <f>IF(AND(I561&gt;0,H561&gt;0),(H561-I561)/H561,"")</f>
        <v/>
      </c>
      <c r="AQ561" s="980">
        <f>SUM(AK561:AO561)</f>
        <v/>
      </c>
      <c r="AU561">
        <f t="array" ref="AU561">IF(D561&lt;&gt;"Occupied","",_xlfn.IFS(AND(ISNUMBER(AD561),AD561&lt;&gt;0),"Structured",ISNUMBER(SEARCH("/mo con",S561)),"Notes-parsed",ISNUMBER(SEARCH("step",S561)),"Step-up",ISNUMBER(SEARCH("swap",S561)),"Rate-swap",AND(ISNUMBER(H561),ISNUMBER(I561),H561&gt;I561),"Implied",TRUE,""))</f>
        <v/>
      </c>
      <c r="AV561" s="970">
        <f>IF(AD561&lt;&gt;"",AD561,IF(AU561="Implied",-(H561-I561),IF(OR(AU561="Step-up",AU561="Rate-swap"),"see notes","")))</f>
        <v/>
      </c>
    </row>
    <row r="562" outlineLevel="1" s="817">
      <c r="W562">
        <f>IF(AND($D562="Occupied",$AC562&lt;&gt;""),$AC562,"")</f>
        <v/>
      </c>
      <c r="X562">
        <f>IF(AND(D562="Occupied",C562&lt;&gt;"",W562&lt;&gt;""),C562&amp;"|"&amp;W562,"")</f>
        <v/>
      </c>
      <c r="Y562">
        <f>IF(AND(C562&lt;&gt;"",W562&lt;&gt;""),C562&amp;"|"&amp;W562,"")</f>
        <v/>
      </c>
      <c r="AA562" s="970">
        <f>IF(AND(I562&gt;0,H562&gt;0),H562-I562,"")</f>
        <v/>
      </c>
      <c r="AB562" s="555">
        <f>IF(AND(I562&gt;0,H562&gt;0),(H562-I562)/H562,"")</f>
        <v/>
      </c>
      <c r="AQ562" s="980">
        <f>SUM(AK562:AO562)</f>
        <v/>
      </c>
      <c r="AU562">
        <f t="array" ref="AU562">IF(D562&lt;&gt;"Occupied","",_xlfn.IFS(AND(ISNUMBER(AD562),AD562&lt;&gt;0),"Structured",ISNUMBER(SEARCH("/mo con",S562)),"Notes-parsed",ISNUMBER(SEARCH("step",S562)),"Step-up",ISNUMBER(SEARCH("swap",S562)),"Rate-swap",AND(ISNUMBER(H562),ISNUMBER(I562),H562&gt;I562),"Implied",TRUE,""))</f>
        <v/>
      </c>
      <c r="AV562" s="970">
        <f>IF(AD562&lt;&gt;"",AD562,IF(AU562="Implied",-(H562-I562),IF(OR(AU562="Step-up",AU562="Rate-swap"),"see notes","")))</f>
        <v/>
      </c>
    </row>
    <row r="563" outlineLevel="1" s="817">
      <c r="W563">
        <f>IF(AND($D563="Occupied",$AC563&lt;&gt;""),$AC563,"")</f>
        <v/>
      </c>
      <c r="X563">
        <f>IF(AND(D563="Occupied",C563&lt;&gt;"",W563&lt;&gt;""),C563&amp;"|"&amp;W563,"")</f>
        <v/>
      </c>
      <c r="Y563">
        <f>IF(AND(C563&lt;&gt;"",W563&lt;&gt;""),C563&amp;"|"&amp;W563,"")</f>
        <v/>
      </c>
      <c r="AA563" s="970">
        <f>IF(AND(I563&gt;0,H563&gt;0),H563-I563,"")</f>
        <v/>
      </c>
      <c r="AB563" s="555">
        <f>IF(AND(I563&gt;0,H563&gt;0),(H563-I563)/H563,"")</f>
        <v/>
      </c>
      <c r="AQ563" s="980">
        <f>SUM(AK563:AO563)</f>
        <v/>
      </c>
      <c r="AU563">
        <f t="array" ref="AU563">IF(D563&lt;&gt;"Occupied","",_xlfn.IFS(AND(ISNUMBER(AD563),AD563&lt;&gt;0),"Structured",ISNUMBER(SEARCH("/mo con",S563)),"Notes-parsed",ISNUMBER(SEARCH("step",S563)),"Step-up",ISNUMBER(SEARCH("swap",S563)),"Rate-swap",AND(ISNUMBER(H563),ISNUMBER(I563),H563&gt;I563),"Implied",TRUE,""))</f>
        <v/>
      </c>
      <c r="AV563" s="970">
        <f>IF(AD563&lt;&gt;"",AD563,IF(AU563="Implied",-(H563-I563),IF(OR(AU563="Step-up",AU563="Rate-swap"),"see notes","")))</f>
        <v/>
      </c>
    </row>
    <row r="564" outlineLevel="1" s="817">
      <c r="W564">
        <f>IF(AND($D564="Occupied",$AC564&lt;&gt;""),$AC564,"")</f>
        <v/>
      </c>
      <c r="X564">
        <f>IF(AND(D564="Occupied",C564&lt;&gt;"",W564&lt;&gt;""),C564&amp;"|"&amp;W564,"")</f>
        <v/>
      </c>
      <c r="Y564">
        <f>IF(AND(C564&lt;&gt;"",W564&lt;&gt;""),C564&amp;"|"&amp;W564,"")</f>
        <v/>
      </c>
      <c r="AA564" s="970">
        <f>IF(AND(I564&gt;0,H564&gt;0),H564-I564,"")</f>
        <v/>
      </c>
      <c r="AB564" s="555">
        <f>IF(AND(I564&gt;0,H564&gt;0),(H564-I564)/H564,"")</f>
        <v/>
      </c>
      <c r="AQ564" s="980">
        <f>SUM(AK564:AO564)</f>
        <v/>
      </c>
      <c r="AU564">
        <f t="array" ref="AU564">IF(D564&lt;&gt;"Occupied","",_xlfn.IFS(AND(ISNUMBER(AD564),AD564&lt;&gt;0),"Structured",ISNUMBER(SEARCH("/mo con",S564)),"Notes-parsed",ISNUMBER(SEARCH("step",S564)),"Step-up",ISNUMBER(SEARCH("swap",S564)),"Rate-swap",AND(ISNUMBER(H564),ISNUMBER(I564),H564&gt;I564),"Implied",TRUE,""))</f>
        <v/>
      </c>
      <c r="AV564" s="970">
        <f>IF(AD564&lt;&gt;"",AD564,IF(AU564="Implied",-(H564-I564),IF(OR(AU564="Step-up",AU564="Rate-swap"),"see notes","")))</f>
        <v/>
      </c>
    </row>
    <row r="565" outlineLevel="1" s="817">
      <c r="W565">
        <f>IF(AND($D565="Occupied",$AC565&lt;&gt;""),$AC565,"")</f>
        <v/>
      </c>
      <c r="X565">
        <f>IF(AND(D565="Occupied",C565&lt;&gt;"",W565&lt;&gt;""),C565&amp;"|"&amp;W565,"")</f>
        <v/>
      </c>
      <c r="Y565">
        <f>IF(AND(C565&lt;&gt;"",W565&lt;&gt;""),C565&amp;"|"&amp;W565,"")</f>
        <v/>
      </c>
      <c r="AA565" s="970">
        <f>IF(AND(I565&gt;0,H565&gt;0),H565-I565,"")</f>
        <v/>
      </c>
      <c r="AB565" s="555">
        <f>IF(AND(I565&gt;0,H565&gt;0),(H565-I565)/H565,"")</f>
        <v/>
      </c>
      <c r="AQ565" s="980">
        <f>SUM(AK565:AO565)</f>
        <v/>
      </c>
      <c r="AU565">
        <f t="array" ref="AU565">IF(D565&lt;&gt;"Occupied","",_xlfn.IFS(AND(ISNUMBER(AD565),AD565&lt;&gt;0),"Structured",ISNUMBER(SEARCH("/mo con",S565)),"Notes-parsed",ISNUMBER(SEARCH("step",S565)),"Step-up",ISNUMBER(SEARCH("swap",S565)),"Rate-swap",AND(ISNUMBER(H565),ISNUMBER(I565),H565&gt;I565),"Implied",TRUE,""))</f>
        <v/>
      </c>
      <c r="AV565" s="970">
        <f>IF(AD565&lt;&gt;"",AD565,IF(AU565="Implied",-(H565-I565),IF(OR(AU565="Step-up",AU565="Rate-swap"),"see notes","")))</f>
        <v/>
      </c>
    </row>
    <row r="566" outlineLevel="1" s="817">
      <c r="W566">
        <f>IF(AND($D566="Occupied",$AC566&lt;&gt;""),$AC566,"")</f>
        <v/>
      </c>
      <c r="X566">
        <f>IF(AND(D566="Occupied",C566&lt;&gt;"",W566&lt;&gt;""),C566&amp;"|"&amp;W566,"")</f>
        <v/>
      </c>
      <c r="Y566">
        <f>IF(AND(C566&lt;&gt;"",W566&lt;&gt;""),C566&amp;"|"&amp;W566,"")</f>
        <v/>
      </c>
      <c r="AA566" s="970">
        <f>IF(AND(I566&gt;0,H566&gt;0),H566-I566,"")</f>
        <v/>
      </c>
      <c r="AB566" s="555">
        <f>IF(AND(I566&gt;0,H566&gt;0),(H566-I566)/H566,"")</f>
        <v/>
      </c>
      <c r="AQ566" s="980">
        <f>SUM(AK566:AO566)</f>
        <v/>
      </c>
      <c r="AU566">
        <f t="array" ref="AU566">IF(D566&lt;&gt;"Occupied","",_xlfn.IFS(AND(ISNUMBER(AD566),AD566&lt;&gt;0),"Structured",ISNUMBER(SEARCH("/mo con",S566)),"Notes-parsed",ISNUMBER(SEARCH("step",S566)),"Step-up",ISNUMBER(SEARCH("swap",S566)),"Rate-swap",AND(ISNUMBER(H566),ISNUMBER(I566),H566&gt;I566),"Implied",TRUE,""))</f>
        <v/>
      </c>
      <c r="AV566" s="970">
        <f>IF(AD566&lt;&gt;"",AD566,IF(AU566="Implied",-(H566-I566),IF(OR(AU566="Step-up",AU566="Rate-swap"),"see notes","")))</f>
        <v/>
      </c>
    </row>
    <row r="567" outlineLevel="1" s="817">
      <c r="W567">
        <f>IF(AND($D567="Occupied",$AC567&lt;&gt;""),$AC567,"")</f>
        <v/>
      </c>
      <c r="X567">
        <f>IF(AND(D567="Occupied",C567&lt;&gt;"",W567&lt;&gt;""),C567&amp;"|"&amp;W567,"")</f>
        <v/>
      </c>
      <c r="Y567">
        <f>IF(AND(C567&lt;&gt;"",W567&lt;&gt;""),C567&amp;"|"&amp;W567,"")</f>
        <v/>
      </c>
      <c r="AA567" s="970">
        <f>IF(AND(I567&gt;0,H567&gt;0),H567-I567,"")</f>
        <v/>
      </c>
      <c r="AB567" s="555">
        <f>IF(AND(I567&gt;0,H567&gt;0),(H567-I567)/H567,"")</f>
        <v/>
      </c>
      <c r="AQ567" s="980">
        <f>SUM(AK567:AO567)</f>
        <v/>
      </c>
      <c r="AU567">
        <f t="array" ref="AU567">IF(D567&lt;&gt;"Occupied","",_xlfn.IFS(AND(ISNUMBER(AD567),AD567&lt;&gt;0),"Structured",ISNUMBER(SEARCH("/mo con",S567)),"Notes-parsed",ISNUMBER(SEARCH("step",S567)),"Step-up",ISNUMBER(SEARCH("swap",S567)),"Rate-swap",AND(ISNUMBER(H567),ISNUMBER(I567),H567&gt;I567),"Implied",TRUE,""))</f>
        <v/>
      </c>
      <c r="AV567" s="970">
        <f>IF(AD567&lt;&gt;"",AD567,IF(AU567="Implied",-(H567-I567),IF(OR(AU567="Step-up",AU567="Rate-swap"),"see notes","")))</f>
        <v/>
      </c>
    </row>
    <row r="568" outlineLevel="1" s="817">
      <c r="W568">
        <f>IF(AND($D568="Occupied",$AC568&lt;&gt;""),$AC568,"")</f>
        <v/>
      </c>
      <c r="X568">
        <f>IF(AND(D568="Occupied",C568&lt;&gt;"",W568&lt;&gt;""),C568&amp;"|"&amp;W568,"")</f>
        <v/>
      </c>
      <c r="Y568">
        <f>IF(AND(C568&lt;&gt;"",W568&lt;&gt;""),C568&amp;"|"&amp;W568,"")</f>
        <v/>
      </c>
      <c r="AA568" s="970">
        <f>IF(AND(I568&gt;0,H568&gt;0),H568-I568,"")</f>
        <v/>
      </c>
      <c r="AB568" s="555">
        <f>IF(AND(I568&gt;0,H568&gt;0),(H568-I568)/H568,"")</f>
        <v/>
      </c>
      <c r="AQ568" s="980">
        <f>SUM(AK568:AO568)</f>
        <v/>
      </c>
      <c r="AU568">
        <f t="array" ref="AU568">IF(D568&lt;&gt;"Occupied","",_xlfn.IFS(AND(ISNUMBER(AD568),AD568&lt;&gt;0),"Structured",ISNUMBER(SEARCH("/mo con",S568)),"Notes-parsed",ISNUMBER(SEARCH("step",S568)),"Step-up",ISNUMBER(SEARCH("swap",S568)),"Rate-swap",AND(ISNUMBER(H568),ISNUMBER(I568),H568&gt;I568),"Implied",TRUE,""))</f>
        <v/>
      </c>
      <c r="AV568" s="970">
        <f>IF(AD568&lt;&gt;"",AD568,IF(AU568="Implied",-(H568-I568),IF(OR(AU568="Step-up",AU568="Rate-swap"),"see notes","")))</f>
        <v/>
      </c>
    </row>
    <row r="569" outlineLevel="1" s="817">
      <c r="W569">
        <f>IF(AND($D569="Occupied",$AC569&lt;&gt;""),$AC569,"")</f>
        <v/>
      </c>
      <c r="X569">
        <f>IF(AND(D569="Occupied",C569&lt;&gt;"",W569&lt;&gt;""),C569&amp;"|"&amp;W569,"")</f>
        <v/>
      </c>
      <c r="Y569">
        <f>IF(AND(C569&lt;&gt;"",W569&lt;&gt;""),C569&amp;"|"&amp;W569,"")</f>
        <v/>
      </c>
      <c r="AA569" s="970">
        <f>IF(AND(I569&gt;0,H569&gt;0),H569-I569,"")</f>
        <v/>
      </c>
      <c r="AB569" s="555">
        <f>IF(AND(I569&gt;0,H569&gt;0),(H569-I569)/H569,"")</f>
        <v/>
      </c>
      <c r="AQ569" s="980">
        <f>SUM(AK569:AO569)</f>
        <v/>
      </c>
      <c r="AU569">
        <f t="array" ref="AU569">IF(D569&lt;&gt;"Occupied","",_xlfn.IFS(AND(ISNUMBER(AD569),AD569&lt;&gt;0),"Structured",ISNUMBER(SEARCH("/mo con",S569)),"Notes-parsed",ISNUMBER(SEARCH("step",S569)),"Step-up",ISNUMBER(SEARCH("swap",S569)),"Rate-swap",AND(ISNUMBER(H569),ISNUMBER(I569),H569&gt;I569),"Implied",TRUE,""))</f>
        <v/>
      </c>
      <c r="AV569" s="970">
        <f>IF(AD569&lt;&gt;"",AD569,IF(AU569="Implied",-(H569-I569),IF(OR(AU569="Step-up",AU569="Rate-swap"),"see notes","")))</f>
        <v/>
      </c>
    </row>
    <row r="570" outlineLevel="1" s="817">
      <c r="W570">
        <f>IF(AND($D570="Occupied",$AC570&lt;&gt;""),$AC570,"")</f>
        <v/>
      </c>
      <c r="X570">
        <f>IF(AND(D570="Occupied",C570&lt;&gt;"",W570&lt;&gt;""),C570&amp;"|"&amp;W570,"")</f>
        <v/>
      </c>
      <c r="Y570">
        <f>IF(AND(C570&lt;&gt;"",W570&lt;&gt;""),C570&amp;"|"&amp;W570,"")</f>
        <v/>
      </c>
      <c r="AA570" s="970">
        <f>IF(AND(I570&gt;0,H570&gt;0),H570-I570,"")</f>
        <v/>
      </c>
      <c r="AB570" s="555">
        <f>IF(AND(I570&gt;0,H570&gt;0),(H570-I570)/H570,"")</f>
        <v/>
      </c>
      <c r="AQ570" s="980">
        <f>SUM(AK570:AO570)</f>
        <v/>
      </c>
      <c r="AU570">
        <f t="array" ref="AU570">IF(D570&lt;&gt;"Occupied","",_xlfn.IFS(AND(ISNUMBER(AD570),AD570&lt;&gt;0),"Structured",ISNUMBER(SEARCH("/mo con",S570)),"Notes-parsed",ISNUMBER(SEARCH("step",S570)),"Step-up",ISNUMBER(SEARCH("swap",S570)),"Rate-swap",AND(ISNUMBER(H570),ISNUMBER(I570),H570&gt;I570),"Implied",TRUE,""))</f>
        <v/>
      </c>
      <c r="AV570" s="970">
        <f>IF(AD570&lt;&gt;"",AD570,IF(AU570="Implied",-(H570-I570),IF(OR(AU570="Step-up",AU570="Rate-swap"),"see notes","")))</f>
        <v/>
      </c>
    </row>
    <row r="571" outlineLevel="1" s="817">
      <c r="W571">
        <f>IF(AND($D571="Occupied",$AC571&lt;&gt;""),$AC571,"")</f>
        <v/>
      </c>
      <c r="X571">
        <f>IF(AND(D571="Occupied",C571&lt;&gt;"",W571&lt;&gt;""),C571&amp;"|"&amp;W571,"")</f>
        <v/>
      </c>
      <c r="Y571">
        <f>IF(AND(C571&lt;&gt;"",W571&lt;&gt;""),C571&amp;"|"&amp;W571,"")</f>
        <v/>
      </c>
      <c r="AA571" s="970">
        <f>IF(AND(I571&gt;0,H571&gt;0),H571-I571,"")</f>
        <v/>
      </c>
      <c r="AB571" s="555">
        <f>IF(AND(I571&gt;0,H571&gt;0),(H571-I571)/H571,"")</f>
        <v/>
      </c>
      <c r="AQ571" s="980">
        <f>SUM(AK571:AO571)</f>
        <v/>
      </c>
      <c r="AU571">
        <f t="array" ref="AU571">IF(D571&lt;&gt;"Occupied","",_xlfn.IFS(AND(ISNUMBER(AD571),AD571&lt;&gt;0),"Structured",ISNUMBER(SEARCH("/mo con",S571)),"Notes-parsed",ISNUMBER(SEARCH("step",S571)),"Step-up",ISNUMBER(SEARCH("swap",S571)),"Rate-swap",AND(ISNUMBER(H571),ISNUMBER(I571),H571&gt;I571),"Implied",TRUE,""))</f>
        <v/>
      </c>
      <c r="AV571" s="970">
        <f>IF(AD571&lt;&gt;"",AD571,IF(AU571="Implied",-(H571-I571),IF(OR(AU571="Step-up",AU571="Rate-swap"),"see notes","")))</f>
        <v/>
      </c>
    </row>
    <row r="572" outlineLevel="1" s="817">
      <c r="W572">
        <f>IF(AND($D572="Occupied",$AC572&lt;&gt;""),$AC572,"")</f>
        <v/>
      </c>
      <c r="X572">
        <f>IF(AND(D572="Occupied",C572&lt;&gt;"",W572&lt;&gt;""),C572&amp;"|"&amp;W572,"")</f>
        <v/>
      </c>
      <c r="Y572">
        <f>IF(AND(C572&lt;&gt;"",W572&lt;&gt;""),C572&amp;"|"&amp;W572,"")</f>
        <v/>
      </c>
      <c r="AA572" s="970">
        <f>IF(AND(I572&gt;0,H572&gt;0),H572-I572,"")</f>
        <v/>
      </c>
      <c r="AB572" s="555">
        <f>IF(AND(I572&gt;0,H572&gt;0),(H572-I572)/H572,"")</f>
        <v/>
      </c>
      <c r="AQ572" s="980">
        <f>SUM(AK572:AO572)</f>
        <v/>
      </c>
      <c r="AU572">
        <f t="array" ref="AU572">IF(D572&lt;&gt;"Occupied","",_xlfn.IFS(AND(ISNUMBER(AD572),AD572&lt;&gt;0),"Structured",ISNUMBER(SEARCH("/mo con",S572)),"Notes-parsed",ISNUMBER(SEARCH("step",S572)),"Step-up",ISNUMBER(SEARCH("swap",S572)),"Rate-swap",AND(ISNUMBER(H572),ISNUMBER(I572),H572&gt;I572),"Implied",TRUE,""))</f>
        <v/>
      </c>
      <c r="AV572" s="970">
        <f>IF(AD572&lt;&gt;"",AD572,IF(AU572="Implied",-(H572-I572),IF(OR(AU572="Step-up",AU572="Rate-swap"),"see notes","")))</f>
        <v/>
      </c>
    </row>
    <row r="573" outlineLevel="1" s="817">
      <c r="W573">
        <f>IF(AND($D573="Occupied",$AC573&lt;&gt;""),$AC573,"")</f>
        <v/>
      </c>
      <c r="X573">
        <f>IF(AND(D573="Occupied",C573&lt;&gt;"",W573&lt;&gt;""),C573&amp;"|"&amp;W573,"")</f>
        <v/>
      </c>
      <c r="Y573">
        <f>IF(AND(C573&lt;&gt;"",W573&lt;&gt;""),C573&amp;"|"&amp;W573,"")</f>
        <v/>
      </c>
      <c r="AA573" s="970">
        <f>IF(AND(I573&gt;0,H573&gt;0),H573-I573,"")</f>
        <v/>
      </c>
      <c r="AB573" s="555">
        <f>IF(AND(I573&gt;0,H573&gt;0),(H573-I573)/H573,"")</f>
        <v/>
      </c>
      <c r="AQ573" s="980">
        <f>SUM(AK573:AO573)</f>
        <v/>
      </c>
      <c r="AU573">
        <f t="array" ref="AU573">IF(D573&lt;&gt;"Occupied","",_xlfn.IFS(AND(ISNUMBER(AD573),AD573&lt;&gt;0),"Structured",ISNUMBER(SEARCH("/mo con",S573)),"Notes-parsed",ISNUMBER(SEARCH("step",S573)),"Step-up",ISNUMBER(SEARCH("swap",S573)),"Rate-swap",AND(ISNUMBER(H573),ISNUMBER(I573),H573&gt;I573),"Implied",TRUE,""))</f>
        <v/>
      </c>
      <c r="AV573" s="970">
        <f>IF(AD573&lt;&gt;"",AD573,IF(AU573="Implied",-(H573-I573),IF(OR(AU573="Step-up",AU573="Rate-swap"),"see notes","")))</f>
        <v/>
      </c>
    </row>
    <row r="574" outlineLevel="1" s="817">
      <c r="W574">
        <f>IF(AND($D574="Occupied",$AC574&lt;&gt;""),$AC574,"")</f>
        <v/>
      </c>
      <c r="X574">
        <f>IF(AND(D574="Occupied",C574&lt;&gt;"",W574&lt;&gt;""),C574&amp;"|"&amp;W574,"")</f>
        <v/>
      </c>
      <c r="Y574">
        <f>IF(AND(C574&lt;&gt;"",W574&lt;&gt;""),C574&amp;"|"&amp;W574,"")</f>
        <v/>
      </c>
      <c r="AA574" s="970">
        <f>IF(AND(I574&gt;0,H574&gt;0),H574-I574,"")</f>
        <v/>
      </c>
      <c r="AB574" s="555">
        <f>IF(AND(I574&gt;0,H574&gt;0),(H574-I574)/H574,"")</f>
        <v/>
      </c>
      <c r="AQ574" s="980">
        <f>SUM(AK574:AO574)</f>
        <v/>
      </c>
      <c r="AU574">
        <f t="array" ref="AU574">IF(D574&lt;&gt;"Occupied","",_xlfn.IFS(AND(ISNUMBER(AD574),AD574&lt;&gt;0),"Structured",ISNUMBER(SEARCH("/mo con",S574)),"Notes-parsed",ISNUMBER(SEARCH("step",S574)),"Step-up",ISNUMBER(SEARCH("swap",S574)),"Rate-swap",AND(ISNUMBER(H574),ISNUMBER(I574),H574&gt;I574),"Implied",TRUE,""))</f>
        <v/>
      </c>
      <c r="AV574" s="970">
        <f>IF(AD574&lt;&gt;"",AD574,IF(AU574="Implied",-(H574-I574),IF(OR(AU574="Step-up",AU574="Rate-swap"),"see notes","")))</f>
        <v/>
      </c>
    </row>
    <row r="575" outlineLevel="1" s="817">
      <c r="W575">
        <f>IF(AND($D575="Occupied",$AC575&lt;&gt;""),$AC575,"")</f>
        <v/>
      </c>
      <c r="X575">
        <f>IF(AND(D575="Occupied",C575&lt;&gt;"",W575&lt;&gt;""),C575&amp;"|"&amp;W575,"")</f>
        <v/>
      </c>
      <c r="Y575">
        <f>IF(AND(C575&lt;&gt;"",W575&lt;&gt;""),C575&amp;"|"&amp;W575,"")</f>
        <v/>
      </c>
      <c r="AA575" s="970">
        <f>IF(AND(I575&gt;0,H575&gt;0),H575-I575,"")</f>
        <v/>
      </c>
      <c r="AB575" s="555">
        <f>IF(AND(I575&gt;0,H575&gt;0),(H575-I575)/H575,"")</f>
        <v/>
      </c>
      <c r="AQ575" s="980">
        <f>SUM(AK575:AO575)</f>
        <v/>
      </c>
      <c r="AU575">
        <f t="array" ref="AU575">IF(D575&lt;&gt;"Occupied","",_xlfn.IFS(AND(ISNUMBER(AD575),AD575&lt;&gt;0),"Structured",ISNUMBER(SEARCH("/mo con",S575)),"Notes-parsed",ISNUMBER(SEARCH("step",S575)),"Step-up",ISNUMBER(SEARCH("swap",S575)),"Rate-swap",AND(ISNUMBER(H575),ISNUMBER(I575),H575&gt;I575),"Implied",TRUE,""))</f>
        <v/>
      </c>
      <c r="AV575" s="970">
        <f>IF(AD575&lt;&gt;"",AD575,IF(AU575="Implied",-(H575-I575),IF(OR(AU575="Step-up",AU575="Rate-swap"),"see notes","")))</f>
        <v/>
      </c>
    </row>
    <row r="576" outlineLevel="1" s="817">
      <c r="W576">
        <f>IF(AND($D576="Occupied",$AC576&lt;&gt;""),$AC576,"")</f>
        <v/>
      </c>
      <c r="X576">
        <f>IF(AND(D576="Occupied",C576&lt;&gt;"",W576&lt;&gt;""),C576&amp;"|"&amp;W576,"")</f>
        <v/>
      </c>
      <c r="Y576">
        <f>IF(AND(C576&lt;&gt;"",W576&lt;&gt;""),C576&amp;"|"&amp;W576,"")</f>
        <v/>
      </c>
      <c r="AA576" s="970">
        <f>IF(AND(I576&gt;0,H576&gt;0),H576-I576,"")</f>
        <v/>
      </c>
      <c r="AB576" s="555">
        <f>IF(AND(I576&gt;0,H576&gt;0),(H576-I576)/H576,"")</f>
        <v/>
      </c>
      <c r="AQ576" s="980">
        <f>SUM(AK576:AO576)</f>
        <v/>
      </c>
      <c r="AU576">
        <f t="array" ref="AU576">IF(D576&lt;&gt;"Occupied","",_xlfn.IFS(AND(ISNUMBER(AD576),AD576&lt;&gt;0),"Structured",ISNUMBER(SEARCH("/mo con",S576)),"Notes-parsed",ISNUMBER(SEARCH("step",S576)),"Step-up",ISNUMBER(SEARCH("swap",S576)),"Rate-swap",AND(ISNUMBER(H576),ISNUMBER(I576),H576&gt;I576),"Implied",TRUE,""))</f>
        <v/>
      </c>
      <c r="AV576" s="970">
        <f>IF(AD576&lt;&gt;"",AD576,IF(AU576="Implied",-(H576-I576),IF(OR(AU576="Step-up",AU576="Rate-swap"),"see notes","")))</f>
        <v/>
      </c>
    </row>
    <row r="577" outlineLevel="1" s="817">
      <c r="W577">
        <f>IF(AND($D577="Occupied",$AC577&lt;&gt;""),$AC577,"")</f>
        <v/>
      </c>
      <c r="X577">
        <f>IF(AND(D577="Occupied",C577&lt;&gt;"",W577&lt;&gt;""),C577&amp;"|"&amp;W577,"")</f>
        <v/>
      </c>
      <c r="Y577">
        <f>IF(AND(C577&lt;&gt;"",W577&lt;&gt;""),C577&amp;"|"&amp;W577,"")</f>
        <v/>
      </c>
      <c r="AA577" s="970">
        <f>IF(AND(I577&gt;0,H577&gt;0),H577-I577,"")</f>
        <v/>
      </c>
      <c r="AB577" s="555">
        <f>IF(AND(I577&gt;0,H577&gt;0),(H577-I577)/H577,"")</f>
        <v/>
      </c>
      <c r="AQ577" s="980">
        <f>SUM(AK577:AO577)</f>
        <v/>
      </c>
      <c r="AU577">
        <f t="array" ref="AU577">IF(D577&lt;&gt;"Occupied","",_xlfn.IFS(AND(ISNUMBER(AD577),AD577&lt;&gt;0),"Structured",ISNUMBER(SEARCH("/mo con",S577)),"Notes-parsed",ISNUMBER(SEARCH("step",S577)),"Step-up",ISNUMBER(SEARCH("swap",S577)),"Rate-swap",AND(ISNUMBER(H577),ISNUMBER(I577),H577&gt;I577),"Implied",TRUE,""))</f>
        <v/>
      </c>
      <c r="AV577" s="970">
        <f>IF(AD577&lt;&gt;"",AD577,IF(AU577="Implied",-(H577-I577),IF(OR(AU577="Step-up",AU577="Rate-swap"),"see notes","")))</f>
        <v/>
      </c>
    </row>
    <row r="578" outlineLevel="1" s="817">
      <c r="W578">
        <f>IF(AND($D578="Occupied",$AC578&lt;&gt;""),$AC578,"")</f>
        <v/>
      </c>
      <c r="X578">
        <f>IF(AND(D578="Occupied",C578&lt;&gt;"",W578&lt;&gt;""),C578&amp;"|"&amp;W578,"")</f>
        <v/>
      </c>
      <c r="Y578">
        <f>IF(AND(C578&lt;&gt;"",W578&lt;&gt;""),C578&amp;"|"&amp;W578,"")</f>
        <v/>
      </c>
      <c r="AA578" s="970">
        <f>IF(AND(I578&gt;0,H578&gt;0),H578-I578,"")</f>
        <v/>
      </c>
      <c r="AB578" s="555">
        <f>IF(AND(I578&gt;0,H578&gt;0),(H578-I578)/H578,"")</f>
        <v/>
      </c>
      <c r="AQ578" s="980">
        <f>SUM(AK578:AO578)</f>
        <v/>
      </c>
      <c r="AU578">
        <f t="array" ref="AU578">IF(D578&lt;&gt;"Occupied","",_xlfn.IFS(AND(ISNUMBER(AD578),AD578&lt;&gt;0),"Structured",ISNUMBER(SEARCH("/mo con",S578)),"Notes-parsed",ISNUMBER(SEARCH("step",S578)),"Step-up",ISNUMBER(SEARCH("swap",S578)),"Rate-swap",AND(ISNUMBER(H578),ISNUMBER(I578),H578&gt;I578),"Implied",TRUE,""))</f>
        <v/>
      </c>
      <c r="AV578" s="970">
        <f>IF(AD578&lt;&gt;"",AD578,IF(AU578="Implied",-(H578-I578),IF(OR(AU578="Step-up",AU578="Rate-swap"),"see notes","")))</f>
        <v/>
      </c>
    </row>
    <row r="579" outlineLevel="1" s="817">
      <c r="W579">
        <f>IF(AND($D579="Occupied",$AC579&lt;&gt;""),$AC579,"")</f>
        <v/>
      </c>
      <c r="X579">
        <f>IF(AND(D579="Occupied",C579&lt;&gt;"",W579&lt;&gt;""),C579&amp;"|"&amp;W579,"")</f>
        <v/>
      </c>
      <c r="Y579">
        <f>IF(AND(C579&lt;&gt;"",W579&lt;&gt;""),C579&amp;"|"&amp;W579,"")</f>
        <v/>
      </c>
      <c r="AA579" s="970">
        <f>IF(AND(I579&gt;0,H579&gt;0),H579-I579,"")</f>
        <v/>
      </c>
      <c r="AB579" s="555">
        <f>IF(AND(I579&gt;0,H579&gt;0),(H579-I579)/H579,"")</f>
        <v/>
      </c>
      <c r="AQ579" s="980">
        <f>SUM(AK579:AO579)</f>
        <v/>
      </c>
      <c r="AU579">
        <f t="array" ref="AU579">IF(D579&lt;&gt;"Occupied","",_xlfn.IFS(AND(ISNUMBER(AD579),AD579&lt;&gt;0),"Structured",ISNUMBER(SEARCH("/mo con",S579)),"Notes-parsed",ISNUMBER(SEARCH("step",S579)),"Step-up",ISNUMBER(SEARCH("swap",S579)),"Rate-swap",AND(ISNUMBER(H579),ISNUMBER(I579),H579&gt;I579),"Implied",TRUE,""))</f>
        <v/>
      </c>
      <c r="AV579" s="970">
        <f>IF(AD579&lt;&gt;"",AD579,IF(AU579="Implied",-(H579-I579),IF(OR(AU579="Step-up",AU579="Rate-swap"),"see notes","")))</f>
        <v/>
      </c>
    </row>
    <row r="580" outlineLevel="1" s="817">
      <c r="W580">
        <f>IF(AND($D580="Occupied",$AC580&lt;&gt;""),$AC580,"")</f>
        <v/>
      </c>
      <c r="X580">
        <f>IF(AND(D580="Occupied",C580&lt;&gt;"",W580&lt;&gt;""),C580&amp;"|"&amp;W580,"")</f>
        <v/>
      </c>
      <c r="Y580">
        <f>IF(AND(C580&lt;&gt;"",W580&lt;&gt;""),C580&amp;"|"&amp;W580,"")</f>
        <v/>
      </c>
      <c r="AA580" s="970">
        <f>IF(AND(I580&gt;0,H580&gt;0),H580-I580,"")</f>
        <v/>
      </c>
      <c r="AB580" s="555">
        <f>IF(AND(I580&gt;0,H580&gt;0),(H580-I580)/H580,"")</f>
        <v/>
      </c>
      <c r="AQ580" s="980">
        <f>SUM(AK580:AO580)</f>
        <v/>
      </c>
      <c r="AU580">
        <f t="array" ref="AU580">IF(D580&lt;&gt;"Occupied","",_xlfn.IFS(AND(ISNUMBER(AD580),AD580&lt;&gt;0),"Structured",ISNUMBER(SEARCH("/mo con",S580)),"Notes-parsed",ISNUMBER(SEARCH("step",S580)),"Step-up",ISNUMBER(SEARCH("swap",S580)),"Rate-swap",AND(ISNUMBER(H580),ISNUMBER(I580),H580&gt;I580),"Implied",TRUE,""))</f>
        <v/>
      </c>
      <c r="AV580" s="970">
        <f>IF(AD580&lt;&gt;"",AD580,IF(AU580="Implied",-(H580-I580),IF(OR(AU580="Step-up",AU580="Rate-swap"),"see notes","")))</f>
        <v/>
      </c>
    </row>
    <row r="581" outlineLevel="1" s="817">
      <c r="W581">
        <f>IF(AND($D581="Occupied",$AC581&lt;&gt;""),$AC581,"")</f>
        <v/>
      </c>
      <c r="X581">
        <f>IF(AND(D581="Occupied",C581&lt;&gt;"",W581&lt;&gt;""),C581&amp;"|"&amp;W581,"")</f>
        <v/>
      </c>
      <c r="Y581">
        <f>IF(AND(C581&lt;&gt;"",W581&lt;&gt;""),C581&amp;"|"&amp;W581,"")</f>
        <v/>
      </c>
      <c r="AA581" s="970">
        <f>IF(AND(I581&gt;0,H581&gt;0),H581-I581,"")</f>
        <v/>
      </c>
      <c r="AB581" s="555">
        <f>IF(AND(I581&gt;0,H581&gt;0),(H581-I581)/H581,"")</f>
        <v/>
      </c>
      <c r="AQ581" s="980">
        <f>SUM(AK581:AO581)</f>
        <v/>
      </c>
      <c r="AU581">
        <f t="array" ref="AU581">IF(D581&lt;&gt;"Occupied","",_xlfn.IFS(AND(ISNUMBER(AD581),AD581&lt;&gt;0),"Structured",ISNUMBER(SEARCH("/mo con",S581)),"Notes-parsed",ISNUMBER(SEARCH("step",S581)),"Step-up",ISNUMBER(SEARCH("swap",S581)),"Rate-swap",AND(ISNUMBER(H581),ISNUMBER(I581),H581&gt;I581),"Implied",TRUE,""))</f>
        <v/>
      </c>
      <c r="AV581" s="970">
        <f>IF(AD581&lt;&gt;"",AD581,IF(AU581="Implied",-(H581-I581),IF(OR(AU581="Step-up",AU581="Rate-swap"),"see notes","")))</f>
        <v/>
      </c>
    </row>
    <row r="582" outlineLevel="1" s="817">
      <c r="W582">
        <f>IF(AND($D582="Occupied",$AC582&lt;&gt;""),$AC582,"")</f>
        <v/>
      </c>
      <c r="X582">
        <f>IF(AND(D582="Occupied",C582&lt;&gt;"",W582&lt;&gt;""),C582&amp;"|"&amp;W582,"")</f>
        <v/>
      </c>
      <c r="Y582">
        <f>IF(AND(C582&lt;&gt;"",W582&lt;&gt;""),C582&amp;"|"&amp;W582,"")</f>
        <v/>
      </c>
      <c r="AA582" s="970">
        <f>IF(AND(I582&gt;0,H582&gt;0),H582-I582,"")</f>
        <v/>
      </c>
      <c r="AB582" s="555">
        <f>IF(AND(I582&gt;0,H582&gt;0),(H582-I582)/H582,"")</f>
        <v/>
      </c>
      <c r="AQ582" s="980">
        <f>SUM(AK582:AO582)</f>
        <v/>
      </c>
      <c r="AU582">
        <f t="array" ref="AU582">IF(D582&lt;&gt;"Occupied","",_xlfn.IFS(AND(ISNUMBER(AD582),AD582&lt;&gt;0),"Structured",ISNUMBER(SEARCH("/mo con",S582)),"Notes-parsed",ISNUMBER(SEARCH("step",S582)),"Step-up",ISNUMBER(SEARCH("swap",S582)),"Rate-swap",AND(ISNUMBER(H582),ISNUMBER(I582),H582&gt;I582),"Implied",TRUE,""))</f>
        <v/>
      </c>
      <c r="AV582" s="970">
        <f>IF(AD582&lt;&gt;"",AD582,IF(AU582="Implied",-(H582-I582),IF(OR(AU582="Step-up",AU582="Rate-swap"),"see notes","")))</f>
        <v/>
      </c>
    </row>
    <row r="583" outlineLevel="1" s="817">
      <c r="W583">
        <f>IF(AND($D583="Occupied",$AC583&lt;&gt;""),$AC583,"")</f>
        <v/>
      </c>
      <c r="X583">
        <f>IF(AND(D583="Occupied",C583&lt;&gt;"",W583&lt;&gt;""),C583&amp;"|"&amp;W583,"")</f>
        <v/>
      </c>
      <c r="Y583">
        <f>IF(AND(C583&lt;&gt;"",W583&lt;&gt;""),C583&amp;"|"&amp;W583,"")</f>
        <v/>
      </c>
      <c r="AA583" s="970">
        <f>IF(AND(I583&gt;0,H583&gt;0),H583-I583,"")</f>
        <v/>
      </c>
      <c r="AB583" s="555">
        <f>IF(AND(I583&gt;0,H583&gt;0),(H583-I583)/H583,"")</f>
        <v/>
      </c>
      <c r="AQ583" s="980">
        <f>SUM(AK583:AO583)</f>
        <v/>
      </c>
      <c r="AU583">
        <f t="array" ref="AU583">IF(D583&lt;&gt;"Occupied","",_xlfn.IFS(AND(ISNUMBER(AD583),AD583&lt;&gt;0),"Structured",ISNUMBER(SEARCH("/mo con",S583)),"Notes-parsed",ISNUMBER(SEARCH("step",S583)),"Step-up",ISNUMBER(SEARCH("swap",S583)),"Rate-swap",AND(ISNUMBER(H583),ISNUMBER(I583),H583&gt;I583),"Implied",TRUE,""))</f>
        <v/>
      </c>
      <c r="AV583" s="970">
        <f>IF(AD583&lt;&gt;"",AD583,IF(AU583="Implied",-(H583-I583),IF(OR(AU583="Step-up",AU583="Rate-swap"),"see notes","")))</f>
        <v/>
      </c>
    </row>
    <row r="584" outlineLevel="1" s="817">
      <c r="W584">
        <f>IF(AND($D584="Occupied",$AC584&lt;&gt;""),$AC584,"")</f>
        <v/>
      </c>
      <c r="X584">
        <f>IF(AND(D584="Occupied",C584&lt;&gt;"",W584&lt;&gt;""),C584&amp;"|"&amp;W584,"")</f>
        <v/>
      </c>
      <c r="Y584">
        <f>IF(AND(C584&lt;&gt;"",W584&lt;&gt;""),C584&amp;"|"&amp;W584,"")</f>
        <v/>
      </c>
      <c r="AA584" s="970">
        <f>IF(AND(I584&gt;0,H584&gt;0),H584-I584,"")</f>
        <v/>
      </c>
      <c r="AB584" s="555">
        <f>IF(AND(I584&gt;0,H584&gt;0),(H584-I584)/H584,"")</f>
        <v/>
      </c>
      <c r="AQ584" s="980">
        <f>SUM(AK584:AO584)</f>
        <v/>
      </c>
      <c r="AU584">
        <f t="array" ref="AU584">IF(D584&lt;&gt;"Occupied","",_xlfn.IFS(AND(ISNUMBER(AD584),AD584&lt;&gt;0),"Structured",ISNUMBER(SEARCH("/mo con",S584)),"Notes-parsed",ISNUMBER(SEARCH("step",S584)),"Step-up",ISNUMBER(SEARCH("swap",S584)),"Rate-swap",AND(ISNUMBER(H584),ISNUMBER(I584),H584&gt;I584),"Implied",TRUE,""))</f>
        <v/>
      </c>
      <c r="AV584" s="970">
        <f>IF(AD584&lt;&gt;"",AD584,IF(AU584="Implied",-(H584-I584),IF(OR(AU584="Step-up",AU584="Rate-swap"),"see notes","")))</f>
        <v/>
      </c>
    </row>
    <row r="585" outlineLevel="1" s="817">
      <c r="W585">
        <f>IF(AND($D585="Occupied",$AC585&lt;&gt;""),$AC585,"")</f>
        <v/>
      </c>
      <c r="X585">
        <f>IF(AND(D585="Occupied",C585&lt;&gt;"",W585&lt;&gt;""),C585&amp;"|"&amp;W585,"")</f>
        <v/>
      </c>
      <c r="Y585">
        <f>IF(AND(C585&lt;&gt;"",W585&lt;&gt;""),C585&amp;"|"&amp;W585,"")</f>
        <v/>
      </c>
      <c r="AA585" s="970">
        <f>IF(AND(I585&gt;0,H585&gt;0),H585-I585,"")</f>
        <v/>
      </c>
      <c r="AB585" s="555">
        <f>IF(AND(I585&gt;0,H585&gt;0),(H585-I585)/H585,"")</f>
        <v/>
      </c>
      <c r="AQ585" s="980">
        <f>SUM(AK585:AO585)</f>
        <v/>
      </c>
      <c r="AU585">
        <f t="array" ref="AU585">IF(D585&lt;&gt;"Occupied","",_xlfn.IFS(AND(ISNUMBER(AD585),AD585&lt;&gt;0),"Structured",ISNUMBER(SEARCH("/mo con",S585)),"Notes-parsed",ISNUMBER(SEARCH("step",S585)),"Step-up",ISNUMBER(SEARCH("swap",S585)),"Rate-swap",AND(ISNUMBER(H585),ISNUMBER(I585),H585&gt;I585),"Implied",TRUE,""))</f>
        <v/>
      </c>
      <c r="AV585" s="970">
        <f>IF(AD585&lt;&gt;"",AD585,IF(AU585="Implied",-(H585-I585),IF(OR(AU585="Step-up",AU585="Rate-swap"),"see notes","")))</f>
        <v/>
      </c>
    </row>
    <row r="586" outlineLevel="1" s="817">
      <c r="W586">
        <f>IF(AND($D586="Occupied",$AC586&lt;&gt;""),$AC586,"")</f>
        <v/>
      </c>
      <c r="X586">
        <f>IF(AND(D586="Occupied",C586&lt;&gt;"",W586&lt;&gt;""),C586&amp;"|"&amp;W586,"")</f>
        <v/>
      </c>
      <c r="Y586">
        <f>IF(AND(C586&lt;&gt;"",W586&lt;&gt;""),C586&amp;"|"&amp;W586,"")</f>
        <v/>
      </c>
      <c r="AA586" s="970">
        <f>IF(AND(I586&gt;0,H586&gt;0),H586-I586,"")</f>
        <v/>
      </c>
      <c r="AB586" s="555">
        <f>IF(AND(I586&gt;0,H586&gt;0),(H586-I586)/H586,"")</f>
        <v/>
      </c>
      <c r="AQ586" s="980">
        <f>SUM(AK586:AO586)</f>
        <v/>
      </c>
      <c r="AU586">
        <f t="array" ref="AU586">IF(D586&lt;&gt;"Occupied","",_xlfn.IFS(AND(ISNUMBER(AD586),AD586&lt;&gt;0),"Structured",ISNUMBER(SEARCH("/mo con",S586)),"Notes-parsed",ISNUMBER(SEARCH("step",S586)),"Step-up",ISNUMBER(SEARCH("swap",S586)),"Rate-swap",AND(ISNUMBER(H586),ISNUMBER(I586),H586&gt;I586),"Implied",TRUE,""))</f>
        <v/>
      </c>
      <c r="AV586" s="970">
        <f>IF(AD586&lt;&gt;"",AD586,IF(AU586="Implied",-(H586-I586),IF(OR(AU586="Step-up",AU586="Rate-swap"),"see notes","")))</f>
        <v/>
      </c>
    </row>
    <row r="587" outlineLevel="1" s="817">
      <c r="W587">
        <f>IF(AND($D587="Occupied",$AC587&lt;&gt;""),$AC587,"")</f>
        <v/>
      </c>
      <c r="X587">
        <f>IF(AND(D587="Occupied",C587&lt;&gt;"",W587&lt;&gt;""),C587&amp;"|"&amp;W587,"")</f>
        <v/>
      </c>
      <c r="Y587">
        <f>IF(AND(C587&lt;&gt;"",W587&lt;&gt;""),C587&amp;"|"&amp;W587,"")</f>
        <v/>
      </c>
      <c r="AA587" s="970">
        <f>IF(AND(I587&gt;0,H587&gt;0),H587-I587,"")</f>
        <v/>
      </c>
      <c r="AB587" s="555">
        <f>IF(AND(I587&gt;0,H587&gt;0),(H587-I587)/H587,"")</f>
        <v/>
      </c>
      <c r="AQ587" s="980">
        <f>SUM(AK587:AO587)</f>
        <v/>
      </c>
      <c r="AU587">
        <f t="array" ref="AU587">IF(D587&lt;&gt;"Occupied","",_xlfn.IFS(AND(ISNUMBER(AD587),AD587&lt;&gt;0),"Structured",ISNUMBER(SEARCH("/mo con",S587)),"Notes-parsed",ISNUMBER(SEARCH("step",S587)),"Step-up",ISNUMBER(SEARCH("swap",S587)),"Rate-swap",AND(ISNUMBER(H587),ISNUMBER(I587),H587&gt;I587),"Implied",TRUE,""))</f>
        <v/>
      </c>
      <c r="AV587" s="970">
        <f>IF(AD587&lt;&gt;"",AD587,IF(AU587="Implied",-(H587-I587),IF(OR(AU587="Step-up",AU587="Rate-swap"),"see notes","")))</f>
        <v/>
      </c>
    </row>
    <row r="588" outlineLevel="1" s="817">
      <c r="W588">
        <f>IF(AND($D588="Occupied",$AC588&lt;&gt;""),$AC588,"")</f>
        <v/>
      </c>
      <c r="X588">
        <f>IF(AND(D588="Occupied",C588&lt;&gt;"",W588&lt;&gt;""),C588&amp;"|"&amp;W588,"")</f>
        <v/>
      </c>
      <c r="Y588">
        <f>IF(AND(C588&lt;&gt;"",W588&lt;&gt;""),C588&amp;"|"&amp;W588,"")</f>
        <v/>
      </c>
      <c r="AA588" s="970">
        <f>IF(AND(I588&gt;0,H588&gt;0),H588-I588,"")</f>
        <v/>
      </c>
      <c r="AB588" s="555">
        <f>IF(AND(I588&gt;0,H588&gt;0),(H588-I588)/H588,"")</f>
        <v/>
      </c>
      <c r="AQ588" s="980">
        <f>SUM(AK588:AO588)</f>
        <v/>
      </c>
      <c r="AU588">
        <f t="array" ref="AU588">IF(D588&lt;&gt;"Occupied","",_xlfn.IFS(AND(ISNUMBER(AD588),AD588&lt;&gt;0),"Structured",ISNUMBER(SEARCH("/mo con",S588)),"Notes-parsed",ISNUMBER(SEARCH("step",S588)),"Step-up",ISNUMBER(SEARCH("swap",S588)),"Rate-swap",AND(ISNUMBER(H588),ISNUMBER(I588),H588&gt;I588),"Implied",TRUE,""))</f>
        <v/>
      </c>
      <c r="AV588" s="970">
        <f>IF(AD588&lt;&gt;"",AD588,IF(AU588="Implied",-(H588-I588),IF(OR(AU588="Step-up",AU588="Rate-swap"),"see notes","")))</f>
        <v/>
      </c>
    </row>
    <row r="589" outlineLevel="1" s="817">
      <c r="W589">
        <f>IF(AND($D589="Occupied",$AC589&lt;&gt;""),$AC589,"")</f>
        <v/>
      </c>
      <c r="X589">
        <f>IF(AND(D589="Occupied",C589&lt;&gt;"",W589&lt;&gt;""),C589&amp;"|"&amp;W589,"")</f>
        <v/>
      </c>
      <c r="Y589">
        <f>IF(AND(C589&lt;&gt;"",W589&lt;&gt;""),C589&amp;"|"&amp;W589,"")</f>
        <v/>
      </c>
      <c r="AA589" s="970">
        <f>IF(AND(I589&gt;0,H589&gt;0),H589-I589,"")</f>
        <v/>
      </c>
      <c r="AB589" s="555">
        <f>IF(AND(I589&gt;0,H589&gt;0),(H589-I589)/H589,"")</f>
        <v/>
      </c>
      <c r="AQ589" s="980">
        <f>SUM(AK589:AO589)</f>
        <v/>
      </c>
      <c r="AU589">
        <f t="array" ref="AU589">IF(D589&lt;&gt;"Occupied","",_xlfn.IFS(AND(ISNUMBER(AD589),AD589&lt;&gt;0),"Structured",ISNUMBER(SEARCH("/mo con",S589)),"Notes-parsed",ISNUMBER(SEARCH("step",S589)),"Step-up",ISNUMBER(SEARCH("swap",S589)),"Rate-swap",AND(ISNUMBER(H589),ISNUMBER(I589),H589&gt;I589),"Implied",TRUE,""))</f>
        <v/>
      </c>
      <c r="AV589" s="970">
        <f>IF(AD589&lt;&gt;"",AD589,IF(AU589="Implied",-(H589-I589),IF(OR(AU589="Step-up",AU589="Rate-swap"),"see notes","")))</f>
        <v/>
      </c>
    </row>
    <row r="590" outlineLevel="1" s="817">
      <c r="W590">
        <f>IF(AND($D590="Occupied",$AC590&lt;&gt;""),$AC590,"")</f>
        <v/>
      </c>
      <c r="X590">
        <f>IF(AND(D590="Occupied",C590&lt;&gt;"",W590&lt;&gt;""),C590&amp;"|"&amp;W590,"")</f>
        <v/>
      </c>
      <c r="Y590">
        <f>IF(AND(C590&lt;&gt;"",W590&lt;&gt;""),C590&amp;"|"&amp;W590,"")</f>
        <v/>
      </c>
      <c r="AA590" s="970">
        <f>IF(AND(I590&gt;0,H590&gt;0),H590-I590,"")</f>
        <v/>
      </c>
      <c r="AB590" s="555">
        <f>IF(AND(I590&gt;0,H590&gt;0),(H590-I590)/H590,"")</f>
        <v/>
      </c>
      <c r="AQ590" s="980">
        <f>SUM(AK590:AO590)</f>
        <v/>
      </c>
      <c r="AU590">
        <f t="array" ref="AU590">IF(D590&lt;&gt;"Occupied","",_xlfn.IFS(AND(ISNUMBER(AD590),AD590&lt;&gt;0),"Structured",ISNUMBER(SEARCH("/mo con",S590)),"Notes-parsed",ISNUMBER(SEARCH("step",S590)),"Step-up",ISNUMBER(SEARCH("swap",S590)),"Rate-swap",AND(ISNUMBER(H590),ISNUMBER(I590),H590&gt;I590),"Implied",TRUE,""))</f>
        <v/>
      </c>
      <c r="AV590" s="970">
        <f>IF(AD590&lt;&gt;"",AD590,IF(AU590="Implied",-(H590-I590),IF(OR(AU590="Step-up",AU590="Rate-swap"),"see notes","")))</f>
        <v/>
      </c>
    </row>
    <row r="591" outlineLevel="1" s="817">
      <c r="W591">
        <f>IF(AND($D591="Occupied",$AC591&lt;&gt;""),$AC591,"")</f>
        <v/>
      </c>
      <c r="X591">
        <f>IF(AND(D591="Occupied",C591&lt;&gt;"",W591&lt;&gt;""),C591&amp;"|"&amp;W591,"")</f>
        <v/>
      </c>
      <c r="Y591">
        <f>IF(AND(C591&lt;&gt;"",W591&lt;&gt;""),C591&amp;"|"&amp;W591,"")</f>
        <v/>
      </c>
      <c r="AA591" s="970">
        <f>IF(AND(I591&gt;0,H591&gt;0),H591-I591,"")</f>
        <v/>
      </c>
      <c r="AB591" s="555">
        <f>IF(AND(I591&gt;0,H591&gt;0),(H591-I591)/H591,"")</f>
        <v/>
      </c>
      <c r="AQ591" s="980">
        <f>SUM(AK591:AO591)</f>
        <v/>
      </c>
      <c r="AU591">
        <f t="array" ref="AU591">IF(D591&lt;&gt;"Occupied","",_xlfn.IFS(AND(ISNUMBER(AD591),AD591&lt;&gt;0),"Structured",ISNUMBER(SEARCH("/mo con",S591)),"Notes-parsed",ISNUMBER(SEARCH("step",S591)),"Step-up",ISNUMBER(SEARCH("swap",S591)),"Rate-swap",AND(ISNUMBER(H591),ISNUMBER(I591),H591&gt;I591),"Implied",TRUE,""))</f>
        <v/>
      </c>
      <c r="AV591" s="970">
        <f>IF(AD591&lt;&gt;"",AD591,IF(AU591="Implied",-(H591-I591),IF(OR(AU591="Step-up",AU591="Rate-swap"),"see notes","")))</f>
        <v/>
      </c>
    </row>
    <row r="592" outlineLevel="1" s="817">
      <c r="W592">
        <f>IF(AND($D592="Occupied",$AC592&lt;&gt;""),$AC592,"")</f>
        <v/>
      </c>
      <c r="X592">
        <f>IF(AND(D592="Occupied",C592&lt;&gt;"",W592&lt;&gt;""),C592&amp;"|"&amp;W592,"")</f>
        <v/>
      </c>
      <c r="Y592">
        <f>IF(AND(C592&lt;&gt;"",W592&lt;&gt;""),C592&amp;"|"&amp;W592,"")</f>
        <v/>
      </c>
      <c r="AA592" s="970">
        <f>IF(AND(I592&gt;0,H592&gt;0),H592-I592,"")</f>
        <v/>
      </c>
      <c r="AB592" s="555">
        <f>IF(AND(I592&gt;0,H592&gt;0),(H592-I592)/H592,"")</f>
        <v/>
      </c>
      <c r="AQ592" s="980">
        <f>SUM(AK592:AO592)</f>
        <v/>
      </c>
      <c r="AU592">
        <f t="array" ref="AU592">IF(D592&lt;&gt;"Occupied","",_xlfn.IFS(AND(ISNUMBER(AD592),AD592&lt;&gt;0),"Structured",ISNUMBER(SEARCH("/mo con",S592)),"Notes-parsed",ISNUMBER(SEARCH("step",S592)),"Step-up",ISNUMBER(SEARCH("swap",S592)),"Rate-swap",AND(ISNUMBER(H592),ISNUMBER(I592),H592&gt;I592),"Implied",TRUE,""))</f>
        <v/>
      </c>
      <c r="AV592" s="970">
        <f>IF(AD592&lt;&gt;"",AD592,IF(AU592="Implied",-(H592-I592),IF(OR(AU592="Step-up",AU592="Rate-swap"),"see notes","")))</f>
        <v/>
      </c>
    </row>
    <row r="593" outlineLevel="1" s="817">
      <c r="W593">
        <f>IF(AND($D593="Occupied",$AC593&lt;&gt;""),$AC593,"")</f>
        <v/>
      </c>
      <c r="X593">
        <f>IF(AND(D593="Occupied",C593&lt;&gt;"",W593&lt;&gt;""),C593&amp;"|"&amp;W593,"")</f>
        <v/>
      </c>
      <c r="Y593">
        <f>IF(AND(C593&lt;&gt;"",W593&lt;&gt;""),C593&amp;"|"&amp;W593,"")</f>
        <v/>
      </c>
      <c r="AA593" s="970">
        <f>IF(AND(I593&gt;0,H593&gt;0),H593-I593,"")</f>
        <v/>
      </c>
      <c r="AB593" s="555">
        <f>IF(AND(I593&gt;0,H593&gt;0),(H593-I593)/H593,"")</f>
        <v/>
      </c>
      <c r="AQ593" s="980">
        <f>SUM(AK593:AO593)</f>
        <v/>
      </c>
      <c r="AU593">
        <f t="array" ref="AU593">IF(D593&lt;&gt;"Occupied","",_xlfn.IFS(AND(ISNUMBER(AD593),AD593&lt;&gt;0),"Structured",ISNUMBER(SEARCH("/mo con",S593)),"Notes-parsed",ISNUMBER(SEARCH("step",S593)),"Step-up",ISNUMBER(SEARCH("swap",S593)),"Rate-swap",AND(ISNUMBER(H593),ISNUMBER(I593),H593&gt;I593),"Implied",TRUE,""))</f>
        <v/>
      </c>
      <c r="AV593" s="970">
        <f>IF(AD593&lt;&gt;"",AD593,IF(AU593="Implied",-(H593-I593),IF(OR(AU593="Step-up",AU593="Rate-swap"),"see notes","")))</f>
        <v/>
      </c>
    </row>
    <row r="594" outlineLevel="1" s="817">
      <c r="W594">
        <f>IF(AND($D594="Occupied",$AC594&lt;&gt;""),$AC594,"")</f>
        <v/>
      </c>
      <c r="X594">
        <f>IF(AND(D594="Occupied",C594&lt;&gt;"",W594&lt;&gt;""),C594&amp;"|"&amp;W594,"")</f>
        <v/>
      </c>
      <c r="Y594">
        <f>IF(AND(C594&lt;&gt;"",W594&lt;&gt;""),C594&amp;"|"&amp;W594,"")</f>
        <v/>
      </c>
      <c r="AA594" s="970">
        <f>IF(AND(I594&gt;0,H594&gt;0),H594-I594,"")</f>
        <v/>
      </c>
      <c r="AB594" s="555">
        <f>IF(AND(I594&gt;0,H594&gt;0),(H594-I594)/H594,"")</f>
        <v/>
      </c>
      <c r="AQ594" s="980">
        <f>SUM(AK594:AO594)</f>
        <v/>
      </c>
      <c r="AU594">
        <f t="array" ref="AU594">IF(D594&lt;&gt;"Occupied","",_xlfn.IFS(AND(ISNUMBER(AD594),AD594&lt;&gt;0),"Structured",ISNUMBER(SEARCH("/mo con",S594)),"Notes-parsed",ISNUMBER(SEARCH("step",S594)),"Step-up",ISNUMBER(SEARCH("swap",S594)),"Rate-swap",AND(ISNUMBER(H594),ISNUMBER(I594),H594&gt;I594),"Implied",TRUE,""))</f>
        <v/>
      </c>
      <c r="AV594" s="970">
        <f>IF(AD594&lt;&gt;"",AD594,IF(AU594="Implied",-(H594-I594),IF(OR(AU594="Step-up",AU594="Rate-swap"),"see notes","")))</f>
        <v/>
      </c>
    </row>
    <row r="595" outlineLevel="1" s="817">
      <c r="W595">
        <f>IF(AND($D595="Occupied",$AC595&lt;&gt;""),$AC595,"")</f>
        <v/>
      </c>
      <c r="X595">
        <f>IF(AND(D595="Occupied",C595&lt;&gt;"",W595&lt;&gt;""),C595&amp;"|"&amp;W595,"")</f>
        <v/>
      </c>
      <c r="Y595">
        <f>IF(AND(C595&lt;&gt;"",W595&lt;&gt;""),C595&amp;"|"&amp;W595,"")</f>
        <v/>
      </c>
      <c r="AA595" s="970">
        <f>IF(AND(I595&gt;0,H595&gt;0),H595-I595,"")</f>
        <v/>
      </c>
      <c r="AB595" s="555">
        <f>IF(AND(I595&gt;0,H595&gt;0),(H595-I595)/H595,"")</f>
        <v/>
      </c>
      <c r="AQ595" s="980">
        <f>SUM(AK595:AO595)</f>
        <v/>
      </c>
      <c r="AU595">
        <f t="array" ref="AU595">IF(D595&lt;&gt;"Occupied","",_xlfn.IFS(AND(ISNUMBER(AD595),AD595&lt;&gt;0),"Structured",ISNUMBER(SEARCH("/mo con",S595)),"Notes-parsed",ISNUMBER(SEARCH("step",S595)),"Step-up",ISNUMBER(SEARCH("swap",S595)),"Rate-swap",AND(ISNUMBER(H595),ISNUMBER(I595),H595&gt;I595),"Implied",TRUE,""))</f>
        <v/>
      </c>
      <c r="AV595" s="970">
        <f>IF(AD595&lt;&gt;"",AD595,IF(AU595="Implied",-(H595-I595),IF(OR(AU595="Step-up",AU595="Rate-swap"),"see notes","")))</f>
        <v/>
      </c>
    </row>
    <row r="596" outlineLevel="1" s="817">
      <c r="W596">
        <f>IF(AND($D596="Occupied",$AC596&lt;&gt;""),$AC596,"")</f>
        <v/>
      </c>
      <c r="X596">
        <f>IF(AND(D596="Occupied",C596&lt;&gt;"",W596&lt;&gt;""),C596&amp;"|"&amp;W596,"")</f>
        <v/>
      </c>
      <c r="Y596">
        <f>IF(AND(C596&lt;&gt;"",W596&lt;&gt;""),C596&amp;"|"&amp;W596,"")</f>
        <v/>
      </c>
      <c r="AA596" s="970">
        <f>IF(AND(I596&gt;0,H596&gt;0),H596-I596,"")</f>
        <v/>
      </c>
      <c r="AB596" s="555">
        <f>IF(AND(I596&gt;0,H596&gt;0),(H596-I596)/H596,"")</f>
        <v/>
      </c>
      <c r="AQ596" s="980">
        <f>SUM(AK596:AO596)</f>
        <v/>
      </c>
      <c r="AU596">
        <f t="array" ref="AU596">IF(D596&lt;&gt;"Occupied","",_xlfn.IFS(AND(ISNUMBER(AD596),AD596&lt;&gt;0),"Structured",ISNUMBER(SEARCH("/mo con",S596)),"Notes-parsed",ISNUMBER(SEARCH("step",S596)),"Step-up",ISNUMBER(SEARCH("swap",S596)),"Rate-swap",AND(ISNUMBER(H596),ISNUMBER(I596),H596&gt;I596),"Implied",TRUE,""))</f>
        <v/>
      </c>
      <c r="AV596" s="970">
        <f>IF(AD596&lt;&gt;"",AD596,IF(AU596="Implied",-(H596-I596),IF(OR(AU596="Step-up",AU596="Rate-swap"),"see notes","")))</f>
        <v/>
      </c>
    </row>
    <row r="597" outlineLevel="1" s="817">
      <c r="W597">
        <f>IF(AND($D597="Occupied",$AC597&lt;&gt;""),$AC597,"")</f>
        <v/>
      </c>
      <c r="X597">
        <f>IF(AND(D597="Occupied",C597&lt;&gt;"",W597&lt;&gt;""),C597&amp;"|"&amp;W597,"")</f>
        <v/>
      </c>
      <c r="Y597">
        <f>IF(AND(C597&lt;&gt;"",W597&lt;&gt;""),C597&amp;"|"&amp;W597,"")</f>
        <v/>
      </c>
      <c r="AA597" s="970">
        <f>IF(AND(I597&gt;0,H597&gt;0),H597-I597,"")</f>
        <v/>
      </c>
      <c r="AB597" s="555">
        <f>IF(AND(I597&gt;0,H597&gt;0),(H597-I597)/H597,"")</f>
        <v/>
      </c>
      <c r="AQ597" s="980">
        <f>SUM(AK597:AO597)</f>
        <v/>
      </c>
      <c r="AU597">
        <f t="array" ref="AU597">IF(D597&lt;&gt;"Occupied","",_xlfn.IFS(AND(ISNUMBER(AD597),AD597&lt;&gt;0),"Structured",ISNUMBER(SEARCH("/mo con",S597)),"Notes-parsed",ISNUMBER(SEARCH("step",S597)),"Step-up",ISNUMBER(SEARCH("swap",S597)),"Rate-swap",AND(ISNUMBER(H597),ISNUMBER(I597),H597&gt;I597),"Implied",TRUE,""))</f>
        <v/>
      </c>
      <c r="AV597" s="970">
        <f>IF(AD597&lt;&gt;"",AD597,IF(AU597="Implied",-(H597-I597),IF(OR(AU597="Step-up",AU597="Rate-swap"),"see notes","")))</f>
        <v/>
      </c>
    </row>
    <row r="598" outlineLevel="1" s="817">
      <c r="W598">
        <f>IF(AND($D598="Occupied",$AC598&lt;&gt;""),$AC598,"")</f>
        <v/>
      </c>
      <c r="X598">
        <f>IF(AND(D598="Occupied",C598&lt;&gt;"",W598&lt;&gt;""),C598&amp;"|"&amp;W598,"")</f>
        <v/>
      </c>
      <c r="Y598">
        <f>IF(AND(C598&lt;&gt;"",W598&lt;&gt;""),C598&amp;"|"&amp;W598,"")</f>
        <v/>
      </c>
      <c r="AA598" s="970">
        <f>IF(AND(I598&gt;0,H598&gt;0),H598-I598,"")</f>
        <v/>
      </c>
      <c r="AB598" s="555">
        <f>IF(AND(I598&gt;0,H598&gt;0),(H598-I598)/H598,"")</f>
        <v/>
      </c>
      <c r="AQ598" s="980">
        <f>SUM(AK598:AO598)</f>
        <v/>
      </c>
      <c r="AU598">
        <f t="array" ref="AU598">IF(D598&lt;&gt;"Occupied","",_xlfn.IFS(AND(ISNUMBER(AD598),AD598&lt;&gt;0),"Structured",ISNUMBER(SEARCH("/mo con",S598)),"Notes-parsed",ISNUMBER(SEARCH("step",S598)),"Step-up",ISNUMBER(SEARCH("swap",S598)),"Rate-swap",AND(ISNUMBER(H598),ISNUMBER(I598),H598&gt;I598),"Implied",TRUE,""))</f>
        <v/>
      </c>
      <c r="AV598" s="970">
        <f>IF(AD598&lt;&gt;"",AD598,IF(AU598="Implied",-(H598-I598),IF(OR(AU598="Step-up",AU598="Rate-swap"),"see notes","")))</f>
        <v/>
      </c>
    </row>
    <row r="599" outlineLevel="1" s="817">
      <c r="W599">
        <f>IF(AND($D599="Occupied",$AC599&lt;&gt;""),$AC599,"")</f>
        <v/>
      </c>
      <c r="X599">
        <f>IF(AND(D599="Occupied",C599&lt;&gt;"",W599&lt;&gt;""),C599&amp;"|"&amp;W599,"")</f>
        <v/>
      </c>
      <c r="Y599">
        <f>IF(AND(C599&lt;&gt;"",W599&lt;&gt;""),C599&amp;"|"&amp;W599,"")</f>
        <v/>
      </c>
      <c r="AA599" s="970">
        <f>IF(AND(I599&gt;0,H599&gt;0),H599-I599,"")</f>
        <v/>
      </c>
      <c r="AB599" s="555">
        <f>IF(AND(I599&gt;0,H599&gt;0),(H599-I599)/H599,"")</f>
        <v/>
      </c>
      <c r="AQ599" s="980">
        <f>SUM(AK599:AO599)</f>
        <v/>
      </c>
      <c r="AU599">
        <f t="array" ref="AU599">IF(D599&lt;&gt;"Occupied","",_xlfn.IFS(AND(ISNUMBER(AD599),AD599&lt;&gt;0),"Structured",ISNUMBER(SEARCH("/mo con",S599)),"Notes-parsed",ISNUMBER(SEARCH("step",S599)),"Step-up",ISNUMBER(SEARCH("swap",S599)),"Rate-swap",AND(ISNUMBER(H599),ISNUMBER(I599),H599&gt;I599),"Implied",TRUE,""))</f>
        <v/>
      </c>
      <c r="AV599" s="970">
        <f>IF(AD599&lt;&gt;"",AD599,IF(AU599="Implied",-(H599-I599),IF(OR(AU599="Step-up",AU599="Rate-swap"),"see notes","")))</f>
        <v/>
      </c>
    </row>
    <row r="600" outlineLevel="1" s="817">
      <c r="W600">
        <f>IF(AND($D600="Occupied",$AC600&lt;&gt;""),$AC600,"")</f>
        <v/>
      </c>
      <c r="X600">
        <f>IF(AND(D600="Occupied",C600&lt;&gt;"",W600&lt;&gt;""),C600&amp;"|"&amp;W600,"")</f>
        <v/>
      </c>
      <c r="Y600">
        <f>IF(AND(C600&lt;&gt;"",W600&lt;&gt;""),C600&amp;"|"&amp;W600,"")</f>
        <v/>
      </c>
      <c r="AA600" s="970">
        <f>IF(AND(I600&gt;0,H600&gt;0),H600-I600,"")</f>
        <v/>
      </c>
      <c r="AB600" s="555">
        <f>IF(AND(I600&gt;0,H600&gt;0),(H600-I600)/H600,"")</f>
        <v/>
      </c>
      <c r="AQ600" s="980">
        <f>SUM(AK600:AO600)</f>
        <v/>
      </c>
      <c r="AU600">
        <f t="array" ref="AU600">IF(D600&lt;&gt;"Occupied","",_xlfn.IFS(AND(ISNUMBER(AD600),AD600&lt;&gt;0),"Structured",ISNUMBER(SEARCH("/mo con",S600)),"Notes-parsed",ISNUMBER(SEARCH("step",S600)),"Step-up",ISNUMBER(SEARCH("swap",S600)),"Rate-swap",AND(ISNUMBER(H600),ISNUMBER(I600),H600&gt;I600),"Implied",TRUE,""))</f>
        <v/>
      </c>
      <c r="AV600" s="970">
        <f>IF(AD600&lt;&gt;"",AD600,IF(AU600="Implied",-(H600-I600),IF(OR(AU600="Step-up",AU600="Rate-swap"),"see notes","")))</f>
        <v/>
      </c>
    </row>
    <row r="601" outlineLevel="1" s="817">
      <c r="W601">
        <f>IF(AND($D601="Occupied",$AC601&lt;&gt;""),$AC601,"")</f>
        <v/>
      </c>
      <c r="X601">
        <f>IF(AND(D601="Occupied",C601&lt;&gt;"",W601&lt;&gt;""),C601&amp;"|"&amp;W601,"")</f>
        <v/>
      </c>
      <c r="Y601">
        <f>IF(AND(C601&lt;&gt;"",W601&lt;&gt;""),C601&amp;"|"&amp;W601,"")</f>
        <v/>
      </c>
      <c r="AA601" s="970">
        <f>IF(AND(I601&gt;0,H601&gt;0),H601-I601,"")</f>
        <v/>
      </c>
      <c r="AB601" s="555">
        <f>IF(AND(I601&gt;0,H601&gt;0),(H601-I601)/H601,"")</f>
        <v/>
      </c>
      <c r="AQ601" s="980">
        <f>SUM(AK601:AO601)</f>
        <v/>
      </c>
      <c r="AU601">
        <f t="array" ref="AU601">IF(D601&lt;&gt;"Occupied","",_xlfn.IFS(AND(ISNUMBER(AD601),AD601&lt;&gt;0),"Structured",ISNUMBER(SEARCH("/mo con",S601)),"Notes-parsed",ISNUMBER(SEARCH("step",S601)),"Step-up",ISNUMBER(SEARCH("swap",S601)),"Rate-swap",AND(ISNUMBER(H601),ISNUMBER(I601),H601&gt;I601),"Implied",TRUE,""))</f>
        <v/>
      </c>
      <c r="AV601" s="970">
        <f>IF(AD601&lt;&gt;"",AD601,IF(AU601="Implied",-(H601-I601),IF(OR(AU601="Step-up",AU601="Rate-swap"),"see notes","")))</f>
        <v/>
      </c>
    </row>
    <row r="602" outlineLevel="1" s="817">
      <c r="W602">
        <f>IF(AND($D602="Occupied",$AC602&lt;&gt;""),$AC602,"")</f>
        <v/>
      </c>
      <c r="X602">
        <f>IF(AND(D602="Occupied",C602&lt;&gt;"",W602&lt;&gt;""),C602&amp;"|"&amp;W602,"")</f>
        <v/>
      </c>
      <c r="Y602">
        <f>IF(AND(C602&lt;&gt;"",W602&lt;&gt;""),C602&amp;"|"&amp;W602,"")</f>
        <v/>
      </c>
      <c r="AA602" s="970">
        <f>IF(AND(I602&gt;0,H602&gt;0),H602-I602,"")</f>
        <v/>
      </c>
      <c r="AB602" s="555">
        <f>IF(AND(I602&gt;0,H602&gt;0),(H602-I602)/H602,"")</f>
        <v/>
      </c>
      <c r="AQ602" s="980">
        <f>SUM(AK602:AO602)</f>
        <v/>
      </c>
      <c r="AU602">
        <f t="array" ref="AU602">IF(D602&lt;&gt;"Occupied","",_xlfn.IFS(AND(ISNUMBER(AD602),AD602&lt;&gt;0),"Structured",ISNUMBER(SEARCH("/mo con",S602)),"Notes-parsed",ISNUMBER(SEARCH("step",S602)),"Step-up",ISNUMBER(SEARCH("swap",S602)),"Rate-swap",AND(ISNUMBER(H602),ISNUMBER(I602),H602&gt;I602),"Implied",TRUE,""))</f>
        <v/>
      </c>
      <c r="AV602" s="970">
        <f>IF(AD602&lt;&gt;"",AD602,IF(AU602="Implied",-(H602-I602),IF(OR(AU602="Step-up",AU602="Rate-swap"),"see notes","")))</f>
        <v/>
      </c>
    </row>
    <row r="603" outlineLevel="1" s="817">
      <c r="W603">
        <f>IF(AND($D603="Occupied",$AC603&lt;&gt;""),$AC603,"")</f>
        <v/>
      </c>
      <c r="X603">
        <f>IF(AND(D603="Occupied",C603&lt;&gt;"",W603&lt;&gt;""),C603&amp;"|"&amp;W603,"")</f>
        <v/>
      </c>
      <c r="Y603">
        <f>IF(AND(C603&lt;&gt;"",W603&lt;&gt;""),C603&amp;"|"&amp;W603,"")</f>
        <v/>
      </c>
      <c r="AA603" s="970">
        <f>IF(AND(I603&gt;0,H603&gt;0),H603-I603,"")</f>
        <v/>
      </c>
      <c r="AB603" s="555">
        <f>IF(AND(I603&gt;0,H603&gt;0),(H603-I603)/H603,"")</f>
        <v/>
      </c>
      <c r="AQ603" s="980">
        <f>SUM(AK603:AO603)</f>
        <v/>
      </c>
      <c r="AU603">
        <f t="array" ref="AU603">IF(D603&lt;&gt;"Occupied","",_xlfn.IFS(AND(ISNUMBER(AD603),AD603&lt;&gt;0),"Structured",ISNUMBER(SEARCH("/mo con",S603)),"Notes-parsed",ISNUMBER(SEARCH("step",S603)),"Step-up",ISNUMBER(SEARCH("swap",S603)),"Rate-swap",AND(ISNUMBER(H603),ISNUMBER(I603),H603&gt;I603),"Implied",TRUE,""))</f>
        <v/>
      </c>
      <c r="AV603" s="970">
        <f>IF(AD603&lt;&gt;"",AD603,IF(AU603="Implied",-(H603-I603),IF(OR(AU603="Step-up",AU603="Rate-swap"),"see notes","")))</f>
        <v/>
      </c>
    </row>
    <row r="604" outlineLevel="1" s="817">
      <c r="W604">
        <f>IF(AND($D604="Occupied",$AC604&lt;&gt;""),$AC604,"")</f>
        <v/>
      </c>
      <c r="X604">
        <f>IF(AND(D604="Occupied",C604&lt;&gt;"",W604&lt;&gt;""),C604&amp;"|"&amp;W604,"")</f>
        <v/>
      </c>
      <c r="Y604">
        <f>IF(AND(C604&lt;&gt;"",W604&lt;&gt;""),C604&amp;"|"&amp;W604,"")</f>
        <v/>
      </c>
      <c r="AA604" s="970">
        <f>IF(AND(I604&gt;0,H604&gt;0),H604-I604,"")</f>
        <v/>
      </c>
      <c r="AB604" s="555">
        <f>IF(AND(I604&gt;0,H604&gt;0),(H604-I604)/H604,"")</f>
        <v/>
      </c>
      <c r="AQ604" s="980">
        <f>SUM(AK604:AO604)</f>
        <v/>
      </c>
      <c r="AU604">
        <f t="array" ref="AU604">IF(D604&lt;&gt;"Occupied","",_xlfn.IFS(AND(ISNUMBER(AD604),AD604&lt;&gt;0),"Structured",ISNUMBER(SEARCH("/mo con",S604)),"Notes-parsed",ISNUMBER(SEARCH("step",S604)),"Step-up",ISNUMBER(SEARCH("swap",S604)),"Rate-swap",AND(ISNUMBER(H604),ISNUMBER(I604),H604&gt;I604),"Implied",TRUE,""))</f>
        <v/>
      </c>
      <c r="AV604" s="970">
        <f>IF(AD604&lt;&gt;"",AD604,IF(AU604="Implied",-(H604-I604),IF(OR(AU604="Step-up",AU604="Rate-swap"),"see notes","")))</f>
        <v/>
      </c>
    </row>
    <row r="605" outlineLevel="1" s="817">
      <c r="W605">
        <f>IF(AND($D605="Occupied",$AC605&lt;&gt;""),$AC605,"")</f>
        <v/>
      </c>
      <c r="X605">
        <f>IF(AND(D605="Occupied",C605&lt;&gt;"",W605&lt;&gt;""),C605&amp;"|"&amp;W605,"")</f>
        <v/>
      </c>
      <c r="Y605">
        <f>IF(AND(C605&lt;&gt;"",W605&lt;&gt;""),C605&amp;"|"&amp;W605,"")</f>
        <v/>
      </c>
      <c r="AA605" s="970">
        <f>IF(AND(I605&gt;0,H605&gt;0),H605-I605,"")</f>
        <v/>
      </c>
      <c r="AB605" s="555">
        <f>IF(AND(I605&gt;0,H605&gt;0),(H605-I605)/H605,"")</f>
        <v/>
      </c>
      <c r="AQ605" s="980">
        <f>SUM(AK605:AO605)</f>
        <v/>
      </c>
      <c r="AU605">
        <f t="array" ref="AU605">IF(D605&lt;&gt;"Occupied","",_xlfn.IFS(AND(ISNUMBER(AD605),AD605&lt;&gt;0),"Structured",ISNUMBER(SEARCH("/mo con",S605)),"Notes-parsed",ISNUMBER(SEARCH("step",S605)),"Step-up",ISNUMBER(SEARCH("swap",S605)),"Rate-swap",AND(ISNUMBER(H605),ISNUMBER(I605),H605&gt;I605),"Implied",TRUE,""))</f>
        <v/>
      </c>
      <c r="AV605" s="970">
        <f>IF(AD605&lt;&gt;"",AD605,IF(AU605="Implied",-(H605-I605),IF(OR(AU605="Step-up",AU605="Rate-swap"),"see notes","")))</f>
        <v/>
      </c>
    </row>
    <row r="606" outlineLevel="1" s="817">
      <c r="W606">
        <f>IF(AND($D606="Occupied",$AC606&lt;&gt;""),$AC606,"")</f>
        <v/>
      </c>
      <c r="X606">
        <f>IF(AND(D606="Occupied",C606&lt;&gt;"",W606&lt;&gt;""),C606&amp;"|"&amp;W606,"")</f>
        <v/>
      </c>
      <c r="Y606">
        <f>IF(AND(C606&lt;&gt;"",W606&lt;&gt;""),C606&amp;"|"&amp;W606,"")</f>
        <v/>
      </c>
      <c r="AA606" s="970">
        <f>IF(AND(I606&gt;0,H606&gt;0),H606-I606,"")</f>
        <v/>
      </c>
      <c r="AB606" s="555">
        <f>IF(AND(I606&gt;0,H606&gt;0),(H606-I606)/H606,"")</f>
        <v/>
      </c>
      <c r="AQ606" s="980">
        <f>SUM(AK606:AO606)</f>
        <v/>
      </c>
      <c r="AU606">
        <f t="array" ref="AU606">IF(D606&lt;&gt;"Occupied","",_xlfn.IFS(AND(ISNUMBER(AD606),AD606&lt;&gt;0),"Structured",ISNUMBER(SEARCH("/mo con",S606)),"Notes-parsed",ISNUMBER(SEARCH("step",S606)),"Step-up",ISNUMBER(SEARCH("swap",S606)),"Rate-swap",AND(ISNUMBER(H606),ISNUMBER(I606),H606&gt;I606),"Implied",TRUE,""))</f>
        <v/>
      </c>
      <c r="AV606" s="970">
        <f>IF(AD606&lt;&gt;"",AD606,IF(AU606="Implied",-(H606-I606),IF(OR(AU606="Step-up",AU606="Rate-swap"),"see notes","")))</f>
        <v/>
      </c>
    </row>
    <row r="607" outlineLevel="1" s="817">
      <c r="W607">
        <f>IF(AND($D607="Occupied",$AC607&lt;&gt;""),$AC607,"")</f>
        <v/>
      </c>
      <c r="X607">
        <f>IF(AND(D607="Occupied",C607&lt;&gt;"",W607&lt;&gt;""),C607&amp;"|"&amp;W607,"")</f>
        <v/>
      </c>
      <c r="Y607">
        <f>IF(AND(C607&lt;&gt;"",W607&lt;&gt;""),C607&amp;"|"&amp;W607,"")</f>
        <v/>
      </c>
      <c r="AA607" s="970">
        <f>IF(AND(I607&gt;0,H607&gt;0),H607-I607,"")</f>
        <v/>
      </c>
      <c r="AB607" s="555">
        <f>IF(AND(I607&gt;0,H607&gt;0),(H607-I607)/H607,"")</f>
        <v/>
      </c>
      <c r="AQ607" s="980">
        <f>SUM(AK607:AO607)</f>
        <v/>
      </c>
      <c r="AU607">
        <f t="array" ref="AU607">IF(D607&lt;&gt;"Occupied","",_xlfn.IFS(AND(ISNUMBER(AD607),AD607&lt;&gt;0),"Structured",ISNUMBER(SEARCH("/mo con",S607)),"Notes-parsed",ISNUMBER(SEARCH("step",S607)),"Step-up",ISNUMBER(SEARCH("swap",S607)),"Rate-swap",AND(ISNUMBER(H607),ISNUMBER(I607),H607&gt;I607),"Implied",TRUE,""))</f>
        <v/>
      </c>
      <c r="AV607" s="970">
        <f>IF(AD607&lt;&gt;"",AD607,IF(AU607="Implied",-(H607-I607),IF(OR(AU607="Step-up",AU607="Rate-swap"),"see notes","")))</f>
        <v/>
      </c>
    </row>
    <row r="608" outlineLevel="1" s="817">
      <c r="W608">
        <f>IF(AND($D608="Occupied",$AC608&lt;&gt;""),$AC608,"")</f>
        <v/>
      </c>
      <c r="X608">
        <f>IF(AND(D608="Occupied",C608&lt;&gt;"",W608&lt;&gt;""),C608&amp;"|"&amp;W608,"")</f>
        <v/>
      </c>
      <c r="Y608">
        <f>IF(AND(C608&lt;&gt;"",W608&lt;&gt;""),C608&amp;"|"&amp;W608,"")</f>
        <v/>
      </c>
      <c r="AA608" s="970">
        <f>IF(AND(I608&gt;0,H608&gt;0),H608-I608,"")</f>
        <v/>
      </c>
      <c r="AB608" s="555">
        <f>IF(AND(I608&gt;0,H608&gt;0),(H608-I608)/H608,"")</f>
        <v/>
      </c>
      <c r="AQ608" s="980">
        <f>SUM(AK608:AO608)</f>
        <v/>
      </c>
      <c r="AU608">
        <f t="array" ref="AU608">IF(D608&lt;&gt;"Occupied","",_xlfn.IFS(AND(ISNUMBER(AD608),AD608&lt;&gt;0),"Structured",ISNUMBER(SEARCH("/mo con",S608)),"Notes-parsed",ISNUMBER(SEARCH("step",S608)),"Step-up",ISNUMBER(SEARCH("swap",S608)),"Rate-swap",AND(ISNUMBER(H608),ISNUMBER(I608),H608&gt;I608),"Implied",TRUE,""))</f>
        <v/>
      </c>
      <c r="AV608" s="970">
        <f>IF(AD608&lt;&gt;"",AD608,IF(AU608="Implied",-(H608-I608),IF(OR(AU608="Step-up",AU608="Rate-swap"),"see notes","")))</f>
        <v/>
      </c>
    </row>
    <row r="609" outlineLevel="1" s="817">
      <c r="W609">
        <f>IF(AND($D609="Occupied",$AC609&lt;&gt;""),$AC609,"")</f>
        <v/>
      </c>
      <c r="X609">
        <f>IF(AND(D609="Occupied",C609&lt;&gt;"",W609&lt;&gt;""),C609&amp;"|"&amp;W609,"")</f>
        <v/>
      </c>
      <c r="Y609">
        <f>IF(AND(C609&lt;&gt;"",W609&lt;&gt;""),C609&amp;"|"&amp;W609,"")</f>
        <v/>
      </c>
      <c r="AA609" s="970">
        <f>IF(AND(I609&gt;0,H609&gt;0),H609-I609,"")</f>
        <v/>
      </c>
      <c r="AB609" s="555">
        <f>IF(AND(I609&gt;0,H609&gt;0),(H609-I609)/H609,"")</f>
        <v/>
      </c>
      <c r="AQ609" s="980">
        <f>SUM(AK609:AO609)</f>
        <v/>
      </c>
      <c r="AU609">
        <f t="array" ref="AU609">IF(D609&lt;&gt;"Occupied","",_xlfn.IFS(AND(ISNUMBER(AD609),AD609&lt;&gt;0),"Structured",ISNUMBER(SEARCH("/mo con",S609)),"Notes-parsed",ISNUMBER(SEARCH("step",S609)),"Step-up",ISNUMBER(SEARCH("swap",S609)),"Rate-swap",AND(ISNUMBER(H609),ISNUMBER(I609),H609&gt;I609),"Implied",TRUE,""))</f>
        <v/>
      </c>
      <c r="AV609" s="970">
        <f>IF(AD609&lt;&gt;"",AD609,IF(AU609="Implied",-(H609-I609),IF(OR(AU609="Step-up",AU609="Rate-swap"),"see notes","")))</f>
        <v/>
      </c>
    </row>
    <row r="610" outlineLevel="1" s="817">
      <c r="W610">
        <f>IF(AND($D610="Occupied",$AC610&lt;&gt;""),$AC610,"")</f>
        <v/>
      </c>
      <c r="X610">
        <f>IF(AND(D610="Occupied",C610&lt;&gt;"",W610&lt;&gt;""),C610&amp;"|"&amp;W610,"")</f>
        <v/>
      </c>
      <c r="Y610">
        <f>IF(AND(C610&lt;&gt;"",W610&lt;&gt;""),C610&amp;"|"&amp;W610,"")</f>
        <v/>
      </c>
      <c r="AA610" s="970">
        <f>IF(AND(I610&gt;0,H610&gt;0),H610-I610,"")</f>
        <v/>
      </c>
      <c r="AB610" s="555">
        <f>IF(AND(I610&gt;0,H610&gt;0),(H610-I610)/H610,"")</f>
        <v/>
      </c>
      <c r="AQ610" s="980">
        <f>SUM(AK610:AO610)</f>
        <v/>
      </c>
      <c r="AU610">
        <f t="array" ref="AU610">IF(D610&lt;&gt;"Occupied","",_xlfn.IFS(AND(ISNUMBER(AD610),AD610&lt;&gt;0),"Structured",ISNUMBER(SEARCH("/mo con",S610)),"Notes-parsed",ISNUMBER(SEARCH("step",S610)),"Step-up",ISNUMBER(SEARCH("swap",S610)),"Rate-swap",AND(ISNUMBER(H610),ISNUMBER(I610),H610&gt;I610),"Implied",TRUE,""))</f>
        <v/>
      </c>
      <c r="AV610" s="970">
        <f>IF(AD610&lt;&gt;"",AD610,IF(AU610="Implied",-(H610-I610),IF(OR(AU610="Step-up",AU610="Rate-swap"),"see notes","")))</f>
        <v/>
      </c>
    </row>
  </sheetData>
  <autoFilter ref="A210:AB387">
    <sortState ref="A211:AB387">
      <sortCondition ref="R210:R387"/>
    </sortState>
  </autoFilter>
  <mergeCells count="27">
    <mergeCell ref="A2:V2"/>
    <mergeCell ref="A25:L25"/>
    <mergeCell ref="A164:L164"/>
    <mergeCell ref="A126:V126"/>
    <mergeCell ref="A14:V14"/>
    <mergeCell ref="A154:L154"/>
    <mergeCell ref="A109:V109"/>
    <mergeCell ref="A4:V4"/>
    <mergeCell ref="A50:L50"/>
    <mergeCell ref="A96:V96"/>
    <mergeCell ref="A134:V134"/>
    <mergeCell ref="A71:L71"/>
    <mergeCell ref="A40:V40"/>
    <mergeCell ref="A97:L97"/>
    <mergeCell ref="A135:L135"/>
    <mergeCell ref="A49:V49"/>
    <mergeCell ref="A1:V1"/>
    <mergeCell ref="A61:V61"/>
    <mergeCell ref="A70:V70"/>
    <mergeCell ref="A153:V153"/>
    <mergeCell ref="A87:V87"/>
    <mergeCell ref="A7:V7"/>
    <mergeCell ref="A118:V118"/>
    <mergeCell ref="A88:L88"/>
    <mergeCell ref="A163:V163"/>
    <mergeCell ref="A27:V27"/>
    <mergeCell ref="A110:L1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54"/>
  <sheetViews>
    <sheetView topLeftCell="O1" zoomScaleNormal="100" workbookViewId="0">
      <selection activeCell="AB31" sqref="AB31"/>
    </sheetView>
  </sheetViews>
  <sheetFormatPr baseColWidth="8" defaultColWidth="8.85546875" defaultRowHeight="15"/>
  <cols>
    <col width="20" customWidth="1" style="817" min="1" max="1"/>
    <col width="8" customWidth="1" style="817" min="2" max="4"/>
    <col width="25" customWidth="1" style="817" min="5" max="5"/>
    <col width="12" customWidth="1" style="817" min="6" max="7"/>
    <col width="14" customWidth="1" style="817" min="8" max="12"/>
    <col width="10.42578125" bestFit="1" customWidth="1" style="817" min="14" max="14"/>
    <col width="8" bestFit="1" customWidth="1" style="817" min="15" max="15"/>
    <col width="28" customWidth="1" style="817" min="16" max="16"/>
    <col width="10.42578125" customWidth="1" style="817" min="17" max="18"/>
    <col width="15.140625" customWidth="1" style="817" min="19" max="19"/>
    <col width="16.28515625" customWidth="1" style="817" min="20" max="20"/>
    <col width="12.85546875" customWidth="1" style="817" min="21" max="21"/>
    <col width="15.140625" customWidth="1" style="817" min="22" max="22"/>
    <col width="11.7109375" customWidth="1" style="817" min="23" max="23"/>
    <col width="15.140625" customWidth="1" style="817" min="24" max="24"/>
    <col width="16.28515625" customWidth="1" style="817" min="25" max="25"/>
    <col width="12.85546875" customWidth="1" style="817" min="26" max="26"/>
    <col width="42" customWidth="1" style="817" min="27" max="27"/>
    <col width="16.28515625" customWidth="1" style="817" min="28" max="28"/>
    <col width="42" customWidth="1" style="817" min="29" max="29"/>
  </cols>
  <sheetData>
    <row r="1" ht="21.95" customHeight="1" s="817">
      <c r="A1" s="827" t="inlineStr">
        <is>
          <t>RENTAL COMPS — BY CARE LEVEL</t>
        </is>
      </c>
      <c r="P1" s="873" t="inlineStr">
        <is>
          <t>UNIT MIX &amp; TARGET RENT ANALYSIS  —  Reference only. Blue = input · Green = formula · Target defaults to comp avg for care level.</t>
        </is>
      </c>
      <c r="Q1" s="982" t="n"/>
      <c r="R1" s="982" t="n"/>
      <c r="S1" s="982" t="n"/>
      <c r="T1" s="982" t="n"/>
      <c r="U1" s="982" t="n"/>
      <c r="V1" s="982" t="n"/>
      <c r="W1" s="982" t="n"/>
      <c r="X1" s="982" t="n"/>
      <c r="Y1" s="982" t="n"/>
      <c r="Z1" s="982" t="n"/>
      <c r="AA1" s="983" t="n"/>
      <c r="AB1" s="658" t="n"/>
      <c r="AC1" s="662" t="n"/>
    </row>
    <row r="2" ht="15.75" customHeight="1" s="817">
      <c r="A2" s="835" t="inlineStr">
        <is>
          <t xml:space="preserve">  Enter up to 12 comps per care level. Summary auto-calculates averages and rate position vs. subject property.</t>
        </is>
      </c>
      <c r="N2" s="629" t="inlineStr">
        <is>
          <t>Rent Basis:</t>
        </is>
      </c>
      <c r="O2" s="630" t="inlineStr">
        <is>
          <t>Max</t>
        </is>
      </c>
      <c r="P2" s="659" t="inlineStr">
        <is>
          <t>Unit Type</t>
        </is>
      </c>
      <c r="Q2" s="710" t="inlineStr">
        <is>
          <t>Sq Ft</t>
        </is>
      </c>
      <c r="R2" s="717" t="inlineStr">
        <is>
          <t># Units</t>
        </is>
      </c>
      <c r="S2" s="860" t="inlineStr">
        <is>
          <t>Current Rent</t>
        </is>
      </c>
      <c r="T2" s="895" t="n"/>
      <c r="U2" s="896" t="n"/>
      <c r="V2" s="860" t="inlineStr">
        <is>
          <t>Target Rent</t>
        </is>
      </c>
      <c r="W2" s="895" t="n"/>
      <c r="X2" s="895" t="n"/>
      <c r="Y2" s="895" t="n"/>
      <c r="Z2" s="896" t="n"/>
      <c r="AA2" s="737" t="inlineStr">
        <is>
          <t>Notes</t>
        </is>
      </c>
      <c r="AB2" s="656" t="n"/>
      <c r="AC2" s="663" t="n"/>
    </row>
    <row r="3" ht="15.75" customHeight="1" s="817">
      <c r="A3" s="220" t="inlineStr">
        <is>
          <t>SUBJECT PROPERTY →</t>
        </is>
      </c>
      <c r="E3" s="221">
        <f>'Prop Info'!B2</f>
        <v/>
      </c>
      <c r="F3" s="222">
        <f>Scenarios!F38</f>
        <v/>
      </c>
      <c r="G3" s="222">
        <f>Scenarios!F38</f>
        <v/>
      </c>
      <c r="H3" s="222">
        <f>Scenarios!F38</f>
        <v/>
      </c>
      <c r="P3" s="659" t="inlineStr">
        <is>
          <t>Type</t>
        </is>
      </c>
      <c r="Q3" s="710" t="inlineStr">
        <is>
          <t>Sq Ft</t>
        </is>
      </c>
      <c r="R3" s="717" t="inlineStr">
        <is>
          <t># Units</t>
        </is>
      </c>
      <c r="S3" s="860" t="inlineStr">
        <is>
          <t>Avg / mo</t>
        </is>
      </c>
      <c r="T3" s="652" t="inlineStr">
        <is>
          <t>Total / mo</t>
        </is>
      </c>
      <c r="U3" s="726" t="inlineStr">
        <is>
          <t>$ / Sq Ft</t>
        </is>
      </c>
      <c r="V3" s="860" t="inlineStr">
        <is>
          <t>Target / mo</t>
        </is>
      </c>
      <c r="W3" s="652" t="inlineStr">
        <is>
          <t>Delta %</t>
        </is>
      </c>
      <c r="X3" s="652" t="inlineStr">
        <is>
          <t>Delta $</t>
        </is>
      </c>
      <c r="Y3" s="652" t="inlineStr">
        <is>
          <t>Total / mo</t>
        </is>
      </c>
      <c r="Z3" s="710" t="inlineStr">
        <is>
          <t>$ / Sq Ft</t>
        </is>
      </c>
      <c r="AA3" s="737" t="inlineStr">
        <is>
          <t>Notes</t>
        </is>
      </c>
      <c r="AB3" s="656" t="n"/>
      <c r="AC3" s="663" t="n"/>
    </row>
    <row r="4" ht="18" customHeight="1" s="817">
      <c r="P4" s="868" t="inlineStr">
        <is>
          <t xml:space="preserve">  IL — INDEPENDENT LIVING</t>
        </is>
      </c>
      <c r="Q4" s="984" t="n"/>
      <c r="R4" s="984" t="n"/>
      <c r="S4" s="984" t="n"/>
      <c r="T4" s="984" t="n"/>
      <c r="U4" s="984" t="n"/>
      <c r="V4" s="984" t="n"/>
      <c r="W4" s="984" t="n"/>
      <c r="X4" s="984" t="n"/>
      <c r="Y4" s="984" t="n"/>
      <c r="Z4" s="984" t="n"/>
      <c r="AA4" s="985" t="n"/>
      <c r="AB4" s="655" t="n"/>
      <c r="AC4" s="664" t="n"/>
    </row>
    <row r="5" ht="15.95" customHeight="1" s="817">
      <c r="A5" s="827" t="inlineStr">
        <is>
          <t>INDEPENDENT LIVING (IL) COMPS</t>
        </is>
      </c>
      <c r="P5" s="666" t="inlineStr">
        <is>
          <t>IL Studio</t>
        </is>
      </c>
      <c r="Q5" s="711">
        <f>IFERROR(AVERAGEIFS('Rent Roll Analysis'!T:T,'Rent Roll Analysis'!Y:Y,"IL|Studio",'Rent Roll Analysis'!T:T,"&gt;0"),0)</f>
        <v/>
      </c>
      <c r="R5" s="718">
        <f>COUNTIF('Rent Roll Analysis'!Y:Y,"IL|Studio")</f>
        <v/>
      </c>
      <c r="S5" s="762">
        <f>IFERROR(IF($O$2="Max",_xlfn.MAXIFS('Rent Roll Analysis'!I:I,'Rent Roll Analysis'!X:X,"IL|Studio"),AVERAGEIFS('Rent Roll Analysis'!I:I,'Rent Roll Analysis'!X:X,"IL|Studio",'Rent Roll Analysis'!I:I,"&gt;0")),0)</f>
        <v/>
      </c>
      <c r="T5" s="667">
        <f>IFERROR(S5*R5,0)</f>
        <v/>
      </c>
      <c r="U5" s="986">
        <f>IFERROR(S5/Q5,0)</f>
        <v/>
      </c>
      <c r="V5" s="714">
        <f>IFERROR(H19,0)</f>
        <v/>
      </c>
      <c r="W5" s="668">
        <f>IFERROR(V5/S5-1,"")</f>
        <v/>
      </c>
      <c r="X5" s="667">
        <f>IFERROR(V5-S5,"")</f>
        <v/>
      </c>
      <c r="Y5" s="667">
        <f>IFERROR(V5*R5,0)</f>
        <v/>
      </c>
      <c r="Z5" s="987">
        <f>IFERROR(V5/Q5,0)</f>
        <v/>
      </c>
      <c r="AA5" s="772" t="n"/>
      <c r="AB5" s="669" t="n"/>
      <c r="AC5" s="670" t="n"/>
    </row>
    <row r="6" ht="15.95" customHeight="1" s="817">
      <c r="A6" s="32" t="inlineStr">
        <is>
          <t>Distance (mi)</t>
        </is>
      </c>
      <c r="B6" s="32" t="inlineStr">
        <is>
          <t>Vintage</t>
        </is>
      </c>
      <c r="C6" s="32" t="inlineStr">
        <is>
          <t>Units</t>
        </is>
      </c>
      <c r="D6" s="32" t="inlineStr">
        <is>
          <t>Type</t>
        </is>
      </c>
      <c r="E6" s="32" t="inlineStr">
        <is>
          <t>Property Name</t>
        </is>
      </c>
      <c r="F6" s="32" t="inlineStr">
        <is>
          <t>Base Rent/mo</t>
        </is>
      </c>
      <c r="G6" s="32" t="inlineStr">
        <is>
          <t>Care Fee/mo</t>
        </is>
      </c>
      <c r="H6" s="32" t="inlineStr">
        <is>
          <t>All-In Rate</t>
        </is>
      </c>
      <c r="I6" s="32" t="inlineStr">
        <is>
          <t>Occupancy %</t>
        </is>
      </c>
      <c r="J6" s="32" t="inlineStr">
        <is>
          <t>Sq Ft</t>
        </is>
      </c>
      <c r="K6" s="32" t="inlineStr">
        <is>
          <t>$/Sq Ft</t>
        </is>
      </c>
      <c r="L6" s="32" t="inlineStr">
        <is>
          <t>Notes</t>
        </is>
      </c>
      <c r="P6" s="671" t="inlineStr">
        <is>
          <t>IL 1-Bed</t>
        </is>
      </c>
      <c r="Q6" s="712">
        <f>IFERROR(AVERAGEIFS('Rent Roll Analysis'!T:T,'Rent Roll Analysis'!Y:Y,"IL|1 Bedroom",'Rent Roll Analysis'!T:T,"&gt;0"),0)</f>
        <v/>
      </c>
      <c r="R6" s="719">
        <f>COUNTIF('Rent Roll Analysis'!Y:Y,"IL|1 Bedroom")</f>
        <v/>
      </c>
      <c r="S6" s="763">
        <f>IFERROR(IF($O$2="Max",_xlfn.MAXIFS('Rent Roll Analysis'!I:I,'Rent Roll Analysis'!X:X,"IL|1 Bedroom"),AVERAGEIFS('Rent Roll Analysis'!I:I,'Rent Roll Analysis'!X:X,"IL|1 Bedroom",'Rent Roll Analysis'!I:I,"&gt;0")),0)</f>
        <v/>
      </c>
      <c r="T6" s="672">
        <f>IFERROR(S6*R6,0)</f>
        <v/>
      </c>
      <c r="U6" s="988">
        <f>IFERROR(S6/Q6,0)</f>
        <v/>
      </c>
      <c r="V6" s="715">
        <f>IFERROR(H19,0)</f>
        <v/>
      </c>
      <c r="W6" s="673">
        <f>IFERROR(V6/S6-1,"")</f>
        <v/>
      </c>
      <c r="X6" s="672">
        <f>IFERROR(V6-S6,"")</f>
        <v/>
      </c>
      <c r="Y6" s="672">
        <f>IFERROR(V6*R6,0)</f>
        <v/>
      </c>
      <c r="Z6" s="989">
        <f>IFERROR(V6/Q6,0)</f>
        <v/>
      </c>
      <c r="AA6" s="773" t="n"/>
      <c r="AB6" s="674" t="n"/>
      <c r="AC6" s="675" t="n"/>
    </row>
    <row r="7" ht="15.95" customHeight="1" s="817">
      <c r="A7" s="68" t="n"/>
      <c r="B7" s="68" t="n"/>
      <c r="C7" s="68" t="n"/>
      <c r="D7" s="223" t="n"/>
      <c r="E7" s="224" t="n"/>
      <c r="F7" s="63" t="n"/>
      <c r="G7" s="63" t="n"/>
      <c r="H7" s="75">
        <f>IFERROR(F7+G7,0)</f>
        <v/>
      </c>
      <c r="I7" s="73" t="n"/>
      <c r="J7" s="68" t="n"/>
      <c r="K7" s="178">
        <f>IFERROR(F7/J7,0)</f>
        <v/>
      </c>
      <c r="L7" s="224" t="n"/>
      <c r="P7" s="671" t="inlineStr">
        <is>
          <t>IL 2-Bed</t>
        </is>
      </c>
      <c r="Q7" s="712">
        <f>IFERROR(AVERAGEIFS('Rent Roll Analysis'!T:T,'Rent Roll Analysis'!Y:Y,"IL|2 Bedroom",'Rent Roll Analysis'!T:T,"&gt;0"),0)</f>
        <v/>
      </c>
      <c r="R7" s="719">
        <f>COUNTIF('Rent Roll Analysis'!Y:Y,"IL|2 Bedroom")</f>
        <v/>
      </c>
      <c r="S7" s="763">
        <f>IFERROR(IF($O$2="Max",_xlfn.MAXIFS('Rent Roll Analysis'!I:I,'Rent Roll Analysis'!X:X,"IL|2 Bedroom"),AVERAGEIFS('Rent Roll Analysis'!I:I,'Rent Roll Analysis'!X:X,"IL|2 Bedroom",'Rent Roll Analysis'!I:I,"&gt;0")),0)</f>
        <v/>
      </c>
      <c r="T7" s="672">
        <f>IFERROR(S7*R7,0)</f>
        <v/>
      </c>
      <c r="U7" s="988">
        <f>IFERROR(S7/Q7,0)</f>
        <v/>
      </c>
      <c r="V7" s="715">
        <f>IFERROR(H19,0)</f>
        <v/>
      </c>
      <c r="W7" s="673">
        <f>IFERROR(V7/S7-1,"")</f>
        <v/>
      </c>
      <c r="X7" s="672">
        <f>IFERROR(V7-S7,"")</f>
        <v/>
      </c>
      <c r="Y7" s="672">
        <f>IFERROR(V7*R7,0)</f>
        <v/>
      </c>
      <c r="Z7" s="989">
        <f>IFERROR(V7/Q7,0)</f>
        <v/>
      </c>
      <c r="AA7" s="773" t="n"/>
      <c r="AB7" s="674" t="n"/>
      <c r="AC7" s="675" t="n"/>
    </row>
    <row r="8" ht="18" customHeight="1" s="817">
      <c r="A8" s="107" t="n"/>
      <c r="B8" s="107" t="n"/>
      <c r="C8" s="107" t="n"/>
      <c r="D8" s="225" t="n"/>
      <c r="E8" s="226" t="n"/>
      <c r="F8" s="66" t="n"/>
      <c r="G8" s="66" t="n"/>
      <c r="H8" s="71">
        <f>IFERROR(F8+G8,0)</f>
        <v/>
      </c>
      <c r="I8" s="78" t="n"/>
      <c r="J8" s="107" t="n"/>
      <c r="K8" s="183">
        <f>IFERROR(F8/J8,0)</f>
        <v/>
      </c>
      <c r="L8" s="226" t="n"/>
      <c r="P8" s="863" t="inlineStr">
        <is>
          <t xml:space="preserve">  AL — ASSISTED LIVING</t>
        </is>
      </c>
      <c r="Q8" s="990" t="n"/>
      <c r="R8" s="990" t="n"/>
      <c r="S8" s="990" t="n"/>
      <c r="T8" s="990" t="n"/>
      <c r="U8" s="990" t="n"/>
      <c r="V8" s="990" t="n"/>
      <c r="W8" s="990" t="n"/>
      <c r="X8" s="990" t="n"/>
      <c r="Y8" s="990" t="n"/>
      <c r="Z8" s="990" t="n"/>
      <c r="AA8" s="991" t="n"/>
      <c r="AB8" s="864" t="n"/>
      <c r="AC8" s="866" t="n"/>
    </row>
    <row r="9" ht="15.95" customHeight="1" s="817">
      <c r="A9" s="68" t="n"/>
      <c r="B9" s="68" t="n"/>
      <c r="C9" s="68" t="n"/>
      <c r="D9" s="223" t="n"/>
      <c r="E9" s="224" t="n"/>
      <c r="F9" s="63" t="n"/>
      <c r="G9" s="63" t="n"/>
      <c r="H9" s="75">
        <f>IFERROR(F9+G9,0)</f>
        <v/>
      </c>
      <c r="I9" s="73" t="n"/>
      <c r="J9" s="68" t="n"/>
      <c r="K9" s="178">
        <f>IFERROR(F9/J9,0)</f>
        <v/>
      </c>
      <c r="L9" s="224" t="n"/>
      <c r="P9" s="671" t="inlineStr">
        <is>
          <t>AL Studio (Pvt)</t>
        </is>
      </c>
      <c r="Q9" s="712">
        <f>IFERROR(AVERAGEIFS('Rent Roll Analysis'!T:T,'Rent Roll Analysis'!Y:Y,"AL|Studio",'Rent Roll Analysis'!T:T,"&gt;0"),0)</f>
        <v/>
      </c>
      <c r="R9" s="719">
        <f>COUNTIF('Rent Roll Analysis'!Y:Y,"AL|Studio")</f>
        <v/>
      </c>
      <c r="S9" s="763">
        <f>IFERROR(IF($O$2="Max",_xlfn.MAXIFS('Rent Roll Analysis'!I:I,'Rent Roll Analysis'!X:X,"AL|Studio"),AVERAGEIFS('Rent Roll Analysis'!I:I,'Rent Roll Analysis'!X:X,"AL|Studio",'Rent Roll Analysis'!I:I,"&gt;0")),0)</f>
        <v/>
      </c>
      <c r="T9" s="672">
        <f>IFERROR(S9*R9,0)</f>
        <v/>
      </c>
      <c r="U9" s="988">
        <f>IFERROR(S9/Q9,0)</f>
        <v/>
      </c>
      <c r="V9" s="715">
        <f>IFERROR(H36,0)</f>
        <v/>
      </c>
      <c r="W9" s="673">
        <f>IFERROR(V9/S9-1,"")</f>
        <v/>
      </c>
      <c r="X9" s="672">
        <f>IFERROR(V9-S9,"")</f>
        <v/>
      </c>
      <c r="Y9" s="672">
        <f>IFERROR(V9*R9,0)</f>
        <v/>
      </c>
      <c r="Z9" s="989">
        <f>IFERROR(V9/Q9,0)</f>
        <v/>
      </c>
      <c r="AA9" s="773" t="n"/>
      <c r="AB9" s="674" t="n"/>
      <c r="AC9" s="675" t="n"/>
    </row>
    <row r="10" ht="15.95" customHeight="1" s="817">
      <c r="A10" s="107" t="n"/>
      <c r="B10" s="107" t="n"/>
      <c r="C10" s="107" t="n"/>
      <c r="D10" s="225" t="n"/>
      <c r="E10" s="226" t="n"/>
      <c r="F10" s="66" t="n"/>
      <c r="G10" s="66" t="n"/>
      <c r="H10" s="71">
        <f>IFERROR(F10+G10,0)</f>
        <v/>
      </c>
      <c r="I10" s="78" t="n"/>
      <c r="J10" s="107" t="n"/>
      <c r="K10" s="183">
        <f>IFERROR(F10/J10,0)</f>
        <v/>
      </c>
      <c r="L10" s="226" t="n"/>
      <c r="P10" s="671" t="inlineStr">
        <is>
          <t>AL Semi-Private</t>
        </is>
      </c>
      <c r="Q10" s="712">
        <f>IFERROR(AVERAGEIFS('Rent Roll Analysis'!T:T,'Rent Roll Analysis'!Y:Y,"AL|Semi-Private",'Rent Roll Analysis'!T:T,"&gt;0"),0)</f>
        <v/>
      </c>
      <c r="R10" s="719">
        <f>COUNTIF('Rent Roll Analysis'!Y:Y,"AL|Semi-Private")</f>
        <v/>
      </c>
      <c r="S10" s="763">
        <f>IFERROR(IF($O$2="Max",_xlfn.MAXIFS('Rent Roll Analysis'!I:I,'Rent Roll Analysis'!X:X,"AL|Semi-Private"),AVERAGEIFS('Rent Roll Analysis'!I:I,'Rent Roll Analysis'!X:X,"AL|Semi-Private",'Rent Roll Analysis'!I:I,"&gt;0")),0)</f>
        <v/>
      </c>
      <c r="T10" s="672">
        <f>IFERROR(S10*R10,0)</f>
        <v/>
      </c>
      <c r="U10" s="988">
        <f>IFERROR(S10/Q10,0)</f>
        <v/>
      </c>
      <c r="V10" s="715">
        <f>IFERROR(H36,0)</f>
        <v/>
      </c>
      <c r="W10" s="673">
        <f>IFERROR(V10/S10-1,"")</f>
        <v/>
      </c>
      <c r="X10" s="672">
        <f>IFERROR(V10-S10,"")</f>
        <v/>
      </c>
      <c r="Y10" s="672">
        <f>IFERROR(V10*R10,0)</f>
        <v/>
      </c>
      <c r="Z10" s="989">
        <f>IFERROR(V10/Q10,0)</f>
        <v/>
      </c>
      <c r="AA10" s="773" t="n"/>
      <c r="AB10" s="674" t="n"/>
      <c r="AC10" s="675" t="n"/>
    </row>
    <row r="11" ht="15.95" customHeight="1" s="817">
      <c r="A11" s="68" t="n"/>
      <c r="B11" s="68" t="n"/>
      <c r="C11" s="68" t="n"/>
      <c r="D11" s="223" t="n"/>
      <c r="E11" s="224" t="n"/>
      <c r="F11" s="63" t="n"/>
      <c r="G11" s="63" t="n"/>
      <c r="H11" s="75">
        <f>IFERROR(F11+G11,0)</f>
        <v/>
      </c>
      <c r="I11" s="73" t="n"/>
      <c r="J11" s="68" t="n"/>
      <c r="K11" s="178">
        <f>IFERROR(F11/J11,0)</f>
        <v/>
      </c>
      <c r="L11" s="224" t="n"/>
      <c r="P11" s="671" t="inlineStr">
        <is>
          <t>AL 1-Bed</t>
        </is>
      </c>
      <c r="Q11" s="712">
        <f>IFERROR(AVERAGEIFS('Rent Roll Analysis'!T:T,'Rent Roll Analysis'!Y:Y,"AL|1 Bedroom",'Rent Roll Analysis'!T:T,"&gt;0"),0)</f>
        <v/>
      </c>
      <c r="R11" s="719">
        <f>COUNTIF('Rent Roll Analysis'!Y:Y,"AL|1 Bedroom")</f>
        <v/>
      </c>
      <c r="S11" s="763">
        <f>IFERROR(IF($O$2="Max",_xlfn.MAXIFS('Rent Roll Analysis'!I:I,'Rent Roll Analysis'!X:X,"AL|1 Bedroom"),AVERAGEIFS('Rent Roll Analysis'!I:I,'Rent Roll Analysis'!X:X,"AL|1 Bedroom",'Rent Roll Analysis'!I:I,"&gt;0")),0)</f>
        <v/>
      </c>
      <c r="T11" s="672">
        <f>IFERROR(S11*R11,0)</f>
        <v/>
      </c>
      <c r="U11" s="988">
        <f>IFERROR(S11/Q11,0)</f>
        <v/>
      </c>
      <c r="V11" s="715">
        <f>IFERROR(H36,0)</f>
        <v/>
      </c>
      <c r="W11" s="673">
        <f>IFERROR(V11/S11-1,"")</f>
        <v/>
      </c>
      <c r="X11" s="672">
        <f>IFERROR(V11-S11,"")</f>
        <v/>
      </c>
      <c r="Y11" s="672">
        <f>IFERROR(V11*R11,0)</f>
        <v/>
      </c>
      <c r="Z11" s="989">
        <f>IFERROR(V11/Q11,0)</f>
        <v/>
      </c>
      <c r="AA11" s="773" t="n"/>
      <c r="AB11" s="674" t="n"/>
      <c r="AC11" s="675" t="n"/>
    </row>
    <row r="12" ht="18" customHeight="1" s="817">
      <c r="A12" s="107" t="n"/>
      <c r="B12" s="107" t="n"/>
      <c r="C12" s="107" t="n"/>
      <c r="D12" s="225" t="n"/>
      <c r="E12" s="226" t="n"/>
      <c r="F12" s="66" t="n"/>
      <c r="G12" s="66" t="n"/>
      <c r="H12" s="71">
        <f>IFERROR(F12+G12,0)</f>
        <v/>
      </c>
      <c r="I12" s="78" t="n"/>
      <c r="J12" s="107" t="n"/>
      <c r="K12" s="183">
        <f>IFERROR(F12/J12,0)</f>
        <v/>
      </c>
      <c r="L12" s="226" t="n"/>
      <c r="P12" s="863" t="inlineStr">
        <is>
          <t xml:space="preserve">  MC — MEMORY CARE</t>
        </is>
      </c>
      <c r="Q12" s="990" t="n"/>
      <c r="R12" s="990" t="n"/>
      <c r="S12" s="990" t="n"/>
      <c r="T12" s="990" t="n"/>
      <c r="U12" s="990" t="n"/>
      <c r="V12" s="990" t="n"/>
      <c r="W12" s="990" t="n"/>
      <c r="X12" s="990" t="n"/>
      <c r="Y12" s="990" t="n"/>
      <c r="Z12" s="990" t="n"/>
      <c r="AA12" s="991" t="n"/>
      <c r="AB12" s="864" t="n"/>
      <c r="AC12" s="866" t="n"/>
    </row>
    <row r="13" ht="15.95" customHeight="1" s="817">
      <c r="A13" s="68" t="n"/>
      <c r="B13" s="68" t="n"/>
      <c r="C13" s="68" t="n"/>
      <c r="D13" s="223" t="n"/>
      <c r="E13" s="224" t="n"/>
      <c r="F13" s="63" t="n"/>
      <c r="G13" s="63" t="n"/>
      <c r="H13" s="75">
        <f>IFERROR(F13+G13,0)</f>
        <v/>
      </c>
      <c r="I13" s="73" t="n"/>
      <c r="J13" s="68" t="n"/>
      <c r="K13" s="178">
        <f>IFERROR(F13/J13,0)</f>
        <v/>
      </c>
      <c r="L13" s="224" t="n"/>
      <c r="P13" s="671" t="inlineStr">
        <is>
          <t>MC Studio (Pvt)</t>
        </is>
      </c>
      <c r="Q13" s="712">
        <f>IFERROR(AVERAGEIFS('Rent Roll Analysis'!T:T,'Rent Roll Analysis'!Y:Y,"MC|Studio",'Rent Roll Analysis'!T:T,"&gt;0"),0)</f>
        <v/>
      </c>
      <c r="R13" s="719">
        <f>COUNTIF('Rent Roll Analysis'!Y:Y,"MC|Studio")</f>
        <v/>
      </c>
      <c r="S13" s="763">
        <f>IFERROR(IF($O$2="Max",_xlfn.MAXIFS('Rent Roll Analysis'!I:I,'Rent Roll Analysis'!X:X,"MC|Studio"),AVERAGEIFS('Rent Roll Analysis'!I:I,'Rent Roll Analysis'!X:X,"MC|Studio",'Rent Roll Analysis'!I:I,"&gt;0")),0)</f>
        <v/>
      </c>
      <c r="T13" s="672">
        <f>IFERROR(S13*R13,0)</f>
        <v/>
      </c>
      <c r="U13" s="988">
        <f>IFERROR(S13/Q13,0)</f>
        <v/>
      </c>
      <c r="V13" s="715">
        <f>IFERROR(H53,0)</f>
        <v/>
      </c>
      <c r="W13" s="673">
        <f>IFERROR(V13/S13-1,"")</f>
        <v/>
      </c>
      <c r="X13" s="672">
        <f>IFERROR(V13-S13,"")</f>
        <v/>
      </c>
      <c r="Y13" s="672">
        <f>IFERROR(V13*R13,0)</f>
        <v/>
      </c>
      <c r="Z13" s="989">
        <f>IFERROR(V13/Q13,0)</f>
        <v/>
      </c>
      <c r="AA13" s="773" t="n"/>
      <c r="AB13" s="674" t="n"/>
      <c r="AC13" s="675" t="n"/>
    </row>
    <row r="14" ht="15.95" customHeight="1" s="817">
      <c r="A14" s="107" t="n"/>
      <c r="B14" s="107" t="n"/>
      <c r="C14" s="107" t="n"/>
      <c r="D14" s="225" t="n"/>
      <c r="E14" s="226" t="n"/>
      <c r="F14" s="66" t="n"/>
      <c r="G14" s="66" t="n"/>
      <c r="H14" s="71">
        <f>IFERROR(F14+G14,0)</f>
        <v/>
      </c>
      <c r="I14" s="78" t="n"/>
      <c r="J14" s="107" t="n"/>
      <c r="K14" s="183">
        <f>IFERROR(F14/J14,0)</f>
        <v/>
      </c>
      <c r="L14" s="226" t="n"/>
      <c r="P14" s="671" t="inlineStr">
        <is>
          <t>MC Semi-Private</t>
        </is>
      </c>
      <c r="Q14" s="712">
        <f>IFERROR(AVERAGEIFS('Rent Roll Analysis'!T:T,'Rent Roll Analysis'!Y:Y,"MC|Semi-Private",'Rent Roll Analysis'!T:T,"&gt;0"),0)</f>
        <v/>
      </c>
      <c r="R14" s="719">
        <f>COUNTIF('Rent Roll Analysis'!Y:Y,"MC|Semi-Private")</f>
        <v/>
      </c>
      <c r="S14" s="763">
        <f>IFERROR(IF($O$2="Max",_xlfn.MAXIFS('Rent Roll Analysis'!I:I,'Rent Roll Analysis'!X:X,"MC|Semi-Private"),AVERAGEIFS('Rent Roll Analysis'!I:I,'Rent Roll Analysis'!X:X,"MC|Semi-Private",'Rent Roll Analysis'!I:I,"&gt;0")),0)</f>
        <v/>
      </c>
      <c r="T14" s="672">
        <f>IFERROR(S14*R14,0)</f>
        <v/>
      </c>
      <c r="U14" s="988">
        <f>IFERROR(S14/Q14,0)</f>
        <v/>
      </c>
      <c r="V14" s="715">
        <f>IFERROR(H53,0)</f>
        <v/>
      </c>
      <c r="W14" s="673">
        <f>IFERROR(V14/S14-1,"")</f>
        <v/>
      </c>
      <c r="X14" s="672">
        <f>IFERROR(V14-S14,"")</f>
        <v/>
      </c>
      <c r="Y14" s="672">
        <f>IFERROR(V14*R14,0)</f>
        <v/>
      </c>
      <c r="Z14" s="989">
        <f>IFERROR(V14/Q14,0)</f>
        <v/>
      </c>
      <c r="AA14" s="773" t="n"/>
      <c r="AB14" s="674" t="n"/>
      <c r="AC14" s="675" t="n"/>
    </row>
    <row r="15" ht="15.95" customHeight="1" s="817">
      <c r="A15" s="68" t="n"/>
      <c r="B15" s="68" t="n"/>
      <c r="C15" s="68" t="n"/>
      <c r="D15" s="223" t="n"/>
      <c r="E15" s="224" t="n"/>
      <c r="F15" s="63" t="n"/>
      <c r="G15" s="63" t="n"/>
      <c r="H15" s="75">
        <f>IFERROR(F15+G15,0)</f>
        <v/>
      </c>
      <c r="I15" s="73" t="n"/>
      <c r="J15" s="68" t="n"/>
      <c r="K15" s="178">
        <f>IFERROR(F15/J15,0)</f>
        <v/>
      </c>
      <c r="L15" s="224" t="n"/>
      <c r="P15" s="671" t="inlineStr">
        <is>
          <t>Other</t>
        </is>
      </c>
      <c r="Q15" s="712">
        <f>IFERROR(AVERAGEIFS('Rent Roll Analysis'!T:T,'Rent Roll Analysis'!Y:Y,"&lt;&gt;",'Rent Roll Analysis'!Y:Y,"&lt;&gt;IL|Studio",'Rent Roll Analysis'!Y:Y,"&lt;&gt;IL|1 Bedroom",'Rent Roll Analysis'!Y:Y,"&lt;&gt;IL|2 Bedroom",'Rent Roll Analysis'!Y:Y,"&lt;&gt;AL|Studio",'Rent Roll Analysis'!Y:Y,"&lt;&gt;AL|Semi-Private",'Rent Roll Analysis'!Y:Y,"&lt;&gt;AL|1 Bedroom",'Rent Roll Analysis'!Y:Y,"&lt;&gt;MC|Studio",'Rent Roll Analysis'!Y:Y,"&lt;&gt;MC|Semi-Private",'Rent Roll Analysis'!T:T,"&gt;0"),0)</f>
        <v/>
      </c>
      <c r="R15" s="719">
        <f>COUNTIF('Rent Roll Analysis'!Y:Y,"?*")-R5-R6-R7-R9-R10-R11-R13-R14</f>
        <v/>
      </c>
      <c r="S15" s="763">
        <f>IFERROR(IF($O$2="Max",_xlfn.MAXIFS('Rent Roll Analysis'!I:I,'Rent Roll Analysis'!X:X,"&lt;&gt;",'Rent Roll Analysis'!X:X,"&lt;&gt;IL|Studio",'Rent Roll Analysis'!X:X,"&lt;&gt;IL|1 Bedroom",'Rent Roll Analysis'!X:X,"&lt;&gt;IL|2 Bedroom",'Rent Roll Analysis'!X:X,"&lt;&gt;AL|Studio",'Rent Roll Analysis'!X:X,"&lt;&gt;AL|Semi-Private",'Rent Roll Analysis'!X:X,"&lt;&gt;AL|1 Bedroom",'Rent Roll Analysis'!X:X,"&lt;&gt;MC|Studio",'Rent Roll Analysis'!X:X,"&lt;&gt;MC|Semi-Private"),AVERAGEIFS('Rent Roll Analysis'!I:I,'Rent Roll Analysis'!X:X,"&lt;&gt;",'Rent Roll Analysis'!X:X,"&lt;&gt;IL|Studio",'Rent Roll Analysis'!X:X,"&lt;&gt;IL|1 Bedroom",'Rent Roll Analysis'!X:X,"&lt;&gt;IL|2 Bedroom",'Rent Roll Analysis'!X:X,"&lt;&gt;AL|Studio",'Rent Roll Analysis'!X:X,"&lt;&gt;AL|Semi-Private",'Rent Roll Analysis'!X:X,"&lt;&gt;AL|1 Bedroom",'Rent Roll Analysis'!X:X,"&lt;&gt;MC|Studio",'Rent Roll Analysis'!X:X,"&lt;&gt;MC|Semi-Private",'Rent Roll Analysis'!I:I,"&gt;0")),0)</f>
        <v/>
      </c>
      <c r="T15" s="672">
        <f>IFERROR(S15*R15,0)</f>
        <v/>
      </c>
      <c r="U15" s="988">
        <f>IFERROR(S15/Q15,0)</f>
        <v/>
      </c>
      <c r="V15" s="715">
        <f>IFERROR(AVERAGE(H19,H36,H53),0)</f>
        <v/>
      </c>
      <c r="W15" s="673">
        <f>IFERROR(V15/S15-1,"")</f>
        <v/>
      </c>
      <c r="X15" s="672">
        <f>IFERROR(V15-S15,"")</f>
        <v/>
      </c>
      <c r="Y15" s="672">
        <f>IFERROR(V15*R15,0)</f>
        <v/>
      </c>
      <c r="Z15" s="989">
        <f>IFERROR(V15/Q15,0)</f>
        <v/>
      </c>
      <c r="AA15" s="773" t="n"/>
      <c r="AB15" s="674" t="n"/>
      <c r="AC15" s="675" t="n"/>
    </row>
    <row r="16" ht="18" customHeight="1" s="817">
      <c r="A16" s="107" t="n"/>
      <c r="B16" s="107" t="n"/>
      <c r="C16" s="107" t="n"/>
      <c r="D16" s="225" t="n"/>
      <c r="E16" s="226" t="n"/>
      <c r="F16" s="66" t="n"/>
      <c r="G16" s="66" t="n"/>
      <c r="H16" s="71">
        <f>IFERROR(F16+G16,0)</f>
        <v/>
      </c>
      <c r="I16" s="78" t="n"/>
      <c r="J16" s="107" t="n"/>
      <c r="K16" s="183">
        <f>IFERROR(F16/J16,0)</f>
        <v/>
      </c>
      <c r="L16" s="226" t="n"/>
      <c r="P16" s="678" t="inlineStr">
        <is>
          <t>Total / Average</t>
        </is>
      </c>
      <c r="Q16" s="713">
        <f>IFERROR((Q5*R5+Q6*R6+Q7*R7+Q9*R9+Q10*R10+Q11*R11+Q13*R13+Q14*R14+Q15*R15)/(R5+R6+R7+R9+R10+R11+R13+R14+R15),0)</f>
        <v/>
      </c>
      <c r="R16" s="721">
        <f>IFERROR(R5+R6+R7+R9+R10+R11+R13+R14+R15,0)</f>
        <v/>
      </c>
      <c r="S16" s="716">
        <f>IFERROR((R5*S5+R6*S6+R7*S7+R9*S9+R10*S10+R11*S11+R13*S13+R14*S14+R15*S15)/(R5+R6+R7+R9+R10+R11+R13+R14+R15),0)</f>
        <v/>
      </c>
      <c r="T16" s="679">
        <f>IFERROR(T5+T6+T7+T9+T10+T11+T13+T14+T15,0)</f>
        <v/>
      </c>
      <c r="U16" s="992">
        <f>IFERROR(T16/Q16,0)</f>
        <v/>
      </c>
      <c r="V16" s="716">
        <f>IFERROR((R5*V5+R6*V6+R7*V7+R9*V9+R10*V10+R11*V11+R13*V13+R14*V14+R15*V15)/(R5+R6+R7+R9+R10+R11+R13+R14+R15),0)</f>
        <v/>
      </c>
      <c r="W16" s="680">
        <f>IFERROR(V16/S16-1,"")</f>
        <v/>
      </c>
      <c r="X16" s="679">
        <f>IFERROR(V16-S16,"")</f>
        <v/>
      </c>
      <c r="Y16" s="679">
        <f>IFERROR(Y5+Y6+Y7+Y9+Y10+Y11+Y13+Y14+Y15,0)</f>
        <v/>
      </c>
      <c r="Z16" s="993">
        <f>IFERROR(Y16/Q16,0)</f>
        <v/>
      </c>
      <c r="AA16" s="774" t="n"/>
      <c r="AB16" s="681" t="n"/>
      <c r="AC16" s="682" t="n"/>
    </row>
    <row r="17" ht="21.95" customHeight="1" s="817">
      <c r="A17" s="68" t="n"/>
      <c r="B17" s="68" t="n"/>
      <c r="C17" s="68" t="n"/>
      <c r="D17" s="223" t="n"/>
      <c r="E17" s="224" t="n"/>
      <c r="F17" s="63" t="n"/>
      <c r="G17" s="63" t="n"/>
      <c r="H17" s="75">
        <f>IFERROR(F17+G17,0)</f>
        <v/>
      </c>
      <c r="I17" s="73" t="n"/>
      <c r="J17" s="68" t="n"/>
      <c r="K17" s="178">
        <f>IFERROR(F17/J17,0)</f>
        <v/>
      </c>
      <c r="L17" s="224" t="n"/>
      <c r="P17" s="660" t="inlineStr">
        <is>
          <t>VALUE-ADD UNITS  (manual inputs — negative R = removed, positive R = added)</t>
        </is>
      </c>
      <c r="Q17" s="657" t="n"/>
      <c r="R17" s="661" t="n"/>
      <c r="S17" s="657" t="n"/>
      <c r="T17" s="657" t="n"/>
      <c r="U17" s="665" t="n"/>
      <c r="V17" s="657" t="n"/>
      <c r="W17" s="657" t="n"/>
      <c r="X17" s="657" t="n"/>
      <c r="Y17" s="657" t="n"/>
      <c r="Z17" s="657" t="n"/>
      <c r="AA17" s="738" t="n"/>
      <c r="AB17" s="657" t="n"/>
      <c r="AC17" s="665" t="n"/>
    </row>
    <row r="18" ht="18" customHeight="1" s="817">
      <c r="A18" s="107" t="n"/>
      <c r="B18" s="107" t="n"/>
      <c r="C18" s="107" t="n"/>
      <c r="D18" s="225" t="n"/>
      <c r="E18" s="226" t="n"/>
      <c r="F18" s="66" t="n"/>
      <c r="G18" s="66" t="n"/>
      <c r="H18" s="71">
        <f>IFERROR(F18+G18,0)</f>
        <v/>
      </c>
      <c r="I18" s="78" t="n"/>
      <c r="J18" s="107" t="n"/>
      <c r="K18" s="183">
        <f>IFERROR(F18/J18,0)</f>
        <v/>
      </c>
      <c r="L18" s="226" t="n"/>
      <c r="P18" s="683" t="inlineStr">
        <is>
          <t xml:space="preserve">  IL — Value-Add</t>
        </is>
      </c>
      <c r="Q18" s="684" t="n"/>
      <c r="R18" s="722" t="n"/>
      <c r="S18" s="684" t="n"/>
      <c r="T18" s="684" t="n"/>
      <c r="U18" s="685" t="n"/>
      <c r="V18" s="684" t="n"/>
      <c r="W18" s="684" t="n"/>
      <c r="X18" s="684" t="n"/>
      <c r="Y18" s="684" t="n"/>
      <c r="Z18" s="684" t="n"/>
      <c r="AA18" s="739" t="n"/>
      <c r="AB18" s="684" t="n"/>
      <c r="AC18" s="685" t="n"/>
    </row>
    <row r="19" ht="15.95" customHeight="1" s="817">
      <c r="A19" s="130" t="inlineStr">
        <is>
          <t xml:space="preserve">  AVG — IN</t>
        </is>
      </c>
      <c r="F19" s="80">
        <f>IFERROR(AVERAGEIF(F7:F18,"&gt;"&amp;0),0)</f>
        <v/>
      </c>
      <c r="G19" s="80">
        <f>IFERROR(AVERAGEIF(G7:G18,"&gt;"&amp;0),0)</f>
        <v/>
      </c>
      <c r="H19" s="80">
        <f>IFERROR(AVERAGEIF(H7:H18,"&gt;"&amp;0),0)</f>
        <v/>
      </c>
      <c r="I19" s="135">
        <f>IFERROR(AVERAGEIF(I7:I18,"&gt;"&amp;0),0)</f>
        <v/>
      </c>
      <c r="P19" s="686" t="inlineStr">
        <is>
          <t xml:space="preserve">  Add row 1 (label me)</t>
        </is>
      </c>
      <c r="Q19" s="687" t="n"/>
      <c r="R19" s="723" t="n"/>
      <c r="S19" s="994" t="n"/>
      <c r="T19" s="995">
        <f>IFERROR(S19*R19,0)</f>
        <v/>
      </c>
      <c r="U19" s="996">
        <f>IFERROR(S19/Q19,0)</f>
        <v/>
      </c>
      <c r="V19" s="997">
        <f>IFERROR(H19,0)</f>
        <v/>
      </c>
      <c r="W19" s="692">
        <f>IFERROR(V19/S19-1,"")</f>
        <v/>
      </c>
      <c r="X19" s="995">
        <f>IFERROR(V19-S19,"")</f>
        <v/>
      </c>
      <c r="Y19" s="995">
        <f>IFERROR(V19*R19,0)</f>
        <v/>
      </c>
      <c r="Z19" s="998">
        <f>IFERROR(V19/Q19,0)</f>
        <v/>
      </c>
      <c r="AA19" s="740" t="n"/>
      <c r="AB19" s="674" t="n"/>
      <c r="AC19" s="675" t="n"/>
    </row>
    <row r="20" ht="15.95" customHeight="1" s="817">
      <c r="A20" s="228" t="inlineStr">
        <is>
          <t xml:space="preserve">  Subj. vs. Avg IN Rent</t>
        </is>
      </c>
      <c r="F20" s="222">
        <f>Scenarios!F38-F19</f>
        <v/>
      </c>
      <c r="P20" s="686" t="inlineStr">
        <is>
          <t xml:space="preserve">  Add row 2 (label me)</t>
        </is>
      </c>
      <c r="Q20" s="687" t="n"/>
      <c r="R20" s="723" t="n"/>
      <c r="S20" s="994" t="n"/>
      <c r="T20" s="995">
        <f>IFERROR(S20*R20,0)</f>
        <v/>
      </c>
      <c r="U20" s="996">
        <f>IFERROR(S20/Q20,0)</f>
        <v/>
      </c>
      <c r="V20" s="997">
        <f>IFERROR(H19,0)</f>
        <v/>
      </c>
      <c r="W20" s="692">
        <f>IFERROR(V20/S20-1,"")</f>
        <v/>
      </c>
      <c r="X20" s="995">
        <f>IFERROR(V20-S20,"")</f>
        <v/>
      </c>
      <c r="Y20" s="995">
        <f>IFERROR(V20*R20,0)</f>
        <v/>
      </c>
      <c r="Z20" s="998">
        <f>IFERROR(V20/Q20,0)</f>
        <v/>
      </c>
      <c r="AA20" s="740" t="n"/>
      <c r="AB20" s="674" t="n"/>
      <c r="AC20" s="675" t="n"/>
    </row>
    <row r="21" ht="18" customHeight="1" s="817">
      <c r="P21" s="693" t="inlineStr">
        <is>
          <t xml:space="preserve">  AL — Value-Add</t>
        </is>
      </c>
      <c r="Q21" s="864" t="n"/>
      <c r="R21" s="865" t="n"/>
      <c r="S21" s="864" t="n"/>
      <c r="T21" s="864" t="n"/>
      <c r="U21" s="866" t="n"/>
      <c r="V21" s="864" t="n"/>
      <c r="W21" s="864" t="n"/>
      <c r="X21" s="864" t="n"/>
      <c r="Y21" s="864" t="n"/>
      <c r="Z21" s="864" t="n"/>
      <c r="AA21" s="741" t="n"/>
      <c r="AB21" s="864" t="n"/>
      <c r="AC21" s="866" t="n"/>
    </row>
    <row r="22" ht="15.95" customHeight="1" s="817">
      <c r="A22" s="830" t="inlineStr">
        <is>
          <t>ASSISTED LIVING (AL) COMPS</t>
        </is>
      </c>
      <c r="P22" s="686" t="inlineStr">
        <is>
          <t xml:space="preserve">  Add row 1 (label me)</t>
        </is>
      </c>
      <c r="Q22" s="687" t="n"/>
      <c r="R22" s="723" t="n"/>
      <c r="S22" s="994" t="n"/>
      <c r="T22" s="995">
        <f>IFERROR(S22*R22,0)</f>
        <v/>
      </c>
      <c r="U22" s="996">
        <f>IFERROR(S22/Q22,0)</f>
        <v/>
      </c>
      <c r="V22" s="997">
        <f>IFERROR(H36,0)</f>
        <v/>
      </c>
      <c r="W22" s="692">
        <f>IFERROR(V22/S22-1,"")</f>
        <v/>
      </c>
      <c r="X22" s="995">
        <f>IFERROR(V22-S22,"")</f>
        <v/>
      </c>
      <c r="Y22" s="995">
        <f>IFERROR(V22*R22,0)</f>
        <v/>
      </c>
      <c r="Z22" s="998">
        <f>IFERROR(V22/Q22,0)</f>
        <v/>
      </c>
      <c r="AA22" s="740" t="n"/>
      <c r="AB22" s="674" t="n"/>
      <c r="AC22" s="675" t="n"/>
    </row>
    <row r="23" ht="15.95" customHeight="1" s="817">
      <c r="A23" s="19" t="inlineStr">
        <is>
          <t>Distance (mi)</t>
        </is>
      </c>
      <c r="B23" s="19" t="inlineStr">
        <is>
          <t>Vintage</t>
        </is>
      </c>
      <c r="C23" s="19" t="inlineStr">
        <is>
          <t>Units</t>
        </is>
      </c>
      <c r="D23" s="19" t="inlineStr">
        <is>
          <t>Type</t>
        </is>
      </c>
      <c r="E23" s="19" t="inlineStr">
        <is>
          <t>Property Name</t>
        </is>
      </c>
      <c r="F23" s="19" t="inlineStr">
        <is>
          <t>Base Rent/mo</t>
        </is>
      </c>
      <c r="G23" s="19" t="inlineStr">
        <is>
          <t>Care Fee/mo</t>
        </is>
      </c>
      <c r="H23" s="19" t="inlineStr">
        <is>
          <t>All-In Rate</t>
        </is>
      </c>
      <c r="I23" s="19" t="inlineStr">
        <is>
          <t>Occupancy %</t>
        </is>
      </c>
      <c r="J23" s="19" t="inlineStr">
        <is>
          <t>Sq Ft</t>
        </is>
      </c>
      <c r="K23" s="19" t="inlineStr">
        <is>
          <t>$/Sq Ft</t>
        </is>
      </c>
      <c r="L23" s="19" t="inlineStr">
        <is>
          <t>Notes</t>
        </is>
      </c>
      <c r="P23" s="686" t="inlineStr">
        <is>
          <t xml:space="preserve">  Add row 2 (label me)</t>
        </is>
      </c>
      <c r="Q23" s="687" t="n"/>
      <c r="R23" s="723" t="n"/>
      <c r="S23" s="994" t="n"/>
      <c r="T23" s="995">
        <f>IFERROR(S23*R23,0)</f>
        <v/>
      </c>
      <c r="U23" s="996">
        <f>IFERROR(S23/Q23,0)</f>
        <v/>
      </c>
      <c r="V23" s="997">
        <f>IFERROR(H36,0)</f>
        <v/>
      </c>
      <c r="W23" s="692">
        <f>IFERROR(V23/S23-1,"")</f>
        <v/>
      </c>
      <c r="X23" s="995">
        <f>IFERROR(V23-S23,"")</f>
        <v/>
      </c>
      <c r="Y23" s="995">
        <f>IFERROR(V23*R23,0)</f>
        <v/>
      </c>
      <c r="Z23" s="998">
        <f>IFERROR(V23/Q23,0)</f>
        <v/>
      </c>
      <c r="AA23" s="740" t="n"/>
      <c r="AB23" s="674" t="n"/>
      <c r="AC23" s="675" t="n"/>
    </row>
    <row r="24" ht="18" customHeight="1" s="817">
      <c r="A24" s="68" t="n"/>
      <c r="B24" s="68" t="n"/>
      <c r="C24" s="68" t="n"/>
      <c r="D24" s="223" t="n"/>
      <c r="E24" s="224" t="n"/>
      <c r="F24" s="63" t="n"/>
      <c r="G24" s="63" t="n"/>
      <c r="H24" s="75">
        <f>IFERROR(F24+G24,0)</f>
        <v/>
      </c>
      <c r="I24" s="73" t="n"/>
      <c r="J24" s="68" t="n"/>
      <c r="K24" s="178">
        <f>IFERROR(F24/J24,0)</f>
        <v/>
      </c>
      <c r="L24" s="224" t="n"/>
      <c r="P24" s="693" t="inlineStr">
        <is>
          <t xml:space="preserve">  MC — Value-Add</t>
        </is>
      </c>
      <c r="Q24" s="864" t="n"/>
      <c r="R24" s="865" t="n"/>
      <c r="S24" s="694" t="n"/>
      <c r="T24" s="695" t="n"/>
      <c r="U24" s="731" t="n"/>
      <c r="V24" s="864" t="n"/>
      <c r="W24" s="864" t="n"/>
      <c r="X24" s="864" t="n"/>
      <c r="Y24" s="864" t="n"/>
      <c r="Z24" s="864" t="n"/>
      <c r="AA24" s="741" t="n"/>
      <c r="AB24" s="864" t="n"/>
      <c r="AC24" s="866" t="n"/>
    </row>
    <row r="25" ht="15.95" customHeight="1" s="817">
      <c r="A25" s="107" t="n"/>
      <c r="B25" s="107" t="n"/>
      <c r="C25" s="107" t="n"/>
      <c r="D25" s="225" t="n"/>
      <c r="E25" s="226" t="n"/>
      <c r="F25" s="66" t="n"/>
      <c r="G25" s="66" t="n"/>
      <c r="H25" s="71">
        <f>IFERROR(F25+G25,0)</f>
        <v/>
      </c>
      <c r="I25" s="78" t="n"/>
      <c r="J25" s="107" t="n"/>
      <c r="K25" s="183">
        <f>IFERROR(F25/J25,0)</f>
        <v/>
      </c>
      <c r="L25" s="226" t="n"/>
      <c r="P25" s="686" t="inlineStr">
        <is>
          <t xml:space="preserve">  Add row 1 (label me)</t>
        </is>
      </c>
      <c r="Q25" s="687" t="n"/>
      <c r="R25" s="723" t="n"/>
      <c r="S25" s="994" t="n"/>
      <c r="T25" s="995">
        <f>IFERROR(S25*R25,0)</f>
        <v/>
      </c>
      <c r="U25" s="996">
        <f>IFERROR(S25/Q25,0)</f>
        <v/>
      </c>
      <c r="V25" s="997">
        <f>IFERROR(H53,0)</f>
        <v/>
      </c>
      <c r="W25" s="692">
        <f>IFERROR(V25/S25-1,"")</f>
        <v/>
      </c>
      <c r="X25" s="995">
        <f>IFERROR(V25-S25,"")</f>
        <v/>
      </c>
      <c r="Y25" s="995">
        <f>IFERROR(V25*R25,0)</f>
        <v/>
      </c>
      <c r="Z25" s="998">
        <f>IFERROR(V25/Q25,0)</f>
        <v/>
      </c>
      <c r="AA25" s="740" t="n"/>
      <c r="AB25" s="674" t="n"/>
      <c r="AC25" s="675" t="n"/>
    </row>
    <row r="26" ht="18" customHeight="1" s="817">
      <c r="A26" s="68" t="n"/>
      <c r="B26" s="68" t="n"/>
      <c r="C26" s="68" t="n"/>
      <c r="D26" s="223" t="n"/>
      <c r="E26" s="224" t="n"/>
      <c r="F26" s="63" t="n"/>
      <c r="G26" s="63" t="n"/>
      <c r="H26" s="75">
        <f>IFERROR(F26+G26,0)</f>
        <v/>
      </c>
      <c r="I26" s="73" t="n"/>
      <c r="J26" s="68" t="n"/>
      <c r="K26" s="178">
        <f>IFERROR(F26/J26,0)</f>
        <v/>
      </c>
      <c r="L26" s="224" t="n"/>
      <c r="P26" s="696" t="inlineStr">
        <is>
          <t xml:space="preserve">  Subtotal — Value-Add</t>
        </is>
      </c>
      <c r="Q26" s="697">
        <f t="array" ref="Q26">IFERROR(SUMPRODUCT(Q19:Q25,ABS(R19:R25))/SUMPRODUCT(ABS(R19:R25)),0)</f>
        <v/>
      </c>
      <c r="R26" s="724">
        <f>SUM(R19:R25)</f>
        <v/>
      </c>
      <c r="S26" s="999">
        <f t="array" ref="S26">IFERROR(SUMPRODUCT(S19:S25,ABS(R19:R25))/SUMPRODUCT(ABS(R19:R25)),0)</f>
        <v/>
      </c>
      <c r="T26" s="999">
        <f>SUM(T19:T25)</f>
        <v/>
      </c>
      <c r="U26" s="1000">
        <f>IFERROR(T26/(Q26*R26),0)</f>
        <v/>
      </c>
      <c r="V26" s="999">
        <f t="array" ref="V26">IFERROR(SUMPRODUCT(V19:V25,ABS(R19:R25))/SUMPRODUCT(ABS(R19:R25)),0)</f>
        <v/>
      </c>
      <c r="W26" s="700">
        <f>IFERROR(V26/S26-1,"")</f>
        <v/>
      </c>
      <c r="X26" s="999">
        <f>IFERROR(V26-S26,"")</f>
        <v/>
      </c>
      <c r="Y26" s="999">
        <f>SUM(Y19:Y25)</f>
        <v/>
      </c>
      <c r="Z26" s="1001">
        <f>IFERROR(Y26/(Q26*R26),0)</f>
        <v/>
      </c>
      <c r="AA26" s="742" t="n"/>
      <c r="AB26" s="701" t="n"/>
      <c r="AC26" s="702" t="n"/>
    </row>
    <row r="27" ht="20.1" customHeight="1" s="817" thickBot="1">
      <c r="A27" s="107" t="n"/>
      <c r="B27" s="107" t="n"/>
      <c r="C27" s="107" t="n"/>
      <c r="D27" s="225" t="n"/>
      <c r="E27" s="226" t="n"/>
      <c r="F27" s="66" t="n"/>
      <c r="G27" s="66" t="n"/>
      <c r="H27" s="71">
        <f>IFERROR(F27+G27,0)</f>
        <v/>
      </c>
      <c r="I27" s="78" t="n"/>
      <c r="J27" s="107" t="n"/>
      <c r="K27" s="183">
        <f>IFERROR(F27/J27,0)</f>
        <v/>
      </c>
      <c r="L27" s="226" t="n"/>
      <c r="P27" s="703" t="inlineStr">
        <is>
          <t>TOTAL — STABILIZED  (In-Place + Value-Add)</t>
        </is>
      </c>
      <c r="Q27" s="704">
        <f>IFERROR((Q16*R16+Q26*R26)/(R16+R26),0)</f>
        <v/>
      </c>
      <c r="R27" s="725">
        <f>R16+R26</f>
        <v/>
      </c>
      <c r="S27" s="1002">
        <f>IFERROR((S16*R16+S26*R26)/(R16+R26),0)</f>
        <v/>
      </c>
      <c r="T27" s="1002">
        <f>T16+T26</f>
        <v/>
      </c>
      <c r="U27" s="1003">
        <f>IFERROR(T27/(Q27*R27),0)</f>
        <v/>
      </c>
      <c r="V27" s="1002">
        <f>IFERROR((V16*R16+V26*R26)/(R16+R26),0)</f>
        <v/>
      </c>
      <c r="W27" s="707">
        <f>IFERROR(V27/S27-1,"")</f>
        <v/>
      </c>
      <c r="X27" s="1002">
        <f>IFERROR(V27-S27,"")</f>
        <v/>
      </c>
      <c r="Y27" s="1002">
        <f>Y16+Y26</f>
        <v/>
      </c>
      <c r="Z27" s="1004">
        <f>IFERROR(Y27/(Q27*R27),0)</f>
        <v/>
      </c>
      <c r="AA27" s="743" t="n"/>
      <c r="AB27" s="708" t="n"/>
      <c r="AC27" s="709" t="n"/>
    </row>
    <row r="28" ht="8.1" customHeight="1" s="817" thickBot="1">
      <c r="A28" s="68" t="n"/>
      <c r="B28" s="68" t="n"/>
      <c r="C28" s="68" t="n"/>
      <c r="D28" s="223" t="n"/>
      <c r="E28" s="224" t="n"/>
      <c r="F28" s="63" t="n"/>
      <c r="G28" s="63" t="n"/>
      <c r="H28" s="75">
        <f>IFERROR(F28+G28,0)</f>
        <v/>
      </c>
      <c r="I28" s="73" t="n"/>
      <c r="J28" s="68" t="n"/>
      <c r="K28" s="178">
        <f>IFERROR(F28/J28,0)</f>
        <v/>
      </c>
      <c r="L28" s="224" t="n"/>
      <c r="P28" s="654" t="n"/>
      <c r="Q28" s="654" t="n"/>
      <c r="R28" s="654" t="n"/>
      <c r="S28" s="654" t="n"/>
      <c r="T28" s="654" t="n"/>
      <c r="U28" s="654" t="n"/>
      <c r="V28" s="654" t="n"/>
      <c r="W28" s="654" t="n"/>
      <c r="X28" s="654" t="n"/>
      <c r="Y28" s="654" t="n"/>
      <c r="Z28" s="654" t="n"/>
      <c r="AA28" s="654" t="n"/>
      <c r="AB28" s="654" t="n"/>
      <c r="AC28" s="654" t="n"/>
    </row>
    <row r="29" ht="21.95" customHeight="1" s="817">
      <c r="A29" s="107" t="n"/>
      <c r="B29" s="107" t="n"/>
      <c r="C29" s="107" t="n"/>
      <c r="D29" s="225" t="n"/>
      <c r="E29" s="226" t="n"/>
      <c r="F29" s="66" t="n"/>
      <c r="G29" s="66" t="n"/>
      <c r="H29" s="71">
        <f>IFERROR(F29+G29,0)</f>
        <v/>
      </c>
      <c r="I29" s="78" t="n"/>
      <c r="J29" s="107" t="n"/>
      <c r="K29" s="183">
        <f>IFERROR(F29/J29,0)</f>
        <v/>
      </c>
      <c r="L29" s="226" t="n"/>
      <c r="P29" s="746" t="inlineStr">
        <is>
          <t>SUMMARY</t>
        </is>
      </c>
      <c r="Q29" s="745" t="inlineStr">
        <is>
          <t>Toggle Avg/Max at O2 to flex Current rents</t>
        </is>
      </c>
      <c r="R29" s="745" t="n"/>
      <c r="S29" s="757" t="n"/>
      <c r="T29" s="745" t="n"/>
      <c r="U29" s="745" t="n"/>
      <c r="V29" s="757" t="n"/>
      <c r="W29" s="745" t="n"/>
      <c r="X29" s="745" t="n"/>
      <c r="Y29" s="757" t="n"/>
      <c r="Z29" s="745" t="n"/>
      <c r="AA29" s="745" t="n"/>
      <c r="AB29" s="757" t="n"/>
      <c r="AC29" s="748" t="n"/>
    </row>
    <row r="30" ht="20.1" customHeight="1" s="817">
      <c r="A30" s="68" t="n"/>
      <c r="B30" s="68" t="n"/>
      <c r="C30" s="68" t="n"/>
      <c r="D30" s="223" t="n"/>
      <c r="E30" s="224" t="n"/>
      <c r="F30" s="63" t="n"/>
      <c r="G30" s="63" t="n"/>
      <c r="H30" s="75">
        <f>IFERROR(F30+G30,0)</f>
        <v/>
      </c>
      <c r="I30" s="73" t="n"/>
      <c r="J30" s="68" t="n"/>
      <c r="K30" s="178">
        <f>IFERROR(F30/J30,0)</f>
        <v/>
      </c>
      <c r="L30" s="224" t="n"/>
      <c r="P30" s="747" t="n"/>
      <c r="S30" s="758" t="inlineStr">
        <is>
          <t>Current (In-Place)</t>
        </is>
      </c>
      <c r="V30" s="758" t="inlineStr">
        <is>
          <t>Target (Comp Repriced)</t>
        </is>
      </c>
      <c r="Y30" s="758" t="inlineStr">
        <is>
          <t>Projected (Stabilized)</t>
        </is>
      </c>
      <c r="AB30" s="758" t="inlineStr">
        <is>
          <t>T-12 Actual</t>
        </is>
      </c>
      <c r="AC30" s="749" t="n"/>
    </row>
    <row r="31" ht="17.1" customHeight="1" s="817">
      <c r="A31" s="107" t="n"/>
      <c r="B31" s="107" t="n"/>
      <c r="C31" s="107" t="n"/>
      <c r="D31" s="225" t="n"/>
      <c r="E31" s="226" t="n"/>
      <c r="F31" s="66" t="n"/>
      <c r="G31" s="66" t="n"/>
      <c r="H31" s="71">
        <f>IFERROR(F31+G31,0)</f>
        <v/>
      </c>
      <c r="I31" s="78" t="n"/>
      <c r="J31" s="107" t="n"/>
      <c r="K31" s="183">
        <f>IFERROR(F31/J31,0)</f>
        <v/>
      </c>
      <c r="L31" s="226" t="n"/>
      <c r="P31" s="750" t="inlineStr">
        <is>
          <t>Gross Potential Revenue / mo</t>
        </is>
      </c>
      <c r="Q31" s="751" t="n"/>
      <c r="R31" s="751" t="n"/>
      <c r="S31" s="1005">
        <f>IFERROR(T16,0)</f>
        <v/>
      </c>
      <c r="T31" s="751" t="n"/>
      <c r="U31" s="751" t="n"/>
      <c r="V31" s="1005">
        <f>IFERROR(Y16,0)</f>
        <v/>
      </c>
      <c r="W31" s="751" t="n"/>
      <c r="X31" s="751" t="n"/>
      <c r="Y31" s="1005">
        <f>IFERROR(T27,0)</f>
        <v/>
      </c>
      <c r="Z31" s="751" t="n"/>
      <c r="AA31" s="751" t="inlineStr">
        <is>
          <t>Sum of In-Place rows T5:T15 (Avg/Max toggle drives this)</t>
        </is>
      </c>
      <c r="AB31" s="1005">
        <f>IFERROR('T-12 Analysis'!N58/12,0)</f>
        <v/>
      </c>
      <c r="AC31" s="768" t="inlineStr">
        <is>
          <t>T-12 historical GPR (12-mo billed rent before vacancy/LtL)</t>
        </is>
      </c>
    </row>
    <row r="32" ht="17.1" customHeight="1" s="817">
      <c r="A32" s="68" t="n"/>
      <c r="B32" s="68" t="n"/>
      <c r="C32" s="68" t="n"/>
      <c r="D32" s="223" t="n"/>
      <c r="E32" s="224" t="n"/>
      <c r="F32" s="63" t="n"/>
      <c r="G32" s="63" t="n"/>
      <c r="H32" s="75">
        <f>IFERROR(F32+G32,0)</f>
        <v/>
      </c>
      <c r="I32" s="73" t="n"/>
      <c r="J32" s="68" t="n"/>
      <c r="K32" s="178">
        <f>IFERROR(F32/J32,0)</f>
        <v/>
      </c>
      <c r="L32" s="224" t="n"/>
      <c r="P32" s="752" t="inlineStr">
        <is>
          <t>Gross Potential Revenue / yr (annualized)</t>
        </is>
      </c>
      <c r="Q32" s="674" t="n"/>
      <c r="R32" s="674" t="n"/>
      <c r="S32" s="1006">
        <f>IFERROR(S31*12,0)</f>
        <v/>
      </c>
      <c r="T32" s="674" t="n"/>
      <c r="U32" s="674" t="n"/>
      <c r="V32" s="1006">
        <f>IFERROR(V31*12,0)</f>
        <v/>
      </c>
      <c r="W32" s="674" t="n"/>
      <c r="X32" s="674" t="n"/>
      <c r="Y32" s="1006">
        <f>IFERROR(Y31*12,0)</f>
        <v/>
      </c>
      <c r="Z32" s="674" t="n"/>
      <c r="AA32" s="753" t="inlineStr">
        <is>
          <t>row 31 x 12</t>
        </is>
      </c>
      <c r="AB32" s="1006">
        <f>IFERROR('T-12 Analysis'!N58,0)</f>
        <v/>
      </c>
      <c r="AC32" s="769" t="inlineStr">
        <is>
          <t>From T-12!N58 Gross Potential Rent</t>
        </is>
      </c>
    </row>
    <row r="33" ht="17.1" customHeight="1" s="817">
      <c r="A33" s="107" t="n"/>
      <c r="B33" s="107" t="n"/>
      <c r="C33" s="107" t="n"/>
      <c r="D33" s="225" t="n"/>
      <c r="E33" s="226" t="n"/>
      <c r="F33" s="66" t="n"/>
      <c r="G33" s="66" t="n"/>
      <c r="H33" s="71">
        <f>IFERROR(F33+G33,0)</f>
        <v/>
      </c>
      <c r="I33" s="78" t="n"/>
      <c r="J33" s="107" t="n"/>
      <c r="K33" s="183">
        <f>IFERROR(F33/J33,0)</f>
        <v/>
      </c>
      <c r="L33" s="226" t="n"/>
      <c r="P33" s="754" t="inlineStr">
        <is>
          <t>Implied Avg Rate / Bed / mo</t>
        </is>
      </c>
      <c r="Q33" s="755" t="n"/>
      <c r="R33" s="755" t="n"/>
      <c r="S33" s="1007">
        <f>IFERROR(S31/R16,0)</f>
        <v/>
      </c>
      <c r="T33" s="755" t="n"/>
      <c r="U33" s="755" t="n"/>
      <c r="V33" s="1007">
        <f>IFERROR(V31/R16,0)</f>
        <v/>
      </c>
      <c r="W33" s="755" t="n"/>
      <c r="X33" s="755" t="n"/>
      <c r="Y33" s="1007">
        <f>IFERROR(Y31/R27,0)</f>
        <v/>
      </c>
      <c r="Z33" s="755" t="n"/>
      <c r="AA33" s="756" t="inlineStr">
        <is>
          <t>row 31 / R16 (in-place); Projected uses R27 (stabilized)</t>
        </is>
      </c>
      <c r="AB33" s="1007">
        <f>IFERROR('T-12 Analysis'!N58/12/'Prop Info'!B15,0)</f>
        <v/>
      </c>
      <c r="AC33" s="770" t="inlineStr">
        <is>
          <t>divided by 12 / licensed beds</t>
        </is>
      </c>
    </row>
    <row r="34" ht="17.1" customHeight="1" s="817" thickBot="1">
      <c r="A34" s="68" t="n"/>
      <c r="B34" s="68" t="n"/>
      <c r="C34" s="68" t="n"/>
      <c r="D34" s="223" t="n"/>
      <c r="E34" s="224" t="n"/>
      <c r="F34" s="63" t="n"/>
      <c r="G34" s="63" t="n"/>
      <c r="H34" s="75">
        <f>IFERROR(F34+G34,0)</f>
        <v/>
      </c>
      <c r="I34" s="73" t="n"/>
      <c r="J34" s="68" t="n"/>
      <c r="K34" s="178">
        <f>IFERROR(F34/J34,0)</f>
        <v/>
      </c>
      <c r="L34" s="224" t="n"/>
      <c r="P34" s="764" t="inlineStr">
        <is>
          <t>Gap vs Current ($/mo)</t>
        </is>
      </c>
      <c r="Q34" s="765" t="n"/>
      <c r="R34" s="765" t="n"/>
      <c r="S34" s="1008" t="inlineStr">
        <is>
          <t>-</t>
        </is>
      </c>
      <c r="T34" s="765" t="n"/>
      <c r="U34" s="765" t="n"/>
      <c r="V34" s="1008">
        <f>IFERROR(V31-S31,"")</f>
        <v/>
      </c>
      <c r="W34" s="765" t="n"/>
      <c r="X34" s="765" t="n"/>
      <c r="Y34" s="1008">
        <f>IFERROR(Y31-S31,"")</f>
        <v/>
      </c>
      <c r="Z34" s="765" t="n"/>
      <c r="AA34" s="767" t="inlineStr">
        <is>
          <t>Uplift opportunity vs in-place</t>
        </is>
      </c>
      <c r="AB34" s="1008">
        <f>IFERROR(AB31-S31,"")</f>
        <v/>
      </c>
      <c r="AC34" s="771" t="inlineStr">
        <is>
          <t>Positive = current rent roll below historical; negative = above</t>
        </is>
      </c>
    </row>
    <row r="35" ht="18" customHeight="1" s="817">
      <c r="A35" s="107" t="n"/>
      <c r="B35" s="107" t="n"/>
      <c r="C35" s="107" t="n"/>
      <c r="D35" s="225" t="n"/>
      <c r="E35" s="226" t="n"/>
      <c r="F35" s="66" t="n"/>
      <c r="G35" s="66" t="n"/>
      <c r="H35" s="71">
        <f>IFERROR(F35+G35,0)</f>
        <v/>
      </c>
      <c r="I35" s="78" t="n"/>
      <c r="J35" s="107" t="n"/>
      <c r="K35" s="183">
        <f>IFERROR(F35/J35,0)</f>
        <v/>
      </c>
      <c r="L35" s="226" t="n"/>
    </row>
    <row r="36" ht="18" customHeight="1" s="817">
      <c r="A36" s="130" t="inlineStr">
        <is>
          <t xml:space="preserve">  AVG — AS</t>
        </is>
      </c>
      <c r="F36" s="80">
        <f>IFERROR(AVERAGEIF(F24:F35,"&gt;"&amp;0),0)</f>
        <v/>
      </c>
      <c r="G36" s="80">
        <f>IFERROR(AVERAGEIF(G24:G35,"&gt;"&amp;0),0)</f>
        <v/>
      </c>
      <c r="H36" s="80">
        <f>IFERROR(AVERAGEIF(H24:H35,"&gt;"&amp;0),0)</f>
        <v/>
      </c>
      <c r="I36" s="135">
        <f>IFERROR(AVERAGEIF(I24:I35,"&gt;"&amp;0),0)</f>
        <v/>
      </c>
    </row>
    <row r="37" ht="18" customHeight="1" s="817">
      <c r="A37" s="228" t="inlineStr">
        <is>
          <t xml:space="preserve">  Subj. vs. Avg AS Rent</t>
        </is>
      </c>
      <c r="F37" s="222">
        <f>Scenarios!F38-F36</f>
        <v/>
      </c>
    </row>
    <row r="39" ht="24" customHeight="1" s="817">
      <c r="A39" s="839" t="inlineStr">
        <is>
          <t>MEMORY CARE (MC) COMPS</t>
        </is>
      </c>
    </row>
    <row r="40" ht="30" customHeight="1" s="817">
      <c r="A40" s="196" t="inlineStr">
        <is>
          <t>Distance (mi)</t>
        </is>
      </c>
      <c r="B40" s="196" t="inlineStr">
        <is>
          <t>Vintage</t>
        </is>
      </c>
      <c r="C40" s="196" t="inlineStr">
        <is>
          <t>Units</t>
        </is>
      </c>
      <c r="D40" s="196" t="inlineStr">
        <is>
          <t>Type</t>
        </is>
      </c>
      <c r="E40" s="196" t="inlineStr">
        <is>
          <t>Property Name</t>
        </is>
      </c>
      <c r="F40" s="196" t="inlineStr">
        <is>
          <t>Base Rent/mo</t>
        </is>
      </c>
      <c r="G40" s="196" t="inlineStr">
        <is>
          <t>Care Fee/mo</t>
        </is>
      </c>
      <c r="H40" s="196" t="inlineStr">
        <is>
          <t>All-In Rate</t>
        </is>
      </c>
      <c r="I40" s="196" t="inlineStr">
        <is>
          <t>Occupancy %</t>
        </is>
      </c>
      <c r="J40" s="196" t="inlineStr">
        <is>
          <t>Sq Ft</t>
        </is>
      </c>
      <c r="K40" s="196" t="inlineStr">
        <is>
          <t>$/Sq Ft</t>
        </is>
      </c>
      <c r="L40" s="196" t="inlineStr">
        <is>
          <t>Notes</t>
        </is>
      </c>
    </row>
    <row r="41" ht="18" customHeight="1" s="817">
      <c r="A41" s="68" t="n"/>
      <c r="B41" s="68" t="n"/>
      <c r="C41" s="68" t="n"/>
      <c r="D41" s="223" t="n"/>
      <c r="E41" s="224" t="n"/>
      <c r="F41" s="63" t="n"/>
      <c r="G41" s="63" t="n"/>
      <c r="H41" s="75">
        <f>IFERROR(F41+G41,0)</f>
        <v/>
      </c>
      <c r="I41" s="73" t="n"/>
      <c r="J41" s="68" t="n"/>
      <c r="K41" s="178">
        <f>IFERROR(F41/J41,0)</f>
        <v/>
      </c>
      <c r="L41" s="224" t="n"/>
    </row>
    <row r="42" ht="18" customHeight="1" s="817">
      <c r="A42" s="107" t="n"/>
      <c r="B42" s="107" t="n"/>
      <c r="C42" s="107" t="n"/>
      <c r="D42" s="225" t="n"/>
      <c r="E42" s="226" t="n"/>
      <c r="F42" s="66" t="n"/>
      <c r="G42" s="66" t="n"/>
      <c r="H42" s="71">
        <f>IFERROR(F42+G42,0)</f>
        <v/>
      </c>
      <c r="I42" s="78" t="n"/>
      <c r="J42" s="107" t="n"/>
      <c r="K42" s="183">
        <f>IFERROR(F42/J42,0)</f>
        <v/>
      </c>
      <c r="L42" s="226" t="n"/>
    </row>
    <row r="43" ht="18" customHeight="1" s="817">
      <c r="A43" s="68" t="n"/>
      <c r="B43" s="68" t="n"/>
      <c r="C43" s="68" t="n"/>
      <c r="D43" s="223" t="n"/>
      <c r="E43" s="224" t="n"/>
      <c r="F43" s="63" t="n"/>
      <c r="G43" s="63" t="n"/>
      <c r="H43" s="75">
        <f>IFERROR(F43+G43,0)</f>
        <v/>
      </c>
      <c r="I43" s="73" t="n"/>
      <c r="J43" s="68" t="n"/>
      <c r="K43" s="178">
        <f>IFERROR(F43/J43,0)</f>
        <v/>
      </c>
      <c r="L43" s="224" t="n"/>
    </row>
    <row r="44" ht="18" customHeight="1" s="817">
      <c r="A44" s="107" t="n"/>
      <c r="B44" s="107" t="n"/>
      <c r="C44" s="107" t="n"/>
      <c r="D44" s="225" t="n"/>
      <c r="E44" s="226" t="n"/>
      <c r="F44" s="66" t="n"/>
      <c r="G44" s="66" t="n"/>
      <c r="H44" s="71">
        <f>IFERROR(F44+G44,0)</f>
        <v/>
      </c>
      <c r="I44" s="78" t="n"/>
      <c r="J44" s="107" t="n"/>
      <c r="K44" s="183">
        <f>IFERROR(F44/J44,0)</f>
        <v/>
      </c>
      <c r="L44" s="226" t="n"/>
    </row>
    <row r="45" ht="18" customHeight="1" s="817">
      <c r="A45" s="68" t="n"/>
      <c r="B45" s="68" t="n"/>
      <c r="C45" s="68" t="n"/>
      <c r="D45" s="223" t="n"/>
      <c r="E45" s="224" t="n"/>
      <c r="F45" s="63" t="n"/>
      <c r="G45" s="63" t="n"/>
      <c r="H45" s="75">
        <f>IFERROR(F45+G45,0)</f>
        <v/>
      </c>
      <c r="I45" s="73" t="n"/>
      <c r="J45" s="68" t="n"/>
      <c r="K45" s="178">
        <f>IFERROR(F45/J45,0)</f>
        <v/>
      </c>
      <c r="L45" s="224" t="n"/>
    </row>
    <row r="46" ht="18" customHeight="1" s="817">
      <c r="A46" s="107" t="n"/>
      <c r="B46" s="107" t="n"/>
      <c r="C46" s="107" t="n"/>
      <c r="D46" s="225" t="n"/>
      <c r="E46" s="226" t="n"/>
      <c r="F46" s="66" t="n"/>
      <c r="G46" s="66" t="n"/>
      <c r="H46" s="71">
        <f>IFERROR(F46+G46,0)</f>
        <v/>
      </c>
      <c r="I46" s="78" t="n"/>
      <c r="J46" s="107" t="n"/>
      <c r="K46" s="183">
        <f>IFERROR(F46/J46,0)</f>
        <v/>
      </c>
      <c r="L46" s="226" t="n"/>
    </row>
    <row r="47" ht="18" customHeight="1" s="817">
      <c r="A47" s="68" t="n"/>
      <c r="B47" s="68" t="n"/>
      <c r="C47" s="68" t="n"/>
      <c r="D47" s="223" t="n"/>
      <c r="E47" s="224" t="n"/>
      <c r="F47" s="63" t="n"/>
      <c r="G47" s="63" t="n"/>
      <c r="H47" s="75">
        <f>IFERROR(F47+G47,0)</f>
        <v/>
      </c>
      <c r="I47" s="73" t="n"/>
      <c r="J47" s="68" t="n"/>
      <c r="K47" s="178">
        <f>IFERROR(F47/J47,0)</f>
        <v/>
      </c>
      <c r="L47" s="224" t="n"/>
    </row>
    <row r="48" ht="18" customHeight="1" s="817">
      <c r="A48" s="107" t="n"/>
      <c r="B48" s="107" t="n"/>
      <c r="C48" s="107" t="n"/>
      <c r="D48" s="225" t="n"/>
      <c r="E48" s="226" t="n"/>
      <c r="F48" s="66" t="n"/>
      <c r="G48" s="66" t="n"/>
      <c r="H48" s="71">
        <f>IFERROR(F48+G48,0)</f>
        <v/>
      </c>
      <c r="I48" s="78" t="n"/>
      <c r="J48" s="107" t="n"/>
      <c r="K48" s="183">
        <f>IFERROR(F48/J48,0)</f>
        <v/>
      </c>
      <c r="L48" s="226" t="n"/>
    </row>
    <row r="49" ht="18" customHeight="1" s="817">
      <c r="A49" s="68" t="n"/>
      <c r="B49" s="68" t="n"/>
      <c r="C49" s="68" t="n"/>
      <c r="D49" s="223" t="n"/>
      <c r="E49" s="224" t="n"/>
      <c r="F49" s="63" t="n"/>
      <c r="G49" s="63" t="n"/>
      <c r="H49" s="75">
        <f>IFERROR(F49+G49,0)</f>
        <v/>
      </c>
      <c r="I49" s="73" t="n"/>
      <c r="J49" s="68" t="n"/>
      <c r="K49" s="178">
        <f>IFERROR(F49/J49,0)</f>
        <v/>
      </c>
      <c r="L49" s="224" t="n"/>
    </row>
    <row r="50" ht="18" customHeight="1" s="817">
      <c r="A50" s="107" t="n"/>
      <c r="B50" s="107" t="n"/>
      <c r="C50" s="107" t="n"/>
      <c r="D50" s="225" t="n"/>
      <c r="E50" s="226" t="n"/>
      <c r="F50" s="66" t="n"/>
      <c r="G50" s="66" t="n"/>
      <c r="H50" s="71">
        <f>IFERROR(F50+G50,0)</f>
        <v/>
      </c>
      <c r="I50" s="78" t="n"/>
      <c r="J50" s="107" t="n"/>
      <c r="K50" s="183">
        <f>IFERROR(F50/J50,0)</f>
        <v/>
      </c>
      <c r="L50" s="226" t="n"/>
    </row>
    <row r="51" ht="18" customHeight="1" s="817">
      <c r="A51" s="68" t="n"/>
      <c r="B51" s="68" t="n"/>
      <c r="C51" s="68" t="n"/>
      <c r="D51" s="223" t="n"/>
      <c r="E51" s="224" t="n"/>
      <c r="F51" s="63" t="n"/>
      <c r="G51" s="63" t="n"/>
      <c r="H51" s="75">
        <f>IFERROR(F51+G51,0)</f>
        <v/>
      </c>
      <c r="I51" s="73" t="n"/>
      <c r="J51" s="68" t="n"/>
      <c r="K51" s="178">
        <f>IFERROR(F51/J51,0)</f>
        <v/>
      </c>
      <c r="L51" s="224" t="n"/>
    </row>
    <row r="52" ht="18" customHeight="1" s="817">
      <c r="A52" s="107" t="n"/>
      <c r="B52" s="107" t="n"/>
      <c r="C52" s="107" t="n"/>
      <c r="D52" s="225" t="n"/>
      <c r="E52" s="226" t="n"/>
      <c r="F52" s="66" t="n"/>
      <c r="G52" s="66" t="n"/>
      <c r="H52" s="71">
        <f>IFERROR(F52+G52,0)</f>
        <v/>
      </c>
      <c r="I52" s="78" t="n"/>
      <c r="J52" s="107" t="n"/>
      <c r="K52" s="183">
        <f>IFERROR(F52/J52,0)</f>
        <v/>
      </c>
      <c r="L52" s="226" t="n"/>
    </row>
    <row r="53" ht="18" customHeight="1" s="817">
      <c r="A53" s="130" t="inlineStr">
        <is>
          <t xml:space="preserve">  AVG — ME</t>
        </is>
      </c>
      <c r="F53" s="80">
        <f>IFERROR(AVERAGEIF(F41:F52,"&gt;"&amp;0),0)</f>
        <v/>
      </c>
      <c r="G53" s="80">
        <f>IFERROR(AVERAGEIF(G41:G52,"&gt;"&amp;0),0)</f>
        <v/>
      </c>
      <c r="H53" s="80">
        <f>IFERROR(AVERAGEIF(H41:H52,"&gt;"&amp;0),0)</f>
        <v/>
      </c>
      <c r="I53" s="135">
        <f>IFERROR(AVERAGEIF(I41:I52,"&gt;"&amp;0),0)</f>
        <v/>
      </c>
    </row>
    <row r="54" ht="18" customHeight="1" s="817">
      <c r="A54" s="228" t="inlineStr">
        <is>
          <t xml:space="preserve">  Subj. vs. Avg ME Rent</t>
        </is>
      </c>
      <c r="F54" s="222">
        <f>Scenarios!F38-F53</f>
        <v/>
      </c>
    </row>
  </sheetData>
  <mergeCells count="11">
    <mergeCell ref="A2:L2"/>
    <mergeCell ref="P1:AA1"/>
    <mergeCell ref="V2:Z2"/>
    <mergeCell ref="P8:AA8"/>
    <mergeCell ref="A1:L1"/>
    <mergeCell ref="A5:L5"/>
    <mergeCell ref="A22:L22"/>
    <mergeCell ref="A39:L39"/>
    <mergeCell ref="S2:U2"/>
    <mergeCell ref="P12:AA12"/>
    <mergeCell ref="P4:AA4"/>
  </mergeCells>
  <dataValidations disablePrompts="1" count="1">
    <dataValidation sqref="O2" showDropDown="0" showInputMessage="1" showErrorMessage="1" allowBlank="1" errorTitle="Rent Basis" error="Choose Average or Max" type="list">
      <formula1>"Average,Max"</formula1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3"/>
  <sheetViews>
    <sheetView topLeftCell="A7" zoomScaleNormal="100" workbookViewId="0">
      <selection activeCell="D52" sqref="D52"/>
    </sheetView>
  </sheetViews>
  <sheetFormatPr baseColWidth="8" defaultColWidth="8.85546875" defaultRowHeight="15"/>
  <cols>
    <col width="32" customWidth="1" style="817" min="1" max="1"/>
    <col width="10" customWidth="1" style="817" min="2" max="2"/>
    <col width="14" customWidth="1" style="817" min="3" max="7"/>
  </cols>
  <sheetData>
    <row r="1" ht="24" customHeight="1" s="817">
      <c r="A1" s="827" t="inlineStr">
        <is>
          <t>CAPITAL EXPENDITURE BUDGET — DETAILED BREAKDOWN</t>
        </is>
      </c>
    </row>
    <row r="2" ht="15.75" customHeight="1" s="817">
      <c r="A2" s="835" t="inlineStr">
        <is>
          <t xml:space="preserve">  Classify each item as Value-Add (VA) or Maintenance (M). VA flows into LTC; Maintenance is operating reserve.</t>
        </is>
      </c>
    </row>
    <row r="3" ht="30" customHeight="1" s="817">
      <c r="A3" s="32" t="inlineStr">
        <is>
          <t>Item</t>
        </is>
      </c>
      <c r="B3" s="32" t="inlineStr">
        <is>
          <t>Qty</t>
        </is>
      </c>
      <c r="C3" s="32" t="inlineStr">
        <is>
          <t>Unit Cost</t>
        </is>
      </c>
      <c r="D3" s="32" t="inlineStr">
        <is>
          <t>Total Cost</t>
        </is>
      </c>
      <c r="E3" s="32" t="inlineStr">
        <is>
          <t>VA or M?</t>
        </is>
      </c>
      <c r="F3" s="32" t="inlineStr">
        <is>
          <t>Funded By</t>
        </is>
      </c>
      <c r="G3" s="32" t="inlineStr">
        <is>
          <t>Notes</t>
        </is>
      </c>
    </row>
    <row r="4" ht="19.5" customHeight="1" s="817">
      <c r="A4" s="833" t="inlineStr">
        <is>
          <t xml:space="preserve">  EXTERIOR &amp; GROUNDS</t>
        </is>
      </c>
    </row>
    <row r="5" ht="18" customHeight="1" s="817">
      <c r="A5" s="62" t="inlineStr">
        <is>
          <t>Roof Replacement</t>
        </is>
      </c>
      <c r="B5" s="68" t="n"/>
      <c r="C5" s="63" t="n"/>
      <c r="D5" s="75">
        <f>B5*C5</f>
        <v/>
      </c>
      <c r="E5" s="223" t="n"/>
      <c r="F5" s="223" t="n"/>
    </row>
    <row r="6" ht="18" customHeight="1" s="817">
      <c r="A6" s="65" t="inlineStr">
        <is>
          <t>Parking Lot Resurface</t>
        </is>
      </c>
      <c r="B6" s="107" t="n"/>
      <c r="C6" s="66" t="n"/>
      <c r="D6" s="71">
        <f>B6*C6</f>
        <v/>
      </c>
      <c r="E6" s="225" t="n"/>
      <c r="F6" s="225" t="n"/>
    </row>
    <row r="7" ht="18" customHeight="1" s="817">
      <c r="A7" s="62" t="inlineStr">
        <is>
          <t>Landscaping / Curb Appeal</t>
        </is>
      </c>
      <c r="B7" s="68" t="n"/>
      <c r="C7" s="63" t="n"/>
      <c r="D7" s="75">
        <f>B7*C7</f>
        <v/>
      </c>
      <c r="E7" s="223" t="n"/>
      <c r="F7" s="223" t="n"/>
    </row>
    <row r="8" ht="18" customHeight="1" s="817">
      <c r="A8" s="65" t="inlineStr">
        <is>
          <t>Signage</t>
        </is>
      </c>
      <c r="B8" s="107" t="n"/>
      <c r="C8" s="66" t="n"/>
      <c r="D8" s="71">
        <f>B8*C8</f>
        <v/>
      </c>
      <c r="E8" s="225" t="n"/>
      <c r="F8" s="225" t="n"/>
    </row>
    <row r="9" ht="18" customHeight="1" s="817">
      <c r="A9" s="62" t="inlineStr">
        <is>
          <t>Exterior Paint / Siding</t>
        </is>
      </c>
      <c r="B9" s="68" t="n"/>
      <c r="C9" s="63" t="n"/>
      <c r="D9" s="75">
        <f>B9*C9</f>
        <v/>
      </c>
      <c r="E9" s="223" t="n"/>
      <c r="F9" s="223" t="n"/>
    </row>
    <row r="10" ht="18" customHeight="1" s="817">
      <c r="A10" s="65" t="inlineStr">
        <is>
          <t>Lighting (exterior)</t>
        </is>
      </c>
      <c r="B10" s="107" t="n"/>
      <c r="C10" s="66" t="n"/>
      <c r="D10" s="71">
        <f>B10*C10</f>
        <v/>
      </c>
      <c r="E10" s="225" t="n"/>
      <c r="F10" s="225" t="n"/>
    </row>
    <row r="11" ht="18" customHeight="1" s="817">
      <c r="A11" s="137" t="inlineStr">
        <is>
          <t xml:space="preserve">  Subtotal — EXTERIOR &amp; GROUNDS</t>
        </is>
      </c>
      <c r="D11" s="79">
        <f>SUM(D5:D10)</f>
        <v/>
      </c>
    </row>
    <row r="13" ht="19.5" customHeight="1" s="817">
      <c r="A13" s="833" t="inlineStr">
        <is>
          <t xml:space="preserve">  COMMON AREAS</t>
        </is>
      </c>
    </row>
    <row r="14" ht="18" customHeight="1" s="817">
      <c r="A14" s="62" t="inlineStr">
        <is>
          <t>Lobby / Reception Renovation</t>
        </is>
      </c>
      <c r="B14" s="68" t="n">
        <v>1</v>
      </c>
      <c r="C14" s="63" t="n"/>
      <c r="D14" s="75">
        <f>B14*C14</f>
        <v/>
      </c>
      <c r="E14" s="223" t="inlineStr">
        <is>
          <t>M</t>
        </is>
      </c>
      <c r="F14" s="223" t="n"/>
      <c r="G14" t="inlineStr">
        <is>
          <t>Placeholders</t>
        </is>
      </c>
    </row>
    <row r="15" ht="18" customHeight="1" s="817">
      <c r="A15" s="65" t="inlineStr">
        <is>
          <t>Dining Room Renovation</t>
        </is>
      </c>
      <c r="B15" s="107" t="n"/>
      <c r="C15" s="66" t="n"/>
      <c r="D15" s="71">
        <f>B15*C15</f>
        <v/>
      </c>
      <c r="E15" s="225" t="n"/>
      <c r="F15" s="225" t="n"/>
      <c r="G15" t="inlineStr">
        <is>
          <t>Placeholders</t>
        </is>
      </c>
    </row>
    <row r="16" ht="18" customHeight="1" s="817">
      <c r="A16" s="62" t="inlineStr">
        <is>
          <t>Activity Room Renovation</t>
        </is>
      </c>
      <c r="B16" s="68" t="n"/>
      <c r="C16" s="63" t="n"/>
      <c r="D16" s="75">
        <f>B16*C16</f>
        <v/>
      </c>
      <c r="E16" s="223" t="n"/>
      <c r="F16" s="223" t="n"/>
      <c r="G16" t="inlineStr">
        <is>
          <t>Placeholders</t>
        </is>
      </c>
    </row>
    <row r="17" ht="18" customHeight="1" s="817">
      <c r="A17" s="65" t="inlineStr">
        <is>
          <t>Hallway Flooring</t>
        </is>
      </c>
      <c r="B17" s="107" t="n"/>
      <c r="C17" s="66" t="n"/>
      <c r="D17" s="71">
        <f>B17*C17</f>
        <v/>
      </c>
      <c r="E17" s="225" t="n"/>
      <c r="F17" s="225" t="n"/>
    </row>
    <row r="18" ht="18" customHeight="1" s="817">
      <c r="A18" s="62" t="inlineStr">
        <is>
          <t>Common Area Furniture (FF&amp;E)</t>
        </is>
      </c>
      <c r="B18" s="68" t="n"/>
      <c r="C18" s="63" t="n"/>
      <c r="D18" s="75">
        <f>B18*C18</f>
        <v/>
      </c>
      <c r="E18" s="223" t="n"/>
      <c r="F18" s="223" t="n"/>
      <c r="G18" t="inlineStr">
        <is>
          <t>placehodlers</t>
        </is>
      </c>
    </row>
    <row r="19" ht="18" customHeight="1" s="817">
      <c r="A19" s="65" t="inlineStr">
        <is>
          <t>Elevator Modernization</t>
        </is>
      </c>
      <c r="B19" s="107" t="n"/>
      <c r="C19" s="66" t="n"/>
      <c r="D19" s="71">
        <f>B19*C19</f>
        <v/>
      </c>
      <c r="E19" s="225" t="n"/>
      <c r="F19" s="225" t="n"/>
    </row>
    <row r="20" ht="18" customHeight="1" s="817">
      <c r="A20" s="137" t="inlineStr">
        <is>
          <t xml:space="preserve">  Subtotal — COMMON AREAS</t>
        </is>
      </c>
      <c r="D20" s="79">
        <f>SUM(D14:D19)</f>
        <v/>
      </c>
    </row>
    <row r="22" ht="19.5" customHeight="1" s="817">
      <c r="A22" s="833" t="inlineStr">
        <is>
          <t xml:space="preserve">  UNIT INTERIORS</t>
        </is>
      </c>
    </row>
    <row r="23" ht="18" customHeight="1" s="817">
      <c r="A23" s="62" t="inlineStr">
        <is>
          <t>Unit Flooring (per unit)</t>
        </is>
      </c>
      <c r="B23" s="68" t="n"/>
      <c r="C23" s="63" t="n"/>
      <c r="D23" s="75">
        <f>B23*C23</f>
        <v/>
      </c>
      <c r="E23" s="223" t="n"/>
      <c r="F23" s="223" t="n"/>
    </row>
    <row r="24" ht="18" customHeight="1" s="817">
      <c r="A24" s="65" t="inlineStr">
        <is>
          <t>Unit Paint (per unit)</t>
        </is>
      </c>
      <c r="B24" s="107" t="n"/>
      <c r="C24" s="66" t="n"/>
      <c r="D24" s="71">
        <f>B24*C24</f>
        <v/>
      </c>
      <c r="E24" s="225" t="n"/>
      <c r="F24" s="225" t="n"/>
    </row>
    <row r="25" ht="18" customHeight="1" s="817">
      <c r="A25" s="62" t="inlineStr">
        <is>
          <t>Bathroom Grab Bars / ADA (per unit)</t>
        </is>
      </c>
      <c r="B25" s="68" t="n"/>
      <c r="C25" s="63" t="n"/>
      <c r="D25" s="75">
        <f>B25*C25</f>
        <v/>
      </c>
      <c r="E25" s="223" t="n"/>
      <c r="F25" s="223" t="n"/>
    </row>
    <row r="26" ht="18" customHeight="1" s="817">
      <c r="A26" s="65" t="inlineStr">
        <is>
          <t>Kitchen Appliances (per unit)</t>
        </is>
      </c>
      <c r="B26" s="107" t="n"/>
      <c r="C26" s="66" t="n"/>
      <c r="D26" s="71">
        <f>B26*C26</f>
        <v/>
      </c>
      <c r="E26" s="225" t="n"/>
      <c r="F26" s="225" t="n"/>
    </row>
    <row r="27" ht="18" customHeight="1" s="817">
      <c r="A27" s="62" t="inlineStr">
        <is>
          <t>Unit Door / Hardware Upgrade</t>
        </is>
      </c>
      <c r="B27" s="68" t="n"/>
      <c r="C27" s="63" t="n"/>
      <c r="D27" s="75">
        <f>B27*C27</f>
        <v/>
      </c>
      <c r="E27" s="223" t="n"/>
      <c r="F27" s="223" t="n"/>
    </row>
    <row r="28" ht="18" customHeight="1" s="817">
      <c r="A28" s="65" t="inlineStr">
        <is>
          <t>Window Replacement (per unit)</t>
        </is>
      </c>
      <c r="B28" s="107" t="n"/>
      <c r="C28" s="66" t="n"/>
      <c r="D28" s="71">
        <f>B28*C28</f>
        <v/>
      </c>
      <c r="E28" s="225" t="n"/>
      <c r="F28" s="225" t="n"/>
    </row>
    <row r="29" ht="18" customHeight="1" s="817">
      <c r="A29" s="137" t="inlineStr">
        <is>
          <t xml:space="preserve">  Subtotal — UNIT INTERIORS</t>
        </is>
      </c>
      <c r="D29" s="79">
        <f>SUM(D23:D28)</f>
        <v/>
      </c>
    </row>
    <row r="31" ht="19.5" customHeight="1" s="817">
      <c r="A31" s="833" t="inlineStr">
        <is>
          <t xml:space="preserve">  MEDICAL &amp; SAFETY</t>
        </is>
      </c>
    </row>
    <row r="32" ht="18" customHeight="1" s="817">
      <c r="A32" s="62" t="inlineStr">
        <is>
          <t>Nurse Call System Upgrade</t>
        </is>
      </c>
      <c r="B32" s="68" t="n"/>
      <c r="C32" s="63" t="n"/>
      <c r="D32" s="75">
        <f>B32*C32</f>
        <v/>
      </c>
      <c r="E32" s="223" t="n"/>
      <c r="F32" s="223" t="n"/>
    </row>
    <row r="33" ht="18" customHeight="1" s="817">
      <c r="A33" s="65" t="inlineStr">
        <is>
          <t>Fire Suppression / Sprinklers</t>
        </is>
      </c>
      <c r="B33" s="107" t="n"/>
      <c r="C33" s="66" t="n"/>
      <c r="D33" s="71">
        <f>B33*C33</f>
        <v/>
      </c>
      <c r="E33" s="225" t="n"/>
      <c r="F33" s="225" t="n"/>
    </row>
    <row r="34" ht="18" customHeight="1" s="817">
      <c r="A34" s="62" t="inlineStr">
        <is>
          <t>HVAC Units</t>
        </is>
      </c>
      <c r="B34" s="68" t="n"/>
      <c r="C34" s="63" t="n"/>
      <c r="D34" s="75">
        <f>B34*C34</f>
        <v/>
      </c>
      <c r="E34" s="223" t="n"/>
      <c r="F34" s="223" t="n"/>
    </row>
    <row r="35" ht="18" customHeight="1" s="817">
      <c r="A35" s="65" t="inlineStr">
        <is>
          <t>Emergency Generator</t>
        </is>
      </c>
      <c r="B35" s="107" t="n"/>
      <c r="C35" s="66" t="n"/>
      <c r="D35" s="71">
        <f>B35*C35</f>
        <v/>
      </c>
      <c r="E35" s="225" t="n"/>
      <c r="F35" s="225" t="n"/>
    </row>
    <row r="36" ht="18" customHeight="1" s="817">
      <c r="A36" s="62" t="inlineStr">
        <is>
          <t>Security Camera System</t>
        </is>
      </c>
      <c r="B36" s="68" t="n"/>
      <c r="C36" s="63" t="n"/>
      <c r="D36" s="75">
        <f>B36*C36</f>
        <v/>
      </c>
      <c r="E36" s="223" t="n"/>
      <c r="F36" s="223" t="n"/>
    </row>
    <row r="37" ht="18" customHeight="1" s="817">
      <c r="A37" s="65" t="inlineStr">
        <is>
          <t>Medication Management System</t>
        </is>
      </c>
      <c r="B37" s="107" t="n"/>
      <c r="C37" s="66" t="n"/>
      <c r="D37" s="71">
        <f>B37*C37</f>
        <v/>
      </c>
      <c r="E37" s="225" t="n"/>
      <c r="F37" s="225" t="n"/>
    </row>
    <row r="38" ht="18" customHeight="1" s="817">
      <c r="A38" s="137" t="inlineStr">
        <is>
          <t xml:space="preserve">  Subtotal — MEDICAL &amp; SAFETY</t>
        </is>
      </c>
      <c r="D38" s="79">
        <f>SUM(D32:D37)</f>
        <v/>
      </c>
    </row>
    <row r="40" ht="19.5" customHeight="1" s="817">
      <c r="A40" s="833" t="inlineStr">
        <is>
          <t xml:space="preserve">  TECHNOLOGY &amp; SYSTEMS</t>
        </is>
      </c>
    </row>
    <row r="41" ht="18" customHeight="1" s="817">
      <c r="A41" s="62" t="inlineStr">
        <is>
          <t>EHR / Resident Mgmt Software</t>
        </is>
      </c>
      <c r="B41" s="68" t="n"/>
      <c r="C41" s="63" t="n"/>
      <c r="D41" s="75">
        <f>B41*C41</f>
        <v/>
      </c>
      <c r="E41" s="223" t="n"/>
      <c r="F41" s="223" t="n"/>
    </row>
    <row r="42" ht="18" customHeight="1" s="817">
      <c r="A42" s="65" t="inlineStr">
        <is>
          <t>WiFi Infrastructure</t>
        </is>
      </c>
      <c r="B42" s="107" t="n"/>
      <c r="C42" s="66" t="n"/>
      <c r="D42" s="71">
        <f>B42*C42</f>
        <v/>
      </c>
      <c r="E42" s="225" t="n"/>
      <c r="F42" s="225" t="n"/>
    </row>
    <row r="43" ht="18" customHeight="1" s="817">
      <c r="A43" s="62" t="inlineStr">
        <is>
          <t>Telephone / Intercom System</t>
        </is>
      </c>
      <c r="B43" s="68" t="n"/>
      <c r="C43" s="63" t="n"/>
      <c r="D43" s="75">
        <f>B43*C43</f>
        <v/>
      </c>
      <c r="E43" s="223" t="n"/>
      <c r="F43" s="223" t="n"/>
    </row>
    <row r="44" ht="18" customHeight="1" s="817">
      <c r="A44" s="65" t="inlineStr">
        <is>
          <t>Access Control / Key Card</t>
        </is>
      </c>
      <c r="B44" s="107" t="n"/>
      <c r="C44" s="66" t="n"/>
      <c r="D44" s="71">
        <f>B44*C44</f>
        <v/>
      </c>
      <c r="E44" s="225" t="n"/>
      <c r="F44" s="225" t="n"/>
    </row>
    <row r="45" ht="18" customHeight="1" s="817">
      <c r="A45" s="137" t="inlineStr">
        <is>
          <t xml:space="preserve">  Subtotal — TECHNOLOGY &amp; SYSTEMS</t>
        </is>
      </c>
      <c r="D45" s="79">
        <f>SUM(D41:D44)</f>
        <v/>
      </c>
    </row>
    <row r="47" ht="19.5" customHeight="1" s="817">
      <c r="A47" s="833" t="inlineStr">
        <is>
          <t xml:space="preserve">  CONTINGENCY</t>
        </is>
      </c>
    </row>
    <row r="48" ht="18" customHeight="1" s="817">
      <c r="A48" s="62" t="inlineStr">
        <is>
          <t>Contingency (10%)</t>
        </is>
      </c>
      <c r="B48" s="68" t="n"/>
      <c r="D48" s="75">
        <f>(D11+D20+D29+D38+D45)*0.1</f>
        <v/>
      </c>
      <c r="E48" s="223" t="n"/>
      <c r="F48" s="223" t="n"/>
    </row>
    <row r="49" ht="18" customHeight="1" s="817">
      <c r="A49" s="137" t="inlineStr">
        <is>
          <t xml:space="preserve">  Subtotal — CONTINGENCY</t>
        </is>
      </c>
      <c r="D49" s="79">
        <f>SUM(D48:D48)</f>
        <v/>
      </c>
    </row>
    <row r="51" ht="18" customHeight="1" s="817">
      <c r="A51" s="840" t="inlineStr">
        <is>
          <t>TOTAL CAPEX BUDGET</t>
        </is>
      </c>
      <c r="D51" s="160">
        <f>SUM(D11,D20,D29,D38,D45,D49)</f>
        <v/>
      </c>
    </row>
    <row r="52" ht="18" customHeight="1" s="817">
      <c r="A52" s="229" t="inlineStr">
        <is>
          <t xml:space="preserve">  Value-Add CapEx (VA)</t>
        </is>
      </c>
      <c r="D52" s="64">
        <f>SUMIF(E4:E50,"VA",D4:D50)</f>
        <v/>
      </c>
    </row>
    <row r="53" ht="18" customHeight="1" s="817">
      <c r="A53" s="8" t="inlineStr">
        <is>
          <t xml:space="preserve">  Maintenance CapEx (M)</t>
        </is>
      </c>
      <c r="D53" s="75">
        <f>SUMIF(E4:E50,"M",D4:D50)</f>
        <v/>
      </c>
    </row>
  </sheetData>
  <mergeCells count="8">
    <mergeCell ref="A13:G13"/>
    <mergeCell ref="A1:G1"/>
    <mergeCell ref="A40:G40"/>
    <mergeCell ref="A31:G31"/>
    <mergeCell ref="A22:G22"/>
    <mergeCell ref="A4:G4"/>
    <mergeCell ref="A2:G2"/>
    <mergeCell ref="A47:G47"/>
  </mergeCells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2"/>
  <sheetViews>
    <sheetView zoomScale="120" zoomScaleNormal="120" workbookViewId="0">
      <selection activeCell="E31" sqref="E31"/>
    </sheetView>
  </sheetViews>
  <sheetFormatPr baseColWidth="8" defaultColWidth="8.85546875" defaultRowHeight="15"/>
  <cols>
    <col width="40" customWidth="1" style="817" min="1" max="1"/>
    <col width="12.42578125" customWidth="1" style="817" min="2" max="2"/>
    <col width="20.85546875" customWidth="1" style="817" min="3" max="3"/>
    <col width="3" customWidth="1" style="817" min="4" max="4"/>
    <col width="40" customWidth="1" style="817" min="5" max="5"/>
    <col width="12.42578125" customWidth="1" style="817" min="6" max="6"/>
    <col width="20.85546875" customWidth="1" style="817" min="7" max="7"/>
    <col width="12.42578125" customWidth="1" style="817" min="8" max="8"/>
    <col width="6" customWidth="1" style="817" min="9" max="11"/>
  </cols>
  <sheetData>
    <row r="1" ht="24" customHeight="1" s="817">
      <c r="A1" s="878" t="inlineStr">
        <is>
          <t>EXIT STRATEGY — REFINANCE &amp; SALE ANALYSIS</t>
        </is>
      </c>
      <c r="D1" s="878" t="n"/>
      <c r="E1" s="878" t="n"/>
      <c r="F1" s="878" t="n"/>
      <c r="G1" s="878" t="n"/>
      <c r="H1" s="878" t="n"/>
    </row>
    <row r="2" ht="6" customHeight="1" s="817">
      <c r="A2" s="779" t="n"/>
      <c r="B2" s="778" t="n"/>
      <c r="C2" s="778" t="n"/>
      <c r="D2" s="778" t="n"/>
      <c r="E2" s="778" t="n"/>
      <c r="F2" s="778" t="n"/>
      <c r="G2" s="778" t="n"/>
      <c r="H2" s="778" t="n"/>
    </row>
    <row r="3" ht="6" customHeight="1" s="817">
      <c r="A3" s="778" t="n"/>
      <c r="B3" s="778" t="n"/>
      <c r="C3" s="778" t="n"/>
      <c r="D3" s="778" t="n"/>
      <c r="E3" s="778" t="n"/>
      <c r="F3" s="778" t="n"/>
      <c r="G3" s="778" t="n"/>
      <c r="H3" s="778" t="n"/>
    </row>
    <row r="4" ht="20.1" customHeight="1" s="817">
      <c r="A4" s="818">
        <f>IF(ISNUMBER(C5),"Refi - Year "&amp;C5,"Refinance (set Refi Year below)")</f>
        <v/>
      </c>
      <c r="B4" s="818" t="n"/>
      <c r="C4" s="818" t="n"/>
      <c r="D4" s="778" t="n"/>
      <c r="E4" s="820">
        <f>IF(ISNUMBER(Scenarios!F129),"Sale - Year "&amp;Scenarios!F129,"Sale (set Exit Year in Scenarios)")</f>
        <v/>
      </c>
      <c r="F4" s="820" t="n"/>
      <c r="G4" s="820" t="n"/>
      <c r="H4" s="820" t="n"/>
      <c r="I4" s="230" t="n"/>
      <c r="J4" s="159" t="n"/>
      <c r="K4" s="231" t="n"/>
    </row>
    <row r="5" ht="15.95" customHeight="1" s="817">
      <c r="A5" s="781" t="inlineStr">
        <is>
          <t>Refi Year (or NA)</t>
        </is>
      </c>
      <c r="B5" s="880" t="n"/>
      <c r="C5" s="789" t="n">
        <v>3</v>
      </c>
      <c r="D5" s="778" t="n"/>
      <c r="E5" s="781" t="inlineStr">
        <is>
          <t>Net Operating Income</t>
        </is>
      </c>
      <c r="F5" s="799" t="n"/>
      <c r="G5" s="1009">
        <f>IFERROR(INDEX('P&amp;L'!D97:M97,1,Scenarios!F129),0)</f>
        <v/>
      </c>
      <c r="H5" s="880" t="n"/>
      <c r="I5" s="12" t="n"/>
      <c r="J5" s="12" t="n"/>
      <c r="K5" s="1010" t="n"/>
    </row>
    <row r="6" ht="15.95" customHeight="1" s="817">
      <c r="A6" s="782" t="inlineStr">
        <is>
          <t>Net Operating Income</t>
        </is>
      </c>
      <c r="B6" s="883" t="n"/>
      <c r="C6" s="1011">
        <f>IFERROR(IF(ISNUMBER(C5),_xlfn.SINGLE(INDEX('P&amp;L'!D97:M97,1,C5)),0),0)</f>
        <v/>
      </c>
      <c r="D6" s="778" t="n"/>
      <c r="E6" s="782" t="inlineStr">
        <is>
          <t>Cap Rate</t>
        </is>
      </c>
      <c r="F6" s="801" t="n"/>
      <c r="G6" s="805">
        <f>Scenarios!F130</f>
        <v/>
      </c>
      <c r="H6" s="883" t="n"/>
      <c r="I6" s="12" t="n"/>
      <c r="J6" s="12" t="n"/>
      <c r="K6" s="235" t="n"/>
    </row>
    <row r="7" ht="15.95" customHeight="1" s="817">
      <c r="A7" s="781" t="inlineStr">
        <is>
          <t>Cap Rate at Re-Finance</t>
        </is>
      </c>
      <c r="B7" s="880" t="n"/>
      <c r="C7" s="790" t="n">
        <v>0.06</v>
      </c>
      <c r="D7" s="778" t="n"/>
      <c r="E7" s="781" t="inlineStr">
        <is>
          <t>Insurance/Tax/Lender Escrows</t>
        </is>
      </c>
      <c r="F7" s="802" t="n"/>
      <c r="G7" s="1009">
        <f>SUM('Acquisition Costs'!D35:D36)</f>
        <v/>
      </c>
      <c r="H7" s="880" t="n"/>
      <c r="I7" s="12" t="n"/>
      <c r="J7" s="12" t="n"/>
      <c r="K7" s="1012" t="n"/>
    </row>
    <row r="8" ht="15.95" customHeight="1" s="817">
      <c r="A8" s="794" t="inlineStr">
        <is>
          <t>Appraised Value</t>
        </is>
      </c>
      <c r="B8" s="885" t="n"/>
      <c r="C8" s="947">
        <f>IFERROR(C6/C7,0)</f>
        <v/>
      </c>
      <c r="D8" s="778" t="n"/>
      <c r="E8" s="782" t="inlineStr">
        <is>
          <t>Operating Reserves remaining</t>
        </is>
      </c>
      <c r="F8" s="801" t="n"/>
      <c r="G8" s="1013">
        <f>IFERROR(INDEX('P&amp;L'!D108:M108,1,Scenarios!F129),0)</f>
        <v/>
      </c>
      <c r="H8" s="803" t="n"/>
      <c r="I8" s="239" t="inlineStr">
        <is>
          <t>Remaining capital in account for operating reserves</t>
        </is>
      </c>
      <c r="J8" s="240" t="n"/>
      <c r="K8" s="1010" t="n"/>
    </row>
    <row r="9" ht="15.95" customHeight="1" s="817">
      <c r="A9" s="781" t="inlineStr">
        <is>
          <t>Re-Finance LTV</t>
        </is>
      </c>
      <c r="B9" s="880" t="n"/>
      <c r="C9" s="790" t="n">
        <v>0.75</v>
      </c>
      <c r="D9" s="778" t="n"/>
      <c r="E9" s="794" t="inlineStr">
        <is>
          <t>Sales Price</t>
        </is>
      </c>
      <c r="F9" s="806" t="n"/>
      <c r="G9" s="947">
        <f>IFERROR(G5/G6,0)</f>
        <v/>
      </c>
      <c r="H9" s="885" t="n"/>
      <c r="I9" s="12" t="n"/>
      <c r="J9" s="12" t="n"/>
      <c r="K9" s="1014" t="n"/>
    </row>
    <row r="10" ht="15.95" customHeight="1" s="817">
      <c r="A10" s="782" t="inlineStr">
        <is>
          <t>Interest Rate</t>
        </is>
      </c>
      <c r="B10" s="883" t="n"/>
      <c r="C10" s="791" t="n">
        <v>0.07000000000000001</v>
      </c>
      <c r="D10" s="778" t="n"/>
      <c r="E10" s="782" t="inlineStr">
        <is>
          <t>Sales Cost</t>
        </is>
      </c>
      <c r="F10" s="804" t="n">
        <v>0.03</v>
      </c>
      <c r="G10" s="1013">
        <f>-G9*F10</f>
        <v/>
      </c>
      <c r="H10" s="883" t="n"/>
      <c r="I10" s="12" t="n"/>
      <c r="J10" s="243" t="n"/>
      <c r="K10" s="1015" t="n"/>
    </row>
    <row r="11" ht="15.95" customHeight="1" s="817">
      <c r="A11" s="781" t="inlineStr">
        <is>
          <t>Term / Amortization (Years)</t>
        </is>
      </c>
      <c r="B11" s="880" t="n"/>
      <c r="C11" s="789" t="n">
        <v>30</v>
      </c>
      <c r="D11" s="778" t="n"/>
      <c r="E11" s="781" t="inlineStr">
        <is>
          <t>Outstanding Loan Balance</t>
        </is>
      </c>
      <c r="F11" s="785" t="n"/>
      <c r="G11" s="1009">
        <f>-(IFERROR(INDEX(Loans!J43:S43,1,Scenarios!F129),0))</f>
        <v/>
      </c>
      <c r="H11" s="880" t="n"/>
      <c r="I11" s="12" t="n"/>
      <c r="J11" s="12" t="n"/>
      <c r="K11" s="1015" t="n"/>
    </row>
    <row r="12" ht="15.95" customHeight="1" s="817">
      <c r="A12" s="794" t="inlineStr">
        <is>
          <t>Re-Finance Loan Amount</t>
        </is>
      </c>
      <c r="B12" s="885" t="n"/>
      <c r="C12" s="1016">
        <f>IFERROR(C8*C9,0)</f>
        <v/>
      </c>
      <c r="D12" s="778" t="n"/>
      <c r="E12" s="794" t="inlineStr">
        <is>
          <t>Total Equity</t>
        </is>
      </c>
      <c r="F12" s="807" t="n"/>
      <c r="G12" s="947">
        <f>G9+G10+G11+G7+G8</f>
        <v/>
      </c>
      <c r="H12" s="885" t="n"/>
      <c r="I12" s="12" t="n"/>
      <c r="J12" s="12" t="n"/>
      <c r="K12" s="1014" t="n"/>
    </row>
    <row r="13" ht="15.95" customHeight="1" s="817">
      <c r="A13" s="781" t="inlineStr">
        <is>
          <t xml:space="preserve">  - Re-Finance Costs</t>
        </is>
      </c>
      <c r="B13" s="793" t="n">
        <v>0.02</v>
      </c>
      <c r="C13" s="1017">
        <f>-C12*B13</f>
        <v/>
      </c>
      <c r="D13" s="778" t="n"/>
      <c r="E13" s="781" t="inlineStr">
        <is>
          <t xml:space="preserve">  - Return of Member Capital</t>
        </is>
      </c>
      <c r="F13" s="785" t="n"/>
      <c r="G13" s="1009">
        <f>Scenarios!F33+Scenarios!F34</f>
        <v/>
      </c>
      <c r="H13" s="880" t="n"/>
      <c r="I13" s="12" t="n"/>
      <c r="J13" s="12" t="n"/>
      <c r="K13" s="1010" t="n"/>
    </row>
    <row r="14" ht="15.95" customHeight="1" s="817">
      <c r="A14" s="782" t="inlineStr">
        <is>
          <t xml:space="preserve">  - Prepayment Penalty</t>
        </is>
      </c>
      <c r="B14" s="883" t="n"/>
      <c r="C14" s="1011" t="n">
        <v>0</v>
      </c>
      <c r="D14" s="778" t="n"/>
      <c r="E14" s="782" t="inlineStr">
        <is>
          <t xml:space="preserve">  - Members Preferred Return Deficiency</t>
        </is>
      </c>
      <c r="F14" s="801" t="n"/>
      <c r="G14" s="1013">
        <f>IFERROR(MAX((Waterfall!M39+Waterfall!M41)-(Waterfall!M40+Waterfall!M42),0),0)</f>
        <v/>
      </c>
      <c r="H14" s="883" t="n"/>
      <c r="I14" s="12" t="n"/>
      <c r="J14" s="12" t="n"/>
      <c r="K14" s="1010" t="n"/>
    </row>
    <row r="15" ht="15.95" customHeight="1" s="817">
      <c r="A15" s="781" t="inlineStr">
        <is>
          <t xml:space="preserve">  - Repay Outstanding Loan Balance</t>
        </is>
      </c>
      <c r="B15" s="785" t="n"/>
      <c r="C15" s="1017">
        <f>-(IFERROR(INDEX(Loans!J43:S43,1,C5),0))</f>
        <v/>
      </c>
      <c r="D15" s="778" t="n"/>
      <c r="E15" s="794" t="inlineStr">
        <is>
          <t>Net Proceeds/Profit from Sale</t>
        </is>
      </c>
      <c r="F15" s="807" t="n"/>
      <c r="G15" s="947">
        <f>G12-G13-G14</f>
        <v/>
      </c>
      <c r="H15" s="885" t="n"/>
      <c r="I15" s="12" t="n"/>
      <c r="J15" s="12" t="n"/>
      <c r="K15" s="1014" t="n"/>
    </row>
    <row r="16" ht="15.95" customHeight="1" s="817">
      <c r="A16" s="794" t="inlineStr">
        <is>
          <t>Gross Proceeds from Re-Finance</t>
        </is>
      </c>
      <c r="B16" s="885" t="n"/>
      <c r="C16" s="1016">
        <f>IFERROR(C12+C13+C14+C15,0)</f>
        <v/>
      </c>
      <c r="D16" s="778" t="n"/>
      <c r="E16" s="782" t="inlineStr">
        <is>
          <t xml:space="preserve">    Principal Reduction</t>
        </is>
      </c>
      <c r="F16" s="801" t="n"/>
      <c r="G16" s="1013">
        <f>IFERROR(Scenarios!F135-INDEX(Loans!J43:S43,1,Scenarios!F129),0)</f>
        <v/>
      </c>
      <c r="H16" s="883" t="n"/>
      <c r="I16" s="12" t="n"/>
      <c r="J16" s="12" t="n"/>
      <c r="K16" s="1018" t="n"/>
    </row>
    <row r="17" ht="15.95" customHeight="1" s="817">
      <c r="A17" s="781" t="inlineStr">
        <is>
          <t xml:space="preserve">  - Return of Member Capital</t>
        </is>
      </c>
      <c r="B17" s="880" t="n"/>
      <c r="C17" s="1017">
        <f>IFERROR(MIN(C16,Scenarios!$F$33+Scenarios!$F$34),0)</f>
        <v/>
      </c>
      <c r="D17" s="778" t="n"/>
      <c r="E17" s="781" t="inlineStr">
        <is>
          <t xml:space="preserve">    Appreciation</t>
        </is>
      </c>
      <c r="F17" s="785" t="n"/>
      <c r="G17" s="1009">
        <f>G15-G16</f>
        <v/>
      </c>
      <c r="H17" s="880" t="n"/>
      <c r="I17" s="12" t="n"/>
      <c r="J17" s="12" t="n"/>
      <c r="K17" s="1018" t="n"/>
    </row>
    <row r="18" ht="15.95" customHeight="1" s="817">
      <c r="A18" s="882" t="inlineStr">
        <is>
          <t>Capital Account Balance After Re-Fi</t>
        </is>
      </c>
      <c r="C18" s="1013">
        <f>IFERROR(MAX(Scenarios!$F$33+Scenarios!$F$34-C17,0),0)</f>
        <v/>
      </c>
      <c r="D18" s="778" t="n"/>
      <c r="E18" s="782" t="inlineStr">
        <is>
          <t>Capital Transaction Fee to Mgr</t>
        </is>
      </c>
      <c r="F18" s="804" t="n">
        <v>0.01</v>
      </c>
      <c r="G18" s="1013">
        <f>G9*F18</f>
        <v/>
      </c>
      <c r="H18" s="883" t="n"/>
      <c r="I18" s="12" t="n"/>
      <c r="J18" s="243" t="n"/>
      <c r="K18" s="1010" t="n"/>
    </row>
    <row r="19" ht="15.95" customHeight="1" s="817">
      <c r="A19" s="879" t="inlineStr">
        <is>
          <t xml:space="preserve">  % of Initial Investment Returned</t>
        </is>
      </c>
      <c r="C19" s="786">
        <f>IFERROR(C17/(Scenarios!$F$33+Scenarios!$F$34),0)</f>
        <v/>
      </c>
      <c r="D19" s="778" t="n"/>
      <c r="E19" s="781" t="inlineStr">
        <is>
          <t>Net Proceeds/Profit Paid to Members</t>
        </is>
      </c>
      <c r="F19" s="788">
        <f>1-Scenarios!F36</f>
        <v/>
      </c>
      <c r="G19" s="1009">
        <f>(G15-G18)*(1-Scenarios!F36)</f>
        <v/>
      </c>
      <c r="H19" s="880" t="n"/>
      <c r="I19" s="12" t="n"/>
      <c r="J19" s="253" t="n"/>
      <c r="K19" s="1014" t="n"/>
    </row>
    <row r="20" ht="15.95" customHeight="1" s="817">
      <c r="A20" s="794" t="inlineStr">
        <is>
          <t>Net Proceeds/Profit from Re-Finance</t>
        </is>
      </c>
      <c r="B20" s="885" t="n"/>
      <c r="C20" s="1016">
        <f>IFERROR(C16-C17,0)</f>
        <v/>
      </c>
      <c r="D20" s="778" t="n"/>
      <c r="E20" s="782" t="inlineStr">
        <is>
          <t>Net Proceeds/Profit Paid to Manager</t>
        </is>
      </c>
      <c r="F20" s="787">
        <f>Scenarios!F36</f>
        <v/>
      </c>
      <c r="G20" s="1013">
        <f>(G15-G18)*Scenarios!F36</f>
        <v/>
      </c>
      <c r="H20" s="883" t="n"/>
      <c r="I20" s="12" t="n"/>
      <c r="J20" s="253" t="n"/>
      <c r="K20" s="1014" t="n"/>
    </row>
    <row r="21" ht="20.1" customHeight="1" s="817">
      <c r="A21" s="781" t="inlineStr">
        <is>
          <t xml:space="preserve">    Principal Reduction</t>
        </is>
      </c>
      <c r="B21" s="880" t="n"/>
      <c r="C21" s="1017">
        <f>IFERROR(Scenarios!F135-INDEX(Loans!J43:S43,1,C5),0)</f>
        <v/>
      </c>
      <c r="D21" s="778" t="n"/>
      <c r="E21" s="886" t="inlineStr">
        <is>
          <t>Total Cash to Members at Sale  (Init. Cptl. + Apprec.)</t>
        </is>
      </c>
      <c r="G21" s="1019">
        <f>G13+G19</f>
        <v/>
      </c>
      <c r="H21" s="887" t="n"/>
      <c r="I21" s="255" t="n"/>
      <c r="J21" s="159" t="n"/>
      <c r="K21" s="1020" t="n"/>
    </row>
    <row r="22" ht="15.95" customHeight="1" s="817">
      <c r="A22" s="782" t="inlineStr">
        <is>
          <t xml:space="preserve">    Appreciation</t>
        </is>
      </c>
      <c r="B22" s="883" t="n"/>
      <c r="C22" s="1011">
        <f>IFERROR(MAX(C20-C21,0),0)</f>
        <v/>
      </c>
      <c r="D22" s="778" t="n"/>
      <c r="E22" s="778" t="n"/>
      <c r="F22" s="778" t="n"/>
      <c r="G22" s="778" t="n"/>
      <c r="H22" s="778" t="n"/>
      <c r="I22" s="159" t="n"/>
      <c r="J22" s="159" t="n"/>
      <c r="K22" s="159" t="n"/>
    </row>
    <row r="23" ht="20.1" customHeight="1" s="817">
      <c r="A23" s="781" t="inlineStr">
        <is>
          <t>Capital Transaction Fee to Mgr</t>
        </is>
      </c>
      <c r="B23" s="793" t="n">
        <v>0.01</v>
      </c>
      <c r="C23" s="1017">
        <f>C8*B23</f>
        <v/>
      </c>
      <c r="D23" s="778" t="n"/>
      <c r="E23" s="881" t="inlineStr">
        <is>
          <t>After Final Disposition</t>
        </is>
      </c>
      <c r="H23" s="819" t="n"/>
      <c r="I23" s="230" t="n"/>
      <c r="J23" s="159" t="n"/>
      <c r="K23" s="159" t="n"/>
    </row>
    <row r="24" ht="15.95" customHeight="1" s="817">
      <c r="A24" s="782" t="inlineStr">
        <is>
          <t>Net Proceeds/Profit Paid to Members</t>
        </is>
      </c>
      <c r="B24" s="787">
        <f>1-Scenarios!F36</f>
        <v/>
      </c>
      <c r="C24" s="1011">
        <f>(C20-C23)*(1-Scenarios!F36)</f>
        <v/>
      </c>
      <c r="D24" s="778" t="n"/>
      <c r="E24" s="782" t="inlineStr">
        <is>
          <t>Total Profits from Appreciation Paid to Members</t>
        </is>
      </c>
      <c r="F24" s="782" t="n"/>
      <c r="G24" s="945">
        <f>G19</f>
        <v/>
      </c>
      <c r="H24" s="883" t="n"/>
      <c r="I24" s="12" t="n"/>
      <c r="J24" s="12" t="n"/>
      <c r="K24" s="1010" t="n"/>
    </row>
    <row r="25" ht="15.95" customHeight="1" s="817">
      <c r="A25" s="781" t="inlineStr">
        <is>
          <t>Net Proceeds/Profit Paid to Manager</t>
        </is>
      </c>
      <c r="B25" s="788">
        <f>Scenarios!F36</f>
        <v/>
      </c>
      <c r="C25" s="1017">
        <f>(C20-C23)*Scenarios!F36</f>
        <v/>
      </c>
      <c r="D25" s="778" t="n"/>
      <c r="E25" s="781" t="inlineStr">
        <is>
          <t>Total Cash to Members</t>
        </is>
      </c>
      <c r="F25" s="781" t="n"/>
      <c r="G25" s="946">
        <f>G21</f>
        <v/>
      </c>
      <c r="H25" s="880" t="n"/>
      <c r="I25" s="12" t="n"/>
      <c r="J25" s="12" t="n"/>
      <c r="K25" s="1014" t="n"/>
    </row>
    <row r="26" ht="15.95" customHeight="1" s="817">
      <c r="A26" s="881" t="inlineStr">
        <is>
          <t>Total Cash to Members at Refi  (Init. Cptl. + Apprec.)</t>
        </is>
      </c>
      <c r="C26" s="1021">
        <f>C17+C24</f>
        <v/>
      </c>
      <c r="D26" s="778" t="n"/>
      <c r="E26" s="884" t="inlineStr">
        <is>
          <t>Internal Rate of Return (IRR)  — Class A LP</t>
        </is>
      </c>
      <c r="G26" s="811">
        <f>'XIRR Analysis'!H54</f>
        <v/>
      </c>
      <c r="H26" s="885" t="n"/>
      <c r="I26" s="258" t="n"/>
      <c r="J26" s="159" t="n"/>
      <c r="K26" s="259" t="n"/>
    </row>
    <row r="27" ht="15.95" customHeight="1" s="817">
      <c r="A27" s="781" t="inlineStr">
        <is>
          <t>Ending Capital Account Balance</t>
        </is>
      </c>
      <c r="B27" s="880" t="n"/>
      <c r="C27" s="1017">
        <f>IFERROR(MAX(Scenarios!$F$33+Scenarios!$F$34-C26,0),0)</f>
        <v/>
      </c>
      <c r="D27" s="778" t="n"/>
      <c r="E27" s="879" t="inlineStr">
        <is>
          <t>Average Cash on Cash Return  — Class A LP</t>
        </is>
      </c>
      <c r="G27" s="810">
        <f>'LP Return Illustration'!B30</f>
        <v/>
      </c>
      <c r="H27" s="880" t="n"/>
      <c r="I27" s="258" t="n"/>
      <c r="J27" s="159" t="n"/>
      <c r="K27" s="259" t="n"/>
    </row>
    <row r="28" ht="15.95" customHeight="1" s="817">
      <c r="A28" s="782" t="inlineStr">
        <is>
          <t>Re-Finance IO Period</t>
        </is>
      </c>
      <c r="B28" s="883" t="n"/>
      <c r="C28" s="792" t="n">
        <v>12</v>
      </c>
      <c r="D28" s="778" t="n"/>
      <c r="E28" s="778" t="n"/>
      <c r="F28" s="778" t="n"/>
      <c r="G28" s="778" t="n"/>
      <c r="H28" s="778" t="n"/>
    </row>
    <row r="29">
      <c r="A29" s="778" t="n"/>
      <c r="B29" s="778" t="n"/>
      <c r="C29" s="778" t="n"/>
      <c r="D29" s="778" t="n"/>
      <c r="E29" s="778" t="n"/>
      <c r="F29" s="778" t="n"/>
      <c r="G29" s="778" t="n"/>
      <c r="H29" s="778" t="n"/>
    </row>
    <row r="30">
      <c r="A30" s="778" t="n"/>
      <c r="B30" s="778" t="n"/>
      <c r="C30" s="778" t="n"/>
      <c r="D30" s="778" t="n"/>
      <c r="E30" s="778" t="n"/>
      <c r="F30" s="778" t="n"/>
      <c r="G30" s="778" t="n"/>
      <c r="H30" s="778" t="n"/>
    </row>
    <row r="31">
      <c r="A31" s="775" t="inlineStr">
        <is>
          <t>Scenarios Tab</t>
        </is>
      </c>
    </row>
    <row r="32">
      <c r="A32" s="775" t="inlineStr">
        <is>
          <t>Loans Tab</t>
        </is>
      </c>
    </row>
  </sheetData>
  <mergeCells count="8">
    <mergeCell ref="A26:B26"/>
    <mergeCell ref="A1:C1"/>
    <mergeCell ref="A19:B19"/>
    <mergeCell ref="E23:G23"/>
    <mergeCell ref="E27:F27"/>
    <mergeCell ref="A18:B18"/>
    <mergeCell ref="E26:F26"/>
    <mergeCell ref="E21:F21"/>
  </mergeCells>
  <hyperlinks>
    <hyperlink ref="A31" location="Scenarios!A1" display="Scenarios Tab"/>
    <hyperlink ref="A32" location="Loans!A1" display="Loans Tab"/>
  </hyperlink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01"/>
  <sheetViews>
    <sheetView zoomScale="120" zoomScaleNormal="120" workbookViewId="0">
      <pane xSplit="1" ySplit="7" topLeftCell="B80" activePane="bottomRight" state="frozen"/>
      <selection pane="topRight" activeCell="B1" sqref="B1"/>
      <selection pane="bottomLeft" activeCell="A8" sqref="A8"/>
      <selection pane="bottomRight" activeCell="E69" sqref="E69"/>
    </sheetView>
  </sheetViews>
  <sheetFormatPr baseColWidth="8" defaultColWidth="8.85546875" defaultRowHeight="15"/>
  <cols>
    <col width="36.7109375" customWidth="1" style="817" min="1" max="1"/>
    <col width="15" customWidth="1" style="817" min="2" max="11"/>
    <col width="16" customWidth="1" style="817" min="12" max="13"/>
    <col width="10.140625" customWidth="1" style="817" min="14" max="14"/>
  </cols>
  <sheetData>
    <row r="1" ht="24" customHeight="1" s="817">
      <c r="A1" s="827" t="inlineStr">
        <is>
          <t>WATERFALL &amp; RETURNS — DYNAMIC DISTRIBUTION MODEL</t>
        </is>
      </c>
    </row>
    <row r="2" ht="15.75" customHeight="1" s="817">
      <c r="A2" s="835" t="inlineStr">
        <is>
          <t xml:space="preserve">  Inputs at top. All distributions cascade automatically. Class A/B LP toggle in row 7. Active Scenario drives equity and NOI.</t>
        </is>
      </c>
    </row>
    <row r="4" ht="24" customHeight="1" s="817">
      <c r="A4" s="830" t="inlineStr">
        <is>
          <t>WATERFALL INPUTS (auto-linked to active scenario — override here if needed)</t>
        </is>
      </c>
    </row>
    <row r="5" ht="15.75" customHeight="1" s="817">
      <c r="A5" s="62" t="inlineStr">
        <is>
          <t>Hold Period (years)</t>
        </is>
      </c>
      <c r="B5" s="33">
        <f>Scenarios!F129</f>
        <v/>
      </c>
      <c r="C5" s="835" t="inlineStr">
        <is>
          <t>From Scenarios — selectable exit year</t>
        </is>
      </c>
    </row>
    <row r="6" ht="15.75" customHeight="1" s="817">
      <c r="A6" s="65" t="inlineStr">
        <is>
          <t>Exit Cap Rate</t>
        </is>
      </c>
      <c r="B6" s="30">
        <f>Scenarios!F130</f>
        <v/>
      </c>
      <c r="C6" s="891" t="inlineStr">
        <is>
          <t>Applied to Y{hold} NOI</t>
        </is>
      </c>
    </row>
    <row r="7" ht="15.75" customHeight="1" s="817">
      <c r="A7" s="62" t="inlineStr">
        <is>
          <t>Selling Costs at Exit</t>
        </is>
      </c>
      <c r="B7" s="73" t="n">
        <v>0.03</v>
      </c>
      <c r="C7" s="835" t="inlineStr">
        <is>
          <t>2.5% of gross sale price</t>
        </is>
      </c>
    </row>
    <row r="8" ht="15.75" customHeight="1" s="817">
      <c r="A8" s="65" t="inlineStr">
        <is>
          <t>GP Equity</t>
        </is>
      </c>
      <c r="B8" s="23">
        <f>Scenarios!F32</f>
        <v/>
      </c>
      <c r="C8" s="891" t="inlineStr">
        <is>
          <t>Co-invest; promote governed by tiers below</t>
        </is>
      </c>
    </row>
    <row r="9" ht="15.75" customHeight="1" s="817">
      <c r="A9" s="62" t="inlineStr">
        <is>
          <t>Class A LP Equity</t>
        </is>
      </c>
      <c r="B9" s="21">
        <f>Scenarios!F33</f>
        <v/>
      </c>
      <c r="C9" s="835" t="inlineStr">
        <is>
          <t>Preferred equity — priority capital return</t>
        </is>
      </c>
    </row>
    <row r="10" ht="15.75" customHeight="1" s="817">
      <c r="A10" s="65" t="inlineStr">
        <is>
          <t>Class B LP Equity</t>
        </is>
      </c>
      <c r="B10" s="23">
        <f>Scenarios!F34</f>
        <v/>
      </c>
      <c r="C10" s="891" t="inlineStr">
        <is>
          <t>Common equity — participates in promote</t>
        </is>
      </c>
    </row>
    <row r="11" ht="15.75" customHeight="1" s="817">
      <c r="A11" s="62" t="inlineStr">
        <is>
          <t>Class A Preferred Return %</t>
        </is>
      </c>
      <c r="B11" s="28">
        <f>Scenarios!F35</f>
        <v/>
      </c>
      <c r="C11" s="835" t="inlineStr">
        <is>
          <t>Annual pref on Class A equity</t>
        </is>
      </c>
    </row>
    <row r="12" ht="15.75" customHeight="1" s="817">
      <c r="A12" s="65" t="inlineStr">
        <is>
          <t>Class B Preferred Return %</t>
        </is>
      </c>
      <c r="B12" s="78" t="n">
        <v>0</v>
      </c>
      <c r="C12" s="891" t="inlineStr">
        <is>
          <t>Annual pref on Class B equity</t>
        </is>
      </c>
      <c r="D12" s="260" t="inlineStr">
        <is>
          <t>Class B Treatment →</t>
        </is>
      </c>
      <c r="E12" s="261" t="inlineStr">
        <is>
          <t>Pref Only</t>
        </is>
      </c>
      <c r="F12" s="893" t="inlineStr">
        <is>
          <t>Pref Only = Class B pref only, no promote.  Common Equity = Class B shares LP promote proportionally by equity.</t>
        </is>
      </c>
    </row>
    <row r="13" ht="15.75" customHeight="1" s="817">
      <c r="A13" s="62" t="inlineStr">
        <is>
          <t>GP Preferred Return %</t>
        </is>
      </c>
      <c r="B13" s="73" t="n">
        <v>0</v>
      </c>
      <c r="C13" s="835" t="inlineStr">
        <is>
          <t>Set 0 if GP pref not negotiated</t>
        </is>
      </c>
    </row>
    <row r="14" ht="15.75" customHeight="1" s="817">
      <c r="A14" s="65" t="inlineStr">
        <is>
          <t>Use Two LP Classes? (YES/NO)</t>
        </is>
      </c>
      <c r="B14" s="105" t="inlineStr">
        <is>
          <t>=IF(Scenarios!F34&gt;0,"YES","NO")</t>
        </is>
      </c>
      <c r="C14" s="891" t="inlineStr">
        <is>
          <t>Auto: YES only when Class B equity &gt; 0</t>
        </is>
      </c>
    </row>
    <row r="15" ht="15.75" customHeight="1" s="817">
      <c r="A15" s="62" t="inlineStr">
        <is>
          <t>Tier 1 LP Split %</t>
        </is>
      </c>
      <c r="B15" s="73">
        <f>Scenarios!F29</f>
        <v/>
      </c>
      <c r="C15" s="835" t="inlineStr">
        <is>
          <t>LP share above pref, below Tier 1 hurdle</t>
        </is>
      </c>
    </row>
    <row r="16" ht="15.75" customHeight="1" s="817">
      <c r="A16" s="65" t="inlineStr">
        <is>
          <t>Tier 1 GP Split %</t>
        </is>
      </c>
      <c r="B16" s="30">
        <f>1-B15</f>
        <v/>
      </c>
      <c r="C16" s="891" t="inlineStr">
        <is>
          <t>Auto = 1 - LP %</t>
        </is>
      </c>
    </row>
    <row r="17" ht="15.75" customHeight="1" s="817">
      <c r="A17" s="62" t="inlineStr">
        <is>
          <t>Tier 1 IRR Hurdle</t>
        </is>
      </c>
      <c r="B17" s="73" t="n">
        <v>0</v>
      </c>
      <c r="C17" s="835" t="inlineStr">
        <is>
          <t>LP blended IRR to trigger Tier 2</t>
        </is>
      </c>
    </row>
    <row r="18" ht="15.75" customHeight="1" s="817">
      <c r="A18" s="65" t="inlineStr">
        <is>
          <t>Tier 2 LP Split %</t>
        </is>
      </c>
      <c r="B18" s="78">
        <f>B15</f>
        <v/>
      </c>
      <c r="C18" s="891" t="inlineStr">
        <is>
          <t>Above Tier 1 hurdle</t>
        </is>
      </c>
    </row>
    <row r="19" ht="15.75" customHeight="1" s="817">
      <c r="A19" s="62" t="inlineStr">
        <is>
          <t>Tier 2 GP Split %</t>
        </is>
      </c>
      <c r="B19" s="28">
        <f>1-B18</f>
        <v/>
      </c>
      <c r="C19" s="835" t="inlineStr">
        <is>
          <t>GP promote above Tier 1</t>
        </is>
      </c>
    </row>
    <row r="20" ht="15.75" customHeight="1" s="817">
      <c r="A20" s="65" t="inlineStr">
        <is>
          <t>Tier 2 IRR Hurdle</t>
        </is>
      </c>
      <c r="B20" s="78" t="n">
        <v>0</v>
      </c>
      <c r="C20" s="891" t="inlineStr">
        <is>
          <t>LP blended IRR to trigger Tier 3</t>
        </is>
      </c>
    </row>
    <row r="21" ht="15.75" customHeight="1" s="817">
      <c r="A21" s="62" t="inlineStr">
        <is>
          <t>Tier 3 LP Split %</t>
        </is>
      </c>
      <c r="B21" s="73">
        <f>B18</f>
        <v/>
      </c>
      <c r="C21" s="835" t="inlineStr">
        <is>
          <t>Above Tier 2 hurdle</t>
        </is>
      </c>
    </row>
    <row r="22" ht="15.75" customHeight="1" s="817">
      <c r="A22" s="65" t="inlineStr">
        <is>
          <t>Tier 3 GP Split %</t>
        </is>
      </c>
      <c r="B22" s="30">
        <f>1-B21</f>
        <v/>
      </c>
      <c r="C22" s="891" t="inlineStr">
        <is>
          <t>Super-promote above Tier 2</t>
        </is>
      </c>
    </row>
    <row r="23" ht="18" customHeight="1" s="817">
      <c r="A23" s="262" t="inlineStr">
        <is>
          <t>Refi Proceeds Treatment</t>
        </is>
      </c>
      <c r="B23" s="263" t="inlineStr">
        <is>
          <t>Return of Capital</t>
        </is>
      </c>
      <c r="C23" s="264" t="inlineStr">
        <is>
          <t>Options: "Return of Capital"  or  "Waterfall"  — controls how refi cash-out is treated</t>
        </is>
      </c>
    </row>
    <row r="24" ht="24" customHeight="1" s="817">
      <c r="A24" s="827" t="inlineStr">
        <is>
          <t>ANNUAL CASH FLOW &amp; DISTRIBUTION WATERFALL</t>
        </is>
      </c>
    </row>
    <row r="25" ht="30" customHeight="1" s="817">
      <c r="A25" s="32" t="inlineStr">
        <is>
          <t>Line Item</t>
        </is>
      </c>
      <c r="B25" s="32" t="inlineStr">
        <is>
          <t>Year 1</t>
        </is>
      </c>
      <c r="C25" s="32" t="inlineStr">
        <is>
          <t>Year 2</t>
        </is>
      </c>
      <c r="D25" s="32" t="inlineStr">
        <is>
          <t>Year 3</t>
        </is>
      </c>
      <c r="E25" s="32" t="inlineStr">
        <is>
          <t>Year 4</t>
        </is>
      </c>
      <c r="F25" s="32" t="inlineStr">
        <is>
          <t>Year 5</t>
        </is>
      </c>
      <c r="G25" s="32" t="inlineStr">
        <is>
          <t>Year 6</t>
        </is>
      </c>
      <c r="H25" s="32" t="inlineStr">
        <is>
          <t>Year 7</t>
        </is>
      </c>
      <c r="I25" s="32" t="inlineStr">
        <is>
          <t>Year 8</t>
        </is>
      </c>
      <c r="J25" s="32" t="inlineStr">
        <is>
          <t>Year 9</t>
        </is>
      </c>
      <c r="K25" s="32" t="inlineStr">
        <is>
          <t>Year 10</t>
        </is>
      </c>
      <c r="L25" s="19" t="inlineStr">
        <is>
          <t>Exit
Proceeds</t>
        </is>
      </c>
      <c r="M25" s="32" t="inlineStr">
        <is>
          <t>Total ($)</t>
        </is>
      </c>
    </row>
    <row r="26" ht="18" customHeight="1" s="817">
      <c r="A26" s="8" t="inlineStr">
        <is>
          <t>NOI (from P&amp;L)</t>
        </is>
      </c>
      <c r="B26" s="75">
        <f>IF(1&gt;$B$5,0,'P&amp;L'!D97)</f>
        <v/>
      </c>
      <c r="C26" s="75">
        <f>IF(2&gt;$B$5,0,'P&amp;L'!E97)</f>
        <v/>
      </c>
      <c r="D26" s="75">
        <f>IF(3&gt;$B$5,0,'P&amp;L'!F97)</f>
        <v/>
      </c>
      <c r="E26" s="75">
        <f>IF(4&gt;$B$5,0,'P&amp;L'!G97)</f>
        <v/>
      </c>
      <c r="F26" s="75">
        <f>IF(5&gt;$B$5,0,'P&amp;L'!H97)</f>
        <v/>
      </c>
      <c r="G26" s="75">
        <f>IF(6&gt;$B$5,0,'P&amp;L'!I97)</f>
        <v/>
      </c>
      <c r="H26" s="75">
        <f>IF(7&gt;$B$5,0,'P&amp;L'!J97)</f>
        <v/>
      </c>
      <c r="I26" s="75">
        <f>IF(8&gt;$B$5,0,'P&amp;L'!K97)</f>
        <v/>
      </c>
      <c r="J26" s="75">
        <f>IF(9&gt;$B$5,0,'P&amp;L'!L97)</f>
        <v/>
      </c>
      <c r="K26" s="75">
        <f>IF(10&gt;$B$5,0,'P&amp;L'!M97)</f>
        <v/>
      </c>
      <c r="M26" s="75">
        <f>SUM(B26:K26)</f>
        <v/>
      </c>
    </row>
    <row r="27" ht="18" customHeight="1" s="817">
      <c r="A27" s="8" t="inlineStr">
        <is>
          <t>Less: Debt Service (annual)</t>
        </is>
      </c>
      <c r="B27" s="75">
        <f>IF(1&gt;$B$5,0,-INDEX(Loans!$J$42:$S$42,1,1))</f>
        <v/>
      </c>
      <c r="C27" s="75">
        <f>IF(2&gt;$B$5,0,-INDEX(Loans!$J$42:$S$42,1,2))</f>
        <v/>
      </c>
      <c r="D27" s="75">
        <f>IF(3&gt;$B$5,0,-INDEX(Loans!$J$42:$S$42,1,3))</f>
        <v/>
      </c>
      <c r="E27" s="75">
        <f>IF(4&gt;$B$5,0,-INDEX(Loans!$J$42:$S$42,1,4))</f>
        <v/>
      </c>
      <c r="F27" s="75">
        <f>IF(5&gt;$B$5,0,-INDEX(Loans!$J$42:$S$42,1,5))</f>
        <v/>
      </c>
      <c r="G27" s="75">
        <f>IF(6&gt;$B$5,0,-INDEX(Loans!$J$42:$S$42,1,6))</f>
        <v/>
      </c>
      <c r="H27" s="75">
        <f>IF(7&gt;$B$5,0,-INDEX(Loans!$J$42:$S$42,1,7))</f>
        <v/>
      </c>
      <c r="I27" s="75">
        <f>IF(8&gt;$B$5,0,-INDEX(Loans!$J$42:$S$42,1,8))</f>
        <v/>
      </c>
      <c r="J27" s="75">
        <f>IF(9&gt;$B$5,0,-INDEX(Loans!$J$42:$S$42,1,9))</f>
        <v/>
      </c>
      <c r="K27" s="75">
        <f>IF(10&gt;$B$5,0,-INDEX(Loans!$J$42:$S$42,1,10))</f>
        <v/>
      </c>
      <c r="M27" s="75">
        <f>SUM(B27:K27)</f>
        <v/>
      </c>
    </row>
    <row r="28" ht="18" customHeight="1" s="817">
      <c r="A28" s="130" t="inlineStr">
        <is>
          <t>Free Cash Flow (FCF)</t>
        </is>
      </c>
      <c r="B28" s="64">
        <f>IF(1&gt;$B$5,0,IFERROR(B26+B27-'P&amp;L'!D111+IF($B$23="Waterfall",IF(ISNUMBER('Exit Strategy'!$C$5),IF(1='Exit Strategy'!$C$5,'Exit Strategy'!$C$16,0),0),0),0))</f>
        <v/>
      </c>
      <c r="C28" s="64">
        <f>IF(2&gt;$B$5,0,IFERROR(C26+C27-'P&amp;L'!E111+IF($B$23="Waterfall",IF(ISNUMBER('Exit Strategy'!$C$5),IF(2='Exit Strategy'!$C$5,'Exit Strategy'!$C$16,0),0),0),0))</f>
        <v/>
      </c>
      <c r="D28" s="64">
        <f>IF(3&gt;$B$5,0,IFERROR(D26+D27-'P&amp;L'!F111+IF($B$23="Waterfall",IF(ISNUMBER('Exit Strategy'!$C$5),IF(3='Exit Strategy'!$C$5,'Exit Strategy'!$C$16,0),0),0),0))</f>
        <v/>
      </c>
      <c r="E28" s="64">
        <f>IF(4&gt;$B$5,0,IFERROR(E26+E27-'P&amp;L'!G111+IF($B$23="Waterfall",IF(ISNUMBER('Exit Strategy'!$C$5),IF(4='Exit Strategy'!$C$5,'Exit Strategy'!$C$16,0),0),0),0))</f>
        <v/>
      </c>
      <c r="F28" s="64">
        <f>IF(5&gt;$B$5,0,IFERROR(F26+F27-'P&amp;L'!H111+IF($B$23="Waterfall",IF(ISNUMBER('Exit Strategy'!$C$5),IF(5='Exit Strategy'!$C$5,'Exit Strategy'!$C$16,0),0),0),0))</f>
        <v/>
      </c>
      <c r="G28" s="64">
        <f>IF(6&gt;$B$5,0,IFERROR(G26+G27-'P&amp;L'!I111+IF($B$23="Waterfall",IF(ISNUMBER('Exit Strategy'!$C$5),IF(6='Exit Strategy'!$C$5,'Exit Strategy'!$C$16,0),0),0),0))</f>
        <v/>
      </c>
      <c r="H28" s="64">
        <f>IF(7&gt;$B$5,0,IFERROR(H26+H27-'P&amp;L'!J111+IF($B$23="Waterfall",IF(ISNUMBER('Exit Strategy'!$C$5),IF(7='Exit Strategy'!$C$5,'Exit Strategy'!$C$16,0),0),0),0))</f>
        <v/>
      </c>
      <c r="I28" s="64">
        <f>IF(8&gt;$B$5,0,IFERROR(I26+I27-'P&amp;L'!K111+IF($B$23="Waterfall",IF(ISNUMBER('Exit Strategy'!$C$5),IF(8='Exit Strategy'!$C$5,'Exit Strategy'!$C$16,0),0),0),0))</f>
        <v/>
      </c>
      <c r="J28" s="64">
        <f>IF(9&gt;$B$5,0,IFERROR(J26+J27-'P&amp;L'!L111+IF($B$23="Waterfall",IF(ISNUMBER('Exit Strategy'!$C$5),IF(9='Exit Strategy'!$C$5,'Exit Strategy'!$C$16,0),0),0),0))</f>
        <v/>
      </c>
      <c r="K28" s="64">
        <f>IF(10&gt;$B$5,0,IFERROR(K26+K27-'P&amp;L'!M111+IF($B$23="Waterfall",IF(ISNUMBER('Exit Strategy'!$C$5),IF(10='Exit Strategy'!$C$5,'Exit Strategy'!$C$16,0),0),0),0))</f>
        <v/>
      </c>
      <c r="M28" s="80">
        <f>SUM(B28:K28)</f>
        <v/>
      </c>
    </row>
    <row r="30" ht="24" customHeight="1" s="817">
      <c r="A30" s="830" t="inlineStr">
        <is>
          <t>EXIT PROCEEDS ANALYSIS</t>
        </is>
      </c>
    </row>
    <row r="31" ht="18" customHeight="1" s="817">
      <c r="A31" s="121" t="inlineStr">
        <is>
          <t>Exit Year NOI</t>
        </is>
      </c>
      <c r="B31" s="21">
        <f>'Exit Strategy'!G5</f>
        <v/>
      </c>
    </row>
    <row r="32" ht="18" customHeight="1" s="817">
      <c r="A32" s="121" t="inlineStr">
        <is>
          <t>Gross Sale Price (NOI ÷ Exit Cap)</t>
        </is>
      </c>
      <c r="B32" s="75">
        <f>'Exit Strategy'!G9</f>
        <v/>
      </c>
    </row>
    <row r="33" ht="18" customHeight="1" s="817">
      <c r="A33" s="121" t="inlineStr">
        <is>
          <t>Less: Selling Costs + Disposition Fee</t>
        </is>
      </c>
      <c r="B33" s="75">
        <f>'Exit Strategy'!G10+'Exit Strategy'!G18</f>
        <v/>
      </c>
    </row>
    <row r="34" ht="18" customHeight="1" s="817">
      <c r="A34" s="121" t="inlineStr">
        <is>
          <t>Less: Loan Payoff</t>
        </is>
      </c>
      <c r="B34" s="21">
        <f>'Exit Strategy'!G11</f>
        <v/>
      </c>
    </row>
    <row r="35" ht="18" customHeight="1" s="817">
      <c r="A35" s="130" t="inlineStr">
        <is>
          <t>NET SALE PROCEEDS</t>
        </is>
      </c>
      <c r="B35" s="80">
        <f>B32+B33+B34</f>
        <v/>
      </c>
    </row>
    <row r="36" ht="16.5" customHeight="1" s="817">
      <c r="A36" s="902" t="inlineStr">
        <is>
          <t xml:space="preserve">  Return of Capital — Class A LP</t>
        </is>
      </c>
      <c r="B36" s="776">
        <f>IF(1&gt;$B$5,0,MIN($B$9,IF(AND($B$23="Return of Capital",ISNUMBER('Exit Strategy'!$C$5),1='Exit Strategy'!$C$5),MAX('Exit Strategy'!$C$16,0),0)))</f>
        <v/>
      </c>
      <c r="C36" s="776">
        <f>IF(2&gt;$B$5,0,MIN($B$9,IF(AND($B$23="Return of Capital",ISNUMBER('Exit Strategy'!$C$5),2='Exit Strategy'!$C$5),MAX('Exit Strategy'!$C$16,0),0)))</f>
        <v/>
      </c>
      <c r="D36" s="776">
        <f>IF(3&gt;$B$5,0,MIN($B$9,IF(AND($B$23="Return of Capital",ISNUMBER('Exit Strategy'!$C$5),3='Exit Strategy'!$C$5),MAX('Exit Strategy'!$C$16,0),0)))</f>
        <v/>
      </c>
      <c r="E36" s="776">
        <f>IF(4&gt;$B$5,0,MIN($B$9,IF(AND($B$23="Return of Capital",ISNUMBER('Exit Strategy'!$C$5),4='Exit Strategy'!$C$5),MAX('Exit Strategy'!$C$16,0),0)))</f>
        <v/>
      </c>
      <c r="F36" s="776">
        <f>IF(5&gt;$B$5,0,MIN($B$9,IF(AND($B$23="Return of Capital",ISNUMBER('Exit Strategy'!$C$5),5='Exit Strategy'!$C$5),MAX('Exit Strategy'!$C$16,0),0)))</f>
        <v/>
      </c>
      <c r="G36" s="776">
        <f>IF(6&gt;$B$5,0,MIN($B$9,IF(AND($B$23="Return of Capital",ISNUMBER('Exit Strategy'!$C$5),6='Exit Strategy'!$C$5),MAX('Exit Strategy'!$C$16,0),0)))</f>
        <v/>
      </c>
      <c r="H36" s="776">
        <f>IF(7&gt;$B$5,0,MIN($B$9,IF(AND($B$23="Return of Capital",ISNUMBER('Exit Strategy'!$C$5),7='Exit Strategy'!$C$5),MAX('Exit Strategy'!$C$16,0),0)))</f>
        <v/>
      </c>
      <c r="I36" s="776">
        <f>IF(8&gt;$B$5,0,MIN($B$9,IF(AND($B$23="Return of Capital",ISNUMBER('Exit Strategy'!$C$5),8='Exit Strategy'!$C$5),MAX('Exit Strategy'!$C$16,0),0)))</f>
        <v/>
      </c>
      <c r="J36" s="776">
        <f>IF(9&gt;$B$5,0,MIN($B$9,IF(AND($B$23="Return of Capital",ISNUMBER('Exit Strategy'!$C$5),9='Exit Strategy'!$C$5),MAX('Exit Strategy'!$C$16,0),0)))</f>
        <v/>
      </c>
      <c r="K36" s="776">
        <f>IF(10&gt;$B$5,0,MIN($B$9,IF(AND($B$23="Return of Capital",ISNUMBER('Exit Strategy'!$C$5),10='Exit Strategy'!$C$5),MAX('Exit Strategy'!$C$16,0),0)))</f>
        <v/>
      </c>
      <c r="L36" s="776">
        <f>MIN(B9,MAX(B35,0))</f>
        <v/>
      </c>
      <c r="M36" s="776">
        <f>SUM(B36:L36)</f>
        <v/>
      </c>
    </row>
    <row r="37" ht="16.5" customHeight="1" s="817">
      <c r="A37" s="904" t="inlineStr">
        <is>
          <t xml:space="preserve">  Return of Capital — Class B LP</t>
        </is>
      </c>
      <c r="B37" s="152">
        <f>IF(1&gt;$B$5,0,IF($B$14="YES",MIN($B$10,MAX(IF(AND($B$23="Return of Capital",ISNUMBER('Exit Strategy'!$C$5),1='Exit Strategy'!$C$5),MAX('Exit Strategy'!$C$16,0),0)-B36,0)),0))</f>
        <v/>
      </c>
      <c r="C37" s="152">
        <f>IF(2&gt;$B$5,0,IF($B$14="YES",MIN($B$10,MAX(IF(AND($B$23="Return of Capital",ISNUMBER('Exit Strategy'!$C$5),2='Exit Strategy'!$C$5),MAX('Exit Strategy'!$C$16,0),0)-C36,0)),0))</f>
        <v/>
      </c>
      <c r="D37" s="152">
        <f>IF(3&gt;$B$5,0,IF($B$14="YES",MIN($B$10,MAX(IF(AND($B$23="Return of Capital",ISNUMBER('Exit Strategy'!$C$5),3='Exit Strategy'!$C$5),MAX('Exit Strategy'!$C$16,0),0)-D36,0)),0))</f>
        <v/>
      </c>
      <c r="E37" s="152">
        <f>IF(4&gt;$B$5,0,IF($B$14="YES",MIN($B$10,MAX(IF(AND($B$23="Return of Capital",ISNUMBER('Exit Strategy'!$C$5),4='Exit Strategy'!$C$5),MAX('Exit Strategy'!$C$16,0),0)-E36,0)),0))</f>
        <v/>
      </c>
      <c r="F37" s="152">
        <f>IF(5&gt;$B$5,0,IF($B$14="YES",MIN($B$10,MAX(IF(AND($B$23="Return of Capital",ISNUMBER('Exit Strategy'!$C$5),5='Exit Strategy'!$C$5),MAX('Exit Strategy'!$C$16,0),0)-F36,0)),0))</f>
        <v/>
      </c>
      <c r="G37" s="152">
        <f>IF(6&gt;$B$5,0,IF($B$14="YES",MIN($B$10,MAX(IF(AND($B$23="Return of Capital",ISNUMBER('Exit Strategy'!$C$5),6='Exit Strategy'!$C$5),MAX('Exit Strategy'!$C$16,0),0)-G36,0)),0))</f>
        <v/>
      </c>
      <c r="H37" s="152">
        <f>IF(7&gt;$B$5,0,IF($B$14="YES",MIN($B$10,MAX(IF(AND($B$23="Return of Capital",ISNUMBER('Exit Strategy'!$C$5),7='Exit Strategy'!$C$5),MAX('Exit Strategy'!$C$16,0),0)-H36,0)),0))</f>
        <v/>
      </c>
      <c r="I37" s="152">
        <f>IF(8&gt;$B$5,0,IF($B$14="YES",MIN($B$10,MAX(IF(AND($B$23="Return of Capital",ISNUMBER('Exit Strategy'!$C$5),8='Exit Strategy'!$C$5),MAX('Exit Strategy'!$C$16,0),0)-I36,0)),0))</f>
        <v/>
      </c>
      <c r="J37" s="152">
        <f>IF(9&gt;$B$5,0,IF($B$14="YES",MIN($B$10,MAX(IF(AND($B$23="Return of Capital",ISNUMBER('Exit Strategy'!$C$5),9='Exit Strategy'!$C$5),MAX('Exit Strategy'!$C$16,0),0)-J36,0)),0))</f>
        <v/>
      </c>
      <c r="K37" s="152">
        <f>IF(10&gt;$B$5,0,IF($B$14="YES",MIN($B$10,MAX(IF(AND($B$23="Return of Capital",ISNUMBER('Exit Strategy'!$C$5),10='Exit Strategy'!$C$5),MAX('Exit Strategy'!$C$16,0),0)-K36,0)),0))</f>
        <v/>
      </c>
      <c r="L37" s="152">
        <f>IF(B14="YES",MIN(B10,MAX(MAX(B35,0)-L36,0)),0)</f>
        <v/>
      </c>
      <c r="M37" s="152">
        <f>SUM(B37:L37)</f>
        <v/>
      </c>
    </row>
    <row r="38" ht="16.5" customHeight="1" s="817">
      <c r="A38" s="902" t="inlineStr">
        <is>
          <t xml:space="preserve">  Return of Capital — GP</t>
        </is>
      </c>
      <c r="B38" s="776">
        <f>IF(1&gt;$B$5,0,MIN($B$8,MAX(IF(AND($B$23="Return of Capital",ISNUMBER('Exit Strategy'!$C$5),1='Exit Strategy'!$C$5),MAX('Exit Strategy'!$C$16,0),0)-B36-B37,0)))</f>
        <v/>
      </c>
      <c r="C38" s="776">
        <f>IF(2&gt;$B$5,0,MIN($B$8,MAX(IF(AND($B$23="Return of Capital",ISNUMBER('Exit Strategy'!$C$5),2='Exit Strategy'!$C$5),MAX('Exit Strategy'!$C$16,0),0)-C36-C37,0)))</f>
        <v/>
      </c>
      <c r="D38" s="776">
        <f>IF(3&gt;$B$5,0,MIN($B$8,MAX(IF(AND($B$23="Return of Capital",ISNUMBER('Exit Strategy'!$C$5),3='Exit Strategy'!$C$5),MAX('Exit Strategy'!$C$16,0),0)-D36-D37,0)))</f>
        <v/>
      </c>
      <c r="E38" s="776">
        <f>IF(4&gt;$B$5,0,MIN($B$8,MAX(IF(AND($B$23="Return of Capital",ISNUMBER('Exit Strategy'!$C$5),4='Exit Strategy'!$C$5),MAX('Exit Strategy'!$C$16,0),0)-E36-E37,0)))</f>
        <v/>
      </c>
      <c r="F38" s="776">
        <f>IF(5&gt;$B$5,0,MIN($B$8,MAX(IF(AND($B$23="Return of Capital",ISNUMBER('Exit Strategy'!$C$5),5='Exit Strategy'!$C$5),MAX('Exit Strategy'!$C$16,0),0)-F36-F37,0)))</f>
        <v/>
      </c>
      <c r="G38" s="776">
        <f>IF(6&gt;$B$5,0,MIN($B$8,MAX(IF(AND($B$23="Return of Capital",ISNUMBER('Exit Strategy'!$C$5),6='Exit Strategy'!$C$5),MAX('Exit Strategy'!$C$16,0),0)-G36-G37,0)))</f>
        <v/>
      </c>
      <c r="H38" s="776">
        <f>IF(7&gt;$B$5,0,MIN($B$8,MAX(IF(AND($B$23="Return of Capital",ISNUMBER('Exit Strategy'!$C$5),7='Exit Strategy'!$C$5),MAX('Exit Strategy'!$C$16,0),0)-H36-H37,0)))</f>
        <v/>
      </c>
      <c r="I38" s="776">
        <f>IF(8&gt;$B$5,0,MIN($B$8,MAX(IF(AND($B$23="Return of Capital",ISNUMBER('Exit Strategy'!$C$5),8='Exit Strategy'!$C$5),MAX('Exit Strategy'!$C$16,0),0)-I36-I37,0)))</f>
        <v/>
      </c>
      <c r="J38" s="776">
        <f>IF(9&gt;$B$5,0,MIN($B$8,MAX(IF(AND($B$23="Return of Capital",ISNUMBER('Exit Strategy'!$C$5),9='Exit Strategy'!$C$5),MAX('Exit Strategy'!$C$16,0),0)-J36-J37,0)))</f>
        <v/>
      </c>
      <c r="K38" s="776">
        <f>IF(10&gt;$B$5,0,MIN($B$8,MAX(IF(AND($B$23="Return of Capital",ISNUMBER('Exit Strategy'!$C$5),10='Exit Strategy'!$C$5),MAX('Exit Strategy'!$C$16,0),0)-K36-K37,0)))</f>
        <v/>
      </c>
      <c r="L38" s="776">
        <f>MIN(B8,MAX(MAX(B35,0)-L36-L37,0))</f>
        <v/>
      </c>
      <c r="M38" s="776">
        <f>SUM(B38:L38)</f>
        <v/>
      </c>
    </row>
    <row r="39" ht="18" customHeight="1" s="817"/>
    <row r="40" ht="18" customHeight="1" s="817">
      <c r="A40" s="827" t="inlineStr">
        <is>
          <t>ANNUAL DISTRIBUTION WATERFALL</t>
        </is>
      </c>
    </row>
    <row r="41" ht="18" customHeight="1" s="817">
      <c r="A41" s="32" t="inlineStr">
        <is>
          <t>Distribution Tier</t>
        </is>
      </c>
      <c r="B41" s="32" t="inlineStr">
        <is>
          <t>Year 1</t>
        </is>
      </c>
      <c r="C41" s="32" t="inlineStr">
        <is>
          <t>Year 2</t>
        </is>
      </c>
      <c r="D41" s="32" t="inlineStr">
        <is>
          <t>Year 3</t>
        </is>
      </c>
      <c r="E41" s="32" t="inlineStr">
        <is>
          <t>Year 4</t>
        </is>
      </c>
      <c r="F41" s="32" t="inlineStr">
        <is>
          <t>Year 5</t>
        </is>
      </c>
      <c r="G41" s="32" t="inlineStr">
        <is>
          <t>Year 6</t>
        </is>
      </c>
      <c r="H41" s="32" t="inlineStr">
        <is>
          <t>Year 7</t>
        </is>
      </c>
      <c r="I41" s="32" t="inlineStr">
        <is>
          <t>Year 8</t>
        </is>
      </c>
      <c r="J41" s="32" t="inlineStr">
        <is>
          <t>Year 9</t>
        </is>
      </c>
      <c r="K41" s="32" t="inlineStr">
        <is>
          <t>Year 10</t>
        </is>
      </c>
      <c r="L41" s="19" t="inlineStr">
        <is>
          <t>Exit Proceeds</t>
        </is>
      </c>
      <c r="M41" s="32" t="inlineStr">
        <is>
          <t>Total ($)</t>
        </is>
      </c>
    </row>
    <row r="42" ht="18" customHeight="1" s="817">
      <c r="A42" s="8" t="inlineStr">
        <is>
          <t>Class A LP Preferred Return</t>
        </is>
      </c>
      <c r="B42" s="75">
        <f>IF(1&gt;$B$5,0,B9*B11)</f>
        <v/>
      </c>
      <c r="C42" s="75">
        <f>IF(2&gt;$B$5,0,B9*B11)</f>
        <v/>
      </c>
      <c r="D42" s="75">
        <f>IF(3&gt;$B$5,0,B9*B11)</f>
        <v/>
      </c>
      <c r="E42" s="75">
        <f>IF(4&gt;$B$5,0,B9*B11)</f>
        <v/>
      </c>
      <c r="F42" s="75">
        <f>IF(5&gt;$B$5,0,B9*B11)</f>
        <v/>
      </c>
      <c r="G42" s="75">
        <f>IF(6&gt;$B$5,0,B9*B11)</f>
        <v/>
      </c>
      <c r="H42" s="75">
        <f>IF(7&gt;$B$5,0,B9*B11)</f>
        <v/>
      </c>
      <c r="I42" s="75">
        <f>IF(8&gt;$B$5,0,B9*B11)</f>
        <v/>
      </c>
      <c r="J42" s="75">
        <f>IF(9&gt;$B$5,0,B9*B11)</f>
        <v/>
      </c>
      <c r="K42" s="75">
        <f>IF(10&gt;$B$5,0,B9*B11)</f>
        <v/>
      </c>
      <c r="L42" s="75" t="n">
        <v>0</v>
      </c>
      <c r="M42" s="75">
        <f>SUM(B42:K42)</f>
        <v/>
      </c>
    </row>
    <row r="43" ht="18" customHeight="1" s="817">
      <c r="A43" s="266" t="inlineStr">
        <is>
          <t xml:space="preserve">  Class A Pref Distributed</t>
        </is>
      </c>
      <c r="B43" s="119">
        <f>MAX(MIN(B28,B42),0)</f>
        <v/>
      </c>
      <c r="C43" s="119">
        <f>MAX(MIN(C28,C42),0)</f>
        <v/>
      </c>
      <c r="D43" s="119">
        <f>MAX(MIN(D28,D42),0)</f>
        <v/>
      </c>
      <c r="E43" s="119">
        <f>MAX(MIN(E28,E42),0)</f>
        <v/>
      </c>
      <c r="F43" s="119">
        <f>MAX(MIN(F28,F42),0)</f>
        <v/>
      </c>
      <c r="G43" s="119">
        <f>MAX(MIN(G28,G42),0)</f>
        <v/>
      </c>
      <c r="H43" s="119">
        <f>MAX(MIN(H28,H42),0)</f>
        <v/>
      </c>
      <c r="I43" s="119">
        <f>MAX(MIN(I28,I42),0)</f>
        <v/>
      </c>
      <c r="J43" s="119">
        <f>MAX(MIN(J28,J42),0)</f>
        <v/>
      </c>
      <c r="K43" s="119">
        <f>MAX(MIN(K28,K42),0)</f>
        <v/>
      </c>
      <c r="L43" s="119" t="n">
        <v>0</v>
      </c>
      <c r="M43" s="119">
        <f>SUM(B43:K43)</f>
        <v/>
      </c>
    </row>
    <row r="44">
      <c r="A44" s="8" t="inlineStr">
        <is>
          <t>Class B LP Preferred Return</t>
        </is>
      </c>
      <c r="B44" s="75">
        <f>IF(1&gt;$B$5,0,IF(B14="YES",B10*B12,0))</f>
        <v/>
      </c>
      <c r="C44" s="75">
        <f>IF(2&gt;$B$5,0,IF(B14="YES",B10*B12,0))</f>
        <v/>
      </c>
      <c r="D44" s="75">
        <f>IF(3&gt;$B$5,0,IF(B14="YES",B10*B12,0))</f>
        <v/>
      </c>
      <c r="E44" s="75">
        <f>IF(4&gt;$B$5,0,IF(B14="YES",B10*B12,0))</f>
        <v/>
      </c>
      <c r="F44" s="75">
        <f>IF(5&gt;$B$5,0,IF(B14="YES",B10*B12,0))</f>
        <v/>
      </c>
      <c r="G44" s="75">
        <f>IF(6&gt;$B$5,0,IF(B14="YES",B10*B12,0))</f>
        <v/>
      </c>
      <c r="H44" s="75">
        <f>IF(7&gt;$B$5,0,IF(B14="YES",B10*B12,0))</f>
        <v/>
      </c>
      <c r="I44" s="75">
        <f>IF(8&gt;$B$5,0,IF(B14="YES",B10*B12,0))</f>
        <v/>
      </c>
      <c r="J44" s="75">
        <f>IF(9&gt;$B$5,0,IF(B14="YES",B10*B12,0))</f>
        <v/>
      </c>
      <c r="K44" s="75">
        <f>IF(10&gt;$B$5,0,IF(B14="YES",B10*B12,0))</f>
        <v/>
      </c>
      <c r="L44" s="75" t="n">
        <v>0</v>
      </c>
      <c r="M44" s="75">
        <f>SUM(B44:K44)</f>
        <v/>
      </c>
    </row>
    <row r="45" ht="18" customHeight="1" s="817">
      <c r="A45" s="266" t="inlineStr">
        <is>
          <t xml:space="preserve">  Class B Pref Distributed</t>
        </is>
      </c>
      <c r="B45" s="119">
        <f>IF(B14="YES",MIN(MAX(B28-B43,0),B44),0)</f>
        <v/>
      </c>
      <c r="C45" s="119">
        <f>IF(B14="YES",MIN(MAX(C28-C43,0),C44),0)</f>
        <v/>
      </c>
      <c r="D45" s="119">
        <f>IF(B14="YES",MIN(MAX(D28-D43,0),D44),0)</f>
        <v/>
      </c>
      <c r="E45" s="119">
        <f>IF(B14="YES",MIN(MAX(E28-E43,0),E44),0)</f>
        <v/>
      </c>
      <c r="F45" s="119">
        <f>IF(B14="YES",MIN(MAX(F28-F43,0),F44),0)</f>
        <v/>
      </c>
      <c r="G45" s="119">
        <f>IF(B14="YES",MIN(MAX(G28-G43,0),G44),0)</f>
        <v/>
      </c>
      <c r="H45" s="119">
        <f>IF(B14="YES",MIN(MAX(H28-H43,0),H44),0)</f>
        <v/>
      </c>
      <c r="I45" s="119">
        <f>IF(B14="YES",MIN(MAX(I28-I43,0),I44),0)</f>
        <v/>
      </c>
      <c r="J45" s="119">
        <f>IF(B14="YES",MIN(MAX(J28-J43,0),J44),0)</f>
        <v/>
      </c>
      <c r="K45" s="119">
        <f>IF(B14="YES",MIN(MAX(K28-K43,0),K44),0)</f>
        <v/>
      </c>
      <c r="L45" s="119" t="n">
        <v>0</v>
      </c>
      <c r="M45" s="119">
        <f>SUM(B45:K45)</f>
        <v/>
      </c>
    </row>
    <row r="46" ht="18" customHeight="1" s="817">
      <c r="A46" s="130" t="inlineStr">
        <is>
          <t>FCF Remaining After Prefs</t>
        </is>
      </c>
      <c r="B46" s="80">
        <f>MAX(B28-B43-B45,0)</f>
        <v/>
      </c>
      <c r="C46" s="80">
        <f>MAX(C28-C43-C45,0)</f>
        <v/>
      </c>
      <c r="D46" s="80">
        <f>MAX(D28-D43-D45,0)</f>
        <v/>
      </c>
      <c r="E46" s="80">
        <f>MAX(E28-E43-E45,0)</f>
        <v/>
      </c>
      <c r="F46" s="80">
        <f>MAX(F28-F43-F45,0)</f>
        <v/>
      </c>
      <c r="G46" s="80">
        <f>MAX(G28-G43-G45,0)</f>
        <v/>
      </c>
      <c r="H46" s="80">
        <f>MAX(H28-H43-H45,0)</f>
        <v/>
      </c>
      <c r="I46" s="80">
        <f>MAX(I28-I43-I45,0)</f>
        <v/>
      </c>
      <c r="J46" s="80">
        <f>MAX(J28-J43-J45,0)</f>
        <v/>
      </c>
      <c r="K46" s="80">
        <f>MAX(K28-K43-K45,0)</f>
        <v/>
      </c>
      <c r="L46" s="80">
        <f>MAX(B35,0)</f>
        <v/>
      </c>
      <c r="M46" s="80">
        <f>SUM(B46:L46)</f>
        <v/>
      </c>
    </row>
    <row r="48" ht="18" customHeight="1" s="817">
      <c r="A48" s="8" t="inlineStr">
        <is>
          <t>Tier 1 — LP Share (FCF)</t>
        </is>
      </c>
      <c r="B48" s="75">
        <f>B46*B15</f>
        <v/>
      </c>
      <c r="C48" s="75">
        <f>C46*B15</f>
        <v/>
      </c>
      <c r="D48" s="75">
        <f>D46*B15</f>
        <v/>
      </c>
      <c r="E48" s="75">
        <f>E46*B15</f>
        <v/>
      </c>
      <c r="F48" s="75">
        <f>F46*B15</f>
        <v/>
      </c>
      <c r="G48" s="75">
        <f>G46*B15</f>
        <v/>
      </c>
      <c r="H48" s="75">
        <f>H46*B15</f>
        <v/>
      </c>
      <c r="I48" s="75">
        <f>I46*B15</f>
        <v/>
      </c>
      <c r="J48" s="75">
        <f>J46*B15</f>
        <v/>
      </c>
      <c r="K48" s="75">
        <f>K46*B15</f>
        <v/>
      </c>
      <c r="L48" s="75">
        <f>MAX(L46-L36-L37-L38,0)*B15</f>
        <v/>
      </c>
      <c r="M48" s="75">
        <f>SUM(B48:L48)</f>
        <v/>
      </c>
    </row>
    <row r="49" ht="18" customHeight="1" s="817">
      <c r="A49" s="8" t="inlineStr">
        <is>
          <t>Tier 1 — GP Share (FCF)</t>
        </is>
      </c>
      <c r="B49" s="75">
        <f>B46*(1-B15)</f>
        <v/>
      </c>
      <c r="C49" s="75">
        <f>C46*(1-B15)</f>
        <v/>
      </c>
      <c r="D49" s="75">
        <f>D46*(1-B15)</f>
        <v/>
      </c>
      <c r="E49" s="75">
        <f>E46*(1-B15)</f>
        <v/>
      </c>
      <c r="F49" s="75">
        <f>F46*(1-B15)</f>
        <v/>
      </c>
      <c r="G49" s="75">
        <f>G46*(1-B15)</f>
        <v/>
      </c>
      <c r="H49" s="75">
        <f>H46*(1-B15)</f>
        <v/>
      </c>
      <c r="I49" s="75">
        <f>I46*(1-B15)</f>
        <v/>
      </c>
      <c r="J49" s="75">
        <f>J46*(1-B15)</f>
        <v/>
      </c>
      <c r="K49" s="75">
        <f>K46*(1-B15)</f>
        <v/>
      </c>
      <c r="L49" s="75">
        <f>MAX(L46-L36-L37-L38,0)*(1-B15)</f>
        <v/>
      </c>
      <c r="M49" s="75">
        <f>SUM(B49:L49)</f>
        <v/>
      </c>
    </row>
    <row r="50" ht="18" customHeight="1" s="817"/>
    <row r="51" ht="6" customHeight="1" s="817">
      <c r="A51" s="266" t="n"/>
      <c r="B51" s="119" t="n"/>
      <c r="C51" s="119" t="n"/>
      <c r="D51" s="119" t="n"/>
      <c r="E51" s="119" t="n"/>
      <c r="F51" s="119" t="n"/>
      <c r="G51" s="119" t="n"/>
      <c r="H51" s="119" t="n"/>
      <c r="I51" s="119" t="n"/>
      <c r="J51" s="119" t="n"/>
      <c r="K51" s="119" t="n"/>
      <c r="L51" s="119" t="n"/>
      <c r="M51" s="119" t="n"/>
    </row>
    <row r="52" ht="6" customHeight="1" s="817">
      <c r="A52" s="266" t="n"/>
      <c r="B52" s="119" t="n"/>
      <c r="C52" s="119" t="n"/>
      <c r="D52" s="119" t="n"/>
      <c r="E52" s="119" t="n"/>
      <c r="F52" s="119" t="n"/>
      <c r="G52" s="119" t="n"/>
      <c r="H52" s="119" t="n"/>
      <c r="I52" s="119" t="n"/>
      <c r="J52" s="119" t="n"/>
      <c r="K52" s="119" t="n"/>
      <c r="L52" s="119" t="n"/>
      <c r="M52" s="119" t="n"/>
    </row>
    <row r="53" ht="6" customHeight="1" s="817">
      <c r="A53" s="266" t="n"/>
      <c r="B53" s="119" t="n"/>
      <c r="C53" s="119" t="n"/>
      <c r="D53" s="119" t="n"/>
      <c r="E53" s="119" t="n"/>
      <c r="F53" s="119" t="n"/>
      <c r="G53" s="119" t="n"/>
      <c r="H53" s="119" t="n"/>
      <c r="I53" s="119" t="n"/>
      <c r="J53" s="119" t="n"/>
      <c r="K53" s="119" t="n"/>
      <c r="L53" s="119" t="n"/>
      <c r="M53" s="119" t="n"/>
    </row>
    <row r="54" ht="18" customHeight="1" s="817"/>
    <row r="55" ht="18" customHeight="1" s="817">
      <c r="A55" s="837" t="inlineStr">
        <is>
          <t>TOTAL CLASS A LP DISTRIBUTIONS</t>
        </is>
      </c>
      <c r="B55" s="267">
        <f>IF($E$12="Common Equity",B43+B48*IFERROR($B$9/($B$9+$B$10),1),B43+B48)</f>
        <v/>
      </c>
      <c r="C55" s="267">
        <f>IF($E$12="Common Equity",C43+C48*IFERROR($B$9/($B$9+$B$10),1),C43+C48)</f>
        <v/>
      </c>
      <c r="D55" s="267">
        <f>IF($E$12="Common Equity",D43+D48*IFERROR($B$9/($B$9+$B$10),1),D43+D48)</f>
        <v/>
      </c>
      <c r="E55" s="267">
        <f>IF($E$12="Common Equity",E43+E48*IFERROR($B$9/($B$9+$B$10),1),E43+E48)</f>
        <v/>
      </c>
      <c r="F55" s="267">
        <f>IF($E$12="Common Equity",F43+F48*IFERROR($B$9/($B$9+$B$10),1),F43+F48)</f>
        <v/>
      </c>
      <c r="G55" s="267">
        <f>IF($E$12="Common Equity",G43+G48*IFERROR($B$9/($B$9+$B$10),1),G43+G48)</f>
        <v/>
      </c>
      <c r="H55" s="267">
        <f>IF($E$12="Common Equity",H43+H48*IFERROR($B$9/($B$9+$B$10),1),H43+H48)</f>
        <v/>
      </c>
      <c r="I55" s="267">
        <f>IF($E$12="Common Equity",I43+I48*IFERROR($B$9/($B$9+$B$10),1),I43+I48)</f>
        <v/>
      </c>
      <c r="J55" s="267">
        <f>IF($E$12="Common Equity",J43+J48*IFERROR($B$9/($B$9+$B$10),1),J43+J48)</f>
        <v/>
      </c>
      <c r="K55" s="267">
        <f>IF($E$12="Common Equity",K43+K48*IFERROR($B$9/($B$9+$B$10),1),K43+K48)</f>
        <v/>
      </c>
      <c r="L55" s="267">
        <f>IF($E$12="Common Equity",L43+L48*IFERROR($B$9/($B$9+$B$10),1)+L36,L43+L48+L36)</f>
        <v/>
      </c>
      <c r="M55" s="268">
        <f>SUM(B55:L55)</f>
        <v/>
      </c>
    </row>
    <row r="56">
      <c r="A56" s="857" t="inlineStr">
        <is>
          <t>TOTAL CLASS B LP DISTRIBUTIONS</t>
        </is>
      </c>
      <c r="B56" s="269">
        <f>IF($E$12="Common Equity",B45+B48*IFERROR($B$10/($B$9+$B$10),0),B45)</f>
        <v/>
      </c>
      <c r="C56" s="269">
        <f>IF($E$12="Common Equity",C45+C48*IFERROR($B$10/($B$9+$B$10),0),C45)</f>
        <v/>
      </c>
      <c r="D56" s="269">
        <f>IF($E$12="Common Equity",D45+D48*IFERROR($B$10/($B$9+$B$10),0),D45)</f>
        <v/>
      </c>
      <c r="E56" s="269">
        <f>IF($E$12="Common Equity",E45+E48*IFERROR($B$10/($B$9+$B$10),0),E45)</f>
        <v/>
      </c>
      <c r="F56" s="269">
        <f>IF($E$12="Common Equity",F45+F48*IFERROR($B$10/($B$9+$B$10),0),F45)</f>
        <v/>
      </c>
      <c r="G56" s="269">
        <f>IF($E$12="Common Equity",G45+G48*IFERROR($B$10/($B$9+$B$10),0),G45)</f>
        <v/>
      </c>
      <c r="H56" s="269">
        <f>IF($E$12="Common Equity",H45+H48*IFERROR($B$10/($B$9+$B$10),0),H45)</f>
        <v/>
      </c>
      <c r="I56" s="269">
        <f>IF($E$12="Common Equity",I45+I48*IFERROR($B$10/($B$9+$B$10),0),I45)</f>
        <v/>
      </c>
      <c r="J56" s="269">
        <f>IF($E$12="Common Equity",J45+J48*IFERROR($B$10/($B$9+$B$10),0),J45)</f>
        <v/>
      </c>
      <c r="K56" s="269">
        <f>IF($E$12="Common Equity",K45+K48*IFERROR($B$10/($B$9+$B$10),0),K45)</f>
        <v/>
      </c>
      <c r="L56" s="269">
        <f>IF($E$12="Common Equity",L45+L48*IFERROR($B$10/($B$9+$B$10),0)+L37,L45+L37)</f>
        <v/>
      </c>
      <c r="M56" s="270">
        <f>SUM(B56:L56)</f>
        <v/>
      </c>
    </row>
    <row r="57" ht="24" customHeight="1" s="817">
      <c r="A57" s="836" t="inlineStr">
        <is>
          <t>TOTAL LP DISTRIBUTIONS (A+B)</t>
        </is>
      </c>
      <c r="B57" s="101">
        <f>B55+B56</f>
        <v/>
      </c>
      <c r="C57" s="101">
        <f>C55+C56</f>
        <v/>
      </c>
      <c r="D57" s="101">
        <f>D55+D56</f>
        <v/>
      </c>
      <c r="E57" s="101">
        <f>E55+E56</f>
        <v/>
      </c>
      <c r="F57" s="101">
        <f>F55+F56</f>
        <v/>
      </c>
      <c r="G57" s="152">
        <f>G55+G56</f>
        <v/>
      </c>
      <c r="H57" s="152">
        <f>H55+H56</f>
        <v/>
      </c>
      <c r="I57" s="152">
        <f>I55+I56</f>
        <v/>
      </c>
      <c r="J57" s="152">
        <f>J55+J56</f>
        <v/>
      </c>
      <c r="K57" s="152">
        <f>K55+K56</f>
        <v/>
      </c>
      <c r="L57" s="152">
        <f>L55+L56</f>
        <v/>
      </c>
      <c r="M57" s="471">
        <f>SUM(B57:L57)</f>
        <v/>
      </c>
    </row>
    <row r="58" ht="30" customHeight="1" s="817">
      <c r="A58" s="840" t="inlineStr">
        <is>
          <t>TOTAL GP DISTRIBUTIONS</t>
        </is>
      </c>
      <c r="B58" s="160">
        <f>B49</f>
        <v/>
      </c>
      <c r="C58" s="160">
        <f>C49</f>
        <v/>
      </c>
      <c r="D58" s="160">
        <f>D49</f>
        <v/>
      </c>
      <c r="E58" s="160">
        <f>E49</f>
        <v/>
      </c>
      <c r="F58" s="160">
        <f>F49</f>
        <v/>
      </c>
      <c r="L58" s="152">
        <f>L49+L38</f>
        <v/>
      </c>
      <c r="M58" s="160">
        <f>SUM(B58:L58)</f>
        <v/>
      </c>
    </row>
    <row r="59" ht="18" customHeight="1" s="817"/>
    <row r="60" ht="18" customHeight="1" s="817">
      <c r="A60" s="827" t="inlineStr">
        <is>
          <t>INVESTOR RETURNS SUMMARY</t>
        </is>
      </c>
    </row>
    <row r="61" ht="18" customHeight="1" s="817">
      <c r="A61" s="32" t="inlineStr">
        <is>
          <t>Metric</t>
        </is>
      </c>
      <c r="B61" s="19" t="inlineStr">
        <is>
          <t>Class A LP</t>
        </is>
      </c>
      <c r="C61" s="196" t="inlineStr">
        <is>
          <t>Class B LP</t>
        </is>
      </c>
      <c r="D61" s="60" t="inlineStr">
        <is>
          <t>LP (Combined)</t>
        </is>
      </c>
      <c r="E61" s="32" t="inlineStr">
        <is>
          <t>GP</t>
        </is>
      </c>
      <c r="F61" s="59" t="inlineStr">
        <is>
          <t>Notes</t>
        </is>
      </c>
    </row>
    <row r="62" ht="18" customHeight="1" s="817">
      <c r="A62" s="8" t="inlineStr">
        <is>
          <t xml:space="preserve">  [IRR Helper] Class A LP Cash Flows</t>
        </is>
      </c>
      <c r="B62" s="271">
        <f>-B9</f>
        <v/>
      </c>
      <c r="C62" s="271">
        <f>IF(1&gt;$B$5,0,B55+IF(1=$B$5,L55,0))</f>
        <v/>
      </c>
      <c r="D62" s="271">
        <f>IF(2&gt;$B$5,0,C55+IF(2=$B$5,L55,0))</f>
        <v/>
      </c>
      <c r="E62" s="271">
        <f>IF(3&gt;$B$5,0,D55+IF(3=$B$5,L55,0))</f>
        <v/>
      </c>
      <c r="F62" s="271">
        <f>IF(4&gt;$B$5,0,E55+IF(4=$B$5,L55,0))</f>
        <v/>
      </c>
      <c r="G62" s="271">
        <f>IF(5&gt;$B$5,0,F55+IF(5=$B$5,L55,0))</f>
        <v/>
      </c>
      <c r="H62" s="271">
        <f>IF(6&gt;$B$5,0,G55+IF(6=$B$5,L55,0))</f>
        <v/>
      </c>
      <c r="I62" s="271">
        <f>IF(7&gt;$B$5,0,H55+IF(7=$B$5,L55,0))</f>
        <v/>
      </c>
      <c r="J62" s="271">
        <f>IF(8&gt;$B$5,0,I55+IF(8=$B$5,L55,0))</f>
        <v/>
      </c>
      <c r="K62" s="271">
        <f>IF(9&gt;$B$5,0,J55+IF(9=$B$5,L55,0))</f>
        <v/>
      </c>
      <c r="L62" s="271">
        <f>IF(10&gt;$B$5,0,K55+IF(10=$B$5,L55,0))</f>
        <v/>
      </c>
      <c r="M62" s="271" t="n"/>
    </row>
    <row r="63" ht="18" customHeight="1" s="817">
      <c r="A63" s="8" t="inlineStr">
        <is>
          <t xml:space="preserve">  [IRR Helper] Class B LP Cash Flows</t>
        </is>
      </c>
      <c r="B63" s="271">
        <f>-B10</f>
        <v/>
      </c>
      <c r="C63" s="271">
        <f>IF(1&gt;$B$5,0,B56+IF(1=$B$5,L56,0))</f>
        <v/>
      </c>
      <c r="D63" s="271">
        <f>IF(2&gt;$B$5,0,C56+IF(2=$B$5,L56,0))</f>
        <v/>
      </c>
      <c r="E63" s="271">
        <f>IF(3&gt;$B$5,0,D56+IF(3=$B$5,L56,0))</f>
        <v/>
      </c>
      <c r="F63" s="271">
        <f>IF(4&gt;$B$5,0,E56+IF(4=$B$5,L56,0))</f>
        <v/>
      </c>
      <c r="G63" s="271">
        <f>IF(5&gt;$B$5,0,F56+IF(5=$B$5,L56,0))</f>
        <v/>
      </c>
      <c r="H63" s="271">
        <f>IF(6&gt;$B$5,0,G56+IF(6=$B$5,L56,0))</f>
        <v/>
      </c>
      <c r="I63" s="271">
        <f>IF(7&gt;$B$5,0,H56+IF(7=$B$5,L56,0))</f>
        <v/>
      </c>
      <c r="J63" s="271">
        <f>IF(8&gt;$B$5,0,I56+IF(8=$B$5,L56,0))</f>
        <v/>
      </c>
      <c r="K63" s="271">
        <f>IF(9&gt;$B$5,0,J56+IF(9=$B$5,L56,0))</f>
        <v/>
      </c>
      <c r="L63" s="271">
        <f>IF(10&gt;$B$5,0,K56+IF(10=$B$5,L56,0))</f>
        <v/>
      </c>
      <c r="M63" s="271" t="n"/>
    </row>
    <row r="64" ht="18" customHeight="1" s="817">
      <c r="A64" s="8" t="inlineStr">
        <is>
          <t xml:space="preserve">  [IRR Helper] GP Cash Flows</t>
        </is>
      </c>
      <c r="B64" s="271">
        <f>-B8</f>
        <v/>
      </c>
      <c r="C64" s="271">
        <f>IF(1&gt;$B$5,0,B58+IF(1=$B$5,L58,0))</f>
        <v/>
      </c>
      <c r="D64" s="271">
        <f>IF(2&gt;$B$5,0,C58+IF(2=$B$5,L58,0))</f>
        <v/>
      </c>
      <c r="E64" s="271">
        <f>IF(3&gt;$B$5,0,D58+IF(3=$B$5,L58,0))</f>
        <v/>
      </c>
      <c r="F64" s="271">
        <f>IF(4&gt;$B$5,0,E58+IF(4=$B$5,L58,0))</f>
        <v/>
      </c>
      <c r="G64" s="271">
        <f>IF(5&gt;$B$5,0,F58+IF(5=$B$5,L58,0))</f>
        <v/>
      </c>
      <c r="H64" s="271">
        <f>IF(6&gt;$B$5,0,G58+IF(6=$B$5,L58,0))</f>
        <v/>
      </c>
      <c r="I64" s="271">
        <f>IF(7&gt;$B$5,0,H58+IF(7=$B$5,L58,0))</f>
        <v/>
      </c>
      <c r="J64" s="271">
        <f>IF(8&gt;$B$5,0,I58+IF(8=$B$5,L58,0))</f>
        <v/>
      </c>
      <c r="K64" s="271">
        <f>IF(9&gt;$B$5,0,J58+IF(9=$B$5,L58,0))</f>
        <v/>
      </c>
      <c r="L64" s="271">
        <f>IF(10&gt;$B$5,0,K58+IF(10=$B$5,L58,0))</f>
        <v/>
      </c>
      <c r="M64" s="271" t="n"/>
    </row>
    <row r="65" ht="18" customHeight="1" s="817">
      <c r="A65" s="8" t="inlineStr">
        <is>
          <t>Total Equity Invested</t>
        </is>
      </c>
      <c r="B65" s="75">
        <f>B9</f>
        <v/>
      </c>
      <c r="C65" s="75">
        <f>B10</f>
        <v/>
      </c>
      <c r="D65" s="75">
        <f>B9+B10</f>
        <v/>
      </c>
      <c r="E65" s="75">
        <f>B8</f>
        <v/>
      </c>
    </row>
    <row r="66" ht="18" customHeight="1" s="817">
      <c r="A66" s="10" t="inlineStr">
        <is>
          <t>Total Distributions</t>
        </is>
      </c>
      <c r="B66" s="71">
        <f>M55</f>
        <v/>
      </c>
      <c r="C66" s="71">
        <f>M56</f>
        <v/>
      </c>
      <c r="D66" s="71">
        <f>M57</f>
        <v/>
      </c>
      <c r="E66" s="71">
        <f>M58</f>
        <v/>
      </c>
    </row>
    <row r="67" ht="15.75" customHeight="1" s="817">
      <c r="A67" s="8" t="inlineStr">
        <is>
          <t>Equity Multiple (EM)</t>
        </is>
      </c>
      <c r="B67" s="272">
        <f>IFERROR(B66/B65,0)</f>
        <v/>
      </c>
      <c r="C67" s="272">
        <f>IFERROR(C66/C65,0)</f>
        <v/>
      </c>
      <c r="D67" s="272">
        <f>IFERROR(D66/D65,0)</f>
        <v/>
      </c>
      <c r="E67" s="272">
        <f>IFERROR(E66/E65,0)</f>
        <v/>
      </c>
    </row>
    <row r="68">
      <c r="A68" s="10" t="inlineStr">
        <is>
          <t>Net Profit</t>
        </is>
      </c>
      <c r="B68" s="71">
        <f>B66-B65</f>
        <v/>
      </c>
      <c r="C68" s="71">
        <f>C66-C65</f>
        <v/>
      </c>
      <c r="D68" s="71">
        <f>D66-D65</f>
        <v/>
      </c>
      <c r="E68" s="71">
        <f>E66-E65</f>
        <v/>
      </c>
    </row>
    <row r="69">
      <c r="A69" s="8" t="inlineStr">
        <is>
          <t>IRR</t>
        </is>
      </c>
      <c r="B69" s="273">
        <f>IFERROR(IRR(B62:M62),0)</f>
        <v/>
      </c>
      <c r="C69" s="273">
        <f>IFERROR(IRR(B63:M63),0)</f>
        <v/>
      </c>
      <c r="D69" s="273">
        <f>IFERROR(IF(B10=0,B69,IRR(B70:M70)),0)</f>
        <v/>
      </c>
      <c r="E69" s="273">
        <f>IFERROR(IRR(B64:M64),0)</f>
        <v/>
      </c>
    </row>
    <row r="70" ht="21.75" customHeight="1" s="817">
      <c r="A70" s="892" t="inlineStr">
        <is>
          <t xml:space="preserve">  [IRR Helper] Combined LP Cash Flows</t>
        </is>
      </c>
    </row>
    <row r="71" ht="15.75" customHeight="1" s="817"/>
    <row r="72" ht="18" customHeight="1" s="817"/>
    <row r="73" ht="18" customHeight="1" s="817">
      <c r="A73" s="827" t="inlineStr">
        <is>
          <t>LP CAPITAL BALANCE TRACKER  (Unreturned Capital by Year)</t>
        </is>
      </c>
    </row>
    <row r="74" ht="18" customHeight="1" s="817">
      <c r="A74" s="274" t="inlineStr">
        <is>
          <t>Party</t>
        </is>
      </c>
      <c r="B74" s="41" t="inlineStr">
        <is>
          <t>Y0 (Invested)</t>
        </is>
      </c>
      <c r="C74" s="41" t="inlineStr">
        <is>
          <t>Y1</t>
        </is>
      </c>
      <c r="D74" s="41" t="inlineStr">
        <is>
          <t>Y2</t>
        </is>
      </c>
      <c r="E74" s="41" t="inlineStr">
        <is>
          <t>Y3</t>
        </is>
      </c>
      <c r="F74" s="41" t="inlineStr">
        <is>
          <t>Y4</t>
        </is>
      </c>
      <c r="G74" s="41" t="inlineStr">
        <is>
          <t>Y5</t>
        </is>
      </c>
      <c r="H74" s="41" t="inlineStr">
        <is>
          <t>Y6</t>
        </is>
      </c>
      <c r="I74" s="41" t="inlineStr">
        <is>
          <t>Y7</t>
        </is>
      </c>
      <c r="J74" s="41" t="inlineStr">
        <is>
          <t>Y8</t>
        </is>
      </c>
      <c r="K74" s="41" t="inlineStr">
        <is>
          <t>Y9</t>
        </is>
      </c>
      <c r="L74" s="41" t="inlineStr">
        <is>
          <t>Y10</t>
        </is>
      </c>
      <c r="M74" s="41" t="inlineStr">
        <is>
          <t>Exit</t>
        </is>
      </c>
    </row>
    <row r="75">
      <c r="A75" s="137" t="inlineStr">
        <is>
          <t>Class A LP — Invested Capital</t>
        </is>
      </c>
      <c r="B75" s="275">
        <f>B9</f>
        <v/>
      </c>
      <c r="C75" s="276">
        <f>IF(1&gt;$B$5,0,MAX(B75-IF($B$23="Return of Capital",IF(ISNUMBER('Exit Strategy'!$C$5),IF(1='Exit Strategy'!$C$5,'Exit Strategy'!$C$16*IFERROR($B$9/($B$9+$B$10),1),0),0),0),0))</f>
        <v/>
      </c>
      <c r="D75" s="276">
        <f>IF(2&gt;$B$5,0,MAX(C75-IF($B$23="Return of Capital",IF(ISNUMBER('Exit Strategy'!$C$5),IF(2='Exit Strategy'!$C$5,'Exit Strategy'!$C$16*IFERROR($B$9/($B$9+$B$10),1),0),0),0),0))</f>
        <v/>
      </c>
      <c r="E75" s="276">
        <f>IF(3&gt;$B$5,0,MAX(D75-IF($B$23="Return of Capital",IF(ISNUMBER('Exit Strategy'!$C$5),IF(3='Exit Strategy'!$C$5,'Exit Strategy'!$C$16*IFERROR($B$9/($B$9+$B$10),1),0),0),0),0))</f>
        <v/>
      </c>
      <c r="F75" s="276">
        <f>IF(4&gt;$B$5,0,MAX(E75-IF($B$23="Return of Capital",IF(ISNUMBER('Exit Strategy'!$C$5),IF(4='Exit Strategy'!$C$5,'Exit Strategy'!$C$16*IFERROR($B$9/($B$9+$B$10),1),0),0),0),0))</f>
        <v/>
      </c>
      <c r="G75" s="276">
        <f>IF(5&gt;$B$5,0,MAX(F75-IF($B$23="Return of Capital",IF(ISNUMBER('Exit Strategy'!$C$5),IF(5='Exit Strategy'!$C$5,'Exit Strategy'!$C$16*IFERROR($B$9/($B$9+$B$10),1),0),0),0),0))</f>
        <v/>
      </c>
      <c r="H75" s="276">
        <f>IF(6&gt;$B$5,0,MAX(G75-IF($B$23="Return of Capital",IF(ISNUMBER('Exit Strategy'!$C$5),IF(6='Exit Strategy'!$C$5,'Exit Strategy'!$C$16*IFERROR($B$9/($B$9+$B$10),1),0),0),0),0))</f>
        <v/>
      </c>
      <c r="I75" s="276">
        <f>IF(7&gt;$B$5,0,MAX(H75-IF($B$23="Return of Capital",IF(ISNUMBER('Exit Strategy'!$C$5),IF(7='Exit Strategy'!$C$5,'Exit Strategy'!$C$16*IFERROR($B$9/($B$9+$B$10),1),0),0),0),0))</f>
        <v/>
      </c>
      <c r="J75" s="276">
        <f>IF(8&gt;$B$5,0,MAX(I75-IF($B$23="Return of Capital",IF(ISNUMBER('Exit Strategy'!$C$5),IF(8='Exit Strategy'!$C$5,'Exit Strategy'!$C$16*IFERROR($B$9/($B$9+$B$10),1),0),0),0),0))</f>
        <v/>
      </c>
      <c r="K75" s="276">
        <f>IF(9&gt;$B$5,0,MAX(J75-IF($B$23="Return of Capital",IF(ISNUMBER('Exit Strategy'!$C$5),IF(9='Exit Strategy'!$C$5,'Exit Strategy'!$C$16*IFERROR($B$9/($B$9+$B$10),1),0),0),0),0))</f>
        <v/>
      </c>
      <c r="L75" s="276">
        <f>IF(10&gt;$B$5,0,MAX(K75-IF($B$23="Return of Capital",IF(ISNUMBER('Exit Strategy'!$C$5),IF(10='Exit Strategy'!$C$5,'Exit Strategy'!$C$16*IFERROR($B$9/($B$9+$B$10),1),0),0),0),0))</f>
        <v/>
      </c>
      <c r="M75" s="275">
        <f>B75</f>
        <v/>
      </c>
      <c r="N75" s="275">
        <f>MAX(K75-L51,0)</f>
        <v/>
      </c>
    </row>
    <row r="76" ht="18" customHeight="1" s="817">
      <c r="A76" s="889" t="inlineStr">
        <is>
          <t xml:space="preserve">  Less: Refi — Return of Capital</t>
        </is>
      </c>
      <c r="B76" s="278" t="inlineStr">
        <is>
          <t>—</t>
        </is>
      </c>
      <c r="C76" s="279">
        <f>IF($B$23="Return of Capital",IF(ISNUMBER('Exit Strategy'!$C$5),IF(1='Exit Strategy'!$C$5,'Exit Strategy'!$C$16*IFERROR($B$9/($B$9+$B$10),1),0),0),0)</f>
        <v/>
      </c>
      <c r="D76" s="279">
        <f>IF($B$23="Return of Capital",IF(ISNUMBER('Exit Strategy'!$C$5),IF(2='Exit Strategy'!$C$5,'Exit Strategy'!$C$16*IFERROR($B$9/($B$9+$B$10),1),0),0),0)</f>
        <v/>
      </c>
      <c r="E76" s="279">
        <f>IF($B$23="Return of Capital",IF(ISNUMBER('Exit Strategy'!$C$5),IF(3='Exit Strategy'!$C$5,'Exit Strategy'!$C$16*IFERROR($B$9/($B$9+$B$10),1),0),0),0)</f>
        <v/>
      </c>
      <c r="F76" s="279">
        <f>IF($B$23="Return of Capital",IF(ISNUMBER('Exit Strategy'!$C$5),IF(4='Exit Strategy'!$C$5,'Exit Strategy'!$C$16*IFERROR($B$9/($B$9+$B$10),1),0),0),0)</f>
        <v/>
      </c>
      <c r="G76" s="279">
        <f>IF($B$23="Return of Capital",IF(ISNUMBER('Exit Strategy'!$C$5),IF(5='Exit Strategy'!$C$5,'Exit Strategy'!$C$16*IFERROR($B$9/($B$9+$B$10),1),0),0),0)</f>
        <v/>
      </c>
      <c r="H76" s="279">
        <f>IF($B$23="Return of Capital",IF(ISNUMBER('Exit Strategy'!$C$5),IF(6='Exit Strategy'!$C$5,'Exit Strategy'!$C$16*IFERROR($B$9/($B$9+$B$10),1),0),0),0)</f>
        <v/>
      </c>
      <c r="I76" s="279">
        <f>IF($B$23="Return of Capital",IF(ISNUMBER('Exit Strategy'!$C$5),IF(7='Exit Strategy'!$C$5,'Exit Strategy'!$C$16*IFERROR($B$9/($B$9+$B$10),1),0),0),0)</f>
        <v/>
      </c>
      <c r="J76" s="279">
        <f>IF($B$23="Return of Capital",IF(ISNUMBER('Exit Strategy'!$C$5),IF(8='Exit Strategy'!$C$5,'Exit Strategy'!$C$16*IFERROR($B$9/($B$9+$B$10),1),0),0),0)</f>
        <v/>
      </c>
      <c r="K76" s="279">
        <f>IF($B$23="Return of Capital",IF(ISNUMBER('Exit Strategy'!$C$5),IF(9='Exit Strategy'!$C$5,'Exit Strategy'!$C$16*IFERROR($B$9/($B$9+$B$10),1),0),0),0)</f>
        <v/>
      </c>
      <c r="L76" s="279">
        <f>IF($B$23="Return of Capital",IF(ISNUMBER('Exit Strategy'!$C$5),IF(10='Exit Strategy'!$C$5,'Exit Strategy'!$C$16*IFERROR($B$9/($B$9+$B$10),1),0),0),0)</f>
        <v/>
      </c>
      <c r="M76" s="279">
        <f>SUM(C76:L76)</f>
        <v/>
      </c>
      <c r="N76" s="279">
        <f>L51</f>
        <v/>
      </c>
    </row>
    <row r="77" ht="18" customHeight="1" s="817">
      <c r="A77" s="280" t="inlineStr">
        <is>
          <t xml:space="preserve">  Closing Balance</t>
        </is>
      </c>
      <c r="B77" s="281">
        <f>B75</f>
        <v/>
      </c>
      <c r="C77" s="281">
        <f>C75</f>
        <v/>
      </c>
      <c r="D77" s="281">
        <f>D75</f>
        <v/>
      </c>
      <c r="E77" s="281">
        <f>E75</f>
        <v/>
      </c>
      <c r="F77" s="281">
        <f>F75</f>
        <v/>
      </c>
      <c r="G77" s="281">
        <f>G75</f>
        <v/>
      </c>
      <c r="H77" s="281">
        <f>H75</f>
        <v/>
      </c>
      <c r="I77" s="281">
        <f>I75</f>
        <v/>
      </c>
      <c r="J77" s="281">
        <f>J75</f>
        <v/>
      </c>
      <c r="K77" s="281">
        <f>K75</f>
        <v/>
      </c>
      <c r="L77" s="281">
        <f>L75</f>
        <v/>
      </c>
      <c r="M77" s="281">
        <f>M75</f>
        <v/>
      </c>
    </row>
    <row r="78" ht="18" customHeight="1" s="817"/>
    <row r="79">
      <c r="A79" s="137" t="inlineStr">
        <is>
          <t>Total LP — Invested Capital</t>
        </is>
      </c>
      <c r="B79" s="275">
        <f>B9+B10</f>
        <v/>
      </c>
      <c r="C79" s="276">
        <f>IF(1&gt;$B$5,0,MAX(B79-IF($B$23="Return of Capital",IF(ISNUMBER('Exit Strategy'!$C$5),IF(1='Exit Strategy'!$C$5,'Exit Strategy'!$C$16,0),0),0),0))</f>
        <v/>
      </c>
      <c r="D79" s="276">
        <f>IF(2&gt;$B$5,0,MAX(C79-IF($B$23="Return of Capital",IF(ISNUMBER('Exit Strategy'!$C$5),IF(2='Exit Strategy'!$C$5,'Exit Strategy'!$C$16,0),0),0),0))</f>
        <v/>
      </c>
      <c r="E79" s="276">
        <f>IF(3&gt;$B$5,0,MAX(D79-IF($B$23="Return of Capital",IF(ISNUMBER('Exit Strategy'!$C$5),IF(3='Exit Strategy'!$C$5,'Exit Strategy'!$C$16,0),0),0),0))</f>
        <v/>
      </c>
      <c r="F79" s="276">
        <f>IF(4&gt;$B$5,0,MAX(E79-IF($B$23="Return of Capital",IF(ISNUMBER('Exit Strategy'!$C$5),IF(4='Exit Strategy'!$C$5,'Exit Strategy'!$C$16,0),0),0),0))</f>
        <v/>
      </c>
      <c r="G79" s="276">
        <f>IF(5&gt;$B$5,0,MAX(F79-IF($B$23="Return of Capital",IF(ISNUMBER('Exit Strategy'!$C$5),IF(5='Exit Strategy'!$C$5,'Exit Strategy'!$C$16,0),0),0),0))</f>
        <v/>
      </c>
      <c r="H79" s="276">
        <f>IF(6&gt;$B$5,0,MAX(G79-IF($B$23="Return of Capital",IF(ISNUMBER('Exit Strategy'!$C$5),IF(6='Exit Strategy'!$C$5,'Exit Strategy'!$C$16,0),0),0),0))</f>
        <v/>
      </c>
      <c r="I79" s="276">
        <f>IF(7&gt;$B$5,0,MAX(H79-IF($B$23="Return of Capital",IF(ISNUMBER('Exit Strategy'!$C$5),IF(7='Exit Strategy'!$C$5,'Exit Strategy'!$C$16,0),0),0),0))</f>
        <v/>
      </c>
      <c r="J79" s="276">
        <f>IF(8&gt;$B$5,0,MAX(I79-IF($B$23="Return of Capital",IF(ISNUMBER('Exit Strategy'!$C$5),IF(8='Exit Strategy'!$C$5,'Exit Strategy'!$C$16,0),0),0),0))</f>
        <v/>
      </c>
      <c r="K79" s="276">
        <f>IF(9&gt;$B$5,0,MAX(J79-IF($B$23="Return of Capital",IF(ISNUMBER('Exit Strategy'!$C$5),IF(9='Exit Strategy'!$C$5,'Exit Strategy'!$C$16,0),0),0),0))</f>
        <v/>
      </c>
      <c r="L79" s="276">
        <f>IF(10&gt;$B$5,0,MAX(K79-IF($B$23="Return of Capital",IF(ISNUMBER('Exit Strategy'!$C$5),IF(10='Exit Strategy'!$C$5,'Exit Strategy'!$C$16,0),0),0),0))</f>
        <v/>
      </c>
      <c r="M79" s="275">
        <f>B79</f>
        <v/>
      </c>
      <c r="N79" s="275">
        <f>MAX(K79-L51-L52,0)</f>
        <v/>
      </c>
    </row>
    <row r="80" ht="27.75" customHeight="1" s="817">
      <c r="A80" s="889" t="inlineStr">
        <is>
          <t xml:space="preserve">  Less: Refi — Return of Capital (Total LP)</t>
        </is>
      </c>
    </row>
    <row r="81">
      <c r="A81" s="280" t="inlineStr">
        <is>
          <t xml:space="preserve">  Closing Balance (Total LP)</t>
        </is>
      </c>
      <c r="B81" s="281">
        <f>B79</f>
        <v/>
      </c>
      <c r="C81" s="281">
        <f>C79</f>
        <v/>
      </c>
      <c r="D81" s="281">
        <f>D79</f>
        <v/>
      </c>
      <c r="E81" s="281">
        <f>E79</f>
        <v/>
      </c>
      <c r="F81" s="281">
        <f>F79</f>
        <v/>
      </c>
      <c r="G81" s="281">
        <f>G79</f>
        <v/>
      </c>
      <c r="H81" s="281">
        <f>H79</f>
        <v/>
      </c>
      <c r="I81" s="281">
        <f>I79</f>
        <v/>
      </c>
      <c r="J81" s="281">
        <f>J79</f>
        <v/>
      </c>
      <c r="K81" s="281">
        <f>K79</f>
        <v/>
      </c>
      <c r="L81" s="281">
        <f>L79</f>
        <v/>
      </c>
      <c r="M81" s="281">
        <f>M79</f>
        <v/>
      </c>
    </row>
    <row r="82" ht="21.75" customHeight="1" s="817"/>
    <row r="83" ht="15.75" customHeight="1" s="817">
      <c r="A83" s="835" t="inlineStr">
        <is>
          <t xml:space="preserve">  Note: When toggle = "Return of Capital", refi proceeds reduce LP capital balance and are excluded from operating FCF waterfall. When toggle = "Waterfall", refi proceeds flow through the distribution cascade as additional FCF.</t>
        </is>
      </c>
    </row>
    <row r="84" ht="18" customHeight="1" s="817"/>
    <row r="85" ht="18" customHeight="1" s="817">
      <c r="A85" s="282" t="inlineStr">
        <is>
          <t>GP ECONOMICS SUMMARY  —  All Income Streams by Year</t>
        </is>
      </c>
    </row>
    <row r="86" ht="18" customHeight="1" s="817">
      <c r="A86" s="42" t="inlineStr">
        <is>
          <t>Income Source</t>
        </is>
      </c>
      <c r="B86" s="41" t="inlineStr">
        <is>
          <t>Y1</t>
        </is>
      </c>
      <c r="C86" s="41" t="inlineStr">
        <is>
          <t>Y2</t>
        </is>
      </c>
      <c r="D86" s="41" t="inlineStr">
        <is>
          <t>Y3</t>
        </is>
      </c>
      <c r="E86" s="41" t="inlineStr">
        <is>
          <t>Y4</t>
        </is>
      </c>
      <c r="F86" s="41" t="inlineStr">
        <is>
          <t>Y5</t>
        </is>
      </c>
      <c r="G86" s="41" t="inlineStr">
        <is>
          <t>Y6</t>
        </is>
      </c>
      <c r="H86" s="41" t="inlineStr">
        <is>
          <t>Y7</t>
        </is>
      </c>
      <c r="I86" s="41" t="inlineStr">
        <is>
          <t>Y8</t>
        </is>
      </c>
      <c r="J86" s="41" t="inlineStr">
        <is>
          <t>Y9</t>
        </is>
      </c>
      <c r="K86" s="41" t="inlineStr">
        <is>
          <t>Y10</t>
        </is>
      </c>
      <c r="L86" s="41" t="inlineStr">
        <is>
          <t>Exit</t>
        </is>
      </c>
      <c r="M86" s="41" t="inlineStr">
        <is>
          <t>TOTAL ($)</t>
        </is>
      </c>
    </row>
    <row r="87" ht="18" customHeight="1" s="817">
      <c r="A87" s="890" t="inlineStr">
        <is>
          <t>Acquisition Fee  (one-time at close)</t>
        </is>
      </c>
      <c r="B87" s="284">
        <f>Scenarios!F16</f>
        <v/>
      </c>
      <c r="C87" s="285" t="n">
        <v>0</v>
      </c>
      <c r="D87" s="285" t="n">
        <v>0</v>
      </c>
      <c r="E87" s="285" t="n">
        <v>0</v>
      </c>
      <c r="F87" s="285" t="n">
        <v>0</v>
      </c>
      <c r="G87" s="285" t="n">
        <v>0</v>
      </c>
      <c r="H87" s="285" t="n">
        <v>0</v>
      </c>
      <c r="I87" s="285" t="n">
        <v>0</v>
      </c>
      <c r="J87" s="285" t="n">
        <v>0</v>
      </c>
      <c r="K87" s="285" t="n">
        <v>0</v>
      </c>
      <c r="L87" s="285" t="n">
        <v>0</v>
      </c>
      <c r="M87" s="286">
        <f>Scenarios!F16</f>
        <v/>
      </c>
    </row>
    <row r="88" ht="18" customHeight="1" s="817">
      <c r="A88" s="890" t="inlineStr">
        <is>
          <t>Asset Management Fee  (annual)</t>
        </is>
      </c>
      <c r="B88" s="284">
        <f>IF(1&gt;$B$5,0,IFERROR('P&amp;L'!D111,0))</f>
        <v/>
      </c>
      <c r="C88" s="284">
        <f>IF(2&gt;$B$5,0,IFERROR('P&amp;L'!E111,0))</f>
        <v/>
      </c>
      <c r="D88" s="284">
        <f>IF(3&gt;$B$5,0,IFERROR('P&amp;L'!F111,0))</f>
        <v/>
      </c>
      <c r="E88" s="284">
        <f>IF(4&gt;$B$5,0,IFERROR('P&amp;L'!G111,0))</f>
        <v/>
      </c>
      <c r="F88" s="284">
        <f>IF(5&gt;$B$5,0,IFERROR('P&amp;L'!H111,0))</f>
        <v/>
      </c>
      <c r="G88" s="284">
        <f>IF(6&gt;$B$5,0,IFERROR('P&amp;L'!I111,0))</f>
        <v/>
      </c>
      <c r="H88" s="284">
        <f>IF(7&gt;$B$5,0,IFERROR('P&amp;L'!J111,0))</f>
        <v/>
      </c>
      <c r="I88" s="284">
        <f>IF(8&gt;$B$5,0,IFERROR('P&amp;L'!K111,0))</f>
        <v/>
      </c>
      <c r="J88" s="284">
        <f>IF(9&gt;$B$5,0,IFERROR('P&amp;L'!L111,0))</f>
        <v/>
      </c>
      <c r="K88" s="284">
        <f>IF(10&gt;$B$5,0,IFERROR('P&amp;L'!M111,0))</f>
        <v/>
      </c>
      <c r="L88" s="285" t="n">
        <v>0</v>
      </c>
      <c r="M88" s="286">
        <f>SUM(B88:L88)</f>
        <v/>
      </c>
    </row>
    <row r="89" ht="18" customHeight="1" s="817">
      <c r="A89" s="890" t="inlineStr">
        <is>
          <t>Operating Promote  (Waterfall — annual)</t>
        </is>
      </c>
      <c r="B89" s="284">
        <f>B49</f>
        <v/>
      </c>
      <c r="C89" s="284">
        <f>C49</f>
        <v/>
      </c>
      <c r="D89" s="284">
        <f>D49</f>
        <v/>
      </c>
      <c r="E89" s="284">
        <f>E49</f>
        <v/>
      </c>
      <c r="F89" s="284">
        <f>F49</f>
        <v/>
      </c>
      <c r="G89" s="284">
        <f>G49</f>
        <v/>
      </c>
      <c r="H89" s="284">
        <f>H49</f>
        <v/>
      </c>
      <c r="I89" s="284">
        <f>I49</f>
        <v/>
      </c>
      <c r="J89" s="284">
        <f>J49</f>
        <v/>
      </c>
      <c r="K89" s="284">
        <f>K49</f>
        <v/>
      </c>
      <c r="L89" s="284">
        <f>L49</f>
        <v/>
      </c>
      <c r="M89" s="286">
        <f>SUM(B89:L89)</f>
        <v/>
      </c>
    </row>
    <row r="90">
      <c r="A90" s="890" t="inlineStr">
        <is>
          <t>Disposition Fee  (at exit)</t>
        </is>
      </c>
      <c r="B90" s="285" t="n">
        <v>0</v>
      </c>
      <c r="C90" s="285" t="n">
        <v>0</v>
      </c>
      <c r="D90" s="285" t="n">
        <v>0</v>
      </c>
      <c r="E90" s="285" t="n">
        <v>0</v>
      </c>
      <c r="F90" s="285" t="n">
        <v>0</v>
      </c>
      <c r="G90" s="285" t="n">
        <v>0</v>
      </c>
      <c r="H90" s="285" t="n">
        <v>0</v>
      </c>
      <c r="I90" s="285" t="n">
        <v>0</v>
      </c>
      <c r="J90" s="285" t="n">
        <v>0</v>
      </c>
      <c r="K90" s="285" t="n">
        <v>0</v>
      </c>
      <c r="L90" s="284">
        <f>'Exit Strategy'!G18</f>
        <v/>
      </c>
      <c r="M90" s="286">
        <f>'Exit Strategy'!G18</f>
        <v/>
      </c>
    </row>
    <row r="91" ht="21.75" customHeight="1" s="817">
      <c r="A91" s="890" t="inlineStr">
        <is>
          <t>GP Co-invest Return  (at exit)</t>
        </is>
      </c>
      <c r="F91" s="285" t="n">
        <v>0</v>
      </c>
      <c r="G91" s="285" t="n">
        <v>0</v>
      </c>
      <c r="H91" s="285" t="n">
        <v>0</v>
      </c>
      <c r="I91" s="285" t="n">
        <v>0</v>
      </c>
      <c r="J91" s="285" t="n">
        <v>0</v>
      </c>
      <c r="K91" s="285" t="n">
        <v>0</v>
      </c>
      <c r="L91" s="284">
        <f>L38</f>
        <v/>
      </c>
      <c r="M91" s="286">
        <f>L38</f>
        <v/>
      </c>
    </row>
    <row r="92" ht="15.75" customHeight="1" s="817">
      <c r="A92" s="287" t="inlineStr">
        <is>
          <t>TOTAL GP ECONOMICS</t>
        </is>
      </c>
      <c r="B92" s="288">
        <f>B87+B88+B89+B90+B91</f>
        <v/>
      </c>
      <c r="C92" s="288">
        <f>C87+C88+C89+C90+C91</f>
        <v/>
      </c>
      <c r="D92" s="288">
        <f>D87+D88+D89+D90+D91</f>
        <v/>
      </c>
      <c r="E92" s="288">
        <f>E87+E88+E89+E90+E91</f>
        <v/>
      </c>
      <c r="F92" s="288">
        <f>F87+F88+F89+F90+F91</f>
        <v/>
      </c>
      <c r="G92" s="288">
        <f>G87+G88+G89+G90+G91</f>
        <v/>
      </c>
      <c r="H92" s="288">
        <f>H87+H88+H89+H90+H91</f>
        <v/>
      </c>
      <c r="I92" s="288">
        <f>I87+I88+I89+I90+I91</f>
        <v/>
      </c>
      <c r="J92" s="288">
        <f>J87+J88+J89+J90+J91</f>
        <v/>
      </c>
      <c r="K92" s="288">
        <f>K87+K88+K89+K90+K91</f>
        <v/>
      </c>
      <c r="L92" s="288">
        <f>L87+L88+L89+L90+L91</f>
        <v/>
      </c>
      <c r="M92" s="288">
        <f>M87+M88+M89+M90+M91</f>
        <v/>
      </c>
    </row>
    <row r="93" ht="18" customHeight="1" s="817"/>
    <row r="94" ht="18" customHeight="1" s="817">
      <c r="A94" s="289" t="inlineStr">
        <is>
          <t>GP ECONOMICS — BREAKDOWN BY TYPE</t>
        </is>
      </c>
      <c r="M94" s="76" t="n"/>
    </row>
    <row r="95" ht="18" customHeight="1" s="817">
      <c r="A95" s="42" t="inlineStr">
        <is>
          <t>Category</t>
        </is>
      </c>
      <c r="B95" s="41" t="inlineStr">
        <is>
          <t>Total ($)</t>
        </is>
      </c>
      <c r="C95" s="41" t="inlineStr">
        <is>
          <t>% of GP Economics</t>
        </is>
      </c>
      <c r="D95" s="41" t="inlineStr">
        <is>
          <t>Notes</t>
        </is>
      </c>
    </row>
    <row r="96" ht="18" customHeight="1" s="817">
      <c r="A96" s="890" t="inlineStr">
        <is>
          <t>Total Fees  (Acq + Mgmt + Disposition)</t>
        </is>
      </c>
      <c r="B96" s="284">
        <f>M87+M88+M90</f>
        <v/>
      </c>
      <c r="C96" s="290">
        <f>IFERROR(B96/M92,0)</f>
        <v/>
      </c>
      <c r="D96" s="291" t="inlineStr">
        <is>
          <t>One-time + annual + exit fees</t>
        </is>
      </c>
    </row>
    <row r="97">
      <c r="A97" s="890" t="inlineStr">
        <is>
          <t>Total Promote  (operating waterfall)</t>
        </is>
      </c>
      <c r="B97" s="284">
        <f>M89</f>
        <v/>
      </c>
      <c r="C97" s="290">
        <f>IFERROR(B97/M92,0)</f>
        <v/>
      </c>
      <c r="D97" s="291" t="inlineStr">
        <is>
          <t>GP share of FCF above LP pref</t>
        </is>
      </c>
    </row>
    <row r="98" ht="15.75" customHeight="1" s="817">
      <c r="A98" s="890" t="inlineStr">
        <is>
          <t>Co-invest Return  (capital returned at exit)</t>
        </is>
      </c>
    </row>
    <row r="99">
      <c r="A99" s="287" t="inlineStr">
        <is>
          <t>GRAND TOTAL</t>
        </is>
      </c>
      <c r="B99" s="288">
        <f>M92</f>
        <v/>
      </c>
      <c r="C99" s="292" t="n">
        <v>1</v>
      </c>
      <c r="D99" s="287" t="inlineStr">
        <is>
          <t>All GP income streams combined</t>
        </is>
      </c>
    </row>
    <row r="101">
      <c r="A101" s="835" t="inlineStr">
        <is>
          <t xml:space="preserve">  GP economics include: (1) Acquisition fee at close, (2) Asset mgmt fee annually, (3) Waterfall promote above LP pref, (4) Disposition fee at sale, (5) Return of GP co-invest equity. Promote tracks Scenarios!F36 (GP Promote %). Note: GP co-invest return is return OF capital, not profit — included for completeness.</t>
        </is>
      </c>
    </row>
  </sheetData>
  <mergeCells count="28">
    <mergeCell ref="C6:M6"/>
    <mergeCell ref="C15:M15"/>
    <mergeCell ref="A4:M4"/>
    <mergeCell ref="C5:M5"/>
    <mergeCell ref="C14:M14"/>
    <mergeCell ref="A70:N70"/>
    <mergeCell ref="F12:M12"/>
    <mergeCell ref="C20:M20"/>
    <mergeCell ref="C10:M10"/>
    <mergeCell ref="C16:M16"/>
    <mergeCell ref="A30:M30"/>
    <mergeCell ref="A24:M24"/>
    <mergeCell ref="C22:M22"/>
    <mergeCell ref="C9:M9"/>
    <mergeCell ref="A82:M82"/>
    <mergeCell ref="A80:N80"/>
    <mergeCell ref="A98:M98"/>
    <mergeCell ref="A1:M1"/>
    <mergeCell ref="C21:M21"/>
    <mergeCell ref="C11:M11"/>
    <mergeCell ref="C17:M17"/>
    <mergeCell ref="A91:E91"/>
    <mergeCell ref="C8:M8"/>
    <mergeCell ref="C7:M7"/>
    <mergeCell ref="C19:M19"/>
    <mergeCell ref="C13:M13"/>
    <mergeCell ref="A2:M2"/>
    <mergeCell ref="C18:M18"/>
  </mergeCells>
  <dataValidations count="1">
    <dataValidation sqref="E12" showDropDown="0" showInputMessage="0" showErrorMessage="0" allowBlank="0" type="list">
      <formula1>"Pref Only,Common Equity"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65"/>
  <sheetViews>
    <sheetView topLeftCell="A20" zoomScale="125" zoomScaleNormal="125" workbookViewId="0">
      <selection activeCell="B35" sqref="B35"/>
    </sheetView>
  </sheetViews>
  <sheetFormatPr baseColWidth="8" defaultColWidth="8.85546875" defaultRowHeight="15"/>
  <cols>
    <col width="43.85546875" customWidth="1" style="817" min="1" max="1"/>
    <col width="12" customWidth="1" style="817" min="2" max="2"/>
    <col width="19.7109375" customWidth="1" style="817" min="3" max="3"/>
    <col width="12" customWidth="1" style="817" min="4" max="4"/>
    <col width="21.42578125" customWidth="1" style="817" min="5" max="5"/>
    <col width="12" customWidth="1" style="817" min="6" max="11"/>
    <col width="13" customWidth="1" style="817" min="12" max="12"/>
    <col width="11" customWidth="1" style="817" min="13" max="13"/>
  </cols>
  <sheetData>
    <row r="1" ht="27.75" customHeight="1" s="817">
      <c r="A1" s="899" t="inlineStr">
        <is>
          <t>LP RETURN ILLUSTRATION</t>
        </is>
      </c>
      <c r="B1" s="895" t="n"/>
      <c r="C1" s="895" t="n"/>
      <c r="D1" s="895" t="n"/>
      <c r="E1" s="895" t="n"/>
      <c r="F1" s="895" t="n"/>
      <c r="G1" s="895" t="n"/>
      <c r="H1" s="895" t="n"/>
      <c r="I1" s="895" t="n"/>
      <c r="J1" s="895" t="n"/>
      <c r="K1" s="895" t="n"/>
      <c r="L1" s="895" t="n"/>
      <c r="M1" s="896" t="n"/>
    </row>
    <row r="2" ht="18" customHeight="1" s="817">
      <c r="A2" s="902" t="inlineStr">
        <is>
          <t>Investment Amount</t>
        </is>
      </c>
      <c r="B2" s="1022">
        <f>Total_LPA_Equity</f>
        <v/>
      </c>
      <c r="C2" s="897" t="inlineStr">
        <is>
          <t>← Change this to illustrate any LP</t>
        </is>
      </c>
      <c r="D2" s="895" t="n"/>
      <c r="E2" s="895" t="n"/>
      <c r="F2" s="895" t="n"/>
      <c r="G2" s="895" t="n"/>
      <c r="H2" s="895" t="n"/>
      <c r="I2" s="895" t="n"/>
      <c r="J2" s="895" t="n"/>
      <c r="K2" s="895" t="n"/>
      <c r="L2" s="895" t="n"/>
      <c r="M2" s="896" t="n"/>
    </row>
    <row r="3" ht="18" customHeight="1" s="817">
      <c r="A3" s="902" t="inlineStr">
        <is>
          <t>LP Class</t>
        </is>
      </c>
      <c r="B3" s="306" t="inlineStr">
        <is>
          <t>Class A</t>
        </is>
      </c>
      <c r="C3" s="897" t="inlineStr">
        <is>
          <t>← Select Class A or Class B</t>
        </is>
      </c>
      <c r="D3" s="896" t="n"/>
      <c r="E3" s="227" t="inlineStr">
        <is>
          <t>Ownership % of LP Pool</t>
        </is>
      </c>
      <c r="F3" s="307">
        <f>IFERROR($B$2/IF($B$3="Class A",Waterfall!$B$9,Waterfall!$B$10),0)</f>
        <v/>
      </c>
      <c r="G3" s="227" t="inlineStr">
        <is>
          <t>Pref Rate</t>
        </is>
      </c>
      <c r="H3" s="308">
        <f>IF($B$3="Class A",Waterfall!$B$11,Waterfall!$B$12)</f>
        <v/>
      </c>
      <c r="I3" s="902" t="n"/>
      <c r="J3" s="902" t="n"/>
      <c r="K3" s="902" t="n"/>
      <c r="L3" s="902" t="n"/>
      <c r="M3" s="902" t="n"/>
    </row>
    <row r="4">
      <c r="A4" s="309" t="n"/>
      <c r="B4" s="309" t="n"/>
      <c r="C4" s="309" t="n"/>
      <c r="D4" s="309" t="n"/>
      <c r="E4" s="309" t="n"/>
      <c r="F4" s="309" t="n"/>
      <c r="G4" s="309" t="n"/>
      <c r="H4" s="309" t="n"/>
      <c r="I4" s="309" t="n"/>
      <c r="J4" s="309" t="n"/>
      <c r="K4" s="309" t="n"/>
      <c r="L4" s="309" t="n"/>
      <c r="M4" s="309" t="n"/>
    </row>
    <row r="5" ht="21.75" customHeight="1" s="817">
      <c r="A5" s="310" t="inlineStr">
        <is>
          <t>Member Returns Based On Specific $ Invested</t>
        </is>
      </c>
      <c r="B5" s="311" t="n">
        <v>1</v>
      </c>
      <c r="C5" s="311" t="n">
        <v>2</v>
      </c>
      <c r="D5" s="311" t="n">
        <v>3</v>
      </c>
      <c r="E5" s="311" t="n">
        <v>4</v>
      </c>
      <c r="F5" s="311" t="n">
        <v>5</v>
      </c>
      <c r="G5" s="311" t="n">
        <v>6</v>
      </c>
      <c r="H5" s="311" t="n">
        <v>7</v>
      </c>
      <c r="I5" s="311" t="n">
        <v>8</v>
      </c>
      <c r="J5" s="311" t="n">
        <v>9</v>
      </c>
      <c r="K5" s="311" t="n">
        <v>10</v>
      </c>
      <c r="L5" s="903" t="inlineStr">
        <is>
          <t>Return $</t>
        </is>
      </c>
      <c r="M5" s="903" t="inlineStr">
        <is>
          <t>Return %</t>
        </is>
      </c>
    </row>
    <row r="6" ht="19.5" customHeight="1" s="817">
      <c r="A6" s="894" t="inlineStr">
        <is>
          <t xml:space="preserve">  A.  INVESTED CAPITAL</t>
        </is>
      </c>
      <c r="B6" s="895" t="n"/>
      <c r="C6" s="895" t="n"/>
      <c r="D6" s="895" t="n"/>
      <c r="E6" s="895" t="n"/>
      <c r="F6" s="895" t="n"/>
      <c r="G6" s="895" t="n"/>
      <c r="H6" s="895" t="n"/>
      <c r="I6" s="895" t="n"/>
      <c r="J6" s="895" t="n"/>
      <c r="K6" s="895" t="n"/>
      <c r="L6" s="895" t="n"/>
      <c r="M6" s="896" t="n"/>
    </row>
    <row r="7" ht="16.5" customHeight="1" s="817">
      <c r="A7" s="904" t="inlineStr">
        <is>
          <t>Beginning Member Capital Account Balance</t>
        </is>
      </c>
      <c r="B7" s="1023">
        <f>IF(1&gt;Waterfall!$B$5,0,$B$2)</f>
        <v/>
      </c>
      <c r="C7" s="1023">
        <f>IF(2&gt;Waterfall!$B$5,0,$B$2)</f>
        <v/>
      </c>
      <c r="D7" s="1023">
        <f>IF(3&gt;Waterfall!$B$5,0,$B$2)</f>
        <v/>
      </c>
      <c r="E7" s="1023">
        <f>IF(4&gt;Waterfall!$B$5,0,$B$2)</f>
        <v/>
      </c>
      <c r="F7" s="1023">
        <f>IF(5&gt;Waterfall!$B$5,0,$B$2)</f>
        <v/>
      </c>
      <c r="G7" s="1023">
        <f>IF(6&gt;Waterfall!$B$5,0,$B$2)</f>
        <v/>
      </c>
      <c r="H7" s="1023">
        <f>IF(7&gt;Waterfall!$B$5,0,$B$2)</f>
        <v/>
      </c>
      <c r="I7" s="1023">
        <f>IF(8&gt;Waterfall!$B$5,0,$B$2)</f>
        <v/>
      </c>
      <c r="J7" s="1023">
        <f>IF(9&gt;Waterfall!$B$5,0,$B$2)</f>
        <v/>
      </c>
      <c r="K7" s="1023">
        <f>IF(10&gt;Waterfall!$B$5,0,$B$2)</f>
        <v/>
      </c>
      <c r="L7" s="1023" t="n"/>
      <c r="M7" s="1023" t="n"/>
    </row>
    <row r="8" ht="16.5" customHeight="1" s="817">
      <c r="A8" s="902" t="inlineStr">
        <is>
          <t>% of Overall LP Pool Ownership for $ Invested</t>
        </is>
      </c>
      <c r="B8" s="314">
        <f>IF(1&gt;Waterfall!$B$5,"",IFERROR($B$2/IF($B$3="Class A",Waterfall!$B$9,Waterfall!$B$10),0))</f>
        <v/>
      </c>
      <c r="C8" s="314">
        <f>IF(2&gt;Waterfall!$B$5,"",IFERROR($B$2/IF($B$3="Class A",Waterfall!$B$9,Waterfall!$B$10),0))</f>
        <v/>
      </c>
      <c r="D8" s="314">
        <f>IF(3&gt;Waterfall!$B$5,"",IFERROR($B$2/IF($B$3="Class A",Waterfall!$B$9,Waterfall!$B$10),0))</f>
        <v/>
      </c>
      <c r="E8" s="314">
        <f>IF(4&gt;Waterfall!$B$5,"",IFERROR($B$2/IF($B$3="Class A",Waterfall!$B$9,Waterfall!$B$10),0))</f>
        <v/>
      </c>
      <c r="F8" s="314">
        <f>IF(5&gt;Waterfall!$B$5,"",IFERROR($B$2/IF($B$3="Class A",Waterfall!$B$9,Waterfall!$B$10),0))</f>
        <v/>
      </c>
      <c r="G8" s="314">
        <f>IF(6&gt;Waterfall!$B$5,"",IFERROR($B$2/IF($B$3="Class A",Waterfall!$B$9,Waterfall!$B$10),0))</f>
        <v/>
      </c>
      <c r="H8" s="314">
        <f>IF(7&gt;Waterfall!$B$5,"",IFERROR($B$2/IF($B$3="Class A",Waterfall!$B$9,Waterfall!$B$10),0))</f>
        <v/>
      </c>
      <c r="I8" s="314">
        <f>IF(8&gt;Waterfall!$B$5,"",IFERROR($B$2/IF($B$3="Class A",Waterfall!$B$9,Waterfall!$B$10),0))</f>
        <v/>
      </c>
      <c r="J8" s="314">
        <f>IF(9&gt;Waterfall!$B$5,"",IFERROR($B$2/IF($B$3="Class A",Waterfall!$B$9,Waterfall!$B$10),0))</f>
        <v/>
      </c>
      <c r="K8" s="314">
        <f>IF(10&gt;Waterfall!$B$5,"",IFERROR($B$2/IF($B$3="Class A",Waterfall!$B$9,Waterfall!$B$10),0))</f>
        <v/>
      </c>
      <c r="L8" s="314" t="n"/>
      <c r="M8" s="314" t="n"/>
    </row>
    <row r="9" ht="19.5" customHeight="1" s="817">
      <c r="A9" s="894" t="inlineStr">
        <is>
          <t xml:space="preserve">  B.  PREFERRED RETURN TRACKING</t>
        </is>
      </c>
      <c r="B9" s="895" t="n"/>
      <c r="C9" s="895" t="n"/>
      <c r="D9" s="895" t="n"/>
      <c r="E9" s="895" t="n"/>
      <c r="F9" s="895" t="n"/>
      <c r="G9" s="895" t="n"/>
      <c r="H9" s="895" t="n"/>
      <c r="I9" s="895" t="n"/>
      <c r="J9" s="895" t="n"/>
      <c r="K9" s="895" t="n"/>
      <c r="L9" s="895" t="n"/>
      <c r="M9" s="896" t="n"/>
    </row>
    <row r="10" ht="16.5" customHeight="1" s="817">
      <c r="A10" s="902" t="inlineStr">
        <is>
          <t>Preferred Return Accrued (Annual Target)</t>
        </is>
      </c>
      <c r="B10" s="1024">
        <f>IF(1&gt;Waterfall!$B$5,0,$B$2*IF($B$3="Class A",Waterfall!$B$11,Waterfall!$B$12))</f>
        <v/>
      </c>
      <c r="C10" s="1024">
        <f>IF(2&gt;Waterfall!$B$5,0,$B$2*IF($B$3="Class A",Waterfall!$B$11,Waterfall!$B$12))</f>
        <v/>
      </c>
      <c r="D10" s="1024">
        <f>IF(3&gt;Waterfall!$B$5,0,$B$2*IF($B$3="Class A",Waterfall!$B$11,Waterfall!$B$12))</f>
        <v/>
      </c>
      <c r="E10" s="1024">
        <f>IF(4&gt;Waterfall!$B$5,0,$B$2*IF($B$3="Class A",Waterfall!$B$11,Waterfall!$B$12))</f>
        <v/>
      </c>
      <c r="F10" s="1024">
        <f>IF(5&gt;Waterfall!$B$5,0,$B$2*IF($B$3="Class A",Waterfall!$B$11,Waterfall!$B$12))</f>
        <v/>
      </c>
      <c r="G10" s="1024">
        <f>IF(6&gt;Waterfall!$B$5,0,$B$2*IF($B$3="Class A",Waterfall!$B$11,Waterfall!$B$12))</f>
        <v/>
      </c>
      <c r="H10" s="1024">
        <f>IF(7&gt;Waterfall!$B$5,0,$B$2*IF($B$3="Class A",Waterfall!$B$11,Waterfall!$B$12))</f>
        <v/>
      </c>
      <c r="I10" s="1024">
        <f>IF(8&gt;Waterfall!$B$5,0,$B$2*IF($B$3="Class A",Waterfall!$B$11,Waterfall!$B$12))</f>
        <v/>
      </c>
      <c r="J10" s="1024">
        <f>IF(9&gt;Waterfall!$B$5,0,$B$2*IF($B$3="Class A",Waterfall!$B$11,Waterfall!$B$12))</f>
        <v/>
      </c>
      <c r="K10" s="1024">
        <f>IF(10&gt;Waterfall!$B$5,0,$B$2*IF($B$3="Class A",Waterfall!$B$11,Waterfall!$B$12))</f>
        <v/>
      </c>
      <c r="L10" s="1024" t="n"/>
      <c r="M10" s="1024">
        <f>SUM(B10:K10)</f>
        <v/>
      </c>
    </row>
    <row r="11" ht="16.5" customHeight="1" s="817">
      <c r="A11" s="904" t="inlineStr">
        <is>
          <t>Preferred Return Paid (Actual Distributed)</t>
        </is>
      </c>
      <c r="B11" s="1023">
        <f>IF(1&gt;Waterfall!$B$5,0,IFERROR($B$2/IF($B$3="Class A",Waterfall!$B$9,Waterfall!$B$10),0)*IF($B$3="Class A",Waterfall!B43,Waterfall!B45))</f>
        <v/>
      </c>
      <c r="C11" s="1023">
        <f>IF(2&gt;Waterfall!$B$5,0,IFERROR($B$2/IF($B$3="Class A",Waterfall!$B$9,Waterfall!$B$10),0)*IF($B$3="Class A",Waterfall!C43,Waterfall!C45))</f>
        <v/>
      </c>
      <c r="D11" s="1023">
        <f>IF(3&gt;Waterfall!$B$5,0,IFERROR($B$2/IF($B$3="Class A",Waterfall!$B$9,Waterfall!$B$10),0)*IF($B$3="Class A",Waterfall!D43,Waterfall!D45))</f>
        <v/>
      </c>
      <c r="E11" s="1023">
        <f>IF(4&gt;Waterfall!$B$5,0,IFERROR($B$2/IF($B$3="Class A",Waterfall!$B$9,Waterfall!$B$10),0)*IF($B$3="Class A",Waterfall!E43,Waterfall!E45))</f>
        <v/>
      </c>
      <c r="F11" s="1023">
        <f>IF(5&gt;Waterfall!$B$5,0,IFERROR($B$2/IF($B$3="Class A",Waterfall!$B$9,Waterfall!$B$10),0)*IF($B$3="Class A",Waterfall!F43,Waterfall!F45))</f>
        <v/>
      </c>
      <c r="G11" s="1023">
        <f>IF(6&gt;Waterfall!$B$5,0,IFERROR($B$2/IF($B$3="Class A",Waterfall!$B$9,Waterfall!$B$10),0)*IF($B$3="Class A",Waterfall!G43,Waterfall!G45))</f>
        <v/>
      </c>
      <c r="H11" s="1023">
        <f>IF(7&gt;Waterfall!$B$5,0,IFERROR($B$2/IF($B$3="Class A",Waterfall!$B$9,Waterfall!$B$10),0)*IF($B$3="Class A",Waterfall!H43,Waterfall!H45))</f>
        <v/>
      </c>
      <c r="I11" s="1023">
        <f>IF(8&gt;Waterfall!$B$5,0,IFERROR($B$2/IF($B$3="Class A",Waterfall!$B$9,Waterfall!$B$10),0)*IF($B$3="Class A",Waterfall!I43,Waterfall!I45))</f>
        <v/>
      </c>
      <c r="J11" s="1023">
        <f>IF(9&gt;Waterfall!$B$5,0,IFERROR($B$2/IF($B$3="Class A",Waterfall!$B$9,Waterfall!$B$10),0)*IF($B$3="Class A",Waterfall!J43,Waterfall!J45))</f>
        <v/>
      </c>
      <c r="K11" s="1023">
        <f>IF(10&gt;Waterfall!$B$5,0,IFERROR($B$2/IF($B$3="Class A",Waterfall!$B$9,Waterfall!$B$10),0)*IF($B$3="Class A",Waterfall!K43,Waterfall!K45))</f>
        <v/>
      </c>
      <c r="L11" s="1023" t="n"/>
      <c r="M11" s="1023">
        <f>SUM(B11:K11)</f>
        <v/>
      </c>
    </row>
    <row r="12" ht="16.5" customHeight="1" s="817">
      <c r="A12" s="315" t="inlineStr">
        <is>
          <t>Cumulative Preferred Return Shortfall</t>
        </is>
      </c>
      <c r="B12" s="1025">
        <f>IF(1&gt;Waterfall!$B$5,0,MAX(B10-B11,0))</f>
        <v/>
      </c>
      <c r="C12" s="1025">
        <f>IF(2&gt;Waterfall!$B$5,0,MAX(B12+C10-C11,0))</f>
        <v/>
      </c>
      <c r="D12" s="1025">
        <f>IF(3&gt;Waterfall!$B$5,0,MAX(C12+D10-D11,0))</f>
        <v/>
      </c>
      <c r="E12" s="1025">
        <f>IF(4&gt;Waterfall!$B$5,0,MAX(D12+E10-E11,0))</f>
        <v/>
      </c>
      <c r="F12" s="1025">
        <f>IF(5&gt;Waterfall!$B$5,0,MAX(E12+F10-F11,0))</f>
        <v/>
      </c>
      <c r="G12" s="1025">
        <f>IF(6&gt;Waterfall!$B$5,0,MAX(F12+G10-G11,0))</f>
        <v/>
      </c>
      <c r="H12" s="1025">
        <f>IF(7&gt;Waterfall!$B$5,0,MAX(G12+H10-H11,0))</f>
        <v/>
      </c>
      <c r="I12" s="1025">
        <f>IF(8&gt;Waterfall!$B$5,0,MAX(H12+I10-I11,0))</f>
        <v/>
      </c>
      <c r="J12" s="1025">
        <f>IF(9&gt;Waterfall!$B$5,0,MAX(I12+J10-J11,0))</f>
        <v/>
      </c>
      <c r="K12" s="1025">
        <f>IF(10&gt;Waterfall!$B$5,0,MAX(J12+K10-K11,0))</f>
        <v/>
      </c>
      <c r="L12" s="1025" t="n"/>
      <c r="M12" s="1025">
        <f>INDEX(B12:K12,MIN(Waterfall!$B$5,10))</f>
        <v/>
      </c>
    </row>
    <row r="13" ht="19.5" customHeight="1" s="817">
      <c r="A13" s="894" t="inlineStr">
        <is>
          <t xml:space="preserve">  C.  ANNUAL CASH DISTRIBUTIONS</t>
        </is>
      </c>
      <c r="B13" s="895" t="n"/>
      <c r="C13" s="895" t="n"/>
      <c r="D13" s="895" t="n"/>
      <c r="E13" s="895" t="n"/>
      <c r="F13" s="895" t="n"/>
      <c r="G13" s="895" t="n"/>
      <c r="H13" s="895" t="n"/>
      <c r="I13" s="895" t="n"/>
      <c r="J13" s="895" t="n"/>
      <c r="K13" s="895" t="n"/>
      <c r="L13" s="895" t="n"/>
      <c r="M13" s="896" t="n"/>
    </row>
    <row r="14" ht="16.5" customHeight="1" s="817">
      <c r="A14" s="902" t="inlineStr">
        <is>
          <t>Member Cashflow  (Total Distribution)</t>
        </is>
      </c>
      <c r="B14" s="1024">
        <f>IF(1&gt;Waterfall!$B$5,0,IFERROR($B$2/IF($B$3="Class A",Waterfall!$B$9,Waterfall!$B$10),0)*IF($B$3="Class A",Waterfall!B55,Waterfall!B56))</f>
        <v/>
      </c>
      <c r="C14" s="1024">
        <f>IF(2&gt;Waterfall!$B$5,0,IFERROR($B$2/IF($B$3="Class A",Waterfall!$B$9,Waterfall!$B$10),0)*IF($B$3="Class A",Waterfall!C55,Waterfall!C56))</f>
        <v/>
      </c>
      <c r="D14" s="1024">
        <f>IF(3&gt;Waterfall!$B$5,0,IFERROR($B$2/IF($B$3="Class A",Waterfall!$B$9,Waterfall!$B$10),0)*IF($B$3="Class A",Waterfall!D55,Waterfall!D56))</f>
        <v/>
      </c>
      <c r="E14" s="1024">
        <f>IF(4&gt;Waterfall!$B$5,0,IFERROR($B$2/IF($B$3="Class A",Waterfall!$B$9,Waterfall!$B$10),0)*IF($B$3="Class A",Waterfall!E55,Waterfall!E56))</f>
        <v/>
      </c>
      <c r="F14" s="1024">
        <f>IF(5&gt;Waterfall!$B$5,0,IFERROR($B$2/IF($B$3="Class A",Waterfall!$B$9,Waterfall!$B$10),0)*IF($B$3="Class A",Waterfall!F55,Waterfall!F56))</f>
        <v/>
      </c>
      <c r="G14" s="1024">
        <f>IF(6&gt;Waterfall!$B$5,0,IFERROR($B$2/IF($B$3="Class A",Waterfall!$B$9,Waterfall!$B$10),0)*IF($B$3="Class A",Waterfall!G55,Waterfall!G56))</f>
        <v/>
      </c>
      <c r="H14" s="1024">
        <f>IF(7&gt;Waterfall!$B$5,0,IFERROR($B$2/IF($B$3="Class A",Waterfall!$B$9,Waterfall!$B$10),0)*IF($B$3="Class A",Waterfall!H55,Waterfall!H56))</f>
        <v/>
      </c>
      <c r="I14" s="1024">
        <f>IF(8&gt;Waterfall!$B$5,0,IFERROR($B$2/IF($B$3="Class A",Waterfall!$B$9,Waterfall!$B$10),0)*IF($B$3="Class A",Waterfall!I55,Waterfall!I56))</f>
        <v/>
      </c>
      <c r="J14" s="1024">
        <f>IF(9&gt;Waterfall!$B$5,0,IFERROR($B$2/IF($B$3="Class A",Waterfall!$B$9,Waterfall!$B$10),0)*IF($B$3="Class A",Waterfall!J55,Waterfall!J56))</f>
        <v/>
      </c>
      <c r="K14" s="1024">
        <f>IF(10&gt;Waterfall!$B$5,0,IFERROR($B$2/IF($B$3="Class A",Waterfall!$B$9,Waterfall!$B$10),0)*IF($B$3="Class A",Waterfall!K55,Waterfall!K56))</f>
        <v/>
      </c>
      <c r="L14" s="1024">
        <f>SUM(B14:K14)</f>
        <v/>
      </c>
      <c r="M14" s="1024">
        <f>SUM(B14:K14)</f>
        <v/>
      </c>
    </row>
    <row r="15" ht="16.5" customHeight="1" s="817">
      <c r="A15" s="904" t="inlineStr">
        <is>
          <t>Cash on Cash Return</t>
        </is>
      </c>
      <c r="B15" s="236">
        <f>IF(1&gt;Waterfall!$B$5,0,IFERROR(B14/$B$2,0))</f>
        <v/>
      </c>
      <c r="C15" s="236">
        <f>IF(2&gt;Waterfall!$B$5,0,IFERROR(C14/$B$2,0))</f>
        <v/>
      </c>
      <c r="D15" s="236">
        <f>IF(3&gt;Waterfall!$B$5,0,IFERROR(D14/$B$2,0))</f>
        <v/>
      </c>
      <c r="E15" s="236">
        <f>IF(4&gt;Waterfall!$B$5,0,IFERROR(E14/$B$2,0))</f>
        <v/>
      </c>
      <c r="F15" s="236">
        <f>IF(5&gt;Waterfall!$B$5,0,IFERROR(F14/$B$2,0))</f>
        <v/>
      </c>
      <c r="G15" s="236">
        <f>IF(6&gt;Waterfall!$B$5,0,IFERROR(G14/$B$2,0))</f>
        <v/>
      </c>
      <c r="H15" s="236">
        <f>IF(7&gt;Waterfall!$B$5,0,IFERROR(H14/$B$2,0))</f>
        <v/>
      </c>
      <c r="I15" s="236">
        <f>IF(8&gt;Waterfall!$B$5,0,IFERROR(I14/$B$2,0))</f>
        <v/>
      </c>
      <c r="J15" s="236">
        <f>IF(9&gt;Waterfall!$B$5,0,IFERROR(J14/$B$2,0))</f>
        <v/>
      </c>
      <c r="K15" s="236">
        <f>IF(10&gt;Waterfall!$B$5,0,IFERROR(K14/$B$2,0))</f>
        <v/>
      </c>
      <c r="L15" s="236" t="n"/>
      <c r="M15" s="236" t="n"/>
    </row>
    <row r="16" ht="16.5" customHeight="1" s="817">
      <c r="A16" s="902" t="inlineStr">
        <is>
          <t>Average Cash on Cash Return to Date</t>
        </is>
      </c>
      <c r="B16" s="314">
        <f>IF(1&gt;Waterfall!$B$5,0,IFERROR(SUM($B$14:B14)/(1*$B$2),0))</f>
        <v/>
      </c>
      <c r="C16" s="314">
        <f>IF(2&gt;Waterfall!$B$5,0,IFERROR(SUM($B$14:C14)/(2*$B$2),0))</f>
        <v/>
      </c>
      <c r="D16" s="314">
        <f>IF(3&gt;Waterfall!$B$5,0,IFERROR(SUM($B$14:D14)/(3*$B$2),0))</f>
        <v/>
      </c>
      <c r="E16" s="314">
        <f>IF(4&gt;Waterfall!$B$5,0,IFERROR(SUM($B$14:E14)/(4*$B$2),0))</f>
        <v/>
      </c>
      <c r="F16" s="314">
        <f>IF(5&gt;Waterfall!$B$5,0,IFERROR(SUM($B$14:F14)/(5*$B$2),0))</f>
        <v/>
      </c>
      <c r="G16" s="314">
        <f>IF(6&gt;Waterfall!$B$5,0,IFERROR(SUM($B$14:G14)/(6*$B$2),0))</f>
        <v/>
      </c>
      <c r="H16" s="314">
        <f>IF(7&gt;Waterfall!$B$5,0,IFERROR(SUM($B$14:H14)/(7*$B$2),0))</f>
        <v/>
      </c>
      <c r="I16" s="314">
        <f>IF(8&gt;Waterfall!$B$5,0,IFERROR(SUM($B$14:I14)/(8*$B$2),0))</f>
        <v/>
      </c>
      <c r="J16" s="314">
        <f>IF(9&gt;Waterfall!$B$5,0,IFERROR(SUM($B$14:J14)/(9*$B$2),0))</f>
        <v/>
      </c>
      <c r="K16" s="314">
        <f>IF(10&gt;Waterfall!$B$5,0,IFERROR(SUM($B$14:K14)/(10*$B$2),0))</f>
        <v/>
      </c>
      <c r="L16" s="314" t="n"/>
      <c r="M16" s="314" t="n"/>
    </row>
    <row r="17" ht="19.5" customHeight="1" s="817">
      <c r="A17" s="894" t="inlineStr">
        <is>
          <t xml:space="preserve">  D.  CAPITAL EVENTS</t>
        </is>
      </c>
      <c r="B17" s="895" t="n"/>
      <c r="C17" s="895" t="n"/>
      <c r="D17" s="895" t="n"/>
      <c r="E17" s="895" t="n"/>
      <c r="F17" s="895" t="n"/>
      <c r="G17" s="895" t="n"/>
      <c r="H17" s="895" t="n"/>
      <c r="I17" s="895" t="n"/>
      <c r="J17" s="895" t="n"/>
      <c r="K17" s="895" t="n"/>
      <c r="L17" s="895" t="n"/>
      <c r="M17" s="896" t="n"/>
    </row>
    <row r="18" ht="16.5" customHeight="1" s="817">
      <c r="A18" s="902" t="inlineStr">
        <is>
          <t>Net Proceeds from Refinance or Sale</t>
        </is>
      </c>
      <c r="B18" s="1024">
        <f>IF(1=Waterfall!$B$5,IFERROR($B$2/IF($B$3="Class A",Waterfall!$B$9,Waterfall!$B$10),0)*IF($B$3="Class A",'Exit Strategy'!$G$19,'Exit Strategy'!$G$19*IFERROR(Waterfall!$B$10/(Waterfall!$B$9+Waterfall!$B$10),0)),IF(AND(ISNUMBER('Exit Strategy'!$C$5),1='Exit Strategy'!$C$5,Waterfall!$B$23="Return of Capital"),IFERROR($B$2/IF($B$3="Class A",Waterfall!$B$9,Waterfall!$B$10),0)*'Exit Strategy'!$C$24,0))</f>
        <v/>
      </c>
      <c r="C18" s="1024">
        <f>IF(2=Waterfall!$B$5,IFERROR($B$2/IF($B$3="Class A",Waterfall!$B$9,Waterfall!$B$10),0)*IF($B$3="Class A",'Exit Strategy'!$G$19,'Exit Strategy'!$G$19*IFERROR(Waterfall!$B$10/(Waterfall!$B$9+Waterfall!$B$10),0)),IF(AND(ISNUMBER('Exit Strategy'!$C$5),2='Exit Strategy'!$C$5,Waterfall!$B$23="Return of Capital"),IFERROR($B$2/IF($B$3="Class A",Waterfall!$B$9,Waterfall!$B$10),0)*'Exit Strategy'!$C$24,0))</f>
        <v/>
      </c>
      <c r="D18" s="1024">
        <f>IF(3=Waterfall!$B$5,IFERROR($B$2/IF($B$3="Class A",Waterfall!$B$9,Waterfall!$B$10),0)*IF($B$3="Class A",'Exit Strategy'!$G$19,'Exit Strategy'!$G$19*IFERROR(Waterfall!$B$10/(Waterfall!$B$9+Waterfall!$B$10),0)),IF(AND(ISNUMBER('Exit Strategy'!$C$5),3='Exit Strategy'!$C$5,Waterfall!$B$23="Return of Capital"),IFERROR($B$2/IF($B$3="Class A",Waterfall!$B$9,Waterfall!$B$10),0)*'Exit Strategy'!$C$24,0))</f>
        <v/>
      </c>
      <c r="E18" s="1024">
        <f>IF(4=Waterfall!$B$5,IFERROR($B$2/IF($B$3="Class A",Waterfall!$B$9,Waterfall!$B$10),0)*IF($B$3="Class A",'Exit Strategy'!$G$19,'Exit Strategy'!$G$19*IFERROR(Waterfall!$B$10/(Waterfall!$B$9+Waterfall!$B$10),0)),IF(AND(ISNUMBER('Exit Strategy'!$C$5),4='Exit Strategy'!$C$5,Waterfall!$B$23="Return of Capital"),IFERROR($B$2/IF($B$3="Class A",Waterfall!$B$9,Waterfall!$B$10),0)*'Exit Strategy'!$C$24,0))</f>
        <v/>
      </c>
      <c r="F18" s="1024">
        <f>IF(5=Waterfall!$B$5,IFERROR($B$2/IF($B$3="Class A",Waterfall!$B$9,Waterfall!$B$10),0)*IF($B$3="Class A",'Exit Strategy'!$G$19,'Exit Strategy'!$G$19*IFERROR(Waterfall!$B$10/(Waterfall!$B$9+Waterfall!$B$10),0)),IF(AND(ISNUMBER('Exit Strategy'!$C$5),5='Exit Strategy'!$C$5,Waterfall!$B$23="Return of Capital"),IFERROR($B$2/IF($B$3="Class A",Waterfall!$B$9,Waterfall!$B$10),0)*'Exit Strategy'!$C$24,0))</f>
        <v/>
      </c>
      <c r="G18" s="1024">
        <f>IF(6=Waterfall!$B$5,IFERROR($B$2/IF($B$3="Class A",Waterfall!$B$9,Waterfall!$B$10),0)*IF($B$3="Class A",'Exit Strategy'!$G$19,'Exit Strategy'!$G$19*IFERROR(Waterfall!$B$10/(Waterfall!$B$9+Waterfall!$B$10),0)),IF(AND(ISNUMBER('Exit Strategy'!$C$5),6='Exit Strategy'!$C$5,Waterfall!$B$23="Return of Capital"),IFERROR($B$2/IF($B$3="Class A",Waterfall!$B$9,Waterfall!$B$10),0)*'Exit Strategy'!$C$24,0))</f>
        <v/>
      </c>
      <c r="H18" s="1024">
        <f>IF(7=Waterfall!$B$5,IFERROR($B$2/IF($B$3="Class A",Waterfall!$B$9,Waterfall!$B$10),0)*IF($B$3="Class A",'Exit Strategy'!$G$19,'Exit Strategy'!$G$19*IFERROR(Waterfall!$B$10/(Waterfall!$B$9+Waterfall!$B$10),0)),IF(AND(ISNUMBER('Exit Strategy'!$C$5),7='Exit Strategy'!$C$5,Waterfall!$B$23="Return of Capital"),IFERROR($B$2/IF($B$3="Class A",Waterfall!$B$9,Waterfall!$B$10),0)*'Exit Strategy'!$C$24,0))</f>
        <v/>
      </c>
      <c r="I18" s="1024">
        <f>IF(8=Waterfall!$B$5,IFERROR($B$2/IF($B$3="Class A",Waterfall!$B$9,Waterfall!$B$10),0)*IF($B$3="Class A",'Exit Strategy'!$G$19,'Exit Strategy'!$G$19*IFERROR(Waterfall!$B$10/(Waterfall!$B$9+Waterfall!$B$10),0)),IF(AND(ISNUMBER('Exit Strategy'!$C$5),8='Exit Strategy'!$C$5,Waterfall!$B$23="Return of Capital"),IFERROR($B$2/IF($B$3="Class A",Waterfall!$B$9,Waterfall!$B$10),0)*'Exit Strategy'!$C$24,0))</f>
        <v/>
      </c>
      <c r="J18" s="1024">
        <f>IF(9=Waterfall!$B$5,IFERROR($B$2/IF($B$3="Class A",Waterfall!$B$9,Waterfall!$B$10),0)*IF($B$3="Class A",'Exit Strategy'!$G$19,'Exit Strategy'!$G$19*IFERROR(Waterfall!$B$10/(Waterfall!$B$9+Waterfall!$B$10),0)),IF(AND(ISNUMBER('Exit Strategy'!$C$5),9='Exit Strategy'!$C$5,Waterfall!$B$23="Return of Capital"),IFERROR($B$2/IF($B$3="Class A",Waterfall!$B$9,Waterfall!$B$10),0)*'Exit Strategy'!$C$24,0))</f>
        <v/>
      </c>
      <c r="K18" s="1024">
        <f>IF(10=Waterfall!$B$5,IFERROR($B$2/IF($B$3="Class A",Waterfall!$B$9,Waterfall!$B$10),0)*IF($B$3="Class A",'Exit Strategy'!$G$19,'Exit Strategy'!$G$19*IFERROR(Waterfall!$B$10/(Waterfall!$B$9+Waterfall!$B$10),0)),IF(AND(ISNUMBER('Exit Strategy'!$C$5),10='Exit Strategy'!$C$5,Waterfall!$B$23="Return of Capital"),IFERROR($B$2/IF($B$3="Class A",Waterfall!$B$9,Waterfall!$B$10),0)*'Exit Strategy'!$C$24,0))</f>
        <v/>
      </c>
      <c r="L18" s="1024" t="n"/>
      <c r="M18" s="1024">
        <f>SUM(B18:K18)</f>
        <v/>
      </c>
    </row>
    <row r="19" ht="16.5" customHeight="1" s="817">
      <c r="A19" s="904" t="inlineStr">
        <is>
          <t>Return of Member Capital</t>
        </is>
      </c>
      <c r="B19" s="1023">
        <f>IF(1=Waterfall!$B$5,IFERROR($B$2/IF($B$3="Class A",Waterfall!$B$9,Waterfall!$B$10),0)*IF($B$3="Class A",'Exit Strategy'!$G$13*IFERROR(Waterfall!$B$9/(Waterfall!$B$9+Waterfall!$B$10),1),'Exit Strategy'!$G$13*IFERROR(Waterfall!$B$10/(Waterfall!$B$9+Waterfall!$B$10),0)),IF(AND(ISNUMBER('Exit Strategy'!$C$5),1='Exit Strategy'!$C$5,Waterfall!$B$23="Return of Capital"),IFERROR($B$2/IF($B$3="Class A",Waterfall!$B$9,Waterfall!$B$10),0)*'Exit Strategy'!$C$17,0))</f>
        <v/>
      </c>
      <c r="C19" s="1023">
        <f>IF(2=Waterfall!$B$5,IFERROR($B$2/IF($B$3="Class A",Waterfall!$B$9,Waterfall!$B$10),0)*IF($B$3="Class A",'Exit Strategy'!$G$13*IFERROR(Waterfall!$B$9/(Waterfall!$B$9+Waterfall!$B$10),1),'Exit Strategy'!$G$13*IFERROR(Waterfall!$B$10/(Waterfall!$B$9+Waterfall!$B$10),0)),IF(AND(ISNUMBER('Exit Strategy'!$C$5),2='Exit Strategy'!$C$5,Waterfall!$B$23="Return of Capital"),IFERROR($B$2/IF($B$3="Class A",Waterfall!$B$9,Waterfall!$B$10),0)*'Exit Strategy'!$C$17,0))</f>
        <v/>
      </c>
      <c r="D19" s="1023">
        <f>IF(3=Waterfall!$B$5,IFERROR($B$2/IF($B$3="Class A",Waterfall!$B$9,Waterfall!$B$10),0)*IF($B$3="Class A",'Exit Strategy'!$G$13*IFERROR(Waterfall!$B$9/(Waterfall!$B$9+Waterfall!$B$10),1),'Exit Strategy'!$G$13*IFERROR(Waterfall!$B$10/(Waterfall!$B$9+Waterfall!$B$10),0)),IF(AND(ISNUMBER('Exit Strategy'!$C$5),3='Exit Strategy'!$C$5,Waterfall!$B$23="Return of Capital"),IFERROR($B$2/IF($B$3="Class A",Waterfall!$B$9,Waterfall!$B$10),0)*'Exit Strategy'!$C$17,0))</f>
        <v/>
      </c>
      <c r="E19" s="1023">
        <f>IF(4=Waterfall!$B$5,IFERROR($B$2/IF($B$3="Class A",Waterfall!$B$9,Waterfall!$B$10),0)*IF($B$3="Class A",'Exit Strategy'!$G$13*IFERROR(Waterfall!$B$9/(Waterfall!$B$9+Waterfall!$B$10),1),'Exit Strategy'!$G$13*IFERROR(Waterfall!$B$10/(Waterfall!$B$9+Waterfall!$B$10),0)),IF(AND(ISNUMBER('Exit Strategy'!$C$5),4='Exit Strategy'!$C$5,Waterfall!$B$23="Return of Capital"),IFERROR($B$2/IF($B$3="Class A",Waterfall!$B$9,Waterfall!$B$10),0)*'Exit Strategy'!$C$17,0))</f>
        <v/>
      </c>
      <c r="F19" s="1023">
        <f>IF(5=Waterfall!$B$5,IFERROR($B$2/IF($B$3="Class A",Waterfall!$B$9,Waterfall!$B$10),0)*IF($B$3="Class A",'Exit Strategy'!$G$13*IFERROR(Waterfall!$B$9/(Waterfall!$B$9+Waterfall!$B$10),1),'Exit Strategy'!$G$13*IFERROR(Waterfall!$B$10/(Waterfall!$B$9+Waterfall!$B$10),0)),IF(AND(ISNUMBER('Exit Strategy'!$C$5),5='Exit Strategy'!$C$5,Waterfall!$B$23="Return of Capital"),IFERROR($B$2/IF($B$3="Class A",Waterfall!$B$9,Waterfall!$B$10),0)*'Exit Strategy'!$C$17,0))</f>
        <v/>
      </c>
      <c r="G19" s="1023">
        <f>IF(6=Waterfall!$B$5,IFERROR($B$2/IF($B$3="Class A",Waterfall!$B$9,Waterfall!$B$10),0)*IF($B$3="Class A",'Exit Strategy'!$G$13*IFERROR(Waterfall!$B$9/(Waterfall!$B$9+Waterfall!$B$10),1),'Exit Strategy'!$G$13*IFERROR(Waterfall!$B$10/(Waterfall!$B$9+Waterfall!$B$10),0)),IF(AND(ISNUMBER('Exit Strategy'!$C$5),6='Exit Strategy'!$C$5,Waterfall!$B$23="Return of Capital"),IFERROR($B$2/IF($B$3="Class A",Waterfall!$B$9,Waterfall!$B$10),0)*'Exit Strategy'!$C$17,0))</f>
        <v/>
      </c>
      <c r="H19" s="1023">
        <f>IF(7=Waterfall!$B$5,IFERROR($B$2/IF($B$3="Class A",Waterfall!$B$9,Waterfall!$B$10),0)*IF($B$3="Class A",'Exit Strategy'!$G$13*IFERROR(Waterfall!$B$9/(Waterfall!$B$9+Waterfall!$B$10),1),'Exit Strategy'!$G$13*IFERROR(Waterfall!$B$10/(Waterfall!$B$9+Waterfall!$B$10),0)),IF(AND(ISNUMBER('Exit Strategy'!$C$5),7='Exit Strategy'!$C$5,Waterfall!$B$23="Return of Capital"),IFERROR($B$2/IF($B$3="Class A",Waterfall!$B$9,Waterfall!$B$10),0)*'Exit Strategy'!$C$17,0))</f>
        <v/>
      </c>
      <c r="I19" s="1023">
        <f>IF(8=Waterfall!$B$5,IFERROR($B$2/IF($B$3="Class A",Waterfall!$B$9,Waterfall!$B$10),0)*IF($B$3="Class A",'Exit Strategy'!$G$13*IFERROR(Waterfall!$B$9/(Waterfall!$B$9+Waterfall!$B$10),1),'Exit Strategy'!$G$13*IFERROR(Waterfall!$B$10/(Waterfall!$B$9+Waterfall!$B$10),0)),IF(AND(ISNUMBER('Exit Strategy'!$C$5),8='Exit Strategy'!$C$5,Waterfall!$B$23="Return of Capital"),IFERROR($B$2/IF($B$3="Class A",Waterfall!$B$9,Waterfall!$B$10),0)*'Exit Strategy'!$C$17,0))</f>
        <v/>
      </c>
      <c r="J19" s="1023">
        <f>IF(9=Waterfall!$B$5,IFERROR($B$2/IF($B$3="Class A",Waterfall!$B$9,Waterfall!$B$10),0)*IF($B$3="Class A",'Exit Strategy'!$G$13*IFERROR(Waterfall!$B$9/(Waterfall!$B$9+Waterfall!$B$10),1),'Exit Strategy'!$G$13*IFERROR(Waterfall!$B$10/(Waterfall!$B$9+Waterfall!$B$10),0)),IF(AND(ISNUMBER('Exit Strategy'!$C$5),9='Exit Strategy'!$C$5,Waterfall!$B$23="Return of Capital"),IFERROR($B$2/IF($B$3="Class A",Waterfall!$B$9,Waterfall!$B$10),0)*'Exit Strategy'!$C$17,0))</f>
        <v/>
      </c>
      <c r="K19" s="1023">
        <f>IF(10=Waterfall!$B$5,IFERROR($B$2/IF($B$3="Class A",Waterfall!$B$9,Waterfall!$B$10),0)*IF($B$3="Class A",'Exit Strategy'!$G$13*IFERROR(Waterfall!$B$9/(Waterfall!$B$9+Waterfall!$B$10),1),'Exit Strategy'!$G$13*IFERROR(Waterfall!$B$10/(Waterfall!$B$9+Waterfall!$B$10),0)),IF(AND(ISNUMBER('Exit Strategy'!$C$5),10='Exit Strategy'!$C$5,Waterfall!$B$23="Return of Capital"),IFERROR($B$2/IF($B$3="Class A",Waterfall!$B$9,Waterfall!$B$10),0)*'Exit Strategy'!$C$17,0))</f>
        <v/>
      </c>
      <c r="L19" s="1023" t="n"/>
      <c r="M19" s="1023">
        <f>SUM(B19:K19)</f>
        <v/>
      </c>
    </row>
    <row r="20" ht="16.5" customHeight="1" s="817">
      <c r="A20" s="902" t="inlineStr">
        <is>
          <t>Cumulative Capital Returned</t>
        </is>
      </c>
      <c r="B20" s="1024">
        <f>IF(1&gt;Waterfall!$B$5,0,SUM($B$19:B19))</f>
        <v/>
      </c>
      <c r="C20" s="1024">
        <f>IF(2&gt;Waterfall!$B$5,0,SUM($B$19:C19))</f>
        <v/>
      </c>
      <c r="D20" s="1024">
        <f>IF(3&gt;Waterfall!$B$5,0,SUM($B$19:D19))</f>
        <v/>
      </c>
      <c r="E20" s="1024">
        <f>IF(4&gt;Waterfall!$B$5,0,SUM($B$19:E19))</f>
        <v/>
      </c>
      <c r="F20" s="1024">
        <f>IF(5&gt;Waterfall!$B$5,0,SUM($B$19:F19))</f>
        <v/>
      </c>
      <c r="G20" s="1024">
        <f>IF(6&gt;Waterfall!$B$5,0,SUM($B$19:G19))</f>
        <v/>
      </c>
      <c r="H20" s="1024">
        <f>IF(7&gt;Waterfall!$B$5,0,SUM($B$19:H19))</f>
        <v/>
      </c>
      <c r="I20" s="1024">
        <f>IF(8&gt;Waterfall!$B$5,0,SUM($B$19:I19))</f>
        <v/>
      </c>
      <c r="J20" s="1024">
        <f>IF(9&gt;Waterfall!$B$5,0,SUM($B$19:J19))</f>
        <v/>
      </c>
      <c r="K20" s="1024">
        <f>IF(10&gt;Waterfall!$B$5,0,SUM($B$19:K19))</f>
        <v/>
      </c>
      <c r="L20" s="1024" t="n"/>
      <c r="M20" s="1024" t="n"/>
    </row>
    <row r="21" ht="16.5" customHeight="1" s="817">
      <c r="A21" s="904" t="inlineStr">
        <is>
          <t>Ending Member Capital Account Balance</t>
        </is>
      </c>
      <c r="B21" s="1023">
        <f>IF(1&gt;=Waterfall!$B$5,0,MAX($B$2-B20,0))</f>
        <v/>
      </c>
      <c r="C21" s="1023">
        <f>IF(2&gt;=Waterfall!$B$5,0,MAX($B$2-C20,0))</f>
        <v/>
      </c>
      <c r="D21" s="1023">
        <f>IF(3&gt;=Waterfall!$B$5,0,MAX($B$2-D20,0))</f>
        <v/>
      </c>
      <c r="E21" s="1023">
        <f>IF(4&gt;=Waterfall!$B$5,0,MAX($B$2-E20,0))</f>
        <v/>
      </c>
      <c r="F21" s="1023">
        <f>IF(5&gt;=Waterfall!$B$5,0,MAX($B$2-F20,0))</f>
        <v/>
      </c>
      <c r="G21" s="1023">
        <f>IF(6&gt;=Waterfall!$B$5,0,MAX($B$2-G20,0))</f>
        <v/>
      </c>
      <c r="H21" s="1023">
        <f>IF(7&gt;=Waterfall!$B$5,0,MAX($B$2-H20,0))</f>
        <v/>
      </c>
      <c r="I21" s="1023">
        <f>IF(8&gt;=Waterfall!$B$5,0,MAX($B$2-I20,0))</f>
        <v/>
      </c>
      <c r="J21" s="1023">
        <f>IF(9&gt;=Waterfall!$B$5,0,MAX($B$2-J20,0))</f>
        <v/>
      </c>
      <c r="K21" s="1023">
        <f>IF(10&gt;=Waterfall!$B$5,0,MAX($B$2-K20,0))</f>
        <v/>
      </c>
      <c r="L21" s="1023" t="n"/>
      <c r="M21" s="1023" t="n"/>
    </row>
    <row r="22" ht="19.5" customHeight="1" s="817">
      <c r="A22" s="894" t="inlineStr">
        <is>
          <t xml:space="preserve">  E.  CUMULATIVE TOTALS</t>
        </is>
      </c>
      <c r="B22" s="895" t="n"/>
      <c r="C22" s="895" t="n"/>
      <c r="D22" s="895" t="n"/>
      <c r="E22" s="895" t="n"/>
      <c r="F22" s="895" t="n"/>
      <c r="G22" s="895" t="n"/>
      <c r="H22" s="895" t="n"/>
      <c r="I22" s="895" t="n"/>
      <c r="J22" s="895" t="n"/>
      <c r="K22" s="895" t="n"/>
      <c r="L22" s="895" t="n"/>
      <c r="M22" s="896" t="n"/>
    </row>
    <row r="23" ht="16.5" customHeight="1" s="817">
      <c r="A23" s="904" t="inlineStr">
        <is>
          <t>Cumulative Cash Received  (Distributions + ROC)</t>
        </is>
      </c>
      <c r="B23" s="1023">
        <f>IF(1&gt;Waterfall!$B$5,0,SUM($B$14:B14)+SUM($B$18:B18)+SUM($B$19:B19))</f>
        <v/>
      </c>
      <c r="C23" s="1023">
        <f>IF(2&gt;Waterfall!$B$5,0,SUM($B$14:C14)+SUM($B$18:C18)+SUM($B$19:C19))</f>
        <v/>
      </c>
      <c r="D23" s="1023">
        <f>IF(3&gt;Waterfall!$B$5,0,SUM($B$14:D14)+SUM($B$18:D18)+SUM($B$19:D19))</f>
        <v/>
      </c>
      <c r="E23" s="1023">
        <f>IF(4&gt;Waterfall!$B$5,0,SUM($B$14:E14)+SUM($B$18:E18)+SUM($B$19:E19))</f>
        <v/>
      </c>
      <c r="F23" s="1023">
        <f>IF(5&gt;Waterfall!$B$5,0,SUM($B$14:F14)+SUM($B$18:F18)+SUM($B$19:F19))</f>
        <v/>
      </c>
      <c r="G23" s="1023">
        <f>IF(6&gt;Waterfall!$B$5,0,SUM($B$14:G14)+SUM($B$18:G18)+SUM($B$19:G19))</f>
        <v/>
      </c>
      <c r="H23" s="1023">
        <f>IF(7&gt;Waterfall!$B$5,0,SUM($B$14:H14)+SUM($B$18:H18)+SUM($B$19:H19))</f>
        <v/>
      </c>
      <c r="I23" s="1023">
        <f>IF(8&gt;Waterfall!$B$5,0,SUM($B$14:I14)+SUM($B$18:I18)+SUM($B$19:I19))</f>
        <v/>
      </c>
      <c r="J23" s="1023">
        <f>IF(9&gt;Waterfall!$B$5,0,SUM($B$14:J14)+SUM($B$18:J18)+SUM($B$19:J19))</f>
        <v/>
      </c>
      <c r="K23" s="1023">
        <f>IF(10&gt;Waterfall!$B$5,0,SUM($B$14:K14)+SUM($B$18:K18)+SUM($B$19:K19))</f>
        <v/>
      </c>
      <c r="L23" s="1023" t="n"/>
      <c r="M23" s="1023" t="n"/>
    </row>
    <row r="24" ht="16.5" customHeight="1" s="817">
      <c r="A24" s="902" t="inlineStr">
        <is>
          <t>Average Annual Return to Date</t>
        </is>
      </c>
      <c r="B24" s="314">
        <f>IF(1&gt;Waterfall!$B$5,0,IFERROR((SUM($B$14:B14)+SUM($B$18:B18))/(1*$B$2),0))</f>
        <v/>
      </c>
      <c r="C24" s="314">
        <f>IF(2&gt;Waterfall!$B$5,0,IFERROR((SUM($B$14:C14)+SUM($B$18:C18))/(2*$B$2),0))</f>
        <v/>
      </c>
      <c r="D24" s="314">
        <f>IF(3&gt;Waterfall!$B$5,0,IFERROR((SUM($B$14:D14)+SUM($B$18:D18))/(3*$B$2),0))</f>
        <v/>
      </c>
      <c r="E24" s="314">
        <f>IF(4&gt;Waterfall!$B$5,0,IFERROR((SUM($B$14:E14)+SUM($B$18:E18))/(4*$B$2),0))</f>
        <v/>
      </c>
      <c r="F24" s="314">
        <f>IF(5&gt;Waterfall!$B$5,0,IFERROR((SUM($B$14:F14)+SUM($B$18:F18))/(5*$B$2),0))</f>
        <v/>
      </c>
      <c r="G24" s="314">
        <f>IF(6&gt;Waterfall!$B$5,0,IFERROR((SUM($B$14:G14)+SUM($B$18:G18))/(6*$B$2),0))</f>
        <v/>
      </c>
      <c r="H24" s="314">
        <f>IF(7&gt;Waterfall!$B$5,0,IFERROR((SUM($B$14:H14)+SUM($B$18:H18))/(7*$B$2),0))</f>
        <v/>
      </c>
      <c r="I24" s="314">
        <f>IF(8&gt;Waterfall!$B$5,0,IFERROR((SUM($B$14:I14)+SUM($B$18:I18))/(8*$B$2),0))</f>
        <v/>
      </c>
      <c r="J24" s="314">
        <f>IF(9&gt;Waterfall!$B$5,0,IFERROR((SUM($B$14:J14)+SUM($B$18:J18))/(9*$B$2),0))</f>
        <v/>
      </c>
      <c r="K24" s="314">
        <f>IF(10&gt;Waterfall!$B$5,0,IFERROR((SUM($B$14:K14)+SUM($B$18:K18))/(10*$B$2),0))</f>
        <v/>
      </c>
      <c r="L24" s="314" t="n"/>
      <c r="M24" s="314" t="n"/>
    </row>
    <row r="25" ht="21.75" customHeight="1" s="817">
      <c r="A25" s="49" t="inlineStr">
        <is>
          <t>Total Return in Investment</t>
        </is>
      </c>
      <c r="B25" s="1026">
        <f>B14+B18+B19</f>
        <v/>
      </c>
      <c r="C25" s="1026">
        <f>C14+C18+C19</f>
        <v/>
      </c>
      <c r="D25" s="1026">
        <f>D14+D18+D19</f>
        <v/>
      </c>
      <c r="E25" s="1026">
        <f>E14+E18+E19</f>
        <v/>
      </c>
      <c r="F25" s="1026">
        <f>F14+F18+F19</f>
        <v/>
      </c>
      <c r="G25" s="1026">
        <f>G14+G18+G19</f>
        <v/>
      </c>
      <c r="H25" s="1026">
        <f>H14+H18+H19</f>
        <v/>
      </c>
      <c r="I25" s="1026">
        <f>I14+I18+I19</f>
        <v/>
      </c>
      <c r="J25" s="1026">
        <f>J14+J18+J19</f>
        <v/>
      </c>
      <c r="K25" s="1026">
        <f>K14+K18+K19</f>
        <v/>
      </c>
      <c r="L25" s="1026">
        <f>SUM(B25:K25)</f>
        <v/>
      </c>
      <c r="M25" s="318">
        <f>IFERROR(L25/$B$2,0)</f>
        <v/>
      </c>
    </row>
    <row r="26" ht="6" customHeight="1" s="817">
      <c r="A26" s="309" t="n"/>
      <c r="B26" s="1027">
        <f>-$B$2</f>
        <v/>
      </c>
      <c r="C26" s="1027">
        <f>B25</f>
        <v/>
      </c>
      <c r="D26" s="1027">
        <f>C25</f>
        <v/>
      </c>
      <c r="E26" s="1027">
        <f>D25</f>
        <v/>
      </c>
      <c r="F26" s="1027">
        <f>E25</f>
        <v/>
      </c>
      <c r="G26" s="1027">
        <f>F25</f>
        <v/>
      </c>
      <c r="H26" s="1027">
        <f>G25</f>
        <v/>
      </c>
      <c r="I26" s="1027">
        <f>H25</f>
        <v/>
      </c>
      <c r="J26" s="1027">
        <f>I25</f>
        <v/>
      </c>
      <c r="K26" s="1027">
        <f>J25</f>
        <v/>
      </c>
      <c r="L26" s="1027">
        <f>K25</f>
        <v/>
      </c>
      <c r="M26" s="309" t="n"/>
    </row>
    <row r="27" ht="21.75" customHeight="1" s="817">
      <c r="A27" s="320" t="inlineStr">
        <is>
          <t>Average Annual Return</t>
        </is>
      </c>
      <c r="B27" s="321">
        <f>IFERROR(L25/(Waterfall!$B$5*$B$2),0)</f>
        <v/>
      </c>
      <c r="C27" s="895" t="n"/>
      <c r="D27" s="895" t="n"/>
      <c r="E27" s="895" t="n"/>
      <c r="F27" s="895" t="n"/>
      <c r="G27" s="895" t="n"/>
      <c r="H27" s="895" t="n"/>
      <c r="I27" s="895" t="n"/>
      <c r="J27" s="895" t="n"/>
      <c r="K27" s="895" t="n"/>
      <c r="L27" s="896" t="n"/>
    </row>
    <row r="28" ht="21.75" customHeight="1" s="817">
      <c r="A28" s="320" t="inlineStr">
        <is>
          <t>IRR</t>
        </is>
      </c>
      <c r="B28" s="321">
        <f>IFERROR(IRR(B26:L26),0)</f>
        <v/>
      </c>
      <c r="C28" s="895" t="n"/>
      <c r="D28" s="895" t="n"/>
      <c r="E28" s="895" t="n"/>
      <c r="F28" s="895" t="n"/>
      <c r="G28" s="895" t="n"/>
      <c r="H28" s="895" t="n"/>
      <c r="I28" s="895" t="n"/>
      <c r="J28" s="895" t="n"/>
      <c r="K28" s="895" t="n"/>
      <c r="L28" s="896" t="n"/>
    </row>
    <row r="29" ht="21.75" customHeight="1" s="817">
      <c r="A29" s="324" t="inlineStr">
        <is>
          <t>XIRR</t>
        </is>
      </c>
      <c r="B29" s="321">
        <f>'XIRR Analysis'!H54</f>
        <v/>
      </c>
      <c r="C29" s="895" t="n"/>
      <c r="D29" s="895" t="n"/>
      <c r="E29" s="895" t="n"/>
      <c r="F29" s="895" t="n"/>
      <c r="G29" s="895" t="n"/>
      <c r="H29" s="895" t="n"/>
      <c r="I29" s="895" t="n"/>
      <c r="J29" s="895" t="n"/>
      <c r="K29" s="895" t="n"/>
      <c r="L29" s="896" t="n"/>
    </row>
    <row r="30" ht="21.75" customHeight="1" s="817">
      <c r="A30" s="320" t="inlineStr">
        <is>
          <t>Average Cash on Cash Return</t>
        </is>
      </c>
      <c r="B30" s="321">
        <f>IFERROR(SUM(B14:K14)/(MIN(Waterfall!$B$5,10)*$B$2),0)</f>
        <v/>
      </c>
      <c r="C30" s="895" t="n"/>
      <c r="D30" s="895" t="n"/>
      <c r="E30" s="895" t="n"/>
      <c r="F30" s="895" t="n"/>
      <c r="G30" s="895" t="n"/>
      <c r="H30" s="895" t="n"/>
      <c r="I30" s="895" t="n"/>
      <c r="J30" s="895" t="n"/>
      <c r="K30" s="895" t="n"/>
      <c r="L30" s="896" t="n"/>
    </row>
    <row r="31" ht="21.75" customHeight="1" s="817">
      <c r="A31" s="320" t="inlineStr">
        <is>
          <t>Equity Multiple (EM)</t>
        </is>
      </c>
      <c r="B31" s="325">
        <f>IFERROR(L25/$B$2+1,0)</f>
        <v/>
      </c>
      <c r="C31" s="895" t="n"/>
      <c r="D31" s="895" t="n"/>
      <c r="E31" s="895" t="n"/>
      <c r="F31" s="895" t="n"/>
      <c r="G31" s="895" t="n"/>
      <c r="H31" s="895" t="n"/>
      <c r="I31" s="895" t="n"/>
      <c r="J31" s="895" t="n"/>
      <c r="K31" s="895" t="n"/>
      <c r="L31" s="896" t="n"/>
    </row>
    <row r="32" ht="7.5" customHeight="1" s="817">
      <c r="A32" s="309" t="n"/>
      <c r="B32" s="309" t="n"/>
      <c r="C32" s="309" t="n"/>
      <c r="D32" s="309" t="n"/>
      <c r="E32" s="309" t="n"/>
      <c r="F32" s="309" t="n"/>
      <c r="G32" s="309" t="n"/>
      <c r="H32" s="309" t="n"/>
      <c r="I32" s="309" t="n"/>
      <c r="J32" s="309" t="n"/>
      <c r="K32" s="309" t="n"/>
      <c r="L32" s="309" t="n"/>
      <c r="M32" s="309" t="n"/>
    </row>
    <row r="33" ht="19.5" customHeight="1" s="817">
      <c r="A33" s="894" t="inlineStr">
        <is>
          <t xml:space="preserve">  F.  TARGET RETURN ANALYSIS  —  How much do I need to invest?</t>
        </is>
      </c>
      <c r="B33" s="895" t="n"/>
      <c r="C33" s="895" t="n"/>
      <c r="D33" s="895" t="n"/>
      <c r="E33" s="895" t="n"/>
      <c r="F33" s="895" t="n"/>
      <c r="G33" s="895" t="n"/>
      <c r="H33" s="895" t="n"/>
      <c r="I33" s="895" t="n"/>
      <c r="J33" s="895" t="n"/>
      <c r="K33" s="895" t="n"/>
      <c r="L33" s="895" t="n"/>
      <c r="M33" s="896" t="n"/>
    </row>
    <row r="34" ht="16.5" customHeight="1" s="817">
      <c r="A34" s="219" t="inlineStr">
        <is>
          <t>Target</t>
        </is>
      </c>
      <c r="B34" s="219" t="inlineStr">
        <is>
          <t>Your Target</t>
        </is>
      </c>
      <c r="C34" s="219" t="inlineStr">
        <is>
          <t>Required Investment</t>
        </is>
      </c>
      <c r="D34" s="219" t="inlineStr">
        <is>
          <t>At $100k →</t>
        </is>
      </c>
      <c r="E34" s="219" t="inlineStr">
        <is>
          <t>vs Target</t>
        </is>
      </c>
      <c r="F34" s="309" t="n"/>
      <c r="G34" s="309" t="n"/>
      <c r="H34" s="309" t="n"/>
      <c r="I34" s="309" t="n"/>
      <c r="J34" s="309" t="n"/>
      <c r="K34" s="309" t="n"/>
      <c r="L34" s="309" t="n"/>
      <c r="M34" s="309" t="n"/>
    </row>
    <row r="35" ht="16.5" customHeight="1" s="817">
      <c r="A35" s="902" t="inlineStr">
        <is>
          <t>Annual Pref Income ($/yr)</t>
        </is>
      </c>
      <c r="B35" s="1028" t="n">
        <v>8000</v>
      </c>
      <c r="C35" s="1029">
        <f>IFERROR(B35/(IF($B$3="Class A",Waterfall!$B$11,Waterfall!$B$12)),0)</f>
        <v/>
      </c>
      <c r="D35" s="1030">
        <f>$B$2*IF($B$3="Class A",Waterfall!$B$11,Waterfall!$B$12)</f>
        <v/>
      </c>
      <c r="E35" s="329">
        <f>IFERROR(IF(D35&gt;=B35,"✓ Meets target","Need "&amp;TEXT(C35-$B$2,"$#,##0")&amp;" more"),"")</f>
        <v/>
      </c>
      <c r="F35" s="902" t="n"/>
      <c r="G35" s="902" t="n"/>
      <c r="H35" s="902" t="n"/>
      <c r="I35" s="902" t="n"/>
      <c r="J35" s="902" t="n"/>
      <c r="K35" s="902" t="n"/>
      <c r="L35" s="902" t="n"/>
      <c r="M35" s="902" t="n"/>
    </row>
    <row r="36" ht="16.5" customHeight="1" s="817">
      <c r="A36" s="904" t="inlineStr">
        <is>
          <t>Target Equity Multiple</t>
        </is>
      </c>
      <c r="B36" s="330" t="n">
        <v>2</v>
      </c>
      <c r="C36" s="331" t="inlineStr">
        <is>
          <t>EM scales with deal, not investment size</t>
        </is>
      </c>
      <c r="D36" s="904" t="n"/>
      <c r="E36" s="332">
        <f>IFERROR(IF(IFERROR(L25/$B$2+1,0)&gt;=B36,"✓ Deal hits target","Deal at "&amp;TEXT(IFERROR(L25/$B$2+1,0),"0.00x")&amp;" vs "&amp;TEXT(B36,"0.00x")),"")</f>
        <v/>
      </c>
      <c r="F36" s="904" t="n"/>
      <c r="G36" s="904" t="n"/>
      <c r="H36" s="904" t="n"/>
      <c r="I36" s="904" t="n"/>
      <c r="J36" s="904" t="n"/>
      <c r="K36" s="904" t="n"/>
      <c r="L36" s="904" t="n"/>
      <c r="M36" s="904" t="n"/>
    </row>
    <row r="37" ht="16.5" customHeight="1" s="817">
      <c r="A37" s="902" t="inlineStr">
        <is>
          <t>Target IRR</t>
        </is>
      </c>
      <c r="B37" s="333" t="n">
        <v>0.15</v>
      </c>
      <c r="C37" s="334" t="inlineStr">
        <is>
          <t>IRR is deal-level — same at any investment size</t>
        </is>
      </c>
      <c r="D37" s="902" t="n"/>
      <c r="E37" s="329">
        <f>IFERROR(IF(IF($B$3="Class A",Waterfall!B69,Waterfall!C69)&gt;=B37,"✓ Deal hits target","Deal at "&amp;TEXT(IF($B$3="Class A",Waterfall!B69,Waterfall!C69),"0.0%")&amp;" vs "&amp;TEXT(B37,"0.0%")),"")</f>
        <v/>
      </c>
      <c r="F37" s="902" t="n"/>
      <c r="G37" s="902" t="n"/>
      <c r="H37" s="902" t="n"/>
      <c r="I37" s="902" t="n"/>
      <c r="J37" s="902" t="n"/>
      <c r="K37" s="902" t="n"/>
      <c r="L37" s="902" t="n"/>
      <c r="M37" s="902" t="n"/>
    </row>
    <row r="38" ht="16.5" customHeight="1" s="817">
      <c r="A38" s="904" t="inlineStr">
        <is>
          <t>Target Total Cash Back ($)</t>
        </is>
      </c>
      <c r="B38" s="1022" t="n">
        <v>150000</v>
      </c>
      <c r="C38" s="1031">
        <f>IFERROR(B38/(L25/$B$2),0)</f>
        <v/>
      </c>
      <c r="D38" s="1032">
        <f>L25</f>
        <v/>
      </c>
      <c r="E38" s="332">
        <f>IFERROR(IF(L25&gt;=$B$2*(B38/$B$2),"✓ Meets target","Need "&amp;TEXT(C38-$B$2,"$#,##0")&amp;" more"),"")</f>
        <v/>
      </c>
      <c r="F38" s="904" t="n"/>
      <c r="G38" s="904" t="n"/>
      <c r="H38" s="904" t="n"/>
      <c r="I38" s="904" t="n"/>
      <c r="J38" s="904" t="n"/>
      <c r="K38" s="904" t="n"/>
      <c r="L38" s="904" t="n"/>
      <c r="M38" s="904" t="n"/>
    </row>
    <row r="39" ht="7.5" customHeight="1" s="817">
      <c r="A39" s="309" t="n"/>
      <c r="B39" s="309" t="n"/>
      <c r="C39" s="309" t="n"/>
      <c r="D39" s="309" t="n"/>
      <c r="E39" s="309" t="n"/>
      <c r="F39" s="309" t="n"/>
      <c r="G39" s="309" t="n"/>
      <c r="H39" s="309" t="n"/>
      <c r="I39" s="309" t="n"/>
      <c r="J39" s="309" t="n"/>
      <c r="K39" s="309" t="n"/>
      <c r="L39" s="309" t="n"/>
      <c r="M39" s="309" t="n"/>
    </row>
    <row r="40" ht="19.5" customHeight="1" s="817">
      <c r="A40" s="894" t="inlineStr">
        <is>
          <t xml:space="preserve">  G.  SENSITIVITY ANALYSIS  —  Your Returns at Different Exit Cap Rates</t>
        </is>
      </c>
      <c r="B40" s="895" t="n"/>
      <c r="C40" s="895" t="n"/>
      <c r="D40" s="895" t="n"/>
      <c r="E40" s="895" t="n"/>
      <c r="F40" s="895" t="n"/>
      <c r="G40" s="895" t="n"/>
      <c r="H40" s="895" t="n"/>
      <c r="I40" s="895" t="n"/>
      <c r="J40" s="895" t="n"/>
      <c r="K40" s="895" t="n"/>
      <c r="L40" s="895" t="n"/>
      <c r="M40" s="896" t="n"/>
    </row>
    <row r="41" ht="16.5" customHeight="1" s="817">
      <c r="A41" s="898" t="inlineStr">
        <is>
          <t xml:space="preserve">  Assumes operating distributions unchanged. Only exit proceeds vary with cap rate.</t>
        </is>
      </c>
      <c r="B41" s="895" t="n"/>
      <c r="C41" s="895" t="n"/>
      <c r="D41" s="895" t="n"/>
      <c r="E41" s="895" t="n"/>
      <c r="F41" s="895" t="n"/>
      <c r="G41" s="895" t="n"/>
      <c r="H41" s="895" t="n"/>
      <c r="I41" s="895" t="n"/>
      <c r="J41" s="895" t="n"/>
      <c r="K41" s="895" t="n"/>
      <c r="L41" s="895" t="n"/>
      <c r="M41" s="896" t="n"/>
    </row>
    <row r="42" ht="16.5" customHeight="1" s="817">
      <c r="A42" s="219" t="inlineStr">
        <is>
          <t>Exit Cap Rate</t>
        </is>
      </c>
      <c r="B42" s="219" t="inlineStr">
        <is>
          <t>Gross Sale Price</t>
        </is>
      </c>
      <c r="C42" s="219" t="inlineStr">
        <is>
          <t>Net Proceeds to LP (exit)</t>
        </is>
      </c>
      <c r="D42" s="219" t="inlineStr">
        <is>
          <t>Your Exit $</t>
        </is>
      </c>
      <c r="E42" s="219" t="inlineStr">
        <is>
          <t>Total Received</t>
        </is>
      </c>
      <c r="F42" s="219" t="inlineStr">
        <is>
          <t>Net Profit</t>
        </is>
      </c>
      <c r="G42" s="219" t="inlineStr">
        <is>
          <t>Equity Multiple</t>
        </is>
      </c>
      <c r="H42" s="219" t="inlineStr">
        <is>
          <t>vs Base EM</t>
        </is>
      </c>
      <c r="I42" s="309" t="n"/>
      <c r="J42" s="309" t="n"/>
      <c r="K42" s="309" t="n"/>
      <c r="L42" s="309" t="n"/>
      <c r="M42" s="309" t="n"/>
    </row>
    <row r="43" ht="16.5" customHeight="1" s="817">
      <c r="A43" s="337" t="n">
        <v>0.06</v>
      </c>
      <c r="B43" s="1024">
        <f>IFERROR((IFERROR(INDEX('P&amp;L'!D115:M116,1,Waterfall!$B$5),0)+IFERROR(INDEX('P&amp;L'!D112:M113,1,Waterfall!$B$5),0))/0.06,0)</f>
        <v/>
      </c>
      <c r="C43" s="1024">
        <f>IFERROR(MAX(B43*(1-Waterfall!$B$7-'Exit Strategy'!$F$18)-IFERROR(INDEX(Loans!$J$43:$S$43,1,Waterfall!$B$5),0),0)*Waterfall!$B$15,0)</f>
        <v/>
      </c>
      <c r="D43" s="1024">
        <f>IFERROR(IFERROR($B$2/IF($B$3="Class A",Waterfall!$B$9,Waterfall!$B$10),0)*C43,0)</f>
        <v/>
      </c>
      <c r="E43" s="1024">
        <f>IFERROR(L14+L18+D43,0)</f>
        <v/>
      </c>
      <c r="F43" s="1024">
        <f>IFERROR(E43-$B$2,0)</f>
        <v/>
      </c>
      <c r="G43" s="338">
        <f>IFERROR(E43/$B$2,0)</f>
        <v/>
      </c>
      <c r="H43" s="1033">
        <f>IFERROR(G43-L25/$B$2,0)</f>
        <v/>
      </c>
      <c r="I43" s="902" t="n"/>
      <c r="J43" s="902" t="n"/>
      <c r="K43" s="902" t="n"/>
      <c r="L43" s="902" t="n"/>
      <c r="M43" s="902" t="n"/>
    </row>
    <row r="44" ht="16.5" customHeight="1" s="817">
      <c r="A44" s="340" t="n">
        <v>0.065</v>
      </c>
      <c r="B44" s="1023">
        <f>IFERROR((IFERROR(INDEX('P&amp;L'!D115:M116,1,Waterfall!$B$5),0)+IFERROR(INDEX('P&amp;L'!D112:M113,1,Waterfall!$B$5),0))/0.065,0)</f>
        <v/>
      </c>
      <c r="C44" s="1023">
        <f>IFERROR(MAX(B44*(1-Waterfall!$B$7-'Exit Strategy'!$F$18)-IFERROR(INDEX(Loans!$J$43:$S$43,1,Waterfall!$B$5),0),0)*Waterfall!$B$15,0)</f>
        <v/>
      </c>
      <c r="D44" s="1023">
        <f>IFERROR(IFERROR($B$2/IF($B$3="Class A",Waterfall!$B$9,Waterfall!$B$10),0)*C44,0)</f>
        <v/>
      </c>
      <c r="E44" s="1023">
        <f>IFERROR(L14+L18+D44,0)</f>
        <v/>
      </c>
      <c r="F44" s="1023">
        <f>IFERROR(E44-$B$2,0)</f>
        <v/>
      </c>
      <c r="G44" s="341">
        <f>IFERROR(E44/$B$2,0)</f>
        <v/>
      </c>
      <c r="H44" s="1034">
        <f>IFERROR(G44-L25/$B$2,0)</f>
        <v/>
      </c>
      <c r="I44" s="904" t="n"/>
      <c r="J44" s="904" t="n"/>
      <c r="K44" s="904" t="n"/>
      <c r="L44" s="904" t="n"/>
      <c r="M44" s="904" t="n"/>
    </row>
    <row r="45" ht="16.5" customHeight="1" s="817">
      <c r="A45" s="337" t="n">
        <v>0.07000000000000001</v>
      </c>
      <c r="B45" s="1024">
        <f>IFERROR((IFERROR(INDEX('P&amp;L'!D115:M116,1,Waterfall!$B$5),0)+IFERROR(INDEX('P&amp;L'!D112:M113,1,Waterfall!$B$5),0))/0.07,0)</f>
        <v/>
      </c>
      <c r="C45" s="1024">
        <f>IFERROR(MAX(B45*(1-Waterfall!$B$7-'Exit Strategy'!$F$18)-IFERROR(INDEX(Loans!$J$43:$S$43,1,Waterfall!$B$5),0),0)*Waterfall!$B$15,0)</f>
        <v/>
      </c>
      <c r="D45" s="1024">
        <f>IFERROR(IFERROR($B$2/IF($B$3="Class A",Waterfall!$B$9,Waterfall!$B$10),0)*C45,0)</f>
        <v/>
      </c>
      <c r="E45" s="1024">
        <f>IFERROR(L14+L18+D45,0)</f>
        <v/>
      </c>
      <c r="F45" s="1024">
        <f>IFERROR(E45-$B$2,0)</f>
        <v/>
      </c>
      <c r="G45" s="338">
        <f>IFERROR(E45/$B$2,0)</f>
        <v/>
      </c>
      <c r="H45" s="1033">
        <f>IFERROR(G45-L25/$B$2,0)</f>
        <v/>
      </c>
      <c r="I45" s="902" t="n"/>
      <c r="J45" s="902" t="n"/>
      <c r="K45" s="902" t="n"/>
      <c r="L45" s="902" t="n"/>
      <c r="M45" s="902" t="n"/>
    </row>
    <row r="46" ht="16.5" customHeight="1" s="817">
      <c r="A46" s="340" t="n">
        <v>0.075</v>
      </c>
      <c r="B46" s="1023">
        <f>IFERROR((IFERROR(INDEX('P&amp;L'!D115:M116,1,Waterfall!$B$5),0)+IFERROR(INDEX('P&amp;L'!D112:M113,1,Waterfall!$B$5),0))/0.075,0)</f>
        <v/>
      </c>
      <c r="C46" s="1023">
        <f>IFERROR(MAX(B46*(1-Waterfall!$B$7-'Exit Strategy'!$F$18)-IFERROR(INDEX(Loans!$J$43:$S$43,1,Waterfall!$B$5),0),0)*Waterfall!$B$15,0)</f>
        <v/>
      </c>
      <c r="D46" s="1023">
        <f>IFERROR(IFERROR($B$2/IF($B$3="Class A",Waterfall!$B$9,Waterfall!$B$10),0)*C46,0)</f>
        <v/>
      </c>
      <c r="E46" s="1023">
        <f>IFERROR(L14+L18+D46,0)</f>
        <v/>
      </c>
      <c r="F46" s="1023">
        <f>IFERROR(E46-$B$2,0)</f>
        <v/>
      </c>
      <c r="G46" s="341">
        <f>IFERROR(E46/$B$2,0)</f>
        <v/>
      </c>
      <c r="H46" s="1034">
        <f>IFERROR(G46-L25/$B$2,0)</f>
        <v/>
      </c>
      <c r="I46" s="904" t="n"/>
      <c r="J46" s="904" t="n"/>
      <c r="K46" s="904" t="n"/>
      <c r="L46" s="904" t="n"/>
      <c r="M46" s="904" t="n"/>
    </row>
    <row r="47" ht="16.5" customHeight="1" s="817">
      <c r="A47" s="343" t="n">
        <v>0.08</v>
      </c>
      <c r="B47" s="1026">
        <f>IFERROR((IFERROR(INDEX('P&amp;L'!D115:M116,1,Waterfall!$B$5),0)+IFERROR(INDEX('P&amp;L'!D112:M113,1,Waterfall!$B$5),0))/0.08,0)</f>
        <v/>
      </c>
      <c r="C47" s="1026">
        <f>IFERROR(MAX(B47*(1-Waterfall!$B$7-'Exit Strategy'!$F$18)-IFERROR(INDEX(Loans!$J$43:$S$43,1,Waterfall!$B$5),0),0)*Waterfall!$B$15,0)</f>
        <v/>
      </c>
      <c r="D47" s="1026">
        <f>IFERROR(IFERROR($B$2/IF($B$3="Class A",Waterfall!$B$9,Waterfall!$B$10),0)*C47,0)</f>
        <v/>
      </c>
      <c r="E47" s="1026">
        <f>IFERROR(L14+L18+D47,0)</f>
        <v/>
      </c>
      <c r="F47" s="1026">
        <f>IFERROR(E47-$B$2,0)</f>
        <v/>
      </c>
      <c r="G47" s="344">
        <f>IFERROR(E47/$B$2,0)</f>
        <v/>
      </c>
      <c r="H47" s="1035">
        <f>IFERROR(G47-L25/$B$2,0)</f>
        <v/>
      </c>
      <c r="I47" s="51" t="n"/>
      <c r="J47" s="51" t="n"/>
      <c r="K47" s="51" t="n"/>
      <c r="L47" s="51" t="n"/>
      <c r="M47" s="51" t="n"/>
    </row>
    <row r="48" ht="16.5" customHeight="1" s="817">
      <c r="A48" s="340" t="n">
        <v>0.08500000000000001</v>
      </c>
      <c r="B48" s="1023">
        <f>IFERROR((IFERROR(INDEX('P&amp;L'!D115:M116,1,Waterfall!$B$5),0)+IFERROR(INDEX('P&amp;L'!D112:M113,1,Waterfall!$B$5),0))/0.085,0)</f>
        <v/>
      </c>
      <c r="C48" s="1023">
        <f>IFERROR(MAX(B48*(1-Waterfall!$B$7-'Exit Strategy'!$F$18)-IFERROR(INDEX(Loans!$J$43:$S$43,1,Waterfall!$B$5),0),0)*Waterfall!$B$15,0)</f>
        <v/>
      </c>
      <c r="D48" s="1023">
        <f>IFERROR(IFERROR($B$2/IF($B$3="Class A",Waterfall!$B$9,Waterfall!$B$10),0)*C48,0)</f>
        <v/>
      </c>
      <c r="E48" s="1023">
        <f>IFERROR(L14+L18+D48,0)</f>
        <v/>
      </c>
      <c r="F48" s="1023">
        <f>IFERROR(E48-$B$2,0)</f>
        <v/>
      </c>
      <c r="G48" s="341">
        <f>IFERROR(E48/$B$2,0)</f>
        <v/>
      </c>
      <c r="H48" s="1034">
        <f>IFERROR(G48-L25/$B$2,0)</f>
        <v/>
      </c>
      <c r="I48" s="904" t="n"/>
      <c r="J48" s="904" t="n"/>
      <c r="K48" s="904" t="n"/>
      <c r="L48" s="904" t="n"/>
      <c r="M48" s="904" t="n"/>
    </row>
    <row r="49" ht="16.5" customHeight="1" s="817">
      <c r="A49" s="337" t="n">
        <v>0.09</v>
      </c>
      <c r="B49" s="1024">
        <f>IFERROR((IFERROR(INDEX('P&amp;L'!D115:M116,1,Waterfall!$B$5),0)+IFERROR(INDEX('P&amp;L'!D112:M113,1,Waterfall!$B$5),0))/0.09,0)</f>
        <v/>
      </c>
      <c r="C49" s="1024">
        <f>IFERROR(MAX(B49*(1-Waterfall!$B$7-'Exit Strategy'!$F$18)-IFERROR(INDEX(Loans!$J$43:$S$43,1,Waterfall!$B$5),0),0)*Waterfall!$B$15,0)</f>
        <v/>
      </c>
      <c r="D49" s="1024">
        <f>IFERROR(IFERROR($B$2/IF($B$3="Class A",Waterfall!$B$9,Waterfall!$B$10),0)*C49,0)</f>
        <v/>
      </c>
      <c r="E49" s="1024">
        <f>IFERROR(L14+L18+D49,0)</f>
        <v/>
      </c>
      <c r="F49" s="1024">
        <f>IFERROR(E49-$B$2,0)</f>
        <v/>
      </c>
      <c r="G49" s="338">
        <f>IFERROR(E49/$B$2,0)</f>
        <v/>
      </c>
      <c r="H49" s="1033">
        <f>IFERROR(G49-L25/$B$2,0)</f>
        <v/>
      </c>
      <c r="I49" s="902" t="n"/>
      <c r="J49" s="902" t="n"/>
      <c r="K49" s="902" t="n"/>
      <c r="L49" s="902" t="n"/>
      <c r="M49" s="902" t="n"/>
    </row>
    <row r="50" ht="16.5" customHeight="1" s="817">
      <c r="A50" s="340" t="n">
        <v>0.095</v>
      </c>
      <c r="B50" s="1023">
        <f>IFERROR((IFERROR(INDEX('P&amp;L'!D115:M116,1,Waterfall!$B$5),0)+IFERROR(INDEX('P&amp;L'!D112:M113,1,Waterfall!$B$5),0))/0.095,0)</f>
        <v/>
      </c>
      <c r="C50" s="1023">
        <f>IFERROR(MAX(B50*(1-Waterfall!$B$7-'Exit Strategy'!$F$18)-IFERROR(INDEX(Loans!$J$43:$S$43,1,Waterfall!$B$5),0),0)*Waterfall!$B$15,0)</f>
        <v/>
      </c>
      <c r="D50" s="1023">
        <f>IFERROR(IFERROR($B$2/IF($B$3="Class A",Waterfall!$B$9,Waterfall!$B$10),0)*C50,0)</f>
        <v/>
      </c>
      <c r="E50" s="1023">
        <f>IFERROR(L14+L18+D50,0)</f>
        <v/>
      </c>
      <c r="F50" s="1023">
        <f>IFERROR(E50-$B$2,0)</f>
        <v/>
      </c>
      <c r="G50" s="341">
        <f>IFERROR(E50/$B$2,0)</f>
        <v/>
      </c>
      <c r="H50" s="1034">
        <f>IFERROR(G50-L25/$B$2,0)</f>
        <v/>
      </c>
      <c r="I50" s="904" t="n"/>
      <c r="J50" s="904" t="n"/>
      <c r="K50" s="904" t="n"/>
      <c r="L50" s="904" t="n"/>
      <c r="M50" s="904" t="n"/>
    </row>
    <row r="51" ht="6" customHeight="1" s="817">
      <c r="A51" s="309" t="n"/>
      <c r="B51" s="309" t="n"/>
      <c r="C51" s="309" t="n"/>
      <c r="D51" s="309" t="n"/>
      <c r="E51" s="309" t="n"/>
      <c r="F51" s="309" t="n"/>
      <c r="G51" s="309" t="n"/>
      <c r="H51" s="309" t="n"/>
      <c r="I51" s="309" t="n"/>
      <c r="J51" s="309" t="n"/>
      <c r="K51" s="309" t="n"/>
      <c r="L51" s="309" t="n"/>
      <c r="M51" s="309" t="n"/>
    </row>
    <row r="52" ht="16.5" customHeight="1" s="817">
      <c r="A52" s="898" t="inlineStr">
        <is>
          <t xml:space="preserve">  Base case (0.08 cap rate) highlighted. Selling costs and disposition fee deducted from sale price before LP split.</t>
        </is>
      </c>
      <c r="B52" s="895" t="n"/>
      <c r="C52" s="895" t="n"/>
      <c r="D52" s="895" t="n"/>
      <c r="E52" s="895" t="n"/>
      <c r="F52" s="895" t="n"/>
      <c r="G52" s="895" t="n"/>
      <c r="H52" s="895" t="n"/>
      <c r="I52" s="895" t="n"/>
      <c r="J52" s="895" t="n"/>
      <c r="K52" s="895" t="n"/>
      <c r="L52" s="895" t="n"/>
      <c r="M52" s="896" t="n"/>
    </row>
    <row r="53" ht="16.5" customHeight="1" s="817">
      <c r="A53" s="309" t="n"/>
      <c r="B53" s="309" t="n"/>
      <c r="C53" s="309" t="n"/>
      <c r="D53" s="309" t="n"/>
      <c r="E53" s="309" t="n"/>
      <c r="F53" s="309" t="n"/>
      <c r="G53" s="309" t="n"/>
      <c r="H53" s="309" t="n"/>
      <c r="I53" s="309" t="n"/>
      <c r="J53" s="309" t="n"/>
      <c r="K53" s="309" t="n"/>
      <c r="L53" s="309" t="n"/>
      <c r="M53" s="309" t="n"/>
    </row>
    <row r="54" ht="16.5" customHeight="1" s="817">
      <c r="A54" s="309" t="n"/>
      <c r="B54" s="309" t="n"/>
      <c r="C54" s="309" t="n"/>
      <c r="D54" s="309" t="n"/>
      <c r="E54" s="309" t="n"/>
      <c r="F54" s="309" t="n"/>
      <c r="G54" s="309" t="n"/>
      <c r="H54" s="309" t="n"/>
      <c r="I54" s="309" t="n"/>
      <c r="J54" s="309" t="n"/>
      <c r="K54" s="309" t="n"/>
      <c r="L54" s="309" t="n"/>
      <c r="M54" s="309" t="n"/>
    </row>
    <row r="55" ht="16.5" customHeight="1" s="817">
      <c r="A55" s="309" t="n"/>
      <c r="B55" s="309" t="n"/>
      <c r="C55" s="309" t="n"/>
      <c r="D55" s="309" t="n"/>
      <c r="E55" s="309" t="n"/>
      <c r="F55" s="309" t="n"/>
      <c r="G55" s="309" t="n"/>
      <c r="H55" s="309" t="n"/>
      <c r="I55" s="309" t="n"/>
      <c r="J55" s="309" t="n"/>
      <c r="K55" s="309" t="n"/>
      <c r="L55" s="309" t="n"/>
      <c r="M55" s="309" t="n"/>
    </row>
    <row r="56" ht="16.5" customHeight="1" s="817">
      <c r="A56" s="309" t="n"/>
      <c r="B56" s="309" t="n"/>
      <c r="C56" s="309" t="n"/>
      <c r="D56" s="309" t="n"/>
      <c r="E56" s="309" t="n"/>
      <c r="F56" s="309" t="n"/>
      <c r="G56" s="309" t="n"/>
      <c r="H56" s="309" t="n"/>
      <c r="I56" s="309" t="n"/>
      <c r="J56" s="309" t="n"/>
      <c r="K56" s="309" t="n"/>
      <c r="L56" s="309" t="n"/>
      <c r="M56" s="309" t="n"/>
    </row>
    <row r="57" ht="16.5" customHeight="1" s="817">
      <c r="A57" s="309" t="n"/>
      <c r="B57" s="309" t="n"/>
      <c r="C57" s="309" t="n"/>
      <c r="D57" s="309" t="n"/>
      <c r="E57" s="309" t="n"/>
      <c r="F57" s="309" t="n"/>
      <c r="G57" s="309" t="n"/>
      <c r="H57" s="309" t="n"/>
      <c r="I57" s="309" t="n"/>
      <c r="J57" s="309" t="n"/>
      <c r="K57" s="309" t="n"/>
      <c r="L57" s="309" t="n"/>
      <c r="M57" s="309" t="n"/>
    </row>
    <row r="58" ht="16.5" customHeight="1" s="817">
      <c r="A58" s="309" t="n"/>
      <c r="B58" s="309" t="n"/>
      <c r="C58" s="309" t="n"/>
      <c r="D58" s="309" t="n"/>
      <c r="E58" s="309" t="n"/>
      <c r="F58" s="309" t="n"/>
      <c r="G58" s="309" t="n"/>
      <c r="H58" s="309" t="n"/>
      <c r="I58" s="309" t="n"/>
      <c r="J58" s="309" t="n"/>
      <c r="K58" s="309" t="n"/>
      <c r="L58" s="309" t="n"/>
      <c r="M58" s="309" t="n"/>
    </row>
    <row r="59" ht="16.5" customHeight="1" s="817">
      <c r="A59" s="309" t="n"/>
      <c r="B59" s="309" t="n"/>
      <c r="C59" s="309" t="n"/>
      <c r="D59" s="309" t="n"/>
      <c r="E59" s="309" t="n"/>
      <c r="F59" s="309" t="n"/>
      <c r="G59" s="309" t="n"/>
      <c r="H59" s="309" t="n"/>
      <c r="I59" s="309" t="n"/>
      <c r="J59" s="309" t="n"/>
      <c r="K59" s="309" t="n"/>
      <c r="L59" s="309" t="n"/>
      <c r="M59" s="309" t="n"/>
    </row>
    <row r="60" ht="16.5" customHeight="1" s="817">
      <c r="A60" s="309" t="n"/>
      <c r="B60" s="309" t="n"/>
      <c r="C60" s="309" t="n"/>
      <c r="D60" s="309" t="n"/>
      <c r="E60" s="309" t="n"/>
      <c r="F60" s="309" t="n"/>
      <c r="G60" s="309" t="n"/>
      <c r="H60" s="309" t="n"/>
      <c r="I60" s="309" t="n"/>
      <c r="J60" s="309" t="n"/>
      <c r="K60" s="309" t="n"/>
      <c r="L60" s="309" t="n"/>
      <c r="M60" s="309" t="n"/>
    </row>
    <row r="61" ht="16.5" customHeight="1" s="817">
      <c r="A61" s="309" t="n"/>
      <c r="B61" s="309" t="n"/>
      <c r="C61" s="309" t="n"/>
      <c r="D61" s="309" t="n"/>
      <c r="E61" s="309" t="n"/>
      <c r="F61" s="309" t="n"/>
      <c r="G61" s="309" t="n"/>
      <c r="H61" s="309" t="n"/>
      <c r="I61" s="309" t="n"/>
      <c r="J61" s="309" t="n"/>
      <c r="K61" s="309" t="n"/>
      <c r="L61" s="309" t="n"/>
      <c r="M61" s="309" t="n"/>
    </row>
    <row r="62" ht="16.5" customHeight="1" s="817">
      <c r="A62" s="309" t="n"/>
      <c r="B62" s="309" t="n"/>
      <c r="C62" s="309" t="n"/>
      <c r="D62" s="309" t="n"/>
      <c r="E62" s="309" t="n"/>
      <c r="F62" s="309" t="n"/>
      <c r="G62" s="309" t="n"/>
      <c r="H62" s="309" t="n"/>
      <c r="I62" s="309" t="n"/>
      <c r="J62" s="309" t="n"/>
      <c r="K62" s="309" t="n"/>
      <c r="L62" s="309" t="n"/>
      <c r="M62" s="309" t="n"/>
    </row>
    <row r="63" ht="16.5" customHeight="1" s="817">
      <c r="A63" s="309" t="n"/>
      <c r="B63" s="309" t="n"/>
      <c r="C63" s="309" t="n"/>
      <c r="D63" s="309" t="n"/>
      <c r="E63" s="309" t="n"/>
      <c r="F63" s="309" t="n"/>
      <c r="G63" s="309" t="n"/>
      <c r="H63" s="309" t="n"/>
      <c r="I63" s="309" t="n"/>
      <c r="J63" s="309" t="n"/>
      <c r="K63" s="309" t="n"/>
      <c r="L63" s="309" t="n"/>
      <c r="M63" s="309" t="n"/>
    </row>
    <row r="64" ht="16.5" customHeight="1" s="817">
      <c r="A64" s="309" t="n"/>
      <c r="B64" s="309" t="n"/>
      <c r="C64" s="309" t="n"/>
      <c r="D64" s="309" t="n"/>
      <c r="E64" s="309" t="n"/>
      <c r="F64" s="309" t="n"/>
      <c r="G64" s="309" t="n"/>
      <c r="H64" s="309" t="n"/>
      <c r="I64" s="309" t="n"/>
      <c r="J64" s="309" t="n"/>
      <c r="K64" s="309" t="n"/>
      <c r="L64" s="309" t="n"/>
      <c r="M64" s="309" t="n"/>
    </row>
    <row r="65" ht="16.5" customHeight="1" s="817">
      <c r="A65" s="309" t="n"/>
      <c r="B65" s="309" t="n"/>
      <c r="C65" s="309" t="n"/>
      <c r="D65" s="309" t="n"/>
      <c r="E65" s="309" t="n"/>
      <c r="F65" s="309" t="n"/>
      <c r="G65" s="309" t="n"/>
      <c r="H65" s="309" t="n"/>
      <c r="I65" s="309" t="n"/>
      <c r="J65" s="309" t="n"/>
      <c r="K65" s="309" t="n"/>
      <c r="L65" s="309" t="n"/>
      <c r="M65" s="309" t="n"/>
    </row>
  </sheetData>
  <mergeCells count="12">
    <mergeCell ref="A13:M13"/>
    <mergeCell ref="A1:M1"/>
    <mergeCell ref="C3:D3"/>
    <mergeCell ref="A6:M6"/>
    <mergeCell ref="A22:M22"/>
    <mergeCell ref="A17:M17"/>
    <mergeCell ref="A9:M9"/>
    <mergeCell ref="A40:M40"/>
    <mergeCell ref="C2:M2"/>
    <mergeCell ref="A41:M41"/>
    <mergeCell ref="A33:M33"/>
    <mergeCell ref="A52:M52"/>
  </mergeCells>
  <dataValidations count="1">
    <dataValidation sqref="B3 B6" showDropDown="0" showInputMessage="0" showErrorMessage="0" allowBlank="0" type="list">
      <formula1>"Class A,Class B"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34"/>
  <sheetViews>
    <sheetView zoomScale="113" zoomScaleNormal="113" workbookViewId="0">
      <selection activeCell="I27" sqref="I27"/>
    </sheetView>
  </sheetViews>
  <sheetFormatPr baseColWidth="8" defaultColWidth="8.85546875" defaultRowHeight="15"/>
  <cols>
    <col width="30" customWidth="1" style="817" min="1" max="1"/>
    <col width="14" customWidth="1" style="817" min="2" max="10"/>
  </cols>
  <sheetData>
    <row r="1" ht="24" customHeight="1" s="817">
      <c r="A1" s="827" t="inlineStr">
        <is>
          <t>SENSITIVITY ANALYSIS — THREE KEY TRADE-OFF TABLES</t>
        </is>
      </c>
    </row>
    <row r="2" ht="15.75" customHeight="1" s="817">
      <c r="A2" s="835" t="inlineStr">
        <is>
          <t xml:space="preserve">  Green = meets investment threshold. Yellow = marginal. Red = below threshold. All cells are live formulas.</t>
        </is>
      </c>
    </row>
    <row r="4" ht="24" customHeight="1" s="817">
      <c r="A4" s="827" t="inlineStr">
        <is>
          <t>TABLE 1 — OCCUPANCY vs EXIT CAP RATE → LP IRR (MOIC approximation)</t>
        </is>
      </c>
    </row>
    <row r="5">
      <c r="A5" s="293" t="inlineStr">
        <is>
          <t>Occ % \ Exit Cap →</t>
        </is>
      </c>
      <c r="B5" s="294">
        <f>$K$5+0*$M$5</f>
        <v/>
      </c>
      <c r="C5" s="294">
        <f>$K$5+1*$M$5</f>
        <v/>
      </c>
      <c r="D5" s="294">
        <f>$K$5+2*$M$5</f>
        <v/>
      </c>
      <c r="E5" s="294">
        <f>$K$5+3*$M$5</f>
        <v/>
      </c>
      <c r="F5" s="294">
        <f>$K$5+4*$M$5</f>
        <v/>
      </c>
      <c r="G5" s="294">
        <f>$K$5+5*$M$5</f>
        <v/>
      </c>
      <c r="H5" s="294">
        <f>$K$5+6*$M$5</f>
        <v/>
      </c>
      <c r="J5" s="295" t="inlineStr">
        <is>
          <t>Cap Start →</t>
        </is>
      </c>
      <c r="K5" s="1036" t="n">
        <v>0.075</v>
      </c>
      <c r="L5" s="295" t="inlineStr">
        <is>
          <t>Step →</t>
        </is>
      </c>
      <c r="M5" s="1036" t="n">
        <v>0.005</v>
      </c>
      <c r="N5" s="295" t="inlineStr">
        <is>
          <t>Occ Start →</t>
        </is>
      </c>
      <c r="O5" s="242" t="n">
        <v>0.7</v>
      </c>
      <c r="P5" s="295" t="inlineStr">
        <is>
          <t>Occ Step →</t>
        </is>
      </c>
      <c r="Q5" s="242" t="n">
        <v>0.025</v>
      </c>
    </row>
    <row r="6">
      <c r="A6" s="297">
        <f>$O$5+0*$Q$5</f>
        <v/>
      </c>
      <c r="B6" s="298">
        <f>IFERROR(((('P&amp;L'!H97*(A6/(1-Scenarios!F40)))/B5*(1-0.025)-Scenarios!F144)/Scenarios!F31)^(1/5)-1,"")</f>
        <v/>
      </c>
      <c r="C6" s="298">
        <f>IFERROR(((('P&amp;L'!H97*(A6/(1-Scenarios!F40)))/C5*(1-0.025)-Scenarios!F144)/Scenarios!F31)^(1/5)-1,"")</f>
        <v/>
      </c>
      <c r="D6" s="298">
        <f>IFERROR(((('P&amp;L'!H97*(A6/(1-Scenarios!F40)))/D5*(1-0.025)-Scenarios!F144)/Scenarios!F31)^(1/5)-1,"")</f>
        <v/>
      </c>
      <c r="E6" s="298">
        <f>IFERROR(((('P&amp;L'!H97*(A6/(1-Scenarios!F40)))/E5*(1-0.025)-Scenarios!F144)/Scenarios!F31)^(1/5)-1,"")</f>
        <v/>
      </c>
      <c r="F6" s="298">
        <f>IFERROR(((('P&amp;L'!H97*(A6/(1-Scenarios!F40)))/F5*(1-0.025)-Scenarios!F144)/Scenarios!F31)^(1/5)-1,"")</f>
        <v/>
      </c>
      <c r="G6" s="298">
        <f>IFERROR(((('P&amp;L'!H97*(A6/(1-Scenarios!F40)))/G5*(1-0.025)-Scenarios!F144)/Scenarios!F31)^(1/5)-1,"")</f>
        <v/>
      </c>
      <c r="H6" s="298">
        <f>IFERROR(((('P&amp;L'!H97*(A6/(1-Scenarios!F40)))/H5*(1-0.025)-Scenarios!F144)/Scenarios!F31)^(1/5)-1,"")</f>
        <v/>
      </c>
    </row>
    <row r="7">
      <c r="A7" s="297">
        <f>$O$5+1*$Q$5</f>
        <v/>
      </c>
      <c r="B7" s="298">
        <f>IFERROR(((('P&amp;L'!H97*(A7/(1-Scenarios!F40)))/B5*(1-0.025)-Scenarios!F144)/Scenarios!F31)^(1/5)-1,"")</f>
        <v/>
      </c>
      <c r="C7" s="298">
        <f>IFERROR(((('P&amp;L'!H97*(A7/(1-Scenarios!F40)))/C5*(1-0.025)-Scenarios!F144)/Scenarios!F31)^(1/5)-1,"")</f>
        <v/>
      </c>
      <c r="D7" s="298">
        <f>IFERROR(((('P&amp;L'!H97*(A7/(1-Scenarios!F40)))/D5*(1-0.025)-Scenarios!F144)/Scenarios!F31)^(1/5)-1,"")</f>
        <v/>
      </c>
      <c r="E7" s="298">
        <f>IFERROR(((('P&amp;L'!H97*(A7/(1-Scenarios!F40)))/E5*(1-0.025)-Scenarios!F144)/Scenarios!F31)^(1/5)-1,"")</f>
        <v/>
      </c>
      <c r="F7" s="298">
        <f>IFERROR(((('P&amp;L'!H97*(A7/(1-Scenarios!F40)))/F5*(1-0.025)-Scenarios!F144)/Scenarios!F31)^(1/5)-1,"")</f>
        <v/>
      </c>
      <c r="G7" s="298">
        <f>IFERROR(((('P&amp;L'!H97*(A7/(1-Scenarios!F40)))/G5*(1-0.025)-Scenarios!F144)/Scenarios!F31)^(1/5)-1,"")</f>
        <v/>
      </c>
      <c r="H7" s="298">
        <f>IFERROR(((('P&amp;L'!H97*(A7/(1-Scenarios!F40)))/H5*(1-0.025)-Scenarios!F144)/Scenarios!F31)^(1/5)-1,"")</f>
        <v/>
      </c>
    </row>
    <row r="8">
      <c r="A8" s="297">
        <f>$O$5+2*$Q$5</f>
        <v/>
      </c>
      <c r="B8" s="299">
        <f>IFERROR(((('P&amp;L'!H97*(A8/(1-Scenarios!F40)))/B5*(1-0.025)-Scenarios!F144)/Scenarios!F31)^(1/5)-1,"")</f>
        <v/>
      </c>
      <c r="C8" s="299">
        <f>IFERROR(((('P&amp;L'!H97*(A8/(1-Scenarios!F40)))/C5*(1-0.025)-Scenarios!F144)/Scenarios!F31)^(1/5)-1,"")</f>
        <v/>
      </c>
      <c r="D8" s="299">
        <f>IFERROR(((('P&amp;L'!H97*(A8/(1-Scenarios!F40)))/D5*(1-0.025)-Scenarios!F144)/Scenarios!F31)^(1/5)-1,"")</f>
        <v/>
      </c>
      <c r="E8" s="299">
        <f>IFERROR(((('P&amp;L'!H97*(A8/(1-Scenarios!F40)))/E5*(1-0.025)-Scenarios!F144)/Scenarios!F31)^(1/5)-1,"")</f>
        <v/>
      </c>
      <c r="F8" s="299">
        <f>IFERROR(((('P&amp;L'!H97*(A8/(1-Scenarios!F40)))/F5*(1-0.025)-Scenarios!F144)/Scenarios!F31)^(1/5)-1,"")</f>
        <v/>
      </c>
      <c r="G8" s="299">
        <f>IFERROR(((('P&amp;L'!H97*(A8/(1-Scenarios!F40)))/G5*(1-0.025)-Scenarios!F144)/Scenarios!F31)^(1/5)-1,"")</f>
        <v/>
      </c>
      <c r="H8" s="298">
        <f>IFERROR(((('P&amp;L'!H97*(A8/(1-Scenarios!F40)))/H5*(1-0.025)-Scenarios!F144)/Scenarios!F31)^(1/5)-1,"")</f>
        <v/>
      </c>
    </row>
    <row r="9">
      <c r="A9" s="297">
        <f>$O$5+3*$Q$5</f>
        <v/>
      </c>
      <c r="B9" s="299">
        <f>IFERROR(((('P&amp;L'!H97*(A9/(1-Scenarios!F40)))/B5*(1-0.025)-Scenarios!F144)/Scenarios!F31)^(1/5)-1,"")</f>
        <v/>
      </c>
      <c r="C9" s="299">
        <f>IFERROR(((('P&amp;L'!H97*(A9/(1-Scenarios!F40)))/C5*(1-0.025)-Scenarios!F144)/Scenarios!F31)^(1/5)-1,"")</f>
        <v/>
      </c>
      <c r="D9" s="299">
        <f>IFERROR(((('P&amp;L'!H97*(A9/(1-Scenarios!F40)))/D5*(1-0.025)-Scenarios!F144)/Scenarios!F31)^(1/5)-1,"")</f>
        <v/>
      </c>
      <c r="E9" s="299">
        <f>IFERROR(((('P&amp;L'!H97*(A9/(1-Scenarios!F40)))/E5*(1-0.025)-Scenarios!F144)/Scenarios!F31)^(1/5)-1,"")</f>
        <v/>
      </c>
      <c r="F9" s="299">
        <f>IFERROR(((('P&amp;L'!H97*(A9/(1-Scenarios!F40)))/F5*(1-0.025)-Scenarios!F144)/Scenarios!F31)^(1/5)-1,"")</f>
        <v/>
      </c>
      <c r="G9" s="299">
        <f>IFERROR(((('P&amp;L'!H97*(A9/(1-Scenarios!F40)))/G5*(1-0.025)-Scenarios!F144)/Scenarios!F31)^(1/5)-1,"")</f>
        <v/>
      </c>
      <c r="H9" s="298">
        <f>IFERROR(((('P&amp;L'!H97*(A9/(1-Scenarios!F40)))/H5*(1-0.025)-Scenarios!F144)/Scenarios!F31)^(1/5)-1,"")</f>
        <v/>
      </c>
    </row>
    <row r="10">
      <c r="A10" s="297">
        <f>$O$5+4*$Q$5</f>
        <v/>
      </c>
      <c r="B10" s="300">
        <f>IFERROR(((('P&amp;L'!H97*(A10/(1-Scenarios!F40)))/B5*(1-0.025)-Scenarios!F144)/Scenarios!F31)^(1/5)-1,"")</f>
        <v/>
      </c>
      <c r="C10" s="300">
        <f>IFERROR(((('P&amp;L'!H97*(A10/(1-Scenarios!F40)))/C5*(1-0.025)-Scenarios!F144)/Scenarios!F31)^(1/5)-1,"")</f>
        <v/>
      </c>
      <c r="D10" s="300">
        <f>IFERROR(((('P&amp;L'!H97*(A10/(1-Scenarios!F40)))/D5*(1-0.025)-Scenarios!F144)/Scenarios!F31)^(1/5)-1,"")</f>
        <v/>
      </c>
      <c r="E10" s="300">
        <f>IFERROR(((('P&amp;L'!H97*(A10/(1-Scenarios!F40)))/E5*(1-0.025)-Scenarios!F144)/Scenarios!F31)^(1/5)-1,"")</f>
        <v/>
      </c>
      <c r="F10" s="299">
        <f>IFERROR(((('P&amp;L'!H97*(A10/(1-Scenarios!F40)))/F5*(1-0.025)-Scenarios!F144)/Scenarios!F31)^(1/5)-1,"")</f>
        <v/>
      </c>
      <c r="G10" s="299">
        <f>IFERROR(((('P&amp;L'!H97*(A10/(1-Scenarios!F40)))/G5*(1-0.025)-Scenarios!F144)/Scenarios!F31)^(1/5)-1,"")</f>
        <v/>
      </c>
      <c r="H10" s="298">
        <f>IFERROR(((('P&amp;L'!H97*(A10/(1-Scenarios!F40)))/H5*(1-0.025)-Scenarios!F144)/Scenarios!F31)^(1/5)-1,"")</f>
        <v/>
      </c>
    </row>
    <row r="11">
      <c r="A11" s="297">
        <f>$O$5+5*$Q$5</f>
        <v/>
      </c>
      <c r="B11" s="300">
        <f>IFERROR(((('P&amp;L'!H97*(A11/(1-Scenarios!F40)))/B5*(1-0.025)-Scenarios!F144)/Scenarios!F31)^(1/5)-1,"")</f>
        <v/>
      </c>
      <c r="C11" s="300">
        <f>IFERROR(((('P&amp;L'!H97*(A11/(1-Scenarios!F40)))/C5*(1-0.025)-Scenarios!F144)/Scenarios!F31)^(1/5)-1,"")</f>
        <v/>
      </c>
      <c r="D11" s="300">
        <f>IFERROR(((('P&amp;L'!H97*(A11/(1-Scenarios!F40)))/D5*(1-0.025)-Scenarios!F144)/Scenarios!F31)^(1/5)-1,"")</f>
        <v/>
      </c>
      <c r="E11" s="300">
        <f>IFERROR(((('P&amp;L'!H97*(A11/(1-Scenarios!F40)))/E5*(1-0.025)-Scenarios!F144)/Scenarios!F31)^(1/5)-1,"")</f>
        <v/>
      </c>
      <c r="F11" s="299">
        <f>IFERROR(((('P&amp;L'!H97*(A11/(1-Scenarios!F40)))/F5*(1-0.025)-Scenarios!F144)/Scenarios!F31)^(1/5)-1,"")</f>
        <v/>
      </c>
      <c r="G11" s="299">
        <f>IFERROR(((('P&amp;L'!H97*(A11/(1-Scenarios!F40)))/G5*(1-0.025)-Scenarios!F144)/Scenarios!F31)^(1/5)-1,"")</f>
        <v/>
      </c>
      <c r="H11" s="298">
        <f>IFERROR(((('P&amp;L'!H97*(A11/(1-Scenarios!F40)))/H5*(1-0.025)-Scenarios!F144)/Scenarios!F31)^(1/5)-1,"")</f>
        <v/>
      </c>
    </row>
    <row r="12">
      <c r="A12" s="297">
        <f>$O$5+6*$Q$5</f>
        <v/>
      </c>
      <c r="B12" s="300">
        <f>IFERROR(((('P&amp;L'!H97*(A12/(1-Scenarios!F40)))/B5*(1-0.025)-Scenarios!F144)/Scenarios!F31)^(1/5)-1,"")</f>
        <v/>
      </c>
      <c r="C12" s="300">
        <f>IFERROR(((('P&amp;L'!H97*(A12/(1-Scenarios!F40)))/C5*(1-0.025)-Scenarios!F144)/Scenarios!F31)^(1/5)-1,"")</f>
        <v/>
      </c>
      <c r="D12" s="300">
        <f>IFERROR(((('P&amp;L'!H97*(A12/(1-Scenarios!F40)))/D5*(1-0.025)-Scenarios!F144)/Scenarios!F31)^(1/5)-1,"")</f>
        <v/>
      </c>
      <c r="E12" s="300">
        <f>IFERROR(((('P&amp;L'!H97*(A12/(1-Scenarios!F40)))/E5*(1-0.025)-Scenarios!F144)/Scenarios!F31)^(1/5)-1,"")</f>
        <v/>
      </c>
      <c r="F12" s="299">
        <f>IFERROR(((('P&amp;L'!H97*(A12/(1-Scenarios!F40)))/F5*(1-0.025)-Scenarios!F144)/Scenarios!F31)^(1/5)-1,"")</f>
        <v/>
      </c>
      <c r="G12" s="299">
        <f>IFERROR(((('P&amp;L'!H97*(A12/(1-Scenarios!F40)))/G5*(1-0.025)-Scenarios!F144)/Scenarios!F31)^(1/5)-1,"")</f>
        <v/>
      </c>
      <c r="H12" s="298">
        <f>IFERROR(((('P&amp;L'!H97*(A12/(1-Scenarios!F40)))/H5*(1-0.025)-Scenarios!F144)/Scenarios!F31)^(1/5)-1,"")</f>
        <v/>
      </c>
    </row>
    <row r="13">
      <c r="A13" s="297">
        <f>$O$5+7*$Q$5</f>
        <v/>
      </c>
      <c r="B13" s="300">
        <f>IFERROR(((('P&amp;L'!H97*(A13/(1-Scenarios!F40)))/B5*(1-0.025)-Scenarios!F144)/Scenarios!F31)^(1/5)-1,"")</f>
        <v/>
      </c>
      <c r="C13" s="300">
        <f>IFERROR(((('P&amp;L'!H97*(A13/(1-Scenarios!F40)))/C5*(1-0.025)-Scenarios!F144)/Scenarios!F31)^(1/5)-1,"")</f>
        <v/>
      </c>
      <c r="D13" s="300">
        <f>IFERROR(((('P&amp;L'!H97*(A13/(1-Scenarios!F40)))/D5*(1-0.025)-Scenarios!F144)/Scenarios!F31)^(1/5)-1,"")</f>
        <v/>
      </c>
      <c r="E13" s="300">
        <f>IFERROR(((('P&amp;L'!H97*(A13/(1-Scenarios!F40)))/E5*(1-0.025)-Scenarios!F144)/Scenarios!F31)^(1/5)-1,"")</f>
        <v/>
      </c>
      <c r="F13" s="299">
        <f>IFERROR(((('P&amp;L'!H97*(A13/(1-Scenarios!F40)))/F5*(1-0.025)-Scenarios!F144)/Scenarios!F31)^(1/5)-1,"")</f>
        <v/>
      </c>
      <c r="G13" s="299">
        <f>IFERROR(((('P&amp;L'!H97*(A13/(1-Scenarios!F40)))/G5*(1-0.025)-Scenarios!F144)/Scenarios!F31)^(1/5)-1,"")</f>
        <v/>
      </c>
      <c r="H13" s="298">
        <f>IFERROR(((('P&amp;L'!H97*(A13/(1-Scenarios!F40)))/H5*(1-0.025)-Scenarios!F144)/Scenarios!F31)^(1/5)-1,"")</f>
        <v/>
      </c>
    </row>
    <row r="15" ht="24" customHeight="1" s="817">
      <c r="A15" s="830" t="inlineStr">
        <is>
          <t>TABLE 2 — RATE GROWTH vs EXPENSE GROWTH → NOI MARGIN (Year 5)</t>
        </is>
      </c>
    </row>
    <row r="16">
      <c r="A16" s="301" t="inlineStr">
        <is>
          <t>Rate Gr. \ Exp Gr. →</t>
        </is>
      </c>
      <c r="B16" s="297">
        <f>$K$16+0*$M$16</f>
        <v/>
      </c>
      <c r="C16" s="297">
        <f>$K$16+1*$M$16</f>
        <v/>
      </c>
      <c r="D16" s="297">
        <f>$K$16+2*$M$16</f>
        <v/>
      </c>
      <c r="E16" s="297">
        <f>$K$16+3*$M$16</f>
        <v/>
      </c>
      <c r="F16" s="297">
        <f>$K$16+4*$M$16</f>
        <v/>
      </c>
      <c r="G16" s="297">
        <f>$K$16+5*$M$16</f>
        <v/>
      </c>
      <c r="H16" s="297">
        <f>$K$16+6*$M$16</f>
        <v/>
      </c>
      <c r="J16" s="295" t="inlineStr">
        <is>
          <t>Exp Gr Start →</t>
        </is>
      </c>
      <c r="K16" s="242" t="n">
        <v>0.03</v>
      </c>
      <c r="L16" s="295" t="inlineStr">
        <is>
          <t>Step →</t>
        </is>
      </c>
      <c r="M16" s="242" t="n">
        <v>0.005</v>
      </c>
      <c r="N16" s="295" t="inlineStr">
        <is>
          <t>Rate Gr Start →</t>
        </is>
      </c>
      <c r="O16" s="242" t="n">
        <v>0.02</v>
      </c>
      <c r="P16" s="295" t="inlineStr">
        <is>
          <t>Step →</t>
        </is>
      </c>
      <c r="Q16" s="242" t="n">
        <v>0.005</v>
      </c>
    </row>
    <row r="17">
      <c r="A17" s="297">
        <f>$O$16+0*$Q$16</f>
        <v/>
      </c>
      <c r="B17" s="299">
        <f>IFERROR(('P&amp;L'!H50*(1+$A17)^5-'P&amp;L'!H95*(1+B16)^5)/('P&amp;L'!H50*(1+$A17)^5),"")</f>
        <v/>
      </c>
      <c r="C17" s="299">
        <f>IFERROR(('P&amp;L'!H50*(1+$A17)^5-'P&amp;L'!H95*(1+C16)^5)/('P&amp;L'!H50*(1+$A17)^5),"")</f>
        <v/>
      </c>
      <c r="D17" s="299">
        <f>IFERROR(('P&amp;L'!H50*(1+$A17)^5-'P&amp;L'!H95*(1+D16)^5)/('P&amp;L'!H50*(1+$A17)^5),"")</f>
        <v/>
      </c>
      <c r="E17" s="299">
        <f>IFERROR(('P&amp;L'!H50*(1+$A17)^5-'P&amp;L'!H95*(1+E16)^5)/('P&amp;L'!H50*(1+$A17)^5),"")</f>
        <v/>
      </c>
      <c r="F17" s="299">
        <f>IFERROR(('P&amp;L'!H50*(1+$A17)^5-'P&amp;L'!H95*(1+F16)^5)/('P&amp;L'!H50*(1+$A17)^5),"")</f>
        <v/>
      </c>
      <c r="G17" s="298">
        <f>IFERROR(('P&amp;L'!H50*(1+$A17)^5-'P&amp;L'!H95*(1+G16)^5)/('P&amp;L'!H50*(1+$A17)^5),"")</f>
        <v/>
      </c>
      <c r="H17" s="298">
        <f>IFERROR(('P&amp;L'!H50*(1+$A17)^5-'P&amp;L'!H95*(1+H16)^5)/('P&amp;L'!H50*(1+$A17)^5),"")</f>
        <v/>
      </c>
    </row>
    <row r="18">
      <c r="A18" s="297">
        <f>$O$16+1*$Q$16</f>
        <v/>
      </c>
      <c r="B18" s="299">
        <f>IFERROR(('P&amp;L'!H50*(1+$A18)^5-'P&amp;L'!H95*(1+B16)^5)/('P&amp;L'!H50*(1+$A18)^5),"")</f>
        <v/>
      </c>
      <c r="C18" s="299">
        <f>IFERROR(('P&amp;L'!H50*(1+$A18)^5-'P&amp;L'!H95*(1+C16)^5)/('P&amp;L'!H50*(1+$A18)^5),"")</f>
        <v/>
      </c>
      <c r="D18" s="299">
        <f>IFERROR(('P&amp;L'!H50*(1+$A18)^5-'P&amp;L'!H95*(1+D16)^5)/('P&amp;L'!H50*(1+$A18)^5),"")</f>
        <v/>
      </c>
      <c r="E18" s="299">
        <f>IFERROR(('P&amp;L'!H50*(1+$A18)^5-'P&amp;L'!H95*(1+E16)^5)/('P&amp;L'!H50*(1+$A18)^5),"")</f>
        <v/>
      </c>
      <c r="F18" s="299">
        <f>IFERROR(('P&amp;L'!H50*(1+$A18)^5-'P&amp;L'!H95*(1+F16)^5)/('P&amp;L'!H50*(1+$A18)^5),"")</f>
        <v/>
      </c>
      <c r="G18" s="299">
        <f>IFERROR(('P&amp;L'!H50*(1+$A18)^5-'P&amp;L'!H95*(1+G16)^5)/('P&amp;L'!H50*(1+$A18)^5),"")</f>
        <v/>
      </c>
      <c r="H18" s="299">
        <f>IFERROR(('P&amp;L'!H50*(1+$A18)^5-'P&amp;L'!H95*(1+H16)^5)/('P&amp;L'!H50*(1+$A18)^5),"")</f>
        <v/>
      </c>
    </row>
    <row r="19">
      <c r="A19" s="297">
        <f>$O$16+2*$Q$16</f>
        <v/>
      </c>
      <c r="B19" s="300">
        <f>IFERROR(('P&amp;L'!H50*(1+$A19)^5-'P&amp;L'!H95*(1+B16)^5)/('P&amp;L'!H50*(1+$A19)^5),"")</f>
        <v/>
      </c>
      <c r="C19" s="300">
        <f>IFERROR(('P&amp;L'!H50*(1+$A19)^5-'P&amp;L'!H95*(1+C16)^5)/('P&amp;L'!H50*(1+$A19)^5),"")</f>
        <v/>
      </c>
      <c r="D19" s="300">
        <f>IFERROR(('P&amp;L'!H50*(1+$A19)^5-'P&amp;L'!H95*(1+D16)^5)/('P&amp;L'!H50*(1+$A19)^5),"")</f>
        <v/>
      </c>
      <c r="E19" s="299">
        <f>IFERROR(('P&amp;L'!H50*(1+$A19)^5-'P&amp;L'!H95*(1+E16)^5)/('P&amp;L'!H50*(1+$A19)^5),"")</f>
        <v/>
      </c>
      <c r="F19" s="299">
        <f>IFERROR(('P&amp;L'!H50*(1+$A19)^5-'P&amp;L'!H95*(1+F16)^5)/('P&amp;L'!H50*(1+$A19)^5),"")</f>
        <v/>
      </c>
      <c r="G19" s="299">
        <f>IFERROR(('P&amp;L'!H50*(1+$A19)^5-'P&amp;L'!H95*(1+G16)^5)/('P&amp;L'!H50*(1+$A19)^5),"")</f>
        <v/>
      </c>
      <c r="H19" s="299">
        <f>IFERROR(('P&amp;L'!H50*(1+$A19)^5-'P&amp;L'!H95*(1+H16)^5)/('P&amp;L'!H50*(1+$A19)^5),"")</f>
        <v/>
      </c>
    </row>
    <row r="20">
      <c r="A20" s="297">
        <f>$O$16+3*$Q$16</f>
        <v/>
      </c>
      <c r="B20" s="300">
        <f>IFERROR(('P&amp;L'!H50*(1+$A20)^5-'P&amp;L'!H95*(1+B16)^5)/('P&amp;L'!H50*(1+$A20)^5),"")</f>
        <v/>
      </c>
      <c r="C20" s="300">
        <f>IFERROR(('P&amp;L'!H50*(1+$A20)^5-'P&amp;L'!H95*(1+C16)^5)/('P&amp;L'!H50*(1+$A20)^5),"")</f>
        <v/>
      </c>
      <c r="D20" s="300">
        <f>IFERROR(('P&amp;L'!H50*(1+$A20)^5-'P&amp;L'!H95*(1+D16)^5)/('P&amp;L'!H50*(1+$A20)^5),"")</f>
        <v/>
      </c>
      <c r="E20" s="299">
        <f>IFERROR(('P&amp;L'!H50*(1+$A20)^5-'P&amp;L'!H95*(1+E16)^5)/('P&amp;L'!H50*(1+$A20)^5),"")</f>
        <v/>
      </c>
      <c r="F20" s="299">
        <f>IFERROR(('P&amp;L'!H50*(1+$A20)^5-'P&amp;L'!H95*(1+F16)^5)/('P&amp;L'!H50*(1+$A20)^5),"")</f>
        <v/>
      </c>
      <c r="G20" s="299">
        <f>IFERROR(('P&amp;L'!H50*(1+$A20)^5-'P&amp;L'!H95*(1+G16)^5)/('P&amp;L'!H50*(1+$A20)^5),"")</f>
        <v/>
      </c>
      <c r="H20" s="299">
        <f>IFERROR(('P&amp;L'!H50*(1+$A20)^5-'P&amp;L'!H95*(1+H16)^5)/('P&amp;L'!H50*(1+$A20)^5),"")</f>
        <v/>
      </c>
    </row>
    <row r="21">
      <c r="A21" s="297">
        <f>$O$16+4*$Q$16</f>
        <v/>
      </c>
      <c r="B21" s="300">
        <f>IFERROR(('P&amp;L'!H50*(1+$A21)^5-'P&amp;L'!H95*(1+B16)^5)/('P&amp;L'!H50*(1+$A21)^5),"")</f>
        <v/>
      </c>
      <c r="C21" s="300">
        <f>IFERROR(('P&amp;L'!H50*(1+$A21)^5-'P&amp;L'!H95*(1+C16)^5)/('P&amp;L'!H50*(1+$A21)^5),"")</f>
        <v/>
      </c>
      <c r="D21" s="300">
        <f>IFERROR(('P&amp;L'!H50*(1+$A21)^5-'P&amp;L'!H95*(1+D16)^5)/('P&amp;L'!H50*(1+$A21)^5),"")</f>
        <v/>
      </c>
      <c r="E21" s="299">
        <f>IFERROR(('P&amp;L'!H50*(1+$A21)^5-'P&amp;L'!H95*(1+E16)^5)/('P&amp;L'!H50*(1+$A21)^5),"")</f>
        <v/>
      </c>
      <c r="F21" s="299">
        <f>IFERROR(('P&amp;L'!H50*(1+$A21)^5-'P&amp;L'!H95*(1+F16)^5)/('P&amp;L'!H50*(1+$A21)^5),"")</f>
        <v/>
      </c>
      <c r="G21" s="299">
        <f>IFERROR(('P&amp;L'!H50*(1+$A21)^5-'P&amp;L'!H95*(1+G16)^5)/('P&amp;L'!H50*(1+$A21)^5),"")</f>
        <v/>
      </c>
      <c r="H21" s="299">
        <f>IFERROR(('P&amp;L'!H50*(1+$A21)^5-'P&amp;L'!H95*(1+H16)^5)/('P&amp;L'!H50*(1+$A21)^5),"")</f>
        <v/>
      </c>
    </row>
    <row r="22">
      <c r="A22" s="297">
        <f>$O$16+5*$Q$16</f>
        <v/>
      </c>
      <c r="B22" s="300">
        <f>IFERROR(('P&amp;L'!H50*(1+$A22)^5-'P&amp;L'!H95*(1+B16)^5)/('P&amp;L'!H50*(1+$A22)^5),"")</f>
        <v/>
      </c>
      <c r="C22" s="300">
        <f>IFERROR(('P&amp;L'!H50*(1+$A22)^5-'P&amp;L'!H95*(1+C16)^5)/('P&amp;L'!H50*(1+$A22)^5),"")</f>
        <v/>
      </c>
      <c r="D22" s="300">
        <f>IFERROR(('P&amp;L'!H50*(1+$A22)^5-'P&amp;L'!H95*(1+D16)^5)/('P&amp;L'!H50*(1+$A22)^5),"")</f>
        <v/>
      </c>
      <c r="E22" s="299">
        <f>IFERROR(('P&amp;L'!H50*(1+$A22)^5-'P&amp;L'!H95*(1+E16)^5)/('P&amp;L'!H50*(1+$A22)^5),"")</f>
        <v/>
      </c>
      <c r="F22" s="299">
        <f>IFERROR(('P&amp;L'!H50*(1+$A22)^5-'P&amp;L'!H95*(1+F16)^5)/('P&amp;L'!H50*(1+$A22)^5),"")</f>
        <v/>
      </c>
      <c r="G22" s="299">
        <f>IFERROR(('P&amp;L'!H50*(1+$A22)^5-'P&amp;L'!H95*(1+G16)^5)/('P&amp;L'!H50*(1+$A22)^5),"")</f>
        <v/>
      </c>
      <c r="H22" s="299">
        <f>IFERROR(('P&amp;L'!H50*(1+$A22)^5-'P&amp;L'!H95*(1+H16)^5)/('P&amp;L'!H50*(1+$A22)^5),"")</f>
        <v/>
      </c>
    </row>
    <row r="23">
      <c r="A23" s="297">
        <f>$O$16+6*$Q$16</f>
        <v/>
      </c>
      <c r="B23" s="300">
        <f>IFERROR(('P&amp;L'!H50*(1+$A23)^5-'P&amp;L'!H95*(1+B16)^5)/('P&amp;L'!H50*(1+$A23)^5),"")</f>
        <v/>
      </c>
      <c r="C23" s="300">
        <f>IFERROR(('P&amp;L'!H50*(1+$A23)^5-'P&amp;L'!H95*(1+C16)^5)/('P&amp;L'!H50*(1+$A23)^5),"")</f>
        <v/>
      </c>
      <c r="D23" s="300">
        <f>IFERROR(('P&amp;L'!H50*(1+$A23)^5-'P&amp;L'!H95*(1+D16)^5)/('P&amp;L'!H50*(1+$A23)^5),"")</f>
        <v/>
      </c>
      <c r="E23" s="299">
        <f>IFERROR(('P&amp;L'!H50*(1+$A23)^5-'P&amp;L'!H95*(1+E16)^5)/('P&amp;L'!H50*(1+$A23)^5),"")</f>
        <v/>
      </c>
      <c r="F23" s="299">
        <f>IFERROR(('P&amp;L'!H50*(1+$A23)^5-'P&amp;L'!H95*(1+F16)^5)/('P&amp;L'!H50*(1+$A23)^5),"")</f>
        <v/>
      </c>
      <c r="G23" s="299">
        <f>IFERROR(('P&amp;L'!H50*(1+$A23)^5-'P&amp;L'!H95*(1+G16)^5)/('P&amp;L'!H50*(1+$A23)^5),"")</f>
        <v/>
      </c>
      <c r="H23" s="299">
        <f>IFERROR(('P&amp;L'!H50*(1+$A23)^5-'P&amp;L'!H95*(1+H16)^5)/('P&amp;L'!H50*(1+$A23)^5),"")</f>
        <v/>
      </c>
    </row>
    <row r="25" ht="24" customHeight="1" s="817">
      <c r="A25" s="844" t="inlineStr">
        <is>
          <t>TABLE 3 — PURCHASE PRICE MULTIPLE vs NOI MULTIPLE → GOING-IN CAP RATE</t>
        </is>
      </c>
    </row>
    <row r="26">
      <c r="A26" s="293" t="inlineStr">
        <is>
          <t>PP Mult \ NOI Mult →</t>
        </is>
      </c>
      <c r="B26" s="302">
        <f>$K$26+0*$M$26</f>
        <v/>
      </c>
      <c r="C26" s="302">
        <f>$K$26+1*$M$26</f>
        <v/>
      </c>
      <c r="D26" s="302">
        <f>$K$26+2*$M$26</f>
        <v/>
      </c>
      <c r="E26" s="302">
        <f>$K$26+3*$M$26</f>
        <v/>
      </c>
      <c r="F26" s="302">
        <f>$K$26+4*$M$26</f>
        <v/>
      </c>
      <c r="G26" s="302">
        <f>$K$26+5*$M$26</f>
        <v/>
      </c>
      <c r="H26" s="302">
        <f>$K$26+6*$M$26</f>
        <v/>
      </c>
      <c r="I26" s="302">
        <f>$K$26+7*$M$26</f>
        <v/>
      </c>
      <c r="J26" s="295" t="inlineStr">
        <is>
          <t>NOI Mult Start →</t>
        </is>
      </c>
      <c r="K26" s="303" t="n">
        <v>0.8</v>
      </c>
      <c r="L26" s="295" t="inlineStr">
        <is>
          <t>Step →</t>
        </is>
      </c>
      <c r="M26" s="303" t="n">
        <v>0.05</v>
      </c>
      <c r="N26" s="295" t="inlineStr">
        <is>
          <t>PP Mult Start →</t>
        </is>
      </c>
      <c r="O26" s="303" t="n">
        <v>0.75</v>
      </c>
      <c r="P26" s="295" t="inlineStr">
        <is>
          <t>Step →</t>
        </is>
      </c>
      <c r="Q26" s="303" t="n">
        <v>0.05</v>
      </c>
    </row>
    <row r="27">
      <c r="A27" s="302">
        <f>$O$26+0*$Q$26</f>
        <v/>
      </c>
      <c r="B27" s="298">
        <f>IFERROR('P&amp;L'!D97*B26/(Scenarios!F7*$A27),"")</f>
        <v/>
      </c>
      <c r="C27" s="298">
        <f>IFERROR('P&amp;L'!D97*C26/(Scenarios!F7*$A27),"")</f>
        <v/>
      </c>
      <c r="D27" s="298">
        <f>IFERROR('P&amp;L'!D97*D26/(Scenarios!F7*$A27),"")</f>
        <v/>
      </c>
      <c r="E27" s="298">
        <f>IFERROR('P&amp;L'!D97*E26/(Scenarios!F7*$A27),"")</f>
        <v/>
      </c>
      <c r="F27" s="298">
        <f>IFERROR('P&amp;L'!D97*F26/(Scenarios!F7*$A27),"")</f>
        <v/>
      </c>
      <c r="G27" s="298">
        <f>IFERROR('P&amp;L'!D97*G26/(Scenarios!F7*$A27),"")</f>
        <v/>
      </c>
      <c r="H27" s="298">
        <f>IFERROR('P&amp;L'!D97*H26/(Scenarios!F7*$A27),"")</f>
        <v/>
      </c>
      <c r="I27" s="298">
        <f>IFERROR('P&amp;L'!D97*I26/(Scenarios!F7*$A27),"")</f>
        <v/>
      </c>
    </row>
    <row r="28">
      <c r="A28" s="302">
        <f>$O$26+1*$Q$26</f>
        <v/>
      </c>
      <c r="B28" s="298">
        <f>IFERROR('P&amp;L'!D97*B26/(Scenarios!F7*$A28),"")</f>
        <v/>
      </c>
      <c r="C28" s="298">
        <f>IFERROR('P&amp;L'!D97*C26/(Scenarios!F7*$A28),"")</f>
        <v/>
      </c>
      <c r="D28" s="298">
        <f>IFERROR('P&amp;L'!D97*D26/(Scenarios!F7*$A28),"")</f>
        <v/>
      </c>
      <c r="E28" s="298">
        <f>IFERROR('P&amp;L'!D97*E26/(Scenarios!F7*$A28),"")</f>
        <v/>
      </c>
      <c r="F28" s="298">
        <f>IFERROR('P&amp;L'!D97*F26/(Scenarios!F7*$A28),"")</f>
        <v/>
      </c>
      <c r="G28" s="298">
        <f>IFERROR('P&amp;L'!D97*G26/(Scenarios!F7*$A28),"")</f>
        <v/>
      </c>
      <c r="H28" s="298">
        <f>IFERROR('P&amp;L'!D97*H26/(Scenarios!F7*$A28),"")</f>
        <v/>
      </c>
      <c r="I28" s="298">
        <f>IFERROR('P&amp;L'!D97*I26/(Scenarios!F7*$A28),"")</f>
        <v/>
      </c>
    </row>
    <row r="29">
      <c r="A29" s="302">
        <f>$O$26+2*$Q$26</f>
        <v/>
      </c>
      <c r="B29" s="298">
        <f>IFERROR('P&amp;L'!D97*B26/(Scenarios!F7*$A29),"")</f>
        <v/>
      </c>
      <c r="C29" s="299">
        <f>IFERROR('P&amp;L'!D97*C26/(Scenarios!F7*$A29),"")</f>
        <v/>
      </c>
      <c r="D29" s="299">
        <f>IFERROR('P&amp;L'!D97*D26/(Scenarios!F7*$A29),"")</f>
        <v/>
      </c>
      <c r="E29" s="299">
        <f>IFERROR('P&amp;L'!D97*E26/(Scenarios!F7*$A29),"")</f>
        <v/>
      </c>
      <c r="F29" s="299">
        <f>IFERROR('P&amp;L'!D97*F26/(Scenarios!F7*$A29),"")</f>
        <v/>
      </c>
      <c r="G29" s="299">
        <f>IFERROR('P&amp;L'!D97*G26/(Scenarios!F7*$A29),"")</f>
        <v/>
      </c>
      <c r="H29" s="299">
        <f>IFERROR('P&amp;L'!D97*H26/(Scenarios!F7*$A29),"")</f>
        <v/>
      </c>
      <c r="I29" s="299">
        <f>IFERROR('P&amp;L'!D97*I26/(Scenarios!F7*$A29),"")</f>
        <v/>
      </c>
    </row>
    <row r="30">
      <c r="A30" s="302">
        <f>$O$26+3*$Q$26</f>
        <v/>
      </c>
      <c r="B30" s="298">
        <f>IFERROR('P&amp;L'!D97*B26/(Scenarios!F7*$A30),"")</f>
        <v/>
      </c>
      <c r="C30" s="299">
        <f>IFERROR('P&amp;L'!D97*C26/(Scenarios!F7*$A30),"")</f>
        <v/>
      </c>
      <c r="D30" s="299">
        <f>IFERROR('P&amp;L'!D97*D26/(Scenarios!F7*$A30),"")</f>
        <v/>
      </c>
      <c r="E30" s="299">
        <f>IFERROR('P&amp;L'!D97*E26/(Scenarios!F7*$A30),"")</f>
        <v/>
      </c>
      <c r="F30" s="299">
        <f>IFERROR('P&amp;L'!D97*F26/(Scenarios!F7*$A30),"")</f>
        <v/>
      </c>
      <c r="G30" s="299">
        <f>IFERROR('P&amp;L'!D97*G26/(Scenarios!F7*$A30),"")</f>
        <v/>
      </c>
      <c r="H30" s="299">
        <f>IFERROR('P&amp;L'!D97*H26/(Scenarios!F7*$A30),"")</f>
        <v/>
      </c>
      <c r="I30" s="299">
        <f>IFERROR('P&amp;L'!D97*I26/(Scenarios!F7*$A30),"")</f>
        <v/>
      </c>
    </row>
    <row r="31">
      <c r="A31" s="302">
        <f>$O$26+4*$Q$26</f>
        <v/>
      </c>
      <c r="B31" s="298">
        <f>IFERROR('P&amp;L'!D97*B26/(Scenarios!F7*$A31),"")</f>
        <v/>
      </c>
      <c r="C31" s="299">
        <f>IFERROR('P&amp;L'!D97*C26/(Scenarios!F7*$A31),"")</f>
        <v/>
      </c>
      <c r="D31" s="299">
        <f>IFERROR('P&amp;L'!D97*D26/(Scenarios!F7*$A31),"")</f>
        <v/>
      </c>
      <c r="E31" s="299">
        <f>IFERROR('P&amp;L'!D97*E26/(Scenarios!F7*$A31),"")</f>
        <v/>
      </c>
      <c r="F31" s="300">
        <f>IFERROR('P&amp;L'!D97*F26/(Scenarios!F7*$A31),"")</f>
        <v/>
      </c>
      <c r="G31" s="300">
        <f>IFERROR('P&amp;L'!D97*G26/(Scenarios!F7*$A31),"")</f>
        <v/>
      </c>
      <c r="H31" s="300">
        <f>IFERROR('P&amp;L'!D97*H26/(Scenarios!F7*$A31),"")</f>
        <v/>
      </c>
      <c r="I31" s="300">
        <f>IFERROR('P&amp;L'!D97*I26/(Scenarios!F7*$A31),"")</f>
        <v/>
      </c>
    </row>
    <row r="32">
      <c r="A32" s="302">
        <f>$O$26+5*$Q$26</f>
        <v/>
      </c>
      <c r="B32" s="298">
        <f>IFERROR('P&amp;L'!D97*B26/(Scenarios!F7*$A32),"")</f>
        <v/>
      </c>
      <c r="C32" s="299">
        <f>IFERROR('P&amp;L'!D97*C26/(Scenarios!F7*$A32),"")</f>
        <v/>
      </c>
      <c r="D32" s="299">
        <f>IFERROR('P&amp;L'!D97*D26/(Scenarios!F7*$A32),"")</f>
        <v/>
      </c>
      <c r="E32" s="299">
        <f>IFERROR('P&amp;L'!D97*E26/(Scenarios!F7*$A32),"")</f>
        <v/>
      </c>
      <c r="F32" s="300">
        <f>IFERROR('P&amp;L'!D97*F26/(Scenarios!F7*$A32),"")</f>
        <v/>
      </c>
      <c r="G32" s="300">
        <f>IFERROR('P&amp;L'!D97*G26/(Scenarios!F7*$A32),"")</f>
        <v/>
      </c>
      <c r="H32" s="300">
        <f>IFERROR('P&amp;L'!D97*H26/(Scenarios!F7*$A32),"")</f>
        <v/>
      </c>
      <c r="I32" s="300">
        <f>IFERROR('P&amp;L'!D97*I26/(Scenarios!F7*$A32),"")</f>
        <v/>
      </c>
    </row>
    <row r="33">
      <c r="A33" s="302">
        <f>$O$26+6*$Q$26</f>
        <v/>
      </c>
      <c r="B33" s="298">
        <f>IFERROR('P&amp;L'!D97*B26/(Scenarios!F7*$A33),"")</f>
        <v/>
      </c>
      <c r="C33" s="299">
        <f>IFERROR('P&amp;L'!D97*C26/(Scenarios!F7*$A33),"")</f>
        <v/>
      </c>
      <c r="D33" s="299">
        <f>IFERROR('P&amp;L'!D97*D26/(Scenarios!F7*$A33),"")</f>
        <v/>
      </c>
      <c r="E33" s="299">
        <f>IFERROR('P&amp;L'!D97*E26/(Scenarios!F7*$A33),"")</f>
        <v/>
      </c>
      <c r="F33" s="300">
        <f>IFERROR('P&amp;L'!D97*F26/(Scenarios!F7*$A33),"")</f>
        <v/>
      </c>
      <c r="G33" s="300">
        <f>IFERROR('P&amp;L'!D97*G26/(Scenarios!F7*$A33),"")</f>
        <v/>
      </c>
      <c r="H33" s="300">
        <f>IFERROR('P&amp;L'!D97*H26/(Scenarios!F7*$A33),"")</f>
        <v/>
      </c>
      <c r="I33" s="300">
        <f>IFERROR('P&amp;L'!D97*I26/(Scenarios!F7*$A33),"")</f>
        <v/>
      </c>
    </row>
    <row r="34">
      <c r="A34" s="302">
        <f>$O$26+7*$Q$26</f>
        <v/>
      </c>
      <c r="B34" s="298">
        <f>IFERROR('P&amp;L'!D97*B26/(Scenarios!F7*$A34),"")</f>
        <v/>
      </c>
      <c r="C34" s="299">
        <f>IFERROR('P&amp;L'!D97*C26/(Scenarios!F7*$A34),"")</f>
        <v/>
      </c>
      <c r="D34" s="299">
        <f>IFERROR('P&amp;L'!D97*D26/(Scenarios!F7*$A34),"")</f>
        <v/>
      </c>
      <c r="E34" s="299">
        <f>IFERROR('P&amp;L'!D97*E26/(Scenarios!F7*$A34),"")</f>
        <v/>
      </c>
      <c r="F34" s="300">
        <f>IFERROR('P&amp;L'!D97*F26/(Scenarios!F7*$A34),"")</f>
        <v/>
      </c>
      <c r="G34" s="300">
        <f>IFERROR('P&amp;L'!D97*G26/(Scenarios!F7*$A34),"")</f>
        <v/>
      </c>
      <c r="H34" s="300">
        <f>IFERROR('P&amp;L'!D97*H26/(Scenarios!F7*$A34),"")</f>
        <v/>
      </c>
      <c r="I34" s="300">
        <f>IFERROR('P&amp;L'!D97*I26/(Scenarios!F7*$A34),"")</f>
        <v/>
      </c>
    </row>
  </sheetData>
  <mergeCells count="5">
    <mergeCell ref="A1:J1"/>
    <mergeCell ref="A15:J15"/>
    <mergeCell ref="A4:J4"/>
    <mergeCell ref="A2:J2"/>
    <mergeCell ref="A25:J25"/>
  </mergeCells>
  <pageMargins left="0.75" right="0.75" top="1" bottom="1" header="0.511811023622047" footer="0.511811023622047"/>
  <pageSetup orientation="portrait" paperSize="9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8"/>
  <sheetViews>
    <sheetView topLeftCell="A30" zoomScaleNormal="100" workbookViewId="0">
      <selection activeCell="E17" sqref="E17"/>
    </sheetView>
  </sheetViews>
  <sheetFormatPr baseColWidth="8" defaultColWidth="8.7109375" defaultRowHeight="15"/>
  <cols>
    <col width="7" customWidth="1" style="817" min="1" max="1"/>
    <col width="10" customWidth="1" style="817" min="2" max="2"/>
    <col width="14" customWidth="1" style="817" min="3" max="3"/>
    <col width="16" customWidth="1" style="817" min="4" max="8"/>
    <col width="22" customWidth="1" style="817" min="9" max="9"/>
  </cols>
  <sheetData>
    <row r="1" ht="27.75" customHeight="1" s="817">
      <c r="A1" s="899" t="inlineStr">
        <is>
          <t>XIRR ANALYSIS — QUARTERLY DISTRIBUTION SCHEDULE</t>
        </is>
      </c>
      <c r="B1" s="895" t="n"/>
      <c r="C1" s="895" t="n"/>
      <c r="D1" s="895" t="n"/>
      <c r="E1" s="895" t="n"/>
      <c r="F1" s="895" t="n"/>
      <c r="G1" s="895" t="n"/>
      <c r="H1" s="895" t="n"/>
      <c r="I1" s="896" t="n"/>
    </row>
    <row r="2" ht="6" customHeight="1" s="817"/>
    <row r="3" ht="19.5" customHeight="1" s="817">
      <c r="A3" s="894" t="inlineStr">
        <is>
          <t xml:space="preserve">  INPUTS</t>
        </is>
      </c>
      <c r="B3" s="895" t="n"/>
      <c r="C3" s="895" t="n"/>
      <c r="D3" s="895" t="n"/>
      <c r="E3" s="895" t="n"/>
      <c r="F3" s="895" t="n"/>
      <c r="G3" s="895" t="n"/>
      <c r="H3" s="895" t="n"/>
      <c r="I3" s="896" t="n"/>
    </row>
    <row r="4" ht="16.5" customHeight="1" s="817">
      <c r="A4" s="902" t="inlineStr">
        <is>
          <t>Close / Funding Date</t>
        </is>
      </c>
      <c r="B4" s="346" t="n">
        <v>46117</v>
      </c>
      <c r="C4" s="897" t="inlineStr">
        <is>
          <t>← Today's date. Change to actual close date.</t>
        </is>
      </c>
      <c r="D4" s="895" t="n"/>
      <c r="E4" s="896" t="n"/>
      <c r="F4" s="902" t="inlineStr">
        <is>
          <t>LP Class</t>
        </is>
      </c>
      <c r="G4" s="306">
        <f>'LP Return Illustration'!$B$3</f>
        <v/>
      </c>
      <c r="H4" s="897" t="inlineStr">
        <is>
          <t>← Change in LP Return sheet</t>
        </is>
      </c>
      <c r="I4" s="896" t="n"/>
    </row>
    <row r="5" ht="16.5" customHeight="1" s="817">
      <c r="A5" s="902" t="inlineStr">
        <is>
          <t>Investment Amount</t>
        </is>
      </c>
      <c r="B5" s="1022">
        <f>'LP Return Illustration'!$B$2</f>
        <v/>
      </c>
      <c r="C5" s="897" t="inlineStr">
        <is>
          <t>← Change in LP Return sheet</t>
        </is>
      </c>
      <c r="D5" s="895" t="n"/>
      <c r="E5" s="896" t="n"/>
      <c r="F5" s="902" t="inlineStr">
        <is>
          <t>Hold Period</t>
        </is>
      </c>
      <c r="G5" s="1037">
        <f>Waterfall!$B$5</f>
        <v/>
      </c>
      <c r="H5" s="902" t="inlineStr">
        <is>
          <t>Yrs  |  Pref Rate:</t>
        </is>
      </c>
      <c r="I5" s="308">
        <f>'LP Return Illustration'!$G$3</f>
        <v/>
      </c>
    </row>
    <row r="6" ht="6" customHeight="1" s="817"/>
    <row r="7" ht="15.75" customHeight="1" s="817">
      <c r="A7" s="348" t="inlineStr">
        <is>
          <t>Legend:</t>
        </is>
      </c>
      <c r="B7" s="349" t="inlineStr">
        <is>
          <t>Blue = editable</t>
        </is>
      </c>
      <c r="C7" s="901" t="inlineStr">
        <is>
          <t>Yellow = model ref (read-only)</t>
        </is>
      </c>
      <c r="D7" s="895" t="n"/>
      <c r="E7" s="896" t="n"/>
      <c r="F7" s="897" t="inlineStr">
        <is>
          <t>Quarterly Dist = Annual ÷ 4 by default. Override any cell in col E.</t>
        </is>
      </c>
      <c r="G7" s="895" t="n"/>
      <c r="H7" s="895" t="n"/>
      <c r="I7" s="896" t="n"/>
    </row>
    <row r="8" ht="30" customHeight="1" s="817">
      <c r="A8" s="350" t="inlineStr">
        <is>
          <t>Year</t>
        </is>
      </c>
      <c r="B8" s="350" t="inlineStr">
        <is>
          <t>Quarter</t>
        </is>
      </c>
      <c r="C8" s="350" t="inlineStr">
        <is>
          <t>XIRR Date</t>
        </is>
      </c>
      <c r="D8" s="350" t="inlineStr">
        <is>
          <t>Annual Dist
(from model)</t>
        </is>
      </c>
      <c r="E8" s="350" t="inlineStr">
        <is>
          <t>Quarterly Dist
(editable ↓)</t>
        </is>
      </c>
      <c r="F8" s="350" t="inlineStr">
        <is>
          <t>Exit / Refi
Proceeds</t>
        </is>
      </c>
      <c r="G8" s="350" t="inlineStr">
        <is>
          <t>Total CF
(XIRR input)</t>
        </is>
      </c>
      <c r="H8" s="350" t="inlineStr">
        <is>
          <t>Cumulative
Cash Received</t>
        </is>
      </c>
      <c r="I8" s="350" t="inlineStr">
        <is>
          <t>Notes</t>
        </is>
      </c>
    </row>
    <row r="9" ht="16.5" customHeight="1" s="817">
      <c r="A9" s="351" t="inlineStr">
        <is>
          <t>0</t>
        </is>
      </c>
      <c r="B9" s="351" t="inlineStr">
        <is>
          <t>Invest</t>
        </is>
      </c>
      <c r="C9" s="352">
        <f>$B$4</f>
        <v/>
      </c>
      <c r="D9" s="902" t="n"/>
      <c r="E9" s="902" t="n"/>
      <c r="F9" s="902" t="n"/>
      <c r="G9" s="1038">
        <f>-'LP Return Illustration'!$B$2</f>
        <v/>
      </c>
      <c r="H9" s="1024">
        <f>G9</f>
        <v/>
      </c>
      <c r="I9" s="897" t="inlineStr">
        <is>
          <t>Initial member contribution</t>
        </is>
      </c>
    </row>
    <row r="10" ht="16.5" customHeight="1" s="817">
      <c r="A10" s="354" t="n">
        <v>1</v>
      </c>
      <c r="B10" s="355" t="inlineStr">
        <is>
          <t>Q1</t>
        </is>
      </c>
      <c r="C10" s="356">
        <f>EDATE($B$4,3)</f>
        <v/>
      </c>
      <c r="D10" s="1039">
        <f>'LP Return Illustration'!B14</f>
        <v/>
      </c>
      <c r="E10" s="1040">
        <f>IFERROR($D$10/4,0)</f>
        <v/>
      </c>
      <c r="F10" s="1041" t="n">
        <v>0</v>
      </c>
      <c r="G10" s="1023">
        <f>E10+F10</f>
        <v/>
      </c>
      <c r="H10" s="1023">
        <f>H9+G10</f>
        <v/>
      </c>
      <c r="I10" s="359" t="inlineStr">
        <is>
          <t>Distributions begin</t>
        </is>
      </c>
    </row>
    <row r="11" ht="16.5" customHeight="1" s="817">
      <c r="A11" s="360" t="n"/>
      <c r="B11" s="355" t="inlineStr">
        <is>
          <t>Q2</t>
        </is>
      </c>
      <c r="C11" s="356">
        <f>EDATE($B$4,6)</f>
        <v/>
      </c>
      <c r="D11" s="361" t="n"/>
      <c r="E11" s="1040">
        <f>IFERROR($D$10/4,0)</f>
        <v/>
      </c>
      <c r="F11" s="1041" t="n">
        <v>0</v>
      </c>
      <c r="G11" s="1023">
        <f>E11+F11</f>
        <v/>
      </c>
      <c r="H11" s="1023">
        <f>H10+G11</f>
        <v/>
      </c>
      <c r="I11" s="359" t="n"/>
    </row>
    <row r="12" ht="16.5" customHeight="1" s="817">
      <c r="A12" s="360" t="n"/>
      <c r="B12" s="355" t="inlineStr">
        <is>
          <t>Q3</t>
        </is>
      </c>
      <c r="C12" s="356">
        <f>EDATE($B$4,9)</f>
        <v/>
      </c>
      <c r="D12" s="361" t="n"/>
      <c r="E12" s="1040">
        <f>IFERROR($D$10/4,0)</f>
        <v/>
      </c>
      <c r="F12" s="1041" t="n">
        <v>0</v>
      </c>
      <c r="G12" s="1023">
        <f>E12+F12</f>
        <v/>
      </c>
      <c r="H12" s="1023">
        <f>H11+G12</f>
        <v/>
      </c>
      <c r="I12" s="359" t="n"/>
    </row>
    <row r="13" ht="16.5" customHeight="1" s="817">
      <c r="A13" s="360" t="n"/>
      <c r="B13" s="355" t="inlineStr">
        <is>
          <t>Q4</t>
        </is>
      </c>
      <c r="C13" s="356">
        <f>EDATE($B$4,12)</f>
        <v/>
      </c>
      <c r="D13" s="361" t="n"/>
      <c r="E13" s="1040">
        <f>IFERROR($D$10/4,0)</f>
        <v/>
      </c>
      <c r="F13" s="1039">
        <f>IFERROR('LP Return Illustration'!B18+'LP Return Illustration'!B19,0)</f>
        <v/>
      </c>
      <c r="G13" s="1023">
        <f>E13+F13</f>
        <v/>
      </c>
      <c r="H13" s="1023">
        <f>H12+G13</f>
        <v/>
      </c>
      <c r="I13" s="359" t="n"/>
    </row>
    <row r="14" ht="16.5" customHeight="1" s="817">
      <c r="A14" s="362" t="n">
        <v>2</v>
      </c>
      <c r="B14" s="363" t="inlineStr">
        <is>
          <t>Q1</t>
        </is>
      </c>
      <c r="C14" s="364">
        <f>EDATE($B$4,15)</f>
        <v/>
      </c>
      <c r="D14" s="1039">
        <f>'LP Return Illustration'!C14</f>
        <v/>
      </c>
      <c r="E14" s="1040">
        <f>IFERROR($D$14/4,0)</f>
        <v/>
      </c>
      <c r="F14" s="1042" t="n">
        <v>0</v>
      </c>
      <c r="G14" s="1024">
        <f>E14+F14</f>
        <v/>
      </c>
      <c r="H14" s="1024">
        <f>H13+G14</f>
        <v/>
      </c>
      <c r="I14" s="897" t="n"/>
    </row>
    <row r="15" ht="16.5" customHeight="1" s="817">
      <c r="A15" s="365" t="n"/>
      <c r="B15" s="363" t="inlineStr">
        <is>
          <t>Q2</t>
        </is>
      </c>
      <c r="C15" s="364">
        <f>EDATE($B$4,18)</f>
        <v/>
      </c>
      <c r="D15" s="361" t="n"/>
      <c r="E15" s="1040">
        <f>IFERROR($D$14/4,0)</f>
        <v/>
      </c>
      <c r="F15" s="1042" t="n">
        <v>0</v>
      </c>
      <c r="G15" s="1024">
        <f>E15+F15</f>
        <v/>
      </c>
      <c r="H15" s="1024">
        <f>H14+G15</f>
        <v/>
      </c>
      <c r="I15" s="897" t="n"/>
    </row>
    <row r="16" ht="16.5" customHeight="1" s="817">
      <c r="A16" s="365" t="n"/>
      <c r="B16" s="363" t="inlineStr">
        <is>
          <t>Q3</t>
        </is>
      </c>
      <c r="C16" s="364">
        <f>EDATE($B$4,21)</f>
        <v/>
      </c>
      <c r="D16" s="361" t="n"/>
      <c r="E16" s="1040">
        <f>IFERROR($D$14/4,0)</f>
        <v/>
      </c>
      <c r="F16" s="1042" t="n">
        <v>0</v>
      </c>
      <c r="G16" s="1024">
        <f>E16+F16</f>
        <v/>
      </c>
      <c r="H16" s="1024">
        <f>H15+G16</f>
        <v/>
      </c>
      <c r="I16" s="897" t="n"/>
    </row>
    <row r="17" ht="16.5" customHeight="1" s="817">
      <c r="A17" s="365" t="n"/>
      <c r="B17" s="363" t="inlineStr">
        <is>
          <t>Q4</t>
        </is>
      </c>
      <c r="C17" s="364">
        <f>EDATE($B$4,24)</f>
        <v/>
      </c>
      <c r="D17" s="361" t="n"/>
      <c r="E17" s="1040">
        <f>IFERROR($D$14/4,0)</f>
        <v/>
      </c>
      <c r="F17" s="1039">
        <f>IFERROR('LP Return Illustration'!C18+'LP Return Illustration'!C19,0)</f>
        <v/>
      </c>
      <c r="G17" s="1024">
        <f>E17+F17</f>
        <v/>
      </c>
      <c r="H17" s="1024">
        <f>H16+G17</f>
        <v/>
      </c>
      <c r="I17" s="897" t="n"/>
    </row>
    <row r="18" ht="16.5" customHeight="1" s="817">
      <c r="A18" s="354" t="n">
        <v>3</v>
      </c>
      <c r="B18" s="355" t="inlineStr">
        <is>
          <t>Q1</t>
        </is>
      </c>
      <c r="C18" s="356">
        <f>EDATE($B$4,27)</f>
        <v/>
      </c>
      <c r="D18" s="1039">
        <f>'LP Return Illustration'!D14</f>
        <v/>
      </c>
      <c r="E18" s="1040">
        <f>IFERROR($D$18/4,0)</f>
        <v/>
      </c>
      <c r="F18" s="1041" t="n">
        <v>0</v>
      </c>
      <c r="G18" s="1023">
        <f>E18+F18</f>
        <v/>
      </c>
      <c r="H18" s="1023">
        <f>H17+G18</f>
        <v/>
      </c>
      <c r="I18" s="359" t="n"/>
    </row>
    <row r="19" ht="16.5" customHeight="1" s="817">
      <c r="A19" s="360" t="n"/>
      <c r="B19" s="355" t="inlineStr">
        <is>
          <t>Q2</t>
        </is>
      </c>
      <c r="C19" s="356">
        <f>EDATE($B$4,30)</f>
        <v/>
      </c>
      <c r="D19" s="361" t="n"/>
      <c r="E19" s="1040">
        <f>IFERROR($D$18/4,0)</f>
        <v/>
      </c>
      <c r="F19" s="1041" t="n">
        <v>0</v>
      </c>
      <c r="G19" s="1023">
        <f>E19+F19</f>
        <v/>
      </c>
      <c r="H19" s="1023">
        <f>H18+G19</f>
        <v/>
      </c>
      <c r="I19" s="359" t="n"/>
    </row>
    <row r="20" ht="16.5" customHeight="1" s="817">
      <c r="A20" s="360" t="n"/>
      <c r="B20" s="355" t="inlineStr">
        <is>
          <t>Q3</t>
        </is>
      </c>
      <c r="C20" s="356">
        <f>EDATE($B$4,33)</f>
        <v/>
      </c>
      <c r="D20" s="361" t="n"/>
      <c r="E20" s="1040">
        <f>IFERROR($D$18/4,0)</f>
        <v/>
      </c>
      <c r="F20" s="1041" t="n">
        <v>0</v>
      </c>
      <c r="G20" s="1023">
        <f>E20+F20</f>
        <v/>
      </c>
      <c r="H20" s="1023">
        <f>H19+G20</f>
        <v/>
      </c>
      <c r="I20" s="359" t="n"/>
    </row>
    <row r="21" ht="16.5" customHeight="1" s="817">
      <c r="A21" s="360" t="n"/>
      <c r="B21" s="355" t="inlineStr">
        <is>
          <t>Q4</t>
        </is>
      </c>
      <c r="C21" s="356">
        <f>EDATE($B$4,36)</f>
        <v/>
      </c>
      <c r="D21" s="361" t="n"/>
      <c r="E21" s="1040">
        <f>IFERROR($D$18/4,0)</f>
        <v/>
      </c>
      <c r="F21" s="1039">
        <f>IFERROR('LP Return Illustration'!D18+'LP Return Illustration'!D19,0)</f>
        <v/>
      </c>
      <c r="G21" s="1023">
        <f>E21+F21</f>
        <v/>
      </c>
      <c r="H21" s="1023">
        <f>H20+G21</f>
        <v/>
      </c>
      <c r="I21" s="359" t="n"/>
    </row>
    <row r="22" ht="16.5" customHeight="1" s="817">
      <c r="A22" s="362" t="n">
        <v>4</v>
      </c>
      <c r="B22" s="363" t="inlineStr">
        <is>
          <t>Q1</t>
        </is>
      </c>
      <c r="C22" s="364">
        <f>EDATE($B$4,39)</f>
        <v/>
      </c>
      <c r="D22" s="1039">
        <f>'LP Return Illustration'!E14</f>
        <v/>
      </c>
      <c r="E22" s="1040">
        <f>IFERROR($D$22/4,0)</f>
        <v/>
      </c>
      <c r="F22" s="1042" t="n">
        <v>0</v>
      </c>
      <c r="G22" s="1024">
        <f>E22+F22</f>
        <v/>
      </c>
      <c r="H22" s="1024">
        <f>H21+G22</f>
        <v/>
      </c>
      <c r="I22" s="897" t="n"/>
    </row>
    <row r="23" ht="16.5" customHeight="1" s="817">
      <c r="A23" s="365" t="n"/>
      <c r="B23" s="363" t="inlineStr">
        <is>
          <t>Q2</t>
        </is>
      </c>
      <c r="C23" s="364">
        <f>EDATE($B$4,42)</f>
        <v/>
      </c>
      <c r="D23" s="361" t="n"/>
      <c r="E23" s="1040">
        <f>IFERROR($D$22/4,0)</f>
        <v/>
      </c>
      <c r="F23" s="1042" t="n">
        <v>0</v>
      </c>
      <c r="G23" s="1024">
        <f>E23+F23</f>
        <v/>
      </c>
      <c r="H23" s="1024">
        <f>H22+G23</f>
        <v/>
      </c>
      <c r="I23" s="897" t="n"/>
    </row>
    <row r="24" ht="16.5" customHeight="1" s="817">
      <c r="A24" s="365" t="n"/>
      <c r="B24" s="363" t="inlineStr">
        <is>
          <t>Q3</t>
        </is>
      </c>
      <c r="C24" s="364">
        <f>EDATE($B$4,45)</f>
        <v/>
      </c>
      <c r="D24" s="361" t="n"/>
      <c r="E24" s="1040">
        <f>IFERROR($D$22/4,0)</f>
        <v/>
      </c>
      <c r="F24" s="1042" t="n">
        <v>0</v>
      </c>
      <c r="G24" s="1024">
        <f>E24+F24</f>
        <v/>
      </c>
      <c r="H24" s="1024">
        <f>H23+G24</f>
        <v/>
      </c>
      <c r="I24" s="897" t="n"/>
    </row>
    <row r="25" ht="16.5" customHeight="1" s="817">
      <c r="A25" s="365" t="n"/>
      <c r="B25" s="363" t="inlineStr">
        <is>
          <t>Q4</t>
        </is>
      </c>
      <c r="C25" s="364">
        <f>EDATE($B$4,48)</f>
        <v/>
      </c>
      <c r="D25" s="361" t="n"/>
      <c r="E25" s="1040">
        <f>IFERROR($D$22/4,0)</f>
        <v/>
      </c>
      <c r="F25" s="1039">
        <f>IFERROR('LP Return Illustration'!E18+'LP Return Illustration'!E19,0)</f>
        <v/>
      </c>
      <c r="G25" s="1024">
        <f>E25+F25</f>
        <v/>
      </c>
      <c r="H25" s="1024">
        <f>H24+G25</f>
        <v/>
      </c>
      <c r="I25" s="897" t="n"/>
    </row>
    <row r="26" ht="16.5" customHeight="1" s="817">
      <c r="A26" s="354" t="n">
        <v>5</v>
      </c>
      <c r="B26" s="355" t="inlineStr">
        <is>
          <t>Q1</t>
        </is>
      </c>
      <c r="C26" s="356">
        <f>EDATE($B$4,51)</f>
        <v/>
      </c>
      <c r="D26" s="1039">
        <f>'LP Return Illustration'!F14</f>
        <v/>
      </c>
      <c r="E26" s="1040">
        <f>IFERROR($D$26/4,0)</f>
        <v/>
      </c>
      <c r="F26" s="1041" t="n">
        <v>0</v>
      </c>
      <c r="G26" s="1023">
        <f>E26+F26</f>
        <v/>
      </c>
      <c r="H26" s="1023">
        <f>H25+G26</f>
        <v/>
      </c>
      <c r="I26" s="359" t="n"/>
    </row>
    <row r="27" ht="16.5" customHeight="1" s="817">
      <c r="A27" s="360" t="n"/>
      <c r="B27" s="355" t="inlineStr">
        <is>
          <t>Q2</t>
        </is>
      </c>
      <c r="C27" s="356">
        <f>EDATE($B$4,54)</f>
        <v/>
      </c>
      <c r="D27" s="361" t="n"/>
      <c r="E27" s="1040">
        <f>IFERROR($D$26/4,0)</f>
        <v/>
      </c>
      <c r="F27" s="1041" t="n">
        <v>0</v>
      </c>
      <c r="G27" s="1023">
        <f>E27+F27</f>
        <v/>
      </c>
      <c r="H27" s="1023">
        <f>H26+G27</f>
        <v/>
      </c>
      <c r="I27" s="359" t="n"/>
    </row>
    <row r="28" ht="16.5" customHeight="1" s="817">
      <c r="A28" s="360" t="n"/>
      <c r="B28" s="355" t="inlineStr">
        <is>
          <t>Q3</t>
        </is>
      </c>
      <c r="C28" s="356">
        <f>EDATE($B$4,57)</f>
        <v/>
      </c>
      <c r="D28" s="361" t="n"/>
      <c r="E28" s="1040">
        <f>IFERROR($D$26/4,0)</f>
        <v/>
      </c>
      <c r="F28" s="1041" t="n">
        <v>0</v>
      </c>
      <c r="G28" s="1023">
        <f>E28+F28</f>
        <v/>
      </c>
      <c r="H28" s="1023">
        <f>H27+G28</f>
        <v/>
      </c>
      <c r="I28" s="359" t="n"/>
    </row>
    <row r="29" ht="16.5" customHeight="1" s="817">
      <c r="A29" s="360" t="n"/>
      <c r="B29" s="355" t="inlineStr">
        <is>
          <t>Q4</t>
        </is>
      </c>
      <c r="C29" s="356">
        <f>EDATE($B$4,60)</f>
        <v/>
      </c>
      <c r="D29" s="361" t="n"/>
      <c r="E29" s="1040">
        <f>IFERROR($D$26/4,0)</f>
        <v/>
      </c>
      <c r="F29" s="1039">
        <f>IFERROR('LP Return Illustration'!F18+'LP Return Illustration'!F19,0)</f>
        <v/>
      </c>
      <c r="G29" s="1023">
        <f>E29+F29</f>
        <v/>
      </c>
      <c r="H29" s="1023">
        <f>H28+G29</f>
        <v/>
      </c>
      <c r="I29" s="359" t="n"/>
    </row>
    <row r="30" ht="16.5" customHeight="1" s="817">
      <c r="A30" s="362" t="n">
        <v>6</v>
      </c>
      <c r="B30" s="363" t="inlineStr">
        <is>
          <t>Q1</t>
        </is>
      </c>
      <c r="C30" s="364">
        <f>EDATE($B$4,63)</f>
        <v/>
      </c>
      <c r="D30" s="1039">
        <f>'LP Return Illustration'!G14</f>
        <v/>
      </c>
      <c r="E30" s="1040">
        <f>IFERROR($D$30/4,0)</f>
        <v/>
      </c>
      <c r="F30" s="1042" t="n">
        <v>0</v>
      </c>
      <c r="G30" s="1024">
        <f>E30+F30</f>
        <v/>
      </c>
      <c r="H30" s="1024">
        <f>H29+G30</f>
        <v/>
      </c>
      <c r="I30" s="897" t="n"/>
    </row>
    <row r="31" ht="16.5" customHeight="1" s="817">
      <c r="A31" s="365" t="n"/>
      <c r="B31" s="363" t="inlineStr">
        <is>
          <t>Q2</t>
        </is>
      </c>
      <c r="C31" s="364">
        <f>EDATE($B$4,66)</f>
        <v/>
      </c>
      <c r="D31" s="361" t="n"/>
      <c r="E31" s="1040">
        <f>IFERROR($D$30/4,0)</f>
        <v/>
      </c>
      <c r="F31" s="1042" t="n">
        <v>0</v>
      </c>
      <c r="G31" s="1024">
        <f>E31+F31</f>
        <v/>
      </c>
      <c r="H31" s="1024">
        <f>H30+G31</f>
        <v/>
      </c>
      <c r="I31" s="897" t="n"/>
    </row>
    <row r="32" ht="16.5" customHeight="1" s="817">
      <c r="A32" s="365" t="n"/>
      <c r="B32" s="363" t="inlineStr">
        <is>
          <t>Q3</t>
        </is>
      </c>
      <c r="C32" s="364">
        <f>EDATE($B$4,69)</f>
        <v/>
      </c>
      <c r="D32" s="361" t="n"/>
      <c r="E32" s="1040">
        <f>IFERROR($D$30/4,0)</f>
        <v/>
      </c>
      <c r="F32" s="1042" t="n">
        <v>0</v>
      </c>
      <c r="G32" s="1024">
        <f>E32+F32</f>
        <v/>
      </c>
      <c r="H32" s="1024">
        <f>H31+G32</f>
        <v/>
      </c>
      <c r="I32" s="897" t="n"/>
    </row>
    <row r="33" ht="16.5" customHeight="1" s="817">
      <c r="A33" s="365" t="n"/>
      <c r="B33" s="363" t="inlineStr">
        <is>
          <t>Q4</t>
        </is>
      </c>
      <c r="C33" s="364">
        <f>EDATE($B$4,72)</f>
        <v/>
      </c>
      <c r="D33" s="361" t="n"/>
      <c r="E33" s="1040">
        <f>IFERROR($D$30/4,0)</f>
        <v/>
      </c>
      <c r="F33" s="1039">
        <f>IFERROR('LP Return Illustration'!G18+'LP Return Illustration'!G19,0)</f>
        <v/>
      </c>
      <c r="G33" s="1024">
        <f>E33+F33</f>
        <v/>
      </c>
      <c r="H33" s="1024">
        <f>H32+G33</f>
        <v/>
      </c>
      <c r="I33" s="897" t="n"/>
    </row>
    <row r="34" ht="16.5" customHeight="1" s="817">
      <c r="A34" s="354" t="n">
        <v>7</v>
      </c>
      <c r="B34" s="355" t="inlineStr">
        <is>
          <t>Q1</t>
        </is>
      </c>
      <c r="C34" s="356">
        <f>EDATE($B$4,75)</f>
        <v/>
      </c>
      <c r="D34" s="1039">
        <f>'LP Return Illustration'!H14</f>
        <v/>
      </c>
      <c r="E34" s="1040">
        <f>IFERROR($D$34/4,0)</f>
        <v/>
      </c>
      <c r="F34" s="1041" t="n">
        <v>0</v>
      </c>
      <c r="G34" s="1023">
        <f>E34+F34</f>
        <v/>
      </c>
      <c r="H34" s="1023">
        <f>H33+G34</f>
        <v/>
      </c>
      <c r="I34" s="359" t="n"/>
    </row>
    <row r="35" ht="16.5" customHeight="1" s="817">
      <c r="A35" s="360" t="n"/>
      <c r="B35" s="355" t="inlineStr">
        <is>
          <t>Q2</t>
        </is>
      </c>
      <c r="C35" s="356">
        <f>EDATE($B$4,78)</f>
        <v/>
      </c>
      <c r="D35" s="361" t="n"/>
      <c r="E35" s="1040">
        <f>IFERROR($D$34/4,0)</f>
        <v/>
      </c>
      <c r="F35" s="1041" t="n">
        <v>0</v>
      </c>
      <c r="G35" s="1023">
        <f>E35+F35</f>
        <v/>
      </c>
      <c r="H35" s="1023">
        <f>H34+G35</f>
        <v/>
      </c>
      <c r="I35" s="359" t="n"/>
    </row>
    <row r="36" ht="16.5" customHeight="1" s="817">
      <c r="A36" s="360" t="n"/>
      <c r="B36" s="355" t="inlineStr">
        <is>
          <t>Q3</t>
        </is>
      </c>
      <c r="C36" s="356">
        <f>EDATE($B$4,81)</f>
        <v/>
      </c>
      <c r="D36" s="361" t="n"/>
      <c r="E36" s="1040">
        <f>IFERROR($D$34/4,0)</f>
        <v/>
      </c>
      <c r="F36" s="1041" t="n">
        <v>0</v>
      </c>
      <c r="G36" s="1023">
        <f>E36+F36</f>
        <v/>
      </c>
      <c r="H36" s="1023">
        <f>H35+G36</f>
        <v/>
      </c>
      <c r="I36" s="359" t="n"/>
    </row>
    <row r="37" ht="16.5" customHeight="1" s="817">
      <c r="A37" s="360" t="n"/>
      <c r="B37" s="355" t="inlineStr">
        <is>
          <t>Q4</t>
        </is>
      </c>
      <c r="C37" s="356">
        <f>EDATE($B$4,84)</f>
        <v/>
      </c>
      <c r="D37" s="361" t="n"/>
      <c r="E37" s="1040">
        <f>IFERROR($D$34/4,0)</f>
        <v/>
      </c>
      <c r="F37" s="1039">
        <f>IFERROR('LP Return Illustration'!H18+'LP Return Illustration'!H19,0)</f>
        <v/>
      </c>
      <c r="G37" s="1023">
        <f>E37+F37</f>
        <v/>
      </c>
      <c r="H37" s="1023">
        <f>H36+G37</f>
        <v/>
      </c>
      <c r="I37" s="359" t="n"/>
    </row>
    <row r="38" ht="16.5" customHeight="1" s="817">
      <c r="A38" s="362" t="n">
        <v>8</v>
      </c>
      <c r="B38" s="363" t="inlineStr">
        <is>
          <t>Q1</t>
        </is>
      </c>
      <c r="C38" s="364">
        <f>EDATE($B$4,87)</f>
        <v/>
      </c>
      <c r="D38" s="1039">
        <f>'LP Return Illustration'!I14</f>
        <v/>
      </c>
      <c r="E38" s="1040">
        <f>IFERROR($D$38/4,0)</f>
        <v/>
      </c>
      <c r="F38" s="1042" t="n">
        <v>0</v>
      </c>
      <c r="G38" s="1024">
        <f>E38+F38</f>
        <v/>
      </c>
      <c r="H38" s="1024">
        <f>H37+G38</f>
        <v/>
      </c>
      <c r="I38" s="897" t="n"/>
    </row>
    <row r="39" ht="16.5" customHeight="1" s="817">
      <c r="A39" s="365" t="n"/>
      <c r="B39" s="363" t="inlineStr">
        <is>
          <t>Q2</t>
        </is>
      </c>
      <c r="C39" s="364">
        <f>EDATE($B$4,90)</f>
        <v/>
      </c>
      <c r="D39" s="361" t="n"/>
      <c r="E39" s="1040">
        <f>IFERROR($D$38/4,0)</f>
        <v/>
      </c>
      <c r="F39" s="1042" t="n">
        <v>0</v>
      </c>
      <c r="G39" s="1024">
        <f>E39+F39</f>
        <v/>
      </c>
      <c r="H39" s="1024">
        <f>H38+G39</f>
        <v/>
      </c>
      <c r="I39" s="897" t="n"/>
    </row>
    <row r="40" ht="16.5" customHeight="1" s="817">
      <c r="A40" s="365" t="n"/>
      <c r="B40" s="363" t="inlineStr">
        <is>
          <t>Q3</t>
        </is>
      </c>
      <c r="C40" s="364">
        <f>EDATE($B$4,93)</f>
        <v/>
      </c>
      <c r="D40" s="361" t="n"/>
      <c r="E40" s="1040">
        <f>IFERROR($D$38/4,0)</f>
        <v/>
      </c>
      <c r="F40" s="1042" t="n">
        <v>0</v>
      </c>
      <c r="G40" s="1024">
        <f>E40+F40</f>
        <v/>
      </c>
      <c r="H40" s="1024">
        <f>H39+G40</f>
        <v/>
      </c>
      <c r="I40" s="897" t="n"/>
    </row>
    <row r="41" ht="16.5" customHeight="1" s="817">
      <c r="A41" s="365" t="n"/>
      <c r="B41" s="363" t="inlineStr">
        <is>
          <t>Q4</t>
        </is>
      </c>
      <c r="C41" s="364">
        <f>EDATE($B$4,96)</f>
        <v/>
      </c>
      <c r="D41" s="361" t="n"/>
      <c r="E41" s="1040">
        <f>IFERROR($D$38/4,0)</f>
        <v/>
      </c>
      <c r="F41" s="1039">
        <f>IFERROR('LP Return Illustration'!I18+'LP Return Illustration'!I19,0)</f>
        <v/>
      </c>
      <c r="G41" s="1024">
        <f>E41+F41</f>
        <v/>
      </c>
      <c r="H41" s="1024">
        <f>H40+G41</f>
        <v/>
      </c>
      <c r="I41" s="897" t="n"/>
    </row>
    <row r="42" ht="16.5" customHeight="1" s="817">
      <c r="A42" s="354" t="n">
        <v>9</v>
      </c>
      <c r="B42" s="355" t="inlineStr">
        <is>
          <t>Q1</t>
        </is>
      </c>
      <c r="C42" s="356">
        <f>EDATE($B$4,99)</f>
        <v/>
      </c>
      <c r="D42" s="1039">
        <f>'LP Return Illustration'!J14</f>
        <v/>
      </c>
      <c r="E42" s="1040">
        <f>IFERROR($D$42/4,0)</f>
        <v/>
      </c>
      <c r="F42" s="1041" t="n">
        <v>0</v>
      </c>
      <c r="G42" s="1023">
        <f>E42+F42</f>
        <v/>
      </c>
      <c r="H42" s="1023">
        <f>H41+G42</f>
        <v/>
      </c>
      <c r="I42" s="359" t="n"/>
    </row>
    <row r="43" ht="16.5" customHeight="1" s="817">
      <c r="A43" s="360" t="n"/>
      <c r="B43" s="355" t="inlineStr">
        <is>
          <t>Q2</t>
        </is>
      </c>
      <c r="C43" s="356">
        <f>EDATE($B$4,102)</f>
        <v/>
      </c>
      <c r="D43" s="361" t="n"/>
      <c r="E43" s="1040">
        <f>IFERROR($D$42/4,0)</f>
        <v/>
      </c>
      <c r="F43" s="1041" t="n">
        <v>0</v>
      </c>
      <c r="G43" s="1023">
        <f>E43+F43</f>
        <v/>
      </c>
      <c r="H43" s="1023">
        <f>H42+G43</f>
        <v/>
      </c>
      <c r="I43" s="359" t="n"/>
    </row>
    <row r="44" ht="16.5" customHeight="1" s="817">
      <c r="A44" s="360" t="n"/>
      <c r="B44" s="355" t="inlineStr">
        <is>
          <t>Q3</t>
        </is>
      </c>
      <c r="C44" s="356">
        <f>EDATE($B$4,105)</f>
        <v/>
      </c>
      <c r="D44" s="361" t="n"/>
      <c r="E44" s="1040">
        <f>IFERROR($D$42/4,0)</f>
        <v/>
      </c>
      <c r="F44" s="1041" t="n">
        <v>0</v>
      </c>
      <c r="G44" s="1023">
        <f>E44+F44</f>
        <v/>
      </c>
      <c r="H44" s="1023">
        <f>H43+G44</f>
        <v/>
      </c>
      <c r="I44" s="359" t="n"/>
    </row>
    <row r="45" ht="16.5" customHeight="1" s="817">
      <c r="A45" s="360" t="n"/>
      <c r="B45" s="355" t="inlineStr">
        <is>
          <t>Q4</t>
        </is>
      </c>
      <c r="C45" s="356">
        <f>EDATE($B$4,108)</f>
        <v/>
      </c>
      <c r="D45" s="361" t="n"/>
      <c r="E45" s="1040">
        <f>IFERROR($D$42/4,0)</f>
        <v/>
      </c>
      <c r="F45" s="1039">
        <f>IFERROR('LP Return Illustration'!J18+'LP Return Illustration'!J19,0)</f>
        <v/>
      </c>
      <c r="G45" s="1023">
        <f>E45+F45</f>
        <v/>
      </c>
      <c r="H45" s="1023">
        <f>H44+G45</f>
        <v/>
      </c>
      <c r="I45" s="359" t="n"/>
    </row>
    <row r="46" ht="16.5" customHeight="1" s="817">
      <c r="A46" s="362" t="n">
        <v>10</v>
      </c>
      <c r="B46" s="363" t="inlineStr">
        <is>
          <t>Q1</t>
        </is>
      </c>
      <c r="C46" s="364">
        <f>EDATE($B$4,111)</f>
        <v/>
      </c>
      <c r="D46" s="1039">
        <f>'LP Return Illustration'!K14</f>
        <v/>
      </c>
      <c r="E46" s="1040">
        <f>IFERROR($D$46/4,0)</f>
        <v/>
      </c>
      <c r="F46" s="1042" t="n">
        <v>0</v>
      </c>
      <c r="G46" s="1024">
        <f>E46+F46</f>
        <v/>
      </c>
      <c r="H46" s="1024">
        <f>H45+G46</f>
        <v/>
      </c>
      <c r="I46" s="897" t="n"/>
    </row>
    <row r="47" ht="16.5" customHeight="1" s="817">
      <c r="A47" s="365" t="n"/>
      <c r="B47" s="363" t="inlineStr">
        <is>
          <t>Q2</t>
        </is>
      </c>
      <c r="C47" s="364">
        <f>EDATE($B$4,114)</f>
        <v/>
      </c>
      <c r="D47" s="361" t="n"/>
      <c r="E47" s="1040">
        <f>IFERROR($D$46/4,0)</f>
        <v/>
      </c>
      <c r="F47" s="1042" t="n">
        <v>0</v>
      </c>
      <c r="G47" s="1024">
        <f>E47+F47</f>
        <v/>
      </c>
      <c r="H47" s="1024">
        <f>H46+G47</f>
        <v/>
      </c>
      <c r="I47" s="897" t="n"/>
    </row>
    <row r="48" ht="16.5" customHeight="1" s="817">
      <c r="A48" s="365" t="n"/>
      <c r="B48" s="363" t="inlineStr">
        <is>
          <t>Q3</t>
        </is>
      </c>
      <c r="C48" s="364">
        <f>EDATE($B$4,117)</f>
        <v/>
      </c>
      <c r="D48" s="361" t="n"/>
      <c r="E48" s="1040">
        <f>IFERROR($D$46/4,0)</f>
        <v/>
      </c>
      <c r="F48" s="1042" t="n">
        <v>0</v>
      </c>
      <c r="G48" s="1024">
        <f>E48+F48</f>
        <v/>
      </c>
      <c r="H48" s="1024">
        <f>H47+G48</f>
        <v/>
      </c>
      <c r="I48" s="897" t="n"/>
    </row>
    <row r="49" ht="16.5" customHeight="1" s="817">
      <c r="A49" s="365" t="n"/>
      <c r="B49" s="363" t="inlineStr">
        <is>
          <t>Q4</t>
        </is>
      </c>
      <c r="C49" s="364">
        <f>EDATE($B$4,120)</f>
        <v/>
      </c>
      <c r="D49" s="361" t="n"/>
      <c r="E49" s="1040">
        <f>IFERROR($D$46/4,0)</f>
        <v/>
      </c>
      <c r="F49" s="1039">
        <f>IFERROR('LP Return Illustration'!K18+'LP Return Illustration'!K19,0)</f>
        <v/>
      </c>
      <c r="G49" s="1024">
        <f>E49+F49</f>
        <v/>
      </c>
      <c r="H49" s="1024">
        <f>H48+G49</f>
        <v/>
      </c>
      <c r="I49" s="897" t="n"/>
    </row>
    <row r="50" ht="7.5" customHeight="1" s="817"/>
    <row r="51" ht="21.75" customHeight="1" s="817">
      <c r="A51" s="903" t="inlineStr">
        <is>
          <t>TOTALS</t>
        </is>
      </c>
      <c r="B51" s="896" t="n"/>
      <c r="C51" s="366" t="n"/>
      <c r="D51" s="366" t="n"/>
      <c r="E51" s="1043">
        <f>SUM(E10:E49)</f>
        <v/>
      </c>
      <c r="F51" s="1043">
        <f>SUM(F10:F49)</f>
        <v/>
      </c>
      <c r="G51" s="1043">
        <f>SUM(G9:G49)</f>
        <v/>
      </c>
      <c r="H51" s="1043">
        <f>H49</f>
        <v/>
      </c>
      <c r="I51" s="366" t="n"/>
    </row>
    <row r="52" ht="7.5" customHeight="1" s="817"/>
    <row r="53" ht="19.5" customHeight="1" s="817">
      <c r="A53" s="894" t="inlineStr">
        <is>
          <t xml:space="preserve">  RETURN SUMMARY</t>
        </is>
      </c>
      <c r="B53" s="895" t="n"/>
      <c r="C53" s="895" t="n"/>
      <c r="D53" s="895" t="n"/>
      <c r="E53" s="895" t="n"/>
      <c r="F53" s="895" t="n"/>
      <c r="G53" s="895" t="n"/>
      <c r="H53" s="895" t="n"/>
      <c r="I53" s="896" t="n"/>
    </row>
    <row r="54" ht="19.5" customHeight="1" s="817">
      <c r="A54" s="900" t="inlineStr">
        <is>
          <t>XIRR  (quarterly distributions)</t>
        </is>
      </c>
      <c r="B54" s="895" t="n"/>
      <c r="C54" s="895" t="n"/>
      <c r="D54" s="895" t="n"/>
      <c r="E54" s="895" t="n"/>
      <c r="F54" s="895" t="n"/>
      <c r="G54" s="896" t="n"/>
      <c r="H54" s="257">
        <f>IFERROR(XIRR(G9:G49,C9:C49,0.1),0)</f>
        <v/>
      </c>
      <c r="I54" s="368" t="n"/>
    </row>
    <row r="55" ht="16.5" customHeight="1" s="817">
      <c r="A55" s="904" t="inlineStr">
        <is>
          <t>Standard IRR  (annual, year-end)</t>
        </is>
      </c>
      <c r="B55" s="895" t="n"/>
      <c r="C55" s="895" t="n"/>
      <c r="D55" s="895" t="n"/>
      <c r="E55" s="895" t="n"/>
      <c r="F55" s="895" t="n"/>
      <c r="G55" s="896" t="n"/>
      <c r="H55" s="369">
        <f>IFERROR('LP Return Illustration'!B28,0)</f>
        <v/>
      </c>
      <c r="I55" s="904" t="n"/>
    </row>
    <row r="56" ht="16.5" customHeight="1" s="817">
      <c r="A56" s="902" t="inlineStr">
        <is>
          <t>Difference  (XIRR − IRR)</t>
        </is>
      </c>
      <c r="B56" s="895" t="n"/>
      <c r="C56" s="895" t="n"/>
      <c r="D56" s="895" t="n"/>
      <c r="E56" s="895" t="n"/>
      <c r="F56" s="895" t="n"/>
      <c r="G56" s="896" t="n"/>
      <c r="H56" s="1044">
        <f>IFERROR(B54-B55,0)</f>
        <v/>
      </c>
      <c r="I56" s="902" t="n"/>
    </row>
    <row r="57" ht="16.5" customHeight="1" s="817">
      <c r="A57" s="904" t="inlineStr">
        <is>
          <t>Equity Multiple  (XIRR basis)</t>
        </is>
      </c>
      <c r="B57" s="895" t="n"/>
      <c r="C57" s="895" t="n"/>
      <c r="D57" s="895" t="n"/>
      <c r="E57" s="895" t="n"/>
      <c r="F57" s="895" t="n"/>
      <c r="G57" s="896" t="n"/>
      <c r="H57" s="371">
        <f>IFERROR((H49+'LP Return Illustration'!$B$2)/'LP Return Illustration'!$B$2,0)</f>
        <v/>
      </c>
      <c r="I57" s="904" t="n"/>
    </row>
    <row r="58" ht="16.5" customHeight="1" s="817">
      <c r="A58" s="902" t="inlineStr">
        <is>
          <t>Total Cash Received</t>
        </is>
      </c>
      <c r="B58" s="895" t="n"/>
      <c r="C58" s="895" t="n"/>
      <c r="D58" s="895" t="n"/>
      <c r="E58" s="895" t="n"/>
      <c r="F58" s="895" t="n"/>
      <c r="G58" s="896" t="n"/>
      <c r="H58" s="1045">
        <f>H49+ABS(G9)</f>
        <v/>
      </c>
      <c r="I58" s="902" t="n"/>
    </row>
  </sheetData>
  <mergeCells count="14">
    <mergeCell ref="A58:G58"/>
    <mergeCell ref="A56:G56"/>
    <mergeCell ref="C5:E5"/>
    <mergeCell ref="F7:I7"/>
    <mergeCell ref="A51:B51"/>
    <mergeCell ref="A55:G55"/>
    <mergeCell ref="A1:I1"/>
    <mergeCell ref="C4:E4"/>
    <mergeCell ref="A54:G54"/>
    <mergeCell ref="A3:I3"/>
    <mergeCell ref="H4:I4"/>
    <mergeCell ref="A53:I53"/>
    <mergeCell ref="A57:G57"/>
    <mergeCell ref="C7:E7"/>
  </mergeCells>
  <pageMargins left="0.75" right="0.75" top="1" bottom="1" header="0.511811023622047" footer="0.511811023622047"/>
  <pageSetup orientation="portrait" paperSize="9" horizontalDpi="300" verticalDpi="3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70"/>
  <sheetViews>
    <sheetView zoomScale="115" zoomScaleNormal="115" workbookViewId="0">
      <selection activeCell="A1" sqref="A1:F1"/>
    </sheetView>
  </sheetViews>
  <sheetFormatPr baseColWidth="8" defaultColWidth="8.85546875" defaultRowHeight="15"/>
  <cols>
    <col width="28" customWidth="1" style="817" min="1" max="1"/>
    <col width="18" customWidth="1" style="817" min="2" max="4"/>
    <col width="16" customWidth="1" style="817" min="5" max="6"/>
    <col width="28" customWidth="1" style="817" min="9" max="9"/>
    <col width="14.85546875" bestFit="1" customWidth="1" style="817" min="10" max="17"/>
    <col width="15.85546875" bestFit="1" customWidth="1" style="817" min="18" max="19"/>
  </cols>
  <sheetData>
    <row r="1" ht="18" customHeight="1" s="817">
      <c r="A1" s="827" t="inlineStr">
        <is>
          <t>LOAN SUMMARY — THREE-TRANCHE DEBT STRUCTURE</t>
        </is>
      </c>
      <c r="I1" s="12" t="n"/>
      <c r="J1" s="372">
        <f>IF(ISNUMBER('Exit Strategy'!$C$5),IF(1='Exit Strategy'!$C$5,"REFINANCE!",IF(1=Scenarios!$F$80,"SALE!","")),IF(1=Scenarios!$F$80,"SALE!",""))</f>
        <v/>
      </c>
      <c r="K1" s="372">
        <f>IF(ISNUMBER('Exit Strategy'!$C$5),IF(2='Exit Strategy'!$C$5,"REFINANCE!",IF(2=Scenarios!$F$80,"SALE!","")),IF(2=Scenarios!$F$80,"SALE!",""))</f>
        <v/>
      </c>
      <c r="L1" s="372">
        <f>IF(ISNUMBER('Exit Strategy'!$C$5),IF(3='Exit Strategy'!$C$5,"REFINANCE!",IF(3=Scenarios!$F$80,"SALE!","")),IF(3=Scenarios!$F$80,"SALE!",""))</f>
        <v/>
      </c>
      <c r="M1" s="372">
        <f>IF(ISNUMBER('Exit Strategy'!$C$5),IF(4='Exit Strategy'!$C$5,"REFINANCE!",IF(4=Scenarios!$F$80,"SALE!","")),IF(4=Scenarios!$F$80,"SALE!",""))</f>
        <v/>
      </c>
      <c r="N1" s="372">
        <f>IF(ISNUMBER('Exit Strategy'!$C$5),IF(5='Exit Strategy'!$C$5,"REFINANCE!",IF(5=Scenarios!$F$80,"SALE!","")),IF(5=Scenarios!$F$80,"SALE!",""))</f>
        <v/>
      </c>
      <c r="O1" s="372">
        <f>IF(ISNUMBER('Exit Strategy'!$C$5),IF(6='Exit Strategy'!$C$5,"REFINANCE!",IF(6=Scenarios!$F$80,"SALE!","")),IF(6=Scenarios!$F$80,"SALE!",""))</f>
        <v/>
      </c>
      <c r="P1" s="372">
        <f>IF(ISNUMBER('Exit Strategy'!$C$5),IF(7='Exit Strategy'!$C$5,"REFINANCE!",IF(7=Scenarios!$F$80,"SALE!","")),IF(7=Scenarios!$F$80,"SALE!",""))</f>
        <v/>
      </c>
      <c r="Q1" s="372">
        <f>IF(ISNUMBER('Exit Strategy'!$C$5),IF(8='Exit Strategy'!$C$5,"REFINANCE!",IF(8=Scenarios!$F$80,"SALE!","")),IF(8=Scenarios!$F$80,"SALE!",""))</f>
        <v/>
      </c>
      <c r="R1" s="372">
        <f>IF(ISNUMBER('Exit Strategy'!$C$5),IF(9='Exit Strategy'!$C$5,"REFINANCE!",IF(9=Scenarios!$F$80,"SALE!","")),IF(9=Scenarios!$F$80,"SALE!",""))</f>
        <v/>
      </c>
      <c r="S1" s="372">
        <f>IF(ISNUMBER('Exit Strategy'!$C$5),IF(10='Exit Strategy'!$C$5,"REFINANCE!",IF(10=Scenarios!$F$80,"SALE!","")),IF(10=Scenarios!$F$80,"SALE!",""))</f>
        <v/>
      </c>
    </row>
    <row r="2">
      <c r="A2" s="835" t="inlineStr">
        <is>
          <t xml:space="preserve">  Inputs pull from active Scenario col F. Edit loan terms in the Scenarios tab per scenario.</t>
        </is>
      </c>
      <c r="I2" s="903" t="inlineStr">
        <is>
          <t>Year</t>
        </is>
      </c>
      <c r="J2" s="311" t="n">
        <v>1</v>
      </c>
      <c r="K2" s="311" t="n">
        <v>2</v>
      </c>
      <c r="L2" s="311" t="n">
        <v>3</v>
      </c>
      <c r="M2" s="311" t="n">
        <v>4</v>
      </c>
      <c r="N2" s="311" t="n">
        <v>5</v>
      </c>
      <c r="O2" s="311" t="n">
        <v>6</v>
      </c>
      <c r="P2" s="311" t="n">
        <v>7</v>
      </c>
      <c r="Q2" s="311" t="n">
        <v>8</v>
      </c>
      <c r="R2" s="311" t="n">
        <v>9</v>
      </c>
      <c r="S2" s="311" t="n">
        <v>10</v>
      </c>
    </row>
    <row r="3">
      <c r="A3" s="32" t="inlineStr">
        <is>
          <t>Metric</t>
        </is>
      </c>
      <c r="B3" s="104" t="inlineStr">
        <is>
          <t>1st Loan (Senior)</t>
        </is>
      </c>
      <c r="C3" s="19" t="inlineStr">
        <is>
          <t>2nd Loan</t>
        </is>
      </c>
      <c r="D3" s="196" t="inlineStr">
        <is>
          <t>Supplemental</t>
        </is>
      </c>
      <c r="E3" s="32" t="inlineStr">
        <is>
          <t>Total Debt</t>
        </is>
      </c>
      <c r="I3" s="373" t="n"/>
      <c r="J3" s="373" t="n"/>
      <c r="K3" s="373" t="n"/>
      <c r="L3" s="373" t="n"/>
      <c r="M3" s="373" t="n"/>
      <c r="N3" s="373" t="n"/>
      <c r="O3" s="373" t="n"/>
      <c r="P3" s="373" t="n"/>
      <c r="Q3" s="373" t="n"/>
      <c r="R3" s="373" t="n"/>
      <c r="S3" s="373" t="n"/>
    </row>
    <row r="4">
      <c r="A4" s="8" t="inlineStr">
        <is>
          <t>Loan Amount</t>
        </is>
      </c>
      <c r="B4" s="374">
        <f>Scenarios!F135</f>
        <v/>
      </c>
      <c r="C4" s="374">
        <f>Scenarios!F142</f>
        <v/>
      </c>
      <c r="D4" s="374">
        <f>Scenarios!F149</f>
        <v/>
      </c>
      <c r="E4" s="119">
        <f>B4+C4+D4</f>
        <v/>
      </c>
      <c r="I4" s="373" t="n"/>
      <c r="J4" s="373" t="n"/>
      <c r="K4" s="373" t="n"/>
      <c r="L4" s="373" t="n"/>
      <c r="M4" s="373" t="n"/>
      <c r="N4" s="373" t="n"/>
      <c r="O4" s="373" t="n"/>
      <c r="P4" s="373" t="n"/>
      <c r="Q4" s="373" t="n"/>
      <c r="R4" s="373" t="n"/>
      <c r="S4" s="373" t="n"/>
    </row>
    <row r="5">
      <c r="A5" s="10" t="inlineStr">
        <is>
          <t>Amortization (yrs)</t>
        </is>
      </c>
      <c r="B5" s="375">
        <f>Scenarios!F137</f>
        <v/>
      </c>
      <c r="C5" s="375">
        <f>Scenarios!F144</f>
        <v/>
      </c>
      <c r="D5" s="375">
        <f>Scenarios!F151</f>
        <v/>
      </c>
      <c r="E5" s="376" t="inlineStr">
        <is>
          <t>—</t>
        </is>
      </c>
      <c r="I5" s="310" t="inlineStr">
        <is>
          <t>1st Mortgage (Senior)</t>
        </is>
      </c>
      <c r="J5" s="1043">
        <f>IFERROR(Scenarios!$F$135,0)</f>
        <v/>
      </c>
      <c r="K5" s="366" t="n"/>
      <c r="L5" s="366" t="n"/>
      <c r="M5" s="366" t="n"/>
      <c r="N5" s="366" t="n"/>
      <c r="O5" s="366" t="n"/>
      <c r="P5" s="366" t="n"/>
      <c r="Q5" s="366" t="n"/>
      <c r="R5" s="366" t="n"/>
      <c r="S5" s="366" t="n"/>
    </row>
    <row r="6">
      <c r="A6" s="8" t="inlineStr">
        <is>
          <t>Interest Rate</t>
        </is>
      </c>
      <c r="B6" s="377">
        <f>Scenarios!F136</f>
        <v/>
      </c>
      <c r="C6" s="377">
        <f>Scenarios!F143</f>
        <v/>
      </c>
      <c r="D6" s="377">
        <f>Scenarios!F150</f>
        <v/>
      </c>
      <c r="E6" s="378" t="inlineStr">
        <is>
          <t>—</t>
        </is>
      </c>
      <c r="I6" s="379" t="inlineStr">
        <is>
          <t xml:space="preserve">  Exits at Refi? →</t>
        </is>
      </c>
      <c r="J6" s="306" t="inlineStr">
        <is>
          <t>YES</t>
        </is>
      </c>
      <c r="K6" s="380" t="n"/>
      <c r="L6" s="380" t="n"/>
      <c r="M6" s="380" t="n"/>
      <c r="N6" s="380" t="n"/>
      <c r="O6" s="380" t="n"/>
      <c r="P6" s="380" t="n"/>
      <c r="Q6" s="380" t="n"/>
      <c r="R6" s="380" t="n"/>
      <c r="S6" s="380" t="n"/>
    </row>
    <row r="7">
      <c r="A7" s="10" t="inlineStr">
        <is>
          <t>Loan Term (yrs)</t>
        </is>
      </c>
      <c r="B7" s="375">
        <f>Scenarios!F138</f>
        <v/>
      </c>
      <c r="C7" s="375">
        <f>Scenarios!F145</f>
        <v/>
      </c>
      <c r="D7" s="375">
        <f>Scenarios!F152</f>
        <v/>
      </c>
      <c r="E7" s="376" t="inlineStr">
        <is>
          <t>—</t>
        </is>
      </c>
      <c r="I7" s="902" t="inlineStr">
        <is>
          <t xml:space="preserve">  Beginning Balance</t>
        </is>
      </c>
      <c r="J7" s="1045">
        <f>IF(1&lt;=IF($J$6="YES",IF(AND(ISNUMBER('Exit Strategy'!$C$5),'Exit Strategy'!$C$5&gt;0),'Exit Strategy'!$C$5,Scenarios!$F$80),Scenarios!$F$80),IFERROR(Scenarios!$F$135,0),0)</f>
        <v/>
      </c>
      <c r="K7" s="1045">
        <f>IF(2&lt;=IF($J$6="YES",IF(AND(ISNUMBER('Exit Strategy'!$C$5),'Exit Strategy'!$C$5&gt;0),'Exit Strategy'!$C$5,Scenarios!$F$80),Scenarios!$F$80),J11,0)</f>
        <v/>
      </c>
      <c r="L7" s="1045">
        <f>IF(3&lt;=IF($J$6="YES",IF(AND(ISNUMBER('Exit Strategy'!$C$5),'Exit Strategy'!$C$5&gt;0),'Exit Strategy'!$C$5,Scenarios!$F$80),Scenarios!$F$80),K11,0)</f>
        <v/>
      </c>
      <c r="M7" s="1045">
        <f>IF(4&lt;=IF($J$6="YES",IF(AND(ISNUMBER('Exit Strategy'!$C$5),'Exit Strategy'!$C$5&gt;0),'Exit Strategy'!$C$5,Scenarios!$F$80),Scenarios!$F$80),L11,0)</f>
        <v/>
      </c>
      <c r="N7" s="1045">
        <f>IF(5&lt;=IF($J$6="YES",IF(AND(ISNUMBER('Exit Strategy'!$C$5),'Exit Strategy'!$C$5&gt;0),'Exit Strategy'!$C$5,Scenarios!$F$80),Scenarios!$F$80),M11,0)</f>
        <v/>
      </c>
      <c r="O7" s="1045">
        <f>IF(6&lt;=IF($J$6="YES",IF(AND(ISNUMBER('Exit Strategy'!$C$5),'Exit Strategy'!$C$5&gt;0),'Exit Strategy'!$C$5,Scenarios!$F$80),Scenarios!$F$80),N11,0)</f>
        <v/>
      </c>
      <c r="P7" s="1045">
        <f>IF(7&lt;=IF($J$6="YES",IF(AND(ISNUMBER('Exit Strategy'!$C$5),'Exit Strategy'!$C$5&gt;0),'Exit Strategy'!$C$5,Scenarios!$F$80),Scenarios!$F$80),O11,0)</f>
        <v/>
      </c>
      <c r="Q7" s="1045">
        <f>IF(8&lt;=IF($J$6="YES",IF(AND(ISNUMBER('Exit Strategy'!$C$5),'Exit Strategy'!$C$5&gt;0),'Exit Strategy'!$C$5,Scenarios!$F$80),Scenarios!$F$80),P11,0)</f>
        <v/>
      </c>
      <c r="R7" s="1045">
        <f>IF(9&lt;=IF($J$6="YES",IF(AND(ISNUMBER('Exit Strategy'!$C$5),'Exit Strategy'!$C$5&gt;0),'Exit Strategy'!$C$5,Scenarios!$F$80),Scenarios!$F$80),Q11,0)</f>
        <v/>
      </c>
      <c r="S7" s="1045">
        <f>IF(10&lt;=IF($J$6="YES",IF(AND(ISNUMBER('Exit Strategy'!$C$5),'Exit Strategy'!$C$5&gt;0),'Exit Strategy'!$C$5,Scenarios!$F$80),Scenarios!$F$80),R11,0)</f>
        <v/>
      </c>
    </row>
    <row r="8">
      <c r="A8" s="8" t="inlineStr">
        <is>
          <t>Interest-Only Months</t>
        </is>
      </c>
      <c r="B8" s="381">
        <f>Scenarios!F139</f>
        <v/>
      </c>
      <c r="C8" s="381">
        <f>Scenarios!F146</f>
        <v/>
      </c>
      <c r="D8" s="381">
        <f>Scenarios!F153</f>
        <v/>
      </c>
      <c r="E8" s="376" t="inlineStr">
        <is>
          <t>—</t>
        </is>
      </c>
      <c r="I8" s="904" t="inlineStr">
        <is>
          <t xml:space="preserve">  Principal Paid</t>
        </is>
      </c>
      <c r="J8" s="1046">
        <f>IF(1&gt;IF($J$6="YES",IF(AND(ISNUMBER('Exit Strategy'!$C$5),'Exit Strategy'!$C$5&gt;0),'Exit Strategy'!$C$5,Scenarios!$F$80),Scenarios!$F$80),0,IFERROR(IF(AND(ISNUMBER(Scenarios!$F$139),Scenarios!$F$139&gt;0,1*12&lt;=Scenarios!$F$139),0,-CUMPRINC(Scenarios!$F$136/12,Scenarios!$F$137*12,Scenarios!$F$135,(1-1)*12+1,1*12,0)),0))</f>
        <v/>
      </c>
      <c r="K8" s="1046">
        <f>IF(2&gt;IF($J$6="YES",IF(AND(ISNUMBER('Exit Strategy'!$C$5),'Exit Strategy'!$C$5&gt;0),'Exit Strategy'!$C$5,Scenarios!$F$80),Scenarios!$F$80),0,IFERROR(IF(AND(ISNUMBER(Scenarios!$F$139),Scenarios!$F$139&gt;0,2*12&lt;=Scenarios!$F$139),0,-CUMPRINC(Scenarios!$F$136/12,Scenarios!$F$137*12,Scenarios!$F$135,(2-1)*12+1,2*12,0)),0))</f>
        <v/>
      </c>
      <c r="L8" s="1046">
        <f>IF(3&gt;IF($J$6="YES",IF(AND(ISNUMBER('Exit Strategy'!$C$5),'Exit Strategy'!$C$5&gt;0),'Exit Strategy'!$C$5,Scenarios!$F$80),Scenarios!$F$80),0,IFERROR(IF(AND(ISNUMBER(Scenarios!$F$139),Scenarios!$F$139&gt;0,3*12&lt;=Scenarios!$F$139),0,-CUMPRINC(Scenarios!$F$136/12,Scenarios!$F$137*12,Scenarios!$F$135,(3-1)*12+1,3*12,0)),0))</f>
        <v/>
      </c>
      <c r="M8" s="1046">
        <f>IF(4&gt;IF($J$6="YES",IF(AND(ISNUMBER('Exit Strategy'!$C$5),'Exit Strategy'!$C$5&gt;0),'Exit Strategy'!$C$5,Scenarios!$F$80),Scenarios!$F$80),0,IFERROR(IF(AND(ISNUMBER(Scenarios!$F$139),Scenarios!$F$139&gt;0,4*12&lt;=Scenarios!$F$139),0,-CUMPRINC(Scenarios!$F$136/12,Scenarios!$F$137*12,Scenarios!$F$135,(4-1)*12+1,4*12,0)),0))</f>
        <v/>
      </c>
      <c r="N8" s="1046">
        <f>IF(5&gt;IF($J$6="YES",IF(AND(ISNUMBER('Exit Strategy'!$C$5),'Exit Strategy'!$C$5&gt;0),'Exit Strategy'!$C$5,Scenarios!$F$80),Scenarios!$F$80),0,IFERROR(IF(AND(ISNUMBER(Scenarios!$F$139),Scenarios!$F$139&gt;0,5*12&lt;=Scenarios!$F$139),0,-CUMPRINC(Scenarios!$F$136/12,Scenarios!$F$137*12,Scenarios!$F$135,(5-1)*12+1,5*12,0)),0))</f>
        <v/>
      </c>
      <c r="O8" s="1046">
        <f>IF(6&gt;IF($J$6="YES",IF(AND(ISNUMBER('Exit Strategy'!$C$5),'Exit Strategy'!$C$5&gt;0),'Exit Strategy'!$C$5,Scenarios!$F$80),Scenarios!$F$80),0,IFERROR(IF(AND(ISNUMBER(Scenarios!$F$139),Scenarios!$F$139&gt;0,6*12&lt;=Scenarios!$F$139),0,-CUMPRINC(Scenarios!$F$136/12,Scenarios!$F$137*12,Scenarios!$F$135,(6-1)*12+1,6*12,0)),0))</f>
        <v/>
      </c>
      <c r="P8" s="1046">
        <f>IF(7&gt;IF($J$6="YES",IF(AND(ISNUMBER('Exit Strategy'!$C$5),'Exit Strategy'!$C$5&gt;0),'Exit Strategy'!$C$5,Scenarios!$F$80),Scenarios!$F$80),0,IFERROR(IF(AND(ISNUMBER(Scenarios!$F$139),Scenarios!$F$139&gt;0,7*12&lt;=Scenarios!$F$139),0,-CUMPRINC(Scenarios!$F$136/12,Scenarios!$F$137*12,Scenarios!$F$135,(7-1)*12+1,7*12,0)),0))</f>
        <v/>
      </c>
      <c r="Q8" s="1046">
        <f>IF(8&gt;IF($J$6="YES",IF(AND(ISNUMBER('Exit Strategy'!$C$5),'Exit Strategy'!$C$5&gt;0),'Exit Strategy'!$C$5,Scenarios!$F$80),Scenarios!$F$80),0,IFERROR(IF(AND(ISNUMBER(Scenarios!$F$139),Scenarios!$F$139&gt;0,8*12&lt;=Scenarios!$F$139),0,-CUMPRINC(Scenarios!$F$136/12,Scenarios!$F$137*12,Scenarios!$F$135,(8-1)*12+1,8*12,0)),0))</f>
        <v/>
      </c>
      <c r="R8" s="1046">
        <f>IF(9&gt;IF($J$6="YES",IF(AND(ISNUMBER('Exit Strategy'!$C$5),'Exit Strategy'!$C$5&gt;0),'Exit Strategy'!$C$5,Scenarios!$F$80),Scenarios!$F$80),0,IFERROR(IF(AND(ISNUMBER(Scenarios!$F$139),Scenarios!$F$139&gt;0,9*12&lt;=Scenarios!$F$139),0,-CUMPRINC(Scenarios!$F$136/12,Scenarios!$F$137*12,Scenarios!$F$135,(9-1)*12+1,9*12,0)),0))</f>
        <v/>
      </c>
      <c r="S8" s="1046">
        <f>IF(10&gt;IF($J$6="YES",IF(AND(ISNUMBER('Exit Strategy'!$C$5),'Exit Strategy'!$C$5&gt;0),'Exit Strategy'!$C$5,Scenarios!$F$80),Scenarios!$F$80),0,IFERROR(IF(AND(ISNUMBER(Scenarios!$F$139),Scenarios!$F$139&gt;0,10*12&lt;=Scenarios!$F$139),0,-CUMPRINC(Scenarios!$F$136/12,Scenarios!$F$137*12,Scenarios!$F$135,(10-1)*12+1,10*12,0)),0))</f>
        <v/>
      </c>
    </row>
    <row r="9">
      <c r="A9" s="10" t="inlineStr">
        <is>
          <t>Origination Fee %</t>
        </is>
      </c>
      <c r="B9" s="382">
        <f>Scenarios!F140</f>
        <v/>
      </c>
      <c r="C9" s="382">
        <f>Scenarios!F147</f>
        <v/>
      </c>
      <c r="D9" s="382">
        <f>Scenarios!F154</f>
        <v/>
      </c>
      <c r="E9" s="378" t="inlineStr">
        <is>
          <t>—</t>
        </is>
      </c>
      <c r="I9" s="902" t="inlineStr">
        <is>
          <t xml:space="preserve">  Interest Paid</t>
        </is>
      </c>
      <c r="J9" s="1045">
        <f>IF(1&gt;IF($J$6="YES",IF(AND(ISNUMBER('Exit Strategy'!$C$5),'Exit Strategy'!$C$5&gt;0),'Exit Strategy'!$C$5,Scenarios!$F$80),Scenarios!$F$80),0,IFERROR(IF(AND(ISNUMBER(Scenarios!$F$139),Scenarios!$F$139&gt;0,1*12&lt;=Scenarios!$F$139),Scenarios!$F$135*Scenarios!$F$136,-CUMIPMT(Scenarios!$F$136/12,Scenarios!$F$137*12,Scenarios!$F$135,(1-1)*12+1,1*12,0)),0))</f>
        <v/>
      </c>
      <c r="K9" s="1045">
        <f>IF(2&gt;IF($J$6="YES",IF(AND(ISNUMBER('Exit Strategy'!$C$5),'Exit Strategy'!$C$5&gt;0),'Exit Strategy'!$C$5,Scenarios!$F$80),Scenarios!$F$80),0,IFERROR(IF(AND(ISNUMBER(Scenarios!$F$139),Scenarios!$F$139&gt;0,2*12&lt;=Scenarios!$F$139),Scenarios!$F$135*Scenarios!$F$136,-CUMIPMT(Scenarios!$F$136/12,Scenarios!$F$137*12,Scenarios!$F$135,(2-1)*12+1,2*12,0)),0))</f>
        <v/>
      </c>
      <c r="L9" s="1045">
        <f>IF(3&gt;IF($J$6="YES",IF(AND(ISNUMBER('Exit Strategy'!$C$5),'Exit Strategy'!$C$5&gt;0),'Exit Strategy'!$C$5,Scenarios!$F$80),Scenarios!$F$80),0,IFERROR(IF(AND(ISNUMBER(Scenarios!$F$139),Scenarios!$F$139&gt;0,3*12&lt;=Scenarios!$F$139),Scenarios!$F$135*Scenarios!$F$136,-CUMIPMT(Scenarios!$F$136/12,Scenarios!$F$137*12,Scenarios!$F$135,(3-1)*12+1,3*12,0)),0))</f>
        <v/>
      </c>
      <c r="M9" s="1045">
        <f>IF(4&gt;IF($J$6="YES",IF(AND(ISNUMBER('Exit Strategy'!$C$5),'Exit Strategy'!$C$5&gt;0),'Exit Strategy'!$C$5,Scenarios!$F$80),Scenarios!$F$80),0,IFERROR(IF(AND(ISNUMBER(Scenarios!$F$139),Scenarios!$F$139&gt;0,4*12&lt;=Scenarios!$F$139),Scenarios!$F$135*Scenarios!$F$136,-CUMIPMT(Scenarios!$F$136/12,Scenarios!$F$137*12,Scenarios!$F$135,(4-1)*12+1,4*12,0)),0))</f>
        <v/>
      </c>
      <c r="N9" s="1045">
        <f>IF(5&gt;IF($J$6="YES",IF(AND(ISNUMBER('Exit Strategy'!$C$5),'Exit Strategy'!$C$5&gt;0),'Exit Strategy'!$C$5,Scenarios!$F$80),Scenarios!$F$80),0,IFERROR(IF(AND(ISNUMBER(Scenarios!$F$139),Scenarios!$F$139&gt;0,5*12&lt;=Scenarios!$F$139),Scenarios!$F$135*Scenarios!$F$136,-CUMIPMT(Scenarios!$F$136/12,Scenarios!$F$137*12,Scenarios!$F$135,(5-1)*12+1,5*12,0)),0))</f>
        <v/>
      </c>
      <c r="O9" s="1045">
        <f>IF(6&gt;IF($J$6="YES",IF(AND(ISNUMBER('Exit Strategy'!$C$5),'Exit Strategy'!$C$5&gt;0),'Exit Strategy'!$C$5,Scenarios!$F$80),Scenarios!$F$80),0,IFERROR(IF(AND(ISNUMBER(Scenarios!$F$139),Scenarios!$F$139&gt;0,6*12&lt;=Scenarios!$F$139),Scenarios!$F$135*Scenarios!$F$136,-CUMIPMT(Scenarios!$F$136/12,Scenarios!$F$137*12,Scenarios!$F$135,(6-1)*12+1,6*12,0)),0))</f>
        <v/>
      </c>
      <c r="P9" s="1045">
        <f>IF(7&gt;IF($J$6="YES",IF(AND(ISNUMBER('Exit Strategy'!$C$5),'Exit Strategy'!$C$5&gt;0),'Exit Strategy'!$C$5,Scenarios!$F$80),Scenarios!$F$80),0,IFERROR(IF(AND(ISNUMBER(Scenarios!$F$139),Scenarios!$F$139&gt;0,7*12&lt;=Scenarios!$F$139),Scenarios!$F$135*Scenarios!$F$136,-CUMIPMT(Scenarios!$F$136/12,Scenarios!$F$137*12,Scenarios!$F$135,(7-1)*12+1,7*12,0)),0))</f>
        <v/>
      </c>
      <c r="Q9" s="1045">
        <f>IF(8&gt;IF($J$6="YES",IF(AND(ISNUMBER('Exit Strategy'!$C$5),'Exit Strategy'!$C$5&gt;0),'Exit Strategy'!$C$5,Scenarios!$F$80),Scenarios!$F$80),0,IFERROR(IF(AND(ISNUMBER(Scenarios!$F$139),Scenarios!$F$139&gt;0,8*12&lt;=Scenarios!$F$139),Scenarios!$F$135*Scenarios!$F$136,-CUMIPMT(Scenarios!$F$136/12,Scenarios!$F$137*12,Scenarios!$F$135,(8-1)*12+1,8*12,0)),0))</f>
        <v/>
      </c>
      <c r="R9" s="1045">
        <f>IF(9&gt;IF($J$6="YES",IF(AND(ISNUMBER('Exit Strategy'!$C$5),'Exit Strategy'!$C$5&gt;0),'Exit Strategy'!$C$5,Scenarios!$F$80),Scenarios!$F$80),0,IFERROR(IF(AND(ISNUMBER(Scenarios!$F$139),Scenarios!$F$139&gt;0,9*12&lt;=Scenarios!$F$139),Scenarios!$F$135*Scenarios!$F$136,-CUMIPMT(Scenarios!$F$136/12,Scenarios!$F$137*12,Scenarios!$F$135,(9-1)*12+1,9*12,0)),0))</f>
        <v/>
      </c>
      <c r="S9" s="1045">
        <f>IF(10&gt;IF($J$6="YES",IF(AND(ISNUMBER('Exit Strategy'!$C$5),'Exit Strategy'!$C$5&gt;0),'Exit Strategy'!$C$5,Scenarios!$F$80),Scenarios!$F$80),0,IFERROR(IF(AND(ISNUMBER(Scenarios!$F$139),Scenarios!$F$139&gt;0,10*12&lt;=Scenarios!$F$139),Scenarios!$F$135*Scenarios!$F$136,-CUMIPMT(Scenarios!$F$136/12,Scenarios!$F$137*12,Scenarios!$F$135,(10-1)*12+1,10*12,0)),0))</f>
        <v/>
      </c>
    </row>
    <row r="10">
      <c r="A10" s="8" t="inlineStr">
        <is>
          <t>Origination Fee $</t>
        </is>
      </c>
      <c r="B10" s="75">
        <f>B4*B9</f>
        <v/>
      </c>
      <c r="C10" s="75">
        <f>C4*C9</f>
        <v/>
      </c>
      <c r="D10" s="75">
        <f>D4*D9</f>
        <v/>
      </c>
      <c r="E10" s="119">
        <f>B10+C10+D10</f>
        <v/>
      </c>
      <c r="I10" s="245" t="inlineStr">
        <is>
          <t xml:space="preserve">  Total Debt Service</t>
        </is>
      </c>
      <c r="J10" s="1047">
        <f>J8+J9</f>
        <v/>
      </c>
      <c r="K10" s="1047">
        <f>K8+K9</f>
        <v/>
      </c>
      <c r="L10" s="1047">
        <f>L8+L9</f>
        <v/>
      </c>
      <c r="M10" s="1047">
        <f>M8+M9</f>
        <v/>
      </c>
      <c r="N10" s="1047">
        <f>N8+N9</f>
        <v/>
      </c>
      <c r="O10" s="1047">
        <f>O8+O9</f>
        <v/>
      </c>
      <c r="P10" s="1047">
        <f>P8+P9</f>
        <v/>
      </c>
      <c r="Q10" s="1047">
        <f>Q8+Q9</f>
        <v/>
      </c>
      <c r="R10" s="1047">
        <f>R8+R9</f>
        <v/>
      </c>
      <c r="S10" s="1047">
        <f>S8+S9</f>
        <v/>
      </c>
    </row>
    <row r="11">
      <c r="A11" s="10" t="inlineStr">
        <is>
          <t>Annual Debt Service</t>
        </is>
      </c>
      <c r="B11" s="71">
        <f>IFERROR(IF(B4=0,0,IF(B8&gt;0,B4*B6,B12*12)),0)</f>
        <v/>
      </c>
      <c r="C11" s="71">
        <f>IFERROR(IF(C4=0,0,IF(C8&gt;0,C4*C6,C12*12)),0)</f>
        <v/>
      </c>
      <c r="D11" s="71">
        <f>IFERROR(IF(D4=0,0,IF(D8&gt;0,D4*D6,D12*12)),0)</f>
        <v/>
      </c>
      <c r="E11" s="119">
        <f>B11+C11+D11</f>
        <v/>
      </c>
      <c r="I11" s="383" t="inlineStr">
        <is>
          <t xml:space="preserve">  Ending Balance</t>
        </is>
      </c>
      <c r="J11" s="1048">
        <f>J7-J8</f>
        <v/>
      </c>
      <c r="K11" s="1048">
        <f>K7-K8</f>
        <v/>
      </c>
      <c r="L11" s="1048">
        <f>L7-L8</f>
        <v/>
      </c>
      <c r="M11" s="1048">
        <f>M7-M8</f>
        <v/>
      </c>
      <c r="N11" s="1048">
        <f>N7-N8</f>
        <v/>
      </c>
      <c r="O11" s="1048">
        <f>O7-O8</f>
        <v/>
      </c>
      <c r="P11" s="1048">
        <f>P7-P8</f>
        <v/>
      </c>
      <c r="Q11" s="1048">
        <f>Q7-Q8</f>
        <v/>
      </c>
      <c r="R11" s="1048">
        <f>R7-R8</f>
        <v/>
      </c>
      <c r="S11" s="1048">
        <f>S7-S8</f>
        <v/>
      </c>
    </row>
    <row r="12">
      <c r="A12" s="8" t="inlineStr">
        <is>
          <t>Monthly Payment</t>
        </is>
      </c>
      <c r="B12" s="75">
        <f>IFERROR(IF(B4=0,0,-PMT(B6/12,B5*12,B4)),0)</f>
        <v/>
      </c>
      <c r="C12" s="75">
        <f>IFERROR(IF(C4=0,0,-PMT(C6/12,C5*12,C4)),0)</f>
        <v/>
      </c>
      <c r="D12" s="75">
        <f>IFERROR(IF(D4=0,0,-PMT(D6/12,D5*12,D4)),0)</f>
        <v/>
      </c>
      <c r="E12" s="119">
        <f>B12+C12+D12</f>
        <v/>
      </c>
      <c r="I12" s="373" t="n"/>
      <c r="J12" s="373" t="n"/>
      <c r="K12" s="373" t="n"/>
      <c r="L12" s="373" t="n"/>
      <c r="M12" s="373" t="n"/>
      <c r="N12" s="373" t="n"/>
      <c r="O12" s="373" t="n"/>
      <c r="P12" s="373" t="n"/>
      <c r="Q12" s="373" t="n"/>
      <c r="R12" s="373" t="n"/>
      <c r="S12" s="373" t="n"/>
    </row>
    <row r="13">
      <c r="A13" s="10" t="inlineStr">
        <is>
          <t>Annual Interest (Y1)</t>
        </is>
      </c>
      <c r="B13" s="71">
        <f>IFERROR(B4*B6,0)</f>
        <v/>
      </c>
      <c r="C13" s="71">
        <f>IFERROR(C4*C6,0)</f>
        <v/>
      </c>
      <c r="D13" s="71">
        <f>IFERROR(D4*D6,0)</f>
        <v/>
      </c>
      <c r="E13" s="119">
        <f>B13+C13+D13</f>
        <v/>
      </c>
      <c r="I13" s="385" t="inlineStr">
        <is>
          <t>2nd Mortgage</t>
        </is>
      </c>
      <c r="J13" s="1049">
        <f>IFERROR(Scenarios!$F$142,0)</f>
        <v/>
      </c>
      <c r="K13" s="387" t="n"/>
      <c r="L13" s="387" t="n"/>
      <c r="M13" s="387" t="n"/>
      <c r="N13" s="387" t="n"/>
      <c r="O13" s="387" t="n"/>
      <c r="P13" s="387" t="n"/>
      <c r="Q13" s="387" t="n"/>
      <c r="R13" s="387" t="n"/>
      <c r="S13" s="387" t="n"/>
    </row>
    <row r="14">
      <c r="A14" s="8" t="inlineStr">
        <is>
          <t>Annual Principal (Y1)</t>
        </is>
      </c>
      <c r="B14" s="75">
        <f>IFERROR(ABS(B11)-B13,0)</f>
        <v/>
      </c>
      <c r="C14" s="75">
        <f>IFERROR(ABS(C11)-C13,0)</f>
        <v/>
      </c>
      <c r="D14" s="75">
        <f>IFERROR(ABS(D11)-D13,0)</f>
        <v/>
      </c>
      <c r="E14" s="119">
        <f>B14+C14+D14</f>
        <v/>
      </c>
      <c r="I14" s="379" t="inlineStr">
        <is>
          <t xml:space="preserve">  Exits at Refi? →</t>
        </is>
      </c>
      <c r="J14" s="306" t="inlineStr">
        <is>
          <t>NO</t>
        </is>
      </c>
      <c r="K14" s="380" t="n"/>
      <c r="L14" s="380" t="n"/>
      <c r="M14" s="380" t="n"/>
      <c r="N14" s="380" t="n"/>
      <c r="O14" s="380" t="n"/>
      <c r="P14" s="380" t="n"/>
      <c r="Q14" s="380" t="n"/>
      <c r="R14" s="380" t="n"/>
      <c r="S14" s="380" t="n"/>
    </row>
    <row r="15" ht="16.5" customHeight="1" s="817">
      <c r="I15" s="902" t="inlineStr">
        <is>
          <t xml:space="preserve">  Beginning Balance</t>
        </is>
      </c>
      <c r="J15" s="1045">
        <f>IF(1&lt;=IF($J$14="YES",IF(AND(ISNUMBER('Exit Strategy'!$C$5),'Exit Strategy'!$C$5&gt;0),'Exit Strategy'!$C$5,Scenarios!$F$80),Scenarios!$F$80),IFERROR(Scenarios!$F$142,0),0)</f>
        <v/>
      </c>
      <c r="K15" s="1045">
        <f>IF(2&lt;=IF($J$14="YES",IF(AND(ISNUMBER('Exit Strategy'!$C$5),'Exit Strategy'!$C$5&gt;0),'Exit Strategy'!$C$5,Scenarios!$F$80),Scenarios!$F$80),J19,0)</f>
        <v/>
      </c>
      <c r="L15" s="1045">
        <f>IF(3&lt;=IF($J$14="YES",IF(AND(ISNUMBER('Exit Strategy'!$C$5),'Exit Strategy'!$C$5&gt;0),'Exit Strategy'!$C$5,Scenarios!$F$80),Scenarios!$F$80),K19,0)</f>
        <v/>
      </c>
      <c r="M15" s="1045">
        <f>IF(4&lt;=IF($J$14="YES",IF(AND(ISNUMBER('Exit Strategy'!$C$5),'Exit Strategy'!$C$5&gt;0),'Exit Strategy'!$C$5,Scenarios!$F$80),Scenarios!$F$80),L19,0)</f>
        <v/>
      </c>
      <c r="N15" s="1045">
        <f>IF(5&lt;=IF($J$14="YES",IF(AND(ISNUMBER('Exit Strategy'!$C$5),'Exit Strategy'!$C$5&gt;0),'Exit Strategy'!$C$5,Scenarios!$F$80),Scenarios!$F$80),M19,0)</f>
        <v/>
      </c>
      <c r="O15" s="1045">
        <f>IF(6&lt;=IF($J$14="YES",IF(AND(ISNUMBER('Exit Strategy'!$C$5),'Exit Strategy'!$C$5&gt;0),'Exit Strategy'!$C$5,Scenarios!$F$80),Scenarios!$F$80),N19,0)</f>
        <v/>
      </c>
      <c r="P15" s="1045">
        <f>IF(7&lt;=IF($J$14="YES",IF(AND(ISNUMBER('Exit Strategy'!$C$5),'Exit Strategy'!$C$5&gt;0),'Exit Strategy'!$C$5,Scenarios!$F$80),Scenarios!$F$80),O19,0)</f>
        <v/>
      </c>
      <c r="Q15" s="1045">
        <f>IF(8&lt;=IF($J$14="YES",IF(AND(ISNUMBER('Exit Strategy'!$C$5),'Exit Strategy'!$C$5&gt;0),'Exit Strategy'!$C$5,Scenarios!$F$80),Scenarios!$F$80),P19,0)</f>
        <v/>
      </c>
      <c r="R15" s="1045">
        <f>IF(9&lt;=IF($J$14="YES",IF(AND(ISNUMBER('Exit Strategy'!$C$5),'Exit Strategy'!$C$5&gt;0),'Exit Strategy'!$C$5,Scenarios!$F$80),Scenarios!$F$80),Q19,0)</f>
        <v/>
      </c>
      <c r="S15" s="1045">
        <f>IF(10&lt;=IF($J$14="YES",IF(AND(ISNUMBER('Exit Strategy'!$C$5),'Exit Strategy'!$C$5&gt;0),'Exit Strategy'!$C$5,Scenarios!$F$80),Scenarios!$F$80),R19,0)</f>
        <v/>
      </c>
    </row>
    <row r="16" ht="16.5" customHeight="1" s="817">
      <c r="I16" s="904" t="inlineStr">
        <is>
          <t xml:space="preserve">  Principal Paid</t>
        </is>
      </c>
      <c r="J16" s="1046">
        <f>IF(1&gt;IF($J$14="YES",IF(AND(ISNUMBER('Exit Strategy'!$C$5),'Exit Strategy'!$C$5&gt;0),'Exit Strategy'!$C$5,Scenarios!$F$80),Scenarios!$F$80),0,IFERROR(IF(AND(ISNUMBER(Scenarios!$F$146),Scenarios!$F$146&gt;0,1*12&lt;=Scenarios!$F$146),0,-CUMPRINC(Scenarios!$F$143/12,Scenarios!$F$144*12,Scenarios!$F$142,(1-1)*12+1,1*12,0)),0))</f>
        <v/>
      </c>
      <c r="K16" s="1046">
        <f>IF(2&gt;IF($J$14="YES",IF(AND(ISNUMBER('Exit Strategy'!$C$5),'Exit Strategy'!$C$5&gt;0),'Exit Strategy'!$C$5,Scenarios!$F$80),Scenarios!$F$80),0,IFERROR(IF(AND(ISNUMBER(Scenarios!$F$146),Scenarios!$F$146&gt;0,2*12&lt;=Scenarios!$F$146),0,-CUMPRINC(Scenarios!$F$143/12,Scenarios!$F$144*12,Scenarios!$F$142,(2-1)*12+1,2*12,0)),0))</f>
        <v/>
      </c>
      <c r="L16" s="1046">
        <f>IF(3&gt;IF($J$14="YES",IF(AND(ISNUMBER('Exit Strategy'!$C$5),'Exit Strategy'!$C$5&gt;0),'Exit Strategy'!$C$5,Scenarios!$F$80),Scenarios!$F$80),0,IFERROR(IF(AND(ISNUMBER(Scenarios!$F$146),Scenarios!$F$146&gt;0,3*12&lt;=Scenarios!$F$146),0,-CUMPRINC(Scenarios!$F$143/12,Scenarios!$F$144*12,Scenarios!$F$142,(3-1)*12+1,3*12,0)),0))</f>
        <v/>
      </c>
      <c r="M16" s="1046">
        <f>IF(4&gt;IF($J$14="YES",IF(AND(ISNUMBER('Exit Strategy'!$C$5),'Exit Strategy'!$C$5&gt;0),'Exit Strategy'!$C$5,Scenarios!$F$80),Scenarios!$F$80),0,IFERROR(IF(AND(ISNUMBER(Scenarios!$F$146),Scenarios!$F$146&gt;0,4*12&lt;=Scenarios!$F$146),0,-CUMPRINC(Scenarios!$F$143/12,Scenarios!$F$144*12,Scenarios!$F$142,(4-1)*12+1,4*12,0)),0))</f>
        <v/>
      </c>
      <c r="N16" s="1046">
        <f>IF(5&gt;IF($J$14="YES",IF(AND(ISNUMBER('Exit Strategy'!$C$5),'Exit Strategy'!$C$5&gt;0),'Exit Strategy'!$C$5,Scenarios!$F$80),Scenarios!$F$80),0,IFERROR(IF(AND(ISNUMBER(Scenarios!$F$146),Scenarios!$F$146&gt;0,5*12&lt;=Scenarios!$F$146),0,-CUMPRINC(Scenarios!$F$143/12,Scenarios!$F$144*12,Scenarios!$F$142,(5-1)*12+1,5*12,0)),0))</f>
        <v/>
      </c>
      <c r="O16" s="1046">
        <f>IF(6&gt;IF($J$14="YES",IF(AND(ISNUMBER('Exit Strategy'!$C$5),'Exit Strategy'!$C$5&gt;0),'Exit Strategy'!$C$5,Scenarios!$F$80),Scenarios!$F$80),0,IFERROR(IF(AND(ISNUMBER(Scenarios!$F$146),Scenarios!$F$146&gt;0,6*12&lt;=Scenarios!$F$146),0,-CUMPRINC(Scenarios!$F$143/12,Scenarios!$F$144*12,Scenarios!$F$142,(6-1)*12+1,6*12,0)),0))</f>
        <v/>
      </c>
      <c r="P16" s="1046">
        <f>IF(7&gt;IF($J$14="YES",IF(AND(ISNUMBER('Exit Strategy'!$C$5),'Exit Strategy'!$C$5&gt;0),'Exit Strategy'!$C$5,Scenarios!$F$80),Scenarios!$F$80),0,IFERROR(IF(AND(ISNUMBER(Scenarios!$F$146),Scenarios!$F$146&gt;0,7*12&lt;=Scenarios!$F$146),0,-CUMPRINC(Scenarios!$F$143/12,Scenarios!$F$144*12,Scenarios!$F$142,(7-1)*12+1,7*12,0)),0))</f>
        <v/>
      </c>
      <c r="Q16" s="1046">
        <f>IF(8&gt;IF($J$14="YES",IF(AND(ISNUMBER('Exit Strategy'!$C$5),'Exit Strategy'!$C$5&gt;0),'Exit Strategy'!$C$5,Scenarios!$F$80),Scenarios!$F$80),0,IFERROR(IF(AND(ISNUMBER(Scenarios!$F$146),Scenarios!$F$146&gt;0,8*12&lt;=Scenarios!$F$146),0,-CUMPRINC(Scenarios!$F$143/12,Scenarios!$F$144*12,Scenarios!$F$142,(8-1)*12+1,8*12,0)),0))</f>
        <v/>
      </c>
      <c r="R16" s="1046">
        <f>IF(9&gt;IF($J$14="YES",IF(AND(ISNUMBER('Exit Strategy'!$C$5),'Exit Strategy'!$C$5&gt;0),'Exit Strategy'!$C$5,Scenarios!$F$80),Scenarios!$F$80),0,IFERROR(IF(AND(ISNUMBER(Scenarios!$F$146),Scenarios!$F$146&gt;0,9*12&lt;=Scenarios!$F$146),0,-CUMPRINC(Scenarios!$F$143/12,Scenarios!$F$144*12,Scenarios!$F$142,(9-1)*12+1,9*12,0)),0))</f>
        <v/>
      </c>
      <c r="S16" s="1046">
        <f>IF(10&gt;IF($J$14="YES",IF(AND(ISNUMBER('Exit Strategy'!$C$5),'Exit Strategy'!$C$5&gt;0),'Exit Strategy'!$C$5,Scenarios!$F$80),Scenarios!$F$80),0,IFERROR(IF(AND(ISNUMBER(Scenarios!$F$146),Scenarios!$F$146&gt;0,10*12&lt;=Scenarios!$F$146),0,-CUMPRINC(Scenarios!$F$143/12,Scenarios!$F$144*12,Scenarios!$F$142,(10-1)*12+1,10*12,0)),0))</f>
        <v/>
      </c>
    </row>
    <row r="17" ht="16.5" customHeight="1" s="817">
      <c r="I17" s="902" t="inlineStr">
        <is>
          <t xml:space="preserve">  Interest Paid</t>
        </is>
      </c>
      <c r="J17" s="1045">
        <f>IF(1&gt;IF($J$14="YES",IF(AND(ISNUMBER('Exit Strategy'!$C$5),'Exit Strategy'!$C$5&gt;0),'Exit Strategy'!$C$5,Scenarios!$F$80),Scenarios!$F$80),0,IFERROR(IF(AND(ISNUMBER(Scenarios!$F$146),Scenarios!$F$146&gt;0,1*12&lt;=Scenarios!$F$146),Scenarios!$F$142*Scenarios!$F$143,-CUMIPMT(Scenarios!$F$143/12,Scenarios!$F$144*12,Scenarios!$F$142,(1-1)*12+1,1*12,0)),0))</f>
        <v/>
      </c>
      <c r="K17" s="1045">
        <f>IF(2&gt;IF($J$14="YES",IF(AND(ISNUMBER('Exit Strategy'!$C$5),'Exit Strategy'!$C$5&gt;0),'Exit Strategy'!$C$5,Scenarios!$F$80),Scenarios!$F$80),0,IFERROR(IF(AND(ISNUMBER(Scenarios!$F$146),Scenarios!$F$146&gt;0,2*12&lt;=Scenarios!$F$146),Scenarios!$F$142*Scenarios!$F$143,-CUMIPMT(Scenarios!$F$143/12,Scenarios!$F$144*12,Scenarios!$F$142,(2-1)*12+1,2*12,0)),0))</f>
        <v/>
      </c>
      <c r="L17" s="1045">
        <f>IF(3&gt;IF($J$14="YES",IF(AND(ISNUMBER('Exit Strategy'!$C$5),'Exit Strategy'!$C$5&gt;0),'Exit Strategy'!$C$5,Scenarios!$F$80),Scenarios!$F$80),0,IFERROR(IF(AND(ISNUMBER(Scenarios!$F$146),Scenarios!$F$146&gt;0,3*12&lt;=Scenarios!$F$146),Scenarios!$F$142*Scenarios!$F$143,-CUMIPMT(Scenarios!$F$143/12,Scenarios!$F$144*12,Scenarios!$F$142,(3-1)*12+1,3*12,0)),0))</f>
        <v/>
      </c>
      <c r="M17" s="1045">
        <f>IF(4&gt;IF($J$14="YES",IF(AND(ISNUMBER('Exit Strategy'!$C$5),'Exit Strategy'!$C$5&gt;0),'Exit Strategy'!$C$5,Scenarios!$F$80),Scenarios!$F$80),0,IFERROR(IF(AND(ISNUMBER(Scenarios!$F$146),Scenarios!$F$146&gt;0,4*12&lt;=Scenarios!$F$146),Scenarios!$F$142*Scenarios!$F$143,-CUMIPMT(Scenarios!$F$143/12,Scenarios!$F$144*12,Scenarios!$F$142,(4-1)*12+1,4*12,0)),0))</f>
        <v/>
      </c>
      <c r="N17" s="1045">
        <f>IF(5&gt;IF($J$14="YES",IF(AND(ISNUMBER('Exit Strategy'!$C$5),'Exit Strategy'!$C$5&gt;0),'Exit Strategy'!$C$5,Scenarios!$F$80),Scenarios!$F$80),0,IFERROR(IF(AND(ISNUMBER(Scenarios!$F$146),Scenarios!$F$146&gt;0,5*12&lt;=Scenarios!$F$146),Scenarios!$F$142*Scenarios!$F$143,-CUMIPMT(Scenarios!$F$143/12,Scenarios!$F$144*12,Scenarios!$F$142,(5-1)*12+1,5*12,0)),0))</f>
        <v/>
      </c>
      <c r="O17" s="1045">
        <f>IF(6&gt;IF($J$14="YES",IF(AND(ISNUMBER('Exit Strategy'!$C$5),'Exit Strategy'!$C$5&gt;0),'Exit Strategy'!$C$5,Scenarios!$F$80),Scenarios!$F$80),0,IFERROR(IF(AND(ISNUMBER(Scenarios!$F$146),Scenarios!$F$146&gt;0,6*12&lt;=Scenarios!$F$146),Scenarios!$F$142*Scenarios!$F$143,-CUMIPMT(Scenarios!$F$143/12,Scenarios!$F$144*12,Scenarios!$F$142,(6-1)*12+1,6*12,0)),0))</f>
        <v/>
      </c>
      <c r="P17" s="1045">
        <f>IF(7&gt;IF($J$14="YES",IF(AND(ISNUMBER('Exit Strategy'!$C$5),'Exit Strategy'!$C$5&gt;0),'Exit Strategy'!$C$5,Scenarios!$F$80),Scenarios!$F$80),0,IFERROR(IF(AND(ISNUMBER(Scenarios!$F$146),Scenarios!$F$146&gt;0,7*12&lt;=Scenarios!$F$146),Scenarios!$F$142*Scenarios!$F$143,-CUMIPMT(Scenarios!$F$143/12,Scenarios!$F$144*12,Scenarios!$F$142,(7-1)*12+1,7*12,0)),0))</f>
        <v/>
      </c>
      <c r="Q17" s="1045">
        <f>IF(8&gt;IF($J$14="YES",IF(AND(ISNUMBER('Exit Strategy'!$C$5),'Exit Strategy'!$C$5&gt;0),'Exit Strategy'!$C$5,Scenarios!$F$80),Scenarios!$F$80),0,IFERROR(IF(AND(ISNUMBER(Scenarios!$F$146),Scenarios!$F$146&gt;0,8*12&lt;=Scenarios!$F$146),Scenarios!$F$142*Scenarios!$F$143,-CUMIPMT(Scenarios!$F$143/12,Scenarios!$F$144*12,Scenarios!$F$142,(8-1)*12+1,8*12,0)),0))</f>
        <v/>
      </c>
      <c r="R17" s="1045">
        <f>IF(9&gt;IF($J$14="YES",IF(AND(ISNUMBER('Exit Strategy'!$C$5),'Exit Strategy'!$C$5&gt;0),'Exit Strategy'!$C$5,Scenarios!$F$80),Scenarios!$F$80),0,IFERROR(IF(AND(ISNUMBER(Scenarios!$F$146),Scenarios!$F$146&gt;0,9*12&lt;=Scenarios!$F$146),Scenarios!$F$142*Scenarios!$F$143,-CUMIPMT(Scenarios!$F$143/12,Scenarios!$F$144*12,Scenarios!$F$142,(9-1)*12+1,9*12,0)),0))</f>
        <v/>
      </c>
      <c r="S17" s="1045">
        <f>IF(10&gt;IF($J$14="YES",IF(AND(ISNUMBER('Exit Strategy'!$C$5),'Exit Strategy'!$C$5&gt;0),'Exit Strategy'!$C$5,Scenarios!$F$80),Scenarios!$F$80),0,IFERROR(IF(AND(ISNUMBER(Scenarios!$F$146),Scenarios!$F$146&gt;0,10*12&lt;=Scenarios!$F$146),Scenarios!$F$142*Scenarios!$F$143,-CUMIPMT(Scenarios!$F$143/12,Scenarios!$F$144*12,Scenarios!$F$142,(10-1)*12+1,10*12,0)),0))</f>
        <v/>
      </c>
    </row>
    <row r="18" ht="16.5" customHeight="1" s="817">
      <c r="I18" s="245" t="inlineStr">
        <is>
          <t xml:space="preserve">  Total Debt Service</t>
        </is>
      </c>
      <c r="J18" s="1047">
        <f>J16+J17</f>
        <v/>
      </c>
      <c r="K18" s="1047">
        <f>K16+K17</f>
        <v/>
      </c>
      <c r="L18" s="1047">
        <f>L16+L17</f>
        <v/>
      </c>
      <c r="M18" s="1047">
        <f>M16+M17</f>
        <v/>
      </c>
      <c r="N18" s="1047">
        <f>N16+N17</f>
        <v/>
      </c>
      <c r="O18" s="1047">
        <f>O16+O17</f>
        <v/>
      </c>
      <c r="P18" s="1047">
        <f>P16+P17</f>
        <v/>
      </c>
      <c r="Q18" s="1047">
        <f>Q16+Q17</f>
        <v/>
      </c>
      <c r="R18" s="1047">
        <f>R16+R17</f>
        <v/>
      </c>
      <c r="S18" s="1047">
        <f>S16+S17</f>
        <v/>
      </c>
    </row>
    <row r="19" ht="16.5" customHeight="1" s="817">
      <c r="I19" s="383" t="inlineStr">
        <is>
          <t xml:space="preserve">  Ending Balance</t>
        </is>
      </c>
      <c r="J19" s="1048">
        <f>J15-J16</f>
        <v/>
      </c>
      <c r="K19" s="1048">
        <f>K15-K16</f>
        <v/>
      </c>
      <c r="L19" s="1048">
        <f>L15-L16</f>
        <v/>
      </c>
      <c r="M19" s="1048">
        <f>M15-M16</f>
        <v/>
      </c>
      <c r="N19" s="1048">
        <f>N15-N16</f>
        <v/>
      </c>
      <c r="O19" s="1048">
        <f>O15-O16</f>
        <v/>
      </c>
      <c r="P19" s="1048">
        <f>P15-P16</f>
        <v/>
      </c>
      <c r="Q19" s="1048">
        <f>Q15-Q16</f>
        <v/>
      </c>
      <c r="R19" s="1048">
        <f>R15-R16</f>
        <v/>
      </c>
      <c r="S19" s="1048">
        <f>S15-S16</f>
        <v/>
      </c>
    </row>
    <row r="20" ht="6" customHeight="1" s="817">
      <c r="I20" s="373" t="n"/>
      <c r="J20" s="373" t="n"/>
      <c r="K20" s="373" t="n"/>
      <c r="L20" s="373" t="n"/>
      <c r="M20" s="373" t="n"/>
      <c r="N20" s="373" t="n"/>
      <c r="O20" s="373" t="n"/>
      <c r="P20" s="373" t="n"/>
      <c r="Q20" s="373" t="n"/>
      <c r="R20" s="373" t="n"/>
      <c r="S20" s="373" t="n"/>
    </row>
    <row r="21" ht="19.5" customHeight="1" s="817">
      <c r="I21" s="388" t="inlineStr">
        <is>
          <t>Supplemental</t>
        </is>
      </c>
      <c r="J21" s="1050">
        <f>IFERROR(Scenarios!$F$149,0)</f>
        <v/>
      </c>
      <c r="K21" s="389" t="n"/>
      <c r="L21" s="389" t="n"/>
      <c r="M21" s="389" t="n"/>
      <c r="N21" s="389" t="n"/>
      <c r="O21" s="389" t="n"/>
      <c r="P21" s="389" t="n"/>
      <c r="Q21" s="389" t="n"/>
      <c r="R21" s="389" t="n"/>
      <c r="S21" s="389" t="n"/>
    </row>
    <row r="22" ht="16.5" customHeight="1" s="817">
      <c r="I22" s="379" t="inlineStr">
        <is>
          <t xml:space="preserve">  Exits at Refi? →</t>
        </is>
      </c>
      <c r="J22" s="306" t="inlineStr">
        <is>
          <t>YES</t>
        </is>
      </c>
      <c r="K22" s="380" t="n"/>
      <c r="L22" s="380" t="n"/>
      <c r="M22" s="380" t="n"/>
      <c r="N22" s="380" t="n"/>
      <c r="O22" s="380" t="n"/>
      <c r="P22" s="380" t="n"/>
      <c r="Q22" s="380" t="n"/>
      <c r="R22" s="380" t="n"/>
      <c r="S22" s="380" t="n"/>
    </row>
    <row r="23" ht="16.5" customHeight="1" s="817">
      <c r="I23" s="902" t="inlineStr">
        <is>
          <t xml:space="preserve">  Beginning Balance</t>
        </is>
      </c>
      <c r="J23" s="1045">
        <f>IF(1&lt;=IF($J$22="YES",IF(AND(ISNUMBER('Exit Strategy'!$C$5),'Exit Strategy'!$C$5&gt;0),'Exit Strategy'!$C$5,Scenarios!$F$80),Scenarios!$F$80),IFERROR(Scenarios!$F$149,0),0)</f>
        <v/>
      </c>
      <c r="K23" s="1045">
        <f>IF(2&lt;=IF($J$22="YES",IF(AND(ISNUMBER('Exit Strategy'!$C$5),'Exit Strategy'!$C$5&gt;0),'Exit Strategy'!$C$5,Scenarios!$F$80),Scenarios!$F$80),J27,0)</f>
        <v/>
      </c>
      <c r="L23" s="1045">
        <f>IF(3&lt;=IF($J$22="YES",IF(AND(ISNUMBER('Exit Strategy'!$C$5),'Exit Strategy'!$C$5&gt;0),'Exit Strategy'!$C$5,Scenarios!$F$80),Scenarios!$F$80),K27,0)</f>
        <v/>
      </c>
      <c r="M23" s="1045">
        <f>IF(4&lt;=IF($J$22="YES",IF(AND(ISNUMBER('Exit Strategy'!$C$5),'Exit Strategy'!$C$5&gt;0),'Exit Strategy'!$C$5,Scenarios!$F$80),Scenarios!$F$80),L27,0)</f>
        <v/>
      </c>
      <c r="N23" s="1045">
        <f>IF(5&lt;=IF($J$22="YES",IF(AND(ISNUMBER('Exit Strategy'!$C$5),'Exit Strategy'!$C$5&gt;0),'Exit Strategy'!$C$5,Scenarios!$F$80),Scenarios!$F$80),M27,0)</f>
        <v/>
      </c>
      <c r="O23" s="1045">
        <f>IF(6&lt;=IF($J$22="YES",IF(AND(ISNUMBER('Exit Strategy'!$C$5),'Exit Strategy'!$C$5&gt;0),'Exit Strategy'!$C$5,Scenarios!$F$80),Scenarios!$F$80),N27,0)</f>
        <v/>
      </c>
      <c r="P23" s="1045">
        <f>IF(7&lt;=IF($J$22="YES",IF(AND(ISNUMBER('Exit Strategy'!$C$5),'Exit Strategy'!$C$5&gt;0),'Exit Strategy'!$C$5,Scenarios!$F$80),Scenarios!$F$80),O27,0)</f>
        <v/>
      </c>
      <c r="Q23" s="1045">
        <f>IF(8&lt;=IF($J$22="YES",IF(AND(ISNUMBER('Exit Strategy'!$C$5),'Exit Strategy'!$C$5&gt;0),'Exit Strategy'!$C$5,Scenarios!$F$80),Scenarios!$F$80),P27,0)</f>
        <v/>
      </c>
      <c r="R23" s="1045">
        <f>IF(9&lt;=IF($J$22="YES",IF(AND(ISNUMBER('Exit Strategy'!$C$5),'Exit Strategy'!$C$5&gt;0),'Exit Strategy'!$C$5,Scenarios!$F$80),Scenarios!$F$80),Q27,0)</f>
        <v/>
      </c>
      <c r="S23" s="1045">
        <f>IF(10&lt;=IF($J$22="YES",IF(AND(ISNUMBER('Exit Strategy'!$C$5),'Exit Strategy'!$C$5&gt;0),'Exit Strategy'!$C$5,Scenarios!$F$80),Scenarios!$F$80),R27,0)</f>
        <v/>
      </c>
    </row>
    <row r="24" ht="16.5" customHeight="1" s="817">
      <c r="I24" s="904" t="inlineStr">
        <is>
          <t xml:space="preserve">  Principal Paid</t>
        </is>
      </c>
      <c r="J24" s="1046">
        <f>IF(1&gt;IF($J$22="YES",IF(AND(ISNUMBER('Exit Strategy'!$C$5),'Exit Strategy'!$C$5&gt;0),'Exit Strategy'!$C$5,Scenarios!$F$80),Scenarios!$F$80),0,IFERROR(IF(AND(ISNUMBER(Scenarios!$F$153),Scenarios!$F$153&gt;0,1*12&lt;=Scenarios!$F$153),0,-CUMPRINC(Scenarios!$F$150/12,Scenarios!$F$151*12,Scenarios!$F$149,(1-1)*12+1,1*12,0)),0))</f>
        <v/>
      </c>
      <c r="K24" s="1046">
        <f>IF(2&gt;IF($J$22="YES",IF(AND(ISNUMBER('Exit Strategy'!$C$5),'Exit Strategy'!$C$5&gt;0),'Exit Strategy'!$C$5,Scenarios!$F$80),Scenarios!$F$80),0,IFERROR(IF(AND(ISNUMBER(Scenarios!$F$153),Scenarios!$F$153&gt;0,2*12&lt;=Scenarios!$F$153),0,-CUMPRINC(Scenarios!$F$150/12,Scenarios!$F$151*12,Scenarios!$F$149,(2-1)*12+1,2*12,0)),0))</f>
        <v/>
      </c>
      <c r="L24" s="1046">
        <f>IF(3&gt;IF($J$22="YES",IF(AND(ISNUMBER('Exit Strategy'!$C$5),'Exit Strategy'!$C$5&gt;0),'Exit Strategy'!$C$5,Scenarios!$F$80),Scenarios!$F$80),0,IFERROR(IF(AND(ISNUMBER(Scenarios!$F$153),Scenarios!$F$153&gt;0,3*12&lt;=Scenarios!$F$153),0,-CUMPRINC(Scenarios!$F$150/12,Scenarios!$F$151*12,Scenarios!$F$149,(3-1)*12+1,3*12,0)),0))</f>
        <v/>
      </c>
      <c r="M24" s="1046">
        <f>IF(4&gt;IF($J$22="YES",IF(AND(ISNUMBER('Exit Strategy'!$C$5),'Exit Strategy'!$C$5&gt;0),'Exit Strategy'!$C$5,Scenarios!$F$80),Scenarios!$F$80),0,IFERROR(IF(AND(ISNUMBER(Scenarios!$F$153),Scenarios!$F$153&gt;0,4*12&lt;=Scenarios!$F$153),0,-CUMPRINC(Scenarios!$F$150/12,Scenarios!$F$151*12,Scenarios!$F$149,(4-1)*12+1,4*12,0)),0))</f>
        <v/>
      </c>
      <c r="N24" s="1046">
        <f>IF(5&gt;IF($J$22="YES",IF(AND(ISNUMBER('Exit Strategy'!$C$5),'Exit Strategy'!$C$5&gt;0),'Exit Strategy'!$C$5,Scenarios!$F$80),Scenarios!$F$80),0,IFERROR(IF(AND(ISNUMBER(Scenarios!$F$153),Scenarios!$F$153&gt;0,5*12&lt;=Scenarios!$F$153),0,-CUMPRINC(Scenarios!$F$150/12,Scenarios!$F$151*12,Scenarios!$F$149,(5-1)*12+1,5*12,0)),0))</f>
        <v/>
      </c>
      <c r="O24" s="1046">
        <f>IF(6&gt;IF($J$22="YES",IF(AND(ISNUMBER('Exit Strategy'!$C$5),'Exit Strategy'!$C$5&gt;0),'Exit Strategy'!$C$5,Scenarios!$F$80),Scenarios!$F$80),0,IFERROR(IF(AND(ISNUMBER(Scenarios!$F$153),Scenarios!$F$153&gt;0,6*12&lt;=Scenarios!$F$153),0,-CUMPRINC(Scenarios!$F$150/12,Scenarios!$F$151*12,Scenarios!$F$149,(6-1)*12+1,6*12,0)),0))</f>
        <v/>
      </c>
      <c r="P24" s="1046">
        <f>IF(7&gt;IF($J$22="YES",IF(AND(ISNUMBER('Exit Strategy'!$C$5),'Exit Strategy'!$C$5&gt;0),'Exit Strategy'!$C$5,Scenarios!$F$80),Scenarios!$F$80),0,IFERROR(IF(AND(ISNUMBER(Scenarios!$F$153),Scenarios!$F$153&gt;0,7*12&lt;=Scenarios!$F$153),0,-CUMPRINC(Scenarios!$F$150/12,Scenarios!$F$151*12,Scenarios!$F$149,(7-1)*12+1,7*12,0)),0))</f>
        <v/>
      </c>
      <c r="Q24" s="1046">
        <f>IF(8&gt;IF($J$22="YES",IF(AND(ISNUMBER('Exit Strategy'!$C$5),'Exit Strategy'!$C$5&gt;0),'Exit Strategy'!$C$5,Scenarios!$F$80),Scenarios!$F$80),0,IFERROR(IF(AND(ISNUMBER(Scenarios!$F$153),Scenarios!$F$153&gt;0,8*12&lt;=Scenarios!$F$153),0,-CUMPRINC(Scenarios!$F$150/12,Scenarios!$F$151*12,Scenarios!$F$149,(8-1)*12+1,8*12,0)),0))</f>
        <v/>
      </c>
      <c r="R24" s="1046">
        <f>IF(9&gt;IF($J$22="YES",IF(AND(ISNUMBER('Exit Strategy'!$C$5),'Exit Strategy'!$C$5&gt;0),'Exit Strategy'!$C$5,Scenarios!$F$80),Scenarios!$F$80),0,IFERROR(IF(AND(ISNUMBER(Scenarios!$F$153),Scenarios!$F$153&gt;0,9*12&lt;=Scenarios!$F$153),0,-CUMPRINC(Scenarios!$F$150/12,Scenarios!$F$151*12,Scenarios!$F$149,(9-1)*12+1,9*12,0)),0))</f>
        <v/>
      </c>
      <c r="S24" s="1046">
        <f>IF(10&gt;IF($J$22="YES",IF(AND(ISNUMBER('Exit Strategy'!$C$5),'Exit Strategy'!$C$5&gt;0),'Exit Strategy'!$C$5,Scenarios!$F$80),Scenarios!$F$80),0,IFERROR(IF(AND(ISNUMBER(Scenarios!$F$153),Scenarios!$F$153&gt;0,10*12&lt;=Scenarios!$F$153),0,-CUMPRINC(Scenarios!$F$150/12,Scenarios!$F$151*12,Scenarios!$F$149,(10-1)*12+1,10*12,0)),0))</f>
        <v/>
      </c>
    </row>
    <row r="25" ht="16.5" customHeight="1" s="817">
      <c r="I25" s="902" t="inlineStr">
        <is>
          <t xml:space="preserve">  Interest Paid</t>
        </is>
      </c>
      <c r="J25" s="1045">
        <f>IF(1&gt;IF($J$22="YES",IF(AND(ISNUMBER('Exit Strategy'!$C$5),'Exit Strategy'!$C$5&gt;0),'Exit Strategy'!$C$5,Scenarios!$F$80),Scenarios!$F$80),0,IFERROR(IF(AND(ISNUMBER(Scenarios!$F$153),Scenarios!$F$153&gt;0,1*12&lt;=Scenarios!$F$153),Scenarios!$F$149*Scenarios!$F$150,-CUMIPMT(Scenarios!$F$150/12,Scenarios!$F$151*12,Scenarios!$F$149,(1-1)*12+1,1*12,0)),0))</f>
        <v/>
      </c>
      <c r="K25" s="1045">
        <f>IF(2&gt;IF($J$22="YES",IF(AND(ISNUMBER('Exit Strategy'!$C$5),'Exit Strategy'!$C$5&gt;0),'Exit Strategy'!$C$5,Scenarios!$F$80),Scenarios!$F$80),0,IFERROR(IF(AND(ISNUMBER(Scenarios!$F$153),Scenarios!$F$153&gt;0,2*12&lt;=Scenarios!$F$153),Scenarios!$F$149*Scenarios!$F$150,-CUMIPMT(Scenarios!$F$150/12,Scenarios!$F$151*12,Scenarios!$F$149,(2-1)*12+1,2*12,0)),0))</f>
        <v/>
      </c>
      <c r="L25" s="1045">
        <f>IF(3&gt;IF($J$22="YES",IF(AND(ISNUMBER('Exit Strategy'!$C$5),'Exit Strategy'!$C$5&gt;0),'Exit Strategy'!$C$5,Scenarios!$F$80),Scenarios!$F$80),0,IFERROR(IF(AND(ISNUMBER(Scenarios!$F$153),Scenarios!$F$153&gt;0,3*12&lt;=Scenarios!$F$153),Scenarios!$F$149*Scenarios!$F$150,-CUMIPMT(Scenarios!$F$150/12,Scenarios!$F$151*12,Scenarios!$F$149,(3-1)*12+1,3*12,0)),0))</f>
        <v/>
      </c>
      <c r="M25" s="1045">
        <f>IF(4&gt;IF($J$22="YES",IF(AND(ISNUMBER('Exit Strategy'!$C$5),'Exit Strategy'!$C$5&gt;0),'Exit Strategy'!$C$5,Scenarios!$F$80),Scenarios!$F$80),0,IFERROR(IF(AND(ISNUMBER(Scenarios!$F$153),Scenarios!$F$153&gt;0,4*12&lt;=Scenarios!$F$153),Scenarios!$F$149*Scenarios!$F$150,-CUMIPMT(Scenarios!$F$150/12,Scenarios!$F$151*12,Scenarios!$F$149,(4-1)*12+1,4*12,0)),0))</f>
        <v/>
      </c>
      <c r="N25" s="1045">
        <f>IF(5&gt;IF($J$22="YES",IF(AND(ISNUMBER('Exit Strategy'!$C$5),'Exit Strategy'!$C$5&gt;0),'Exit Strategy'!$C$5,Scenarios!$F$80),Scenarios!$F$80),0,IFERROR(IF(AND(ISNUMBER(Scenarios!$F$153),Scenarios!$F$153&gt;0,5*12&lt;=Scenarios!$F$153),Scenarios!$F$149*Scenarios!$F$150,-CUMIPMT(Scenarios!$F$150/12,Scenarios!$F$151*12,Scenarios!$F$149,(5-1)*12+1,5*12,0)),0))</f>
        <v/>
      </c>
      <c r="O25" s="1045">
        <f>IF(6&gt;IF($J$22="YES",IF(AND(ISNUMBER('Exit Strategy'!$C$5),'Exit Strategy'!$C$5&gt;0),'Exit Strategy'!$C$5,Scenarios!$F$80),Scenarios!$F$80),0,IFERROR(IF(AND(ISNUMBER(Scenarios!$F$153),Scenarios!$F$153&gt;0,6*12&lt;=Scenarios!$F$153),Scenarios!$F$149*Scenarios!$F$150,-CUMIPMT(Scenarios!$F$150/12,Scenarios!$F$151*12,Scenarios!$F$149,(6-1)*12+1,6*12,0)),0))</f>
        <v/>
      </c>
      <c r="P25" s="1045">
        <f>IF(7&gt;IF($J$22="YES",IF(AND(ISNUMBER('Exit Strategy'!$C$5),'Exit Strategy'!$C$5&gt;0),'Exit Strategy'!$C$5,Scenarios!$F$80),Scenarios!$F$80),0,IFERROR(IF(AND(ISNUMBER(Scenarios!$F$153),Scenarios!$F$153&gt;0,7*12&lt;=Scenarios!$F$153),Scenarios!$F$149*Scenarios!$F$150,-CUMIPMT(Scenarios!$F$150/12,Scenarios!$F$151*12,Scenarios!$F$149,(7-1)*12+1,7*12,0)),0))</f>
        <v/>
      </c>
      <c r="Q25" s="1045">
        <f>IF(8&gt;IF($J$22="YES",IF(AND(ISNUMBER('Exit Strategy'!$C$5),'Exit Strategy'!$C$5&gt;0),'Exit Strategy'!$C$5,Scenarios!$F$80),Scenarios!$F$80),0,IFERROR(IF(AND(ISNUMBER(Scenarios!$F$153),Scenarios!$F$153&gt;0,8*12&lt;=Scenarios!$F$153),Scenarios!$F$149*Scenarios!$F$150,-CUMIPMT(Scenarios!$F$150/12,Scenarios!$F$151*12,Scenarios!$F$149,(8-1)*12+1,8*12,0)),0))</f>
        <v/>
      </c>
      <c r="R25" s="1045">
        <f>IF(9&gt;IF($J$22="YES",IF(AND(ISNUMBER('Exit Strategy'!$C$5),'Exit Strategy'!$C$5&gt;0),'Exit Strategy'!$C$5,Scenarios!$F$80),Scenarios!$F$80),0,IFERROR(IF(AND(ISNUMBER(Scenarios!$F$153),Scenarios!$F$153&gt;0,9*12&lt;=Scenarios!$F$153),Scenarios!$F$149*Scenarios!$F$150,-CUMIPMT(Scenarios!$F$150/12,Scenarios!$F$151*12,Scenarios!$F$149,(9-1)*12+1,9*12,0)),0))</f>
        <v/>
      </c>
      <c r="S25" s="1045">
        <f>IF(10&gt;IF($J$22="YES",IF(AND(ISNUMBER('Exit Strategy'!$C$5),'Exit Strategy'!$C$5&gt;0),'Exit Strategy'!$C$5,Scenarios!$F$80),Scenarios!$F$80),0,IFERROR(IF(AND(ISNUMBER(Scenarios!$F$153),Scenarios!$F$153&gt;0,10*12&lt;=Scenarios!$F$153),Scenarios!$F$149*Scenarios!$F$150,-CUMIPMT(Scenarios!$F$150/12,Scenarios!$F$151*12,Scenarios!$F$149,(10-1)*12+1,10*12,0)),0))</f>
        <v/>
      </c>
    </row>
    <row r="26" ht="16.5" customHeight="1" s="817">
      <c r="I26" s="245" t="inlineStr">
        <is>
          <t xml:space="preserve">  Total Debt Service</t>
        </is>
      </c>
      <c r="J26" s="1047">
        <f>J24+J25</f>
        <v/>
      </c>
      <c r="K26" s="1047">
        <f>K24+K25</f>
        <v/>
      </c>
      <c r="L26" s="1047">
        <f>L24+L25</f>
        <v/>
      </c>
      <c r="M26" s="1047">
        <f>M24+M25</f>
        <v/>
      </c>
      <c r="N26" s="1047">
        <f>N24+N25</f>
        <v/>
      </c>
      <c r="O26" s="1047">
        <f>O24+O25</f>
        <v/>
      </c>
      <c r="P26" s="1047">
        <f>P24+P25</f>
        <v/>
      </c>
      <c r="Q26" s="1047">
        <f>Q24+Q25</f>
        <v/>
      </c>
      <c r="R26" s="1047">
        <f>R24+R25</f>
        <v/>
      </c>
      <c r="S26" s="1047">
        <f>S24+S25</f>
        <v/>
      </c>
    </row>
    <row r="27" ht="16.5" customHeight="1" s="817">
      <c r="I27" s="383" t="inlineStr">
        <is>
          <t xml:space="preserve">  Ending Balance</t>
        </is>
      </c>
      <c r="J27" s="1048">
        <f>J23-J24</f>
        <v/>
      </c>
      <c r="K27" s="1048">
        <f>K23-K24</f>
        <v/>
      </c>
      <c r="L27" s="1048">
        <f>L23-L24</f>
        <v/>
      </c>
      <c r="M27" s="1048">
        <f>M23-M24</f>
        <v/>
      </c>
      <c r="N27" s="1048">
        <f>N23-N24</f>
        <v/>
      </c>
      <c r="O27" s="1048">
        <f>O23-O24</f>
        <v/>
      </c>
      <c r="P27" s="1048">
        <f>P23-P24</f>
        <v/>
      </c>
      <c r="Q27" s="1048">
        <f>Q23-Q24</f>
        <v/>
      </c>
      <c r="R27" s="1048">
        <f>R23-R24</f>
        <v/>
      </c>
      <c r="S27" s="1048">
        <f>S23-S24</f>
        <v/>
      </c>
    </row>
    <row r="28" ht="6" customHeight="1" s="817">
      <c r="I28" s="373" t="n"/>
      <c r="J28" s="373" t="n"/>
      <c r="K28" s="373" t="n"/>
      <c r="L28" s="373" t="n"/>
      <c r="M28" s="373" t="n"/>
      <c r="N28" s="373" t="n"/>
      <c r="O28" s="373" t="n"/>
      <c r="P28" s="373" t="n"/>
      <c r="Q28" s="373" t="n"/>
      <c r="R28" s="373" t="n"/>
      <c r="S28" s="373" t="n"/>
    </row>
    <row r="29" ht="19.5" customHeight="1" s="817">
      <c r="I29" s="390" t="inlineStr">
        <is>
          <t>1st Mortgage Refi</t>
        </is>
      </c>
      <c r="J29" s="1051">
        <f>IFERROR('Exit Strategy'!$C$12,0)</f>
        <v/>
      </c>
      <c r="K29" s="392" t="n"/>
      <c r="L29" s="392" t="n"/>
      <c r="M29" s="392" t="n"/>
      <c r="N29" s="392" t="n"/>
      <c r="O29" s="392" t="n"/>
      <c r="P29" s="392" t="n"/>
      <c r="Q29" s="392" t="n"/>
      <c r="R29" s="392" t="n"/>
      <c r="S29" s="392" t="n"/>
    </row>
    <row r="30" ht="16.5" customHeight="1" s="817">
      <c r="I30" s="902" t="inlineStr">
        <is>
          <t xml:space="preserve">  Beginning Balance</t>
        </is>
      </c>
      <c r="J30" s="1045">
        <f>0</f>
        <v/>
      </c>
      <c r="K30" s="1045">
        <f>IF(AND(ISNUMBER('Exit Strategy'!$C$5),2&gt;'Exit Strategy'!$C$5,2&lt;=Scenarios!$F$80),IF(2=IFERROR('Exit Strategy'!$C$5+1,10000),'Exit Strategy'!$C$12,J34),0)</f>
        <v/>
      </c>
      <c r="L30" s="1045">
        <f>IF(AND(ISNUMBER('Exit Strategy'!$C$5),3&gt;'Exit Strategy'!$C$5,3&lt;=Scenarios!$F$80),IF(3=IFERROR('Exit Strategy'!$C$5+1,10000),'Exit Strategy'!$C$12,K34),0)</f>
        <v/>
      </c>
      <c r="M30" s="1045">
        <f>IF(AND(ISNUMBER('Exit Strategy'!$C$5),4&gt;'Exit Strategy'!$C$5,4&lt;=Scenarios!$F$80),IF(4=IFERROR('Exit Strategy'!$C$5+1,10000),'Exit Strategy'!$C$12,L34),0)</f>
        <v/>
      </c>
      <c r="N30" s="1045">
        <f>IF(AND(ISNUMBER('Exit Strategy'!$C$5),5&gt;'Exit Strategy'!$C$5,5&lt;=Scenarios!$F$80),IF(5=IFERROR('Exit Strategy'!$C$5+1,10000),'Exit Strategy'!$C$12,M34),0)</f>
        <v/>
      </c>
      <c r="O30" s="1045">
        <f>IF(AND(ISNUMBER('Exit Strategy'!$C$5),6&gt;'Exit Strategy'!$C$5,6&lt;=Scenarios!$F$80),IF(6=IFERROR('Exit Strategy'!$C$5+1,10000),'Exit Strategy'!$C$12,N34),0)</f>
        <v/>
      </c>
      <c r="P30" s="1045">
        <f>IF(AND(ISNUMBER('Exit Strategy'!$C$5),7&gt;'Exit Strategy'!$C$5,7&lt;=Scenarios!$F$80),IF(7=IFERROR('Exit Strategy'!$C$5+1,10000),'Exit Strategy'!$C$12,O34),0)</f>
        <v/>
      </c>
      <c r="Q30" s="1045">
        <f>IF(AND(ISNUMBER('Exit Strategy'!$C$5),8&gt;'Exit Strategy'!$C$5,8&lt;=Scenarios!$F$80),IF(8=IFERROR('Exit Strategy'!$C$5+1,10000),'Exit Strategy'!$C$12,P34),0)</f>
        <v/>
      </c>
      <c r="R30" s="1045">
        <f>IF(AND(ISNUMBER('Exit Strategy'!$C$5),9&gt;'Exit Strategy'!$C$5,9&lt;=Scenarios!$F$80),IF(9=IFERROR('Exit Strategy'!$C$5+1,10000),'Exit Strategy'!$C$12,Q34),0)</f>
        <v/>
      </c>
      <c r="S30" s="1045">
        <f>IF(AND(ISNUMBER('Exit Strategy'!$C$5),10&gt;'Exit Strategy'!$C$5,10&lt;=Scenarios!$F$80),IF(10=IFERROR('Exit Strategy'!$C$5+1,10000),'Exit Strategy'!$C$12,R34),0)</f>
        <v/>
      </c>
    </row>
    <row r="31" ht="16.5" customHeight="1" s="817">
      <c r="I31" s="904" t="inlineStr">
        <is>
          <t xml:space="preserve">  Principal Paid</t>
        </is>
      </c>
      <c r="J31" s="1046">
        <f>IF(AND(ISNUMBER('Exit Strategy'!$C$5),1&gt;'Exit Strategy'!$C$5,1&lt;=Scenarios!$F$80),IF((1-'Exit Strategy'!$C$5)*12&lt;=IFERROR('Exit Strategy'!$C$28,0),0,IFERROR(-CUMPRINC('Exit Strategy'!$C$10/12,'Exit Strategy'!$C$11*12,'Exit Strategy'!$C$12,MAX((1-'Exit Strategy'!$C$5-1)*12+1-IFERROR('Exit Strategy'!$C$28,0),1),(1-'Exit Strategy'!$C$5)*12-IFERROR('Exit Strategy'!$C$28,0),0),0)),0)</f>
        <v/>
      </c>
      <c r="K31" s="1046">
        <f>IF(AND(ISNUMBER('Exit Strategy'!$C$5),2&gt;'Exit Strategy'!$C$5,2&lt;=Scenarios!$F$80),IF((2-'Exit Strategy'!$C$5)*12&lt;=IFERROR('Exit Strategy'!$C$28,0),0,IFERROR(-CUMPRINC('Exit Strategy'!$C$10/12,'Exit Strategy'!$C$11*12,'Exit Strategy'!$C$12,MAX((2-'Exit Strategy'!$C$5-1)*12+1-IFERROR('Exit Strategy'!$C$28,0),1),(2-'Exit Strategy'!$C$5)*12-IFERROR('Exit Strategy'!$C$28,0),0),0)),0)</f>
        <v/>
      </c>
      <c r="L31" s="1046">
        <f>IF(AND(ISNUMBER('Exit Strategy'!$C$5),3&gt;'Exit Strategy'!$C$5,3&lt;=Scenarios!$F$80),IF((3-'Exit Strategy'!$C$5)*12&lt;=IFERROR('Exit Strategy'!$C$28,0),0,IFERROR(-CUMPRINC('Exit Strategy'!$C$10/12,'Exit Strategy'!$C$11*12,'Exit Strategy'!$C$12,MAX((3-'Exit Strategy'!$C$5-1)*12+1-IFERROR('Exit Strategy'!$C$28,0),1),(3-'Exit Strategy'!$C$5)*12-IFERROR('Exit Strategy'!$C$28,0),0),0)),0)</f>
        <v/>
      </c>
      <c r="M31" s="1046">
        <f>IF(AND(ISNUMBER('Exit Strategy'!$C$5),4&gt;'Exit Strategy'!$C$5,4&lt;=Scenarios!$F$80),IF((4-'Exit Strategy'!$C$5)*12&lt;=IFERROR('Exit Strategy'!$C$28,0),0,IFERROR(-CUMPRINC('Exit Strategy'!$C$10/12,'Exit Strategy'!$C$11*12,'Exit Strategy'!$C$12,MAX((4-'Exit Strategy'!$C$5-1)*12+1-IFERROR('Exit Strategy'!$C$28,0),1),(4-'Exit Strategy'!$C$5)*12-IFERROR('Exit Strategy'!$C$28,0),0),0)),0)</f>
        <v/>
      </c>
      <c r="N31" s="1046">
        <f>IF(AND(ISNUMBER('Exit Strategy'!$C$5),5&gt;'Exit Strategy'!$C$5,5&lt;=Scenarios!$F$80),IF((5-'Exit Strategy'!$C$5)*12&lt;=IFERROR('Exit Strategy'!$C$28,0),0,IFERROR(-CUMPRINC('Exit Strategy'!$C$10/12,'Exit Strategy'!$C$11*12,'Exit Strategy'!$C$12,MAX((5-'Exit Strategy'!$C$5-1)*12+1-IFERROR('Exit Strategy'!$C$28,0),1),(5-'Exit Strategy'!$C$5)*12-IFERROR('Exit Strategy'!$C$28,0),0),0)),0)</f>
        <v/>
      </c>
      <c r="O31" s="1046">
        <f>IF(AND(ISNUMBER('Exit Strategy'!$C$5),6&gt;'Exit Strategy'!$C$5,6&lt;=Scenarios!$F$80),IF((6-'Exit Strategy'!$C$5)*12&lt;=IFERROR('Exit Strategy'!$C$28,0),0,IFERROR(-CUMPRINC('Exit Strategy'!$C$10/12,'Exit Strategy'!$C$11*12,'Exit Strategy'!$C$12,MAX((6-'Exit Strategy'!$C$5-1)*12+1-IFERROR('Exit Strategy'!$C$28,0),1),(6-'Exit Strategy'!$C$5)*12-IFERROR('Exit Strategy'!$C$28,0),0),0)),0)</f>
        <v/>
      </c>
      <c r="P31" s="1046">
        <f>IF(AND(ISNUMBER('Exit Strategy'!$C$5),7&gt;'Exit Strategy'!$C$5,7&lt;=Scenarios!$F$80),IF((7-'Exit Strategy'!$C$5)*12&lt;=IFERROR('Exit Strategy'!$C$28,0),0,IFERROR(-CUMPRINC('Exit Strategy'!$C$10/12,'Exit Strategy'!$C$11*12,'Exit Strategy'!$C$12,MAX((7-'Exit Strategy'!$C$5-1)*12+1-IFERROR('Exit Strategy'!$C$28,0),1),(7-'Exit Strategy'!$C$5)*12-IFERROR('Exit Strategy'!$C$28,0),0),0)),0)</f>
        <v/>
      </c>
      <c r="Q31" s="1046">
        <f>IF(AND(ISNUMBER('Exit Strategy'!$C$5),8&gt;'Exit Strategy'!$C$5,8&lt;=Scenarios!$F$80),IF((8-'Exit Strategy'!$C$5)*12&lt;=IFERROR('Exit Strategy'!$C$28,0),0,IFERROR(-CUMPRINC('Exit Strategy'!$C$10/12,'Exit Strategy'!$C$11*12,'Exit Strategy'!$C$12,MAX((8-'Exit Strategy'!$C$5-1)*12+1-IFERROR('Exit Strategy'!$C$28,0),1),(8-'Exit Strategy'!$C$5)*12-IFERROR('Exit Strategy'!$C$28,0),0),0)),0)</f>
        <v/>
      </c>
      <c r="R31" s="1046">
        <f>IF(AND(ISNUMBER('Exit Strategy'!$C$5),9&gt;'Exit Strategy'!$C$5,9&lt;=Scenarios!$F$80),IF((9-'Exit Strategy'!$C$5)*12&lt;=IFERROR('Exit Strategy'!$C$28,0),0,IFERROR(-CUMPRINC('Exit Strategy'!$C$10/12,'Exit Strategy'!$C$11*12,'Exit Strategy'!$C$12,MAX((9-'Exit Strategy'!$C$5-1)*12+1-IFERROR('Exit Strategy'!$C$28,0),1),(9-'Exit Strategy'!$C$5)*12-IFERROR('Exit Strategy'!$C$28,0),0),0)),0)</f>
        <v/>
      </c>
      <c r="S31" s="1046">
        <f>IF(AND(ISNUMBER('Exit Strategy'!$C$5),10&gt;'Exit Strategy'!$C$5,10&lt;=Scenarios!$F$80),IF((10-'Exit Strategy'!$C$5)*12&lt;=IFERROR('Exit Strategy'!$C$28,0),0,IFERROR(-CUMPRINC('Exit Strategy'!$C$10/12,'Exit Strategy'!$C$11*12,'Exit Strategy'!$C$12,MAX((10-'Exit Strategy'!$C$5-1)*12+1-IFERROR('Exit Strategy'!$C$28,0),1),(10-'Exit Strategy'!$C$5)*12-IFERROR('Exit Strategy'!$C$28,0),0),0)),0)</f>
        <v/>
      </c>
    </row>
    <row r="32" ht="16.5" customHeight="1" s="817">
      <c r="I32" s="902" t="inlineStr">
        <is>
          <t xml:space="preserve">  Interest Paid</t>
        </is>
      </c>
      <c r="J32" s="1045">
        <f>IF(AND(ISNUMBER('Exit Strategy'!$C$5),1&gt;'Exit Strategy'!$C$5,1&lt;=Scenarios!$F$80),IF((1-'Exit Strategy'!$C$5)*12&lt;=IFERROR('Exit Strategy'!$C$28,0),'Exit Strategy'!$C$12*'Exit Strategy'!$C$10,IFERROR(-CUMIPMT('Exit Strategy'!$C$10/12,'Exit Strategy'!$C$11*12,'Exit Strategy'!$C$12,MAX((1-'Exit Strategy'!$C$5-1)*12+1-IFERROR('Exit Strategy'!$C$28,0),1),(1-'Exit Strategy'!$C$5)*12-IFERROR('Exit Strategy'!$C$28,0),0),0)),0)</f>
        <v/>
      </c>
      <c r="K32" s="1045">
        <f>IF(AND(ISNUMBER('Exit Strategy'!$C$5),2&gt;'Exit Strategy'!$C$5,2&lt;=Scenarios!$F$80),IF((2-'Exit Strategy'!$C$5)*12&lt;=IFERROR('Exit Strategy'!$C$28,0),'Exit Strategy'!$C$12*'Exit Strategy'!$C$10,IFERROR(-CUMIPMT('Exit Strategy'!$C$10/12,'Exit Strategy'!$C$11*12,'Exit Strategy'!$C$12,MAX((2-'Exit Strategy'!$C$5-1)*12+1-IFERROR('Exit Strategy'!$C$28,0),1),(2-'Exit Strategy'!$C$5)*12-IFERROR('Exit Strategy'!$C$28,0),0),0)),0)</f>
        <v/>
      </c>
      <c r="L32" s="1045">
        <f>IF(AND(ISNUMBER('Exit Strategy'!$C$5),3&gt;'Exit Strategy'!$C$5,3&lt;=Scenarios!$F$80),IF((3-'Exit Strategy'!$C$5)*12&lt;=IFERROR('Exit Strategy'!$C$28,0),'Exit Strategy'!$C$12*'Exit Strategy'!$C$10,IFERROR(-CUMIPMT('Exit Strategy'!$C$10/12,'Exit Strategy'!$C$11*12,'Exit Strategy'!$C$12,MAX((3-'Exit Strategy'!$C$5-1)*12+1-IFERROR('Exit Strategy'!$C$28,0),1),(3-'Exit Strategy'!$C$5)*12-IFERROR('Exit Strategy'!$C$28,0),0),0)),0)</f>
        <v/>
      </c>
      <c r="M32" s="1045">
        <f>IF(AND(ISNUMBER('Exit Strategy'!$C$5),4&gt;'Exit Strategy'!$C$5,4&lt;=Scenarios!$F$80),IF((4-'Exit Strategy'!$C$5)*12&lt;=IFERROR('Exit Strategy'!$C$28,0),'Exit Strategy'!$C$12*'Exit Strategy'!$C$10,IFERROR(-CUMIPMT('Exit Strategy'!$C$10/12,'Exit Strategy'!$C$11*12,'Exit Strategy'!$C$12,MAX((4-'Exit Strategy'!$C$5-1)*12+1-IFERROR('Exit Strategy'!$C$28,0),1),(4-'Exit Strategy'!$C$5)*12-IFERROR('Exit Strategy'!$C$28,0),0),0)),0)</f>
        <v/>
      </c>
      <c r="N32" s="1045">
        <f>IF(AND(ISNUMBER('Exit Strategy'!$C$5),5&gt;'Exit Strategy'!$C$5,5&lt;=Scenarios!$F$80),IF((5-'Exit Strategy'!$C$5)*12&lt;=IFERROR('Exit Strategy'!$C$28,0),'Exit Strategy'!$C$12*'Exit Strategy'!$C$10,IFERROR(-CUMIPMT('Exit Strategy'!$C$10/12,'Exit Strategy'!$C$11*12,'Exit Strategy'!$C$12,MAX((5-'Exit Strategy'!$C$5-1)*12+1-IFERROR('Exit Strategy'!$C$28,0),1),(5-'Exit Strategy'!$C$5)*12-IFERROR('Exit Strategy'!$C$28,0),0),0)),0)</f>
        <v/>
      </c>
      <c r="O32" s="1045">
        <f>IF(AND(ISNUMBER('Exit Strategy'!$C$5),6&gt;'Exit Strategy'!$C$5,6&lt;=Scenarios!$F$80),IF((6-'Exit Strategy'!$C$5)*12&lt;=IFERROR('Exit Strategy'!$C$28,0),'Exit Strategy'!$C$12*'Exit Strategy'!$C$10,IFERROR(-CUMIPMT('Exit Strategy'!$C$10/12,'Exit Strategy'!$C$11*12,'Exit Strategy'!$C$12,MAX((6-'Exit Strategy'!$C$5-1)*12+1-IFERROR('Exit Strategy'!$C$28,0),1),(6-'Exit Strategy'!$C$5)*12-IFERROR('Exit Strategy'!$C$28,0),0),0)),0)</f>
        <v/>
      </c>
      <c r="P32" s="1045">
        <f>IF(AND(ISNUMBER('Exit Strategy'!$C$5),7&gt;'Exit Strategy'!$C$5,7&lt;=Scenarios!$F$80),IF((7-'Exit Strategy'!$C$5)*12&lt;=IFERROR('Exit Strategy'!$C$28,0),'Exit Strategy'!$C$12*'Exit Strategy'!$C$10,IFERROR(-CUMIPMT('Exit Strategy'!$C$10/12,'Exit Strategy'!$C$11*12,'Exit Strategy'!$C$12,MAX((7-'Exit Strategy'!$C$5-1)*12+1-IFERROR('Exit Strategy'!$C$28,0),1),(7-'Exit Strategy'!$C$5)*12-IFERROR('Exit Strategy'!$C$28,0),0),0)),0)</f>
        <v/>
      </c>
      <c r="Q32" s="1045">
        <f>IF(AND(ISNUMBER('Exit Strategy'!$C$5),8&gt;'Exit Strategy'!$C$5,8&lt;=Scenarios!$F$80),IF((8-'Exit Strategy'!$C$5)*12&lt;=IFERROR('Exit Strategy'!$C$28,0),'Exit Strategy'!$C$12*'Exit Strategy'!$C$10,IFERROR(-CUMIPMT('Exit Strategy'!$C$10/12,'Exit Strategy'!$C$11*12,'Exit Strategy'!$C$12,MAX((8-'Exit Strategy'!$C$5-1)*12+1-IFERROR('Exit Strategy'!$C$28,0),1),(8-'Exit Strategy'!$C$5)*12-IFERROR('Exit Strategy'!$C$28,0),0),0)),0)</f>
        <v/>
      </c>
      <c r="R32" s="1045">
        <f>IF(AND(ISNUMBER('Exit Strategy'!$C$5),9&gt;'Exit Strategy'!$C$5,9&lt;=Scenarios!$F$80),IF((9-'Exit Strategy'!$C$5)*12&lt;=IFERROR('Exit Strategy'!$C$28,0),'Exit Strategy'!$C$12*'Exit Strategy'!$C$10,IFERROR(-CUMIPMT('Exit Strategy'!$C$10/12,'Exit Strategy'!$C$11*12,'Exit Strategy'!$C$12,MAX((9-'Exit Strategy'!$C$5-1)*12+1-IFERROR('Exit Strategy'!$C$28,0),1),(9-'Exit Strategy'!$C$5)*12-IFERROR('Exit Strategy'!$C$28,0),0),0)),0)</f>
        <v/>
      </c>
      <c r="S32" s="1045">
        <f>IF(AND(ISNUMBER('Exit Strategy'!$C$5),10&gt;'Exit Strategy'!$C$5,10&lt;=Scenarios!$F$80),IF((10-'Exit Strategy'!$C$5)*12&lt;=IFERROR('Exit Strategy'!$C$28,0),'Exit Strategy'!$C$12*'Exit Strategy'!$C$10,IFERROR(-CUMIPMT('Exit Strategy'!$C$10/12,'Exit Strategy'!$C$11*12,'Exit Strategy'!$C$12,MAX((10-'Exit Strategy'!$C$5-1)*12+1-IFERROR('Exit Strategy'!$C$28,0),1),(10-'Exit Strategy'!$C$5)*12-IFERROR('Exit Strategy'!$C$28,0),0),0)),0)</f>
        <v/>
      </c>
    </row>
    <row r="33" ht="16.5" customHeight="1" s="817">
      <c r="I33" s="245" t="inlineStr">
        <is>
          <t xml:space="preserve">  Total Debt Service</t>
        </is>
      </c>
      <c r="J33" s="1047">
        <f>J31+J32</f>
        <v/>
      </c>
      <c r="K33" s="1047">
        <f>K31+K32</f>
        <v/>
      </c>
      <c r="L33" s="1047">
        <f>L31+L32</f>
        <v/>
      </c>
      <c r="M33" s="1047">
        <f>M31+M32</f>
        <v/>
      </c>
      <c r="N33" s="1047">
        <f>N31+N32</f>
        <v/>
      </c>
      <c r="O33" s="1047">
        <f>O31+O32</f>
        <v/>
      </c>
      <c r="P33" s="1047">
        <f>P31+P32</f>
        <v/>
      </c>
      <c r="Q33" s="1047">
        <f>Q31+Q32</f>
        <v/>
      </c>
      <c r="R33" s="1047">
        <f>R31+R32</f>
        <v/>
      </c>
      <c r="S33" s="1047">
        <f>S31+S32</f>
        <v/>
      </c>
    </row>
    <row r="34" ht="16.5" customHeight="1" s="817">
      <c r="I34" s="383" t="inlineStr">
        <is>
          <t xml:space="preserve">  Ending Balance</t>
        </is>
      </c>
      <c r="J34" s="1048">
        <f>J30-J31</f>
        <v/>
      </c>
      <c r="K34" s="1048">
        <f>K30-K31</f>
        <v/>
      </c>
      <c r="L34" s="1048">
        <f>L30-L31</f>
        <v/>
      </c>
      <c r="M34" s="1048">
        <f>M30-M31</f>
        <v/>
      </c>
      <c r="N34" s="1048">
        <f>N30-N31</f>
        <v/>
      </c>
      <c r="O34" s="1048">
        <f>O30-O31</f>
        <v/>
      </c>
      <c r="P34" s="1048">
        <f>P30-P31</f>
        <v/>
      </c>
      <c r="Q34" s="1048">
        <f>Q30-Q31</f>
        <v/>
      </c>
      <c r="R34" s="1048">
        <f>R30-R31</f>
        <v/>
      </c>
      <c r="S34" s="1048">
        <f>S30-S31</f>
        <v/>
      </c>
    </row>
    <row r="35" ht="6" customHeight="1" s="817">
      <c r="I35" s="373" t="n"/>
      <c r="J35" s="373" t="n"/>
      <c r="K35" s="373" t="n"/>
      <c r="L35" s="373" t="n"/>
      <c r="M35" s="373" t="n"/>
      <c r="N35" s="373" t="n"/>
      <c r="O35" s="373" t="n"/>
      <c r="P35" s="373" t="n"/>
      <c r="Q35" s="373" t="n"/>
      <c r="R35" s="373" t="n"/>
      <c r="S35" s="373" t="n"/>
    </row>
    <row r="36" ht="21.75" customHeight="1" s="817">
      <c r="I36" s="393" t="inlineStr">
        <is>
          <t>TOTALS</t>
        </is>
      </c>
      <c r="J36" s="366" t="n"/>
      <c r="K36" s="366" t="n"/>
      <c r="L36" s="366" t="n"/>
      <c r="M36" s="366" t="n"/>
      <c r="N36" s="366" t="n"/>
      <c r="O36" s="366" t="n"/>
      <c r="P36" s="366" t="n"/>
      <c r="Q36" s="366" t="n"/>
      <c r="R36" s="366" t="n"/>
      <c r="S36" s="366" t="n"/>
    </row>
    <row r="37" ht="16.5" customHeight="1" s="817">
      <c r="I37" s="902" t="inlineStr">
        <is>
          <t xml:space="preserve">  Beginning Balance</t>
        </is>
      </c>
      <c r="J37" s="1045">
        <f>J7+J15+J23+J30</f>
        <v/>
      </c>
      <c r="K37" s="1045">
        <f>K7+K15+K23+K30</f>
        <v/>
      </c>
      <c r="L37" s="1045">
        <f>L7+L15+L23+L30</f>
        <v/>
      </c>
      <c r="M37" s="1045">
        <f>M7+M15+M23+M30</f>
        <v/>
      </c>
      <c r="N37" s="1045">
        <f>N7+N15+N23+N30</f>
        <v/>
      </c>
      <c r="O37" s="1045">
        <f>O7+O15+O23+O30</f>
        <v/>
      </c>
      <c r="P37" s="1045">
        <f>P7+P15+P23+P30</f>
        <v/>
      </c>
      <c r="Q37" s="1045">
        <f>Q7+Q15+Q23+Q30</f>
        <v/>
      </c>
      <c r="R37" s="1045">
        <f>R7+R15+R23+R30</f>
        <v/>
      </c>
      <c r="S37" s="1045">
        <f>S7+S15+S23+S30</f>
        <v/>
      </c>
    </row>
    <row r="38" ht="16.5" customHeight="1" s="817">
      <c r="I38" s="904" t="inlineStr">
        <is>
          <t xml:space="preserve">  Interest Paid</t>
        </is>
      </c>
      <c r="J38" s="1046">
        <f>J9+J17+J25+J32</f>
        <v/>
      </c>
      <c r="K38" s="1046">
        <f>K9+K17+K25+K32</f>
        <v/>
      </c>
      <c r="L38" s="1046">
        <f>L9+L17+L25+L32</f>
        <v/>
      </c>
      <c r="M38" s="1046">
        <f>M9+M17+M25+M32</f>
        <v/>
      </c>
      <c r="N38" s="1046">
        <f>N9+N17+N25+N32</f>
        <v/>
      </c>
      <c r="O38" s="1046">
        <f>O9+O17+O25+O32</f>
        <v/>
      </c>
      <c r="P38" s="1046">
        <f>P9+P17+P25+P32</f>
        <v/>
      </c>
      <c r="Q38" s="1046">
        <f>Q9+Q17+Q25+Q32</f>
        <v/>
      </c>
      <c r="R38" s="1046">
        <f>R9+R17+R25+R32</f>
        <v/>
      </c>
      <c r="S38" s="1046">
        <f>S9+S17+S25+S32</f>
        <v/>
      </c>
    </row>
    <row r="39" ht="16.5" customHeight="1" s="817">
      <c r="I39" s="248" t="inlineStr">
        <is>
          <t xml:space="preserve">  Cumulative Interest</t>
        </is>
      </c>
      <c r="J39" s="1052">
        <f>J38</f>
        <v/>
      </c>
      <c r="K39" s="1052">
        <f>J39+K38</f>
        <v/>
      </c>
      <c r="L39" s="1052">
        <f>K39+L38</f>
        <v/>
      </c>
      <c r="M39" s="1052">
        <f>L39+M38</f>
        <v/>
      </c>
      <c r="N39" s="1052">
        <f>M39+N38</f>
        <v/>
      </c>
      <c r="O39" s="1052">
        <f>N39+O38</f>
        <v/>
      </c>
      <c r="P39" s="1052">
        <f>O39+P38</f>
        <v/>
      </c>
      <c r="Q39" s="1052">
        <f>P39+Q38</f>
        <v/>
      </c>
      <c r="R39" s="1052">
        <f>Q39+R38</f>
        <v/>
      </c>
      <c r="S39" s="1052">
        <f>R39+S38</f>
        <v/>
      </c>
    </row>
    <row r="40" ht="16.5" customHeight="1" s="817">
      <c r="I40" s="904" t="inlineStr">
        <is>
          <t xml:space="preserve">  Principal Paid</t>
        </is>
      </c>
      <c r="J40" s="1046">
        <f>J8+J16+J24+J31</f>
        <v/>
      </c>
      <c r="K40" s="1046">
        <f>K8+K16+K24+K31</f>
        <v/>
      </c>
      <c r="L40" s="1046">
        <f>L8+L16+L24+L31</f>
        <v/>
      </c>
      <c r="M40" s="1046">
        <f>M8+M16+M24+M31</f>
        <v/>
      </c>
      <c r="N40" s="1046">
        <f>N8+N16+N24+N31</f>
        <v/>
      </c>
      <c r="O40" s="1046">
        <f>O8+O16+O24+O31</f>
        <v/>
      </c>
      <c r="P40" s="1046">
        <f>P8+P16+P24+P31</f>
        <v/>
      </c>
      <c r="Q40" s="1046">
        <f>Q8+Q16+Q24+Q31</f>
        <v/>
      </c>
      <c r="R40" s="1046">
        <f>R8+R16+R24+R31</f>
        <v/>
      </c>
      <c r="S40" s="1046">
        <f>S8+S16+S24+S31</f>
        <v/>
      </c>
    </row>
    <row r="41" ht="16.5" customHeight="1" s="817">
      <c r="I41" s="248" t="inlineStr">
        <is>
          <t xml:space="preserve">  Cumulative Principal</t>
        </is>
      </c>
      <c r="J41" s="1052">
        <f>J40</f>
        <v/>
      </c>
      <c r="K41" s="1052">
        <f>J41+K40</f>
        <v/>
      </c>
      <c r="L41" s="1052">
        <f>K41+L40</f>
        <v/>
      </c>
      <c r="M41" s="1052">
        <f>L41+M40</f>
        <v/>
      </c>
      <c r="N41" s="1052">
        <f>M41+N40</f>
        <v/>
      </c>
      <c r="O41" s="1052">
        <f>N41+O40</f>
        <v/>
      </c>
      <c r="P41" s="1052">
        <f>O41+P40</f>
        <v/>
      </c>
      <c r="Q41" s="1052">
        <f>P41+Q40</f>
        <v/>
      </c>
      <c r="R41" s="1052">
        <f>Q41+R40</f>
        <v/>
      </c>
      <c r="S41" s="1052">
        <f>R41+S40</f>
        <v/>
      </c>
    </row>
    <row r="42" ht="16.5" customHeight="1" s="817">
      <c r="I42" s="245" t="inlineStr">
        <is>
          <t xml:space="preserve">  Total Debt Service</t>
        </is>
      </c>
      <c r="J42" s="1047">
        <f>J40+J38</f>
        <v/>
      </c>
      <c r="K42" s="1047">
        <f>K40+K38</f>
        <v/>
      </c>
      <c r="L42" s="1047">
        <f>L40+L38</f>
        <v/>
      </c>
      <c r="M42" s="1047">
        <f>M40+M38</f>
        <v/>
      </c>
      <c r="N42" s="1047">
        <f>N40+N38</f>
        <v/>
      </c>
      <c r="O42" s="1047">
        <f>O40+O38</f>
        <v/>
      </c>
      <c r="P42" s="1047">
        <f>P40+P38</f>
        <v/>
      </c>
      <c r="Q42" s="1047">
        <f>Q40+Q38</f>
        <v/>
      </c>
      <c r="R42" s="1047">
        <f>R40+R38</f>
        <v/>
      </c>
      <c r="S42" s="1047">
        <f>S40+S38</f>
        <v/>
      </c>
    </row>
    <row r="43" ht="16.5" customHeight="1" s="817">
      <c r="I43" s="383" t="inlineStr">
        <is>
          <t xml:space="preserve">  Ending Balance</t>
        </is>
      </c>
      <c r="J43" s="1048">
        <f>J11+J19+J27+J34</f>
        <v/>
      </c>
      <c r="K43" s="1048">
        <f>K11+K19+K27+K34</f>
        <v/>
      </c>
      <c r="L43" s="1048">
        <f>L11+L19+L27+L34</f>
        <v/>
      </c>
      <c r="M43" s="1048">
        <f>M11+M19+M27+M34</f>
        <v/>
      </c>
      <c r="N43" s="1048">
        <f>N11+N19+N27+N34</f>
        <v/>
      </c>
      <c r="O43" s="1048">
        <f>O11+O19+O27+O34</f>
        <v/>
      </c>
      <c r="P43" s="1048">
        <f>P11+P19+P27+P34</f>
        <v/>
      </c>
      <c r="Q43" s="1048">
        <f>Q11+Q19+Q27+Q34</f>
        <v/>
      </c>
      <c r="R43" s="1048">
        <f>R11+R19+R27+R34</f>
        <v/>
      </c>
      <c r="S43" s="1048">
        <f>S11+S19+S27+S34</f>
        <v/>
      </c>
    </row>
    <row r="44" ht="16.5" customHeight="1" s="817">
      <c r="I44" s="373" t="n"/>
      <c r="J44" s="373" t="n"/>
      <c r="K44" s="373" t="n"/>
      <c r="L44" s="373" t="n"/>
      <c r="M44" s="373" t="n"/>
      <c r="N44" s="373" t="n"/>
      <c r="O44" s="373" t="n"/>
      <c r="P44" s="373" t="n"/>
      <c r="Q44" s="373" t="n"/>
      <c r="R44" s="373" t="n"/>
      <c r="S44" s="373" t="n"/>
    </row>
    <row r="45" ht="16.5" customHeight="1" s="817">
      <c r="I45" s="373" t="n"/>
      <c r="J45" s="373" t="n"/>
      <c r="K45" s="373" t="n"/>
      <c r="L45" s="373" t="n"/>
      <c r="M45" s="373" t="n"/>
      <c r="N45" s="373" t="n"/>
      <c r="O45" s="373" t="n"/>
      <c r="P45" s="373" t="n"/>
      <c r="Q45" s="373" t="n"/>
      <c r="R45" s="373" t="n"/>
      <c r="S45" s="373" t="n"/>
    </row>
    <row r="46" ht="6" customHeight="1" s="817">
      <c r="I46" s="373" t="n"/>
      <c r="J46" s="373" t="n"/>
      <c r="K46" s="373" t="n"/>
      <c r="L46" s="373" t="n"/>
      <c r="M46" s="373" t="n"/>
      <c r="N46" s="373" t="n"/>
      <c r="O46" s="373" t="n"/>
      <c r="P46" s="373" t="n"/>
      <c r="Q46" s="373" t="n"/>
      <c r="R46" s="373" t="n"/>
      <c r="S46" s="373" t="n"/>
    </row>
    <row r="47" ht="19.5" customHeight="1" s="817">
      <c r="I47" s="373" t="n"/>
      <c r="J47" s="373" t="n"/>
      <c r="K47" s="373" t="n"/>
      <c r="L47" s="373" t="n"/>
      <c r="M47" s="373" t="n"/>
      <c r="N47" s="373" t="n"/>
      <c r="O47" s="373" t="n"/>
      <c r="P47" s="373" t="n"/>
      <c r="Q47" s="373" t="n"/>
      <c r="R47" s="373" t="n"/>
      <c r="S47" s="373" t="n"/>
    </row>
    <row r="48" ht="16.5" customHeight="1" s="817">
      <c r="I48" s="373" t="n"/>
      <c r="J48" s="373" t="n"/>
      <c r="K48" s="373" t="n"/>
      <c r="L48" s="373" t="n"/>
      <c r="M48" s="373" t="n"/>
      <c r="N48" s="373" t="n"/>
      <c r="O48" s="373" t="n"/>
      <c r="P48" s="373" t="n"/>
      <c r="Q48" s="373" t="n"/>
      <c r="R48" s="373" t="n"/>
      <c r="S48" s="373" t="n"/>
    </row>
    <row r="49" ht="16.5" customHeight="1" s="817">
      <c r="I49" s="373" t="n"/>
      <c r="J49" s="373" t="n"/>
      <c r="K49" s="373" t="n"/>
      <c r="L49" s="373" t="n"/>
      <c r="M49" s="373" t="n"/>
      <c r="N49" s="373" t="n"/>
      <c r="O49" s="373" t="n"/>
      <c r="P49" s="373" t="n"/>
      <c r="Q49" s="373" t="n"/>
      <c r="R49" s="373" t="n"/>
      <c r="S49" s="373" t="n"/>
    </row>
    <row r="50" ht="16.5" customHeight="1" s="817">
      <c r="I50" s="373" t="n"/>
      <c r="J50" s="373" t="n"/>
      <c r="K50" s="373" t="n"/>
      <c r="L50" s="373" t="n"/>
      <c r="M50" s="373" t="n"/>
      <c r="N50" s="373" t="n"/>
      <c r="O50" s="373" t="n"/>
      <c r="P50" s="373" t="n"/>
      <c r="Q50" s="373" t="n"/>
      <c r="R50" s="373" t="n"/>
      <c r="S50" s="373" t="n"/>
    </row>
    <row r="51" ht="16.5" customHeight="1" s="817">
      <c r="I51" s="373" t="n"/>
      <c r="J51" s="373" t="n"/>
      <c r="K51" s="373" t="n"/>
      <c r="L51" s="373" t="n"/>
      <c r="M51" s="373" t="n"/>
      <c r="N51" s="373" t="n"/>
      <c r="O51" s="373" t="n"/>
      <c r="P51" s="373" t="n"/>
      <c r="Q51" s="373" t="n"/>
      <c r="R51" s="373" t="n"/>
      <c r="S51" s="373" t="n"/>
    </row>
    <row r="52" ht="16.5" customHeight="1" s="817">
      <c r="I52" s="373" t="n"/>
      <c r="J52" s="373" t="n"/>
      <c r="K52" s="373" t="n"/>
      <c r="L52" s="373" t="n"/>
      <c r="M52" s="373" t="n"/>
      <c r="N52" s="373" t="n"/>
      <c r="O52" s="373" t="n"/>
      <c r="P52" s="373" t="n"/>
      <c r="Q52" s="373" t="n"/>
      <c r="R52" s="373" t="n"/>
      <c r="S52" s="373" t="n"/>
    </row>
    <row r="53" ht="6" customHeight="1" s="817">
      <c r="I53" s="373" t="n"/>
      <c r="J53" s="373" t="n"/>
      <c r="K53" s="373" t="n"/>
      <c r="L53" s="373" t="n"/>
      <c r="M53" s="373" t="n"/>
      <c r="N53" s="373" t="n"/>
      <c r="O53" s="373" t="n"/>
      <c r="P53" s="373" t="n"/>
      <c r="Q53" s="373" t="n"/>
      <c r="R53" s="373" t="n"/>
      <c r="S53" s="373" t="n"/>
    </row>
    <row r="54" ht="21.75" customHeight="1" s="817">
      <c r="I54" s="373" t="n"/>
      <c r="J54" s="373" t="n"/>
      <c r="K54" s="373" t="n"/>
      <c r="L54" s="373" t="n"/>
      <c r="M54" s="373" t="n"/>
      <c r="N54" s="373" t="n"/>
      <c r="O54" s="373" t="n"/>
      <c r="P54" s="373" t="n"/>
      <c r="Q54" s="373" t="n"/>
      <c r="R54" s="373" t="n"/>
      <c r="S54" s="373" t="n"/>
    </row>
    <row r="55" ht="16.5" customHeight="1" s="817">
      <c r="I55" s="373" t="n"/>
      <c r="J55" s="373" t="n"/>
      <c r="K55" s="373" t="n"/>
      <c r="L55" s="373" t="n"/>
      <c r="M55" s="373" t="n"/>
      <c r="N55" s="373" t="n"/>
      <c r="O55" s="373" t="n"/>
      <c r="P55" s="373" t="n"/>
      <c r="Q55" s="373" t="n"/>
      <c r="R55" s="373" t="n"/>
      <c r="S55" s="373" t="n"/>
    </row>
    <row r="56" ht="16.5" customHeight="1" s="817">
      <c r="I56" s="373" t="n"/>
      <c r="J56" s="373" t="n"/>
      <c r="K56" s="373" t="n"/>
      <c r="L56" s="373" t="n"/>
      <c r="M56" s="373" t="n"/>
      <c r="N56" s="373" t="n"/>
      <c r="O56" s="373" t="n"/>
      <c r="P56" s="373" t="n"/>
      <c r="Q56" s="373" t="n"/>
      <c r="R56" s="373" t="n"/>
      <c r="S56" s="373" t="n"/>
    </row>
    <row r="57" ht="16.5" customHeight="1" s="817">
      <c r="I57" s="373" t="n"/>
      <c r="J57" s="373" t="n"/>
      <c r="K57" s="373" t="n"/>
      <c r="L57" s="373" t="n"/>
      <c r="M57" s="373" t="n"/>
      <c r="N57" s="373" t="n"/>
      <c r="O57" s="373" t="n"/>
      <c r="P57" s="373" t="n"/>
      <c r="Q57" s="373" t="n"/>
      <c r="R57" s="373" t="n"/>
      <c r="S57" s="373" t="n"/>
    </row>
    <row r="58" ht="16.5" customHeight="1" s="817">
      <c r="I58" s="373" t="n"/>
      <c r="J58" s="373" t="n"/>
      <c r="K58" s="373" t="n"/>
      <c r="L58" s="373" t="n"/>
      <c r="M58" s="373" t="n"/>
      <c r="N58" s="373" t="n"/>
      <c r="O58" s="373" t="n"/>
      <c r="P58" s="373" t="n"/>
      <c r="Q58" s="373" t="n"/>
      <c r="R58" s="373" t="n"/>
      <c r="S58" s="373" t="n"/>
    </row>
    <row r="59" ht="16.5" customHeight="1" s="817">
      <c r="I59" s="373" t="n"/>
      <c r="J59" s="373" t="n"/>
      <c r="K59" s="373" t="n"/>
      <c r="L59" s="373" t="n"/>
      <c r="M59" s="373" t="n"/>
      <c r="N59" s="373" t="n"/>
      <c r="O59" s="373" t="n"/>
      <c r="P59" s="373" t="n"/>
      <c r="Q59" s="373" t="n"/>
      <c r="R59" s="373" t="n"/>
      <c r="S59" s="373" t="n"/>
    </row>
    <row r="60" ht="16.5" customHeight="1" s="817">
      <c r="I60" s="373" t="n"/>
      <c r="J60" s="373" t="n"/>
      <c r="K60" s="373" t="n"/>
      <c r="L60" s="373" t="n"/>
      <c r="M60" s="373" t="n"/>
      <c r="N60" s="373" t="n"/>
      <c r="O60" s="373" t="n"/>
      <c r="P60" s="373" t="n"/>
      <c r="Q60" s="373" t="n"/>
      <c r="R60" s="373" t="n"/>
      <c r="S60" s="373" t="n"/>
    </row>
    <row r="61" ht="16.5" customHeight="1" s="817">
      <c r="I61" s="373" t="n"/>
      <c r="J61" s="373" t="n"/>
      <c r="K61" s="373" t="n"/>
      <c r="L61" s="373" t="n"/>
      <c r="M61" s="373" t="n"/>
      <c r="N61" s="373" t="n"/>
      <c r="O61" s="373" t="n"/>
      <c r="P61" s="373" t="n"/>
      <c r="Q61" s="373" t="n"/>
      <c r="R61" s="373" t="n"/>
      <c r="S61" s="373" t="n"/>
    </row>
    <row r="62">
      <c r="I62" s="373" t="n"/>
      <c r="J62" s="373" t="n"/>
      <c r="K62" s="373" t="n"/>
      <c r="L62" s="373" t="n"/>
      <c r="M62" s="373" t="n"/>
      <c r="N62" s="373" t="n"/>
      <c r="O62" s="373" t="n"/>
      <c r="P62" s="373" t="n"/>
      <c r="Q62" s="373" t="n"/>
      <c r="R62" s="373" t="n"/>
      <c r="S62" s="373" t="n"/>
    </row>
    <row r="63">
      <c r="I63" s="373" t="n"/>
      <c r="J63" s="373" t="n"/>
      <c r="K63" s="373" t="n"/>
      <c r="L63" s="373" t="n"/>
      <c r="M63" s="373" t="n"/>
      <c r="N63" s="373" t="n"/>
      <c r="O63" s="373" t="n"/>
      <c r="P63" s="373" t="n"/>
      <c r="Q63" s="373" t="n"/>
      <c r="R63" s="373" t="n"/>
      <c r="S63" s="373" t="n"/>
    </row>
    <row r="64">
      <c r="I64" s="373" t="n"/>
      <c r="J64" s="373" t="n"/>
      <c r="K64" s="373" t="n"/>
      <c r="L64" s="373" t="n"/>
      <c r="M64" s="373" t="n"/>
      <c r="N64" s="373" t="n"/>
      <c r="O64" s="373" t="n"/>
      <c r="P64" s="373" t="n"/>
      <c r="Q64" s="373" t="n"/>
      <c r="R64" s="373" t="n"/>
      <c r="S64" s="373" t="n"/>
    </row>
    <row r="65">
      <c r="I65" s="373" t="n"/>
      <c r="J65" s="373" t="n"/>
      <c r="K65" s="373" t="n"/>
      <c r="L65" s="373" t="n"/>
      <c r="M65" s="373" t="n"/>
      <c r="N65" s="373" t="n"/>
      <c r="O65" s="373" t="n"/>
      <c r="P65" s="373" t="n"/>
      <c r="Q65" s="373" t="n"/>
      <c r="R65" s="373" t="n"/>
      <c r="S65" s="373" t="n"/>
    </row>
    <row r="66">
      <c r="I66" s="373" t="n"/>
      <c r="J66" s="373" t="n"/>
      <c r="K66" s="373" t="n"/>
      <c r="L66" s="373" t="n"/>
      <c r="M66" s="373" t="n"/>
      <c r="N66" s="373" t="n"/>
      <c r="O66" s="373" t="n"/>
      <c r="P66" s="373" t="n"/>
      <c r="Q66" s="373" t="n"/>
      <c r="R66" s="373" t="n"/>
      <c r="S66" s="373" t="n"/>
    </row>
    <row r="67">
      <c r="I67" s="373" t="n"/>
      <c r="J67" s="373" t="n"/>
      <c r="K67" s="373" t="n"/>
      <c r="L67" s="373" t="n"/>
      <c r="M67" s="373" t="n"/>
      <c r="N67" s="373" t="n"/>
      <c r="O67" s="373" t="n"/>
      <c r="P67" s="373" t="n"/>
      <c r="Q67" s="373" t="n"/>
      <c r="R67" s="373" t="n"/>
      <c r="S67" s="373" t="n"/>
    </row>
    <row r="68">
      <c r="I68" s="373" t="n"/>
      <c r="J68" s="373" t="n"/>
      <c r="K68" s="373" t="n"/>
      <c r="L68" s="373" t="n"/>
      <c r="M68" s="373" t="n"/>
      <c r="N68" s="373" t="n"/>
      <c r="O68" s="373" t="n"/>
      <c r="P68" s="373" t="n"/>
      <c r="Q68" s="373" t="n"/>
      <c r="R68" s="373" t="n"/>
      <c r="S68" s="373" t="n"/>
    </row>
    <row r="69">
      <c r="I69" s="373" t="n"/>
      <c r="J69" s="373" t="n"/>
      <c r="K69" s="373" t="n"/>
      <c r="L69" s="373" t="n"/>
      <c r="M69" s="373" t="n"/>
      <c r="N69" s="373" t="n"/>
      <c r="O69" s="373" t="n"/>
      <c r="P69" s="373" t="n"/>
      <c r="Q69" s="373" t="n"/>
      <c r="R69" s="373" t="n"/>
      <c r="S69" s="373" t="n"/>
    </row>
    <row r="70">
      <c r="I70" s="373" t="n"/>
      <c r="J70" s="373" t="n"/>
      <c r="K70" s="373" t="n"/>
      <c r="L70" s="373" t="n"/>
      <c r="M70" s="373" t="n"/>
      <c r="N70" s="373" t="n"/>
      <c r="O70" s="373" t="n"/>
      <c r="P70" s="373" t="n"/>
      <c r="Q70" s="373" t="n"/>
      <c r="R70" s="373" t="n"/>
      <c r="S70" s="373" t="n"/>
    </row>
  </sheetData>
  <mergeCells count="2">
    <mergeCell ref="A2:F2"/>
    <mergeCell ref="A1:F1"/>
  </mergeCells>
  <dataValidations count="1">
    <dataValidation sqref="J6 J14 J22" showDropDown="0" showInputMessage="0" showErrorMessage="0" allowBlank="0" type="list">
      <formula1>"YES,NO"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2026-03-25T21:57:35Z</dcterms:created>
  <dcterms:modified xsi:type="dcterms:W3CDTF">2026-05-27T15:32:31Z</dcterms:modified>
  <cp:lastModifiedBy>Erik J</cp:lastModifiedBy>
  <cp:revision>0</cp:revision>
</cp:coreProperties>
</file>