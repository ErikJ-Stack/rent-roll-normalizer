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Input'!$A$7:$S$606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9">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family val="2"/>
      <i val="1"/>
      <color rgb="FF595959"/>
      <sz val="9"/>
    </font>
    <font>
      <name val="Calibri"/>
      <family val="2"/>
      <b val="1"/>
      <color rgb="FFFFFFFF"/>
      <sz val="14"/>
    </font>
    <font>
      <name val="Calibri"/>
      <family val="2"/>
      <sz val="10"/>
    </font>
    <font>
      <name val="Calibri"/>
      <family val="2"/>
      <b val="1"/>
      <color rgb="FFFFFFFF"/>
      <sz val="11"/>
    </font>
    <font>
      <name val="Calibri"/>
      <family val="2"/>
      <b val="1"/>
      <sz val="10"/>
    </font>
    <font>
      <name val="Calibri"/>
      <family val="2"/>
      <b val="1"/>
      <color rgb="FF595959"/>
      <sz val="10"/>
    </font>
    <font>
      <name val="Calibri"/>
      <family val="2"/>
      <b val="1"/>
      <color rgb="FFFFFFFF"/>
      <sz val="9"/>
    </font>
    <font>
      <name val="Calibri"/>
      <family val="2"/>
      <b val="1"/>
      <color rgb="FF1F4E79"/>
      <sz val="12"/>
    </font>
    <font>
      <name val="Calibri"/>
      <i val="1"/>
      <color rgb="FF595959"/>
      <sz val="9"/>
    </font>
  </fonts>
  <fills count="3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thin">
        <color rgb="FFA6A6A6"/>
      </top>
      <bottom style="thin">
        <color rgb="FFA6A6A6"/>
      </bottom>
      <diagonal/>
    </border>
    <border>
      <left/>
      <right/>
      <top/>
      <bottom style="thin">
        <color rgb="FFA6A6A6"/>
      </bottom>
      <diagonal/>
    </border>
    <border>
      <left/>
      <right/>
      <top style="thin">
        <color rgb="FFA6A6A6"/>
      </top>
      <bottom/>
      <diagonal/>
    </border>
    <border>
      <left/>
      <right/>
      <top style="medium">
        <color rgb="FF5B9BD5"/>
      </top>
      <bottom/>
      <diagonal/>
    </border>
  </borders>
  <cellStyleXfs count="1">
    <xf numFmtId="0" fontId="0" fillId="0" borderId="0"/>
  </cellStyleXfs>
  <cellXfs count="487">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4" fillId="30" borderId="42" applyAlignment="1" pivotButton="0" quotePrefix="0" xfId="0">
      <alignment horizontal="left" vertical="center" indent="1"/>
    </xf>
    <xf numFmtId="0" fontId="84" fillId="30" borderId="42"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2" applyAlignment="1" pivotButton="0" quotePrefix="0" xfId="0">
      <alignment horizontal="left" vertical="center" indent="1"/>
    </xf>
    <xf numFmtId="3" fontId="84" fillId="0" borderId="42" applyAlignment="1" pivotButton="0" quotePrefix="0" xfId="0">
      <alignment horizontal="right" vertical="center"/>
    </xf>
    <xf numFmtId="174" fontId="84" fillId="0" borderId="42" applyAlignment="1" pivotButton="0" quotePrefix="0" xfId="0">
      <alignment horizontal="right" vertical="center"/>
    </xf>
    <xf numFmtId="0" fontId="84" fillId="30" borderId="42"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3" applyAlignment="1" pivotButton="0" quotePrefix="0" xfId="0">
      <alignment horizontal="left" vertical="center"/>
    </xf>
    <xf numFmtId="0" fontId="0" fillId="0" borderId="43" pivotButton="0" quotePrefix="0" xfId="0"/>
    <xf numFmtId="0" fontId="84" fillId="0" borderId="44" applyAlignment="1" pivotButton="0" quotePrefix="0" xfId="0">
      <alignment horizontal="left" vertical="center" indent="1"/>
    </xf>
    <xf numFmtId="3" fontId="84" fillId="0" borderId="44" applyAlignment="1" pivotButton="0" quotePrefix="0" xfId="0">
      <alignment horizontal="right" vertical="center"/>
    </xf>
    <xf numFmtId="190" fontId="84" fillId="0" borderId="44" applyAlignment="1" pivotButton="0" quotePrefix="0" xfId="0">
      <alignment horizontal="right" vertical="center"/>
    </xf>
    <xf numFmtId="0" fontId="84" fillId="0" borderId="44"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87" fillId="32" borderId="0" applyAlignment="1" pivotButton="0" quotePrefix="0" xfId="0">
      <alignment horizontal="center" vertical="center" wrapText="1"/>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57" fillId="25" borderId="38" applyAlignment="1" pivotButton="0" quotePrefix="0" xfId="0">
      <alignment horizontal="center" vertical="center"/>
    </xf>
    <xf numFmtId="0" fontId="0" fillId="0" borderId="6" pivotButton="0" quotePrefix="0" xfId="0"/>
    <xf numFmtId="0" fontId="80" fillId="33" borderId="0" applyAlignment="1" pivotButton="0" quotePrefix="0" xfId="0">
      <alignment horizontal="center" vertical="center"/>
    </xf>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44" fillId="26" borderId="0" applyAlignment="1" pivotButton="0" quotePrefix="0" xfId="0">
      <alignment horizontal="left"/>
    </xf>
    <xf numFmtId="0" fontId="86" fillId="31" borderId="0" applyAlignment="1" pivotButton="0" quotePrefix="0" xfId="0">
      <alignment horizontal="center" vertical="center"/>
    </xf>
    <xf numFmtId="0" fontId="65" fillId="24" borderId="0" applyAlignment="1" pivotButton="0" quotePrefix="0" xfId="0">
      <alignment horizontal="left" indent="1"/>
    </xf>
    <xf numFmtId="0" fontId="65" fillId="24" borderId="0" applyAlignment="1" pivotButton="0" quotePrefix="0" xfId="0">
      <alignment horizontal="left"/>
    </xf>
    <xf numFmtId="0" fontId="10" fillId="7" borderId="0" applyAlignment="1" pivotButton="0" quotePrefix="0" xfId="0">
      <alignment horizontal="left" vertical="center" indent="1"/>
    </xf>
    <xf numFmtId="0" fontId="6" fillId="0" borderId="8" applyAlignment="1" pivotButton="0" quotePrefix="0" xfId="0">
      <alignment horizontal="left" vertical="center" indent="2"/>
    </xf>
    <xf numFmtId="0" fontId="0" fillId="0" borderId="3" pivotButton="0" quotePrefix="0" xfId="0"/>
    <xf numFmtId="0" fontId="0" fillId="0" borderId="4" pivotButton="0" quotePrefix="0" xfId="0"/>
    <xf numFmtId="0" fontId="48" fillId="21" borderId="8" applyAlignment="1" pivotButton="0" quotePrefix="0" xfId="0">
      <alignment horizontal="left" vertical="center" wrapText="1"/>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2" fillId="0" borderId="0" pivotButton="0" quotePrefix="0" xfId="0"/>
    <xf numFmtId="0" fontId="44" fillId="16" borderId="0" applyAlignment="1" pivotButton="0" quotePrefix="0" xfId="0">
      <alignment horizontal="left" vertical="center" wrapText="1"/>
    </xf>
    <xf numFmtId="0" fontId="83" fillId="29" borderId="0" applyAlignment="1" pivotButton="0" quotePrefix="0" xfId="0">
      <alignment horizontal="left" vertical="center" indent="1"/>
    </xf>
    <xf numFmtId="0" fontId="81" fillId="29" borderId="0" applyAlignment="1" pivotButton="0" quotePrefix="0" xfId="0">
      <alignment horizontal="left" vertical="center" inden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47" fillId="0" borderId="8" applyAlignment="1" pivotButton="0" quotePrefix="0" xfId="0">
      <alignment horizontal="center" vertical="center" wrapText="1"/>
    </xf>
    <xf numFmtId="0" fontId="88" fillId="33" borderId="0" applyAlignment="1" pivotButton="0" quotePrefix="0" xfId="0">
      <alignment horizontal="center" vertical="center"/>
    </xf>
    <xf numFmtId="0" fontId="0" fillId="33"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410" min="1" max="1"/>
    <col width="60" customWidth="1" style="410" min="2" max="2"/>
  </cols>
  <sheetData>
    <row r="1" ht="23.25" customHeight="1" s="410">
      <c r="A1" s="170" t="inlineStr">
        <is>
          <t>ALF Financial Analyzer</t>
        </is>
      </c>
      <c r="AZ1" t="inlineStr">
        <is>
          <t>Workbook landing — versions, links, orientation</t>
        </is>
      </c>
    </row>
    <row r="2">
      <c r="A2" s="476" t="inlineStr">
        <is>
          <t>Senior-housing underwriting workbook — RR + T12 reconciliation, UW-ready output</t>
        </is>
      </c>
      <c r="AZ2" t="inlineStr">
        <is>
          <t>reference</t>
        </is>
      </c>
    </row>
    <row r="3">
      <c r="AZ3" t="inlineStr">
        <is>
          <t>visible</t>
        </is>
      </c>
    </row>
    <row r="4">
      <c r="A4" s="172" t="inlineStr">
        <is>
          <t>Property</t>
        </is>
      </c>
      <c r="AZ4" t="inlineStr">
        <is>
          <t>v0.2.12</t>
        </is>
      </c>
    </row>
    <row r="5">
      <c r="A5" t="inlineStr">
        <is>
          <t>Property name</t>
        </is>
      </c>
    </row>
    <row r="7">
      <c r="A7" s="172" t="inlineStr">
        <is>
          <t>Versions</t>
        </is>
      </c>
    </row>
    <row r="8">
      <c r="A8" t="inlineStr">
        <is>
          <t>Substrate template</t>
        </is>
      </c>
      <c r="B8" t="inlineStr">
        <is>
          <t>v0.2.12</t>
        </is>
      </c>
    </row>
    <row r="9">
      <c r="A9" t="inlineStr">
        <is>
          <t>Rent Roll Normalizer (app)</t>
        </is>
      </c>
      <c r="B9" t="inlineStr">
        <is>
          <t>v1.12.0</t>
        </is>
      </c>
    </row>
    <row r="10">
      <c r="A10" t="inlineStr">
        <is>
          <t>T12 Normalizer</t>
        </is>
      </c>
      <c r="B10" t="inlineStr">
        <is>
          <t>v0.1.0</t>
        </is>
      </c>
    </row>
    <row r="11">
      <c r="A11" t="inlineStr">
        <is>
          <t>AR Module</t>
        </is>
      </c>
      <c r="B11"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410">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410">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410">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tabSelected="1" topLeftCell="A79" zoomScale="70" zoomScaleNormal="70" workbookViewId="0">
      <selection activeCell="C91" sqref="C91"/>
    </sheetView>
  </sheetViews>
  <sheetFormatPr baseColWidth="10" defaultColWidth="8.83203125" defaultRowHeight="15"/>
  <cols>
    <col width="1.5" customWidth="1" style="410" min="1" max="1"/>
    <col width="21" customWidth="1" style="410" min="2" max="2"/>
    <col width="22.5" customWidth="1" style="410" min="3" max="3"/>
    <col width="10.6640625" customWidth="1" style="410" min="4" max="4"/>
    <col width="21" customWidth="1" style="410" min="5" max="6"/>
    <col width="11.5" customWidth="1" style="410" min="7" max="7"/>
    <col width="21" customWidth="1" style="410" min="8" max="8"/>
    <col width="22" customWidth="1" style="410" min="9" max="9"/>
    <col width="9.1640625" customWidth="1" style="410" min="10" max="10"/>
    <col width="21" customWidth="1" style="410" min="11" max="12"/>
    <col width="5.6640625" customWidth="1" style="410" min="13" max="13"/>
    <col width="1.5" customWidth="1" style="410" min="14" max="14"/>
  </cols>
  <sheetData>
    <row r="1" ht="12" customHeight="1" s="410">
      <c r="N1" s="380" t="inlineStr">
        <is>
          <t>Last updated: 2026-05-19</t>
        </is>
      </c>
      <c r="O1" s="262" t="inlineStr">
        <is>
          <t>Care Type</t>
        </is>
      </c>
      <c r="P1" s="262" t="inlineStr">
        <is>
          <t>Property</t>
        </is>
      </c>
      <c r="Q1" s="262" t="inlineStr">
        <is>
          <t>Market</t>
        </is>
      </c>
    </row>
    <row r="2" ht="32" customHeight="1" s="410">
      <c r="B2" s="409">
        <f>"UNDERWRITING DASHBOARD"&amp;IF(AND(ISTEXT(Cover!B5),Cover!B5&lt;&gt;""),"  —  "&amp;Cover!B5,"")</f>
        <v/>
      </c>
      <c r="O2" s="262" t="inlineStr">
        <is>
          <t>Independent Living</t>
        </is>
      </c>
      <c r="P2" s="263">
        <f>IFERROR(IF('T12 Analytics'!B6&gt;0,'T12 Analytics'!B11/'T12 Analytics'!B6,NA()),NA())</f>
        <v/>
      </c>
      <c r="Q2" s="263" t="n">
        <v>0.91</v>
      </c>
    </row>
    <row r="3" ht="20" customHeight="1" s="410">
      <c r="B3" s="445">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410" thickBot="1">
      <c r="O4" s="262" t="inlineStr">
        <is>
          <t>Memory Care</t>
        </is>
      </c>
      <c r="P4" s="263">
        <f>IFERROR(IF('T12 Analytics'!D6&gt;0,'T12 Analytics'!D11/'T12 Analytics'!D6,NA()),NA())</f>
        <v/>
      </c>
      <c r="Q4" s="263" t="n">
        <v>0.88</v>
      </c>
      <c r="AZ4" t="inlineStr">
        <is>
          <t>v0.2.12</t>
        </is>
      </c>
    </row>
    <row r="5" ht="18" customHeight="1" s="410">
      <c r="B5" s="218" t="inlineStr">
        <is>
          <t>OCCUPANCY</t>
        </is>
      </c>
      <c r="C5" s="219" t="n"/>
      <c r="D5" s="217" t="n"/>
      <c r="E5" s="218" t="inlineStr">
        <is>
          <t>EBITDARM MARGIN</t>
        </is>
      </c>
      <c r="F5" s="219" t="n"/>
      <c r="G5" s="217" t="n"/>
      <c r="H5" s="218" t="inlineStr">
        <is>
          <t>GOING-IN CAP RATE</t>
        </is>
      </c>
      <c r="I5" s="219" t="n"/>
      <c r="J5" s="217" t="n"/>
      <c r="K5" s="420" t="inlineStr">
        <is>
          <t>REVPOR</t>
        </is>
      </c>
      <c r="L5" s="421" t="n"/>
      <c r="O5" s="262" t="inlineStr">
        <is>
          <t>Blended</t>
        </is>
      </c>
      <c r="P5" s="263">
        <f>IFERROR('T12 Analytics'!E11/'T12 Analytics'!E6,NA())</f>
        <v/>
      </c>
      <c r="Q5" s="263" t="n">
        <v>0.895</v>
      </c>
    </row>
    <row r="6" ht="38.25" customHeight="1" s="410">
      <c r="B6" s="427">
        <f>IFERROR(TEXT('T12 Analytics'!E11/'T12 Analytics'!E6,"0.0%"),"—")</f>
        <v/>
      </c>
      <c r="C6" s="412" t="n"/>
      <c r="D6" s="217" t="n"/>
      <c r="E6" s="427">
        <f>IFERROR(IF(ISNUMBER('T12 Analytics'!F162),TEXT('T12 Analytics'!F162,"0.0%"),"—"),"—")</f>
        <v/>
      </c>
      <c r="F6" s="412" t="n"/>
      <c r="G6" s="217" t="n"/>
      <c r="H6" s="427">
        <f>IFERROR(IF(ISNUMBER('T12 Analytics'!F118),TEXT('T12 Analytics'!F118,"0.00%"),"—"),"—")</f>
        <v/>
      </c>
      <c r="I6" s="412" t="n"/>
      <c r="J6" s="217" t="n"/>
      <c r="K6" s="427">
        <f>IFERROR(TEXT(('T12 Analytics'!E20+'T12 Analytics'!E27)/('T12 Analytics'!E11*12),"$#,##0"),"—")</f>
        <v/>
      </c>
      <c r="L6" s="412" t="n"/>
    </row>
    <row r="7" ht="16" customHeight="1" s="410">
      <c r="B7" s="414" t="inlineStr">
        <is>
          <t>Normalized community occupancy</t>
        </is>
      </c>
      <c r="C7" s="412" t="n"/>
      <c r="D7" s="217" t="n"/>
      <c r="E7" s="414" t="inlineStr">
        <is>
          <t>Normalized (pre-mgmt fee)</t>
        </is>
      </c>
      <c r="F7" s="412" t="n"/>
      <c r="G7" s="217" t="n"/>
      <c r="H7" s="414" t="inlineStr">
        <is>
          <t>Normalized NOI / Purchase Price</t>
        </is>
      </c>
      <c r="I7" s="412" t="n"/>
      <c r="J7" s="217" t="n"/>
      <c r="K7" s="414" t="inlineStr">
        <is>
          <t>Normalized RevPOR per resident</t>
        </is>
      </c>
      <c r="L7" s="412" t="n"/>
      <c r="O7" s="287" t="inlineStr">
        <is>
          <t>Payer</t>
        </is>
      </c>
      <c r="P7" s="288" t="inlineStr">
        <is>
          <t>Revenue</t>
        </is>
      </c>
    </row>
    <row r="8" ht="22" customHeight="1" s="410" thickBot="1">
      <c r="B8" s="425">
        <f>IFERROR(IF('T12 Analytics'!E11/'T12 Analytics'!E6&gt;=0.9,"✓ At/above 90% stabilized hurdle",IF('T12 Analytics'!E11/'T12 Analytics'!E6&gt;=0.85,"⚠ Below stabilized, lease-up risk","✗ Distressed occupancy")),"— Source not populated")</f>
        <v/>
      </c>
      <c r="C8" s="426" t="n"/>
      <c r="D8" s="217" t="n"/>
      <c r="E8" s="425">
        <f>IF(ISNUMBER('T12 Analytics'!F162),IF('T12 Analytics'!F162&gt;=0.27,"✓ In-line with REIT SHOP avg ~27%",IF('T12 Analytics'!F162&gt;=0.22,"⚠ Below institutional median","✗ Margin distressed")),"— Source not populated")</f>
        <v/>
      </c>
      <c r="F8" s="426" t="n"/>
      <c r="G8" s="217" t="n"/>
      <c r="H8" s="425">
        <f>IF(ISNUMBER('T12 Analytics'!F118),IF('T12 Analytics'!F118&gt;=0.07,"✓ Above 6.2% market avg",IF('T12 Analytics'!F118&gt;=0.055,"⚠ At market, modest yield","✗ Below market, aggressive")),"— Source not populated")</f>
        <v/>
      </c>
      <c r="I8" s="426" t="n"/>
      <c r="J8" s="217" t="n"/>
      <c r="K8" s="425">
        <f>IFERROR(IF(('T12 Analytics'!E20+'T12 Analytics'!E27)/('T12 Analytics'!E11*12)&gt;0,"vs blended market $5,500-$6,500","— Source not populated"),"— Source not populated")</f>
        <v/>
      </c>
      <c r="L8" s="426" t="n"/>
      <c r="O8" s="262" t="inlineStr">
        <is>
          <t>Private Pay</t>
        </is>
      </c>
      <c r="P8" s="289">
        <f>IFERROR(IF(ISNUMBER(E43),E43,0),0)</f>
        <v/>
      </c>
    </row>
    <row r="9" ht="10.5" customHeight="1" s="410" thickBot="1">
      <c r="O9" s="262" t="inlineStr">
        <is>
          <t>Medicaid</t>
        </is>
      </c>
      <c r="P9" s="289">
        <f>IFERROR(IF(ISNUMBER(E44),E44,0),0)</f>
        <v/>
      </c>
    </row>
    <row r="10" ht="22" customHeight="1" s="410">
      <c r="B10" s="218" t="inlineStr">
        <is>
          <t>EFFECTIVE GROSS INCOME</t>
        </is>
      </c>
      <c r="C10" s="219" t="n"/>
      <c r="D10" s="217" t="n"/>
      <c r="E10" s="218" t="inlineStr">
        <is>
          <t>EBITDAR</t>
        </is>
      </c>
      <c r="F10" s="219" t="n"/>
      <c r="G10" s="217" t="n"/>
      <c r="H10" s="218" t="inlineStr">
        <is>
          <t>PRICE / BED</t>
        </is>
      </c>
      <c r="I10" s="219" t="n"/>
      <c r="J10" s="217" t="n"/>
      <c r="K10" s="449" t="inlineStr">
        <is>
          <t>BAD DEBT VARIANCE</t>
        </is>
      </c>
      <c r="O10" s="262" t="inlineStr">
        <is>
          <t>LTC Insurance</t>
        </is>
      </c>
      <c r="P10" s="289">
        <f>IFERROR(IF(ISNUMBER(E45),E45,0),0)</f>
        <v/>
      </c>
    </row>
    <row r="11" ht="38.25" customHeight="1" s="410">
      <c r="B11" s="427">
        <f>IFERROR(IF(ISNUMBER('T12 Analytics'!F52),TEXT('T12 Analytics'!F52,"$#,##0"),"—"),"—")</f>
        <v/>
      </c>
      <c r="C11" s="412" t="n"/>
      <c r="D11" s="217" t="n"/>
      <c r="E11" s="427">
        <f>IFERROR(IF(ISNUMBER('T12 Analytics'!F163),TEXT('T12 Analytics'!F163,"$#,##0"),"—"),"—")</f>
        <v/>
      </c>
      <c r="F11" s="412" t="n"/>
      <c r="G11" s="217" t="n"/>
      <c r="H11" s="427">
        <f>IFERROR(IF(AND(ISNUMBER('T12 Analytics'!F117),ISNUMBER('T12 Analytics'!E6),'T12 Analytics'!E6&gt;0),TEXT('T12 Analytics'!F117/'T12 Analytics'!E6,"$#,##0"),"—"),"—")</f>
        <v/>
      </c>
      <c r="I11" s="412" t="n"/>
      <c r="J11" s="217" t="n"/>
      <c r="K11" s="423">
        <f>IF('AR &amp; Collections'!Z1=0,"— upload AR to populate",'AR &amp; Collections'!C56)</f>
        <v/>
      </c>
      <c r="O11" s="262" t="inlineStr">
        <is>
          <t>VA</t>
        </is>
      </c>
      <c r="P11" s="289">
        <f>IFERROR(IF(ISNUMBER(E46),E46,0),0)</f>
        <v/>
      </c>
    </row>
    <row r="12" ht="22" customHeight="1" s="410">
      <c r="B12" s="411" t="inlineStr">
        <is>
          <t>Annual revenue (T12)</t>
        </is>
      </c>
      <c r="C12" s="412" t="n"/>
      <c r="D12" s="217" t="n"/>
      <c r="E12" s="411" t="inlineStr">
        <is>
          <t>After mgmt fee (lender NOI)</t>
        </is>
      </c>
      <c r="F12" s="412" t="n"/>
      <c r="G12" s="217" t="n"/>
      <c r="H12" s="411" t="inlineStr">
        <is>
          <t>Purchase price / licensed bed</t>
        </is>
      </c>
      <c r="I12" s="412" t="n"/>
      <c r="J12" s="217" t="n"/>
      <c r="O12" s="262" t="inlineStr">
        <is>
          <t>Managed Care</t>
        </is>
      </c>
      <c r="P12" s="289">
        <f>IFERROR(IF(ISNUMBER(E47),E47,0),0)</f>
        <v/>
      </c>
    </row>
    <row r="13" ht="22" customHeight="1" s="410" thickBot="1">
      <c r="B13" s="430">
        <f>IF(ISNUMBER('T12 Analytics'!F52),"✓ EGI captured","— Source not populated")</f>
        <v/>
      </c>
      <c r="C13" s="426" t="n"/>
      <c r="D13" s="217" t="n"/>
      <c r="E13" s="430">
        <f>IFERROR(IF(ISNUMBER('T12 Analytics'!F164),"Margin: "&amp;TEXT('T12 Analytics'!F164,"0.0%"),"— Margin n/a"),"—")</f>
        <v/>
      </c>
      <c r="F13" s="426" t="n"/>
      <c r="G13" s="217" t="n"/>
      <c r="H13" s="430">
        <f>IFERROR(IF(AND(ISNUMBER('T12 Analytics'!F117),ISNUMBER('T12 Analytics'!E6),'T12 Analytics'!E6&gt;0),"on "&amp;TEXT('T12 Analytics'!E6,"#,##0")&amp;" licensed beds","— Source not populated"),"—")</f>
        <v/>
      </c>
      <c r="I13" s="426" t="n"/>
      <c r="J13" s="217" t="n"/>
      <c r="K13" s="485" t="inlineStr">
        <is>
          <t>T12 bad debt − annualized AR write-offs</t>
        </is>
      </c>
      <c r="O13" s="262" t="inlineStr">
        <is>
          <t>Self-Pay</t>
        </is>
      </c>
      <c r="P13" s="289">
        <f>IFERROR(IF(ISNUMBER(E48),E48,0),0)</f>
        <v/>
      </c>
    </row>
    <row r="14" ht="10" customHeight="1" s="410">
      <c r="O14" s="262" t="inlineStr">
        <is>
          <t>Other</t>
        </is>
      </c>
      <c r="P14" s="289">
        <f>IFERROR(IF(ISNUMBER(E49),E49,0),0)</f>
        <v/>
      </c>
    </row>
    <row r="15" ht="22" customHeight="1" s="410">
      <c r="B15" s="432" t="inlineStr">
        <is>
          <t xml:space="preserve">  OPERATING PERFORMANCE</t>
        </is>
      </c>
      <c r="O15" s="262" t="n"/>
      <c r="P15" s="289" t="n"/>
    </row>
    <row r="16" ht="8" customHeight="1" s="410">
      <c r="O16" s="262" t="n"/>
      <c r="P16" s="289" t="n"/>
    </row>
    <row r="17" ht="22" customHeight="1" s="410">
      <c r="B17" s="424" t="inlineStr">
        <is>
          <t xml:space="preserve">  CAPACITY &amp; OCCUPANCY</t>
        </is>
      </c>
      <c r="C17" s="419" t="n"/>
      <c r="D17" s="217" t="n"/>
      <c r="E17" s="424" t="inlineStr">
        <is>
          <t xml:space="preserve">  REVENUE &amp; RATE</t>
        </is>
      </c>
      <c r="F17" s="419" t="n"/>
      <c r="G17" s="217" t="n"/>
      <c r="H17" s="424" t="inlineStr">
        <is>
          <t xml:space="preserve">  PROFITABILITY</t>
        </is>
      </c>
      <c r="I17" s="419" t="n"/>
      <c r="J17" s="217" t="n"/>
      <c r="K17" s="424" t="inlineStr">
        <is>
          <t xml:space="preserve">  COST STRUCTURE &amp; LABOR</t>
        </is>
      </c>
      <c r="L17" s="419" t="n"/>
      <c r="O17" s="262" t="n"/>
      <c r="P17" s="289" t="n"/>
    </row>
    <row r="18" ht="18" customHeight="1" s="410">
      <c r="B18" s="437" t="inlineStr">
        <is>
          <t>Licensed beds (total)</t>
        </is>
      </c>
      <c r="C18" s="227">
        <f>IFERROR(IF(ISNUMBER('T12 Analytics'!E6),'T12 Analytics'!E6,"—"),"—")</f>
        <v/>
      </c>
      <c r="D18" s="220" t="n"/>
      <c r="E18" s="437" t="inlineStr">
        <is>
          <t>Gross potential rent</t>
        </is>
      </c>
      <c r="F18" s="234">
        <f>IFERROR(IF(ISNUMBER('T12 Analytics'!F37),'T12 Analytics'!F37,"—"),"—")</f>
        <v/>
      </c>
      <c r="G18" s="220" t="n"/>
      <c r="H18" s="437" t="inlineStr">
        <is>
          <t>EBITDARM $</t>
        </is>
      </c>
      <c r="I18" s="238">
        <f>IFERROR(IF(ISNUMBER('T12 Analytics'!F161),'T12 Analytics'!F161,"—"),"—")</f>
        <v/>
      </c>
      <c r="J18" s="220" t="n"/>
      <c r="K18" s="437" t="inlineStr">
        <is>
          <t>Total labor % EGI</t>
        </is>
      </c>
      <c r="L18" s="241">
        <f>IFERROR(IF(ISNUMBER('T12 Analytics'!F148),'T12 Analytics'!F148,"—"),"—")</f>
        <v/>
      </c>
      <c r="O18" s="262" t="n"/>
      <c r="P18" s="289" t="n"/>
    </row>
    <row r="19" ht="18" customHeight="1" s="410">
      <c r="B19" s="224" t="inlineStr">
        <is>
          <t xml:space="preserve">  IL / AL / MC</t>
        </is>
      </c>
      <c r="C19" s="228">
        <f>IFERROR(IF(ISNUMBER('T12 Analytics'!B6),TEXT('T12 Analytics'!B6,"0")&amp;" / "&amp;TEXT('T12 Analytics'!C6,"0")&amp;" / "&amp;TEXT('T12 Analytics'!D6,"0"),"—"),"—")</f>
        <v/>
      </c>
      <c r="D19" s="220" t="n"/>
      <c r="E19" s="422" t="inlineStr">
        <is>
          <t>Effective gross income</t>
        </is>
      </c>
      <c r="F19" s="235">
        <f>IFERROR(IF(ISNUMBER('T12 Analytics'!F52),'T12 Analytics'!F52,"—"),"—")</f>
        <v/>
      </c>
      <c r="G19" s="220" t="n"/>
      <c r="H19" s="422" t="inlineStr">
        <is>
          <t>EBITDARM margin</t>
        </is>
      </c>
      <c r="I19" s="230">
        <f>IFERROR(IF(ISNUMBER('T12 Analytics'!F162),'T12 Analytics'!F162,"—"),"—")</f>
        <v/>
      </c>
      <c r="J19" s="220" t="n"/>
      <c r="K19" s="422" t="inlineStr">
        <is>
          <t>Direct labor % EGI</t>
        </is>
      </c>
      <c r="L19" s="232">
        <f>IFERROR(IF(ISNUMBER('T12 Analytics'!F149),'T12 Analytics'!F149,"—"),"—")</f>
        <v/>
      </c>
      <c r="O19" s="262" t="n"/>
      <c r="P19" s="289" t="n"/>
    </row>
    <row r="20" ht="18" customHeight="1" s="410">
      <c r="B20" s="437" t="inlineStr">
        <is>
          <t>Avg occupied beds</t>
        </is>
      </c>
      <c r="C20" s="229">
        <f>IFERROR(IF(ISNUMBER('T12 Analytics'!E11),'T12 Analytics'!E11,"—"),"—")</f>
        <v/>
      </c>
      <c r="D20" s="220" t="n"/>
      <c r="E20" s="437" t="inlineStr">
        <is>
          <t>Blended ADR / day</t>
        </is>
      </c>
      <c r="F20" s="234">
        <f>IFERROR('T12 Analytics'!E20/('T12 Analytics'!E11*12),"—")</f>
        <v/>
      </c>
      <c r="G20" s="220" t="n"/>
      <c r="H20" s="437" t="inlineStr">
        <is>
          <t>EBITDAR $ (post mgmt fee)</t>
        </is>
      </c>
      <c r="I20" s="234">
        <f>IFERROR(IF(ISNUMBER('T12 Analytics'!F163),'T12 Analytics'!F163,"—"),"—")</f>
        <v/>
      </c>
      <c r="J20" s="220" t="n"/>
      <c r="K20" s="437" t="inlineStr">
        <is>
          <t>Overtime %</t>
        </is>
      </c>
      <c r="L20" s="231">
        <f>IFERROR(IF(ISNUMBER('T12 Analytics'!F150),'T12 Analytics'!F150,"—"),"—")</f>
        <v/>
      </c>
    </row>
    <row r="21" ht="18" customHeight="1" s="410">
      <c r="B21" s="422" t="inlineStr">
        <is>
          <t>Community occupancy %</t>
        </is>
      </c>
      <c r="C21" s="230">
        <f>IFERROR('T12 Analytics'!E11/'T12 Analytics'!E6,"—")</f>
        <v/>
      </c>
      <c r="D21" s="220" t="n"/>
      <c r="E21" s="422" t="inlineStr">
        <is>
          <t>RevPOR (blended)</t>
        </is>
      </c>
      <c r="F21" s="235">
        <f>IFERROR(('T12 Analytics'!E20+'T12 Analytics'!E27)/('T12 Analytics'!E11*12),"—")</f>
        <v/>
      </c>
      <c r="G21" s="220" t="n"/>
      <c r="H21" s="422" t="inlineStr">
        <is>
          <t>EBITDAR margin</t>
        </is>
      </c>
      <c r="I21" s="232">
        <f>IFERROR(IF(ISNUMBER('T12 Analytics'!F164),'T12 Analytics'!F164,"—"),"—")</f>
        <v/>
      </c>
      <c r="J21" s="220" t="n"/>
      <c r="K21" s="422" t="inlineStr">
        <is>
          <t>Agency labor %</t>
        </is>
      </c>
      <c r="L21" s="230">
        <f>IFERROR(IF(ISNUMBER('T12 Analytics'!F152),'T12 Analytics'!F152,"—"),"—")</f>
        <v/>
      </c>
    </row>
    <row r="22" ht="18" customHeight="1" s="410">
      <c r="B22" s="437" t="inlineStr">
        <is>
          <t>Economic occupancy %</t>
        </is>
      </c>
      <c r="C22" s="231">
        <f>IFERROR(IF(ISNUMBER('Rent Roll Recon'!E13),'Rent Roll Recon'!E13,"—"),"—")</f>
        <v/>
      </c>
      <c r="D22" s="220" t="n"/>
      <c r="E22" s="437" t="inlineStr">
        <is>
          <t>RevPAB</t>
        </is>
      </c>
      <c r="F22" s="234">
        <f>IFERROR(IF(ISNUMBER('T12 Analytics'!F145),'T12 Analytics'!F145,"—"),"—")</f>
        <v/>
      </c>
      <c r="G22" s="220" t="n"/>
      <c r="H22" s="437" t="inlineStr">
        <is>
          <t>EGI / occupied bed</t>
        </is>
      </c>
      <c r="I22" s="234">
        <f>IFERROR(IF(ISNUMBER('T12 Analytics'!F144),'T12 Analytics'!F144,"—"),"—")</f>
        <v/>
      </c>
      <c r="J22" s="220" t="n"/>
      <c r="K22" s="437" t="inlineStr">
        <is>
          <t>Food PPD</t>
        </is>
      </c>
      <c r="L22" s="242">
        <f>IFERROR(IF(ISNUMBER('T12 Analytics'!F154),'T12 Analytics'!F154,"—"),"—")</f>
        <v/>
      </c>
    </row>
    <row r="23" ht="18" customHeight="1" s="410">
      <c r="B23" s="422" t="inlineStr">
        <is>
          <t>Loss to lease %</t>
        </is>
      </c>
      <c r="C23" s="232">
        <f>IFERROR(IF(AND(ISNUMBER('T12 Analytics'!F41),ISNUMBER('T12 Analytics'!F37),'T12 Analytics'!F37&lt;&gt;0),ABS('T12 Analytics'!F41)/'T12 Analytics'!F37,"—"),"—")</f>
        <v/>
      </c>
      <c r="D23" s="220" t="n"/>
      <c r="E23" s="422" t="inlineStr">
        <is>
          <t>Level of care %</t>
        </is>
      </c>
      <c r="F23" s="232">
        <f>IFERROR(IF(ISNUMBER('T12 Analytics'!F146),'T12 Analytics'!F146,"—"),"—")</f>
        <v/>
      </c>
      <c r="G23" s="220" t="n"/>
      <c r="H23" s="422" t="inlineStr">
        <is>
          <t>Opex / occupied bed</t>
        </is>
      </c>
      <c r="I23" s="239">
        <f>IFERROR(IF(ISNUMBER('T12 Analytics'!F160),'T12 Analytics'!F160,"—"),"—")</f>
        <v/>
      </c>
      <c r="J23" s="220" t="n"/>
      <c r="K23" s="422" t="inlineStr">
        <is>
          <t>Mgmt fee %</t>
        </is>
      </c>
      <c r="L23" s="232">
        <f>IFERROR(IF(ISNUMBER('T12 Analytics'!F157),'T12 Analytics'!F157,"—"),"—")</f>
        <v/>
      </c>
    </row>
    <row r="24" ht="18" customHeight="1" s="410">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Analytics'!F158),'T12 Analytics'!F158,"—"),"—")</f>
        <v/>
      </c>
      <c r="G24" s="220" t="n"/>
      <c r="H24" s="226" t="inlineStr">
        <is>
          <t>Total opex $</t>
        </is>
      </c>
      <c r="I24" s="240">
        <f>IFERROR(IF(ISNUMBER('T12 Analytics'!F105),'T12 Analytics'!F105,"—"),"—")</f>
        <v/>
      </c>
      <c r="J24" s="220" t="n"/>
      <c r="K24" s="226" t="inlineStr">
        <is>
          <t>Insurance (P&amp;C) %</t>
        </is>
      </c>
      <c r="L24" s="233">
        <f>IFERROR(IF(ISNUMBER('T12 Analytics'!F159),'T12 Analytics'!F159,"—"),"—")</f>
        <v/>
      </c>
    </row>
    <row r="25" ht="12" customHeight="1" s="410"/>
    <row r="26" ht="22" customHeight="1" s="410">
      <c r="B26" s="432" t="inlineStr">
        <is>
          <t xml:space="preserve">  VALUATION &amp; MARKET BENCHMARKING</t>
        </is>
      </c>
    </row>
    <row r="27" ht="8" customHeight="1" s="410"/>
    <row r="28" ht="22" customHeight="1" s="410">
      <c r="B28" s="424" t="inlineStr">
        <is>
          <t xml:space="preserve">  DEAL ECONOMICS</t>
        </is>
      </c>
      <c r="C28" s="428" t="n"/>
      <c r="D28" s="428" t="n"/>
      <c r="E28" s="428" t="n"/>
      <c r="F28" s="419" t="n"/>
      <c r="G28" s="217" t="n"/>
      <c r="H28" s="424" t="inlineStr">
        <is>
          <t xml:space="preserve">  OCCUPANCY vs MARKET (NIC MAP Q1 2026)</t>
        </is>
      </c>
      <c r="I28" s="428" t="n"/>
      <c r="J28" s="428" t="n"/>
      <c r="K28" s="428" t="n"/>
      <c r="L28" s="428" t="n"/>
      <c r="M28" s="419" t="n"/>
    </row>
    <row r="29" ht="18" customHeight="1" s="410">
      <c r="B29" s="433" t="inlineStr">
        <is>
          <t>Metric</t>
        </is>
      </c>
      <c r="D29" s="243" t="inlineStr">
        <is>
          <t>Property</t>
        </is>
      </c>
      <c r="E29" s="243" t="inlineStr">
        <is>
          <t>Market</t>
        </is>
      </c>
      <c r="F29" s="253" t="inlineStr">
        <is>
          <t>Read</t>
        </is>
      </c>
      <c r="H29" s="259" t="n"/>
      <c r="M29" s="153" t="n"/>
    </row>
    <row r="30" ht="18" customHeight="1" s="410">
      <c r="B30" s="437" t="inlineStr">
        <is>
          <t>Purchase price</t>
        </is>
      </c>
      <c r="D30" s="236">
        <f>IFERROR(IF(ISNUMBER('T12 Analytics'!F117),'T12 Analytics'!F117,"—"),"—")</f>
        <v/>
      </c>
      <c r="E30" s="244" t="inlineStr">
        <is>
          <t>n/a</t>
        </is>
      </c>
      <c r="F30" s="254" t="inlineStr">
        <is>
          <t>—</t>
        </is>
      </c>
      <c r="H30" s="259" t="n"/>
      <c r="M30" s="153" t="n"/>
    </row>
    <row r="31" ht="18" customHeight="1" s="410">
      <c r="B31" s="422"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410">
      <c r="B32" s="437" t="inlineStr">
        <is>
          <t>Going-in cap rate</t>
        </is>
      </c>
      <c r="D32" s="246">
        <f>IFERROR(IF(ISNUMBER('T12 Analytics'!F118),'T12 Analytics'!F118,"—"),"—")</f>
        <v/>
      </c>
      <c r="E32" s="247" t="n">
        <v>0.062</v>
      </c>
      <c r="F32" s="256">
        <f>IF(ISNUMBER(D32),IF(D32&gt;=0.07,"✓",IF(D32&gt;=0.055,"⚠","✗")),"—")</f>
        <v/>
      </c>
      <c r="H32" s="259" t="n"/>
      <c r="M32" s="153" t="n"/>
    </row>
    <row r="33" ht="18" customHeight="1" s="410">
      <c r="B33" s="422" t="inlineStr">
        <is>
          <t>EBITDAR cap rate</t>
        </is>
      </c>
      <c r="D33" s="248">
        <f>IFERROR(IF(ISNUMBER('T12 Analytics'!F120),'T12 Analytics'!F120,"—"),"—")</f>
        <v/>
      </c>
      <c r="E33" s="245" t="inlineStr">
        <is>
          <t>5.7-6.5%</t>
        </is>
      </c>
      <c r="F33" s="255">
        <f>IF(ISNUMBER(D33),IF(D33&gt;=0.065,"✓",IF(D33&gt;=0.055,"⚠","✗")),"—")</f>
        <v/>
      </c>
      <c r="H33" s="259" t="n"/>
      <c r="M33" s="153" t="n"/>
    </row>
    <row r="34" ht="18" customHeight="1" s="410">
      <c r="B34" s="437" t="inlineStr">
        <is>
          <t>EBITDARM margin</t>
        </is>
      </c>
      <c r="D34" s="221">
        <f>IFERROR(IF(ISNUMBER('T12 Analytics'!F162),'T12 Analytics'!F162,"—"),"—")</f>
        <v/>
      </c>
      <c r="E34" s="247" t="n">
        <v>0.27</v>
      </c>
      <c r="F34" s="256">
        <f>IF(ISNUMBER(D34),IF(D34&gt;=0.27,"✓",IF(D34&gt;=0.22,"⚠","✗")),"—")</f>
        <v/>
      </c>
      <c r="H34" s="259" t="n"/>
      <c r="M34" s="153" t="n"/>
    </row>
    <row r="35" ht="18" customHeight="1" s="410">
      <c r="B35" s="422" t="inlineStr">
        <is>
          <t>Community occupancy</t>
        </is>
      </c>
      <c r="D35" s="222">
        <f>IFERROR('T12 Analytics'!E11/'T12 Analytics'!E6,"—")</f>
        <v/>
      </c>
      <c r="E35" s="249" t="n">
        <v>0.895</v>
      </c>
      <c r="F35" s="255">
        <f>IF(ISNUMBER(D35),IF(D35&gt;=0.9,"✓",IF(D35&gt;=0.85,"⚠","✗")),"—")</f>
        <v/>
      </c>
      <c r="H35" s="259" t="n"/>
      <c r="M35" s="153" t="n"/>
    </row>
    <row r="36" ht="18" customHeight="1" s="410">
      <c r="B36" s="437" t="inlineStr">
        <is>
          <t>Labor % EGI</t>
        </is>
      </c>
      <c r="D36" s="221">
        <f>IFERROR(IF(ISNUMBER('T12 Analytics'!F148),'T12 Analytics'!F148,"—"),"—")</f>
        <v/>
      </c>
      <c r="E36" s="250" t="inlineStr">
        <is>
          <t>43-45%</t>
        </is>
      </c>
      <c r="F36" s="256">
        <f>IF(ISNUMBER(D36),IF(D36&lt;=0.45,"✓",IF(D36&lt;=0.5,"⚠","✗")),"—")</f>
        <v/>
      </c>
      <c r="H36" s="259" t="n"/>
      <c r="M36" s="153" t="n"/>
    </row>
    <row r="37" ht="18" customHeight="1" s="410">
      <c r="B37" s="438" t="inlineStr">
        <is>
          <t>Agency labor %</t>
        </is>
      </c>
      <c r="C37" s="439" t="n"/>
      <c r="D37" s="251">
        <f>IFERROR(IF(ISNUMBER('T12 Analytics'!F152),'T12 Analytics'!F152,"—"),"—")</f>
        <v/>
      </c>
      <c r="E37" s="252" t="inlineStr">
        <is>
          <t>&lt;3%</t>
        </is>
      </c>
      <c r="F37" s="257">
        <f>IF(ISNUMBER(D37),IF(D37&lt;=0.03,"✓",IF(D37&lt;=0.06,"⚠","✗")),"—")</f>
        <v/>
      </c>
      <c r="H37" s="260" t="n"/>
      <c r="I37" s="439" t="n"/>
      <c r="J37" s="439" t="n"/>
      <c r="K37" s="439" t="n"/>
      <c r="L37" s="439" t="n"/>
      <c r="M37" s="261" t="n"/>
    </row>
    <row r="38" ht="10" customHeight="1" s="410"/>
    <row r="39" ht="22" customHeight="1" s="410">
      <c r="B39" s="451" t="inlineStr">
        <is>
          <t>PAYER MIX</t>
        </is>
      </c>
    </row>
    <row r="40" ht="6" customHeight="1" s="410"/>
    <row r="41" ht="20" customHeight="1" s="410">
      <c r="B41" s="448" t="inlineStr">
        <is>
          <t>Payer Mix — Revenue &amp; Census</t>
        </is>
      </c>
      <c r="H41" s="448" t="inlineStr">
        <is>
          <t>Payer Mix — Revenue Share</t>
        </is>
      </c>
    </row>
    <row r="42" ht="22" customHeight="1" s="410">
      <c r="B42" s="277" t="inlineStr">
        <is>
          <t>Payer Type</t>
        </is>
      </c>
      <c r="C42" s="273" t="inlineStr">
        <is>
          <t>Resident Count</t>
        </is>
      </c>
      <c r="D42" s="273" t="inlineStr">
        <is>
          <t>% of Census</t>
        </is>
      </c>
      <c r="E42" s="273" t="inlineStr">
        <is>
          <t>Revenue (T12)</t>
        </is>
      </c>
      <c r="F42" s="278" t="inlineStr">
        <is>
          <t>% of Revenue</t>
        </is>
      </c>
    </row>
    <row r="43" ht="18" customHeight="1" s="410">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410">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410">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410">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410">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410">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410">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410">
      <c r="B50" s="286" t="inlineStr">
        <is>
          <t>Total</t>
        </is>
      </c>
      <c r="C50" s="274">
        <f>SUM(C43:C49)</f>
        <v/>
      </c>
      <c r="D50" s="275" t="n">
        <v>1</v>
      </c>
      <c r="E50" s="276">
        <f>SUM(E43:E49)</f>
        <v/>
      </c>
      <c r="F50" s="282" t="n">
        <v>1</v>
      </c>
    </row>
    <row r="52" ht="22" customHeight="1" s="410">
      <c r="B52" s="450" t="inlineStr">
        <is>
          <t>RISK FLAGS &amp; UNDERWRITING CHECKS</t>
        </is>
      </c>
    </row>
    <row r="53" ht="6" customHeight="1" s="410"/>
    <row r="54" ht="20" customHeight="1" s="410">
      <c r="B54" s="441" t="inlineStr">
        <is>
          <t>Risk Indicator</t>
        </is>
      </c>
      <c r="C54" s="442" t="n"/>
      <c r="D54" s="442" t="n"/>
      <c r="E54" s="300" t="inlineStr">
        <is>
          <t>Property</t>
        </is>
      </c>
      <c r="F54" s="300" t="inlineStr">
        <is>
          <t>Threshold</t>
        </is>
      </c>
      <c r="G54" s="300" t="inlineStr">
        <is>
          <t>Flag</t>
        </is>
      </c>
      <c r="H54" s="443" t="inlineStr">
        <is>
          <t>Read</t>
        </is>
      </c>
      <c r="I54" s="442" t="n"/>
      <c r="J54" s="442" t="n"/>
      <c r="K54" s="442" t="n"/>
      <c r="L54" s="442" t="n"/>
      <c r="M54" s="444" t="n"/>
    </row>
    <row r="55" ht="22" customHeight="1" s="410">
      <c r="B55" s="431" t="inlineStr">
        <is>
          <t>Occupancy gap to market</t>
        </is>
      </c>
      <c r="E55" s="290">
        <f>IFERROR('T12 Analytics'!E11/'T12 Analytics'!E6-0.895,"—")</f>
        <v/>
      </c>
      <c r="F55" s="291" t="inlineStr">
        <is>
          <t>≥ 0 ppt</t>
        </is>
      </c>
      <c r="G55" s="292">
        <f>IFERROR(IF('T12 Analytics'!E11/'T12 Analytics'!E6&gt;=0.895,"✅",IF('T12 Analytics'!E11/'T12 Analytics'!E6&gt;=0.85,"⚠️","❌")),"⚪")</f>
        <v/>
      </c>
      <c r="H55" s="446">
        <f>IFERROR(IF('T12 Analytics'!E11/'T12 Analytics'!E6&gt;=0.895,"At or above NIC MAP",IF('T12 Analytics'!E11/'T12 Analytics'!E6&gt;=0.85,"Below market — lease-up risk","Significantly below market")),"No data")</f>
        <v/>
      </c>
      <c r="M55" s="447" t="n"/>
    </row>
    <row r="56" ht="22" customHeight="1" s="410">
      <c r="B56" s="413" t="inlineStr">
        <is>
          <t>Agency labor reliance</t>
        </is>
      </c>
      <c r="C56" s="407" t="n"/>
      <c r="D56" s="407" t="n"/>
      <c r="E56" s="293">
        <f>IFERROR(IF(ISNUMBER('T12 Analytics'!F152),'T12 Analytics'!F152,"—"),"—")</f>
        <v/>
      </c>
      <c r="F56" s="294" t="inlineStr">
        <is>
          <t>&lt; 3% of labor</t>
        </is>
      </c>
      <c r="G56" s="295">
        <f>IFERROR(IF(NOT(ISNUMBER('T12 Analytics'!F152)),"⚪",IF('T12 Analytics'!F152&lt;0.03,"✅",IF('T12 Analytics'!F152&lt;0.06,"⚠️","❌"))),"⚪")</f>
        <v/>
      </c>
      <c r="H56" s="416">
        <f>IFERROR(IF(NOT(ISNUMBER('T12 Analytics'!F152)),"No data",IF('T12 Analytics'!F152&lt;0.03,"Healthy in-house staffing",IF('T12 Analytics'!F152&lt;0.06,"Moderate agency reliance","Heavy agency — staffing crisis"))),"")</f>
        <v/>
      </c>
      <c r="I56" s="407" t="n"/>
      <c r="J56" s="407" t="n"/>
      <c r="K56" s="407" t="n"/>
      <c r="L56" s="407" t="n"/>
      <c r="M56" s="408" t="n"/>
    </row>
    <row r="57" ht="22" customHeight="1" s="410">
      <c r="B57" s="415" t="inlineStr">
        <is>
          <t>Overtime burden</t>
        </is>
      </c>
      <c r="C57" s="407" t="n"/>
      <c r="D57" s="407" t="n"/>
      <c r="E57" s="296">
        <f>IFERROR(IF(ISNUMBER('T12 Analytics'!F150),'T12 Analytics'!F150,"—"),"—")</f>
        <v/>
      </c>
      <c r="F57" s="297" t="inlineStr">
        <is>
          <t>&lt; 5% of labor</t>
        </is>
      </c>
      <c r="G57" s="298">
        <f>IFERROR(IF(NOT(ISNUMBER('T12 Analytics'!F150)),"⚪",IF('T12 Analytics'!F150&lt;0.05,"✅",IF('T12 Analytics'!F150&lt;0.08,"⚠️","❌"))),"⚪")</f>
        <v/>
      </c>
      <c r="H57" s="406">
        <f>IFERROR(IF(NOT(ISNUMBER('T12 Analytics'!F150)),"No data",IF('T12 Analytics'!F150&lt;0.05,"Schedule well-managed",IF('T12 Analytics'!F150&lt;0.08,"Elevated OT","Severe OT — understaffed"))),"")</f>
        <v/>
      </c>
      <c r="I57" s="407" t="n"/>
      <c r="J57" s="407" t="n"/>
      <c r="K57" s="407" t="n"/>
      <c r="L57" s="407" t="n"/>
      <c r="M57" s="408" t="n"/>
    </row>
    <row r="58" ht="22" customHeight="1" s="410">
      <c r="B58" s="413" t="inlineStr">
        <is>
          <t>Medicaid concentration</t>
        </is>
      </c>
      <c r="C58" s="407" t="n"/>
      <c r="D58" s="407" t="n"/>
      <c r="E58" s="293">
        <f>IFERROR(IF(ISNUMBER('Rent Roll Recon'!I41),'Rent Roll Recon'!I41,"—"),"—")</f>
        <v/>
      </c>
      <c r="F58" s="294" t="inlineStr">
        <is>
          <t>&lt; 20% of rev</t>
        </is>
      </c>
      <c r="G58" s="295">
        <f>IFERROR(IF(NOT(ISNUMBER('Rent Roll Recon'!I41)),"⚪",IF('Rent Roll Recon'!I41&lt;0.2,"✅",IF('Rent Roll Recon'!I41&lt;0.35,"⚠️","❌"))),"⚪")</f>
        <v/>
      </c>
      <c r="H58" s="416">
        <f>IFERROR(IF(NOT(ISNUMBER('Rent Roll Recon'!I41)),"No data",IF('Rent Roll Recon'!I41&lt;0.2,"Private-pay dominant",IF('Rent Roll Recon'!I41&lt;0.35,"Material reimbursement risk","Heavy reimbursement exposure"))),"")</f>
        <v/>
      </c>
      <c r="I58" s="407" t="n"/>
      <c r="J58" s="407" t="n"/>
      <c r="K58" s="407" t="n"/>
      <c r="L58" s="407" t="n"/>
      <c r="M58" s="408" t="n"/>
    </row>
    <row r="59" ht="22" customHeight="1" s="410">
      <c r="B59" s="415" t="inlineStr">
        <is>
          <t>Bad debt expense</t>
        </is>
      </c>
      <c r="C59" s="407" t="n"/>
      <c r="D59" s="407" t="n"/>
      <c r="E59" s="296">
        <f>IFERROR(IF(ISNUMBER('T12 Analytics'!F158),'T12 Analytics'!F158,"—"),"—")</f>
        <v/>
      </c>
      <c r="F59" s="297" t="inlineStr">
        <is>
          <t>&lt; 1% of rev</t>
        </is>
      </c>
      <c r="G59" s="298">
        <f>IFERROR(IF(NOT(ISNUMBER('T12 Analytics'!F158)),"⚪",IF('T12 Analytics'!F158&lt;0.01,"✅",IF('T12 Analytics'!F158&lt;0.025,"⚠️","❌"))),"⚪")</f>
        <v/>
      </c>
      <c r="H59" s="406">
        <f>IFERROR(IF(NOT(ISNUMBER('T12 Analytics'!F158)),"No data",IF('T12 Analytics'!F158&lt;0.01,"Strong collections",IF('T12 Analytics'!F158&lt;0.025,"Watch AR aging","Collections issue"))),"")</f>
        <v/>
      </c>
      <c r="I59" s="407" t="n"/>
      <c r="J59" s="407" t="n"/>
      <c r="K59" s="407" t="n"/>
      <c r="L59" s="407" t="n"/>
      <c r="M59" s="408" t="n"/>
    </row>
    <row r="60" ht="22" customHeight="1" s="410">
      <c r="B60" s="413" t="inlineStr">
        <is>
          <t>EBITDARM margin</t>
        </is>
      </c>
      <c r="C60" s="407" t="n"/>
      <c r="D60" s="407" t="n"/>
      <c r="E60" s="293">
        <f>IFERROR(IF(ISNUMBER('T12 Analytics'!F162),'T12 Analytics'!F162,"—"),"—")</f>
        <v/>
      </c>
      <c r="F60" s="294" t="inlineStr">
        <is>
          <t>≥ 25%</t>
        </is>
      </c>
      <c r="G60" s="295">
        <f>IFERROR(IF(NOT(ISNUMBER('T12 Analytics'!F162)),"⚪",IF('T12 Analytics'!F162&gt;=0.25,"✅",IF('T12 Analytics'!F162&gt;=0.18,"⚠️","❌"))),"⚪")</f>
        <v/>
      </c>
      <c r="H60" s="416">
        <f>IFERROR(IF(NOT(ISNUMBER('T12 Analytics'!F162)),"No data",IF('T12 Analytics'!F162&gt;=0.25,"Institutional-quality margin",IF('T12 Analytics'!F162&gt;=0.18,"Sub-institutional margin","Significant margin compression"))),"")</f>
        <v/>
      </c>
      <c r="I60" s="407" t="n"/>
      <c r="J60" s="407" t="n"/>
      <c r="K60" s="407" t="n"/>
      <c r="L60" s="407" t="n"/>
      <c r="M60" s="408" t="n"/>
    </row>
    <row r="61" ht="22" customHeight="1" s="410">
      <c r="B61" s="415" t="inlineStr">
        <is>
          <t>Going-in cap rate vs market</t>
        </is>
      </c>
      <c r="C61" s="407" t="n"/>
      <c r="D61" s="407" t="n"/>
      <c r="E61" s="299">
        <f>IFERROR(IF(ISNUMBER('T12 Analytics'!F118),'T12 Analytics'!F118,"—"),"—")</f>
        <v/>
      </c>
      <c r="F61" s="297" t="inlineStr">
        <is>
          <t>≥ 6.5%</t>
        </is>
      </c>
      <c r="G61" s="298">
        <f>IFERROR(IF(NOT(ISNUMBER('T12 Analytics'!F118)),"⚪",IF('T12 Analytics'!F118&gt;=0.065,"✅",IF('T12 Analytics'!F118&gt;=0.055,"⚠️","❌"))),"⚪")</f>
        <v/>
      </c>
      <c r="H61" s="406">
        <f>IFERROR(IF(NOT(ISNUMBER('T12 Analytics'!F118)),"No data",IF('T12 Analytics'!F118&gt;=0.065,"Wide of 6.2% market avg",IF('T12 Analytics'!F118&gt;=0.055,"In line with market","Tight pricing — reaching"))),"")</f>
        <v/>
      </c>
      <c r="I61" s="407" t="n"/>
      <c r="J61" s="407" t="n"/>
      <c r="K61" s="407" t="n"/>
      <c r="L61" s="407" t="n"/>
      <c r="M61" s="408" t="n"/>
    </row>
    <row r="62" ht="22" customHeight="1" s="410">
      <c r="B62" s="440" t="inlineStr">
        <is>
          <t>Loss to lease</t>
        </is>
      </c>
      <c r="C62" s="435" t="n"/>
      <c r="D62" s="435"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34">
        <f>IFERROR(IF(NOT(ISNUMBER('T12 Analytics'!F41)),"No data",IF(IFERROR('T12 Analytics'!F41/'T12 Analytics'!F37,0)&lt;0.05,"Rate near market",IF(IFERROR('T12 Analytics'!F41/'T12 Analytics'!F37,0)&lt;0.1,"Mark-to-market upside","Material rate compression"))),"")</f>
        <v/>
      </c>
      <c r="I62" s="435" t="n"/>
      <c r="J62" s="435" t="n"/>
      <c r="K62" s="435" t="n"/>
      <c r="L62" s="435" t="n"/>
      <c r="M62" s="436" t="n"/>
    </row>
    <row r="64" ht="15.75" customHeight="1" s="410">
      <c r="B64" s="417" t="inlineStr">
        <is>
          <t>CAPACITY &amp; OCCUPANCY — IL / AL / MC</t>
        </is>
      </c>
      <c r="H64" s="417" t="inlineStr">
        <is>
          <t>REVENUE QUALITY — ADR, RevPOR &amp; ACUITY</t>
        </is>
      </c>
    </row>
    <row r="65">
      <c r="B65" s="304" t="n"/>
      <c r="C65" s="304" t="n"/>
      <c r="D65" s="304" t="n"/>
      <c r="E65" s="304" t="n"/>
      <c r="F65" s="304" t="n"/>
      <c r="H65" s="304" t="n"/>
      <c r="I65" s="304" t="n"/>
      <c r="J65" s="304" t="n"/>
      <c r="K65" s="304" t="n"/>
      <c r="L65" s="304" t="n"/>
    </row>
    <row r="66">
      <c r="B66" s="317" t="inlineStr">
        <is>
          <t>Care Type</t>
        </is>
      </c>
      <c r="C66" s="313" t="inlineStr">
        <is>
          <t>Licensed</t>
        </is>
      </c>
      <c r="D66" s="313" t="inlineStr">
        <is>
          <t>Occupied</t>
        </is>
      </c>
      <c r="E66" s="313" t="inlineStr">
        <is>
          <t>Occ %</t>
        </is>
      </c>
      <c r="F66" s="321" t="inlineStr">
        <is>
          <t>Target</t>
        </is>
      </c>
      <c r="H66" s="317" t="inlineStr">
        <is>
          <t>Metric</t>
        </is>
      </c>
      <c r="I66" s="313" t="inlineStr">
        <is>
          <t>IL</t>
        </is>
      </c>
      <c r="J66" s="313" t="inlineStr">
        <is>
          <t>AL</t>
        </is>
      </c>
      <c r="K66" s="313" t="inlineStr">
        <is>
          <t>MC</t>
        </is>
      </c>
      <c r="L66" s="321" t="inlineStr">
        <is>
          <t>Blended</t>
        </is>
      </c>
    </row>
    <row r="67">
      <c r="B67" s="318" t="inlineStr">
        <is>
          <t>Independent Living</t>
        </is>
      </c>
      <c r="C67" s="305">
        <f>IFERROR(IF(ISNUMBER('T12 Analytics'!B6),'T12 Analytics'!B6,"—"),"—")</f>
        <v/>
      </c>
      <c r="D67" s="305">
        <f>IFERROR(IF(ISNUMBER('T12 Analytics'!B11),'T12 Analytics'!B11,"—"),"—")</f>
        <v/>
      </c>
      <c r="E67" s="306">
        <f>IFERROR(IF(AND(ISNUMBER(C67),ISNUMBER(D67),C67&gt;0),D67/C67,"—"),"—")</f>
        <v/>
      </c>
      <c r="F67" s="322" t="inlineStr">
        <is>
          <t>90%+</t>
        </is>
      </c>
      <c r="H67" s="318" t="inlineStr">
        <is>
          <t>ADR ($/bed/mo)</t>
        </is>
      </c>
      <c r="I67" s="325">
        <f>IFERROR(IF(AND(ISNUMBER('T12 Analytics'!B16),ISNUMBER('T12 Analytics'!B11),'T12 Analytics'!B11&gt;0),'T12 Analytics'!B16/('T12 Analytics'!B11*12),"—"),"—")</f>
        <v/>
      </c>
      <c r="J67" s="325">
        <f>IFERROR(IF(AND(ISNUMBER('T12 Analytics'!C16),ISNUMBER('T12 Analytics'!C11),'T12 Analytics'!C11&gt;0),'T12 Analytics'!C16/('T12 Analytics'!C11*12),"—"),"—")</f>
        <v/>
      </c>
      <c r="K67" s="325">
        <f>IFERROR(IF(AND(ISNUMBER('T12 Analytics'!D16),ISNUMBER('T12 Analytics'!D11),'T12 Analytics'!D11&gt;0),'T12 Analytics'!D16/('T12 Analytics'!D11*12),"—"),"—")</f>
        <v/>
      </c>
      <c r="L67" s="327">
        <f>IFERROR(IF(AND(ISNUMBER('T12 Analytics'!E16),ISNUMBER('T12 Analytics'!E11),'T12 Analytics'!E11&gt;0),'T12 Analytics'!E16/('T12 Analytics'!E11*12),"—"),"—")</f>
        <v/>
      </c>
    </row>
    <row r="68">
      <c r="B68" s="319" t="inlineStr">
        <is>
          <t>Assisted Living</t>
        </is>
      </c>
      <c r="C68" s="309">
        <f>IFERROR(IF(ISNUMBER('T12 Analytics'!C6),'T12 Analytics'!C6,"—"),"—")</f>
        <v/>
      </c>
      <c r="D68" s="309">
        <f>IFERROR(IF(ISNUMBER('T12 Analytics'!C11),'T12 Analytics'!C11,"—"),"—")</f>
        <v/>
      </c>
      <c r="E68" s="310">
        <f>IFERROR(IF(AND(ISNUMBER(C68),ISNUMBER(D68),C68&gt;0),D68/C68,"—"),"—")</f>
        <v/>
      </c>
      <c r="F68" s="323" t="inlineStr">
        <is>
          <t>87–92%</t>
        </is>
      </c>
      <c r="H68" s="319" t="inlineStr">
        <is>
          <t>RevPOR (base + LOC)</t>
        </is>
      </c>
      <c r="I68" s="326">
        <f>IFERROR(IF(AND(ISNUMBER('T12 Analytics'!B16),ISNUMBER('T12 Analytics'!B11),'T12 Analytics'!B11&gt;0),('T12 Analytics'!B16+IFERROR('T12 Analytics'!B23,0))/('T12 Analytics'!B11*12),"—"),"—")</f>
        <v/>
      </c>
      <c r="J68" s="326">
        <f>IFERROR(IF(AND(ISNUMBER('T12 Analytics'!C16),ISNUMBER('T12 Analytics'!C11),'T12 Analytics'!C11&gt;0),('T12 Analytics'!C16+IFERROR('T12 Analytics'!C23,0))/('T12 Analytics'!C11*12),"—"),"—")</f>
        <v/>
      </c>
      <c r="K68" s="326">
        <f>IFERROR(IF(AND(ISNUMBER('T12 Analytics'!D16),ISNUMBER('T12 Analytics'!D11),'T12 Analytics'!D11&gt;0),('T12 Analytics'!D16+IFERROR('T12 Analytics'!D23,0))/('T12 Analytics'!D11*12),"—"),"—")</f>
        <v/>
      </c>
      <c r="L68" s="328">
        <f>IFERROR(IF(AND(ISNUMBER('T12 Analytics'!E16),ISNUMBER('T12 Analytics'!E11),'T12 Analytics'!E11&gt;0),('T12 Analytics'!E16+IFERROR('T12 Analytics'!E23,0))/('T12 Analytics'!E11*12),"—"),"—")</f>
        <v/>
      </c>
    </row>
    <row r="69">
      <c r="B69" s="318" t="inlineStr">
        <is>
          <t>Memory Care</t>
        </is>
      </c>
      <c r="C69" s="305">
        <f>IFERROR(IF(ISNUMBER('T12 Analytics'!D6),'T12 Analytics'!D6,"—"),"—")</f>
        <v/>
      </c>
      <c r="D69" s="305">
        <f>IFERROR(IF(ISNUMBER('T12 Analytics'!D11),'T12 Analytics'!D11,"—"),"—")</f>
        <v/>
      </c>
      <c r="E69" s="306">
        <f>IFERROR(IF(AND(ISNUMBER(C69),ISNUMBER(D69),C69&gt;0),D69/C69,"—"),"—")</f>
        <v/>
      </c>
      <c r="F69" s="322" t="inlineStr">
        <is>
          <t>85–90%</t>
        </is>
      </c>
      <c r="H69" s="318" t="inlineStr">
        <is>
          <t>LOC as % of base rent</t>
        </is>
      </c>
      <c r="I69" s="306">
        <f>IFERROR(IF(AND(ISNUMBER('T12 Analytics'!B23),ISNUMBER('T12 Analytics'!B16),'T12 Analytics'!B16&lt;&gt;0),'T12 Analytics'!B23/'T12 Analytics'!B16,"—"),"—")</f>
        <v/>
      </c>
      <c r="J69" s="306">
        <f>IFERROR(IF(AND(ISNUMBER('T12 Analytics'!C23),ISNUMBER('T12 Analytics'!C16),'T12 Analytics'!C16&lt;&gt;0),'T12 Analytics'!C23/'T12 Analytics'!C16,"—"),"—")</f>
        <v/>
      </c>
      <c r="K69" s="306">
        <f>IFERROR(IF(AND(ISNUMBER('T12 Analytics'!D23),ISNUMBER('T12 Analytics'!D16),'T12 Analytics'!D16&lt;&gt;0),'T12 Analytics'!D23/'T12 Analytics'!D16,"—"),"—")</f>
        <v/>
      </c>
      <c r="L69" s="329">
        <f>IFERROR(IF(AND(ISNUMBER('T12 Analytics'!E23),ISNUMBER('T12 Analytics'!E16),'T12 Analytics'!E16&lt;&gt;0),'T12 Analytics'!E23/'T12 Analytics'!E16,"—"),"—")</f>
        <v/>
      </c>
    </row>
    <row r="70">
      <c r="B70" s="320" t="inlineStr">
        <is>
          <t>Blended</t>
        </is>
      </c>
      <c r="C70" s="314">
        <f>IFERROR(IF(ISNUMBER('T12 Analytics'!E6),'T12 Analytics'!E6,"—"),"—")</f>
        <v/>
      </c>
      <c r="D70" s="314">
        <f>IFERROR(IF(ISNUMBER('T12 Analytics'!E11),'T12 Analytics'!E11,"—"),"—")</f>
        <v/>
      </c>
      <c r="E70" s="315">
        <f>IFERROR(IF(AND(ISNUMBER(C70),ISNUMBER(D70),C70&gt;0),D70/C70,"—"),"—")</f>
        <v/>
      </c>
      <c r="F70" s="324" t="inlineStr">
        <is>
          <t>—</t>
        </is>
      </c>
      <c r="H70" s="320" t="inlineStr">
        <is>
          <t>EGI / occupied bed / mo</t>
        </is>
      </c>
      <c r="I70" s="316" t="inlineStr">
        <is>
          <t>—</t>
        </is>
      </c>
      <c r="J70" s="316" t="inlineStr">
        <is>
          <t>—</t>
        </is>
      </c>
      <c r="K70" s="316" t="inlineStr">
        <is>
          <t>—</t>
        </is>
      </c>
      <c r="L70" s="330">
        <f>IFERROR(IF(AND(ISNUMBER('T12 Analytics'!F52),ISNUMBER('T12 Analytics'!E11),'T12 Analytics'!E11&gt;0),'T12 Analytics'!F52/('T12 Analytics'!E11*12),"—"),"—")</f>
        <v/>
      </c>
    </row>
    <row r="71">
      <c r="B71" s="304" t="n"/>
      <c r="C71" s="304" t="n"/>
      <c r="D71" s="304" t="n"/>
      <c r="E71" s="304" t="n"/>
      <c r="F71" s="304" t="n"/>
      <c r="G71" s="304" t="n"/>
      <c r="H71" s="304" t="n"/>
      <c r="I71" s="304" t="n"/>
      <c r="J71" s="304" t="n"/>
      <c r="K71" s="304" t="n"/>
      <c r="L71" s="304" t="n"/>
    </row>
    <row r="72" ht="15.75" customHeight="1" s="410">
      <c r="B72" s="417" t="inlineStr">
        <is>
          <t>OPERATING MARGIN — T12 vs. INSTITUTIONAL BENCHMARK</t>
        </is>
      </c>
      <c r="H72" s="417" t="inlineStr">
        <is>
          <t>VALUATION — CAP RATE &amp; PER-BED PRICING</t>
        </is>
      </c>
    </row>
    <row r="73">
      <c r="B73" s="304" t="n"/>
      <c r="C73" s="304" t="n"/>
      <c r="D73" s="304" t="n"/>
      <c r="E73" s="304" t="n"/>
      <c r="F73" s="304" t="n"/>
      <c r="H73" s="304" t="n"/>
      <c r="I73" s="304" t="n"/>
      <c r="J73" s="304" t="n"/>
      <c r="K73" s="304" t="n"/>
    </row>
    <row r="74">
      <c r="B74" s="317" t="inlineStr">
        <is>
          <t>Line item</t>
        </is>
      </c>
      <c r="C74" s="313" t="inlineStr">
        <is>
          <t>T12 $</t>
        </is>
      </c>
      <c r="D74" s="313" t="inlineStr">
        <is>
          <t>% EGI</t>
        </is>
      </c>
      <c r="E74" s="313" t="inlineStr">
        <is>
          <t>Benchmark</t>
        </is>
      </c>
      <c r="F74" s="344" t="inlineStr">
        <is>
          <t>Status</t>
        </is>
      </c>
      <c r="H74" s="317" t="inlineStr">
        <is>
          <t>Metric</t>
        </is>
      </c>
      <c r="I74" s="313" t="inlineStr">
        <is>
          <t>T12 Actual</t>
        </is>
      </c>
      <c r="J74" s="313" t="n"/>
      <c r="K74" s="321" t="inlineStr">
        <is>
          <t>Normalized</t>
        </is>
      </c>
    </row>
    <row r="75">
      <c r="B75" s="341" t="inlineStr">
        <is>
          <t>Effective Gross Income</t>
        </is>
      </c>
      <c r="C75" s="331">
        <f>IFERROR(IF(ISNUMBER('T12 Analytics'!F52),'T12 Analytics'!F52,"—"),"—")</f>
        <v/>
      </c>
      <c r="D75" s="332" t="n">
        <v>1</v>
      </c>
      <c r="E75" s="333" t="n">
        <v>1</v>
      </c>
      <c r="F75" s="345" t="n"/>
      <c r="H75" s="318" t="inlineStr">
        <is>
          <t>Purchase price (input)</t>
        </is>
      </c>
      <c r="I75" s="325">
        <f>IFERROR(IF(ISNUMBER('T12 Analytics'!F117),'T12 Analytics'!F117,"—"),"—")</f>
        <v/>
      </c>
      <c r="J75" s="304" t="n"/>
      <c r="K75" s="327">
        <f>IFERROR(IF(ISNUMBER('T12 Analytics'!F117),'T12 Analytics'!F117,"—"),"—")</f>
        <v/>
      </c>
    </row>
    <row r="76">
      <c r="B76" s="319" t="inlineStr">
        <is>
          <t>Labor &amp; burden</t>
        </is>
      </c>
      <c r="C76" s="326">
        <f>IFERROR(IF(ISNUMBER('T12 Analytics'!F76),'T12 Analytics'!F76,"—"),"—")</f>
        <v/>
      </c>
      <c r="D76" s="310">
        <f>IFERROR(IF(AND(ISNUMBER(C76),ISNUMBER($C$75),$C$75&lt;&gt;0),C76/$C$75,"—"),"—")</f>
        <v/>
      </c>
      <c r="E76" s="311" t="inlineStr">
        <is>
          <t>55–65%</t>
        </is>
      </c>
      <c r="F76" s="346">
        <f>IF(NOT(ISNUMBER(D76)),"—",IF(D76=0,"—",IF(D76&gt;0.65,"⚠ HIGH",IF(D76&lt;0.55,"✓ LOW","✓ OK"))))</f>
        <v/>
      </c>
      <c r="H76" s="319" t="inlineStr">
        <is>
          <t>Going-in cap (EBITDARM)</t>
        </is>
      </c>
      <c r="I76" s="350">
        <f>IFERROR(IF(AND(ISNUMBER('T12 Analytics'!F161),ISNUMBER('T12 Analytics'!F117),'T12 Analytics'!F117&lt;&gt;0),'T12 Analytics'!F161/'T12 Analytics'!F117,"—"),"—")</f>
        <v/>
      </c>
      <c r="J76" s="308" t="n"/>
      <c r="K76" s="355">
        <f>IFERROR(IF(AND(ISNUMBER('T12 Analytics'!F161),ISNUMBER('T12 Analytics'!F117),'T12 Analytics'!F117&lt;&gt;0),'T12 Analytics'!F161/'T12 Analytics'!F117,"—"),"—")</f>
        <v/>
      </c>
    </row>
    <row r="77">
      <c r="B77" s="318" t="inlineStr">
        <is>
          <t>Non-labor opex</t>
        </is>
      </c>
      <c r="C77" s="325">
        <f>IFERROR(IF(ISNUMBER('T12 Analytics'!F103),'T12 Analytics'!F103,"—"),"—")</f>
        <v/>
      </c>
      <c r="D77" s="306">
        <f>IFERROR(IF(AND(ISNUMBER(C77),ISNUMBER($C$75),$C$75&lt;&gt;0),C77/$C$75,"—"),"—")</f>
        <v/>
      </c>
      <c r="E77" s="307" t="inlineStr">
        <is>
          <t>25–35%</t>
        </is>
      </c>
      <c r="F77" s="347">
        <f>IF(NOT(ISNUMBER(D77)),"—",IF(D77=0,"—",IF(D77&gt;0.35,"⚠ HIGH",IF(D77&lt;0.25,"✓ LOW","✓ OK"))))</f>
        <v/>
      </c>
      <c r="H77" s="318" t="inlineStr">
        <is>
          <t>Going-in cap (EBITDAR)</t>
        </is>
      </c>
      <c r="I77" s="351">
        <f>IFERROR(IF(AND(ISNUMBER('T12 Analytics'!F163),ISNUMBER('T12 Analytics'!F117),'T12 Analytics'!F117&lt;&gt;0),'T12 Analytics'!F163/'T12 Analytics'!F117,"—"),"—")</f>
        <v/>
      </c>
      <c r="J77" s="304" t="n"/>
      <c r="K77" s="356">
        <f>IFERROR(IF(AND(ISNUMBER('T12 Analytics'!F163),ISNUMBER('T12 Analytics'!F117),'T12 Analytics'!F117&lt;&gt;0),'T12 Analytics'!F163/'T12 Analytics'!F117,"—"),"—")</f>
        <v/>
      </c>
    </row>
    <row r="78">
      <c r="B78" s="342" t="inlineStr">
        <is>
          <t>EBITDARM (NOI)</t>
        </is>
      </c>
      <c r="C78" s="334">
        <f>IFERROR(IF(ISNUMBER('T12 Analytics'!F161),'T12 Analytics'!F161,"—"),"—")</f>
        <v/>
      </c>
      <c r="D78" s="335">
        <f>IFERROR(IF(AND(ISNUMBER(C78),ISNUMBER($C$75),$C$75&lt;&gt;0),C78/$C$75,"—"),"—")</f>
        <v/>
      </c>
      <c r="E78" s="336" t="inlineStr">
        <is>
          <t>20–30%+</t>
        </is>
      </c>
      <c r="F78" s="348">
        <f>IF(NOT(ISNUMBER(D78)),"—",IF(D78=0,"—",IF(D78&lt;0.2,"⚠ LOW",IF(D78&gt;0.3,"✓ STRONG","✓ OK"))))</f>
        <v/>
      </c>
      <c r="H78" s="319" t="inlineStr">
        <is>
          <t>Price / licensed bed</t>
        </is>
      </c>
      <c r="I78" s="326">
        <f>IFERROR(IF(AND(ISNUMBER('T12 Analytics'!F117),ISNUMBER('T12 Analytics'!E6),'T12 Analytics'!E6&gt;0),'T12 Analytics'!F117/'T12 Analytics'!E6,"—"),"—")</f>
        <v/>
      </c>
      <c r="J78" s="308" t="n"/>
      <c r="K78" s="328">
        <f>IFERROR(IF(AND(ISNUMBER('T12 Analytics'!F117),ISNUMBER('T12 Analytics'!E6),'T12 Analytics'!E6&gt;0),'T12 Analytics'!F117/'T12 Analytics'!E6,"—"),"—")</f>
        <v/>
      </c>
    </row>
    <row r="79">
      <c r="B79" s="343" t="inlineStr">
        <is>
          <t>EBITDAR (after mgmt fee)</t>
        </is>
      </c>
      <c r="C79" s="338">
        <f>IFERROR(IF(ISNUMBER('T12 Analytics'!F163),'T12 Analytics'!F163,"—"),"—")</f>
        <v/>
      </c>
      <c r="D79" s="339">
        <f>IFERROR(IF(AND(ISNUMBER(C79),ISNUMBER($C$75),$C$75&lt;&gt;0),C79/$C$75,"—"),"—")</f>
        <v/>
      </c>
      <c r="E79" s="340" t="inlineStr">
        <is>
          <t>15–25%+</t>
        </is>
      </c>
      <c r="F79" s="349">
        <f>IF(NOT(ISNUMBER(D79)),"—",IF(D79=0,"—",IF(D79&lt;0.15,"⚠ LOW",IF(D79&gt;0.25,"✓ STRONG","✓ OK"))))</f>
        <v/>
      </c>
      <c r="H79" s="354" t="inlineStr">
        <is>
          <t>EBITDARM multiple</t>
        </is>
      </c>
      <c r="I79" s="353">
        <f>IFERROR(IF(AND(ISNUMBER('T12 Analytics'!F117),ISNUMBER('T12 Analytics'!F161),'T12 Analytics'!F161&lt;&gt;0),'T12 Analytics'!F117/'T12 Analytics'!F161,"—"),"—")</f>
        <v/>
      </c>
      <c r="J79" s="352" t="n"/>
      <c r="K79" s="357">
        <f>IFERROR(IF(AND(ISNUMBER('T12 Analytics'!F117),ISNUMBER('T12 Analytics'!F161),'T12 Analytics'!F161&lt;&gt;0),'T12 Analytics'!F117/'T12 Analytics'!F161,"—"),"—")</f>
        <v/>
      </c>
    </row>
    <row r="80">
      <c r="B80" s="304" t="n"/>
      <c r="C80" s="304" t="n"/>
      <c r="D80" s="304" t="n"/>
      <c r="E80" s="304" t="n"/>
      <c r="F80" s="304" t="n"/>
      <c r="G80" s="304" t="n"/>
      <c r="H80" s="304" t="n"/>
      <c r="I80" s="304" t="n"/>
      <c r="J80" s="304" t="n"/>
      <c r="K80" s="304" t="n"/>
      <c r="L80" s="304" t="n"/>
    </row>
    <row r="81" ht="15.75" customHeight="1" s="410">
      <c r="B81" s="417" t="inlineStr">
        <is>
          <t>INSTITUTIONAL RISK CHECKLIST — ADDITIONAL CHECKS</t>
        </is>
      </c>
    </row>
    <row r="82">
      <c r="B82" s="304" t="n"/>
      <c r="C82" s="304" t="n"/>
      <c r="D82" s="304" t="n"/>
      <c r="E82" s="304" t="n"/>
      <c r="F82" s="304" t="n"/>
      <c r="G82" s="304" t="n"/>
    </row>
    <row r="83">
      <c r="B83" s="317" t="inlineStr">
        <is>
          <t>Risk factor</t>
        </is>
      </c>
      <c r="C83" s="312" t="n"/>
      <c r="D83" s="312" t="n"/>
      <c r="E83" s="337" t="inlineStr">
        <is>
          <t>Reading</t>
        </is>
      </c>
      <c r="F83" s="337" t="inlineStr">
        <is>
          <t>Threshold</t>
        </is>
      </c>
      <c r="G83" s="344" t="inlineStr">
        <is>
          <t>Flag</t>
        </is>
      </c>
    </row>
    <row r="84" ht="18.75" customHeight="1" s="410">
      <c r="B84" s="362" t="inlineStr">
        <is>
          <t>RR vs T12 revenue gap</t>
        </is>
      </c>
      <c r="C84" s="359" t="inlineStr">
        <is>
          <t>Material variance between rent roll annualized revenue and T12 actual indicates restatement risk.</t>
        </is>
      </c>
      <c r="D84" s="358" t="n"/>
      <c r="E84" s="360">
        <f>IFERROR(IF(AND(ISNUMBER('Rent Roll Recon'!E18),ISNUMBER('Rent Roll Recon'!E19),'Rent Roll Recon'!E19&lt;&gt;0),'Rent Roll Recon'!E18/'Rent Roll Recon'!E19,"—"),"—")</f>
        <v/>
      </c>
      <c r="F84" s="361" t="inlineStr">
        <is>
          <t>≤ ±3%</t>
        </is>
      </c>
      <c r="G84" s="363">
        <f>IF(NOT(ISNUMBER(E84)),"⚪",IF(ABS(E84)&lt;=0.03,"✅",IF(ABS(E84)&lt;=0.05,"⚠️","❌")))</f>
        <v/>
      </c>
    </row>
    <row r="85">
      <c r="B85" s="304" t="n"/>
      <c r="C85" s="304" t="n"/>
      <c r="D85" s="304" t="n"/>
      <c r="E85" s="304" t="n"/>
      <c r="F85" s="304" t="n"/>
      <c r="G85" s="304" t="n"/>
      <c r="H85" s="304" t="n"/>
      <c r="I85" s="304" t="n"/>
      <c r="J85" s="304" t="n"/>
      <c r="K85" s="304" t="n"/>
      <c r="L85" s="304" t="n"/>
    </row>
    <row r="86" ht="15.75" customHeight="1" s="410">
      <c r="B86" s="372" t="inlineStr">
        <is>
          <t>CHARTS — OCCUPANCY, MONTHLY EGI, PAYER MIX, P&amp;L WATERFALL</t>
        </is>
      </c>
      <c r="C86" s="372" t="n"/>
      <c r="D86" s="372" t="n"/>
      <c r="E86" s="372" t="n"/>
      <c r="F86" s="372" t="n"/>
      <c r="G86" s="372" t="n"/>
      <c r="H86" s="372" t="n"/>
      <c r="I86" s="372" t="n"/>
      <c r="J86" s="372" t="n"/>
      <c r="K86" s="372" t="n"/>
      <c r="L86" s="372" t="n"/>
      <c r="M86" s="372" t="n"/>
    </row>
    <row r="87">
      <c r="B87" s="304" t="n"/>
      <c r="C87" s="304" t="n"/>
      <c r="D87" s="304" t="n"/>
      <c r="E87" s="304" t="n"/>
      <c r="F87" s="304" t="n"/>
      <c r="G87" s="304" t="n"/>
      <c r="H87" s="304" t="n"/>
      <c r="I87" s="304" t="n"/>
      <c r="J87" s="304" t="n"/>
      <c r="K87" s="304" t="n"/>
      <c r="L87" s="304" t="n"/>
      <c r="M87" s="304" t="n"/>
    </row>
    <row r="88">
      <c r="B88" s="418" t="inlineStr">
        <is>
          <t>Chart 1 — Occupancy by Unit Type</t>
        </is>
      </c>
      <c r="C88" s="419" t="n"/>
      <c r="E88" s="418" t="inlineStr">
        <is>
          <t>Chart 3 — Payer Mix (Revenue Share)</t>
        </is>
      </c>
      <c r="F88" s="419" t="n"/>
    </row>
    <row r="89">
      <c r="B89" s="364" t="inlineStr">
        <is>
          <t>Unit Type</t>
        </is>
      </c>
      <c r="C89" s="365" t="inlineStr">
        <is>
          <t>Occupancy</t>
        </is>
      </c>
      <c r="E89" s="364" t="inlineStr">
        <is>
          <t>Payer</t>
        </is>
      </c>
      <c r="F89" s="365" t="inlineStr">
        <is>
          <t>Share</t>
        </is>
      </c>
    </row>
    <row r="90">
      <c r="B90" s="318" t="inlineStr">
        <is>
          <t>Independent Living</t>
        </is>
      </c>
      <c r="C90" s="329">
        <f>IFERROR(IF(AND(ISNUMBER('T12 Analytics'!B6),ISNUMBER('T12 Analytics'!B7),'T12 Analytics'!B6&gt;0),'T12 Analytics'!B7/'T12 Analytics'!B6,0),0)</f>
        <v/>
      </c>
      <c r="E90" s="318" t="inlineStr">
        <is>
          <t>Private Pay</t>
        </is>
      </c>
      <c r="F90" s="329">
        <f>IFERROR(IF(ISNUMBER('Rent Roll Recon'!I40),'Rent Roll Recon'!I40,0),0)</f>
        <v/>
      </c>
    </row>
    <row r="91">
      <c r="B91" s="319" t="inlineStr">
        <is>
          <t>Assisted Living</t>
        </is>
      </c>
      <c r="C91" s="366">
        <f>IFERROR(IF(AND(ISNUMBER('T12 Analytics'!C6),ISNUMBER('T12 Analytics'!C7),'T12 Analytics'!C6&gt;0),'T12 Analytics'!C7/'T12 Analytics'!C6,0),0)</f>
        <v/>
      </c>
      <c r="E91" s="319" t="inlineStr">
        <is>
          <t>Medicaid</t>
        </is>
      </c>
      <c r="F91" s="366">
        <f>IFERROR(IF(ISNUMBER('Rent Roll Recon'!I41),'Rent Roll Recon'!I41,0),0)</f>
        <v/>
      </c>
    </row>
    <row r="92">
      <c r="B92" s="318" t="inlineStr">
        <is>
          <t>Memory Care</t>
        </is>
      </c>
      <c r="C92" s="329">
        <f>IFERROR(IF(AND(ISNUMBER('T12 Analytics'!D6),ISNUMBER('T12 Analytics'!D7),'T12 Analytics'!D6&gt;0),'T12 Analytics'!D7/'T12 Analytics'!D6,0),0)</f>
        <v/>
      </c>
      <c r="E92" s="318" t="inlineStr">
        <is>
          <t>LTC Insurance</t>
        </is>
      </c>
      <c r="F92" s="329">
        <f>IFERROR(IF(ISNUMBER('Rent Roll Recon'!I42),'Rent Roll Recon'!I42,0),0)</f>
        <v/>
      </c>
    </row>
    <row r="93">
      <c r="B93" s="362" t="inlineStr">
        <is>
          <t>Blended</t>
        </is>
      </c>
      <c r="C93" s="367">
        <f>IFERROR(IF(AND(ISNUMBER('T12 Analytics'!E6),ISNUMBER('T12 Analytics'!E7),'T12 Analytics'!E6&gt;0),'T12 Analytics'!E7/'T12 Analytics'!E6,0),0)</f>
        <v/>
      </c>
      <c r="E93" s="319" t="inlineStr">
        <is>
          <t>VA</t>
        </is>
      </c>
      <c r="F93" s="366">
        <f>IFERROR(IF(ISNUMBER('Rent Roll Recon'!I43),'Rent Roll Recon'!I43,0),0)</f>
        <v/>
      </c>
    </row>
    <row r="94">
      <c r="B94" s="304" t="n"/>
      <c r="C94" s="304" t="n"/>
      <c r="D94" s="304" t="n"/>
      <c r="E94" s="318" t="inlineStr">
        <is>
          <t>Managed Care</t>
        </is>
      </c>
      <c r="F94" s="329">
        <f>IFERROR(IF(ISNUMBER('Rent Roll Recon'!I44),'Rent Roll Recon'!I44,0),0)</f>
        <v/>
      </c>
    </row>
    <row r="95">
      <c r="B95" s="418" t="inlineStr">
        <is>
          <t>Chart 2 — Monthly EGI Trend</t>
        </is>
      </c>
      <c r="C95" s="419" t="n"/>
      <c r="E95" s="319" t="inlineStr">
        <is>
          <t>Self-Pay</t>
        </is>
      </c>
      <c r="F95" s="366">
        <f>IFERROR(IF(ISNUMBER('Rent Roll Recon'!I45),'Rent Roll Recon'!I45,0),0)</f>
        <v/>
      </c>
    </row>
    <row r="96">
      <c r="B96" s="364" t="inlineStr">
        <is>
          <t>Month</t>
        </is>
      </c>
      <c r="C96" s="365" t="inlineStr">
        <is>
          <t>EGI</t>
        </is>
      </c>
      <c r="E96" s="354" t="inlineStr">
        <is>
          <t>Other</t>
        </is>
      </c>
      <c r="F96" s="369">
        <f>IFERROR(IF(ISNUMBER('Rent Roll Recon'!I46),'Rent Roll Recon'!I46,0),0)</f>
        <v/>
      </c>
    </row>
    <row r="97">
      <c r="B97" s="318" t="inlineStr">
        <is>
          <t>M01</t>
        </is>
      </c>
      <c r="C97" s="327">
        <f>IFERROR('Monthly Trending'!B26,0)</f>
        <v/>
      </c>
      <c r="E97" s="304" t="n"/>
      <c r="F97" s="304" t="n"/>
    </row>
    <row r="98">
      <c r="B98" s="319" t="inlineStr">
        <is>
          <t>M02</t>
        </is>
      </c>
      <c r="C98" s="328">
        <f>IFERROR('Monthly Trending'!C26,0)</f>
        <v/>
      </c>
      <c r="E98" s="418" t="inlineStr">
        <is>
          <t>Chart 4 — P&amp;L Waterfall</t>
        </is>
      </c>
      <c r="F98" s="419" t="n"/>
    </row>
    <row r="99">
      <c r="B99" s="318" t="inlineStr">
        <is>
          <t>M03</t>
        </is>
      </c>
      <c r="C99" s="327">
        <f>IFERROR('Monthly Trending'!D26,0)</f>
        <v/>
      </c>
      <c r="E99" s="364" t="inlineStr">
        <is>
          <t>Line</t>
        </is>
      </c>
      <c r="F99" s="365" t="inlineStr">
        <is>
          <t>T12</t>
        </is>
      </c>
    </row>
    <row r="100">
      <c r="B100" s="319" t="inlineStr">
        <is>
          <t>M04</t>
        </is>
      </c>
      <c r="C100" s="328">
        <f>IFERROR('Monthly Trending'!E26,0)</f>
        <v/>
      </c>
      <c r="E100" s="318" t="inlineStr">
        <is>
          <t>EGI</t>
        </is>
      </c>
      <c r="F100" s="327">
        <f>IFERROR('T12 Analytics'!F52,0)</f>
        <v/>
      </c>
    </row>
    <row r="101">
      <c r="B101" s="318" t="inlineStr">
        <is>
          <t>M05</t>
        </is>
      </c>
      <c r="C101" s="327">
        <f>IFERROR('Monthly Trending'!F26,0)</f>
        <v/>
      </c>
      <c r="E101" s="319" t="inlineStr">
        <is>
          <t>Direct Labor</t>
        </is>
      </c>
      <c r="F101" s="328">
        <f>-IFERROR('T12 Analytics'!F65,0)</f>
        <v/>
      </c>
    </row>
    <row r="102">
      <c r="B102" s="319" t="inlineStr">
        <is>
          <t>M06</t>
        </is>
      </c>
      <c r="C102" s="328">
        <f>IFERROR('Monthly Trending'!G26,0)</f>
        <v/>
      </c>
      <c r="E102" s="318" t="inlineStr">
        <is>
          <t>Payroll Burden</t>
        </is>
      </c>
      <c r="F102" s="327">
        <f>-IFERROR('T12 Analytics'!F68+'T12 Analytics'!F69+'T12 Analytics'!F70,0)</f>
        <v/>
      </c>
    </row>
    <row r="103">
      <c r="B103" s="318" t="inlineStr">
        <is>
          <t>M07</t>
        </is>
      </c>
      <c r="C103" s="327">
        <f>IFERROR('Monthly Trending'!H26,0)</f>
        <v/>
      </c>
      <c r="E103" s="319" t="inlineStr">
        <is>
          <t>Non-Labor Opex</t>
        </is>
      </c>
      <c r="F103" s="328">
        <f>-IFERROR('T12 Analytics'!F103,0)</f>
        <v/>
      </c>
    </row>
    <row r="104">
      <c r="B104" s="319" t="inlineStr">
        <is>
          <t>M08</t>
        </is>
      </c>
      <c r="C104" s="328">
        <f>IFERROR('Monthly Trending'!I26,0)</f>
        <v/>
      </c>
      <c r="E104" s="318" t="inlineStr">
        <is>
          <t>Mgmt Fee</t>
        </is>
      </c>
      <c r="F104" s="327">
        <f>-IFERROR('T12 Analytics'!F106,0)</f>
        <v/>
      </c>
    </row>
    <row r="105">
      <c r="B105" s="318" t="inlineStr">
        <is>
          <t>M09</t>
        </is>
      </c>
      <c r="C105" s="327">
        <f>IFERROR('Monthly Trending'!J26,0)</f>
        <v/>
      </c>
      <c r="E105" s="370" t="inlineStr">
        <is>
          <t>EBITDAR</t>
        </is>
      </c>
      <c r="F105" s="371">
        <f>IFERROR('T12 Analytics'!F163,0)</f>
        <v/>
      </c>
    </row>
    <row r="106">
      <c r="B106" s="319" t="inlineStr">
        <is>
          <t>M10</t>
        </is>
      </c>
      <c r="C106" s="328">
        <f>IFERROR('Monthly Trending'!K26,0)</f>
        <v/>
      </c>
    </row>
    <row r="107">
      <c r="B107" s="318" t="inlineStr">
        <is>
          <t>M11</t>
        </is>
      </c>
      <c r="C107" s="327">
        <f>IFERROR('Monthly Trending'!L26,0)</f>
        <v/>
      </c>
    </row>
    <row r="108">
      <c r="B108" s="362" t="inlineStr">
        <is>
          <t>M12</t>
        </is>
      </c>
      <c r="C108" s="368">
        <f>IFERROR('Monthly Trending'!M26,0)</f>
        <v/>
      </c>
    </row>
  </sheetData>
  <mergeCells count="75">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52:M52"/>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K6:L6"/>
    <mergeCell ref="B26:M26"/>
    <mergeCell ref="B62:D62"/>
    <mergeCell ref="H13:I13"/>
    <mergeCell ref="B54:D54"/>
    <mergeCell ref="K17:L17"/>
    <mergeCell ref="B81:G81"/>
    <mergeCell ref="B30:C30"/>
    <mergeCell ref="K7:L7"/>
    <mergeCell ref="B59:D59"/>
    <mergeCell ref="H54:M54"/>
    <mergeCell ref="B6:C6"/>
    <mergeCell ref="B33:C33"/>
    <mergeCell ref="H41:M41"/>
    <mergeCell ref="B3:M3"/>
    <mergeCell ref="E7:F7"/>
    <mergeCell ref="B64:F64"/>
    <mergeCell ref="B95:C95"/>
    <mergeCell ref="H55:M55"/>
    <mergeCell ref="K10:L10"/>
    <mergeCell ref="H12:I12"/>
    <mergeCell ref="B56:D56"/>
    <mergeCell ref="B58:D58"/>
    <mergeCell ref="B36:C36"/>
    <mergeCell ref="B32:C32"/>
    <mergeCell ref="H56:M56"/>
    <mergeCell ref="H8:I8"/>
    <mergeCell ref="K11:L12"/>
    <mergeCell ref="K13:L13"/>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410" min="1" max="1"/>
    <col width="14" customWidth="1" style="410" min="2" max="7"/>
    <col width="56.5" customWidth="1" style="410" min="8" max="8"/>
  </cols>
  <sheetData>
    <row r="1" ht="31.5" customHeight="1" s="410">
      <c r="A1" s="457" t="inlineStr">
        <is>
          <t>ALF T12 Analytics  —  Underwriting Supplement</t>
        </is>
      </c>
      <c r="AM1" t="inlineStr">
        <is>
          <t>Per-Label T12 aggregation; main feed for UW Output</t>
        </is>
      </c>
    </row>
    <row r="2" ht="14.25" customHeight="1" s="410">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410">
      <c r="AM3" t="inlineStr">
        <is>
          <t>visible</t>
        </is>
      </c>
    </row>
    <row r="4" ht="14.25" customHeight="1" s="410">
      <c r="A4" s="462" t="inlineStr">
        <is>
          <t>SECTION 1  ·  PROPERTY CAPACITY  —  IL / AL / MC</t>
        </is>
      </c>
      <c r="AM4" t="inlineStr">
        <is>
          <t>v0.2.4</t>
        </is>
      </c>
      <c r="AZ4" t="inlineStr">
        <is>
          <t>v0.2.12</t>
        </is>
      </c>
    </row>
    <row r="5" ht="24" customHeight="1" s="410">
      <c r="A5" s="9" t="n"/>
      <c r="B5" s="9" t="inlineStr">
        <is>
          <t>Independent Living (IL)</t>
        </is>
      </c>
      <c r="C5" s="9" t="inlineStr">
        <is>
          <t>Assisted Living (AL)</t>
        </is>
      </c>
      <c r="D5" s="9" t="inlineStr">
        <is>
          <t>Memory Care (MC)</t>
        </is>
      </c>
      <c r="E5" s="9" t="inlineStr">
        <is>
          <t>Total</t>
        </is>
      </c>
      <c r="F5" s="9" t="n"/>
      <c r="G5" s="9" t="n"/>
      <c r="H5" s="373" t="inlineStr">
        <is>
          <t>Notes</t>
        </is>
      </c>
    </row>
    <row r="6" ht="14.25" customHeight="1" s="410">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410">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4" t="inlineStr">
        <is>
          <t>Auto-filled from Rent Roll Recon when period selected (Sections E). Override directly if needed.</t>
        </is>
      </c>
    </row>
    <row r="8" ht="14.25" customHeight="1" s="410">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410">
      <c r="B9" s="18" t="n"/>
      <c r="C9" s="18" t="n"/>
      <c r="D9" s="18" t="n"/>
      <c r="E9" s="18" t="n"/>
    </row>
    <row r="10" ht="14.25" customHeight="1" s="410">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410">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410"/>
    <row r="13" ht="14.25" customHeight="1" s="410">
      <c r="A13" s="462" t="inlineStr">
        <is>
          <t>SECTION 2  ·  REVENUE ANALYSIS  —  T12 ACTUAL  →  NORMALIZED</t>
        </is>
      </c>
    </row>
    <row r="14" ht="14.25" customHeight="1" s="410">
      <c r="A14" s="9" t="n"/>
      <c r="B14" s="9" t="inlineStr">
        <is>
          <t>IL</t>
        </is>
      </c>
      <c r="C14" s="9" t="inlineStr">
        <is>
          <t>AL</t>
        </is>
      </c>
      <c r="D14" s="9" t="inlineStr">
        <is>
          <t>MC</t>
        </is>
      </c>
      <c r="E14" s="9" t="inlineStr">
        <is>
          <t>T12 Total</t>
        </is>
      </c>
      <c r="F14" s="21" t="inlineStr">
        <is>
          <t>Normalized</t>
        </is>
      </c>
      <c r="G14" s="9" t="inlineStr">
        <is>
          <t>Delta</t>
        </is>
      </c>
      <c r="H14" s="373" t="inlineStr">
        <is>
          <t>Notes / Flag</t>
        </is>
      </c>
    </row>
    <row r="15" ht="14.25" customHeight="1" s="410">
      <c r="A15" s="452" t="inlineStr">
        <is>
          <t xml:space="preserve">  Base Rent</t>
        </is>
      </c>
    </row>
    <row r="16" ht="14.25" customHeight="1" s="410">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410">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410"/>
    <row r="19" ht="14.25" customHeight="1" s="410">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410">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410"/>
    <row r="22" ht="14.25" customHeight="1" s="410">
      <c r="A22" s="452" t="inlineStr">
        <is>
          <t xml:space="preserve">  Level of Care  (LOC) Revenue</t>
        </is>
      </c>
    </row>
    <row r="23" ht="14.25" customHeight="1" s="410">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410">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410"/>
    <row r="26" ht="14.25" customHeight="1" s="410">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410">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410"/>
    <row r="29" ht="14.25" customHeight="1" s="410">
      <c r="A29" s="452" t="inlineStr">
        <is>
          <t xml:space="preserve">  Revenue Quality Ratios</t>
        </is>
      </c>
    </row>
    <row r="30" ht="14.25" customHeight="1" s="410">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410">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410">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410"/>
    <row r="34" ht="14.25" customHeight="1" s="410">
      <c r="A34" s="463" t="inlineStr">
        <is>
          <t xml:space="preserve">  GPR Revenue Waterfall  —  Rent Roll projection vs. T12 reported</t>
        </is>
      </c>
    </row>
    <row r="35" ht="14.25" customHeight="1" s="410">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410">
      <c r="A36" s="1" t="inlineStr">
        <is>
          <t>Market rate / bed / month  (from rent roll col G, occupied beds)</t>
        </is>
      </c>
      <c r="B36" s="26">
        <f>IFERROR(AVERAGEIFS('Rent Roll Input'!$G$7:$G$606,'Rent Roll Input'!$S$7:$S$606,'Rent Roll Recon'!$B$2,'Rent Roll Input'!$E$7:$E$606,"Occupied",'Rent Roll Input'!$D$7:$D$606,"IL"),0)</f>
        <v/>
      </c>
      <c r="C36" s="26">
        <f>IFERROR(AVERAGEIFS('Rent Roll Input'!$G$7:$G$606,'Rent Roll Input'!$S$7:$S$606,'Rent Roll Recon'!$B$2,'Rent Roll Input'!$E$7:$E$606,"Occupied",'Rent Roll Input'!$D$7:$D$606,"AL"),0)</f>
        <v/>
      </c>
      <c r="D36" s="26">
        <f>IFERROR(AVERAGEIFS('Rent Roll Input'!$G$7:$G$606,'Rent Roll Input'!$S$7:$S$606,'Rent Roll Recon'!$B$2,'Rent Roll Input'!$E$7:$E$606,"Occupied",'Rent Roll Input'!$D$7:$D$606,"MC"),0)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410">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410">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410">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410">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410">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410"/>
    <row r="43" ht="14.25" customHeight="1" s="410"/>
    <row r="44" ht="14.25" customHeight="1" s="410"/>
    <row r="45" ht="14.25" customHeight="1" s="410">
      <c r="A45" s="452" t="inlineStr">
        <is>
          <t xml:space="preserve">  Other Revenue  —  Normalization Bridge</t>
        </is>
      </c>
    </row>
    <row r="46" ht="14.25" customHeight="1" s="410">
      <c r="A46" s="9" t="inlineStr">
        <is>
          <t>Revenue Item</t>
        </is>
      </c>
      <c r="B46" s="9" t="n"/>
      <c r="C46" s="9" t="n"/>
      <c r="D46" s="9" t="n"/>
      <c r="E46" s="9" t="inlineStr">
        <is>
          <t>T12 Actual</t>
        </is>
      </c>
      <c r="F46" s="21" t="inlineStr">
        <is>
          <t>Normalized</t>
        </is>
      </c>
      <c r="G46" s="9" t="inlineStr">
        <is>
          <t>Delta</t>
        </is>
      </c>
      <c r="H46" s="373" t="inlineStr">
        <is>
          <t>Flag / Note</t>
        </is>
      </c>
    </row>
    <row r="47" ht="14.25" customHeight="1" s="410">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410">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410">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410">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410"/>
    <row r="52" ht="14.25" customHeight="1" s="410">
      <c r="A52" s="40" t="inlineStr">
        <is>
          <t>EFFECTIVE GROSS INCOME  (EGI)</t>
        </is>
      </c>
      <c r="B52" s="454" t="n"/>
      <c r="C52" s="454" t="n"/>
      <c r="D52" s="454" t="n"/>
      <c r="E52" s="42">
        <f>E16+E23+E47+E48+E49+E50</f>
        <v/>
      </c>
      <c r="F52" s="42">
        <f>E20+E27+F47+F48+F49+F50</f>
        <v/>
      </c>
      <c r="G52" s="42">
        <f>F52-E52</f>
        <v/>
      </c>
      <c r="H52" s="375" t="inlineStr">
        <is>
          <t>100% of EGI</t>
        </is>
      </c>
    </row>
    <row r="53" ht="14.25" customHeight="1" s="410"/>
    <row r="54" ht="14.25" customHeight="1" s="410">
      <c r="A54" s="463" t="inlineStr">
        <is>
          <t>SECTION 3  ·  EXPENSE ANALYSIS  —  T12 ACTUAL  →  NORMALIZED</t>
        </is>
      </c>
    </row>
    <row r="55" ht="14.25" customHeight="1" s="410">
      <c r="A55" s="9" t="inlineStr">
        <is>
          <t>Expense Category</t>
        </is>
      </c>
      <c r="B55" s="9" t="n"/>
      <c r="C55" s="9" t="n"/>
      <c r="D55" s="9" t="n"/>
      <c r="E55" s="9" t="inlineStr">
        <is>
          <t>T12 Actual</t>
        </is>
      </c>
      <c r="F55" s="21" t="inlineStr">
        <is>
          <t>Normalized</t>
        </is>
      </c>
      <c r="G55" s="9" t="inlineStr">
        <is>
          <t>Delta</t>
        </is>
      </c>
      <c r="H55" s="373" t="inlineStr">
        <is>
          <t>Benchmark / Flag</t>
        </is>
      </c>
    </row>
    <row r="56" ht="14.25" customHeight="1" s="410">
      <c r="A56" s="452" t="inlineStr">
        <is>
          <t xml:space="preserve">  DIRECT LABOR</t>
        </is>
      </c>
    </row>
    <row r="57" ht="14.25" customHeight="1" s="410">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410">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410">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410">
      <c r="A60" s="1" t="inlineStr">
        <is>
          <t>Activities labor</t>
        </is>
      </c>
      <c r="B60" s="13" t="n"/>
      <c r="C60" s="13" t="n"/>
      <c r="D60" s="13" t="n"/>
      <c r="E60" s="22">
        <f>IFERROR(INDEX('T12 Raw Data'!R:R,MATCH("Activities labor",'T12 Raw Data'!B:B,0)),0)</f>
        <v/>
      </c>
      <c r="F60" s="39">
        <f>E60</f>
        <v/>
      </c>
      <c r="G60" s="22">
        <f>F60-E60</f>
        <v/>
      </c>
      <c r="H60" s="78" t="n"/>
    </row>
    <row r="61" ht="14.25" customHeight="1" s="410">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410">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410">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410">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410">
      <c r="A65" s="461" t="inlineStr">
        <is>
          <t xml:space="preserve">  Total direct labor</t>
        </is>
      </c>
      <c r="B65" s="454" t="n"/>
      <c r="C65" s="454" t="n"/>
      <c r="D65" s="455" t="n"/>
      <c r="E65" s="28">
        <f>SUM(E57:E64)</f>
        <v/>
      </c>
      <c r="F65" s="28">
        <f>SUM(F57:F64)</f>
        <v/>
      </c>
      <c r="G65" s="28">
        <f>F65-E65</f>
        <v/>
      </c>
      <c r="H65" s="45" t="n"/>
    </row>
    <row r="66" ht="14.25" customHeight="1" s="410"/>
    <row r="67" ht="14.25" customHeight="1" s="410">
      <c r="A67" s="452" t="inlineStr">
        <is>
          <t xml:space="preserve">  PAYROLL BURDEN</t>
        </is>
      </c>
    </row>
    <row r="68" ht="14.25" customHeight="1" s="410">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410">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410">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410">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410">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410">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410">
      <c r="A74" s="3" t="inlineStr">
        <is>
          <t xml:space="preserve">  Total payroll burden</t>
        </is>
      </c>
      <c r="B74" s="45" t="n"/>
      <c r="C74" s="45" t="n"/>
      <c r="D74" s="45" t="n"/>
      <c r="E74" s="28">
        <f>SUM(E68:E73)</f>
        <v/>
      </c>
      <c r="F74" s="28">
        <f>SUM(F68:F73)</f>
        <v/>
      </c>
      <c r="G74" s="28">
        <f>F74-E74</f>
        <v/>
      </c>
      <c r="H74" s="45" t="n"/>
    </row>
    <row r="75" ht="14.25" customHeight="1" s="410"/>
    <row r="76" ht="14.25" customHeight="1" s="410">
      <c r="A76" s="46" t="inlineStr">
        <is>
          <t>TOTAL LABOR &amp; BURDEN</t>
        </is>
      </c>
      <c r="B76" s="454" t="n"/>
      <c r="C76" s="454" t="n"/>
      <c r="D76" s="454" t="n"/>
      <c r="E76" s="47">
        <f>E65+E74</f>
        <v/>
      </c>
      <c r="F76" s="47">
        <f>F65+F74</f>
        <v/>
      </c>
      <c r="G76" s="47">
        <f>F76-E76</f>
        <v/>
      </c>
      <c r="H76" s="376" t="inlineStr">
        <is>
          <t>Target: 55–65% of EGI</t>
        </is>
      </c>
    </row>
    <row r="77" ht="14.25" customHeight="1" s="410"/>
    <row r="78" ht="14.25" customHeight="1" s="410">
      <c r="A78" s="452" t="inlineStr">
        <is>
          <t xml:space="preserve">  NON-LABOR OPERATING EXPENSES</t>
        </is>
      </c>
    </row>
    <row r="79" ht="14.25" customHeight="1" s="410">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410">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410">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410">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410">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410">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410">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410">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410">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410">
      <c r="A88" s="1" t="inlineStr">
        <is>
          <t>Utilities  (electric, gas, water, trash)</t>
        </is>
      </c>
      <c r="B88" s="13" t="n"/>
      <c r="C88" s="13" t="n"/>
      <c r="D88" s="13" t="n"/>
      <c r="E88" s="22">
        <f>IFERROR(INDEX('T12 Raw Data'!R:R,MATCH("Utilities",'T12 Raw Data'!B:B,0)),0)</f>
        <v/>
      </c>
      <c r="F88" s="39">
        <f>E88</f>
        <v/>
      </c>
      <c r="G88" s="22">
        <f>F88-E88</f>
        <v/>
      </c>
      <c r="H88" s="78" t="n"/>
    </row>
    <row r="89" ht="14.25" customHeight="1" s="410">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410">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410">
      <c r="A91" s="1" t="inlineStr">
        <is>
          <t>Auto insurance</t>
        </is>
      </c>
      <c r="B91" s="13" t="n"/>
      <c r="C91" s="13" t="n"/>
      <c r="D91" s="13" t="n"/>
      <c r="E91" s="22">
        <f>IFERROR(INDEX('T12 Raw Data'!R:R,MATCH("Auto insurance",'T12 Raw Data'!B:B,0)),0)</f>
        <v/>
      </c>
      <c r="F91" s="39">
        <f>E91</f>
        <v/>
      </c>
      <c r="G91" s="22">
        <f>F91-E91</f>
        <v/>
      </c>
      <c r="H91" s="78" t="n"/>
    </row>
    <row r="92" ht="14.25" customHeight="1" s="410">
      <c r="A92" s="1" t="inlineStr">
        <is>
          <t>Fire / security monitoring</t>
        </is>
      </c>
      <c r="B92" s="13" t="n"/>
      <c r="C92" s="13" t="n"/>
      <c r="D92" s="13" t="n"/>
      <c r="E92" s="22">
        <f>IFERROR(INDEX('T12 Raw Data'!R:R,MATCH("Fire / security monitoring",'T12 Raw Data'!B:B,0)),0)</f>
        <v/>
      </c>
      <c r="F92" s="39">
        <f>E92</f>
        <v/>
      </c>
      <c r="G92" s="22">
        <f>F92-E92</f>
        <v/>
      </c>
      <c r="H92" s="78" t="inlineStr">
        <is>
          <t>Contract-based; confirm annual cost</t>
        </is>
      </c>
    </row>
    <row r="93" ht="14.25" customHeight="1" s="410">
      <c r="A93" s="1" t="inlineStr">
        <is>
          <t>Pest elimination</t>
        </is>
      </c>
      <c r="B93" s="13" t="n"/>
      <c r="C93" s="13" t="n"/>
      <c r="D93" s="13" t="n"/>
      <c r="E93" s="22">
        <f>IFERROR(INDEX('T12 Raw Data'!R:R,MATCH("Pest elimination",'T12 Raw Data'!B:B,0)),0)</f>
        <v/>
      </c>
      <c r="F93" s="39">
        <f>E93</f>
        <v/>
      </c>
      <c r="G93" s="22">
        <f>F93-E93</f>
        <v/>
      </c>
      <c r="H93" s="78" t="n"/>
    </row>
    <row r="94" ht="14.25" customHeight="1" s="410">
      <c r="A94" s="458" t="inlineStr">
        <is>
          <t>Real estate taxes</t>
        </is>
      </c>
      <c r="B94" s="454" t="n"/>
      <c r="C94" s="454" t="n"/>
      <c r="D94" s="455" t="n"/>
      <c r="E94" s="44">
        <f>IFERROR(INDEX('T12 Raw Data'!R:R,MATCH("Real estate taxes",'T12 Raw Data'!B:B,0)),0)</f>
        <v/>
      </c>
      <c r="F94" s="39">
        <f>E94</f>
        <v/>
      </c>
      <c r="G94" s="44">
        <f>F94-E94</f>
        <v/>
      </c>
      <c r="H94" s="84" t="inlineStr">
        <is>
          <t>⚠ VERIFY  Confirm assessed value post-acquisition; exclude reversals</t>
        </is>
      </c>
    </row>
    <row r="95" ht="14.25" customHeight="1" s="410">
      <c r="A95" s="1" t="inlineStr">
        <is>
          <t>Personal property taxes</t>
        </is>
      </c>
      <c r="B95" s="13" t="n"/>
      <c r="C95" s="13" t="n"/>
      <c r="D95" s="13" t="n"/>
      <c r="E95" s="22">
        <f>IFERROR(INDEX('T12 Raw Data'!R:R,MATCH("Personal property taxes",'T12 Raw Data'!B:B,0)),0)</f>
        <v/>
      </c>
      <c r="F95" s="39">
        <f>E95</f>
        <v/>
      </c>
      <c r="G95" s="22">
        <f>F95-E95</f>
        <v/>
      </c>
      <c r="H95" s="78" t="n"/>
    </row>
    <row r="96" ht="14.25" customHeight="1" s="410">
      <c r="A96" s="1" t="inlineStr">
        <is>
          <t>Legal expenses</t>
        </is>
      </c>
      <c r="B96" s="13" t="n"/>
      <c r="C96" s="13" t="n"/>
      <c r="D96" s="13" t="n"/>
      <c r="E96" s="22">
        <f>IFERROR(INDEX('T12 Raw Data'!R:R,MATCH("Legal expenses",'T12 Raw Data'!B:B,0)),0)</f>
        <v/>
      </c>
      <c r="F96" s="39">
        <f>E96</f>
        <v/>
      </c>
      <c r="G96" s="22">
        <f>F96-E96</f>
        <v/>
      </c>
      <c r="H96" s="78" t="n"/>
    </row>
    <row r="97" ht="14.25" customHeight="1" s="410">
      <c r="A97" s="453" t="inlineStr">
        <is>
          <t>Professional services  (accounting / consulting)</t>
        </is>
      </c>
      <c r="B97" s="454" t="n"/>
      <c r="C97" s="454" t="n"/>
      <c r="D97" s="455" t="n"/>
      <c r="E97" s="22">
        <f>IFERROR(INDEX('T12 Raw Data'!R:R,MATCH("Professional services",'T12 Raw Data'!B:B,0)),0)</f>
        <v/>
      </c>
      <c r="F97" s="39">
        <f>E97</f>
        <v/>
      </c>
      <c r="G97" s="22">
        <f>F97-E97</f>
        <v/>
      </c>
      <c r="H97" s="78" t="inlineStr">
        <is>
          <t>Includes dietary consultant, audit, accounting</t>
        </is>
      </c>
    </row>
    <row r="98" ht="14.25" customHeight="1" s="410">
      <c r="A98" s="2" t="inlineStr">
        <is>
          <t>Bad debt expense</t>
        </is>
      </c>
      <c r="B98" s="43" t="n"/>
      <c r="C98" s="43" t="n"/>
      <c r="D98" s="43" t="n"/>
      <c r="E98" s="44">
        <f>IFERROR(INDEX('T12 Raw Data'!R:R,MATCH("Bad debt expense",'T12 Raw Data'!B:B,0)),0)</f>
        <v/>
      </c>
      <c r="F98" s="39">
        <f>E98</f>
        <v/>
      </c>
      <c r="G98" s="44">
        <f>F98-E98</f>
        <v/>
      </c>
      <c r="H98" s="84" t="inlineStr">
        <is>
          <t>⚠ ELEVATED  Normalize to 1–2% of gross revenue at stabilization</t>
        </is>
      </c>
    </row>
    <row r="99" ht="14.25" customHeight="1" s="410">
      <c r="A99" s="453" t="inlineStr">
        <is>
          <t>Permits, licenses &amp; dues</t>
        </is>
      </c>
      <c r="B99" s="454" t="n"/>
      <c r="C99" s="454" t="n"/>
      <c r="D99" s="455" t="n"/>
      <c r="E99" s="22">
        <f>IFERROR(INDEX('T12 Raw Data'!R:R,MATCH("Permits, licenses &amp; dues",'T12 Raw Data'!B:B,0)),0)</f>
        <v/>
      </c>
      <c r="F99" s="39">
        <f>E99</f>
        <v/>
      </c>
      <c r="G99" s="22">
        <f>F99-E99</f>
        <v/>
      </c>
      <c r="H99" s="78" t="inlineStr">
        <is>
          <t>State survey fees, DOH, association dues, clinical licenses</t>
        </is>
      </c>
    </row>
    <row r="100" ht="14.25" customHeight="1" s="410">
      <c r="A100" s="1" t="inlineStr">
        <is>
          <t>Office, admin &amp; G&amp;A</t>
        </is>
      </c>
      <c r="B100" s="13" t="n"/>
      <c r="C100" s="13" t="n"/>
      <c r="D100" s="13" t="n"/>
      <c r="E100" s="22">
        <f>IFERROR(INDEX('T12 Raw Data'!R:R,MATCH("Office, admin &amp; G&amp;A",'T12 Raw Data'!B:B,0)),0)</f>
        <v/>
      </c>
      <c r="F100" s="39">
        <f>E100</f>
        <v/>
      </c>
      <c r="G100" s="22">
        <f>F100-E100</f>
        <v/>
      </c>
      <c r="H100" s="78" t="inlineStr">
        <is>
          <t>Postage, printing, copier, bank charges, pre-employment, auto expenses</t>
        </is>
      </c>
    </row>
    <row r="101" ht="14.25" customHeight="1" s="410">
      <c r="A101" s="1" t="inlineStr">
        <is>
          <t>Other / miscellaneous</t>
        </is>
      </c>
      <c r="B101" s="13" t="n"/>
      <c r="C101" s="13" t="n"/>
      <c r="D101" s="13" t="n"/>
      <c r="E101" s="22">
        <f>IFERROR(INDEX('T12 Raw Data'!R:R,MATCH("Other / miscellaneous",'T12 Raw Data'!B:B,0)),0)</f>
        <v/>
      </c>
      <c r="F101" s="39">
        <f>E101</f>
        <v/>
      </c>
      <c r="G101" s="22">
        <f>F101-E101</f>
        <v/>
      </c>
      <c r="H101" s="78" t="n"/>
    </row>
    <row r="102" ht="14.25" customHeight="1" s="410">
      <c r="A102" s="458" t="inlineStr">
        <is>
          <t>Lease / ground lease  (if applicable)</t>
        </is>
      </c>
      <c r="B102" s="454" t="n"/>
      <c r="C102" s="454" t="n"/>
      <c r="D102" s="455" t="n"/>
      <c r="E102" s="44">
        <f>IFERROR(INDEX('T12 Raw Data'!R:R,MATCH("Lease / ground lease",'T12 Raw Data'!B:B,0)),0)</f>
        <v/>
      </c>
      <c r="F102" s="48">
        <f>E102</f>
        <v/>
      </c>
      <c r="G102" s="44">
        <f>F102-E102</f>
        <v/>
      </c>
      <c r="H102" s="84" t="inlineStr">
        <is>
          <t>⚠ MANUAL ENTRY — enter lease expense if facility is leased; excluded from Raw Data auto-mapping</t>
        </is>
      </c>
    </row>
    <row r="103" ht="14.25" customHeight="1" s="410">
      <c r="A103" s="3" t="inlineStr">
        <is>
          <t xml:space="preserve">  Total non-labor opex</t>
        </is>
      </c>
      <c r="B103" s="45" t="n"/>
      <c r="C103" s="45" t="n"/>
      <c r="D103" s="45" t="n"/>
      <c r="E103" s="28">
        <f>SUM(E79:E102)</f>
        <v/>
      </c>
      <c r="F103" s="28">
        <f>SUM(F79:F102)</f>
        <v/>
      </c>
      <c r="G103" s="28">
        <f>F103-E103</f>
        <v/>
      </c>
      <c r="H103" s="45" t="n"/>
    </row>
    <row r="104" ht="14.25" customHeight="1" s="410"/>
    <row r="105" ht="14.25" customHeight="1" s="410">
      <c r="A105" s="46" t="inlineStr">
        <is>
          <t>TOTAL OPERATING EXPENSES  (excl. mgmt fee)</t>
        </is>
      </c>
      <c r="B105" s="454" t="n"/>
      <c r="C105" s="454" t="n"/>
      <c r="D105" s="454" t="n"/>
      <c r="E105" s="47">
        <f>E76+E103</f>
        <v/>
      </c>
      <c r="F105" s="47">
        <f>F76+F103</f>
        <v/>
      </c>
      <c r="G105" s="47">
        <f>F105-E105</f>
        <v/>
      </c>
      <c r="H105" s="49" t="n"/>
    </row>
    <row r="106" ht="14.25" customHeight="1" s="410">
      <c r="A106" s="2" t="inlineStr">
        <is>
          <t>Management fee</t>
        </is>
      </c>
      <c r="B106" s="43" t="n"/>
      <c r="C106" s="43" t="n"/>
      <c r="D106" s="43" t="n"/>
      <c r="E106" s="44">
        <f>IFERROR(INDEX('T12 Raw Data'!R:R,MATCH("Management fee",'T12 Raw Data'!B:B,0)),0)</f>
        <v/>
      </c>
      <c r="F106" s="39">
        <f>E106</f>
        <v/>
      </c>
      <c r="G106" s="44">
        <f>F106-E106</f>
        <v/>
      </c>
      <c r="H106" s="84" t="inlineStr">
        <is>
          <t>EXCLUDED from EBITDARM  Evaluate operator separately from real estate; typically 5–7% of revenue</t>
        </is>
      </c>
    </row>
    <row r="107" ht="14.25" customHeight="1" s="410"/>
    <row r="108" ht="14.25" customHeight="1" s="410">
      <c r="A108" s="50" t="inlineStr">
        <is>
          <t>EBITDARM</t>
        </is>
      </c>
      <c r="B108" s="454" t="n"/>
      <c r="C108" s="454" t="n"/>
      <c r="D108" s="455" t="n"/>
      <c r="E108" s="52">
        <f>E52-E105</f>
        <v/>
      </c>
      <c r="F108" s="52">
        <f>F52-F105</f>
        <v/>
      </c>
      <c r="G108" s="52">
        <f>F108-E108</f>
        <v/>
      </c>
      <c r="H108" s="377">
        <f>IFERROR("DARM margin: "&amp;TEXT(F108/F52,"0.0%"),"")</f>
        <v/>
      </c>
    </row>
    <row r="109" ht="14.25" customHeight="1" s="410"/>
    <row r="110" ht="14.25" customHeight="1" s="410">
      <c r="A110" s="53" t="inlineStr">
        <is>
          <t>EBITDAR  (after mgmt fee)</t>
        </is>
      </c>
      <c r="B110" s="454" t="n"/>
      <c r="C110" s="454" t="n"/>
      <c r="D110" s="455" t="n"/>
      <c r="E110" s="54">
        <f>E108-E106</f>
        <v/>
      </c>
      <c r="F110" s="54">
        <f>F108-F106</f>
        <v/>
      </c>
      <c r="G110" s="54">
        <f>F110-E110</f>
        <v/>
      </c>
      <c r="H110" s="378">
        <f>IFERROR("DAR margin: "&amp;TEXT(F110/F52,"0.0%"),"")</f>
        <v/>
      </c>
    </row>
    <row r="111" ht="14.25" customHeight="1" s="410"/>
    <row r="112" ht="14.25" customHeight="1" s="410">
      <c r="A112" s="55" t="inlineStr">
        <is>
          <t>Depreciation  (non-cash, excluded from EBITDA calc)</t>
        </is>
      </c>
      <c r="B112" s="13" t="n"/>
      <c r="C112" s="13" t="n"/>
      <c r="D112" s="13" t="n"/>
      <c r="E112" s="22">
        <f>0</f>
        <v/>
      </c>
      <c r="F112" s="39" t="n">
        <v>0</v>
      </c>
      <c r="G112" s="22">
        <f>F112-E112</f>
        <v/>
      </c>
      <c r="H112" s="78" t="inlineStr">
        <is>
          <t>T12 depreciation from income statement (non-operating)</t>
        </is>
      </c>
    </row>
    <row r="113" ht="14.25" customHeight="1" s="410">
      <c r="A113" s="56" t="inlineStr">
        <is>
          <t>EBITDA</t>
        </is>
      </c>
      <c r="B113" s="454" t="n"/>
      <c r="C113" s="454" t="n"/>
      <c r="D113" s="455" t="n"/>
      <c r="E113" s="57">
        <f>E110-E112</f>
        <v/>
      </c>
      <c r="F113" s="57">
        <f>F110-F112</f>
        <v/>
      </c>
      <c r="G113" s="57">
        <f>F113-E113</f>
        <v/>
      </c>
      <c r="H113" s="58" t="n"/>
    </row>
    <row r="114" ht="14.25" customHeight="1" s="410"/>
    <row r="115" ht="14.25" customHeight="1" s="410">
      <c r="A115" s="473" t="inlineStr">
        <is>
          <t>SECTION 4  ·  NOI &amp; CAP RATE ANALYSIS  —  ACQUISITION METRICS</t>
        </is>
      </c>
    </row>
    <row r="116" ht="14.25" customHeight="1" s="410">
      <c r="A116" s="9" t="inlineStr">
        <is>
          <t>Metric</t>
        </is>
      </c>
      <c r="B116" s="9" t="n"/>
      <c r="C116" s="9" t="n"/>
      <c r="D116" s="9" t="n"/>
      <c r="E116" s="9" t="inlineStr">
        <is>
          <t>T12 Actual</t>
        </is>
      </c>
      <c r="F116" s="21" t="inlineStr">
        <is>
          <t>Normalized</t>
        </is>
      </c>
      <c r="G116" s="9" t="n"/>
      <c r="H116" s="373" t="inlineStr">
        <is>
          <t>Notes</t>
        </is>
      </c>
    </row>
    <row r="117" ht="14.25" customHeight="1" s="410">
      <c r="A117" s="60" t="inlineStr">
        <is>
          <t>Purchase price  (input)</t>
        </is>
      </c>
      <c r="B117" s="13" t="n"/>
      <c r="C117" s="13" t="n"/>
      <c r="D117" s="13" t="n"/>
      <c r="E117" s="39" t="n"/>
      <c r="F117" s="23">
        <f>E117</f>
        <v/>
      </c>
      <c r="G117" s="13" t="n"/>
      <c r="H117" s="78" t="inlineStr">
        <is>
          <t>Total acquisition price including closing costs</t>
        </is>
      </c>
    </row>
    <row r="118" ht="14.25" customHeight="1" s="410">
      <c r="A118" s="1" t="inlineStr">
        <is>
          <t>Going-in cap rate  (T12 EBITDARM / price)</t>
        </is>
      </c>
      <c r="B118" s="13" t="n"/>
      <c r="C118" s="13" t="n"/>
      <c r="D118" s="13" t="n"/>
      <c r="E118" s="29">
        <f>IFERROR(E108/E117,"-")</f>
        <v/>
      </c>
      <c r="F118" s="30">
        <f>IFERROR(F108/F117,"-")</f>
        <v/>
      </c>
      <c r="G118" s="13" t="n"/>
      <c r="H118" s="78" t="inlineStr">
        <is>
          <t>T12 EBITDARM ÷ purchase price</t>
        </is>
      </c>
    </row>
    <row r="119" ht="14.25" customHeight="1" s="410">
      <c r="A119" s="61" t="inlineStr">
        <is>
          <t>Target / hurdle cap rate  (input)</t>
        </is>
      </c>
      <c r="B119" s="13" t="n"/>
      <c r="C119" s="13" t="n"/>
      <c r="D119" s="13" t="n"/>
      <c r="E119" s="62" t="n"/>
      <c r="F119" s="29">
        <f>E119</f>
        <v/>
      </c>
      <c r="G119" s="38">
        <f>IFERROR(F118-E119,"-")</f>
        <v/>
      </c>
      <c r="H119" s="84" t="inlineStr">
        <is>
          <t>Enter hurdle rate. G = stabilized cap minus target.</t>
        </is>
      </c>
    </row>
    <row r="120" ht="14.25" customHeight="1" s="410">
      <c r="A120" s="1" t="inlineStr">
        <is>
          <t>Going-in cap rate  (T12 EBITDAR / price)</t>
        </is>
      </c>
      <c r="B120" s="13" t="n"/>
      <c r="C120" s="13" t="n"/>
      <c r="D120" s="13" t="n"/>
      <c r="E120" s="29">
        <f>IFERROR(E110/E117,"-")</f>
        <v/>
      </c>
      <c r="F120" s="30">
        <f>IFERROR(F110/F117,"-")</f>
        <v/>
      </c>
      <c r="G120" s="13" t="n"/>
      <c r="H120" s="78" t="inlineStr">
        <is>
          <t>T12 EBITDAR ÷ purchase price (after mgmt fee)</t>
        </is>
      </c>
    </row>
    <row r="121" ht="14.25" customHeight="1" s="410">
      <c r="A121" s="61" t="inlineStr">
        <is>
          <t>Cap rate expansion  (stabilized minus going-in)</t>
        </is>
      </c>
      <c r="B121" s="13" t="n"/>
      <c r="C121" s="13" t="n"/>
      <c r="D121" s="13" t="n"/>
      <c r="E121" s="29">
        <f>IFERROR(F118-E118,"-")</f>
        <v/>
      </c>
      <c r="F121" s="29">
        <f>IFERROR(F120-E120,"-")</f>
        <v/>
      </c>
      <c r="G121" s="29">
        <f>IFERROR(E121-F121,"-")</f>
        <v/>
      </c>
      <c r="H121" s="78" t="inlineStr">
        <is>
          <t>E=EBITDARM basis, F=EBITDAR basis. Positive=NOI improvement at stabilization.</t>
        </is>
      </c>
    </row>
    <row r="122" ht="14.25" customHeight="1" s="410"/>
    <row r="123" ht="14.25" customHeight="1" s="410">
      <c r="A123" s="1" t="inlineStr">
        <is>
          <t>Price per total licensed bed</t>
        </is>
      </c>
      <c r="B123" s="13" t="n"/>
      <c r="C123" s="13" t="n"/>
      <c r="D123" s="13" t="n"/>
      <c r="E123" s="22">
        <f>IFERROR(E117/E6,"-")</f>
        <v/>
      </c>
      <c r="F123" s="23">
        <f>IFERROR(F117/E6,"-")</f>
        <v/>
      </c>
      <c r="G123" s="13" t="n"/>
      <c r="H123" s="78" t="inlineStr">
        <is>
          <t>Purchase price ÷ total licensed beds</t>
        </is>
      </c>
    </row>
    <row r="124" ht="14.25" customHeight="1" s="410">
      <c r="A124" s="1" t="inlineStr">
        <is>
          <t>Price per AL bed</t>
        </is>
      </c>
      <c r="B124" s="13" t="n"/>
      <c r="C124" s="13" t="n"/>
      <c r="D124" s="13" t="n"/>
      <c r="E124" s="22">
        <f>IFERROR(E117/C6,"-")</f>
        <v/>
      </c>
      <c r="F124" s="23">
        <f>IFERROR(F117/C6,"-")</f>
        <v/>
      </c>
      <c r="G124" s="13" t="n"/>
      <c r="H124" s="78" t="inlineStr">
        <is>
          <t>Purchase price ÷ AL licensed beds</t>
        </is>
      </c>
    </row>
    <row r="125" ht="14.25" customHeight="1" s="410">
      <c r="A125" s="1" t="inlineStr">
        <is>
          <t>Price per MC bed</t>
        </is>
      </c>
      <c r="B125" s="13" t="n"/>
      <c r="C125" s="13" t="n"/>
      <c r="D125" s="13" t="n"/>
      <c r="E125" s="22">
        <f>IFERROR(E117/D6,"-")</f>
        <v/>
      </c>
      <c r="F125" s="23">
        <f>IFERROR(F117/D6,"-")</f>
        <v/>
      </c>
      <c r="G125" s="13" t="n"/>
      <c r="H125" s="78" t="inlineStr">
        <is>
          <t>Purchase price ÷ MC licensed beds</t>
        </is>
      </c>
    </row>
    <row r="126" ht="14.25" customHeight="1" s="410"/>
    <row r="127" ht="14.25" customHeight="1" s="410">
      <c r="A127" s="1" t="inlineStr">
        <is>
          <t>Gross revenue multiple  (GRM)</t>
        </is>
      </c>
      <c r="B127" s="13" t="n"/>
      <c r="C127" s="13" t="n"/>
      <c r="D127" s="13" t="n"/>
      <c r="E127" s="63">
        <f>IFERROR(E117/E52,"-")</f>
        <v/>
      </c>
      <c r="F127" s="64">
        <f>IFERROR(F117/F52,"-")</f>
        <v/>
      </c>
      <c r="G127" s="13" t="n"/>
      <c r="H127" s="78" t="inlineStr">
        <is>
          <t>Purchase price ÷ EGI</t>
        </is>
      </c>
    </row>
    <row r="128" ht="14.25" customHeight="1" s="410">
      <c r="A128" s="1" t="inlineStr">
        <is>
          <t>EBITDARM multiple</t>
        </is>
      </c>
      <c r="B128" s="13" t="n"/>
      <c r="C128" s="13" t="n"/>
      <c r="D128" s="13" t="n"/>
      <c r="E128" s="63">
        <f>IFERROR(E117/E108,"-")</f>
        <v/>
      </c>
      <c r="F128" s="64">
        <f>IFERROR(F117/F108,"-")</f>
        <v/>
      </c>
      <c r="G128" s="13" t="n"/>
      <c r="H128" s="78" t="inlineStr">
        <is>
          <t>Purchase price ÷ EBITDARM</t>
        </is>
      </c>
    </row>
    <row r="129" ht="14.25" customHeight="1" s="410"/>
    <row r="130" ht="14.25" customHeight="1" s="410">
      <c r="A130" s="473" t="inlineStr">
        <is>
          <t>SECTION 5  ·  KPI DASHBOARD  —  T12 ACTUAL vs. NORMALIZED</t>
        </is>
      </c>
    </row>
    <row r="131" ht="14.25" customHeight="1" s="410">
      <c r="A131" s="9" t="inlineStr">
        <is>
          <t>Key Performance Indicator</t>
        </is>
      </c>
      <c r="B131" s="9" t="n"/>
      <c r="C131" s="9" t="n"/>
      <c r="D131" s="9" t="n"/>
      <c r="E131" s="9" t="inlineStr">
        <is>
          <t>T12 Actual</t>
        </is>
      </c>
      <c r="F131" s="21" t="inlineStr">
        <is>
          <t>Normalized</t>
        </is>
      </c>
      <c r="G131" s="9" t="n"/>
      <c r="H131" s="373" t="inlineStr">
        <is>
          <t>Benchmark</t>
        </is>
      </c>
    </row>
    <row r="132" ht="14.25" customHeight="1" s="410">
      <c r="A132" s="452" t="inlineStr">
        <is>
          <t xml:space="preserve">  OCCUPANCY</t>
        </is>
      </c>
    </row>
    <row r="133" ht="14.25" customHeight="1" s="410">
      <c r="A133" s="65" t="inlineStr">
        <is>
          <t>Physical occupancy %  —  IL</t>
        </is>
      </c>
      <c r="B133" s="66" t="n"/>
      <c r="C133" s="66" t="n"/>
      <c r="D133" s="66" t="n"/>
      <c r="E133" s="67">
        <f>IFERROR(B7/B6,"-")</f>
        <v/>
      </c>
      <c r="F133" s="67">
        <f>IFERROR(B11/B6,"-")</f>
        <v/>
      </c>
      <c r="G133" s="66" t="n"/>
      <c r="H133" s="379" t="inlineStr">
        <is>
          <t>Target: 90%+ stabilized for IL</t>
        </is>
      </c>
    </row>
    <row r="134" ht="14.25" customHeight="1" s="410">
      <c r="A134" s="65" t="inlineStr">
        <is>
          <t>Physical occupancy %  —  AL</t>
        </is>
      </c>
      <c r="B134" s="66" t="n"/>
      <c r="C134" s="66" t="n"/>
      <c r="D134" s="66" t="n"/>
      <c r="E134" s="67">
        <f>IFERROR(C7/C6,"-")</f>
        <v/>
      </c>
      <c r="F134" s="67">
        <f>IFERROR(C11/C6,"-")</f>
        <v/>
      </c>
      <c r="G134" s="66" t="n"/>
      <c r="H134" s="379" t="inlineStr">
        <is>
          <t>Target: 87–92% stabilized for AL</t>
        </is>
      </c>
    </row>
    <row r="135" ht="14.25" customHeight="1" s="410">
      <c r="A135" s="65" t="inlineStr">
        <is>
          <t>Physical occupancy %  —  MC</t>
        </is>
      </c>
      <c r="B135" s="66" t="n"/>
      <c r="C135" s="66" t="n"/>
      <c r="D135" s="66" t="n"/>
      <c r="E135" s="67">
        <f>IFERROR(D7/D6,"-")</f>
        <v/>
      </c>
      <c r="F135" s="67">
        <f>IFERROR(D11/D6,"-")</f>
        <v/>
      </c>
      <c r="G135" s="66" t="n"/>
      <c r="H135" s="379" t="inlineStr">
        <is>
          <t>Target: 85–90% stabilized for MC</t>
        </is>
      </c>
    </row>
    <row r="136" ht="14.25" customHeight="1" s="410">
      <c r="A136" s="68" t="inlineStr">
        <is>
          <t>Blended physical occupancy %</t>
        </is>
      </c>
      <c r="B136" s="13" t="n"/>
      <c r="C136" s="13" t="n"/>
      <c r="D136" s="13" t="n"/>
      <c r="E136" s="29">
        <f>IFERROR(E7/E6,"-")</f>
        <v/>
      </c>
      <c r="F136" s="29">
        <f>IFERROR(E11/E6,"-")</f>
        <v/>
      </c>
      <c r="G136" s="13" t="n"/>
      <c r="H136" s="78" t="inlineStr">
        <is>
          <t>Blended across all care types</t>
        </is>
      </c>
    </row>
    <row r="137" ht="14.25" customHeight="1" s="410">
      <c r="A137" s="452" t="inlineStr">
        <is>
          <t xml:space="preserve">  REVENUE PER UNIT / BED</t>
        </is>
      </c>
    </row>
    <row r="138" ht="14.25" customHeight="1" s="410">
      <c r="A138" s="65" t="inlineStr">
        <is>
          <t>ADR — IL  (avg daily rate, monthly)</t>
        </is>
      </c>
      <c r="B138" s="66" t="n"/>
      <c r="C138" s="66" t="n"/>
      <c r="D138" s="66" t="n"/>
      <c r="E138" s="69">
        <f>IFERROR(B16/(B7*12),"-")</f>
        <v/>
      </c>
      <c r="F138" s="69">
        <f>IFERROR(B20/(B11*12),"-")</f>
        <v/>
      </c>
      <c r="G138" s="66" t="n"/>
      <c r="H138" s="379" t="inlineStr">
        <is>
          <t>Avg monthly base rate per occupied IL unit</t>
        </is>
      </c>
    </row>
    <row r="139" ht="14.25" customHeight="1" s="410">
      <c r="A139" s="65" t="inlineStr">
        <is>
          <t>ADR — AL  (avg daily rate, monthly)</t>
        </is>
      </c>
      <c r="B139" s="66" t="n"/>
      <c r="C139" s="66" t="n"/>
      <c r="D139" s="66" t="n"/>
      <c r="E139" s="69">
        <f>IFERROR(C16/(C7*12),"-")</f>
        <v/>
      </c>
      <c r="F139" s="69">
        <f>IFERROR(C20/(C11*12),"-")</f>
        <v/>
      </c>
      <c r="G139" s="66" t="n"/>
      <c r="H139" s="379" t="inlineStr">
        <is>
          <t>Avg monthly base rate per occupied AL bed</t>
        </is>
      </c>
    </row>
    <row r="140" ht="14.25" customHeight="1" s="410">
      <c r="A140" s="65" t="inlineStr">
        <is>
          <t>ADR — MC  (avg daily rate, monthly)</t>
        </is>
      </c>
      <c r="B140" s="66" t="n"/>
      <c r="C140" s="66" t="n"/>
      <c r="D140" s="66" t="n"/>
      <c r="E140" s="69">
        <f>IFERROR(D16/(D7*12),"-")</f>
        <v/>
      </c>
      <c r="F140" s="69">
        <f>IFERROR(D20/(D11*12),"-")</f>
        <v/>
      </c>
      <c r="G140" s="66" t="n"/>
      <c r="H140" s="379" t="inlineStr">
        <is>
          <t>Avg monthly base rate per occupied MC bed</t>
        </is>
      </c>
    </row>
    <row r="141" ht="14.25" customHeight="1" s="410">
      <c r="A141" s="65" t="inlineStr">
        <is>
          <t>RevPOR — IL  (base + LOC / occ. unit / month)</t>
        </is>
      </c>
      <c r="B141" s="66" t="n"/>
      <c r="C141" s="66" t="n"/>
      <c r="D141" s="66" t="n"/>
      <c r="E141" s="69">
        <f>IFERROR((B16+B23)/(B7*12),"-")</f>
        <v/>
      </c>
      <c r="F141" s="69">
        <f>IFERROR((B20+B27)/(B11*12),"-")</f>
        <v/>
      </c>
      <c r="G141" s="66" t="n"/>
      <c r="H141" s="379" t="inlineStr">
        <is>
          <t>Total IL revenue per occupied unit per month</t>
        </is>
      </c>
    </row>
    <row r="142" ht="14.25" customHeight="1" s="410">
      <c r="A142" s="68" t="inlineStr">
        <is>
          <t>RevPOR — AL  (base + LOC / occ. bed / month)</t>
        </is>
      </c>
      <c r="B142" s="13" t="n"/>
      <c r="C142" s="13" t="n"/>
      <c r="D142" s="13" t="n"/>
      <c r="E142" s="22">
        <f>IFERROR((C16+C23)/(C7*12),"-")</f>
        <v/>
      </c>
      <c r="F142" s="22">
        <f>IFERROR((C20+C27)/(C11*12),"-")</f>
        <v/>
      </c>
      <c r="G142" s="13" t="n"/>
      <c r="H142" s="78" t="inlineStr">
        <is>
          <t>Total AL revenue per occupied bed per month (base + LOC)</t>
        </is>
      </c>
    </row>
    <row r="143" ht="14.25" customHeight="1" s="410">
      <c r="A143" s="65" t="inlineStr">
        <is>
          <t>RevPOR — MC  (base + LOC / occ. bed / month)</t>
        </is>
      </c>
      <c r="B143" s="66" t="n"/>
      <c r="C143" s="66" t="n"/>
      <c r="D143" s="66" t="n"/>
      <c r="E143" s="69">
        <f>IFERROR((D16+D23)/(D7*12),"-")</f>
        <v/>
      </c>
      <c r="F143" s="69">
        <f>IFERROR((D20+D27)/(D11*12),"-")</f>
        <v/>
      </c>
      <c r="G143" s="66" t="n"/>
      <c r="H143" s="379" t="inlineStr">
        <is>
          <t>Total MC revenue per occupied bed per month; typically highest</t>
        </is>
      </c>
    </row>
    <row r="144" ht="14.25" customHeight="1" s="410">
      <c r="A144" s="65" t="inlineStr">
        <is>
          <t>EGI per occupied bed / month</t>
        </is>
      </c>
      <c r="B144" s="66" t="n"/>
      <c r="C144" s="66" t="n"/>
      <c r="D144" s="66" t="n"/>
      <c r="E144" s="69">
        <f>IFERROR(E52/(E7*12),"-")</f>
        <v/>
      </c>
      <c r="F144" s="69">
        <f>IFERROR(F52/(E11*12),"-")</f>
        <v/>
      </c>
      <c r="G144" s="66" t="n"/>
      <c r="H144" s="379" t="inlineStr">
        <is>
          <t>Total EGI ÷ total occupied beds ÷ 12</t>
        </is>
      </c>
    </row>
    <row r="145" ht="14.25" customHeight="1" s="410">
      <c r="A145" s="68" t="inlineStr">
        <is>
          <t>RevPAB — EGI per available bed / month</t>
        </is>
      </c>
      <c r="B145" s="13" t="n"/>
      <c r="C145" s="13" t="n"/>
      <c r="D145" s="13" t="n"/>
      <c r="E145" s="22">
        <f>IFERROR(E52/(E6*12),"-")</f>
        <v/>
      </c>
      <c r="F145" s="22">
        <f>IFERROR(F52/(E6*12),"-")</f>
        <v/>
      </c>
      <c r="G145" s="13" t="n"/>
      <c r="H145" s="78" t="inlineStr">
        <is>
          <t>Revenue per available (licensed) bed per month</t>
        </is>
      </c>
    </row>
    <row r="146" ht="14.25" customHeight="1" s="410">
      <c r="A146" s="65" t="inlineStr">
        <is>
          <t>LOC revenue as % of base rent  (acuity indicator)</t>
        </is>
      </c>
      <c r="B146" s="66" t="n"/>
      <c r="C146" s="66" t="n"/>
      <c r="D146" s="66" t="n"/>
      <c r="E146" s="67">
        <f>IFERROR(E23/E16,"-")</f>
        <v/>
      </c>
      <c r="F146" s="67">
        <f>IFERROR(F27/F20,"-")</f>
        <v/>
      </c>
      <c r="G146" s="66" t="n"/>
      <c r="H146" s="379" t="inlineStr">
        <is>
          <t>Higher = higher acuity mix; validate vs. care level assessments</t>
        </is>
      </c>
    </row>
    <row r="147" ht="14.25" customHeight="1" s="410">
      <c r="A147" s="452" t="inlineStr">
        <is>
          <t xml:space="preserve">  LABOR METRICS</t>
        </is>
      </c>
    </row>
    <row r="148" ht="14.25" customHeight="1" s="410">
      <c r="A148" s="65" t="inlineStr">
        <is>
          <t>Total labor &amp; burden  (% EGI)</t>
        </is>
      </c>
      <c r="B148" s="66" t="n"/>
      <c r="C148" s="66" t="n"/>
      <c r="D148" s="66" t="n"/>
      <c r="E148" s="67">
        <f>IFERROR(E76/E52,"-")</f>
        <v/>
      </c>
      <c r="F148" s="67">
        <f>IFERROR(F76/F52,"-")</f>
        <v/>
      </c>
      <c r="G148" s="66" t="n"/>
      <c r="H148" s="379" t="inlineStr">
        <is>
          <t>Target: 55–65% of EGI; varies by acuity mix</t>
        </is>
      </c>
    </row>
    <row r="149" ht="14.25" customHeight="1" s="410">
      <c r="A149" s="65" t="inlineStr">
        <is>
          <t>Direct labor  (% EGI)</t>
        </is>
      </c>
      <c r="B149" s="66" t="n"/>
      <c r="C149" s="66" t="n"/>
      <c r="D149" s="66" t="n"/>
      <c r="E149" s="67">
        <f>IFERROR(E65/E52,"-")</f>
        <v/>
      </c>
      <c r="F149" s="67">
        <f>IFERROR(F65/F52,"-")</f>
        <v/>
      </c>
      <c r="G149" s="66" t="n"/>
      <c r="H149" s="379" t="inlineStr">
        <is>
          <t>Target: 45–55% of EGI</t>
        </is>
      </c>
    </row>
    <row r="150" ht="14.25" customHeight="1" s="410">
      <c r="A150" s="65" t="inlineStr">
        <is>
          <t>Overtime wages  (% of direct wages)</t>
        </is>
      </c>
      <c r="B150" s="66" t="n"/>
      <c r="C150" s="66" t="n"/>
      <c r="D150" s="66" t="n"/>
      <c r="E150" s="67">
        <f>IFERROR(E68/E65,"-")</f>
        <v/>
      </c>
      <c r="F150" s="67">
        <f>IFERROR(F68/F65,"-")</f>
        <v/>
      </c>
      <c r="G150" s="66" t="n"/>
      <c r="H150" s="379" t="inlineStr">
        <is>
          <t>Target: ≤5% of direct wages at stabilization</t>
        </is>
      </c>
    </row>
    <row r="151" ht="14.25" customHeight="1" s="410">
      <c r="A151" s="65" t="inlineStr">
        <is>
          <t>PTO wages  (% of direct wages)</t>
        </is>
      </c>
      <c r="B151" s="66" t="n"/>
      <c r="C151" s="66" t="n"/>
      <c r="D151" s="66" t="n"/>
      <c r="E151" s="67">
        <f>IFERROR(E69/E65,"-")</f>
        <v/>
      </c>
      <c r="F151" s="67">
        <f>IFERROR(F69/F65,"-")</f>
        <v/>
      </c>
      <c r="G151" s="66" t="n"/>
      <c r="H151" s="379" t="inlineStr">
        <is>
          <t>Steady-state: 4–6% of direct wages</t>
        </is>
      </c>
    </row>
    <row r="152" ht="14.25" customHeight="1" s="410">
      <c r="A152" s="65" t="inlineStr">
        <is>
          <t>Contract / agency labor  (% of direct labor)</t>
        </is>
      </c>
      <c r="B152" s="66" t="n"/>
      <c r="C152" s="66" t="n"/>
      <c r="D152" s="66" t="n"/>
      <c r="E152" s="67">
        <f>IFERROR(E59/E65,"-")</f>
        <v/>
      </c>
      <c r="F152" s="67">
        <f>IFERROR(F59/F65,"-")</f>
        <v/>
      </c>
      <c r="G152" s="66" t="n"/>
      <c r="H152" s="379" t="inlineStr">
        <is>
          <t>Target: ≤3% at stabilization; flag if elevated</t>
        </is>
      </c>
    </row>
    <row r="153" ht="14.25" customHeight="1" s="410">
      <c r="A153" s="452" t="inlineStr">
        <is>
          <t xml:space="preserve">  DINING METRICS</t>
        </is>
      </c>
    </row>
    <row r="154" ht="14.25" customHeight="1" s="410">
      <c r="A154" s="65" t="inlineStr">
        <is>
          <t>Food cost per patient day  (PPD)</t>
        </is>
      </c>
      <c r="B154" s="66" t="n"/>
      <c r="C154" s="66" t="n"/>
      <c r="D154" s="66" t="n"/>
      <c r="E154" s="69">
        <f>IFERROR(E79/(E7*365),"-")</f>
        <v/>
      </c>
      <c r="F154" s="69">
        <f>IFERROR(F79/(E11*365),"-")</f>
        <v/>
      </c>
      <c r="G154" s="66" t="n"/>
      <c r="H154" s="379" t="inlineStr">
        <is>
          <t>Benchmark: $8–12 PPD for AL; $10–14 for MC; $10–16 for IL</t>
        </is>
      </c>
    </row>
    <row r="155" ht="14.25" customHeight="1" s="410">
      <c r="A155" s="68" t="inlineStr">
        <is>
          <t>Food cost  (% EGI)</t>
        </is>
      </c>
      <c r="B155" s="13" t="n"/>
      <c r="C155" s="13" t="n"/>
      <c r="D155" s="13" t="n"/>
      <c r="E155" s="29">
        <f>IFERROR(E79/E52,"-")</f>
        <v/>
      </c>
      <c r="F155" s="29">
        <f>IFERROR(F79/F52,"-")</f>
        <v/>
      </c>
      <c r="G155" s="13" t="n"/>
      <c r="H155" s="78" t="inlineStr">
        <is>
          <t>Target: 6–9% of EGI</t>
        </is>
      </c>
    </row>
    <row r="156" ht="14.25" customHeight="1" s="410">
      <c r="A156" s="452" t="inlineStr">
        <is>
          <t xml:space="preserve">  FINANCIAL METRICS</t>
        </is>
      </c>
    </row>
    <row r="157" ht="14.25" customHeight="1" s="410">
      <c r="A157" s="65" t="inlineStr">
        <is>
          <t>Management fee  (% revenue)</t>
        </is>
      </c>
      <c r="B157" s="66" t="n"/>
      <c r="C157" s="66" t="n"/>
      <c r="D157" s="66" t="n"/>
      <c r="E157" s="67">
        <f>IFERROR(E106/E52,"-")</f>
        <v/>
      </c>
      <c r="F157" s="67">
        <f>IFERROR(F106/F52,"-")</f>
        <v/>
      </c>
      <c r="G157" s="66" t="n"/>
      <c r="H157" s="379" t="inlineStr">
        <is>
          <t>Industry range: 5–7% of revenue</t>
        </is>
      </c>
    </row>
    <row r="158" ht="14.25" customHeight="1" s="410">
      <c r="A158" s="65" t="inlineStr">
        <is>
          <t>Bad debt  (% gross revenue)</t>
        </is>
      </c>
      <c r="B158" s="66" t="n"/>
      <c r="C158" s="66" t="n"/>
      <c r="D158" s="66" t="n"/>
      <c r="E158" s="67">
        <f>IFERROR(E98/E52,"-")</f>
        <v/>
      </c>
      <c r="F158" s="67">
        <f>IFERROR(F98/F52,"-")</f>
        <v/>
      </c>
      <c r="G158" s="66" t="n"/>
      <c r="H158" s="379" t="inlineStr">
        <is>
          <t>Normalize to ≤2% at stabilization</t>
        </is>
      </c>
    </row>
    <row r="159" ht="14.25" customHeight="1" s="410">
      <c r="A159" s="65" t="inlineStr">
        <is>
          <t>P&amp;C insurance  (% EGI)</t>
        </is>
      </c>
      <c r="B159" s="66" t="n"/>
      <c r="C159" s="66" t="n"/>
      <c r="D159" s="66" t="n"/>
      <c r="E159" s="67">
        <f>IFERROR(E90/E52,"-")</f>
        <v/>
      </c>
      <c r="F159" s="67">
        <f>IFERROR(F90/F52,"-")</f>
        <v/>
      </c>
      <c r="G159" s="66" t="n"/>
      <c r="H159" s="379" t="inlineStr">
        <is>
          <t>Benchmark: 4–7% of EGI; confirm renewal pricing</t>
        </is>
      </c>
    </row>
    <row r="160" ht="14.25" customHeight="1" s="410">
      <c r="A160" s="65" t="inlineStr">
        <is>
          <t>OpEx per occupied bed / month  (excl. mgmt fee)</t>
        </is>
      </c>
      <c r="B160" s="66" t="n"/>
      <c r="C160" s="66" t="n"/>
      <c r="D160" s="66" t="n"/>
      <c r="E160" s="69">
        <f>IFERROR(E105/(E7*12),"-")</f>
        <v/>
      </c>
      <c r="F160" s="69">
        <f>IFERROR(F105/(E11*12),"-")</f>
        <v/>
      </c>
      <c r="G160" s="66" t="n"/>
      <c r="H160" s="379" t="inlineStr">
        <is>
          <t>All-in operating cost per occ. bed — track vs. market comps</t>
        </is>
      </c>
    </row>
    <row r="161" ht="14.25" customHeight="1" s="410">
      <c r="A161" s="65" t="inlineStr">
        <is>
          <t>EBITDARM  ($)</t>
        </is>
      </c>
      <c r="B161" s="66" t="n"/>
      <c r="C161" s="66" t="n"/>
      <c r="D161" s="66" t="n"/>
      <c r="E161" s="70">
        <f>E108</f>
        <v/>
      </c>
      <c r="F161" s="70">
        <f>F108</f>
        <v/>
      </c>
      <c r="G161" s="66" t="n"/>
      <c r="H161" s="379" t="inlineStr">
        <is>
          <t>Target: 20–30%+ for AL/MC; 25–35% for IL</t>
        </is>
      </c>
    </row>
    <row r="162" ht="14.25" customHeight="1" s="410">
      <c r="A162" s="65" t="inlineStr">
        <is>
          <t>EBITDARM margin  (%)</t>
        </is>
      </c>
      <c r="B162" s="66" t="n"/>
      <c r="C162" s="66" t="n"/>
      <c r="D162" s="66" t="n"/>
      <c r="E162" s="67">
        <f>IFERROR(E108/E52,"-")</f>
        <v/>
      </c>
      <c r="F162" s="67">
        <f>IFERROR(F108/F52,"-")</f>
        <v/>
      </c>
      <c r="G162" s="66" t="n"/>
      <c r="H162" s="379" t="inlineStr">
        <is>
          <t>Target: 20–30%+ for AL/MC; 25–35% for IL</t>
        </is>
      </c>
    </row>
    <row r="163" ht="14.25" customHeight="1" s="410">
      <c r="A163" s="65" t="inlineStr">
        <is>
          <t>EBITDAR  ($)  (after mgmt fee)</t>
        </is>
      </c>
      <c r="B163" s="66" t="n"/>
      <c r="C163" s="66" t="n"/>
      <c r="D163" s="66" t="n"/>
      <c r="E163" s="70">
        <f>E110</f>
        <v/>
      </c>
      <c r="F163" s="70">
        <f>F110</f>
        <v/>
      </c>
      <c r="G163" s="66" t="n"/>
      <c r="H163" s="379" t="inlineStr">
        <is>
          <t>Target: 15–25%+ (varies by mgmt fee structure)</t>
        </is>
      </c>
    </row>
    <row r="164" ht="14.25" customHeight="1" s="410">
      <c r="A164" s="65" t="inlineStr">
        <is>
          <t>EBITDAR margin  (%)</t>
        </is>
      </c>
      <c r="B164" s="66" t="n"/>
      <c r="C164" s="66" t="n"/>
      <c r="D164" s="66" t="n"/>
      <c r="E164" s="67">
        <f>IFERROR(E110/E52,"-")</f>
        <v/>
      </c>
      <c r="F164" s="67">
        <f>IFERROR(F110/F52,"-")</f>
        <v/>
      </c>
      <c r="G164" s="66" t="n"/>
      <c r="H164" s="379" t="inlineStr">
        <is>
          <t>Target: 15–25%+ (varies by mgmt fee structure)</t>
        </is>
      </c>
    </row>
    <row r="165" ht="14.25" customHeight="1" s="410"/>
    <row r="166" ht="14.25" customHeight="1" s="410">
      <c r="A166" s="470" t="inlineStr">
        <is>
          <t xml:space="preserve">  COLOR KEY:  Yellow = hardcoded input  |  Gray = formula  |  Amber = normalization flag / one-time  |  Blue/Green rows = totals &amp; NOI  |  Blue-gray = sub-totals</t>
        </is>
      </c>
    </row>
    <row r="168">
      <c r="A168" s="460" t="inlineStr">
        <is>
          <t>RR ↔ T12 — 2nd Person Revenue Reconciliation  (BL-0004)</t>
        </is>
      </c>
    </row>
    <row r="169" ht="25.5" customHeight="1" s="410">
      <c r="A169" s="459" t="inlineStr">
        <is>
          <t>Metric</t>
        </is>
      </c>
      <c r="B169" s="459" t="inlineStr">
        <is>
          <t>RR projection
(annual)</t>
        </is>
      </c>
      <c r="C169" s="459" t="inlineStr">
        <is>
          <t>T12 actual
(annual)</t>
        </is>
      </c>
      <c r="D169" s="459" t="inlineStr">
        <is>
          <t>Variance %</t>
        </is>
      </c>
      <c r="E169" s="459" t="inlineStr">
        <is>
          <t>Note</t>
        </is>
      </c>
      <c r="F169" s="454" t="n"/>
      <c r="G169" s="455" t="n"/>
    </row>
    <row r="170" ht="25.5" customHeight="1" s="410">
      <c r="A170" s="191" t="inlineStr">
        <is>
          <t>2P revenue
(Σ Rent Roll Input!V × 12  vs.  T12 Raw Data!R15)</t>
        </is>
      </c>
      <c r="B170" s="196">
        <f>SUM('Rent Roll Input'!$V$7:$V$606)*12</f>
        <v/>
      </c>
      <c r="C170" s="196">
        <f>IFERROR('T12 Raw Data'!$R$15,0)</f>
        <v/>
      </c>
      <c r="D170" s="200">
        <f>IFERROR((B170-C170)/C170,"")</f>
        <v/>
      </c>
      <c r="E170" s="456">
        <f>IF(NOT(ISNUMBER(D170)),"",IF(ABS(D170)&gt;0.1,"⚠ 2P revenue gap of "&amp;TEXT(D170,"0.0%")&amp;" — verify SP column matches operator's published 2P rate","✓ 2P revenue reconciles within "&amp;TEXT(0.1,"0%")&amp;" of T12"))</f>
        <v/>
      </c>
      <c r="F170" s="454" t="n"/>
      <c r="G170" s="455" t="n"/>
    </row>
  </sheetData>
  <mergeCells count="21">
    <mergeCell ref="A67:H67"/>
    <mergeCell ref="E170:G170"/>
    <mergeCell ref="A97:D97"/>
    <mergeCell ref="A15:H15"/>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410" min="1" max="1"/>
    <col width="36" customWidth="1" style="410" min="2" max="2"/>
    <col width="14.5" customWidth="1" style="410" min="3" max="3"/>
    <col width="11.83203125" customWidth="1" style="410" min="4" max="14"/>
    <col width="13" customWidth="1" style="410" min="15" max="15"/>
    <col width="25.1640625" customWidth="1" style="410" min="16" max="16"/>
  </cols>
  <sheetData>
    <row r="1" ht="16.5" customHeight="1" s="410">
      <c r="A1" s="465" t="inlineStr">
        <is>
          <t>T12 Input  —  Paste T12 data here</t>
        </is>
      </c>
      <c r="AZ1" t="inlineStr">
        <is>
          <t>T12 raw paste area (MRI / Yardi / normalizer output)</t>
        </is>
      </c>
    </row>
    <row r="2">
      <c r="A2" s="478" t="n"/>
      <c r="AZ2" t="inlineStr">
        <is>
          <t>input</t>
        </is>
      </c>
    </row>
    <row r="3">
      <c r="A3" s="467" t="inlineStr">
        <is>
          <t>How to use — no setup, no refresh, instant results</t>
        </is>
      </c>
      <c r="AZ3" t="inlineStr">
        <is>
          <t>visible</t>
        </is>
      </c>
    </row>
    <row r="4">
      <c r="A4" s="466" t="inlineStr">
        <is>
          <t>1.  Upload this Analyzer + your raw T12 to the Streamlit app.</t>
        </is>
      </c>
      <c r="AZ4" t="inlineStr">
        <is>
          <t>v0.2.12</t>
        </is>
      </c>
    </row>
    <row r="5">
      <c r="A5" s="466" t="inlineStr">
        <is>
          <t>2.  Map any UNMATCHED descriptions in-app before downloading.</t>
        </is>
      </c>
    </row>
    <row r="6">
      <c r="A6" s="464" t="inlineStr">
        <is>
          <t>3.  Open the populated Analyzer — Coverage Check (col P) confirms all rows mapped.</t>
        </is>
      </c>
    </row>
    <row r="7">
      <c r="A7" s="464" t="inlineStr">
        <is>
          <t>4.  Mappings persist in Description_Map for next upload.</t>
        </is>
      </c>
    </row>
    <row r="8">
      <c r="A8" s="466" t="n"/>
    </row>
    <row r="9">
      <c r="A9" s="464"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410">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410">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410">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410">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410">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410">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410">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410">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410">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410">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410">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410">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410">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410">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410">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410">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410">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410">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410">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410">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410">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410">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410">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410">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410">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410">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410">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410">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410">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410">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410">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410">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410">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410">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410">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410">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410">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410">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410">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410">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410">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410">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410">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410">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410">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410">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410">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410">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410">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410">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410">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410">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410">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410">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410">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410">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410">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410">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410">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410">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410">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410">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410">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410">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410">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410">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410">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410">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410">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410">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410">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410">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410">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410">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410">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410">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410">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410">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410">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410">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410">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410">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410">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410">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410">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410">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410">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410">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410">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410">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410">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410">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410">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410">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410">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410">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410">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410">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410">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410">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410">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410">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410">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410">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410">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410">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410">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410">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410">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410">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410">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410">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410">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410">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410">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410">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410">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410">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410">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410">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410">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410">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410">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410">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410">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410">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410">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410">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410">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410">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410">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410">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410">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410">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410">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410">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410">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410">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410">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410">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410">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410">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410">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410">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410">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410">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410">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410">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410">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410">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410">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410">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410">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410">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410">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410">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410">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410">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410">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410">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410">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410">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410">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410">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410">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410">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410">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410">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410">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410">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410">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410">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410">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410">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410">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410">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410">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410">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410">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410">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410">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410">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410">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410">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410">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410">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410">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410">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410">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410">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410">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410">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410">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410">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410">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410">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410">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410">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410">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410">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410">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410">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410">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410">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410">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410">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410">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410">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410">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410">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410">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410">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410">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410">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410">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410">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410">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410">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410">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410">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410">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410">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410">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410">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410">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410">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410">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410">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410">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410">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410">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410">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410">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410">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410">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410">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410">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410">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410">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410">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410">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410">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410">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410">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410">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410">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410">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410">
      <c r="P259" s="74">
        <f>IF(TRIM(B259)&lt;&gt;"",IFERROR(INDEX(DescMap_Label,MATCH(TRIM(B259),DescMap_Description,0)),"UNMATCHED"),"")</f>
        <v/>
      </c>
    </row>
    <row r="260" ht="15" customHeight="1" s="410">
      <c r="P260" s="74">
        <f>IF(TRIM(B260)&lt;&gt;"",IFERROR(INDEX(DescMap_Label,MATCH(TRIM(B260),DescMap_Description,0)),"UNMATCHED"),"")</f>
        <v/>
      </c>
    </row>
    <row r="261" ht="15" customHeight="1" s="410">
      <c r="P261" s="74">
        <f>IF(TRIM(B261)&lt;&gt;"",IFERROR(INDEX(DescMap_Label,MATCH(TRIM(B261),DescMap_Description,0)),"UNMATCHED"),"")</f>
        <v/>
      </c>
    </row>
    <row r="262" ht="15" customHeight="1" s="410">
      <c r="P262" s="74">
        <f>IF(TRIM(B262)&lt;&gt;"",IFERROR(INDEX(DescMap_Label,MATCH(TRIM(B262),DescMap_Description,0)),"UNMATCHED"),"")</f>
        <v/>
      </c>
    </row>
    <row r="263" ht="15" customHeight="1" s="410">
      <c r="P263" s="74">
        <f>IF(TRIM(B263)&lt;&gt;"",IFERROR(INDEX(DescMap_Label,MATCH(TRIM(B263),DescMap_Description,0)),"UNMATCHED"),"")</f>
        <v/>
      </c>
    </row>
    <row r="264" ht="15" customHeight="1" s="410">
      <c r="P264" s="74">
        <f>IF(TRIM(B264)&lt;&gt;"",IFERROR(INDEX(DescMap_Label,MATCH(TRIM(B264),DescMap_Description,0)),"UNMATCHED"),"")</f>
        <v/>
      </c>
    </row>
    <row r="265" ht="15" customHeight="1" s="410">
      <c r="P265" s="74">
        <f>IF(TRIM(B265)&lt;&gt;"",IFERROR(INDEX(DescMap_Label,MATCH(TRIM(B265),DescMap_Description,0)),"UNMATCHED"),"")</f>
        <v/>
      </c>
    </row>
    <row r="266" ht="15" customHeight="1" s="410">
      <c r="P266" s="74">
        <f>IF(TRIM(B266)&lt;&gt;"",IFERROR(INDEX(DescMap_Label,MATCH(TRIM(B266),DescMap_Description,0)),"UNMATCHED"),"")</f>
        <v/>
      </c>
    </row>
    <row r="267" ht="15" customHeight="1" s="410">
      <c r="P267" s="74">
        <f>IF(TRIM(B267)&lt;&gt;"",IFERROR(INDEX(DescMap_Label,MATCH(TRIM(B267),DescMap_Description,0)),"UNMATCHED"),"")</f>
        <v/>
      </c>
    </row>
    <row r="268" ht="15" customHeight="1" s="410">
      <c r="P268" s="74">
        <f>IF(TRIM(B268)&lt;&gt;"",IFERROR(INDEX(DescMap_Label,MATCH(TRIM(B268),DescMap_Description,0)),"UNMATCHED"),"")</f>
        <v/>
      </c>
    </row>
    <row r="269" ht="15" customHeight="1" s="410">
      <c r="P269" s="74">
        <f>IF(TRIM(B269)&lt;&gt;"",IFERROR(INDEX(DescMap_Label,MATCH(TRIM(B269),DescMap_Description,0)),"UNMATCHED"),"")</f>
        <v/>
      </c>
    </row>
    <row r="270" ht="15" customHeight="1" s="410">
      <c r="P270" s="74">
        <f>IF(TRIM(B270)&lt;&gt;"",IFERROR(INDEX(DescMap_Label,MATCH(TRIM(B270),DescMap_Description,0)),"UNMATCHED"),"")</f>
        <v/>
      </c>
    </row>
    <row r="271" ht="15" customHeight="1" s="410">
      <c r="P271" s="74">
        <f>IF(TRIM(B271)&lt;&gt;"",IFERROR(INDEX(DescMap_Label,MATCH(TRIM(B271),DescMap_Description,0)),"UNMATCHED"),"")</f>
        <v/>
      </c>
    </row>
    <row r="272" ht="15" customHeight="1" s="410">
      <c r="P272" s="74">
        <f>IF(TRIM(B272)&lt;&gt;"",IFERROR(INDEX(DescMap_Label,MATCH(TRIM(B272),DescMap_Description,0)),"UNMATCHED"),"")</f>
        <v/>
      </c>
    </row>
    <row r="273" ht="15" customHeight="1" s="410">
      <c r="P273" s="74">
        <f>IF(TRIM(B273)&lt;&gt;"",IFERROR(INDEX(DescMap_Label,MATCH(TRIM(B273),DescMap_Description,0)),"UNMATCHED"),"")</f>
        <v/>
      </c>
    </row>
    <row r="274" ht="15" customHeight="1" s="410">
      <c r="P274" s="74">
        <f>IF(TRIM(B274)&lt;&gt;"",IFERROR(INDEX(DescMap_Label,MATCH(TRIM(B274),DescMap_Description,0)),"UNMATCHED"),"")</f>
        <v/>
      </c>
    </row>
    <row r="275" ht="15" customHeight="1" s="410">
      <c r="P275" s="74">
        <f>IF(TRIM(B275)&lt;&gt;"",IFERROR(INDEX(DescMap_Label,MATCH(TRIM(B275),DescMap_Description,0)),"UNMATCHED"),"")</f>
        <v/>
      </c>
    </row>
    <row r="276" ht="15" customHeight="1" s="410">
      <c r="P276" s="74">
        <f>IF(TRIM(B276)&lt;&gt;"",IFERROR(INDEX(DescMap_Label,MATCH(TRIM(B276),DescMap_Description,0)),"UNMATCHED"),"")</f>
        <v/>
      </c>
    </row>
    <row r="277" ht="15" customHeight="1" s="410">
      <c r="P277" s="74">
        <f>IF(TRIM(B277)&lt;&gt;"",IFERROR(INDEX(DescMap_Label,MATCH(TRIM(B277),DescMap_Description,0)),"UNMATCHED"),"")</f>
        <v/>
      </c>
    </row>
    <row r="278" ht="15" customHeight="1" s="410">
      <c r="P278" s="74">
        <f>IF(TRIM(B278)&lt;&gt;"",IFERROR(INDEX(DescMap_Label,MATCH(TRIM(B278),DescMap_Description,0)),"UNMATCHED"),"")</f>
        <v/>
      </c>
    </row>
    <row r="279" ht="15" customHeight="1" s="410">
      <c r="P279" s="74">
        <f>IF(TRIM(B279)&lt;&gt;"",IFERROR(INDEX(DescMap_Label,MATCH(TRIM(B279),DescMap_Description,0)),"UNMATCHED"),"")</f>
        <v/>
      </c>
    </row>
    <row r="280" ht="15" customHeight="1" s="410">
      <c r="P280" s="74">
        <f>IF(TRIM(B280)&lt;&gt;"",IFERROR(INDEX(DescMap_Label,MATCH(TRIM(B280),DescMap_Description,0)),"UNMATCHED"),"")</f>
        <v/>
      </c>
    </row>
    <row r="281" ht="15" customHeight="1" s="410">
      <c r="P281" s="74">
        <f>IF(TRIM(B281)&lt;&gt;"",IFERROR(INDEX(DescMap_Label,MATCH(TRIM(B281),DescMap_Description,0)),"UNMATCHED"),"")</f>
        <v/>
      </c>
    </row>
    <row r="282" ht="15" customHeight="1" s="410">
      <c r="P282" s="74">
        <f>IF(TRIM(B282)&lt;&gt;"",IFERROR(INDEX(DescMap_Label,MATCH(TRIM(B282),DescMap_Description,0)),"UNMATCHED"),"")</f>
        <v/>
      </c>
    </row>
    <row r="283" ht="15" customHeight="1" s="410">
      <c r="P283" s="74">
        <f>IF(TRIM(B283)&lt;&gt;"",IFERROR(INDEX(DescMap_Label,MATCH(TRIM(B283),DescMap_Description,0)),"UNMATCHED"),"")</f>
        <v/>
      </c>
    </row>
    <row r="284" ht="15" customHeight="1" s="410">
      <c r="P284" s="74">
        <f>IF(TRIM(B284)&lt;&gt;"",IFERROR(INDEX(DescMap_Label,MATCH(TRIM(B284),DescMap_Description,0)),"UNMATCHED"),"")</f>
        <v/>
      </c>
    </row>
    <row r="285" ht="15" customHeight="1" s="410">
      <c r="P285" s="74">
        <f>IF(TRIM(B285)&lt;&gt;"",IFERROR(INDEX(DescMap_Label,MATCH(TRIM(B285),DescMap_Description,0)),"UNMATCHED"),"")</f>
        <v/>
      </c>
    </row>
    <row r="286" ht="15" customHeight="1" s="410">
      <c r="P286" s="74">
        <f>IF(TRIM(B286)&lt;&gt;"",IFERROR(INDEX(DescMap_Label,MATCH(TRIM(B286),DescMap_Description,0)),"UNMATCHED"),"")</f>
        <v/>
      </c>
    </row>
    <row r="287" ht="15" customHeight="1" s="410">
      <c r="P287" s="74">
        <f>IF(TRIM(B287)&lt;&gt;"",IFERROR(INDEX(DescMap_Label,MATCH(TRIM(B287),DescMap_Description,0)),"UNMATCHED"),"")</f>
        <v/>
      </c>
    </row>
    <row r="288" ht="15" customHeight="1" s="410">
      <c r="P288" s="74">
        <f>IF(TRIM(B288)&lt;&gt;"",IFERROR(INDEX(DescMap_Label,MATCH(TRIM(B288),DescMap_Description,0)),"UNMATCHED"),"")</f>
        <v/>
      </c>
    </row>
    <row r="289" ht="15" customHeight="1" s="410">
      <c r="P289" s="74">
        <f>IF(TRIM(B289)&lt;&gt;"",IFERROR(INDEX(DescMap_Label,MATCH(TRIM(B289),DescMap_Description,0)),"UNMATCHED"),"")</f>
        <v/>
      </c>
    </row>
    <row r="290" ht="15" customHeight="1" s="410">
      <c r="P290" s="74">
        <f>IF(TRIM(B290)&lt;&gt;"",IFERROR(INDEX(DescMap_Label,MATCH(TRIM(B290),DescMap_Description,0)),"UNMATCHED"),"")</f>
        <v/>
      </c>
    </row>
    <row r="291" ht="15" customHeight="1" s="410">
      <c r="P291" s="74">
        <f>IF(TRIM(B291)&lt;&gt;"",IFERROR(INDEX(DescMap_Label,MATCH(TRIM(B291),DescMap_Description,0)),"UNMATCHED"),"")</f>
        <v/>
      </c>
    </row>
    <row r="292" ht="15" customHeight="1" s="410">
      <c r="P292" s="74">
        <f>IF(TRIM(B292)&lt;&gt;"",IFERROR(INDEX(DescMap_Label,MATCH(TRIM(B292),DescMap_Description,0)),"UNMATCHED"),"")</f>
        <v/>
      </c>
    </row>
    <row r="293" ht="15" customHeight="1" s="410">
      <c r="P293" s="74">
        <f>IF(TRIM(B293)&lt;&gt;"",IFERROR(INDEX(DescMap_Label,MATCH(TRIM(B293),DescMap_Description,0)),"UNMATCHED"),"")</f>
        <v/>
      </c>
    </row>
    <row r="294" ht="15" customHeight="1" s="410">
      <c r="P294" s="74">
        <f>IF(TRIM(B294)&lt;&gt;"",IFERROR(INDEX(DescMap_Label,MATCH(TRIM(B294),DescMap_Description,0)),"UNMATCHED"),"")</f>
        <v/>
      </c>
    </row>
    <row r="295" ht="15" customHeight="1" s="410">
      <c r="P295" s="74">
        <f>IF(TRIM(B295)&lt;&gt;"",IFERROR(INDEX(DescMap_Label,MATCH(TRIM(B295),DescMap_Description,0)),"UNMATCHED"),"")</f>
        <v/>
      </c>
    </row>
    <row r="296" ht="15" customHeight="1" s="410">
      <c r="P296" s="74">
        <f>IF(TRIM(B296)&lt;&gt;"",IFERROR(INDEX(DescMap_Label,MATCH(TRIM(B296),DescMap_Description,0)),"UNMATCHED"),"")</f>
        <v/>
      </c>
    </row>
    <row r="297" ht="15" customHeight="1" s="410">
      <c r="P297" s="74">
        <f>IF(TRIM(B297)&lt;&gt;"",IFERROR(INDEX(DescMap_Label,MATCH(TRIM(B297),DescMap_Description,0)),"UNMATCHED"),"")</f>
        <v/>
      </c>
    </row>
    <row r="298" ht="15" customHeight="1" s="410">
      <c r="P298" s="74">
        <f>IF(TRIM(B298)&lt;&gt;"",IFERROR(INDEX(DescMap_Label,MATCH(TRIM(B298),DescMap_Description,0)),"UNMATCHED"),"")</f>
        <v/>
      </c>
    </row>
    <row r="299" ht="15" customHeight="1" s="410">
      <c r="P299" s="74">
        <f>IF(TRIM(B299)&lt;&gt;"",IFERROR(INDEX(DescMap_Label,MATCH(TRIM(B299),DescMap_Description,0)),"UNMATCHED"),"")</f>
        <v/>
      </c>
    </row>
    <row r="300" ht="15" customHeight="1" s="410">
      <c r="P300" s="74">
        <f>IF(TRIM(B300)&lt;&gt;"",IFERROR(INDEX(DescMap_Label,MATCH(TRIM(B300),DescMap_Description,0)),"UNMATCHED"),"")</f>
        <v/>
      </c>
    </row>
    <row r="301" ht="15" customHeight="1" s="410">
      <c r="P301" s="74">
        <f>IF(TRIM(B301)&lt;&gt;"",IFERROR(INDEX(DescMap_Label,MATCH(TRIM(B301),DescMap_Description,0)),"UNMATCHED"),"")</f>
        <v/>
      </c>
    </row>
    <row r="302" ht="15" customHeight="1" s="410">
      <c r="P302" s="74">
        <f>IF(TRIM(B302)&lt;&gt;"",IFERROR(INDEX(DescMap_Label,MATCH(TRIM(B302),DescMap_Description,0)),"UNMATCHED"),"")</f>
        <v/>
      </c>
    </row>
    <row r="303" ht="15" customHeight="1" s="410">
      <c r="P303" s="74">
        <f>IF(TRIM(B303)&lt;&gt;"",IFERROR(INDEX(DescMap_Label,MATCH(TRIM(B303),DescMap_Description,0)),"UNMATCHED"),"")</f>
        <v/>
      </c>
    </row>
    <row r="304" ht="15" customHeight="1" s="410">
      <c r="P304" s="74">
        <f>IF(TRIM(B304)&lt;&gt;"",IFERROR(INDEX(DescMap_Label,MATCH(TRIM(B304),DescMap_Description,0)),"UNMATCHED"),"")</f>
        <v/>
      </c>
    </row>
    <row r="305" ht="15" customHeight="1" s="410">
      <c r="P305" s="74">
        <f>IF(TRIM(B305)&lt;&gt;"",IFERROR(INDEX(DescMap_Label,MATCH(TRIM(B305),DescMap_Description,0)),"UNMATCHED"),"")</f>
        <v/>
      </c>
    </row>
    <row r="306" ht="15" customHeight="1" s="410">
      <c r="P306" s="74">
        <f>IF(TRIM(B306)&lt;&gt;"",IFERROR(INDEX(DescMap_Label,MATCH(TRIM(B306),DescMap_Description,0)),"UNMATCHED"),"")</f>
        <v/>
      </c>
    </row>
    <row r="307" ht="15" customHeight="1" s="410">
      <c r="P307" s="74">
        <f>IF(TRIM(B307)&lt;&gt;"",IFERROR(INDEX(DescMap_Label,MATCH(TRIM(B307),DescMap_Description,0)),"UNMATCHED"),"")</f>
        <v/>
      </c>
    </row>
    <row r="308" ht="15" customHeight="1" s="410">
      <c r="P308" s="74">
        <f>IF(TRIM(B308)&lt;&gt;"",IFERROR(INDEX(DescMap_Label,MATCH(TRIM(B308),DescMap_Description,0)),"UNMATCHED"),"")</f>
        <v/>
      </c>
    </row>
    <row r="309" ht="15" customHeight="1" s="410">
      <c r="P309" s="74">
        <f>IF(TRIM(B309)&lt;&gt;"",IFERROR(INDEX(DescMap_Label,MATCH(TRIM(B309),DescMap_Description,0)),"UNMATCHED"),"")</f>
        <v/>
      </c>
    </row>
    <row r="310" ht="15" customHeight="1" s="410">
      <c r="P310" s="74">
        <f>IF(TRIM(B310)&lt;&gt;"",IFERROR(INDEX(DescMap_Label,MATCH(TRIM(B310),DescMap_Description,0)),"UNMATCHED"),"")</f>
        <v/>
      </c>
    </row>
    <row r="311" ht="15" customHeight="1" s="410">
      <c r="P311" s="74">
        <f>IF(TRIM(B311)&lt;&gt;"",IFERROR(INDEX(DescMap_Label,MATCH(TRIM(B311),DescMap_Description,0)),"UNMATCHED"),"")</f>
        <v/>
      </c>
    </row>
    <row r="312" ht="15" customHeight="1" s="410">
      <c r="P312" s="74">
        <f>IF(TRIM(B312)&lt;&gt;"",IFERROR(INDEX(DescMap_Label,MATCH(TRIM(B312),DescMap_Description,0)),"UNMATCHED"),"")</f>
        <v/>
      </c>
    </row>
    <row r="313" ht="15" customHeight="1" s="410">
      <c r="P313" s="74">
        <f>IF(TRIM(B313)&lt;&gt;"",IFERROR(INDEX(DescMap_Label,MATCH(TRIM(B313),DescMap_Description,0)),"UNMATCHED"),"")</f>
        <v/>
      </c>
    </row>
    <row r="314" ht="15" customHeight="1" s="410">
      <c r="P314" s="74">
        <f>IF(TRIM(B314)&lt;&gt;"",IFERROR(INDEX(DescMap_Label,MATCH(TRIM(B314),DescMap_Description,0)),"UNMATCHED"),"")</f>
        <v/>
      </c>
    </row>
    <row r="315" ht="15" customHeight="1" s="410">
      <c r="P315" s="74">
        <f>IF(TRIM(B315)&lt;&gt;"",IFERROR(INDEX(DescMap_Label,MATCH(TRIM(B315),DescMap_Description,0)),"UNMATCHED"),"")</f>
        <v/>
      </c>
    </row>
    <row r="316" ht="15" customHeight="1" s="410">
      <c r="P316" s="74">
        <f>IF(TRIM(B316)&lt;&gt;"",IFERROR(INDEX(DescMap_Label,MATCH(TRIM(B316),DescMap_Description,0)),"UNMATCHED"),"")</f>
        <v/>
      </c>
    </row>
    <row r="317" ht="15" customHeight="1" s="410">
      <c r="P317" s="74">
        <f>IF(TRIM(B317)&lt;&gt;"",IFERROR(INDEX(DescMap_Label,MATCH(TRIM(B317),DescMap_Description,0)),"UNMATCHED"),"")</f>
        <v/>
      </c>
    </row>
    <row r="318" ht="15" customHeight="1" s="410">
      <c r="P318" s="74">
        <f>IF(TRIM(B318)&lt;&gt;"",IFERROR(INDEX(DescMap_Label,MATCH(TRIM(B318),DescMap_Description,0)),"UNMATCHED"),"")</f>
        <v/>
      </c>
    </row>
    <row r="319" ht="15" customHeight="1" s="410">
      <c r="P319" s="74">
        <f>IF(TRIM(B319)&lt;&gt;"",IFERROR(INDEX(DescMap_Label,MATCH(TRIM(B319),DescMap_Description,0)),"UNMATCHED"),"")</f>
        <v/>
      </c>
    </row>
    <row r="320" ht="15" customHeight="1" s="410">
      <c r="P320" s="74">
        <f>IF(TRIM(B320)&lt;&gt;"",IFERROR(INDEX(DescMap_Label,MATCH(TRIM(B320),DescMap_Description,0)),"UNMATCHED"),"")</f>
        <v/>
      </c>
    </row>
    <row r="321" ht="15" customHeight="1" s="410">
      <c r="P321" s="74">
        <f>IF(TRIM(B321)&lt;&gt;"",IFERROR(INDEX(DescMap_Label,MATCH(TRIM(B321),DescMap_Description,0)),"UNMATCHED"),"")</f>
        <v/>
      </c>
    </row>
    <row r="322" ht="15" customHeight="1" s="410">
      <c r="P322" s="74">
        <f>IF(TRIM(B322)&lt;&gt;"",IFERROR(INDEX(DescMap_Label,MATCH(TRIM(B322),DescMap_Description,0)),"UNMATCHED"),"")</f>
        <v/>
      </c>
    </row>
    <row r="323" ht="15" customHeight="1" s="410">
      <c r="P323" s="74">
        <f>IF(TRIM(B323)&lt;&gt;"",IFERROR(INDEX(DescMap_Label,MATCH(TRIM(B323),DescMap_Description,0)),"UNMATCHED"),"")</f>
        <v/>
      </c>
    </row>
    <row r="324" ht="15" customHeight="1" s="410">
      <c r="P324" s="74">
        <f>IF(TRIM(B324)&lt;&gt;"",IFERROR(INDEX(DescMap_Label,MATCH(TRIM(B324),DescMap_Description,0)),"UNMATCHED"),"")</f>
        <v/>
      </c>
    </row>
    <row r="325" ht="15" customHeight="1" s="410">
      <c r="P325" s="74">
        <f>IF(TRIM(B325)&lt;&gt;"",IFERROR(INDEX(DescMap_Label,MATCH(TRIM(B325),DescMap_Description,0)),"UNMATCHED"),"")</f>
        <v/>
      </c>
    </row>
    <row r="326" ht="15" customHeight="1" s="410">
      <c r="P326" s="74">
        <f>IF(TRIM(B326)&lt;&gt;"",IFERROR(INDEX(DescMap_Label,MATCH(TRIM(B326),DescMap_Description,0)),"UNMATCHED"),"")</f>
        <v/>
      </c>
    </row>
    <row r="327" ht="15" customHeight="1" s="410">
      <c r="P327" s="74">
        <f>IF(TRIM(B327)&lt;&gt;"",IFERROR(INDEX(DescMap_Label,MATCH(TRIM(B327),DescMap_Description,0)),"UNMATCHED"),"")</f>
        <v/>
      </c>
    </row>
    <row r="328" ht="15" customHeight="1" s="410">
      <c r="P328" s="74">
        <f>IF(TRIM(B328)&lt;&gt;"",IFERROR(INDEX(DescMap_Label,MATCH(TRIM(B328),DescMap_Description,0)),"UNMATCHED"),"")</f>
        <v/>
      </c>
    </row>
    <row r="329" ht="15" customHeight="1" s="410">
      <c r="P329" s="74">
        <f>IF(TRIM(B329)&lt;&gt;"",IFERROR(INDEX(DescMap_Label,MATCH(TRIM(B329),DescMap_Description,0)),"UNMATCHED"),"")</f>
        <v/>
      </c>
    </row>
    <row r="330" ht="15" customHeight="1" s="410">
      <c r="P330" s="74">
        <f>IF(TRIM(B330)&lt;&gt;"",IFERROR(INDEX(DescMap_Label,MATCH(TRIM(B330),DescMap_Description,0)),"UNMATCHED"),"")</f>
        <v/>
      </c>
    </row>
    <row r="331" ht="15" customHeight="1" s="410">
      <c r="P331" s="74">
        <f>IF(TRIM(B331)&lt;&gt;"",IFERROR(INDEX(DescMap_Label,MATCH(TRIM(B331),DescMap_Description,0)),"UNMATCHED"),"")</f>
        <v/>
      </c>
    </row>
    <row r="332" ht="15" customHeight="1" s="410">
      <c r="P332" s="74">
        <f>IF(TRIM(B332)&lt;&gt;"",IFERROR(INDEX(DescMap_Label,MATCH(TRIM(B332),DescMap_Description,0)),"UNMATCHED"),"")</f>
        <v/>
      </c>
    </row>
    <row r="333" ht="15" customHeight="1" s="410">
      <c r="P333" s="74">
        <f>IF(TRIM(B333)&lt;&gt;"",IFERROR(INDEX(DescMap_Label,MATCH(TRIM(B333),DescMap_Description,0)),"UNMATCHED"),"")</f>
        <v/>
      </c>
    </row>
    <row r="334" ht="15" customHeight="1" s="410">
      <c r="P334" s="74">
        <f>IF(TRIM(B334)&lt;&gt;"",IFERROR(INDEX(DescMap_Label,MATCH(TRIM(B334),DescMap_Description,0)),"UNMATCHED"),"")</f>
        <v/>
      </c>
    </row>
    <row r="335" ht="15" customHeight="1" s="410">
      <c r="P335" s="74">
        <f>IF(TRIM(B335)&lt;&gt;"",IFERROR(INDEX(DescMap_Label,MATCH(TRIM(B335),DescMap_Description,0)),"UNMATCHED"),"")</f>
        <v/>
      </c>
    </row>
    <row r="336" ht="15" customHeight="1" s="410">
      <c r="P336" s="74">
        <f>IF(TRIM(B336)&lt;&gt;"",IFERROR(INDEX(DescMap_Label,MATCH(TRIM(B336),DescMap_Description,0)),"UNMATCHED"),"")</f>
        <v/>
      </c>
    </row>
    <row r="337" ht="15" customHeight="1" s="410">
      <c r="P337" s="74">
        <f>IF(TRIM(B337)&lt;&gt;"",IFERROR(INDEX(DescMap_Label,MATCH(TRIM(B337),DescMap_Description,0)),"UNMATCHED"),"")</f>
        <v/>
      </c>
    </row>
    <row r="338" ht="15" customHeight="1" s="410">
      <c r="P338" s="74">
        <f>IF(TRIM(B338)&lt;&gt;"",IFERROR(INDEX(DescMap_Label,MATCH(TRIM(B338),DescMap_Description,0)),"UNMATCHED"),"")</f>
        <v/>
      </c>
    </row>
    <row r="339" ht="15" customHeight="1" s="410">
      <c r="P339" s="74">
        <f>IF(TRIM(B339)&lt;&gt;"",IFERROR(INDEX(DescMap_Label,MATCH(TRIM(B339),DescMap_Description,0)),"UNMATCHED"),"")</f>
        <v/>
      </c>
    </row>
    <row r="340" ht="15" customHeight="1" s="410">
      <c r="P340" s="74">
        <f>IF(TRIM(B340)&lt;&gt;"",IFERROR(INDEX(DescMap_Label,MATCH(TRIM(B340),DescMap_Description,0)),"UNMATCHED"),"")</f>
        <v/>
      </c>
    </row>
    <row r="341" ht="15" customHeight="1" s="410">
      <c r="P341" s="74">
        <f>IF(TRIM(B341)&lt;&gt;"",IFERROR(INDEX(DescMap_Label,MATCH(TRIM(B341),DescMap_Description,0)),"UNMATCHED"),"")</f>
        <v/>
      </c>
    </row>
    <row r="342" ht="15" customHeight="1" s="410">
      <c r="P342" s="74">
        <f>IF(TRIM(B342)&lt;&gt;"",IFERROR(INDEX(DescMap_Label,MATCH(TRIM(B342),DescMap_Description,0)),"UNMATCHED"),"")</f>
        <v/>
      </c>
    </row>
    <row r="343" ht="15" customHeight="1" s="410">
      <c r="P343" s="74">
        <f>IF(TRIM(B343)&lt;&gt;"",IFERROR(INDEX(DescMap_Label,MATCH(TRIM(B343),DescMap_Description,0)),"UNMATCHED"),"")</f>
        <v/>
      </c>
    </row>
    <row r="344" ht="15" customHeight="1" s="410">
      <c r="P344" s="74">
        <f>IF(TRIM(B344)&lt;&gt;"",IFERROR(INDEX(DescMap_Label,MATCH(TRIM(B344),DescMap_Description,0)),"UNMATCHED"),"")</f>
        <v/>
      </c>
    </row>
    <row r="345" ht="15" customHeight="1" s="410">
      <c r="P345" s="74">
        <f>IF(TRIM(B345)&lt;&gt;"",IFERROR(INDEX(DescMap_Label,MATCH(TRIM(B345),DescMap_Description,0)),"UNMATCHED"),"")</f>
        <v/>
      </c>
    </row>
    <row r="346" ht="15" customHeight="1" s="410">
      <c r="P346" s="74">
        <f>IF(TRIM(B346)&lt;&gt;"",IFERROR(INDEX(DescMap_Label,MATCH(TRIM(B346),DescMap_Description,0)),"UNMATCHED"),"")</f>
        <v/>
      </c>
    </row>
    <row r="347" ht="15" customHeight="1" s="410">
      <c r="P347" s="74">
        <f>IF(TRIM(B347)&lt;&gt;"",IFERROR(INDEX(DescMap_Label,MATCH(TRIM(B347),DescMap_Description,0)),"UNMATCHED"),"")</f>
        <v/>
      </c>
    </row>
    <row r="348" ht="15" customHeight="1" s="410">
      <c r="P348" s="74">
        <f>IF(TRIM(B348)&lt;&gt;"",IFERROR(INDEX(DescMap_Label,MATCH(TRIM(B348),DescMap_Description,0)),"UNMATCHED"),"")</f>
        <v/>
      </c>
    </row>
    <row r="349" ht="15" customHeight="1" s="410">
      <c r="P349" s="74">
        <f>IF(TRIM(B349)&lt;&gt;"",IFERROR(INDEX(DescMap_Label,MATCH(TRIM(B349),DescMap_Description,0)),"UNMATCHED"),"")</f>
        <v/>
      </c>
    </row>
    <row r="350" ht="15" customHeight="1" s="410">
      <c r="P350" s="74">
        <f>IF(TRIM(B350)&lt;&gt;"",IFERROR(INDEX(DescMap_Label,MATCH(TRIM(B350),DescMap_Description,0)),"UNMATCHED"),"")</f>
        <v/>
      </c>
    </row>
    <row r="351" ht="15" customHeight="1" s="410">
      <c r="P351" s="74">
        <f>IF(TRIM(B351)&lt;&gt;"",IFERROR(INDEX(DescMap_Label,MATCH(TRIM(B351),DescMap_Description,0)),"UNMATCHED"),"")</f>
        <v/>
      </c>
    </row>
    <row r="352" ht="15" customHeight="1" s="410">
      <c r="P352" s="74">
        <f>IF(TRIM(B352)&lt;&gt;"",IFERROR(INDEX(DescMap_Label,MATCH(TRIM(B352),DescMap_Description,0)),"UNMATCHED"),"")</f>
        <v/>
      </c>
    </row>
    <row r="353" ht="15" customHeight="1" s="410">
      <c r="P353" s="74">
        <f>IF(TRIM(B353)&lt;&gt;"",IFERROR(INDEX(DescMap_Label,MATCH(TRIM(B353),DescMap_Description,0)),"UNMATCHED"),"")</f>
        <v/>
      </c>
    </row>
    <row r="354" ht="15" customHeight="1" s="410">
      <c r="P354" s="74">
        <f>IF(TRIM(B354)&lt;&gt;"",IFERROR(INDEX(DescMap_Label,MATCH(TRIM(B354),DescMap_Description,0)),"UNMATCHED"),"")</f>
        <v/>
      </c>
    </row>
    <row r="355" ht="15" customHeight="1" s="410">
      <c r="P355" s="74">
        <f>IF(TRIM(B355)&lt;&gt;"",IFERROR(INDEX(DescMap_Label,MATCH(TRIM(B355),DescMap_Description,0)),"UNMATCHED"),"")</f>
        <v/>
      </c>
    </row>
    <row r="356" ht="15" customHeight="1" s="410">
      <c r="P356" s="74">
        <f>IF(TRIM(B356)&lt;&gt;"",IFERROR(INDEX(DescMap_Label,MATCH(TRIM(B356),DescMap_Description,0)),"UNMATCHED"),"")</f>
        <v/>
      </c>
    </row>
    <row r="357" ht="15" customHeight="1" s="410">
      <c r="P357" s="74">
        <f>IF(TRIM(B357)&lt;&gt;"",IFERROR(INDEX(DescMap_Label,MATCH(TRIM(B357),DescMap_Description,0)),"UNMATCHED"),"")</f>
        <v/>
      </c>
    </row>
    <row r="358" ht="15" customHeight="1" s="410">
      <c r="P358" s="74">
        <f>IF(TRIM(B358)&lt;&gt;"",IFERROR(INDEX(DescMap_Label,MATCH(TRIM(B358),DescMap_Description,0)),"UNMATCHED"),"")</f>
        <v/>
      </c>
    </row>
    <row r="359" ht="15" customHeight="1" s="410">
      <c r="P359" s="74">
        <f>IF(TRIM(B359)&lt;&gt;"",IFERROR(INDEX(DescMap_Label,MATCH(TRIM(B359),DescMap_Description,0)),"UNMATCHED"),"")</f>
        <v/>
      </c>
    </row>
    <row r="360" ht="15" customHeight="1" s="410">
      <c r="P360" s="74">
        <f>IF(TRIM(B360)&lt;&gt;"",IFERROR(INDEX(DescMap_Label,MATCH(TRIM(B360),DescMap_Description,0)),"UNMATCHED"),"")</f>
        <v/>
      </c>
    </row>
    <row r="361" ht="15" customHeight="1" s="410">
      <c r="P361" s="74">
        <f>IF(TRIM(B361)&lt;&gt;"",IFERROR(INDEX(DescMap_Label,MATCH(TRIM(B361),DescMap_Description,0)),"UNMATCHED"),"")</f>
        <v/>
      </c>
    </row>
    <row r="362" ht="15" customHeight="1" s="410">
      <c r="P362" s="74">
        <f>IF(TRIM(B362)&lt;&gt;"",IFERROR(INDEX(DescMap_Label,MATCH(TRIM(B362),DescMap_Description,0)),"UNMATCHED"),"")</f>
        <v/>
      </c>
    </row>
    <row r="363" ht="15" customHeight="1" s="410">
      <c r="P363" s="74">
        <f>IF(TRIM(B363)&lt;&gt;"",IFERROR(INDEX(DescMap_Label,MATCH(TRIM(B363),DescMap_Description,0)),"UNMATCHED"),"")</f>
        <v/>
      </c>
    </row>
    <row r="364" ht="15" customHeight="1" s="410">
      <c r="P364" s="74">
        <f>IF(TRIM(B364)&lt;&gt;"",IFERROR(INDEX(DescMap_Label,MATCH(TRIM(B364),DescMap_Description,0)),"UNMATCHED"),"")</f>
        <v/>
      </c>
    </row>
    <row r="365" ht="15" customHeight="1" s="410">
      <c r="P365" s="74">
        <f>IF(TRIM(B365)&lt;&gt;"",IFERROR(INDEX(DescMap_Label,MATCH(TRIM(B365),DescMap_Description,0)),"UNMATCHED"),"")</f>
        <v/>
      </c>
    </row>
    <row r="366" ht="15" customHeight="1" s="410">
      <c r="P366" s="74">
        <f>IF(TRIM(B366)&lt;&gt;"",IFERROR(INDEX(DescMap_Label,MATCH(TRIM(B366),DescMap_Description,0)),"UNMATCHED"),"")</f>
        <v/>
      </c>
    </row>
    <row r="367" ht="15" customHeight="1" s="410">
      <c r="P367" s="74">
        <f>IF(TRIM(B367)&lt;&gt;"",IFERROR(INDEX(DescMap_Label,MATCH(TRIM(B367),DescMap_Description,0)),"UNMATCHED"),"")</f>
        <v/>
      </c>
    </row>
    <row r="368" ht="15" customHeight="1" s="410">
      <c r="P368" s="74">
        <f>IF(TRIM(B368)&lt;&gt;"",IFERROR(INDEX(DescMap_Label,MATCH(TRIM(B368),DescMap_Description,0)),"UNMATCHED"),"")</f>
        <v/>
      </c>
    </row>
    <row r="369" ht="15" customHeight="1" s="410">
      <c r="P369" s="74">
        <f>IF(TRIM(B369)&lt;&gt;"",IFERROR(INDEX(DescMap_Label,MATCH(TRIM(B369),DescMap_Description,0)),"UNMATCHED"),"")</f>
        <v/>
      </c>
    </row>
    <row r="370" ht="15" customHeight="1" s="410">
      <c r="P370" s="74">
        <f>IF(TRIM(B370)&lt;&gt;"",IFERROR(INDEX(DescMap_Label,MATCH(TRIM(B370),DescMap_Description,0)),"UNMATCHED"),"")</f>
        <v/>
      </c>
    </row>
    <row r="371" ht="15" customHeight="1" s="410">
      <c r="P371" s="74">
        <f>IF(TRIM(B371)&lt;&gt;"",IFERROR(INDEX(DescMap_Label,MATCH(TRIM(B371),DescMap_Description,0)),"UNMATCHED"),"")</f>
        <v/>
      </c>
    </row>
    <row r="372" ht="15" customHeight="1" s="410">
      <c r="P372" s="74">
        <f>IF(TRIM(B372)&lt;&gt;"",IFERROR(INDEX(DescMap_Label,MATCH(TRIM(B372),DescMap_Description,0)),"UNMATCHED"),"")</f>
        <v/>
      </c>
    </row>
    <row r="373" ht="15" customHeight="1" s="410">
      <c r="P373" s="74">
        <f>IF(TRIM(B373)&lt;&gt;"",IFERROR(INDEX(DescMap_Label,MATCH(TRIM(B373),DescMap_Description,0)),"UNMATCHED"),"")</f>
        <v/>
      </c>
    </row>
    <row r="374" ht="15" customHeight="1" s="410">
      <c r="P374" s="74">
        <f>IF(TRIM(B374)&lt;&gt;"",IFERROR(INDEX(DescMap_Label,MATCH(TRIM(B374),DescMap_Description,0)),"UNMATCHED"),"")</f>
        <v/>
      </c>
    </row>
    <row r="375" ht="15" customHeight="1" s="410">
      <c r="P375" s="74">
        <f>IF(TRIM(B375)&lt;&gt;"",IFERROR(INDEX(DescMap_Label,MATCH(TRIM(B375),DescMap_Description,0)),"UNMATCHED"),"")</f>
        <v/>
      </c>
    </row>
    <row r="376" ht="15" customHeight="1" s="410">
      <c r="P376" s="74">
        <f>IF(TRIM(B376)&lt;&gt;"",IFERROR(INDEX(DescMap_Label,MATCH(TRIM(B376),DescMap_Description,0)),"UNMATCHED"),"")</f>
        <v/>
      </c>
    </row>
    <row r="377" ht="15" customHeight="1" s="410">
      <c r="P377" s="74">
        <f>IF(TRIM(B377)&lt;&gt;"",IFERROR(INDEX(DescMap_Label,MATCH(TRIM(B377),DescMap_Description,0)),"UNMATCHED"),"")</f>
        <v/>
      </c>
    </row>
    <row r="378" ht="15" customHeight="1" s="410">
      <c r="P378" s="74">
        <f>IF(TRIM(B378)&lt;&gt;"",IFERROR(INDEX(DescMap_Label,MATCH(TRIM(B378),DescMap_Description,0)),"UNMATCHED"),"")</f>
        <v/>
      </c>
    </row>
    <row r="379" ht="15" customHeight="1" s="410">
      <c r="P379" s="74">
        <f>IF(TRIM(B379)&lt;&gt;"",IFERROR(INDEX(DescMap_Label,MATCH(TRIM(B379),DescMap_Description,0)),"UNMATCHED"),"")</f>
        <v/>
      </c>
    </row>
    <row r="380" ht="15" customHeight="1" s="410">
      <c r="P380" s="74">
        <f>IF(TRIM(B380)&lt;&gt;"",IFERROR(INDEX(DescMap_Label,MATCH(TRIM(B380),DescMap_Description,0)),"UNMATCHED"),"")</f>
        <v/>
      </c>
    </row>
    <row r="381" ht="15" customHeight="1" s="410">
      <c r="P381" s="74">
        <f>IF(TRIM(B381)&lt;&gt;"",IFERROR(INDEX(DescMap_Label,MATCH(TRIM(B381),DescMap_Description,0)),"UNMATCHED"),"")</f>
        <v/>
      </c>
    </row>
    <row r="382" ht="15" customHeight="1" s="410">
      <c r="P382" s="74">
        <f>IF(TRIM(B382)&lt;&gt;"",IFERROR(INDEX(DescMap_Label,MATCH(TRIM(B382),DescMap_Description,0)),"UNMATCHED"),"")</f>
        <v/>
      </c>
    </row>
    <row r="383" ht="15" customHeight="1" s="410">
      <c r="P383" s="74">
        <f>IF(TRIM(B383)&lt;&gt;"",IFERROR(INDEX(DescMap_Label,MATCH(TRIM(B383),DescMap_Description,0)),"UNMATCHED"),"")</f>
        <v/>
      </c>
    </row>
    <row r="384" ht="15" customHeight="1" s="410">
      <c r="P384" s="74">
        <f>IF(TRIM(B384)&lt;&gt;"",IFERROR(INDEX(DescMap_Label,MATCH(TRIM(B384),DescMap_Description,0)),"UNMATCHED"),"")</f>
        <v/>
      </c>
    </row>
    <row r="385" ht="15" customHeight="1" s="410">
      <c r="P385" s="74">
        <f>IF(TRIM(B385)&lt;&gt;"",IFERROR(INDEX(DescMap_Label,MATCH(TRIM(B385),DescMap_Description,0)),"UNMATCHED"),"")</f>
        <v/>
      </c>
    </row>
    <row r="386" ht="15" customHeight="1" s="410">
      <c r="P386" s="74">
        <f>IF(TRIM(B386)&lt;&gt;"",IFERROR(INDEX(DescMap_Label,MATCH(TRIM(B386),DescMap_Description,0)),"UNMATCHED"),"")</f>
        <v/>
      </c>
    </row>
    <row r="387" ht="15" customHeight="1" s="410">
      <c r="P387" s="74">
        <f>IF(TRIM(B387)&lt;&gt;"",IFERROR(INDEX(DescMap_Label,MATCH(TRIM(B387),DescMap_Description,0)),"UNMATCHED"),"")</f>
        <v/>
      </c>
    </row>
    <row r="388" ht="15" customHeight="1" s="410">
      <c r="P388" s="74">
        <f>IF(TRIM(B388)&lt;&gt;"",IFERROR(INDEX(DescMap_Label,MATCH(TRIM(B388),DescMap_Description,0)),"UNMATCHED"),"")</f>
        <v/>
      </c>
    </row>
    <row r="389" ht="15" customHeight="1" s="410">
      <c r="P389" s="74">
        <f>IF(TRIM(B389)&lt;&gt;"",IFERROR(INDEX(DescMap_Label,MATCH(TRIM(B389),DescMap_Description,0)),"UNMATCHED"),"")</f>
        <v/>
      </c>
    </row>
    <row r="390" ht="15" customHeight="1" s="410">
      <c r="P390" s="74">
        <f>IF(TRIM(B390)&lt;&gt;"",IFERROR(INDEX(DescMap_Label,MATCH(TRIM(B390),DescMap_Description,0)),"UNMATCHED"),"")</f>
        <v/>
      </c>
    </row>
    <row r="391" ht="15" customHeight="1" s="410">
      <c r="P391" s="74">
        <f>IF(TRIM(B391)&lt;&gt;"",IFERROR(INDEX(DescMap_Label,MATCH(TRIM(B391),DescMap_Description,0)),"UNMATCHED"),"")</f>
        <v/>
      </c>
    </row>
    <row r="392" ht="15" customHeight="1" s="410">
      <c r="P392" s="74">
        <f>IF(TRIM(B392)&lt;&gt;"",IFERROR(INDEX(DescMap_Label,MATCH(TRIM(B392),DescMap_Description,0)),"UNMATCHED"),"")</f>
        <v/>
      </c>
    </row>
    <row r="393" ht="15" customHeight="1" s="410">
      <c r="P393" s="74">
        <f>IF(TRIM(B393)&lt;&gt;"",IFERROR(INDEX(DescMap_Label,MATCH(TRIM(B393),DescMap_Description,0)),"UNMATCHED"),"")</f>
        <v/>
      </c>
    </row>
    <row r="394" ht="15" customHeight="1" s="410">
      <c r="P394" s="74">
        <f>IF(TRIM(B394)&lt;&gt;"",IFERROR(INDEX(DescMap_Label,MATCH(TRIM(B394),DescMap_Description,0)),"UNMATCHED"),"")</f>
        <v/>
      </c>
    </row>
    <row r="395" ht="15" customHeight="1" s="410">
      <c r="P395" s="74">
        <f>IF(TRIM(B395)&lt;&gt;"",IFERROR(INDEX(DescMap_Label,MATCH(TRIM(B395),DescMap_Description,0)),"UNMATCHED"),"")</f>
        <v/>
      </c>
    </row>
    <row r="396" ht="15" customHeight="1" s="410">
      <c r="P396" s="74">
        <f>IF(TRIM(B396)&lt;&gt;"",IFERROR(INDEX(DescMap_Label,MATCH(TRIM(B396),DescMap_Description,0)),"UNMATCHED"),"")</f>
        <v/>
      </c>
    </row>
    <row r="397" ht="15" customHeight="1" s="410">
      <c r="P397" s="74">
        <f>IF(TRIM(B397)&lt;&gt;"",IFERROR(INDEX(DescMap_Label,MATCH(TRIM(B397),DescMap_Description,0)),"UNMATCHED"),"")</f>
        <v/>
      </c>
    </row>
    <row r="398" ht="15" customHeight="1" s="410">
      <c r="P398" s="74">
        <f>IF(TRIM(B398)&lt;&gt;"",IFERROR(INDEX(DescMap_Label,MATCH(TRIM(B398),DescMap_Description,0)),"UNMATCHED"),"")</f>
        <v/>
      </c>
    </row>
    <row r="399" ht="15" customHeight="1" s="410">
      <c r="P399" s="74">
        <f>IF(TRIM(B399)&lt;&gt;"",IFERROR(INDEX(DescMap_Label,MATCH(TRIM(B399),DescMap_Description,0)),"UNMATCHED"),"")</f>
        <v/>
      </c>
    </row>
    <row r="400" ht="15" customHeight="1" s="410">
      <c r="P400" s="74">
        <f>IF(TRIM(B400)&lt;&gt;"",IFERROR(INDEX(DescMap_Label,MATCH(TRIM(B400),DescMap_Description,0)),"UNMATCHED"),"")</f>
        <v/>
      </c>
    </row>
    <row r="401" ht="15" customHeight="1" s="410">
      <c r="P401" s="74">
        <f>IF(TRIM(B401)&lt;&gt;"",IFERROR(INDEX(DescMap_Label,MATCH(TRIM(B401),DescMap_Description,0)),"UNMATCHED"),"")</f>
        <v/>
      </c>
    </row>
    <row r="402" ht="15" customHeight="1" s="410">
      <c r="P402" s="74">
        <f>IF(TRIM(B402)&lt;&gt;"",IFERROR(INDEX(DescMap_Label,MATCH(TRIM(B402),DescMap_Description,0)),"UNMATCHED"),"")</f>
        <v/>
      </c>
    </row>
    <row r="403" ht="15" customHeight="1" s="410">
      <c r="P403" s="74">
        <f>IF(TRIM(B403)&lt;&gt;"",IFERROR(INDEX(DescMap_Label,MATCH(TRIM(B403),DescMap_Description,0)),"UNMATCHED"),"")</f>
        <v/>
      </c>
    </row>
    <row r="404" ht="15" customHeight="1" s="410">
      <c r="P404" s="74">
        <f>IF(TRIM(B404)&lt;&gt;"",IFERROR(INDEX(DescMap_Label,MATCH(TRIM(B404),DescMap_Description,0)),"UNMATCHED"),"")</f>
        <v/>
      </c>
    </row>
    <row r="405" ht="15" customHeight="1" s="410">
      <c r="P405" s="74">
        <f>IF(TRIM(B405)&lt;&gt;"",IFERROR(INDEX(DescMap_Label,MATCH(TRIM(B405),DescMap_Description,0)),"UNMATCHED"),"")</f>
        <v/>
      </c>
    </row>
    <row r="406" ht="15" customHeight="1" s="410">
      <c r="P406" s="74">
        <f>IF(TRIM(B406)&lt;&gt;"",IFERROR(INDEX(DescMap_Label,MATCH(TRIM(B406),DescMap_Description,0)),"UNMATCHED"),"")</f>
        <v/>
      </c>
    </row>
    <row r="407" ht="15" customHeight="1" s="410">
      <c r="P407" s="74">
        <f>IF(TRIM(B407)&lt;&gt;"",IFERROR(INDEX(DescMap_Label,MATCH(TRIM(B407),DescMap_Description,0)),"UNMATCHED"),"")</f>
        <v/>
      </c>
    </row>
    <row r="408" ht="15" customHeight="1" s="410">
      <c r="P408" s="74">
        <f>IF(TRIM(B408)&lt;&gt;"",IFERROR(INDEX(DescMap_Label,MATCH(TRIM(B408),DescMap_Description,0)),"UNMATCHED"),"")</f>
        <v/>
      </c>
    </row>
    <row r="409" ht="15" customHeight="1" s="410">
      <c r="P409" s="74">
        <f>IF(TRIM(B409)&lt;&gt;"",IFERROR(INDEX(DescMap_Label,MATCH(TRIM(B409),DescMap_Description,0)),"UNMATCHED"),"")</f>
        <v/>
      </c>
    </row>
    <row r="410" ht="15" customHeight="1" s="410">
      <c r="P410" s="74">
        <f>IF(TRIM(B410)&lt;&gt;"",IFERROR(INDEX(DescMap_Label,MATCH(TRIM(B410),DescMap_Description,0)),"UNMATCHED"),"")</f>
        <v/>
      </c>
    </row>
    <row r="411" ht="15" customHeight="1" s="410">
      <c r="P411" s="74">
        <f>IF(TRIM(B411)&lt;&gt;"",IFERROR(INDEX(DescMap_Label,MATCH(TRIM(B411),DescMap_Description,0)),"UNMATCHED"),"")</f>
        <v/>
      </c>
    </row>
    <row r="412" ht="15" customHeight="1" s="410">
      <c r="P412" s="74">
        <f>IF(TRIM(B412)&lt;&gt;"",IFERROR(INDEX(DescMap_Label,MATCH(TRIM(B412),DescMap_Description,0)),"UNMATCHED"),"")</f>
        <v/>
      </c>
    </row>
    <row r="413" ht="15" customHeight="1" s="410">
      <c r="P413" s="74">
        <f>IF(TRIM(B413)&lt;&gt;"",IFERROR(INDEX(DescMap_Label,MATCH(TRIM(B413),DescMap_Description,0)),"UNMATCHED"),"")</f>
        <v/>
      </c>
    </row>
    <row r="414" ht="15" customHeight="1" s="410">
      <c r="P414" s="74">
        <f>IF(TRIM(B414)&lt;&gt;"",IFERROR(INDEX(DescMap_Label,MATCH(TRIM(B414),DescMap_Description,0)),"UNMATCHED"),"")</f>
        <v/>
      </c>
    </row>
    <row r="415" ht="15" customHeight="1" s="410">
      <c r="P415" s="74">
        <f>IF(TRIM(B415)&lt;&gt;"",IFERROR(INDEX(DescMap_Label,MATCH(TRIM(B415),DescMap_Description,0)),"UNMATCHED"),"")</f>
        <v/>
      </c>
    </row>
    <row r="416" ht="15" customHeight="1" s="410">
      <c r="P416" s="74">
        <f>IF(TRIM(B416)&lt;&gt;"",IFERROR(INDEX(DescMap_Label,MATCH(TRIM(B416),DescMap_Description,0)),"UNMATCHED"),"")</f>
        <v/>
      </c>
    </row>
    <row r="417" ht="15" customHeight="1" s="410">
      <c r="P417" s="74">
        <f>IF(TRIM(B417)&lt;&gt;"",IFERROR(INDEX(DescMap_Label,MATCH(TRIM(B417),DescMap_Description,0)),"UNMATCHED"),"")</f>
        <v/>
      </c>
    </row>
    <row r="418" ht="15" customHeight="1" s="410">
      <c r="P418" s="74">
        <f>IF(TRIM(B418)&lt;&gt;"",IFERROR(INDEX(DescMap_Label,MATCH(TRIM(B418),DescMap_Description,0)),"UNMATCHED"),"")</f>
        <v/>
      </c>
    </row>
    <row r="419" ht="15" customHeight="1" s="410">
      <c r="P419" s="74">
        <f>IF(TRIM(B419)&lt;&gt;"",IFERROR(INDEX(DescMap_Label,MATCH(TRIM(B419),DescMap_Description,0)),"UNMATCHED"),"")</f>
        <v/>
      </c>
    </row>
    <row r="420" ht="15" customHeight="1" s="410">
      <c r="P420" s="74">
        <f>IF(TRIM(B420)&lt;&gt;"",IFERROR(INDEX(DescMap_Label,MATCH(TRIM(B420),DescMap_Description,0)),"UNMATCHED"),"")</f>
        <v/>
      </c>
    </row>
    <row r="421" ht="15" customHeight="1" s="410">
      <c r="P421" s="74">
        <f>IF(TRIM(B421)&lt;&gt;"",IFERROR(INDEX(DescMap_Label,MATCH(TRIM(B421),DescMap_Description,0)),"UNMATCHED"),"")</f>
        <v/>
      </c>
    </row>
    <row r="422" ht="15" customHeight="1" s="410">
      <c r="P422" s="74">
        <f>IF(TRIM(B422)&lt;&gt;"",IFERROR(INDEX(DescMap_Label,MATCH(TRIM(B422),DescMap_Description,0)),"UNMATCHED"),"")</f>
        <v/>
      </c>
    </row>
    <row r="423" ht="15" customHeight="1" s="410">
      <c r="P423" s="74">
        <f>IF(TRIM(B423)&lt;&gt;"",IFERROR(INDEX(DescMap_Label,MATCH(TRIM(B423),DescMap_Description,0)),"UNMATCHED"),"")</f>
        <v/>
      </c>
    </row>
    <row r="424" ht="15" customHeight="1" s="410">
      <c r="P424" s="74">
        <f>IF(TRIM(B424)&lt;&gt;"",IFERROR(INDEX(DescMap_Label,MATCH(TRIM(B424),DescMap_Description,0)),"UNMATCHED"),"")</f>
        <v/>
      </c>
    </row>
    <row r="425" ht="15" customHeight="1" s="410">
      <c r="P425" s="74">
        <f>IF(TRIM(B425)&lt;&gt;"",IFERROR(INDEX(DescMap_Label,MATCH(TRIM(B425),DescMap_Description,0)),"UNMATCHED"),"")</f>
        <v/>
      </c>
    </row>
    <row r="426" ht="15" customHeight="1" s="410">
      <c r="P426" s="74">
        <f>IF(TRIM(B426)&lt;&gt;"",IFERROR(INDEX(DescMap_Label,MATCH(TRIM(B426),DescMap_Description,0)),"UNMATCHED"),"")</f>
        <v/>
      </c>
    </row>
    <row r="427" ht="15" customHeight="1" s="410">
      <c r="P427" s="74">
        <f>IF(TRIM(B427)&lt;&gt;"",IFERROR(INDEX(DescMap_Label,MATCH(TRIM(B427),DescMap_Description,0)),"UNMATCHED"),"")</f>
        <v/>
      </c>
    </row>
    <row r="428" ht="15" customHeight="1" s="410">
      <c r="P428" s="74">
        <f>IF(TRIM(B428)&lt;&gt;"",IFERROR(INDEX(DescMap_Label,MATCH(TRIM(B428),DescMap_Description,0)),"UNMATCHED"),"")</f>
        <v/>
      </c>
    </row>
    <row r="429" ht="15" customHeight="1" s="410">
      <c r="P429" s="74">
        <f>IF(TRIM(B429)&lt;&gt;"",IFERROR(INDEX(DescMap_Label,MATCH(TRIM(B429),DescMap_Description,0)),"UNMATCHED"),"")</f>
        <v/>
      </c>
    </row>
    <row r="430" ht="15" customHeight="1" s="410">
      <c r="P430" s="74">
        <f>IF(TRIM(B430)&lt;&gt;"",IFERROR(INDEX(DescMap_Label,MATCH(TRIM(B430),DescMap_Description,0)),"UNMATCHED"),"")</f>
        <v/>
      </c>
    </row>
    <row r="431" ht="15" customHeight="1" s="410">
      <c r="P431" s="74">
        <f>IF(TRIM(B431)&lt;&gt;"",IFERROR(INDEX(DescMap_Label,MATCH(TRIM(B431),DescMap_Description,0)),"UNMATCHED"),"")</f>
        <v/>
      </c>
    </row>
    <row r="432" ht="15" customHeight="1" s="410">
      <c r="P432" s="74">
        <f>IF(TRIM(B432)&lt;&gt;"",IFERROR(INDEX(DescMap_Label,MATCH(TRIM(B432),DescMap_Description,0)),"UNMATCHED"),"")</f>
        <v/>
      </c>
    </row>
    <row r="433" ht="15" customHeight="1" s="410">
      <c r="P433" s="74">
        <f>IF(TRIM(B433)&lt;&gt;"",IFERROR(INDEX(DescMap_Label,MATCH(TRIM(B433),DescMap_Description,0)),"UNMATCHED"),"")</f>
        <v/>
      </c>
    </row>
    <row r="434" ht="15" customHeight="1" s="410">
      <c r="P434" s="74">
        <f>IF(TRIM(B434)&lt;&gt;"",IFERROR(INDEX(DescMap_Label,MATCH(TRIM(B434),DescMap_Description,0)),"UNMATCHED"),"")</f>
        <v/>
      </c>
    </row>
    <row r="435" ht="15" customHeight="1" s="410">
      <c r="P435" s="74">
        <f>IF(TRIM(B435)&lt;&gt;"",IFERROR(INDEX(DescMap_Label,MATCH(TRIM(B435),DescMap_Description,0)),"UNMATCHED"),"")</f>
        <v/>
      </c>
    </row>
    <row r="436" ht="15" customHeight="1" s="410">
      <c r="P436" s="74">
        <f>IF(TRIM(B436)&lt;&gt;"",IFERROR(INDEX(DescMap_Label,MATCH(TRIM(B436),DescMap_Description,0)),"UNMATCHED"),"")</f>
        <v/>
      </c>
    </row>
    <row r="437" ht="15" customHeight="1" s="410">
      <c r="P437" s="74">
        <f>IF(TRIM(B437)&lt;&gt;"",IFERROR(INDEX(DescMap_Label,MATCH(TRIM(B437),DescMap_Description,0)),"UNMATCHED"),"")</f>
        <v/>
      </c>
    </row>
    <row r="438" ht="15" customHeight="1" s="410">
      <c r="P438" s="74">
        <f>IF(TRIM(B438)&lt;&gt;"",IFERROR(INDEX(DescMap_Label,MATCH(TRIM(B438),DescMap_Description,0)),"UNMATCHED"),"")</f>
        <v/>
      </c>
    </row>
    <row r="439" ht="15" customHeight="1" s="410">
      <c r="P439" s="74">
        <f>IF(TRIM(B439)&lt;&gt;"",IFERROR(INDEX(DescMap_Label,MATCH(TRIM(B439),DescMap_Description,0)),"UNMATCHED"),"")</f>
        <v/>
      </c>
    </row>
    <row r="440" ht="15" customHeight="1" s="410">
      <c r="P440" s="74">
        <f>IF(TRIM(B440)&lt;&gt;"",IFERROR(INDEX(DescMap_Label,MATCH(TRIM(B440),DescMap_Description,0)),"UNMATCHED"),"")</f>
        <v/>
      </c>
    </row>
    <row r="441" ht="15" customHeight="1" s="410">
      <c r="P441" s="74">
        <f>IF(TRIM(B441)&lt;&gt;"",IFERROR(INDEX(DescMap_Label,MATCH(TRIM(B441),DescMap_Description,0)),"UNMATCHED"),"")</f>
        <v/>
      </c>
    </row>
    <row r="442" ht="15" customHeight="1" s="410">
      <c r="P442" s="74">
        <f>IF(TRIM(B442)&lt;&gt;"",IFERROR(INDEX(DescMap_Label,MATCH(TRIM(B442),DescMap_Description,0)),"UNMATCHED"),"")</f>
        <v/>
      </c>
    </row>
    <row r="443" ht="15" customHeight="1" s="410">
      <c r="P443" s="74">
        <f>IF(TRIM(B443)&lt;&gt;"",IFERROR(INDEX(DescMap_Label,MATCH(TRIM(B443),DescMap_Description,0)),"UNMATCHED"),"")</f>
        <v/>
      </c>
    </row>
    <row r="444" ht="15" customHeight="1" s="410">
      <c r="P444" s="74">
        <f>IF(TRIM(B444)&lt;&gt;"",IFERROR(INDEX(DescMap_Label,MATCH(TRIM(B444),DescMap_Description,0)),"UNMATCHED"),"")</f>
        <v/>
      </c>
    </row>
    <row r="445" ht="15" customHeight="1" s="410">
      <c r="P445" s="74">
        <f>IF(TRIM(B445)&lt;&gt;"",IFERROR(INDEX(DescMap_Label,MATCH(TRIM(B445),DescMap_Description,0)),"UNMATCHED"),"")</f>
        <v/>
      </c>
    </row>
    <row r="446" ht="15" customHeight="1" s="410">
      <c r="P446" s="74">
        <f>IF(TRIM(B446)&lt;&gt;"",IFERROR(INDEX(DescMap_Label,MATCH(TRIM(B446),DescMap_Description,0)),"UNMATCHED"),"")</f>
        <v/>
      </c>
    </row>
    <row r="447" ht="15" customHeight="1" s="410">
      <c r="P447" s="74">
        <f>IF(TRIM(B447)&lt;&gt;"",IFERROR(INDEX(DescMap_Label,MATCH(TRIM(B447),DescMap_Description,0)),"UNMATCHED"),"")</f>
        <v/>
      </c>
    </row>
    <row r="448" ht="15" customHeight="1" s="410">
      <c r="P448" s="74">
        <f>IF(TRIM(B448)&lt;&gt;"",IFERROR(INDEX(DescMap_Label,MATCH(TRIM(B448),DescMap_Description,0)),"UNMATCHED"),"")</f>
        <v/>
      </c>
    </row>
    <row r="449" ht="15" customHeight="1" s="410">
      <c r="P449" s="74">
        <f>IF(TRIM(B449)&lt;&gt;"",IFERROR(INDEX(DescMap_Label,MATCH(TRIM(B449),DescMap_Description,0)),"UNMATCHED"),"")</f>
        <v/>
      </c>
    </row>
    <row r="450" ht="15" customHeight="1" s="410">
      <c r="P450" s="74">
        <f>IF(TRIM(B450)&lt;&gt;"",IFERROR(INDEX(DescMap_Label,MATCH(TRIM(B450),DescMap_Description,0)),"UNMATCHED"),"")</f>
        <v/>
      </c>
    </row>
    <row r="451" ht="15" customHeight="1" s="410">
      <c r="P451" s="74">
        <f>IF(TRIM(B451)&lt;&gt;"",IFERROR(INDEX(DescMap_Label,MATCH(TRIM(B451),DescMap_Description,0)),"UNMATCHED"),"")</f>
        <v/>
      </c>
    </row>
    <row r="452" ht="15" customHeight="1" s="410">
      <c r="P452" s="74">
        <f>IF(TRIM(B452)&lt;&gt;"",IFERROR(INDEX(DescMap_Label,MATCH(TRIM(B452),DescMap_Description,0)),"UNMATCHED"),"")</f>
        <v/>
      </c>
    </row>
    <row r="453" ht="15" customHeight="1" s="410">
      <c r="P453" s="74">
        <f>IF(TRIM(B453)&lt;&gt;"",IFERROR(INDEX(DescMap_Label,MATCH(TRIM(B453),DescMap_Description,0)),"UNMATCHED"),"")</f>
        <v/>
      </c>
    </row>
    <row r="454" ht="15" customHeight="1" s="410">
      <c r="P454" s="74">
        <f>IF(TRIM(B454)&lt;&gt;"",IFERROR(INDEX(DescMap_Label,MATCH(TRIM(B454),DescMap_Description,0)),"UNMATCHED"),"")</f>
        <v/>
      </c>
    </row>
    <row r="455" ht="15" customHeight="1" s="410">
      <c r="P455" s="74">
        <f>IF(TRIM(B455)&lt;&gt;"",IFERROR(INDEX(DescMap_Label,MATCH(TRIM(B455),DescMap_Description,0)),"UNMATCHED"),"")</f>
        <v/>
      </c>
    </row>
    <row r="456" ht="15" customHeight="1" s="410">
      <c r="P456" s="74">
        <f>IF(TRIM(B456)&lt;&gt;"",IFERROR(INDEX(DescMap_Label,MATCH(TRIM(B456),DescMap_Description,0)),"UNMATCHED"),"")</f>
        <v/>
      </c>
    </row>
    <row r="457" ht="15" customHeight="1" s="410">
      <c r="P457" s="74">
        <f>IF(TRIM(B457)&lt;&gt;"",IFERROR(INDEX(DescMap_Label,MATCH(TRIM(B457),DescMap_Description,0)),"UNMATCHED"),"")</f>
        <v/>
      </c>
    </row>
    <row r="458" ht="15" customHeight="1" s="410">
      <c r="P458" s="74">
        <f>IF(TRIM(B458)&lt;&gt;"",IFERROR(INDEX(DescMap_Label,MATCH(TRIM(B458),DescMap_Description,0)),"UNMATCHED"),"")</f>
        <v/>
      </c>
    </row>
    <row r="459" ht="15" customHeight="1" s="410">
      <c r="P459" s="74">
        <f>IF(TRIM(B459)&lt;&gt;"",IFERROR(INDEX(DescMap_Label,MATCH(TRIM(B459),DescMap_Description,0)),"UNMATCHED"),"")</f>
        <v/>
      </c>
    </row>
    <row r="460" ht="15" customHeight="1" s="410">
      <c r="P460" s="74">
        <f>IF(TRIM(B460)&lt;&gt;"",IFERROR(INDEX(DescMap_Label,MATCH(TRIM(B460),DescMap_Description,0)),"UNMATCHED"),"")</f>
        <v/>
      </c>
    </row>
    <row r="461" ht="15" customHeight="1" s="410">
      <c r="P461" s="74">
        <f>IF(TRIM(B461)&lt;&gt;"",IFERROR(INDEX(DescMap_Label,MATCH(TRIM(B461),DescMap_Description,0)),"UNMATCHED"),"")</f>
        <v/>
      </c>
    </row>
    <row r="462" ht="15" customHeight="1" s="410">
      <c r="P462" s="74">
        <f>IF(TRIM(B462)&lt;&gt;"",IFERROR(INDEX(DescMap_Label,MATCH(TRIM(B462),DescMap_Description,0)),"UNMATCHED"),"")</f>
        <v/>
      </c>
    </row>
    <row r="463" ht="15" customHeight="1" s="410">
      <c r="P463" s="74">
        <f>IF(TRIM(B463)&lt;&gt;"",IFERROR(INDEX(DescMap_Label,MATCH(TRIM(B463),DescMap_Description,0)),"UNMATCHED"),"")</f>
        <v/>
      </c>
    </row>
    <row r="464" ht="15" customHeight="1" s="410">
      <c r="P464" s="74">
        <f>IF(TRIM(B464)&lt;&gt;"",IFERROR(INDEX(DescMap_Label,MATCH(TRIM(B464),DescMap_Description,0)),"UNMATCHED"),"")</f>
        <v/>
      </c>
    </row>
    <row r="465" ht="15" customHeight="1" s="410">
      <c r="P465" s="74">
        <f>IF(TRIM(B465)&lt;&gt;"",IFERROR(INDEX(DescMap_Label,MATCH(TRIM(B465),DescMap_Description,0)),"UNMATCHED"),"")</f>
        <v/>
      </c>
    </row>
    <row r="466" ht="15" customHeight="1" s="410">
      <c r="P466" s="74">
        <f>IF(TRIM(B466)&lt;&gt;"",IFERROR(INDEX(DescMap_Label,MATCH(TRIM(B466),DescMap_Description,0)),"UNMATCHED"),"")</f>
        <v/>
      </c>
    </row>
    <row r="467" ht="15" customHeight="1" s="410">
      <c r="P467" s="74">
        <f>IF(TRIM(B467)&lt;&gt;"",IFERROR(INDEX(DescMap_Label,MATCH(TRIM(B467),DescMap_Description,0)),"UNMATCHED"),"")</f>
        <v/>
      </c>
    </row>
    <row r="468" ht="15" customHeight="1" s="410">
      <c r="P468" s="74">
        <f>IF(TRIM(B468)&lt;&gt;"",IFERROR(INDEX(DescMap_Label,MATCH(TRIM(B468),DescMap_Description,0)),"UNMATCHED"),"")</f>
        <v/>
      </c>
    </row>
    <row r="469" ht="15" customHeight="1" s="410">
      <c r="P469" s="74">
        <f>IF(TRIM(B469)&lt;&gt;"",IFERROR(INDEX(DescMap_Label,MATCH(TRIM(B469),DescMap_Description,0)),"UNMATCHED"),"")</f>
        <v/>
      </c>
    </row>
    <row r="470" ht="15" customHeight="1" s="410">
      <c r="P470" s="74">
        <f>IF(TRIM(B470)&lt;&gt;"",IFERROR(INDEX(DescMap_Label,MATCH(TRIM(B470),DescMap_Description,0)),"UNMATCHED"),"")</f>
        <v/>
      </c>
    </row>
    <row r="471" ht="15" customHeight="1" s="410">
      <c r="P471" s="74">
        <f>IF(TRIM(B471)&lt;&gt;"",IFERROR(INDEX(DescMap_Label,MATCH(TRIM(B471),DescMap_Description,0)),"UNMATCHED"),"")</f>
        <v/>
      </c>
    </row>
    <row r="472" ht="15" customHeight="1" s="410">
      <c r="P472" s="74">
        <f>IF(TRIM(B472)&lt;&gt;"",IFERROR(INDEX(DescMap_Label,MATCH(TRIM(B472),DescMap_Description,0)),"UNMATCHED"),"")</f>
        <v/>
      </c>
    </row>
    <row r="473" ht="15" customHeight="1" s="410">
      <c r="P473" s="74">
        <f>IF(TRIM(B473)&lt;&gt;"",IFERROR(INDEX(DescMap_Label,MATCH(TRIM(B473),DescMap_Description,0)),"UNMATCHED"),"")</f>
        <v/>
      </c>
    </row>
    <row r="474" ht="15" customHeight="1" s="410">
      <c r="P474" s="74">
        <f>IF(TRIM(B474)&lt;&gt;"",IFERROR(INDEX(DescMap_Label,MATCH(TRIM(B474),DescMap_Description,0)),"UNMATCHED"),"")</f>
        <v/>
      </c>
    </row>
    <row r="475" ht="15" customHeight="1" s="410">
      <c r="P475" s="74">
        <f>IF(TRIM(B475)&lt;&gt;"",IFERROR(INDEX(DescMap_Label,MATCH(TRIM(B475),DescMap_Description,0)),"UNMATCHED"),"")</f>
        <v/>
      </c>
    </row>
    <row r="476" ht="15" customHeight="1" s="410">
      <c r="P476" s="74">
        <f>IF(TRIM(B476)&lt;&gt;"",IFERROR(INDEX(DescMap_Label,MATCH(TRIM(B476),DescMap_Description,0)),"UNMATCHED"),"")</f>
        <v/>
      </c>
    </row>
    <row r="477" ht="15" customHeight="1" s="410">
      <c r="P477" s="74">
        <f>IF(TRIM(B477)&lt;&gt;"",IFERROR(INDEX(DescMap_Label,MATCH(TRIM(B477),DescMap_Description,0)),"UNMATCHED"),"")</f>
        <v/>
      </c>
    </row>
    <row r="478" ht="15" customHeight="1" s="410">
      <c r="P478" s="74">
        <f>IF(TRIM(B478)&lt;&gt;"",IFERROR(INDEX(DescMap_Label,MATCH(TRIM(B478),DescMap_Description,0)),"UNMATCHED"),"")</f>
        <v/>
      </c>
    </row>
    <row r="479" ht="15" customHeight="1" s="410">
      <c r="P479" s="74">
        <f>IF(TRIM(B479)&lt;&gt;"",IFERROR(INDEX(DescMap_Label,MATCH(TRIM(B479),DescMap_Description,0)),"UNMATCHED"),"")</f>
        <v/>
      </c>
    </row>
    <row r="480" ht="15" customHeight="1" s="410">
      <c r="P480" s="74">
        <f>IF(TRIM(B480)&lt;&gt;"",IFERROR(INDEX(DescMap_Label,MATCH(TRIM(B480),DescMap_Description,0)),"UNMATCHED"),"")</f>
        <v/>
      </c>
    </row>
    <row r="481" ht="15" customHeight="1" s="410">
      <c r="P481" s="74">
        <f>IF(TRIM(B481)&lt;&gt;"",IFERROR(INDEX(DescMap_Label,MATCH(TRIM(B481),DescMap_Description,0)),"UNMATCHED"),"")</f>
        <v/>
      </c>
    </row>
    <row r="482" ht="15" customHeight="1" s="410">
      <c r="P482" s="74">
        <f>IF(TRIM(B482)&lt;&gt;"",IFERROR(INDEX(DescMap_Label,MATCH(TRIM(B482),DescMap_Description,0)),"UNMATCHED"),"")</f>
        <v/>
      </c>
    </row>
    <row r="483" ht="15" customHeight="1" s="410">
      <c r="P483" s="74">
        <f>IF(TRIM(B483)&lt;&gt;"",IFERROR(INDEX(DescMap_Label,MATCH(TRIM(B483),DescMap_Description,0)),"UNMATCHED"),"")</f>
        <v/>
      </c>
    </row>
    <row r="484" ht="15" customHeight="1" s="410">
      <c r="P484" s="74">
        <f>IF(TRIM(B484)&lt;&gt;"",IFERROR(INDEX(DescMap_Label,MATCH(TRIM(B484),DescMap_Description,0)),"UNMATCHED"),"")</f>
        <v/>
      </c>
    </row>
    <row r="485" ht="15" customHeight="1" s="410">
      <c r="P485" s="74">
        <f>IF(TRIM(B485)&lt;&gt;"",IFERROR(INDEX(DescMap_Label,MATCH(TRIM(B485),DescMap_Description,0)),"UNMATCHED"),"")</f>
        <v/>
      </c>
    </row>
    <row r="486" ht="15" customHeight="1" s="410">
      <c r="P486" s="74">
        <f>IF(TRIM(B486)&lt;&gt;"",IFERROR(INDEX(DescMap_Label,MATCH(TRIM(B486),DescMap_Description,0)),"UNMATCHED"),"")</f>
        <v/>
      </c>
    </row>
    <row r="487" ht="15" customHeight="1" s="410">
      <c r="P487" s="74">
        <f>IF(TRIM(B487)&lt;&gt;"",IFERROR(INDEX(DescMap_Label,MATCH(TRIM(B487),DescMap_Description,0)),"UNMATCHED"),"")</f>
        <v/>
      </c>
    </row>
    <row r="488" ht="15" customHeight="1" s="410">
      <c r="P488" s="74">
        <f>IF(TRIM(B488)&lt;&gt;"",IFERROR(INDEX(DescMap_Label,MATCH(TRIM(B488),DescMap_Description,0)),"UNMATCHED"),"")</f>
        <v/>
      </c>
    </row>
    <row r="489" ht="15" customHeight="1" s="410">
      <c r="P489" s="74">
        <f>IF(TRIM(B489)&lt;&gt;"",IFERROR(INDEX(DescMap_Label,MATCH(TRIM(B489),DescMap_Description,0)),"UNMATCHED"),"")</f>
        <v/>
      </c>
    </row>
    <row r="490" ht="15" customHeight="1" s="410">
      <c r="P490" s="74">
        <f>IF(TRIM(B490)&lt;&gt;"",IFERROR(INDEX(DescMap_Label,MATCH(TRIM(B490),DescMap_Description,0)),"UNMATCHED"),"")</f>
        <v/>
      </c>
    </row>
    <row r="491" ht="15" customHeight="1" s="410">
      <c r="P491" s="74">
        <f>IF(TRIM(B491)&lt;&gt;"",IFERROR(INDEX(DescMap_Label,MATCH(TRIM(B491),DescMap_Description,0)),"UNMATCHED"),"")</f>
        <v/>
      </c>
    </row>
    <row r="492" ht="15" customHeight="1" s="410">
      <c r="P492" s="74">
        <f>IF(TRIM(B492)&lt;&gt;"",IFERROR(INDEX(DescMap_Label,MATCH(TRIM(B492),DescMap_Description,0)),"UNMATCHED"),"")</f>
        <v/>
      </c>
    </row>
    <row r="493" ht="15" customHeight="1" s="410">
      <c r="P493" s="74">
        <f>IF(TRIM(B493)&lt;&gt;"",IFERROR(INDEX(DescMap_Label,MATCH(TRIM(B493),DescMap_Description,0)),"UNMATCHED"),"")</f>
        <v/>
      </c>
    </row>
    <row r="494" ht="15" customHeight="1" s="410">
      <c r="P494" s="74">
        <f>IF(TRIM(B494)&lt;&gt;"",IFERROR(INDEX(DescMap_Label,MATCH(TRIM(B494),DescMap_Description,0)),"UNMATCHED"),"")</f>
        <v/>
      </c>
    </row>
    <row r="495" ht="15" customHeight="1" s="410">
      <c r="P495" s="74">
        <f>IF(TRIM(B495)&lt;&gt;"",IFERROR(INDEX(DescMap_Label,MATCH(TRIM(B495),DescMap_Description,0)),"UNMATCHED"),"")</f>
        <v/>
      </c>
    </row>
    <row r="496" ht="15" customHeight="1" s="410">
      <c r="P496" s="74">
        <f>IF(TRIM(B496)&lt;&gt;"",IFERROR(INDEX(DescMap_Label,MATCH(TRIM(B496),DescMap_Description,0)),"UNMATCHED"),"")</f>
        <v/>
      </c>
    </row>
    <row r="497" ht="15" customHeight="1" s="410">
      <c r="P497" s="74">
        <f>IF(TRIM(B497)&lt;&gt;"",IFERROR(INDEX(DescMap_Label,MATCH(TRIM(B497),DescMap_Description,0)),"UNMATCHED"),"")</f>
        <v/>
      </c>
    </row>
    <row r="498" ht="15" customHeight="1" s="410">
      <c r="P498" s="74">
        <f>IF(TRIM(B498)&lt;&gt;"",IFERROR(INDEX(DescMap_Label,MATCH(TRIM(B498),DescMap_Description,0)),"UNMATCHED"),"")</f>
        <v/>
      </c>
    </row>
    <row r="499" ht="15" customHeight="1" s="410">
      <c r="P499" s="74">
        <f>IF(TRIM(B499)&lt;&gt;"",IFERROR(INDEX(DescMap_Label,MATCH(TRIM(B499),DescMap_Description,0)),"UNMATCHED"),"")</f>
        <v/>
      </c>
    </row>
    <row r="500" ht="15" customHeight="1" s="410">
      <c r="P500" s="74">
        <f>IF(TRIM(B500)&lt;&gt;"",IFERROR(INDEX(DescMap_Label,MATCH(TRIM(B500),DescMap_Description,0)),"UNMATCHED"),"")</f>
        <v/>
      </c>
    </row>
    <row r="501" ht="15" customHeight="1" s="410">
      <c r="P501" s="74">
        <f>IF(TRIM(B501)&lt;&gt;"",IFERROR(INDEX(DescMap_Label,MATCH(TRIM(B501),DescMap_Description,0)),"UNMATCHED"),"")</f>
        <v/>
      </c>
    </row>
    <row r="502" ht="15" customHeight="1" s="410">
      <c r="P502" s="74">
        <f>IF(TRIM(B502)&lt;&gt;"",IFERROR(INDEX(DescMap_Label,MATCH(TRIM(B502),DescMap_Description,0)),"UNMATCHED"),"")</f>
        <v/>
      </c>
    </row>
    <row r="503" ht="15" customHeight="1" s="410">
      <c r="P503" s="74">
        <f>IF(TRIM(B503)&lt;&gt;"",IFERROR(INDEX(DescMap_Label,MATCH(TRIM(B503),DescMap_Description,0)),"UNMATCHED"),"")</f>
        <v/>
      </c>
    </row>
    <row r="504" ht="15" customHeight="1" s="410">
      <c r="P504" s="74">
        <f>IF(TRIM(B504)&lt;&gt;"",IFERROR(INDEX(DescMap_Label,MATCH(TRIM(B504),DescMap_Description,0)),"UNMATCHED"),"")</f>
        <v/>
      </c>
    </row>
    <row r="505" ht="15" customHeight="1" s="410">
      <c r="P505" s="74">
        <f>IF(TRIM(B505)&lt;&gt;"",IFERROR(INDEX(DescMap_Label,MATCH(TRIM(B505),DescMap_Description,0)),"UNMATCHED"),"")</f>
        <v/>
      </c>
    </row>
    <row r="506" ht="15" customHeight="1" s="410">
      <c r="P506" s="74">
        <f>IF(TRIM(B506)&lt;&gt;"",IFERROR(INDEX(DescMap_Label,MATCH(TRIM(B506),DescMap_Description,0)),"UNMATCHED"),"")</f>
        <v/>
      </c>
    </row>
    <row r="507" ht="15" customHeight="1" s="410">
      <c r="P507" s="74">
        <f>IF(TRIM(B507)&lt;&gt;"",IFERROR(INDEX(DescMap_Label,MATCH(TRIM(B507),DescMap_Description,0)),"UNMATCHED"),"")</f>
        <v/>
      </c>
    </row>
    <row r="508" ht="15" customHeight="1" s="410">
      <c r="P508" s="74">
        <f>IF(TRIM(B508)&lt;&gt;"",IFERROR(INDEX(DescMap_Label,MATCH(TRIM(B508),DescMap_Description,0)),"UNMATCHED"),"")</f>
        <v/>
      </c>
    </row>
    <row r="509" ht="15" customHeight="1" s="410">
      <c r="P509" s="74">
        <f>IF(TRIM(B509)&lt;&gt;"",IFERROR(INDEX(DescMap_Label,MATCH(TRIM(B509),DescMap_Description,0)),"UNMATCHED"),"")</f>
        <v/>
      </c>
    </row>
    <row r="510" ht="15" customHeight="1" s="410">
      <c r="P510" s="74">
        <f>IF(TRIM(B510)&lt;&gt;"",IFERROR(INDEX(DescMap_Label,MATCH(TRIM(B510),DescMap_Description,0)),"UNMATCHED"),"")</f>
        <v/>
      </c>
    </row>
    <row r="511" ht="15" customHeight="1" s="410">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410" min="1" max="1"/>
    <col width="36" customWidth="1" style="410" min="2" max="2"/>
    <col width="8" customWidth="1" style="410" min="3" max="3"/>
    <col width="28" customWidth="1" style="410" min="4" max="4"/>
    <col width="50" customWidth="1" style="410" min="5" max="5"/>
    <col width="11" customWidth="1" style="410" min="6" max="17"/>
    <col width="14" customWidth="1" style="410" min="18" max="18"/>
  </cols>
  <sheetData>
    <row r="1" ht="25.5" customHeight="1" s="410">
      <c r="A1" s="469" t="inlineStr">
        <is>
          <t>T12 Raw Data  —  auto-calculated from T12 Input descriptions</t>
        </is>
      </c>
      <c r="AZ1" t="inlineStr">
        <is>
          <t>Description→Label rollup with monthly trending</t>
        </is>
      </c>
    </row>
    <row r="2" ht="18" customHeight="1" s="410">
      <c r="A2" s="468" t="inlineStr">
        <is>
          <t>Matches T12 Input col B descriptions against Description_Map. UNMATCHED rows in T12 Input col P are not included here. Add missing descriptions to Description_Map tab to capture them.</t>
        </is>
      </c>
      <c r="AZ2" t="inlineStr">
        <is>
          <t>aggregator</t>
        </is>
      </c>
    </row>
    <row r="3" ht="6" customHeight="1" s="410">
      <c r="AZ3" t="inlineStr">
        <is>
          <t>visible</t>
        </is>
      </c>
    </row>
    <row r="4" ht="27.75" customHeight="1" s="410">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v0.2.12</t>
        </is>
      </c>
    </row>
    <row r="5" ht="6" customHeight="1" s="410"/>
    <row r="6" ht="15.75" customHeight="1" s="410">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410">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410">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410">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410">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410">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410">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410">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410">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410">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410">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410">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410">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410">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410">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410">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410">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410">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410">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410">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410">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410">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410">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410">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410">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410">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410">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410">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410">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410">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410">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410">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410">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410">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410">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410">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410">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410">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410">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410">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410">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410">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410">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410">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410">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410">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410">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410">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410">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410">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410">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410">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410">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410">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410" min="1" max="4"/>
    <col width="10" customWidth="1" style="410" min="5" max="5"/>
    <col width="12" customWidth="1" style="410" min="6" max="6"/>
    <col width="11" customWidth="1" style="410" min="7" max="9"/>
    <col width="15" customWidth="1" style="410" min="10" max="10"/>
    <col width="13" customWidth="1" style="410" min="11" max="11"/>
    <col width="11" customWidth="1" style="410" min="12" max="12"/>
    <col width="9" customWidth="1" style="410" min="13" max="13"/>
    <col width="10" customWidth="1" style="410" min="14" max="14"/>
    <col width="9" customWidth="1" style="410" min="15" max="15"/>
    <col width="13" customWidth="1" style="410" min="16" max="16"/>
    <col width="12" customWidth="1" style="410" min="17" max="17"/>
    <col width="18" customWidth="1" style="410" min="18" max="18"/>
    <col width="13" customWidth="1" style="410" min="19" max="19"/>
    <col width="11" customWidth="1" style="410" min="20" max="20"/>
    <col width="13" customWidth="1" style="410" min="21" max="21"/>
    <col width="11" customWidth="1" style="410" min="22" max="22"/>
    <col width="12" customWidth="1" style="410" min="23" max="23"/>
    <col width="11" customWidth="1" style="410" min="24" max="24"/>
    <col width="30" customWidth="1" style="410" min="25" max="25"/>
    <col width="10" customWidth="1" style="410" min="26" max="27"/>
    <col width="8" customWidth="1" style="410" min="28" max="28"/>
    <col width="11" customWidth="1" style="410" min="29" max="33"/>
    <col width="13" customWidth="1" style="410" min="34" max="34"/>
  </cols>
  <sheetData>
    <row r="1" ht="15.75" customHeight="1" s="410">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410">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78" t="n"/>
      <c r="AZ3" t="inlineStr">
        <is>
          <t>visible</t>
        </is>
      </c>
    </row>
    <row r="4" ht="22.5" customHeight="1" s="410">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Z4" t="inlineStr">
        <is>
          <t>v0.2.12</t>
        </is>
      </c>
    </row>
    <row r="5" ht="15" customHeight="1" s="410">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410"/>
    <row r="7" ht="15" customHeight="1" s="410">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row>
    <row r="8" ht="15" customHeight="1" s="410">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row>
    <row r="9" ht="15" customHeight="1" s="410">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row>
    <row r="10" ht="15" customHeight="1" s="410">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row>
    <row r="11" ht="15" customHeight="1" s="410">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row>
    <row r="12" ht="15" customHeight="1" s="410">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row>
    <row r="13" ht="15" customHeight="1" s="410">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row>
    <row r="14" ht="15" customHeight="1" s="410">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row>
    <row r="15" ht="15" customHeight="1" s="410">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row>
    <row r="16" ht="15" customHeight="1" s="410">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row>
    <row r="17" ht="15" customHeight="1" s="410">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row>
    <row r="18" ht="15" customHeight="1" s="410">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row>
    <row r="19" ht="15" customHeight="1" s="410">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row>
    <row r="20" ht="15" customHeight="1" s="410">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row>
    <row r="21" ht="15" customHeight="1" s="410">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row>
    <row r="22" ht="15" customHeight="1" s="410">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row>
    <row r="23" ht="15" customHeight="1" s="410">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row>
    <row r="24" ht="15" customHeight="1" s="410">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row>
    <row r="25" ht="15" customHeight="1" s="410">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row>
    <row r="26" ht="15" customHeight="1" s="410">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row>
    <row r="27" ht="15" customHeight="1" s="410">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row>
    <row r="28" ht="15" customHeight="1" s="410">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row>
    <row r="29" ht="15" customHeight="1" s="410">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row>
    <row r="30" ht="15" customHeight="1" s="410">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row>
    <row r="31" ht="15" customHeight="1" s="410">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row>
    <row r="32" ht="15" customHeight="1" s="410">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row>
    <row r="33" ht="15" customHeight="1" s="410">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row>
    <row r="34" ht="15" customHeight="1" s="410">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row>
    <row r="35" ht="15" customHeight="1" s="410">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row>
    <row r="36" ht="15" customHeight="1" s="410">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row>
    <row r="37" ht="15" customHeight="1" s="410">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row>
    <row r="38" ht="15" customHeight="1" s="410">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row>
    <row r="39" ht="15" customHeight="1" s="410">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row>
    <row r="40" ht="15" customHeight="1" s="410">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row>
    <row r="41" ht="15" customHeight="1" s="410">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row>
    <row r="42" ht="15" customHeight="1" s="410">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row>
    <row r="43" ht="15" customHeight="1" s="410">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row>
    <row r="44" ht="15" customHeight="1" s="410">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row>
    <row r="45" ht="15" customHeight="1" s="410">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row>
    <row r="46" ht="15" customHeight="1" s="410">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row>
    <row r="47" ht="15" customHeight="1" s="410">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row>
    <row r="48" ht="15" customHeight="1" s="410">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row>
    <row r="49" ht="15" customHeight="1" s="410">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row>
    <row r="50" ht="15" customHeight="1" s="410">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row>
    <row r="51" ht="15" customHeight="1" s="410">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row>
    <row r="52" ht="15" customHeight="1" s="410">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row>
    <row r="53" ht="15" customHeight="1" s="410">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row>
    <row r="54" ht="15" customHeight="1" s="410">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row>
    <row r="55" ht="15" customHeight="1" s="410">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row>
    <row r="56" ht="15" customHeight="1" s="410">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row>
    <row r="57" ht="15" customHeight="1" s="410">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row>
    <row r="58" ht="15" customHeight="1" s="410">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row>
    <row r="59" ht="15" customHeight="1" s="410">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row>
    <row r="60" ht="15" customHeight="1" s="410">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row>
    <row r="61" ht="15" customHeight="1" s="410">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row>
    <row r="62" ht="15" customHeight="1" s="410">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row>
    <row r="63" ht="15" customHeight="1" s="410">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row>
    <row r="64" ht="15" customHeight="1" s="410">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row>
    <row r="65" ht="15" customHeight="1" s="410">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row>
    <row r="66" ht="15" customHeight="1" s="410">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row>
    <row r="67" ht="15" customHeight="1" s="410">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row>
    <row r="68" ht="15" customHeight="1" s="410">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row>
    <row r="69" ht="15" customHeight="1" s="410">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row>
    <row r="70" ht="15" customHeight="1" s="410">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row>
    <row r="71" ht="15" customHeight="1" s="410">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row>
    <row r="72" ht="15" customHeight="1" s="410">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row>
    <row r="73" ht="15" customHeight="1" s="410">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row>
    <row r="74" ht="15" customHeight="1" s="410">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row>
    <row r="75" ht="15" customHeight="1" s="410">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row>
    <row r="76" ht="15" customHeight="1" s="410">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row>
    <row r="77" ht="15" customHeight="1" s="410">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row>
    <row r="78" ht="15" customHeight="1" s="410">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row>
    <row r="79" ht="15" customHeight="1" s="410">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row>
    <row r="80" ht="15" customHeight="1" s="410">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row>
    <row r="81" ht="15" customHeight="1" s="410">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row>
    <row r="82" ht="15" customHeight="1" s="410">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row>
    <row r="83" ht="15" customHeight="1" s="410">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row>
    <row r="84" ht="15" customHeight="1" s="410">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row>
    <row r="85" ht="15" customHeight="1" s="410">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row>
    <row r="86" ht="15" customHeight="1" s="410">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row>
    <row r="87" ht="15" customHeight="1" s="410">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row>
    <row r="88" ht="15" customHeight="1" s="410">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row>
    <row r="89" ht="15" customHeight="1" s="410">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row>
    <row r="90" ht="15" customHeight="1" s="410">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row>
    <row r="91" ht="15" customHeight="1" s="410">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row>
    <row r="92" ht="15" customHeight="1" s="410">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row>
    <row r="93" ht="15" customHeight="1" s="410">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row>
    <row r="94" ht="15" customHeight="1" s="410">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row>
    <row r="95" ht="15" customHeight="1" s="410">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row>
    <row r="96" ht="15" customHeight="1" s="410">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row>
    <row r="97" ht="15" customHeight="1" s="410">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row>
    <row r="98" ht="15" customHeight="1" s="410">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row>
    <row r="99" ht="15" customHeight="1" s="410">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row>
    <row r="100" ht="15" customHeight="1" s="410">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row>
    <row r="101" ht="15" customHeight="1" s="410">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row>
    <row r="102" ht="15" customHeight="1" s="410">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row>
    <row r="103" ht="15" customHeight="1" s="410">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row>
    <row r="104" ht="15" customHeight="1" s="410">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row>
    <row r="105" ht="15" customHeight="1" s="410">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row>
    <row r="106" ht="15" customHeight="1" s="410">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row>
    <row r="107" ht="15" customHeight="1" s="410">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row>
    <row r="108" ht="15" customHeight="1" s="410">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row>
    <row r="109" ht="15" customHeight="1" s="410">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row>
    <row r="110" ht="15" customHeight="1" s="410">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row>
    <row r="111" ht="15" customHeight="1" s="410">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row>
    <row r="112" ht="15" customHeight="1" s="410">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row>
    <row r="113" ht="15" customHeight="1" s="410">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row>
    <row r="114" ht="15" customHeight="1" s="410">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row>
    <row r="115" ht="15" customHeight="1" s="410">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row>
    <row r="116" ht="15" customHeight="1" s="410">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row>
    <row r="117" ht="15" customHeight="1" s="410">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row>
    <row r="118" ht="15" customHeight="1" s="410">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row>
    <row r="119" ht="15" customHeight="1" s="410">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row>
    <row r="120" ht="15" customHeight="1" s="410">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row>
    <row r="121" ht="15" customHeight="1" s="410">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row>
    <row r="122" ht="15" customHeight="1" s="410">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row>
    <row r="123" ht="15" customHeight="1" s="410">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row>
    <row r="124" ht="15" customHeight="1" s="410">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row>
    <row r="125" ht="15" customHeight="1" s="410">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row>
    <row r="126" ht="15" customHeight="1" s="410">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row>
    <row r="127" ht="15" customHeight="1" s="410">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row>
    <row r="128" ht="15" customHeight="1" s="410">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row>
    <row r="129" ht="15" customHeight="1" s="410">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row>
    <row r="130" ht="15" customHeight="1" s="410">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row>
    <row r="131" ht="15" customHeight="1" s="410">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row>
    <row r="132" ht="15" customHeight="1" s="410">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row>
    <row r="133" ht="15" customHeight="1" s="410">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row>
    <row r="134" ht="15" customHeight="1" s="410">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row>
    <row r="135" ht="15" customHeight="1" s="410">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row>
    <row r="136" ht="15" customHeight="1" s="410">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row>
    <row r="137" ht="15" customHeight="1" s="410">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row>
    <row r="138" ht="15" customHeight="1" s="410">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row>
    <row r="139" ht="15" customHeight="1" s="410">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row>
    <row r="140" ht="15" customHeight="1" s="410">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row>
    <row r="141" ht="15" customHeight="1" s="410">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row>
    <row r="142" ht="15" customHeight="1" s="410">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row>
    <row r="143" ht="15" customHeight="1" s="410">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row>
    <row r="144" ht="15" customHeight="1" s="410">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row>
    <row r="145" ht="15" customHeight="1" s="410">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row>
    <row r="146" ht="15" customHeight="1" s="410">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row>
    <row r="147" ht="15" customHeight="1" s="410">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row>
    <row r="148" ht="15" customHeight="1" s="410">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row>
    <row r="149" ht="15" customHeight="1" s="410">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row>
    <row r="150" ht="15" customHeight="1" s="410">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row>
    <row r="151" ht="15" customHeight="1" s="410">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row>
    <row r="152" ht="15" customHeight="1" s="410">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row>
    <row r="153" ht="15" customHeight="1" s="410">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row>
    <row r="154" ht="15" customHeight="1" s="410">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row>
    <row r="155" ht="15" customHeight="1" s="410">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row>
    <row r="156" ht="15" customHeight="1" s="410">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row>
    <row r="157" ht="15" customHeight="1" s="410">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row>
    <row r="158" ht="15" customHeight="1" s="410">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row>
    <row r="159" ht="15" customHeight="1" s="410">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row>
    <row r="160" ht="15" customHeight="1" s="410">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row>
    <row r="161" ht="15" customHeight="1" s="410">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row>
    <row r="162" ht="15" customHeight="1" s="410">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row>
    <row r="163" ht="15" customHeight="1" s="410">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row>
    <row r="164" ht="15" customHeight="1" s="410">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row>
    <row r="165" ht="15" customHeight="1" s="410">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row>
    <row r="166" ht="15" customHeight="1" s="410">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row>
    <row r="167" ht="15" customHeight="1" s="410">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row>
    <row r="168" ht="15" customHeight="1" s="410">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row>
    <row r="169" ht="15" customHeight="1" s="410">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row>
    <row r="170" ht="15" customHeight="1" s="410">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row>
    <row r="171" ht="15" customHeight="1" s="410">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row>
    <row r="172" ht="15" customHeight="1" s="410">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row>
    <row r="173" ht="15" customHeight="1" s="410">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row>
    <row r="174" ht="15" customHeight="1" s="410">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row>
    <row r="175" ht="15" customHeight="1" s="410">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row>
    <row r="176" ht="15" customHeight="1" s="410">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row>
    <row r="177" ht="15" customHeight="1" s="410">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row>
    <row r="178" ht="15" customHeight="1" s="410">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row>
    <row r="179" ht="15" customHeight="1" s="410">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row>
    <row r="180" ht="15" customHeight="1" s="410">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row>
    <row r="181" ht="15" customHeight="1" s="410">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row>
    <row r="182" ht="15" customHeight="1" s="410">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row>
    <row r="183" ht="15" customHeight="1" s="410">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row>
    <row r="184" ht="15" customHeight="1" s="410">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row>
    <row r="185" ht="15" customHeight="1" s="410">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row>
    <row r="186" ht="15" customHeight="1" s="410">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row>
    <row r="187" ht="15" customHeight="1" s="410">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row>
    <row r="188" ht="15" customHeight="1" s="410">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row>
    <row r="189" ht="15" customHeight="1" s="410">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row>
    <row r="190" ht="15" customHeight="1" s="410">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row>
    <row r="191" ht="15" customHeight="1" s="410">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row>
    <row r="192" ht="15" customHeight="1" s="410">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row>
    <row r="193" ht="15" customHeight="1" s="410">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row>
    <row r="194" ht="15" customHeight="1" s="410">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row>
    <row r="195" ht="15" customHeight="1" s="410">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row>
    <row r="196" ht="15" customHeight="1" s="410">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row>
    <row r="197" ht="15" customHeight="1" s="410">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row>
    <row r="198" ht="15" customHeight="1" s="410">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row>
    <row r="199" ht="15" customHeight="1" s="410">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row>
    <row r="200" ht="15" customHeight="1" s="410">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row>
    <row r="201" ht="15" customHeight="1" s="410">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row>
    <row r="202" ht="15" customHeight="1" s="410">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row>
    <row r="203" ht="15" customHeight="1" s="410">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row>
    <row r="204" ht="15" customHeight="1" s="410">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row>
    <row r="205" ht="15" customHeight="1" s="410">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row>
    <row r="206" ht="15" customHeight="1" s="410">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row>
    <row r="207" ht="15" customHeight="1" s="410">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row>
    <row r="208" ht="15" customHeight="1" s="410">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row>
    <row r="209" ht="15" customHeight="1" s="410">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row>
    <row r="210" ht="15" customHeight="1" s="410">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row>
    <row r="211" ht="15" customHeight="1" s="410">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row>
    <row r="212" ht="15" customHeight="1" s="410">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row>
    <row r="213" ht="15" customHeight="1" s="410">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row>
    <row r="214" ht="15" customHeight="1" s="410">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row>
    <row r="215" ht="15" customHeight="1" s="410">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row>
    <row r="216" ht="15" customHeight="1" s="410">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row>
    <row r="217" ht="15" customHeight="1" s="410">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row>
    <row r="218" ht="15" customHeight="1" s="410">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row>
    <row r="219" ht="15" customHeight="1" s="410">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row>
    <row r="220" ht="15" customHeight="1" s="410">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row>
    <row r="221" ht="15" customHeight="1" s="410">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row>
    <row r="222" ht="15" customHeight="1" s="410">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row>
    <row r="223" ht="15" customHeight="1" s="410">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row>
    <row r="224" ht="15" customHeight="1" s="410">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row>
    <row r="225" ht="15" customHeight="1" s="410">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row>
    <row r="226" ht="15" customHeight="1" s="410">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row>
    <row r="227" ht="15" customHeight="1" s="410">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row>
    <row r="228" ht="15" customHeight="1" s="410">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row>
    <row r="229" ht="15" customHeight="1" s="410">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row>
    <row r="230" ht="15" customHeight="1" s="410">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row>
    <row r="231" ht="15" customHeight="1" s="410">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row>
    <row r="232" ht="15" customHeight="1" s="410">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row>
    <row r="233" ht="15" customHeight="1" s="410">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row>
    <row r="234" ht="15" customHeight="1" s="410">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row>
    <row r="235" ht="15" customHeight="1" s="410">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row>
    <row r="236" ht="15" customHeight="1" s="410">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row>
    <row r="237" ht="15" customHeight="1" s="410">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row>
    <row r="238" ht="15" customHeight="1" s="410">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row>
    <row r="239" ht="15" customHeight="1" s="410">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row>
    <row r="240" ht="15" customHeight="1" s="410">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row>
    <row r="241" ht="15" customHeight="1" s="410">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row>
    <row r="242" ht="15" customHeight="1" s="410">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row>
    <row r="243" ht="15" customHeight="1" s="410">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row>
    <row r="244" ht="15" customHeight="1" s="410">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row>
    <row r="245" ht="15" customHeight="1" s="410">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row>
    <row r="246" ht="15" customHeight="1" s="410">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row>
    <row r="247" ht="15" customHeight="1" s="410">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row>
    <row r="248" ht="15" customHeight="1" s="410">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row>
    <row r="249" ht="15" customHeight="1" s="410">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row>
    <row r="250" ht="15" customHeight="1" s="410">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row>
    <row r="251" ht="15" customHeight="1" s="410">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row>
    <row r="252" ht="15" customHeight="1" s="410">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row>
    <row r="253" ht="15" customHeight="1" s="410">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row>
    <row r="254" ht="15" customHeight="1" s="410">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row>
    <row r="255" ht="15" customHeight="1" s="410">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row>
    <row r="256" ht="15" customHeight="1" s="410">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row>
    <row r="257" ht="15" customHeight="1" s="410">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row>
    <row r="258" ht="15" customHeight="1" s="410">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row>
    <row r="259" ht="15" customHeight="1" s="410">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row>
    <row r="260" ht="15" customHeight="1" s="410">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row>
    <row r="261" ht="15" customHeight="1" s="410">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row>
    <row r="262" ht="15" customHeight="1" s="410">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row>
    <row r="263" ht="15" customHeight="1" s="410">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row>
    <row r="264" ht="15" customHeight="1" s="410">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row>
    <row r="265" ht="15" customHeight="1" s="410">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row>
    <row r="266" ht="15" customHeight="1" s="410">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row>
    <row r="267" ht="15" customHeight="1" s="410">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row>
    <row r="268" ht="15" customHeight="1" s="410">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row>
    <row r="269" ht="15" customHeight="1" s="410">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row>
    <row r="270" ht="15" customHeight="1" s="410">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row>
    <row r="271" ht="15" customHeight="1" s="410">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row>
    <row r="272" ht="15" customHeight="1" s="410">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row>
    <row r="273" ht="15" customHeight="1" s="410">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row>
    <row r="274" ht="15" customHeight="1" s="410">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row>
    <row r="275" ht="15" customHeight="1" s="410">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row>
    <row r="276" ht="15" customHeight="1" s="410">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row>
    <row r="277" ht="15" customHeight="1" s="410">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row>
    <row r="278" ht="15" customHeight="1" s="410">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row>
    <row r="279" ht="15" customHeight="1" s="410">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row>
    <row r="280" ht="15" customHeight="1" s="410">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row>
    <row r="281" ht="15" customHeight="1" s="410">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row>
    <row r="282" ht="15" customHeight="1" s="410">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row>
    <row r="283" ht="15" customHeight="1" s="410">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row>
    <row r="284" ht="15" customHeight="1" s="410">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row>
    <row r="285" ht="15" customHeight="1" s="410">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row>
    <row r="286" ht="15" customHeight="1" s="410">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row>
    <row r="287" ht="15" customHeight="1" s="410">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row>
    <row r="288" ht="15" customHeight="1" s="410">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row>
    <row r="289" ht="15" customHeight="1" s="410">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row>
    <row r="290" ht="15" customHeight="1" s="410">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row>
    <row r="291" ht="15" customHeight="1" s="410">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row>
    <row r="292" ht="15" customHeight="1" s="410">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row>
    <row r="293" ht="15" customHeight="1" s="410">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row>
    <row r="294" ht="15" customHeight="1" s="410">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row>
    <row r="295" ht="15" customHeight="1" s="410">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row>
    <row r="296" ht="15" customHeight="1" s="410">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row>
    <row r="297" ht="15" customHeight="1" s="410">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row>
    <row r="298" ht="15" customHeight="1" s="410">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row>
    <row r="299" ht="15" customHeight="1" s="410">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row>
    <row r="300" ht="15" customHeight="1" s="410">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row>
    <row r="301" ht="15" customHeight="1" s="410">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row>
    <row r="302" ht="15" customHeight="1" s="410">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row>
    <row r="303" ht="15" customHeight="1" s="410">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row>
    <row r="304" ht="15" customHeight="1" s="410">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row>
    <row r="305" ht="15" customHeight="1" s="410">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row>
    <row r="306" ht="15" customHeight="1" s="410">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row>
    <row r="307" ht="15" customHeight="1" s="410">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row>
    <row r="308" ht="15" customHeight="1" s="410">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row>
    <row r="309" ht="15" customHeight="1" s="410">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row>
    <row r="310" ht="15" customHeight="1" s="410">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row>
    <row r="311" ht="15" customHeight="1" s="410">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row>
    <row r="312" ht="15" customHeight="1" s="410">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row>
    <row r="313" ht="15" customHeight="1" s="410">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row>
    <row r="314" ht="15" customHeight="1" s="410">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row>
    <row r="315" ht="15" customHeight="1" s="410">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row>
    <row r="316" ht="15" customHeight="1" s="410">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row>
    <row r="317" ht="15" customHeight="1" s="410">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row>
    <row r="318" ht="15" customHeight="1" s="410">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row>
    <row r="319" ht="15" customHeight="1" s="410">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row>
    <row r="320" ht="15" customHeight="1" s="410">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row>
    <row r="321" ht="15" customHeight="1" s="410">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row>
    <row r="322" ht="15" customHeight="1" s="410">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row>
    <row r="323" ht="15" customHeight="1" s="410">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row>
    <row r="324" ht="15" customHeight="1" s="410">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row>
    <row r="325" ht="15" customHeight="1" s="410">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row>
    <row r="326" ht="15" customHeight="1" s="410">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row>
    <row r="327" ht="15" customHeight="1" s="410">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row>
    <row r="328" ht="15" customHeight="1" s="410">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row>
    <row r="329" ht="15" customHeight="1" s="410">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row>
    <row r="330" ht="15" customHeight="1" s="410">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row>
    <row r="331" ht="15" customHeight="1" s="410">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row>
    <row r="332" ht="15" customHeight="1" s="410">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row>
    <row r="333" ht="15" customHeight="1" s="410">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row>
    <row r="334" ht="15" customHeight="1" s="410">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row>
    <row r="335" ht="15" customHeight="1" s="410">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row>
    <row r="336" ht="15" customHeight="1" s="410">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row>
    <row r="337" ht="15" customHeight="1" s="410">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row>
    <row r="338" ht="15" customHeight="1" s="410">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row>
    <row r="339" ht="15" customHeight="1" s="410">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row>
    <row r="340" ht="15" customHeight="1" s="410">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row>
    <row r="341" ht="15" customHeight="1" s="410">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row>
    <row r="342" ht="15" customHeight="1" s="410">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row>
    <row r="343" ht="15" customHeight="1" s="410">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row>
    <row r="344" ht="15" customHeight="1" s="410">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row>
    <row r="345" ht="15" customHeight="1" s="410">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row>
    <row r="346" ht="15" customHeight="1" s="410">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row>
    <row r="347" ht="15" customHeight="1" s="410">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row>
    <row r="348" ht="15" customHeight="1" s="410">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row>
    <row r="349" ht="15" customHeight="1" s="410">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row>
    <row r="350" ht="15" customHeight="1" s="410">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row>
    <row r="351" ht="15" customHeight="1" s="410">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row>
    <row r="352" ht="15" customHeight="1" s="410">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row>
    <row r="353" ht="15" customHeight="1" s="410">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row>
    <row r="354" ht="15" customHeight="1" s="410">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row>
    <row r="355" ht="15" customHeight="1" s="410">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row>
    <row r="356" ht="15" customHeight="1" s="410">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row>
    <row r="357" ht="15" customHeight="1" s="410">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row>
    <row r="358" ht="15" customHeight="1" s="410">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row>
    <row r="359" ht="15" customHeight="1" s="410">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row>
    <row r="360" ht="15" customHeight="1" s="410">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row>
    <row r="361" ht="15" customHeight="1" s="410">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row>
    <row r="362" ht="15" customHeight="1" s="410">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row>
    <row r="363" ht="15" customHeight="1" s="410">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row>
    <row r="364" ht="15" customHeight="1" s="410">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row>
    <row r="365" ht="15" customHeight="1" s="410">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row>
    <row r="366" ht="15" customHeight="1" s="410">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row>
    <row r="367" ht="15" customHeight="1" s="410">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row>
    <row r="368" ht="15" customHeight="1" s="410">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row>
    <row r="369" ht="15" customHeight="1" s="410">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row>
    <row r="370" ht="15" customHeight="1" s="410">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row>
    <row r="371" ht="15" customHeight="1" s="410">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row>
    <row r="372" ht="15" customHeight="1" s="410">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row>
    <row r="373" ht="15" customHeight="1" s="410">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row>
    <row r="374" ht="15" customHeight="1" s="410">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row>
    <row r="375" ht="15" customHeight="1" s="410">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row>
    <row r="376" ht="15" customHeight="1" s="410">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row>
    <row r="377" ht="15" customHeight="1" s="410">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row>
    <row r="378" ht="15" customHeight="1" s="410">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row>
    <row r="379" ht="15" customHeight="1" s="410">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row>
    <row r="380" ht="15" customHeight="1" s="410">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row>
    <row r="381" ht="15" customHeight="1" s="410">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row>
    <row r="382" ht="15" customHeight="1" s="410">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row>
    <row r="383" ht="15" customHeight="1" s="410">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row>
    <row r="384" ht="15" customHeight="1" s="410">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row>
    <row r="385" ht="15" customHeight="1" s="410">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row>
    <row r="386" ht="15" customHeight="1" s="410">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row>
    <row r="387" ht="15" customHeight="1" s="410">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row>
    <row r="388" ht="15" customHeight="1" s="410">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row>
    <row r="389" ht="15" customHeight="1" s="410">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row>
    <row r="390" ht="15" customHeight="1" s="410">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row>
    <row r="391" ht="15" customHeight="1" s="410">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row>
    <row r="392" ht="15" customHeight="1" s="410">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row>
    <row r="393" ht="15" customHeight="1" s="410">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row>
    <row r="394" ht="15" customHeight="1" s="410">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row>
    <row r="395" ht="15" customHeight="1" s="410">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row>
    <row r="396" ht="15" customHeight="1" s="410">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row>
    <row r="397" ht="15" customHeight="1" s="410">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row>
    <row r="398" ht="15" customHeight="1" s="410">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row>
    <row r="399" ht="15" customHeight="1" s="410">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row>
    <row r="400" ht="15" customHeight="1" s="410">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row>
    <row r="401" ht="15" customHeight="1" s="410">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row>
    <row r="402" ht="15" customHeight="1" s="410">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row>
    <row r="403" ht="15" customHeight="1" s="410">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row>
    <row r="404" ht="15" customHeight="1" s="410">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row>
    <row r="405" ht="15" customHeight="1" s="410">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row>
    <row r="406" ht="15" customHeight="1" s="410">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row>
    <row r="407" ht="15" customHeight="1" s="410">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row>
    <row r="408" ht="15" customHeight="1" s="410">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row>
    <row r="409" ht="15" customHeight="1" s="410">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row>
    <row r="410" ht="15" customHeight="1" s="410">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row>
    <row r="411" ht="15" customHeight="1" s="410">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row>
    <row r="412" ht="15" customHeight="1" s="410">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row>
    <row r="413" ht="15" customHeight="1" s="410">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row>
    <row r="414" ht="15" customHeight="1" s="410">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row>
    <row r="415" ht="15" customHeight="1" s="410">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row>
    <row r="416" ht="15" customHeight="1" s="410">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row>
    <row r="417" ht="15" customHeight="1" s="410">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row>
    <row r="418" ht="15" customHeight="1" s="410">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row>
    <row r="419" ht="15" customHeight="1" s="410">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row>
    <row r="420" ht="15" customHeight="1" s="410">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row>
    <row r="421" ht="15" customHeight="1" s="410">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row>
    <row r="422" ht="15" customHeight="1" s="410">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row>
    <row r="423" ht="15" customHeight="1" s="410">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row>
    <row r="424" ht="15" customHeight="1" s="410">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row>
    <row r="425" ht="15" customHeight="1" s="410">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row>
    <row r="426" ht="15" customHeight="1" s="410">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row>
    <row r="427" ht="15" customHeight="1" s="410">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row>
    <row r="428" ht="15" customHeight="1" s="410">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row>
    <row r="429" ht="15" customHeight="1" s="410">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row>
    <row r="430" ht="15" customHeight="1" s="410">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row>
    <row r="431" ht="15" customHeight="1" s="410">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row>
    <row r="432" ht="15" customHeight="1" s="410">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row>
    <row r="433" ht="15" customHeight="1" s="410">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row>
    <row r="434" ht="15" customHeight="1" s="410">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row>
    <row r="435" ht="15" customHeight="1" s="410">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row>
    <row r="436" ht="15" customHeight="1" s="410">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row>
    <row r="437" ht="15" customHeight="1" s="410">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row>
    <row r="438" ht="15" customHeight="1" s="410">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row>
    <row r="439" ht="15" customHeight="1" s="410">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row>
    <row r="440" ht="15" customHeight="1" s="410">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row>
    <row r="441" ht="15" customHeight="1" s="410">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row>
    <row r="442" ht="15" customHeight="1" s="410">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row>
    <row r="443" ht="15" customHeight="1" s="410">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row>
    <row r="444" ht="15" customHeight="1" s="410">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row>
    <row r="445" ht="15" customHeight="1" s="410">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row>
    <row r="446" ht="15" customHeight="1" s="410">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row>
    <row r="447" ht="15" customHeight="1" s="410">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row>
    <row r="448" ht="15" customHeight="1" s="410">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row>
    <row r="449" ht="15" customHeight="1" s="410">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row>
    <row r="450" ht="15" customHeight="1" s="410">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row>
    <row r="451" ht="15" customHeight="1" s="410">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row>
    <row r="452" ht="15" customHeight="1" s="410">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row>
    <row r="453" ht="15" customHeight="1" s="410">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row>
    <row r="454" ht="15" customHeight="1" s="410">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row>
    <row r="455" ht="15" customHeight="1" s="410">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row>
    <row r="456" ht="15" customHeight="1" s="410">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row>
    <row r="457" ht="15" customHeight="1" s="410">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row>
    <row r="458" ht="15" customHeight="1" s="410">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row>
    <row r="459" ht="15" customHeight="1" s="410">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row>
    <row r="460" ht="15" customHeight="1" s="410">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row>
    <row r="461" ht="15" customHeight="1" s="410">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row>
    <row r="462" ht="15" customHeight="1" s="410">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row>
    <row r="463" ht="15" customHeight="1" s="410">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row>
    <row r="464" ht="15" customHeight="1" s="410">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row>
    <row r="465" ht="15" customHeight="1" s="410">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row>
    <row r="466" ht="15" customHeight="1" s="410">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row>
    <row r="467" ht="15" customHeight="1" s="410">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row>
    <row r="468" ht="15" customHeight="1" s="410">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row>
    <row r="469" ht="15" customHeight="1" s="410">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row>
    <row r="470" ht="15" customHeight="1" s="410">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row>
    <row r="471" ht="15" customHeight="1" s="410">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row>
    <row r="472" ht="15" customHeight="1" s="410">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row>
    <row r="473" ht="15" customHeight="1" s="410">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row>
    <row r="474" ht="15" customHeight="1" s="410">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row>
    <row r="475" ht="15" customHeight="1" s="410">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row>
    <row r="476" ht="15" customHeight="1" s="410">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row>
    <row r="477" ht="15" customHeight="1" s="410">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row>
    <row r="478" ht="15" customHeight="1" s="410">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row>
    <row r="479" ht="15" customHeight="1" s="410">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row>
    <row r="480" ht="15" customHeight="1" s="410">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row>
    <row r="481" ht="15" customHeight="1" s="410">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row>
    <row r="482" ht="15" customHeight="1" s="410">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row>
    <row r="483" ht="15" customHeight="1" s="410">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row>
    <row r="484" ht="15" customHeight="1" s="410">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row>
    <row r="485" ht="15" customHeight="1" s="410">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row>
    <row r="486" ht="15" customHeight="1" s="410">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row>
    <row r="487" ht="15" customHeight="1" s="410">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row>
    <row r="488" ht="15" customHeight="1" s="410">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row>
    <row r="489" ht="15" customHeight="1" s="410">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row>
    <row r="490" ht="15" customHeight="1" s="410">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row>
    <row r="491" ht="15" customHeight="1" s="410">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row>
    <row r="492" ht="15" customHeight="1" s="410">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row>
    <row r="493" ht="15" customHeight="1" s="410">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row>
    <row r="494" ht="15" customHeight="1" s="410">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row>
    <row r="495" ht="15" customHeight="1" s="410">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row>
    <row r="496" ht="15" customHeight="1" s="410">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row>
    <row r="497" ht="15" customHeight="1" s="410">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row>
    <row r="498" ht="15" customHeight="1" s="410">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row>
    <row r="499" ht="15" customHeight="1" s="410">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row>
    <row r="500" ht="15" customHeight="1" s="410">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row>
    <row r="501" ht="15" customHeight="1" s="410">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row>
    <row r="502" ht="15" customHeight="1" s="410">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row>
    <row r="503" ht="15" customHeight="1" s="410">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row>
    <row r="504" ht="15" customHeight="1" s="410">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row>
    <row r="505" ht="15" customHeight="1" s="410">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row>
    <row r="506" ht="15" customHeight="1" s="410">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row>
    <row r="507" ht="15" customHeight="1" s="410">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row>
    <row r="508" ht="15" customHeight="1" s="410">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row>
    <row r="509" ht="15" customHeight="1" s="410">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row>
    <row r="510" ht="15" customHeight="1" s="410">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row>
    <row r="511" ht="15" customHeight="1" s="410">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row>
    <row r="512" ht="15" customHeight="1" s="410">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row>
    <row r="513" ht="15" customHeight="1" s="410">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row>
    <row r="514" ht="15" customHeight="1" s="410">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row>
    <row r="515" ht="15" customHeight="1" s="410">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row>
    <row r="516" ht="15" customHeight="1" s="410">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row>
    <row r="517" ht="15" customHeight="1" s="410">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row>
    <row r="518" ht="15" customHeight="1" s="410">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row>
    <row r="519" ht="15" customHeight="1" s="410">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row>
    <row r="520" ht="15" customHeight="1" s="410">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row>
    <row r="521" ht="15" customHeight="1" s="410">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row>
    <row r="522" ht="15" customHeight="1" s="410">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row>
    <row r="523" ht="15" customHeight="1" s="410">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row>
    <row r="524" ht="15" customHeight="1" s="410">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row>
    <row r="525" ht="15" customHeight="1" s="410">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row>
    <row r="526" ht="15" customHeight="1" s="410">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row>
    <row r="527" ht="15" customHeight="1" s="410">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row>
    <row r="528" ht="15" customHeight="1" s="410">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row>
    <row r="529" ht="15" customHeight="1" s="410">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row>
    <row r="530" ht="15" customHeight="1" s="410">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row>
    <row r="531" ht="15" customHeight="1" s="410">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row>
    <row r="532" ht="15" customHeight="1" s="410">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row>
    <row r="533" ht="15" customHeight="1" s="410">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row>
    <row r="534" ht="15" customHeight="1" s="410">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row>
    <row r="535" ht="15" customHeight="1" s="410">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row>
    <row r="536" ht="15" customHeight="1" s="410">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row>
    <row r="537" ht="15" customHeight="1" s="410">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row>
    <row r="538" ht="15" customHeight="1" s="410">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row>
    <row r="539" ht="15" customHeight="1" s="410">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row>
    <row r="540" ht="15" customHeight="1" s="410">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row>
    <row r="541" ht="15" customHeight="1" s="410">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row>
    <row r="542" ht="15" customHeight="1" s="410">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row>
    <row r="543" ht="15" customHeight="1" s="410">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row>
    <row r="544" ht="15" customHeight="1" s="410">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row>
    <row r="545" ht="15" customHeight="1" s="410">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row>
    <row r="546" ht="15" customHeight="1" s="410">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row>
    <row r="547" ht="15" customHeight="1" s="410">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row>
    <row r="548" ht="15" customHeight="1" s="410">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row>
    <row r="549" ht="15" customHeight="1" s="410">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row>
    <row r="550" ht="15" customHeight="1" s="410">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row>
    <row r="551" ht="15" customHeight="1" s="410">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row>
    <row r="552" ht="15" customHeight="1" s="410">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row>
    <row r="553" ht="15" customHeight="1" s="410">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row>
    <row r="554" ht="15" customHeight="1" s="410">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row>
    <row r="555" ht="15" customHeight="1" s="410">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row>
    <row r="556" ht="15" customHeight="1" s="410">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row>
    <row r="557" ht="15" customHeight="1" s="410">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row>
    <row r="558" ht="15" customHeight="1" s="410">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row>
    <row r="559" ht="15" customHeight="1" s="410">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row>
    <row r="560" ht="15" customHeight="1" s="410">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row>
    <row r="561" ht="15" customHeight="1" s="410">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row>
    <row r="562" ht="15" customHeight="1" s="410">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row>
    <row r="563" ht="15" customHeight="1" s="410">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row>
    <row r="564" ht="15" customHeight="1" s="410">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row>
    <row r="565" ht="15" customHeight="1" s="410">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row>
    <row r="566" ht="15" customHeight="1" s="410">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row>
    <row r="567" ht="15" customHeight="1" s="410">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row>
    <row r="568" ht="15" customHeight="1" s="410">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row>
    <row r="569" ht="15" customHeight="1" s="410">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row>
    <row r="570" ht="15" customHeight="1" s="410">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row>
    <row r="571" ht="15" customHeight="1" s="410">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row>
    <row r="572" ht="15" customHeight="1" s="410">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row>
    <row r="573" ht="15" customHeight="1" s="410">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row>
    <row r="574" ht="15" customHeight="1" s="410">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row>
    <row r="575" ht="15" customHeight="1" s="410">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row>
    <row r="576" ht="15" customHeight="1" s="410">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row>
    <row r="577" ht="15" customHeight="1" s="410">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row>
    <row r="578" ht="15" customHeight="1" s="410">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row>
    <row r="579" ht="15" customHeight="1" s="410">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row>
    <row r="580" ht="15" customHeight="1" s="410">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row>
    <row r="581" ht="15" customHeight="1" s="410">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row>
    <row r="582" ht="15" customHeight="1" s="410">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row>
    <row r="583" ht="15" customHeight="1" s="410">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row>
    <row r="584" ht="15" customHeight="1" s="410">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row>
    <row r="585" ht="15" customHeight="1" s="410">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row>
    <row r="586" ht="15" customHeight="1" s="410">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row>
    <row r="587" ht="15" customHeight="1" s="410">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row>
    <row r="588" ht="15" customHeight="1" s="410">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row>
    <row r="589" ht="15" customHeight="1" s="410">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row>
    <row r="590" ht="15" customHeight="1" s="410">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row>
    <row r="591" ht="15" customHeight="1" s="410">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row>
    <row r="592" ht="15" customHeight="1" s="410">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row>
    <row r="593" ht="15" customHeight="1" s="410">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row>
    <row r="594" ht="15" customHeight="1" s="410">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row>
    <row r="595" ht="15" customHeight="1" s="410">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row>
    <row r="596" ht="15" customHeight="1" s="410">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row>
    <row r="597" ht="15" customHeight="1" s="410">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row>
    <row r="598" ht="15" customHeight="1" s="410">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row>
    <row r="599" ht="15" customHeight="1" s="410">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row>
    <row r="600" ht="15" customHeight="1" s="410">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row>
    <row r="601" ht="15" customHeight="1" s="410">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row>
    <row r="602" ht="15" customHeight="1" s="410">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row>
    <row r="603" ht="15" customHeight="1" s="410">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row>
    <row r="604" ht="15" customHeight="1" s="410">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row>
    <row r="605" ht="15" customHeight="1" s="410">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row>
    <row r="606" ht="15" customHeight="1" s="410">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410" min="1" max="1"/>
    <col width="13" customWidth="1" style="410" min="2" max="7"/>
    <col width="63.1640625" customWidth="1" style="410" min="8" max="8"/>
    <col width="24.83203125" customWidth="1" style="410" min="9" max="9"/>
  </cols>
  <sheetData>
    <row r="1" ht="27.75" customHeight="1" s="410">
      <c r="A1" s="469" t="inlineStr">
        <is>
          <t>Rent Roll Reconciliation  —  RR vs. T12 Gap Analysis</t>
        </is>
      </c>
      <c r="AZ1" t="inlineStr">
        <is>
          <t>RR ↔ T12 reconciliation diagnostic</t>
        </is>
      </c>
    </row>
    <row r="2" ht="30" customHeight="1" s="410">
      <c r="A2" s="102" t="inlineStr">
        <is>
          <t>Select period:</t>
        </is>
      </c>
      <c r="B2" s="103">
        <f>IF(MAX('Rent Roll Input'!$S$7:$S$606)&gt;0,MAX('Rent Roll Input'!$S$7:$S$606),"")</f>
        <v/>
      </c>
      <c r="C2" s="477" t="inlineStr">
        <is>
          <t>← date from Rent Roll Input col S. All tables auto-update.</t>
        </is>
      </c>
      <c r="AZ2" t="inlineStr">
        <is>
          <t>aggregator</t>
        </is>
      </c>
    </row>
    <row r="3" ht="6" customHeight="1" s="410">
      <c r="AZ3" t="inlineStr">
        <is>
          <t>visible</t>
        </is>
      </c>
    </row>
    <row r="4" ht="24" customHeight="1" s="410">
      <c r="A4" s="104" t="inlineStr">
        <is>
          <t>Metric</t>
        </is>
      </c>
      <c r="B4" s="9" t="inlineStr">
        <is>
          <t>IL</t>
        </is>
      </c>
      <c r="C4" s="9" t="inlineStr">
        <is>
          <t>AL</t>
        </is>
      </c>
      <c r="D4" s="9" t="inlineStr">
        <is>
          <t>MC</t>
        </is>
      </c>
      <c r="E4" s="9" t="inlineStr">
        <is>
          <t>Total</t>
        </is>
      </c>
      <c r="F4" s="9" t="n"/>
      <c r="G4" s="9" t="n"/>
      <c r="H4" s="9" t="inlineStr">
        <is>
          <t>Flag / Note</t>
        </is>
      </c>
      <c r="I4" s="13" t="n"/>
      <c r="AZ4" t="inlineStr">
        <is>
          <t>v0.2.12</t>
        </is>
      </c>
    </row>
    <row r="5" ht="6" customHeight="1" s="410"/>
    <row r="6" ht="18" customHeight="1" s="410">
      <c r="A6" s="462" t="inlineStr">
        <is>
          <t>A  ·  UNIT COUNTS  (from selected rent roll period)</t>
        </is>
      </c>
    </row>
    <row r="7" ht="15.75" customHeight="1" s="410">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410">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410">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410">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410">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410">
      <c r="A12" s="105" t="inlineStr">
        <is>
          <t>Physical occupancy %</t>
        </is>
      </c>
      <c r="B12" s="110">
        <f>IFERROR(B8/B7,"-")</f>
        <v/>
      </c>
      <c r="C12" s="110">
        <f>IFERROR(C8/C7,"-")</f>
        <v/>
      </c>
      <c r="D12" s="110">
        <f>IFERROR(D8/D7,"-")</f>
        <v/>
      </c>
      <c r="E12" s="111">
        <f>IFERROR(E8/E7,"-")</f>
        <v/>
      </c>
      <c r="F12" s="13" t="n"/>
      <c r="G12" s="13" t="n"/>
      <c r="H12" s="13" t="n"/>
      <c r="I12" s="13" t="n"/>
    </row>
    <row r="13" ht="15.75" customHeight="1" s="410">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410"/>
    <row r="15" ht="18" customHeight="1" s="410">
      <c r="A15" s="462" t="inlineStr">
        <is>
          <t>B  ·  REVENUE RECONCILIATION  (RR contracted vs. T12 collected)</t>
        </is>
      </c>
      <c r="I15" s="13" t="n"/>
    </row>
    <row r="16" ht="25.5" customHeight="1" s="410">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410">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410">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410">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410">
      <c r="I21" s="13" t="n"/>
    </row>
    <row r="22" ht="18" customHeight="1" s="410">
      <c r="A22" s="462" t="inlineStr">
        <is>
          <t>C  ·  RATE ANALYSIS  (RR contracted rate vs. T12 implied ADR)</t>
        </is>
      </c>
      <c r="I22" s="13" t="n"/>
    </row>
    <row r="23" ht="15.75" customHeight="1" s="410">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410">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410">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7" ht="18" customHeight="1" s="410">
      <c r="A27" s="462" t="inlineStr">
        <is>
          <t>D  ·  OCCUPANCY CROSSCHECK  (RR snapshot vs. T12 avg occupied beds)</t>
        </is>
      </c>
    </row>
    <row r="28" ht="15.75" customHeight="1" s="410">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410">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410">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410"/>
    <row r="32" ht="18" customHeight="1" s="410">
      <c r="A32" s="473" t="inlineStr">
        <is>
          <t>E  ·  AUTO-FILL TO T12 ANALYTICS  (occupied beds from selected period)</t>
        </is>
      </c>
    </row>
    <row r="33" ht="19.5" customHeight="1" s="410">
      <c r="A33" s="472" t="inlineStr">
        <is>
          <t>T12 Analytics Section 1 (avg occupied beds) reads from rows below automatically. Override T12 Analytics row 7 directly if needed.</t>
        </is>
      </c>
    </row>
    <row r="34" ht="15.75" customHeight="1" s="410">
      <c r="A34" s="105" t="inlineStr">
        <is>
          <t>Occupied beds — IL  (feeds T12 Analytics B7)</t>
        </is>
      </c>
      <c r="B34" s="106">
        <f>B28</f>
        <v/>
      </c>
      <c r="C34" s="13" t="n"/>
      <c r="D34" s="13" t="n"/>
      <c r="E34" s="13" t="n"/>
      <c r="F34" s="13" t="n"/>
      <c r="G34" s="13" t="n"/>
      <c r="H34" s="13" t="n"/>
      <c r="I34" s="13" t="n"/>
    </row>
    <row r="35" ht="15.75" customHeight="1" s="410">
      <c r="A35" s="105" t="inlineStr">
        <is>
          <t>Occupied beds — AL  (feeds T12 Analytics C7)</t>
        </is>
      </c>
      <c r="B35" s="13" t="n"/>
      <c r="C35" s="106">
        <f>C28</f>
        <v/>
      </c>
      <c r="D35" s="13" t="n"/>
      <c r="E35" s="13" t="n"/>
      <c r="F35" s="13" t="n"/>
      <c r="G35" s="13" t="n"/>
      <c r="H35" s="13" t="n"/>
      <c r="I35" s="13" t="n"/>
    </row>
    <row r="36" ht="15.75" customHeight="1" s="410">
      <c r="A36" s="105" t="inlineStr">
        <is>
          <t>Occupied beds — MC  (feeds T12 Analytics D7)</t>
        </is>
      </c>
      <c r="B36" s="13" t="n"/>
      <c r="C36" s="13" t="n"/>
      <c r="D36" s="106">
        <f>D28</f>
        <v/>
      </c>
      <c r="E36" s="13" t="n"/>
      <c r="F36" s="13" t="n"/>
      <c r="G36" s="13" t="n"/>
      <c r="H36" s="13" t="n"/>
      <c r="I36" s="13" t="n"/>
    </row>
    <row r="37" ht="6" customHeight="1" s="410"/>
    <row r="38" ht="18" customHeight="1" s="410">
      <c r="A38" s="462" t="inlineStr">
        <is>
          <t>F  ·  PAYER MIX SUMMARY  (auto-calculated from selected period)</t>
        </is>
      </c>
    </row>
    <row r="39" ht="27.75" customHeight="1" s="410">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410">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410">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410">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410">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410">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410">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410">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410">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410">
      <c r="A48" s="475" t="inlineStr">
        <is>
          <t>⚠ Medicaid: flag for reimbursement rate risk, lower RevPOR impact, and stabilization assumptions. Managed Care: verify per diem rates vs. private pay rates.</t>
        </is>
      </c>
    </row>
    <row r="49" ht="6" customHeight="1" s="410"/>
    <row r="50" ht="18" customHeight="1" s="410">
      <c r="A50" s="462" t="inlineStr">
        <is>
          <t>G  ·  ARPR BY CARE TYPE  (avg revenue per resident / month)</t>
        </is>
      </c>
    </row>
    <row r="51" ht="27.75" customHeight="1" s="410">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410">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410">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410">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410">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410"/>
    <row r="57" ht="18" customHeight="1" s="410">
      <c r="A57" s="463" t="inlineStr">
        <is>
          <t>H  ·  AL CARE LEVEL DISTRIBUTION  (acuity mix)</t>
        </is>
      </c>
    </row>
    <row r="58" ht="25.5" customHeight="1" s="410">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410">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410">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410">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410">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410">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410">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410">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410">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410">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410"/>
    <row r="69" ht="18" customHeight="1" s="410">
      <c r="A69" s="463" t="inlineStr">
        <is>
          <t>I  ·  ANCILLARY CHARGES  (Med Mgmt, Pharmacy, Other LOC)</t>
        </is>
      </c>
    </row>
    <row r="70" ht="25.5" customHeight="1" s="410">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410">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410">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410">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410">
      <c r="A74" s="3" t="inlineStr">
        <is>
          <t>Total ancillary charges</t>
        </is>
      </c>
      <c r="B74" s="133" t="n"/>
      <c r="C74" s="133" t="n"/>
      <c r="D74" s="28">
        <f>SUM(D71:D73)</f>
        <v/>
      </c>
      <c r="E74" s="133" t="n"/>
      <c r="F74" s="133" t="n"/>
      <c r="G74" s="133" t="n"/>
      <c r="H74" s="133" t="n"/>
      <c r="I74" s="133" t="n"/>
    </row>
    <row r="75" ht="15.75" customHeight="1" s="410">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410"/>
    <row r="77" ht="18" customHeight="1" s="410">
      <c r="A77" s="463" t="inlineStr">
        <is>
          <t>J  ·  CONCESSION TRACKER  (active concessions and expiration flags)</t>
        </is>
      </c>
    </row>
    <row r="78" ht="18" customHeight="1" s="410">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410">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410">
      <c r="A80" s="105" t="inlineStr">
        <is>
          <t>Concession as % of gross contracted rent</t>
        </is>
      </c>
      <c r="B80" s="110">
        <f>IFERROR(B79/E16,"-")</f>
        <v/>
      </c>
      <c r="C80" s="13" t="n"/>
      <c r="D80" s="13" t="n"/>
      <c r="E80" s="13" t="n"/>
      <c r="F80" s="13" t="n"/>
      <c r="G80" s="13" t="n"/>
      <c r="H80" s="13" t="n"/>
      <c r="I80" s="13" t="n"/>
    </row>
    <row r="81" ht="18" customHeight="1" s="410">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410">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410"/>
    <row r="84" ht="13.5" customHeight="1" s="410">
      <c r="A84" s="470" t="inlineStr">
        <is>
          <t xml:space="preserve">  Blue=Period selector (B2)  |  Teal headers = calculated outputs  |  Yellow = key inputs  |  Amber = flags requiring review  |  ARPR = avg revenue per resident/month</t>
        </is>
      </c>
    </row>
    <row r="86">
      <c r="A86" s="471" t="inlineStr">
        <is>
          <t>K  ·  IL UNIT-TYPE MIX, SIZE &amp; RATE DISPERSION</t>
        </is>
      </c>
    </row>
    <row r="87" ht="25.5" customHeight="1" s="410">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59"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78" t="inlineStr">
        <is>
          <t>Total IL occupied</t>
        </is>
      </c>
      <c r="B93" s="478">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76">
        <f>IF(B93=0,"No IL units in selected period",IF(B96&gt;0.25,"⚠ IL rate CV "&amp;TEXT(B96,"0.0%")&amp;" — wide rate dispersion. "&amp;"Likely legacy in-place rates well below current asking.","✓ IL rate dispersion within normal band."))</f>
        <v/>
      </c>
    </row>
    <row r="102">
      <c r="A102" s="471" t="inlineStr">
        <is>
          <t>L  ·  MC CARE STRUCTURE  (auto-detected pattern)</t>
        </is>
      </c>
    </row>
    <row r="103">
      <c r="A103" s="478" t="inlineStr">
        <is>
          <t>MC Care Pattern detected:</t>
        </is>
      </c>
      <c r="B103" s="478">
        <f>IF(SUM(B106:B109)=0,"Flat-rate (no care levels recorded)",IF(COUNTIF(B106:B109,"&gt;0")=1,"Flat-rate (single tier)",IF(COUNTIF(B106:B109,"&gt;0")&lt;=3,"Tiered acuity ("&amp;COUNTIF(B106:B109,"&gt;0")&amp;" levels)","Fee-for-service / variable")))</f>
        <v/>
      </c>
    </row>
    <row r="105" ht="25.5" customHeight="1" s="410">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78" t="inlineStr">
        <is>
          <t>Total MC occupied</t>
        </is>
      </c>
      <c r="B110" s="478">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76">
        <f>IF(B114&gt;0.3,"⚠ Care charge &gt; 30% of base — acuity-heavy","✓ Within range")</f>
        <v/>
      </c>
    </row>
    <row r="115">
      <c r="A115" s="478"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76">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410">
      <c r="A119" s="479" t="inlineStr">
        <is>
          <t>M  ·  OPERATOR FEE SCHEDULE  &amp;  ANCILLARY RECONCILIATION</t>
        </is>
      </c>
    </row>
    <row r="121" ht="18" customHeight="1" s="410">
      <c r="A121" s="460" t="inlineStr">
        <is>
          <t>M1  —  Published schedule  (paste-in: published rates from broker)</t>
        </is>
      </c>
    </row>
    <row r="122">
      <c r="A122" s="459" t="inlineStr">
        <is>
          <t>Fee Name</t>
        </is>
      </c>
      <c r="B122" s="459" t="inlineStr">
        <is>
          <t>Published $</t>
        </is>
      </c>
      <c r="C122" s="459" t="inlineStr">
        <is>
          <t>Basis</t>
        </is>
      </c>
      <c r="D122" s="459" t="inlineStr">
        <is>
          <t>T12 Label</t>
        </is>
      </c>
      <c r="E122" s="459" t="inlineStr">
        <is>
          <t>RR Input Col</t>
        </is>
      </c>
    </row>
    <row r="123" ht="25.5" customHeight="1" s="410">
      <c r="A123" s="189" t="inlineStr">
        <is>
          <t>Community Fee</t>
        </is>
      </c>
      <c r="B123" s="190" t="n"/>
      <c r="C123" s="189" t="inlineStr">
        <is>
          <t>per unit</t>
        </is>
      </c>
      <c r="D123" s="189" t="inlineStr">
        <is>
          <t>Community / move-in fees</t>
        </is>
      </c>
      <c r="E123" s="198" t="n"/>
    </row>
    <row r="124" ht="25.5" customHeight="1" s="410">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410">
      <c r="A126" s="189" t="inlineStr">
        <is>
          <t>Motorized Scooter Fee</t>
        </is>
      </c>
      <c r="B126" s="190" t="n"/>
      <c r="C126" s="189" t="inlineStr">
        <is>
          <t>per month</t>
        </is>
      </c>
      <c r="D126" s="189" t="inlineStr">
        <is>
          <t>Scooter Fee Revenue</t>
        </is>
      </c>
      <c r="E126" s="198" t="inlineStr">
        <is>
          <t>AD</t>
        </is>
      </c>
    </row>
    <row r="127" ht="25.5" customHeight="1" s="410">
      <c r="A127" s="189" t="inlineStr">
        <is>
          <t>Second Person Fee</t>
        </is>
      </c>
      <c r="B127" s="190" t="n"/>
      <c r="C127" s="189" t="inlineStr">
        <is>
          <t>per month</t>
        </is>
      </c>
      <c r="D127" s="189" t="inlineStr">
        <is>
          <t>2nd Person Revenue</t>
        </is>
      </c>
      <c r="E127" s="198" t="inlineStr">
        <is>
          <t>V</t>
        </is>
      </c>
    </row>
    <row r="128" ht="25.5" customHeight="1" s="410">
      <c r="A128" s="189" t="inlineStr">
        <is>
          <t>Housekeeping</t>
        </is>
      </c>
      <c r="B128" s="190" t="n"/>
      <c r="C128" s="189" t="inlineStr">
        <is>
          <t>per visit</t>
        </is>
      </c>
      <c r="D128" s="189" t="inlineStr">
        <is>
          <t>Housekeeping Income</t>
        </is>
      </c>
      <c r="E128" s="198" t="inlineStr">
        <is>
          <t>AE</t>
        </is>
      </c>
    </row>
    <row r="129" ht="25.5" customHeight="1" s="410">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410">
      <c r="A133" s="460" t="inlineStr">
        <is>
          <t>M2  —  RR-side capture  (auto, from Rent Roll Input)</t>
        </is>
      </c>
    </row>
    <row r="134">
      <c r="A134" s="459" t="inlineStr">
        <is>
          <t>Fee Name</t>
        </is>
      </c>
      <c r="B134" s="459" t="inlineStr">
        <is>
          <t>Eligible #</t>
        </is>
      </c>
      <c r="C134" s="459" t="inlineStr">
        <is>
          <t>Capturing #</t>
        </is>
      </c>
      <c r="D134" s="459" t="inlineStr">
        <is>
          <t>Capture %</t>
        </is>
      </c>
      <c r="E134" s="459" t="inlineStr">
        <is>
          <t>Note</t>
        </is>
      </c>
    </row>
    <row r="135" ht="63.75" customHeight="1" s="410">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410">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410">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410">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410">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410">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410">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410">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410">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410">
      <c r="A145" s="460" t="inlineStr">
        <is>
          <t>M3  —  T12 actuals  (12-month total + monthly avg, via VLOOKUP on M1 Label)</t>
        </is>
      </c>
    </row>
    <row r="146" ht="25.5" customHeight="1" s="410">
      <c r="A146" s="459" t="inlineStr">
        <is>
          <t>Fee Name</t>
        </is>
      </c>
      <c r="B146" s="459" t="inlineStr">
        <is>
          <t>T12 Annual $</t>
        </is>
      </c>
      <c r="C146" s="459" t="inlineStr">
        <is>
          <t>T12 Monthly $</t>
        </is>
      </c>
      <c r="D146" s="459" t="inlineStr">
        <is>
          <t>Mapped to Label</t>
        </is>
      </c>
      <c r="E146" s="459" t="inlineStr">
        <is>
          <t>Note</t>
        </is>
      </c>
    </row>
    <row r="147" ht="25.5" customHeight="1" s="410">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410">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410">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410">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410">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410">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410">
      <c r="A157" s="460" t="inlineStr">
        <is>
          <t>M4  —  Implied per-resident rate  (T12 monthly ÷ RR # capturing  vs.  schedule)</t>
        </is>
      </c>
    </row>
    <row r="158" ht="25.5" customHeight="1" s="410">
      <c r="A158" s="459" t="inlineStr">
        <is>
          <t>Fee Name</t>
        </is>
      </c>
      <c r="B158" s="459" t="inlineStr">
        <is>
          <t>T12 $/mo</t>
        </is>
      </c>
      <c r="C158" s="459" t="inlineStr">
        <is>
          <t>RR # capturing</t>
        </is>
      </c>
      <c r="D158" s="459" t="inlineStr">
        <is>
          <t>Implied $/resident</t>
        </is>
      </c>
      <c r="E158" s="459" t="inlineStr">
        <is>
          <t>Schedule $</t>
        </is>
      </c>
      <c r="F158" s="459" t="inlineStr">
        <is>
          <t>Variance %</t>
        </is>
      </c>
      <c r="G158" s="459" t="inlineStr">
        <is>
          <t>Note</t>
        </is>
      </c>
    </row>
    <row r="159" ht="76.5" customHeight="1" s="410">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410">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410">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410">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410">
      <c r="A169" s="460" t="inlineStr">
        <is>
          <t>M5  —  Misc. Income  (T12 'Other community revenue' minus per-fee attribution)</t>
        </is>
      </c>
    </row>
    <row r="170" ht="25.5" customHeight="1" s="410">
      <c r="A170" s="191" t="inlineStr">
        <is>
          <t>T12 'Other community revenue' — annual total</t>
        </is>
      </c>
      <c r="B170" s="196">
        <f>IFERROR(VLOOKUP("Other community revenue", 'T12 Raw Data'!$B:$R, 17, 0), 0)</f>
        <v/>
      </c>
    </row>
    <row r="171" ht="25.5" customHeight="1" s="410">
      <c r="A171" s="191" t="inlineStr">
        <is>
          <t>T12 'Other community revenue' — monthly avg</t>
        </is>
      </c>
      <c r="B171" s="196">
        <f>B170/12</f>
        <v/>
      </c>
    </row>
    <row r="172" ht="25.5" customHeight="1" s="410">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74">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A6:I6"/>
    <mergeCell ref="A117:H117"/>
    <mergeCell ref="A69:I69"/>
    <mergeCell ref="C2:I2"/>
    <mergeCell ref="B103:H103"/>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410" min="1" max="1"/>
    <col width="11" customWidth="1" style="410" min="2" max="13"/>
    <col width="13" customWidth="1" style="410" min="14" max="14"/>
  </cols>
  <sheetData>
    <row r="1" ht="25.5" customHeight="1" s="410">
      <c r="A1" s="469" t="inlineStr">
        <is>
          <t>Monthly Trending  —  T12 Actuals by Month</t>
        </is>
      </c>
      <c r="AZ1" t="inlineStr">
        <is>
          <t>Per-Label monthly summary by Group</t>
        </is>
      </c>
    </row>
    <row r="2" ht="6" customHeight="1" s="410">
      <c r="AZ2" t="inlineStr">
        <is>
          <t>aggregator</t>
        </is>
      </c>
    </row>
    <row r="3" ht="21.75" customHeight="1" s="410">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410">
      <c r="A4" s="462" t="inlineStr">
        <is>
          <t>REVENUE</t>
        </is>
      </c>
      <c r="AZ4" t="inlineStr">
        <is>
          <t>v0.2.12</t>
        </is>
      </c>
    </row>
    <row r="5" ht="15.75" customHeight="1" s="410">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410">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410">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410">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410">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410">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410">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410">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410">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410">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410">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410">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410">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410">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410">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410">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410">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410">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410">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410">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410">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410">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410">
      <c r="A27" s="462" t="inlineStr">
        <is>
          <t>LABOR</t>
        </is>
      </c>
    </row>
    <row r="28" ht="15.75" customHeight="1" s="410">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410">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410">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410">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410">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410">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410">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410">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410">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410">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410">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410">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410">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410">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410">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410">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410">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410">
      <c r="A45" s="462" t="inlineStr">
        <is>
          <t>NON-LABOR</t>
        </is>
      </c>
    </row>
    <row r="46" ht="15.75" customHeight="1" s="410">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410">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410">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410">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410">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410">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410">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410">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410">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410">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410">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410">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410">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410">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410">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410">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410">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410">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410">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410">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410">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410">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410">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B1:AZ66"/>
  <sheetViews>
    <sheetView showGridLines="0" workbookViewId="0">
      <selection activeCell="A1" sqref="A1"/>
    </sheetView>
  </sheetViews>
  <sheetFormatPr baseColWidth="10" defaultColWidth="8.83203125" defaultRowHeight="15"/>
  <cols>
    <col width="3" customWidth="1" style="410" min="1" max="1"/>
    <col width="48" customWidth="1" style="410" min="2" max="2"/>
    <col width="16" customWidth="1" style="410" min="3" max="3"/>
    <col width="14" customWidth="1" style="410" min="4" max="5"/>
    <col width="22" customWidth="1" style="410" min="6" max="6"/>
    <col width="3" customWidth="1" style="410" min="7" max="7"/>
    <col width="6" customWidth="1" style="410" min="26" max="26"/>
  </cols>
  <sheetData>
    <row r="1" ht="26" customHeight="1" s="410">
      <c r="B1" s="481" t="inlineStr">
        <is>
          <t>AR &amp; COLLECTIONS</t>
        </is>
      </c>
      <c r="Z1" s="381" t="n">
        <v>0</v>
      </c>
      <c r="AZ1" t="inlineStr">
        <is>
          <t>AR aging, collections KPIs, roll-forward &amp; bad-debt reconciliation</t>
        </is>
      </c>
    </row>
    <row r="2">
      <c r="AZ2" t="inlineStr">
        <is>
          <t>Analytical (diligence)</t>
        </is>
      </c>
    </row>
    <row r="3">
      <c r="B3" s="382" t="inlineStr">
        <is>
          <t>AR as-of date:</t>
        </is>
      </c>
      <c r="C3" s="383">
        <f>IFERROR(RR_Period_Date,"")</f>
        <v/>
      </c>
      <c r="D3" s="384" t="inlineStr">
        <is>
          <t>(analyst override OK)</t>
        </is>
      </c>
      <c r="AZ3" t="inlineStr">
        <is>
          <t>hidden (visible when AR uploaded)</t>
        </is>
      </c>
    </row>
    <row r="4">
      <c r="B4" s="382" t="inlineStr">
        <is>
          <t>Period basis:</t>
        </is>
      </c>
      <c r="C4" s="385" t="inlineStr">
        <is>
          <t>Monthly</t>
        </is>
      </c>
      <c r="D4" s="384" t="inlineStr">
        <is>
          <t>Monthly / Quarterly / Annual</t>
        </is>
      </c>
      <c r="AZ4" t="inlineStr">
        <is>
          <t>v0.2.12</t>
        </is>
      </c>
    </row>
    <row r="5">
      <c r="B5" s="382" t="inlineStr">
        <is>
          <t>Variance tolerance:</t>
        </is>
      </c>
      <c r="C5" s="386" t="n">
        <v>0.2</v>
      </c>
      <c r="D5" s="384"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7">
      <c r="B7" s="480" t="inlineStr">
        <is>
          <t>1 · AGING SUMMARY</t>
        </is>
      </c>
    </row>
    <row r="8">
      <c r="B8" s="387" t="inlineStr">
        <is>
          <t>Bucket</t>
        </is>
      </c>
      <c r="C8" s="388" t="inlineStr">
        <is>
          <t>$ outstanding</t>
        </is>
      </c>
      <c r="D8" s="388" t="inlineStr">
        <is>
          <t>% of total</t>
        </is>
      </c>
    </row>
    <row r="9">
      <c r="B9" s="389" t="inlineStr">
        <is>
          <t>Current (0-30 days)</t>
        </is>
      </c>
      <c r="C9" s="390" t="n">
        <v>0</v>
      </c>
      <c r="D9" s="391">
        <f>IFERROR(C9/$C$15,0)</f>
        <v/>
      </c>
    </row>
    <row r="10">
      <c r="B10" s="389" t="inlineStr">
        <is>
          <t>31-60 days</t>
        </is>
      </c>
      <c r="C10" s="390" t="n">
        <v>0</v>
      </c>
      <c r="D10" s="391">
        <f>IFERROR(C10/$C$15,0)</f>
        <v/>
      </c>
    </row>
    <row r="11">
      <c r="B11" s="389" t="inlineStr">
        <is>
          <t>61-90 days</t>
        </is>
      </c>
      <c r="C11" s="390" t="n">
        <v>0</v>
      </c>
      <c r="D11" s="391">
        <f>IFERROR(C11/$C$15,0)</f>
        <v/>
      </c>
    </row>
    <row r="12">
      <c r="B12" s="389" t="inlineStr">
        <is>
          <t>91-120 days</t>
        </is>
      </c>
      <c r="C12" s="390" t="n">
        <v>0</v>
      </c>
      <c r="D12" s="391">
        <f>IFERROR(C12/$C$15,0)</f>
        <v/>
      </c>
    </row>
    <row r="13">
      <c r="B13" s="389" t="inlineStr">
        <is>
          <t>Over 120 days</t>
        </is>
      </c>
      <c r="C13" s="390" t="n">
        <v>0</v>
      </c>
      <c r="D13" s="391">
        <f>IFERROR(C13/$C$15,0)</f>
        <v/>
      </c>
    </row>
    <row r="15">
      <c r="B15" s="392" t="inlineStr">
        <is>
          <t>TOTAL AR</t>
        </is>
      </c>
      <c r="C15" s="393">
        <f>SUM(C9:C13)</f>
        <v/>
      </c>
      <c r="D15" s="394">
        <f>IF(C15=0,0,1)</f>
        <v/>
      </c>
    </row>
    <row r="17">
      <c r="B17" s="389" t="inlineStr">
        <is>
          <t>90+ subtotal</t>
        </is>
      </c>
      <c r="C17" s="390">
        <f>C12+C13</f>
        <v/>
      </c>
    </row>
    <row r="18">
      <c r="B18" s="389" t="inlineStr">
        <is>
          <t>% of total in 90+</t>
        </is>
      </c>
      <c r="C18" s="391">
        <f>IFERROR(C17/C15,0)</f>
        <v/>
      </c>
    </row>
    <row r="20">
      <c r="B20" s="480" t="inlineStr">
        <is>
          <t>2 · KEY RATIOS / KPIs</t>
        </is>
      </c>
    </row>
    <row r="21">
      <c r="B21" s="387" t="inlineStr">
        <is>
          <t>KPI</t>
        </is>
      </c>
      <c r="C21" s="388" t="inlineStr">
        <is>
          <t>Value</t>
        </is>
      </c>
      <c r="D21" s="395" t="inlineStr">
        <is>
          <t>Threshold flag</t>
        </is>
      </c>
      <c r="E21" s="387" t="inlineStr">
        <is>
          <t>Threshold</t>
        </is>
      </c>
    </row>
    <row r="22">
      <c r="B22" s="389" t="inlineStr">
        <is>
          <t>DSO (days sales outstanding)</t>
        </is>
      </c>
      <c r="C22" s="396">
        <f>IFERROR(C15/('Monthly Trending'!$N$26/365),0)</f>
        <v/>
      </c>
      <c r="D22" s="385">
        <f>IF(C22=0,"—",IF(C22&lt;30,"✓",IF(C22&lt;=45,"⚠ "&amp;TEXT(C22,"0")&amp;" days","✗ "&amp;TEXT(C22,"0")&amp;" days")))</f>
        <v/>
      </c>
      <c r="E22" s="397" t="inlineStr">
        <is>
          <t>&lt; 30 ✓ · 30-45 ⚠ · &gt; 45 ✗</t>
        </is>
      </c>
    </row>
    <row r="23">
      <c r="B23" s="389" t="inlineStr">
        <is>
          <t>AR ÷ monthly EGI</t>
        </is>
      </c>
      <c r="C23" s="391">
        <f>IFERROR(C15/('Monthly Trending'!$N$26/12),0)</f>
        <v/>
      </c>
      <c r="D23" s="385">
        <f>IF(C23=0,"—",IF(C23&lt;0.05,"✓","⚠ "&amp;TEXT(C23,"0.0%")))</f>
        <v/>
      </c>
      <c r="E23" s="397" t="inlineStr">
        <is>
          <t>&lt; 5% ✓ (matches Workbook Health G10)</t>
        </is>
      </c>
    </row>
    <row r="24">
      <c r="B24" s="389" t="inlineStr">
        <is>
          <t>% aged 90+</t>
        </is>
      </c>
      <c r="C24" s="391">
        <f>C18</f>
        <v/>
      </c>
      <c r="D24" s="385">
        <f>IF(C24=0,"—",IF(C24&lt;0.05,"✓",IF(C24&lt;=0.1,"⚠ "&amp;TEXT(C24,"0.0%"),"✗ "&amp;TEXT(C24,"0.0%"))))</f>
        <v/>
      </c>
      <c r="E24" s="397" t="inlineStr">
        <is>
          <t>&lt; 5% ✓ · 5-10% ⚠ · &gt; 10% ✗</t>
        </is>
      </c>
    </row>
    <row r="25">
      <c r="B25" s="389" t="inlineStr">
        <is>
          <t>Collection effectiveness</t>
        </is>
      </c>
      <c r="C25" s="391" t="n"/>
      <c r="D25" s="385">
        <f>IF(C25="","—",IF(C25&gt;=0.97,"✓","⚠ "&amp;TEXT(C25,"0.0%")))</f>
        <v/>
      </c>
      <c r="E25" s="397" t="inlineStr">
        <is>
          <t>&gt; 97% target  (— if charges absent)</t>
        </is>
      </c>
    </row>
    <row r="26">
      <c r="B26" s="389" t="inlineStr">
        <is>
          <t>Avg balance per occupied bed</t>
        </is>
      </c>
      <c r="C26" s="390">
        <f>IFERROR(C15/'T12 Analytics'!$E$7,0)</f>
        <v/>
      </c>
      <c r="D26" s="385" t="n"/>
      <c r="E26" s="397" t="inlineStr">
        <is>
          <t>(contextual benchmark)</t>
        </is>
      </c>
    </row>
    <row r="28">
      <c r="B28" s="480" t="inlineStr">
        <is>
          <t>3 · BY-PAYER MIX</t>
        </is>
      </c>
    </row>
    <row r="29">
      <c r="B29" s="387" t="inlineStr">
        <is>
          <t>Payer</t>
        </is>
      </c>
      <c r="C29" s="388" t="inlineStr">
        <is>
          <t>$ outstanding</t>
        </is>
      </c>
      <c r="D29" s="388" t="inlineStr">
        <is>
          <t>% of total</t>
        </is>
      </c>
      <c r="E29" s="388" t="inlineStr">
        <is>
          <t>% aged 90+</t>
        </is>
      </c>
      <c r="F29" s="395" t="inlineStr">
        <is>
          <t>Concentration flag</t>
        </is>
      </c>
    </row>
    <row r="30">
      <c r="B30" s="389" t="inlineStr">
        <is>
          <t>Private Pay</t>
        </is>
      </c>
      <c r="C30" s="390" t="n">
        <v>0</v>
      </c>
      <c r="D30" s="391">
        <f>IFERROR(C30/$C$15,0)</f>
        <v/>
      </c>
      <c r="E30" s="391" t="n">
        <v>0</v>
      </c>
      <c r="F30" s="385">
        <f>IF(C30=0,"",IF(E30&gt;2*$C$18,"⚠ 2× facility 90+",""))</f>
        <v/>
      </c>
    </row>
    <row r="31">
      <c r="B31" s="389" t="inlineStr">
        <is>
          <t>Medicaid</t>
        </is>
      </c>
      <c r="C31" s="390" t="n">
        <v>0</v>
      </c>
      <c r="D31" s="391">
        <f>IFERROR(C31/$C$15,0)</f>
        <v/>
      </c>
      <c r="E31" s="391" t="n">
        <v>0</v>
      </c>
      <c r="F31" s="385">
        <f>IF(C31=0,"",IF(E31&gt;2*$C$18,"⚠ 2× facility 90+",""))</f>
        <v/>
      </c>
    </row>
    <row r="32">
      <c r="B32" s="389" t="inlineStr">
        <is>
          <t>Medicare</t>
        </is>
      </c>
      <c r="C32" s="390" t="n">
        <v>0</v>
      </c>
      <c r="D32" s="391">
        <f>IFERROR(C32/$C$15,0)</f>
        <v/>
      </c>
      <c r="E32" s="391" t="n">
        <v>0</v>
      </c>
      <c r="F32" s="385">
        <f>IF(C32=0,"",IF(E32&gt;2*$C$18,"⚠ 2× facility 90+",""))</f>
        <v/>
      </c>
    </row>
    <row r="33">
      <c r="B33" s="389" t="inlineStr">
        <is>
          <t>Managed Care</t>
        </is>
      </c>
      <c r="C33" s="390" t="n">
        <v>0</v>
      </c>
      <c r="D33" s="391">
        <f>IFERROR(C33/$C$15,0)</f>
        <v/>
      </c>
      <c r="E33" s="391" t="n">
        <v>0</v>
      </c>
      <c r="F33" s="385">
        <f>IF(C33=0,"",IF(E33&gt;2*$C$18,"⚠ 2× facility 90+",""))</f>
        <v/>
      </c>
    </row>
    <row r="34">
      <c r="B34" s="389" t="inlineStr">
        <is>
          <t>VA Benefit</t>
        </is>
      </c>
      <c r="C34" s="390" t="n">
        <v>0</v>
      </c>
      <c r="D34" s="391">
        <f>IFERROR(C34/$C$15,0)</f>
        <v/>
      </c>
      <c r="E34" s="391" t="n">
        <v>0</v>
      </c>
      <c r="F34" s="385">
        <f>IF(C34=0,"",IF(E34&gt;2*$C$18,"⚠ 2× facility 90+",""))</f>
        <v/>
      </c>
    </row>
    <row r="35">
      <c r="B35" s="389" t="inlineStr">
        <is>
          <t>LTC Insurance</t>
        </is>
      </c>
      <c r="C35" s="390" t="n">
        <v>0</v>
      </c>
      <c r="D35" s="391">
        <f>IFERROR(C35/$C$15,0)</f>
        <v/>
      </c>
      <c r="E35" s="391" t="n">
        <v>0</v>
      </c>
      <c r="F35" s="385">
        <f>IF(C35=0,"",IF(E35&gt;2*$C$18,"⚠ 2× facility 90+",""))</f>
        <v/>
      </c>
    </row>
    <row r="36">
      <c r="B36" s="389" t="inlineStr">
        <is>
          <t>Self-Pay + Other</t>
        </is>
      </c>
      <c r="C36" s="390" t="n">
        <v>0</v>
      </c>
      <c r="D36" s="391">
        <f>IFERROR(C36/$C$15,0)</f>
        <v/>
      </c>
      <c r="E36" s="391" t="n">
        <v>0</v>
      </c>
      <c r="F36" s="385">
        <f>IF(C36=0,"",IF(E36&gt;2*$C$18,"⚠ 2× facility 90+",""))</f>
        <v/>
      </c>
    </row>
    <row r="40">
      <c r="B40" s="480" t="inlineStr">
        <is>
          <t>4 · ROLL-FORWARD &amp; BAD-DEBT RECONCILIATION</t>
        </is>
      </c>
    </row>
    <row r="41">
      <c r="B41" s="398" t="inlineStr">
        <is>
          <t>Roll-forward (period-over-period)</t>
        </is>
      </c>
      <c r="C41" s="399" t="n"/>
      <c r="D41" s="399" t="n"/>
      <c r="E41" s="399" t="n"/>
      <c r="F41" s="399" t="n"/>
    </row>
    <row r="42">
      <c r="B42" s="389" t="inlineStr">
        <is>
          <t>Prior period AR</t>
        </is>
      </c>
      <c r="C42" s="390" t="n"/>
      <c r="E42" s="397" t="inlineStr">
        <is>
          <t>(manual entry or prior-period file)</t>
        </is>
      </c>
    </row>
    <row r="43">
      <c r="B43" s="389" t="inlineStr">
        <is>
          <t>+ Charges (period)</t>
        </is>
      </c>
      <c r="C43" s="390" t="n">
        <v>0</v>
      </c>
      <c r="E43" s="397" t="inlineStr">
        <is>
          <t>(optional — from charges_period col)</t>
        </is>
      </c>
    </row>
    <row r="44">
      <c r="B44" s="389" t="inlineStr">
        <is>
          <t>− Collections (period)</t>
        </is>
      </c>
      <c r="C44" s="390" t="n">
        <v>0</v>
      </c>
      <c r="E44" s="397" t="inlineStr">
        <is>
          <t>(optional — from collections_period col)</t>
        </is>
      </c>
    </row>
    <row r="45">
      <c r="B45" s="389" t="inlineStr">
        <is>
          <t>− Write-offs (period)</t>
        </is>
      </c>
      <c r="C45" s="390" t="n">
        <v>0</v>
      </c>
      <c r="E45" s="397" t="inlineStr">
        <is>
          <t>(optional — from writeoffs_period col)</t>
        </is>
      </c>
    </row>
    <row r="46">
      <c r="B46" s="389" t="inlineStr">
        <is>
          <t>+/− Adjustments</t>
        </is>
      </c>
      <c r="C46" s="390" t="n">
        <v>0</v>
      </c>
      <c r="E46" s="397" t="inlineStr">
        <is>
          <t>(optional — from adjustments_period col)</t>
        </is>
      </c>
    </row>
    <row r="47">
      <c r="B47" s="400" t="inlineStr">
        <is>
          <t>Implied closing AR</t>
        </is>
      </c>
      <c r="C47" s="401">
        <f>IFERROR(C42+C43-C44-C45+C46,0)</f>
        <v/>
      </c>
    </row>
    <row r="48">
      <c r="B48" s="389" t="inlineStr">
        <is>
          <t>Reported closing AR</t>
        </is>
      </c>
      <c r="C48" s="390">
        <f>C15</f>
        <v/>
      </c>
    </row>
    <row r="49">
      <c r="B49" s="400" t="inlineStr">
        <is>
          <t>RECONCILIATION GAP</t>
        </is>
      </c>
      <c r="C49" s="402">
        <f>C47-C48</f>
        <v/>
      </c>
      <c r="D49" s="403">
        <f>IF(C15=0,"",IF(ABS(C49)&gt;0.01*C15,"⚠ |gap| &gt; 1% of AR","✓"))</f>
        <v/>
      </c>
    </row>
    <row r="51">
      <c r="B51" s="398" t="inlineStr">
        <is>
          <t>Bad-debt cross-check</t>
        </is>
      </c>
      <c r="C51" s="399" t="n"/>
      <c r="D51" s="399" t="n"/>
      <c r="E51" s="399" t="n"/>
      <c r="F51" s="399" t="n"/>
    </row>
    <row r="52">
      <c r="B52" s="389" t="inlineStr">
        <is>
          <t>Variance tolerance</t>
        </is>
      </c>
      <c r="C52" s="391">
        <f>C5</f>
        <v/>
      </c>
      <c r="E52" s="397" t="inlineStr">
        <is>
          <t>(refs settings band C5)</t>
        </is>
      </c>
    </row>
    <row r="53">
      <c r="B53" s="389" t="inlineStr">
        <is>
          <t>T-12 bad debt expense (annual)</t>
        </is>
      </c>
      <c r="C53" s="390">
        <f>IFERROR('T12 Analytics'!$E$98,0)</f>
        <v/>
      </c>
      <c r="E53" s="397" t="inlineStr">
        <is>
          <t>(as reported — not modified)</t>
        </is>
      </c>
    </row>
    <row r="54">
      <c r="B54" s="389" t="inlineStr">
        <is>
          <t>Period write-offs (annualized)</t>
        </is>
      </c>
      <c r="C54" s="390">
        <f>C45*12</f>
        <v/>
      </c>
      <c r="E54" s="397" t="inlineStr">
        <is>
          <t>(period basis × 12 — monthly default)</t>
        </is>
      </c>
    </row>
    <row r="55">
      <c r="B55" s="389" t="inlineStr">
        <is>
          <t>Variance (T12 − annualized write-offs)</t>
        </is>
      </c>
      <c r="C55" s="404">
        <f>C53-C54</f>
        <v/>
      </c>
    </row>
    <row r="56">
      <c r="B56" s="400" t="inlineStr">
        <is>
          <t>Variance flag</t>
        </is>
      </c>
      <c r="C56" s="400">
        <f>IF(C53=0,"⚪ no T12 bad debt",IF(ABS(C55)&lt;=C52*C53,"✓ within "&amp;TEXT(C52,"0%")&amp;" tolerance","⚠ DIVERGENCE — investigate"))</f>
        <v/>
      </c>
    </row>
    <row r="57">
      <c r="B57" s="389" t="inlineStr">
        <is>
          <t>Implied reserve change</t>
        </is>
      </c>
      <c r="C57" s="404">
        <f>-C55</f>
        <v/>
      </c>
      <c r="E57" s="397" t="inlineStr">
        <is>
          <t>(sign-reversed variance — context only)</t>
        </is>
      </c>
    </row>
    <row r="60">
      <c r="B60" s="480" t="inlineStr">
        <is>
          <t>5 · FLAGS &amp; EXCEPTIONS</t>
        </is>
      </c>
    </row>
    <row r="61">
      <c r="B61" s="387" t="inlineStr">
        <is>
          <t>Flag</t>
        </is>
      </c>
      <c r="C61" s="388" t="inlineStr">
        <is>
          <t>Count / status</t>
        </is>
      </c>
      <c r="E61" s="387" t="inlineStr">
        <is>
          <t>Trigger</t>
        </is>
      </c>
    </row>
    <row r="62">
      <c r="B62" s="389" t="inlineStr">
        <is>
          <t>Resident in 90+ with active concession</t>
        </is>
      </c>
      <c r="C62" s="405" t="n">
        <v>0</v>
      </c>
      <c r="E62" s="397" t="inlineStr">
        <is>
          <t>RR concession &amp; AR 90+ &gt; 0</t>
        </is>
      </c>
    </row>
    <row r="63">
      <c r="B63" s="389" t="inlineStr">
        <is>
          <t>Vacant bed with non-zero AR</t>
        </is>
      </c>
      <c r="C63" s="405" t="n">
        <v>0</v>
      </c>
      <c r="E63" s="397" t="inlineStr">
        <is>
          <t>RR status=Vacant &amp; AR &gt; 0</t>
        </is>
      </c>
    </row>
    <row r="64">
      <c r="B64" s="389" t="inlineStr">
        <is>
          <t>Payer-type concentration</t>
        </is>
      </c>
      <c r="C64" s="405" t="n">
        <v>0</v>
      </c>
      <c r="E64" s="397" t="inlineStr">
        <is>
          <t>Single payer &gt; 60% of 90+ balance</t>
        </is>
      </c>
    </row>
    <row r="65">
      <c r="B65" s="389" t="inlineStr">
        <is>
          <t>Sum-check mismatch (rows)</t>
        </is>
      </c>
      <c r="C65" s="405" t="n">
        <v>0</v>
      </c>
      <c r="E65" s="397" t="inlineStr">
        <is>
          <t>Row total_balance ≠ Σ buckets (ingest)</t>
        </is>
      </c>
    </row>
    <row r="66">
      <c r="B66" s="389" t="inlineStr">
        <is>
          <t>Period-date mismatch</t>
        </is>
      </c>
      <c r="C66" s="405" t="n">
        <v>0</v>
      </c>
      <c r="E66" s="397"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410" min="1" max="1"/>
    <col width="18" customWidth="1" style="410" min="2" max="5"/>
    <col width="16" customWidth="1" style="410" min="6" max="6"/>
    <col width="14" customWidth="1" style="410" min="7" max="7"/>
    <col width="28" customWidth="1" style="410" min="8" max="8"/>
  </cols>
  <sheetData>
    <row r="1" ht="27.75" customHeight="1" s="410">
      <c r="A1" s="91" t="inlineStr">
        <is>
          <t>UW Output  —  T12 Actuals &amp; Normalized  |  Copy / Paste to ALF UW Template</t>
        </is>
      </c>
      <c r="AZ1" t="inlineStr">
        <is>
          <t>Final UW-ready summary; copy to downstream sheet</t>
        </is>
      </c>
    </row>
    <row r="2" ht="21.75" customHeight="1" s="410">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410">
      <c r="AZ3" t="inlineStr">
        <is>
          <t>visible</t>
        </is>
      </c>
    </row>
    <row r="4" ht="25.5" customHeight="1" s="410">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v0.2.12</t>
        </is>
      </c>
    </row>
    <row r="5" ht="18" customHeight="1" s="410">
      <c r="A5" s="169" t="inlineStr">
        <is>
          <t>REVENUE</t>
        </is>
      </c>
      <c r="H5" s="153" t="n"/>
    </row>
    <row r="6" ht="15.75" customHeight="1" s="410">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410">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410">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410">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410">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410">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410">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410">
      <c r="A13" s="13" t="n"/>
      <c r="B13" s="454" t="n"/>
      <c r="C13" s="454" t="n"/>
      <c r="D13" s="454" t="n"/>
      <c r="E13" s="454" t="n"/>
      <c r="F13" s="454" t="n"/>
      <c r="G13" s="454" t="n"/>
      <c r="H13" s="455" t="n"/>
    </row>
    <row r="14" ht="18" customHeight="1" s="410">
      <c r="A14" s="168" t="inlineStr">
        <is>
          <t xml:space="preserve">  GPR Revenue Waterfall  —  Rent Roll vs. T12</t>
        </is>
      </c>
    </row>
    <row r="15" ht="15.75" customHeight="1" s="410">
      <c r="A15" s="3" t="inlineStr">
        <is>
          <t>Gross Potential Rent  (GPR)  —  base rent</t>
        </is>
      </c>
      <c r="B15" s="45" t="n"/>
      <c r="C15" s="45" t="n"/>
      <c r="D15" s="45" t="n"/>
      <c r="E15" s="28">
        <f>'T12 Analytics'!E37</f>
        <v/>
      </c>
      <c r="F15" s="28">
        <f>'T12 Analytics'!F37</f>
        <v/>
      </c>
      <c r="G15" s="28">
        <f>IFERROR(IF(E15="","",F15-E15),"")</f>
        <v/>
      </c>
      <c r="H15" s="45" t="n"/>
    </row>
    <row r="16" ht="15.75" customHeight="1" s="410">
      <c r="A16" s="10" t="inlineStr">
        <is>
          <t>Physical vacancy loss</t>
        </is>
      </c>
      <c r="B16" s="13" t="n"/>
      <c r="C16" s="13" t="n"/>
      <c r="D16" s="13" t="n"/>
      <c r="E16" s="137">
        <f>IFERROR(IF('T12 Analytics'!E38="","",'T12 Analytics'!E38),"")</f>
        <v/>
      </c>
      <c r="F16" s="137">
        <f>'T12 Analytics'!F38</f>
        <v/>
      </c>
      <c r="G16" s="137">
        <f>IFERROR(IF(E16="","",F16-E16),"")</f>
        <v/>
      </c>
      <c r="H16" s="13" t="n"/>
    </row>
    <row r="17" ht="15.75" customHeight="1" s="410">
      <c r="A17" s="10" t="inlineStr">
        <is>
          <t>Physical vacancy rate %</t>
        </is>
      </c>
      <c r="B17" s="13" t="n"/>
      <c r="C17" s="13" t="n"/>
      <c r="D17" s="13" t="n"/>
      <c r="E17" s="151">
        <f>'T12 Analytics'!E39</f>
        <v/>
      </c>
      <c r="F17" s="151">
        <f>'T12 Analytics'!F39</f>
        <v/>
      </c>
      <c r="G17" s="151">
        <f>IFERROR(IF(ISNUMBER(E17),F17-E17,"-"),"-")</f>
        <v/>
      </c>
      <c r="H17" s="13" t="n"/>
    </row>
    <row r="18" ht="15.75" customHeight="1" s="410">
      <c r="A18" s="152" t="inlineStr">
        <is>
          <t>Loss to lease</t>
        </is>
      </c>
      <c r="B18" s="43" t="n"/>
      <c r="C18" s="43" t="n"/>
      <c r="D18" s="43" t="n"/>
      <c r="E18" s="35">
        <f>IFERROR(IF('T12 Analytics'!E40="","",'T12 Analytics'!E40),"")</f>
        <v/>
      </c>
      <c r="F18" s="35">
        <f>'T12 Analytics'!F40</f>
        <v/>
      </c>
      <c r="G18" s="35">
        <f>IFERROR(IF(E18="","",F18-E18),"")</f>
        <v/>
      </c>
      <c r="H18" s="43" t="n"/>
    </row>
    <row r="19" ht="15.75" customHeight="1" s="410">
      <c r="A19" s="152" t="inlineStr">
        <is>
          <t>Loss to lease as % of GPR</t>
        </is>
      </c>
      <c r="B19" s="43" t="n"/>
      <c r="C19" s="43" t="n"/>
      <c r="D19" s="43" t="n"/>
      <c r="E19" s="38">
        <f>IFERROR(IF('T12 Analytics'!E41="","",'T12 Analytics'!E41),"")</f>
        <v/>
      </c>
      <c r="F19" s="38">
        <f>'T12 Analytics'!F41</f>
        <v/>
      </c>
      <c r="G19" s="38">
        <f>IFERROR(IF(E19="","",F19-E19),"")</f>
        <v/>
      </c>
      <c r="H19" s="43" t="n"/>
    </row>
    <row r="20" ht="6" customHeight="1" s="410">
      <c r="A20" s="13" t="n"/>
      <c r="B20" s="13" t="n"/>
      <c r="C20" s="13" t="n"/>
      <c r="D20" s="13" t="n"/>
      <c r="E20" s="13" t="n"/>
      <c r="F20" s="13" t="n"/>
      <c r="G20" s="13" t="n"/>
      <c r="H20" s="13" t="n"/>
    </row>
    <row r="21" ht="15.75" customHeight="1" s="410">
      <c r="A21" s="148" t="inlineStr">
        <is>
          <t>LABOR</t>
        </is>
      </c>
      <c r="H21" s="153" t="n"/>
    </row>
    <row r="22" ht="15.75" customHeight="1" s="410">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410">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410">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410">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410">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410">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410">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410">
      <c r="A29" s="167" t="inlineStr">
        <is>
          <t>Bonus wages</t>
        </is>
      </c>
      <c r="B29" s="454" t="inlineStr">
        <is>
          <t>-</t>
        </is>
      </c>
      <c r="C29" s="454" t="inlineStr">
        <is>
          <t>-</t>
        </is>
      </c>
      <c r="D29" s="454" t="inlineStr">
        <is>
          <t>-</t>
        </is>
      </c>
      <c r="E29" s="454">
        <f>'T12 Analytics'!E64</f>
        <v/>
      </c>
      <c r="F29" s="455">
        <f>'T12 Analytics'!F64</f>
        <v/>
      </c>
      <c r="G29" s="22">
        <f>F29-E29</f>
        <v/>
      </c>
      <c r="H29" s="149" t="n"/>
    </row>
    <row r="30" ht="15.75" customHeight="1" s="410">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410">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410">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410">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410">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410">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410">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410">
      <c r="A37" s="148" t="inlineStr">
        <is>
          <t>NON-LABOR</t>
        </is>
      </c>
      <c r="F37" s="153" t="n"/>
      <c r="G37" s="148" t="n"/>
      <c r="H37" s="148" t="n"/>
    </row>
    <row r="38" ht="15.75" customHeight="1" s="410">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410">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410">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410">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410">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410">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410">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410">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410">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410">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410">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410">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410">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410">
      <c r="A51" s="105" t="inlineStr">
        <is>
          <t>Fire / security monitoring</t>
        </is>
      </c>
      <c r="B51" s="22" t="inlineStr">
        <is>
          <t>"-"</t>
        </is>
      </c>
      <c r="C51" s="22" t="inlineStr">
        <is>
          <t>"-"</t>
        </is>
      </c>
      <c r="D51" s="22" t="inlineStr">
        <is>
          <t>"-"</t>
        </is>
      </c>
      <c r="E51" s="22">
        <f>'T12 Analytics'!E92</f>
        <v/>
      </c>
      <c r="F51" s="22">
        <f>'T12 Analytics'!F92</f>
        <v/>
      </c>
      <c r="G51" s="22">
        <f>F51-E51</f>
        <v/>
      </c>
      <c r="H51" s="149" t="n"/>
    </row>
    <row r="52" ht="15.75" customHeight="1" s="410">
      <c r="A52" s="105" t="inlineStr">
        <is>
          <t>Pest elimination</t>
        </is>
      </c>
      <c r="B52" s="22" t="inlineStr">
        <is>
          <t>"-"</t>
        </is>
      </c>
      <c r="C52" s="22" t="inlineStr">
        <is>
          <t>"-"</t>
        </is>
      </c>
      <c r="D52" s="22" t="inlineStr">
        <is>
          <t>"-"</t>
        </is>
      </c>
      <c r="E52" s="22">
        <f>'T12 Analytics'!E93</f>
        <v/>
      </c>
      <c r="F52" s="22">
        <f>'T12 Analytics'!F93</f>
        <v/>
      </c>
      <c r="G52" s="22">
        <f>F52-E52</f>
        <v/>
      </c>
      <c r="H52" s="149" t="n"/>
    </row>
    <row r="53" ht="15.75" customHeight="1" s="410">
      <c r="A53" s="105" t="inlineStr">
        <is>
          <t>Real estate taxes</t>
        </is>
      </c>
      <c r="B53" s="22" t="inlineStr">
        <is>
          <t>"-"</t>
        </is>
      </c>
      <c r="C53" s="22" t="inlineStr">
        <is>
          <t>"-"</t>
        </is>
      </c>
      <c r="D53" s="22" t="inlineStr">
        <is>
          <t>"-"</t>
        </is>
      </c>
      <c r="E53" s="22">
        <f>'T12 Analytics'!E94</f>
        <v/>
      </c>
      <c r="F53" s="22">
        <f>'T12 Analytics'!F94</f>
        <v/>
      </c>
      <c r="G53" s="22">
        <f>F53-E53</f>
        <v/>
      </c>
      <c r="H53" s="149" t="n"/>
    </row>
    <row r="54" ht="18" customHeight="1" s="410">
      <c r="A54" s="105" t="inlineStr">
        <is>
          <t>Personal property taxes</t>
        </is>
      </c>
      <c r="B54" s="22" t="inlineStr">
        <is>
          <t>"-"</t>
        </is>
      </c>
      <c r="C54" s="22" t="inlineStr">
        <is>
          <t>"-"</t>
        </is>
      </c>
      <c r="D54" s="22" t="inlineStr">
        <is>
          <t>"-"</t>
        </is>
      </c>
      <c r="E54" s="22">
        <f>'T12 Analytics'!E95</f>
        <v/>
      </c>
      <c r="F54" s="22">
        <f>'T12 Analytics'!F95</f>
        <v/>
      </c>
      <c r="G54" s="22">
        <f>F54-E54</f>
        <v/>
      </c>
      <c r="H54" s="149" t="n"/>
    </row>
    <row r="55" ht="18" customHeight="1" s="410">
      <c r="A55" s="105" t="inlineStr">
        <is>
          <t>Legal expenses</t>
        </is>
      </c>
      <c r="B55" s="22" t="inlineStr">
        <is>
          <t>"-"</t>
        </is>
      </c>
      <c r="C55" s="22" t="inlineStr">
        <is>
          <t>"-"</t>
        </is>
      </c>
      <c r="D55" s="22" t="inlineStr">
        <is>
          <t>"-"</t>
        </is>
      </c>
      <c r="E55" s="22">
        <f>'T12 Analytics'!E96</f>
        <v/>
      </c>
      <c r="F55" s="22">
        <f>'T12 Analytics'!F96</f>
        <v/>
      </c>
      <c r="G55" s="22">
        <f>F55-E55</f>
        <v/>
      </c>
      <c r="H55" s="149" t="n"/>
    </row>
    <row r="56" ht="15.75" customHeight="1" s="410">
      <c r="A56" s="105" t="inlineStr">
        <is>
          <t>Professional services</t>
        </is>
      </c>
      <c r="B56" s="22" t="inlineStr">
        <is>
          <t>"-"</t>
        </is>
      </c>
      <c r="C56" s="22" t="inlineStr">
        <is>
          <t>"-"</t>
        </is>
      </c>
      <c r="D56" s="22" t="inlineStr">
        <is>
          <t>"-"</t>
        </is>
      </c>
      <c r="E56" s="22">
        <f>'T12 Analytics'!E97</f>
        <v/>
      </c>
      <c r="F56" s="22">
        <f>'T12 Analytics'!F97</f>
        <v/>
      </c>
      <c r="G56" s="22">
        <f>F56-E56</f>
        <v/>
      </c>
      <c r="H56" s="149" t="n"/>
    </row>
    <row r="57" ht="18" customHeight="1" s="410">
      <c r="A57" s="167" t="inlineStr">
        <is>
          <t>Bad debt expense</t>
        </is>
      </c>
      <c r="B57" s="454" t="inlineStr">
        <is>
          <t>-</t>
        </is>
      </c>
      <c r="C57" s="454" t="inlineStr">
        <is>
          <t>-</t>
        </is>
      </c>
      <c r="D57" s="454" t="inlineStr">
        <is>
          <t>-</t>
        </is>
      </c>
      <c r="E57" s="454">
        <f>'T12 Analytics'!E98</f>
        <v/>
      </c>
      <c r="F57" s="455">
        <f>'T12 Analytics'!F98</f>
        <v/>
      </c>
      <c r="G57" s="22">
        <f>F57-E57</f>
        <v/>
      </c>
      <c r="H57" s="149" t="n"/>
    </row>
    <row r="58" ht="18" customHeight="1" s="410">
      <c r="A58" s="105" t="inlineStr">
        <is>
          <t>Permits, licenses &amp; dues</t>
        </is>
      </c>
      <c r="B58" s="22" t="inlineStr">
        <is>
          <t>"-"</t>
        </is>
      </c>
      <c r="C58" s="22" t="inlineStr">
        <is>
          <t>"-"</t>
        </is>
      </c>
      <c r="D58" s="22" t="inlineStr">
        <is>
          <t>"-"</t>
        </is>
      </c>
      <c r="E58" s="22">
        <f>'T12 Analytics'!E99</f>
        <v/>
      </c>
      <c r="F58" s="22">
        <f>'T12 Analytics'!F99</f>
        <v/>
      </c>
      <c r="G58" s="22">
        <f>F58-E58</f>
        <v/>
      </c>
      <c r="H58" s="149" t="n"/>
    </row>
    <row r="59" ht="18" customHeight="1" s="410">
      <c r="A59" s="105" t="inlineStr">
        <is>
          <t>Office, admin &amp; G&amp;A</t>
        </is>
      </c>
      <c r="B59" s="22" t="inlineStr">
        <is>
          <t>"-"</t>
        </is>
      </c>
      <c r="C59" s="22" t="inlineStr">
        <is>
          <t>"-"</t>
        </is>
      </c>
      <c r="D59" s="22" t="inlineStr">
        <is>
          <t>"-"</t>
        </is>
      </c>
      <c r="E59" s="22">
        <f>'T12 Analytics'!E100</f>
        <v/>
      </c>
      <c r="F59" s="22">
        <f>'T12 Analytics'!F100</f>
        <v/>
      </c>
      <c r="G59" s="22">
        <f>F59-E59</f>
        <v/>
      </c>
      <c r="H59" s="149" t="n"/>
    </row>
    <row r="60" ht="18" customHeight="1" s="410">
      <c r="A60" s="105" t="inlineStr">
        <is>
          <t>Other / miscellaneous</t>
        </is>
      </c>
      <c r="B60" s="22" t="inlineStr">
        <is>
          <t>"-"</t>
        </is>
      </c>
      <c r="C60" s="22" t="inlineStr">
        <is>
          <t>"-"</t>
        </is>
      </c>
      <c r="D60" s="22" t="inlineStr">
        <is>
          <t>"-"</t>
        </is>
      </c>
      <c r="E60" s="22">
        <f>'T12 Analytics'!E101</f>
        <v/>
      </c>
      <c r="F60" s="22">
        <f>'T12 Analytics'!F101</f>
        <v/>
      </c>
      <c r="G60" s="22">
        <f>F60-E60</f>
        <v/>
      </c>
      <c r="H60" s="149" t="n"/>
    </row>
    <row r="61" ht="18" customHeight="1" s="410">
      <c r="A61" s="174" t="inlineStr">
        <is>
          <t>Lease / ground lease</t>
        </is>
      </c>
      <c r="B61" s="454" t="inlineStr">
        <is>
          <t>-</t>
        </is>
      </c>
      <c r="C61" s="454" t="inlineStr">
        <is>
          <t>-</t>
        </is>
      </c>
      <c r="D61" s="454" t="inlineStr">
        <is>
          <t>-</t>
        </is>
      </c>
      <c r="E61" s="454">
        <f>'T12 Analytics'!E102</f>
        <v/>
      </c>
      <c r="F61" s="454">
        <f>'T12 Analytics'!F102</f>
        <v/>
      </c>
      <c r="G61" s="454">
        <f>F61-E61</f>
        <v/>
      </c>
      <c r="H61" s="455" t="n"/>
    </row>
    <row r="62" ht="15.75" customHeight="1" s="410">
      <c r="A62" s="3" t="inlineStr">
        <is>
          <t>Total non-labor</t>
        </is>
      </c>
      <c r="B62" s="28" t="inlineStr">
        <is>
          <t>"-"</t>
        </is>
      </c>
      <c r="C62" s="28" t="inlineStr">
        <is>
          <t>"-"</t>
        </is>
      </c>
      <c r="D62" s="28" t="inlineStr">
        <is>
          <t>"-"</t>
        </is>
      </c>
      <c r="E62" s="28">
        <f>'T12 Analytics'!E103</f>
        <v/>
      </c>
      <c r="F62" s="28">
        <f>'T12 Analytics'!F103</f>
        <v/>
      </c>
      <c r="G62" s="28">
        <f>F62-E62</f>
        <v/>
      </c>
      <c r="H62" s="150" t="n"/>
    </row>
    <row r="63" ht="15.75" customHeight="1" s="410">
      <c r="A63" s="3" t="inlineStr">
        <is>
          <t>Total opex (excl. mgmt)</t>
        </is>
      </c>
      <c r="B63" s="28" t="inlineStr">
        <is>
          <t>"-"</t>
        </is>
      </c>
      <c r="C63" s="28" t="inlineStr">
        <is>
          <t>"-"</t>
        </is>
      </c>
      <c r="D63" s="28" t="inlineStr">
        <is>
          <t>"-"</t>
        </is>
      </c>
      <c r="E63" s="28">
        <f>'T12 Analytics'!E105</f>
        <v/>
      </c>
      <c r="F63" s="28">
        <f>'T12 Analytics'!F105</f>
        <v/>
      </c>
      <c r="G63" s="28">
        <f>F63-E63</f>
        <v/>
      </c>
      <c r="H63" s="150" t="n"/>
    </row>
    <row r="64" ht="15" customHeight="1" s="410">
      <c r="A64" s="105" t="inlineStr">
        <is>
          <t>Management fee</t>
        </is>
      </c>
      <c r="B64" s="22" t="inlineStr">
        <is>
          <t>"-"</t>
        </is>
      </c>
      <c r="C64" s="22" t="inlineStr">
        <is>
          <t>"-"</t>
        </is>
      </c>
      <c r="D64" s="22" t="inlineStr">
        <is>
          <t>"-"</t>
        </is>
      </c>
      <c r="E64" s="22">
        <f>'T12 Analytics'!E106</f>
        <v/>
      </c>
      <c r="F64" s="22">
        <f>'T12 Analytics'!F106</f>
        <v/>
      </c>
      <c r="G64" s="22">
        <f>F64-E64</f>
        <v/>
      </c>
      <c r="H64" s="149" t="n"/>
    </row>
    <row r="65" ht="15" customHeight="1" s="410">
      <c r="A65" s="148" t="inlineStr">
        <is>
          <t>NOI</t>
        </is>
      </c>
      <c r="F65" s="153" t="n"/>
      <c r="G65" s="148" t="n"/>
      <c r="H65" s="148" t="n"/>
    </row>
    <row r="66" ht="15" customHeight="1" s="410">
      <c r="A66" s="3" t="inlineStr">
        <is>
          <t>EBITDARM</t>
        </is>
      </c>
      <c r="B66" s="28" t="inlineStr">
        <is>
          <t>"-"</t>
        </is>
      </c>
      <c r="C66" s="28" t="inlineStr">
        <is>
          <t>"-"</t>
        </is>
      </c>
      <c r="D66" s="28" t="inlineStr">
        <is>
          <t>"-"</t>
        </is>
      </c>
      <c r="E66" s="154">
        <f>'T12 Analytics'!E108</f>
        <v/>
      </c>
      <c r="F66" s="154">
        <f>'T12 Analytics'!F108</f>
        <v/>
      </c>
      <c r="G66" s="154">
        <f>F66-E66</f>
        <v/>
      </c>
      <c r="H66" s="155" t="n"/>
    </row>
    <row r="67" ht="15" customHeight="1" s="410">
      <c r="A67" s="3" t="inlineStr">
        <is>
          <t>EBITDAR</t>
        </is>
      </c>
      <c r="B67" s="28" t="inlineStr">
        <is>
          <t>"-"</t>
        </is>
      </c>
      <c r="C67" s="28" t="inlineStr">
        <is>
          <t>"-"</t>
        </is>
      </c>
      <c r="D67" s="28" t="inlineStr">
        <is>
          <t>"-"</t>
        </is>
      </c>
      <c r="E67" s="154">
        <f>'T12 Analytics'!E110</f>
        <v/>
      </c>
      <c r="F67" s="154">
        <f>'T12 Analytics'!F110</f>
        <v/>
      </c>
      <c r="G67" s="154">
        <f>F67-E67</f>
        <v/>
      </c>
      <c r="H67" s="155" t="n"/>
    </row>
    <row r="68" ht="15" customHeight="1" s="410">
      <c r="A68" s="3" t="inlineStr">
        <is>
          <t>EBITDA</t>
        </is>
      </c>
      <c r="B68" s="28" t="inlineStr">
        <is>
          <t>"-"</t>
        </is>
      </c>
      <c r="C68" s="28" t="inlineStr">
        <is>
          <t>"-"</t>
        </is>
      </c>
      <c r="D68" s="28" t="inlineStr">
        <is>
          <t>"-"</t>
        </is>
      </c>
      <c r="E68" s="154">
        <f>'T12 Analytics'!E113</f>
        <v/>
      </c>
      <c r="F68" s="154">
        <f>'T12 Analytics'!F113</f>
        <v/>
      </c>
      <c r="G68" s="154">
        <f>F68-E68</f>
        <v/>
      </c>
      <c r="H68" s="155" t="n"/>
    </row>
    <row r="69" ht="15" customHeight="1" s="410">
      <c r="A69" s="148" t="inlineStr">
        <is>
          <t>CAPACITY INPUTS</t>
        </is>
      </c>
      <c r="H69" s="153" t="n"/>
    </row>
    <row r="70" ht="15" customHeight="1" s="410">
      <c r="A70" s="105" t="inlineStr">
        <is>
          <t>Licensed beds (IL / AL / MC / Total)</t>
        </is>
      </c>
      <c r="B70" s="156">
        <f>'T12 Analytics'!B6</f>
        <v/>
      </c>
      <c r="C70" s="156">
        <f>'T12 Analytics'!C6</f>
        <v/>
      </c>
      <c r="D70" s="156">
        <f>'T12 Analytics'!D6</f>
        <v/>
      </c>
      <c r="E70" s="156" t="n"/>
      <c r="F70" s="156" t="n"/>
      <c r="G70" s="22">
        <f>F70-E70</f>
        <v/>
      </c>
      <c r="H70" s="149" t="n"/>
    </row>
    <row r="71" ht="15" customHeight="1" s="410">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410" min="1" max="1"/>
    <col width="14" customWidth="1" style="410" min="2" max="8"/>
  </cols>
  <sheetData>
    <row r="1" ht="22" customHeight="1" s="410">
      <c r="A1" s="483" t="inlineStr">
        <is>
          <t>UW Export  —  Values-only mirror of UW Output</t>
        </is>
      </c>
      <c r="AZ1" t="inlineStr">
        <is>
          <t>Values-only mirror of UW Output for downstream paste</t>
        </is>
      </c>
    </row>
    <row r="2" ht="28" customHeight="1" s="410">
      <c r="A2" s="474" t="inlineStr">
        <is>
          <t>Copy A9:H79 (or use Excel's Move-or-Copy → Create-a-copy → Paste-Special: Values) into the downstream UW template. Metadata header above (rows 3-7) carries the audit trail.</t>
        </is>
      </c>
    </row>
    <row r="3">
      <c r="A3" s="205" t="inlineStr">
        <is>
          <t>Property name</t>
        </is>
      </c>
      <c r="B3" s="482">
        <f>IFERROR(Property_Name,"(not set)")</f>
        <v/>
      </c>
      <c r="C3" s="454" t="n"/>
      <c r="D3" s="454" t="n"/>
      <c r="E3" s="454" t="n"/>
      <c r="F3" s="454" t="n"/>
      <c r="G3" s="454" t="n"/>
      <c r="H3" s="455" t="n"/>
    </row>
    <row r="4">
      <c r="A4" s="205" t="inlineStr">
        <is>
          <t>Rent roll period</t>
        </is>
      </c>
      <c r="B4" s="482">
        <f>IF(ISNUMBER(RR_Period_Date),TEXT(RR_Period_Date,"yyyy-mm-dd"),"(not set)")</f>
        <v/>
      </c>
      <c r="C4" s="454" t="n"/>
      <c r="D4" s="454" t="n"/>
      <c r="E4" s="454" t="n"/>
      <c r="F4" s="454" t="n"/>
      <c r="G4" s="454" t="n"/>
      <c r="H4" s="455" t="n"/>
      <c r="AZ4" t="inlineStr">
        <is>
          <t>v0.2.12</t>
        </is>
      </c>
    </row>
    <row r="5">
      <c r="A5" s="205" t="inlineStr">
        <is>
          <t>T12 period</t>
        </is>
      </c>
      <c r="B5" s="482">
        <f>IF(ISNUMBER(T12_Period_Date),TEXT(T12_Period_Date,"yyyy-mm-dd"),"(not set)")</f>
        <v/>
      </c>
      <c r="C5" s="454" t="n"/>
      <c r="D5" s="454" t="n"/>
      <c r="E5" s="454" t="n"/>
      <c r="F5" s="454" t="n"/>
      <c r="G5" s="454" t="n"/>
      <c r="H5" s="455" t="n"/>
    </row>
    <row r="6">
      <c r="A6" s="205" t="inlineStr">
        <is>
          <t>Substrate version</t>
        </is>
      </c>
      <c r="B6" s="482">
        <f>Cover!$B$8</f>
        <v/>
      </c>
      <c r="C6" s="454" t="n"/>
      <c r="D6" s="454" t="n"/>
      <c r="E6" s="454" t="n"/>
      <c r="F6" s="454" t="n"/>
      <c r="G6" s="454" t="n"/>
      <c r="H6" s="455" t="n"/>
    </row>
    <row r="7">
      <c r="A7" s="205" t="inlineStr">
        <is>
          <t>Generated (open time)</t>
        </is>
      </c>
      <c r="B7" s="482">
        <f>TEXT(NOW(),"yyyy-mm-dd hh:mm")</f>
        <v/>
      </c>
      <c r="C7" s="454" t="n"/>
      <c r="D7" s="454" t="n"/>
      <c r="E7" s="454" t="n"/>
      <c r="F7" s="454" t="n"/>
      <c r="G7" s="454" t="n"/>
      <c r="H7" s="455"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410" min="1" max="1"/>
    <col width="40" customWidth="1" style="410" min="2" max="2"/>
    <col width="36" customWidth="1" style="410" min="3" max="3"/>
    <col width="14" customWidth="1" style="410" min="4" max="4"/>
    <col width="10" customWidth="1" style="410" min="5" max="5"/>
    <col width="28" customWidth="1" style="410" min="6" max="6"/>
  </cols>
  <sheetData>
    <row r="1" ht="27.75" customHeight="1" s="410">
      <c r="A1" s="469" t="inlineStr">
        <is>
          <t>Mapping Review  —  UNMATCHED rows need action</t>
        </is>
      </c>
      <c r="AZ1" t="inlineStr">
        <is>
          <t>Description_Map review for UNMATCHED descriptions</t>
        </is>
      </c>
    </row>
    <row r="2" ht="36" customHeight="1" s="410">
      <c r="A2" s="46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410">
      <c r="AZ3" t="inlineStr">
        <is>
          <t>visible</t>
        </is>
      </c>
    </row>
    <row r="4" ht="16.5" customHeight="1" s="410">
      <c r="A4" s="467" t="inlineStr">
        <is>
          <t>How to fix an UNMATCHED row:</t>
        </is>
      </c>
      <c r="AZ4" t="inlineStr">
        <is>
          <t>v0.2.12</t>
        </is>
      </c>
    </row>
    <row r="5" ht="16.5" customHeight="1" s="410">
      <c r="A5" s="466" t="inlineStr">
        <is>
          <t>1.  Go to T12 Input tab. Find the row showing UNMATCHED in column P.</t>
        </is>
      </c>
    </row>
    <row r="6" ht="16.5" customHeight="1" s="410">
      <c r="A6" s="466" t="inlineStr">
        <is>
          <t>2.  Copy the exact text from that row's column B (the description).</t>
        </is>
      </c>
    </row>
    <row r="7" ht="16.5" customHeight="1" s="410">
      <c r="A7" s="466" t="inlineStr">
        <is>
          <t>3.  Go to Description_Map tab. Add a new row with that description.</t>
        </is>
      </c>
    </row>
    <row r="8" ht="16.5" customHeight="1" s="410">
      <c r="A8" s="466" t="inlineStr">
        <is>
          <t>4.  Set the Label column to the correct Analytics category.</t>
        </is>
      </c>
    </row>
    <row r="9" ht="16.5" customHeight="1" s="410">
      <c r="A9" s="466"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410" min="1" max="1"/>
    <col width="36" customWidth="1" style="410" min="2" max="2"/>
    <col width="14" customWidth="1" style="410" min="3" max="3"/>
    <col width="10" customWidth="1" style="410" min="4" max="4"/>
    <col width="28" customWidth="1" style="410" min="5" max="5"/>
  </cols>
  <sheetData>
    <row r="1" ht="27.75" customHeight="1" s="410">
      <c r="A1" s="469" t="inlineStr">
        <is>
          <t>Description_Map  —  add new descriptions here for any operator</t>
        </is>
      </c>
      <c r="AZ1" t="inlineStr">
        <is>
          <t>Canonical Description→Label vocabulary</t>
        </is>
      </c>
    </row>
    <row r="2" ht="30" customHeight="1" s="410">
      <c r="A2" s="468" t="inlineStr">
        <is>
          <t>To add a new operator's descriptions: paste the exact text from their T12 description col B, set Label to the matching Analytics category, then paste new T12 data in T12 Input. Done.</t>
        </is>
      </c>
      <c r="AZ2" t="inlineStr">
        <is>
          <t>reference</t>
        </is>
      </c>
    </row>
    <row r="3" ht="6" customHeight="1" s="410">
      <c r="AZ3" t="inlineStr">
        <is>
          <t>visible</t>
        </is>
      </c>
    </row>
    <row r="4" ht="25.5" customHeight="1" s="410">
      <c r="A4" s="157" t="inlineStr">
        <is>
          <t>Description</t>
        </is>
      </c>
      <c r="B4" s="157" t="inlineStr">
        <is>
          <t>Label</t>
        </is>
      </c>
      <c r="C4" s="157" t="inlineStr">
        <is>
          <t>Section</t>
        </is>
      </c>
      <c r="D4" s="157" t="inlineStr">
        <is>
          <t>CareType</t>
        </is>
      </c>
      <c r="E4" s="157" t="inlineStr">
        <is>
          <t>Flag</t>
        </is>
      </c>
      <c r="AZ4" t="inlineStr">
        <is>
          <t>v0.2.12</t>
        </is>
      </c>
    </row>
    <row r="5" ht="15" customHeight="1" s="410">
      <c r="A5" s="158" t="inlineStr">
        <is>
          <t>AL Base Rate Income</t>
        </is>
      </c>
      <c r="B5" s="158" t="inlineStr">
        <is>
          <t>Base rent — AL</t>
        </is>
      </c>
      <c r="C5" s="158" t="inlineStr">
        <is>
          <t>Revenue</t>
        </is>
      </c>
      <c r="D5" s="158" t="inlineStr">
        <is>
          <t>AL</t>
        </is>
      </c>
      <c r="E5" s="158" t="n"/>
    </row>
    <row r="6" ht="15" customHeight="1" s="410">
      <c r="A6" s="158" t="inlineStr">
        <is>
          <t>AL Base Rate</t>
        </is>
      </c>
      <c r="B6" s="158" t="inlineStr">
        <is>
          <t>Base rent — AL</t>
        </is>
      </c>
      <c r="C6" s="158" t="inlineStr">
        <is>
          <t>Revenue</t>
        </is>
      </c>
      <c r="D6" s="158" t="inlineStr">
        <is>
          <t>AL</t>
        </is>
      </c>
      <c r="E6" s="158" t="n"/>
    </row>
    <row r="7" ht="15" customHeight="1" s="410">
      <c r="A7" s="158" t="inlineStr">
        <is>
          <t>Assisted Living Base Rate</t>
        </is>
      </c>
      <c r="B7" s="158" t="inlineStr">
        <is>
          <t>Base rent — AL</t>
        </is>
      </c>
      <c r="C7" s="158" t="inlineStr">
        <is>
          <t>Revenue</t>
        </is>
      </c>
      <c r="D7" s="158" t="inlineStr">
        <is>
          <t>AL</t>
        </is>
      </c>
      <c r="E7" s="158" t="n"/>
    </row>
    <row r="8" ht="15" customHeight="1" s="410">
      <c r="A8" s="158" t="inlineStr">
        <is>
          <t>Assisted Living Revenue</t>
        </is>
      </c>
      <c r="B8" s="158" t="inlineStr">
        <is>
          <t>Base rent — AL</t>
        </is>
      </c>
      <c r="C8" s="158" t="inlineStr">
        <is>
          <t>Revenue</t>
        </is>
      </c>
      <c r="D8" s="158" t="inlineStr">
        <is>
          <t>AL</t>
        </is>
      </c>
      <c r="E8" s="158" t="n"/>
    </row>
    <row r="9" ht="15" customHeight="1" s="410">
      <c r="A9" s="158" t="inlineStr">
        <is>
          <t>ALZ Base Rate Income</t>
        </is>
      </c>
      <c r="B9" s="158" t="inlineStr">
        <is>
          <t>Base rent — MC</t>
        </is>
      </c>
      <c r="C9" s="158" t="inlineStr">
        <is>
          <t>Revenue</t>
        </is>
      </c>
      <c r="D9" s="158" t="inlineStr">
        <is>
          <t>MC</t>
        </is>
      </c>
      <c r="E9" s="158" t="n"/>
    </row>
    <row r="10" ht="15" customHeight="1" s="410">
      <c r="A10" s="158" t="inlineStr">
        <is>
          <t>Memory Care Base Rate Income</t>
        </is>
      </c>
      <c r="B10" s="158" t="inlineStr">
        <is>
          <t>Base rent — MC</t>
        </is>
      </c>
      <c r="C10" s="158" t="inlineStr">
        <is>
          <t>Revenue</t>
        </is>
      </c>
      <c r="D10" s="158" t="inlineStr">
        <is>
          <t>MC</t>
        </is>
      </c>
      <c r="E10" s="158" t="n"/>
    </row>
    <row r="11" ht="15" customHeight="1" s="410">
      <c r="A11" s="158" t="inlineStr">
        <is>
          <t>MC Base Rate Income</t>
        </is>
      </c>
      <c r="B11" s="158" t="inlineStr">
        <is>
          <t>Base rent — MC</t>
        </is>
      </c>
      <c r="C11" s="158" t="inlineStr">
        <is>
          <t>Revenue</t>
        </is>
      </c>
      <c r="D11" s="158" t="inlineStr">
        <is>
          <t>MC</t>
        </is>
      </c>
      <c r="E11" s="158" t="n"/>
    </row>
    <row r="12" ht="15" customHeight="1" s="410">
      <c r="A12" s="158" t="inlineStr">
        <is>
          <t>Memory Care Revenue</t>
        </is>
      </c>
      <c r="B12" s="158" t="inlineStr">
        <is>
          <t>Base rent — MC</t>
        </is>
      </c>
      <c r="C12" s="158" t="inlineStr">
        <is>
          <t>Revenue</t>
        </is>
      </c>
      <c r="D12" s="158" t="inlineStr">
        <is>
          <t>MC</t>
        </is>
      </c>
      <c r="E12" s="158" t="n"/>
    </row>
    <row r="13" ht="15" customHeight="1" s="410">
      <c r="A13" s="158" t="inlineStr">
        <is>
          <t>IL Base Rate Income</t>
        </is>
      </c>
      <c r="B13" s="158" t="inlineStr">
        <is>
          <t>Base rent — IL</t>
        </is>
      </c>
      <c r="C13" s="158" t="inlineStr">
        <is>
          <t>Revenue</t>
        </is>
      </c>
      <c r="D13" s="158" t="inlineStr">
        <is>
          <t>IL</t>
        </is>
      </c>
      <c r="E13" s="158" t="n"/>
    </row>
    <row r="14" ht="15" customHeight="1" s="410">
      <c r="A14" s="158" t="inlineStr">
        <is>
          <t>Independent Living Base Rate</t>
        </is>
      </c>
      <c r="B14" s="158" t="inlineStr">
        <is>
          <t>Base rent — IL</t>
        </is>
      </c>
      <c r="C14" s="158" t="inlineStr">
        <is>
          <t>Revenue</t>
        </is>
      </c>
      <c r="D14" s="158" t="inlineStr">
        <is>
          <t>IL</t>
        </is>
      </c>
      <c r="E14" s="158" t="n"/>
    </row>
    <row r="15" ht="15" customHeight="1" s="410">
      <c r="A15" s="158" t="inlineStr">
        <is>
          <t>AL Care Rate Income</t>
        </is>
      </c>
      <c r="B15" s="158" t="inlineStr">
        <is>
          <t>LOC revenue — AL</t>
        </is>
      </c>
      <c r="C15" s="158" t="inlineStr">
        <is>
          <t>Revenue</t>
        </is>
      </c>
      <c r="D15" s="158" t="inlineStr">
        <is>
          <t>AL</t>
        </is>
      </c>
      <c r="E15" s="158" t="n"/>
    </row>
    <row r="16" ht="15" customHeight="1" s="410">
      <c r="A16" s="158" t="inlineStr">
        <is>
          <t>AL Level of Care Income</t>
        </is>
      </c>
      <c r="B16" s="158" t="inlineStr">
        <is>
          <t>LOC revenue — AL</t>
        </is>
      </c>
      <c r="C16" s="158" t="inlineStr">
        <is>
          <t>Revenue</t>
        </is>
      </c>
      <c r="D16" s="158" t="inlineStr">
        <is>
          <t>AL</t>
        </is>
      </c>
      <c r="E16" s="158" t="n"/>
    </row>
    <row r="17" ht="15" customHeight="1" s="410">
      <c r="A17" s="158" t="inlineStr">
        <is>
          <t>AL Care Level Income</t>
        </is>
      </c>
      <c r="B17" s="158" t="inlineStr">
        <is>
          <t>LOC revenue — AL</t>
        </is>
      </c>
      <c r="C17" s="158" t="inlineStr">
        <is>
          <t>Revenue</t>
        </is>
      </c>
      <c r="D17" s="158" t="inlineStr">
        <is>
          <t>AL</t>
        </is>
      </c>
      <c r="E17" s="158" t="n"/>
    </row>
    <row r="18" ht="15" customHeight="1" s="410">
      <c r="A18" s="158" t="inlineStr">
        <is>
          <t>ALZ Care Rate Income</t>
        </is>
      </c>
      <c r="B18" s="158" t="inlineStr">
        <is>
          <t>LOC revenue — MC</t>
        </is>
      </c>
      <c r="C18" s="158" t="inlineStr">
        <is>
          <t>Revenue</t>
        </is>
      </c>
      <c r="D18" s="158" t="inlineStr">
        <is>
          <t>MC</t>
        </is>
      </c>
      <c r="E18" s="158" t="n"/>
    </row>
    <row r="19" ht="15" customHeight="1" s="410">
      <c r="A19" s="158" t="inlineStr">
        <is>
          <t>Memory Care Level of Care</t>
        </is>
      </c>
      <c r="B19" s="158" t="inlineStr">
        <is>
          <t>LOC revenue — MC</t>
        </is>
      </c>
      <c r="C19" s="158" t="inlineStr">
        <is>
          <t>Revenue</t>
        </is>
      </c>
      <c r="D19" s="158" t="inlineStr">
        <is>
          <t>MC</t>
        </is>
      </c>
      <c r="E19" s="158" t="n"/>
    </row>
    <row r="20" ht="15" customHeight="1" s="410">
      <c r="A20" s="158" t="inlineStr">
        <is>
          <t>MC Care Rate Income</t>
        </is>
      </c>
      <c r="B20" s="158" t="inlineStr">
        <is>
          <t>LOC revenue — MC</t>
        </is>
      </c>
      <c r="C20" s="158" t="inlineStr">
        <is>
          <t>Revenue</t>
        </is>
      </c>
      <c r="D20" s="158" t="inlineStr">
        <is>
          <t>MC</t>
        </is>
      </c>
      <c r="E20" s="158" t="n"/>
    </row>
    <row r="21" ht="15" customHeight="1" s="410">
      <c r="A21" s="158" t="inlineStr">
        <is>
          <t>IL Care Rate Income</t>
        </is>
      </c>
      <c r="B21" s="158" t="inlineStr">
        <is>
          <t>LOC revenue — IL</t>
        </is>
      </c>
      <c r="C21" s="158" t="inlineStr">
        <is>
          <t>Revenue</t>
        </is>
      </c>
      <c r="D21" s="158" t="inlineStr">
        <is>
          <t>IL</t>
        </is>
      </c>
      <c r="E21" s="158" t="n"/>
    </row>
    <row r="22" ht="15" customHeight="1" s="410">
      <c r="A22" s="158" t="inlineStr">
        <is>
          <t>IL Level of Care Income</t>
        </is>
      </c>
      <c r="B22" s="158" t="inlineStr">
        <is>
          <t>LOC revenue — IL</t>
        </is>
      </c>
      <c r="C22" s="158" t="inlineStr">
        <is>
          <t>Revenue</t>
        </is>
      </c>
      <c r="D22" s="158" t="inlineStr">
        <is>
          <t>IL</t>
        </is>
      </c>
      <c r="E22" s="158" t="n"/>
    </row>
    <row r="23" ht="15" customHeight="1" s="410">
      <c r="A23" s="158" t="inlineStr">
        <is>
          <t>Respite Care Income</t>
        </is>
      </c>
      <c r="B23" s="158" t="inlineStr">
        <is>
          <t>Respite care</t>
        </is>
      </c>
      <c r="C23" s="158" t="inlineStr">
        <is>
          <t>Revenue</t>
        </is>
      </c>
      <c r="D23" s="158" t="inlineStr">
        <is>
          <t>-</t>
        </is>
      </c>
      <c r="E23" s="158" t="inlineStr">
        <is>
          <t>Volatile</t>
        </is>
      </c>
    </row>
    <row r="24" ht="15" customHeight="1" s="410">
      <c r="A24" s="158" t="inlineStr">
        <is>
          <t>Respite Care</t>
        </is>
      </c>
      <c r="B24" s="158" t="inlineStr">
        <is>
          <t>Respite care</t>
        </is>
      </c>
      <c r="C24" s="158" t="inlineStr">
        <is>
          <t>Revenue</t>
        </is>
      </c>
      <c r="D24" s="158" t="inlineStr">
        <is>
          <t>-</t>
        </is>
      </c>
      <c r="E24" s="158" t="inlineStr">
        <is>
          <t>Volatile</t>
        </is>
      </c>
    </row>
    <row r="25" ht="15" customHeight="1" s="410">
      <c r="A25" s="158" t="inlineStr">
        <is>
          <t>Community Fees</t>
        </is>
      </c>
      <c r="B25" s="158" t="inlineStr">
        <is>
          <t>Community / move-in fees</t>
        </is>
      </c>
      <c r="C25" s="158" t="inlineStr">
        <is>
          <t>Revenue</t>
        </is>
      </c>
      <c r="D25" s="158" t="inlineStr">
        <is>
          <t>-</t>
        </is>
      </c>
      <c r="E25" s="158" t="inlineStr">
        <is>
          <t>Normalize to $0</t>
        </is>
      </c>
    </row>
    <row r="26" ht="15" customHeight="1" s="410">
      <c r="A26" s="158" t="inlineStr">
        <is>
          <t>Move-In Fees</t>
        </is>
      </c>
      <c r="B26" s="158" t="inlineStr">
        <is>
          <t>Community / move-in fees</t>
        </is>
      </c>
      <c r="C26" s="158" t="inlineStr">
        <is>
          <t>Revenue</t>
        </is>
      </c>
      <c r="D26" s="158" t="inlineStr">
        <is>
          <t>-</t>
        </is>
      </c>
      <c r="E26" s="158" t="inlineStr">
        <is>
          <t>Normalize to $0</t>
        </is>
      </c>
    </row>
    <row r="27" ht="15" customHeight="1" s="410">
      <c r="A27" s="158" t="inlineStr">
        <is>
          <t>Concessions</t>
        </is>
      </c>
      <c r="B27" s="158" t="inlineStr">
        <is>
          <t>Concessions &amp; specials</t>
        </is>
      </c>
      <c r="C27" s="158" t="inlineStr">
        <is>
          <t>Revenue</t>
        </is>
      </c>
      <c r="D27" s="158" t="inlineStr">
        <is>
          <t>-</t>
        </is>
      </c>
      <c r="E27" s="158" t="inlineStr">
        <is>
          <t>Normalize to $0</t>
        </is>
      </c>
    </row>
    <row r="28" ht="15" customHeight="1" s="410">
      <c r="A28" s="158" t="inlineStr">
        <is>
          <t>Move In Specials and Discounts</t>
        </is>
      </c>
      <c r="B28" s="158" t="inlineStr">
        <is>
          <t>Concessions &amp; specials</t>
        </is>
      </c>
      <c r="C28" s="158" t="inlineStr">
        <is>
          <t>Revenue</t>
        </is>
      </c>
      <c r="D28" s="158" t="inlineStr">
        <is>
          <t>-</t>
        </is>
      </c>
      <c r="E28" s="158" t="inlineStr">
        <is>
          <t>Normalize to $0</t>
        </is>
      </c>
    </row>
    <row r="29" ht="15" customHeight="1" s="410">
      <c r="A29" s="158" t="inlineStr">
        <is>
          <t>Move-In Specials</t>
        </is>
      </c>
      <c r="B29" s="158" t="inlineStr">
        <is>
          <t>Concessions &amp; specials</t>
        </is>
      </c>
      <c r="C29" s="158" t="inlineStr">
        <is>
          <t>Revenue</t>
        </is>
      </c>
      <c r="D29" s="158" t="inlineStr">
        <is>
          <t>-</t>
        </is>
      </c>
      <c r="E29" s="158" t="inlineStr">
        <is>
          <t>Normalize to $0</t>
        </is>
      </c>
    </row>
    <row r="30" ht="15" customHeight="1" s="410">
      <c r="A30" s="158" t="inlineStr">
        <is>
          <t>Guest Meals</t>
        </is>
      </c>
      <c r="B30" s="158" t="inlineStr">
        <is>
          <t>Other community revenue</t>
        </is>
      </c>
      <c r="C30" s="158" t="inlineStr">
        <is>
          <t>Revenue</t>
        </is>
      </c>
      <c r="D30" s="158" t="inlineStr">
        <is>
          <t>-</t>
        </is>
      </c>
      <c r="E30" s="158" t="n"/>
    </row>
    <row r="31" ht="15" customHeight="1" s="410">
      <c r="A31" s="158" t="inlineStr">
        <is>
          <t>Beautician Income</t>
        </is>
      </c>
      <c r="B31" s="158" t="inlineStr">
        <is>
          <t>Other community revenue</t>
        </is>
      </c>
      <c r="C31" s="158" t="inlineStr">
        <is>
          <t>Revenue</t>
        </is>
      </c>
      <c r="D31" s="158" t="inlineStr">
        <is>
          <t>-</t>
        </is>
      </c>
      <c r="E31" s="158" t="n"/>
    </row>
    <row r="32" ht="15" customHeight="1" s="410">
      <c r="A32" s="158" t="inlineStr">
        <is>
          <t>Utility Income</t>
        </is>
      </c>
      <c r="B32" s="158" t="inlineStr">
        <is>
          <t>Other community revenue</t>
        </is>
      </c>
      <c r="C32" s="158" t="inlineStr">
        <is>
          <t>Revenue</t>
        </is>
      </c>
      <c r="D32" s="158" t="inlineStr">
        <is>
          <t>-</t>
        </is>
      </c>
      <c r="E32" s="158" t="n"/>
    </row>
    <row r="33" ht="15" customHeight="1" s="410">
      <c r="A33" s="158" t="inlineStr">
        <is>
          <t>Incontinence Supplies Income</t>
        </is>
      </c>
      <c r="B33" s="158" t="inlineStr">
        <is>
          <t>Other community revenue</t>
        </is>
      </c>
      <c r="C33" s="158" t="inlineStr">
        <is>
          <t>Revenue</t>
        </is>
      </c>
      <c r="D33" s="158" t="inlineStr">
        <is>
          <t>-</t>
        </is>
      </c>
      <c r="E33" s="158" t="n"/>
    </row>
    <row r="34" ht="15" customHeight="1" s="410">
      <c r="A34" s="158" t="inlineStr">
        <is>
          <t>Personal Purchases</t>
        </is>
      </c>
      <c r="B34" s="158" t="inlineStr">
        <is>
          <t>Other community revenue</t>
        </is>
      </c>
      <c r="C34" s="158" t="inlineStr">
        <is>
          <t>Revenue</t>
        </is>
      </c>
      <c r="D34" s="158" t="inlineStr">
        <is>
          <t>-</t>
        </is>
      </c>
      <c r="E34" s="158" t="n"/>
    </row>
    <row r="35" ht="15" customHeight="1" s="410">
      <c r="A35" s="158" t="inlineStr">
        <is>
          <t>Administrative Fees</t>
        </is>
      </c>
      <c r="B35" s="158" t="inlineStr">
        <is>
          <t>Other community revenue</t>
        </is>
      </c>
      <c r="C35" s="158" t="inlineStr">
        <is>
          <t>Revenue</t>
        </is>
      </c>
      <c r="D35" s="158" t="inlineStr">
        <is>
          <t>-</t>
        </is>
      </c>
      <c r="E35" s="158" t="n"/>
    </row>
    <row r="36" ht="15" customHeight="1" s="410">
      <c r="A36" s="158" t="inlineStr">
        <is>
          <t>Finance Charges Revenue</t>
        </is>
      </c>
      <c r="B36" s="158" t="inlineStr">
        <is>
          <t>Other community revenue</t>
        </is>
      </c>
      <c r="C36" s="158" t="inlineStr">
        <is>
          <t>Revenue</t>
        </is>
      </c>
      <c r="D36" s="158" t="inlineStr">
        <is>
          <t>-</t>
        </is>
      </c>
      <c r="E36" s="158" t="n"/>
    </row>
    <row r="37" ht="15" customHeight="1" s="410">
      <c r="A37" s="158" t="inlineStr">
        <is>
          <t>Care Staff Labor</t>
        </is>
      </c>
      <c r="B37" s="158" t="inlineStr">
        <is>
          <t>Care staff labor</t>
        </is>
      </c>
      <c r="C37" s="158" t="inlineStr">
        <is>
          <t>Labor</t>
        </is>
      </c>
      <c r="D37" s="158" t="inlineStr">
        <is>
          <t>-</t>
        </is>
      </c>
      <c r="E37" s="158" t="n"/>
    </row>
    <row r="38" ht="15" customHeight="1" s="410">
      <c r="A38" s="158" t="inlineStr">
        <is>
          <t>Direct Care Labor</t>
        </is>
      </c>
      <c r="B38" s="158" t="inlineStr">
        <is>
          <t>Care staff labor</t>
        </is>
      </c>
      <c r="C38" s="158" t="inlineStr">
        <is>
          <t>Labor</t>
        </is>
      </c>
      <c r="D38" s="158" t="inlineStr">
        <is>
          <t>-</t>
        </is>
      </c>
      <c r="E38" s="158" t="n"/>
    </row>
    <row r="39" ht="15" customHeight="1" s="410">
      <c r="A39" s="158" t="inlineStr">
        <is>
          <t>Other Labor</t>
        </is>
      </c>
      <c r="B39" s="158" t="inlineStr">
        <is>
          <t>Care staff labor</t>
        </is>
      </c>
      <c r="C39" s="158" t="inlineStr">
        <is>
          <t>Labor</t>
        </is>
      </c>
      <c r="D39" s="158" t="inlineStr">
        <is>
          <t>-</t>
        </is>
      </c>
      <c r="E39" s="158" t="n"/>
    </row>
    <row r="40" ht="15" customHeight="1" s="410">
      <c r="A40" s="158" t="inlineStr">
        <is>
          <t>Wellness/Care Coordinators Labor</t>
        </is>
      </c>
      <c r="B40" s="158" t="inlineStr">
        <is>
          <t>Wellness / care coordinators</t>
        </is>
      </c>
      <c r="C40" s="158" t="inlineStr">
        <is>
          <t>Labor</t>
        </is>
      </c>
      <c r="D40" s="158" t="inlineStr">
        <is>
          <t>-</t>
        </is>
      </c>
      <c r="E40" s="158" t="n"/>
    </row>
    <row r="41" ht="15" customHeight="1" s="410">
      <c r="A41" s="158" t="inlineStr">
        <is>
          <t>Wellness/Care Coordinator Labor</t>
        </is>
      </c>
      <c r="B41" s="158" t="inlineStr">
        <is>
          <t>Wellness / care coordinators</t>
        </is>
      </c>
      <c r="C41" s="158" t="inlineStr">
        <is>
          <t>Labor</t>
        </is>
      </c>
      <c r="D41" s="158" t="inlineStr">
        <is>
          <t>-</t>
        </is>
      </c>
      <c r="E41" s="158" t="n"/>
    </row>
    <row r="42" ht="15" customHeight="1" s="410">
      <c r="A42" s="158" t="inlineStr">
        <is>
          <t>Care Coordinator Labor</t>
        </is>
      </c>
      <c r="B42" s="158" t="inlineStr">
        <is>
          <t>Wellness / care coordinators</t>
        </is>
      </c>
      <c r="C42" s="158" t="inlineStr">
        <is>
          <t>Labor</t>
        </is>
      </c>
      <c r="D42" s="158" t="inlineStr">
        <is>
          <t>-</t>
        </is>
      </c>
      <c r="E42" s="158" t="n"/>
    </row>
    <row r="43" ht="15" customHeight="1" s="410">
      <c r="A43" s="158" t="inlineStr">
        <is>
          <t>Contract Labor - Care</t>
        </is>
      </c>
      <c r="B43" s="158" t="inlineStr">
        <is>
          <t>Contract / agency labor</t>
        </is>
      </c>
      <c r="C43" s="158" t="inlineStr">
        <is>
          <t>Labor</t>
        </is>
      </c>
      <c r="D43" s="158" t="inlineStr">
        <is>
          <t>-</t>
        </is>
      </c>
      <c r="E43" s="158" t="inlineStr">
        <is>
          <t>Normalize at stabilization</t>
        </is>
      </c>
    </row>
    <row r="44" ht="15" customHeight="1" s="410">
      <c r="A44" s="158" t="inlineStr">
        <is>
          <t>Contract Labor</t>
        </is>
      </c>
      <c r="B44" s="158" t="inlineStr">
        <is>
          <t>Contract / agency labor</t>
        </is>
      </c>
      <c r="C44" s="158" t="inlineStr">
        <is>
          <t>Labor</t>
        </is>
      </c>
      <c r="D44" s="158" t="inlineStr">
        <is>
          <t>-</t>
        </is>
      </c>
      <c r="E44" s="158" t="inlineStr">
        <is>
          <t>Normalize at stabilization</t>
        </is>
      </c>
    </row>
    <row r="45" ht="15" customHeight="1" s="410">
      <c r="A45" s="158" t="inlineStr">
        <is>
          <t>Agency Labor</t>
        </is>
      </c>
      <c r="B45" s="158" t="inlineStr">
        <is>
          <t>Contract / agency labor</t>
        </is>
      </c>
      <c r="C45" s="158" t="inlineStr">
        <is>
          <t>Labor</t>
        </is>
      </c>
      <c r="D45" s="158" t="inlineStr">
        <is>
          <t>-</t>
        </is>
      </c>
      <c r="E45" s="158" t="inlineStr">
        <is>
          <t>Normalize at stabilization</t>
        </is>
      </c>
    </row>
    <row r="46" ht="15" customHeight="1" s="410">
      <c r="A46" s="158" t="inlineStr">
        <is>
          <t>Activities Labor</t>
        </is>
      </c>
      <c r="B46" s="158" t="inlineStr">
        <is>
          <t>Activities labor</t>
        </is>
      </c>
      <c r="C46" s="158" t="inlineStr">
        <is>
          <t>Labor</t>
        </is>
      </c>
      <c r="D46" s="158" t="inlineStr">
        <is>
          <t>-</t>
        </is>
      </c>
      <c r="E46" s="158" t="n"/>
    </row>
    <row r="47" ht="15" customHeight="1" s="410">
      <c r="A47" s="158" t="inlineStr">
        <is>
          <t>Food Service Labor</t>
        </is>
      </c>
      <c r="B47" s="158" t="inlineStr">
        <is>
          <t>Dining / food service labor</t>
        </is>
      </c>
      <c r="C47" s="158" t="inlineStr">
        <is>
          <t>Labor</t>
        </is>
      </c>
      <c r="D47" s="158" t="inlineStr">
        <is>
          <t>-</t>
        </is>
      </c>
      <c r="E47" s="158" t="n"/>
    </row>
    <row r="48" ht="15" customHeight="1" s="410">
      <c r="A48" s="158" t="inlineStr">
        <is>
          <t>Dietary Labor</t>
        </is>
      </c>
      <c r="B48" s="158" t="inlineStr">
        <is>
          <t>Dining / food service labor</t>
        </is>
      </c>
      <c r="C48" s="158" t="inlineStr">
        <is>
          <t>Labor</t>
        </is>
      </c>
      <c r="D48" s="158" t="inlineStr">
        <is>
          <t>-</t>
        </is>
      </c>
      <c r="E48" s="158" t="n"/>
    </row>
    <row r="49" ht="15" customHeight="1" s="410">
      <c r="A49" s="158" t="inlineStr">
        <is>
          <t>Dining Labor</t>
        </is>
      </c>
      <c r="B49" s="158" t="inlineStr">
        <is>
          <t>Dining / food service labor</t>
        </is>
      </c>
      <c r="C49" s="158" t="inlineStr">
        <is>
          <t>Labor</t>
        </is>
      </c>
      <c r="D49" s="158" t="inlineStr">
        <is>
          <t>-</t>
        </is>
      </c>
      <c r="E49" s="158" t="n"/>
    </row>
    <row r="50" ht="15" customHeight="1" s="410">
      <c r="A50" s="158" t="inlineStr">
        <is>
          <t>Maintenance/Housekeeping Labor</t>
        </is>
      </c>
      <c r="B50" s="158" t="inlineStr">
        <is>
          <t>Maint. &amp; housekeeping labor</t>
        </is>
      </c>
      <c r="C50" s="158" t="inlineStr">
        <is>
          <t>Labor</t>
        </is>
      </c>
      <c r="D50" s="158" t="inlineStr">
        <is>
          <t>-</t>
        </is>
      </c>
      <c r="E50" s="158" t="n"/>
    </row>
    <row r="51" ht="15" customHeight="1" s="410">
      <c r="A51" s="158" t="inlineStr">
        <is>
          <t>Maintenance Labor</t>
        </is>
      </c>
      <c r="B51" s="158" t="inlineStr">
        <is>
          <t>Maint. &amp; housekeeping labor</t>
        </is>
      </c>
      <c r="C51" s="158" t="inlineStr">
        <is>
          <t>Labor</t>
        </is>
      </c>
      <c r="D51" s="158" t="inlineStr">
        <is>
          <t>-</t>
        </is>
      </c>
      <c r="E51" s="158" t="n"/>
    </row>
    <row r="52" ht="15" customHeight="1" s="410">
      <c r="A52" s="158" t="inlineStr">
        <is>
          <t>Housekeeping Labor</t>
        </is>
      </c>
      <c r="B52" s="158" t="inlineStr">
        <is>
          <t>Maint. &amp; housekeeping labor</t>
        </is>
      </c>
      <c r="C52" s="158" t="inlineStr">
        <is>
          <t>Labor</t>
        </is>
      </c>
      <c r="D52" s="158" t="inlineStr">
        <is>
          <t>-</t>
        </is>
      </c>
      <c r="E52" s="158" t="n"/>
    </row>
    <row r="53" ht="15" customHeight="1" s="410">
      <c r="A53" s="158" t="inlineStr">
        <is>
          <t>Administration Labor</t>
        </is>
      </c>
      <c r="B53" s="158" t="inlineStr">
        <is>
          <t>Administrative labor</t>
        </is>
      </c>
      <c r="C53" s="158" t="inlineStr">
        <is>
          <t>Labor</t>
        </is>
      </c>
      <c r="D53" s="158" t="inlineStr">
        <is>
          <t>-</t>
        </is>
      </c>
      <c r="E53" s="158" t="n"/>
    </row>
    <row r="54" ht="15" customHeight="1" s="410">
      <c r="A54" s="158" t="inlineStr">
        <is>
          <t>Administrative Labor</t>
        </is>
      </c>
      <c r="B54" s="158" t="inlineStr">
        <is>
          <t>Administrative labor</t>
        </is>
      </c>
      <c r="C54" s="158" t="inlineStr">
        <is>
          <t>Labor</t>
        </is>
      </c>
      <c r="D54" s="158" t="inlineStr">
        <is>
          <t>-</t>
        </is>
      </c>
      <c r="E54" s="158" t="n"/>
    </row>
    <row r="55" ht="15" customHeight="1" s="410">
      <c r="A55" s="158" t="inlineStr">
        <is>
          <t>Bonus Wages</t>
        </is>
      </c>
      <c r="B55" s="158" t="inlineStr">
        <is>
          <t>Bonus wages</t>
        </is>
      </c>
      <c r="C55" s="158" t="inlineStr">
        <is>
          <t>Labor</t>
        </is>
      </c>
      <c r="D55" s="158" t="inlineStr">
        <is>
          <t>-</t>
        </is>
      </c>
      <c r="E55" s="158" t="inlineStr">
        <is>
          <t>Stabilize annually</t>
        </is>
      </c>
    </row>
    <row r="56" ht="15" customHeight="1" s="410">
      <c r="A56" s="158" t="inlineStr">
        <is>
          <t>Overtime</t>
        </is>
      </c>
      <c r="B56" s="158" t="inlineStr">
        <is>
          <t>Overtime wages</t>
        </is>
      </c>
      <c r="C56" s="158" t="inlineStr">
        <is>
          <t>Labor</t>
        </is>
      </c>
      <c r="D56" s="158" t="inlineStr">
        <is>
          <t>-</t>
        </is>
      </c>
      <c r="E56" s="158" t="inlineStr">
        <is>
          <t>Flag if &gt;5% of wages</t>
        </is>
      </c>
    </row>
    <row r="57" ht="15" customHeight="1" s="410">
      <c r="A57" s="158" t="inlineStr">
        <is>
          <t>Overtime Wages</t>
        </is>
      </c>
      <c r="B57" s="158" t="inlineStr">
        <is>
          <t>Overtime wages</t>
        </is>
      </c>
      <c r="C57" s="158" t="inlineStr">
        <is>
          <t>Labor</t>
        </is>
      </c>
      <c r="D57" s="158" t="inlineStr">
        <is>
          <t>-</t>
        </is>
      </c>
      <c r="E57" s="158" t="inlineStr">
        <is>
          <t>Flag if &gt;5% of wages</t>
        </is>
      </c>
    </row>
    <row r="58" ht="15" customHeight="1" s="410">
      <c r="A58" s="158" t="inlineStr">
        <is>
          <t>OT Wages</t>
        </is>
      </c>
      <c r="B58" s="158" t="inlineStr">
        <is>
          <t>Overtime wages</t>
        </is>
      </c>
      <c r="C58" s="158" t="inlineStr">
        <is>
          <t>Labor</t>
        </is>
      </c>
      <c r="D58" s="158" t="inlineStr">
        <is>
          <t>-</t>
        </is>
      </c>
      <c r="E58" s="158" t="inlineStr">
        <is>
          <t>Flag if &gt;5% of wages</t>
        </is>
      </c>
    </row>
    <row r="59" ht="15" customHeight="1" s="410">
      <c r="A59" s="158" t="inlineStr">
        <is>
          <t>PTO Wages</t>
        </is>
      </c>
      <c r="B59" s="158" t="inlineStr">
        <is>
          <t>PTO wages</t>
        </is>
      </c>
      <c r="C59" s="158" t="inlineStr">
        <is>
          <t>Labor</t>
        </is>
      </c>
      <c r="D59" s="158" t="inlineStr">
        <is>
          <t>-</t>
        </is>
      </c>
      <c r="E59" s="158" t="inlineStr">
        <is>
          <t>Annualize</t>
        </is>
      </c>
    </row>
    <row r="60" ht="15" customHeight="1" s="410">
      <c r="A60" s="158" t="inlineStr">
        <is>
          <t>PTO</t>
        </is>
      </c>
      <c r="B60" s="158" t="inlineStr">
        <is>
          <t>PTO wages</t>
        </is>
      </c>
      <c r="C60" s="158" t="inlineStr">
        <is>
          <t>Labor</t>
        </is>
      </c>
      <c r="D60" s="158" t="inlineStr">
        <is>
          <t>-</t>
        </is>
      </c>
      <c r="E60" s="158" t="inlineStr">
        <is>
          <t>Annualize</t>
        </is>
      </c>
    </row>
    <row r="61" ht="15" customHeight="1" s="410">
      <c r="A61" s="158" t="inlineStr">
        <is>
          <t>Payroll Taxes</t>
        </is>
      </c>
      <c r="B61" s="158" t="inlineStr">
        <is>
          <t>Payroll taxes</t>
        </is>
      </c>
      <c r="C61" s="158" t="inlineStr">
        <is>
          <t>Labor</t>
        </is>
      </c>
      <c r="D61" s="158" t="inlineStr">
        <is>
          <t>-</t>
        </is>
      </c>
      <c r="E61" s="158" t="n"/>
    </row>
    <row r="62" ht="15" customHeight="1" s="410">
      <c r="A62" s="158" t="inlineStr">
        <is>
          <t>Employee Benefits - Insurance</t>
        </is>
      </c>
      <c r="B62" s="158" t="inlineStr">
        <is>
          <t>Employee benefits</t>
        </is>
      </c>
      <c r="C62" s="158" t="inlineStr">
        <is>
          <t>Labor</t>
        </is>
      </c>
      <c r="D62" s="158" t="inlineStr">
        <is>
          <t>-</t>
        </is>
      </c>
      <c r="E62" s="158" t="n"/>
    </row>
    <row r="63" ht="15" customHeight="1" s="410">
      <c r="A63" s="158" t="inlineStr">
        <is>
          <t>Employee Benefits</t>
        </is>
      </c>
      <c r="B63" s="158" t="inlineStr">
        <is>
          <t>Employee benefits</t>
        </is>
      </c>
      <c r="C63" s="158" t="inlineStr">
        <is>
          <t>Labor</t>
        </is>
      </c>
      <c r="D63" s="158" t="inlineStr">
        <is>
          <t>-</t>
        </is>
      </c>
      <c r="E63" s="158" t="n"/>
    </row>
    <row r="64" ht="15" customHeight="1" s="410">
      <c r="A64" s="158" t="inlineStr">
        <is>
          <t>Worker's Comp Insurance</t>
        </is>
      </c>
      <c r="B64" s="158" t="inlineStr">
        <is>
          <t>Workers' comp insurance</t>
        </is>
      </c>
      <c r="C64" s="158" t="inlineStr">
        <is>
          <t>Labor</t>
        </is>
      </c>
      <c r="D64" s="158" t="inlineStr">
        <is>
          <t>-</t>
        </is>
      </c>
      <c r="E64" s="158" t="n"/>
    </row>
    <row r="65" ht="15" customHeight="1" s="410">
      <c r="A65" s="158" t="inlineStr">
        <is>
          <t>Workers Comp Insurance</t>
        </is>
      </c>
      <c r="B65" s="158" t="inlineStr">
        <is>
          <t>Workers' comp insurance</t>
        </is>
      </c>
      <c r="C65" s="158" t="inlineStr">
        <is>
          <t>Labor</t>
        </is>
      </c>
      <c r="D65" s="158" t="inlineStr">
        <is>
          <t>-</t>
        </is>
      </c>
      <c r="E65" s="158" t="n"/>
    </row>
    <row r="66" ht="15" customHeight="1" s="410">
      <c r="A66" s="158" t="inlineStr">
        <is>
          <t>Workers' Compensation</t>
        </is>
      </c>
      <c r="B66" s="158" t="inlineStr">
        <is>
          <t>Workers' comp insurance</t>
        </is>
      </c>
      <c r="C66" s="158" t="inlineStr">
        <is>
          <t>Labor</t>
        </is>
      </c>
      <c r="D66" s="158" t="inlineStr">
        <is>
          <t>-</t>
        </is>
      </c>
      <c r="E66" s="158" t="n"/>
    </row>
    <row r="67" ht="15" customHeight="1" s="410">
      <c r="A67" s="158" t="inlineStr">
        <is>
          <t>Employee 401(K)</t>
        </is>
      </c>
      <c r="B67" s="158" t="inlineStr">
        <is>
          <t>Employee 401(k)</t>
        </is>
      </c>
      <c r="C67" s="158" t="inlineStr">
        <is>
          <t>Labor</t>
        </is>
      </c>
      <c r="D67" s="158" t="inlineStr">
        <is>
          <t>-</t>
        </is>
      </c>
      <c r="E67" s="158" t="n"/>
    </row>
    <row r="68" ht="15" customHeight="1" s="410">
      <c r="A68" s="158" t="inlineStr">
        <is>
          <t>Employee 401(k)</t>
        </is>
      </c>
      <c r="B68" s="158" t="inlineStr">
        <is>
          <t>Employee 401(k)</t>
        </is>
      </c>
      <c r="C68" s="158" t="inlineStr">
        <is>
          <t>Labor</t>
        </is>
      </c>
      <c r="D68" s="158" t="inlineStr">
        <is>
          <t>-</t>
        </is>
      </c>
      <c r="E68" s="158" t="n"/>
    </row>
    <row r="69" ht="15" customHeight="1" s="410">
      <c r="A69" s="158" t="inlineStr">
        <is>
          <t>Food Cost</t>
        </is>
      </c>
      <c r="B69" s="158" t="inlineStr">
        <is>
          <t>Food cost</t>
        </is>
      </c>
      <c r="C69" s="158" t="inlineStr">
        <is>
          <t>Non-Labor</t>
        </is>
      </c>
      <c r="D69" s="158" t="inlineStr">
        <is>
          <t>-</t>
        </is>
      </c>
      <c r="E69" s="158" t="n"/>
    </row>
    <row r="70" ht="15" customHeight="1" s="410">
      <c r="A70" s="158" t="inlineStr">
        <is>
          <t>Dietary Supplies</t>
        </is>
      </c>
      <c r="B70" s="158" t="inlineStr">
        <is>
          <t>Dining &amp; kitchen supplies</t>
        </is>
      </c>
      <c r="C70" s="158" t="inlineStr">
        <is>
          <t>Non-Labor</t>
        </is>
      </c>
      <c r="D70" s="158" t="inlineStr">
        <is>
          <t>-</t>
        </is>
      </c>
      <c r="E70" s="158" t="n"/>
    </row>
    <row r="71" ht="15" customHeight="1" s="410">
      <c r="A71" s="158" t="inlineStr">
        <is>
          <t>Nursing Supplies</t>
        </is>
      </c>
      <c r="B71" s="158" t="inlineStr">
        <is>
          <t>Nursing &amp; care supplies</t>
        </is>
      </c>
      <c r="C71" s="158" t="inlineStr">
        <is>
          <t>Non-Labor</t>
        </is>
      </c>
      <c r="D71" s="158" t="inlineStr">
        <is>
          <t>-</t>
        </is>
      </c>
      <c r="E71" s="158" t="n"/>
    </row>
    <row r="72" ht="15" customHeight="1" s="410">
      <c r="A72" s="158" t="inlineStr">
        <is>
          <t>Recreation Supplies</t>
        </is>
      </c>
      <c r="B72" s="158" t="inlineStr">
        <is>
          <t>Recreation &amp; activity suppl.</t>
        </is>
      </c>
      <c r="C72" s="158" t="inlineStr">
        <is>
          <t>Non-Labor</t>
        </is>
      </c>
      <c r="D72" s="158" t="inlineStr">
        <is>
          <t>-</t>
        </is>
      </c>
      <c r="E72" s="158" t="n"/>
    </row>
    <row r="73" ht="15" customHeight="1" s="410">
      <c r="A73" s="158" t="inlineStr">
        <is>
          <t>R &amp; M-Fixed</t>
        </is>
      </c>
      <c r="B73" s="158" t="inlineStr">
        <is>
          <t>R&amp;M fixed</t>
        </is>
      </c>
      <c r="C73" s="158" t="inlineStr">
        <is>
          <t>Non-Labor</t>
        </is>
      </c>
      <c r="D73" s="158" t="inlineStr">
        <is>
          <t>-</t>
        </is>
      </c>
      <c r="E73" s="158" t="n"/>
    </row>
    <row r="74" ht="15" customHeight="1" s="410">
      <c r="A74" s="158" t="inlineStr">
        <is>
          <t>R&amp;M-Fixed</t>
        </is>
      </c>
      <c r="B74" s="158" t="inlineStr">
        <is>
          <t>R&amp;M fixed</t>
        </is>
      </c>
      <c r="C74" s="158" t="inlineStr">
        <is>
          <t>Non-Labor</t>
        </is>
      </c>
      <c r="D74" s="158" t="inlineStr">
        <is>
          <t>-</t>
        </is>
      </c>
      <c r="E74" s="158" t="n"/>
    </row>
    <row r="75" ht="15" customHeight="1" s="410">
      <c r="A75" s="158" t="inlineStr">
        <is>
          <t>Maintenance Supplies</t>
        </is>
      </c>
      <c r="B75" s="158" t="inlineStr">
        <is>
          <t>R&amp;M fixed</t>
        </is>
      </c>
      <c r="C75" s="158" t="inlineStr">
        <is>
          <t>Non-Labor</t>
        </is>
      </c>
      <c r="D75" s="158" t="inlineStr">
        <is>
          <t>-</t>
        </is>
      </c>
      <c r="E75" s="158" t="n"/>
    </row>
    <row r="76" ht="15" customHeight="1" s="410">
      <c r="A76" s="158" t="inlineStr">
        <is>
          <t>R &amp; M-Variable</t>
        </is>
      </c>
      <c r="B76" s="158" t="inlineStr">
        <is>
          <t>R&amp;M variable</t>
        </is>
      </c>
      <c r="C76" s="158" t="inlineStr">
        <is>
          <t>Non-Labor</t>
        </is>
      </c>
      <c r="D76" s="158" t="inlineStr">
        <is>
          <t>-</t>
        </is>
      </c>
      <c r="E76" s="158" t="n"/>
    </row>
    <row r="77" ht="15" customHeight="1" s="410">
      <c r="A77" s="158" t="inlineStr">
        <is>
          <t>R&amp;M-Variable</t>
        </is>
      </c>
      <c r="B77" s="158" t="inlineStr">
        <is>
          <t>R&amp;M variable</t>
        </is>
      </c>
      <c r="C77" s="158" t="inlineStr">
        <is>
          <t>Non-Labor</t>
        </is>
      </c>
      <c r="D77" s="158" t="inlineStr">
        <is>
          <t>-</t>
        </is>
      </c>
      <c r="E77" s="158" t="n"/>
    </row>
    <row r="78" ht="15" customHeight="1" s="410">
      <c r="A78" s="158" t="inlineStr">
        <is>
          <t>Housekeeping Supplies</t>
        </is>
      </c>
      <c r="B78" s="158" t="inlineStr">
        <is>
          <t>HK &amp; laundry supplies</t>
        </is>
      </c>
      <c r="C78" s="158" t="inlineStr">
        <is>
          <t>Non-Labor</t>
        </is>
      </c>
      <c r="D78" s="158" t="inlineStr">
        <is>
          <t>-</t>
        </is>
      </c>
      <c r="E78" s="158" t="n"/>
    </row>
    <row r="79" ht="15" customHeight="1" s="410">
      <c r="A79" s="158" t="inlineStr">
        <is>
          <t>Laundry Supplies</t>
        </is>
      </c>
      <c r="B79" s="158" t="inlineStr">
        <is>
          <t>HK &amp; laundry supplies</t>
        </is>
      </c>
      <c r="C79" s="158" t="inlineStr">
        <is>
          <t>Non-Labor</t>
        </is>
      </c>
      <c r="D79" s="158" t="inlineStr">
        <is>
          <t>-</t>
        </is>
      </c>
      <c r="E79" s="158" t="n"/>
    </row>
    <row r="80" ht="15" customHeight="1" s="410">
      <c r="A80" s="158" t="inlineStr">
        <is>
          <t>Advertising and Promotion</t>
        </is>
      </c>
      <c r="B80" s="158" t="inlineStr">
        <is>
          <t>Sales, adv. &amp; marketing</t>
        </is>
      </c>
      <c r="C80" s="158" t="inlineStr">
        <is>
          <t>Non-Labor</t>
        </is>
      </c>
      <c r="D80" s="158" t="inlineStr">
        <is>
          <t>-</t>
        </is>
      </c>
      <c r="E80" s="158" t="n"/>
    </row>
    <row r="81" ht="15" customHeight="1" s="410">
      <c r="A81" s="158" t="inlineStr">
        <is>
          <t>Advertising &amp; Promotion</t>
        </is>
      </c>
      <c r="B81" s="158" t="inlineStr">
        <is>
          <t>Sales, adv. &amp; marketing</t>
        </is>
      </c>
      <c r="C81" s="158" t="inlineStr">
        <is>
          <t>Non-Labor</t>
        </is>
      </c>
      <c r="D81" s="158" t="inlineStr">
        <is>
          <t>-</t>
        </is>
      </c>
      <c r="E81" s="158" t="n"/>
    </row>
    <row r="82" ht="15" customHeight="1" s="410">
      <c r="A82" s="158" t="inlineStr">
        <is>
          <t>Referral Fees</t>
        </is>
      </c>
      <c r="B82" s="158" t="inlineStr">
        <is>
          <t>Referral fees</t>
        </is>
      </c>
      <c r="C82" s="158" t="inlineStr">
        <is>
          <t>Non-Labor</t>
        </is>
      </c>
      <c r="D82" s="158" t="inlineStr">
        <is>
          <t>-</t>
        </is>
      </c>
      <c r="E82" s="158" t="inlineStr">
        <is>
          <t>Normalize at stabilization</t>
        </is>
      </c>
    </row>
    <row r="83" ht="15" customHeight="1" s="410">
      <c r="A83" s="158" t="inlineStr">
        <is>
          <t>Utilities</t>
        </is>
      </c>
      <c r="B83" s="158" t="inlineStr">
        <is>
          <t>Utilities</t>
        </is>
      </c>
      <c r="C83" s="158" t="inlineStr">
        <is>
          <t>Non-Labor</t>
        </is>
      </c>
      <c r="D83" s="158" t="inlineStr">
        <is>
          <t>-</t>
        </is>
      </c>
      <c r="E83" s="158" t="n"/>
    </row>
    <row r="84" ht="15" customHeight="1" s="410">
      <c r="A84" s="158" t="inlineStr">
        <is>
          <t>Telephone/IT</t>
        </is>
      </c>
      <c r="B84" s="158" t="inlineStr">
        <is>
          <t>Telephone / IT</t>
        </is>
      </c>
      <c r="C84" s="158" t="inlineStr">
        <is>
          <t>Non-Labor</t>
        </is>
      </c>
      <c r="D84" s="158" t="inlineStr">
        <is>
          <t>-</t>
        </is>
      </c>
      <c r="E84" s="158" t="n"/>
    </row>
    <row r="85" ht="15" customHeight="1" s="410">
      <c r="A85" s="158" t="inlineStr">
        <is>
          <t>Telephone Reimbursement</t>
        </is>
      </c>
      <c r="B85" s="158" t="inlineStr">
        <is>
          <t>Telephone / IT</t>
        </is>
      </c>
      <c r="C85" s="158" t="inlineStr">
        <is>
          <t>Non-Labor</t>
        </is>
      </c>
      <c r="D85" s="158" t="inlineStr">
        <is>
          <t>-</t>
        </is>
      </c>
      <c r="E85" s="158" t="n"/>
    </row>
    <row r="86" ht="15" customHeight="1" s="410">
      <c r="A86" s="158" t="inlineStr">
        <is>
          <t>Bundled Insurance Poilicies</t>
        </is>
      </c>
      <c r="B86" s="158" t="inlineStr">
        <is>
          <t>P&amp;C insurance (bundled)</t>
        </is>
      </c>
      <c r="C86" s="158" t="inlineStr">
        <is>
          <t>Non-Labor</t>
        </is>
      </c>
      <c r="D86" s="158" t="inlineStr">
        <is>
          <t>-</t>
        </is>
      </c>
      <c r="E86" s="158" t="n"/>
    </row>
    <row r="87" ht="15" customHeight="1" s="410">
      <c r="A87" s="158" t="inlineStr">
        <is>
          <t>Bundled Insurance Policies</t>
        </is>
      </c>
      <c r="B87" s="158" t="inlineStr">
        <is>
          <t>P&amp;C insurance (bundled)</t>
        </is>
      </c>
      <c r="C87" s="158" t="inlineStr">
        <is>
          <t>Non-Labor</t>
        </is>
      </c>
      <c r="D87" s="158" t="inlineStr">
        <is>
          <t>-</t>
        </is>
      </c>
      <c r="E87" s="158" t="n"/>
    </row>
    <row r="88" ht="15" customHeight="1" s="410">
      <c r="A88" s="158" t="inlineStr">
        <is>
          <t>EPLI Insurance</t>
        </is>
      </c>
      <c r="B88" s="158" t="inlineStr">
        <is>
          <t>P&amp;C insurance (bundled)</t>
        </is>
      </c>
      <c r="C88" s="158" t="inlineStr">
        <is>
          <t>Non-Labor</t>
        </is>
      </c>
      <c r="D88" s="158" t="inlineStr">
        <is>
          <t>-</t>
        </is>
      </c>
      <c r="E88" s="158" t="n"/>
    </row>
    <row r="89" ht="15" customHeight="1" s="410">
      <c r="A89" s="158" t="inlineStr">
        <is>
          <t>Auto Insurance</t>
        </is>
      </c>
      <c r="B89" s="158" t="inlineStr">
        <is>
          <t>Auto insurance</t>
        </is>
      </c>
      <c r="C89" s="158" t="inlineStr">
        <is>
          <t>Non-Labor</t>
        </is>
      </c>
      <c r="D89" s="158" t="inlineStr">
        <is>
          <t>-</t>
        </is>
      </c>
      <c r="E89" s="158" t="n"/>
    </row>
    <row r="90" ht="15" customHeight="1" s="410">
      <c r="A90" s="158" t="inlineStr">
        <is>
          <t>Fire/Security Monitoring</t>
        </is>
      </c>
      <c r="B90" s="158" t="inlineStr">
        <is>
          <t>Fire / security monitoring</t>
        </is>
      </c>
      <c r="C90" s="158" t="inlineStr">
        <is>
          <t>Non-Labor</t>
        </is>
      </c>
      <c r="D90" s="158" t="inlineStr">
        <is>
          <t>-</t>
        </is>
      </c>
      <c r="E90" s="158" t="n"/>
    </row>
    <row r="91" ht="15" customHeight="1" s="410">
      <c r="A91" s="158" t="inlineStr">
        <is>
          <t>Pest Elimination</t>
        </is>
      </c>
      <c r="B91" s="158" t="inlineStr">
        <is>
          <t>Pest elimination</t>
        </is>
      </c>
      <c r="C91" s="158" t="inlineStr">
        <is>
          <t>Non-Labor</t>
        </is>
      </c>
      <c r="D91" s="158" t="inlineStr">
        <is>
          <t>-</t>
        </is>
      </c>
      <c r="E91" s="158" t="n"/>
    </row>
    <row r="92" ht="15" customHeight="1" s="410">
      <c r="A92" s="158" t="inlineStr">
        <is>
          <t>Property Tax Expense</t>
        </is>
      </c>
      <c r="B92" s="158" t="inlineStr">
        <is>
          <t>Real estate taxes</t>
        </is>
      </c>
      <c r="C92" s="158" t="inlineStr">
        <is>
          <t>Non-Labor</t>
        </is>
      </c>
      <c r="D92" s="158" t="inlineStr">
        <is>
          <t>-</t>
        </is>
      </c>
      <c r="E92" s="158" t="inlineStr">
        <is>
          <t>Verify assessed value</t>
        </is>
      </c>
    </row>
    <row r="93" ht="15" customHeight="1" s="410">
      <c r="A93" s="158" t="inlineStr">
        <is>
          <t>Real Estate Taxes</t>
        </is>
      </c>
      <c r="B93" s="158" t="inlineStr">
        <is>
          <t>Real estate taxes</t>
        </is>
      </c>
      <c r="C93" s="158" t="inlineStr">
        <is>
          <t>Non-Labor</t>
        </is>
      </c>
      <c r="D93" s="158" t="inlineStr">
        <is>
          <t>-</t>
        </is>
      </c>
      <c r="E93" s="158" t="inlineStr">
        <is>
          <t>Verify assessed value</t>
        </is>
      </c>
    </row>
    <row r="94" ht="15" customHeight="1" s="410">
      <c r="A94" s="158" t="inlineStr">
        <is>
          <t>Personal Property Tax Expense</t>
        </is>
      </c>
      <c r="B94" s="158" t="inlineStr">
        <is>
          <t>Personal property taxes</t>
        </is>
      </c>
      <c r="C94" s="158" t="inlineStr">
        <is>
          <t>Non-Labor</t>
        </is>
      </c>
      <c r="D94" s="158" t="inlineStr">
        <is>
          <t>-</t>
        </is>
      </c>
      <c r="E94" s="158" t="n"/>
    </row>
    <row r="95" ht="15" customHeight="1" s="410">
      <c r="A95" s="158" t="inlineStr">
        <is>
          <t>Personal Property Taxes</t>
        </is>
      </c>
      <c r="B95" s="158" t="inlineStr">
        <is>
          <t>Personal property taxes</t>
        </is>
      </c>
      <c r="C95" s="158" t="inlineStr">
        <is>
          <t>Non-Labor</t>
        </is>
      </c>
      <c r="D95" s="158" t="inlineStr">
        <is>
          <t>-</t>
        </is>
      </c>
      <c r="E95" s="158" t="n"/>
    </row>
    <row r="96" ht="15" customHeight="1" s="410">
      <c r="A96" s="158" t="inlineStr">
        <is>
          <t>Legal Expense</t>
        </is>
      </c>
      <c r="B96" s="158" t="inlineStr">
        <is>
          <t>Legal expenses</t>
        </is>
      </c>
      <c r="C96" s="158" t="inlineStr">
        <is>
          <t>Non-Labor</t>
        </is>
      </c>
      <c r="D96" s="158" t="inlineStr">
        <is>
          <t>-</t>
        </is>
      </c>
      <c r="E96" s="158" t="n"/>
    </row>
    <row r="97" ht="15" customHeight="1" s="410">
      <c r="A97" s="158" t="inlineStr">
        <is>
          <t>Legal Expenses</t>
        </is>
      </c>
      <c r="B97" s="158" t="inlineStr">
        <is>
          <t>Legal expenses</t>
        </is>
      </c>
      <c r="C97" s="158" t="inlineStr">
        <is>
          <t>Non-Labor</t>
        </is>
      </c>
      <c r="D97" s="158" t="inlineStr">
        <is>
          <t>-</t>
        </is>
      </c>
      <c r="E97" s="158" t="n"/>
    </row>
    <row r="98" ht="15" customHeight="1" s="410">
      <c r="A98" s="158" t="inlineStr">
        <is>
          <t>Professional Services</t>
        </is>
      </c>
      <c r="B98" s="158" t="inlineStr">
        <is>
          <t>Professional services</t>
        </is>
      </c>
      <c r="C98" s="158" t="inlineStr">
        <is>
          <t>Non-Labor</t>
        </is>
      </c>
      <c r="D98" s="158" t="inlineStr">
        <is>
          <t>-</t>
        </is>
      </c>
      <c r="E98" s="158" t="n"/>
    </row>
    <row r="99" ht="15" customHeight="1" s="410">
      <c r="A99" s="158" t="inlineStr">
        <is>
          <t>Bad Debt Expense</t>
        </is>
      </c>
      <c r="B99" s="158" t="inlineStr">
        <is>
          <t>Bad debt expense</t>
        </is>
      </c>
      <c r="C99" s="158" t="inlineStr">
        <is>
          <t>Non-Labor</t>
        </is>
      </c>
      <c r="D99" s="158" t="inlineStr">
        <is>
          <t>-</t>
        </is>
      </c>
      <c r="E99" s="158" t="inlineStr">
        <is>
          <t>Normalize to 1-2%</t>
        </is>
      </c>
    </row>
    <row r="100" ht="15" customHeight="1" s="410">
      <c r="A100" s="158" t="inlineStr">
        <is>
          <t>Permits and Licenses</t>
        </is>
      </c>
      <c r="B100" s="158" t="inlineStr">
        <is>
          <t>Permits, licenses &amp; dues</t>
        </is>
      </c>
      <c r="C100" s="158" t="inlineStr">
        <is>
          <t>Non-Labor</t>
        </is>
      </c>
      <c r="D100" s="158" t="inlineStr">
        <is>
          <t>-</t>
        </is>
      </c>
      <c r="E100" s="158" t="n"/>
    </row>
    <row r="101" ht="15" customHeight="1" s="410">
      <c r="A101" s="158" t="inlineStr">
        <is>
          <t>Dues and Subscriptions</t>
        </is>
      </c>
      <c r="B101" s="158" t="inlineStr">
        <is>
          <t>Permits, licenses &amp; dues</t>
        </is>
      </c>
      <c r="C101" s="158" t="inlineStr">
        <is>
          <t>Non-Labor</t>
        </is>
      </c>
      <c r="D101" s="158" t="inlineStr">
        <is>
          <t>-</t>
        </is>
      </c>
      <c r="E101" s="158" t="n"/>
    </row>
    <row r="102" ht="15" customHeight="1" s="410">
      <c r="A102" s="158" t="inlineStr">
        <is>
          <t>Association Dues</t>
        </is>
      </c>
      <c r="B102" s="158" t="inlineStr">
        <is>
          <t>Permits, licenses &amp; dues</t>
        </is>
      </c>
      <c r="C102" s="158" t="inlineStr">
        <is>
          <t>Non-Labor</t>
        </is>
      </c>
      <c r="D102" s="158" t="inlineStr">
        <is>
          <t>-</t>
        </is>
      </c>
      <c r="E102" s="158" t="n"/>
    </row>
    <row r="103" ht="15" customHeight="1" s="410">
      <c r="A103" s="158" t="inlineStr">
        <is>
          <t>Payroll Admin Fee</t>
        </is>
      </c>
      <c r="B103" s="158" t="inlineStr">
        <is>
          <t>Office, admin &amp; G&amp;A</t>
        </is>
      </c>
      <c r="C103" s="158" t="inlineStr">
        <is>
          <t>Non-Labor</t>
        </is>
      </c>
      <c r="D103" s="158" t="inlineStr">
        <is>
          <t>-</t>
        </is>
      </c>
      <c r="E103" s="158" t="n"/>
    </row>
    <row r="104" ht="15" customHeight="1" s="410">
      <c r="A104" s="158" t="inlineStr">
        <is>
          <t>Postage</t>
        </is>
      </c>
      <c r="B104" s="158" t="inlineStr">
        <is>
          <t>Office, admin &amp; G&amp;A</t>
        </is>
      </c>
      <c r="C104" s="158" t="inlineStr">
        <is>
          <t>Non-Labor</t>
        </is>
      </c>
      <c r="D104" s="158" t="inlineStr">
        <is>
          <t>-</t>
        </is>
      </c>
      <c r="E104" s="158" t="n"/>
    </row>
    <row r="105" ht="15" customHeight="1" s="410">
      <c r="A105" s="158" t="inlineStr">
        <is>
          <t>Beautician Expense</t>
        </is>
      </c>
      <c r="B105" s="158" t="inlineStr">
        <is>
          <t>Office, admin &amp; G&amp;A</t>
        </is>
      </c>
      <c r="C105" s="158" t="inlineStr">
        <is>
          <t>Non-Labor</t>
        </is>
      </c>
      <c r="D105" s="158" t="inlineStr">
        <is>
          <t>-</t>
        </is>
      </c>
      <c r="E105" s="158" t="n"/>
    </row>
    <row r="106" ht="15" customHeight="1" s="410">
      <c r="A106" s="158" t="inlineStr">
        <is>
          <t>Copier/Equipment Lease</t>
        </is>
      </c>
      <c r="B106" s="158" t="inlineStr">
        <is>
          <t>Office, admin &amp; G&amp;A</t>
        </is>
      </c>
      <c r="C106" s="158" t="inlineStr">
        <is>
          <t>Non-Labor</t>
        </is>
      </c>
      <c r="D106" s="158" t="inlineStr">
        <is>
          <t>-</t>
        </is>
      </c>
      <c r="E106" s="158" t="n"/>
    </row>
    <row r="107" ht="15" customHeight="1" s="410">
      <c r="A107" s="158" t="inlineStr">
        <is>
          <t>Training/Continuing Education</t>
        </is>
      </c>
      <c r="B107" s="158" t="inlineStr">
        <is>
          <t>Office, admin &amp; G&amp;A</t>
        </is>
      </c>
      <c r="C107" s="158" t="inlineStr">
        <is>
          <t>Non-Labor</t>
        </is>
      </c>
      <c r="D107" s="158" t="inlineStr">
        <is>
          <t>-</t>
        </is>
      </c>
      <c r="E107" s="158" t="n"/>
    </row>
    <row r="108" ht="15" customHeight="1" s="410">
      <c r="A108" s="158" t="inlineStr">
        <is>
          <t>Travel</t>
        </is>
      </c>
      <c r="B108" s="158" t="inlineStr">
        <is>
          <t>Office, admin &amp; G&amp;A</t>
        </is>
      </c>
      <c r="C108" s="158" t="inlineStr">
        <is>
          <t>Non-Labor</t>
        </is>
      </c>
      <c r="D108" s="158" t="inlineStr">
        <is>
          <t>-</t>
        </is>
      </c>
      <c r="E108" s="158" t="n"/>
    </row>
    <row r="109" ht="15" customHeight="1" s="410">
      <c r="A109" s="158" t="inlineStr">
        <is>
          <t>Gas/Mileage</t>
        </is>
      </c>
      <c r="B109" s="158" t="inlineStr">
        <is>
          <t>Office, admin &amp; G&amp;A</t>
        </is>
      </c>
      <c r="C109" s="158" t="inlineStr">
        <is>
          <t>Non-Labor</t>
        </is>
      </c>
      <c r="D109" s="158" t="inlineStr">
        <is>
          <t>-</t>
        </is>
      </c>
      <c r="E109" s="158" t="n"/>
    </row>
    <row r="110" ht="15" customHeight="1" s="410">
      <c r="A110" s="158" t="inlineStr">
        <is>
          <t>Conference Attendance</t>
        </is>
      </c>
      <c r="B110" s="158" t="inlineStr">
        <is>
          <t>Office, admin &amp; G&amp;A</t>
        </is>
      </c>
      <c r="C110" s="158" t="inlineStr">
        <is>
          <t>Non-Labor</t>
        </is>
      </c>
      <c r="D110" s="158" t="inlineStr">
        <is>
          <t>-</t>
        </is>
      </c>
      <c r="E110" s="158" t="n"/>
    </row>
    <row r="111" ht="15" customHeight="1" s="410">
      <c r="A111" s="158" t="inlineStr">
        <is>
          <t>Credit Card Processing Fees</t>
        </is>
      </c>
      <c r="B111" s="158" t="inlineStr">
        <is>
          <t>Office, admin &amp; G&amp;A</t>
        </is>
      </c>
      <c r="C111" s="158" t="inlineStr">
        <is>
          <t>Non-Labor</t>
        </is>
      </c>
      <c r="D111" s="158" t="inlineStr">
        <is>
          <t>-</t>
        </is>
      </c>
      <c r="E111" s="158" t="n"/>
    </row>
    <row r="112" ht="15" customHeight="1" s="410">
      <c r="A112" s="158" t="inlineStr">
        <is>
          <t>Office Supplies</t>
        </is>
      </c>
      <c r="B112" s="158" t="inlineStr">
        <is>
          <t>Office, admin &amp; G&amp;A</t>
        </is>
      </c>
      <c r="C112" s="158" t="inlineStr">
        <is>
          <t>Non-Labor</t>
        </is>
      </c>
      <c r="D112" s="158" t="inlineStr">
        <is>
          <t>-</t>
        </is>
      </c>
      <c r="E112" s="158" t="n"/>
    </row>
    <row r="113" ht="15" customHeight="1" s="410">
      <c r="A113" s="158" t="inlineStr">
        <is>
          <t>Uniforms and Linen</t>
        </is>
      </c>
      <c r="B113" s="158" t="inlineStr">
        <is>
          <t>Office, admin &amp; G&amp;A</t>
        </is>
      </c>
      <c r="C113" s="158" t="inlineStr">
        <is>
          <t>Non-Labor</t>
        </is>
      </c>
      <c r="D113" s="158" t="inlineStr">
        <is>
          <t>-</t>
        </is>
      </c>
      <c r="E113" s="158" t="n"/>
    </row>
    <row r="114" ht="15" customHeight="1" s="410">
      <c r="A114" s="158" t="inlineStr">
        <is>
          <t>Printing Expense</t>
        </is>
      </c>
      <c r="B114" s="158" t="inlineStr">
        <is>
          <t>Office, admin &amp; G&amp;A</t>
        </is>
      </c>
      <c r="C114" s="158" t="inlineStr">
        <is>
          <t>Non-Labor</t>
        </is>
      </c>
      <c r="D114" s="158" t="inlineStr">
        <is>
          <t>-</t>
        </is>
      </c>
      <c r="E114" s="158" t="n"/>
    </row>
    <row r="115" ht="15" customHeight="1" s="410">
      <c r="A115" s="158" t="inlineStr">
        <is>
          <t>Bank Charges/Penalties</t>
        </is>
      </c>
      <c r="B115" s="158" t="inlineStr">
        <is>
          <t>Office, admin &amp; G&amp;A</t>
        </is>
      </c>
      <c r="C115" s="158" t="inlineStr">
        <is>
          <t>Non-Labor</t>
        </is>
      </c>
      <c r="D115" s="158" t="inlineStr">
        <is>
          <t>-</t>
        </is>
      </c>
      <c r="E115" s="158" t="n"/>
    </row>
    <row r="116" ht="15" customHeight="1" s="410">
      <c r="A116" s="158" t="inlineStr">
        <is>
          <t>Pre-Employment Expense</t>
        </is>
      </c>
      <c r="B116" s="158" t="inlineStr">
        <is>
          <t>Office, admin &amp; G&amp;A</t>
        </is>
      </c>
      <c r="C116" s="158" t="inlineStr">
        <is>
          <t>Non-Labor</t>
        </is>
      </c>
      <c r="D116" s="158" t="inlineStr">
        <is>
          <t>-</t>
        </is>
      </c>
      <c r="E116" s="158" t="n"/>
    </row>
    <row r="117" ht="15" customHeight="1" s="410">
      <c r="A117" s="158" t="inlineStr">
        <is>
          <t>Reimbursable Supplies</t>
        </is>
      </c>
      <c r="B117" s="158" t="inlineStr">
        <is>
          <t>Other / miscellaneous</t>
        </is>
      </c>
      <c r="C117" s="158" t="inlineStr">
        <is>
          <t>Non-Labor</t>
        </is>
      </c>
      <c r="D117" s="158" t="inlineStr">
        <is>
          <t>-</t>
        </is>
      </c>
      <c r="E117" s="158" t="n"/>
    </row>
    <row r="118" ht="15" customHeight="1" s="410">
      <c r="A118" s="158" t="inlineStr">
        <is>
          <t>Building (Bird/Fish) Supplies</t>
        </is>
      </c>
      <c r="B118" s="158" t="inlineStr">
        <is>
          <t>Other / miscellaneous</t>
        </is>
      </c>
      <c r="C118" s="158" t="inlineStr">
        <is>
          <t>Non-Labor</t>
        </is>
      </c>
      <c r="D118" s="158" t="inlineStr">
        <is>
          <t>-</t>
        </is>
      </c>
      <c r="E118" s="158" t="n"/>
    </row>
    <row r="119" ht="15" customHeight="1" s="410">
      <c r="A119" s="158" t="inlineStr">
        <is>
          <t>Evacuation Expense</t>
        </is>
      </c>
      <c r="B119" s="158" t="inlineStr">
        <is>
          <t>Other / miscellaneous</t>
        </is>
      </c>
      <c r="C119" s="158" t="inlineStr">
        <is>
          <t>Non-Labor</t>
        </is>
      </c>
      <c r="D119" s="158" t="inlineStr">
        <is>
          <t>-</t>
        </is>
      </c>
      <c r="E119" s="158" t="n"/>
    </row>
    <row r="120" ht="15" customHeight="1" s="410">
      <c r="A120" s="158" t="inlineStr">
        <is>
          <t>Personal purchases for Residen</t>
        </is>
      </c>
      <c r="B120" s="158" t="inlineStr">
        <is>
          <t>Other / miscellaneous</t>
        </is>
      </c>
      <c r="C120" s="158" t="inlineStr">
        <is>
          <t>Non-Labor</t>
        </is>
      </c>
      <c r="D120" s="158" t="inlineStr">
        <is>
          <t>-</t>
        </is>
      </c>
      <c r="E120" s="158" t="n"/>
    </row>
    <row r="121" ht="15" customHeight="1" s="410">
      <c r="A121" s="158" t="inlineStr">
        <is>
          <t>Resident Gifts/Benefits</t>
        </is>
      </c>
      <c r="B121" s="158" t="inlineStr">
        <is>
          <t>Other / miscellaneous</t>
        </is>
      </c>
      <c r="C121" s="158" t="inlineStr">
        <is>
          <t>Non-Labor</t>
        </is>
      </c>
      <c r="D121" s="158" t="inlineStr">
        <is>
          <t>-</t>
        </is>
      </c>
      <c r="E121" s="158" t="n"/>
    </row>
    <row r="122" ht="15" customHeight="1" s="410">
      <c r="A122" s="158" t="inlineStr">
        <is>
          <t>Management Fees</t>
        </is>
      </c>
      <c r="B122" s="158" t="inlineStr">
        <is>
          <t>Management fee</t>
        </is>
      </c>
      <c r="C122" s="158" t="inlineStr">
        <is>
          <t>Non-Labor</t>
        </is>
      </c>
      <c r="D122" s="158" t="inlineStr">
        <is>
          <t>-</t>
        </is>
      </c>
      <c r="E122" s="158" t="n"/>
    </row>
    <row r="123" ht="15" customHeight="1" s="410">
      <c r="A123" s="158" t="inlineStr">
        <is>
          <t>Management Fee</t>
        </is>
      </c>
      <c r="B123" s="158" t="inlineStr">
        <is>
          <t>Management fee</t>
        </is>
      </c>
      <c r="C123" s="158" t="inlineStr">
        <is>
          <t>Non-Labor</t>
        </is>
      </c>
      <c r="D123" s="158" t="inlineStr">
        <is>
          <t>-</t>
        </is>
      </c>
      <c r="E123" s="158" t="n"/>
    </row>
    <row r="124" ht="15" customHeight="1" s="410">
      <c r="A124" s="158" t="inlineStr">
        <is>
          <t>Depreciation Expense</t>
        </is>
      </c>
      <c r="B124" s="158" t="inlineStr">
        <is>
          <t>Depreciation — EXCLUDED</t>
        </is>
      </c>
      <c r="C124" s="158" t="inlineStr">
        <is>
          <t>Excluded</t>
        </is>
      </c>
      <c r="D124" s="158" t="inlineStr">
        <is>
          <t>-</t>
        </is>
      </c>
      <c r="E124" s="158" t="n"/>
    </row>
    <row r="125" ht="15" customHeight="1" s="410">
      <c r="A125" t="inlineStr">
        <is>
          <t>Auto Expenses</t>
        </is>
      </c>
      <c r="B125" t="inlineStr">
        <is>
          <t>Auto Expense</t>
        </is>
      </c>
      <c r="C125" t="inlineStr">
        <is>
          <t>Non-Labor</t>
        </is>
      </c>
    </row>
    <row r="126" ht="15" customHeight="1" s="410">
      <c r="A126" s="158" t="inlineStr">
        <is>
          <t>Second Occupant Fee</t>
        </is>
      </c>
      <c r="B126" s="158" t="inlineStr">
        <is>
          <t>Base rent — IL</t>
        </is>
      </c>
      <c r="C126" s="158" t="inlineStr">
        <is>
          <t>Revenue</t>
        </is>
      </c>
      <c r="D126" s="158" t="inlineStr">
        <is>
          <t>IL</t>
        </is>
      </c>
      <c r="E126" s="158" t="n"/>
    </row>
    <row r="127" ht="15" customHeight="1" s="410">
      <c r="A127" s="158" t="inlineStr">
        <is>
          <t>Second Person Fee</t>
        </is>
      </c>
      <c r="B127" s="158" t="inlineStr">
        <is>
          <t>Base rent — IL</t>
        </is>
      </c>
      <c r="C127" s="158" t="inlineStr">
        <is>
          <t>Revenue</t>
        </is>
      </c>
      <c r="D127" s="158" t="inlineStr">
        <is>
          <t>IL</t>
        </is>
      </c>
      <c r="E127" s="158" t="n"/>
    </row>
    <row r="128" ht="15" customHeight="1" s="410">
      <c r="A128" s="158" t="inlineStr">
        <is>
          <t>Second Resident Fee</t>
        </is>
      </c>
      <c r="B128" s="158" t="inlineStr">
        <is>
          <t>Base rent — IL</t>
        </is>
      </c>
      <c r="C128" s="158" t="inlineStr">
        <is>
          <t>Revenue</t>
        </is>
      </c>
      <c r="D128" s="158" t="inlineStr">
        <is>
          <t>IL</t>
        </is>
      </c>
      <c r="E128" s="158" t="n"/>
    </row>
    <row r="129" ht="15" customHeight="1" s="410">
      <c r="A129" s="158" t="inlineStr">
        <is>
          <t>Independent Living Fees</t>
        </is>
      </c>
      <c r="B129" s="158" t="inlineStr">
        <is>
          <t>Base rent — IL</t>
        </is>
      </c>
      <c r="C129" s="158" t="inlineStr">
        <is>
          <t>Revenue</t>
        </is>
      </c>
      <c r="D129" s="158" t="inlineStr">
        <is>
          <t>IL</t>
        </is>
      </c>
      <c r="E129" s="158" t="n"/>
    </row>
    <row r="130" ht="15" customHeight="1" s="410">
      <c r="A130" s="158" t="inlineStr">
        <is>
          <t>Monthly Service Fee</t>
        </is>
      </c>
      <c r="B130" s="158" t="inlineStr">
        <is>
          <t>Base rent — IL</t>
        </is>
      </c>
      <c r="C130" s="158" t="inlineStr">
        <is>
          <t>Revenue</t>
        </is>
      </c>
      <c r="D130" s="158" t="inlineStr">
        <is>
          <t>IL</t>
        </is>
      </c>
      <c r="E130" s="158" t="n"/>
    </row>
    <row r="131" ht="15" customHeight="1" s="410">
      <c r="A131" s="158" t="inlineStr">
        <is>
          <t>Memory Care Program Fee</t>
        </is>
      </c>
      <c r="B131" s="158" t="inlineStr">
        <is>
          <t>Base rent — MC</t>
        </is>
      </c>
      <c r="C131" s="158" t="inlineStr">
        <is>
          <t>Revenue</t>
        </is>
      </c>
      <c r="D131" s="158" t="inlineStr">
        <is>
          <t>MC</t>
        </is>
      </c>
      <c r="E131" s="158" t="n"/>
    </row>
    <row r="132" ht="15" customHeight="1" s="410">
      <c r="A132" s="158" t="inlineStr">
        <is>
          <t>Secured Unit Fee</t>
        </is>
      </c>
      <c r="B132" s="158" t="inlineStr">
        <is>
          <t>Base rent — MC</t>
        </is>
      </c>
      <c r="C132" s="158" t="inlineStr">
        <is>
          <t>Revenue</t>
        </is>
      </c>
      <c r="D132" s="158" t="inlineStr">
        <is>
          <t>MC</t>
        </is>
      </c>
      <c r="E132" s="158" t="n"/>
    </row>
    <row r="133" ht="15" customHeight="1" s="410">
      <c r="A133" s="158" t="inlineStr">
        <is>
          <t>Dementia Care Fee</t>
        </is>
      </c>
      <c r="B133" s="158" t="inlineStr">
        <is>
          <t>Base rent — MC</t>
        </is>
      </c>
      <c r="C133" s="158" t="inlineStr">
        <is>
          <t>Revenue</t>
        </is>
      </c>
      <c r="D133" s="158" t="inlineStr">
        <is>
          <t>MC</t>
        </is>
      </c>
      <c r="E133" s="158" t="n"/>
    </row>
    <row r="134" ht="15" customHeight="1" s="410">
      <c r="A134" s="158" t="inlineStr">
        <is>
          <t>Memory Care Base</t>
        </is>
      </c>
      <c r="B134" s="158" t="inlineStr">
        <is>
          <t>Base rent — MC</t>
        </is>
      </c>
      <c r="C134" s="158" t="inlineStr">
        <is>
          <t>Revenue</t>
        </is>
      </c>
      <c r="D134" s="158" t="inlineStr">
        <is>
          <t>MC</t>
        </is>
      </c>
      <c r="E134" s="158" t="n"/>
    </row>
    <row r="135" ht="15" customHeight="1" s="410">
      <c r="A135" s="158" t="inlineStr">
        <is>
          <t>Therapy Revenue</t>
        </is>
      </c>
      <c r="B135" s="158" t="inlineStr">
        <is>
          <t>Other community revenue</t>
        </is>
      </c>
      <c r="C135" s="158" t="inlineStr">
        <is>
          <t>Revenue</t>
        </is>
      </c>
      <c r="D135" s="158" t="inlineStr">
        <is>
          <t>-</t>
        </is>
      </c>
      <c r="E135" s="158" t="n"/>
    </row>
    <row r="136" ht="15" customHeight="1" s="410">
      <c r="A136" s="158" t="inlineStr">
        <is>
          <t>PT/OT Revenue</t>
        </is>
      </c>
      <c r="B136" s="158" t="inlineStr">
        <is>
          <t>Other community revenue</t>
        </is>
      </c>
      <c r="C136" s="158" t="inlineStr">
        <is>
          <t>Revenue</t>
        </is>
      </c>
      <c r="D136" s="158" t="inlineStr">
        <is>
          <t>-</t>
        </is>
      </c>
      <c r="E136" s="158" t="n"/>
    </row>
    <row r="137" ht="15" customHeight="1" s="410">
      <c r="A137" s="158" t="inlineStr">
        <is>
          <t>Physical Therapy Revenue</t>
        </is>
      </c>
      <c r="B137" s="158" t="inlineStr">
        <is>
          <t>Other community revenue</t>
        </is>
      </c>
      <c r="C137" s="158" t="inlineStr">
        <is>
          <t>Revenue</t>
        </is>
      </c>
      <c r="D137" s="158" t="inlineStr">
        <is>
          <t>-</t>
        </is>
      </c>
      <c r="E137" s="158" t="n"/>
    </row>
    <row r="138" ht="15" customHeight="1" s="410">
      <c r="A138" s="158" t="inlineStr">
        <is>
          <t>Transportation Revenue</t>
        </is>
      </c>
      <c r="B138" s="158" t="inlineStr">
        <is>
          <t>Other community revenue</t>
        </is>
      </c>
      <c r="C138" s="158" t="inlineStr">
        <is>
          <t>Revenue</t>
        </is>
      </c>
      <c r="D138" s="158" t="inlineStr">
        <is>
          <t>-</t>
        </is>
      </c>
      <c r="E138" s="158" t="n"/>
    </row>
    <row r="139" ht="15" customHeight="1" s="410">
      <c r="A139" s="158" t="inlineStr">
        <is>
          <t>Transportation Income</t>
        </is>
      </c>
      <c r="B139" s="158" t="inlineStr">
        <is>
          <t>Other community revenue</t>
        </is>
      </c>
      <c r="C139" s="158" t="inlineStr">
        <is>
          <t>Revenue</t>
        </is>
      </c>
      <c r="D139" s="158" t="inlineStr">
        <is>
          <t>-</t>
        </is>
      </c>
      <c r="E139" s="158" t="n"/>
    </row>
    <row r="140" ht="15" customHeight="1" s="410">
      <c r="A140" s="158" t="inlineStr">
        <is>
          <t>Cable TV Income</t>
        </is>
      </c>
      <c r="B140" s="158" t="inlineStr">
        <is>
          <t>Other community revenue</t>
        </is>
      </c>
      <c r="C140" s="158" t="inlineStr">
        <is>
          <t>Revenue</t>
        </is>
      </c>
      <c r="D140" s="158" t="inlineStr">
        <is>
          <t>-</t>
        </is>
      </c>
      <c r="E140" s="158" t="n"/>
    </row>
    <row r="141" ht="15" customHeight="1" s="410">
      <c r="A141" s="158" t="inlineStr">
        <is>
          <t>Television Income</t>
        </is>
      </c>
      <c r="B141" s="158" t="inlineStr">
        <is>
          <t>Other community revenue</t>
        </is>
      </c>
      <c r="C141" s="158" t="inlineStr">
        <is>
          <t>Revenue</t>
        </is>
      </c>
      <c r="D141" s="158" t="inlineStr">
        <is>
          <t>-</t>
        </is>
      </c>
      <c r="E141" s="158" t="n"/>
    </row>
    <row r="142" ht="15" customHeight="1" s="410">
      <c r="A142" s="158" t="inlineStr">
        <is>
          <t>Late Fee Income</t>
        </is>
      </c>
      <c r="B142" s="158" t="inlineStr">
        <is>
          <t>Other community revenue</t>
        </is>
      </c>
      <c r="C142" s="158" t="inlineStr">
        <is>
          <t>Revenue</t>
        </is>
      </c>
      <c r="D142" s="158" t="inlineStr">
        <is>
          <t>-</t>
        </is>
      </c>
      <c r="E142" s="158" t="n"/>
    </row>
    <row r="143" ht="15" customHeight="1" s="410">
      <c r="A143" s="158" t="inlineStr">
        <is>
          <t>Late Charges</t>
        </is>
      </c>
      <c r="B143" s="158" t="inlineStr">
        <is>
          <t>Other community revenue</t>
        </is>
      </c>
      <c r="C143" s="158" t="inlineStr">
        <is>
          <t>Revenue</t>
        </is>
      </c>
      <c r="D143" s="158" t="inlineStr">
        <is>
          <t>-</t>
        </is>
      </c>
      <c r="E143" s="158" t="n"/>
    </row>
    <row r="144" ht="15" customHeight="1" s="410">
      <c r="A144" s="158" t="inlineStr">
        <is>
          <t>Beauty / Salon Revenue</t>
        </is>
      </c>
      <c r="B144" s="158" t="inlineStr">
        <is>
          <t>Other community revenue</t>
        </is>
      </c>
      <c r="C144" s="158" t="inlineStr">
        <is>
          <t>Revenue</t>
        </is>
      </c>
      <c r="D144" s="158" t="inlineStr">
        <is>
          <t>-</t>
        </is>
      </c>
      <c r="E144" s="158" t="n"/>
    </row>
    <row r="145" ht="15" customHeight="1" s="410">
      <c r="A145" s="158" t="inlineStr">
        <is>
          <t>Salon Income</t>
        </is>
      </c>
      <c r="B145" s="158" t="inlineStr">
        <is>
          <t>Other community revenue</t>
        </is>
      </c>
      <c r="C145" s="158" t="inlineStr">
        <is>
          <t>Revenue</t>
        </is>
      </c>
      <c r="D145" s="158" t="inlineStr">
        <is>
          <t>-</t>
        </is>
      </c>
      <c r="E145" s="158" t="n"/>
    </row>
    <row r="146" ht="15" customHeight="1" s="410">
      <c r="A146" s="158" t="inlineStr">
        <is>
          <t>Guest Room Revenue</t>
        </is>
      </c>
      <c r="B146" s="158" t="inlineStr">
        <is>
          <t>Other community revenue</t>
        </is>
      </c>
      <c r="C146" s="158" t="inlineStr">
        <is>
          <t>Revenue</t>
        </is>
      </c>
      <c r="D146" s="158" t="inlineStr">
        <is>
          <t>-</t>
        </is>
      </c>
      <c r="E146" s="158" t="n"/>
    </row>
    <row r="147" ht="15" customHeight="1" s="410">
      <c r="A147" s="158" t="inlineStr">
        <is>
          <t>Guest Suite Revenue</t>
        </is>
      </c>
      <c r="B147" s="158" t="inlineStr">
        <is>
          <t>Other community revenue</t>
        </is>
      </c>
      <c r="C147" s="158" t="inlineStr">
        <is>
          <t>Revenue</t>
        </is>
      </c>
      <c r="D147" s="158" t="inlineStr">
        <is>
          <t>-</t>
        </is>
      </c>
      <c r="E147" s="158" t="n"/>
    </row>
    <row r="148" ht="15" customHeight="1" s="410">
      <c r="A148" s="158" t="inlineStr">
        <is>
          <t>Unemployment Insurance</t>
        </is>
      </c>
      <c r="B148" s="158" t="inlineStr">
        <is>
          <t>Payroll taxes</t>
        </is>
      </c>
      <c r="C148" s="158" t="inlineStr">
        <is>
          <t>Labor</t>
        </is>
      </c>
      <c r="D148" s="158" t="inlineStr">
        <is>
          <t>-</t>
        </is>
      </c>
      <c r="E148" s="158" t="n"/>
    </row>
    <row r="149" ht="15" customHeight="1" s="410">
      <c r="A149" s="158" t="inlineStr">
        <is>
          <t>Unemployment Tax</t>
        </is>
      </c>
      <c r="B149" s="158" t="inlineStr">
        <is>
          <t>Payroll taxes</t>
        </is>
      </c>
      <c r="C149" s="158" t="inlineStr">
        <is>
          <t>Labor</t>
        </is>
      </c>
      <c r="D149" s="158" t="inlineStr">
        <is>
          <t>-</t>
        </is>
      </c>
      <c r="E149" s="158" t="n"/>
    </row>
    <row r="150" ht="15" customHeight="1" s="410">
      <c r="A150" s="158" t="inlineStr">
        <is>
          <t>FUTA</t>
        </is>
      </c>
      <c r="B150" s="158" t="inlineStr">
        <is>
          <t>Payroll taxes</t>
        </is>
      </c>
      <c r="C150" s="158" t="inlineStr">
        <is>
          <t>Labor</t>
        </is>
      </c>
      <c r="D150" s="158" t="inlineStr">
        <is>
          <t>-</t>
        </is>
      </c>
      <c r="E150" s="158" t="n"/>
    </row>
    <row r="151" ht="15" customHeight="1" s="410">
      <c r="A151" s="158" t="inlineStr">
        <is>
          <t>SUTA</t>
        </is>
      </c>
      <c r="B151" s="158" t="inlineStr">
        <is>
          <t>Payroll taxes</t>
        </is>
      </c>
      <c r="C151" s="158" t="inlineStr">
        <is>
          <t>Labor</t>
        </is>
      </c>
      <c r="D151" s="158" t="inlineStr">
        <is>
          <t>-</t>
        </is>
      </c>
      <c r="E151" s="158" t="n"/>
    </row>
    <row r="152" ht="15" customHeight="1" s="410">
      <c r="A152" s="158" t="inlineStr">
        <is>
          <t>Vehicle Expenses</t>
        </is>
      </c>
      <c r="B152" s="158" t="inlineStr">
        <is>
          <t>Office, admin &amp; G&amp;A</t>
        </is>
      </c>
      <c r="C152" s="158" t="inlineStr">
        <is>
          <t>Non-Labor</t>
        </is>
      </c>
      <c r="D152" s="158" t="inlineStr">
        <is>
          <t>-</t>
        </is>
      </c>
      <c r="E152" s="158" t="n"/>
    </row>
    <row r="153" ht="15" customHeight="1" s="410">
      <c r="A153" s="158" t="inlineStr">
        <is>
          <t>Staff Recognition</t>
        </is>
      </c>
      <c r="B153" s="158" t="inlineStr">
        <is>
          <t>Office, admin &amp; G&amp;A</t>
        </is>
      </c>
      <c r="C153" s="158" t="inlineStr">
        <is>
          <t>Non-Labor</t>
        </is>
      </c>
      <c r="D153" s="158" t="inlineStr">
        <is>
          <t>-</t>
        </is>
      </c>
      <c r="E153" s="158" t="n"/>
    </row>
    <row r="154" ht="15" customHeight="1" s="410">
      <c r="A154" s="158" t="inlineStr">
        <is>
          <t>Employee Appreciation</t>
        </is>
      </c>
      <c r="B154" s="158" t="inlineStr">
        <is>
          <t>Office, admin &amp; G&amp;A</t>
        </is>
      </c>
      <c r="C154" s="158" t="inlineStr">
        <is>
          <t>Non-Labor</t>
        </is>
      </c>
      <c r="D154" s="158" t="inlineStr">
        <is>
          <t>-</t>
        </is>
      </c>
      <c r="E154" s="158" t="n"/>
    </row>
    <row r="155" ht="15" customHeight="1" s="410">
      <c r="A155" s="158" t="inlineStr">
        <is>
          <t>Technology</t>
        </is>
      </c>
      <c r="B155" s="158" t="inlineStr">
        <is>
          <t>Telephone / IT</t>
        </is>
      </c>
      <c r="C155" s="158" t="inlineStr">
        <is>
          <t>Non-Labor</t>
        </is>
      </c>
      <c r="D155" s="158" t="inlineStr">
        <is>
          <t>-</t>
        </is>
      </c>
      <c r="E155" s="158" t="n"/>
    </row>
    <row r="156" ht="15" customHeight="1" s="410">
      <c r="A156" s="158" t="inlineStr">
        <is>
          <t>EHR Software</t>
        </is>
      </c>
      <c r="B156" s="158" t="inlineStr">
        <is>
          <t>Telephone / IT</t>
        </is>
      </c>
      <c r="C156" s="158" t="inlineStr">
        <is>
          <t>Non-Labor</t>
        </is>
      </c>
      <c r="D156" s="158" t="inlineStr">
        <is>
          <t>-</t>
        </is>
      </c>
      <c r="E156" s="158" t="n"/>
    </row>
    <row r="157" ht="15" customHeight="1" s="410">
      <c r="A157" s="158" t="inlineStr">
        <is>
          <t>EMR Software</t>
        </is>
      </c>
      <c r="B157" s="158" t="inlineStr">
        <is>
          <t>Telephone / IT</t>
        </is>
      </c>
      <c r="C157" s="158" t="inlineStr">
        <is>
          <t>Non-Labor</t>
        </is>
      </c>
      <c r="D157" s="158" t="inlineStr">
        <is>
          <t>-</t>
        </is>
      </c>
      <c r="E157" s="158" t="n"/>
    </row>
    <row r="158" ht="15" customHeight="1" s="410">
      <c r="A158" s="158" t="inlineStr">
        <is>
          <t>Software Subscriptions</t>
        </is>
      </c>
      <c r="B158" s="158" t="inlineStr">
        <is>
          <t>Telephone / IT</t>
        </is>
      </c>
      <c r="C158" s="158" t="inlineStr">
        <is>
          <t>Non-Labor</t>
        </is>
      </c>
      <c r="D158" s="158" t="inlineStr">
        <is>
          <t>-</t>
        </is>
      </c>
      <c r="E158" s="158" t="n"/>
    </row>
    <row r="159" ht="15" customHeight="1" s="410">
      <c r="A159" s="158" t="inlineStr">
        <is>
          <t>Internet</t>
        </is>
      </c>
      <c r="B159" s="158" t="inlineStr">
        <is>
          <t>Telephone / IT</t>
        </is>
      </c>
      <c r="C159" s="158" t="inlineStr">
        <is>
          <t>Non-Labor</t>
        </is>
      </c>
      <c r="D159" s="158" t="inlineStr">
        <is>
          <t>-</t>
        </is>
      </c>
      <c r="E159" s="158" t="n"/>
    </row>
    <row r="160" ht="15" customHeight="1" s="410">
      <c r="A160" s="158" t="inlineStr">
        <is>
          <t>WiFi</t>
        </is>
      </c>
      <c r="B160" s="158" t="inlineStr">
        <is>
          <t>Telephone / IT</t>
        </is>
      </c>
      <c r="C160" s="158" t="inlineStr">
        <is>
          <t>Non-Labor</t>
        </is>
      </c>
      <c r="D160" s="158" t="inlineStr">
        <is>
          <t>-</t>
        </is>
      </c>
      <c r="E160" s="158" t="n"/>
    </row>
    <row r="161" ht="15" customHeight="1" s="410">
      <c r="A161" s="158" t="inlineStr">
        <is>
          <t>Dietary Consultant</t>
        </is>
      </c>
      <c r="B161" s="158" t="inlineStr">
        <is>
          <t>Professional services</t>
        </is>
      </c>
      <c r="C161" s="158" t="inlineStr">
        <is>
          <t>Non-Labor</t>
        </is>
      </c>
      <c r="D161" s="158" t="inlineStr">
        <is>
          <t>-</t>
        </is>
      </c>
      <c r="E161" s="158" t="n"/>
    </row>
    <row r="162" ht="15" customHeight="1" s="410">
      <c r="A162" s="158" t="inlineStr">
        <is>
          <t>Nutrition Consultant</t>
        </is>
      </c>
      <c r="B162" s="158" t="inlineStr">
        <is>
          <t>Professional services</t>
        </is>
      </c>
      <c r="C162" s="158" t="inlineStr">
        <is>
          <t>Non-Labor</t>
        </is>
      </c>
      <c r="D162" s="158" t="inlineStr">
        <is>
          <t>-</t>
        </is>
      </c>
      <c r="E162" s="158" t="n"/>
    </row>
    <row r="163" ht="15" customHeight="1" s="410">
      <c r="A163" s="158" t="inlineStr">
        <is>
          <t>Grounds Maintenance</t>
        </is>
      </c>
      <c r="B163" s="158" t="inlineStr">
        <is>
          <t>R&amp;M variable</t>
        </is>
      </c>
      <c r="C163" s="158" t="inlineStr">
        <is>
          <t>Non-Labor</t>
        </is>
      </c>
      <c r="D163" s="158" t="inlineStr">
        <is>
          <t>-</t>
        </is>
      </c>
      <c r="E163" s="158" t="n"/>
    </row>
    <row r="164" ht="15" customHeight="1" s="410">
      <c r="A164" s="158" t="inlineStr">
        <is>
          <t>Landscaping</t>
        </is>
      </c>
      <c r="B164" s="158" t="inlineStr">
        <is>
          <t>R&amp;M variable</t>
        </is>
      </c>
      <c r="C164" s="158" t="inlineStr">
        <is>
          <t>Non-Labor</t>
        </is>
      </c>
      <c r="D164" s="158" t="inlineStr">
        <is>
          <t>-</t>
        </is>
      </c>
      <c r="E164" s="158" t="n"/>
    </row>
    <row r="165" ht="15" customHeight="1" s="410">
      <c r="A165" s="158" t="inlineStr">
        <is>
          <t>Grounds</t>
        </is>
      </c>
      <c r="B165" s="158" t="inlineStr">
        <is>
          <t>R&amp;M variable</t>
        </is>
      </c>
      <c r="C165" s="158" t="inlineStr">
        <is>
          <t>Non-Labor</t>
        </is>
      </c>
      <c r="D165" s="158" t="inlineStr">
        <is>
          <t>-</t>
        </is>
      </c>
      <c r="E165" s="158" t="n"/>
    </row>
    <row r="166" ht="15" customHeight="1" s="410">
      <c r="A166" s="158" t="inlineStr">
        <is>
          <t>Lawn Care</t>
        </is>
      </c>
      <c r="B166" s="158" t="inlineStr">
        <is>
          <t>R&amp;M variable</t>
        </is>
      </c>
      <c r="C166" s="158" t="inlineStr">
        <is>
          <t>Non-Labor</t>
        </is>
      </c>
      <c r="D166" s="158" t="inlineStr">
        <is>
          <t>-</t>
        </is>
      </c>
      <c r="E166" s="158" t="n"/>
    </row>
    <row r="167" ht="15" customHeight="1" s="410">
      <c r="A167" s="158" t="inlineStr">
        <is>
          <t>Snow Removal</t>
        </is>
      </c>
      <c r="B167" s="158" t="inlineStr">
        <is>
          <t>R&amp;M variable</t>
        </is>
      </c>
      <c r="C167" s="158" t="inlineStr">
        <is>
          <t>Non-Labor</t>
        </is>
      </c>
      <c r="D167" s="158" t="inlineStr">
        <is>
          <t>-</t>
        </is>
      </c>
      <c r="E167" s="158" t="n"/>
    </row>
    <row r="168" ht="15" customHeight="1" s="410">
      <c r="A168" s="158" t="inlineStr">
        <is>
          <t>Elevator Maintenance</t>
        </is>
      </c>
      <c r="B168" s="158" t="inlineStr">
        <is>
          <t>R&amp;M fixed</t>
        </is>
      </c>
      <c r="C168" s="158" t="inlineStr">
        <is>
          <t>Non-Labor</t>
        </is>
      </c>
      <c r="D168" s="158" t="inlineStr">
        <is>
          <t>-</t>
        </is>
      </c>
      <c r="E168" s="158" t="n"/>
    </row>
    <row r="169" ht="15" customHeight="1" s="410">
      <c r="A169" s="158" t="inlineStr">
        <is>
          <t>HVAC Maintenance</t>
        </is>
      </c>
      <c r="B169" s="158" t="inlineStr">
        <is>
          <t>R&amp;M fixed</t>
        </is>
      </c>
      <c r="C169" s="158" t="inlineStr">
        <is>
          <t>Non-Labor</t>
        </is>
      </c>
      <c r="D169" s="158" t="inlineStr">
        <is>
          <t>-</t>
        </is>
      </c>
      <c r="E169" s="158" t="n"/>
    </row>
    <row r="170" ht="15" customHeight="1" s="410">
      <c r="A170" s="158" t="inlineStr">
        <is>
          <t>HVAC Service</t>
        </is>
      </c>
      <c r="B170" s="158" t="inlineStr">
        <is>
          <t>R&amp;M fixed</t>
        </is>
      </c>
      <c r="C170" s="158" t="inlineStr">
        <is>
          <t>Non-Labor</t>
        </is>
      </c>
      <c r="D170" s="158" t="inlineStr">
        <is>
          <t>-</t>
        </is>
      </c>
      <c r="E170" s="158" t="n"/>
    </row>
    <row r="171" ht="15" customHeight="1" s="410">
      <c r="A171" s="158" t="inlineStr">
        <is>
          <t>HVAC Service Contract</t>
        </is>
      </c>
      <c r="B171" s="158" t="inlineStr">
        <is>
          <t>R&amp;M fixed</t>
        </is>
      </c>
      <c r="C171" s="158" t="inlineStr">
        <is>
          <t>Non-Labor</t>
        </is>
      </c>
      <c r="D171" s="158" t="inlineStr">
        <is>
          <t>-</t>
        </is>
      </c>
      <c r="E171" s="158" t="n"/>
    </row>
    <row r="172" ht="15" customHeight="1" s="410">
      <c r="A172" s="158" t="inlineStr">
        <is>
          <t>Generator Maintenance</t>
        </is>
      </c>
      <c r="B172" s="158" t="inlineStr">
        <is>
          <t>R&amp;M fixed</t>
        </is>
      </c>
      <c r="C172" s="158" t="inlineStr">
        <is>
          <t>Non-Labor</t>
        </is>
      </c>
      <c r="D172" s="158" t="inlineStr">
        <is>
          <t>-</t>
        </is>
      </c>
      <c r="E172" s="158" t="n"/>
    </row>
    <row r="173" ht="15" customHeight="1" s="410">
      <c r="A173" s="158" t="inlineStr">
        <is>
          <t>Emergency Generator</t>
        </is>
      </c>
      <c r="B173" s="158" t="inlineStr">
        <is>
          <t>R&amp;M fixed</t>
        </is>
      </c>
      <c r="C173" s="158" t="inlineStr">
        <is>
          <t>Non-Labor</t>
        </is>
      </c>
      <c r="D173" s="158" t="inlineStr">
        <is>
          <t>-</t>
        </is>
      </c>
      <c r="E173" s="158" t="n"/>
    </row>
    <row r="174" ht="15" customHeight="1" s="410">
      <c r="A174" s="158" t="inlineStr">
        <is>
          <t>Trash Service</t>
        </is>
      </c>
      <c r="B174" s="158" t="inlineStr">
        <is>
          <t>Utilities</t>
        </is>
      </c>
      <c r="C174" s="158" t="inlineStr">
        <is>
          <t>Non-Labor</t>
        </is>
      </c>
      <c r="D174" s="158" t="inlineStr">
        <is>
          <t>-</t>
        </is>
      </c>
      <c r="E174" s="158" t="n"/>
    </row>
    <row r="175" ht="15" customHeight="1" s="410">
      <c r="A175" s="158" t="inlineStr">
        <is>
          <t>Water and Sewer</t>
        </is>
      </c>
      <c r="B175" s="158" t="inlineStr">
        <is>
          <t>Utilities</t>
        </is>
      </c>
      <c r="C175" s="158" t="inlineStr">
        <is>
          <t>Non-Labor</t>
        </is>
      </c>
      <c r="D175" s="158" t="inlineStr">
        <is>
          <t>-</t>
        </is>
      </c>
      <c r="E175" s="158" t="n"/>
    </row>
    <row r="176" ht="15" customHeight="1" s="410">
      <c r="A176" s="158" t="inlineStr">
        <is>
          <t>Water</t>
        </is>
      </c>
      <c r="B176" s="158" t="inlineStr">
        <is>
          <t>Utilities</t>
        </is>
      </c>
      <c r="C176" s="158" t="inlineStr">
        <is>
          <t>Non-Labor</t>
        </is>
      </c>
      <c r="D176" s="158" t="inlineStr">
        <is>
          <t>-</t>
        </is>
      </c>
      <c r="E176" s="158" t="n"/>
    </row>
    <row r="177" ht="15" customHeight="1" s="410">
      <c r="A177" s="158" t="inlineStr">
        <is>
          <t>Sewer</t>
        </is>
      </c>
      <c r="B177" s="158" t="inlineStr">
        <is>
          <t>Utilities</t>
        </is>
      </c>
      <c r="C177" s="158" t="inlineStr">
        <is>
          <t>Non-Labor</t>
        </is>
      </c>
      <c r="D177" s="158" t="inlineStr">
        <is>
          <t>-</t>
        </is>
      </c>
      <c r="E177" s="158" t="n"/>
    </row>
    <row r="178" ht="15" customHeight="1" s="410">
      <c r="A178" s="158" t="inlineStr">
        <is>
          <t>Electric</t>
        </is>
      </c>
      <c r="B178" s="158" t="inlineStr">
        <is>
          <t>Utilities</t>
        </is>
      </c>
      <c r="C178" s="158" t="inlineStr">
        <is>
          <t>Non-Labor</t>
        </is>
      </c>
      <c r="D178" s="158" t="inlineStr">
        <is>
          <t>-</t>
        </is>
      </c>
      <c r="E178" s="158" t="n"/>
    </row>
    <row r="179" ht="15" customHeight="1" s="410">
      <c r="A179" s="158" t="inlineStr">
        <is>
          <t>Electricity</t>
        </is>
      </c>
      <c r="B179" s="158" t="inlineStr">
        <is>
          <t>Utilities</t>
        </is>
      </c>
      <c r="C179" s="158" t="inlineStr">
        <is>
          <t>Non-Labor</t>
        </is>
      </c>
      <c r="D179" s="158" t="inlineStr">
        <is>
          <t>-</t>
        </is>
      </c>
      <c r="E179" s="158" t="n"/>
    </row>
    <row r="180" ht="15" customHeight="1" s="410">
      <c r="A180" s="158" t="inlineStr">
        <is>
          <t>Natural Gas</t>
        </is>
      </c>
      <c r="B180" s="158" t="inlineStr">
        <is>
          <t>Utilities</t>
        </is>
      </c>
      <c r="C180" s="158" t="inlineStr">
        <is>
          <t>Non-Labor</t>
        </is>
      </c>
      <c r="D180" s="158" t="inlineStr">
        <is>
          <t>-</t>
        </is>
      </c>
      <c r="E180" s="158" t="n"/>
    </row>
    <row r="181" ht="15" customHeight="1" s="410">
      <c r="A181" s="158" t="inlineStr">
        <is>
          <t>Gas</t>
        </is>
      </c>
      <c r="B181" s="158" t="inlineStr">
        <is>
          <t>Utilities</t>
        </is>
      </c>
      <c r="C181" s="158" t="inlineStr">
        <is>
          <t>Non-Labor</t>
        </is>
      </c>
      <c r="D181" s="158" t="inlineStr">
        <is>
          <t>-</t>
        </is>
      </c>
      <c r="E181" s="158" t="n"/>
    </row>
    <row r="182" ht="15" customHeight="1" s="410">
      <c r="A182" s="158" t="inlineStr">
        <is>
          <t>Linen Service</t>
        </is>
      </c>
      <c r="B182" s="158" t="inlineStr">
        <is>
          <t>HK &amp; laundry supplies</t>
        </is>
      </c>
      <c r="C182" s="158" t="inlineStr">
        <is>
          <t>Non-Labor</t>
        </is>
      </c>
      <c r="D182" s="158" t="inlineStr">
        <is>
          <t>-</t>
        </is>
      </c>
      <c r="E182" s="158" t="n"/>
    </row>
    <row r="183" ht="15" customHeight="1" s="410">
      <c r="A183" s="158" t="inlineStr">
        <is>
          <t>Laundry Service</t>
        </is>
      </c>
      <c r="B183" s="158" t="inlineStr">
        <is>
          <t>HK &amp; laundry supplies</t>
        </is>
      </c>
      <c r="C183" s="158" t="inlineStr">
        <is>
          <t>Non-Labor</t>
        </is>
      </c>
      <c r="D183" s="158" t="inlineStr">
        <is>
          <t>-</t>
        </is>
      </c>
      <c r="E183" s="158" t="n"/>
    </row>
    <row r="184" ht="15" customHeight="1" s="410">
      <c r="A184" s="158" t="inlineStr">
        <is>
          <t>Linen Rental</t>
        </is>
      </c>
      <c r="B184" s="158" t="inlineStr">
        <is>
          <t>HK &amp; laundry supplies</t>
        </is>
      </c>
      <c r="C184" s="158" t="inlineStr">
        <is>
          <t>Non-Labor</t>
        </is>
      </c>
      <c r="D184" s="158" t="inlineStr">
        <is>
          <t>-</t>
        </is>
      </c>
      <c r="E184" s="158" t="n"/>
    </row>
    <row r="185" ht="15" customHeight="1" s="410">
      <c r="A185" s="158" t="inlineStr">
        <is>
          <t>Infection Control Supplies</t>
        </is>
      </c>
      <c r="B185" s="158" t="inlineStr">
        <is>
          <t>Nursing &amp; care supplies</t>
        </is>
      </c>
      <c r="C185" s="158" t="inlineStr">
        <is>
          <t>Non-Labor</t>
        </is>
      </c>
      <c r="D185" s="158" t="inlineStr">
        <is>
          <t>-</t>
        </is>
      </c>
      <c r="E185" s="158" t="n"/>
    </row>
    <row r="186" ht="15" customHeight="1" s="410">
      <c r="A186" s="158" t="inlineStr">
        <is>
          <t>PPE Supplies</t>
        </is>
      </c>
      <c r="B186" s="158" t="inlineStr">
        <is>
          <t>Nursing &amp; care supplies</t>
        </is>
      </c>
      <c r="C186" s="158" t="inlineStr">
        <is>
          <t>Non-Labor</t>
        </is>
      </c>
      <c r="D186" s="158" t="inlineStr">
        <is>
          <t>-</t>
        </is>
      </c>
      <c r="E186" s="158" t="n"/>
    </row>
    <row r="187" ht="15" customHeight="1" s="410">
      <c r="A187" s="158" t="inlineStr">
        <is>
          <t>Personal Protective Equipment</t>
        </is>
      </c>
      <c r="B187" s="158" t="inlineStr">
        <is>
          <t>Nursing &amp; care supplies</t>
        </is>
      </c>
      <c r="C187" s="158" t="inlineStr">
        <is>
          <t>Non-Labor</t>
        </is>
      </c>
      <c r="D187" s="158" t="inlineStr">
        <is>
          <t>-</t>
        </is>
      </c>
      <c r="E187" s="158" t="n"/>
    </row>
    <row r="188" ht="15" customHeight="1" s="410">
      <c r="A188" s="158" t="inlineStr">
        <is>
          <t>State Survey</t>
        </is>
      </c>
      <c r="B188" s="158" t="inlineStr">
        <is>
          <t>Permits, licenses &amp; dues</t>
        </is>
      </c>
      <c r="C188" s="158" t="inlineStr">
        <is>
          <t>Non-Labor</t>
        </is>
      </c>
      <c r="D188" s="158" t="inlineStr">
        <is>
          <t>-</t>
        </is>
      </c>
      <c r="E188" s="158" t="n"/>
    </row>
    <row r="189" ht="15" customHeight="1" s="410">
      <c r="A189" s="158" t="inlineStr">
        <is>
          <t>DOH Fees</t>
        </is>
      </c>
      <c r="B189" s="158" t="inlineStr">
        <is>
          <t>Permits, licenses &amp; dues</t>
        </is>
      </c>
      <c r="C189" s="158" t="inlineStr">
        <is>
          <t>Non-Labor</t>
        </is>
      </c>
      <c r="D189" s="158" t="inlineStr">
        <is>
          <t>-</t>
        </is>
      </c>
      <c r="E189" s="158" t="n"/>
    </row>
    <row r="190" ht="15" customHeight="1" s="410">
      <c r="A190" s="158" t="inlineStr">
        <is>
          <t>Inspection Fees</t>
        </is>
      </c>
      <c r="B190" s="158" t="inlineStr">
        <is>
          <t>Permits, licenses &amp; dues</t>
        </is>
      </c>
      <c r="C190" s="158" t="inlineStr">
        <is>
          <t>Non-Labor</t>
        </is>
      </c>
      <c r="D190" s="158" t="inlineStr">
        <is>
          <t>-</t>
        </is>
      </c>
      <c r="E190" s="158" t="n"/>
    </row>
    <row r="191" ht="15" customHeight="1" s="410">
      <c r="A191" s="158" t="inlineStr">
        <is>
          <t>License Renewal</t>
        </is>
      </c>
      <c r="B191" s="158" t="inlineStr">
        <is>
          <t>Permits, licenses &amp; dues</t>
        </is>
      </c>
      <c r="C191" s="158" t="inlineStr">
        <is>
          <t>Non-Labor</t>
        </is>
      </c>
      <c r="D191" s="158" t="inlineStr">
        <is>
          <t>-</t>
        </is>
      </c>
      <c r="E191" s="158" t="n"/>
    </row>
    <row r="192" ht="15" customHeight="1" s="410">
      <c r="A192" s="158" t="inlineStr">
        <is>
          <t>Lease Expense</t>
        </is>
      </c>
      <c r="B192" s="158" t="inlineStr">
        <is>
          <t>Lease / ground lease</t>
        </is>
      </c>
      <c r="C192" s="158" t="inlineStr">
        <is>
          <t>Non-Labor</t>
        </is>
      </c>
      <c r="D192" s="158" t="inlineStr">
        <is>
          <t>-</t>
        </is>
      </c>
      <c r="E192" s="158" t="n"/>
    </row>
    <row r="193" ht="15" customHeight="1" s="410">
      <c r="A193" s="158" t="inlineStr">
        <is>
          <t>Ground Lease</t>
        </is>
      </c>
      <c r="B193" s="158" t="inlineStr">
        <is>
          <t>Lease / ground lease</t>
        </is>
      </c>
      <c r="C193" s="158" t="inlineStr">
        <is>
          <t>Non-Labor</t>
        </is>
      </c>
      <c r="D193" s="158" t="inlineStr">
        <is>
          <t>-</t>
        </is>
      </c>
      <c r="E193" s="158" t="n"/>
    </row>
    <row r="194" ht="15" customHeight="1" s="410">
      <c r="A194" s="158" t="inlineStr">
        <is>
          <t>Land Lease</t>
        </is>
      </c>
      <c r="B194" s="158" t="inlineStr">
        <is>
          <t>Lease / ground lease</t>
        </is>
      </c>
      <c r="C194" s="158" t="inlineStr">
        <is>
          <t>Non-Labor</t>
        </is>
      </c>
      <c r="D194" s="158" t="inlineStr">
        <is>
          <t>-</t>
        </is>
      </c>
      <c r="E194" s="158" t="n"/>
    </row>
    <row r="195" ht="15" customHeight="1" s="410">
      <c r="A195" s="158" t="inlineStr">
        <is>
          <t>Facility Lease</t>
        </is>
      </c>
      <c r="B195" s="158" t="inlineStr">
        <is>
          <t>Lease / ground lease</t>
        </is>
      </c>
      <c r="C195" s="158" t="inlineStr">
        <is>
          <t>Non-Labor</t>
        </is>
      </c>
      <c r="D195" s="158" t="inlineStr">
        <is>
          <t>-</t>
        </is>
      </c>
      <c r="E195" s="158" t="n"/>
    </row>
    <row r="196" ht="15" customHeight="1" s="410">
      <c r="A196" s="158" t="inlineStr">
        <is>
          <t>Building Lease</t>
        </is>
      </c>
      <c r="B196" s="158" t="inlineStr">
        <is>
          <t>Lease / ground lease</t>
        </is>
      </c>
      <c r="C196" s="158" t="inlineStr">
        <is>
          <t>Non-Labor</t>
        </is>
      </c>
      <c r="D196" s="158" t="inlineStr">
        <is>
          <t>-</t>
        </is>
      </c>
      <c r="E196" s="158" t="n"/>
    </row>
    <row r="197" ht="15" customHeight="1" s="410">
      <c r="A197" s="158" t="inlineStr">
        <is>
          <t>Rent Expense</t>
        </is>
      </c>
      <c r="B197" s="158" t="inlineStr">
        <is>
          <t>Lease / ground lease</t>
        </is>
      </c>
      <c r="C197" s="158" t="inlineStr">
        <is>
          <t>Non-Labor</t>
        </is>
      </c>
      <c r="D197" s="158" t="inlineStr">
        <is>
          <t>-</t>
        </is>
      </c>
      <c r="E197" s="158" t="n"/>
    </row>
    <row r="198" ht="15" customHeight="1" s="410">
      <c r="A198" s="159" t="inlineStr">
        <is>
          <t>Gross Potential Rent</t>
        </is>
      </c>
      <c r="B198" s="159" t="inlineStr">
        <is>
          <t>Gross Rent Revenue</t>
        </is>
      </c>
      <c r="C198" s="160" t="inlineStr">
        <is>
          <t>Revenue</t>
        </is>
      </c>
      <c r="D198" s="160" t="inlineStr">
        <is>
          <t>-</t>
        </is>
      </c>
      <c r="E198" s="159" t="n"/>
    </row>
    <row r="199" ht="15" customHeight="1" s="410">
      <c r="A199" s="159" t="inlineStr">
        <is>
          <t>Gross Rent Revenue</t>
        </is>
      </c>
      <c r="B199" s="159" t="inlineStr">
        <is>
          <t>Gross Rent Revenue</t>
        </is>
      </c>
      <c r="C199" s="160" t="inlineStr">
        <is>
          <t>Revenue</t>
        </is>
      </c>
      <c r="D199" s="160" t="inlineStr">
        <is>
          <t>-</t>
        </is>
      </c>
      <c r="E199" s="159" t="n"/>
    </row>
    <row r="200" ht="15" customHeight="1" s="410">
      <c r="A200" s="159" t="inlineStr">
        <is>
          <t>Gross Rent</t>
        </is>
      </c>
      <c r="B200" s="159" t="inlineStr">
        <is>
          <t>Gross Rent Revenue</t>
        </is>
      </c>
      <c r="C200" s="160" t="inlineStr">
        <is>
          <t>Revenue</t>
        </is>
      </c>
      <c r="D200" s="160" t="inlineStr">
        <is>
          <t>-</t>
        </is>
      </c>
      <c r="E200" s="159" t="n"/>
    </row>
    <row r="201" ht="15" customHeight="1" s="410">
      <c r="A201" s="159" t="inlineStr">
        <is>
          <t>Market Rate Revenue</t>
        </is>
      </c>
      <c r="B201" s="159" t="inlineStr">
        <is>
          <t>Gross Rent Revenue</t>
        </is>
      </c>
      <c r="C201" s="160" t="inlineStr">
        <is>
          <t>Revenue</t>
        </is>
      </c>
      <c r="D201" s="160" t="inlineStr">
        <is>
          <t>-</t>
        </is>
      </c>
      <c r="E201" s="159" t="n"/>
    </row>
    <row r="202" ht="15" customHeight="1" s="410">
      <c r="A202" s="159" t="inlineStr">
        <is>
          <t>Market Rent Revenue</t>
        </is>
      </c>
      <c r="B202" s="159" t="inlineStr">
        <is>
          <t>Gross Rent Revenue</t>
        </is>
      </c>
      <c r="C202" s="160" t="inlineStr">
        <is>
          <t>Revenue</t>
        </is>
      </c>
      <c r="D202" s="160" t="inlineStr">
        <is>
          <t>-</t>
        </is>
      </c>
      <c r="E202" s="159" t="n"/>
    </row>
    <row r="203" ht="15" customHeight="1" s="410">
      <c r="A203" s="159" t="inlineStr">
        <is>
          <t>Potential Rental Income</t>
        </is>
      </c>
      <c r="B203" s="159" t="inlineStr">
        <is>
          <t>Gross Rent Revenue</t>
        </is>
      </c>
      <c r="C203" s="160" t="inlineStr">
        <is>
          <t>Revenue</t>
        </is>
      </c>
      <c r="D203" s="160" t="inlineStr">
        <is>
          <t>-</t>
        </is>
      </c>
      <c r="E203" s="159" t="n"/>
    </row>
    <row r="204" ht="15" customHeight="1" s="410">
      <c r="A204" s="159" t="inlineStr">
        <is>
          <t>Potential Rent Revenue</t>
        </is>
      </c>
      <c r="B204" s="159" t="inlineStr">
        <is>
          <t>Gross Rent Revenue</t>
        </is>
      </c>
      <c r="C204" s="160" t="inlineStr">
        <is>
          <t>Revenue</t>
        </is>
      </c>
      <c r="D204" s="160" t="inlineStr">
        <is>
          <t>-</t>
        </is>
      </c>
      <c r="E204" s="159" t="n"/>
    </row>
    <row r="205" ht="15" customHeight="1" s="410">
      <c r="A205" s="159" t="inlineStr">
        <is>
          <t>Gross Potential Revenue</t>
        </is>
      </c>
      <c r="B205" s="159" t="inlineStr">
        <is>
          <t>Gross Rent Revenue</t>
        </is>
      </c>
      <c r="C205" s="160" t="inlineStr">
        <is>
          <t>Revenue</t>
        </is>
      </c>
      <c r="D205" s="160" t="inlineStr">
        <is>
          <t>-</t>
        </is>
      </c>
      <c r="E205" s="159" t="n"/>
    </row>
    <row r="206" ht="15" customHeight="1" s="410">
      <c r="A206" s="159" t="inlineStr">
        <is>
          <t>Total Market Rent</t>
        </is>
      </c>
      <c r="B206" s="159" t="inlineStr">
        <is>
          <t>Gross Rent Revenue</t>
        </is>
      </c>
      <c r="C206" s="160" t="inlineStr">
        <is>
          <t>Revenue</t>
        </is>
      </c>
      <c r="D206" s="160" t="inlineStr">
        <is>
          <t>-</t>
        </is>
      </c>
      <c r="E206" s="159" t="n"/>
    </row>
    <row r="207" ht="15" customHeight="1" s="410">
      <c r="A207" s="159" t="inlineStr">
        <is>
          <t>Potential Rent</t>
        </is>
      </c>
      <c r="B207" s="159" t="inlineStr">
        <is>
          <t>Gross Rent Revenue</t>
        </is>
      </c>
      <c r="C207" s="160" t="inlineStr">
        <is>
          <t>Revenue</t>
        </is>
      </c>
      <c r="D207" s="160" t="inlineStr">
        <is>
          <t>-</t>
        </is>
      </c>
      <c r="E207" s="159" t="n"/>
    </row>
    <row r="208" ht="15" customHeight="1" s="410">
      <c r="A208" s="159" t="inlineStr">
        <is>
          <t>Gross Market Rent</t>
        </is>
      </c>
      <c r="B208" s="159" t="inlineStr">
        <is>
          <t>Gross Rent Revenue</t>
        </is>
      </c>
      <c r="C208" s="160" t="inlineStr">
        <is>
          <t>Revenue</t>
        </is>
      </c>
      <c r="D208" s="160" t="inlineStr">
        <is>
          <t>-</t>
        </is>
      </c>
      <c r="E208" s="159" t="n"/>
    </row>
    <row r="209" ht="15" customHeight="1" s="410">
      <c r="A209" s="159" t="inlineStr">
        <is>
          <t>GPR</t>
        </is>
      </c>
      <c r="B209" s="159" t="inlineStr">
        <is>
          <t>Gross Rent Revenue</t>
        </is>
      </c>
      <c r="C209" s="160" t="inlineStr">
        <is>
          <t>Revenue</t>
        </is>
      </c>
      <c r="D209" s="160" t="inlineStr">
        <is>
          <t>-</t>
        </is>
      </c>
      <c r="E209" s="159" t="n"/>
    </row>
    <row r="210" ht="15" customHeight="1" s="410">
      <c r="A210" s="159" t="inlineStr">
        <is>
          <t>Vacancy</t>
        </is>
      </c>
      <c r="B210" s="159" t="inlineStr">
        <is>
          <t>Physical Vacancy</t>
        </is>
      </c>
      <c r="C210" s="160" t="inlineStr">
        <is>
          <t>Revenue</t>
        </is>
      </c>
      <c r="D210" s="160" t="inlineStr">
        <is>
          <t>-</t>
        </is>
      </c>
      <c r="E210" s="159" t="n"/>
    </row>
    <row r="211" ht="15" customHeight="1" s="410">
      <c r="A211" s="159" t="inlineStr">
        <is>
          <t>Physical Vacancy</t>
        </is>
      </c>
      <c r="B211" s="159" t="inlineStr">
        <is>
          <t>Physical Vacancy</t>
        </is>
      </c>
      <c r="C211" s="160" t="inlineStr">
        <is>
          <t>Revenue</t>
        </is>
      </c>
      <c r="D211" s="160" t="inlineStr">
        <is>
          <t>-</t>
        </is>
      </c>
      <c r="E211" s="159" t="n"/>
    </row>
    <row r="212" ht="15" customHeight="1" s="410">
      <c r="A212" s="159" t="inlineStr">
        <is>
          <t>Physical Vacancy Loss</t>
        </is>
      </c>
      <c r="B212" s="159" t="inlineStr">
        <is>
          <t>Physical Vacancy</t>
        </is>
      </c>
      <c r="C212" s="160" t="inlineStr">
        <is>
          <t>Revenue</t>
        </is>
      </c>
      <c r="D212" s="160" t="inlineStr">
        <is>
          <t>-</t>
        </is>
      </c>
      <c r="E212" s="159" t="n"/>
    </row>
    <row r="213" ht="15" customHeight="1" s="410">
      <c r="A213" s="159" t="inlineStr">
        <is>
          <t>Vacancy Loss</t>
        </is>
      </c>
      <c r="B213" s="159" t="inlineStr">
        <is>
          <t>Physical Vacancy</t>
        </is>
      </c>
      <c r="C213" s="160" t="inlineStr">
        <is>
          <t>Revenue</t>
        </is>
      </c>
      <c r="D213" s="160" t="inlineStr">
        <is>
          <t>-</t>
        </is>
      </c>
      <c r="E213" s="159" t="n"/>
    </row>
    <row r="214" ht="15" customHeight="1" s="410">
      <c r="A214" s="159" t="inlineStr">
        <is>
          <t>Rent Loss - Vacancy</t>
        </is>
      </c>
      <c r="B214" s="159" t="inlineStr">
        <is>
          <t>Physical Vacancy</t>
        </is>
      </c>
      <c r="C214" s="160" t="inlineStr">
        <is>
          <t>Revenue</t>
        </is>
      </c>
      <c r="D214" s="160" t="inlineStr">
        <is>
          <t>-</t>
        </is>
      </c>
      <c r="E214" s="159" t="n"/>
    </row>
    <row r="215" ht="15" customHeight="1" s="410">
      <c r="A215" s="159" t="inlineStr">
        <is>
          <t>Rental Loss - Vacancy</t>
        </is>
      </c>
      <c r="B215" s="159" t="inlineStr">
        <is>
          <t>Physical Vacancy</t>
        </is>
      </c>
      <c r="C215" s="160" t="inlineStr">
        <is>
          <t>Revenue</t>
        </is>
      </c>
      <c r="D215" s="160" t="inlineStr">
        <is>
          <t>-</t>
        </is>
      </c>
      <c r="E215" s="159" t="n"/>
    </row>
    <row r="216" ht="15" customHeight="1" s="410">
      <c r="A216" s="159" t="inlineStr">
        <is>
          <t>Vacancy and Credit Loss</t>
        </is>
      </c>
      <c r="B216" s="159" t="inlineStr">
        <is>
          <t>Physical Vacancy</t>
        </is>
      </c>
      <c r="C216" s="160" t="inlineStr">
        <is>
          <t>Revenue</t>
        </is>
      </c>
      <c r="D216" s="160" t="inlineStr">
        <is>
          <t>-</t>
        </is>
      </c>
      <c r="E216" s="159" t="n"/>
    </row>
    <row r="217" ht="15" customHeight="1" s="410">
      <c r="A217" s="159" t="inlineStr">
        <is>
          <t>Occupancy Loss</t>
        </is>
      </c>
      <c r="B217" s="159" t="inlineStr">
        <is>
          <t>Physical Vacancy</t>
        </is>
      </c>
      <c r="C217" s="160" t="inlineStr">
        <is>
          <t>Revenue</t>
        </is>
      </c>
      <c r="D217" s="160" t="inlineStr">
        <is>
          <t>-</t>
        </is>
      </c>
      <c r="E217" s="159" t="n"/>
    </row>
    <row r="218" ht="15" customHeight="1" s="410">
      <c r="A218" s="159" t="inlineStr">
        <is>
          <t>Vacant Unit Loss</t>
        </is>
      </c>
      <c r="B218" s="159" t="inlineStr">
        <is>
          <t>Physical Vacancy</t>
        </is>
      </c>
      <c r="C218" s="160" t="inlineStr">
        <is>
          <t>Revenue</t>
        </is>
      </c>
      <c r="D218" s="160" t="inlineStr">
        <is>
          <t>-</t>
        </is>
      </c>
      <c r="E218" s="159" t="n"/>
    </row>
    <row r="219" ht="15" customHeight="1" s="410">
      <c r="A219" s="159" t="inlineStr">
        <is>
          <t>Unoccupied Units</t>
        </is>
      </c>
      <c r="B219" s="159" t="inlineStr">
        <is>
          <t>Physical Vacancy</t>
        </is>
      </c>
      <c r="C219" s="160" t="inlineStr">
        <is>
          <t>Revenue</t>
        </is>
      </c>
      <c r="D219" s="160" t="inlineStr">
        <is>
          <t>-</t>
        </is>
      </c>
      <c r="E219" s="159" t="n"/>
    </row>
    <row r="220" ht="15" customHeight="1" s="410">
      <c r="A220" s="159" t="inlineStr">
        <is>
          <t>Vacancy Reserve</t>
        </is>
      </c>
      <c r="B220" s="159" t="inlineStr">
        <is>
          <t>Physical Vacancy</t>
        </is>
      </c>
      <c r="C220" s="160" t="inlineStr">
        <is>
          <t>Revenue</t>
        </is>
      </c>
      <c r="D220" s="160" t="inlineStr">
        <is>
          <t>-</t>
        </is>
      </c>
      <c r="E220" s="159" t="n"/>
    </row>
    <row r="221" ht="15" customHeight="1" s="410">
      <c r="A221" s="159" t="inlineStr">
        <is>
          <t>Economic Vacancy</t>
        </is>
      </c>
      <c r="B221" s="159" t="inlineStr">
        <is>
          <t>Physical Vacancy</t>
        </is>
      </c>
      <c r="C221" s="160" t="inlineStr">
        <is>
          <t>Revenue</t>
        </is>
      </c>
      <c r="D221" s="160" t="inlineStr">
        <is>
          <t>-</t>
        </is>
      </c>
      <c r="E221" s="159" t="n"/>
    </row>
    <row r="222" ht="15" customHeight="1" s="410">
      <c r="A222" s="159" t="inlineStr">
        <is>
          <t>Vacancy Adjustment</t>
        </is>
      </c>
      <c r="B222" s="159" t="inlineStr">
        <is>
          <t>Physical Vacancy</t>
        </is>
      </c>
      <c r="C222" s="160" t="inlineStr">
        <is>
          <t>Revenue</t>
        </is>
      </c>
      <c r="D222" s="160" t="inlineStr">
        <is>
          <t>-</t>
        </is>
      </c>
      <c r="E222" s="159" t="n"/>
    </row>
    <row r="223" ht="15" customHeight="1" s="410">
      <c r="A223" s="159" t="inlineStr">
        <is>
          <t>Loss to Lease</t>
        </is>
      </c>
      <c r="B223" s="159" t="inlineStr">
        <is>
          <t>Loss to Lease</t>
        </is>
      </c>
      <c r="C223" s="160" t="inlineStr">
        <is>
          <t>Revenue</t>
        </is>
      </c>
      <c r="D223" s="160" t="inlineStr">
        <is>
          <t>-</t>
        </is>
      </c>
      <c r="E223" s="159" t="n"/>
    </row>
    <row r="224" ht="15" customHeight="1" s="410">
      <c r="A224" s="159" t="inlineStr">
        <is>
          <t>Market Rent Adjustments</t>
        </is>
      </c>
      <c r="B224" s="159" t="inlineStr">
        <is>
          <t>Loss to Lease</t>
        </is>
      </c>
      <c r="C224" s="160" t="inlineStr">
        <is>
          <t>Revenue</t>
        </is>
      </c>
      <c r="D224" s="160" t="inlineStr">
        <is>
          <t>-</t>
        </is>
      </c>
      <c r="E224" s="159" t="n"/>
    </row>
    <row r="225" ht="15" customHeight="1" s="410">
      <c r="A225" s="159" t="inlineStr">
        <is>
          <t>Market Rent Adjustment</t>
        </is>
      </c>
      <c r="B225" s="159" t="inlineStr">
        <is>
          <t>Loss to Lease</t>
        </is>
      </c>
      <c r="C225" s="160" t="inlineStr">
        <is>
          <t>Revenue</t>
        </is>
      </c>
      <c r="D225" s="160" t="inlineStr">
        <is>
          <t>-</t>
        </is>
      </c>
      <c r="E225" s="159" t="n"/>
    </row>
    <row r="226" ht="15" customHeight="1" s="410">
      <c r="A226" s="159" t="inlineStr">
        <is>
          <t>Market Rate Adjustments</t>
        </is>
      </c>
      <c r="B226" s="159" t="inlineStr">
        <is>
          <t>Loss to Lease</t>
        </is>
      </c>
      <c r="C226" s="160" t="inlineStr">
        <is>
          <t>Revenue</t>
        </is>
      </c>
      <c r="D226" s="160" t="inlineStr">
        <is>
          <t>-</t>
        </is>
      </c>
      <c r="E226" s="159" t="n"/>
    </row>
    <row r="227" ht="15" customHeight="1" s="410">
      <c r="A227" s="159" t="inlineStr">
        <is>
          <t>Below Market Rents</t>
        </is>
      </c>
      <c r="B227" s="159" t="inlineStr">
        <is>
          <t>Loss to Lease</t>
        </is>
      </c>
      <c r="C227" s="160" t="inlineStr">
        <is>
          <t>Revenue</t>
        </is>
      </c>
      <c r="D227" s="160" t="inlineStr">
        <is>
          <t>-</t>
        </is>
      </c>
      <c r="E227" s="159" t="n"/>
    </row>
    <row r="228" ht="15" customHeight="1" s="410">
      <c r="A228" s="159" t="inlineStr">
        <is>
          <t>Rental Rate Variance</t>
        </is>
      </c>
      <c r="B228" s="159" t="inlineStr">
        <is>
          <t>Loss to Lease</t>
        </is>
      </c>
      <c r="C228" s="160" t="inlineStr">
        <is>
          <t>Revenue</t>
        </is>
      </c>
      <c r="D228" s="160" t="inlineStr">
        <is>
          <t>-</t>
        </is>
      </c>
      <c r="E228" s="159" t="n"/>
    </row>
    <row r="229" ht="15" customHeight="1" s="410">
      <c r="A229" s="159" t="inlineStr">
        <is>
          <t>Rate Discount</t>
        </is>
      </c>
      <c r="B229" s="159" t="inlineStr">
        <is>
          <t>Loss to Lease</t>
        </is>
      </c>
      <c r="C229" s="160" t="inlineStr">
        <is>
          <t>Revenue</t>
        </is>
      </c>
      <c r="D229" s="160" t="inlineStr">
        <is>
          <t>-</t>
        </is>
      </c>
      <c r="E229" s="159" t="n"/>
    </row>
    <row r="230" ht="15" customHeight="1" s="410">
      <c r="A230" s="159" t="inlineStr">
        <is>
          <t>Concession Loss</t>
        </is>
      </c>
      <c r="B230" s="159" t="inlineStr">
        <is>
          <t>Loss to Lease</t>
        </is>
      </c>
      <c r="C230" s="160" t="inlineStr">
        <is>
          <t>Revenue</t>
        </is>
      </c>
      <c r="D230" s="160" t="inlineStr">
        <is>
          <t>-</t>
        </is>
      </c>
      <c r="E230" s="159" t="n"/>
    </row>
    <row r="231" ht="15" customHeight="1" s="410">
      <c r="A231" s="159" t="inlineStr">
        <is>
          <t>Revenue Discount</t>
        </is>
      </c>
      <c r="B231" s="159" t="inlineStr">
        <is>
          <t>Loss to Lease</t>
        </is>
      </c>
      <c r="C231" s="160" t="inlineStr">
        <is>
          <t>Revenue</t>
        </is>
      </c>
      <c r="D231" s="160" t="inlineStr">
        <is>
          <t>-</t>
        </is>
      </c>
      <c r="E231" s="159" t="n"/>
    </row>
    <row r="232" ht="15" customHeight="1" s="410">
      <c r="A232" s="159" t="inlineStr">
        <is>
          <t>Below Market Discount</t>
        </is>
      </c>
      <c r="B232" s="159" t="inlineStr">
        <is>
          <t>Loss to Lease</t>
        </is>
      </c>
      <c r="C232" s="160" t="inlineStr">
        <is>
          <t>Revenue</t>
        </is>
      </c>
      <c r="D232" s="160" t="inlineStr">
        <is>
          <t>-</t>
        </is>
      </c>
      <c r="E232" s="159" t="n"/>
    </row>
    <row r="233" ht="15" customHeight="1" s="410">
      <c r="A233" s="159" t="inlineStr">
        <is>
          <t>Rent Concession</t>
        </is>
      </c>
      <c r="B233" s="159" t="inlineStr">
        <is>
          <t>Loss to Lease</t>
        </is>
      </c>
      <c r="C233" s="160" t="inlineStr">
        <is>
          <t>Revenue</t>
        </is>
      </c>
      <c r="D233" s="160" t="inlineStr">
        <is>
          <t>-</t>
        </is>
      </c>
      <c r="E233" s="159" t="n"/>
    </row>
    <row r="234" ht="15" customHeight="1" s="410">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410" min="1" max="1"/>
    <col width="24" customWidth="1" style="410" min="2" max="2"/>
  </cols>
  <sheetData>
    <row r="1" ht="15" customHeight="1" s="410">
      <c r="A1" s="161" t="inlineStr">
        <is>
          <t>Period Date</t>
        </is>
      </c>
      <c r="B1" s="161" t="inlineStr">
        <is>
          <t>Notes</t>
        </is>
      </c>
      <c r="AZ1" t="inlineStr">
        <is>
          <t>RR helper calculations</t>
        </is>
      </c>
    </row>
    <row r="2" ht="15.75" customHeight="1" s="410">
      <c r="A2" s="162">
        <f>IFERROR(_xludf.MINIFS('Rent Roll Input'!$S$7:$S$606,'Rent Roll Input'!$S$7:$S$606,"&gt;"&amp;0),"")</f>
        <v/>
      </c>
      <c r="B2" s="163" t="inlineStr">
        <is>
          <t>Period 1</t>
        </is>
      </c>
      <c r="AZ2" t="inlineStr">
        <is>
          <t>reference</t>
        </is>
      </c>
    </row>
    <row r="3" ht="15.75" customHeight="1" s="410">
      <c r="A3" s="162">
        <f>IFERROR(_xludf.MINIFS('Rent Roll Input'!$S$7:$S$606,'Rent Roll Input'!$S$7:$S$606,"&gt;"&amp;A2),"")</f>
        <v/>
      </c>
      <c r="B3" s="163" t="inlineStr">
        <is>
          <t>Period 2</t>
        </is>
      </c>
      <c r="AZ3" t="inlineStr">
        <is>
          <t>hidden</t>
        </is>
      </c>
    </row>
    <row r="4" ht="15.75" customHeight="1" s="410">
      <c r="A4" s="162">
        <f>IFERROR(_xludf.MINIFS('Rent Roll Input'!$S$7:$S$606,'Rent Roll Input'!$S$7:$S$606,"&gt;"&amp;A3),"")</f>
        <v/>
      </c>
      <c r="B4" s="163" t="inlineStr">
        <is>
          <t>Period 3</t>
        </is>
      </c>
      <c r="AZ4" t="inlineStr">
        <is>
          <t>v0.2.12</t>
        </is>
      </c>
    </row>
    <row r="5" ht="15.75" customHeight="1" s="410">
      <c r="A5" s="162">
        <f>IFERROR(_xludf.MINIFS('Rent Roll Input'!$S$7:$S$606,'Rent Roll Input'!$S$7:$S$606,"&gt;"&amp;A4),"")</f>
        <v/>
      </c>
      <c r="B5" s="163" t="inlineStr">
        <is>
          <t>Period 4</t>
        </is>
      </c>
    </row>
    <row r="6" ht="15.75" customHeight="1" s="410">
      <c r="A6" s="162">
        <f>IFERROR(_xludf.MINIFS('Rent Roll Input'!$S$7:$S$606,'Rent Roll Input'!$S$7:$S$606,"&gt;"&amp;A5),"")</f>
        <v/>
      </c>
      <c r="B6" s="163" t="inlineStr">
        <is>
          <t>Period 5</t>
        </is>
      </c>
    </row>
    <row r="7" ht="15.75" customHeight="1" s="410">
      <c r="A7" s="162">
        <f>IFERROR(_xludf.MINIFS('Rent Roll Input'!$S$7:$S$606,'Rent Roll Input'!$S$7:$S$606,"&gt;"&amp;A6),"")</f>
        <v/>
      </c>
      <c r="B7" s="163" t="inlineStr">
        <is>
          <t>Period 6</t>
        </is>
      </c>
    </row>
    <row r="8" ht="15.75" customHeight="1" s="410">
      <c r="A8" s="162">
        <f>IFERROR(_xludf.MINIFS('Rent Roll Input'!$S$7:$S$606,'Rent Roll Input'!$S$7:$S$606,"&gt;"&amp;A7),"")</f>
        <v/>
      </c>
      <c r="B8" s="163" t="inlineStr">
        <is>
          <t>Period 7</t>
        </is>
      </c>
    </row>
    <row r="9" ht="15.75" customHeight="1" s="410">
      <c r="A9" s="162">
        <f>IFERROR(_xludf.MINIFS('Rent Roll Input'!$S$7:$S$606,'Rent Roll Input'!$S$7:$S$606,"&gt;"&amp;A8),"")</f>
        <v/>
      </c>
      <c r="B9" s="163" t="inlineStr">
        <is>
          <t>Period 8</t>
        </is>
      </c>
    </row>
    <row r="10" ht="15.75" customHeight="1" s="410">
      <c r="A10" s="162">
        <f>IFERROR(_xludf.MINIFS('Rent Roll Input'!$S$7:$S$606,'Rent Roll Input'!$S$7:$S$606,"&gt;"&amp;A9),"")</f>
        <v/>
      </c>
      <c r="B10" s="163" t="inlineStr">
        <is>
          <t>Period 9</t>
        </is>
      </c>
    </row>
    <row r="11" ht="15.75" customHeight="1" s="410">
      <c r="A11" s="162">
        <f>IFERROR(_xludf.MINIFS('Rent Roll Input'!$S$7:$S$606,'Rent Roll Input'!$S$7:$S$606,"&gt;"&amp;A10),"")</f>
        <v/>
      </c>
      <c r="B11" s="163" t="inlineStr">
        <is>
          <t>Period 10</t>
        </is>
      </c>
    </row>
    <row r="12" ht="15.75" customHeight="1" s="410">
      <c r="A12" s="162">
        <f>IFERROR(_xludf.MINIFS('Rent Roll Input'!$S$7:$S$606,'Rent Roll Input'!$S$7:$S$606,"&gt;"&amp;A11),"")</f>
        <v/>
      </c>
      <c r="B12" s="163" t="inlineStr">
        <is>
          <t>Period 11</t>
        </is>
      </c>
    </row>
    <row r="13" ht="15.75" customHeight="1" s="410">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410">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410">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410">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410">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v0.2.12</t>
        </is>
      </c>
    </row>
    <row r="5" ht="15" customHeight="1" s="410">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410">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410">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410">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410">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410">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410">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410">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410">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410">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410">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410">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410">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410">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410">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410">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410">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410">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410">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410">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410">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410">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410">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410">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410">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410">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410">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410">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410">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410">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410">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410">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410">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410">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410">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410">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410">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410">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410">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410">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410">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410">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410">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410">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410">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410">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410">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410">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410">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410">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410">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410">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410">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410">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410">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410">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410">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410">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410">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410">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410">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410">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410">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410">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410">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410">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410">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410">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410">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410">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410">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410">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410">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410">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410">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410">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410">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410">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410">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410">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410">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410">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410">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410">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410">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410">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410">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410">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410">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410">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410">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410">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410">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410">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410">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410">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410">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410">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410">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410">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410">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410">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410">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410">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410">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410">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410">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410">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410">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410">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410">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410">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410">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410">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410">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410">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410">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410">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410">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410">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410">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410">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410">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410">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410">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410">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410">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410">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410">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410">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410">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410">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410">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410">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410">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410">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410">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410">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410">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410">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410">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410">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410">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410">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410">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410">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410">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410">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410">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410">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410">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410">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410">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410">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410">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410">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410">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410">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410">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410">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410">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410">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410">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410">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410">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410">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410">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410">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410">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410">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410">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410">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410">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410">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410">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410">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410">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410">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410">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410">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410">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410">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410">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410">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410">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410">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410">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410">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410">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410">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410">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410">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410">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410">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410">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410">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410">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410">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410">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410">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410">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410">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410">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410">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410">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410">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410">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410">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410">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410">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410">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410">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410">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410">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410">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410">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410">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410">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410">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410">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410">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410">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410">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410">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410">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410">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410">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410">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410">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410">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410">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410">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410">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410">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410">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410">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410">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410">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410">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410">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410">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410">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410">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410">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410">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410">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410">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410">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410">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410">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410">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410">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410">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410">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410">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410">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410">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410">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410">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410">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410">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410">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410">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410">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410">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410">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410">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410">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410">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410">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410">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410">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410">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410">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410">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410">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410">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410">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410">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410">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410">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410">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410">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410">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410">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410">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410">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410">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410">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410">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410">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410">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410">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410">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410">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410">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410">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410">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410">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410">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410">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410">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410">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410">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410">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410">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410">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410">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410">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410">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410">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410">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410">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410">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410">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410">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410">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410">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410">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410">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410">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410">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410">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410">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410">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410">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410">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410">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410">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410">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410">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410">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410">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410">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410">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410">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410">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410">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410">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410">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410">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410">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410">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410">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410">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410">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410">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410">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410">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410">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410">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410">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410">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410">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410">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410">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410">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410">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410">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410">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410">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410">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410">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410">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410">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410">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410">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410">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410">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410">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410">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410">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410">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410">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410">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410">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410">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410">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410">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410">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410">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410">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410">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410">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410">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410">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410">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410">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410">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410">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410">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410">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410">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410">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410">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410">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410">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410">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410">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410">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410">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410">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410">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410">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410">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410">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410">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410">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410">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410">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410">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410">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410">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410">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410">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410">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410">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410">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410">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410">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410">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410">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410">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410">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410">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410">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410">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410">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410">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410">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410">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410">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410">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410">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410">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410">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410">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410">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410">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410">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410">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410">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410">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410">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410">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410">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410">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410">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410">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410">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410">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410">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410">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410">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410">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410">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410">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410">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410">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410">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410">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410">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410">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410">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410">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410">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410">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410">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410">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410">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410">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410">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410">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410">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410">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410">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410">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410">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410">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410">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410">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410">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410">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410">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410">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410">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410">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410">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410">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410">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410">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410">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410">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410">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410">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410">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410" min="1" max="1"/>
    <col width="32" customWidth="1" style="410" min="2" max="2"/>
    <col width="12" customWidth="1" style="410" min="3" max="5"/>
    <col width="24" customWidth="1" style="410" min="6" max="6"/>
  </cols>
  <sheetData>
    <row r="1" ht="18" customHeight="1" s="410">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v0.2.12</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410">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74">
        <f>IF(B43=0,"",IF(B44&gt;0.05,"⚠ AR is "&amp;TEXT(B44,"0.0%")&amp;" of monthly EGI — collection risk; review aging","✓ AR within "&amp;TEXT(0.05,"0%")&amp;" of monthly EGI"))</f>
        <v/>
      </c>
    </row>
    <row r="46">
      <c r="A46" s="460" t="inlineStr">
        <is>
          <t>4 · PRE-EXPORT GATE</t>
        </is>
      </c>
    </row>
    <row r="47">
      <c r="A47" s="205" t="inlineStr">
        <is>
          <t>Pre-export check</t>
        </is>
      </c>
      <c r="B47" s="459" t="inlineStr">
        <is>
          <t>Status</t>
        </is>
      </c>
    </row>
    <row r="48">
      <c r="A48" s="482" t="inlineStr">
        <is>
          <t>P1 · RR + T12 period dates set</t>
        </is>
      </c>
      <c r="B48" s="484">
        <f>IF(AND(LEN(B25)&gt;4,LEN(B26)&gt;4,B25&lt;&gt;"-",B26&lt;&gt;"-"),"✓","⚠ Set period dates")</f>
        <v/>
      </c>
    </row>
    <row r="49">
      <c r="A49" s="482" t="inlineStr">
        <is>
          <t>P2 · Property name populated</t>
        </is>
      </c>
      <c r="B49" s="484">
        <f>IF(LEN(TRIM(IFERROR(Property_Name,"")))&gt;0,"✓","⚠ Set property name on Cover!B5")</f>
        <v/>
      </c>
    </row>
    <row r="50" ht="25.5" customHeight="1" s="410">
      <c r="A50" s="482" t="inlineStr">
        <is>
          <t>P3 · RR + T12 input rows present</t>
        </is>
      </c>
      <c r="B50" s="484">
        <f>IF(AND(B28&gt;0,B29&gt;0),"✓","⚠ Upload RR + T12 to populate input sheets")</f>
        <v/>
      </c>
    </row>
    <row r="51">
      <c r="A51" s="482" t="inlineStr">
        <is>
          <t>P4 · Source $ → Operating $ leakage within ±$1</t>
        </is>
      </c>
      <c r="B51" s="484">
        <f>IF(IFERROR(VALUE(SUBSTITUTE(B23,"$","")),99)&lt;=1,"✓","⚠ Investigate T12 leakage (V1)")</f>
        <v/>
      </c>
    </row>
    <row r="52" ht="16" customHeight="1" s="410">
      <c r="A52" s="482" t="inlineStr">
        <is>
          <t>P5 · AR period matches RR period (inert if no AR)</t>
        </is>
      </c>
      <c r="B52" s="484">
        <f>IF('AR &amp; Collections'!Z1=0,"✓",IF('AR &amp; Collections'!C3=RR_Period_Date,"✓","⚠ AR period ≠ RR period"))</f>
        <v/>
      </c>
      <c r="C52" s="454" t="n"/>
      <c r="D52" s="455" t="n"/>
    </row>
    <row r="53" ht="16" customHeight="1" s="410">
      <c r="A53" s="210" t="inlineStr">
        <is>
          <t>READY FOR EXPORT?</t>
        </is>
      </c>
      <c r="B53" s="210">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2026-05-25T03:14:36Z</dcterms:modified>
  <cp:lastModifiedBy>Erik J</cp:lastModifiedBy>
  <cp:revision>0</cp:revision>
</cp:coreProperties>
</file>