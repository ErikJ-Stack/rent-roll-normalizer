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xmlns:r="http://schemas.openxmlformats.org/officeDocument/2006/relationships" name="Cover" sheetId="1" state="visible" r:id="rId1"/>
    <sheet xmlns:r="http://schemas.openxmlformats.org/officeDocument/2006/relationships" name="T12 Analytics" sheetId="2" state="visible" r:id="rId2"/>
    <sheet xmlns:r="http://schemas.openxmlformats.org/officeDocument/2006/relationships" name="T12 Input" sheetId="3" state="visible" r:id="rId3"/>
    <sheet xmlns:r="http://schemas.openxmlformats.org/officeDocument/2006/relationships" name="T12 Raw Data" sheetId="4" state="visible" r:id="rId4"/>
    <sheet xmlns:r="http://schemas.openxmlformats.org/officeDocument/2006/relationships" name="Rent Roll Input" sheetId="5" state="visible" r:id="rId5"/>
    <sheet xmlns:r="http://schemas.openxmlformats.org/officeDocument/2006/relationships" name="Rent Roll Recon" sheetId="6" state="visible" r:id="rId6"/>
    <sheet xmlns:r="http://schemas.openxmlformats.org/officeDocument/2006/relationships" name="Monthly Trending" sheetId="7" state="visible" r:id="rId7"/>
    <sheet xmlns:r="http://schemas.openxmlformats.org/officeDocument/2006/relationships" name="UW Output" sheetId="8" state="visible" r:id="rId8"/>
    <sheet xmlns:r="http://schemas.openxmlformats.org/officeDocument/2006/relationships" name="Mapping Review" sheetId="9" state="visible" r:id="rId9"/>
    <sheet xmlns:r="http://schemas.openxmlformats.org/officeDocument/2006/relationships" name="Description_Map" sheetId="10" state="visible" r:id="rId10"/>
    <sheet xmlns:r="http://schemas.openxmlformats.org/officeDocument/2006/relationships" name="RR_Calc" sheetId="11" state="hidden" r:id="rId11"/>
    <sheet xmlns:r="http://schemas.openxmlformats.org/officeDocument/2006/relationships" name="T12_Calc" sheetId="12" state="hidden" r:id="rId12"/>
    <sheet xmlns:r="http://schemas.openxmlformats.org/officeDocument/2006/relationships" name="Workbook Health" sheetId="13" state="hidden" r:id="rId13"/>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9">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s>
  <fonts count="42">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s>
  <fills count="16">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11">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v0.1.6</t>
        </is>
      </c>
    </row>
    <row r="5">
      <c r="A5" t="inlineStr">
        <is>
          <t>Property name</t>
        </is>
      </c>
      <c r="B5" t="inlineStr"/>
    </row>
    <row r="7">
      <c r="A7" s="205" t="inlineStr">
        <is>
          <t>Versions</t>
        </is>
      </c>
    </row>
    <row r="8">
      <c r="A8" t="inlineStr">
        <is>
          <t>Substrate template</t>
        </is>
      </c>
      <c r="B8" t="inlineStr">
        <is>
          <t>v0.1.6</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66"/>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Property_Name</f>
        <v/>
      </c>
      <c r="D2" s="8" t="inlineStr">
        <is>
          <t>T12 Period Ending:</t>
        </is>
      </c>
      <c r="E2" s="9" t="n"/>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v0.1.6</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row>
    <row r="51" ht="14.25" customHeight="1" s="199"/>
    <row r="52" ht="14.25" customHeight="1" s="199">
      <c r="A52" s="42" t="inlineStr">
        <is>
          <t>EFFECTIVE GROSS INCOME  (EGI)</t>
        </is>
      </c>
      <c r="B52" s="196" t="n"/>
      <c r="C52" s="196" t="n"/>
      <c r="D52" s="196" t="n"/>
      <c r="E52" s="44">
        <f>E16+E23+E47+E48+E49+E50</f>
        <v/>
      </c>
      <c r="F52" s="44">
        <f>E20+E27+F47+F48+F49+F50</f>
        <v/>
      </c>
      <c r="G52" s="44">
        <f>F52-E52</f>
        <v/>
      </c>
      <c r="H52" s="45" t="inlineStr">
        <is>
          <t>100% of EGI</t>
        </is>
      </c>
    </row>
    <row r="53" ht="14.25" customHeight="1" s="199"/>
    <row r="54" ht="14.25" customHeight="1" s="199">
      <c r="A54" s="182" t="inlineStr">
        <is>
          <t>SECTION 3  ·  EXPENSE ANALYSIS  —  T12 ACTUAL  →  NORMALIZED</t>
        </is>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0</f>
        <v/>
      </c>
      <c r="F102" s="52" t="n">
        <v>0</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sheetData>
  <mergeCells count="18">
    <mergeCell ref="A102:D102"/>
    <mergeCell ref="A67:H67"/>
    <mergeCell ref="A56:H56"/>
    <mergeCell ref="A94:D94"/>
    <mergeCell ref="A4:H4"/>
    <mergeCell ref="A1:H1"/>
    <mergeCell ref="A29:H29"/>
    <mergeCell ref="A97:D97"/>
    <mergeCell ref="A15:H15"/>
    <mergeCell ref="A43:H43"/>
    <mergeCell ref="A104:H104"/>
    <mergeCell ref="A65:D65"/>
    <mergeCell ref="A13:H13"/>
    <mergeCell ref="A45:H45"/>
    <mergeCell ref="A99:D99"/>
    <mergeCell ref="A126:H126"/>
    <mergeCell ref="A22:H22"/>
    <mergeCell ref="A34:H3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v0.1.6</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v0.1.6</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SUMIF(T12_Calc!$N$1:$N$501,"Base rent — IL",T12_Calc!$B$1:$B$501)</f>
        <v/>
      </c>
      <c r="G6" s="24">
        <f>SUMIF(T12_Calc!$N$1:$N$501,"Base rent — IL",T12_Calc!$C$1:$C$501)</f>
        <v/>
      </c>
      <c r="H6" s="24">
        <f>SUMIF(T12_Calc!$N$1:$N$501,"Base rent — IL",T12_Calc!$D$1:$D$501)</f>
        <v/>
      </c>
      <c r="I6" s="24">
        <f>SUMIF(T12_Calc!$N$1:$N$501,"Base rent — IL",T12_Calc!$E$1:$E$501)</f>
        <v/>
      </c>
      <c r="J6" s="24">
        <f>SUMIF(T12_Calc!$N$1:$N$501,"Base rent — IL",T12_Calc!$F$1:$F$501)</f>
        <v/>
      </c>
      <c r="K6" s="24">
        <f>SUMIF(T12_Calc!$N$1:$N$501,"Base rent — IL",T12_Calc!$G$1:$G$501)</f>
        <v/>
      </c>
      <c r="L6" s="24">
        <f>SUMIF(T12_Calc!$N$1:$N$501,"Base rent — IL",T12_Calc!$H$1:$H$501)</f>
        <v/>
      </c>
      <c r="M6" s="24">
        <f>SUMIF(T12_Calc!$N$1:$N$501,"Base rent — IL",T12_Calc!$I$1:$I$501)</f>
        <v/>
      </c>
      <c r="N6" s="24">
        <f>SUMIF(T12_Calc!$N$1:$N$501,"Base rent — IL",T12_Calc!$J$1:$J$501)</f>
        <v/>
      </c>
      <c r="O6" s="24">
        <f>SUMIF(T12_Calc!$N$1:$N$501,"Base rent — IL",T12_Calc!$K$1:$K$501)</f>
        <v/>
      </c>
      <c r="P6" s="24">
        <f>SUMIF(T12_Calc!$N$1:$N$501,"Base rent — IL",T12_Calc!$L$1:$L$501)</f>
        <v/>
      </c>
      <c r="Q6" s="24">
        <f>SUMIF(T12_Calc!$N$1:$N$501,"Base rent — IL",T12_Calc!$M$1:$M$501)</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SUMIF(T12_Calc!$N$1:$N$501,"Base rent — AL",T12_Calc!$B$1:$B$501)</f>
        <v/>
      </c>
      <c r="G7" s="24">
        <f>SUMIF(T12_Calc!$N$1:$N$501,"Base rent — AL",T12_Calc!$C$1:$C$501)</f>
        <v/>
      </c>
      <c r="H7" s="24">
        <f>SUMIF(T12_Calc!$N$1:$N$501,"Base rent — AL",T12_Calc!$D$1:$D$501)</f>
        <v/>
      </c>
      <c r="I7" s="24">
        <f>SUMIF(T12_Calc!$N$1:$N$501,"Base rent — AL",T12_Calc!$E$1:$E$501)</f>
        <v/>
      </c>
      <c r="J7" s="24">
        <f>SUMIF(T12_Calc!$N$1:$N$501,"Base rent — AL",T12_Calc!$F$1:$F$501)</f>
        <v/>
      </c>
      <c r="K7" s="24">
        <f>SUMIF(T12_Calc!$N$1:$N$501,"Base rent — AL",T12_Calc!$G$1:$G$501)</f>
        <v/>
      </c>
      <c r="L7" s="24">
        <f>SUMIF(T12_Calc!$N$1:$N$501,"Base rent — AL",T12_Calc!$H$1:$H$501)</f>
        <v/>
      </c>
      <c r="M7" s="24">
        <f>SUMIF(T12_Calc!$N$1:$N$501,"Base rent — AL",T12_Calc!$I$1:$I$501)</f>
        <v/>
      </c>
      <c r="N7" s="24">
        <f>SUMIF(T12_Calc!$N$1:$N$501,"Base rent — AL",T12_Calc!$J$1:$J$501)</f>
        <v/>
      </c>
      <c r="O7" s="24">
        <f>SUMIF(T12_Calc!$N$1:$N$501,"Base rent — AL",T12_Calc!$K$1:$K$501)</f>
        <v/>
      </c>
      <c r="P7" s="24">
        <f>SUMIF(T12_Calc!$N$1:$N$501,"Base rent — AL",T12_Calc!$L$1:$L$501)</f>
        <v/>
      </c>
      <c r="Q7" s="24">
        <f>SUMIF(T12_Calc!$N$1:$N$501,"Base rent — AL",T12_Calc!$M$1:$M$501)</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SUMIF(T12_Calc!$N$1:$N$501,"Base rent — MC",T12_Calc!$B$1:$B$501)</f>
        <v/>
      </c>
      <c r="G8" s="24">
        <f>SUMIF(T12_Calc!$N$1:$N$501,"Base rent — MC",T12_Calc!$C$1:$C$501)</f>
        <v/>
      </c>
      <c r="H8" s="24">
        <f>SUMIF(T12_Calc!$N$1:$N$501,"Base rent — MC",T12_Calc!$D$1:$D$501)</f>
        <v/>
      </c>
      <c r="I8" s="24">
        <f>SUMIF(T12_Calc!$N$1:$N$501,"Base rent — MC",T12_Calc!$E$1:$E$501)</f>
        <v/>
      </c>
      <c r="J8" s="24">
        <f>SUMIF(T12_Calc!$N$1:$N$501,"Base rent — MC",T12_Calc!$F$1:$F$501)</f>
        <v/>
      </c>
      <c r="K8" s="24">
        <f>SUMIF(T12_Calc!$N$1:$N$501,"Base rent — MC",T12_Calc!$G$1:$G$501)</f>
        <v/>
      </c>
      <c r="L8" s="24">
        <f>SUMIF(T12_Calc!$N$1:$N$501,"Base rent — MC",T12_Calc!$H$1:$H$501)</f>
        <v/>
      </c>
      <c r="M8" s="24">
        <f>SUMIF(T12_Calc!$N$1:$N$501,"Base rent — MC",T12_Calc!$I$1:$I$501)</f>
        <v/>
      </c>
      <c r="N8" s="24">
        <f>SUMIF(T12_Calc!$N$1:$N$501,"Base rent — MC",T12_Calc!$J$1:$J$501)</f>
        <v/>
      </c>
      <c r="O8" s="24">
        <f>SUMIF(T12_Calc!$N$1:$N$501,"Base rent — MC",T12_Calc!$K$1:$K$501)</f>
        <v/>
      </c>
      <c r="P8" s="24">
        <f>SUMIF(T12_Calc!$N$1:$N$501,"Base rent — MC",T12_Calc!$L$1:$L$501)</f>
        <v/>
      </c>
      <c r="Q8" s="24">
        <f>SUMIF(T12_Calc!$N$1:$N$501,"Base rent — MC",T12_Calc!$M$1:$M$501)</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SUMIF(T12_Calc!$N$1:$N$501,"LOC revenue — IL",T12_Calc!$B$1:$B$501)</f>
        <v/>
      </c>
      <c r="G9" s="24">
        <f>SUMIF(T12_Calc!$N$1:$N$501,"LOC revenue — IL",T12_Calc!$C$1:$C$501)</f>
        <v/>
      </c>
      <c r="H9" s="24">
        <f>SUMIF(T12_Calc!$N$1:$N$501,"LOC revenue — IL",T12_Calc!$D$1:$D$501)</f>
        <v/>
      </c>
      <c r="I9" s="24">
        <f>SUMIF(T12_Calc!$N$1:$N$501,"LOC revenue — IL",T12_Calc!$E$1:$E$501)</f>
        <v/>
      </c>
      <c r="J9" s="24">
        <f>SUMIF(T12_Calc!$N$1:$N$501,"LOC revenue — IL",T12_Calc!$F$1:$F$501)</f>
        <v/>
      </c>
      <c r="K9" s="24">
        <f>SUMIF(T12_Calc!$N$1:$N$501,"LOC revenue — IL",T12_Calc!$G$1:$G$501)</f>
        <v/>
      </c>
      <c r="L9" s="24">
        <f>SUMIF(T12_Calc!$N$1:$N$501,"LOC revenue — IL",T12_Calc!$H$1:$H$501)</f>
        <v/>
      </c>
      <c r="M9" s="24">
        <f>SUMIF(T12_Calc!$N$1:$N$501,"LOC revenue — IL",T12_Calc!$I$1:$I$501)</f>
        <v/>
      </c>
      <c r="N9" s="24">
        <f>SUMIF(T12_Calc!$N$1:$N$501,"LOC revenue — IL",T12_Calc!$J$1:$J$501)</f>
        <v/>
      </c>
      <c r="O9" s="24">
        <f>SUMIF(T12_Calc!$N$1:$N$501,"LOC revenue — IL",T12_Calc!$K$1:$K$501)</f>
        <v/>
      </c>
      <c r="P9" s="24">
        <f>SUMIF(T12_Calc!$N$1:$N$501,"LOC revenue — IL",T12_Calc!$L$1:$L$501)</f>
        <v/>
      </c>
      <c r="Q9" s="24">
        <f>SUMIF(T12_Calc!$N$1:$N$501,"LOC revenue — IL",T12_Calc!$M$1:$M$501)</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SUMIF(T12_Calc!$N$1:$N$501,"LOC revenue — AL",T12_Calc!$B$1:$B$501)</f>
        <v/>
      </c>
      <c r="G10" s="24">
        <f>SUMIF(T12_Calc!$N$1:$N$501,"LOC revenue — AL",T12_Calc!$C$1:$C$501)</f>
        <v/>
      </c>
      <c r="H10" s="24">
        <f>SUMIF(T12_Calc!$N$1:$N$501,"LOC revenue — AL",T12_Calc!$D$1:$D$501)</f>
        <v/>
      </c>
      <c r="I10" s="24">
        <f>SUMIF(T12_Calc!$N$1:$N$501,"LOC revenue — AL",T12_Calc!$E$1:$E$501)</f>
        <v/>
      </c>
      <c r="J10" s="24">
        <f>SUMIF(T12_Calc!$N$1:$N$501,"LOC revenue — AL",T12_Calc!$F$1:$F$501)</f>
        <v/>
      </c>
      <c r="K10" s="24">
        <f>SUMIF(T12_Calc!$N$1:$N$501,"LOC revenue — AL",T12_Calc!$G$1:$G$501)</f>
        <v/>
      </c>
      <c r="L10" s="24">
        <f>SUMIF(T12_Calc!$N$1:$N$501,"LOC revenue — AL",T12_Calc!$H$1:$H$501)</f>
        <v/>
      </c>
      <c r="M10" s="24">
        <f>SUMIF(T12_Calc!$N$1:$N$501,"LOC revenue — AL",T12_Calc!$I$1:$I$501)</f>
        <v/>
      </c>
      <c r="N10" s="24">
        <f>SUMIF(T12_Calc!$N$1:$N$501,"LOC revenue — AL",T12_Calc!$J$1:$J$501)</f>
        <v/>
      </c>
      <c r="O10" s="24">
        <f>SUMIF(T12_Calc!$N$1:$N$501,"LOC revenue — AL",T12_Calc!$K$1:$K$501)</f>
        <v/>
      </c>
      <c r="P10" s="24">
        <f>SUMIF(T12_Calc!$N$1:$N$501,"LOC revenue — AL",T12_Calc!$L$1:$L$501)</f>
        <v/>
      </c>
      <c r="Q10" s="24">
        <f>SUMIF(T12_Calc!$N$1:$N$501,"LOC revenue — AL",T12_Calc!$M$1:$M$501)</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SUMIF(T12_Calc!$N$1:$N$501,"LOC revenue — MC",T12_Calc!$B$1:$B$501)</f>
        <v/>
      </c>
      <c r="G11" s="24">
        <f>SUMIF(T12_Calc!$N$1:$N$501,"LOC revenue — MC",T12_Calc!$C$1:$C$501)</f>
        <v/>
      </c>
      <c r="H11" s="24">
        <f>SUMIF(T12_Calc!$N$1:$N$501,"LOC revenue — MC",T12_Calc!$D$1:$D$501)</f>
        <v/>
      </c>
      <c r="I11" s="24">
        <f>SUMIF(T12_Calc!$N$1:$N$501,"LOC revenue — MC",T12_Calc!$E$1:$E$501)</f>
        <v/>
      </c>
      <c r="J11" s="24">
        <f>SUMIF(T12_Calc!$N$1:$N$501,"LOC revenue — MC",T12_Calc!$F$1:$F$501)</f>
        <v/>
      </c>
      <c r="K11" s="24">
        <f>SUMIF(T12_Calc!$N$1:$N$501,"LOC revenue — MC",T12_Calc!$G$1:$G$501)</f>
        <v/>
      </c>
      <c r="L11" s="24">
        <f>SUMIF(T12_Calc!$N$1:$N$501,"LOC revenue — MC",T12_Calc!$H$1:$H$501)</f>
        <v/>
      </c>
      <c r="M11" s="24">
        <f>SUMIF(T12_Calc!$N$1:$N$501,"LOC revenue — MC",T12_Calc!$I$1:$I$501)</f>
        <v/>
      </c>
      <c r="N11" s="24">
        <f>SUMIF(T12_Calc!$N$1:$N$501,"LOC revenue — MC",T12_Calc!$J$1:$J$501)</f>
        <v/>
      </c>
      <c r="O11" s="24">
        <f>SUMIF(T12_Calc!$N$1:$N$501,"LOC revenue — MC",T12_Calc!$K$1:$K$501)</f>
        <v/>
      </c>
      <c r="P11" s="24">
        <f>SUMIF(T12_Calc!$N$1:$N$501,"LOC revenue — MC",T12_Calc!$L$1:$L$501)</f>
        <v/>
      </c>
      <c r="Q11" s="24">
        <f>SUMIF(T12_Calc!$N$1:$N$501,"LOC revenue — MC",T12_Calc!$M$1:$M$501)</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SUMIF(T12_Calc!$N$1:$N$501,"Community / move-in fees",T12_Calc!$B$1:$B$501)</f>
        <v/>
      </c>
      <c r="G12" s="47">
        <f>SUMIF(T12_Calc!$N$1:$N$501,"Community / move-in fees",T12_Calc!$C$1:$C$501)</f>
        <v/>
      </c>
      <c r="H12" s="47">
        <f>SUMIF(T12_Calc!$N$1:$N$501,"Community / move-in fees",T12_Calc!$D$1:$D$501)</f>
        <v/>
      </c>
      <c r="I12" s="47">
        <f>SUMIF(T12_Calc!$N$1:$N$501,"Community / move-in fees",T12_Calc!$E$1:$E$501)</f>
        <v/>
      </c>
      <c r="J12" s="47">
        <f>SUMIF(T12_Calc!$N$1:$N$501,"Community / move-in fees",T12_Calc!$F$1:$F$501)</f>
        <v/>
      </c>
      <c r="K12" s="47">
        <f>SUMIF(T12_Calc!$N$1:$N$501,"Community / move-in fees",T12_Calc!$G$1:$G$501)</f>
        <v/>
      </c>
      <c r="L12" s="47">
        <f>SUMIF(T12_Calc!$N$1:$N$501,"Community / move-in fees",T12_Calc!$H$1:$H$501)</f>
        <v/>
      </c>
      <c r="M12" s="47">
        <f>SUMIF(T12_Calc!$N$1:$N$501,"Community / move-in fees",T12_Calc!$I$1:$I$501)</f>
        <v/>
      </c>
      <c r="N12" s="47">
        <f>SUMIF(T12_Calc!$N$1:$N$501,"Community / move-in fees",T12_Calc!$J$1:$J$501)</f>
        <v/>
      </c>
      <c r="O12" s="47">
        <f>SUMIF(T12_Calc!$N$1:$N$501,"Community / move-in fees",T12_Calc!$K$1:$K$501)</f>
        <v/>
      </c>
      <c r="P12" s="47">
        <f>SUMIF(T12_Calc!$N$1:$N$501,"Community / move-in fees",T12_Calc!$L$1:$L$501)</f>
        <v/>
      </c>
      <c r="Q12" s="47">
        <f>SUMIF(T12_Calc!$N$1:$N$501,"Community / move-in fees",T12_Calc!$M$1:$M$501)</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SUMIF(T12_Calc!$N$1:$N$501,"Concessions &amp; specials",T12_Calc!$B$1:$B$501)</f>
        <v/>
      </c>
      <c r="G13" s="47">
        <f>SUMIF(T12_Calc!$N$1:$N$501,"Concessions &amp; specials",T12_Calc!$C$1:$C$501)</f>
        <v/>
      </c>
      <c r="H13" s="47">
        <f>SUMIF(T12_Calc!$N$1:$N$501,"Concessions &amp; specials",T12_Calc!$D$1:$D$501)</f>
        <v/>
      </c>
      <c r="I13" s="47">
        <f>SUMIF(T12_Calc!$N$1:$N$501,"Concessions &amp; specials",T12_Calc!$E$1:$E$501)</f>
        <v/>
      </c>
      <c r="J13" s="47">
        <f>SUMIF(T12_Calc!$N$1:$N$501,"Concessions &amp; specials",T12_Calc!$F$1:$F$501)</f>
        <v/>
      </c>
      <c r="K13" s="47">
        <f>SUMIF(T12_Calc!$N$1:$N$501,"Concessions &amp; specials",T12_Calc!$G$1:$G$501)</f>
        <v/>
      </c>
      <c r="L13" s="47">
        <f>SUMIF(T12_Calc!$N$1:$N$501,"Concessions &amp; specials",T12_Calc!$H$1:$H$501)</f>
        <v/>
      </c>
      <c r="M13" s="47">
        <f>SUMIF(T12_Calc!$N$1:$N$501,"Concessions &amp; specials",T12_Calc!$I$1:$I$501)</f>
        <v/>
      </c>
      <c r="N13" s="47">
        <f>SUMIF(T12_Calc!$N$1:$N$501,"Concessions &amp; specials",T12_Calc!$J$1:$J$501)</f>
        <v/>
      </c>
      <c r="O13" s="47">
        <f>SUMIF(T12_Calc!$N$1:$N$501,"Concessions &amp; specials",T12_Calc!$K$1:$K$501)</f>
        <v/>
      </c>
      <c r="P13" s="47">
        <f>SUMIF(T12_Calc!$N$1:$N$501,"Concessions &amp; specials",T12_Calc!$L$1:$L$501)</f>
        <v/>
      </c>
      <c r="Q13" s="47">
        <f>SUMIF(T12_Calc!$N$1:$N$501,"Concessions &amp; specials",T12_Calc!$M$1:$M$501)</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SUMIF(T12_Calc!$N$1:$N$501,"Respite care",T12_Calc!$B$1:$B$501)</f>
        <v/>
      </c>
      <c r="G14" s="47">
        <f>SUMIF(T12_Calc!$N$1:$N$501,"Respite care",T12_Calc!$C$1:$C$501)</f>
        <v/>
      </c>
      <c r="H14" s="47">
        <f>SUMIF(T12_Calc!$N$1:$N$501,"Respite care",T12_Calc!$D$1:$D$501)</f>
        <v/>
      </c>
      <c r="I14" s="47">
        <f>SUMIF(T12_Calc!$N$1:$N$501,"Respite care",T12_Calc!$E$1:$E$501)</f>
        <v/>
      </c>
      <c r="J14" s="47">
        <f>SUMIF(T12_Calc!$N$1:$N$501,"Respite care",T12_Calc!$F$1:$F$501)</f>
        <v/>
      </c>
      <c r="K14" s="47">
        <f>SUMIF(T12_Calc!$N$1:$N$501,"Respite care",T12_Calc!$G$1:$G$501)</f>
        <v/>
      </c>
      <c r="L14" s="47">
        <f>SUMIF(T12_Calc!$N$1:$N$501,"Respite care",T12_Calc!$H$1:$H$501)</f>
        <v/>
      </c>
      <c r="M14" s="47">
        <f>SUMIF(T12_Calc!$N$1:$N$501,"Respite care",T12_Calc!$I$1:$I$501)</f>
        <v/>
      </c>
      <c r="N14" s="47">
        <f>SUMIF(T12_Calc!$N$1:$N$501,"Respite care",T12_Calc!$J$1:$J$501)</f>
        <v/>
      </c>
      <c r="O14" s="47">
        <f>SUMIF(T12_Calc!$N$1:$N$501,"Respite care",T12_Calc!$K$1:$K$501)</f>
        <v/>
      </c>
      <c r="P14" s="47">
        <f>SUMIF(T12_Calc!$N$1:$N$501,"Respite care",T12_Calc!$L$1:$L$501)</f>
        <v/>
      </c>
      <c r="Q14" s="47">
        <f>SUMIF(T12_Calc!$N$1:$N$501,"Respite care",T12_Calc!$M$1:$M$501)</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SUMIF(T12_Calc!$N$1:$N$501,"Other community revenue",T12_Calc!$B$1:$B$501)</f>
        <v/>
      </c>
      <c r="G16" s="24">
        <f>SUMIF(T12_Calc!$N$1:$N$501,"Other community revenue",T12_Calc!$C$1:$C$501)</f>
        <v/>
      </c>
      <c r="H16" s="24">
        <f>SUMIF(T12_Calc!$N$1:$N$501,"Other community revenue",T12_Calc!$D$1:$D$501)</f>
        <v/>
      </c>
      <c r="I16" s="24">
        <f>SUMIF(T12_Calc!$N$1:$N$501,"Other community revenue",T12_Calc!$E$1:$E$501)</f>
        <v/>
      </c>
      <c r="J16" s="24">
        <f>SUMIF(T12_Calc!$N$1:$N$501,"Other community revenue",T12_Calc!$F$1:$F$501)</f>
        <v/>
      </c>
      <c r="K16" s="24">
        <f>SUMIF(T12_Calc!$N$1:$N$501,"Other community revenue",T12_Calc!$G$1:$G$501)</f>
        <v/>
      </c>
      <c r="L16" s="24">
        <f>SUMIF(T12_Calc!$N$1:$N$501,"Other community revenue",T12_Calc!$H$1:$H$501)</f>
        <v/>
      </c>
      <c r="M16" s="24">
        <f>SUMIF(T12_Calc!$N$1:$N$501,"Other community revenue",T12_Calc!$I$1:$I$501)</f>
        <v/>
      </c>
      <c r="N16" s="24">
        <f>SUMIF(T12_Calc!$N$1:$N$501,"Other community revenue",T12_Calc!$J$1:$J$501)</f>
        <v/>
      </c>
      <c r="O16" s="24">
        <f>SUMIF(T12_Calc!$N$1:$N$501,"Other community revenue",T12_Calc!$K$1:$K$501)</f>
        <v/>
      </c>
      <c r="P16" s="24">
        <f>SUMIF(T12_Calc!$N$1:$N$501,"Other community revenue",T12_Calc!$L$1:$L$501)</f>
        <v/>
      </c>
      <c r="Q16" s="24">
        <f>SUMIF(T12_Calc!$N$1:$N$501,"Other community revenue",T12_Calc!$M$1:$M$501)</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SUMIF(T12_Calc!$N$1:$N$501,"Care staff labor",T12_Calc!$B$1:$B$501)</f>
        <v/>
      </c>
      <c r="G17" s="24">
        <f>SUMIF(T12_Calc!$N$1:$N$501,"Care staff labor",T12_Calc!$C$1:$C$501)</f>
        <v/>
      </c>
      <c r="H17" s="24">
        <f>SUMIF(T12_Calc!$N$1:$N$501,"Care staff labor",T12_Calc!$D$1:$D$501)</f>
        <v/>
      </c>
      <c r="I17" s="24">
        <f>SUMIF(T12_Calc!$N$1:$N$501,"Care staff labor",T12_Calc!$E$1:$E$501)</f>
        <v/>
      </c>
      <c r="J17" s="24">
        <f>SUMIF(T12_Calc!$N$1:$N$501,"Care staff labor",T12_Calc!$F$1:$F$501)</f>
        <v/>
      </c>
      <c r="K17" s="24">
        <f>SUMIF(T12_Calc!$N$1:$N$501,"Care staff labor",T12_Calc!$G$1:$G$501)</f>
        <v/>
      </c>
      <c r="L17" s="24">
        <f>SUMIF(T12_Calc!$N$1:$N$501,"Care staff labor",T12_Calc!$H$1:$H$501)</f>
        <v/>
      </c>
      <c r="M17" s="24">
        <f>SUMIF(T12_Calc!$N$1:$N$501,"Care staff labor",T12_Calc!$I$1:$I$501)</f>
        <v/>
      </c>
      <c r="N17" s="24">
        <f>SUMIF(T12_Calc!$N$1:$N$501,"Care staff labor",T12_Calc!$J$1:$J$501)</f>
        <v/>
      </c>
      <c r="O17" s="24">
        <f>SUMIF(T12_Calc!$N$1:$N$501,"Care staff labor",T12_Calc!$K$1:$K$501)</f>
        <v/>
      </c>
      <c r="P17" s="24">
        <f>SUMIF(T12_Calc!$N$1:$N$501,"Care staff labor",T12_Calc!$L$1:$L$501)</f>
        <v/>
      </c>
      <c r="Q17" s="24">
        <f>SUMIF(T12_Calc!$N$1:$N$501,"Care staff labor",T12_Calc!$M$1:$M$501)</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SUMIF(T12_Calc!$N$1:$N$501,"Wellness / care coordinators",T12_Calc!$B$1:$B$501)</f>
        <v/>
      </c>
      <c r="G18" s="24">
        <f>SUMIF(T12_Calc!$N$1:$N$501,"Wellness / care coordinators",T12_Calc!$C$1:$C$501)</f>
        <v/>
      </c>
      <c r="H18" s="24">
        <f>SUMIF(T12_Calc!$N$1:$N$501,"Wellness / care coordinators",T12_Calc!$D$1:$D$501)</f>
        <v/>
      </c>
      <c r="I18" s="24">
        <f>SUMIF(T12_Calc!$N$1:$N$501,"Wellness / care coordinators",T12_Calc!$E$1:$E$501)</f>
        <v/>
      </c>
      <c r="J18" s="24">
        <f>SUMIF(T12_Calc!$N$1:$N$501,"Wellness / care coordinators",T12_Calc!$F$1:$F$501)</f>
        <v/>
      </c>
      <c r="K18" s="24">
        <f>SUMIF(T12_Calc!$N$1:$N$501,"Wellness / care coordinators",T12_Calc!$G$1:$G$501)</f>
        <v/>
      </c>
      <c r="L18" s="24">
        <f>SUMIF(T12_Calc!$N$1:$N$501,"Wellness / care coordinators",T12_Calc!$H$1:$H$501)</f>
        <v/>
      </c>
      <c r="M18" s="24">
        <f>SUMIF(T12_Calc!$N$1:$N$501,"Wellness / care coordinators",T12_Calc!$I$1:$I$501)</f>
        <v/>
      </c>
      <c r="N18" s="24">
        <f>SUMIF(T12_Calc!$N$1:$N$501,"Wellness / care coordinators",T12_Calc!$J$1:$J$501)</f>
        <v/>
      </c>
      <c r="O18" s="24">
        <f>SUMIF(T12_Calc!$N$1:$N$501,"Wellness / care coordinators",T12_Calc!$K$1:$K$501)</f>
        <v/>
      </c>
      <c r="P18" s="24">
        <f>SUMIF(T12_Calc!$N$1:$N$501,"Wellness / care coordinators",T12_Calc!$L$1:$L$501)</f>
        <v/>
      </c>
      <c r="Q18" s="24">
        <f>SUMIF(T12_Calc!$N$1:$N$501,"Wellness / care coordinators",T12_Calc!$M$1:$M$501)</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SUMIF(T12_Calc!$N$1:$N$501,"Contract / agency labor",T12_Calc!$B$1:$B$501)</f>
        <v/>
      </c>
      <c r="G19" s="47">
        <f>SUMIF(T12_Calc!$N$1:$N$501,"Contract / agency labor",T12_Calc!$C$1:$C$501)</f>
        <v/>
      </c>
      <c r="H19" s="47">
        <f>SUMIF(T12_Calc!$N$1:$N$501,"Contract / agency labor",T12_Calc!$D$1:$D$501)</f>
        <v/>
      </c>
      <c r="I19" s="47">
        <f>SUMIF(T12_Calc!$N$1:$N$501,"Contract / agency labor",T12_Calc!$E$1:$E$501)</f>
        <v/>
      </c>
      <c r="J19" s="47">
        <f>SUMIF(T12_Calc!$N$1:$N$501,"Contract / agency labor",T12_Calc!$F$1:$F$501)</f>
        <v/>
      </c>
      <c r="K19" s="47">
        <f>SUMIF(T12_Calc!$N$1:$N$501,"Contract / agency labor",T12_Calc!$G$1:$G$501)</f>
        <v/>
      </c>
      <c r="L19" s="47">
        <f>SUMIF(T12_Calc!$N$1:$N$501,"Contract / agency labor",T12_Calc!$H$1:$H$501)</f>
        <v/>
      </c>
      <c r="M19" s="47">
        <f>SUMIF(T12_Calc!$N$1:$N$501,"Contract / agency labor",T12_Calc!$I$1:$I$501)</f>
        <v/>
      </c>
      <c r="N19" s="47">
        <f>SUMIF(T12_Calc!$N$1:$N$501,"Contract / agency labor",T12_Calc!$J$1:$J$501)</f>
        <v/>
      </c>
      <c r="O19" s="47">
        <f>SUMIF(T12_Calc!$N$1:$N$501,"Contract / agency labor",T12_Calc!$K$1:$K$501)</f>
        <v/>
      </c>
      <c r="P19" s="47">
        <f>SUMIF(T12_Calc!$N$1:$N$501,"Contract / agency labor",T12_Calc!$L$1:$L$501)</f>
        <v/>
      </c>
      <c r="Q19" s="47">
        <f>SUMIF(T12_Calc!$N$1:$N$501,"Contract / agency labor",T12_Calc!$M$1:$M$501)</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SUMIF(T12_Calc!$N$1:$N$501,"Activities labor",T12_Calc!$B$1:$B$501)</f>
        <v/>
      </c>
      <c r="G20" s="24">
        <f>SUMIF(T12_Calc!$N$1:$N$501,"Activities labor",T12_Calc!$C$1:$C$501)</f>
        <v/>
      </c>
      <c r="H20" s="24">
        <f>SUMIF(T12_Calc!$N$1:$N$501,"Activities labor",T12_Calc!$D$1:$D$501)</f>
        <v/>
      </c>
      <c r="I20" s="24">
        <f>SUMIF(T12_Calc!$N$1:$N$501,"Activities labor",T12_Calc!$E$1:$E$501)</f>
        <v/>
      </c>
      <c r="J20" s="24">
        <f>SUMIF(T12_Calc!$N$1:$N$501,"Activities labor",T12_Calc!$F$1:$F$501)</f>
        <v/>
      </c>
      <c r="K20" s="24">
        <f>SUMIF(T12_Calc!$N$1:$N$501,"Activities labor",T12_Calc!$G$1:$G$501)</f>
        <v/>
      </c>
      <c r="L20" s="24">
        <f>SUMIF(T12_Calc!$N$1:$N$501,"Activities labor",T12_Calc!$H$1:$H$501)</f>
        <v/>
      </c>
      <c r="M20" s="24">
        <f>SUMIF(T12_Calc!$N$1:$N$501,"Activities labor",T12_Calc!$I$1:$I$501)</f>
        <v/>
      </c>
      <c r="N20" s="24">
        <f>SUMIF(T12_Calc!$N$1:$N$501,"Activities labor",T12_Calc!$J$1:$J$501)</f>
        <v/>
      </c>
      <c r="O20" s="24">
        <f>SUMIF(T12_Calc!$N$1:$N$501,"Activities labor",T12_Calc!$K$1:$K$501)</f>
        <v/>
      </c>
      <c r="P20" s="24">
        <f>SUMIF(T12_Calc!$N$1:$N$501,"Activities labor",T12_Calc!$L$1:$L$501)</f>
        <v/>
      </c>
      <c r="Q20" s="24">
        <f>SUMIF(T12_Calc!$N$1:$N$501,"Activities labor",T12_Calc!$M$1:$M$501)</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SUMIF(T12_Calc!$N$1:$N$501,"Dining / food service labor",T12_Calc!$B$1:$B$501)</f>
        <v/>
      </c>
      <c r="G21" s="24">
        <f>SUMIF(T12_Calc!$N$1:$N$501,"Dining / food service labor",T12_Calc!$C$1:$C$501)</f>
        <v/>
      </c>
      <c r="H21" s="24">
        <f>SUMIF(T12_Calc!$N$1:$N$501,"Dining / food service labor",T12_Calc!$D$1:$D$501)</f>
        <v/>
      </c>
      <c r="I21" s="24">
        <f>SUMIF(T12_Calc!$N$1:$N$501,"Dining / food service labor",T12_Calc!$E$1:$E$501)</f>
        <v/>
      </c>
      <c r="J21" s="24">
        <f>SUMIF(T12_Calc!$N$1:$N$501,"Dining / food service labor",T12_Calc!$F$1:$F$501)</f>
        <v/>
      </c>
      <c r="K21" s="24">
        <f>SUMIF(T12_Calc!$N$1:$N$501,"Dining / food service labor",T12_Calc!$G$1:$G$501)</f>
        <v/>
      </c>
      <c r="L21" s="24">
        <f>SUMIF(T12_Calc!$N$1:$N$501,"Dining / food service labor",T12_Calc!$H$1:$H$501)</f>
        <v/>
      </c>
      <c r="M21" s="24">
        <f>SUMIF(T12_Calc!$N$1:$N$501,"Dining / food service labor",T12_Calc!$I$1:$I$501)</f>
        <v/>
      </c>
      <c r="N21" s="24">
        <f>SUMIF(T12_Calc!$N$1:$N$501,"Dining / food service labor",T12_Calc!$J$1:$J$501)</f>
        <v/>
      </c>
      <c r="O21" s="24">
        <f>SUMIF(T12_Calc!$N$1:$N$501,"Dining / food service labor",T12_Calc!$K$1:$K$501)</f>
        <v/>
      </c>
      <c r="P21" s="24">
        <f>SUMIF(T12_Calc!$N$1:$N$501,"Dining / food service labor",T12_Calc!$L$1:$L$501)</f>
        <v/>
      </c>
      <c r="Q21" s="24">
        <f>SUMIF(T12_Calc!$N$1:$N$501,"Dining / food service labor",T12_Calc!$M$1:$M$501)</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SUMIF(T12_Calc!$N$1:$N$501,"Maint. &amp; housekeeping labor",T12_Calc!$B$1:$B$501)</f>
        <v/>
      </c>
      <c r="G22" s="24">
        <f>SUMIF(T12_Calc!$N$1:$N$501,"Maint. &amp; housekeeping labor",T12_Calc!$C$1:$C$501)</f>
        <v/>
      </c>
      <c r="H22" s="24">
        <f>SUMIF(T12_Calc!$N$1:$N$501,"Maint. &amp; housekeeping labor",T12_Calc!$D$1:$D$501)</f>
        <v/>
      </c>
      <c r="I22" s="24">
        <f>SUMIF(T12_Calc!$N$1:$N$501,"Maint. &amp; housekeeping labor",T12_Calc!$E$1:$E$501)</f>
        <v/>
      </c>
      <c r="J22" s="24">
        <f>SUMIF(T12_Calc!$N$1:$N$501,"Maint. &amp; housekeeping labor",T12_Calc!$F$1:$F$501)</f>
        <v/>
      </c>
      <c r="K22" s="24">
        <f>SUMIF(T12_Calc!$N$1:$N$501,"Maint. &amp; housekeeping labor",T12_Calc!$G$1:$G$501)</f>
        <v/>
      </c>
      <c r="L22" s="24">
        <f>SUMIF(T12_Calc!$N$1:$N$501,"Maint. &amp; housekeeping labor",T12_Calc!$H$1:$H$501)</f>
        <v/>
      </c>
      <c r="M22" s="24">
        <f>SUMIF(T12_Calc!$N$1:$N$501,"Maint. &amp; housekeeping labor",T12_Calc!$I$1:$I$501)</f>
        <v/>
      </c>
      <c r="N22" s="24">
        <f>SUMIF(T12_Calc!$N$1:$N$501,"Maint. &amp; housekeeping labor",T12_Calc!$J$1:$J$501)</f>
        <v/>
      </c>
      <c r="O22" s="24">
        <f>SUMIF(T12_Calc!$N$1:$N$501,"Maint. &amp; housekeeping labor",T12_Calc!$K$1:$K$501)</f>
        <v/>
      </c>
      <c r="P22" s="24">
        <f>SUMIF(T12_Calc!$N$1:$N$501,"Maint. &amp; housekeeping labor",T12_Calc!$L$1:$L$501)</f>
        <v/>
      </c>
      <c r="Q22" s="24">
        <f>SUMIF(T12_Calc!$N$1:$N$501,"Maint. &amp; housekeeping labor",T12_Calc!$M$1:$M$501)</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SUMIF(T12_Calc!$N$1:$N$501,"Administrative labor",T12_Calc!$B$1:$B$501)</f>
        <v/>
      </c>
      <c r="G23" s="24">
        <f>SUMIF(T12_Calc!$N$1:$N$501,"Administrative labor",T12_Calc!$C$1:$C$501)</f>
        <v/>
      </c>
      <c r="H23" s="24">
        <f>SUMIF(T12_Calc!$N$1:$N$501,"Administrative labor",T12_Calc!$D$1:$D$501)</f>
        <v/>
      </c>
      <c r="I23" s="24">
        <f>SUMIF(T12_Calc!$N$1:$N$501,"Administrative labor",T12_Calc!$E$1:$E$501)</f>
        <v/>
      </c>
      <c r="J23" s="24">
        <f>SUMIF(T12_Calc!$N$1:$N$501,"Administrative labor",T12_Calc!$F$1:$F$501)</f>
        <v/>
      </c>
      <c r="K23" s="24">
        <f>SUMIF(T12_Calc!$N$1:$N$501,"Administrative labor",T12_Calc!$G$1:$G$501)</f>
        <v/>
      </c>
      <c r="L23" s="24">
        <f>SUMIF(T12_Calc!$N$1:$N$501,"Administrative labor",T12_Calc!$H$1:$H$501)</f>
        <v/>
      </c>
      <c r="M23" s="24">
        <f>SUMIF(T12_Calc!$N$1:$N$501,"Administrative labor",T12_Calc!$I$1:$I$501)</f>
        <v/>
      </c>
      <c r="N23" s="24">
        <f>SUMIF(T12_Calc!$N$1:$N$501,"Administrative labor",T12_Calc!$J$1:$J$501)</f>
        <v/>
      </c>
      <c r="O23" s="24">
        <f>SUMIF(T12_Calc!$N$1:$N$501,"Administrative labor",T12_Calc!$K$1:$K$501)</f>
        <v/>
      </c>
      <c r="P23" s="24">
        <f>SUMIF(T12_Calc!$N$1:$N$501,"Administrative labor",T12_Calc!$L$1:$L$501)</f>
        <v/>
      </c>
      <c r="Q23" s="24">
        <f>SUMIF(T12_Calc!$N$1:$N$501,"Administrative labor",T12_Calc!$M$1:$M$501)</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SUMIF(T12_Calc!$N$1:$N$501,"Bonus wages",T12_Calc!$B$1:$B$501)</f>
        <v/>
      </c>
      <c r="G24" s="47">
        <f>SUMIF(T12_Calc!$N$1:$N$501,"Bonus wages",T12_Calc!$C$1:$C$501)</f>
        <v/>
      </c>
      <c r="H24" s="47">
        <f>SUMIF(T12_Calc!$N$1:$N$501,"Bonus wages",T12_Calc!$D$1:$D$501)</f>
        <v/>
      </c>
      <c r="I24" s="47">
        <f>SUMIF(T12_Calc!$N$1:$N$501,"Bonus wages",T12_Calc!$E$1:$E$501)</f>
        <v/>
      </c>
      <c r="J24" s="47">
        <f>SUMIF(T12_Calc!$N$1:$N$501,"Bonus wages",T12_Calc!$F$1:$F$501)</f>
        <v/>
      </c>
      <c r="K24" s="47">
        <f>SUMIF(T12_Calc!$N$1:$N$501,"Bonus wages",T12_Calc!$G$1:$G$501)</f>
        <v/>
      </c>
      <c r="L24" s="47">
        <f>SUMIF(T12_Calc!$N$1:$N$501,"Bonus wages",T12_Calc!$H$1:$H$501)</f>
        <v/>
      </c>
      <c r="M24" s="47">
        <f>SUMIF(T12_Calc!$N$1:$N$501,"Bonus wages",T12_Calc!$I$1:$I$501)</f>
        <v/>
      </c>
      <c r="N24" s="47">
        <f>SUMIF(T12_Calc!$N$1:$N$501,"Bonus wages",T12_Calc!$J$1:$J$501)</f>
        <v/>
      </c>
      <c r="O24" s="47">
        <f>SUMIF(T12_Calc!$N$1:$N$501,"Bonus wages",T12_Calc!$K$1:$K$501)</f>
        <v/>
      </c>
      <c r="P24" s="47">
        <f>SUMIF(T12_Calc!$N$1:$N$501,"Bonus wages",T12_Calc!$L$1:$L$501)</f>
        <v/>
      </c>
      <c r="Q24" s="47">
        <f>SUMIF(T12_Calc!$N$1:$N$501,"Bonus wages",T12_Calc!$M$1:$M$501)</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SUMIF(T12_Calc!$N$1:$N$501,"Overtime wages",T12_Calc!$B$1:$B$501)</f>
        <v/>
      </c>
      <c r="G25" s="47">
        <f>SUMIF(T12_Calc!$N$1:$N$501,"Overtime wages",T12_Calc!$C$1:$C$501)</f>
        <v/>
      </c>
      <c r="H25" s="47">
        <f>SUMIF(T12_Calc!$N$1:$N$501,"Overtime wages",T12_Calc!$D$1:$D$501)</f>
        <v/>
      </c>
      <c r="I25" s="47">
        <f>SUMIF(T12_Calc!$N$1:$N$501,"Overtime wages",T12_Calc!$E$1:$E$501)</f>
        <v/>
      </c>
      <c r="J25" s="47">
        <f>SUMIF(T12_Calc!$N$1:$N$501,"Overtime wages",T12_Calc!$F$1:$F$501)</f>
        <v/>
      </c>
      <c r="K25" s="47">
        <f>SUMIF(T12_Calc!$N$1:$N$501,"Overtime wages",T12_Calc!$G$1:$G$501)</f>
        <v/>
      </c>
      <c r="L25" s="47">
        <f>SUMIF(T12_Calc!$N$1:$N$501,"Overtime wages",T12_Calc!$H$1:$H$501)</f>
        <v/>
      </c>
      <c r="M25" s="47">
        <f>SUMIF(T12_Calc!$N$1:$N$501,"Overtime wages",T12_Calc!$I$1:$I$501)</f>
        <v/>
      </c>
      <c r="N25" s="47">
        <f>SUMIF(T12_Calc!$N$1:$N$501,"Overtime wages",T12_Calc!$J$1:$J$501)</f>
        <v/>
      </c>
      <c r="O25" s="47">
        <f>SUMIF(T12_Calc!$N$1:$N$501,"Overtime wages",T12_Calc!$K$1:$K$501)</f>
        <v/>
      </c>
      <c r="P25" s="47">
        <f>SUMIF(T12_Calc!$N$1:$N$501,"Overtime wages",T12_Calc!$L$1:$L$501)</f>
        <v/>
      </c>
      <c r="Q25" s="47">
        <f>SUMIF(T12_Calc!$N$1:$N$501,"Overtime wages",T12_Calc!$M$1:$M$501)</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SUMIF(T12_Calc!$N$1:$N$501,"PTO wages",T12_Calc!$B$1:$B$501)</f>
        <v/>
      </c>
      <c r="G26" s="47">
        <f>SUMIF(T12_Calc!$N$1:$N$501,"PTO wages",T12_Calc!$C$1:$C$501)</f>
        <v/>
      </c>
      <c r="H26" s="47">
        <f>SUMIF(T12_Calc!$N$1:$N$501,"PTO wages",T12_Calc!$D$1:$D$501)</f>
        <v/>
      </c>
      <c r="I26" s="47">
        <f>SUMIF(T12_Calc!$N$1:$N$501,"PTO wages",T12_Calc!$E$1:$E$501)</f>
        <v/>
      </c>
      <c r="J26" s="47">
        <f>SUMIF(T12_Calc!$N$1:$N$501,"PTO wages",T12_Calc!$F$1:$F$501)</f>
        <v/>
      </c>
      <c r="K26" s="47">
        <f>SUMIF(T12_Calc!$N$1:$N$501,"PTO wages",T12_Calc!$G$1:$G$501)</f>
        <v/>
      </c>
      <c r="L26" s="47">
        <f>SUMIF(T12_Calc!$N$1:$N$501,"PTO wages",T12_Calc!$H$1:$H$501)</f>
        <v/>
      </c>
      <c r="M26" s="47">
        <f>SUMIF(T12_Calc!$N$1:$N$501,"PTO wages",T12_Calc!$I$1:$I$501)</f>
        <v/>
      </c>
      <c r="N26" s="47">
        <f>SUMIF(T12_Calc!$N$1:$N$501,"PTO wages",T12_Calc!$J$1:$J$501)</f>
        <v/>
      </c>
      <c r="O26" s="47">
        <f>SUMIF(T12_Calc!$N$1:$N$501,"PTO wages",T12_Calc!$K$1:$K$501)</f>
        <v/>
      </c>
      <c r="P26" s="47">
        <f>SUMIF(T12_Calc!$N$1:$N$501,"PTO wages",T12_Calc!$L$1:$L$501)</f>
        <v/>
      </c>
      <c r="Q26" s="47">
        <f>SUMIF(T12_Calc!$N$1:$N$501,"PTO wages",T12_Calc!$M$1:$M$501)</f>
        <v/>
      </c>
      <c r="R26" s="93">
        <f>SUM(F26:Q26)</f>
        <v/>
      </c>
    </row>
    <row r="27" ht="15.75" customHeight="1" s="199">
      <c r="A27" s="82" t="inlineStr">
        <is>
          <t>Labor</t>
        </is>
      </c>
      <c r="B27" s="83" t="inlineStr">
        <is>
          <t>Payroll taxes</t>
        </is>
      </c>
      <c r="C27" s="84" t="inlineStr">
        <is>
          <t>-</t>
        </is>
      </c>
      <c r="D27" s="85" t="n"/>
      <c r="E27" s="86" t="inlineStr">
        <is>
          <t>Payroll Taxes</t>
        </is>
      </c>
      <c r="F27" s="24">
        <f>SUMIF(T12_Calc!$N$1:$N$501,"Payroll taxes",T12_Calc!$B$1:$B$501)</f>
        <v/>
      </c>
      <c r="G27" s="24">
        <f>SUMIF(T12_Calc!$N$1:$N$501,"Payroll taxes",T12_Calc!$C$1:$C$501)</f>
        <v/>
      </c>
      <c r="H27" s="24">
        <f>SUMIF(T12_Calc!$N$1:$N$501,"Payroll taxes",T12_Calc!$D$1:$D$501)</f>
        <v/>
      </c>
      <c r="I27" s="24">
        <f>SUMIF(T12_Calc!$N$1:$N$501,"Payroll taxes",T12_Calc!$E$1:$E$501)</f>
        <v/>
      </c>
      <c r="J27" s="24">
        <f>SUMIF(T12_Calc!$N$1:$N$501,"Payroll taxes",T12_Calc!$F$1:$F$501)</f>
        <v/>
      </c>
      <c r="K27" s="24">
        <f>SUMIF(T12_Calc!$N$1:$N$501,"Payroll taxes",T12_Calc!$G$1:$G$501)</f>
        <v/>
      </c>
      <c r="L27" s="24">
        <f>SUMIF(T12_Calc!$N$1:$N$501,"Payroll taxes",T12_Calc!$H$1:$H$501)</f>
        <v/>
      </c>
      <c r="M27" s="24">
        <f>SUMIF(T12_Calc!$N$1:$N$501,"Payroll taxes",T12_Calc!$I$1:$I$501)</f>
        <v/>
      </c>
      <c r="N27" s="24">
        <f>SUMIF(T12_Calc!$N$1:$N$501,"Payroll taxes",T12_Calc!$J$1:$J$501)</f>
        <v/>
      </c>
      <c r="O27" s="24">
        <f>SUMIF(T12_Calc!$N$1:$N$501,"Payroll taxes",T12_Calc!$K$1:$K$501)</f>
        <v/>
      </c>
      <c r="P27" s="24">
        <f>SUMIF(T12_Calc!$N$1:$N$501,"Payroll taxes",T12_Calc!$L$1:$L$501)</f>
        <v/>
      </c>
      <c r="Q27" s="24">
        <f>SUMIF(T12_Calc!$N$1:$N$501,"Payroll taxes",T12_Calc!$M$1:$M$501)</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SUMIF(T12_Calc!$N$1:$N$501,"Employee benefits",T12_Calc!$B$1:$B$501)</f>
        <v/>
      </c>
      <c r="G28" s="24">
        <f>SUMIF(T12_Calc!$N$1:$N$501,"Employee benefits",T12_Calc!$C$1:$C$501)</f>
        <v/>
      </c>
      <c r="H28" s="24">
        <f>SUMIF(T12_Calc!$N$1:$N$501,"Employee benefits",T12_Calc!$D$1:$D$501)</f>
        <v/>
      </c>
      <c r="I28" s="24">
        <f>SUMIF(T12_Calc!$N$1:$N$501,"Employee benefits",T12_Calc!$E$1:$E$501)</f>
        <v/>
      </c>
      <c r="J28" s="24">
        <f>SUMIF(T12_Calc!$N$1:$N$501,"Employee benefits",T12_Calc!$F$1:$F$501)</f>
        <v/>
      </c>
      <c r="K28" s="24">
        <f>SUMIF(T12_Calc!$N$1:$N$501,"Employee benefits",T12_Calc!$G$1:$G$501)</f>
        <v/>
      </c>
      <c r="L28" s="24">
        <f>SUMIF(T12_Calc!$N$1:$N$501,"Employee benefits",T12_Calc!$H$1:$H$501)</f>
        <v/>
      </c>
      <c r="M28" s="24">
        <f>SUMIF(T12_Calc!$N$1:$N$501,"Employee benefits",T12_Calc!$I$1:$I$501)</f>
        <v/>
      </c>
      <c r="N28" s="24">
        <f>SUMIF(T12_Calc!$N$1:$N$501,"Employee benefits",T12_Calc!$J$1:$J$501)</f>
        <v/>
      </c>
      <c r="O28" s="24">
        <f>SUMIF(T12_Calc!$N$1:$N$501,"Employee benefits",T12_Calc!$K$1:$K$501)</f>
        <v/>
      </c>
      <c r="P28" s="24">
        <f>SUMIF(T12_Calc!$N$1:$N$501,"Employee benefits",T12_Calc!$L$1:$L$501)</f>
        <v/>
      </c>
      <c r="Q28" s="24">
        <f>SUMIF(T12_Calc!$N$1:$N$501,"Employee benefits",T12_Calc!$M$1:$M$501)</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SUMIF(T12_Calc!$N$1:$N$501,"Workers' comp insurance",T12_Calc!$B$1:$B$501)</f>
        <v/>
      </c>
      <c r="G29" s="24">
        <f>SUMIF(T12_Calc!$N$1:$N$501,"Workers' comp insurance",T12_Calc!$C$1:$C$501)</f>
        <v/>
      </c>
      <c r="H29" s="24">
        <f>SUMIF(T12_Calc!$N$1:$N$501,"Workers' comp insurance",T12_Calc!$D$1:$D$501)</f>
        <v/>
      </c>
      <c r="I29" s="24">
        <f>SUMIF(T12_Calc!$N$1:$N$501,"Workers' comp insurance",T12_Calc!$E$1:$E$501)</f>
        <v/>
      </c>
      <c r="J29" s="24">
        <f>SUMIF(T12_Calc!$N$1:$N$501,"Workers' comp insurance",T12_Calc!$F$1:$F$501)</f>
        <v/>
      </c>
      <c r="K29" s="24">
        <f>SUMIF(T12_Calc!$N$1:$N$501,"Workers' comp insurance",T12_Calc!$G$1:$G$501)</f>
        <v/>
      </c>
      <c r="L29" s="24">
        <f>SUMIF(T12_Calc!$N$1:$N$501,"Workers' comp insurance",T12_Calc!$H$1:$H$501)</f>
        <v/>
      </c>
      <c r="M29" s="24">
        <f>SUMIF(T12_Calc!$N$1:$N$501,"Workers' comp insurance",T12_Calc!$I$1:$I$501)</f>
        <v/>
      </c>
      <c r="N29" s="24">
        <f>SUMIF(T12_Calc!$N$1:$N$501,"Workers' comp insurance",T12_Calc!$J$1:$J$501)</f>
        <v/>
      </c>
      <c r="O29" s="24">
        <f>SUMIF(T12_Calc!$N$1:$N$501,"Workers' comp insurance",T12_Calc!$K$1:$K$501)</f>
        <v/>
      </c>
      <c r="P29" s="24">
        <f>SUMIF(T12_Calc!$N$1:$N$501,"Workers' comp insurance",T12_Calc!$L$1:$L$501)</f>
        <v/>
      </c>
      <c r="Q29" s="24">
        <f>SUMIF(T12_Calc!$N$1:$N$501,"Workers' comp insurance",T12_Calc!$M$1:$M$501)</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SUMIF(T12_Calc!$N$1:$N$501,"Employee 401(k)",T12_Calc!$B$1:$B$501)</f>
        <v/>
      </c>
      <c r="G30" s="24">
        <f>SUMIF(T12_Calc!$N$1:$N$501,"Employee 401(k)",T12_Calc!$C$1:$C$501)</f>
        <v/>
      </c>
      <c r="H30" s="24">
        <f>SUMIF(T12_Calc!$N$1:$N$501,"Employee 401(k)",T12_Calc!$D$1:$D$501)</f>
        <v/>
      </c>
      <c r="I30" s="24">
        <f>SUMIF(T12_Calc!$N$1:$N$501,"Employee 401(k)",T12_Calc!$E$1:$E$501)</f>
        <v/>
      </c>
      <c r="J30" s="24">
        <f>SUMIF(T12_Calc!$N$1:$N$501,"Employee 401(k)",T12_Calc!$F$1:$F$501)</f>
        <v/>
      </c>
      <c r="K30" s="24">
        <f>SUMIF(T12_Calc!$N$1:$N$501,"Employee 401(k)",T12_Calc!$G$1:$G$501)</f>
        <v/>
      </c>
      <c r="L30" s="24">
        <f>SUMIF(T12_Calc!$N$1:$N$501,"Employee 401(k)",T12_Calc!$H$1:$H$501)</f>
        <v/>
      </c>
      <c r="M30" s="24">
        <f>SUMIF(T12_Calc!$N$1:$N$501,"Employee 401(k)",T12_Calc!$I$1:$I$501)</f>
        <v/>
      </c>
      <c r="N30" s="24">
        <f>SUMIF(T12_Calc!$N$1:$N$501,"Employee 401(k)",T12_Calc!$J$1:$J$501)</f>
        <v/>
      </c>
      <c r="O30" s="24">
        <f>SUMIF(T12_Calc!$N$1:$N$501,"Employee 401(k)",T12_Calc!$K$1:$K$501)</f>
        <v/>
      </c>
      <c r="P30" s="24">
        <f>SUMIF(T12_Calc!$N$1:$N$501,"Employee 401(k)",T12_Calc!$L$1:$L$501)</f>
        <v/>
      </c>
      <c r="Q30" s="24">
        <f>SUMIF(T12_Calc!$N$1:$N$501,"Employee 401(k)",T12_Calc!$M$1:$M$501)</f>
        <v/>
      </c>
      <c r="R30" s="87">
        <f>SUM(F30:Q30)</f>
        <v/>
      </c>
    </row>
    <row r="31" ht="15.75" customHeight="1" s="199">
      <c r="A31" s="82" t="inlineStr">
        <is>
          <t>Non-Labor</t>
        </is>
      </c>
      <c r="B31" s="83" t="inlineStr">
        <is>
          <t>Food cost</t>
        </is>
      </c>
      <c r="C31" s="84" t="inlineStr">
        <is>
          <t>-</t>
        </is>
      </c>
      <c r="D31" s="85" t="n"/>
      <c r="E31" s="86" t="inlineStr">
        <is>
          <t>Food Cost</t>
        </is>
      </c>
      <c r="F31" s="24">
        <f>SUMIF(T12_Calc!$N$1:$N$501,"Food cost",T12_Calc!$B$1:$B$501)</f>
        <v/>
      </c>
      <c r="G31" s="24">
        <f>SUMIF(T12_Calc!$N$1:$N$501,"Food cost",T12_Calc!$C$1:$C$501)</f>
        <v/>
      </c>
      <c r="H31" s="24">
        <f>SUMIF(T12_Calc!$N$1:$N$501,"Food cost",T12_Calc!$D$1:$D$501)</f>
        <v/>
      </c>
      <c r="I31" s="24">
        <f>SUMIF(T12_Calc!$N$1:$N$501,"Food cost",T12_Calc!$E$1:$E$501)</f>
        <v/>
      </c>
      <c r="J31" s="24">
        <f>SUMIF(T12_Calc!$N$1:$N$501,"Food cost",T12_Calc!$F$1:$F$501)</f>
        <v/>
      </c>
      <c r="K31" s="24">
        <f>SUMIF(T12_Calc!$N$1:$N$501,"Food cost",T12_Calc!$G$1:$G$501)</f>
        <v/>
      </c>
      <c r="L31" s="24">
        <f>SUMIF(T12_Calc!$N$1:$N$501,"Food cost",T12_Calc!$H$1:$H$501)</f>
        <v/>
      </c>
      <c r="M31" s="24">
        <f>SUMIF(T12_Calc!$N$1:$N$501,"Food cost",T12_Calc!$I$1:$I$501)</f>
        <v/>
      </c>
      <c r="N31" s="24">
        <f>SUMIF(T12_Calc!$N$1:$N$501,"Food cost",T12_Calc!$J$1:$J$501)</f>
        <v/>
      </c>
      <c r="O31" s="24">
        <f>SUMIF(T12_Calc!$N$1:$N$501,"Food cost",T12_Calc!$K$1:$K$501)</f>
        <v/>
      </c>
      <c r="P31" s="24">
        <f>SUMIF(T12_Calc!$N$1:$N$501,"Food cost",T12_Calc!$L$1:$L$501)</f>
        <v/>
      </c>
      <c r="Q31" s="24">
        <f>SUMIF(T12_Calc!$N$1:$N$501,"Food cost",T12_Calc!$M$1:$M$501)</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SUMIF(T12_Calc!$N$1:$N$501,"Dining &amp; kitchen supplies",T12_Calc!$B$1:$B$501)</f>
        <v/>
      </c>
      <c r="G32" s="24">
        <f>SUMIF(T12_Calc!$N$1:$N$501,"Dining &amp; kitchen supplies",T12_Calc!$C$1:$C$501)</f>
        <v/>
      </c>
      <c r="H32" s="24">
        <f>SUMIF(T12_Calc!$N$1:$N$501,"Dining &amp; kitchen supplies",T12_Calc!$D$1:$D$501)</f>
        <v/>
      </c>
      <c r="I32" s="24">
        <f>SUMIF(T12_Calc!$N$1:$N$501,"Dining &amp; kitchen supplies",T12_Calc!$E$1:$E$501)</f>
        <v/>
      </c>
      <c r="J32" s="24">
        <f>SUMIF(T12_Calc!$N$1:$N$501,"Dining &amp; kitchen supplies",T12_Calc!$F$1:$F$501)</f>
        <v/>
      </c>
      <c r="K32" s="24">
        <f>SUMIF(T12_Calc!$N$1:$N$501,"Dining &amp; kitchen supplies",T12_Calc!$G$1:$G$501)</f>
        <v/>
      </c>
      <c r="L32" s="24">
        <f>SUMIF(T12_Calc!$N$1:$N$501,"Dining &amp; kitchen supplies",T12_Calc!$H$1:$H$501)</f>
        <v/>
      </c>
      <c r="M32" s="24">
        <f>SUMIF(T12_Calc!$N$1:$N$501,"Dining &amp; kitchen supplies",T12_Calc!$I$1:$I$501)</f>
        <v/>
      </c>
      <c r="N32" s="24">
        <f>SUMIF(T12_Calc!$N$1:$N$501,"Dining &amp; kitchen supplies",T12_Calc!$J$1:$J$501)</f>
        <v/>
      </c>
      <c r="O32" s="24">
        <f>SUMIF(T12_Calc!$N$1:$N$501,"Dining &amp; kitchen supplies",T12_Calc!$K$1:$K$501)</f>
        <v/>
      </c>
      <c r="P32" s="24">
        <f>SUMIF(T12_Calc!$N$1:$N$501,"Dining &amp; kitchen supplies",T12_Calc!$L$1:$L$501)</f>
        <v/>
      </c>
      <c r="Q32" s="24">
        <f>SUMIF(T12_Calc!$N$1:$N$501,"Dining &amp; kitchen supplies",T12_Calc!$M$1:$M$501)</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SUMIF(T12_Calc!$N$1:$N$501,"Nursing &amp; care supplies",T12_Calc!$B$1:$B$501)</f>
        <v/>
      </c>
      <c r="G33" s="24">
        <f>SUMIF(T12_Calc!$N$1:$N$501,"Nursing &amp; care supplies",T12_Calc!$C$1:$C$501)</f>
        <v/>
      </c>
      <c r="H33" s="24">
        <f>SUMIF(T12_Calc!$N$1:$N$501,"Nursing &amp; care supplies",T12_Calc!$D$1:$D$501)</f>
        <v/>
      </c>
      <c r="I33" s="24">
        <f>SUMIF(T12_Calc!$N$1:$N$501,"Nursing &amp; care supplies",T12_Calc!$E$1:$E$501)</f>
        <v/>
      </c>
      <c r="J33" s="24">
        <f>SUMIF(T12_Calc!$N$1:$N$501,"Nursing &amp; care supplies",T12_Calc!$F$1:$F$501)</f>
        <v/>
      </c>
      <c r="K33" s="24">
        <f>SUMIF(T12_Calc!$N$1:$N$501,"Nursing &amp; care supplies",T12_Calc!$G$1:$G$501)</f>
        <v/>
      </c>
      <c r="L33" s="24">
        <f>SUMIF(T12_Calc!$N$1:$N$501,"Nursing &amp; care supplies",T12_Calc!$H$1:$H$501)</f>
        <v/>
      </c>
      <c r="M33" s="24">
        <f>SUMIF(T12_Calc!$N$1:$N$501,"Nursing &amp; care supplies",T12_Calc!$I$1:$I$501)</f>
        <v/>
      </c>
      <c r="N33" s="24">
        <f>SUMIF(T12_Calc!$N$1:$N$501,"Nursing &amp; care supplies",T12_Calc!$J$1:$J$501)</f>
        <v/>
      </c>
      <c r="O33" s="24">
        <f>SUMIF(T12_Calc!$N$1:$N$501,"Nursing &amp; care supplies",T12_Calc!$K$1:$K$501)</f>
        <v/>
      </c>
      <c r="P33" s="24">
        <f>SUMIF(T12_Calc!$N$1:$N$501,"Nursing &amp; care supplies",T12_Calc!$L$1:$L$501)</f>
        <v/>
      </c>
      <c r="Q33" s="24">
        <f>SUMIF(T12_Calc!$N$1:$N$501,"Nursing &amp; care supplies",T12_Calc!$M$1:$M$501)</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SUMIF(T12_Calc!$N$1:$N$501,"Recreation &amp; activity suppl.",T12_Calc!$B$1:$B$501)</f>
        <v/>
      </c>
      <c r="G34" s="24">
        <f>SUMIF(T12_Calc!$N$1:$N$501,"Recreation &amp; activity suppl.",T12_Calc!$C$1:$C$501)</f>
        <v/>
      </c>
      <c r="H34" s="24">
        <f>SUMIF(T12_Calc!$N$1:$N$501,"Recreation &amp; activity suppl.",T12_Calc!$D$1:$D$501)</f>
        <v/>
      </c>
      <c r="I34" s="24">
        <f>SUMIF(T12_Calc!$N$1:$N$501,"Recreation &amp; activity suppl.",T12_Calc!$E$1:$E$501)</f>
        <v/>
      </c>
      <c r="J34" s="24">
        <f>SUMIF(T12_Calc!$N$1:$N$501,"Recreation &amp; activity suppl.",T12_Calc!$F$1:$F$501)</f>
        <v/>
      </c>
      <c r="K34" s="24">
        <f>SUMIF(T12_Calc!$N$1:$N$501,"Recreation &amp; activity suppl.",T12_Calc!$G$1:$G$501)</f>
        <v/>
      </c>
      <c r="L34" s="24">
        <f>SUMIF(T12_Calc!$N$1:$N$501,"Recreation &amp; activity suppl.",T12_Calc!$H$1:$H$501)</f>
        <v/>
      </c>
      <c r="M34" s="24">
        <f>SUMIF(T12_Calc!$N$1:$N$501,"Recreation &amp; activity suppl.",T12_Calc!$I$1:$I$501)</f>
        <v/>
      </c>
      <c r="N34" s="24">
        <f>SUMIF(T12_Calc!$N$1:$N$501,"Recreation &amp; activity suppl.",T12_Calc!$J$1:$J$501)</f>
        <v/>
      </c>
      <c r="O34" s="24">
        <f>SUMIF(T12_Calc!$N$1:$N$501,"Recreation &amp; activity suppl.",T12_Calc!$K$1:$K$501)</f>
        <v/>
      </c>
      <c r="P34" s="24">
        <f>SUMIF(T12_Calc!$N$1:$N$501,"Recreation &amp; activity suppl.",T12_Calc!$L$1:$L$501)</f>
        <v/>
      </c>
      <c r="Q34" s="24">
        <f>SUMIF(T12_Calc!$N$1:$N$501,"Recreation &amp; activity suppl.",T12_Calc!$M$1:$M$501)</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SUMIF(T12_Calc!$N$1:$N$501,"R&amp;M fixed",T12_Calc!$B$1:$B$501)</f>
        <v/>
      </c>
      <c r="G35" s="24">
        <f>SUMIF(T12_Calc!$N$1:$N$501,"R&amp;M fixed",T12_Calc!$C$1:$C$501)</f>
        <v/>
      </c>
      <c r="H35" s="24">
        <f>SUMIF(T12_Calc!$N$1:$N$501,"R&amp;M fixed",T12_Calc!$D$1:$D$501)</f>
        <v/>
      </c>
      <c r="I35" s="24">
        <f>SUMIF(T12_Calc!$N$1:$N$501,"R&amp;M fixed",T12_Calc!$E$1:$E$501)</f>
        <v/>
      </c>
      <c r="J35" s="24">
        <f>SUMIF(T12_Calc!$N$1:$N$501,"R&amp;M fixed",T12_Calc!$F$1:$F$501)</f>
        <v/>
      </c>
      <c r="K35" s="24">
        <f>SUMIF(T12_Calc!$N$1:$N$501,"R&amp;M fixed",T12_Calc!$G$1:$G$501)</f>
        <v/>
      </c>
      <c r="L35" s="24">
        <f>SUMIF(T12_Calc!$N$1:$N$501,"R&amp;M fixed",T12_Calc!$H$1:$H$501)</f>
        <v/>
      </c>
      <c r="M35" s="24">
        <f>SUMIF(T12_Calc!$N$1:$N$501,"R&amp;M fixed",T12_Calc!$I$1:$I$501)</f>
        <v/>
      </c>
      <c r="N35" s="24">
        <f>SUMIF(T12_Calc!$N$1:$N$501,"R&amp;M fixed",T12_Calc!$J$1:$J$501)</f>
        <v/>
      </c>
      <c r="O35" s="24">
        <f>SUMIF(T12_Calc!$N$1:$N$501,"R&amp;M fixed",T12_Calc!$K$1:$K$501)</f>
        <v/>
      </c>
      <c r="P35" s="24">
        <f>SUMIF(T12_Calc!$N$1:$N$501,"R&amp;M fixed",T12_Calc!$L$1:$L$501)</f>
        <v/>
      </c>
      <c r="Q35" s="24">
        <f>SUMIF(T12_Calc!$N$1:$N$501,"R&amp;M fixed",T12_Calc!$M$1:$M$501)</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SUMIF(T12_Calc!$N$1:$N$501,"R&amp;M variable",T12_Calc!$B$1:$B$501)</f>
        <v/>
      </c>
      <c r="G36" s="24">
        <f>SUMIF(T12_Calc!$N$1:$N$501,"R&amp;M variable",T12_Calc!$C$1:$C$501)</f>
        <v/>
      </c>
      <c r="H36" s="24">
        <f>SUMIF(T12_Calc!$N$1:$N$501,"R&amp;M variable",T12_Calc!$D$1:$D$501)</f>
        <v/>
      </c>
      <c r="I36" s="24">
        <f>SUMIF(T12_Calc!$N$1:$N$501,"R&amp;M variable",T12_Calc!$E$1:$E$501)</f>
        <v/>
      </c>
      <c r="J36" s="24">
        <f>SUMIF(T12_Calc!$N$1:$N$501,"R&amp;M variable",T12_Calc!$F$1:$F$501)</f>
        <v/>
      </c>
      <c r="K36" s="24">
        <f>SUMIF(T12_Calc!$N$1:$N$501,"R&amp;M variable",T12_Calc!$G$1:$G$501)</f>
        <v/>
      </c>
      <c r="L36" s="24">
        <f>SUMIF(T12_Calc!$N$1:$N$501,"R&amp;M variable",T12_Calc!$H$1:$H$501)</f>
        <v/>
      </c>
      <c r="M36" s="24">
        <f>SUMIF(T12_Calc!$N$1:$N$501,"R&amp;M variable",T12_Calc!$I$1:$I$501)</f>
        <v/>
      </c>
      <c r="N36" s="24">
        <f>SUMIF(T12_Calc!$N$1:$N$501,"R&amp;M variable",T12_Calc!$J$1:$J$501)</f>
        <v/>
      </c>
      <c r="O36" s="24">
        <f>SUMIF(T12_Calc!$N$1:$N$501,"R&amp;M variable",T12_Calc!$K$1:$K$501)</f>
        <v/>
      </c>
      <c r="P36" s="24">
        <f>SUMIF(T12_Calc!$N$1:$N$501,"R&amp;M variable",T12_Calc!$L$1:$L$501)</f>
        <v/>
      </c>
      <c r="Q36" s="24">
        <f>SUMIF(T12_Calc!$N$1:$N$501,"R&amp;M variable",T12_Calc!$M$1:$M$501)</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SUMIF(T12_Calc!$N$1:$N$501,"HK &amp; laundry supplies",T12_Calc!$B$1:$B$501)</f>
        <v/>
      </c>
      <c r="G37" s="24">
        <f>SUMIF(T12_Calc!$N$1:$N$501,"HK &amp; laundry supplies",T12_Calc!$C$1:$C$501)</f>
        <v/>
      </c>
      <c r="H37" s="24">
        <f>SUMIF(T12_Calc!$N$1:$N$501,"HK &amp; laundry supplies",T12_Calc!$D$1:$D$501)</f>
        <v/>
      </c>
      <c r="I37" s="24">
        <f>SUMIF(T12_Calc!$N$1:$N$501,"HK &amp; laundry supplies",T12_Calc!$E$1:$E$501)</f>
        <v/>
      </c>
      <c r="J37" s="24">
        <f>SUMIF(T12_Calc!$N$1:$N$501,"HK &amp; laundry supplies",T12_Calc!$F$1:$F$501)</f>
        <v/>
      </c>
      <c r="K37" s="24">
        <f>SUMIF(T12_Calc!$N$1:$N$501,"HK &amp; laundry supplies",T12_Calc!$G$1:$G$501)</f>
        <v/>
      </c>
      <c r="L37" s="24">
        <f>SUMIF(T12_Calc!$N$1:$N$501,"HK &amp; laundry supplies",T12_Calc!$H$1:$H$501)</f>
        <v/>
      </c>
      <c r="M37" s="24">
        <f>SUMIF(T12_Calc!$N$1:$N$501,"HK &amp; laundry supplies",T12_Calc!$I$1:$I$501)</f>
        <v/>
      </c>
      <c r="N37" s="24">
        <f>SUMIF(T12_Calc!$N$1:$N$501,"HK &amp; laundry supplies",T12_Calc!$J$1:$J$501)</f>
        <v/>
      </c>
      <c r="O37" s="24">
        <f>SUMIF(T12_Calc!$N$1:$N$501,"HK &amp; laundry supplies",T12_Calc!$K$1:$K$501)</f>
        <v/>
      </c>
      <c r="P37" s="24">
        <f>SUMIF(T12_Calc!$N$1:$N$501,"HK &amp; laundry supplies",T12_Calc!$L$1:$L$501)</f>
        <v/>
      </c>
      <c r="Q37" s="24">
        <f>SUMIF(T12_Calc!$N$1:$N$501,"HK &amp; laundry supplies",T12_Calc!$M$1:$M$501)</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SUMIF(T12_Calc!$N$1:$N$501,"Sales, adv. &amp; marketing",T12_Calc!$B$1:$B$501)</f>
        <v/>
      </c>
      <c r="G38" s="24">
        <f>SUMIF(T12_Calc!$N$1:$N$501,"Sales, adv. &amp; marketing",T12_Calc!$C$1:$C$501)</f>
        <v/>
      </c>
      <c r="H38" s="24">
        <f>SUMIF(T12_Calc!$N$1:$N$501,"Sales, adv. &amp; marketing",T12_Calc!$D$1:$D$501)</f>
        <v/>
      </c>
      <c r="I38" s="24">
        <f>SUMIF(T12_Calc!$N$1:$N$501,"Sales, adv. &amp; marketing",T12_Calc!$E$1:$E$501)</f>
        <v/>
      </c>
      <c r="J38" s="24">
        <f>SUMIF(T12_Calc!$N$1:$N$501,"Sales, adv. &amp; marketing",T12_Calc!$F$1:$F$501)</f>
        <v/>
      </c>
      <c r="K38" s="24">
        <f>SUMIF(T12_Calc!$N$1:$N$501,"Sales, adv. &amp; marketing",T12_Calc!$G$1:$G$501)</f>
        <v/>
      </c>
      <c r="L38" s="24">
        <f>SUMIF(T12_Calc!$N$1:$N$501,"Sales, adv. &amp; marketing",T12_Calc!$H$1:$H$501)</f>
        <v/>
      </c>
      <c r="M38" s="24">
        <f>SUMIF(T12_Calc!$N$1:$N$501,"Sales, adv. &amp; marketing",T12_Calc!$I$1:$I$501)</f>
        <v/>
      </c>
      <c r="N38" s="24">
        <f>SUMIF(T12_Calc!$N$1:$N$501,"Sales, adv. &amp; marketing",T12_Calc!$J$1:$J$501)</f>
        <v/>
      </c>
      <c r="O38" s="24">
        <f>SUMIF(T12_Calc!$N$1:$N$501,"Sales, adv. &amp; marketing",T12_Calc!$K$1:$K$501)</f>
        <v/>
      </c>
      <c r="P38" s="24">
        <f>SUMIF(T12_Calc!$N$1:$N$501,"Sales, adv. &amp; marketing",T12_Calc!$L$1:$L$501)</f>
        <v/>
      </c>
      <c r="Q38" s="24">
        <f>SUMIF(T12_Calc!$N$1:$N$501,"Sales, adv. &amp; marketing",T12_Calc!$M$1:$M$501)</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SUMIF(T12_Calc!$N$1:$N$501,"Referral fees",T12_Calc!$B$1:$B$501)</f>
        <v/>
      </c>
      <c r="G39" s="47">
        <f>SUMIF(T12_Calc!$N$1:$N$501,"Referral fees",T12_Calc!$C$1:$C$501)</f>
        <v/>
      </c>
      <c r="H39" s="47">
        <f>SUMIF(T12_Calc!$N$1:$N$501,"Referral fees",T12_Calc!$D$1:$D$501)</f>
        <v/>
      </c>
      <c r="I39" s="47">
        <f>SUMIF(T12_Calc!$N$1:$N$501,"Referral fees",T12_Calc!$E$1:$E$501)</f>
        <v/>
      </c>
      <c r="J39" s="47">
        <f>SUMIF(T12_Calc!$N$1:$N$501,"Referral fees",T12_Calc!$F$1:$F$501)</f>
        <v/>
      </c>
      <c r="K39" s="47">
        <f>SUMIF(T12_Calc!$N$1:$N$501,"Referral fees",T12_Calc!$G$1:$G$501)</f>
        <v/>
      </c>
      <c r="L39" s="47">
        <f>SUMIF(T12_Calc!$N$1:$N$501,"Referral fees",T12_Calc!$H$1:$H$501)</f>
        <v/>
      </c>
      <c r="M39" s="47">
        <f>SUMIF(T12_Calc!$N$1:$N$501,"Referral fees",T12_Calc!$I$1:$I$501)</f>
        <v/>
      </c>
      <c r="N39" s="47">
        <f>SUMIF(T12_Calc!$N$1:$N$501,"Referral fees",T12_Calc!$J$1:$J$501)</f>
        <v/>
      </c>
      <c r="O39" s="47">
        <f>SUMIF(T12_Calc!$N$1:$N$501,"Referral fees",T12_Calc!$K$1:$K$501)</f>
        <v/>
      </c>
      <c r="P39" s="47">
        <f>SUMIF(T12_Calc!$N$1:$N$501,"Referral fees",T12_Calc!$L$1:$L$501)</f>
        <v/>
      </c>
      <c r="Q39" s="47">
        <f>SUMIF(T12_Calc!$N$1:$N$501,"Referral fees",T12_Calc!$M$1:$M$501)</f>
        <v/>
      </c>
      <c r="R39" s="93">
        <f>SUM(F39:Q39)</f>
        <v/>
      </c>
    </row>
    <row r="40" ht="15.75" customHeight="1" s="199">
      <c r="A40" s="82" t="inlineStr">
        <is>
          <t>Non-Labor</t>
        </is>
      </c>
      <c r="B40" s="83" t="inlineStr">
        <is>
          <t>Utilities</t>
        </is>
      </c>
      <c r="C40" s="84" t="inlineStr">
        <is>
          <t>-</t>
        </is>
      </c>
      <c r="D40" s="85" t="n"/>
      <c r="E40" s="86" t="inlineStr">
        <is>
          <t>Utilities</t>
        </is>
      </c>
      <c r="F40" s="24">
        <f>SUMIF(T12_Calc!$N$1:$N$501,"Utilities",T12_Calc!$B$1:$B$501)</f>
        <v/>
      </c>
      <c r="G40" s="24">
        <f>SUMIF(T12_Calc!$N$1:$N$501,"Utilities",T12_Calc!$C$1:$C$501)</f>
        <v/>
      </c>
      <c r="H40" s="24">
        <f>SUMIF(T12_Calc!$N$1:$N$501,"Utilities",T12_Calc!$D$1:$D$501)</f>
        <v/>
      </c>
      <c r="I40" s="24">
        <f>SUMIF(T12_Calc!$N$1:$N$501,"Utilities",T12_Calc!$E$1:$E$501)</f>
        <v/>
      </c>
      <c r="J40" s="24">
        <f>SUMIF(T12_Calc!$N$1:$N$501,"Utilities",T12_Calc!$F$1:$F$501)</f>
        <v/>
      </c>
      <c r="K40" s="24">
        <f>SUMIF(T12_Calc!$N$1:$N$501,"Utilities",T12_Calc!$G$1:$G$501)</f>
        <v/>
      </c>
      <c r="L40" s="24">
        <f>SUMIF(T12_Calc!$N$1:$N$501,"Utilities",T12_Calc!$H$1:$H$501)</f>
        <v/>
      </c>
      <c r="M40" s="24">
        <f>SUMIF(T12_Calc!$N$1:$N$501,"Utilities",T12_Calc!$I$1:$I$501)</f>
        <v/>
      </c>
      <c r="N40" s="24">
        <f>SUMIF(T12_Calc!$N$1:$N$501,"Utilities",T12_Calc!$J$1:$J$501)</f>
        <v/>
      </c>
      <c r="O40" s="24">
        <f>SUMIF(T12_Calc!$N$1:$N$501,"Utilities",T12_Calc!$K$1:$K$501)</f>
        <v/>
      </c>
      <c r="P40" s="24">
        <f>SUMIF(T12_Calc!$N$1:$N$501,"Utilities",T12_Calc!$L$1:$L$501)</f>
        <v/>
      </c>
      <c r="Q40" s="24">
        <f>SUMIF(T12_Calc!$N$1:$N$501,"Utilities",T12_Calc!$M$1:$M$501)</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SUMIF(T12_Calc!$N$1:$N$501,"Telephone / IT",T12_Calc!$B$1:$B$501)</f>
        <v/>
      </c>
      <c r="G41" s="24">
        <f>SUMIF(T12_Calc!$N$1:$N$501,"Telephone / IT",T12_Calc!$C$1:$C$501)</f>
        <v/>
      </c>
      <c r="H41" s="24">
        <f>SUMIF(T12_Calc!$N$1:$N$501,"Telephone / IT",T12_Calc!$D$1:$D$501)</f>
        <v/>
      </c>
      <c r="I41" s="24">
        <f>SUMIF(T12_Calc!$N$1:$N$501,"Telephone / IT",T12_Calc!$E$1:$E$501)</f>
        <v/>
      </c>
      <c r="J41" s="24">
        <f>SUMIF(T12_Calc!$N$1:$N$501,"Telephone / IT",T12_Calc!$F$1:$F$501)</f>
        <v/>
      </c>
      <c r="K41" s="24">
        <f>SUMIF(T12_Calc!$N$1:$N$501,"Telephone / IT",T12_Calc!$G$1:$G$501)</f>
        <v/>
      </c>
      <c r="L41" s="24">
        <f>SUMIF(T12_Calc!$N$1:$N$501,"Telephone / IT",T12_Calc!$H$1:$H$501)</f>
        <v/>
      </c>
      <c r="M41" s="24">
        <f>SUMIF(T12_Calc!$N$1:$N$501,"Telephone / IT",T12_Calc!$I$1:$I$501)</f>
        <v/>
      </c>
      <c r="N41" s="24">
        <f>SUMIF(T12_Calc!$N$1:$N$501,"Telephone / IT",T12_Calc!$J$1:$J$501)</f>
        <v/>
      </c>
      <c r="O41" s="24">
        <f>SUMIF(T12_Calc!$N$1:$N$501,"Telephone / IT",T12_Calc!$K$1:$K$501)</f>
        <v/>
      </c>
      <c r="P41" s="24">
        <f>SUMIF(T12_Calc!$N$1:$N$501,"Telephone / IT",T12_Calc!$L$1:$L$501)</f>
        <v/>
      </c>
      <c r="Q41" s="24">
        <f>SUMIF(T12_Calc!$N$1:$N$501,"Telephone / IT",T12_Calc!$M$1:$M$501)</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SUMIF(T12_Calc!$N$1:$N$501,"P&amp;C insurance (bundled)",T12_Calc!$B$1:$B$501)</f>
        <v/>
      </c>
      <c r="G42" s="24">
        <f>SUMIF(T12_Calc!$N$1:$N$501,"P&amp;C insurance (bundled)",T12_Calc!$C$1:$C$501)</f>
        <v/>
      </c>
      <c r="H42" s="24">
        <f>SUMIF(T12_Calc!$N$1:$N$501,"P&amp;C insurance (bundled)",T12_Calc!$D$1:$D$501)</f>
        <v/>
      </c>
      <c r="I42" s="24">
        <f>SUMIF(T12_Calc!$N$1:$N$501,"P&amp;C insurance (bundled)",T12_Calc!$E$1:$E$501)</f>
        <v/>
      </c>
      <c r="J42" s="24">
        <f>SUMIF(T12_Calc!$N$1:$N$501,"P&amp;C insurance (bundled)",T12_Calc!$F$1:$F$501)</f>
        <v/>
      </c>
      <c r="K42" s="24">
        <f>SUMIF(T12_Calc!$N$1:$N$501,"P&amp;C insurance (bundled)",T12_Calc!$G$1:$G$501)</f>
        <v/>
      </c>
      <c r="L42" s="24">
        <f>SUMIF(T12_Calc!$N$1:$N$501,"P&amp;C insurance (bundled)",T12_Calc!$H$1:$H$501)</f>
        <v/>
      </c>
      <c r="M42" s="24">
        <f>SUMIF(T12_Calc!$N$1:$N$501,"P&amp;C insurance (bundled)",T12_Calc!$I$1:$I$501)</f>
        <v/>
      </c>
      <c r="N42" s="24">
        <f>SUMIF(T12_Calc!$N$1:$N$501,"P&amp;C insurance (bundled)",T12_Calc!$J$1:$J$501)</f>
        <v/>
      </c>
      <c r="O42" s="24">
        <f>SUMIF(T12_Calc!$N$1:$N$501,"P&amp;C insurance (bundled)",T12_Calc!$K$1:$K$501)</f>
        <v/>
      </c>
      <c r="P42" s="24">
        <f>SUMIF(T12_Calc!$N$1:$N$501,"P&amp;C insurance (bundled)",T12_Calc!$L$1:$L$501)</f>
        <v/>
      </c>
      <c r="Q42" s="24">
        <f>SUMIF(T12_Calc!$N$1:$N$501,"P&amp;C insurance (bundled)",T12_Calc!$M$1:$M$501)</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SUMIF(T12_Calc!$N$1:$N$501,"Auto insurance",T12_Calc!$B$1:$B$501)</f>
        <v/>
      </c>
      <c r="G43" s="24">
        <f>SUMIF(T12_Calc!$N$1:$N$501,"Auto insurance",T12_Calc!$C$1:$C$501)</f>
        <v/>
      </c>
      <c r="H43" s="24">
        <f>SUMIF(T12_Calc!$N$1:$N$501,"Auto insurance",T12_Calc!$D$1:$D$501)</f>
        <v/>
      </c>
      <c r="I43" s="24">
        <f>SUMIF(T12_Calc!$N$1:$N$501,"Auto insurance",T12_Calc!$E$1:$E$501)</f>
        <v/>
      </c>
      <c r="J43" s="24">
        <f>SUMIF(T12_Calc!$N$1:$N$501,"Auto insurance",T12_Calc!$F$1:$F$501)</f>
        <v/>
      </c>
      <c r="K43" s="24">
        <f>SUMIF(T12_Calc!$N$1:$N$501,"Auto insurance",T12_Calc!$G$1:$G$501)</f>
        <v/>
      </c>
      <c r="L43" s="24">
        <f>SUMIF(T12_Calc!$N$1:$N$501,"Auto insurance",T12_Calc!$H$1:$H$501)</f>
        <v/>
      </c>
      <c r="M43" s="24">
        <f>SUMIF(T12_Calc!$N$1:$N$501,"Auto insurance",T12_Calc!$I$1:$I$501)</f>
        <v/>
      </c>
      <c r="N43" s="24">
        <f>SUMIF(T12_Calc!$N$1:$N$501,"Auto insurance",T12_Calc!$J$1:$J$501)</f>
        <v/>
      </c>
      <c r="O43" s="24">
        <f>SUMIF(T12_Calc!$N$1:$N$501,"Auto insurance",T12_Calc!$K$1:$K$501)</f>
        <v/>
      </c>
      <c r="P43" s="24">
        <f>SUMIF(T12_Calc!$N$1:$N$501,"Auto insurance",T12_Calc!$L$1:$L$501)</f>
        <v/>
      </c>
      <c r="Q43" s="24">
        <f>SUMIF(T12_Calc!$N$1:$N$501,"Auto insurance",T12_Calc!$M$1:$M$501)</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SUMIF(T12_Calc!$N$1:$N$501,"Fire / security monitoring",T12_Calc!$B$1:$B$501)</f>
        <v/>
      </c>
      <c r="G44" s="24">
        <f>SUMIF(T12_Calc!$N$1:$N$501,"Fire / security monitoring",T12_Calc!$C$1:$C$501)</f>
        <v/>
      </c>
      <c r="H44" s="24">
        <f>SUMIF(T12_Calc!$N$1:$N$501,"Fire / security monitoring",T12_Calc!$D$1:$D$501)</f>
        <v/>
      </c>
      <c r="I44" s="24">
        <f>SUMIF(T12_Calc!$N$1:$N$501,"Fire / security monitoring",T12_Calc!$E$1:$E$501)</f>
        <v/>
      </c>
      <c r="J44" s="24">
        <f>SUMIF(T12_Calc!$N$1:$N$501,"Fire / security monitoring",T12_Calc!$F$1:$F$501)</f>
        <v/>
      </c>
      <c r="K44" s="24">
        <f>SUMIF(T12_Calc!$N$1:$N$501,"Fire / security monitoring",T12_Calc!$G$1:$G$501)</f>
        <v/>
      </c>
      <c r="L44" s="24">
        <f>SUMIF(T12_Calc!$N$1:$N$501,"Fire / security monitoring",T12_Calc!$H$1:$H$501)</f>
        <v/>
      </c>
      <c r="M44" s="24">
        <f>SUMIF(T12_Calc!$N$1:$N$501,"Fire / security monitoring",T12_Calc!$I$1:$I$501)</f>
        <v/>
      </c>
      <c r="N44" s="24">
        <f>SUMIF(T12_Calc!$N$1:$N$501,"Fire / security monitoring",T12_Calc!$J$1:$J$501)</f>
        <v/>
      </c>
      <c r="O44" s="24">
        <f>SUMIF(T12_Calc!$N$1:$N$501,"Fire / security monitoring",T12_Calc!$K$1:$K$501)</f>
        <v/>
      </c>
      <c r="P44" s="24">
        <f>SUMIF(T12_Calc!$N$1:$N$501,"Fire / security monitoring",T12_Calc!$L$1:$L$501)</f>
        <v/>
      </c>
      <c r="Q44" s="24">
        <f>SUMIF(T12_Calc!$N$1:$N$501,"Fire / security monitoring",T12_Calc!$M$1:$M$501)</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SUMIF(T12_Calc!$N$1:$N$501,"Pest elimination",T12_Calc!$B$1:$B$501)</f>
        <v/>
      </c>
      <c r="G45" s="24">
        <f>SUMIF(T12_Calc!$N$1:$N$501,"Pest elimination",T12_Calc!$C$1:$C$501)</f>
        <v/>
      </c>
      <c r="H45" s="24">
        <f>SUMIF(T12_Calc!$N$1:$N$501,"Pest elimination",T12_Calc!$D$1:$D$501)</f>
        <v/>
      </c>
      <c r="I45" s="24">
        <f>SUMIF(T12_Calc!$N$1:$N$501,"Pest elimination",T12_Calc!$E$1:$E$501)</f>
        <v/>
      </c>
      <c r="J45" s="24">
        <f>SUMIF(T12_Calc!$N$1:$N$501,"Pest elimination",T12_Calc!$F$1:$F$501)</f>
        <v/>
      </c>
      <c r="K45" s="24">
        <f>SUMIF(T12_Calc!$N$1:$N$501,"Pest elimination",T12_Calc!$G$1:$G$501)</f>
        <v/>
      </c>
      <c r="L45" s="24">
        <f>SUMIF(T12_Calc!$N$1:$N$501,"Pest elimination",T12_Calc!$H$1:$H$501)</f>
        <v/>
      </c>
      <c r="M45" s="24">
        <f>SUMIF(T12_Calc!$N$1:$N$501,"Pest elimination",T12_Calc!$I$1:$I$501)</f>
        <v/>
      </c>
      <c r="N45" s="24">
        <f>SUMIF(T12_Calc!$N$1:$N$501,"Pest elimination",T12_Calc!$J$1:$J$501)</f>
        <v/>
      </c>
      <c r="O45" s="24">
        <f>SUMIF(T12_Calc!$N$1:$N$501,"Pest elimination",T12_Calc!$K$1:$K$501)</f>
        <v/>
      </c>
      <c r="P45" s="24">
        <f>SUMIF(T12_Calc!$N$1:$N$501,"Pest elimination",T12_Calc!$L$1:$L$501)</f>
        <v/>
      </c>
      <c r="Q45" s="24">
        <f>SUMIF(T12_Calc!$N$1:$N$501,"Pest elimination",T12_Calc!$M$1:$M$501)</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SUMIF(T12_Calc!$N$1:$N$501,"Real estate taxes",T12_Calc!$B$1:$B$501)</f>
        <v/>
      </c>
      <c r="G46" s="47">
        <f>SUMIF(T12_Calc!$N$1:$N$501,"Real estate taxes",T12_Calc!$C$1:$C$501)</f>
        <v/>
      </c>
      <c r="H46" s="47">
        <f>SUMIF(T12_Calc!$N$1:$N$501,"Real estate taxes",T12_Calc!$D$1:$D$501)</f>
        <v/>
      </c>
      <c r="I46" s="47">
        <f>SUMIF(T12_Calc!$N$1:$N$501,"Real estate taxes",T12_Calc!$E$1:$E$501)</f>
        <v/>
      </c>
      <c r="J46" s="47">
        <f>SUMIF(T12_Calc!$N$1:$N$501,"Real estate taxes",T12_Calc!$F$1:$F$501)</f>
        <v/>
      </c>
      <c r="K46" s="47">
        <f>SUMIF(T12_Calc!$N$1:$N$501,"Real estate taxes",T12_Calc!$G$1:$G$501)</f>
        <v/>
      </c>
      <c r="L46" s="47">
        <f>SUMIF(T12_Calc!$N$1:$N$501,"Real estate taxes",T12_Calc!$H$1:$H$501)</f>
        <v/>
      </c>
      <c r="M46" s="47">
        <f>SUMIF(T12_Calc!$N$1:$N$501,"Real estate taxes",T12_Calc!$I$1:$I$501)</f>
        <v/>
      </c>
      <c r="N46" s="47">
        <f>SUMIF(T12_Calc!$N$1:$N$501,"Real estate taxes",T12_Calc!$J$1:$J$501)</f>
        <v/>
      </c>
      <c r="O46" s="47">
        <f>SUMIF(T12_Calc!$N$1:$N$501,"Real estate taxes",T12_Calc!$K$1:$K$501)</f>
        <v/>
      </c>
      <c r="P46" s="47">
        <f>SUMIF(T12_Calc!$N$1:$N$501,"Real estate taxes",T12_Calc!$L$1:$L$501)</f>
        <v/>
      </c>
      <c r="Q46" s="47">
        <f>SUMIF(T12_Calc!$N$1:$N$501,"Real estate taxes",T12_Calc!$M$1:$M$501)</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SUMIF(T12_Calc!$N$1:$N$501,"Personal property taxes",T12_Calc!$B$1:$B$501)</f>
        <v/>
      </c>
      <c r="G47" s="24">
        <f>SUMIF(T12_Calc!$N$1:$N$501,"Personal property taxes",T12_Calc!$C$1:$C$501)</f>
        <v/>
      </c>
      <c r="H47" s="24">
        <f>SUMIF(T12_Calc!$N$1:$N$501,"Personal property taxes",T12_Calc!$D$1:$D$501)</f>
        <v/>
      </c>
      <c r="I47" s="24">
        <f>SUMIF(T12_Calc!$N$1:$N$501,"Personal property taxes",T12_Calc!$E$1:$E$501)</f>
        <v/>
      </c>
      <c r="J47" s="24">
        <f>SUMIF(T12_Calc!$N$1:$N$501,"Personal property taxes",T12_Calc!$F$1:$F$501)</f>
        <v/>
      </c>
      <c r="K47" s="24">
        <f>SUMIF(T12_Calc!$N$1:$N$501,"Personal property taxes",T12_Calc!$G$1:$G$501)</f>
        <v/>
      </c>
      <c r="L47" s="24">
        <f>SUMIF(T12_Calc!$N$1:$N$501,"Personal property taxes",T12_Calc!$H$1:$H$501)</f>
        <v/>
      </c>
      <c r="M47" s="24">
        <f>SUMIF(T12_Calc!$N$1:$N$501,"Personal property taxes",T12_Calc!$I$1:$I$501)</f>
        <v/>
      </c>
      <c r="N47" s="24">
        <f>SUMIF(T12_Calc!$N$1:$N$501,"Personal property taxes",T12_Calc!$J$1:$J$501)</f>
        <v/>
      </c>
      <c r="O47" s="24">
        <f>SUMIF(T12_Calc!$N$1:$N$501,"Personal property taxes",T12_Calc!$K$1:$K$501)</f>
        <v/>
      </c>
      <c r="P47" s="24">
        <f>SUMIF(T12_Calc!$N$1:$N$501,"Personal property taxes",T12_Calc!$L$1:$L$501)</f>
        <v/>
      </c>
      <c r="Q47" s="24">
        <f>SUMIF(T12_Calc!$N$1:$N$501,"Personal property taxes",T12_Calc!$M$1:$M$501)</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SUMIF(T12_Calc!$N$1:$N$501,"Legal expenses",T12_Calc!$B$1:$B$501)</f>
        <v/>
      </c>
      <c r="G48" s="24">
        <f>SUMIF(T12_Calc!$N$1:$N$501,"Legal expenses",T12_Calc!$C$1:$C$501)</f>
        <v/>
      </c>
      <c r="H48" s="24">
        <f>SUMIF(T12_Calc!$N$1:$N$501,"Legal expenses",T12_Calc!$D$1:$D$501)</f>
        <v/>
      </c>
      <c r="I48" s="24">
        <f>SUMIF(T12_Calc!$N$1:$N$501,"Legal expenses",T12_Calc!$E$1:$E$501)</f>
        <v/>
      </c>
      <c r="J48" s="24">
        <f>SUMIF(T12_Calc!$N$1:$N$501,"Legal expenses",T12_Calc!$F$1:$F$501)</f>
        <v/>
      </c>
      <c r="K48" s="24">
        <f>SUMIF(T12_Calc!$N$1:$N$501,"Legal expenses",T12_Calc!$G$1:$G$501)</f>
        <v/>
      </c>
      <c r="L48" s="24">
        <f>SUMIF(T12_Calc!$N$1:$N$501,"Legal expenses",T12_Calc!$H$1:$H$501)</f>
        <v/>
      </c>
      <c r="M48" s="24">
        <f>SUMIF(T12_Calc!$N$1:$N$501,"Legal expenses",T12_Calc!$I$1:$I$501)</f>
        <v/>
      </c>
      <c r="N48" s="24">
        <f>SUMIF(T12_Calc!$N$1:$N$501,"Legal expenses",T12_Calc!$J$1:$J$501)</f>
        <v/>
      </c>
      <c r="O48" s="24">
        <f>SUMIF(T12_Calc!$N$1:$N$501,"Legal expenses",T12_Calc!$K$1:$K$501)</f>
        <v/>
      </c>
      <c r="P48" s="24">
        <f>SUMIF(T12_Calc!$N$1:$N$501,"Legal expenses",T12_Calc!$L$1:$L$501)</f>
        <v/>
      </c>
      <c r="Q48" s="24">
        <f>SUMIF(T12_Calc!$N$1:$N$501,"Legal expenses",T12_Calc!$M$1:$M$501)</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SUMIF(T12_Calc!$N$1:$N$501,"Professional services",T12_Calc!$B$1:$B$501)</f>
        <v/>
      </c>
      <c r="G49" s="24">
        <f>SUMIF(T12_Calc!$N$1:$N$501,"Professional services",T12_Calc!$C$1:$C$501)</f>
        <v/>
      </c>
      <c r="H49" s="24">
        <f>SUMIF(T12_Calc!$N$1:$N$501,"Professional services",T12_Calc!$D$1:$D$501)</f>
        <v/>
      </c>
      <c r="I49" s="24">
        <f>SUMIF(T12_Calc!$N$1:$N$501,"Professional services",T12_Calc!$E$1:$E$501)</f>
        <v/>
      </c>
      <c r="J49" s="24">
        <f>SUMIF(T12_Calc!$N$1:$N$501,"Professional services",T12_Calc!$F$1:$F$501)</f>
        <v/>
      </c>
      <c r="K49" s="24">
        <f>SUMIF(T12_Calc!$N$1:$N$501,"Professional services",T12_Calc!$G$1:$G$501)</f>
        <v/>
      </c>
      <c r="L49" s="24">
        <f>SUMIF(T12_Calc!$N$1:$N$501,"Professional services",T12_Calc!$H$1:$H$501)</f>
        <v/>
      </c>
      <c r="M49" s="24">
        <f>SUMIF(T12_Calc!$N$1:$N$501,"Professional services",T12_Calc!$I$1:$I$501)</f>
        <v/>
      </c>
      <c r="N49" s="24">
        <f>SUMIF(T12_Calc!$N$1:$N$501,"Professional services",T12_Calc!$J$1:$J$501)</f>
        <v/>
      </c>
      <c r="O49" s="24">
        <f>SUMIF(T12_Calc!$N$1:$N$501,"Professional services",T12_Calc!$K$1:$K$501)</f>
        <v/>
      </c>
      <c r="P49" s="24">
        <f>SUMIF(T12_Calc!$N$1:$N$501,"Professional services",T12_Calc!$L$1:$L$501)</f>
        <v/>
      </c>
      <c r="Q49" s="24">
        <f>SUMIF(T12_Calc!$N$1:$N$501,"Professional services",T12_Calc!$M$1:$M$501)</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SUMIF(T12_Calc!$N$1:$N$501,"Bad debt expense",T12_Calc!$B$1:$B$501)</f>
        <v/>
      </c>
      <c r="G50" s="47">
        <f>SUMIF(T12_Calc!$N$1:$N$501,"Bad debt expense",T12_Calc!$C$1:$C$501)</f>
        <v/>
      </c>
      <c r="H50" s="47">
        <f>SUMIF(T12_Calc!$N$1:$N$501,"Bad debt expense",T12_Calc!$D$1:$D$501)</f>
        <v/>
      </c>
      <c r="I50" s="47">
        <f>SUMIF(T12_Calc!$N$1:$N$501,"Bad debt expense",T12_Calc!$E$1:$E$501)</f>
        <v/>
      </c>
      <c r="J50" s="47">
        <f>SUMIF(T12_Calc!$N$1:$N$501,"Bad debt expense",T12_Calc!$F$1:$F$501)</f>
        <v/>
      </c>
      <c r="K50" s="47">
        <f>SUMIF(T12_Calc!$N$1:$N$501,"Bad debt expense",T12_Calc!$G$1:$G$501)</f>
        <v/>
      </c>
      <c r="L50" s="47">
        <f>SUMIF(T12_Calc!$N$1:$N$501,"Bad debt expense",T12_Calc!$H$1:$H$501)</f>
        <v/>
      </c>
      <c r="M50" s="47">
        <f>SUMIF(T12_Calc!$N$1:$N$501,"Bad debt expense",T12_Calc!$I$1:$I$501)</f>
        <v/>
      </c>
      <c r="N50" s="47">
        <f>SUMIF(T12_Calc!$N$1:$N$501,"Bad debt expense",T12_Calc!$J$1:$J$501)</f>
        <v/>
      </c>
      <c r="O50" s="47">
        <f>SUMIF(T12_Calc!$N$1:$N$501,"Bad debt expense",T12_Calc!$K$1:$K$501)</f>
        <v/>
      </c>
      <c r="P50" s="47">
        <f>SUMIF(T12_Calc!$N$1:$N$501,"Bad debt expense",T12_Calc!$L$1:$L$501)</f>
        <v/>
      </c>
      <c r="Q50" s="47">
        <f>SUMIF(T12_Calc!$N$1:$N$501,"Bad debt expense",T12_Calc!$M$1:$M$501)</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SUMIF(T12_Calc!$N$1:$N$501,"Permits, licenses &amp; dues",T12_Calc!$B$1:$B$501)</f>
        <v/>
      </c>
      <c r="G51" s="24">
        <f>SUMIF(T12_Calc!$N$1:$N$501,"Permits, licenses &amp; dues",T12_Calc!$C$1:$C$501)</f>
        <v/>
      </c>
      <c r="H51" s="24">
        <f>SUMIF(T12_Calc!$N$1:$N$501,"Permits, licenses &amp; dues",T12_Calc!$D$1:$D$501)</f>
        <v/>
      </c>
      <c r="I51" s="24">
        <f>SUMIF(T12_Calc!$N$1:$N$501,"Permits, licenses &amp; dues",T12_Calc!$E$1:$E$501)</f>
        <v/>
      </c>
      <c r="J51" s="24">
        <f>SUMIF(T12_Calc!$N$1:$N$501,"Permits, licenses &amp; dues",T12_Calc!$F$1:$F$501)</f>
        <v/>
      </c>
      <c r="K51" s="24">
        <f>SUMIF(T12_Calc!$N$1:$N$501,"Permits, licenses &amp; dues",T12_Calc!$G$1:$G$501)</f>
        <v/>
      </c>
      <c r="L51" s="24">
        <f>SUMIF(T12_Calc!$N$1:$N$501,"Permits, licenses &amp; dues",T12_Calc!$H$1:$H$501)</f>
        <v/>
      </c>
      <c r="M51" s="24">
        <f>SUMIF(T12_Calc!$N$1:$N$501,"Permits, licenses &amp; dues",T12_Calc!$I$1:$I$501)</f>
        <v/>
      </c>
      <c r="N51" s="24">
        <f>SUMIF(T12_Calc!$N$1:$N$501,"Permits, licenses &amp; dues",T12_Calc!$J$1:$J$501)</f>
        <v/>
      </c>
      <c r="O51" s="24">
        <f>SUMIF(T12_Calc!$N$1:$N$501,"Permits, licenses &amp; dues",T12_Calc!$K$1:$K$501)</f>
        <v/>
      </c>
      <c r="P51" s="24">
        <f>SUMIF(T12_Calc!$N$1:$N$501,"Permits, licenses &amp; dues",T12_Calc!$L$1:$L$501)</f>
        <v/>
      </c>
      <c r="Q51" s="24">
        <f>SUMIF(T12_Calc!$N$1:$N$501,"Permits, licenses &amp; dues",T12_Calc!$M$1:$M$501)</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SUMIF(T12_Calc!$N$1:$N$501,"Office, admin &amp; G&amp;A",T12_Calc!$B$1:$B$501)</f>
        <v/>
      </c>
      <c r="G52" s="24">
        <f>SUMIF(T12_Calc!$N$1:$N$501,"Office, admin &amp; G&amp;A",T12_Calc!$C$1:$C$501)</f>
        <v/>
      </c>
      <c r="H52" s="24">
        <f>SUMIF(T12_Calc!$N$1:$N$501,"Office, admin &amp; G&amp;A",T12_Calc!$D$1:$D$501)</f>
        <v/>
      </c>
      <c r="I52" s="24">
        <f>SUMIF(T12_Calc!$N$1:$N$501,"Office, admin &amp; G&amp;A",T12_Calc!$E$1:$E$501)</f>
        <v/>
      </c>
      <c r="J52" s="24">
        <f>SUMIF(T12_Calc!$N$1:$N$501,"Office, admin &amp; G&amp;A",T12_Calc!$F$1:$F$501)</f>
        <v/>
      </c>
      <c r="K52" s="24">
        <f>SUMIF(T12_Calc!$N$1:$N$501,"Office, admin &amp; G&amp;A",T12_Calc!$G$1:$G$501)</f>
        <v/>
      </c>
      <c r="L52" s="24">
        <f>SUMIF(T12_Calc!$N$1:$N$501,"Office, admin &amp; G&amp;A",T12_Calc!$H$1:$H$501)</f>
        <v/>
      </c>
      <c r="M52" s="24">
        <f>SUMIF(T12_Calc!$N$1:$N$501,"Office, admin &amp; G&amp;A",T12_Calc!$I$1:$I$501)</f>
        <v/>
      </c>
      <c r="N52" s="24">
        <f>SUMIF(T12_Calc!$N$1:$N$501,"Office, admin &amp; G&amp;A",T12_Calc!$J$1:$J$501)</f>
        <v/>
      </c>
      <c r="O52" s="24">
        <f>SUMIF(T12_Calc!$N$1:$N$501,"Office, admin &amp; G&amp;A",T12_Calc!$K$1:$K$501)</f>
        <v/>
      </c>
      <c r="P52" s="24">
        <f>SUMIF(T12_Calc!$N$1:$N$501,"Office, admin &amp; G&amp;A",T12_Calc!$L$1:$L$501)</f>
        <v/>
      </c>
      <c r="Q52" s="24">
        <f>SUMIF(T12_Calc!$N$1:$N$501,"Office, admin &amp; G&amp;A",T12_Calc!$M$1:$M$501)</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SUMIF(T12_Calc!$N$1:$N$501,"Other / miscellaneous",T12_Calc!$B$1:$B$501)</f>
        <v/>
      </c>
      <c r="G53" s="24">
        <f>SUMIF(T12_Calc!$N$1:$N$501,"Other / miscellaneous",T12_Calc!$C$1:$C$501)</f>
        <v/>
      </c>
      <c r="H53" s="24">
        <f>SUMIF(T12_Calc!$N$1:$N$501,"Other / miscellaneous",T12_Calc!$D$1:$D$501)</f>
        <v/>
      </c>
      <c r="I53" s="24">
        <f>SUMIF(T12_Calc!$N$1:$N$501,"Other / miscellaneous",T12_Calc!$E$1:$E$501)</f>
        <v/>
      </c>
      <c r="J53" s="24">
        <f>SUMIF(T12_Calc!$N$1:$N$501,"Other / miscellaneous",T12_Calc!$F$1:$F$501)</f>
        <v/>
      </c>
      <c r="K53" s="24">
        <f>SUMIF(T12_Calc!$N$1:$N$501,"Other / miscellaneous",T12_Calc!$G$1:$G$501)</f>
        <v/>
      </c>
      <c r="L53" s="24">
        <f>SUMIF(T12_Calc!$N$1:$N$501,"Other / miscellaneous",T12_Calc!$H$1:$H$501)</f>
        <v/>
      </c>
      <c r="M53" s="24">
        <f>SUMIF(T12_Calc!$N$1:$N$501,"Other / miscellaneous",T12_Calc!$I$1:$I$501)</f>
        <v/>
      </c>
      <c r="N53" s="24">
        <f>SUMIF(T12_Calc!$N$1:$N$501,"Other / miscellaneous",T12_Calc!$J$1:$J$501)</f>
        <v/>
      </c>
      <c r="O53" s="24">
        <f>SUMIF(T12_Calc!$N$1:$N$501,"Other / miscellaneous",T12_Calc!$K$1:$K$501)</f>
        <v/>
      </c>
      <c r="P53" s="24">
        <f>SUMIF(T12_Calc!$N$1:$N$501,"Other / miscellaneous",T12_Calc!$L$1:$L$501)</f>
        <v/>
      </c>
      <c r="Q53" s="24">
        <f>SUMIF(T12_Calc!$N$1:$N$501,"Other / miscellaneous",T12_Calc!$M$1:$M$501)</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SUMIF(T12_Calc!$N$1:$N$501,"Management fee",T12_Calc!$B$1:$B$501)</f>
        <v/>
      </c>
      <c r="G54" s="24">
        <f>SUMIF(T12_Calc!$N$1:$N$501,"Management fee",T12_Calc!$C$1:$C$501)</f>
        <v/>
      </c>
      <c r="H54" s="24">
        <f>SUMIF(T12_Calc!$N$1:$N$501,"Management fee",T12_Calc!$D$1:$D$501)</f>
        <v/>
      </c>
      <c r="I54" s="24">
        <f>SUMIF(T12_Calc!$N$1:$N$501,"Management fee",T12_Calc!$E$1:$E$501)</f>
        <v/>
      </c>
      <c r="J54" s="24">
        <f>SUMIF(T12_Calc!$N$1:$N$501,"Management fee",T12_Calc!$F$1:$F$501)</f>
        <v/>
      </c>
      <c r="K54" s="24">
        <f>SUMIF(T12_Calc!$N$1:$N$501,"Management fee",T12_Calc!$G$1:$G$501)</f>
        <v/>
      </c>
      <c r="L54" s="24">
        <f>SUMIF(T12_Calc!$N$1:$N$501,"Management fee",T12_Calc!$H$1:$H$501)</f>
        <v/>
      </c>
      <c r="M54" s="24">
        <f>SUMIF(T12_Calc!$N$1:$N$501,"Management fee",T12_Calc!$I$1:$I$501)</f>
        <v/>
      </c>
      <c r="N54" s="24">
        <f>SUMIF(T12_Calc!$N$1:$N$501,"Management fee",T12_Calc!$J$1:$J$501)</f>
        <v/>
      </c>
      <c r="O54" s="24">
        <f>SUMIF(T12_Calc!$N$1:$N$501,"Management fee",T12_Calc!$K$1:$K$501)</f>
        <v/>
      </c>
      <c r="P54" s="24">
        <f>SUMIF(T12_Calc!$N$1:$N$501,"Management fee",T12_Calc!$L$1:$L$501)</f>
        <v/>
      </c>
      <c r="Q54" s="24">
        <f>SUMIF(T12_Calc!$N$1:$N$501,"Management fee",T12_Calc!$M$1:$M$501)</f>
        <v/>
      </c>
      <c r="R54" s="87">
        <f>SUM(F54:Q54)</f>
        <v/>
      </c>
    </row>
    <row r="55" ht="15.75" customHeight="1" s="199">
      <c r="A55" s="84" t="inlineStr">
        <is>
          <t>Revenue</t>
        </is>
      </c>
      <c r="B55" s="94" t="inlineStr">
        <is>
          <t>Gross Rent Revenue</t>
        </is>
      </c>
      <c r="C55" s="84" t="inlineStr">
        <is>
          <t>-</t>
        </is>
      </c>
      <c r="F55" s="24">
        <f>SUMIF(T12_Calc!$N$1:$N$501,"Gross Rent Revenue",T12_Calc!$B$1:$B$501)</f>
        <v/>
      </c>
      <c r="G55" s="24">
        <f>SUMIF(T12_Calc!$N$1:$N$501,"Gross Rent Revenue",T12_Calc!$C$1:$C$501)</f>
        <v/>
      </c>
      <c r="H55" s="24">
        <f>SUMIF(T12_Calc!$N$1:$N$501,"Gross Rent Revenue",T12_Calc!$D$1:$D$501)</f>
        <v/>
      </c>
      <c r="I55" s="24">
        <f>SUMIF(T12_Calc!$N$1:$N$501,"Gross Rent Revenue",T12_Calc!$E$1:$E$501)</f>
        <v/>
      </c>
      <c r="J55" s="24">
        <f>SUMIF(T12_Calc!$N$1:$N$501,"Gross Rent Revenue",T12_Calc!$F$1:$F$501)</f>
        <v/>
      </c>
      <c r="K55" s="24">
        <f>SUMIF(T12_Calc!$N$1:$N$501,"Gross Rent Revenue",T12_Calc!$G$1:$G$501)</f>
        <v/>
      </c>
      <c r="L55" s="24">
        <f>SUMIF(T12_Calc!$N$1:$N$501,"Gross Rent Revenue",T12_Calc!$H$1:$H$501)</f>
        <v/>
      </c>
      <c r="M55" s="24">
        <f>SUMIF(T12_Calc!$N$1:$N$501,"Gross Rent Revenue",T12_Calc!$I$1:$I$501)</f>
        <v/>
      </c>
      <c r="N55" s="24">
        <f>SUMIF(T12_Calc!$N$1:$N$501,"Gross Rent Revenue",T12_Calc!$J$1:$J$501)</f>
        <v/>
      </c>
      <c r="O55" s="24">
        <f>SUMIF(T12_Calc!$N$1:$N$501,"Gross Rent Revenue",T12_Calc!$K$1:$K$501)</f>
        <v/>
      </c>
      <c r="P55" s="24">
        <f>SUMIF(T12_Calc!$N$1:$N$501,"Gross Rent Revenue",T12_Calc!$L$1:$L$501)</f>
        <v/>
      </c>
      <c r="Q55" s="24">
        <f>SUMIF(T12_Calc!$N$1:$N$501,"Gross Rent Revenue",T12_Calc!$M$1:$M$501)</f>
        <v/>
      </c>
      <c r="R55" s="87">
        <f>SUM(F55:Q55)</f>
        <v/>
      </c>
    </row>
    <row r="56" ht="15.75" customHeight="1" s="199">
      <c r="A56" s="84" t="inlineStr">
        <is>
          <t>Revenue</t>
        </is>
      </c>
      <c r="B56" s="95" t="inlineStr">
        <is>
          <t>Physical Vacancy</t>
        </is>
      </c>
      <c r="C56" s="84" t="inlineStr">
        <is>
          <t>-</t>
        </is>
      </c>
      <c r="F56" s="24">
        <f>SUMIF(T12_Calc!$N$1:$N$501,"Physical Vacancy",T12_Calc!$B$1:$B$501)</f>
        <v/>
      </c>
      <c r="G56" s="24">
        <f>SUMIF(T12_Calc!$N$1:$N$501,"Physical Vacancy",T12_Calc!$C$1:$C$501)</f>
        <v/>
      </c>
      <c r="H56" s="24">
        <f>SUMIF(T12_Calc!$N$1:$N$501,"Physical Vacancy",T12_Calc!$D$1:$D$501)</f>
        <v/>
      </c>
      <c r="I56" s="24">
        <f>SUMIF(T12_Calc!$N$1:$N$501,"Physical Vacancy",T12_Calc!$E$1:$E$501)</f>
        <v/>
      </c>
      <c r="J56" s="24">
        <f>SUMIF(T12_Calc!$N$1:$N$501,"Physical Vacancy",T12_Calc!$F$1:$F$501)</f>
        <v/>
      </c>
      <c r="K56" s="24">
        <f>SUMIF(T12_Calc!$N$1:$N$501,"Physical Vacancy",T12_Calc!$G$1:$G$501)</f>
        <v/>
      </c>
      <c r="L56" s="24">
        <f>SUMIF(T12_Calc!$N$1:$N$501,"Physical Vacancy",T12_Calc!$H$1:$H$501)</f>
        <v/>
      </c>
      <c r="M56" s="24">
        <f>SUMIF(T12_Calc!$N$1:$N$501,"Physical Vacancy",T12_Calc!$I$1:$I$501)</f>
        <v/>
      </c>
      <c r="N56" s="24">
        <f>SUMIF(T12_Calc!$N$1:$N$501,"Physical Vacancy",T12_Calc!$J$1:$J$501)</f>
        <v/>
      </c>
      <c r="O56" s="24">
        <f>SUMIF(T12_Calc!$N$1:$N$501,"Physical Vacancy",T12_Calc!$K$1:$K$501)</f>
        <v/>
      </c>
      <c r="P56" s="24">
        <f>SUMIF(T12_Calc!$N$1:$N$501,"Physical Vacancy",T12_Calc!$L$1:$L$501)</f>
        <v/>
      </c>
      <c r="Q56" s="24">
        <f>SUMIF(T12_Calc!$N$1:$N$501,"Physical Vacancy",T12_Calc!$M$1:$M$501)</f>
        <v/>
      </c>
      <c r="R56" s="87">
        <f>SUM(F56:Q56)</f>
        <v/>
      </c>
    </row>
    <row r="57">
      <c r="A57" s="84" t="inlineStr">
        <is>
          <t>Revenue</t>
        </is>
      </c>
      <c r="B57" s="95" t="inlineStr">
        <is>
          <t>Loss to Lease</t>
        </is>
      </c>
      <c r="C57" s="84" t="inlineStr">
        <is>
          <t>-</t>
        </is>
      </c>
      <c r="F57" s="24">
        <f>SUMIF(T12_Calc!$N$1:$N$501,"Loss to Lease",T12_Calc!$B$1:$B$501)</f>
        <v/>
      </c>
      <c r="G57" s="24">
        <f>SUMIF(T12_Calc!$N$1:$N$501,"Loss to Lease",T12_Calc!$C$1:$C$501)</f>
        <v/>
      </c>
      <c r="H57" s="24">
        <f>SUMIF(T12_Calc!$N$1:$N$501,"Loss to Lease",T12_Calc!$D$1:$D$501)</f>
        <v/>
      </c>
      <c r="I57" s="24">
        <f>SUMIF(T12_Calc!$N$1:$N$501,"Loss to Lease",T12_Calc!$E$1:$E$501)</f>
        <v/>
      </c>
      <c r="J57" s="24">
        <f>SUMIF(T12_Calc!$N$1:$N$501,"Loss to Lease",T12_Calc!$F$1:$F$501)</f>
        <v/>
      </c>
      <c r="K57" s="24">
        <f>SUMIF(T12_Calc!$N$1:$N$501,"Loss to Lease",T12_Calc!$G$1:$G$501)</f>
        <v/>
      </c>
      <c r="L57" s="24">
        <f>SUMIF(T12_Calc!$N$1:$N$501,"Loss to Lease",T12_Calc!$H$1:$H$501)</f>
        <v/>
      </c>
      <c r="M57" s="24">
        <f>SUMIF(T12_Calc!$N$1:$N$501,"Loss to Lease",T12_Calc!$I$1:$I$501)</f>
        <v/>
      </c>
      <c r="N57" s="24">
        <f>SUMIF(T12_Calc!$N$1:$N$501,"Loss to Lease",T12_Calc!$J$1:$J$501)</f>
        <v/>
      </c>
      <c r="O57" s="24">
        <f>SUMIF(T12_Calc!$N$1:$N$501,"Loss to Lease",T12_Calc!$K$1:$K$501)</f>
        <v/>
      </c>
      <c r="P57" s="24">
        <f>SUMIF(T12_Calc!$N$1:$N$501,"Loss to Lease",T12_Calc!$L$1:$L$501)</f>
        <v/>
      </c>
      <c r="Q57" s="24">
        <f>SUMIF(T12_Calc!$N$1:$N$501,"Loss to Lease",T12_Calc!$M$1:$M$501)</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SUMIF(T12_Calc!$N$1:$N$501,"Auto Expense",T12_Calc!$B$1:$B$501)</f>
        <v/>
      </c>
      <c r="G58" s="24">
        <f>SUMIF(T12_Calc!$N$1:$N$501,"Auto Expense",T12_Calc!$C$1:$C$501)</f>
        <v/>
      </c>
      <c r="H58" s="24">
        <f>SUMIF(T12_Calc!$N$1:$N$501,"Auto Expense",T12_Calc!$D$1:$D$501)</f>
        <v/>
      </c>
      <c r="I58" s="24">
        <f>SUMIF(T12_Calc!$N$1:$N$501,"Auto Expense",T12_Calc!$E$1:$E$501)</f>
        <v/>
      </c>
      <c r="J58" s="24">
        <f>SUMIF(T12_Calc!$N$1:$N$501,"Auto Expense",T12_Calc!$F$1:$F$501)</f>
        <v/>
      </c>
      <c r="K58" s="24">
        <f>SUMIF(T12_Calc!$N$1:$N$501,"Auto Expense",T12_Calc!$G$1:$G$501)</f>
        <v/>
      </c>
      <c r="L58" s="24">
        <f>SUMIF(T12_Calc!$N$1:$N$501,"Auto Expense",T12_Calc!$H$1:$H$501)</f>
        <v/>
      </c>
      <c r="M58" s="24">
        <f>SUMIF(T12_Calc!$N$1:$N$501,"Auto Expense",T12_Calc!$I$1:$I$501)</f>
        <v/>
      </c>
      <c r="N58" s="24">
        <f>SUMIF(T12_Calc!$N$1:$N$501,"Auto Expense",T12_Calc!$J$1:$J$501)</f>
        <v/>
      </c>
      <c r="O58" s="24">
        <f>SUMIF(T12_Calc!$N$1:$N$501,"Auto Expense",T12_Calc!$K$1:$K$501)</f>
        <v/>
      </c>
      <c r="P58" s="24">
        <f>SUMIF(T12_Calc!$N$1:$N$501,"Auto Expense",T12_Calc!$L$1:$L$501)</f>
        <v/>
      </c>
      <c r="Q58" s="24">
        <f>SUMIF(T12_Calc!$N$1:$N$501,"Auto Expense",T12_Calc!$M$1:$M$501)</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SUMIF(T12_Calc!$N$1:$N$501,"Lease / ground lease",T12_Calc!$B$1:$B$501)</f>
        <v/>
      </c>
      <c r="G59" s="24">
        <f>SUMIF(T12_Calc!$N$1:$N$501,"Lease / ground lease",T12_Calc!$C$1:$C$501)</f>
        <v/>
      </c>
      <c r="H59" s="24">
        <f>SUMIF(T12_Calc!$N$1:$N$501,"Lease / ground lease",T12_Calc!$D$1:$D$501)</f>
        <v/>
      </c>
      <c r="I59" s="24">
        <f>SUMIF(T12_Calc!$N$1:$N$501,"Lease / ground lease",T12_Calc!$E$1:$E$501)</f>
        <v/>
      </c>
      <c r="J59" s="24">
        <f>SUMIF(T12_Calc!$N$1:$N$501,"Lease / ground lease",T12_Calc!$F$1:$F$501)</f>
        <v/>
      </c>
      <c r="K59" s="24">
        <f>SUMIF(T12_Calc!$N$1:$N$501,"Lease / ground lease",T12_Calc!$G$1:$G$501)</f>
        <v/>
      </c>
      <c r="L59" s="24">
        <f>SUMIF(T12_Calc!$N$1:$N$501,"Lease / ground lease",T12_Calc!$H$1:$H$501)</f>
        <v/>
      </c>
      <c r="M59" s="24">
        <f>SUMIF(T12_Calc!$N$1:$N$501,"Lease / ground lease",T12_Calc!$I$1:$I$501)</f>
        <v/>
      </c>
      <c r="N59" s="24">
        <f>SUMIF(T12_Calc!$N$1:$N$501,"Lease / ground lease",T12_Calc!$J$1:$J$501)</f>
        <v/>
      </c>
      <c r="O59" s="24">
        <f>SUMIF(T12_Calc!$N$1:$N$501,"Lease / ground lease",T12_Calc!$K$1:$K$501)</f>
        <v/>
      </c>
      <c r="P59" s="24">
        <f>SUMIF(T12_Calc!$N$1:$N$501,"Lease / ground lease",T12_Calc!$L$1:$L$501)</f>
        <v/>
      </c>
      <c r="Q59" s="24">
        <f>SUMIF(T12_Calc!$N$1:$N$501,"Lease / ground lease",T12_Calc!$M$1:$M$501)</f>
        <v/>
      </c>
      <c r="R59" s="87">
        <f>SUM(F59:Q59)</f>
        <v/>
      </c>
    </row>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AZ4" t="inlineStr">
        <is>
          <t>v0.1.6</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84"/>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t="n"/>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v0.1.6</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sheetData>
  <mergeCells count="15">
    <mergeCell ref="A57:I57"/>
    <mergeCell ref="A33:I33"/>
    <mergeCell ref="A15:H15"/>
    <mergeCell ref="A32:I32"/>
    <mergeCell ref="A84:I84"/>
    <mergeCell ref="A1:I1"/>
    <mergeCell ref="A27:I27"/>
    <mergeCell ref="C2:I2"/>
    <mergeCell ref="A77:I77"/>
    <mergeCell ref="A69:I69"/>
    <mergeCell ref="A50:I50"/>
    <mergeCell ref="A6:I6"/>
    <mergeCell ref="A48:I48"/>
    <mergeCell ref="A38:I38"/>
    <mergeCell ref="A22:H22"/>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v0.1.6</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v0.1.6</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v0.1.6</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315"/>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v0.1.6</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IFERROR(_xludf.minifs('Rent Roll Input'!$S$7:$S$606,'Rent Roll Input'!$S$7:$S$606,"&gt;"&amp;0),"")</f>
        <v/>
      </c>
      <c r="B2" s="170" t="inlineStr">
        <is>
          <t>Period 1</t>
        </is>
      </c>
      <c r="AZ2" t="inlineStr">
        <is>
          <t>reference</t>
        </is>
      </c>
    </row>
    <row r="3" ht="15.75" customHeight="1" s="199">
      <c r="A3" s="169">
        <f>IFERROR(_xludf.minifs('Rent Roll Input'!$S$7:$S$606,'Rent Roll Input'!$S$7:$S$606,"&gt;"&amp;A2),"")</f>
        <v/>
      </c>
      <c r="B3" s="170" t="inlineStr">
        <is>
          <t>Period 2</t>
        </is>
      </c>
      <c r="AZ3" t="inlineStr">
        <is>
          <t>hidden</t>
        </is>
      </c>
    </row>
    <row r="4" ht="15.75" customHeight="1" s="199">
      <c r="A4" s="169">
        <f>IFERROR(_xludf.minifs('Rent Roll Input'!$S$7:$S$606,'Rent Roll Input'!$S$7:$S$606,"&gt;"&amp;A3),"")</f>
        <v/>
      </c>
      <c r="B4" s="170" t="inlineStr">
        <is>
          <t>Period 3</t>
        </is>
      </c>
      <c r="AZ4" t="inlineStr">
        <is>
          <t>v0.1.6</t>
        </is>
      </c>
    </row>
    <row r="5" ht="15.75" customHeight="1" s="199">
      <c r="A5" s="169">
        <f>IFERROR(_xludf.minifs('Rent Roll Input'!$S$7:$S$606,'Rent Roll Input'!$S$7:$S$606,"&gt;"&amp;A4),"")</f>
        <v/>
      </c>
      <c r="B5" s="170" t="inlineStr">
        <is>
          <t>Period 4</t>
        </is>
      </c>
    </row>
    <row r="6" ht="15.75" customHeight="1" s="199">
      <c r="A6" s="169">
        <f>IFERROR(_xludf.minifs('Rent Roll Input'!$S$7:$S$606,'Rent Roll Input'!$S$7:$S$606,"&gt;"&amp;A5),"")</f>
        <v/>
      </c>
      <c r="B6" s="170" t="inlineStr">
        <is>
          <t>Period 5</t>
        </is>
      </c>
    </row>
    <row r="7" ht="15.75" customHeight="1" s="199">
      <c r="A7" s="169">
        <f>IFERROR(_xludf.minifs('Rent Roll Input'!$S$7:$S$606,'Rent Roll Input'!$S$7:$S$606,"&gt;"&amp;A6),"")</f>
        <v/>
      </c>
      <c r="B7" s="170" t="inlineStr">
        <is>
          <t>Period 6</t>
        </is>
      </c>
    </row>
    <row r="8" ht="15.75" customHeight="1" s="199">
      <c r="A8" s="169">
        <f>IFERROR(_xludf.minifs('Rent Roll Input'!$S$7:$S$606,'Rent Roll Input'!$S$7:$S$606,"&gt;"&amp;A7),"")</f>
        <v/>
      </c>
      <c r="B8" s="170" t="inlineStr">
        <is>
          <t>Period 7</t>
        </is>
      </c>
    </row>
    <row r="9" ht="15.75" customHeight="1" s="199">
      <c r="A9" s="169">
        <f>IFERROR(_xludf.minifs('Rent Roll Input'!$S$7:$S$606,'Rent Roll Input'!$S$7:$S$606,"&gt;"&amp;A8),"")</f>
        <v/>
      </c>
      <c r="B9" s="170" t="inlineStr">
        <is>
          <t>Period 8</t>
        </is>
      </c>
    </row>
    <row r="10" ht="15.75" customHeight="1" s="199">
      <c r="A10" s="169">
        <f>IFERROR(_xludf.minifs('Rent Roll Input'!$S$7:$S$606,'Rent Roll Input'!$S$7:$S$606,"&gt;"&amp;A9),"")</f>
        <v/>
      </c>
      <c r="B10" s="170" t="inlineStr">
        <is>
          <t>Period 9</t>
        </is>
      </c>
    </row>
    <row r="11" ht="15.75" customHeight="1" s="199">
      <c r="A11" s="169">
        <f>IFERROR(_xludf.minifs('Rent Roll Input'!$S$7:$S$606,'Rent Roll Input'!$S$7:$S$606,"&gt;"&amp;A10),"")</f>
        <v/>
      </c>
      <c r="B11" s="170" t="inlineStr">
        <is>
          <t>Period 10</t>
        </is>
      </c>
    </row>
    <row r="12" ht="15.75" customHeight="1" s="199">
      <c r="A12" s="169">
        <f>IFERROR(_xludf.minifs('Rent Roll Input'!$S$7:$S$606,'Rent Roll Input'!$S$7:$S$606,"&gt;"&amp;A11),"")</f>
        <v/>
      </c>
      <c r="B12" s="170" t="inlineStr">
        <is>
          <t>Period 11</t>
        </is>
      </c>
    </row>
    <row r="13" ht="15.75" customHeight="1" s="199">
      <c r="A13" s="169">
        <f>IFERROR(_xludf.minifs('Rent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v0.1.6</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v0.1.6</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2026-04-10T19:56:33Z</dcterms:created>
  <dcterms:modified xmlns:dcterms="http://purl.org/dc/terms/" xmlns:xsi="http://www.w3.org/2001/XMLSchema-instance" xsi:type="dcterms:W3CDTF">2026-05-08T12:31:38Z</dcterms:modified>
  <cp:lastModifiedBy>Erik J</cp:lastModifiedBy>
  <cp:revision>0</cp:revision>
</cp:coreProperties>
</file>