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UW Export" sheetId="9" state="visible" r:id="rId9"/>
    <sheet name="Mapping Review" sheetId="10" state="visible" r:id="rId10"/>
    <sheet name="Description_Map" sheetId="11" state="visible" r:id="rId11"/>
    <sheet name="RR_Calc" sheetId="12" state="hidden" r:id="rId12"/>
    <sheet name="T12_Calc" sheetId="13" state="hidden" r:id="rId13"/>
    <sheet name="Workbook Health" sheetId="14" state="hidden" r:id="rId14"/>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7">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0.00;&quot;($&quot;#,##0.00);-"/>
  </numFmts>
  <fonts count="56">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
      <name val="Calibri"/>
      <b val="1"/>
      <color rgb="FFFFFFFF"/>
      <sz val="12"/>
    </font>
    <font>
      <name val="Calibri"/>
      <b val="1"/>
      <color rgb="FF1F1F1F"/>
      <sz val="11"/>
    </font>
    <font>
      <name val="Arial"/>
      <b val="1"/>
      <color rgb="FFFFFFFF"/>
      <sz val="8"/>
    </font>
    <font>
      <name val="Arial"/>
      <color rgb="FFA0A0A0"/>
      <sz val="10"/>
    </font>
    <font>
      <name val="Calibri"/>
      <family val="2"/>
      <color rgb="FFA0A0A0"/>
      <sz val="11"/>
    </font>
    <font>
      <name val="Arial"/>
      <b val="1"/>
      <color rgb="FFA0A0A0"/>
      <sz val="10"/>
    </font>
  </fonts>
  <fills count="24">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1F6B52"/>
        <bgColor rgb="FF1F6B52"/>
      </patternFill>
    </fill>
    <fill>
      <patternFill patternType="solid">
        <fgColor rgb="FFF2F2F2"/>
        <bgColor rgb="FFF2F2F2"/>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65">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5" fillId="16" borderId="0" applyAlignment="1" pivotButton="0" quotePrefix="0" xfId="0">
      <alignment horizontal="left" vertical="center" wrapText="1"/>
    </xf>
    <xf numFmtId="0" fontId="46" fillId="18" borderId="0" applyAlignment="1" pivotButton="0" quotePrefix="0" xfId="0">
      <alignment horizontal="left" vertical="center" wrapText="1"/>
    </xf>
    <xf numFmtId="0" fontId="47" fillId="19" borderId="8" applyAlignment="1" pivotButton="0" quotePrefix="0" xfId="0">
      <alignment horizontal="center" vertical="center" wrapText="1"/>
    </xf>
    <xf numFmtId="0" fontId="48" fillId="20" borderId="8" applyAlignment="1" pivotButton="0" quotePrefix="0" xfId="0">
      <alignment horizontal="left" vertical="center" wrapText="1"/>
    </xf>
    <xf numFmtId="176" fontId="48" fillId="20" borderId="8" applyAlignment="1" pivotButton="0" quotePrefix="0" xfId="0">
      <alignment horizontal="left" vertical="center" wrapText="1"/>
    </xf>
    <xf numFmtId="0" fontId="48" fillId="21" borderId="8" applyAlignment="1" pivotButton="0" quotePrefix="0" xfId="0">
      <alignment horizontal="left" vertical="center" wrapText="1"/>
    </xf>
    <xf numFmtId="0" fontId="48" fillId="21" borderId="8" applyAlignment="1" pivotButton="0" quotePrefix="0" xfId="0">
      <alignment horizontal="center" vertical="center" wrapText="1"/>
    </xf>
    <xf numFmtId="1" fontId="48" fillId="21" borderId="8" applyAlignment="1" pivotButton="0" quotePrefix="0" xfId="0">
      <alignment horizontal="left" vertical="center" wrapText="1"/>
    </xf>
    <xf numFmtId="174" fontId="48" fillId="21" borderId="8" applyAlignment="1" pivotButton="0" quotePrefix="0" xfId="0">
      <alignment horizontal="left" vertical="center" wrapText="1"/>
    </xf>
    <xf numFmtId="177" fontId="48" fillId="21" borderId="8" applyAlignment="1" pivotButton="0" quotePrefix="0" xfId="0">
      <alignment horizontal="left" vertical="center" wrapText="1"/>
    </xf>
    <xf numFmtId="178" fontId="48" fillId="21" borderId="8" applyAlignment="1" pivotButton="0" quotePrefix="0" xfId="0">
      <alignment horizontal="left" vertical="center" wrapText="1"/>
    </xf>
    <xf numFmtId="177" fontId="48" fillId="21" borderId="8" applyAlignment="1" pivotButton="0" quotePrefix="0" xfId="0">
      <alignment horizontal="right" vertical="center" wrapText="1"/>
    </xf>
    <xf numFmtId="174" fontId="48" fillId="21" borderId="8" applyAlignment="1" pivotButton="0" quotePrefix="0" xfId="0">
      <alignment horizontal="right" vertical="center" wrapText="1"/>
    </xf>
    <xf numFmtId="0" fontId="49" fillId="0" borderId="0" applyAlignment="1" pivotButton="0" quotePrefix="0" xfId="0">
      <alignment horizontal="left" vertical="center" wrapText="1"/>
    </xf>
    <xf numFmtId="0" fontId="48"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8" fillId="21" borderId="8" applyAlignment="1" pivotButton="0" quotePrefix="0" xfId="0">
      <alignment horizontal="right" vertical="center" wrapText="1"/>
    </xf>
    <xf numFmtId="0" fontId="49" fillId="21" borderId="8" applyAlignment="1" pivotButton="0" quotePrefix="0" xfId="0">
      <alignment horizontal="left" vertical="center" wrapText="1"/>
    </xf>
    <xf numFmtId="179" fontId="48" fillId="0" borderId="8" applyAlignment="1" pivotButton="0" quotePrefix="0" xfId="0">
      <alignment horizontal="right" vertical="center" wrapText="1"/>
    </xf>
    <xf numFmtId="0" fontId="48" fillId="0" borderId="0" applyAlignment="1" pivotButton="0" quotePrefix="0" xfId="0">
      <alignment horizontal="left" vertical="center" wrapText="1"/>
    </xf>
    <xf numFmtId="177" fontId="48" fillId="0" borderId="0" applyAlignment="1" pivotButton="0" quotePrefix="0" xfId="0">
      <alignment horizontal="right" vertical="center" wrapText="1"/>
    </xf>
    <xf numFmtId="178" fontId="48" fillId="0" borderId="0" applyAlignment="1" pivotButton="0" quotePrefix="0" xfId="0">
      <alignment horizontal="right" vertical="center" wrapText="1"/>
    </xf>
    <xf numFmtId="0" fontId="47" fillId="20" borderId="0" applyAlignment="1" pivotButton="0" quotePrefix="0" xfId="0">
      <alignment horizontal="left" vertical="center" wrapText="1"/>
    </xf>
    <xf numFmtId="0" fontId="50" fillId="16" borderId="0" applyAlignment="1" pivotButton="0" quotePrefix="0" xfId="0">
      <alignment horizontal="left" vertical="center" wrapText="1"/>
    </xf>
    <xf numFmtId="0" fontId="47" fillId="19" borderId="8" applyAlignment="1" pivotButton="0" quotePrefix="0" xfId="0">
      <alignment horizontal="left" vertical="center" wrapText="1"/>
    </xf>
    <xf numFmtId="0" fontId="48" fillId="0" borderId="8" applyAlignment="1" pivotButton="0" quotePrefix="0" xfId="0">
      <alignment horizontal="left" vertical="center" wrapText="1"/>
    </xf>
    <xf numFmtId="0" fontId="48" fillId="0" borderId="0" pivotButton="0" quotePrefix="0" xfId="0"/>
    <xf numFmtId="0" fontId="47" fillId="19" borderId="0" applyAlignment="1" pivotButton="0" quotePrefix="0" xfId="0">
      <alignment horizontal="center" vertical="center" wrapText="1"/>
    </xf>
    <xf numFmtId="0" fontId="48" fillId="0" borderId="8" applyAlignment="1" pivotButton="0" quotePrefix="0" xfId="0">
      <alignment horizontal="center" vertical="center" wrapText="1"/>
    </xf>
    <xf numFmtId="0" fontId="51" fillId="20" borderId="8" applyAlignment="1" pivotButton="0" quotePrefix="0" xfId="0">
      <alignment horizontal="left" vertical="center" wrapText="1"/>
    </xf>
    <xf numFmtId="0" fontId="52" fillId="16" borderId="1" applyAlignment="1" pivotButton="0" quotePrefix="0" xfId="0">
      <alignment horizontal="center" vertical="center" wrapText="1"/>
    </xf>
    <xf numFmtId="0" fontId="52" fillId="0" borderId="1" applyAlignment="1" pivotButton="0" quotePrefix="0" xfId="0">
      <alignment horizontal="center" vertical="center" wrapText="1"/>
    </xf>
    <xf numFmtId="180" fontId="0" fillId="3" borderId="1" applyAlignment="1" pivotButton="0" quotePrefix="0" xfId="0">
      <alignment horizontal="right" vertical="center"/>
    </xf>
    <xf numFmtId="164"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53" fillId="23" borderId="1" applyAlignment="1" pivotButton="0" quotePrefix="0" xfId="0">
      <alignment horizontal="center" vertical="center"/>
    </xf>
    <xf numFmtId="0" fontId="52" fillId="22" borderId="1" applyAlignment="1" pivotButton="0" quotePrefix="0" xfId="0">
      <alignment horizontal="center" vertical="center" wrapText="1"/>
    </xf>
    <xf numFmtId="0" fontId="54" fillId="23" borderId="0" applyAlignment="1" pivotButton="0" quotePrefix="0" xfId="0">
      <alignment horizontal="center"/>
    </xf>
    <xf numFmtId="167" fontId="53" fillId="23" borderId="1" applyAlignment="1" pivotButton="0" quotePrefix="0" xfId="0">
      <alignment horizontal="center" vertical="center"/>
    </xf>
    <xf numFmtId="167" fontId="55" fillId="23"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v0.2.4</t>
        </is>
      </c>
    </row>
    <row r="5">
      <c r="A5" t="inlineStr">
        <is>
          <t>Property name</t>
        </is>
      </c>
    </row>
    <row r="7">
      <c r="A7" s="205" t="inlineStr">
        <is>
          <t>Versions</t>
        </is>
      </c>
    </row>
    <row r="8">
      <c r="A8" t="inlineStr">
        <is>
          <t>Substrate template</t>
        </is>
      </c>
      <c r="B8" t="inlineStr">
        <is>
          <t>v0.2.4</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70"/>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v0.2.4</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260" t="inlineStr">
        <is>
          <t>—</t>
        </is>
      </c>
      <c r="F36" s="27">
        <f>IFERROR((B6*B36+C6*C36+D6*D36)/E6,"-")</f>
        <v/>
      </c>
      <c r="G36" s="260"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Data'!$R$61)&gt;0,ABS('T12 Raw Data'!$R$61),F38),F38)</f>
        <v/>
      </c>
      <c r="F38" s="25">
        <f>SUM(B38:D38)</f>
        <v/>
      </c>
      <c r="G38" s="24">
        <f>IFERROR(IF(E38="","",E38-F38),"")</f>
        <v/>
      </c>
      <c r="H38" s="15">
        <f>IF(AND(E37&lt;&gt;"",ABS('T12 Raw Data'!$R$61)&gt;0),"T12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Data'!$R$61)&gt;0),E38/E37,IFERROR((E6-E7)/E6,"-")),IFERROR((E6-E7)/E6,"-"))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Data'!$R$62)&gt;0,ABS('T12 Raw Data'!$R$62),F37-F38-E16),F37-F38-E16)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46">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row r="168">
      <c r="A168" s="225" t="inlineStr">
        <is>
          <t>RR ↔ T12 — 2nd Person Revenue Reconciliation  (BL-0004)</t>
        </is>
      </c>
    </row>
    <row r="169">
      <c r="A169" s="226" t="inlineStr">
        <is>
          <t>Metric</t>
        </is>
      </c>
      <c r="B169" s="226" t="inlineStr">
        <is>
          <t>RR projection
(annual)</t>
        </is>
      </c>
      <c r="C169" s="226" t="inlineStr">
        <is>
          <t>T12 actual
(annual)</t>
        </is>
      </c>
      <c r="D169" s="226" t="inlineStr">
        <is>
          <t>Variance %</t>
        </is>
      </c>
      <c r="E169" s="226" t="inlineStr">
        <is>
          <t>Note</t>
        </is>
      </c>
      <c r="F169" s="196" t="n"/>
      <c r="G169" s="197" t="n"/>
    </row>
    <row r="170">
      <c r="A170" s="229" t="inlineStr">
        <is>
          <t>2P revenue
(Σ Rent Roll Input!V × 12  vs.  T12 Raw Data!R15)</t>
        </is>
      </c>
      <c r="B170" s="235">
        <f>SUM('Rent Roll Input'!$V$7:$V$606)*12</f>
        <v/>
      </c>
      <c r="C170" s="235">
        <f>IFERROR('T12 Raw Data'!$R$15,0)</f>
        <v/>
      </c>
      <c r="D170" s="240">
        <f>IFERROR((B170-C170)/C170,"")</f>
        <v/>
      </c>
      <c r="E170" s="241">
        <f>IF(NOT(ISNUMBER(D170)),"",IF(ABS(D170)&gt;0.1,"⚠ 2P revenue gap of "&amp;TEXT(D170,"0.0%")&amp;" — verify SP column matches operator's published 2P rate","✓ 2P revenue reconciles within "&amp;TEXT(0.1,"0%")&amp;" of T12"))</f>
        <v/>
      </c>
      <c r="F170" s="196" t="n"/>
      <c r="G170" s="197" t="n"/>
    </row>
  </sheetData>
  <mergeCells count="21">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v0.2.4</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v0.2.4</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SUMIF(T12_Calc!$N$1:$N$505,"Base rent — IL",T12_Calc!$B$1:$B$505)</f>
        <v/>
      </c>
      <c r="G6" s="24">
        <f>SUMIF(T12_Calc!$N$1:$N$505,"Base rent — IL",T12_Calc!$C$1:$C$505)</f>
        <v/>
      </c>
      <c r="H6" s="24">
        <f>SUMIF(T12_Calc!$N$1:$N$505,"Base rent — IL",T12_Calc!$D$1:$D$505)</f>
        <v/>
      </c>
      <c r="I6" s="24">
        <f>SUMIF(T12_Calc!$N$1:$N$505,"Base rent — IL",T12_Calc!$E$1:$E$505)</f>
        <v/>
      </c>
      <c r="J6" s="24">
        <f>SUMIF(T12_Calc!$N$1:$N$505,"Base rent — IL",T12_Calc!$F$1:$F$505)</f>
        <v/>
      </c>
      <c r="K6" s="24">
        <f>SUMIF(T12_Calc!$N$1:$N$505,"Base rent — IL",T12_Calc!$G$1:$G$505)</f>
        <v/>
      </c>
      <c r="L6" s="24">
        <f>SUMIF(T12_Calc!$N$1:$N$505,"Base rent — IL",T12_Calc!$H$1:$H$505)</f>
        <v/>
      </c>
      <c r="M6" s="24">
        <f>SUMIF(T12_Calc!$N$1:$N$505,"Base rent — IL",T12_Calc!$I$1:$I$505)</f>
        <v/>
      </c>
      <c r="N6" s="24">
        <f>SUMIF(T12_Calc!$N$1:$N$505,"Base rent — IL",T12_Calc!$J$1:$J$505)</f>
        <v/>
      </c>
      <c r="O6" s="24">
        <f>SUMIF(T12_Calc!$N$1:$N$505,"Base rent — IL",T12_Calc!$K$1:$K$505)</f>
        <v/>
      </c>
      <c r="P6" s="24">
        <f>SUMIF(T12_Calc!$N$1:$N$505,"Base rent — IL",T12_Calc!$L$1:$L$505)</f>
        <v/>
      </c>
      <c r="Q6" s="24">
        <f>SUMIF(T12_Calc!$N$1:$N$505,"Base rent — IL",T12_Calc!$M$1:$M$505)</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SUMIF(T12_Calc!$N$1:$N$505,"Base rent — AL",T12_Calc!$B$1:$B$505)</f>
        <v/>
      </c>
      <c r="G7" s="24">
        <f>SUMIF(T12_Calc!$N$1:$N$505,"Base rent — AL",T12_Calc!$C$1:$C$505)</f>
        <v/>
      </c>
      <c r="H7" s="24">
        <f>SUMIF(T12_Calc!$N$1:$N$505,"Base rent — AL",T12_Calc!$D$1:$D$505)</f>
        <v/>
      </c>
      <c r="I7" s="24">
        <f>SUMIF(T12_Calc!$N$1:$N$505,"Base rent — AL",T12_Calc!$E$1:$E$505)</f>
        <v/>
      </c>
      <c r="J7" s="24">
        <f>SUMIF(T12_Calc!$N$1:$N$505,"Base rent — AL",T12_Calc!$F$1:$F$505)</f>
        <v/>
      </c>
      <c r="K7" s="24">
        <f>SUMIF(T12_Calc!$N$1:$N$505,"Base rent — AL",T12_Calc!$G$1:$G$505)</f>
        <v/>
      </c>
      <c r="L7" s="24">
        <f>SUMIF(T12_Calc!$N$1:$N$505,"Base rent — AL",T12_Calc!$H$1:$H$505)</f>
        <v/>
      </c>
      <c r="M7" s="24">
        <f>SUMIF(T12_Calc!$N$1:$N$505,"Base rent — AL",T12_Calc!$I$1:$I$505)</f>
        <v/>
      </c>
      <c r="N7" s="24">
        <f>SUMIF(T12_Calc!$N$1:$N$505,"Base rent — AL",T12_Calc!$J$1:$J$505)</f>
        <v/>
      </c>
      <c r="O7" s="24">
        <f>SUMIF(T12_Calc!$N$1:$N$505,"Base rent — AL",T12_Calc!$K$1:$K$505)</f>
        <v/>
      </c>
      <c r="P7" s="24">
        <f>SUMIF(T12_Calc!$N$1:$N$505,"Base rent — AL",T12_Calc!$L$1:$L$505)</f>
        <v/>
      </c>
      <c r="Q7" s="24">
        <f>SUMIF(T12_Calc!$N$1:$N$505,"Base rent — AL",T12_Calc!$M$1:$M$505)</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SUMIF(T12_Calc!$N$1:$N$505,"Base rent — MC",T12_Calc!$B$1:$B$505)</f>
        <v/>
      </c>
      <c r="G8" s="24">
        <f>SUMIF(T12_Calc!$N$1:$N$505,"Base rent — MC",T12_Calc!$C$1:$C$505)</f>
        <v/>
      </c>
      <c r="H8" s="24">
        <f>SUMIF(T12_Calc!$N$1:$N$505,"Base rent — MC",T12_Calc!$D$1:$D$505)</f>
        <v/>
      </c>
      <c r="I8" s="24">
        <f>SUMIF(T12_Calc!$N$1:$N$505,"Base rent — MC",T12_Calc!$E$1:$E$505)</f>
        <v/>
      </c>
      <c r="J8" s="24">
        <f>SUMIF(T12_Calc!$N$1:$N$505,"Base rent — MC",T12_Calc!$F$1:$F$505)</f>
        <v/>
      </c>
      <c r="K8" s="24">
        <f>SUMIF(T12_Calc!$N$1:$N$505,"Base rent — MC",T12_Calc!$G$1:$G$505)</f>
        <v/>
      </c>
      <c r="L8" s="24">
        <f>SUMIF(T12_Calc!$N$1:$N$505,"Base rent — MC",T12_Calc!$H$1:$H$505)</f>
        <v/>
      </c>
      <c r="M8" s="24">
        <f>SUMIF(T12_Calc!$N$1:$N$505,"Base rent — MC",T12_Calc!$I$1:$I$505)</f>
        <v/>
      </c>
      <c r="N8" s="24">
        <f>SUMIF(T12_Calc!$N$1:$N$505,"Base rent — MC",T12_Calc!$J$1:$J$505)</f>
        <v/>
      </c>
      <c r="O8" s="24">
        <f>SUMIF(T12_Calc!$N$1:$N$505,"Base rent — MC",T12_Calc!$K$1:$K$505)</f>
        <v/>
      </c>
      <c r="P8" s="24">
        <f>SUMIF(T12_Calc!$N$1:$N$505,"Base rent — MC",T12_Calc!$L$1:$L$505)</f>
        <v/>
      </c>
      <c r="Q8" s="24">
        <f>SUMIF(T12_Calc!$N$1:$N$505,"Base rent — MC",T12_Calc!$M$1:$M$505)</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SUMIF(T12_Calc!$N$1:$N$505,"LOC revenue — IL",T12_Calc!$B$1:$B$505)</f>
        <v/>
      </c>
      <c r="G9" s="24">
        <f>SUMIF(T12_Calc!$N$1:$N$505,"LOC revenue — IL",T12_Calc!$C$1:$C$505)</f>
        <v/>
      </c>
      <c r="H9" s="24">
        <f>SUMIF(T12_Calc!$N$1:$N$505,"LOC revenue — IL",T12_Calc!$D$1:$D$505)</f>
        <v/>
      </c>
      <c r="I9" s="24">
        <f>SUMIF(T12_Calc!$N$1:$N$505,"LOC revenue — IL",T12_Calc!$E$1:$E$505)</f>
        <v/>
      </c>
      <c r="J9" s="24">
        <f>SUMIF(T12_Calc!$N$1:$N$505,"LOC revenue — IL",T12_Calc!$F$1:$F$505)</f>
        <v/>
      </c>
      <c r="K9" s="24">
        <f>SUMIF(T12_Calc!$N$1:$N$505,"LOC revenue — IL",T12_Calc!$G$1:$G$505)</f>
        <v/>
      </c>
      <c r="L9" s="24">
        <f>SUMIF(T12_Calc!$N$1:$N$505,"LOC revenue — IL",T12_Calc!$H$1:$H$505)</f>
        <v/>
      </c>
      <c r="M9" s="24">
        <f>SUMIF(T12_Calc!$N$1:$N$505,"LOC revenue — IL",T12_Calc!$I$1:$I$505)</f>
        <v/>
      </c>
      <c r="N9" s="24">
        <f>SUMIF(T12_Calc!$N$1:$N$505,"LOC revenue — IL",T12_Calc!$J$1:$J$505)</f>
        <v/>
      </c>
      <c r="O9" s="24">
        <f>SUMIF(T12_Calc!$N$1:$N$505,"LOC revenue — IL",T12_Calc!$K$1:$K$505)</f>
        <v/>
      </c>
      <c r="P9" s="24">
        <f>SUMIF(T12_Calc!$N$1:$N$505,"LOC revenue — IL",T12_Calc!$L$1:$L$505)</f>
        <v/>
      </c>
      <c r="Q9" s="24">
        <f>SUMIF(T12_Calc!$N$1:$N$505,"LOC revenue — IL",T12_Calc!$M$1:$M$505)</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SUMIF(T12_Calc!$N$1:$N$505,"LOC revenue — AL",T12_Calc!$B$1:$B$505)</f>
        <v/>
      </c>
      <c r="G10" s="24">
        <f>SUMIF(T12_Calc!$N$1:$N$505,"LOC revenue — AL",T12_Calc!$C$1:$C$505)</f>
        <v/>
      </c>
      <c r="H10" s="24">
        <f>SUMIF(T12_Calc!$N$1:$N$505,"LOC revenue — AL",T12_Calc!$D$1:$D$505)</f>
        <v/>
      </c>
      <c r="I10" s="24">
        <f>SUMIF(T12_Calc!$N$1:$N$505,"LOC revenue — AL",T12_Calc!$E$1:$E$505)</f>
        <v/>
      </c>
      <c r="J10" s="24">
        <f>SUMIF(T12_Calc!$N$1:$N$505,"LOC revenue — AL",T12_Calc!$F$1:$F$505)</f>
        <v/>
      </c>
      <c r="K10" s="24">
        <f>SUMIF(T12_Calc!$N$1:$N$505,"LOC revenue — AL",T12_Calc!$G$1:$G$505)</f>
        <v/>
      </c>
      <c r="L10" s="24">
        <f>SUMIF(T12_Calc!$N$1:$N$505,"LOC revenue — AL",T12_Calc!$H$1:$H$505)</f>
        <v/>
      </c>
      <c r="M10" s="24">
        <f>SUMIF(T12_Calc!$N$1:$N$505,"LOC revenue — AL",T12_Calc!$I$1:$I$505)</f>
        <v/>
      </c>
      <c r="N10" s="24">
        <f>SUMIF(T12_Calc!$N$1:$N$505,"LOC revenue — AL",T12_Calc!$J$1:$J$505)</f>
        <v/>
      </c>
      <c r="O10" s="24">
        <f>SUMIF(T12_Calc!$N$1:$N$505,"LOC revenue — AL",T12_Calc!$K$1:$K$505)</f>
        <v/>
      </c>
      <c r="P10" s="24">
        <f>SUMIF(T12_Calc!$N$1:$N$505,"LOC revenue — AL",T12_Calc!$L$1:$L$505)</f>
        <v/>
      </c>
      <c r="Q10" s="24">
        <f>SUMIF(T12_Calc!$N$1:$N$505,"LOC revenue — AL",T12_Calc!$M$1:$M$505)</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SUMIF(T12_Calc!$N$1:$N$505,"LOC revenue — MC",T12_Calc!$B$1:$B$505)</f>
        <v/>
      </c>
      <c r="G11" s="24">
        <f>SUMIF(T12_Calc!$N$1:$N$505,"LOC revenue — MC",T12_Calc!$C$1:$C$505)</f>
        <v/>
      </c>
      <c r="H11" s="24">
        <f>SUMIF(T12_Calc!$N$1:$N$505,"LOC revenue — MC",T12_Calc!$D$1:$D$505)</f>
        <v/>
      </c>
      <c r="I11" s="24">
        <f>SUMIF(T12_Calc!$N$1:$N$505,"LOC revenue — MC",T12_Calc!$E$1:$E$505)</f>
        <v/>
      </c>
      <c r="J11" s="24">
        <f>SUMIF(T12_Calc!$N$1:$N$505,"LOC revenue — MC",T12_Calc!$F$1:$F$505)</f>
        <v/>
      </c>
      <c r="K11" s="24">
        <f>SUMIF(T12_Calc!$N$1:$N$505,"LOC revenue — MC",T12_Calc!$G$1:$G$505)</f>
        <v/>
      </c>
      <c r="L11" s="24">
        <f>SUMIF(T12_Calc!$N$1:$N$505,"LOC revenue — MC",T12_Calc!$H$1:$H$505)</f>
        <v/>
      </c>
      <c r="M11" s="24">
        <f>SUMIF(T12_Calc!$N$1:$N$505,"LOC revenue — MC",T12_Calc!$I$1:$I$505)</f>
        <v/>
      </c>
      <c r="N11" s="24">
        <f>SUMIF(T12_Calc!$N$1:$N$505,"LOC revenue — MC",T12_Calc!$J$1:$J$505)</f>
        <v/>
      </c>
      <c r="O11" s="24">
        <f>SUMIF(T12_Calc!$N$1:$N$505,"LOC revenue — MC",T12_Calc!$K$1:$K$505)</f>
        <v/>
      </c>
      <c r="P11" s="24">
        <f>SUMIF(T12_Calc!$N$1:$N$505,"LOC revenue — MC",T12_Calc!$L$1:$L$505)</f>
        <v/>
      </c>
      <c r="Q11" s="24">
        <f>SUMIF(T12_Calc!$N$1:$N$505,"LOC revenue — MC",T12_Calc!$M$1:$M$505)</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SUMIF(T12_Calc!$N$1:$N$505,"Community / move-in fees",T12_Calc!$B$1:$B$505)</f>
        <v/>
      </c>
      <c r="G12" s="47">
        <f>SUMIF(T12_Calc!$N$1:$N$505,"Community / move-in fees",T12_Calc!$C$1:$C$505)</f>
        <v/>
      </c>
      <c r="H12" s="47">
        <f>SUMIF(T12_Calc!$N$1:$N$505,"Community / move-in fees",T12_Calc!$D$1:$D$505)</f>
        <v/>
      </c>
      <c r="I12" s="47">
        <f>SUMIF(T12_Calc!$N$1:$N$505,"Community / move-in fees",T12_Calc!$E$1:$E$505)</f>
        <v/>
      </c>
      <c r="J12" s="47">
        <f>SUMIF(T12_Calc!$N$1:$N$505,"Community / move-in fees",T12_Calc!$F$1:$F$505)</f>
        <v/>
      </c>
      <c r="K12" s="47">
        <f>SUMIF(T12_Calc!$N$1:$N$505,"Community / move-in fees",T12_Calc!$G$1:$G$505)</f>
        <v/>
      </c>
      <c r="L12" s="47">
        <f>SUMIF(T12_Calc!$N$1:$N$505,"Community / move-in fees",T12_Calc!$H$1:$H$505)</f>
        <v/>
      </c>
      <c r="M12" s="47">
        <f>SUMIF(T12_Calc!$N$1:$N$505,"Community / move-in fees",T12_Calc!$I$1:$I$505)</f>
        <v/>
      </c>
      <c r="N12" s="47">
        <f>SUMIF(T12_Calc!$N$1:$N$505,"Community / move-in fees",T12_Calc!$J$1:$J$505)</f>
        <v/>
      </c>
      <c r="O12" s="47">
        <f>SUMIF(T12_Calc!$N$1:$N$505,"Community / move-in fees",T12_Calc!$K$1:$K$505)</f>
        <v/>
      </c>
      <c r="P12" s="47">
        <f>SUMIF(T12_Calc!$N$1:$N$505,"Community / move-in fees",T12_Calc!$L$1:$L$505)</f>
        <v/>
      </c>
      <c r="Q12" s="47">
        <f>SUMIF(T12_Calc!$N$1:$N$505,"Community / move-in fees",T12_Calc!$M$1:$M$505)</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SUMIF(T12_Calc!$N$1:$N$505,"Concessions &amp; specials",T12_Calc!$B$1:$B$505)</f>
        <v/>
      </c>
      <c r="G13" s="47">
        <f>SUMIF(T12_Calc!$N$1:$N$505,"Concessions &amp; specials",T12_Calc!$C$1:$C$505)</f>
        <v/>
      </c>
      <c r="H13" s="47">
        <f>SUMIF(T12_Calc!$N$1:$N$505,"Concessions &amp; specials",T12_Calc!$D$1:$D$505)</f>
        <v/>
      </c>
      <c r="I13" s="47">
        <f>SUMIF(T12_Calc!$N$1:$N$505,"Concessions &amp; specials",T12_Calc!$E$1:$E$505)</f>
        <v/>
      </c>
      <c r="J13" s="47">
        <f>SUMIF(T12_Calc!$N$1:$N$505,"Concessions &amp; specials",T12_Calc!$F$1:$F$505)</f>
        <v/>
      </c>
      <c r="K13" s="47">
        <f>SUMIF(T12_Calc!$N$1:$N$505,"Concessions &amp; specials",T12_Calc!$G$1:$G$505)</f>
        <v/>
      </c>
      <c r="L13" s="47">
        <f>SUMIF(T12_Calc!$N$1:$N$505,"Concessions &amp; specials",T12_Calc!$H$1:$H$505)</f>
        <v/>
      </c>
      <c r="M13" s="47">
        <f>SUMIF(T12_Calc!$N$1:$N$505,"Concessions &amp; specials",T12_Calc!$I$1:$I$505)</f>
        <v/>
      </c>
      <c r="N13" s="47">
        <f>SUMIF(T12_Calc!$N$1:$N$505,"Concessions &amp; specials",T12_Calc!$J$1:$J$505)</f>
        <v/>
      </c>
      <c r="O13" s="47">
        <f>SUMIF(T12_Calc!$N$1:$N$505,"Concessions &amp; specials",T12_Calc!$K$1:$K$505)</f>
        <v/>
      </c>
      <c r="P13" s="47">
        <f>SUMIF(T12_Calc!$N$1:$N$505,"Concessions &amp; specials",T12_Calc!$L$1:$L$505)</f>
        <v/>
      </c>
      <c r="Q13" s="47">
        <f>SUMIF(T12_Calc!$N$1:$N$505,"Concessions &amp; specials",T12_Calc!$M$1:$M$505)</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SUMIF(T12_Calc!$N$1:$N$505,"Respite care",T12_Calc!$B$1:$B$505)</f>
        <v/>
      </c>
      <c r="G14" s="47">
        <f>SUMIF(T12_Calc!$N$1:$N$505,"Respite care",T12_Calc!$C$1:$C$505)</f>
        <v/>
      </c>
      <c r="H14" s="47">
        <f>SUMIF(T12_Calc!$N$1:$N$505,"Respite care",T12_Calc!$D$1:$D$505)</f>
        <v/>
      </c>
      <c r="I14" s="47">
        <f>SUMIF(T12_Calc!$N$1:$N$505,"Respite care",T12_Calc!$E$1:$E$505)</f>
        <v/>
      </c>
      <c r="J14" s="47">
        <f>SUMIF(T12_Calc!$N$1:$N$505,"Respite care",T12_Calc!$F$1:$F$505)</f>
        <v/>
      </c>
      <c r="K14" s="47">
        <f>SUMIF(T12_Calc!$N$1:$N$505,"Respite care",T12_Calc!$G$1:$G$505)</f>
        <v/>
      </c>
      <c r="L14" s="47">
        <f>SUMIF(T12_Calc!$N$1:$N$505,"Respite care",T12_Calc!$H$1:$H$505)</f>
        <v/>
      </c>
      <c r="M14" s="47">
        <f>SUMIF(T12_Calc!$N$1:$N$505,"Respite care",T12_Calc!$I$1:$I$505)</f>
        <v/>
      </c>
      <c r="N14" s="47">
        <f>SUMIF(T12_Calc!$N$1:$N$505,"Respite care",T12_Calc!$J$1:$J$505)</f>
        <v/>
      </c>
      <c r="O14" s="47">
        <f>SUMIF(T12_Calc!$N$1:$N$505,"Respite care",T12_Calc!$K$1:$K$505)</f>
        <v/>
      </c>
      <c r="P14" s="47">
        <f>SUMIF(T12_Calc!$N$1:$N$505,"Respite care",T12_Calc!$L$1:$L$505)</f>
        <v/>
      </c>
      <c r="Q14" s="47">
        <f>SUMIF(T12_Calc!$N$1:$N$505,"Respite care",T12_Calc!$M$1:$M$505)</f>
        <v/>
      </c>
      <c r="R14" s="93">
        <f>SUM(F14:Q14)</f>
        <v/>
      </c>
    </row>
    <row r="15" ht="15.75" customHeight="1" s="199">
      <c r="A15" s="82" t="inlineStr">
        <is>
          <t>Revenue</t>
        </is>
      </c>
      <c r="B15" s="83" t="inlineStr">
        <is>
          <t>2nd Person Revenue</t>
        </is>
      </c>
      <c r="C15" s="84" t="n"/>
      <c r="D15" s="85" t="n"/>
      <c r="E15" s="86" t="n"/>
      <c r="F15" s="24">
        <f>SUMIF(T12_Calc!$N$1:$N$505,"2nd Person Revenue",T12_Calc!$B$1:$B$505)</f>
        <v/>
      </c>
      <c r="G15" s="24">
        <f>SUMIF(T12_Calc!$N$1:$N$505,"2nd Person Revenue",T12_Calc!$C$1:$C$505)</f>
        <v/>
      </c>
      <c r="H15" s="24">
        <f>SUMIF(T12_Calc!$N$1:$N$505,"2nd Person Revenue",T12_Calc!$D$1:$D$505)</f>
        <v/>
      </c>
      <c r="I15" s="24">
        <f>SUMIF(T12_Calc!$N$1:$N$505,"2nd Person Revenue",T12_Calc!$E$1:$E$505)</f>
        <v/>
      </c>
      <c r="J15" s="24">
        <f>SUMIF(T12_Calc!$N$1:$N$505,"2nd Person Revenue",T12_Calc!$F$1:$F$505)</f>
        <v/>
      </c>
      <c r="K15" s="24">
        <f>SUMIF(T12_Calc!$N$1:$N$505,"2nd Person Revenue",T12_Calc!$G$1:$G$505)</f>
        <v/>
      </c>
      <c r="L15" s="24">
        <f>SUMIF(T12_Calc!$N$1:$N$505,"2nd Person Revenue",T12_Calc!$H$1:$H$505)</f>
        <v/>
      </c>
      <c r="M15" s="24">
        <f>SUMIF(T12_Calc!$N$1:$N$505,"2nd Person Revenue",T12_Calc!$I$1:$I$505)</f>
        <v/>
      </c>
      <c r="N15" s="24">
        <f>SUMIF(T12_Calc!$N$1:$N$505,"2nd Person Revenue",T12_Calc!$J$1:$J$505)</f>
        <v/>
      </c>
      <c r="O15" s="24">
        <f>SUMIF(T12_Calc!$N$1:$N$505,"2nd Person Revenue",T12_Calc!$K$1:$K$505)</f>
        <v/>
      </c>
      <c r="P15" s="24">
        <f>SUMIF(T12_Calc!$N$1:$N$505,"2nd Person Revenue",T12_Calc!$L$1:$L$505)</f>
        <v/>
      </c>
      <c r="Q15" s="24">
        <f>SUMIF(T12_Calc!$N$1:$N$505,"2nd Person Revenue",T12_Calc!$M$1:$M$505)</f>
        <v/>
      </c>
      <c r="R15" s="87">
        <f>SUM(F15:Q15)</f>
        <v/>
      </c>
    </row>
    <row r="16" ht="15.75" customHeight="1" s="199">
      <c r="A16" s="82" t="inlineStr">
        <is>
          <t>Revenue</t>
        </is>
      </c>
      <c r="B16" s="83" t="inlineStr">
        <is>
          <t>Meal Income</t>
        </is>
      </c>
      <c r="C16" s="84" t="n"/>
      <c r="D16" s="85" t="n"/>
      <c r="E16" s="86" t="n"/>
      <c r="F16" s="24">
        <f>SUMIF(T12_Calc!$N$1:$N$505,"Meal Income",T12_Calc!$B$1:$B$505)</f>
        <v/>
      </c>
      <c r="G16" s="24">
        <f>SUMIF(T12_Calc!$N$1:$N$505,"Meal Income",T12_Calc!$C$1:$C$505)</f>
        <v/>
      </c>
      <c r="H16" s="24">
        <f>SUMIF(T12_Calc!$N$1:$N$505,"Meal Income",T12_Calc!$D$1:$D$505)</f>
        <v/>
      </c>
      <c r="I16" s="24">
        <f>SUMIF(T12_Calc!$N$1:$N$505,"Meal Income",T12_Calc!$E$1:$E$505)</f>
        <v/>
      </c>
      <c r="J16" s="24">
        <f>SUMIF(T12_Calc!$N$1:$N$505,"Meal Income",T12_Calc!$F$1:$F$505)</f>
        <v/>
      </c>
      <c r="K16" s="24">
        <f>SUMIF(T12_Calc!$N$1:$N$505,"Meal Income",T12_Calc!$G$1:$G$505)</f>
        <v/>
      </c>
      <c r="L16" s="24">
        <f>SUMIF(T12_Calc!$N$1:$N$505,"Meal Income",T12_Calc!$H$1:$H$505)</f>
        <v/>
      </c>
      <c r="M16" s="24">
        <f>SUMIF(T12_Calc!$N$1:$N$505,"Meal Income",T12_Calc!$I$1:$I$505)</f>
        <v/>
      </c>
      <c r="N16" s="24">
        <f>SUMIF(T12_Calc!$N$1:$N$505,"Meal Income",T12_Calc!$J$1:$J$505)</f>
        <v/>
      </c>
      <c r="O16" s="24">
        <f>SUMIF(T12_Calc!$N$1:$N$505,"Meal Income",T12_Calc!$K$1:$K$505)</f>
        <v/>
      </c>
      <c r="P16" s="24">
        <f>SUMIF(T12_Calc!$N$1:$N$505,"Meal Income",T12_Calc!$L$1:$L$505)</f>
        <v/>
      </c>
      <c r="Q16" s="24">
        <f>SUMIF(T12_Calc!$N$1:$N$505,"Meal Income",T12_Calc!$M$1:$M$505)</f>
        <v/>
      </c>
      <c r="R16" s="87">
        <f>SUM(F16:Q16)</f>
        <v/>
      </c>
    </row>
    <row r="17" ht="15.75" customHeight="1" s="199">
      <c r="A17" s="82" t="inlineStr">
        <is>
          <t>Revenue</t>
        </is>
      </c>
      <c r="B17" s="83" t="inlineStr">
        <is>
          <t>Housekeeping Income</t>
        </is>
      </c>
      <c r="C17" s="84" t="n"/>
      <c r="D17" s="85" t="n"/>
      <c r="E17" s="86" t="n"/>
      <c r="F17" s="24">
        <f>SUMIF(T12_Calc!$N$1:$N$505,"Housekeeping Income",T12_Calc!$B$1:$B$505)</f>
        <v/>
      </c>
      <c r="G17" s="24">
        <f>SUMIF(T12_Calc!$N$1:$N$505,"Housekeeping Income",T12_Calc!$C$1:$C$505)</f>
        <v/>
      </c>
      <c r="H17" s="24">
        <f>SUMIF(T12_Calc!$N$1:$N$505,"Housekeeping Income",T12_Calc!$D$1:$D$505)</f>
        <v/>
      </c>
      <c r="I17" s="24">
        <f>SUMIF(T12_Calc!$N$1:$N$505,"Housekeeping Income",T12_Calc!$E$1:$E$505)</f>
        <v/>
      </c>
      <c r="J17" s="24">
        <f>SUMIF(T12_Calc!$N$1:$N$505,"Housekeeping Income",T12_Calc!$F$1:$F$505)</f>
        <v/>
      </c>
      <c r="K17" s="24">
        <f>SUMIF(T12_Calc!$N$1:$N$505,"Housekeeping Income",T12_Calc!$G$1:$G$505)</f>
        <v/>
      </c>
      <c r="L17" s="24">
        <f>SUMIF(T12_Calc!$N$1:$N$505,"Housekeeping Income",T12_Calc!$H$1:$H$505)</f>
        <v/>
      </c>
      <c r="M17" s="24">
        <f>SUMIF(T12_Calc!$N$1:$N$505,"Housekeeping Income",T12_Calc!$I$1:$I$505)</f>
        <v/>
      </c>
      <c r="N17" s="24">
        <f>SUMIF(T12_Calc!$N$1:$N$505,"Housekeeping Income",T12_Calc!$J$1:$J$505)</f>
        <v/>
      </c>
      <c r="O17" s="24">
        <f>SUMIF(T12_Calc!$N$1:$N$505,"Housekeeping Income",T12_Calc!$K$1:$K$505)</f>
        <v/>
      </c>
      <c r="P17" s="24">
        <f>SUMIF(T12_Calc!$N$1:$N$505,"Housekeeping Income",T12_Calc!$L$1:$L$505)</f>
        <v/>
      </c>
      <c r="Q17" s="24">
        <f>SUMIF(T12_Calc!$N$1:$N$505,"Housekeeping Income",T12_Calc!$M$1:$M$505)</f>
        <v/>
      </c>
      <c r="R17" s="87">
        <f>SUM(F17:Q17)</f>
        <v/>
      </c>
    </row>
    <row r="18" ht="15.75" customHeight="1" s="199">
      <c r="A18" s="82" t="inlineStr">
        <is>
          <t>Revenue</t>
        </is>
      </c>
      <c r="B18" s="83" t="inlineStr">
        <is>
          <t>Laundry Income</t>
        </is>
      </c>
      <c r="C18" s="84" t="n"/>
      <c r="D18" s="85" t="n"/>
      <c r="E18" s="86" t="n"/>
      <c r="F18" s="24">
        <f>SUMIF(T12_Calc!$N$1:$N$505,"Laundry Income",T12_Calc!$B$1:$B$505)</f>
        <v/>
      </c>
      <c r="G18" s="24">
        <f>SUMIF(T12_Calc!$N$1:$N$505,"Laundry Income",T12_Calc!$C$1:$C$505)</f>
        <v/>
      </c>
      <c r="H18" s="24">
        <f>SUMIF(T12_Calc!$N$1:$N$505,"Laundry Income",T12_Calc!$D$1:$D$505)</f>
        <v/>
      </c>
      <c r="I18" s="24">
        <f>SUMIF(T12_Calc!$N$1:$N$505,"Laundry Income",T12_Calc!$E$1:$E$505)</f>
        <v/>
      </c>
      <c r="J18" s="24">
        <f>SUMIF(T12_Calc!$N$1:$N$505,"Laundry Income",T12_Calc!$F$1:$F$505)</f>
        <v/>
      </c>
      <c r="K18" s="24">
        <f>SUMIF(T12_Calc!$N$1:$N$505,"Laundry Income",T12_Calc!$G$1:$G$505)</f>
        <v/>
      </c>
      <c r="L18" s="24">
        <f>SUMIF(T12_Calc!$N$1:$N$505,"Laundry Income",T12_Calc!$H$1:$H$505)</f>
        <v/>
      </c>
      <c r="M18" s="24">
        <f>SUMIF(T12_Calc!$N$1:$N$505,"Laundry Income",T12_Calc!$I$1:$I$505)</f>
        <v/>
      </c>
      <c r="N18" s="24">
        <f>SUMIF(T12_Calc!$N$1:$N$505,"Laundry Income",T12_Calc!$J$1:$J$505)</f>
        <v/>
      </c>
      <c r="O18" s="24">
        <f>SUMIF(T12_Calc!$N$1:$N$505,"Laundry Income",T12_Calc!$K$1:$K$505)</f>
        <v/>
      </c>
      <c r="P18" s="24">
        <f>SUMIF(T12_Calc!$N$1:$N$505,"Laundry Income",T12_Calc!$L$1:$L$505)</f>
        <v/>
      </c>
      <c r="Q18" s="24">
        <f>SUMIF(T12_Calc!$N$1:$N$505,"Laundry Income",T12_Calc!$M$1:$M$505)</f>
        <v/>
      </c>
      <c r="R18" s="87">
        <f>SUM(F18:Q18)</f>
        <v/>
      </c>
    </row>
    <row r="19" ht="15.75" customHeight="1" s="199">
      <c r="A19" s="82" t="inlineStr">
        <is>
          <t>Revenue</t>
        </is>
      </c>
      <c r="B19" s="83" t="inlineStr">
        <is>
          <t>Scooter Fee Revenue</t>
        </is>
      </c>
      <c r="C19" s="84" t="n"/>
      <c r="D19" s="85" t="n"/>
      <c r="E19" s="86" t="n"/>
      <c r="F19" s="24">
        <f>SUMIF(T12_Calc!$N$1:$N$505,"Scooter Fee Revenue",T12_Calc!$B$1:$B$505)</f>
        <v/>
      </c>
      <c r="G19" s="24">
        <f>SUMIF(T12_Calc!$N$1:$N$505,"Scooter Fee Revenue",T12_Calc!$C$1:$C$505)</f>
        <v/>
      </c>
      <c r="H19" s="24">
        <f>SUMIF(T12_Calc!$N$1:$N$505,"Scooter Fee Revenue",T12_Calc!$D$1:$D$505)</f>
        <v/>
      </c>
      <c r="I19" s="24">
        <f>SUMIF(T12_Calc!$N$1:$N$505,"Scooter Fee Revenue",T12_Calc!$E$1:$E$505)</f>
        <v/>
      </c>
      <c r="J19" s="24">
        <f>SUMIF(T12_Calc!$N$1:$N$505,"Scooter Fee Revenue",T12_Calc!$F$1:$F$505)</f>
        <v/>
      </c>
      <c r="K19" s="24">
        <f>SUMIF(T12_Calc!$N$1:$N$505,"Scooter Fee Revenue",T12_Calc!$G$1:$G$505)</f>
        <v/>
      </c>
      <c r="L19" s="24">
        <f>SUMIF(T12_Calc!$N$1:$N$505,"Scooter Fee Revenue",T12_Calc!$H$1:$H$505)</f>
        <v/>
      </c>
      <c r="M19" s="24">
        <f>SUMIF(T12_Calc!$N$1:$N$505,"Scooter Fee Revenue",T12_Calc!$I$1:$I$505)</f>
        <v/>
      </c>
      <c r="N19" s="24">
        <f>SUMIF(T12_Calc!$N$1:$N$505,"Scooter Fee Revenue",T12_Calc!$J$1:$J$505)</f>
        <v/>
      </c>
      <c r="O19" s="24">
        <f>SUMIF(T12_Calc!$N$1:$N$505,"Scooter Fee Revenue",T12_Calc!$K$1:$K$505)</f>
        <v/>
      </c>
      <c r="P19" s="24">
        <f>SUMIF(T12_Calc!$N$1:$N$505,"Scooter Fee Revenue",T12_Calc!$L$1:$L$505)</f>
        <v/>
      </c>
      <c r="Q19" s="24">
        <f>SUMIF(T12_Calc!$N$1:$N$505,"Scooter Fee Revenue",T12_Calc!$M$1:$M$505)</f>
        <v/>
      </c>
      <c r="R19" s="87">
        <f>SUM(F19:Q19)</f>
        <v/>
      </c>
    </row>
    <row r="20" ht="15.75" customHeight="1" s="199">
      <c r="A20" s="82" t="inlineStr">
        <is>
          <t>Revenue</t>
        </is>
      </c>
      <c r="B20" s="83" t="inlineStr">
        <is>
          <t>Transfer Fee Revenue</t>
        </is>
      </c>
      <c r="C20" s="84" t="n"/>
      <c r="D20" s="85" t="n"/>
      <c r="E20" s="86" t="n"/>
      <c r="F20" s="24">
        <f>SUMIF(T12_Calc!$N$1:$N$505,"Transfer Fee Revenue",T12_Calc!$B$1:$B$505)</f>
        <v/>
      </c>
      <c r="G20" s="24">
        <f>SUMIF(T12_Calc!$N$1:$N$505,"Transfer Fee Revenue",T12_Calc!$C$1:$C$505)</f>
        <v/>
      </c>
      <c r="H20" s="24">
        <f>SUMIF(T12_Calc!$N$1:$N$505,"Transfer Fee Revenue",T12_Calc!$D$1:$D$505)</f>
        <v/>
      </c>
      <c r="I20" s="24">
        <f>SUMIF(T12_Calc!$N$1:$N$505,"Transfer Fee Revenue",T12_Calc!$E$1:$E$505)</f>
        <v/>
      </c>
      <c r="J20" s="24">
        <f>SUMIF(T12_Calc!$N$1:$N$505,"Transfer Fee Revenue",T12_Calc!$F$1:$F$505)</f>
        <v/>
      </c>
      <c r="K20" s="24">
        <f>SUMIF(T12_Calc!$N$1:$N$505,"Transfer Fee Revenue",T12_Calc!$G$1:$G$505)</f>
        <v/>
      </c>
      <c r="L20" s="24">
        <f>SUMIF(T12_Calc!$N$1:$N$505,"Transfer Fee Revenue",T12_Calc!$H$1:$H$505)</f>
        <v/>
      </c>
      <c r="M20" s="24">
        <f>SUMIF(T12_Calc!$N$1:$N$505,"Transfer Fee Revenue",T12_Calc!$I$1:$I$505)</f>
        <v/>
      </c>
      <c r="N20" s="24">
        <f>SUMIF(T12_Calc!$N$1:$N$505,"Transfer Fee Revenue",T12_Calc!$J$1:$J$505)</f>
        <v/>
      </c>
      <c r="O20" s="24">
        <f>SUMIF(T12_Calc!$N$1:$N$505,"Transfer Fee Revenue",T12_Calc!$K$1:$K$505)</f>
        <v/>
      </c>
      <c r="P20" s="24">
        <f>SUMIF(T12_Calc!$N$1:$N$505,"Transfer Fee Revenue",T12_Calc!$L$1:$L$505)</f>
        <v/>
      </c>
      <c r="Q20" s="24">
        <f>SUMIF(T12_Calc!$N$1:$N$505,"Transfer Fee Revenue",T12_Calc!$M$1:$M$505)</f>
        <v/>
      </c>
      <c r="R20" s="87">
        <f>SUM(F20:Q20)</f>
        <v/>
      </c>
    </row>
    <row r="21" ht="15.75" customHeight="1" s="199">
      <c r="A21" s="82" t="inlineStr">
        <is>
          <t>Revenue</t>
        </is>
      </c>
      <c r="B21" s="83" t="inlineStr">
        <is>
          <t>Other community revenue</t>
        </is>
      </c>
      <c r="C21" s="84" t="inlineStr">
        <is>
          <t>-</t>
        </is>
      </c>
      <c r="D21" s="85" t="n"/>
      <c r="E21" s="86" t="inlineStr">
        <is>
          <t>Guest Meals | Beautician Income | Utility Income | Incontinence Supplies Income | Personal Purchases | Administrative Fees | Finance Charges Revenue</t>
        </is>
      </c>
      <c r="F21" s="24">
        <f>SUMIF(T12_Calc!$N$1:$N$505,"Other community revenue",T12_Calc!$B$1:$B$505)</f>
        <v/>
      </c>
      <c r="G21" s="24">
        <f>SUMIF(T12_Calc!$N$1:$N$505,"Other community revenue",T12_Calc!$C$1:$C$505)</f>
        <v/>
      </c>
      <c r="H21" s="24">
        <f>SUMIF(T12_Calc!$N$1:$N$505,"Other community revenue",T12_Calc!$D$1:$D$505)</f>
        <v/>
      </c>
      <c r="I21" s="24">
        <f>SUMIF(T12_Calc!$N$1:$N$505,"Other community revenue",T12_Calc!$E$1:$E$505)</f>
        <v/>
      </c>
      <c r="J21" s="24">
        <f>SUMIF(T12_Calc!$N$1:$N$505,"Other community revenue",T12_Calc!$F$1:$F$505)</f>
        <v/>
      </c>
      <c r="K21" s="24">
        <f>SUMIF(T12_Calc!$N$1:$N$505,"Other community revenue",T12_Calc!$G$1:$G$505)</f>
        <v/>
      </c>
      <c r="L21" s="24">
        <f>SUMIF(T12_Calc!$N$1:$N$505,"Other community revenue",T12_Calc!$H$1:$H$505)</f>
        <v/>
      </c>
      <c r="M21" s="24">
        <f>SUMIF(T12_Calc!$N$1:$N$505,"Other community revenue",T12_Calc!$I$1:$I$505)</f>
        <v/>
      </c>
      <c r="N21" s="24">
        <f>SUMIF(T12_Calc!$N$1:$N$505,"Other community revenue",T12_Calc!$J$1:$J$505)</f>
        <v/>
      </c>
      <c r="O21" s="24">
        <f>SUMIF(T12_Calc!$N$1:$N$505,"Other community revenue",T12_Calc!$K$1:$K$505)</f>
        <v/>
      </c>
      <c r="P21" s="24">
        <f>SUMIF(T12_Calc!$N$1:$N$505,"Other community revenue",T12_Calc!$L$1:$L$505)</f>
        <v/>
      </c>
      <c r="Q21" s="24">
        <f>SUMIF(T12_Calc!$N$1:$N$505,"Other community revenue",T12_Calc!$M$1:$M$505)</f>
        <v/>
      </c>
      <c r="R21" s="87">
        <f>SUM(F21:Q21)</f>
        <v/>
      </c>
    </row>
    <row r="22" ht="15.75" customHeight="1" s="199">
      <c r="A22" s="82" t="inlineStr">
        <is>
          <t>Labor</t>
        </is>
      </c>
      <c r="B22" s="83" t="inlineStr">
        <is>
          <t>Care staff labor</t>
        </is>
      </c>
      <c r="C22" s="84" t="inlineStr">
        <is>
          <t>-</t>
        </is>
      </c>
      <c r="D22" s="85" t="n"/>
      <c r="E22" s="86" t="inlineStr">
        <is>
          <t>Care Staff Labor | Direct Care Labor | Other Labor</t>
        </is>
      </c>
      <c r="F22" s="24">
        <f>SUMIF(T12_Calc!$N$1:$N$505,"Care staff labor",T12_Calc!$B$1:$B$505)</f>
        <v/>
      </c>
      <c r="G22" s="24">
        <f>SUMIF(T12_Calc!$N$1:$N$505,"Care staff labor",T12_Calc!$C$1:$C$505)</f>
        <v/>
      </c>
      <c r="H22" s="24">
        <f>SUMIF(T12_Calc!$N$1:$N$505,"Care staff labor",T12_Calc!$D$1:$D$505)</f>
        <v/>
      </c>
      <c r="I22" s="24">
        <f>SUMIF(T12_Calc!$N$1:$N$505,"Care staff labor",T12_Calc!$E$1:$E$505)</f>
        <v/>
      </c>
      <c r="J22" s="24">
        <f>SUMIF(T12_Calc!$N$1:$N$505,"Care staff labor",T12_Calc!$F$1:$F$505)</f>
        <v/>
      </c>
      <c r="K22" s="24">
        <f>SUMIF(T12_Calc!$N$1:$N$505,"Care staff labor",T12_Calc!$G$1:$G$505)</f>
        <v/>
      </c>
      <c r="L22" s="24">
        <f>SUMIF(T12_Calc!$N$1:$N$505,"Care staff labor",T12_Calc!$H$1:$H$505)</f>
        <v/>
      </c>
      <c r="M22" s="24">
        <f>SUMIF(T12_Calc!$N$1:$N$505,"Care staff labor",T12_Calc!$I$1:$I$505)</f>
        <v/>
      </c>
      <c r="N22" s="24">
        <f>SUMIF(T12_Calc!$N$1:$N$505,"Care staff labor",T12_Calc!$J$1:$J$505)</f>
        <v/>
      </c>
      <c r="O22" s="24">
        <f>SUMIF(T12_Calc!$N$1:$N$505,"Care staff labor",T12_Calc!$K$1:$K$505)</f>
        <v/>
      </c>
      <c r="P22" s="24">
        <f>SUMIF(T12_Calc!$N$1:$N$505,"Care staff labor",T12_Calc!$L$1:$L$505)</f>
        <v/>
      </c>
      <c r="Q22" s="24">
        <f>SUMIF(T12_Calc!$N$1:$N$505,"Care staff labor",T12_Calc!$M$1:$M$505)</f>
        <v/>
      </c>
      <c r="R22" s="87">
        <f>SUM(F22:Q22)</f>
        <v/>
      </c>
    </row>
    <row r="23" ht="15.75" customHeight="1" s="199">
      <c r="A23" s="82" t="inlineStr">
        <is>
          <t>Labor</t>
        </is>
      </c>
      <c r="B23" s="83" t="inlineStr">
        <is>
          <t>Wellness / care coordinators</t>
        </is>
      </c>
      <c r="C23" s="84" t="inlineStr">
        <is>
          <t>-</t>
        </is>
      </c>
      <c r="D23" s="85" t="n"/>
      <c r="E23" s="86" t="inlineStr">
        <is>
          <t>Wellness/Care Coordinators Labor | Wellness/Care Coordinator Labor | Care Coordinator Labor</t>
        </is>
      </c>
      <c r="F23" s="24">
        <f>SUMIF(T12_Calc!$N$1:$N$505,"Wellness / care coordinators",T12_Calc!$B$1:$B$505)</f>
        <v/>
      </c>
      <c r="G23" s="24">
        <f>SUMIF(T12_Calc!$N$1:$N$505,"Wellness / care coordinators",T12_Calc!$C$1:$C$505)</f>
        <v/>
      </c>
      <c r="H23" s="24">
        <f>SUMIF(T12_Calc!$N$1:$N$505,"Wellness / care coordinators",T12_Calc!$D$1:$D$505)</f>
        <v/>
      </c>
      <c r="I23" s="24">
        <f>SUMIF(T12_Calc!$N$1:$N$505,"Wellness / care coordinators",T12_Calc!$E$1:$E$505)</f>
        <v/>
      </c>
      <c r="J23" s="24">
        <f>SUMIF(T12_Calc!$N$1:$N$505,"Wellness / care coordinators",T12_Calc!$F$1:$F$505)</f>
        <v/>
      </c>
      <c r="K23" s="24">
        <f>SUMIF(T12_Calc!$N$1:$N$505,"Wellness / care coordinators",T12_Calc!$G$1:$G$505)</f>
        <v/>
      </c>
      <c r="L23" s="24">
        <f>SUMIF(T12_Calc!$N$1:$N$505,"Wellness / care coordinators",T12_Calc!$H$1:$H$505)</f>
        <v/>
      </c>
      <c r="M23" s="24">
        <f>SUMIF(T12_Calc!$N$1:$N$505,"Wellness / care coordinators",T12_Calc!$I$1:$I$505)</f>
        <v/>
      </c>
      <c r="N23" s="24">
        <f>SUMIF(T12_Calc!$N$1:$N$505,"Wellness / care coordinators",T12_Calc!$J$1:$J$505)</f>
        <v/>
      </c>
      <c r="O23" s="24">
        <f>SUMIF(T12_Calc!$N$1:$N$505,"Wellness / care coordinators",T12_Calc!$K$1:$K$505)</f>
        <v/>
      </c>
      <c r="P23" s="24">
        <f>SUMIF(T12_Calc!$N$1:$N$505,"Wellness / care coordinators",T12_Calc!$L$1:$L$505)</f>
        <v/>
      </c>
      <c r="Q23" s="24">
        <f>SUMIF(T12_Calc!$N$1:$N$505,"Wellness / care coordinators",T12_Calc!$M$1:$M$505)</f>
        <v/>
      </c>
      <c r="R23" s="87">
        <f>SUM(F23:Q23)</f>
        <v/>
      </c>
    </row>
    <row r="24" ht="15.75" customHeight="1" s="199">
      <c r="A24" s="88" t="inlineStr">
        <is>
          <t>Labor</t>
        </is>
      </c>
      <c r="B24" s="89" t="inlineStr">
        <is>
          <t>Contract / agency labor</t>
        </is>
      </c>
      <c r="C24" s="90" t="inlineStr">
        <is>
          <t>-</t>
        </is>
      </c>
      <c r="D24" s="91" t="inlineStr">
        <is>
          <t>Normalize at stabilization</t>
        </is>
      </c>
      <c r="E24" s="92" t="inlineStr">
        <is>
          <t>Contract Labor - Care | Contract Labor | Agency Labor</t>
        </is>
      </c>
      <c r="F24" s="47">
        <f>SUMIF(T12_Calc!$N$1:$N$505,"Contract / agency labor",T12_Calc!$B$1:$B$505)</f>
        <v/>
      </c>
      <c r="G24" s="47">
        <f>SUMIF(T12_Calc!$N$1:$N$505,"Contract / agency labor",T12_Calc!$C$1:$C$505)</f>
        <v/>
      </c>
      <c r="H24" s="47">
        <f>SUMIF(T12_Calc!$N$1:$N$505,"Contract / agency labor",T12_Calc!$D$1:$D$505)</f>
        <v/>
      </c>
      <c r="I24" s="47">
        <f>SUMIF(T12_Calc!$N$1:$N$505,"Contract / agency labor",T12_Calc!$E$1:$E$505)</f>
        <v/>
      </c>
      <c r="J24" s="47">
        <f>SUMIF(T12_Calc!$N$1:$N$505,"Contract / agency labor",T12_Calc!$F$1:$F$505)</f>
        <v/>
      </c>
      <c r="K24" s="47">
        <f>SUMIF(T12_Calc!$N$1:$N$505,"Contract / agency labor",T12_Calc!$G$1:$G$505)</f>
        <v/>
      </c>
      <c r="L24" s="47">
        <f>SUMIF(T12_Calc!$N$1:$N$505,"Contract / agency labor",T12_Calc!$H$1:$H$505)</f>
        <v/>
      </c>
      <c r="M24" s="47">
        <f>SUMIF(T12_Calc!$N$1:$N$505,"Contract / agency labor",T12_Calc!$I$1:$I$505)</f>
        <v/>
      </c>
      <c r="N24" s="47">
        <f>SUMIF(T12_Calc!$N$1:$N$505,"Contract / agency labor",T12_Calc!$J$1:$J$505)</f>
        <v/>
      </c>
      <c r="O24" s="47">
        <f>SUMIF(T12_Calc!$N$1:$N$505,"Contract / agency labor",T12_Calc!$K$1:$K$505)</f>
        <v/>
      </c>
      <c r="P24" s="47">
        <f>SUMIF(T12_Calc!$N$1:$N$505,"Contract / agency labor",T12_Calc!$L$1:$L$505)</f>
        <v/>
      </c>
      <c r="Q24" s="47">
        <f>SUMIF(T12_Calc!$N$1:$N$505,"Contract / agency labor",T12_Calc!$M$1:$M$505)</f>
        <v/>
      </c>
      <c r="R24" s="93">
        <f>SUM(F24:Q24)</f>
        <v/>
      </c>
    </row>
    <row r="25" ht="15.75" customHeight="1" s="199">
      <c r="A25" s="82" t="inlineStr">
        <is>
          <t>Labor</t>
        </is>
      </c>
      <c r="B25" s="83" t="inlineStr">
        <is>
          <t>Activities labor</t>
        </is>
      </c>
      <c r="C25" s="84" t="inlineStr">
        <is>
          <t>-</t>
        </is>
      </c>
      <c r="D25" s="85" t="n"/>
      <c r="E25" s="86" t="inlineStr">
        <is>
          <t>Activities Labor</t>
        </is>
      </c>
      <c r="F25" s="24">
        <f>SUMIF(T12_Calc!$N$1:$N$505,"Activities labor",T12_Calc!$B$1:$B$505)</f>
        <v/>
      </c>
      <c r="G25" s="24">
        <f>SUMIF(T12_Calc!$N$1:$N$505,"Activities labor",T12_Calc!$C$1:$C$505)</f>
        <v/>
      </c>
      <c r="H25" s="24">
        <f>SUMIF(T12_Calc!$N$1:$N$505,"Activities labor",T12_Calc!$D$1:$D$505)</f>
        <v/>
      </c>
      <c r="I25" s="24">
        <f>SUMIF(T12_Calc!$N$1:$N$505,"Activities labor",T12_Calc!$E$1:$E$505)</f>
        <v/>
      </c>
      <c r="J25" s="24">
        <f>SUMIF(T12_Calc!$N$1:$N$505,"Activities labor",T12_Calc!$F$1:$F$505)</f>
        <v/>
      </c>
      <c r="K25" s="24">
        <f>SUMIF(T12_Calc!$N$1:$N$505,"Activities labor",T12_Calc!$G$1:$G$505)</f>
        <v/>
      </c>
      <c r="L25" s="24">
        <f>SUMIF(T12_Calc!$N$1:$N$505,"Activities labor",T12_Calc!$H$1:$H$505)</f>
        <v/>
      </c>
      <c r="M25" s="24">
        <f>SUMIF(T12_Calc!$N$1:$N$505,"Activities labor",T12_Calc!$I$1:$I$505)</f>
        <v/>
      </c>
      <c r="N25" s="24">
        <f>SUMIF(T12_Calc!$N$1:$N$505,"Activities labor",T12_Calc!$J$1:$J$505)</f>
        <v/>
      </c>
      <c r="O25" s="24">
        <f>SUMIF(T12_Calc!$N$1:$N$505,"Activities labor",T12_Calc!$K$1:$K$505)</f>
        <v/>
      </c>
      <c r="P25" s="24">
        <f>SUMIF(T12_Calc!$N$1:$N$505,"Activities labor",T12_Calc!$L$1:$L$505)</f>
        <v/>
      </c>
      <c r="Q25" s="24">
        <f>SUMIF(T12_Calc!$N$1:$N$505,"Activities labor",T12_Calc!$M$1:$M$505)</f>
        <v/>
      </c>
      <c r="R25" s="87">
        <f>SUM(F25:Q25)</f>
        <v/>
      </c>
    </row>
    <row r="26" ht="15.75" customHeight="1" s="199">
      <c r="A26" s="82" t="inlineStr">
        <is>
          <t>Labor</t>
        </is>
      </c>
      <c r="B26" s="83" t="inlineStr">
        <is>
          <t>Dining / food service labor</t>
        </is>
      </c>
      <c r="C26" s="84" t="inlineStr">
        <is>
          <t>-</t>
        </is>
      </c>
      <c r="D26" s="85" t="n"/>
      <c r="E26" s="86" t="inlineStr">
        <is>
          <t>Food Service Labor | Dietary Labor | Dining Labor</t>
        </is>
      </c>
      <c r="F26" s="24">
        <f>SUMIF(T12_Calc!$N$1:$N$505,"Dining / food service labor",T12_Calc!$B$1:$B$505)</f>
        <v/>
      </c>
      <c r="G26" s="24">
        <f>SUMIF(T12_Calc!$N$1:$N$505,"Dining / food service labor",T12_Calc!$C$1:$C$505)</f>
        <v/>
      </c>
      <c r="H26" s="24">
        <f>SUMIF(T12_Calc!$N$1:$N$505,"Dining / food service labor",T12_Calc!$D$1:$D$505)</f>
        <v/>
      </c>
      <c r="I26" s="24">
        <f>SUMIF(T12_Calc!$N$1:$N$505,"Dining / food service labor",T12_Calc!$E$1:$E$505)</f>
        <v/>
      </c>
      <c r="J26" s="24">
        <f>SUMIF(T12_Calc!$N$1:$N$505,"Dining / food service labor",T12_Calc!$F$1:$F$505)</f>
        <v/>
      </c>
      <c r="K26" s="24">
        <f>SUMIF(T12_Calc!$N$1:$N$505,"Dining / food service labor",T12_Calc!$G$1:$G$505)</f>
        <v/>
      </c>
      <c r="L26" s="24">
        <f>SUMIF(T12_Calc!$N$1:$N$505,"Dining / food service labor",T12_Calc!$H$1:$H$505)</f>
        <v/>
      </c>
      <c r="M26" s="24">
        <f>SUMIF(T12_Calc!$N$1:$N$505,"Dining / food service labor",T12_Calc!$I$1:$I$505)</f>
        <v/>
      </c>
      <c r="N26" s="24">
        <f>SUMIF(T12_Calc!$N$1:$N$505,"Dining / food service labor",T12_Calc!$J$1:$J$505)</f>
        <v/>
      </c>
      <c r="O26" s="24">
        <f>SUMIF(T12_Calc!$N$1:$N$505,"Dining / food service labor",T12_Calc!$K$1:$K$505)</f>
        <v/>
      </c>
      <c r="P26" s="24">
        <f>SUMIF(T12_Calc!$N$1:$N$505,"Dining / food service labor",T12_Calc!$L$1:$L$505)</f>
        <v/>
      </c>
      <c r="Q26" s="24">
        <f>SUMIF(T12_Calc!$N$1:$N$505,"Dining / food service labor",T12_Calc!$M$1:$M$505)</f>
        <v/>
      </c>
      <c r="R26" s="87">
        <f>SUM(F26:Q26)</f>
        <v/>
      </c>
    </row>
    <row r="27" ht="15.75" customHeight="1" s="199">
      <c r="A27" s="82" t="inlineStr">
        <is>
          <t>Labor</t>
        </is>
      </c>
      <c r="B27" s="83" t="inlineStr">
        <is>
          <t>Maint. &amp; housekeeping labor</t>
        </is>
      </c>
      <c r="C27" s="84" t="inlineStr">
        <is>
          <t>-</t>
        </is>
      </c>
      <c r="D27" s="85" t="n"/>
      <c r="E27" s="86" t="inlineStr">
        <is>
          <t>Maintenance/Housekeeping Labor | Maintenance Labor | Housekeeping Labor</t>
        </is>
      </c>
      <c r="F27" s="24">
        <f>SUMIF(T12_Calc!$N$1:$N$505,"Maint. &amp; housekeeping labor",T12_Calc!$B$1:$B$505)</f>
        <v/>
      </c>
      <c r="G27" s="24">
        <f>SUMIF(T12_Calc!$N$1:$N$505,"Maint. &amp; housekeeping labor",T12_Calc!$C$1:$C$505)</f>
        <v/>
      </c>
      <c r="H27" s="24">
        <f>SUMIF(T12_Calc!$N$1:$N$505,"Maint. &amp; housekeeping labor",T12_Calc!$D$1:$D$505)</f>
        <v/>
      </c>
      <c r="I27" s="24">
        <f>SUMIF(T12_Calc!$N$1:$N$505,"Maint. &amp; housekeeping labor",T12_Calc!$E$1:$E$505)</f>
        <v/>
      </c>
      <c r="J27" s="24">
        <f>SUMIF(T12_Calc!$N$1:$N$505,"Maint. &amp; housekeeping labor",T12_Calc!$F$1:$F$505)</f>
        <v/>
      </c>
      <c r="K27" s="24">
        <f>SUMIF(T12_Calc!$N$1:$N$505,"Maint. &amp; housekeeping labor",T12_Calc!$G$1:$G$505)</f>
        <v/>
      </c>
      <c r="L27" s="24">
        <f>SUMIF(T12_Calc!$N$1:$N$505,"Maint. &amp; housekeeping labor",T12_Calc!$H$1:$H$505)</f>
        <v/>
      </c>
      <c r="M27" s="24">
        <f>SUMIF(T12_Calc!$N$1:$N$505,"Maint. &amp; housekeeping labor",T12_Calc!$I$1:$I$505)</f>
        <v/>
      </c>
      <c r="N27" s="24">
        <f>SUMIF(T12_Calc!$N$1:$N$505,"Maint. &amp; housekeeping labor",T12_Calc!$J$1:$J$505)</f>
        <v/>
      </c>
      <c r="O27" s="24">
        <f>SUMIF(T12_Calc!$N$1:$N$505,"Maint. &amp; housekeeping labor",T12_Calc!$K$1:$K$505)</f>
        <v/>
      </c>
      <c r="P27" s="24">
        <f>SUMIF(T12_Calc!$N$1:$N$505,"Maint. &amp; housekeeping labor",T12_Calc!$L$1:$L$505)</f>
        <v/>
      </c>
      <c r="Q27" s="24">
        <f>SUMIF(T12_Calc!$N$1:$N$505,"Maint. &amp; housekeeping labor",T12_Calc!$M$1:$M$505)</f>
        <v/>
      </c>
      <c r="R27" s="87">
        <f>SUM(F27:Q27)</f>
        <v/>
      </c>
    </row>
    <row r="28" ht="15.75" customHeight="1" s="199">
      <c r="A28" s="82" t="inlineStr">
        <is>
          <t>Labor</t>
        </is>
      </c>
      <c r="B28" s="83" t="inlineStr">
        <is>
          <t>Administrative labor</t>
        </is>
      </c>
      <c r="C28" s="84" t="inlineStr">
        <is>
          <t>-</t>
        </is>
      </c>
      <c r="D28" s="85" t="n"/>
      <c r="E28" s="86" t="inlineStr">
        <is>
          <t>Administration Labor | Administrative Labor</t>
        </is>
      </c>
      <c r="F28" s="24">
        <f>SUMIF(T12_Calc!$N$1:$N$505,"Administrative labor",T12_Calc!$B$1:$B$505)</f>
        <v/>
      </c>
      <c r="G28" s="24">
        <f>SUMIF(T12_Calc!$N$1:$N$505,"Administrative labor",T12_Calc!$C$1:$C$505)</f>
        <v/>
      </c>
      <c r="H28" s="24">
        <f>SUMIF(T12_Calc!$N$1:$N$505,"Administrative labor",T12_Calc!$D$1:$D$505)</f>
        <v/>
      </c>
      <c r="I28" s="24">
        <f>SUMIF(T12_Calc!$N$1:$N$505,"Administrative labor",T12_Calc!$E$1:$E$505)</f>
        <v/>
      </c>
      <c r="J28" s="24">
        <f>SUMIF(T12_Calc!$N$1:$N$505,"Administrative labor",T12_Calc!$F$1:$F$505)</f>
        <v/>
      </c>
      <c r="K28" s="24">
        <f>SUMIF(T12_Calc!$N$1:$N$505,"Administrative labor",T12_Calc!$G$1:$G$505)</f>
        <v/>
      </c>
      <c r="L28" s="24">
        <f>SUMIF(T12_Calc!$N$1:$N$505,"Administrative labor",T12_Calc!$H$1:$H$505)</f>
        <v/>
      </c>
      <c r="M28" s="24">
        <f>SUMIF(T12_Calc!$N$1:$N$505,"Administrative labor",T12_Calc!$I$1:$I$505)</f>
        <v/>
      </c>
      <c r="N28" s="24">
        <f>SUMIF(T12_Calc!$N$1:$N$505,"Administrative labor",T12_Calc!$J$1:$J$505)</f>
        <v/>
      </c>
      <c r="O28" s="24">
        <f>SUMIF(T12_Calc!$N$1:$N$505,"Administrative labor",T12_Calc!$K$1:$K$505)</f>
        <v/>
      </c>
      <c r="P28" s="24">
        <f>SUMIF(T12_Calc!$N$1:$N$505,"Administrative labor",T12_Calc!$L$1:$L$505)</f>
        <v/>
      </c>
      <c r="Q28" s="24">
        <f>SUMIF(T12_Calc!$N$1:$N$505,"Administrative labor",T12_Calc!$M$1:$M$505)</f>
        <v/>
      </c>
      <c r="R28" s="87">
        <f>SUM(F28:Q28)</f>
        <v/>
      </c>
    </row>
    <row r="29" ht="15.75" customHeight="1" s="199">
      <c r="A29" s="88" t="inlineStr">
        <is>
          <t>Labor</t>
        </is>
      </c>
      <c r="B29" s="89" t="inlineStr">
        <is>
          <t>Bonus wages</t>
        </is>
      </c>
      <c r="C29" s="90" t="inlineStr">
        <is>
          <t>-</t>
        </is>
      </c>
      <c r="D29" s="91" t="inlineStr">
        <is>
          <t>Stabilize annually</t>
        </is>
      </c>
      <c r="E29" s="92" t="inlineStr">
        <is>
          <t>Bonus Wages</t>
        </is>
      </c>
      <c r="F29" s="47">
        <f>SUMIF(T12_Calc!$N$1:$N$505,"Bonus wages",T12_Calc!$B$1:$B$505)</f>
        <v/>
      </c>
      <c r="G29" s="47">
        <f>SUMIF(T12_Calc!$N$1:$N$505,"Bonus wages",T12_Calc!$C$1:$C$505)</f>
        <v/>
      </c>
      <c r="H29" s="47">
        <f>SUMIF(T12_Calc!$N$1:$N$505,"Bonus wages",T12_Calc!$D$1:$D$505)</f>
        <v/>
      </c>
      <c r="I29" s="47">
        <f>SUMIF(T12_Calc!$N$1:$N$505,"Bonus wages",T12_Calc!$E$1:$E$505)</f>
        <v/>
      </c>
      <c r="J29" s="47">
        <f>SUMIF(T12_Calc!$N$1:$N$505,"Bonus wages",T12_Calc!$F$1:$F$505)</f>
        <v/>
      </c>
      <c r="K29" s="47">
        <f>SUMIF(T12_Calc!$N$1:$N$505,"Bonus wages",T12_Calc!$G$1:$G$505)</f>
        <v/>
      </c>
      <c r="L29" s="47">
        <f>SUMIF(T12_Calc!$N$1:$N$505,"Bonus wages",T12_Calc!$H$1:$H$505)</f>
        <v/>
      </c>
      <c r="M29" s="47">
        <f>SUMIF(T12_Calc!$N$1:$N$505,"Bonus wages",T12_Calc!$I$1:$I$505)</f>
        <v/>
      </c>
      <c r="N29" s="47">
        <f>SUMIF(T12_Calc!$N$1:$N$505,"Bonus wages",T12_Calc!$J$1:$J$505)</f>
        <v/>
      </c>
      <c r="O29" s="47">
        <f>SUMIF(T12_Calc!$N$1:$N$505,"Bonus wages",T12_Calc!$K$1:$K$505)</f>
        <v/>
      </c>
      <c r="P29" s="47">
        <f>SUMIF(T12_Calc!$N$1:$N$505,"Bonus wages",T12_Calc!$L$1:$L$505)</f>
        <v/>
      </c>
      <c r="Q29" s="47">
        <f>SUMIF(T12_Calc!$N$1:$N$505,"Bonus wages",T12_Calc!$M$1:$M$505)</f>
        <v/>
      </c>
      <c r="R29" s="93">
        <f>SUM(F29:Q29)</f>
        <v/>
      </c>
    </row>
    <row r="30" ht="15.75" customHeight="1" s="199">
      <c r="A30" s="88" t="inlineStr">
        <is>
          <t>Labor</t>
        </is>
      </c>
      <c r="B30" s="89" t="inlineStr">
        <is>
          <t>Overtime wages</t>
        </is>
      </c>
      <c r="C30" s="90" t="inlineStr">
        <is>
          <t>-</t>
        </is>
      </c>
      <c r="D30" s="91" t="inlineStr">
        <is>
          <t>Flag if &gt;5% of wages</t>
        </is>
      </c>
      <c r="E30" s="92" t="inlineStr">
        <is>
          <t>Overtime | Overtime Wages | OT Wages</t>
        </is>
      </c>
      <c r="F30" s="47">
        <f>SUMIF(T12_Calc!$N$1:$N$505,"Overtime wages",T12_Calc!$B$1:$B$505)</f>
        <v/>
      </c>
      <c r="G30" s="47">
        <f>SUMIF(T12_Calc!$N$1:$N$505,"Overtime wages",T12_Calc!$C$1:$C$505)</f>
        <v/>
      </c>
      <c r="H30" s="47">
        <f>SUMIF(T12_Calc!$N$1:$N$505,"Overtime wages",T12_Calc!$D$1:$D$505)</f>
        <v/>
      </c>
      <c r="I30" s="47">
        <f>SUMIF(T12_Calc!$N$1:$N$505,"Overtime wages",T12_Calc!$E$1:$E$505)</f>
        <v/>
      </c>
      <c r="J30" s="47">
        <f>SUMIF(T12_Calc!$N$1:$N$505,"Overtime wages",T12_Calc!$F$1:$F$505)</f>
        <v/>
      </c>
      <c r="K30" s="47">
        <f>SUMIF(T12_Calc!$N$1:$N$505,"Overtime wages",T12_Calc!$G$1:$G$505)</f>
        <v/>
      </c>
      <c r="L30" s="47">
        <f>SUMIF(T12_Calc!$N$1:$N$505,"Overtime wages",T12_Calc!$H$1:$H$505)</f>
        <v/>
      </c>
      <c r="M30" s="47">
        <f>SUMIF(T12_Calc!$N$1:$N$505,"Overtime wages",T12_Calc!$I$1:$I$505)</f>
        <v/>
      </c>
      <c r="N30" s="47">
        <f>SUMIF(T12_Calc!$N$1:$N$505,"Overtime wages",T12_Calc!$J$1:$J$505)</f>
        <v/>
      </c>
      <c r="O30" s="47">
        <f>SUMIF(T12_Calc!$N$1:$N$505,"Overtime wages",T12_Calc!$K$1:$K$505)</f>
        <v/>
      </c>
      <c r="P30" s="47">
        <f>SUMIF(T12_Calc!$N$1:$N$505,"Overtime wages",T12_Calc!$L$1:$L$505)</f>
        <v/>
      </c>
      <c r="Q30" s="47">
        <f>SUMIF(T12_Calc!$N$1:$N$505,"Overtime wages",T12_Calc!$M$1:$M$505)</f>
        <v/>
      </c>
      <c r="R30" s="93">
        <f>SUM(F30:Q30)</f>
        <v/>
      </c>
    </row>
    <row r="31" ht="15.75" customHeight="1" s="199">
      <c r="A31" s="88" t="inlineStr">
        <is>
          <t>Labor</t>
        </is>
      </c>
      <c r="B31" s="89" t="inlineStr">
        <is>
          <t>PTO wages</t>
        </is>
      </c>
      <c r="C31" s="90" t="inlineStr">
        <is>
          <t>-</t>
        </is>
      </c>
      <c r="D31" s="91" t="inlineStr">
        <is>
          <t>Annualize</t>
        </is>
      </c>
      <c r="E31" s="92" t="inlineStr">
        <is>
          <t>PTO Wages | PTO</t>
        </is>
      </c>
      <c r="F31" s="47">
        <f>SUMIF(T12_Calc!$N$1:$N$505,"PTO wages",T12_Calc!$B$1:$B$505)</f>
        <v/>
      </c>
      <c r="G31" s="47">
        <f>SUMIF(T12_Calc!$N$1:$N$505,"PTO wages",T12_Calc!$C$1:$C$505)</f>
        <v/>
      </c>
      <c r="H31" s="47">
        <f>SUMIF(T12_Calc!$N$1:$N$505,"PTO wages",T12_Calc!$D$1:$D$505)</f>
        <v/>
      </c>
      <c r="I31" s="47">
        <f>SUMIF(T12_Calc!$N$1:$N$505,"PTO wages",T12_Calc!$E$1:$E$505)</f>
        <v/>
      </c>
      <c r="J31" s="47">
        <f>SUMIF(T12_Calc!$N$1:$N$505,"PTO wages",T12_Calc!$F$1:$F$505)</f>
        <v/>
      </c>
      <c r="K31" s="47">
        <f>SUMIF(T12_Calc!$N$1:$N$505,"PTO wages",T12_Calc!$G$1:$G$505)</f>
        <v/>
      </c>
      <c r="L31" s="47">
        <f>SUMIF(T12_Calc!$N$1:$N$505,"PTO wages",T12_Calc!$H$1:$H$505)</f>
        <v/>
      </c>
      <c r="M31" s="47">
        <f>SUMIF(T12_Calc!$N$1:$N$505,"PTO wages",T12_Calc!$I$1:$I$505)</f>
        <v/>
      </c>
      <c r="N31" s="47">
        <f>SUMIF(T12_Calc!$N$1:$N$505,"PTO wages",T12_Calc!$J$1:$J$505)</f>
        <v/>
      </c>
      <c r="O31" s="47">
        <f>SUMIF(T12_Calc!$N$1:$N$505,"PTO wages",T12_Calc!$K$1:$K$505)</f>
        <v/>
      </c>
      <c r="P31" s="47">
        <f>SUMIF(T12_Calc!$N$1:$N$505,"PTO wages",T12_Calc!$L$1:$L$505)</f>
        <v/>
      </c>
      <c r="Q31" s="47">
        <f>SUMIF(T12_Calc!$N$1:$N$505,"PTO wages",T12_Calc!$M$1:$M$505)</f>
        <v/>
      </c>
      <c r="R31" s="93">
        <f>SUM(F31:Q31)</f>
        <v/>
      </c>
    </row>
    <row r="32" ht="15.75" customHeight="1" s="199">
      <c r="A32" s="82" t="inlineStr">
        <is>
          <t>Labor</t>
        </is>
      </c>
      <c r="B32" s="83" t="inlineStr">
        <is>
          <t>Payroll taxes</t>
        </is>
      </c>
      <c r="C32" s="84" t="inlineStr">
        <is>
          <t>-</t>
        </is>
      </c>
      <c r="D32" s="85" t="n"/>
      <c r="E32" s="86" t="inlineStr">
        <is>
          <t>Payroll Taxes</t>
        </is>
      </c>
      <c r="F32" s="24">
        <f>SUMIF(T12_Calc!$N$1:$N$505,"Payroll taxes",T12_Calc!$B$1:$B$505)</f>
        <v/>
      </c>
      <c r="G32" s="24">
        <f>SUMIF(T12_Calc!$N$1:$N$505,"Payroll taxes",T12_Calc!$C$1:$C$505)</f>
        <v/>
      </c>
      <c r="H32" s="24">
        <f>SUMIF(T12_Calc!$N$1:$N$505,"Payroll taxes",T12_Calc!$D$1:$D$505)</f>
        <v/>
      </c>
      <c r="I32" s="24">
        <f>SUMIF(T12_Calc!$N$1:$N$505,"Payroll taxes",T12_Calc!$E$1:$E$505)</f>
        <v/>
      </c>
      <c r="J32" s="24">
        <f>SUMIF(T12_Calc!$N$1:$N$505,"Payroll taxes",T12_Calc!$F$1:$F$505)</f>
        <v/>
      </c>
      <c r="K32" s="24">
        <f>SUMIF(T12_Calc!$N$1:$N$505,"Payroll taxes",T12_Calc!$G$1:$G$505)</f>
        <v/>
      </c>
      <c r="L32" s="24">
        <f>SUMIF(T12_Calc!$N$1:$N$505,"Payroll taxes",T12_Calc!$H$1:$H$505)</f>
        <v/>
      </c>
      <c r="M32" s="24">
        <f>SUMIF(T12_Calc!$N$1:$N$505,"Payroll taxes",T12_Calc!$I$1:$I$505)</f>
        <v/>
      </c>
      <c r="N32" s="24">
        <f>SUMIF(T12_Calc!$N$1:$N$505,"Payroll taxes",T12_Calc!$J$1:$J$505)</f>
        <v/>
      </c>
      <c r="O32" s="24">
        <f>SUMIF(T12_Calc!$N$1:$N$505,"Payroll taxes",T12_Calc!$K$1:$K$505)</f>
        <v/>
      </c>
      <c r="P32" s="24">
        <f>SUMIF(T12_Calc!$N$1:$N$505,"Payroll taxes",T12_Calc!$L$1:$L$505)</f>
        <v/>
      </c>
      <c r="Q32" s="24">
        <f>SUMIF(T12_Calc!$N$1:$N$505,"Payroll taxes",T12_Calc!$M$1:$M$505)</f>
        <v/>
      </c>
      <c r="R32" s="87">
        <f>SUM(F32:Q32)</f>
        <v/>
      </c>
    </row>
    <row r="33" ht="15.75" customHeight="1" s="199">
      <c r="A33" s="82" t="inlineStr">
        <is>
          <t>Labor</t>
        </is>
      </c>
      <c r="B33" s="83" t="inlineStr">
        <is>
          <t>Employee benefits</t>
        </is>
      </c>
      <c r="C33" s="84" t="inlineStr">
        <is>
          <t>-</t>
        </is>
      </c>
      <c r="D33" s="85" t="n"/>
      <c r="E33" s="86" t="inlineStr">
        <is>
          <t>Employee Benefits - Insurance | Employee Benefits</t>
        </is>
      </c>
      <c r="F33" s="24">
        <f>SUMIF(T12_Calc!$N$1:$N$505,"Employee benefits",T12_Calc!$B$1:$B$505)</f>
        <v/>
      </c>
      <c r="G33" s="24">
        <f>SUMIF(T12_Calc!$N$1:$N$505,"Employee benefits",T12_Calc!$C$1:$C$505)</f>
        <v/>
      </c>
      <c r="H33" s="24">
        <f>SUMIF(T12_Calc!$N$1:$N$505,"Employee benefits",T12_Calc!$D$1:$D$505)</f>
        <v/>
      </c>
      <c r="I33" s="24">
        <f>SUMIF(T12_Calc!$N$1:$N$505,"Employee benefits",T12_Calc!$E$1:$E$505)</f>
        <v/>
      </c>
      <c r="J33" s="24">
        <f>SUMIF(T12_Calc!$N$1:$N$505,"Employee benefits",T12_Calc!$F$1:$F$505)</f>
        <v/>
      </c>
      <c r="K33" s="24">
        <f>SUMIF(T12_Calc!$N$1:$N$505,"Employee benefits",T12_Calc!$G$1:$G$505)</f>
        <v/>
      </c>
      <c r="L33" s="24">
        <f>SUMIF(T12_Calc!$N$1:$N$505,"Employee benefits",T12_Calc!$H$1:$H$505)</f>
        <v/>
      </c>
      <c r="M33" s="24">
        <f>SUMIF(T12_Calc!$N$1:$N$505,"Employee benefits",T12_Calc!$I$1:$I$505)</f>
        <v/>
      </c>
      <c r="N33" s="24">
        <f>SUMIF(T12_Calc!$N$1:$N$505,"Employee benefits",T12_Calc!$J$1:$J$505)</f>
        <v/>
      </c>
      <c r="O33" s="24">
        <f>SUMIF(T12_Calc!$N$1:$N$505,"Employee benefits",T12_Calc!$K$1:$K$505)</f>
        <v/>
      </c>
      <c r="P33" s="24">
        <f>SUMIF(T12_Calc!$N$1:$N$505,"Employee benefits",T12_Calc!$L$1:$L$505)</f>
        <v/>
      </c>
      <c r="Q33" s="24">
        <f>SUMIF(T12_Calc!$N$1:$N$505,"Employee benefits",T12_Calc!$M$1:$M$505)</f>
        <v/>
      </c>
      <c r="R33" s="87">
        <f>SUM(F33:Q33)</f>
        <v/>
      </c>
    </row>
    <row r="34" ht="15.75" customHeight="1" s="199">
      <c r="A34" s="82" t="inlineStr">
        <is>
          <t>Labor</t>
        </is>
      </c>
      <c r="B34" s="83" t="inlineStr">
        <is>
          <t>Workers' comp insurance</t>
        </is>
      </c>
      <c r="C34" s="84" t="inlineStr">
        <is>
          <t>-</t>
        </is>
      </c>
      <c r="D34" s="85" t="n"/>
      <c r="E34" s="86" t="inlineStr">
        <is>
          <t>Worker's Comp Insurance | Workers Comp Insurance | Workers' Compensation</t>
        </is>
      </c>
      <c r="F34" s="24">
        <f>SUMIF(T12_Calc!$N$1:$N$505,"Workers' comp insurance",T12_Calc!$B$1:$B$505)</f>
        <v/>
      </c>
      <c r="G34" s="24">
        <f>SUMIF(T12_Calc!$N$1:$N$505,"Workers' comp insurance",T12_Calc!$C$1:$C$505)</f>
        <v/>
      </c>
      <c r="H34" s="24">
        <f>SUMIF(T12_Calc!$N$1:$N$505,"Workers' comp insurance",T12_Calc!$D$1:$D$505)</f>
        <v/>
      </c>
      <c r="I34" s="24">
        <f>SUMIF(T12_Calc!$N$1:$N$505,"Workers' comp insurance",T12_Calc!$E$1:$E$505)</f>
        <v/>
      </c>
      <c r="J34" s="24">
        <f>SUMIF(T12_Calc!$N$1:$N$505,"Workers' comp insurance",T12_Calc!$F$1:$F$505)</f>
        <v/>
      </c>
      <c r="K34" s="24">
        <f>SUMIF(T12_Calc!$N$1:$N$505,"Workers' comp insurance",T12_Calc!$G$1:$G$505)</f>
        <v/>
      </c>
      <c r="L34" s="24">
        <f>SUMIF(T12_Calc!$N$1:$N$505,"Workers' comp insurance",T12_Calc!$H$1:$H$505)</f>
        <v/>
      </c>
      <c r="M34" s="24">
        <f>SUMIF(T12_Calc!$N$1:$N$505,"Workers' comp insurance",T12_Calc!$I$1:$I$505)</f>
        <v/>
      </c>
      <c r="N34" s="24">
        <f>SUMIF(T12_Calc!$N$1:$N$505,"Workers' comp insurance",T12_Calc!$J$1:$J$505)</f>
        <v/>
      </c>
      <c r="O34" s="24">
        <f>SUMIF(T12_Calc!$N$1:$N$505,"Workers' comp insurance",T12_Calc!$K$1:$K$505)</f>
        <v/>
      </c>
      <c r="P34" s="24">
        <f>SUMIF(T12_Calc!$N$1:$N$505,"Workers' comp insurance",T12_Calc!$L$1:$L$505)</f>
        <v/>
      </c>
      <c r="Q34" s="24">
        <f>SUMIF(T12_Calc!$N$1:$N$505,"Workers' comp insurance",T12_Calc!$M$1:$M$505)</f>
        <v/>
      </c>
      <c r="R34" s="87">
        <f>SUM(F34:Q34)</f>
        <v/>
      </c>
    </row>
    <row r="35" ht="15.75" customHeight="1" s="199">
      <c r="A35" s="82" t="inlineStr">
        <is>
          <t>Labor</t>
        </is>
      </c>
      <c r="B35" s="83" t="inlineStr">
        <is>
          <t>Employee 401(k)</t>
        </is>
      </c>
      <c r="C35" s="84" t="inlineStr">
        <is>
          <t>-</t>
        </is>
      </c>
      <c r="D35" s="85" t="n"/>
      <c r="E35" s="86" t="inlineStr">
        <is>
          <t>Employee 401(K) | Employee 401(k)</t>
        </is>
      </c>
      <c r="F35" s="24">
        <f>SUMIF(T12_Calc!$N$1:$N$505,"Employee 401(k)",T12_Calc!$B$1:$B$505)</f>
        <v/>
      </c>
      <c r="G35" s="24">
        <f>SUMIF(T12_Calc!$N$1:$N$505,"Employee 401(k)",T12_Calc!$C$1:$C$505)</f>
        <v/>
      </c>
      <c r="H35" s="24">
        <f>SUMIF(T12_Calc!$N$1:$N$505,"Employee 401(k)",T12_Calc!$D$1:$D$505)</f>
        <v/>
      </c>
      <c r="I35" s="24">
        <f>SUMIF(T12_Calc!$N$1:$N$505,"Employee 401(k)",T12_Calc!$E$1:$E$505)</f>
        <v/>
      </c>
      <c r="J35" s="24">
        <f>SUMIF(T12_Calc!$N$1:$N$505,"Employee 401(k)",T12_Calc!$F$1:$F$505)</f>
        <v/>
      </c>
      <c r="K35" s="24">
        <f>SUMIF(T12_Calc!$N$1:$N$505,"Employee 401(k)",T12_Calc!$G$1:$G$505)</f>
        <v/>
      </c>
      <c r="L35" s="24">
        <f>SUMIF(T12_Calc!$N$1:$N$505,"Employee 401(k)",T12_Calc!$H$1:$H$505)</f>
        <v/>
      </c>
      <c r="M35" s="24">
        <f>SUMIF(T12_Calc!$N$1:$N$505,"Employee 401(k)",T12_Calc!$I$1:$I$505)</f>
        <v/>
      </c>
      <c r="N35" s="24">
        <f>SUMIF(T12_Calc!$N$1:$N$505,"Employee 401(k)",T12_Calc!$J$1:$J$505)</f>
        <v/>
      </c>
      <c r="O35" s="24">
        <f>SUMIF(T12_Calc!$N$1:$N$505,"Employee 401(k)",T12_Calc!$K$1:$K$505)</f>
        <v/>
      </c>
      <c r="P35" s="24">
        <f>SUMIF(T12_Calc!$N$1:$N$505,"Employee 401(k)",T12_Calc!$L$1:$L$505)</f>
        <v/>
      </c>
      <c r="Q35" s="24">
        <f>SUMIF(T12_Calc!$N$1:$N$505,"Employee 401(k)",T12_Calc!$M$1:$M$505)</f>
        <v/>
      </c>
      <c r="R35" s="87">
        <f>SUM(F35:Q35)</f>
        <v/>
      </c>
    </row>
    <row r="36" ht="15.75" customHeight="1" s="199">
      <c r="A36" s="82" t="inlineStr">
        <is>
          <t>Non-Labor</t>
        </is>
      </c>
      <c r="B36" s="83" t="inlineStr">
        <is>
          <t>Food cost</t>
        </is>
      </c>
      <c r="C36" s="84" t="inlineStr">
        <is>
          <t>-</t>
        </is>
      </c>
      <c r="D36" s="85" t="n"/>
      <c r="E36" s="86" t="inlineStr">
        <is>
          <t>Food Cost</t>
        </is>
      </c>
      <c r="F36" s="24">
        <f>SUMIF(T12_Calc!$N$1:$N$505,"Food cost",T12_Calc!$B$1:$B$505)</f>
        <v/>
      </c>
      <c r="G36" s="24">
        <f>SUMIF(T12_Calc!$N$1:$N$505,"Food cost",T12_Calc!$C$1:$C$505)</f>
        <v/>
      </c>
      <c r="H36" s="24">
        <f>SUMIF(T12_Calc!$N$1:$N$505,"Food cost",T12_Calc!$D$1:$D$505)</f>
        <v/>
      </c>
      <c r="I36" s="24">
        <f>SUMIF(T12_Calc!$N$1:$N$505,"Food cost",T12_Calc!$E$1:$E$505)</f>
        <v/>
      </c>
      <c r="J36" s="24">
        <f>SUMIF(T12_Calc!$N$1:$N$505,"Food cost",T12_Calc!$F$1:$F$505)</f>
        <v/>
      </c>
      <c r="K36" s="24">
        <f>SUMIF(T12_Calc!$N$1:$N$505,"Food cost",T12_Calc!$G$1:$G$505)</f>
        <v/>
      </c>
      <c r="L36" s="24">
        <f>SUMIF(T12_Calc!$N$1:$N$505,"Food cost",T12_Calc!$H$1:$H$505)</f>
        <v/>
      </c>
      <c r="M36" s="24">
        <f>SUMIF(T12_Calc!$N$1:$N$505,"Food cost",T12_Calc!$I$1:$I$505)</f>
        <v/>
      </c>
      <c r="N36" s="24">
        <f>SUMIF(T12_Calc!$N$1:$N$505,"Food cost",T12_Calc!$J$1:$J$505)</f>
        <v/>
      </c>
      <c r="O36" s="24">
        <f>SUMIF(T12_Calc!$N$1:$N$505,"Food cost",T12_Calc!$K$1:$K$505)</f>
        <v/>
      </c>
      <c r="P36" s="24">
        <f>SUMIF(T12_Calc!$N$1:$N$505,"Food cost",T12_Calc!$L$1:$L$505)</f>
        <v/>
      </c>
      <c r="Q36" s="24">
        <f>SUMIF(T12_Calc!$N$1:$N$505,"Food cost",T12_Calc!$M$1:$M$505)</f>
        <v/>
      </c>
      <c r="R36" s="87">
        <f>SUM(F36:Q36)</f>
        <v/>
      </c>
    </row>
    <row r="37" ht="15.75" customHeight="1" s="199">
      <c r="A37" s="82" t="inlineStr">
        <is>
          <t>Non-Labor</t>
        </is>
      </c>
      <c r="B37" s="83" t="inlineStr">
        <is>
          <t>Dining &amp; kitchen supplies</t>
        </is>
      </c>
      <c r="C37" s="84" t="inlineStr">
        <is>
          <t>-</t>
        </is>
      </c>
      <c r="D37" s="85" t="n"/>
      <c r="E37" s="86" t="inlineStr">
        <is>
          <t>Dietary Supplies</t>
        </is>
      </c>
      <c r="F37" s="24">
        <f>SUMIF(T12_Calc!$N$1:$N$505,"Dining &amp; kitchen supplies",T12_Calc!$B$1:$B$505)</f>
        <v/>
      </c>
      <c r="G37" s="24">
        <f>SUMIF(T12_Calc!$N$1:$N$505,"Dining &amp; kitchen supplies",T12_Calc!$C$1:$C$505)</f>
        <v/>
      </c>
      <c r="H37" s="24">
        <f>SUMIF(T12_Calc!$N$1:$N$505,"Dining &amp; kitchen supplies",T12_Calc!$D$1:$D$505)</f>
        <v/>
      </c>
      <c r="I37" s="24">
        <f>SUMIF(T12_Calc!$N$1:$N$505,"Dining &amp; kitchen supplies",T12_Calc!$E$1:$E$505)</f>
        <v/>
      </c>
      <c r="J37" s="24">
        <f>SUMIF(T12_Calc!$N$1:$N$505,"Dining &amp; kitchen supplies",T12_Calc!$F$1:$F$505)</f>
        <v/>
      </c>
      <c r="K37" s="24">
        <f>SUMIF(T12_Calc!$N$1:$N$505,"Dining &amp; kitchen supplies",T12_Calc!$G$1:$G$505)</f>
        <v/>
      </c>
      <c r="L37" s="24">
        <f>SUMIF(T12_Calc!$N$1:$N$505,"Dining &amp; kitchen supplies",T12_Calc!$H$1:$H$505)</f>
        <v/>
      </c>
      <c r="M37" s="24">
        <f>SUMIF(T12_Calc!$N$1:$N$505,"Dining &amp; kitchen supplies",T12_Calc!$I$1:$I$505)</f>
        <v/>
      </c>
      <c r="N37" s="24">
        <f>SUMIF(T12_Calc!$N$1:$N$505,"Dining &amp; kitchen supplies",T12_Calc!$J$1:$J$505)</f>
        <v/>
      </c>
      <c r="O37" s="24">
        <f>SUMIF(T12_Calc!$N$1:$N$505,"Dining &amp; kitchen supplies",T12_Calc!$K$1:$K$505)</f>
        <v/>
      </c>
      <c r="P37" s="24">
        <f>SUMIF(T12_Calc!$N$1:$N$505,"Dining &amp; kitchen supplies",T12_Calc!$L$1:$L$505)</f>
        <v/>
      </c>
      <c r="Q37" s="24">
        <f>SUMIF(T12_Calc!$N$1:$N$505,"Dining &amp; kitchen supplies",T12_Calc!$M$1:$M$505)</f>
        <v/>
      </c>
      <c r="R37" s="87">
        <f>SUM(F37:Q37)</f>
        <v/>
      </c>
    </row>
    <row r="38" ht="15.75" customHeight="1" s="199">
      <c r="A38" s="82" t="inlineStr">
        <is>
          <t>Non-Labor</t>
        </is>
      </c>
      <c r="B38" s="83" t="inlineStr">
        <is>
          <t>Nursing &amp; care supplies</t>
        </is>
      </c>
      <c r="C38" s="84" t="inlineStr">
        <is>
          <t>-</t>
        </is>
      </c>
      <c r="D38" s="85" t="n"/>
      <c r="E38" s="86" t="inlineStr">
        <is>
          <t>Nursing Supplies</t>
        </is>
      </c>
      <c r="F38" s="24">
        <f>SUMIF(T12_Calc!$N$1:$N$505,"Nursing &amp; care supplies",T12_Calc!$B$1:$B$505)</f>
        <v/>
      </c>
      <c r="G38" s="24">
        <f>SUMIF(T12_Calc!$N$1:$N$505,"Nursing &amp; care supplies",T12_Calc!$C$1:$C$505)</f>
        <v/>
      </c>
      <c r="H38" s="24">
        <f>SUMIF(T12_Calc!$N$1:$N$505,"Nursing &amp; care supplies",T12_Calc!$D$1:$D$505)</f>
        <v/>
      </c>
      <c r="I38" s="24">
        <f>SUMIF(T12_Calc!$N$1:$N$505,"Nursing &amp; care supplies",T12_Calc!$E$1:$E$505)</f>
        <v/>
      </c>
      <c r="J38" s="24">
        <f>SUMIF(T12_Calc!$N$1:$N$505,"Nursing &amp; care supplies",T12_Calc!$F$1:$F$505)</f>
        <v/>
      </c>
      <c r="K38" s="24">
        <f>SUMIF(T12_Calc!$N$1:$N$505,"Nursing &amp; care supplies",T12_Calc!$G$1:$G$505)</f>
        <v/>
      </c>
      <c r="L38" s="24">
        <f>SUMIF(T12_Calc!$N$1:$N$505,"Nursing &amp; care supplies",T12_Calc!$H$1:$H$505)</f>
        <v/>
      </c>
      <c r="M38" s="24">
        <f>SUMIF(T12_Calc!$N$1:$N$505,"Nursing &amp; care supplies",T12_Calc!$I$1:$I$505)</f>
        <v/>
      </c>
      <c r="N38" s="24">
        <f>SUMIF(T12_Calc!$N$1:$N$505,"Nursing &amp; care supplies",T12_Calc!$J$1:$J$505)</f>
        <v/>
      </c>
      <c r="O38" s="24">
        <f>SUMIF(T12_Calc!$N$1:$N$505,"Nursing &amp; care supplies",T12_Calc!$K$1:$K$505)</f>
        <v/>
      </c>
      <c r="P38" s="24">
        <f>SUMIF(T12_Calc!$N$1:$N$505,"Nursing &amp; care supplies",T12_Calc!$L$1:$L$505)</f>
        <v/>
      </c>
      <c r="Q38" s="24">
        <f>SUMIF(T12_Calc!$N$1:$N$505,"Nursing &amp; care supplies",T12_Calc!$M$1:$M$505)</f>
        <v/>
      </c>
      <c r="R38" s="87">
        <f>SUM(F38:Q38)</f>
        <v/>
      </c>
    </row>
    <row r="39" ht="15.75" customHeight="1" s="199">
      <c r="A39" s="82" t="inlineStr">
        <is>
          <t>Non-Labor</t>
        </is>
      </c>
      <c r="B39" s="83" t="inlineStr">
        <is>
          <t>Recreation &amp; activity suppl.</t>
        </is>
      </c>
      <c r="C39" s="84" t="inlineStr">
        <is>
          <t>-</t>
        </is>
      </c>
      <c r="D39" s="85" t="n"/>
      <c r="E39" s="86" t="inlineStr">
        <is>
          <t>Recreation Supplies</t>
        </is>
      </c>
      <c r="F39" s="24">
        <f>SUMIF(T12_Calc!$N$1:$N$505,"Recreation &amp; activity suppl.",T12_Calc!$B$1:$B$505)</f>
        <v/>
      </c>
      <c r="G39" s="24">
        <f>SUMIF(T12_Calc!$N$1:$N$505,"Recreation &amp; activity suppl.",T12_Calc!$C$1:$C$505)</f>
        <v/>
      </c>
      <c r="H39" s="24">
        <f>SUMIF(T12_Calc!$N$1:$N$505,"Recreation &amp; activity suppl.",T12_Calc!$D$1:$D$505)</f>
        <v/>
      </c>
      <c r="I39" s="24">
        <f>SUMIF(T12_Calc!$N$1:$N$505,"Recreation &amp; activity suppl.",T12_Calc!$E$1:$E$505)</f>
        <v/>
      </c>
      <c r="J39" s="24">
        <f>SUMIF(T12_Calc!$N$1:$N$505,"Recreation &amp; activity suppl.",T12_Calc!$F$1:$F$505)</f>
        <v/>
      </c>
      <c r="K39" s="24">
        <f>SUMIF(T12_Calc!$N$1:$N$505,"Recreation &amp; activity suppl.",T12_Calc!$G$1:$G$505)</f>
        <v/>
      </c>
      <c r="L39" s="24">
        <f>SUMIF(T12_Calc!$N$1:$N$505,"Recreation &amp; activity suppl.",T12_Calc!$H$1:$H$505)</f>
        <v/>
      </c>
      <c r="M39" s="24">
        <f>SUMIF(T12_Calc!$N$1:$N$505,"Recreation &amp; activity suppl.",T12_Calc!$I$1:$I$505)</f>
        <v/>
      </c>
      <c r="N39" s="24">
        <f>SUMIF(T12_Calc!$N$1:$N$505,"Recreation &amp; activity suppl.",T12_Calc!$J$1:$J$505)</f>
        <v/>
      </c>
      <c r="O39" s="24">
        <f>SUMIF(T12_Calc!$N$1:$N$505,"Recreation &amp; activity suppl.",T12_Calc!$K$1:$K$505)</f>
        <v/>
      </c>
      <c r="P39" s="24">
        <f>SUMIF(T12_Calc!$N$1:$N$505,"Recreation &amp; activity suppl.",T12_Calc!$L$1:$L$505)</f>
        <v/>
      </c>
      <c r="Q39" s="24">
        <f>SUMIF(T12_Calc!$N$1:$N$505,"Recreation &amp; activity suppl.",T12_Calc!$M$1:$M$505)</f>
        <v/>
      </c>
      <c r="R39" s="87">
        <f>SUM(F39:Q39)</f>
        <v/>
      </c>
    </row>
    <row r="40" ht="15.75" customHeight="1" s="199">
      <c r="A40" s="82" t="inlineStr">
        <is>
          <t>Non-Labor</t>
        </is>
      </c>
      <c r="B40" s="83" t="inlineStr">
        <is>
          <t>R&amp;M fixed</t>
        </is>
      </c>
      <c r="C40" s="84" t="inlineStr">
        <is>
          <t>-</t>
        </is>
      </c>
      <c r="D40" s="85" t="n"/>
      <c r="E40" s="86" t="inlineStr">
        <is>
          <t>R &amp; M-Fixed | R&amp;M-Fixed | Maintenance Supplies</t>
        </is>
      </c>
      <c r="F40" s="24">
        <f>SUMIF(T12_Calc!$N$1:$N$505,"R&amp;M fixed",T12_Calc!$B$1:$B$505)</f>
        <v/>
      </c>
      <c r="G40" s="24">
        <f>SUMIF(T12_Calc!$N$1:$N$505,"R&amp;M fixed",T12_Calc!$C$1:$C$505)</f>
        <v/>
      </c>
      <c r="H40" s="24">
        <f>SUMIF(T12_Calc!$N$1:$N$505,"R&amp;M fixed",T12_Calc!$D$1:$D$505)</f>
        <v/>
      </c>
      <c r="I40" s="24">
        <f>SUMIF(T12_Calc!$N$1:$N$505,"R&amp;M fixed",T12_Calc!$E$1:$E$505)</f>
        <v/>
      </c>
      <c r="J40" s="24">
        <f>SUMIF(T12_Calc!$N$1:$N$505,"R&amp;M fixed",T12_Calc!$F$1:$F$505)</f>
        <v/>
      </c>
      <c r="K40" s="24">
        <f>SUMIF(T12_Calc!$N$1:$N$505,"R&amp;M fixed",T12_Calc!$G$1:$G$505)</f>
        <v/>
      </c>
      <c r="L40" s="24">
        <f>SUMIF(T12_Calc!$N$1:$N$505,"R&amp;M fixed",T12_Calc!$H$1:$H$505)</f>
        <v/>
      </c>
      <c r="M40" s="24">
        <f>SUMIF(T12_Calc!$N$1:$N$505,"R&amp;M fixed",T12_Calc!$I$1:$I$505)</f>
        <v/>
      </c>
      <c r="N40" s="24">
        <f>SUMIF(T12_Calc!$N$1:$N$505,"R&amp;M fixed",T12_Calc!$J$1:$J$505)</f>
        <v/>
      </c>
      <c r="O40" s="24">
        <f>SUMIF(T12_Calc!$N$1:$N$505,"R&amp;M fixed",T12_Calc!$K$1:$K$505)</f>
        <v/>
      </c>
      <c r="P40" s="24">
        <f>SUMIF(T12_Calc!$N$1:$N$505,"R&amp;M fixed",T12_Calc!$L$1:$L$505)</f>
        <v/>
      </c>
      <c r="Q40" s="24">
        <f>SUMIF(T12_Calc!$N$1:$N$505,"R&amp;M fixed",T12_Calc!$M$1:$M$505)</f>
        <v/>
      </c>
      <c r="R40" s="87">
        <f>SUM(F40:Q40)</f>
        <v/>
      </c>
    </row>
    <row r="41" ht="15.75" customHeight="1" s="199">
      <c r="A41" s="82" t="inlineStr">
        <is>
          <t>Non-Labor</t>
        </is>
      </c>
      <c r="B41" s="83" t="inlineStr">
        <is>
          <t>R&amp;M variable</t>
        </is>
      </c>
      <c r="C41" s="84" t="inlineStr">
        <is>
          <t>-</t>
        </is>
      </c>
      <c r="D41" s="85" t="n"/>
      <c r="E41" s="86" t="inlineStr">
        <is>
          <t>R &amp; M-Variable | R&amp;M-Variable</t>
        </is>
      </c>
      <c r="F41" s="24">
        <f>SUMIF(T12_Calc!$N$1:$N$505,"R&amp;M variable",T12_Calc!$B$1:$B$505)</f>
        <v/>
      </c>
      <c r="G41" s="24">
        <f>SUMIF(T12_Calc!$N$1:$N$505,"R&amp;M variable",T12_Calc!$C$1:$C$505)</f>
        <v/>
      </c>
      <c r="H41" s="24">
        <f>SUMIF(T12_Calc!$N$1:$N$505,"R&amp;M variable",T12_Calc!$D$1:$D$505)</f>
        <v/>
      </c>
      <c r="I41" s="24">
        <f>SUMIF(T12_Calc!$N$1:$N$505,"R&amp;M variable",T12_Calc!$E$1:$E$505)</f>
        <v/>
      </c>
      <c r="J41" s="24">
        <f>SUMIF(T12_Calc!$N$1:$N$505,"R&amp;M variable",T12_Calc!$F$1:$F$505)</f>
        <v/>
      </c>
      <c r="K41" s="24">
        <f>SUMIF(T12_Calc!$N$1:$N$505,"R&amp;M variable",T12_Calc!$G$1:$G$505)</f>
        <v/>
      </c>
      <c r="L41" s="24">
        <f>SUMIF(T12_Calc!$N$1:$N$505,"R&amp;M variable",T12_Calc!$H$1:$H$505)</f>
        <v/>
      </c>
      <c r="M41" s="24">
        <f>SUMIF(T12_Calc!$N$1:$N$505,"R&amp;M variable",T12_Calc!$I$1:$I$505)</f>
        <v/>
      </c>
      <c r="N41" s="24">
        <f>SUMIF(T12_Calc!$N$1:$N$505,"R&amp;M variable",T12_Calc!$J$1:$J$505)</f>
        <v/>
      </c>
      <c r="O41" s="24">
        <f>SUMIF(T12_Calc!$N$1:$N$505,"R&amp;M variable",T12_Calc!$K$1:$K$505)</f>
        <v/>
      </c>
      <c r="P41" s="24">
        <f>SUMIF(T12_Calc!$N$1:$N$505,"R&amp;M variable",T12_Calc!$L$1:$L$505)</f>
        <v/>
      </c>
      <c r="Q41" s="24">
        <f>SUMIF(T12_Calc!$N$1:$N$505,"R&amp;M variable",T12_Calc!$M$1:$M$505)</f>
        <v/>
      </c>
      <c r="R41" s="87">
        <f>SUM(F41:Q41)</f>
        <v/>
      </c>
    </row>
    <row r="42" ht="15.75" customHeight="1" s="199">
      <c r="A42" s="82" t="inlineStr">
        <is>
          <t>Non-Labor</t>
        </is>
      </c>
      <c r="B42" s="83" t="inlineStr">
        <is>
          <t>HK &amp; laundry supplies</t>
        </is>
      </c>
      <c r="C42" s="84" t="inlineStr">
        <is>
          <t>-</t>
        </is>
      </c>
      <c r="D42" s="85" t="n"/>
      <c r="E42" s="86" t="inlineStr">
        <is>
          <t>Housekeeping Supplies | Laundry Supplies</t>
        </is>
      </c>
      <c r="F42" s="24">
        <f>SUMIF(T12_Calc!$N$1:$N$505,"HK &amp; laundry supplies",T12_Calc!$B$1:$B$505)</f>
        <v/>
      </c>
      <c r="G42" s="24">
        <f>SUMIF(T12_Calc!$N$1:$N$505,"HK &amp; laundry supplies",T12_Calc!$C$1:$C$505)</f>
        <v/>
      </c>
      <c r="H42" s="24">
        <f>SUMIF(T12_Calc!$N$1:$N$505,"HK &amp; laundry supplies",T12_Calc!$D$1:$D$505)</f>
        <v/>
      </c>
      <c r="I42" s="24">
        <f>SUMIF(T12_Calc!$N$1:$N$505,"HK &amp; laundry supplies",T12_Calc!$E$1:$E$505)</f>
        <v/>
      </c>
      <c r="J42" s="24">
        <f>SUMIF(T12_Calc!$N$1:$N$505,"HK &amp; laundry supplies",T12_Calc!$F$1:$F$505)</f>
        <v/>
      </c>
      <c r="K42" s="24">
        <f>SUMIF(T12_Calc!$N$1:$N$505,"HK &amp; laundry supplies",T12_Calc!$G$1:$G$505)</f>
        <v/>
      </c>
      <c r="L42" s="24">
        <f>SUMIF(T12_Calc!$N$1:$N$505,"HK &amp; laundry supplies",T12_Calc!$H$1:$H$505)</f>
        <v/>
      </c>
      <c r="M42" s="24">
        <f>SUMIF(T12_Calc!$N$1:$N$505,"HK &amp; laundry supplies",T12_Calc!$I$1:$I$505)</f>
        <v/>
      </c>
      <c r="N42" s="24">
        <f>SUMIF(T12_Calc!$N$1:$N$505,"HK &amp; laundry supplies",T12_Calc!$J$1:$J$505)</f>
        <v/>
      </c>
      <c r="O42" s="24">
        <f>SUMIF(T12_Calc!$N$1:$N$505,"HK &amp; laundry supplies",T12_Calc!$K$1:$K$505)</f>
        <v/>
      </c>
      <c r="P42" s="24">
        <f>SUMIF(T12_Calc!$N$1:$N$505,"HK &amp; laundry supplies",T12_Calc!$L$1:$L$505)</f>
        <v/>
      </c>
      <c r="Q42" s="24">
        <f>SUMIF(T12_Calc!$N$1:$N$505,"HK &amp; laundry supplies",T12_Calc!$M$1:$M$505)</f>
        <v/>
      </c>
      <c r="R42" s="87">
        <f>SUM(F42:Q42)</f>
        <v/>
      </c>
    </row>
    <row r="43" ht="15.75" customHeight="1" s="199">
      <c r="A43" s="82" t="inlineStr">
        <is>
          <t>Non-Labor</t>
        </is>
      </c>
      <c r="B43" s="83" t="inlineStr">
        <is>
          <t>Sales, adv. &amp; marketing</t>
        </is>
      </c>
      <c r="C43" s="84" t="inlineStr">
        <is>
          <t>-</t>
        </is>
      </c>
      <c r="D43" s="85" t="n"/>
      <c r="E43" s="86" t="inlineStr">
        <is>
          <t>Advertising and Promotion | Advertising &amp; Promotion</t>
        </is>
      </c>
      <c r="F43" s="24">
        <f>SUMIF(T12_Calc!$N$1:$N$505,"Sales, adv. &amp; marketing",T12_Calc!$B$1:$B$505)</f>
        <v/>
      </c>
      <c r="G43" s="24">
        <f>SUMIF(T12_Calc!$N$1:$N$505,"Sales, adv. &amp; marketing",T12_Calc!$C$1:$C$505)</f>
        <v/>
      </c>
      <c r="H43" s="24">
        <f>SUMIF(T12_Calc!$N$1:$N$505,"Sales, adv. &amp; marketing",T12_Calc!$D$1:$D$505)</f>
        <v/>
      </c>
      <c r="I43" s="24">
        <f>SUMIF(T12_Calc!$N$1:$N$505,"Sales, adv. &amp; marketing",T12_Calc!$E$1:$E$505)</f>
        <v/>
      </c>
      <c r="J43" s="24">
        <f>SUMIF(T12_Calc!$N$1:$N$505,"Sales, adv. &amp; marketing",T12_Calc!$F$1:$F$505)</f>
        <v/>
      </c>
      <c r="K43" s="24">
        <f>SUMIF(T12_Calc!$N$1:$N$505,"Sales, adv. &amp; marketing",T12_Calc!$G$1:$G$505)</f>
        <v/>
      </c>
      <c r="L43" s="24">
        <f>SUMIF(T12_Calc!$N$1:$N$505,"Sales, adv. &amp; marketing",T12_Calc!$H$1:$H$505)</f>
        <v/>
      </c>
      <c r="M43" s="24">
        <f>SUMIF(T12_Calc!$N$1:$N$505,"Sales, adv. &amp; marketing",T12_Calc!$I$1:$I$505)</f>
        <v/>
      </c>
      <c r="N43" s="24">
        <f>SUMIF(T12_Calc!$N$1:$N$505,"Sales, adv. &amp; marketing",T12_Calc!$J$1:$J$505)</f>
        <v/>
      </c>
      <c r="O43" s="24">
        <f>SUMIF(T12_Calc!$N$1:$N$505,"Sales, adv. &amp; marketing",T12_Calc!$K$1:$K$505)</f>
        <v/>
      </c>
      <c r="P43" s="24">
        <f>SUMIF(T12_Calc!$N$1:$N$505,"Sales, adv. &amp; marketing",T12_Calc!$L$1:$L$505)</f>
        <v/>
      </c>
      <c r="Q43" s="24">
        <f>SUMIF(T12_Calc!$N$1:$N$505,"Sales, adv. &amp; marketing",T12_Calc!$M$1:$M$505)</f>
        <v/>
      </c>
      <c r="R43" s="87">
        <f>SUM(F43:Q43)</f>
        <v/>
      </c>
    </row>
    <row r="44" ht="15.75" customHeight="1" s="199">
      <c r="A44" s="88" t="inlineStr">
        <is>
          <t>Non-Labor</t>
        </is>
      </c>
      <c r="B44" s="89" t="inlineStr">
        <is>
          <t>Referral fees</t>
        </is>
      </c>
      <c r="C44" s="90" t="inlineStr">
        <is>
          <t>-</t>
        </is>
      </c>
      <c r="D44" s="91" t="inlineStr">
        <is>
          <t>Normalize at stabilization</t>
        </is>
      </c>
      <c r="E44" s="92" t="inlineStr">
        <is>
          <t>Referral Fees</t>
        </is>
      </c>
      <c r="F44" s="47">
        <f>SUMIF(T12_Calc!$N$1:$N$505,"Referral fees",T12_Calc!$B$1:$B$505)</f>
        <v/>
      </c>
      <c r="G44" s="47">
        <f>SUMIF(T12_Calc!$N$1:$N$505,"Referral fees",T12_Calc!$C$1:$C$505)</f>
        <v/>
      </c>
      <c r="H44" s="47">
        <f>SUMIF(T12_Calc!$N$1:$N$505,"Referral fees",T12_Calc!$D$1:$D$505)</f>
        <v/>
      </c>
      <c r="I44" s="47">
        <f>SUMIF(T12_Calc!$N$1:$N$505,"Referral fees",T12_Calc!$E$1:$E$505)</f>
        <v/>
      </c>
      <c r="J44" s="47">
        <f>SUMIF(T12_Calc!$N$1:$N$505,"Referral fees",T12_Calc!$F$1:$F$505)</f>
        <v/>
      </c>
      <c r="K44" s="47">
        <f>SUMIF(T12_Calc!$N$1:$N$505,"Referral fees",T12_Calc!$G$1:$G$505)</f>
        <v/>
      </c>
      <c r="L44" s="47">
        <f>SUMIF(T12_Calc!$N$1:$N$505,"Referral fees",T12_Calc!$H$1:$H$505)</f>
        <v/>
      </c>
      <c r="M44" s="47">
        <f>SUMIF(T12_Calc!$N$1:$N$505,"Referral fees",T12_Calc!$I$1:$I$505)</f>
        <v/>
      </c>
      <c r="N44" s="47">
        <f>SUMIF(T12_Calc!$N$1:$N$505,"Referral fees",T12_Calc!$J$1:$J$505)</f>
        <v/>
      </c>
      <c r="O44" s="47">
        <f>SUMIF(T12_Calc!$N$1:$N$505,"Referral fees",T12_Calc!$K$1:$K$505)</f>
        <v/>
      </c>
      <c r="P44" s="47">
        <f>SUMIF(T12_Calc!$N$1:$N$505,"Referral fees",T12_Calc!$L$1:$L$505)</f>
        <v/>
      </c>
      <c r="Q44" s="47">
        <f>SUMIF(T12_Calc!$N$1:$N$505,"Referral fees",T12_Calc!$M$1:$M$505)</f>
        <v/>
      </c>
      <c r="R44" s="93">
        <f>SUM(F44:Q44)</f>
        <v/>
      </c>
    </row>
    <row r="45" ht="15.75" customHeight="1" s="199">
      <c r="A45" s="82" t="inlineStr">
        <is>
          <t>Non-Labor</t>
        </is>
      </c>
      <c r="B45" s="83" t="inlineStr">
        <is>
          <t>Utilities</t>
        </is>
      </c>
      <c r="C45" s="84" t="inlineStr">
        <is>
          <t>-</t>
        </is>
      </c>
      <c r="D45" s="85" t="n"/>
      <c r="E45" s="86" t="inlineStr">
        <is>
          <t>Utilities</t>
        </is>
      </c>
      <c r="F45" s="24">
        <f>SUMIF(T12_Calc!$N$1:$N$505,"Utilities",T12_Calc!$B$1:$B$505)</f>
        <v/>
      </c>
      <c r="G45" s="24">
        <f>SUMIF(T12_Calc!$N$1:$N$505,"Utilities",T12_Calc!$C$1:$C$505)</f>
        <v/>
      </c>
      <c r="H45" s="24">
        <f>SUMIF(T12_Calc!$N$1:$N$505,"Utilities",T12_Calc!$D$1:$D$505)</f>
        <v/>
      </c>
      <c r="I45" s="24">
        <f>SUMIF(T12_Calc!$N$1:$N$505,"Utilities",T12_Calc!$E$1:$E$505)</f>
        <v/>
      </c>
      <c r="J45" s="24">
        <f>SUMIF(T12_Calc!$N$1:$N$505,"Utilities",T12_Calc!$F$1:$F$505)</f>
        <v/>
      </c>
      <c r="K45" s="24">
        <f>SUMIF(T12_Calc!$N$1:$N$505,"Utilities",T12_Calc!$G$1:$G$505)</f>
        <v/>
      </c>
      <c r="L45" s="24">
        <f>SUMIF(T12_Calc!$N$1:$N$505,"Utilities",T12_Calc!$H$1:$H$505)</f>
        <v/>
      </c>
      <c r="M45" s="24">
        <f>SUMIF(T12_Calc!$N$1:$N$505,"Utilities",T12_Calc!$I$1:$I$505)</f>
        <v/>
      </c>
      <c r="N45" s="24">
        <f>SUMIF(T12_Calc!$N$1:$N$505,"Utilities",T12_Calc!$J$1:$J$505)</f>
        <v/>
      </c>
      <c r="O45" s="24">
        <f>SUMIF(T12_Calc!$N$1:$N$505,"Utilities",T12_Calc!$K$1:$K$505)</f>
        <v/>
      </c>
      <c r="P45" s="24">
        <f>SUMIF(T12_Calc!$N$1:$N$505,"Utilities",T12_Calc!$L$1:$L$505)</f>
        <v/>
      </c>
      <c r="Q45" s="24">
        <f>SUMIF(T12_Calc!$N$1:$N$505,"Utilities",T12_Calc!$M$1:$M$505)</f>
        <v/>
      </c>
      <c r="R45" s="87">
        <f>SUM(F45:Q45)</f>
        <v/>
      </c>
    </row>
    <row r="46" ht="15.75" customHeight="1" s="199">
      <c r="A46" s="82" t="inlineStr">
        <is>
          <t>Non-Labor</t>
        </is>
      </c>
      <c r="B46" s="83" t="inlineStr">
        <is>
          <t>Telephone / IT</t>
        </is>
      </c>
      <c r="C46" s="84" t="inlineStr">
        <is>
          <t>-</t>
        </is>
      </c>
      <c r="D46" s="85" t="n"/>
      <c r="E46" s="86" t="inlineStr">
        <is>
          <t>Telephone/IT | Telephone Reimbursement</t>
        </is>
      </c>
      <c r="F46" s="24">
        <f>SUMIF(T12_Calc!$N$1:$N$505,"Telephone / IT",T12_Calc!$B$1:$B$505)</f>
        <v/>
      </c>
      <c r="G46" s="24">
        <f>SUMIF(T12_Calc!$N$1:$N$505,"Telephone / IT",T12_Calc!$C$1:$C$505)</f>
        <v/>
      </c>
      <c r="H46" s="24">
        <f>SUMIF(T12_Calc!$N$1:$N$505,"Telephone / IT",T12_Calc!$D$1:$D$505)</f>
        <v/>
      </c>
      <c r="I46" s="24">
        <f>SUMIF(T12_Calc!$N$1:$N$505,"Telephone / IT",T12_Calc!$E$1:$E$505)</f>
        <v/>
      </c>
      <c r="J46" s="24">
        <f>SUMIF(T12_Calc!$N$1:$N$505,"Telephone / IT",T12_Calc!$F$1:$F$505)</f>
        <v/>
      </c>
      <c r="K46" s="24">
        <f>SUMIF(T12_Calc!$N$1:$N$505,"Telephone / IT",T12_Calc!$G$1:$G$505)</f>
        <v/>
      </c>
      <c r="L46" s="24">
        <f>SUMIF(T12_Calc!$N$1:$N$505,"Telephone / IT",T12_Calc!$H$1:$H$505)</f>
        <v/>
      </c>
      <c r="M46" s="24">
        <f>SUMIF(T12_Calc!$N$1:$N$505,"Telephone / IT",T12_Calc!$I$1:$I$505)</f>
        <v/>
      </c>
      <c r="N46" s="24">
        <f>SUMIF(T12_Calc!$N$1:$N$505,"Telephone / IT",T12_Calc!$J$1:$J$505)</f>
        <v/>
      </c>
      <c r="O46" s="24">
        <f>SUMIF(T12_Calc!$N$1:$N$505,"Telephone / IT",T12_Calc!$K$1:$K$505)</f>
        <v/>
      </c>
      <c r="P46" s="24">
        <f>SUMIF(T12_Calc!$N$1:$N$505,"Telephone / IT",T12_Calc!$L$1:$L$505)</f>
        <v/>
      </c>
      <c r="Q46" s="24">
        <f>SUMIF(T12_Calc!$N$1:$N$505,"Telephone / IT",T12_Calc!$M$1:$M$505)</f>
        <v/>
      </c>
      <c r="R46" s="87">
        <f>SUM(F46:Q46)</f>
        <v/>
      </c>
    </row>
    <row r="47" ht="15.75" customHeight="1" s="199">
      <c r="A47" s="82" t="inlineStr">
        <is>
          <t>Non-Labor</t>
        </is>
      </c>
      <c r="B47" s="83" t="inlineStr">
        <is>
          <t>P&amp;C insurance (bundled)</t>
        </is>
      </c>
      <c r="C47" s="84" t="inlineStr">
        <is>
          <t>-</t>
        </is>
      </c>
      <c r="D47" s="85" t="n"/>
      <c r="E47" s="86" t="inlineStr">
        <is>
          <t>Bundled Insurance Poilicies | Bundled Insurance Policies | EPLI Insurance</t>
        </is>
      </c>
      <c r="F47" s="24">
        <f>SUMIF(T12_Calc!$N$1:$N$505,"P&amp;C insurance (bundled)",T12_Calc!$B$1:$B$505)</f>
        <v/>
      </c>
      <c r="G47" s="24">
        <f>SUMIF(T12_Calc!$N$1:$N$505,"P&amp;C insurance (bundled)",T12_Calc!$C$1:$C$505)</f>
        <v/>
      </c>
      <c r="H47" s="24">
        <f>SUMIF(T12_Calc!$N$1:$N$505,"P&amp;C insurance (bundled)",T12_Calc!$D$1:$D$505)</f>
        <v/>
      </c>
      <c r="I47" s="24">
        <f>SUMIF(T12_Calc!$N$1:$N$505,"P&amp;C insurance (bundled)",T12_Calc!$E$1:$E$505)</f>
        <v/>
      </c>
      <c r="J47" s="24">
        <f>SUMIF(T12_Calc!$N$1:$N$505,"P&amp;C insurance (bundled)",T12_Calc!$F$1:$F$505)</f>
        <v/>
      </c>
      <c r="K47" s="24">
        <f>SUMIF(T12_Calc!$N$1:$N$505,"P&amp;C insurance (bundled)",T12_Calc!$G$1:$G$505)</f>
        <v/>
      </c>
      <c r="L47" s="24">
        <f>SUMIF(T12_Calc!$N$1:$N$505,"P&amp;C insurance (bundled)",T12_Calc!$H$1:$H$505)</f>
        <v/>
      </c>
      <c r="M47" s="24">
        <f>SUMIF(T12_Calc!$N$1:$N$505,"P&amp;C insurance (bundled)",T12_Calc!$I$1:$I$505)</f>
        <v/>
      </c>
      <c r="N47" s="24">
        <f>SUMIF(T12_Calc!$N$1:$N$505,"P&amp;C insurance (bundled)",T12_Calc!$J$1:$J$505)</f>
        <v/>
      </c>
      <c r="O47" s="24">
        <f>SUMIF(T12_Calc!$N$1:$N$505,"P&amp;C insurance (bundled)",T12_Calc!$K$1:$K$505)</f>
        <v/>
      </c>
      <c r="P47" s="24">
        <f>SUMIF(T12_Calc!$N$1:$N$505,"P&amp;C insurance (bundled)",T12_Calc!$L$1:$L$505)</f>
        <v/>
      </c>
      <c r="Q47" s="24">
        <f>SUMIF(T12_Calc!$N$1:$N$505,"P&amp;C insurance (bundled)",T12_Calc!$M$1:$M$505)</f>
        <v/>
      </c>
      <c r="R47" s="87">
        <f>SUM(F47:Q47)</f>
        <v/>
      </c>
    </row>
    <row r="48" ht="15.75" customHeight="1" s="199">
      <c r="A48" s="82" t="inlineStr">
        <is>
          <t>Non-Labor</t>
        </is>
      </c>
      <c r="B48" s="83" t="inlineStr">
        <is>
          <t>Auto insurance</t>
        </is>
      </c>
      <c r="C48" s="84" t="inlineStr">
        <is>
          <t>-</t>
        </is>
      </c>
      <c r="D48" s="85" t="n"/>
      <c r="E48" s="86" t="inlineStr">
        <is>
          <t>Auto Insurance</t>
        </is>
      </c>
      <c r="F48" s="24">
        <f>SUMIF(T12_Calc!$N$1:$N$505,"Auto insurance",T12_Calc!$B$1:$B$505)</f>
        <v/>
      </c>
      <c r="G48" s="24">
        <f>SUMIF(T12_Calc!$N$1:$N$505,"Auto insurance",T12_Calc!$C$1:$C$505)</f>
        <v/>
      </c>
      <c r="H48" s="24">
        <f>SUMIF(T12_Calc!$N$1:$N$505,"Auto insurance",T12_Calc!$D$1:$D$505)</f>
        <v/>
      </c>
      <c r="I48" s="24">
        <f>SUMIF(T12_Calc!$N$1:$N$505,"Auto insurance",T12_Calc!$E$1:$E$505)</f>
        <v/>
      </c>
      <c r="J48" s="24">
        <f>SUMIF(T12_Calc!$N$1:$N$505,"Auto insurance",T12_Calc!$F$1:$F$505)</f>
        <v/>
      </c>
      <c r="K48" s="24">
        <f>SUMIF(T12_Calc!$N$1:$N$505,"Auto insurance",T12_Calc!$G$1:$G$505)</f>
        <v/>
      </c>
      <c r="L48" s="24">
        <f>SUMIF(T12_Calc!$N$1:$N$505,"Auto insurance",T12_Calc!$H$1:$H$505)</f>
        <v/>
      </c>
      <c r="M48" s="24">
        <f>SUMIF(T12_Calc!$N$1:$N$505,"Auto insurance",T12_Calc!$I$1:$I$505)</f>
        <v/>
      </c>
      <c r="N48" s="24">
        <f>SUMIF(T12_Calc!$N$1:$N$505,"Auto insurance",T12_Calc!$J$1:$J$505)</f>
        <v/>
      </c>
      <c r="O48" s="24">
        <f>SUMIF(T12_Calc!$N$1:$N$505,"Auto insurance",T12_Calc!$K$1:$K$505)</f>
        <v/>
      </c>
      <c r="P48" s="24">
        <f>SUMIF(T12_Calc!$N$1:$N$505,"Auto insurance",T12_Calc!$L$1:$L$505)</f>
        <v/>
      </c>
      <c r="Q48" s="24">
        <f>SUMIF(T12_Calc!$N$1:$N$505,"Auto insurance",T12_Calc!$M$1:$M$505)</f>
        <v/>
      </c>
      <c r="R48" s="87">
        <f>SUM(F48:Q48)</f>
        <v/>
      </c>
    </row>
    <row r="49" ht="15.75" customHeight="1" s="199">
      <c r="A49" s="82" t="inlineStr">
        <is>
          <t>Non-Labor</t>
        </is>
      </c>
      <c r="B49" s="83" t="inlineStr">
        <is>
          <t>Fire / security monitoring</t>
        </is>
      </c>
      <c r="C49" s="84" t="inlineStr">
        <is>
          <t>-</t>
        </is>
      </c>
      <c r="D49" s="85" t="n"/>
      <c r="E49" s="86" t="inlineStr">
        <is>
          <t>Fire/Security Monitoring</t>
        </is>
      </c>
      <c r="F49" s="24">
        <f>SUMIF(T12_Calc!$N$1:$N$505,"Fire / security monitoring",T12_Calc!$B$1:$B$505)</f>
        <v/>
      </c>
      <c r="G49" s="24">
        <f>SUMIF(T12_Calc!$N$1:$N$505,"Fire / security monitoring",T12_Calc!$C$1:$C$505)</f>
        <v/>
      </c>
      <c r="H49" s="24">
        <f>SUMIF(T12_Calc!$N$1:$N$505,"Fire / security monitoring",T12_Calc!$D$1:$D$505)</f>
        <v/>
      </c>
      <c r="I49" s="24">
        <f>SUMIF(T12_Calc!$N$1:$N$505,"Fire / security monitoring",T12_Calc!$E$1:$E$505)</f>
        <v/>
      </c>
      <c r="J49" s="24">
        <f>SUMIF(T12_Calc!$N$1:$N$505,"Fire / security monitoring",T12_Calc!$F$1:$F$505)</f>
        <v/>
      </c>
      <c r="K49" s="24">
        <f>SUMIF(T12_Calc!$N$1:$N$505,"Fire / security monitoring",T12_Calc!$G$1:$G$505)</f>
        <v/>
      </c>
      <c r="L49" s="24">
        <f>SUMIF(T12_Calc!$N$1:$N$505,"Fire / security monitoring",T12_Calc!$H$1:$H$505)</f>
        <v/>
      </c>
      <c r="M49" s="24">
        <f>SUMIF(T12_Calc!$N$1:$N$505,"Fire / security monitoring",T12_Calc!$I$1:$I$505)</f>
        <v/>
      </c>
      <c r="N49" s="24">
        <f>SUMIF(T12_Calc!$N$1:$N$505,"Fire / security monitoring",T12_Calc!$J$1:$J$505)</f>
        <v/>
      </c>
      <c r="O49" s="24">
        <f>SUMIF(T12_Calc!$N$1:$N$505,"Fire / security monitoring",T12_Calc!$K$1:$K$505)</f>
        <v/>
      </c>
      <c r="P49" s="24">
        <f>SUMIF(T12_Calc!$N$1:$N$505,"Fire / security monitoring",T12_Calc!$L$1:$L$505)</f>
        <v/>
      </c>
      <c r="Q49" s="24">
        <f>SUMIF(T12_Calc!$N$1:$N$505,"Fire / security monitoring",T12_Calc!$M$1:$M$505)</f>
        <v/>
      </c>
      <c r="R49" s="87">
        <f>SUM(F49:Q49)</f>
        <v/>
      </c>
    </row>
    <row r="50" ht="15.75" customHeight="1" s="199">
      <c r="A50" s="82" t="inlineStr">
        <is>
          <t>Non-Labor</t>
        </is>
      </c>
      <c r="B50" s="83" t="inlineStr">
        <is>
          <t>Pest elimination</t>
        </is>
      </c>
      <c r="C50" s="84" t="inlineStr">
        <is>
          <t>-</t>
        </is>
      </c>
      <c r="D50" s="85" t="n"/>
      <c r="E50" s="86" t="inlineStr">
        <is>
          <t>Pest Elimination</t>
        </is>
      </c>
      <c r="F50" s="24">
        <f>SUMIF(T12_Calc!$N$1:$N$505,"Pest elimination",T12_Calc!$B$1:$B$505)</f>
        <v/>
      </c>
      <c r="G50" s="24">
        <f>SUMIF(T12_Calc!$N$1:$N$505,"Pest elimination",T12_Calc!$C$1:$C$505)</f>
        <v/>
      </c>
      <c r="H50" s="24">
        <f>SUMIF(T12_Calc!$N$1:$N$505,"Pest elimination",T12_Calc!$D$1:$D$505)</f>
        <v/>
      </c>
      <c r="I50" s="24">
        <f>SUMIF(T12_Calc!$N$1:$N$505,"Pest elimination",T12_Calc!$E$1:$E$505)</f>
        <v/>
      </c>
      <c r="J50" s="24">
        <f>SUMIF(T12_Calc!$N$1:$N$505,"Pest elimination",T12_Calc!$F$1:$F$505)</f>
        <v/>
      </c>
      <c r="K50" s="24">
        <f>SUMIF(T12_Calc!$N$1:$N$505,"Pest elimination",T12_Calc!$G$1:$G$505)</f>
        <v/>
      </c>
      <c r="L50" s="24">
        <f>SUMIF(T12_Calc!$N$1:$N$505,"Pest elimination",T12_Calc!$H$1:$H$505)</f>
        <v/>
      </c>
      <c r="M50" s="24">
        <f>SUMIF(T12_Calc!$N$1:$N$505,"Pest elimination",T12_Calc!$I$1:$I$505)</f>
        <v/>
      </c>
      <c r="N50" s="24">
        <f>SUMIF(T12_Calc!$N$1:$N$505,"Pest elimination",T12_Calc!$J$1:$J$505)</f>
        <v/>
      </c>
      <c r="O50" s="24">
        <f>SUMIF(T12_Calc!$N$1:$N$505,"Pest elimination",T12_Calc!$K$1:$K$505)</f>
        <v/>
      </c>
      <c r="P50" s="24">
        <f>SUMIF(T12_Calc!$N$1:$N$505,"Pest elimination",T12_Calc!$L$1:$L$505)</f>
        <v/>
      </c>
      <c r="Q50" s="24">
        <f>SUMIF(T12_Calc!$N$1:$N$505,"Pest elimination",T12_Calc!$M$1:$M$505)</f>
        <v/>
      </c>
      <c r="R50" s="87">
        <f>SUM(F50:Q50)</f>
        <v/>
      </c>
    </row>
    <row r="51" ht="15.75" customHeight="1" s="199">
      <c r="A51" s="88" t="inlineStr">
        <is>
          <t>Non-Labor</t>
        </is>
      </c>
      <c r="B51" s="89" t="inlineStr">
        <is>
          <t>Real estate taxes</t>
        </is>
      </c>
      <c r="C51" s="90" t="inlineStr">
        <is>
          <t>-</t>
        </is>
      </c>
      <c r="D51" s="91" t="inlineStr">
        <is>
          <t>Verify assessed value</t>
        </is>
      </c>
      <c r="E51" s="92" t="inlineStr">
        <is>
          <t>Property Tax Expense | Real Estate Taxes</t>
        </is>
      </c>
      <c r="F51" s="47">
        <f>SUMIF(T12_Calc!$N$1:$N$505,"Real estate taxes",T12_Calc!$B$1:$B$505)</f>
        <v/>
      </c>
      <c r="G51" s="47">
        <f>SUMIF(T12_Calc!$N$1:$N$505,"Real estate taxes",T12_Calc!$C$1:$C$505)</f>
        <v/>
      </c>
      <c r="H51" s="47">
        <f>SUMIF(T12_Calc!$N$1:$N$505,"Real estate taxes",T12_Calc!$D$1:$D$505)</f>
        <v/>
      </c>
      <c r="I51" s="47">
        <f>SUMIF(T12_Calc!$N$1:$N$505,"Real estate taxes",T12_Calc!$E$1:$E$505)</f>
        <v/>
      </c>
      <c r="J51" s="47">
        <f>SUMIF(T12_Calc!$N$1:$N$505,"Real estate taxes",T12_Calc!$F$1:$F$505)</f>
        <v/>
      </c>
      <c r="K51" s="47">
        <f>SUMIF(T12_Calc!$N$1:$N$505,"Real estate taxes",T12_Calc!$G$1:$G$505)</f>
        <v/>
      </c>
      <c r="L51" s="47">
        <f>SUMIF(T12_Calc!$N$1:$N$505,"Real estate taxes",T12_Calc!$H$1:$H$505)</f>
        <v/>
      </c>
      <c r="M51" s="47">
        <f>SUMIF(T12_Calc!$N$1:$N$505,"Real estate taxes",T12_Calc!$I$1:$I$505)</f>
        <v/>
      </c>
      <c r="N51" s="47">
        <f>SUMIF(T12_Calc!$N$1:$N$505,"Real estate taxes",T12_Calc!$J$1:$J$505)</f>
        <v/>
      </c>
      <c r="O51" s="47">
        <f>SUMIF(T12_Calc!$N$1:$N$505,"Real estate taxes",T12_Calc!$K$1:$K$505)</f>
        <v/>
      </c>
      <c r="P51" s="47">
        <f>SUMIF(T12_Calc!$N$1:$N$505,"Real estate taxes",T12_Calc!$L$1:$L$505)</f>
        <v/>
      </c>
      <c r="Q51" s="47">
        <f>SUMIF(T12_Calc!$N$1:$N$505,"Real estate taxes",T12_Calc!$M$1:$M$505)</f>
        <v/>
      </c>
      <c r="R51" s="93">
        <f>SUM(F51:Q51)</f>
        <v/>
      </c>
    </row>
    <row r="52" ht="15.75" customHeight="1" s="199">
      <c r="A52" s="82" t="inlineStr">
        <is>
          <t>Non-Labor</t>
        </is>
      </c>
      <c r="B52" s="83" t="inlineStr">
        <is>
          <t>Personal property taxes</t>
        </is>
      </c>
      <c r="C52" s="84" t="inlineStr">
        <is>
          <t>-</t>
        </is>
      </c>
      <c r="D52" s="85" t="n"/>
      <c r="E52" s="86" t="inlineStr">
        <is>
          <t>Personal Property Tax Expense | Personal Property Taxes</t>
        </is>
      </c>
      <c r="F52" s="24">
        <f>SUMIF(T12_Calc!$N$1:$N$505,"Personal property taxes",T12_Calc!$B$1:$B$505)</f>
        <v/>
      </c>
      <c r="G52" s="24">
        <f>SUMIF(T12_Calc!$N$1:$N$505,"Personal property taxes",T12_Calc!$C$1:$C$505)</f>
        <v/>
      </c>
      <c r="H52" s="24">
        <f>SUMIF(T12_Calc!$N$1:$N$505,"Personal property taxes",T12_Calc!$D$1:$D$505)</f>
        <v/>
      </c>
      <c r="I52" s="24">
        <f>SUMIF(T12_Calc!$N$1:$N$505,"Personal property taxes",T12_Calc!$E$1:$E$505)</f>
        <v/>
      </c>
      <c r="J52" s="24">
        <f>SUMIF(T12_Calc!$N$1:$N$505,"Personal property taxes",T12_Calc!$F$1:$F$505)</f>
        <v/>
      </c>
      <c r="K52" s="24">
        <f>SUMIF(T12_Calc!$N$1:$N$505,"Personal property taxes",T12_Calc!$G$1:$G$505)</f>
        <v/>
      </c>
      <c r="L52" s="24">
        <f>SUMIF(T12_Calc!$N$1:$N$505,"Personal property taxes",T12_Calc!$H$1:$H$505)</f>
        <v/>
      </c>
      <c r="M52" s="24">
        <f>SUMIF(T12_Calc!$N$1:$N$505,"Personal property taxes",T12_Calc!$I$1:$I$505)</f>
        <v/>
      </c>
      <c r="N52" s="24">
        <f>SUMIF(T12_Calc!$N$1:$N$505,"Personal property taxes",T12_Calc!$J$1:$J$505)</f>
        <v/>
      </c>
      <c r="O52" s="24">
        <f>SUMIF(T12_Calc!$N$1:$N$505,"Personal property taxes",T12_Calc!$K$1:$K$505)</f>
        <v/>
      </c>
      <c r="P52" s="24">
        <f>SUMIF(T12_Calc!$N$1:$N$505,"Personal property taxes",T12_Calc!$L$1:$L$505)</f>
        <v/>
      </c>
      <c r="Q52" s="24">
        <f>SUMIF(T12_Calc!$N$1:$N$505,"Personal property taxes",T12_Calc!$M$1:$M$505)</f>
        <v/>
      </c>
      <c r="R52" s="87">
        <f>SUM(F52:Q52)</f>
        <v/>
      </c>
    </row>
    <row r="53" ht="15.75" customHeight="1" s="199">
      <c r="A53" s="82" t="inlineStr">
        <is>
          <t>Non-Labor</t>
        </is>
      </c>
      <c r="B53" s="83" t="inlineStr">
        <is>
          <t>Legal expenses</t>
        </is>
      </c>
      <c r="C53" s="84" t="inlineStr">
        <is>
          <t>-</t>
        </is>
      </c>
      <c r="D53" s="85" t="n"/>
      <c r="E53" s="86" t="inlineStr">
        <is>
          <t>Legal Expense | Legal Expenses</t>
        </is>
      </c>
      <c r="F53" s="24">
        <f>SUMIF(T12_Calc!$N$1:$N$505,"Legal expenses",T12_Calc!$B$1:$B$505)</f>
        <v/>
      </c>
      <c r="G53" s="24">
        <f>SUMIF(T12_Calc!$N$1:$N$505,"Legal expenses",T12_Calc!$C$1:$C$505)</f>
        <v/>
      </c>
      <c r="H53" s="24">
        <f>SUMIF(T12_Calc!$N$1:$N$505,"Legal expenses",T12_Calc!$D$1:$D$505)</f>
        <v/>
      </c>
      <c r="I53" s="24">
        <f>SUMIF(T12_Calc!$N$1:$N$505,"Legal expenses",T12_Calc!$E$1:$E$505)</f>
        <v/>
      </c>
      <c r="J53" s="24">
        <f>SUMIF(T12_Calc!$N$1:$N$505,"Legal expenses",T12_Calc!$F$1:$F$505)</f>
        <v/>
      </c>
      <c r="K53" s="24">
        <f>SUMIF(T12_Calc!$N$1:$N$505,"Legal expenses",T12_Calc!$G$1:$G$505)</f>
        <v/>
      </c>
      <c r="L53" s="24">
        <f>SUMIF(T12_Calc!$N$1:$N$505,"Legal expenses",T12_Calc!$H$1:$H$505)</f>
        <v/>
      </c>
      <c r="M53" s="24">
        <f>SUMIF(T12_Calc!$N$1:$N$505,"Legal expenses",T12_Calc!$I$1:$I$505)</f>
        <v/>
      </c>
      <c r="N53" s="24">
        <f>SUMIF(T12_Calc!$N$1:$N$505,"Legal expenses",T12_Calc!$J$1:$J$505)</f>
        <v/>
      </c>
      <c r="O53" s="24">
        <f>SUMIF(T12_Calc!$N$1:$N$505,"Legal expenses",T12_Calc!$K$1:$K$505)</f>
        <v/>
      </c>
      <c r="P53" s="24">
        <f>SUMIF(T12_Calc!$N$1:$N$505,"Legal expenses",T12_Calc!$L$1:$L$505)</f>
        <v/>
      </c>
      <c r="Q53" s="24">
        <f>SUMIF(T12_Calc!$N$1:$N$505,"Legal expenses",T12_Calc!$M$1:$M$505)</f>
        <v/>
      </c>
      <c r="R53" s="87">
        <f>SUM(F53:Q53)</f>
        <v/>
      </c>
    </row>
    <row r="54" ht="15.75" customHeight="1" s="199">
      <c r="A54" s="82" t="inlineStr">
        <is>
          <t>Non-Labor</t>
        </is>
      </c>
      <c r="B54" s="83" t="inlineStr">
        <is>
          <t>Professional services</t>
        </is>
      </c>
      <c r="C54" s="84" t="inlineStr">
        <is>
          <t>-</t>
        </is>
      </c>
      <c r="D54" s="85" t="n"/>
      <c r="E54" s="86" t="inlineStr">
        <is>
          <t>Professional Services</t>
        </is>
      </c>
      <c r="F54" s="24">
        <f>SUMIF(T12_Calc!$N$1:$N$505,"Professional services",T12_Calc!$B$1:$B$505)</f>
        <v/>
      </c>
      <c r="G54" s="24">
        <f>SUMIF(T12_Calc!$N$1:$N$505,"Professional services",T12_Calc!$C$1:$C$505)</f>
        <v/>
      </c>
      <c r="H54" s="24">
        <f>SUMIF(T12_Calc!$N$1:$N$505,"Professional services",T12_Calc!$D$1:$D$505)</f>
        <v/>
      </c>
      <c r="I54" s="24">
        <f>SUMIF(T12_Calc!$N$1:$N$505,"Professional services",T12_Calc!$E$1:$E$505)</f>
        <v/>
      </c>
      <c r="J54" s="24">
        <f>SUMIF(T12_Calc!$N$1:$N$505,"Professional services",T12_Calc!$F$1:$F$505)</f>
        <v/>
      </c>
      <c r="K54" s="24">
        <f>SUMIF(T12_Calc!$N$1:$N$505,"Professional services",T12_Calc!$G$1:$G$505)</f>
        <v/>
      </c>
      <c r="L54" s="24">
        <f>SUMIF(T12_Calc!$N$1:$N$505,"Professional services",T12_Calc!$H$1:$H$505)</f>
        <v/>
      </c>
      <c r="M54" s="24">
        <f>SUMIF(T12_Calc!$N$1:$N$505,"Professional services",T12_Calc!$I$1:$I$505)</f>
        <v/>
      </c>
      <c r="N54" s="24">
        <f>SUMIF(T12_Calc!$N$1:$N$505,"Professional services",T12_Calc!$J$1:$J$505)</f>
        <v/>
      </c>
      <c r="O54" s="24">
        <f>SUMIF(T12_Calc!$N$1:$N$505,"Professional services",T12_Calc!$K$1:$K$505)</f>
        <v/>
      </c>
      <c r="P54" s="24">
        <f>SUMIF(T12_Calc!$N$1:$N$505,"Professional services",T12_Calc!$L$1:$L$505)</f>
        <v/>
      </c>
      <c r="Q54" s="24">
        <f>SUMIF(T12_Calc!$N$1:$N$505,"Professional services",T12_Calc!$M$1:$M$505)</f>
        <v/>
      </c>
      <c r="R54" s="87">
        <f>SUM(F54:Q54)</f>
        <v/>
      </c>
    </row>
    <row r="55" ht="15.75" customHeight="1" s="199">
      <c r="A55" s="88" t="inlineStr">
        <is>
          <t>Non-Labor</t>
        </is>
      </c>
      <c r="B55" s="89" t="inlineStr">
        <is>
          <t>Bad debt expense</t>
        </is>
      </c>
      <c r="C55" s="90" t="inlineStr">
        <is>
          <t>-</t>
        </is>
      </c>
      <c r="D55" s="91" t="inlineStr">
        <is>
          <t>Normalize to 1-2%</t>
        </is>
      </c>
      <c r="E55" s="92" t="inlineStr">
        <is>
          <t>Bad Debt Expense</t>
        </is>
      </c>
      <c r="F55" s="47">
        <f>SUMIF(T12_Calc!$N$1:$N$505,"Bad debt expense",T12_Calc!$B$1:$B$505)</f>
        <v/>
      </c>
      <c r="G55" s="47">
        <f>SUMIF(T12_Calc!$N$1:$N$505,"Bad debt expense",T12_Calc!$C$1:$C$505)</f>
        <v/>
      </c>
      <c r="H55" s="47">
        <f>SUMIF(T12_Calc!$N$1:$N$505,"Bad debt expense",T12_Calc!$D$1:$D$505)</f>
        <v/>
      </c>
      <c r="I55" s="47">
        <f>SUMIF(T12_Calc!$N$1:$N$505,"Bad debt expense",T12_Calc!$E$1:$E$505)</f>
        <v/>
      </c>
      <c r="J55" s="47">
        <f>SUMIF(T12_Calc!$N$1:$N$505,"Bad debt expense",T12_Calc!$F$1:$F$505)</f>
        <v/>
      </c>
      <c r="K55" s="47">
        <f>SUMIF(T12_Calc!$N$1:$N$505,"Bad debt expense",T12_Calc!$G$1:$G$505)</f>
        <v/>
      </c>
      <c r="L55" s="47">
        <f>SUMIF(T12_Calc!$N$1:$N$505,"Bad debt expense",T12_Calc!$H$1:$H$505)</f>
        <v/>
      </c>
      <c r="M55" s="47">
        <f>SUMIF(T12_Calc!$N$1:$N$505,"Bad debt expense",T12_Calc!$I$1:$I$505)</f>
        <v/>
      </c>
      <c r="N55" s="47">
        <f>SUMIF(T12_Calc!$N$1:$N$505,"Bad debt expense",T12_Calc!$J$1:$J$505)</f>
        <v/>
      </c>
      <c r="O55" s="47">
        <f>SUMIF(T12_Calc!$N$1:$N$505,"Bad debt expense",T12_Calc!$K$1:$K$505)</f>
        <v/>
      </c>
      <c r="P55" s="47">
        <f>SUMIF(T12_Calc!$N$1:$N$505,"Bad debt expense",T12_Calc!$L$1:$L$505)</f>
        <v/>
      </c>
      <c r="Q55" s="47">
        <f>SUMIF(T12_Calc!$N$1:$N$505,"Bad debt expense",T12_Calc!$M$1:$M$505)</f>
        <v/>
      </c>
      <c r="R55" s="93">
        <f>SUM(F55:Q55)</f>
        <v/>
      </c>
    </row>
    <row r="56" ht="15.75" customHeight="1" s="199">
      <c r="A56" s="82" t="inlineStr">
        <is>
          <t>Non-Labor</t>
        </is>
      </c>
      <c r="B56" s="83" t="inlineStr">
        <is>
          <t>Permits, licenses &amp; dues</t>
        </is>
      </c>
      <c r="C56" s="84" t="inlineStr">
        <is>
          <t>-</t>
        </is>
      </c>
      <c r="D56" s="85" t="n"/>
      <c r="E56" s="86" t="inlineStr">
        <is>
          <t>Permits and Licenses | Dues and Subscriptions | Association Dues</t>
        </is>
      </c>
      <c r="F56" s="24">
        <f>SUMIF(T12_Calc!$N$1:$N$505,"Permits, licenses &amp; dues",T12_Calc!$B$1:$B$505)</f>
        <v/>
      </c>
      <c r="G56" s="24">
        <f>SUMIF(T12_Calc!$N$1:$N$505,"Permits, licenses &amp; dues",T12_Calc!$C$1:$C$505)</f>
        <v/>
      </c>
      <c r="H56" s="24">
        <f>SUMIF(T12_Calc!$N$1:$N$505,"Permits, licenses &amp; dues",T12_Calc!$D$1:$D$505)</f>
        <v/>
      </c>
      <c r="I56" s="24">
        <f>SUMIF(T12_Calc!$N$1:$N$505,"Permits, licenses &amp; dues",T12_Calc!$E$1:$E$505)</f>
        <v/>
      </c>
      <c r="J56" s="24">
        <f>SUMIF(T12_Calc!$N$1:$N$505,"Permits, licenses &amp; dues",T12_Calc!$F$1:$F$505)</f>
        <v/>
      </c>
      <c r="K56" s="24">
        <f>SUMIF(T12_Calc!$N$1:$N$505,"Permits, licenses &amp; dues",T12_Calc!$G$1:$G$505)</f>
        <v/>
      </c>
      <c r="L56" s="24">
        <f>SUMIF(T12_Calc!$N$1:$N$505,"Permits, licenses &amp; dues",T12_Calc!$H$1:$H$505)</f>
        <v/>
      </c>
      <c r="M56" s="24">
        <f>SUMIF(T12_Calc!$N$1:$N$505,"Permits, licenses &amp; dues",T12_Calc!$I$1:$I$505)</f>
        <v/>
      </c>
      <c r="N56" s="24">
        <f>SUMIF(T12_Calc!$N$1:$N$505,"Permits, licenses &amp; dues",T12_Calc!$J$1:$J$505)</f>
        <v/>
      </c>
      <c r="O56" s="24">
        <f>SUMIF(T12_Calc!$N$1:$N$505,"Permits, licenses &amp; dues",T12_Calc!$K$1:$K$505)</f>
        <v/>
      </c>
      <c r="P56" s="24">
        <f>SUMIF(T12_Calc!$N$1:$N$505,"Permits, licenses &amp; dues",T12_Calc!$L$1:$L$505)</f>
        <v/>
      </c>
      <c r="Q56" s="24">
        <f>SUMIF(T12_Calc!$N$1:$N$505,"Permits, licenses &amp; dues",T12_Calc!$M$1:$M$505)</f>
        <v/>
      </c>
      <c r="R56" s="87">
        <f>SUM(F56:Q56)</f>
        <v/>
      </c>
    </row>
    <row r="57">
      <c r="A57" s="82" t="inlineStr">
        <is>
          <t>Non-Labor</t>
        </is>
      </c>
      <c r="B57" s="83" t="inlineStr">
        <is>
          <t>Office, admin &amp; G&amp;A</t>
        </is>
      </c>
      <c r="C57" s="84" t="inlineStr">
        <is>
          <t>-</t>
        </is>
      </c>
      <c r="D57" s="85" t="n"/>
      <c r="E57"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4">
        <f>SUMIF(T12_Calc!$N$1:$N$505,"Office, admin &amp; G&amp;A",T12_Calc!$B$1:$B$505)</f>
        <v/>
      </c>
      <c r="G57" s="24">
        <f>SUMIF(T12_Calc!$N$1:$N$505,"Office, admin &amp; G&amp;A",T12_Calc!$C$1:$C$505)</f>
        <v/>
      </c>
      <c r="H57" s="24">
        <f>SUMIF(T12_Calc!$N$1:$N$505,"Office, admin &amp; G&amp;A",T12_Calc!$D$1:$D$505)</f>
        <v/>
      </c>
      <c r="I57" s="24">
        <f>SUMIF(T12_Calc!$N$1:$N$505,"Office, admin &amp; G&amp;A",T12_Calc!$E$1:$E$505)</f>
        <v/>
      </c>
      <c r="J57" s="24">
        <f>SUMIF(T12_Calc!$N$1:$N$505,"Office, admin &amp; G&amp;A",T12_Calc!$F$1:$F$505)</f>
        <v/>
      </c>
      <c r="K57" s="24">
        <f>SUMIF(T12_Calc!$N$1:$N$505,"Office, admin &amp; G&amp;A",T12_Calc!$G$1:$G$505)</f>
        <v/>
      </c>
      <c r="L57" s="24">
        <f>SUMIF(T12_Calc!$N$1:$N$505,"Office, admin &amp; G&amp;A",T12_Calc!$H$1:$H$505)</f>
        <v/>
      </c>
      <c r="M57" s="24">
        <f>SUMIF(T12_Calc!$N$1:$N$505,"Office, admin &amp; G&amp;A",T12_Calc!$I$1:$I$505)</f>
        <v/>
      </c>
      <c r="N57" s="24">
        <f>SUMIF(T12_Calc!$N$1:$N$505,"Office, admin &amp; G&amp;A",T12_Calc!$J$1:$J$505)</f>
        <v/>
      </c>
      <c r="O57" s="24">
        <f>SUMIF(T12_Calc!$N$1:$N$505,"Office, admin &amp; G&amp;A",T12_Calc!$K$1:$K$505)</f>
        <v/>
      </c>
      <c r="P57" s="24">
        <f>SUMIF(T12_Calc!$N$1:$N$505,"Office, admin &amp; G&amp;A",T12_Calc!$L$1:$L$505)</f>
        <v/>
      </c>
      <c r="Q57" s="24">
        <f>SUMIF(T12_Calc!$N$1:$N$505,"Office, admin &amp; G&amp;A",T12_Calc!$M$1:$M$505)</f>
        <v/>
      </c>
      <c r="R57" s="87">
        <f>SUM(F57:Q57)</f>
        <v/>
      </c>
    </row>
    <row r="58">
      <c r="A58" s="82" t="inlineStr">
        <is>
          <t>Non-Labor</t>
        </is>
      </c>
      <c r="B58" s="83" t="inlineStr">
        <is>
          <t>Other / miscellaneous</t>
        </is>
      </c>
      <c r="C58" s="84" t="inlineStr">
        <is>
          <t>-</t>
        </is>
      </c>
      <c r="D58" s="85" t="n"/>
      <c r="E58" s="86" t="inlineStr">
        <is>
          <t>Reimbursable Supplies | Building (Bird/Fish) Supplies | Evacuation Expense | Personal purchases for Residen | Resident Gifts/Benefits</t>
        </is>
      </c>
      <c r="F58" s="24">
        <f>SUMIF(T12_Calc!$N$1:$N$505,"Other / miscellaneous",T12_Calc!$B$1:$B$505)</f>
        <v/>
      </c>
      <c r="G58" s="24">
        <f>SUMIF(T12_Calc!$N$1:$N$505,"Other / miscellaneous",T12_Calc!$C$1:$C$505)</f>
        <v/>
      </c>
      <c r="H58" s="24">
        <f>SUMIF(T12_Calc!$N$1:$N$505,"Other / miscellaneous",T12_Calc!$D$1:$D$505)</f>
        <v/>
      </c>
      <c r="I58" s="24">
        <f>SUMIF(T12_Calc!$N$1:$N$505,"Other / miscellaneous",T12_Calc!$E$1:$E$505)</f>
        <v/>
      </c>
      <c r="J58" s="24">
        <f>SUMIF(T12_Calc!$N$1:$N$505,"Other / miscellaneous",T12_Calc!$F$1:$F$505)</f>
        <v/>
      </c>
      <c r="K58" s="24">
        <f>SUMIF(T12_Calc!$N$1:$N$505,"Other / miscellaneous",T12_Calc!$G$1:$G$505)</f>
        <v/>
      </c>
      <c r="L58" s="24">
        <f>SUMIF(T12_Calc!$N$1:$N$505,"Other / miscellaneous",T12_Calc!$H$1:$H$505)</f>
        <v/>
      </c>
      <c r="M58" s="24">
        <f>SUMIF(T12_Calc!$N$1:$N$505,"Other / miscellaneous",T12_Calc!$I$1:$I$505)</f>
        <v/>
      </c>
      <c r="N58" s="24">
        <f>SUMIF(T12_Calc!$N$1:$N$505,"Other / miscellaneous",T12_Calc!$J$1:$J$505)</f>
        <v/>
      </c>
      <c r="O58" s="24">
        <f>SUMIF(T12_Calc!$N$1:$N$505,"Other / miscellaneous",T12_Calc!$K$1:$K$505)</f>
        <v/>
      </c>
      <c r="P58" s="24">
        <f>SUMIF(T12_Calc!$N$1:$N$505,"Other / miscellaneous",T12_Calc!$L$1:$L$505)</f>
        <v/>
      </c>
      <c r="Q58" s="24">
        <f>SUMIF(T12_Calc!$N$1:$N$505,"Other / miscellaneous",T12_Calc!$M$1:$M$505)</f>
        <v/>
      </c>
      <c r="R58" s="87">
        <f>SUM(F58:Q58)</f>
        <v/>
      </c>
    </row>
    <row r="59">
      <c r="A59" s="82" t="inlineStr">
        <is>
          <t>Non-Labor</t>
        </is>
      </c>
      <c r="B59" s="83" t="inlineStr">
        <is>
          <t>Management fee</t>
        </is>
      </c>
      <c r="C59" s="84" t="inlineStr">
        <is>
          <t>-</t>
        </is>
      </c>
      <c r="D59" s="91" t="inlineStr">
        <is>
          <t>Enter manually if needed</t>
        </is>
      </c>
      <c r="E59" s="86" t="inlineStr">
        <is>
          <t>Management Fees | Management Fee</t>
        </is>
      </c>
      <c r="F59" s="24">
        <f>SUMIF(T12_Calc!$N$1:$N$505,"Management fee",T12_Calc!$B$1:$B$505)</f>
        <v/>
      </c>
      <c r="G59" s="24">
        <f>SUMIF(T12_Calc!$N$1:$N$505,"Management fee",T12_Calc!$C$1:$C$505)</f>
        <v/>
      </c>
      <c r="H59" s="24">
        <f>SUMIF(T12_Calc!$N$1:$N$505,"Management fee",T12_Calc!$D$1:$D$505)</f>
        <v/>
      </c>
      <c r="I59" s="24">
        <f>SUMIF(T12_Calc!$N$1:$N$505,"Management fee",T12_Calc!$E$1:$E$505)</f>
        <v/>
      </c>
      <c r="J59" s="24">
        <f>SUMIF(T12_Calc!$N$1:$N$505,"Management fee",T12_Calc!$F$1:$F$505)</f>
        <v/>
      </c>
      <c r="K59" s="24">
        <f>SUMIF(T12_Calc!$N$1:$N$505,"Management fee",T12_Calc!$G$1:$G$505)</f>
        <v/>
      </c>
      <c r="L59" s="24">
        <f>SUMIF(T12_Calc!$N$1:$N$505,"Management fee",T12_Calc!$H$1:$H$505)</f>
        <v/>
      </c>
      <c r="M59" s="24">
        <f>SUMIF(T12_Calc!$N$1:$N$505,"Management fee",T12_Calc!$I$1:$I$505)</f>
        <v/>
      </c>
      <c r="N59" s="24">
        <f>SUMIF(T12_Calc!$N$1:$N$505,"Management fee",T12_Calc!$J$1:$J$505)</f>
        <v/>
      </c>
      <c r="O59" s="24">
        <f>SUMIF(T12_Calc!$N$1:$N$505,"Management fee",T12_Calc!$K$1:$K$505)</f>
        <v/>
      </c>
      <c r="P59" s="24">
        <f>SUMIF(T12_Calc!$N$1:$N$505,"Management fee",T12_Calc!$L$1:$L$505)</f>
        <v/>
      </c>
      <c r="Q59" s="24">
        <f>SUMIF(T12_Calc!$N$1:$N$505,"Management fee",T12_Calc!$M$1:$M$505)</f>
        <v/>
      </c>
      <c r="R59" s="87">
        <f>SUM(F59:Q59)</f>
        <v/>
      </c>
    </row>
    <row r="60">
      <c r="A60" s="84" t="inlineStr">
        <is>
          <t>Revenue</t>
        </is>
      </c>
      <c r="B60" s="94" t="inlineStr">
        <is>
          <t>Gross Rent Revenue</t>
        </is>
      </c>
      <c r="C60" s="84" t="inlineStr">
        <is>
          <t>-</t>
        </is>
      </c>
      <c r="F60" s="24">
        <f>SUMIF(T12_Calc!$N$1:$N$505,"Gross Rent Revenue",T12_Calc!$B$1:$B$505)</f>
        <v/>
      </c>
      <c r="G60" s="24">
        <f>SUMIF(T12_Calc!$N$1:$N$505,"Gross Rent Revenue",T12_Calc!$C$1:$C$505)</f>
        <v/>
      </c>
      <c r="H60" s="24">
        <f>SUMIF(T12_Calc!$N$1:$N$505,"Gross Rent Revenue",T12_Calc!$D$1:$D$505)</f>
        <v/>
      </c>
      <c r="I60" s="24">
        <f>SUMIF(T12_Calc!$N$1:$N$505,"Gross Rent Revenue",T12_Calc!$E$1:$E$505)</f>
        <v/>
      </c>
      <c r="J60" s="24">
        <f>SUMIF(T12_Calc!$N$1:$N$505,"Gross Rent Revenue",T12_Calc!$F$1:$F$505)</f>
        <v/>
      </c>
      <c r="K60" s="24">
        <f>SUMIF(T12_Calc!$N$1:$N$505,"Gross Rent Revenue",T12_Calc!$G$1:$G$505)</f>
        <v/>
      </c>
      <c r="L60" s="24">
        <f>SUMIF(T12_Calc!$N$1:$N$505,"Gross Rent Revenue",T12_Calc!$H$1:$H$505)</f>
        <v/>
      </c>
      <c r="M60" s="24">
        <f>SUMIF(T12_Calc!$N$1:$N$505,"Gross Rent Revenue",T12_Calc!$I$1:$I$505)</f>
        <v/>
      </c>
      <c r="N60" s="24">
        <f>SUMIF(T12_Calc!$N$1:$N$505,"Gross Rent Revenue",T12_Calc!$J$1:$J$505)</f>
        <v/>
      </c>
      <c r="O60" s="24">
        <f>SUMIF(T12_Calc!$N$1:$N$505,"Gross Rent Revenue",T12_Calc!$K$1:$K$505)</f>
        <v/>
      </c>
      <c r="P60" s="24">
        <f>SUMIF(T12_Calc!$N$1:$N$505,"Gross Rent Revenue",T12_Calc!$L$1:$L$505)</f>
        <v/>
      </c>
      <c r="Q60" s="24">
        <f>SUMIF(T12_Calc!$N$1:$N$505,"Gross Rent Revenue",T12_Calc!$M$1:$M$505)</f>
        <v/>
      </c>
      <c r="R60" s="87">
        <f>SUM(F60:Q60)</f>
        <v/>
      </c>
    </row>
    <row r="61" ht="15" customHeight="1" s="199">
      <c r="A61" s="84" t="inlineStr">
        <is>
          <t>Revenue</t>
        </is>
      </c>
      <c r="B61" s="95" t="inlineStr">
        <is>
          <t>Physical Vacancy</t>
        </is>
      </c>
      <c r="C61" s="84" t="inlineStr">
        <is>
          <t>-</t>
        </is>
      </c>
      <c r="F61" s="24">
        <f>SUMIF(T12_Calc!$N$1:$N$505,"Physical Vacancy",T12_Calc!$B$1:$B$505)</f>
        <v/>
      </c>
      <c r="G61" s="24">
        <f>SUMIF(T12_Calc!$N$1:$N$505,"Physical Vacancy",T12_Calc!$C$1:$C$505)</f>
        <v/>
      </c>
      <c r="H61" s="24">
        <f>SUMIF(T12_Calc!$N$1:$N$505,"Physical Vacancy",T12_Calc!$D$1:$D$505)</f>
        <v/>
      </c>
      <c r="I61" s="24">
        <f>SUMIF(T12_Calc!$N$1:$N$505,"Physical Vacancy",T12_Calc!$E$1:$E$505)</f>
        <v/>
      </c>
      <c r="J61" s="24">
        <f>SUMIF(T12_Calc!$N$1:$N$505,"Physical Vacancy",T12_Calc!$F$1:$F$505)</f>
        <v/>
      </c>
      <c r="K61" s="24">
        <f>SUMIF(T12_Calc!$N$1:$N$505,"Physical Vacancy",T12_Calc!$G$1:$G$505)</f>
        <v/>
      </c>
      <c r="L61" s="24">
        <f>SUMIF(T12_Calc!$N$1:$N$505,"Physical Vacancy",T12_Calc!$H$1:$H$505)</f>
        <v/>
      </c>
      <c r="M61" s="24">
        <f>SUMIF(T12_Calc!$N$1:$N$505,"Physical Vacancy",T12_Calc!$I$1:$I$505)</f>
        <v/>
      </c>
      <c r="N61" s="24">
        <f>SUMIF(T12_Calc!$N$1:$N$505,"Physical Vacancy",T12_Calc!$J$1:$J$505)</f>
        <v/>
      </c>
      <c r="O61" s="24">
        <f>SUMIF(T12_Calc!$N$1:$N$505,"Physical Vacancy",T12_Calc!$K$1:$K$505)</f>
        <v/>
      </c>
      <c r="P61" s="24">
        <f>SUMIF(T12_Calc!$N$1:$N$505,"Physical Vacancy",T12_Calc!$L$1:$L$505)</f>
        <v/>
      </c>
      <c r="Q61" s="24">
        <f>SUMIF(T12_Calc!$N$1:$N$505,"Physical Vacancy",T12_Calc!$M$1:$M$505)</f>
        <v/>
      </c>
      <c r="R61" s="87">
        <f>SUM(F61:Q61)</f>
        <v/>
      </c>
    </row>
    <row r="62" ht="15" customHeight="1" s="199">
      <c r="A62" s="84" t="inlineStr">
        <is>
          <t>Revenue</t>
        </is>
      </c>
      <c r="B62" s="95" t="inlineStr">
        <is>
          <t>Loss to Lease</t>
        </is>
      </c>
      <c r="C62" s="84" t="inlineStr">
        <is>
          <t>-</t>
        </is>
      </c>
      <c r="F62" s="24">
        <f>SUMIF(T12_Calc!$N$1:$N$505,"Loss to Lease",T12_Calc!$B$1:$B$505)</f>
        <v/>
      </c>
      <c r="G62" s="24">
        <f>SUMIF(T12_Calc!$N$1:$N$505,"Loss to Lease",T12_Calc!$C$1:$C$505)</f>
        <v/>
      </c>
      <c r="H62" s="24">
        <f>SUMIF(T12_Calc!$N$1:$N$505,"Loss to Lease",T12_Calc!$D$1:$D$505)</f>
        <v/>
      </c>
      <c r="I62" s="24">
        <f>SUMIF(T12_Calc!$N$1:$N$505,"Loss to Lease",T12_Calc!$E$1:$E$505)</f>
        <v/>
      </c>
      <c r="J62" s="24">
        <f>SUMIF(T12_Calc!$N$1:$N$505,"Loss to Lease",T12_Calc!$F$1:$F$505)</f>
        <v/>
      </c>
      <c r="K62" s="24">
        <f>SUMIF(T12_Calc!$N$1:$N$505,"Loss to Lease",T12_Calc!$G$1:$G$505)</f>
        <v/>
      </c>
      <c r="L62" s="24">
        <f>SUMIF(T12_Calc!$N$1:$N$505,"Loss to Lease",T12_Calc!$H$1:$H$505)</f>
        <v/>
      </c>
      <c r="M62" s="24">
        <f>SUMIF(T12_Calc!$N$1:$N$505,"Loss to Lease",T12_Calc!$I$1:$I$505)</f>
        <v/>
      </c>
      <c r="N62" s="24">
        <f>SUMIF(T12_Calc!$N$1:$N$505,"Loss to Lease",T12_Calc!$J$1:$J$505)</f>
        <v/>
      </c>
      <c r="O62" s="24">
        <f>SUMIF(T12_Calc!$N$1:$N$505,"Loss to Lease",T12_Calc!$K$1:$K$505)</f>
        <v/>
      </c>
      <c r="P62" s="24">
        <f>SUMIF(T12_Calc!$N$1:$N$505,"Loss to Lease",T12_Calc!$L$1:$L$505)</f>
        <v/>
      </c>
      <c r="Q62" s="24">
        <f>SUMIF(T12_Calc!$N$1:$N$505,"Loss to Lease",T12_Calc!$M$1:$M$505)</f>
        <v/>
      </c>
      <c r="R62" s="87">
        <f>SUM(F62:Q62)</f>
        <v/>
      </c>
    </row>
    <row r="63" ht="15" customHeight="1" s="199">
      <c r="A63" s="82" t="inlineStr">
        <is>
          <t>Non-Labor</t>
        </is>
      </c>
      <c r="B63" s="83" t="inlineStr">
        <is>
          <t>Auto Expense</t>
        </is>
      </c>
      <c r="C63" s="84" t="inlineStr">
        <is>
          <t>-</t>
        </is>
      </c>
      <c r="D63" s="85" t="n"/>
      <c r="E63" s="86" t="inlineStr">
        <is>
          <t>Auto Expenses | Auto and Mileage Expense | Bus/Shuttle Service</t>
        </is>
      </c>
      <c r="F63" s="24">
        <f>SUMIF(T12_Calc!$N$1:$N$505,"Auto Expense",T12_Calc!$B$1:$B$505)</f>
        <v/>
      </c>
      <c r="G63" s="24">
        <f>SUMIF(T12_Calc!$N$1:$N$505,"Auto Expense",T12_Calc!$C$1:$C$505)</f>
        <v/>
      </c>
      <c r="H63" s="24">
        <f>SUMIF(T12_Calc!$N$1:$N$505,"Auto Expense",T12_Calc!$D$1:$D$505)</f>
        <v/>
      </c>
      <c r="I63" s="24">
        <f>SUMIF(T12_Calc!$N$1:$N$505,"Auto Expense",T12_Calc!$E$1:$E$505)</f>
        <v/>
      </c>
      <c r="J63" s="24">
        <f>SUMIF(T12_Calc!$N$1:$N$505,"Auto Expense",T12_Calc!$F$1:$F$505)</f>
        <v/>
      </c>
      <c r="K63" s="24">
        <f>SUMIF(T12_Calc!$N$1:$N$505,"Auto Expense",T12_Calc!$G$1:$G$505)</f>
        <v/>
      </c>
      <c r="L63" s="24">
        <f>SUMIF(T12_Calc!$N$1:$N$505,"Auto Expense",T12_Calc!$H$1:$H$505)</f>
        <v/>
      </c>
      <c r="M63" s="24">
        <f>SUMIF(T12_Calc!$N$1:$N$505,"Auto Expense",T12_Calc!$I$1:$I$505)</f>
        <v/>
      </c>
      <c r="N63" s="24">
        <f>SUMIF(T12_Calc!$N$1:$N$505,"Auto Expense",T12_Calc!$J$1:$J$505)</f>
        <v/>
      </c>
      <c r="O63" s="24">
        <f>SUMIF(T12_Calc!$N$1:$N$505,"Auto Expense",T12_Calc!$K$1:$K$505)</f>
        <v/>
      </c>
      <c r="P63" s="24">
        <f>SUMIF(T12_Calc!$N$1:$N$505,"Auto Expense",T12_Calc!$L$1:$L$505)</f>
        <v/>
      </c>
      <c r="Q63" s="24">
        <f>SUMIF(T12_Calc!$N$1:$N$505,"Auto Expense",T12_Calc!$M$1:$M$505)</f>
        <v/>
      </c>
      <c r="R63" s="87">
        <f>SUM(F63:Q63)</f>
        <v/>
      </c>
    </row>
    <row r="64">
      <c r="A64" s="82" t="inlineStr">
        <is>
          <t>Non-Labor</t>
        </is>
      </c>
      <c r="B64" s="83" t="inlineStr">
        <is>
          <t>Lease / ground lease</t>
        </is>
      </c>
      <c r="C64" s="84" t="inlineStr">
        <is>
          <t>-</t>
        </is>
      </c>
      <c r="D64" s="85" t="n"/>
      <c r="E64" s="86" t="inlineStr">
        <is>
          <t>Lease Expense | Ground Lease | Land Lease | Facility Lease | Building Lease | Rent Expense</t>
        </is>
      </c>
      <c r="F64" s="24">
        <f>SUMIF(T12_Calc!$N$1:$N$505,"Lease / ground lease",T12_Calc!$B$1:$B$505)</f>
        <v/>
      </c>
      <c r="G64" s="24">
        <f>SUMIF(T12_Calc!$N$1:$N$505,"Lease / ground lease",T12_Calc!$C$1:$C$505)</f>
        <v/>
      </c>
      <c r="H64" s="24">
        <f>SUMIF(T12_Calc!$N$1:$N$505,"Lease / ground lease",T12_Calc!$D$1:$D$505)</f>
        <v/>
      </c>
      <c r="I64" s="24">
        <f>SUMIF(T12_Calc!$N$1:$N$505,"Lease / ground lease",T12_Calc!$E$1:$E$505)</f>
        <v/>
      </c>
      <c r="J64" s="24">
        <f>SUMIF(T12_Calc!$N$1:$N$505,"Lease / ground lease",T12_Calc!$F$1:$F$505)</f>
        <v/>
      </c>
      <c r="K64" s="24">
        <f>SUMIF(T12_Calc!$N$1:$N$505,"Lease / ground lease",T12_Calc!$G$1:$G$505)</f>
        <v/>
      </c>
      <c r="L64" s="24">
        <f>SUMIF(T12_Calc!$N$1:$N$505,"Lease / ground lease",T12_Calc!$H$1:$H$505)</f>
        <v/>
      </c>
      <c r="M64" s="24">
        <f>SUMIF(T12_Calc!$N$1:$N$505,"Lease / ground lease",T12_Calc!$I$1:$I$505)</f>
        <v/>
      </c>
      <c r="N64" s="24">
        <f>SUMIF(T12_Calc!$N$1:$N$505,"Lease / ground lease",T12_Calc!$J$1:$J$505)</f>
        <v/>
      </c>
      <c r="O64" s="24">
        <f>SUMIF(T12_Calc!$N$1:$N$505,"Lease / ground lease",T12_Calc!$K$1:$K$505)</f>
        <v/>
      </c>
      <c r="P64" s="24">
        <f>SUMIF(T12_Calc!$N$1:$N$505,"Lease / ground lease",T12_Calc!$L$1:$L$505)</f>
        <v/>
      </c>
      <c r="Q64" s="24">
        <f>SUMIF(T12_Calc!$N$1:$N$505,"Lease / ground lease",T12_Calc!$M$1:$M$505)</f>
        <v/>
      </c>
      <c r="R64" s="87">
        <f>SUM(F64:Q64)</f>
        <v/>
      </c>
    </row>
    <row r="67">
      <c r="R67" s="96" t="n"/>
    </row>
    <row r="68">
      <c r="R68" s="97" t="n"/>
    </row>
    <row r="69">
      <c r="R69"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 width="11" customWidth="1" style="199" min="22" max="22"/>
    <col width="12" customWidth="1" style="199" min="23" max="23"/>
    <col width="11" customWidth="1" style="199" min="24" max="24"/>
    <col width="30" customWidth="1" style="199" min="25" max="25"/>
    <col width="10" customWidth="1" style="199" min="26" max="26"/>
    <col width="10" customWidth="1" style="199" min="27" max="27"/>
    <col width="8" customWidth="1" style="199" min="28" max="28"/>
    <col width="11" customWidth="1" style="199" min="29" max="29"/>
    <col width="11" customWidth="1" style="199" min="30" max="30"/>
    <col width="11" customWidth="1" style="199" min="31" max="31"/>
    <col width="11" customWidth="1" style="199" min="32" max="32"/>
    <col width="11" customWidth="1" style="199" min="33" max="33"/>
    <col width="13" customWidth="1" style="199" min="34" max="34"/>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54" t="inlineStr">
        <is>
          <t>2nd Person
Rent $</t>
        </is>
      </c>
      <c r="W4" s="254" t="inlineStr">
        <is>
          <t>Move-out
Date</t>
        </is>
      </c>
      <c r="X4" s="254" t="inlineStr">
        <is>
          <t>Balance</t>
        </is>
      </c>
      <c r="Y4" s="254" t="inlineStr">
        <is>
          <t>Notes</t>
        </is>
      </c>
      <c r="Z4" s="254" t="inlineStr">
        <is>
          <t>Market
PSF</t>
        </is>
      </c>
      <c r="AA4" s="254" t="inlineStr">
        <is>
          <t>Actual
PSF</t>
        </is>
      </c>
      <c r="AB4" s="254" t="inlineStr">
        <is>
          <t>ACH</t>
        </is>
      </c>
      <c r="AC4" s="254" t="inlineStr">
        <is>
          <t>Meal Plan
$</t>
        </is>
      </c>
      <c r="AD4" s="254" t="inlineStr">
        <is>
          <t>Scooter Fee
$</t>
        </is>
      </c>
      <c r="AE4" s="254" t="inlineStr">
        <is>
          <t>Housekeeping
$</t>
        </is>
      </c>
      <c r="AF4" s="254" t="inlineStr">
        <is>
          <t>Laundry
$</t>
        </is>
      </c>
      <c r="AG4" s="254" t="inlineStr">
        <is>
          <t>Pet
$</t>
        </is>
      </c>
      <c r="AH4" s="261" t="inlineStr">
        <is>
          <t>Total
Ancillary $</t>
        </is>
      </c>
      <c r="AZ4" t="inlineStr">
        <is>
          <t>v0.2.4</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IFERROR(H7+IFERROR(I7,0)+T7+IFERROR(AH7,0),0)</f>
        <v/>
      </c>
      <c r="V7" s="256" t="n"/>
      <c r="W7" s="257" t="n"/>
      <c r="X7" s="256" t="n"/>
      <c r="Y7" s="258" t="n"/>
      <c r="Z7" s="259" t="n"/>
      <c r="AA7" s="259" t="n"/>
      <c r="AB7" s="258" t="n"/>
      <c r="AC7" s="256" t="n"/>
      <c r="AD7" s="256" t="n"/>
      <c r="AE7" s="256" t="n"/>
      <c r="AF7" s="256" t="n"/>
      <c r="AG7" s="256" t="n"/>
      <c r="AH7" s="256">
        <f>IFERROR(IFERROR(V7,0)+IFERROR(AC7,0)+IFERROR(AD7,0)+IFERROR(AE7,0)+IFERROR(AF7,0)+IFERROR(AG7,0),0)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IFERROR(H8+IFERROR(I8,0)+T8+IFERROR(AH8,0),0)</f>
        <v/>
      </c>
      <c r="V8" s="256" t="n"/>
      <c r="W8" s="257" t="n"/>
      <c r="X8" s="256" t="n"/>
      <c r="Y8" s="258" t="n"/>
      <c r="Z8" s="259" t="n"/>
      <c r="AA8" s="259" t="n"/>
      <c r="AB8" s="258" t="n"/>
      <c r="AC8" s="256" t="n"/>
      <c r="AD8" s="256" t="n"/>
      <c r="AE8" s="256" t="n"/>
      <c r="AF8" s="256" t="n"/>
      <c r="AG8" s="256" t="n"/>
      <c r="AH8" s="256">
        <f>IFERROR(IFERROR(V8,0)+IFERROR(AC8,0)+IFERROR(AD8,0)+IFERROR(AE8,0)+IFERROR(AF8,0)+IFERROR(AG8,0),0)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IFERROR(H9+IFERROR(I9,0)+T9+IFERROR(AH9,0),0)</f>
        <v/>
      </c>
      <c r="V9" s="256" t="n"/>
      <c r="W9" s="257" t="n"/>
      <c r="X9" s="256" t="n"/>
      <c r="Y9" s="258" t="n"/>
      <c r="Z9" s="259" t="n"/>
      <c r="AA9" s="259" t="n"/>
      <c r="AB9" s="258" t="n"/>
      <c r="AC9" s="256" t="n"/>
      <c r="AD9" s="256" t="n"/>
      <c r="AE9" s="256" t="n"/>
      <c r="AF9" s="256" t="n"/>
      <c r="AG9" s="256" t="n"/>
      <c r="AH9" s="256">
        <f>IFERROR(IFERROR(V9,0)+IFERROR(AC9,0)+IFERROR(AD9,0)+IFERROR(AE9,0)+IFERROR(AF9,0)+IFERROR(AG9,0),0)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IFERROR(H10+IFERROR(I10,0)+T10+IFERROR(AH10,0),0)</f>
        <v/>
      </c>
      <c r="V10" s="256" t="n"/>
      <c r="W10" s="257" t="n"/>
      <c r="X10" s="256" t="n"/>
      <c r="Y10" s="258" t="n"/>
      <c r="Z10" s="259" t="n"/>
      <c r="AA10" s="259" t="n"/>
      <c r="AB10" s="258" t="n"/>
      <c r="AC10" s="256" t="n"/>
      <c r="AD10" s="256" t="n"/>
      <c r="AE10" s="256" t="n"/>
      <c r="AF10" s="256" t="n"/>
      <c r="AG10" s="256" t="n"/>
      <c r="AH10" s="256">
        <f>IFERROR(IFERROR(V10,0)+IFERROR(AC10,0)+IFERROR(AD10,0)+IFERROR(AE10,0)+IFERROR(AF10,0)+IFERROR(AG10,0),0)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IFERROR(H11+IFERROR(I11,0)+T11+IFERROR(AH11,0),0)</f>
        <v/>
      </c>
      <c r="V11" s="256" t="n"/>
      <c r="W11" s="257" t="n"/>
      <c r="X11" s="256" t="n"/>
      <c r="Y11" s="258" t="n"/>
      <c r="Z11" s="259" t="n"/>
      <c r="AA11" s="259" t="n"/>
      <c r="AB11" s="258" t="n"/>
      <c r="AC11" s="256" t="n"/>
      <c r="AD11" s="256" t="n"/>
      <c r="AE11" s="256" t="n"/>
      <c r="AF11" s="256" t="n"/>
      <c r="AG11" s="256" t="n"/>
      <c r="AH11" s="256">
        <f>IFERROR(IFERROR(V11,0)+IFERROR(AC11,0)+IFERROR(AD11,0)+IFERROR(AE11,0)+IFERROR(AF11,0)+IFERROR(AG11,0),0)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IFERROR(H12+IFERROR(I12,0)+T12+IFERROR(AH12,0),0)</f>
        <v/>
      </c>
      <c r="V12" s="256" t="n"/>
      <c r="W12" s="257" t="n"/>
      <c r="X12" s="256" t="n"/>
      <c r="Y12" s="258" t="n"/>
      <c r="Z12" s="259" t="n"/>
      <c r="AA12" s="259" t="n"/>
      <c r="AB12" s="258" t="n"/>
      <c r="AC12" s="256" t="n"/>
      <c r="AD12" s="256" t="n"/>
      <c r="AE12" s="256" t="n"/>
      <c r="AF12" s="256" t="n"/>
      <c r="AG12" s="256" t="n"/>
      <c r="AH12" s="256">
        <f>IFERROR(IFERROR(V12,0)+IFERROR(AC12,0)+IFERROR(AD12,0)+IFERROR(AE12,0)+IFERROR(AF12,0)+IFERROR(AG12,0),0)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IFERROR(H13+IFERROR(I13,0)+T13+IFERROR(AH13,0),0)</f>
        <v/>
      </c>
      <c r="V13" s="256" t="n"/>
      <c r="W13" s="257" t="n"/>
      <c r="X13" s="256" t="n"/>
      <c r="Y13" s="258" t="n"/>
      <c r="Z13" s="259" t="n"/>
      <c r="AA13" s="259" t="n"/>
      <c r="AB13" s="258" t="n"/>
      <c r="AC13" s="256" t="n"/>
      <c r="AD13" s="256" t="n"/>
      <c r="AE13" s="256" t="n"/>
      <c r="AF13" s="256" t="n"/>
      <c r="AG13" s="256" t="n"/>
      <c r="AH13" s="256">
        <f>IFERROR(IFERROR(V13,0)+IFERROR(AC13,0)+IFERROR(AD13,0)+IFERROR(AE13,0)+IFERROR(AF13,0)+IFERROR(AG13,0),0)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IFERROR(H14+IFERROR(I14,0)+T14+IFERROR(AH14,0),0)</f>
        <v/>
      </c>
      <c r="V14" s="256" t="n"/>
      <c r="W14" s="257" t="n"/>
      <c r="X14" s="256" t="n"/>
      <c r="Y14" s="258" t="n"/>
      <c r="Z14" s="259" t="n"/>
      <c r="AA14" s="259" t="n"/>
      <c r="AB14" s="258" t="n"/>
      <c r="AC14" s="256" t="n"/>
      <c r="AD14" s="256" t="n"/>
      <c r="AE14" s="256" t="n"/>
      <c r="AF14" s="256" t="n"/>
      <c r="AG14" s="256" t="n"/>
      <c r="AH14" s="256">
        <f>IFERROR(IFERROR(V14,0)+IFERROR(AC14,0)+IFERROR(AD14,0)+IFERROR(AE14,0)+IFERROR(AF14,0)+IFERROR(AG14,0),0)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IFERROR(H15+IFERROR(I15,0)+T15+IFERROR(AH15,0),0)</f>
        <v/>
      </c>
      <c r="V15" s="256" t="n"/>
      <c r="W15" s="257" t="n"/>
      <c r="X15" s="256" t="n"/>
      <c r="Y15" s="258" t="n"/>
      <c r="Z15" s="259" t="n"/>
      <c r="AA15" s="259" t="n"/>
      <c r="AB15" s="258" t="n"/>
      <c r="AC15" s="256" t="n"/>
      <c r="AD15" s="256" t="n"/>
      <c r="AE15" s="256" t="n"/>
      <c r="AF15" s="256" t="n"/>
      <c r="AG15" s="256" t="n"/>
      <c r="AH15" s="256">
        <f>IFERROR(IFERROR(V15,0)+IFERROR(AC15,0)+IFERROR(AD15,0)+IFERROR(AE15,0)+IFERROR(AF15,0)+IFERROR(AG15,0),0)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IFERROR(H16+IFERROR(I16,0)+T16+IFERROR(AH16,0),0)</f>
        <v/>
      </c>
      <c r="V16" s="256" t="n"/>
      <c r="W16" s="257" t="n"/>
      <c r="X16" s="256" t="n"/>
      <c r="Y16" s="258" t="n"/>
      <c r="Z16" s="259" t="n"/>
      <c r="AA16" s="259" t="n"/>
      <c r="AB16" s="258" t="n"/>
      <c r="AC16" s="256" t="n"/>
      <c r="AD16" s="256" t="n"/>
      <c r="AE16" s="256" t="n"/>
      <c r="AF16" s="256" t="n"/>
      <c r="AG16" s="256" t="n"/>
      <c r="AH16" s="256">
        <f>IFERROR(IFERROR(V16,0)+IFERROR(AC16,0)+IFERROR(AD16,0)+IFERROR(AE16,0)+IFERROR(AF16,0)+IFERROR(AG16,0),0)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IFERROR(H17+IFERROR(I17,0)+T17+IFERROR(AH17,0),0)</f>
        <v/>
      </c>
      <c r="V17" s="256" t="n"/>
      <c r="W17" s="257" t="n"/>
      <c r="X17" s="256" t="n"/>
      <c r="Y17" s="258" t="n"/>
      <c r="Z17" s="259" t="n"/>
      <c r="AA17" s="259" t="n"/>
      <c r="AB17" s="258" t="n"/>
      <c r="AC17" s="256" t="n"/>
      <c r="AD17" s="256" t="n"/>
      <c r="AE17" s="256" t="n"/>
      <c r="AF17" s="256" t="n"/>
      <c r="AG17" s="256" t="n"/>
      <c r="AH17" s="256">
        <f>IFERROR(IFERROR(V17,0)+IFERROR(AC17,0)+IFERROR(AD17,0)+IFERROR(AE17,0)+IFERROR(AF17,0)+IFERROR(AG17,0),0)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IFERROR(H18+IFERROR(I18,0)+T18+IFERROR(AH18,0),0)</f>
        <v/>
      </c>
      <c r="V18" s="256" t="n"/>
      <c r="W18" s="257" t="n"/>
      <c r="X18" s="256" t="n"/>
      <c r="Y18" s="258" t="n"/>
      <c r="Z18" s="259" t="n"/>
      <c r="AA18" s="259" t="n"/>
      <c r="AB18" s="258" t="n"/>
      <c r="AC18" s="256" t="n"/>
      <c r="AD18" s="256" t="n"/>
      <c r="AE18" s="256" t="n"/>
      <c r="AF18" s="256" t="n"/>
      <c r="AG18" s="256" t="n"/>
      <c r="AH18" s="256">
        <f>IFERROR(IFERROR(V18,0)+IFERROR(AC18,0)+IFERROR(AD18,0)+IFERROR(AE18,0)+IFERROR(AF18,0)+IFERROR(AG18,0),0)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IFERROR(H19+IFERROR(I19,0)+T19+IFERROR(AH19,0),0)</f>
        <v/>
      </c>
      <c r="V19" s="256" t="n"/>
      <c r="W19" s="257" t="n"/>
      <c r="X19" s="256" t="n"/>
      <c r="Y19" s="258" t="n"/>
      <c r="Z19" s="259" t="n"/>
      <c r="AA19" s="259" t="n"/>
      <c r="AB19" s="258" t="n"/>
      <c r="AC19" s="256" t="n"/>
      <c r="AD19" s="256" t="n"/>
      <c r="AE19" s="256" t="n"/>
      <c r="AF19" s="256" t="n"/>
      <c r="AG19" s="256" t="n"/>
      <c r="AH19" s="256">
        <f>IFERROR(IFERROR(V19,0)+IFERROR(AC19,0)+IFERROR(AD19,0)+IFERROR(AE19,0)+IFERROR(AF19,0)+IFERROR(AG19,0),0)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IFERROR(H20+IFERROR(I20,0)+T20+IFERROR(AH20,0),0)</f>
        <v/>
      </c>
      <c r="V20" s="256" t="n"/>
      <c r="W20" s="257" t="n"/>
      <c r="X20" s="256" t="n"/>
      <c r="Y20" s="258" t="n"/>
      <c r="Z20" s="259" t="n"/>
      <c r="AA20" s="259" t="n"/>
      <c r="AB20" s="258" t="n"/>
      <c r="AC20" s="256" t="n"/>
      <c r="AD20" s="256" t="n"/>
      <c r="AE20" s="256" t="n"/>
      <c r="AF20" s="256" t="n"/>
      <c r="AG20" s="256" t="n"/>
      <c r="AH20" s="256">
        <f>IFERROR(IFERROR(V20,0)+IFERROR(AC20,0)+IFERROR(AD20,0)+IFERROR(AE20,0)+IFERROR(AF20,0)+IFERROR(AG20,0),0)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IFERROR(H21+IFERROR(I21,0)+T21+IFERROR(AH21,0),0)</f>
        <v/>
      </c>
      <c r="V21" s="256" t="n"/>
      <c r="W21" s="257" t="n"/>
      <c r="X21" s="256" t="n"/>
      <c r="Y21" s="258" t="n"/>
      <c r="Z21" s="259" t="n"/>
      <c r="AA21" s="259" t="n"/>
      <c r="AB21" s="258" t="n"/>
      <c r="AC21" s="256" t="n"/>
      <c r="AD21" s="256" t="n"/>
      <c r="AE21" s="256" t="n"/>
      <c r="AF21" s="256" t="n"/>
      <c r="AG21" s="256" t="n"/>
      <c r="AH21" s="256">
        <f>IFERROR(IFERROR(V21,0)+IFERROR(AC21,0)+IFERROR(AD21,0)+IFERROR(AE21,0)+IFERROR(AF21,0)+IFERROR(AG21,0),0)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IFERROR(H22+IFERROR(I22,0)+T22+IFERROR(AH22,0),0)</f>
        <v/>
      </c>
      <c r="V22" s="256" t="n"/>
      <c r="W22" s="257" t="n"/>
      <c r="X22" s="256" t="n"/>
      <c r="Y22" s="258" t="n"/>
      <c r="Z22" s="259" t="n"/>
      <c r="AA22" s="259" t="n"/>
      <c r="AB22" s="258" t="n"/>
      <c r="AC22" s="256" t="n"/>
      <c r="AD22" s="256" t="n"/>
      <c r="AE22" s="256" t="n"/>
      <c r="AF22" s="256" t="n"/>
      <c r="AG22" s="256" t="n"/>
      <c r="AH22" s="256">
        <f>IFERROR(IFERROR(V22,0)+IFERROR(AC22,0)+IFERROR(AD22,0)+IFERROR(AE22,0)+IFERROR(AF22,0)+IFERROR(AG22,0),0)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IFERROR(H23+IFERROR(I23,0)+T23+IFERROR(AH23,0),0)</f>
        <v/>
      </c>
      <c r="V23" s="256" t="n"/>
      <c r="W23" s="257" t="n"/>
      <c r="X23" s="256" t="n"/>
      <c r="Y23" s="258" t="n"/>
      <c r="Z23" s="259" t="n"/>
      <c r="AA23" s="259" t="n"/>
      <c r="AB23" s="258" t="n"/>
      <c r="AC23" s="256" t="n"/>
      <c r="AD23" s="256" t="n"/>
      <c r="AE23" s="256" t="n"/>
      <c r="AF23" s="256" t="n"/>
      <c r="AG23" s="256" t="n"/>
      <c r="AH23" s="256">
        <f>IFERROR(IFERROR(V23,0)+IFERROR(AC23,0)+IFERROR(AD23,0)+IFERROR(AE23,0)+IFERROR(AF23,0)+IFERROR(AG23,0),0)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IFERROR(H24+IFERROR(I24,0)+T24+IFERROR(AH24,0),0)</f>
        <v/>
      </c>
      <c r="V24" s="256" t="n"/>
      <c r="W24" s="257" t="n"/>
      <c r="X24" s="256" t="n"/>
      <c r="Y24" s="258" t="n"/>
      <c r="Z24" s="259" t="n"/>
      <c r="AA24" s="259" t="n"/>
      <c r="AB24" s="258" t="n"/>
      <c r="AC24" s="256" t="n"/>
      <c r="AD24" s="256" t="n"/>
      <c r="AE24" s="256" t="n"/>
      <c r="AF24" s="256" t="n"/>
      <c r="AG24" s="256" t="n"/>
      <c r="AH24" s="256">
        <f>IFERROR(IFERROR(V24,0)+IFERROR(AC24,0)+IFERROR(AD24,0)+IFERROR(AE24,0)+IFERROR(AF24,0)+IFERROR(AG24,0),0)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IFERROR(H25+IFERROR(I25,0)+T25+IFERROR(AH25,0),0)</f>
        <v/>
      </c>
      <c r="V25" s="256" t="n"/>
      <c r="W25" s="257" t="n"/>
      <c r="X25" s="256" t="n"/>
      <c r="Y25" s="258" t="n"/>
      <c r="Z25" s="259" t="n"/>
      <c r="AA25" s="259" t="n"/>
      <c r="AB25" s="258" t="n"/>
      <c r="AC25" s="256" t="n"/>
      <c r="AD25" s="256" t="n"/>
      <c r="AE25" s="256" t="n"/>
      <c r="AF25" s="256" t="n"/>
      <c r="AG25" s="256" t="n"/>
      <c r="AH25" s="256">
        <f>IFERROR(IFERROR(V25,0)+IFERROR(AC25,0)+IFERROR(AD25,0)+IFERROR(AE25,0)+IFERROR(AF25,0)+IFERROR(AG25,0),0)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IFERROR(H26+IFERROR(I26,0)+T26+IFERROR(AH26,0),0)</f>
        <v/>
      </c>
      <c r="V26" s="256" t="n"/>
      <c r="W26" s="257" t="n"/>
      <c r="X26" s="256" t="n"/>
      <c r="Y26" s="258" t="n"/>
      <c r="Z26" s="259" t="n"/>
      <c r="AA26" s="259" t="n"/>
      <c r="AB26" s="258" t="n"/>
      <c r="AC26" s="256" t="n"/>
      <c r="AD26" s="256" t="n"/>
      <c r="AE26" s="256" t="n"/>
      <c r="AF26" s="256" t="n"/>
      <c r="AG26" s="256" t="n"/>
      <c r="AH26" s="256">
        <f>IFERROR(IFERROR(V26,0)+IFERROR(AC26,0)+IFERROR(AD26,0)+IFERROR(AE26,0)+IFERROR(AF26,0)+IFERROR(AG26,0),0)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IFERROR(H27+IFERROR(I27,0)+T27+IFERROR(AH27,0),0)</f>
        <v/>
      </c>
      <c r="V27" s="256" t="n"/>
      <c r="W27" s="257" t="n"/>
      <c r="X27" s="256" t="n"/>
      <c r="Y27" s="258" t="n"/>
      <c r="Z27" s="259" t="n"/>
      <c r="AA27" s="259" t="n"/>
      <c r="AB27" s="258" t="n"/>
      <c r="AC27" s="256" t="n"/>
      <c r="AD27" s="256" t="n"/>
      <c r="AE27" s="256" t="n"/>
      <c r="AF27" s="256" t="n"/>
      <c r="AG27" s="256" t="n"/>
      <c r="AH27" s="256">
        <f>IFERROR(IFERROR(V27,0)+IFERROR(AC27,0)+IFERROR(AD27,0)+IFERROR(AE27,0)+IFERROR(AF27,0)+IFERROR(AG27,0),0)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IFERROR(H28+IFERROR(I28,0)+T28+IFERROR(AH28,0),0)</f>
        <v/>
      </c>
      <c r="V28" s="256" t="n"/>
      <c r="W28" s="257" t="n"/>
      <c r="X28" s="256" t="n"/>
      <c r="Y28" s="258" t="n"/>
      <c r="Z28" s="259" t="n"/>
      <c r="AA28" s="259" t="n"/>
      <c r="AB28" s="258" t="n"/>
      <c r="AC28" s="256" t="n"/>
      <c r="AD28" s="256" t="n"/>
      <c r="AE28" s="256" t="n"/>
      <c r="AF28" s="256" t="n"/>
      <c r="AG28" s="256" t="n"/>
      <c r="AH28" s="256">
        <f>IFERROR(IFERROR(V28,0)+IFERROR(AC28,0)+IFERROR(AD28,0)+IFERROR(AE28,0)+IFERROR(AF28,0)+IFERROR(AG28,0),0)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IFERROR(H29+IFERROR(I29,0)+T29+IFERROR(AH29,0),0)</f>
        <v/>
      </c>
      <c r="V29" s="256" t="n"/>
      <c r="W29" s="257" t="n"/>
      <c r="X29" s="256" t="n"/>
      <c r="Y29" s="258" t="n"/>
      <c r="Z29" s="259" t="n"/>
      <c r="AA29" s="259" t="n"/>
      <c r="AB29" s="258" t="n"/>
      <c r="AC29" s="256" t="n"/>
      <c r="AD29" s="256" t="n"/>
      <c r="AE29" s="256" t="n"/>
      <c r="AF29" s="256" t="n"/>
      <c r="AG29" s="256" t="n"/>
      <c r="AH29" s="256">
        <f>IFERROR(IFERROR(V29,0)+IFERROR(AC29,0)+IFERROR(AD29,0)+IFERROR(AE29,0)+IFERROR(AF29,0)+IFERROR(AG29,0),0)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IFERROR(H30+IFERROR(I30,0)+T30+IFERROR(AH30,0),0)</f>
        <v/>
      </c>
      <c r="V30" s="256" t="n"/>
      <c r="W30" s="257" t="n"/>
      <c r="X30" s="256" t="n"/>
      <c r="Y30" s="258" t="n"/>
      <c r="Z30" s="259" t="n"/>
      <c r="AA30" s="259" t="n"/>
      <c r="AB30" s="258" t="n"/>
      <c r="AC30" s="256" t="n"/>
      <c r="AD30" s="256" t="n"/>
      <c r="AE30" s="256" t="n"/>
      <c r="AF30" s="256" t="n"/>
      <c r="AG30" s="256" t="n"/>
      <c r="AH30" s="256">
        <f>IFERROR(IFERROR(V30,0)+IFERROR(AC30,0)+IFERROR(AD30,0)+IFERROR(AE30,0)+IFERROR(AF30,0)+IFERROR(AG30,0),0)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IFERROR(H31+IFERROR(I31,0)+T31+IFERROR(AH31,0),0)</f>
        <v/>
      </c>
      <c r="V31" s="256" t="n"/>
      <c r="W31" s="257" t="n"/>
      <c r="X31" s="256" t="n"/>
      <c r="Y31" s="258" t="n"/>
      <c r="Z31" s="259" t="n"/>
      <c r="AA31" s="259" t="n"/>
      <c r="AB31" s="258" t="n"/>
      <c r="AC31" s="256" t="n"/>
      <c r="AD31" s="256" t="n"/>
      <c r="AE31" s="256" t="n"/>
      <c r="AF31" s="256" t="n"/>
      <c r="AG31" s="256" t="n"/>
      <c r="AH31" s="256">
        <f>IFERROR(IFERROR(V31,0)+IFERROR(AC31,0)+IFERROR(AD31,0)+IFERROR(AE31,0)+IFERROR(AF31,0)+IFERROR(AG31,0),0)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IFERROR(H32+IFERROR(I32,0)+T32+IFERROR(AH32,0),0)</f>
        <v/>
      </c>
      <c r="V32" s="256" t="n"/>
      <c r="W32" s="257" t="n"/>
      <c r="X32" s="256" t="n"/>
      <c r="Y32" s="258" t="n"/>
      <c r="Z32" s="259" t="n"/>
      <c r="AA32" s="259" t="n"/>
      <c r="AB32" s="258" t="n"/>
      <c r="AC32" s="256" t="n"/>
      <c r="AD32" s="256" t="n"/>
      <c r="AE32" s="256" t="n"/>
      <c r="AF32" s="256" t="n"/>
      <c r="AG32" s="256" t="n"/>
      <c r="AH32" s="256">
        <f>IFERROR(IFERROR(V32,0)+IFERROR(AC32,0)+IFERROR(AD32,0)+IFERROR(AE32,0)+IFERROR(AF32,0)+IFERROR(AG32,0),0)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IFERROR(H33+IFERROR(I33,0)+T33+IFERROR(AH33,0),0)</f>
        <v/>
      </c>
      <c r="V33" s="256" t="n"/>
      <c r="W33" s="257" t="n"/>
      <c r="X33" s="256" t="n"/>
      <c r="Y33" s="258" t="n"/>
      <c r="Z33" s="259" t="n"/>
      <c r="AA33" s="259" t="n"/>
      <c r="AB33" s="258" t="n"/>
      <c r="AC33" s="256" t="n"/>
      <c r="AD33" s="256" t="n"/>
      <c r="AE33" s="256" t="n"/>
      <c r="AF33" s="256" t="n"/>
      <c r="AG33" s="256" t="n"/>
      <c r="AH33" s="256">
        <f>IFERROR(IFERROR(V33,0)+IFERROR(AC33,0)+IFERROR(AD33,0)+IFERROR(AE33,0)+IFERROR(AF33,0)+IFERROR(AG33,0),0)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IFERROR(H34+IFERROR(I34,0)+T34+IFERROR(AH34,0),0)</f>
        <v/>
      </c>
      <c r="V34" s="256" t="n"/>
      <c r="W34" s="257" t="n"/>
      <c r="X34" s="256" t="n"/>
      <c r="Y34" s="258" t="n"/>
      <c r="Z34" s="259" t="n"/>
      <c r="AA34" s="259" t="n"/>
      <c r="AB34" s="258" t="n"/>
      <c r="AC34" s="256" t="n"/>
      <c r="AD34" s="256" t="n"/>
      <c r="AE34" s="256" t="n"/>
      <c r="AF34" s="256" t="n"/>
      <c r="AG34" s="256" t="n"/>
      <c r="AH34" s="256">
        <f>IFERROR(IFERROR(V34,0)+IFERROR(AC34,0)+IFERROR(AD34,0)+IFERROR(AE34,0)+IFERROR(AF34,0)+IFERROR(AG34,0),0)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IFERROR(H35+IFERROR(I35,0)+T35+IFERROR(AH35,0),0)</f>
        <v/>
      </c>
      <c r="V35" s="256" t="n"/>
      <c r="W35" s="257" t="n"/>
      <c r="X35" s="256" t="n"/>
      <c r="Y35" s="258" t="n"/>
      <c r="Z35" s="259" t="n"/>
      <c r="AA35" s="259" t="n"/>
      <c r="AB35" s="258" t="n"/>
      <c r="AC35" s="256" t="n"/>
      <c r="AD35" s="256" t="n"/>
      <c r="AE35" s="256" t="n"/>
      <c r="AF35" s="256" t="n"/>
      <c r="AG35" s="256" t="n"/>
      <c r="AH35" s="256">
        <f>IFERROR(IFERROR(V35,0)+IFERROR(AC35,0)+IFERROR(AD35,0)+IFERROR(AE35,0)+IFERROR(AF35,0)+IFERROR(AG35,0),0)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IFERROR(H36+IFERROR(I36,0)+T36+IFERROR(AH36,0),0)</f>
        <v/>
      </c>
      <c r="V36" s="256" t="n"/>
      <c r="W36" s="257" t="n"/>
      <c r="X36" s="256" t="n"/>
      <c r="Y36" s="258" t="n"/>
      <c r="Z36" s="259" t="n"/>
      <c r="AA36" s="259" t="n"/>
      <c r="AB36" s="258" t="n"/>
      <c r="AC36" s="256" t="n"/>
      <c r="AD36" s="256" t="n"/>
      <c r="AE36" s="256" t="n"/>
      <c r="AF36" s="256" t="n"/>
      <c r="AG36" s="256" t="n"/>
      <c r="AH36" s="256">
        <f>IFERROR(IFERROR(V36,0)+IFERROR(AC36,0)+IFERROR(AD36,0)+IFERROR(AE36,0)+IFERROR(AF36,0)+IFERROR(AG36,0),0)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IFERROR(H37+IFERROR(I37,0)+T37+IFERROR(AH37,0),0)</f>
        <v/>
      </c>
      <c r="V37" s="256" t="n"/>
      <c r="W37" s="257" t="n"/>
      <c r="X37" s="256" t="n"/>
      <c r="Y37" s="258" t="n"/>
      <c r="Z37" s="259" t="n"/>
      <c r="AA37" s="259" t="n"/>
      <c r="AB37" s="258" t="n"/>
      <c r="AC37" s="256" t="n"/>
      <c r="AD37" s="256" t="n"/>
      <c r="AE37" s="256" t="n"/>
      <c r="AF37" s="256" t="n"/>
      <c r="AG37" s="256" t="n"/>
      <c r="AH37" s="256">
        <f>IFERROR(IFERROR(V37,0)+IFERROR(AC37,0)+IFERROR(AD37,0)+IFERROR(AE37,0)+IFERROR(AF37,0)+IFERROR(AG37,0),0)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IFERROR(H38+IFERROR(I38,0)+T38+IFERROR(AH38,0),0)</f>
        <v/>
      </c>
      <c r="V38" s="256" t="n"/>
      <c r="W38" s="257" t="n"/>
      <c r="X38" s="256" t="n"/>
      <c r="Y38" s="258" t="n"/>
      <c r="Z38" s="259" t="n"/>
      <c r="AA38" s="259" t="n"/>
      <c r="AB38" s="258" t="n"/>
      <c r="AC38" s="256" t="n"/>
      <c r="AD38" s="256" t="n"/>
      <c r="AE38" s="256" t="n"/>
      <c r="AF38" s="256" t="n"/>
      <c r="AG38" s="256" t="n"/>
      <c r="AH38" s="256">
        <f>IFERROR(IFERROR(V38,0)+IFERROR(AC38,0)+IFERROR(AD38,0)+IFERROR(AE38,0)+IFERROR(AF38,0)+IFERROR(AG38,0),0)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IFERROR(H39+IFERROR(I39,0)+T39+IFERROR(AH39,0),0)</f>
        <v/>
      </c>
      <c r="V39" s="256" t="n"/>
      <c r="W39" s="257" t="n"/>
      <c r="X39" s="256" t="n"/>
      <c r="Y39" s="258" t="n"/>
      <c r="Z39" s="259" t="n"/>
      <c r="AA39" s="259" t="n"/>
      <c r="AB39" s="258" t="n"/>
      <c r="AC39" s="256" t="n"/>
      <c r="AD39" s="256" t="n"/>
      <c r="AE39" s="256" t="n"/>
      <c r="AF39" s="256" t="n"/>
      <c r="AG39" s="256" t="n"/>
      <c r="AH39" s="256">
        <f>IFERROR(IFERROR(V39,0)+IFERROR(AC39,0)+IFERROR(AD39,0)+IFERROR(AE39,0)+IFERROR(AF39,0)+IFERROR(AG39,0),0)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IFERROR(H40+IFERROR(I40,0)+T40+IFERROR(AH40,0),0)</f>
        <v/>
      </c>
      <c r="V40" s="256" t="n"/>
      <c r="W40" s="257" t="n"/>
      <c r="X40" s="256" t="n"/>
      <c r="Y40" s="258" t="n"/>
      <c r="Z40" s="259" t="n"/>
      <c r="AA40" s="259" t="n"/>
      <c r="AB40" s="258" t="n"/>
      <c r="AC40" s="256" t="n"/>
      <c r="AD40" s="256" t="n"/>
      <c r="AE40" s="256" t="n"/>
      <c r="AF40" s="256" t="n"/>
      <c r="AG40" s="256" t="n"/>
      <c r="AH40" s="256">
        <f>IFERROR(IFERROR(V40,0)+IFERROR(AC40,0)+IFERROR(AD40,0)+IFERROR(AE40,0)+IFERROR(AF40,0)+IFERROR(AG40,0),0)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IFERROR(H41+IFERROR(I41,0)+T41+IFERROR(AH41,0),0)</f>
        <v/>
      </c>
      <c r="V41" s="256" t="n"/>
      <c r="W41" s="257" t="n"/>
      <c r="X41" s="256" t="n"/>
      <c r="Y41" s="258" t="n"/>
      <c r="Z41" s="259" t="n"/>
      <c r="AA41" s="259" t="n"/>
      <c r="AB41" s="258" t="n"/>
      <c r="AC41" s="256" t="n"/>
      <c r="AD41" s="256" t="n"/>
      <c r="AE41" s="256" t="n"/>
      <c r="AF41" s="256" t="n"/>
      <c r="AG41" s="256" t="n"/>
      <c r="AH41" s="256">
        <f>IFERROR(IFERROR(V41,0)+IFERROR(AC41,0)+IFERROR(AD41,0)+IFERROR(AE41,0)+IFERROR(AF41,0)+IFERROR(AG41,0),0)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IFERROR(H42+IFERROR(I42,0)+T42+IFERROR(AH42,0),0)</f>
        <v/>
      </c>
      <c r="V42" s="256" t="n"/>
      <c r="W42" s="257" t="n"/>
      <c r="X42" s="256" t="n"/>
      <c r="Y42" s="258" t="n"/>
      <c r="Z42" s="259" t="n"/>
      <c r="AA42" s="259" t="n"/>
      <c r="AB42" s="258" t="n"/>
      <c r="AC42" s="256" t="n"/>
      <c r="AD42" s="256" t="n"/>
      <c r="AE42" s="256" t="n"/>
      <c r="AF42" s="256" t="n"/>
      <c r="AG42" s="256" t="n"/>
      <c r="AH42" s="256">
        <f>IFERROR(IFERROR(V42,0)+IFERROR(AC42,0)+IFERROR(AD42,0)+IFERROR(AE42,0)+IFERROR(AF42,0)+IFERROR(AG42,0),0)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IFERROR(H43+IFERROR(I43,0)+T43+IFERROR(AH43,0),0)</f>
        <v/>
      </c>
      <c r="V43" s="256" t="n"/>
      <c r="W43" s="257" t="n"/>
      <c r="X43" s="256" t="n"/>
      <c r="Y43" s="258" t="n"/>
      <c r="Z43" s="259" t="n"/>
      <c r="AA43" s="259" t="n"/>
      <c r="AB43" s="258" t="n"/>
      <c r="AC43" s="256" t="n"/>
      <c r="AD43" s="256" t="n"/>
      <c r="AE43" s="256" t="n"/>
      <c r="AF43" s="256" t="n"/>
      <c r="AG43" s="256" t="n"/>
      <c r="AH43" s="256">
        <f>IFERROR(IFERROR(V43,0)+IFERROR(AC43,0)+IFERROR(AD43,0)+IFERROR(AE43,0)+IFERROR(AF43,0)+IFERROR(AG43,0),0)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IFERROR(H44+IFERROR(I44,0)+T44+IFERROR(AH44,0),0)</f>
        <v/>
      </c>
      <c r="V44" s="256" t="n"/>
      <c r="W44" s="257" t="n"/>
      <c r="X44" s="256" t="n"/>
      <c r="Y44" s="258" t="n"/>
      <c r="Z44" s="259" t="n"/>
      <c r="AA44" s="259" t="n"/>
      <c r="AB44" s="258" t="n"/>
      <c r="AC44" s="256" t="n"/>
      <c r="AD44" s="256" t="n"/>
      <c r="AE44" s="256" t="n"/>
      <c r="AF44" s="256" t="n"/>
      <c r="AG44" s="256" t="n"/>
      <c r="AH44" s="256">
        <f>IFERROR(IFERROR(V44,0)+IFERROR(AC44,0)+IFERROR(AD44,0)+IFERROR(AE44,0)+IFERROR(AF44,0)+IFERROR(AG44,0),0)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IFERROR(H45+IFERROR(I45,0)+T45+IFERROR(AH45,0),0)</f>
        <v/>
      </c>
      <c r="V45" s="256" t="n"/>
      <c r="W45" s="257" t="n"/>
      <c r="X45" s="256" t="n"/>
      <c r="Y45" s="258" t="n"/>
      <c r="Z45" s="259" t="n"/>
      <c r="AA45" s="259" t="n"/>
      <c r="AB45" s="258" t="n"/>
      <c r="AC45" s="256" t="n"/>
      <c r="AD45" s="256" t="n"/>
      <c r="AE45" s="256" t="n"/>
      <c r="AF45" s="256" t="n"/>
      <c r="AG45" s="256" t="n"/>
      <c r="AH45" s="256">
        <f>IFERROR(IFERROR(V45,0)+IFERROR(AC45,0)+IFERROR(AD45,0)+IFERROR(AE45,0)+IFERROR(AF45,0)+IFERROR(AG45,0),0)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IFERROR(H46+IFERROR(I46,0)+T46+IFERROR(AH46,0),0)</f>
        <v/>
      </c>
      <c r="V46" s="256" t="n"/>
      <c r="W46" s="257" t="n"/>
      <c r="X46" s="256" t="n"/>
      <c r="Y46" s="258" t="n"/>
      <c r="Z46" s="259" t="n"/>
      <c r="AA46" s="259" t="n"/>
      <c r="AB46" s="258" t="n"/>
      <c r="AC46" s="256" t="n"/>
      <c r="AD46" s="256" t="n"/>
      <c r="AE46" s="256" t="n"/>
      <c r="AF46" s="256" t="n"/>
      <c r="AG46" s="256" t="n"/>
      <c r="AH46" s="256">
        <f>IFERROR(IFERROR(V46,0)+IFERROR(AC46,0)+IFERROR(AD46,0)+IFERROR(AE46,0)+IFERROR(AF46,0)+IFERROR(AG46,0),0)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IFERROR(H47+IFERROR(I47,0)+T47+IFERROR(AH47,0),0)</f>
        <v/>
      </c>
      <c r="V47" s="256" t="n"/>
      <c r="W47" s="257" t="n"/>
      <c r="X47" s="256" t="n"/>
      <c r="Y47" s="258" t="n"/>
      <c r="Z47" s="259" t="n"/>
      <c r="AA47" s="259" t="n"/>
      <c r="AB47" s="258" t="n"/>
      <c r="AC47" s="256" t="n"/>
      <c r="AD47" s="256" t="n"/>
      <c r="AE47" s="256" t="n"/>
      <c r="AF47" s="256" t="n"/>
      <c r="AG47" s="256" t="n"/>
      <c r="AH47" s="256">
        <f>IFERROR(IFERROR(V47,0)+IFERROR(AC47,0)+IFERROR(AD47,0)+IFERROR(AE47,0)+IFERROR(AF47,0)+IFERROR(AG47,0),0)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IFERROR(H48+IFERROR(I48,0)+T48+IFERROR(AH48,0),0)</f>
        <v/>
      </c>
      <c r="V48" s="256" t="n"/>
      <c r="W48" s="257" t="n"/>
      <c r="X48" s="256" t="n"/>
      <c r="Y48" s="258" t="n"/>
      <c r="Z48" s="259" t="n"/>
      <c r="AA48" s="259" t="n"/>
      <c r="AB48" s="258" t="n"/>
      <c r="AC48" s="256" t="n"/>
      <c r="AD48" s="256" t="n"/>
      <c r="AE48" s="256" t="n"/>
      <c r="AF48" s="256" t="n"/>
      <c r="AG48" s="256" t="n"/>
      <c r="AH48" s="256">
        <f>IFERROR(IFERROR(V48,0)+IFERROR(AC48,0)+IFERROR(AD48,0)+IFERROR(AE48,0)+IFERROR(AF48,0)+IFERROR(AG48,0),0)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IFERROR(H49+IFERROR(I49,0)+T49+IFERROR(AH49,0),0)</f>
        <v/>
      </c>
      <c r="V49" s="256" t="n"/>
      <c r="W49" s="257" t="n"/>
      <c r="X49" s="256" t="n"/>
      <c r="Y49" s="258" t="n"/>
      <c r="Z49" s="259" t="n"/>
      <c r="AA49" s="259" t="n"/>
      <c r="AB49" s="258" t="n"/>
      <c r="AC49" s="256" t="n"/>
      <c r="AD49" s="256" t="n"/>
      <c r="AE49" s="256" t="n"/>
      <c r="AF49" s="256" t="n"/>
      <c r="AG49" s="256" t="n"/>
      <c r="AH49" s="256">
        <f>IFERROR(IFERROR(V49,0)+IFERROR(AC49,0)+IFERROR(AD49,0)+IFERROR(AE49,0)+IFERROR(AF49,0)+IFERROR(AG49,0),0)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IFERROR(H50+IFERROR(I50,0)+T50+IFERROR(AH50,0),0)</f>
        <v/>
      </c>
      <c r="V50" s="256" t="n"/>
      <c r="W50" s="257" t="n"/>
      <c r="X50" s="256" t="n"/>
      <c r="Y50" s="258" t="n"/>
      <c r="Z50" s="259" t="n"/>
      <c r="AA50" s="259" t="n"/>
      <c r="AB50" s="258" t="n"/>
      <c r="AC50" s="256" t="n"/>
      <c r="AD50" s="256" t="n"/>
      <c r="AE50" s="256" t="n"/>
      <c r="AF50" s="256" t="n"/>
      <c r="AG50" s="256" t="n"/>
      <c r="AH50" s="256">
        <f>IFERROR(IFERROR(V50,0)+IFERROR(AC50,0)+IFERROR(AD50,0)+IFERROR(AE50,0)+IFERROR(AF50,0)+IFERROR(AG50,0),0)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IFERROR(H51+IFERROR(I51,0)+T51+IFERROR(AH51,0),0)</f>
        <v/>
      </c>
      <c r="V51" s="256" t="n"/>
      <c r="W51" s="257" t="n"/>
      <c r="X51" s="256" t="n"/>
      <c r="Y51" s="258" t="n"/>
      <c r="Z51" s="259" t="n"/>
      <c r="AA51" s="259" t="n"/>
      <c r="AB51" s="258" t="n"/>
      <c r="AC51" s="256" t="n"/>
      <c r="AD51" s="256" t="n"/>
      <c r="AE51" s="256" t="n"/>
      <c r="AF51" s="256" t="n"/>
      <c r="AG51" s="256" t="n"/>
      <c r="AH51" s="256">
        <f>IFERROR(IFERROR(V51,0)+IFERROR(AC51,0)+IFERROR(AD51,0)+IFERROR(AE51,0)+IFERROR(AF51,0)+IFERROR(AG51,0),0)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IFERROR(H52+IFERROR(I52,0)+T52+IFERROR(AH52,0),0)</f>
        <v/>
      </c>
      <c r="V52" s="256" t="n"/>
      <c r="W52" s="257" t="n"/>
      <c r="X52" s="256" t="n"/>
      <c r="Y52" s="258" t="n"/>
      <c r="Z52" s="259" t="n"/>
      <c r="AA52" s="259" t="n"/>
      <c r="AB52" s="258" t="n"/>
      <c r="AC52" s="256" t="n"/>
      <c r="AD52" s="256" t="n"/>
      <c r="AE52" s="256" t="n"/>
      <c r="AF52" s="256" t="n"/>
      <c r="AG52" s="256" t="n"/>
      <c r="AH52" s="256">
        <f>IFERROR(IFERROR(V52,0)+IFERROR(AC52,0)+IFERROR(AD52,0)+IFERROR(AE52,0)+IFERROR(AF52,0)+IFERROR(AG52,0),0)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IFERROR(H53+IFERROR(I53,0)+T53+IFERROR(AH53,0),0)</f>
        <v/>
      </c>
      <c r="V53" s="256" t="n"/>
      <c r="W53" s="257" t="n"/>
      <c r="X53" s="256" t="n"/>
      <c r="Y53" s="258" t="n"/>
      <c r="Z53" s="259" t="n"/>
      <c r="AA53" s="259" t="n"/>
      <c r="AB53" s="258" t="n"/>
      <c r="AC53" s="256" t="n"/>
      <c r="AD53" s="256" t="n"/>
      <c r="AE53" s="256" t="n"/>
      <c r="AF53" s="256" t="n"/>
      <c r="AG53" s="256" t="n"/>
      <c r="AH53" s="256">
        <f>IFERROR(IFERROR(V53,0)+IFERROR(AC53,0)+IFERROR(AD53,0)+IFERROR(AE53,0)+IFERROR(AF53,0)+IFERROR(AG53,0),0)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IFERROR(H54+IFERROR(I54,0)+T54+IFERROR(AH54,0),0)</f>
        <v/>
      </c>
      <c r="V54" s="256" t="n"/>
      <c r="W54" s="257" t="n"/>
      <c r="X54" s="256" t="n"/>
      <c r="Y54" s="258" t="n"/>
      <c r="Z54" s="259" t="n"/>
      <c r="AA54" s="259" t="n"/>
      <c r="AB54" s="258" t="n"/>
      <c r="AC54" s="256" t="n"/>
      <c r="AD54" s="256" t="n"/>
      <c r="AE54" s="256" t="n"/>
      <c r="AF54" s="256" t="n"/>
      <c r="AG54" s="256" t="n"/>
      <c r="AH54" s="256">
        <f>IFERROR(IFERROR(V54,0)+IFERROR(AC54,0)+IFERROR(AD54,0)+IFERROR(AE54,0)+IFERROR(AF54,0)+IFERROR(AG54,0),0)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IFERROR(H55+IFERROR(I55,0)+T55+IFERROR(AH55,0),0)</f>
        <v/>
      </c>
      <c r="V55" s="256" t="n"/>
      <c r="W55" s="257" t="n"/>
      <c r="X55" s="256" t="n"/>
      <c r="Y55" s="258" t="n"/>
      <c r="Z55" s="259" t="n"/>
      <c r="AA55" s="259" t="n"/>
      <c r="AB55" s="258" t="n"/>
      <c r="AC55" s="256" t="n"/>
      <c r="AD55" s="256" t="n"/>
      <c r="AE55" s="256" t="n"/>
      <c r="AF55" s="256" t="n"/>
      <c r="AG55" s="256" t="n"/>
      <c r="AH55" s="256">
        <f>IFERROR(IFERROR(V55,0)+IFERROR(AC55,0)+IFERROR(AD55,0)+IFERROR(AE55,0)+IFERROR(AF55,0)+IFERROR(AG55,0),0)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IFERROR(H56+IFERROR(I56,0)+T56+IFERROR(AH56,0),0)</f>
        <v/>
      </c>
      <c r="V56" s="256" t="n"/>
      <c r="W56" s="257" t="n"/>
      <c r="X56" s="256" t="n"/>
      <c r="Y56" s="258" t="n"/>
      <c r="Z56" s="259" t="n"/>
      <c r="AA56" s="259" t="n"/>
      <c r="AB56" s="258" t="n"/>
      <c r="AC56" s="256" t="n"/>
      <c r="AD56" s="256" t="n"/>
      <c r="AE56" s="256" t="n"/>
      <c r="AF56" s="256" t="n"/>
      <c r="AG56" s="256" t="n"/>
      <c r="AH56" s="256">
        <f>IFERROR(IFERROR(V56,0)+IFERROR(AC56,0)+IFERROR(AD56,0)+IFERROR(AE56,0)+IFERROR(AF56,0)+IFERROR(AG56,0),0)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IFERROR(H57+IFERROR(I57,0)+T57+IFERROR(AH57,0),0)</f>
        <v/>
      </c>
      <c r="V57" s="256" t="n"/>
      <c r="W57" s="257" t="n"/>
      <c r="X57" s="256" t="n"/>
      <c r="Y57" s="258" t="n"/>
      <c r="Z57" s="259" t="n"/>
      <c r="AA57" s="259" t="n"/>
      <c r="AB57" s="258" t="n"/>
      <c r="AC57" s="256" t="n"/>
      <c r="AD57" s="256" t="n"/>
      <c r="AE57" s="256" t="n"/>
      <c r="AF57" s="256" t="n"/>
      <c r="AG57" s="256" t="n"/>
      <c r="AH57" s="256">
        <f>IFERROR(IFERROR(V57,0)+IFERROR(AC57,0)+IFERROR(AD57,0)+IFERROR(AE57,0)+IFERROR(AF57,0)+IFERROR(AG57,0),0)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IFERROR(H58+IFERROR(I58,0)+T58+IFERROR(AH58,0),0)</f>
        <v/>
      </c>
      <c r="V58" s="256" t="n"/>
      <c r="W58" s="257" t="n"/>
      <c r="X58" s="256" t="n"/>
      <c r="Y58" s="258" t="n"/>
      <c r="Z58" s="259" t="n"/>
      <c r="AA58" s="259" t="n"/>
      <c r="AB58" s="258" t="n"/>
      <c r="AC58" s="256" t="n"/>
      <c r="AD58" s="256" t="n"/>
      <c r="AE58" s="256" t="n"/>
      <c r="AF58" s="256" t="n"/>
      <c r="AG58" s="256" t="n"/>
      <c r="AH58" s="256">
        <f>IFERROR(IFERROR(V58,0)+IFERROR(AC58,0)+IFERROR(AD58,0)+IFERROR(AE58,0)+IFERROR(AF58,0)+IFERROR(AG58,0),0)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IFERROR(H59+IFERROR(I59,0)+T59+IFERROR(AH59,0),0)</f>
        <v/>
      </c>
      <c r="V59" s="256" t="n"/>
      <c r="W59" s="257" t="n"/>
      <c r="X59" s="256" t="n"/>
      <c r="Y59" s="258" t="n"/>
      <c r="Z59" s="259" t="n"/>
      <c r="AA59" s="259" t="n"/>
      <c r="AB59" s="258" t="n"/>
      <c r="AC59" s="256" t="n"/>
      <c r="AD59" s="256" t="n"/>
      <c r="AE59" s="256" t="n"/>
      <c r="AF59" s="256" t="n"/>
      <c r="AG59" s="256" t="n"/>
      <c r="AH59" s="256">
        <f>IFERROR(IFERROR(V59,0)+IFERROR(AC59,0)+IFERROR(AD59,0)+IFERROR(AE59,0)+IFERROR(AF59,0)+IFERROR(AG59,0),0)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IFERROR(H60+IFERROR(I60,0)+T60+IFERROR(AH60,0),0)</f>
        <v/>
      </c>
      <c r="V60" s="256" t="n"/>
      <c r="W60" s="257" t="n"/>
      <c r="X60" s="256" t="n"/>
      <c r="Y60" s="258" t="n"/>
      <c r="Z60" s="259" t="n"/>
      <c r="AA60" s="259" t="n"/>
      <c r="AB60" s="258" t="n"/>
      <c r="AC60" s="256" t="n"/>
      <c r="AD60" s="256" t="n"/>
      <c r="AE60" s="256" t="n"/>
      <c r="AF60" s="256" t="n"/>
      <c r="AG60" s="256" t="n"/>
      <c r="AH60" s="256">
        <f>IFERROR(IFERROR(V60,0)+IFERROR(AC60,0)+IFERROR(AD60,0)+IFERROR(AE60,0)+IFERROR(AF60,0)+IFERROR(AG60,0),0)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IFERROR(H61+IFERROR(I61,0)+T61+IFERROR(AH61,0),0)</f>
        <v/>
      </c>
      <c r="V61" s="256" t="n"/>
      <c r="W61" s="257" t="n"/>
      <c r="X61" s="256" t="n"/>
      <c r="Y61" s="258" t="n"/>
      <c r="Z61" s="259" t="n"/>
      <c r="AA61" s="259" t="n"/>
      <c r="AB61" s="258" t="n"/>
      <c r="AC61" s="256" t="n"/>
      <c r="AD61" s="256" t="n"/>
      <c r="AE61" s="256" t="n"/>
      <c r="AF61" s="256" t="n"/>
      <c r="AG61" s="256" t="n"/>
      <c r="AH61" s="256">
        <f>IFERROR(IFERROR(V61,0)+IFERROR(AC61,0)+IFERROR(AD61,0)+IFERROR(AE61,0)+IFERROR(AF61,0)+IFERROR(AG61,0),0)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IFERROR(H62+IFERROR(I62,0)+T62+IFERROR(AH62,0),0)</f>
        <v/>
      </c>
      <c r="V62" s="256" t="n"/>
      <c r="W62" s="257" t="n"/>
      <c r="X62" s="256" t="n"/>
      <c r="Y62" s="258" t="n"/>
      <c r="Z62" s="259" t="n"/>
      <c r="AA62" s="259" t="n"/>
      <c r="AB62" s="258" t="n"/>
      <c r="AC62" s="256" t="n"/>
      <c r="AD62" s="256" t="n"/>
      <c r="AE62" s="256" t="n"/>
      <c r="AF62" s="256" t="n"/>
      <c r="AG62" s="256" t="n"/>
      <c r="AH62" s="256">
        <f>IFERROR(IFERROR(V62,0)+IFERROR(AC62,0)+IFERROR(AD62,0)+IFERROR(AE62,0)+IFERROR(AF62,0)+IFERROR(AG62,0),0)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IFERROR(H63+IFERROR(I63,0)+T63+IFERROR(AH63,0),0)</f>
        <v/>
      </c>
      <c r="V63" s="256" t="n"/>
      <c r="W63" s="257" t="n"/>
      <c r="X63" s="256" t="n"/>
      <c r="Y63" s="258" t="n"/>
      <c r="Z63" s="259" t="n"/>
      <c r="AA63" s="259" t="n"/>
      <c r="AB63" s="258" t="n"/>
      <c r="AC63" s="256" t="n"/>
      <c r="AD63" s="256" t="n"/>
      <c r="AE63" s="256" t="n"/>
      <c r="AF63" s="256" t="n"/>
      <c r="AG63" s="256" t="n"/>
      <c r="AH63" s="256">
        <f>IFERROR(IFERROR(V63,0)+IFERROR(AC63,0)+IFERROR(AD63,0)+IFERROR(AE63,0)+IFERROR(AF63,0)+IFERROR(AG63,0),0)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IFERROR(H64+IFERROR(I64,0)+T64+IFERROR(AH64,0),0)</f>
        <v/>
      </c>
      <c r="V64" s="256" t="n"/>
      <c r="W64" s="257" t="n"/>
      <c r="X64" s="256" t="n"/>
      <c r="Y64" s="258" t="n"/>
      <c r="Z64" s="259" t="n"/>
      <c r="AA64" s="259" t="n"/>
      <c r="AB64" s="258" t="n"/>
      <c r="AC64" s="256" t="n"/>
      <c r="AD64" s="256" t="n"/>
      <c r="AE64" s="256" t="n"/>
      <c r="AF64" s="256" t="n"/>
      <c r="AG64" s="256" t="n"/>
      <c r="AH64" s="256">
        <f>IFERROR(IFERROR(V64,0)+IFERROR(AC64,0)+IFERROR(AD64,0)+IFERROR(AE64,0)+IFERROR(AF64,0)+IFERROR(AG64,0),0)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IFERROR(H65+IFERROR(I65,0)+T65+IFERROR(AH65,0),0)</f>
        <v/>
      </c>
      <c r="V65" s="256" t="n"/>
      <c r="W65" s="257" t="n"/>
      <c r="X65" s="256" t="n"/>
      <c r="Y65" s="258" t="n"/>
      <c r="Z65" s="259" t="n"/>
      <c r="AA65" s="259" t="n"/>
      <c r="AB65" s="258" t="n"/>
      <c r="AC65" s="256" t="n"/>
      <c r="AD65" s="256" t="n"/>
      <c r="AE65" s="256" t="n"/>
      <c r="AF65" s="256" t="n"/>
      <c r="AG65" s="256" t="n"/>
      <c r="AH65" s="256">
        <f>IFERROR(IFERROR(V65,0)+IFERROR(AC65,0)+IFERROR(AD65,0)+IFERROR(AE65,0)+IFERROR(AF65,0)+IFERROR(AG65,0),0)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IFERROR(H66+IFERROR(I66,0)+T66+IFERROR(AH66,0),0)</f>
        <v/>
      </c>
      <c r="V66" s="256" t="n"/>
      <c r="W66" s="257" t="n"/>
      <c r="X66" s="256" t="n"/>
      <c r="Y66" s="258" t="n"/>
      <c r="Z66" s="259" t="n"/>
      <c r="AA66" s="259" t="n"/>
      <c r="AB66" s="258" t="n"/>
      <c r="AC66" s="256" t="n"/>
      <c r="AD66" s="256" t="n"/>
      <c r="AE66" s="256" t="n"/>
      <c r="AF66" s="256" t="n"/>
      <c r="AG66" s="256" t="n"/>
      <c r="AH66" s="256">
        <f>IFERROR(IFERROR(V66,0)+IFERROR(AC66,0)+IFERROR(AD66,0)+IFERROR(AE66,0)+IFERROR(AF66,0)+IFERROR(AG66,0),0)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IFERROR(H67+IFERROR(I67,0)+T67+IFERROR(AH67,0),0)</f>
        <v/>
      </c>
      <c r="V67" s="256" t="n"/>
      <c r="W67" s="257" t="n"/>
      <c r="X67" s="256" t="n"/>
      <c r="Y67" s="258" t="n"/>
      <c r="Z67" s="259" t="n"/>
      <c r="AA67" s="259" t="n"/>
      <c r="AB67" s="258" t="n"/>
      <c r="AC67" s="256" t="n"/>
      <c r="AD67" s="256" t="n"/>
      <c r="AE67" s="256" t="n"/>
      <c r="AF67" s="256" t="n"/>
      <c r="AG67" s="256" t="n"/>
      <c r="AH67" s="256">
        <f>IFERROR(IFERROR(V67,0)+IFERROR(AC67,0)+IFERROR(AD67,0)+IFERROR(AE67,0)+IFERROR(AF67,0)+IFERROR(AG67,0),0)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IFERROR(H68+IFERROR(I68,0)+T68+IFERROR(AH68,0),0)</f>
        <v/>
      </c>
      <c r="V68" s="256" t="n"/>
      <c r="W68" s="257" t="n"/>
      <c r="X68" s="256" t="n"/>
      <c r="Y68" s="258" t="n"/>
      <c r="Z68" s="259" t="n"/>
      <c r="AA68" s="259" t="n"/>
      <c r="AB68" s="258" t="n"/>
      <c r="AC68" s="256" t="n"/>
      <c r="AD68" s="256" t="n"/>
      <c r="AE68" s="256" t="n"/>
      <c r="AF68" s="256" t="n"/>
      <c r="AG68" s="256" t="n"/>
      <c r="AH68" s="256">
        <f>IFERROR(IFERROR(V68,0)+IFERROR(AC68,0)+IFERROR(AD68,0)+IFERROR(AE68,0)+IFERROR(AF68,0)+IFERROR(AG68,0),0)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IFERROR(H69+IFERROR(I69,0)+T69+IFERROR(AH69,0),0)</f>
        <v/>
      </c>
      <c r="V69" s="256" t="n"/>
      <c r="W69" s="257" t="n"/>
      <c r="X69" s="256" t="n"/>
      <c r="Y69" s="258" t="n"/>
      <c r="Z69" s="259" t="n"/>
      <c r="AA69" s="259" t="n"/>
      <c r="AB69" s="258" t="n"/>
      <c r="AC69" s="256" t="n"/>
      <c r="AD69" s="256" t="n"/>
      <c r="AE69" s="256" t="n"/>
      <c r="AF69" s="256" t="n"/>
      <c r="AG69" s="256" t="n"/>
      <c r="AH69" s="256">
        <f>IFERROR(IFERROR(V69,0)+IFERROR(AC69,0)+IFERROR(AD69,0)+IFERROR(AE69,0)+IFERROR(AF69,0)+IFERROR(AG69,0),0)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IFERROR(H70+IFERROR(I70,0)+T70+IFERROR(AH70,0),0)</f>
        <v/>
      </c>
      <c r="V70" s="256" t="n"/>
      <c r="W70" s="257" t="n"/>
      <c r="X70" s="256" t="n"/>
      <c r="Y70" s="258" t="n"/>
      <c r="Z70" s="259" t="n"/>
      <c r="AA70" s="259" t="n"/>
      <c r="AB70" s="258" t="n"/>
      <c r="AC70" s="256" t="n"/>
      <c r="AD70" s="256" t="n"/>
      <c r="AE70" s="256" t="n"/>
      <c r="AF70" s="256" t="n"/>
      <c r="AG70" s="256" t="n"/>
      <c r="AH70" s="256">
        <f>IFERROR(IFERROR(V70,0)+IFERROR(AC70,0)+IFERROR(AD70,0)+IFERROR(AE70,0)+IFERROR(AF70,0)+IFERROR(AG70,0),0)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IFERROR(H71+IFERROR(I71,0)+T71+IFERROR(AH71,0),0)</f>
        <v/>
      </c>
      <c r="V71" s="256" t="n"/>
      <c r="W71" s="257" t="n"/>
      <c r="X71" s="256" t="n"/>
      <c r="Y71" s="258" t="n"/>
      <c r="Z71" s="259" t="n"/>
      <c r="AA71" s="259" t="n"/>
      <c r="AB71" s="258" t="n"/>
      <c r="AC71" s="256" t="n"/>
      <c r="AD71" s="256" t="n"/>
      <c r="AE71" s="256" t="n"/>
      <c r="AF71" s="256" t="n"/>
      <c r="AG71" s="256" t="n"/>
      <c r="AH71" s="256">
        <f>IFERROR(IFERROR(V71,0)+IFERROR(AC71,0)+IFERROR(AD71,0)+IFERROR(AE71,0)+IFERROR(AF71,0)+IFERROR(AG71,0),0)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IFERROR(H72+IFERROR(I72,0)+T72+IFERROR(AH72,0),0)</f>
        <v/>
      </c>
      <c r="V72" s="256" t="n"/>
      <c r="W72" s="257" t="n"/>
      <c r="X72" s="256" t="n"/>
      <c r="Y72" s="258" t="n"/>
      <c r="Z72" s="259" t="n"/>
      <c r="AA72" s="259" t="n"/>
      <c r="AB72" s="258" t="n"/>
      <c r="AC72" s="256" t="n"/>
      <c r="AD72" s="256" t="n"/>
      <c r="AE72" s="256" t="n"/>
      <c r="AF72" s="256" t="n"/>
      <c r="AG72" s="256" t="n"/>
      <c r="AH72" s="256">
        <f>IFERROR(IFERROR(V72,0)+IFERROR(AC72,0)+IFERROR(AD72,0)+IFERROR(AE72,0)+IFERROR(AF72,0)+IFERROR(AG72,0),0)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IFERROR(H73+IFERROR(I73,0)+T73+IFERROR(AH73,0),0)</f>
        <v/>
      </c>
      <c r="V73" s="256" t="n"/>
      <c r="W73" s="257" t="n"/>
      <c r="X73" s="256" t="n"/>
      <c r="Y73" s="258" t="n"/>
      <c r="Z73" s="259" t="n"/>
      <c r="AA73" s="259" t="n"/>
      <c r="AB73" s="258" t="n"/>
      <c r="AC73" s="256" t="n"/>
      <c r="AD73" s="256" t="n"/>
      <c r="AE73" s="256" t="n"/>
      <c r="AF73" s="256" t="n"/>
      <c r="AG73" s="256" t="n"/>
      <c r="AH73" s="256">
        <f>IFERROR(IFERROR(V73,0)+IFERROR(AC73,0)+IFERROR(AD73,0)+IFERROR(AE73,0)+IFERROR(AF73,0)+IFERROR(AG73,0),0)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IFERROR(H74+IFERROR(I74,0)+T74+IFERROR(AH74,0),0)</f>
        <v/>
      </c>
      <c r="V74" s="256" t="n"/>
      <c r="W74" s="257" t="n"/>
      <c r="X74" s="256" t="n"/>
      <c r="Y74" s="258" t="n"/>
      <c r="Z74" s="259" t="n"/>
      <c r="AA74" s="259" t="n"/>
      <c r="AB74" s="258" t="n"/>
      <c r="AC74" s="256" t="n"/>
      <c r="AD74" s="256" t="n"/>
      <c r="AE74" s="256" t="n"/>
      <c r="AF74" s="256" t="n"/>
      <c r="AG74" s="256" t="n"/>
      <c r="AH74" s="256">
        <f>IFERROR(IFERROR(V74,0)+IFERROR(AC74,0)+IFERROR(AD74,0)+IFERROR(AE74,0)+IFERROR(AF74,0)+IFERROR(AG74,0),0)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IFERROR(H75+IFERROR(I75,0)+T75+IFERROR(AH75,0),0)</f>
        <v/>
      </c>
      <c r="V75" s="256" t="n"/>
      <c r="W75" s="257" t="n"/>
      <c r="X75" s="256" t="n"/>
      <c r="Y75" s="258" t="n"/>
      <c r="Z75" s="259" t="n"/>
      <c r="AA75" s="259" t="n"/>
      <c r="AB75" s="258" t="n"/>
      <c r="AC75" s="256" t="n"/>
      <c r="AD75" s="256" t="n"/>
      <c r="AE75" s="256" t="n"/>
      <c r="AF75" s="256" t="n"/>
      <c r="AG75" s="256" t="n"/>
      <c r="AH75" s="256">
        <f>IFERROR(IFERROR(V75,0)+IFERROR(AC75,0)+IFERROR(AD75,0)+IFERROR(AE75,0)+IFERROR(AF75,0)+IFERROR(AG75,0),0)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IFERROR(H76+IFERROR(I76,0)+T76+IFERROR(AH76,0),0)</f>
        <v/>
      </c>
      <c r="V76" s="256" t="n"/>
      <c r="W76" s="257" t="n"/>
      <c r="X76" s="256" t="n"/>
      <c r="Y76" s="258" t="n"/>
      <c r="Z76" s="259" t="n"/>
      <c r="AA76" s="259" t="n"/>
      <c r="AB76" s="258" t="n"/>
      <c r="AC76" s="256" t="n"/>
      <c r="AD76" s="256" t="n"/>
      <c r="AE76" s="256" t="n"/>
      <c r="AF76" s="256" t="n"/>
      <c r="AG76" s="256" t="n"/>
      <c r="AH76" s="256">
        <f>IFERROR(IFERROR(V76,0)+IFERROR(AC76,0)+IFERROR(AD76,0)+IFERROR(AE76,0)+IFERROR(AF76,0)+IFERROR(AG76,0),0)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IFERROR(H77+IFERROR(I77,0)+T77+IFERROR(AH77,0),0)</f>
        <v/>
      </c>
      <c r="V77" s="256" t="n"/>
      <c r="W77" s="257" t="n"/>
      <c r="X77" s="256" t="n"/>
      <c r="Y77" s="258" t="n"/>
      <c r="Z77" s="259" t="n"/>
      <c r="AA77" s="259" t="n"/>
      <c r="AB77" s="258" t="n"/>
      <c r="AC77" s="256" t="n"/>
      <c r="AD77" s="256" t="n"/>
      <c r="AE77" s="256" t="n"/>
      <c r="AF77" s="256" t="n"/>
      <c r="AG77" s="256" t="n"/>
      <c r="AH77" s="256">
        <f>IFERROR(IFERROR(V77,0)+IFERROR(AC77,0)+IFERROR(AD77,0)+IFERROR(AE77,0)+IFERROR(AF77,0)+IFERROR(AG77,0),0)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IFERROR(H78+IFERROR(I78,0)+T78+IFERROR(AH78,0),0)</f>
        <v/>
      </c>
      <c r="V78" s="256" t="n"/>
      <c r="W78" s="257" t="n"/>
      <c r="X78" s="256" t="n"/>
      <c r="Y78" s="258" t="n"/>
      <c r="Z78" s="259" t="n"/>
      <c r="AA78" s="259" t="n"/>
      <c r="AB78" s="258" t="n"/>
      <c r="AC78" s="256" t="n"/>
      <c r="AD78" s="256" t="n"/>
      <c r="AE78" s="256" t="n"/>
      <c r="AF78" s="256" t="n"/>
      <c r="AG78" s="256" t="n"/>
      <c r="AH78" s="256">
        <f>IFERROR(IFERROR(V78,0)+IFERROR(AC78,0)+IFERROR(AD78,0)+IFERROR(AE78,0)+IFERROR(AF78,0)+IFERROR(AG78,0),0)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IFERROR(H79+IFERROR(I79,0)+T79+IFERROR(AH79,0),0)</f>
        <v/>
      </c>
      <c r="V79" s="256" t="n"/>
      <c r="W79" s="257" t="n"/>
      <c r="X79" s="256" t="n"/>
      <c r="Y79" s="258" t="n"/>
      <c r="Z79" s="259" t="n"/>
      <c r="AA79" s="259" t="n"/>
      <c r="AB79" s="258" t="n"/>
      <c r="AC79" s="256" t="n"/>
      <c r="AD79" s="256" t="n"/>
      <c r="AE79" s="256" t="n"/>
      <c r="AF79" s="256" t="n"/>
      <c r="AG79" s="256" t="n"/>
      <c r="AH79" s="256">
        <f>IFERROR(IFERROR(V79,0)+IFERROR(AC79,0)+IFERROR(AD79,0)+IFERROR(AE79,0)+IFERROR(AF79,0)+IFERROR(AG79,0),0)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IFERROR(H80+IFERROR(I80,0)+T80+IFERROR(AH80,0),0)</f>
        <v/>
      </c>
      <c r="V80" s="256" t="n"/>
      <c r="W80" s="257" t="n"/>
      <c r="X80" s="256" t="n"/>
      <c r="Y80" s="258" t="n"/>
      <c r="Z80" s="259" t="n"/>
      <c r="AA80" s="259" t="n"/>
      <c r="AB80" s="258" t="n"/>
      <c r="AC80" s="256" t="n"/>
      <c r="AD80" s="256" t="n"/>
      <c r="AE80" s="256" t="n"/>
      <c r="AF80" s="256" t="n"/>
      <c r="AG80" s="256" t="n"/>
      <c r="AH80" s="256">
        <f>IFERROR(IFERROR(V80,0)+IFERROR(AC80,0)+IFERROR(AD80,0)+IFERROR(AE80,0)+IFERROR(AF80,0)+IFERROR(AG80,0),0)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IFERROR(H81+IFERROR(I81,0)+T81+IFERROR(AH81,0),0)</f>
        <v/>
      </c>
      <c r="V81" s="256" t="n"/>
      <c r="W81" s="257" t="n"/>
      <c r="X81" s="256" t="n"/>
      <c r="Y81" s="258" t="n"/>
      <c r="Z81" s="259" t="n"/>
      <c r="AA81" s="259" t="n"/>
      <c r="AB81" s="258" t="n"/>
      <c r="AC81" s="256" t="n"/>
      <c r="AD81" s="256" t="n"/>
      <c r="AE81" s="256" t="n"/>
      <c r="AF81" s="256" t="n"/>
      <c r="AG81" s="256" t="n"/>
      <c r="AH81" s="256">
        <f>IFERROR(IFERROR(V81,0)+IFERROR(AC81,0)+IFERROR(AD81,0)+IFERROR(AE81,0)+IFERROR(AF81,0)+IFERROR(AG81,0),0)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IFERROR(H82+IFERROR(I82,0)+T82+IFERROR(AH82,0),0)</f>
        <v/>
      </c>
      <c r="V82" s="256" t="n"/>
      <c r="W82" s="257" t="n"/>
      <c r="X82" s="256" t="n"/>
      <c r="Y82" s="258" t="n"/>
      <c r="Z82" s="259" t="n"/>
      <c r="AA82" s="259" t="n"/>
      <c r="AB82" s="258" t="n"/>
      <c r="AC82" s="256" t="n"/>
      <c r="AD82" s="256" t="n"/>
      <c r="AE82" s="256" t="n"/>
      <c r="AF82" s="256" t="n"/>
      <c r="AG82" s="256" t="n"/>
      <c r="AH82" s="256">
        <f>IFERROR(IFERROR(V82,0)+IFERROR(AC82,0)+IFERROR(AD82,0)+IFERROR(AE82,0)+IFERROR(AF82,0)+IFERROR(AG82,0),0)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IFERROR(H83+IFERROR(I83,0)+T83+IFERROR(AH83,0),0)</f>
        <v/>
      </c>
      <c r="V83" s="256" t="n"/>
      <c r="W83" s="257" t="n"/>
      <c r="X83" s="256" t="n"/>
      <c r="Y83" s="258" t="n"/>
      <c r="Z83" s="259" t="n"/>
      <c r="AA83" s="259" t="n"/>
      <c r="AB83" s="258" t="n"/>
      <c r="AC83" s="256" t="n"/>
      <c r="AD83" s="256" t="n"/>
      <c r="AE83" s="256" t="n"/>
      <c r="AF83" s="256" t="n"/>
      <c r="AG83" s="256" t="n"/>
      <c r="AH83" s="256">
        <f>IFERROR(IFERROR(V83,0)+IFERROR(AC83,0)+IFERROR(AD83,0)+IFERROR(AE83,0)+IFERROR(AF83,0)+IFERROR(AG83,0),0)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IFERROR(H84+IFERROR(I84,0)+T84+IFERROR(AH84,0),0)</f>
        <v/>
      </c>
      <c r="V84" s="256" t="n"/>
      <c r="W84" s="257" t="n"/>
      <c r="X84" s="256" t="n"/>
      <c r="Y84" s="258" t="n"/>
      <c r="Z84" s="259" t="n"/>
      <c r="AA84" s="259" t="n"/>
      <c r="AB84" s="258" t="n"/>
      <c r="AC84" s="256" t="n"/>
      <c r="AD84" s="256" t="n"/>
      <c r="AE84" s="256" t="n"/>
      <c r="AF84" s="256" t="n"/>
      <c r="AG84" s="256" t="n"/>
      <c r="AH84" s="256">
        <f>IFERROR(IFERROR(V84,0)+IFERROR(AC84,0)+IFERROR(AD84,0)+IFERROR(AE84,0)+IFERROR(AF84,0)+IFERROR(AG84,0),0)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IFERROR(H85+IFERROR(I85,0)+T85+IFERROR(AH85,0),0)</f>
        <v/>
      </c>
      <c r="V85" s="256" t="n"/>
      <c r="W85" s="257" t="n"/>
      <c r="X85" s="256" t="n"/>
      <c r="Y85" s="258" t="n"/>
      <c r="Z85" s="259" t="n"/>
      <c r="AA85" s="259" t="n"/>
      <c r="AB85" s="258" t="n"/>
      <c r="AC85" s="256" t="n"/>
      <c r="AD85" s="256" t="n"/>
      <c r="AE85" s="256" t="n"/>
      <c r="AF85" s="256" t="n"/>
      <c r="AG85" s="256" t="n"/>
      <c r="AH85" s="256">
        <f>IFERROR(IFERROR(V85,0)+IFERROR(AC85,0)+IFERROR(AD85,0)+IFERROR(AE85,0)+IFERROR(AF85,0)+IFERROR(AG85,0),0)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IFERROR(H86+IFERROR(I86,0)+T86+IFERROR(AH86,0),0)</f>
        <v/>
      </c>
      <c r="V86" s="256" t="n"/>
      <c r="W86" s="257" t="n"/>
      <c r="X86" s="256" t="n"/>
      <c r="Y86" s="258" t="n"/>
      <c r="Z86" s="259" t="n"/>
      <c r="AA86" s="259" t="n"/>
      <c r="AB86" s="258" t="n"/>
      <c r="AC86" s="256" t="n"/>
      <c r="AD86" s="256" t="n"/>
      <c r="AE86" s="256" t="n"/>
      <c r="AF86" s="256" t="n"/>
      <c r="AG86" s="256" t="n"/>
      <c r="AH86" s="256">
        <f>IFERROR(IFERROR(V86,0)+IFERROR(AC86,0)+IFERROR(AD86,0)+IFERROR(AE86,0)+IFERROR(AF86,0)+IFERROR(AG86,0),0)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IFERROR(H87+IFERROR(I87,0)+T87+IFERROR(AH87,0),0)</f>
        <v/>
      </c>
      <c r="V87" s="256" t="n"/>
      <c r="W87" s="257" t="n"/>
      <c r="X87" s="256" t="n"/>
      <c r="Y87" s="258" t="n"/>
      <c r="Z87" s="259" t="n"/>
      <c r="AA87" s="259" t="n"/>
      <c r="AB87" s="258" t="n"/>
      <c r="AC87" s="256" t="n"/>
      <c r="AD87" s="256" t="n"/>
      <c r="AE87" s="256" t="n"/>
      <c r="AF87" s="256" t="n"/>
      <c r="AG87" s="256" t="n"/>
      <c r="AH87" s="256">
        <f>IFERROR(IFERROR(V87,0)+IFERROR(AC87,0)+IFERROR(AD87,0)+IFERROR(AE87,0)+IFERROR(AF87,0)+IFERROR(AG87,0),0)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IFERROR(H88+IFERROR(I88,0)+T88+IFERROR(AH88,0),0)</f>
        <v/>
      </c>
      <c r="V88" s="256" t="n"/>
      <c r="W88" s="257" t="n"/>
      <c r="X88" s="256" t="n"/>
      <c r="Y88" s="258" t="n"/>
      <c r="Z88" s="259" t="n"/>
      <c r="AA88" s="259" t="n"/>
      <c r="AB88" s="258" t="n"/>
      <c r="AC88" s="256" t="n"/>
      <c r="AD88" s="256" t="n"/>
      <c r="AE88" s="256" t="n"/>
      <c r="AF88" s="256" t="n"/>
      <c r="AG88" s="256" t="n"/>
      <c r="AH88" s="256">
        <f>IFERROR(IFERROR(V88,0)+IFERROR(AC88,0)+IFERROR(AD88,0)+IFERROR(AE88,0)+IFERROR(AF88,0)+IFERROR(AG88,0),0)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IFERROR(H89+IFERROR(I89,0)+T89+IFERROR(AH89,0),0)</f>
        <v/>
      </c>
      <c r="V89" s="256" t="n"/>
      <c r="W89" s="257" t="n"/>
      <c r="X89" s="256" t="n"/>
      <c r="Y89" s="258" t="n"/>
      <c r="Z89" s="259" t="n"/>
      <c r="AA89" s="259" t="n"/>
      <c r="AB89" s="258" t="n"/>
      <c r="AC89" s="256" t="n"/>
      <c r="AD89" s="256" t="n"/>
      <c r="AE89" s="256" t="n"/>
      <c r="AF89" s="256" t="n"/>
      <c r="AG89" s="256" t="n"/>
      <c r="AH89" s="256">
        <f>IFERROR(IFERROR(V89,0)+IFERROR(AC89,0)+IFERROR(AD89,0)+IFERROR(AE89,0)+IFERROR(AF89,0)+IFERROR(AG89,0),0)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IFERROR(H90+IFERROR(I90,0)+T90+IFERROR(AH90,0),0)</f>
        <v/>
      </c>
      <c r="V90" s="256" t="n"/>
      <c r="W90" s="257" t="n"/>
      <c r="X90" s="256" t="n"/>
      <c r="Y90" s="258" t="n"/>
      <c r="Z90" s="259" t="n"/>
      <c r="AA90" s="259" t="n"/>
      <c r="AB90" s="258" t="n"/>
      <c r="AC90" s="256" t="n"/>
      <c r="AD90" s="256" t="n"/>
      <c r="AE90" s="256" t="n"/>
      <c r="AF90" s="256" t="n"/>
      <c r="AG90" s="256" t="n"/>
      <c r="AH90" s="256">
        <f>IFERROR(IFERROR(V90,0)+IFERROR(AC90,0)+IFERROR(AD90,0)+IFERROR(AE90,0)+IFERROR(AF90,0)+IFERROR(AG90,0),0)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IFERROR(H91+IFERROR(I91,0)+T91+IFERROR(AH91,0),0)</f>
        <v/>
      </c>
      <c r="V91" s="256" t="n"/>
      <c r="W91" s="257" t="n"/>
      <c r="X91" s="256" t="n"/>
      <c r="Y91" s="258" t="n"/>
      <c r="Z91" s="259" t="n"/>
      <c r="AA91" s="259" t="n"/>
      <c r="AB91" s="258" t="n"/>
      <c r="AC91" s="256" t="n"/>
      <c r="AD91" s="256" t="n"/>
      <c r="AE91" s="256" t="n"/>
      <c r="AF91" s="256" t="n"/>
      <c r="AG91" s="256" t="n"/>
      <c r="AH91" s="256">
        <f>IFERROR(IFERROR(V91,0)+IFERROR(AC91,0)+IFERROR(AD91,0)+IFERROR(AE91,0)+IFERROR(AF91,0)+IFERROR(AG91,0),0)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IFERROR(H92+IFERROR(I92,0)+T92+IFERROR(AH92,0),0)</f>
        <v/>
      </c>
      <c r="V92" s="256" t="n"/>
      <c r="W92" s="257" t="n"/>
      <c r="X92" s="256" t="n"/>
      <c r="Y92" s="258" t="n"/>
      <c r="Z92" s="259" t="n"/>
      <c r="AA92" s="259" t="n"/>
      <c r="AB92" s="258" t="n"/>
      <c r="AC92" s="256" t="n"/>
      <c r="AD92" s="256" t="n"/>
      <c r="AE92" s="256" t="n"/>
      <c r="AF92" s="256" t="n"/>
      <c r="AG92" s="256" t="n"/>
      <c r="AH92" s="256">
        <f>IFERROR(IFERROR(V92,0)+IFERROR(AC92,0)+IFERROR(AD92,0)+IFERROR(AE92,0)+IFERROR(AF92,0)+IFERROR(AG92,0),0)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IFERROR(H93+IFERROR(I93,0)+T93+IFERROR(AH93,0),0)</f>
        <v/>
      </c>
      <c r="V93" s="256" t="n"/>
      <c r="W93" s="257" t="n"/>
      <c r="X93" s="256" t="n"/>
      <c r="Y93" s="258" t="n"/>
      <c r="Z93" s="259" t="n"/>
      <c r="AA93" s="259" t="n"/>
      <c r="AB93" s="258" t="n"/>
      <c r="AC93" s="256" t="n"/>
      <c r="AD93" s="256" t="n"/>
      <c r="AE93" s="256" t="n"/>
      <c r="AF93" s="256" t="n"/>
      <c r="AG93" s="256" t="n"/>
      <c r="AH93" s="256">
        <f>IFERROR(IFERROR(V93,0)+IFERROR(AC93,0)+IFERROR(AD93,0)+IFERROR(AE93,0)+IFERROR(AF93,0)+IFERROR(AG93,0),0)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IFERROR(H94+IFERROR(I94,0)+T94+IFERROR(AH94,0),0)</f>
        <v/>
      </c>
      <c r="V94" s="256" t="n"/>
      <c r="W94" s="257" t="n"/>
      <c r="X94" s="256" t="n"/>
      <c r="Y94" s="258" t="n"/>
      <c r="Z94" s="259" t="n"/>
      <c r="AA94" s="259" t="n"/>
      <c r="AB94" s="258" t="n"/>
      <c r="AC94" s="256" t="n"/>
      <c r="AD94" s="256" t="n"/>
      <c r="AE94" s="256" t="n"/>
      <c r="AF94" s="256" t="n"/>
      <c r="AG94" s="256" t="n"/>
      <c r="AH94" s="256">
        <f>IFERROR(IFERROR(V94,0)+IFERROR(AC94,0)+IFERROR(AD94,0)+IFERROR(AE94,0)+IFERROR(AF94,0)+IFERROR(AG94,0),0)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IFERROR(H95+IFERROR(I95,0)+T95+IFERROR(AH95,0),0)</f>
        <v/>
      </c>
      <c r="V95" s="256" t="n"/>
      <c r="W95" s="257" t="n"/>
      <c r="X95" s="256" t="n"/>
      <c r="Y95" s="258" t="n"/>
      <c r="Z95" s="259" t="n"/>
      <c r="AA95" s="259" t="n"/>
      <c r="AB95" s="258" t="n"/>
      <c r="AC95" s="256" t="n"/>
      <c r="AD95" s="256" t="n"/>
      <c r="AE95" s="256" t="n"/>
      <c r="AF95" s="256" t="n"/>
      <c r="AG95" s="256" t="n"/>
      <c r="AH95" s="256">
        <f>IFERROR(IFERROR(V95,0)+IFERROR(AC95,0)+IFERROR(AD95,0)+IFERROR(AE95,0)+IFERROR(AF95,0)+IFERROR(AG95,0),0)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IFERROR(H96+IFERROR(I96,0)+T96+IFERROR(AH96,0),0)</f>
        <v/>
      </c>
      <c r="V96" s="256" t="n"/>
      <c r="W96" s="257" t="n"/>
      <c r="X96" s="256" t="n"/>
      <c r="Y96" s="258" t="n"/>
      <c r="Z96" s="259" t="n"/>
      <c r="AA96" s="259" t="n"/>
      <c r="AB96" s="258" t="n"/>
      <c r="AC96" s="256" t="n"/>
      <c r="AD96" s="256" t="n"/>
      <c r="AE96" s="256" t="n"/>
      <c r="AF96" s="256" t="n"/>
      <c r="AG96" s="256" t="n"/>
      <c r="AH96" s="256">
        <f>IFERROR(IFERROR(V96,0)+IFERROR(AC96,0)+IFERROR(AD96,0)+IFERROR(AE96,0)+IFERROR(AF96,0)+IFERROR(AG96,0),0)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IFERROR(H97+IFERROR(I97,0)+T97+IFERROR(AH97,0),0)</f>
        <v/>
      </c>
      <c r="V97" s="256" t="n"/>
      <c r="W97" s="257" t="n"/>
      <c r="X97" s="256" t="n"/>
      <c r="Y97" s="258" t="n"/>
      <c r="Z97" s="259" t="n"/>
      <c r="AA97" s="259" t="n"/>
      <c r="AB97" s="258" t="n"/>
      <c r="AC97" s="256" t="n"/>
      <c r="AD97" s="256" t="n"/>
      <c r="AE97" s="256" t="n"/>
      <c r="AF97" s="256" t="n"/>
      <c r="AG97" s="256" t="n"/>
      <c r="AH97" s="256">
        <f>IFERROR(IFERROR(V97,0)+IFERROR(AC97,0)+IFERROR(AD97,0)+IFERROR(AE97,0)+IFERROR(AF97,0)+IFERROR(AG97,0),0)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IFERROR(H98+IFERROR(I98,0)+T98+IFERROR(AH98,0),0)</f>
        <v/>
      </c>
      <c r="V98" s="256" t="n"/>
      <c r="W98" s="257" t="n"/>
      <c r="X98" s="256" t="n"/>
      <c r="Y98" s="258" t="n"/>
      <c r="Z98" s="259" t="n"/>
      <c r="AA98" s="259" t="n"/>
      <c r="AB98" s="258" t="n"/>
      <c r="AC98" s="256" t="n"/>
      <c r="AD98" s="256" t="n"/>
      <c r="AE98" s="256" t="n"/>
      <c r="AF98" s="256" t="n"/>
      <c r="AG98" s="256" t="n"/>
      <c r="AH98" s="256">
        <f>IFERROR(IFERROR(V98,0)+IFERROR(AC98,0)+IFERROR(AD98,0)+IFERROR(AE98,0)+IFERROR(AF98,0)+IFERROR(AG98,0),0)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IFERROR(H99+IFERROR(I99,0)+T99+IFERROR(AH99,0),0)</f>
        <v/>
      </c>
      <c r="V99" s="256" t="n"/>
      <c r="W99" s="257" t="n"/>
      <c r="X99" s="256" t="n"/>
      <c r="Y99" s="258" t="n"/>
      <c r="Z99" s="259" t="n"/>
      <c r="AA99" s="259" t="n"/>
      <c r="AB99" s="258" t="n"/>
      <c r="AC99" s="256" t="n"/>
      <c r="AD99" s="256" t="n"/>
      <c r="AE99" s="256" t="n"/>
      <c r="AF99" s="256" t="n"/>
      <c r="AG99" s="256" t="n"/>
      <c r="AH99" s="256">
        <f>IFERROR(IFERROR(V99,0)+IFERROR(AC99,0)+IFERROR(AD99,0)+IFERROR(AE99,0)+IFERROR(AF99,0)+IFERROR(AG99,0),0)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IFERROR(H100+IFERROR(I100,0)+T100+IFERROR(AH100,0),0)</f>
        <v/>
      </c>
      <c r="V100" s="256" t="n"/>
      <c r="W100" s="257" t="n"/>
      <c r="X100" s="256" t="n"/>
      <c r="Y100" s="258" t="n"/>
      <c r="Z100" s="259" t="n"/>
      <c r="AA100" s="259" t="n"/>
      <c r="AB100" s="258" t="n"/>
      <c r="AC100" s="256" t="n"/>
      <c r="AD100" s="256" t="n"/>
      <c r="AE100" s="256" t="n"/>
      <c r="AF100" s="256" t="n"/>
      <c r="AG100" s="256" t="n"/>
      <c r="AH100" s="256">
        <f>IFERROR(IFERROR(V100,0)+IFERROR(AC100,0)+IFERROR(AD100,0)+IFERROR(AE100,0)+IFERROR(AF100,0)+IFERROR(AG100,0),0)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IFERROR(H101+IFERROR(I101,0)+T101+IFERROR(AH101,0),0)</f>
        <v/>
      </c>
      <c r="V101" s="256" t="n"/>
      <c r="W101" s="257" t="n"/>
      <c r="X101" s="256" t="n"/>
      <c r="Y101" s="258" t="n"/>
      <c r="Z101" s="259" t="n"/>
      <c r="AA101" s="259" t="n"/>
      <c r="AB101" s="258" t="n"/>
      <c r="AC101" s="256" t="n"/>
      <c r="AD101" s="256" t="n"/>
      <c r="AE101" s="256" t="n"/>
      <c r="AF101" s="256" t="n"/>
      <c r="AG101" s="256" t="n"/>
      <c r="AH101" s="256">
        <f>IFERROR(IFERROR(V101,0)+IFERROR(AC101,0)+IFERROR(AD101,0)+IFERROR(AE101,0)+IFERROR(AF101,0)+IFERROR(AG101,0),0)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IFERROR(H102+IFERROR(I102,0)+T102+IFERROR(AH102,0),0)</f>
        <v/>
      </c>
      <c r="V102" s="256" t="n"/>
      <c r="W102" s="257" t="n"/>
      <c r="X102" s="256" t="n"/>
      <c r="Y102" s="258" t="n"/>
      <c r="Z102" s="259" t="n"/>
      <c r="AA102" s="259" t="n"/>
      <c r="AB102" s="258" t="n"/>
      <c r="AC102" s="256" t="n"/>
      <c r="AD102" s="256" t="n"/>
      <c r="AE102" s="256" t="n"/>
      <c r="AF102" s="256" t="n"/>
      <c r="AG102" s="256" t="n"/>
      <c r="AH102" s="256">
        <f>IFERROR(IFERROR(V102,0)+IFERROR(AC102,0)+IFERROR(AD102,0)+IFERROR(AE102,0)+IFERROR(AF102,0)+IFERROR(AG102,0),0)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IFERROR(H103+IFERROR(I103,0)+T103+IFERROR(AH103,0),0)</f>
        <v/>
      </c>
      <c r="V103" s="256" t="n"/>
      <c r="W103" s="257" t="n"/>
      <c r="X103" s="256" t="n"/>
      <c r="Y103" s="258" t="n"/>
      <c r="Z103" s="259" t="n"/>
      <c r="AA103" s="259" t="n"/>
      <c r="AB103" s="258" t="n"/>
      <c r="AC103" s="256" t="n"/>
      <c r="AD103" s="256" t="n"/>
      <c r="AE103" s="256" t="n"/>
      <c r="AF103" s="256" t="n"/>
      <c r="AG103" s="256" t="n"/>
      <c r="AH103" s="256">
        <f>IFERROR(IFERROR(V103,0)+IFERROR(AC103,0)+IFERROR(AD103,0)+IFERROR(AE103,0)+IFERROR(AF103,0)+IFERROR(AG103,0),0)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IFERROR(H104+IFERROR(I104,0)+T104+IFERROR(AH104,0),0)</f>
        <v/>
      </c>
      <c r="V104" s="256" t="n"/>
      <c r="W104" s="257" t="n"/>
      <c r="X104" s="256" t="n"/>
      <c r="Y104" s="258" t="n"/>
      <c r="Z104" s="259" t="n"/>
      <c r="AA104" s="259" t="n"/>
      <c r="AB104" s="258" t="n"/>
      <c r="AC104" s="256" t="n"/>
      <c r="AD104" s="256" t="n"/>
      <c r="AE104" s="256" t="n"/>
      <c r="AF104" s="256" t="n"/>
      <c r="AG104" s="256" t="n"/>
      <c r="AH104" s="256">
        <f>IFERROR(IFERROR(V104,0)+IFERROR(AC104,0)+IFERROR(AD104,0)+IFERROR(AE104,0)+IFERROR(AF104,0)+IFERROR(AG104,0),0)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IFERROR(H105+IFERROR(I105,0)+T105+IFERROR(AH105,0),0)</f>
        <v/>
      </c>
      <c r="V105" s="256" t="n"/>
      <c r="W105" s="257" t="n"/>
      <c r="X105" s="256" t="n"/>
      <c r="Y105" s="258" t="n"/>
      <c r="Z105" s="259" t="n"/>
      <c r="AA105" s="259" t="n"/>
      <c r="AB105" s="258" t="n"/>
      <c r="AC105" s="256" t="n"/>
      <c r="AD105" s="256" t="n"/>
      <c r="AE105" s="256" t="n"/>
      <c r="AF105" s="256" t="n"/>
      <c r="AG105" s="256" t="n"/>
      <c r="AH105" s="256">
        <f>IFERROR(IFERROR(V105,0)+IFERROR(AC105,0)+IFERROR(AD105,0)+IFERROR(AE105,0)+IFERROR(AF105,0)+IFERROR(AG105,0),0)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IFERROR(H106+IFERROR(I106,0)+T106+IFERROR(AH106,0),0)</f>
        <v/>
      </c>
      <c r="V106" s="256" t="n"/>
      <c r="W106" s="257" t="n"/>
      <c r="X106" s="256" t="n"/>
      <c r="Y106" s="258" t="n"/>
      <c r="Z106" s="259" t="n"/>
      <c r="AA106" s="259" t="n"/>
      <c r="AB106" s="258" t="n"/>
      <c r="AC106" s="256" t="n"/>
      <c r="AD106" s="256" t="n"/>
      <c r="AE106" s="256" t="n"/>
      <c r="AF106" s="256" t="n"/>
      <c r="AG106" s="256" t="n"/>
      <c r="AH106" s="256">
        <f>IFERROR(IFERROR(V106,0)+IFERROR(AC106,0)+IFERROR(AD106,0)+IFERROR(AE106,0)+IFERROR(AF106,0)+IFERROR(AG106,0),0)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IFERROR(H107+IFERROR(I107,0)+T107+IFERROR(AH107,0),0)</f>
        <v/>
      </c>
      <c r="V107" s="256" t="n"/>
      <c r="W107" s="257" t="n"/>
      <c r="X107" s="256" t="n"/>
      <c r="Y107" s="258" t="n"/>
      <c r="Z107" s="259" t="n"/>
      <c r="AA107" s="259" t="n"/>
      <c r="AB107" s="258" t="n"/>
      <c r="AC107" s="256" t="n"/>
      <c r="AD107" s="256" t="n"/>
      <c r="AE107" s="256" t="n"/>
      <c r="AF107" s="256" t="n"/>
      <c r="AG107" s="256" t="n"/>
      <c r="AH107" s="256">
        <f>IFERROR(IFERROR(V107,0)+IFERROR(AC107,0)+IFERROR(AD107,0)+IFERROR(AE107,0)+IFERROR(AF107,0)+IFERROR(AG107,0),0)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IFERROR(H108+IFERROR(I108,0)+T108+IFERROR(AH108,0),0)</f>
        <v/>
      </c>
      <c r="V108" s="256" t="n"/>
      <c r="W108" s="257" t="n"/>
      <c r="X108" s="256" t="n"/>
      <c r="Y108" s="258" t="n"/>
      <c r="Z108" s="259" t="n"/>
      <c r="AA108" s="259" t="n"/>
      <c r="AB108" s="258" t="n"/>
      <c r="AC108" s="256" t="n"/>
      <c r="AD108" s="256" t="n"/>
      <c r="AE108" s="256" t="n"/>
      <c r="AF108" s="256" t="n"/>
      <c r="AG108" s="256" t="n"/>
      <c r="AH108" s="256">
        <f>IFERROR(IFERROR(V108,0)+IFERROR(AC108,0)+IFERROR(AD108,0)+IFERROR(AE108,0)+IFERROR(AF108,0)+IFERROR(AG108,0),0)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IFERROR(H109+IFERROR(I109,0)+T109+IFERROR(AH109,0),0)</f>
        <v/>
      </c>
      <c r="V109" s="256" t="n"/>
      <c r="W109" s="257" t="n"/>
      <c r="X109" s="256" t="n"/>
      <c r="Y109" s="258" t="n"/>
      <c r="Z109" s="259" t="n"/>
      <c r="AA109" s="259" t="n"/>
      <c r="AB109" s="258" t="n"/>
      <c r="AC109" s="256" t="n"/>
      <c r="AD109" s="256" t="n"/>
      <c r="AE109" s="256" t="n"/>
      <c r="AF109" s="256" t="n"/>
      <c r="AG109" s="256" t="n"/>
      <c r="AH109" s="256">
        <f>IFERROR(IFERROR(V109,0)+IFERROR(AC109,0)+IFERROR(AD109,0)+IFERROR(AE109,0)+IFERROR(AF109,0)+IFERROR(AG109,0),0)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IFERROR(H110+IFERROR(I110,0)+T110+IFERROR(AH110,0),0)</f>
        <v/>
      </c>
      <c r="V110" s="256" t="n"/>
      <c r="W110" s="257" t="n"/>
      <c r="X110" s="256" t="n"/>
      <c r="Y110" s="258" t="n"/>
      <c r="Z110" s="259" t="n"/>
      <c r="AA110" s="259" t="n"/>
      <c r="AB110" s="258" t="n"/>
      <c r="AC110" s="256" t="n"/>
      <c r="AD110" s="256" t="n"/>
      <c r="AE110" s="256" t="n"/>
      <c r="AF110" s="256" t="n"/>
      <c r="AG110" s="256" t="n"/>
      <c r="AH110" s="256">
        <f>IFERROR(IFERROR(V110,0)+IFERROR(AC110,0)+IFERROR(AD110,0)+IFERROR(AE110,0)+IFERROR(AF110,0)+IFERROR(AG110,0),0)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IFERROR(H111+IFERROR(I111,0)+T111+IFERROR(AH111,0),0)</f>
        <v/>
      </c>
      <c r="V111" s="256" t="n"/>
      <c r="W111" s="257" t="n"/>
      <c r="X111" s="256" t="n"/>
      <c r="Y111" s="258" t="n"/>
      <c r="Z111" s="259" t="n"/>
      <c r="AA111" s="259" t="n"/>
      <c r="AB111" s="258" t="n"/>
      <c r="AC111" s="256" t="n"/>
      <c r="AD111" s="256" t="n"/>
      <c r="AE111" s="256" t="n"/>
      <c r="AF111" s="256" t="n"/>
      <c r="AG111" s="256" t="n"/>
      <c r="AH111" s="256">
        <f>IFERROR(IFERROR(V111,0)+IFERROR(AC111,0)+IFERROR(AD111,0)+IFERROR(AE111,0)+IFERROR(AF111,0)+IFERROR(AG111,0),0)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IFERROR(H112+IFERROR(I112,0)+T112+IFERROR(AH112,0),0)</f>
        <v/>
      </c>
      <c r="V112" s="256" t="n"/>
      <c r="W112" s="257" t="n"/>
      <c r="X112" s="256" t="n"/>
      <c r="Y112" s="258" t="n"/>
      <c r="Z112" s="259" t="n"/>
      <c r="AA112" s="259" t="n"/>
      <c r="AB112" s="258" t="n"/>
      <c r="AC112" s="256" t="n"/>
      <c r="AD112" s="256" t="n"/>
      <c r="AE112" s="256" t="n"/>
      <c r="AF112" s="256" t="n"/>
      <c r="AG112" s="256" t="n"/>
      <c r="AH112" s="256">
        <f>IFERROR(IFERROR(V112,0)+IFERROR(AC112,0)+IFERROR(AD112,0)+IFERROR(AE112,0)+IFERROR(AF112,0)+IFERROR(AG112,0),0)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IFERROR(H113+IFERROR(I113,0)+T113+IFERROR(AH113,0),0)</f>
        <v/>
      </c>
      <c r="V113" s="256" t="n"/>
      <c r="W113" s="257" t="n"/>
      <c r="X113" s="256" t="n"/>
      <c r="Y113" s="258" t="n"/>
      <c r="Z113" s="259" t="n"/>
      <c r="AA113" s="259" t="n"/>
      <c r="AB113" s="258" t="n"/>
      <c r="AC113" s="256" t="n"/>
      <c r="AD113" s="256" t="n"/>
      <c r="AE113" s="256" t="n"/>
      <c r="AF113" s="256" t="n"/>
      <c r="AG113" s="256" t="n"/>
      <c r="AH113" s="256">
        <f>IFERROR(IFERROR(V113,0)+IFERROR(AC113,0)+IFERROR(AD113,0)+IFERROR(AE113,0)+IFERROR(AF113,0)+IFERROR(AG113,0),0)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IFERROR(H114+IFERROR(I114,0)+T114+IFERROR(AH114,0),0)</f>
        <v/>
      </c>
      <c r="V114" s="256" t="n"/>
      <c r="W114" s="257" t="n"/>
      <c r="X114" s="256" t="n"/>
      <c r="Y114" s="258" t="n"/>
      <c r="Z114" s="259" t="n"/>
      <c r="AA114" s="259" t="n"/>
      <c r="AB114" s="258" t="n"/>
      <c r="AC114" s="256" t="n"/>
      <c r="AD114" s="256" t="n"/>
      <c r="AE114" s="256" t="n"/>
      <c r="AF114" s="256" t="n"/>
      <c r="AG114" s="256" t="n"/>
      <c r="AH114" s="256">
        <f>IFERROR(IFERROR(V114,0)+IFERROR(AC114,0)+IFERROR(AD114,0)+IFERROR(AE114,0)+IFERROR(AF114,0)+IFERROR(AG114,0),0)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IFERROR(H115+IFERROR(I115,0)+T115+IFERROR(AH115,0),0)</f>
        <v/>
      </c>
      <c r="V115" s="256" t="n"/>
      <c r="W115" s="257" t="n"/>
      <c r="X115" s="256" t="n"/>
      <c r="Y115" s="258" t="n"/>
      <c r="Z115" s="259" t="n"/>
      <c r="AA115" s="259" t="n"/>
      <c r="AB115" s="258" t="n"/>
      <c r="AC115" s="256" t="n"/>
      <c r="AD115" s="256" t="n"/>
      <c r="AE115" s="256" t="n"/>
      <c r="AF115" s="256" t="n"/>
      <c r="AG115" s="256" t="n"/>
      <c r="AH115" s="256">
        <f>IFERROR(IFERROR(V115,0)+IFERROR(AC115,0)+IFERROR(AD115,0)+IFERROR(AE115,0)+IFERROR(AF115,0)+IFERROR(AG115,0),0)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IFERROR(H116+IFERROR(I116,0)+T116+IFERROR(AH116,0),0)</f>
        <v/>
      </c>
      <c r="V116" s="256" t="n"/>
      <c r="W116" s="257" t="n"/>
      <c r="X116" s="256" t="n"/>
      <c r="Y116" s="258" t="n"/>
      <c r="Z116" s="259" t="n"/>
      <c r="AA116" s="259" t="n"/>
      <c r="AB116" s="258" t="n"/>
      <c r="AC116" s="256" t="n"/>
      <c r="AD116" s="256" t="n"/>
      <c r="AE116" s="256" t="n"/>
      <c r="AF116" s="256" t="n"/>
      <c r="AG116" s="256" t="n"/>
      <c r="AH116" s="256">
        <f>IFERROR(IFERROR(V116,0)+IFERROR(AC116,0)+IFERROR(AD116,0)+IFERROR(AE116,0)+IFERROR(AF116,0)+IFERROR(AG116,0),0)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IFERROR(H117+IFERROR(I117,0)+T117+IFERROR(AH117,0),0)</f>
        <v/>
      </c>
      <c r="V117" s="256" t="n"/>
      <c r="W117" s="257" t="n"/>
      <c r="X117" s="256" t="n"/>
      <c r="Y117" s="258" t="n"/>
      <c r="Z117" s="259" t="n"/>
      <c r="AA117" s="259" t="n"/>
      <c r="AB117" s="258" t="n"/>
      <c r="AC117" s="256" t="n"/>
      <c r="AD117" s="256" t="n"/>
      <c r="AE117" s="256" t="n"/>
      <c r="AF117" s="256" t="n"/>
      <c r="AG117" s="256" t="n"/>
      <c r="AH117" s="256">
        <f>IFERROR(IFERROR(V117,0)+IFERROR(AC117,0)+IFERROR(AD117,0)+IFERROR(AE117,0)+IFERROR(AF117,0)+IFERROR(AG117,0),0)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IFERROR(H118+IFERROR(I118,0)+T118+IFERROR(AH118,0),0)</f>
        <v/>
      </c>
      <c r="V118" s="256" t="n"/>
      <c r="W118" s="257" t="n"/>
      <c r="X118" s="256" t="n"/>
      <c r="Y118" s="258" t="n"/>
      <c r="Z118" s="259" t="n"/>
      <c r="AA118" s="259" t="n"/>
      <c r="AB118" s="258" t="n"/>
      <c r="AC118" s="256" t="n"/>
      <c r="AD118" s="256" t="n"/>
      <c r="AE118" s="256" t="n"/>
      <c r="AF118" s="256" t="n"/>
      <c r="AG118" s="256" t="n"/>
      <c r="AH118" s="256">
        <f>IFERROR(IFERROR(V118,0)+IFERROR(AC118,0)+IFERROR(AD118,0)+IFERROR(AE118,0)+IFERROR(AF118,0)+IFERROR(AG118,0),0)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IFERROR(H119+IFERROR(I119,0)+T119+IFERROR(AH119,0),0)</f>
        <v/>
      </c>
      <c r="V119" s="256" t="n"/>
      <c r="W119" s="257" t="n"/>
      <c r="X119" s="256" t="n"/>
      <c r="Y119" s="258" t="n"/>
      <c r="Z119" s="259" t="n"/>
      <c r="AA119" s="259" t="n"/>
      <c r="AB119" s="258" t="n"/>
      <c r="AC119" s="256" t="n"/>
      <c r="AD119" s="256" t="n"/>
      <c r="AE119" s="256" t="n"/>
      <c r="AF119" s="256" t="n"/>
      <c r="AG119" s="256" t="n"/>
      <c r="AH119" s="256">
        <f>IFERROR(IFERROR(V119,0)+IFERROR(AC119,0)+IFERROR(AD119,0)+IFERROR(AE119,0)+IFERROR(AF119,0)+IFERROR(AG119,0),0)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IFERROR(H120+IFERROR(I120,0)+T120+IFERROR(AH120,0),0)</f>
        <v/>
      </c>
      <c r="V120" s="256" t="n"/>
      <c r="W120" s="257" t="n"/>
      <c r="X120" s="256" t="n"/>
      <c r="Y120" s="258" t="n"/>
      <c r="Z120" s="259" t="n"/>
      <c r="AA120" s="259" t="n"/>
      <c r="AB120" s="258" t="n"/>
      <c r="AC120" s="256" t="n"/>
      <c r="AD120" s="256" t="n"/>
      <c r="AE120" s="256" t="n"/>
      <c r="AF120" s="256" t="n"/>
      <c r="AG120" s="256" t="n"/>
      <c r="AH120" s="256">
        <f>IFERROR(IFERROR(V120,0)+IFERROR(AC120,0)+IFERROR(AD120,0)+IFERROR(AE120,0)+IFERROR(AF120,0)+IFERROR(AG120,0),0)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IFERROR(H121+IFERROR(I121,0)+T121+IFERROR(AH121,0),0)</f>
        <v/>
      </c>
      <c r="V121" s="256" t="n"/>
      <c r="W121" s="257" t="n"/>
      <c r="X121" s="256" t="n"/>
      <c r="Y121" s="258" t="n"/>
      <c r="Z121" s="259" t="n"/>
      <c r="AA121" s="259" t="n"/>
      <c r="AB121" s="258" t="n"/>
      <c r="AC121" s="256" t="n"/>
      <c r="AD121" s="256" t="n"/>
      <c r="AE121" s="256" t="n"/>
      <c r="AF121" s="256" t="n"/>
      <c r="AG121" s="256" t="n"/>
      <c r="AH121" s="256">
        <f>IFERROR(IFERROR(V121,0)+IFERROR(AC121,0)+IFERROR(AD121,0)+IFERROR(AE121,0)+IFERROR(AF121,0)+IFERROR(AG121,0),0)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IFERROR(H122+IFERROR(I122,0)+T122+IFERROR(AH122,0),0)</f>
        <v/>
      </c>
      <c r="V122" s="256" t="n"/>
      <c r="W122" s="257" t="n"/>
      <c r="X122" s="256" t="n"/>
      <c r="Y122" s="258" t="n"/>
      <c r="Z122" s="259" t="n"/>
      <c r="AA122" s="259" t="n"/>
      <c r="AB122" s="258" t="n"/>
      <c r="AC122" s="256" t="n"/>
      <c r="AD122" s="256" t="n"/>
      <c r="AE122" s="256" t="n"/>
      <c r="AF122" s="256" t="n"/>
      <c r="AG122" s="256" t="n"/>
      <c r="AH122" s="256">
        <f>IFERROR(IFERROR(V122,0)+IFERROR(AC122,0)+IFERROR(AD122,0)+IFERROR(AE122,0)+IFERROR(AF122,0)+IFERROR(AG122,0),0)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IFERROR(H123+IFERROR(I123,0)+T123+IFERROR(AH123,0),0)</f>
        <v/>
      </c>
      <c r="V123" s="256" t="n"/>
      <c r="W123" s="257" t="n"/>
      <c r="X123" s="256" t="n"/>
      <c r="Y123" s="258" t="n"/>
      <c r="Z123" s="259" t="n"/>
      <c r="AA123" s="259" t="n"/>
      <c r="AB123" s="258" t="n"/>
      <c r="AC123" s="256" t="n"/>
      <c r="AD123" s="256" t="n"/>
      <c r="AE123" s="256" t="n"/>
      <c r="AF123" s="256" t="n"/>
      <c r="AG123" s="256" t="n"/>
      <c r="AH123" s="256">
        <f>IFERROR(IFERROR(V123,0)+IFERROR(AC123,0)+IFERROR(AD123,0)+IFERROR(AE123,0)+IFERROR(AF123,0)+IFERROR(AG123,0),0)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IFERROR(H124+IFERROR(I124,0)+T124+IFERROR(AH124,0),0)</f>
        <v/>
      </c>
      <c r="V124" s="256" t="n"/>
      <c r="W124" s="257" t="n"/>
      <c r="X124" s="256" t="n"/>
      <c r="Y124" s="258" t="n"/>
      <c r="Z124" s="259" t="n"/>
      <c r="AA124" s="259" t="n"/>
      <c r="AB124" s="258" t="n"/>
      <c r="AC124" s="256" t="n"/>
      <c r="AD124" s="256" t="n"/>
      <c r="AE124" s="256" t="n"/>
      <c r="AF124" s="256" t="n"/>
      <c r="AG124" s="256" t="n"/>
      <c r="AH124" s="256">
        <f>IFERROR(IFERROR(V124,0)+IFERROR(AC124,0)+IFERROR(AD124,0)+IFERROR(AE124,0)+IFERROR(AF124,0)+IFERROR(AG124,0),0)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IFERROR(H125+IFERROR(I125,0)+T125+IFERROR(AH125,0),0)</f>
        <v/>
      </c>
      <c r="V125" s="256" t="n"/>
      <c r="W125" s="257" t="n"/>
      <c r="X125" s="256" t="n"/>
      <c r="Y125" s="258" t="n"/>
      <c r="Z125" s="259" t="n"/>
      <c r="AA125" s="259" t="n"/>
      <c r="AB125" s="258" t="n"/>
      <c r="AC125" s="256" t="n"/>
      <c r="AD125" s="256" t="n"/>
      <c r="AE125" s="256" t="n"/>
      <c r="AF125" s="256" t="n"/>
      <c r="AG125" s="256" t="n"/>
      <c r="AH125" s="256">
        <f>IFERROR(IFERROR(V125,0)+IFERROR(AC125,0)+IFERROR(AD125,0)+IFERROR(AE125,0)+IFERROR(AF125,0)+IFERROR(AG125,0),0)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IFERROR(H126+IFERROR(I126,0)+T126+IFERROR(AH126,0),0)</f>
        <v/>
      </c>
      <c r="V126" s="256" t="n"/>
      <c r="W126" s="257" t="n"/>
      <c r="X126" s="256" t="n"/>
      <c r="Y126" s="258" t="n"/>
      <c r="Z126" s="259" t="n"/>
      <c r="AA126" s="259" t="n"/>
      <c r="AB126" s="258" t="n"/>
      <c r="AC126" s="256" t="n"/>
      <c r="AD126" s="256" t="n"/>
      <c r="AE126" s="256" t="n"/>
      <c r="AF126" s="256" t="n"/>
      <c r="AG126" s="256" t="n"/>
      <c r="AH126" s="256">
        <f>IFERROR(IFERROR(V126,0)+IFERROR(AC126,0)+IFERROR(AD126,0)+IFERROR(AE126,0)+IFERROR(AF126,0)+IFERROR(AG126,0),0)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IFERROR(H127+IFERROR(I127,0)+T127+IFERROR(AH127,0),0)</f>
        <v/>
      </c>
      <c r="V127" s="256" t="n"/>
      <c r="W127" s="257" t="n"/>
      <c r="X127" s="256" t="n"/>
      <c r="Y127" s="258" t="n"/>
      <c r="Z127" s="259" t="n"/>
      <c r="AA127" s="259" t="n"/>
      <c r="AB127" s="258" t="n"/>
      <c r="AC127" s="256" t="n"/>
      <c r="AD127" s="256" t="n"/>
      <c r="AE127" s="256" t="n"/>
      <c r="AF127" s="256" t="n"/>
      <c r="AG127" s="256" t="n"/>
      <c r="AH127" s="256">
        <f>IFERROR(IFERROR(V127,0)+IFERROR(AC127,0)+IFERROR(AD127,0)+IFERROR(AE127,0)+IFERROR(AF127,0)+IFERROR(AG127,0),0)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IFERROR(H128+IFERROR(I128,0)+T128+IFERROR(AH128,0),0)</f>
        <v/>
      </c>
      <c r="V128" s="256" t="n"/>
      <c r="W128" s="257" t="n"/>
      <c r="X128" s="256" t="n"/>
      <c r="Y128" s="258" t="n"/>
      <c r="Z128" s="259" t="n"/>
      <c r="AA128" s="259" t="n"/>
      <c r="AB128" s="258" t="n"/>
      <c r="AC128" s="256" t="n"/>
      <c r="AD128" s="256" t="n"/>
      <c r="AE128" s="256" t="n"/>
      <c r="AF128" s="256" t="n"/>
      <c r="AG128" s="256" t="n"/>
      <c r="AH128" s="256">
        <f>IFERROR(IFERROR(V128,0)+IFERROR(AC128,0)+IFERROR(AD128,0)+IFERROR(AE128,0)+IFERROR(AF128,0)+IFERROR(AG128,0),0)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IFERROR(H129+IFERROR(I129,0)+T129+IFERROR(AH129,0),0)</f>
        <v/>
      </c>
      <c r="V129" s="256" t="n"/>
      <c r="W129" s="257" t="n"/>
      <c r="X129" s="256" t="n"/>
      <c r="Y129" s="258" t="n"/>
      <c r="Z129" s="259" t="n"/>
      <c r="AA129" s="259" t="n"/>
      <c r="AB129" s="258" t="n"/>
      <c r="AC129" s="256" t="n"/>
      <c r="AD129" s="256" t="n"/>
      <c r="AE129" s="256" t="n"/>
      <c r="AF129" s="256" t="n"/>
      <c r="AG129" s="256" t="n"/>
      <c r="AH129" s="256">
        <f>IFERROR(IFERROR(V129,0)+IFERROR(AC129,0)+IFERROR(AD129,0)+IFERROR(AE129,0)+IFERROR(AF129,0)+IFERROR(AG129,0),0)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IFERROR(H130+IFERROR(I130,0)+T130+IFERROR(AH130,0),0)</f>
        <v/>
      </c>
      <c r="V130" s="256" t="n"/>
      <c r="W130" s="257" t="n"/>
      <c r="X130" s="256" t="n"/>
      <c r="Y130" s="258" t="n"/>
      <c r="Z130" s="259" t="n"/>
      <c r="AA130" s="259" t="n"/>
      <c r="AB130" s="258" t="n"/>
      <c r="AC130" s="256" t="n"/>
      <c r="AD130" s="256" t="n"/>
      <c r="AE130" s="256" t="n"/>
      <c r="AF130" s="256" t="n"/>
      <c r="AG130" s="256" t="n"/>
      <c r="AH130" s="256">
        <f>IFERROR(IFERROR(V130,0)+IFERROR(AC130,0)+IFERROR(AD130,0)+IFERROR(AE130,0)+IFERROR(AF130,0)+IFERROR(AG130,0),0)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IFERROR(H131+IFERROR(I131,0)+T131+IFERROR(AH131,0),0)</f>
        <v/>
      </c>
      <c r="V131" s="256" t="n"/>
      <c r="W131" s="257" t="n"/>
      <c r="X131" s="256" t="n"/>
      <c r="Y131" s="258" t="n"/>
      <c r="Z131" s="259" t="n"/>
      <c r="AA131" s="259" t="n"/>
      <c r="AB131" s="258" t="n"/>
      <c r="AC131" s="256" t="n"/>
      <c r="AD131" s="256" t="n"/>
      <c r="AE131" s="256" t="n"/>
      <c r="AF131" s="256" t="n"/>
      <c r="AG131" s="256" t="n"/>
      <c r="AH131" s="256">
        <f>IFERROR(IFERROR(V131,0)+IFERROR(AC131,0)+IFERROR(AD131,0)+IFERROR(AE131,0)+IFERROR(AF131,0)+IFERROR(AG131,0),0)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IFERROR(H132+IFERROR(I132,0)+T132+IFERROR(AH132,0),0)</f>
        <v/>
      </c>
      <c r="V132" s="256" t="n"/>
      <c r="W132" s="257" t="n"/>
      <c r="X132" s="256" t="n"/>
      <c r="Y132" s="258" t="n"/>
      <c r="Z132" s="259" t="n"/>
      <c r="AA132" s="259" t="n"/>
      <c r="AB132" s="258" t="n"/>
      <c r="AC132" s="256" t="n"/>
      <c r="AD132" s="256" t="n"/>
      <c r="AE132" s="256" t="n"/>
      <c r="AF132" s="256" t="n"/>
      <c r="AG132" s="256" t="n"/>
      <c r="AH132" s="256">
        <f>IFERROR(IFERROR(V132,0)+IFERROR(AC132,0)+IFERROR(AD132,0)+IFERROR(AE132,0)+IFERROR(AF132,0)+IFERROR(AG132,0),0)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IFERROR(H133+IFERROR(I133,0)+T133+IFERROR(AH133,0),0)</f>
        <v/>
      </c>
      <c r="V133" s="256" t="n"/>
      <c r="W133" s="257" t="n"/>
      <c r="X133" s="256" t="n"/>
      <c r="Y133" s="258" t="n"/>
      <c r="Z133" s="259" t="n"/>
      <c r="AA133" s="259" t="n"/>
      <c r="AB133" s="258" t="n"/>
      <c r="AC133" s="256" t="n"/>
      <c r="AD133" s="256" t="n"/>
      <c r="AE133" s="256" t="n"/>
      <c r="AF133" s="256" t="n"/>
      <c r="AG133" s="256" t="n"/>
      <c r="AH133" s="256">
        <f>IFERROR(IFERROR(V133,0)+IFERROR(AC133,0)+IFERROR(AD133,0)+IFERROR(AE133,0)+IFERROR(AF133,0)+IFERROR(AG133,0),0)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IFERROR(H134+IFERROR(I134,0)+T134+IFERROR(AH134,0),0)</f>
        <v/>
      </c>
      <c r="V134" s="256" t="n"/>
      <c r="W134" s="257" t="n"/>
      <c r="X134" s="256" t="n"/>
      <c r="Y134" s="258" t="n"/>
      <c r="Z134" s="259" t="n"/>
      <c r="AA134" s="259" t="n"/>
      <c r="AB134" s="258" t="n"/>
      <c r="AC134" s="256" t="n"/>
      <c r="AD134" s="256" t="n"/>
      <c r="AE134" s="256" t="n"/>
      <c r="AF134" s="256" t="n"/>
      <c r="AG134" s="256" t="n"/>
      <c r="AH134" s="256">
        <f>IFERROR(IFERROR(V134,0)+IFERROR(AC134,0)+IFERROR(AD134,0)+IFERROR(AE134,0)+IFERROR(AF134,0)+IFERROR(AG134,0),0)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IFERROR(H135+IFERROR(I135,0)+T135+IFERROR(AH135,0),0)</f>
        <v/>
      </c>
      <c r="V135" s="256" t="n"/>
      <c r="W135" s="257" t="n"/>
      <c r="X135" s="256" t="n"/>
      <c r="Y135" s="258" t="n"/>
      <c r="Z135" s="259" t="n"/>
      <c r="AA135" s="259" t="n"/>
      <c r="AB135" s="258" t="n"/>
      <c r="AC135" s="256" t="n"/>
      <c r="AD135" s="256" t="n"/>
      <c r="AE135" s="256" t="n"/>
      <c r="AF135" s="256" t="n"/>
      <c r="AG135" s="256" t="n"/>
      <c r="AH135" s="256">
        <f>IFERROR(IFERROR(V135,0)+IFERROR(AC135,0)+IFERROR(AD135,0)+IFERROR(AE135,0)+IFERROR(AF135,0)+IFERROR(AG135,0),0)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IFERROR(H136+IFERROR(I136,0)+T136+IFERROR(AH136,0),0)</f>
        <v/>
      </c>
      <c r="V136" s="256" t="n"/>
      <c r="W136" s="257" t="n"/>
      <c r="X136" s="256" t="n"/>
      <c r="Y136" s="258" t="n"/>
      <c r="Z136" s="259" t="n"/>
      <c r="AA136" s="259" t="n"/>
      <c r="AB136" s="258" t="n"/>
      <c r="AC136" s="256" t="n"/>
      <c r="AD136" s="256" t="n"/>
      <c r="AE136" s="256" t="n"/>
      <c r="AF136" s="256" t="n"/>
      <c r="AG136" s="256" t="n"/>
      <c r="AH136" s="256">
        <f>IFERROR(IFERROR(V136,0)+IFERROR(AC136,0)+IFERROR(AD136,0)+IFERROR(AE136,0)+IFERROR(AF136,0)+IFERROR(AG136,0),0)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IFERROR(H137+IFERROR(I137,0)+T137+IFERROR(AH137,0),0)</f>
        <v/>
      </c>
      <c r="V137" s="256" t="n"/>
      <c r="W137" s="257" t="n"/>
      <c r="X137" s="256" t="n"/>
      <c r="Y137" s="258" t="n"/>
      <c r="Z137" s="259" t="n"/>
      <c r="AA137" s="259" t="n"/>
      <c r="AB137" s="258" t="n"/>
      <c r="AC137" s="256" t="n"/>
      <c r="AD137" s="256" t="n"/>
      <c r="AE137" s="256" t="n"/>
      <c r="AF137" s="256" t="n"/>
      <c r="AG137" s="256" t="n"/>
      <c r="AH137" s="256">
        <f>IFERROR(IFERROR(V137,0)+IFERROR(AC137,0)+IFERROR(AD137,0)+IFERROR(AE137,0)+IFERROR(AF137,0)+IFERROR(AG137,0),0)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IFERROR(H138+IFERROR(I138,0)+T138+IFERROR(AH138,0),0)</f>
        <v/>
      </c>
      <c r="V138" s="256" t="n"/>
      <c r="W138" s="257" t="n"/>
      <c r="X138" s="256" t="n"/>
      <c r="Y138" s="258" t="n"/>
      <c r="Z138" s="259" t="n"/>
      <c r="AA138" s="259" t="n"/>
      <c r="AB138" s="258" t="n"/>
      <c r="AC138" s="256" t="n"/>
      <c r="AD138" s="256" t="n"/>
      <c r="AE138" s="256" t="n"/>
      <c r="AF138" s="256" t="n"/>
      <c r="AG138" s="256" t="n"/>
      <c r="AH138" s="256">
        <f>IFERROR(IFERROR(V138,0)+IFERROR(AC138,0)+IFERROR(AD138,0)+IFERROR(AE138,0)+IFERROR(AF138,0)+IFERROR(AG138,0),0)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IFERROR(H139+IFERROR(I139,0)+T139+IFERROR(AH139,0),0)</f>
        <v/>
      </c>
      <c r="V139" s="256" t="n"/>
      <c r="W139" s="257" t="n"/>
      <c r="X139" s="256" t="n"/>
      <c r="Y139" s="258" t="n"/>
      <c r="Z139" s="259" t="n"/>
      <c r="AA139" s="259" t="n"/>
      <c r="AB139" s="258" t="n"/>
      <c r="AC139" s="256" t="n"/>
      <c r="AD139" s="256" t="n"/>
      <c r="AE139" s="256" t="n"/>
      <c r="AF139" s="256" t="n"/>
      <c r="AG139" s="256" t="n"/>
      <c r="AH139" s="256">
        <f>IFERROR(IFERROR(V139,0)+IFERROR(AC139,0)+IFERROR(AD139,0)+IFERROR(AE139,0)+IFERROR(AF139,0)+IFERROR(AG139,0),0)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IFERROR(H140+IFERROR(I140,0)+T140+IFERROR(AH140,0),0)</f>
        <v/>
      </c>
      <c r="V140" s="256" t="n"/>
      <c r="W140" s="257" t="n"/>
      <c r="X140" s="256" t="n"/>
      <c r="Y140" s="258" t="n"/>
      <c r="Z140" s="259" t="n"/>
      <c r="AA140" s="259" t="n"/>
      <c r="AB140" s="258" t="n"/>
      <c r="AC140" s="256" t="n"/>
      <c r="AD140" s="256" t="n"/>
      <c r="AE140" s="256" t="n"/>
      <c r="AF140" s="256" t="n"/>
      <c r="AG140" s="256" t="n"/>
      <c r="AH140" s="256">
        <f>IFERROR(IFERROR(V140,0)+IFERROR(AC140,0)+IFERROR(AD140,0)+IFERROR(AE140,0)+IFERROR(AF140,0)+IFERROR(AG140,0),0)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IFERROR(H141+IFERROR(I141,0)+T141+IFERROR(AH141,0),0)</f>
        <v/>
      </c>
      <c r="V141" s="256" t="n"/>
      <c r="W141" s="257" t="n"/>
      <c r="X141" s="256" t="n"/>
      <c r="Y141" s="258" t="n"/>
      <c r="Z141" s="259" t="n"/>
      <c r="AA141" s="259" t="n"/>
      <c r="AB141" s="258" t="n"/>
      <c r="AC141" s="256" t="n"/>
      <c r="AD141" s="256" t="n"/>
      <c r="AE141" s="256" t="n"/>
      <c r="AF141" s="256" t="n"/>
      <c r="AG141" s="256" t="n"/>
      <c r="AH141" s="256">
        <f>IFERROR(IFERROR(V141,0)+IFERROR(AC141,0)+IFERROR(AD141,0)+IFERROR(AE141,0)+IFERROR(AF141,0)+IFERROR(AG141,0),0)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IFERROR(H142+IFERROR(I142,0)+T142+IFERROR(AH142,0),0)</f>
        <v/>
      </c>
      <c r="V142" s="256" t="n"/>
      <c r="W142" s="257" t="n"/>
      <c r="X142" s="256" t="n"/>
      <c r="Y142" s="258" t="n"/>
      <c r="Z142" s="259" t="n"/>
      <c r="AA142" s="259" t="n"/>
      <c r="AB142" s="258" t="n"/>
      <c r="AC142" s="256" t="n"/>
      <c r="AD142" s="256" t="n"/>
      <c r="AE142" s="256" t="n"/>
      <c r="AF142" s="256" t="n"/>
      <c r="AG142" s="256" t="n"/>
      <c r="AH142" s="256">
        <f>IFERROR(IFERROR(V142,0)+IFERROR(AC142,0)+IFERROR(AD142,0)+IFERROR(AE142,0)+IFERROR(AF142,0)+IFERROR(AG142,0),0)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IFERROR(H143+IFERROR(I143,0)+T143+IFERROR(AH143,0),0)</f>
        <v/>
      </c>
      <c r="V143" s="256" t="n"/>
      <c r="W143" s="257" t="n"/>
      <c r="X143" s="256" t="n"/>
      <c r="Y143" s="258" t="n"/>
      <c r="Z143" s="259" t="n"/>
      <c r="AA143" s="259" t="n"/>
      <c r="AB143" s="258" t="n"/>
      <c r="AC143" s="256" t="n"/>
      <c r="AD143" s="256" t="n"/>
      <c r="AE143" s="256" t="n"/>
      <c r="AF143" s="256" t="n"/>
      <c r="AG143" s="256" t="n"/>
      <c r="AH143" s="256">
        <f>IFERROR(IFERROR(V143,0)+IFERROR(AC143,0)+IFERROR(AD143,0)+IFERROR(AE143,0)+IFERROR(AF143,0)+IFERROR(AG143,0),0)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IFERROR(H144+IFERROR(I144,0)+T144+IFERROR(AH144,0),0)</f>
        <v/>
      </c>
      <c r="V144" s="256" t="n"/>
      <c r="W144" s="257" t="n"/>
      <c r="X144" s="256" t="n"/>
      <c r="Y144" s="258" t="n"/>
      <c r="Z144" s="259" t="n"/>
      <c r="AA144" s="259" t="n"/>
      <c r="AB144" s="258" t="n"/>
      <c r="AC144" s="256" t="n"/>
      <c r="AD144" s="256" t="n"/>
      <c r="AE144" s="256" t="n"/>
      <c r="AF144" s="256" t="n"/>
      <c r="AG144" s="256" t="n"/>
      <c r="AH144" s="256">
        <f>IFERROR(IFERROR(V144,0)+IFERROR(AC144,0)+IFERROR(AD144,0)+IFERROR(AE144,0)+IFERROR(AF144,0)+IFERROR(AG144,0),0)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IFERROR(H145+IFERROR(I145,0)+T145+IFERROR(AH145,0),0)</f>
        <v/>
      </c>
      <c r="V145" s="256" t="n"/>
      <c r="W145" s="257" t="n"/>
      <c r="X145" s="256" t="n"/>
      <c r="Y145" s="258" t="n"/>
      <c r="Z145" s="259" t="n"/>
      <c r="AA145" s="259" t="n"/>
      <c r="AB145" s="258" t="n"/>
      <c r="AC145" s="256" t="n"/>
      <c r="AD145" s="256" t="n"/>
      <c r="AE145" s="256" t="n"/>
      <c r="AF145" s="256" t="n"/>
      <c r="AG145" s="256" t="n"/>
      <c r="AH145" s="256">
        <f>IFERROR(IFERROR(V145,0)+IFERROR(AC145,0)+IFERROR(AD145,0)+IFERROR(AE145,0)+IFERROR(AF145,0)+IFERROR(AG145,0),0)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IFERROR(H146+IFERROR(I146,0)+T146+IFERROR(AH146,0),0)</f>
        <v/>
      </c>
      <c r="V146" s="256" t="n"/>
      <c r="W146" s="257" t="n"/>
      <c r="X146" s="256" t="n"/>
      <c r="Y146" s="258" t="n"/>
      <c r="Z146" s="259" t="n"/>
      <c r="AA146" s="259" t="n"/>
      <c r="AB146" s="258" t="n"/>
      <c r="AC146" s="256" t="n"/>
      <c r="AD146" s="256" t="n"/>
      <c r="AE146" s="256" t="n"/>
      <c r="AF146" s="256" t="n"/>
      <c r="AG146" s="256" t="n"/>
      <c r="AH146" s="256">
        <f>IFERROR(IFERROR(V146,0)+IFERROR(AC146,0)+IFERROR(AD146,0)+IFERROR(AE146,0)+IFERROR(AF146,0)+IFERROR(AG146,0),0)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IFERROR(H147+IFERROR(I147,0)+T147+IFERROR(AH147,0),0)</f>
        <v/>
      </c>
      <c r="V147" s="256" t="n"/>
      <c r="W147" s="257" t="n"/>
      <c r="X147" s="256" t="n"/>
      <c r="Y147" s="258" t="n"/>
      <c r="Z147" s="259" t="n"/>
      <c r="AA147" s="259" t="n"/>
      <c r="AB147" s="258" t="n"/>
      <c r="AC147" s="256" t="n"/>
      <c r="AD147" s="256" t="n"/>
      <c r="AE147" s="256" t="n"/>
      <c r="AF147" s="256" t="n"/>
      <c r="AG147" s="256" t="n"/>
      <c r="AH147" s="256">
        <f>IFERROR(IFERROR(V147,0)+IFERROR(AC147,0)+IFERROR(AD147,0)+IFERROR(AE147,0)+IFERROR(AF147,0)+IFERROR(AG147,0),0)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IFERROR(H148+IFERROR(I148,0)+T148+IFERROR(AH148,0),0)</f>
        <v/>
      </c>
      <c r="V148" s="256" t="n"/>
      <c r="W148" s="257" t="n"/>
      <c r="X148" s="256" t="n"/>
      <c r="Y148" s="258" t="n"/>
      <c r="Z148" s="259" t="n"/>
      <c r="AA148" s="259" t="n"/>
      <c r="AB148" s="258" t="n"/>
      <c r="AC148" s="256" t="n"/>
      <c r="AD148" s="256" t="n"/>
      <c r="AE148" s="256" t="n"/>
      <c r="AF148" s="256" t="n"/>
      <c r="AG148" s="256" t="n"/>
      <c r="AH148" s="256">
        <f>IFERROR(IFERROR(V148,0)+IFERROR(AC148,0)+IFERROR(AD148,0)+IFERROR(AE148,0)+IFERROR(AF148,0)+IFERROR(AG148,0),0)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IFERROR(H149+IFERROR(I149,0)+T149+IFERROR(AH149,0),0)</f>
        <v/>
      </c>
      <c r="V149" s="256" t="n"/>
      <c r="W149" s="257" t="n"/>
      <c r="X149" s="256" t="n"/>
      <c r="Y149" s="258" t="n"/>
      <c r="Z149" s="259" t="n"/>
      <c r="AA149" s="259" t="n"/>
      <c r="AB149" s="258" t="n"/>
      <c r="AC149" s="256" t="n"/>
      <c r="AD149" s="256" t="n"/>
      <c r="AE149" s="256" t="n"/>
      <c r="AF149" s="256" t="n"/>
      <c r="AG149" s="256" t="n"/>
      <c r="AH149" s="256">
        <f>IFERROR(IFERROR(V149,0)+IFERROR(AC149,0)+IFERROR(AD149,0)+IFERROR(AE149,0)+IFERROR(AF149,0)+IFERROR(AG149,0),0)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IFERROR(H150+IFERROR(I150,0)+T150+IFERROR(AH150,0),0)</f>
        <v/>
      </c>
      <c r="V150" s="256" t="n"/>
      <c r="W150" s="257" t="n"/>
      <c r="X150" s="256" t="n"/>
      <c r="Y150" s="258" t="n"/>
      <c r="Z150" s="259" t="n"/>
      <c r="AA150" s="259" t="n"/>
      <c r="AB150" s="258" t="n"/>
      <c r="AC150" s="256" t="n"/>
      <c r="AD150" s="256" t="n"/>
      <c r="AE150" s="256" t="n"/>
      <c r="AF150" s="256" t="n"/>
      <c r="AG150" s="256" t="n"/>
      <c r="AH150" s="256">
        <f>IFERROR(IFERROR(V150,0)+IFERROR(AC150,0)+IFERROR(AD150,0)+IFERROR(AE150,0)+IFERROR(AF150,0)+IFERROR(AG150,0),0)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IFERROR(H151+IFERROR(I151,0)+T151+IFERROR(AH151,0),0)</f>
        <v/>
      </c>
      <c r="V151" s="256" t="n"/>
      <c r="W151" s="257" t="n"/>
      <c r="X151" s="256" t="n"/>
      <c r="Y151" s="258" t="n"/>
      <c r="Z151" s="259" t="n"/>
      <c r="AA151" s="259" t="n"/>
      <c r="AB151" s="258" t="n"/>
      <c r="AC151" s="256" t="n"/>
      <c r="AD151" s="256" t="n"/>
      <c r="AE151" s="256" t="n"/>
      <c r="AF151" s="256" t="n"/>
      <c r="AG151" s="256" t="n"/>
      <c r="AH151" s="256">
        <f>IFERROR(IFERROR(V151,0)+IFERROR(AC151,0)+IFERROR(AD151,0)+IFERROR(AE151,0)+IFERROR(AF151,0)+IFERROR(AG151,0),0)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IFERROR(H152+IFERROR(I152,0)+T152+IFERROR(AH152,0),0)</f>
        <v/>
      </c>
      <c r="V152" s="256" t="n"/>
      <c r="W152" s="257" t="n"/>
      <c r="X152" s="256" t="n"/>
      <c r="Y152" s="258" t="n"/>
      <c r="Z152" s="259" t="n"/>
      <c r="AA152" s="259" t="n"/>
      <c r="AB152" s="258" t="n"/>
      <c r="AC152" s="256" t="n"/>
      <c r="AD152" s="256" t="n"/>
      <c r="AE152" s="256" t="n"/>
      <c r="AF152" s="256" t="n"/>
      <c r="AG152" s="256" t="n"/>
      <c r="AH152" s="256">
        <f>IFERROR(IFERROR(V152,0)+IFERROR(AC152,0)+IFERROR(AD152,0)+IFERROR(AE152,0)+IFERROR(AF152,0)+IFERROR(AG152,0),0)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IFERROR(H153+IFERROR(I153,0)+T153+IFERROR(AH153,0),0)</f>
        <v/>
      </c>
      <c r="V153" s="256" t="n"/>
      <c r="W153" s="257" t="n"/>
      <c r="X153" s="256" t="n"/>
      <c r="Y153" s="258" t="n"/>
      <c r="Z153" s="259" t="n"/>
      <c r="AA153" s="259" t="n"/>
      <c r="AB153" s="258" t="n"/>
      <c r="AC153" s="256" t="n"/>
      <c r="AD153" s="256" t="n"/>
      <c r="AE153" s="256" t="n"/>
      <c r="AF153" s="256" t="n"/>
      <c r="AG153" s="256" t="n"/>
      <c r="AH153" s="256">
        <f>IFERROR(IFERROR(V153,0)+IFERROR(AC153,0)+IFERROR(AD153,0)+IFERROR(AE153,0)+IFERROR(AF153,0)+IFERROR(AG153,0),0)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IFERROR(H154+IFERROR(I154,0)+T154+IFERROR(AH154,0),0)</f>
        <v/>
      </c>
      <c r="V154" s="256" t="n"/>
      <c r="W154" s="257" t="n"/>
      <c r="X154" s="256" t="n"/>
      <c r="Y154" s="258" t="n"/>
      <c r="Z154" s="259" t="n"/>
      <c r="AA154" s="259" t="n"/>
      <c r="AB154" s="258" t="n"/>
      <c r="AC154" s="256" t="n"/>
      <c r="AD154" s="256" t="n"/>
      <c r="AE154" s="256" t="n"/>
      <c r="AF154" s="256" t="n"/>
      <c r="AG154" s="256" t="n"/>
      <c r="AH154" s="256">
        <f>IFERROR(IFERROR(V154,0)+IFERROR(AC154,0)+IFERROR(AD154,0)+IFERROR(AE154,0)+IFERROR(AF154,0)+IFERROR(AG154,0),0)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IFERROR(H155+IFERROR(I155,0)+T155+IFERROR(AH155,0),0)</f>
        <v/>
      </c>
      <c r="V155" s="256" t="n"/>
      <c r="W155" s="257" t="n"/>
      <c r="X155" s="256" t="n"/>
      <c r="Y155" s="258" t="n"/>
      <c r="Z155" s="259" t="n"/>
      <c r="AA155" s="259" t="n"/>
      <c r="AB155" s="258" t="n"/>
      <c r="AC155" s="256" t="n"/>
      <c r="AD155" s="256" t="n"/>
      <c r="AE155" s="256" t="n"/>
      <c r="AF155" s="256" t="n"/>
      <c r="AG155" s="256" t="n"/>
      <c r="AH155" s="256">
        <f>IFERROR(IFERROR(V155,0)+IFERROR(AC155,0)+IFERROR(AD155,0)+IFERROR(AE155,0)+IFERROR(AF155,0)+IFERROR(AG155,0),0)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IFERROR(H156+IFERROR(I156,0)+T156+IFERROR(AH156,0),0)</f>
        <v/>
      </c>
      <c r="V156" s="256" t="n"/>
      <c r="W156" s="257" t="n"/>
      <c r="X156" s="256" t="n"/>
      <c r="Y156" s="258" t="n"/>
      <c r="Z156" s="259" t="n"/>
      <c r="AA156" s="259" t="n"/>
      <c r="AB156" s="258" t="n"/>
      <c r="AC156" s="256" t="n"/>
      <c r="AD156" s="256" t="n"/>
      <c r="AE156" s="256" t="n"/>
      <c r="AF156" s="256" t="n"/>
      <c r="AG156" s="256" t="n"/>
      <c r="AH156" s="256">
        <f>IFERROR(IFERROR(V156,0)+IFERROR(AC156,0)+IFERROR(AD156,0)+IFERROR(AE156,0)+IFERROR(AF156,0)+IFERROR(AG156,0),0)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IFERROR(H157+IFERROR(I157,0)+T157+IFERROR(AH157,0),0)</f>
        <v/>
      </c>
      <c r="V157" s="256" t="n"/>
      <c r="W157" s="257" t="n"/>
      <c r="X157" s="256" t="n"/>
      <c r="Y157" s="258" t="n"/>
      <c r="Z157" s="259" t="n"/>
      <c r="AA157" s="259" t="n"/>
      <c r="AB157" s="258" t="n"/>
      <c r="AC157" s="256" t="n"/>
      <c r="AD157" s="256" t="n"/>
      <c r="AE157" s="256" t="n"/>
      <c r="AF157" s="256" t="n"/>
      <c r="AG157" s="256" t="n"/>
      <c r="AH157" s="256">
        <f>IFERROR(IFERROR(V157,0)+IFERROR(AC157,0)+IFERROR(AD157,0)+IFERROR(AE157,0)+IFERROR(AF157,0)+IFERROR(AG157,0),0)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IFERROR(H158+IFERROR(I158,0)+T158+IFERROR(AH158,0),0)</f>
        <v/>
      </c>
      <c r="V158" s="256" t="n"/>
      <c r="W158" s="257" t="n"/>
      <c r="X158" s="256" t="n"/>
      <c r="Y158" s="258" t="n"/>
      <c r="Z158" s="259" t="n"/>
      <c r="AA158" s="259" t="n"/>
      <c r="AB158" s="258" t="n"/>
      <c r="AC158" s="256" t="n"/>
      <c r="AD158" s="256" t="n"/>
      <c r="AE158" s="256" t="n"/>
      <c r="AF158" s="256" t="n"/>
      <c r="AG158" s="256" t="n"/>
      <c r="AH158" s="256">
        <f>IFERROR(IFERROR(V158,0)+IFERROR(AC158,0)+IFERROR(AD158,0)+IFERROR(AE158,0)+IFERROR(AF158,0)+IFERROR(AG158,0),0)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IFERROR(H159+IFERROR(I159,0)+T159+IFERROR(AH159,0),0)</f>
        <v/>
      </c>
      <c r="V159" s="256" t="n"/>
      <c r="W159" s="257" t="n"/>
      <c r="X159" s="256" t="n"/>
      <c r="Y159" s="258" t="n"/>
      <c r="Z159" s="259" t="n"/>
      <c r="AA159" s="259" t="n"/>
      <c r="AB159" s="258" t="n"/>
      <c r="AC159" s="256" t="n"/>
      <c r="AD159" s="256" t="n"/>
      <c r="AE159" s="256" t="n"/>
      <c r="AF159" s="256" t="n"/>
      <c r="AG159" s="256" t="n"/>
      <c r="AH159" s="256">
        <f>IFERROR(IFERROR(V159,0)+IFERROR(AC159,0)+IFERROR(AD159,0)+IFERROR(AE159,0)+IFERROR(AF159,0)+IFERROR(AG159,0),0)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IFERROR(H160+IFERROR(I160,0)+T160+IFERROR(AH160,0),0)</f>
        <v/>
      </c>
      <c r="V160" s="256" t="n"/>
      <c r="W160" s="257" t="n"/>
      <c r="X160" s="256" t="n"/>
      <c r="Y160" s="258" t="n"/>
      <c r="Z160" s="259" t="n"/>
      <c r="AA160" s="259" t="n"/>
      <c r="AB160" s="258" t="n"/>
      <c r="AC160" s="256" t="n"/>
      <c r="AD160" s="256" t="n"/>
      <c r="AE160" s="256" t="n"/>
      <c r="AF160" s="256" t="n"/>
      <c r="AG160" s="256" t="n"/>
      <c r="AH160" s="256">
        <f>IFERROR(IFERROR(V160,0)+IFERROR(AC160,0)+IFERROR(AD160,0)+IFERROR(AE160,0)+IFERROR(AF160,0)+IFERROR(AG160,0),0)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IFERROR(H161+IFERROR(I161,0)+T161+IFERROR(AH161,0),0)</f>
        <v/>
      </c>
      <c r="V161" s="256" t="n"/>
      <c r="W161" s="257" t="n"/>
      <c r="X161" s="256" t="n"/>
      <c r="Y161" s="258" t="n"/>
      <c r="Z161" s="259" t="n"/>
      <c r="AA161" s="259" t="n"/>
      <c r="AB161" s="258" t="n"/>
      <c r="AC161" s="256" t="n"/>
      <c r="AD161" s="256" t="n"/>
      <c r="AE161" s="256" t="n"/>
      <c r="AF161" s="256" t="n"/>
      <c r="AG161" s="256" t="n"/>
      <c r="AH161" s="256">
        <f>IFERROR(IFERROR(V161,0)+IFERROR(AC161,0)+IFERROR(AD161,0)+IFERROR(AE161,0)+IFERROR(AF161,0)+IFERROR(AG161,0),0)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IFERROR(H162+IFERROR(I162,0)+T162+IFERROR(AH162,0),0)</f>
        <v/>
      </c>
      <c r="V162" s="256" t="n"/>
      <c r="W162" s="257" t="n"/>
      <c r="X162" s="256" t="n"/>
      <c r="Y162" s="258" t="n"/>
      <c r="Z162" s="259" t="n"/>
      <c r="AA162" s="259" t="n"/>
      <c r="AB162" s="258" t="n"/>
      <c r="AC162" s="256" t="n"/>
      <c r="AD162" s="256" t="n"/>
      <c r="AE162" s="256" t="n"/>
      <c r="AF162" s="256" t="n"/>
      <c r="AG162" s="256" t="n"/>
      <c r="AH162" s="256">
        <f>IFERROR(IFERROR(V162,0)+IFERROR(AC162,0)+IFERROR(AD162,0)+IFERROR(AE162,0)+IFERROR(AF162,0)+IFERROR(AG162,0),0)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IFERROR(H163+IFERROR(I163,0)+T163+IFERROR(AH163,0),0)</f>
        <v/>
      </c>
      <c r="V163" s="256" t="n"/>
      <c r="W163" s="257" t="n"/>
      <c r="X163" s="256" t="n"/>
      <c r="Y163" s="258" t="n"/>
      <c r="Z163" s="259" t="n"/>
      <c r="AA163" s="259" t="n"/>
      <c r="AB163" s="258" t="n"/>
      <c r="AC163" s="256" t="n"/>
      <c r="AD163" s="256" t="n"/>
      <c r="AE163" s="256" t="n"/>
      <c r="AF163" s="256" t="n"/>
      <c r="AG163" s="256" t="n"/>
      <c r="AH163" s="256">
        <f>IFERROR(IFERROR(V163,0)+IFERROR(AC163,0)+IFERROR(AD163,0)+IFERROR(AE163,0)+IFERROR(AF163,0)+IFERROR(AG163,0),0)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IFERROR(H164+IFERROR(I164,0)+T164+IFERROR(AH164,0),0)</f>
        <v/>
      </c>
      <c r="V164" s="256" t="n"/>
      <c r="W164" s="257" t="n"/>
      <c r="X164" s="256" t="n"/>
      <c r="Y164" s="258" t="n"/>
      <c r="Z164" s="259" t="n"/>
      <c r="AA164" s="259" t="n"/>
      <c r="AB164" s="258" t="n"/>
      <c r="AC164" s="256" t="n"/>
      <c r="AD164" s="256" t="n"/>
      <c r="AE164" s="256" t="n"/>
      <c r="AF164" s="256" t="n"/>
      <c r="AG164" s="256" t="n"/>
      <c r="AH164" s="256">
        <f>IFERROR(IFERROR(V164,0)+IFERROR(AC164,0)+IFERROR(AD164,0)+IFERROR(AE164,0)+IFERROR(AF164,0)+IFERROR(AG164,0),0)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IFERROR(H165+IFERROR(I165,0)+T165+IFERROR(AH165,0),0)</f>
        <v/>
      </c>
      <c r="V165" s="256" t="n"/>
      <c r="W165" s="257" t="n"/>
      <c r="X165" s="256" t="n"/>
      <c r="Y165" s="258" t="n"/>
      <c r="Z165" s="259" t="n"/>
      <c r="AA165" s="259" t="n"/>
      <c r="AB165" s="258" t="n"/>
      <c r="AC165" s="256" t="n"/>
      <c r="AD165" s="256" t="n"/>
      <c r="AE165" s="256" t="n"/>
      <c r="AF165" s="256" t="n"/>
      <c r="AG165" s="256" t="n"/>
      <c r="AH165" s="256">
        <f>IFERROR(IFERROR(V165,0)+IFERROR(AC165,0)+IFERROR(AD165,0)+IFERROR(AE165,0)+IFERROR(AF165,0)+IFERROR(AG165,0),0)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IFERROR(H166+IFERROR(I166,0)+T166+IFERROR(AH166,0),0)</f>
        <v/>
      </c>
      <c r="V166" s="256" t="n"/>
      <c r="W166" s="257" t="n"/>
      <c r="X166" s="256" t="n"/>
      <c r="Y166" s="258" t="n"/>
      <c r="Z166" s="259" t="n"/>
      <c r="AA166" s="259" t="n"/>
      <c r="AB166" s="258" t="n"/>
      <c r="AC166" s="256" t="n"/>
      <c r="AD166" s="256" t="n"/>
      <c r="AE166" s="256" t="n"/>
      <c r="AF166" s="256" t="n"/>
      <c r="AG166" s="256" t="n"/>
      <c r="AH166" s="256">
        <f>IFERROR(IFERROR(V166,0)+IFERROR(AC166,0)+IFERROR(AD166,0)+IFERROR(AE166,0)+IFERROR(AF166,0)+IFERROR(AG166,0),0)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IFERROR(H167+IFERROR(I167,0)+T167+IFERROR(AH167,0),0)</f>
        <v/>
      </c>
      <c r="V167" s="256" t="n"/>
      <c r="W167" s="257" t="n"/>
      <c r="X167" s="256" t="n"/>
      <c r="Y167" s="258" t="n"/>
      <c r="Z167" s="259" t="n"/>
      <c r="AA167" s="259" t="n"/>
      <c r="AB167" s="258" t="n"/>
      <c r="AC167" s="256" t="n"/>
      <c r="AD167" s="256" t="n"/>
      <c r="AE167" s="256" t="n"/>
      <c r="AF167" s="256" t="n"/>
      <c r="AG167" s="256" t="n"/>
      <c r="AH167" s="256">
        <f>IFERROR(IFERROR(V167,0)+IFERROR(AC167,0)+IFERROR(AD167,0)+IFERROR(AE167,0)+IFERROR(AF167,0)+IFERROR(AG167,0),0)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IFERROR(H168+IFERROR(I168,0)+T168+IFERROR(AH168,0),0)</f>
        <v/>
      </c>
      <c r="V168" s="256" t="n"/>
      <c r="W168" s="257" t="n"/>
      <c r="X168" s="256" t="n"/>
      <c r="Y168" s="258" t="n"/>
      <c r="Z168" s="259" t="n"/>
      <c r="AA168" s="259" t="n"/>
      <c r="AB168" s="258" t="n"/>
      <c r="AC168" s="256" t="n"/>
      <c r="AD168" s="256" t="n"/>
      <c r="AE168" s="256" t="n"/>
      <c r="AF168" s="256" t="n"/>
      <c r="AG168" s="256" t="n"/>
      <c r="AH168" s="256">
        <f>IFERROR(IFERROR(V168,0)+IFERROR(AC168,0)+IFERROR(AD168,0)+IFERROR(AE168,0)+IFERROR(AF168,0)+IFERROR(AG168,0),0)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IFERROR(H169+IFERROR(I169,0)+T169+IFERROR(AH169,0),0)</f>
        <v/>
      </c>
      <c r="V169" s="256" t="n"/>
      <c r="W169" s="257" t="n"/>
      <c r="X169" s="256" t="n"/>
      <c r="Y169" s="258" t="n"/>
      <c r="Z169" s="259" t="n"/>
      <c r="AA169" s="259" t="n"/>
      <c r="AB169" s="258" t="n"/>
      <c r="AC169" s="256" t="n"/>
      <c r="AD169" s="256" t="n"/>
      <c r="AE169" s="256" t="n"/>
      <c r="AF169" s="256" t="n"/>
      <c r="AG169" s="256" t="n"/>
      <c r="AH169" s="256">
        <f>IFERROR(IFERROR(V169,0)+IFERROR(AC169,0)+IFERROR(AD169,0)+IFERROR(AE169,0)+IFERROR(AF169,0)+IFERROR(AG169,0),0)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IFERROR(H170+IFERROR(I170,0)+T170+IFERROR(AH170,0),0)</f>
        <v/>
      </c>
      <c r="V170" s="256" t="n"/>
      <c r="W170" s="257" t="n"/>
      <c r="X170" s="256" t="n"/>
      <c r="Y170" s="258" t="n"/>
      <c r="Z170" s="259" t="n"/>
      <c r="AA170" s="259" t="n"/>
      <c r="AB170" s="258" t="n"/>
      <c r="AC170" s="256" t="n"/>
      <c r="AD170" s="256" t="n"/>
      <c r="AE170" s="256" t="n"/>
      <c r="AF170" s="256" t="n"/>
      <c r="AG170" s="256" t="n"/>
      <c r="AH170" s="256">
        <f>IFERROR(IFERROR(V170,0)+IFERROR(AC170,0)+IFERROR(AD170,0)+IFERROR(AE170,0)+IFERROR(AF170,0)+IFERROR(AG170,0),0)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IFERROR(H171+IFERROR(I171,0)+T171+IFERROR(AH171,0),0)</f>
        <v/>
      </c>
      <c r="V171" s="256" t="n"/>
      <c r="W171" s="257" t="n"/>
      <c r="X171" s="256" t="n"/>
      <c r="Y171" s="258" t="n"/>
      <c r="Z171" s="259" t="n"/>
      <c r="AA171" s="259" t="n"/>
      <c r="AB171" s="258" t="n"/>
      <c r="AC171" s="256" t="n"/>
      <c r="AD171" s="256" t="n"/>
      <c r="AE171" s="256" t="n"/>
      <c r="AF171" s="256" t="n"/>
      <c r="AG171" s="256" t="n"/>
      <c r="AH171" s="256">
        <f>IFERROR(IFERROR(V171,0)+IFERROR(AC171,0)+IFERROR(AD171,0)+IFERROR(AE171,0)+IFERROR(AF171,0)+IFERROR(AG171,0),0)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IFERROR(H172+IFERROR(I172,0)+T172+IFERROR(AH172,0),0)</f>
        <v/>
      </c>
      <c r="V172" s="256" t="n"/>
      <c r="W172" s="257" t="n"/>
      <c r="X172" s="256" t="n"/>
      <c r="Y172" s="258" t="n"/>
      <c r="Z172" s="259" t="n"/>
      <c r="AA172" s="259" t="n"/>
      <c r="AB172" s="258" t="n"/>
      <c r="AC172" s="256" t="n"/>
      <c r="AD172" s="256" t="n"/>
      <c r="AE172" s="256" t="n"/>
      <c r="AF172" s="256" t="n"/>
      <c r="AG172" s="256" t="n"/>
      <c r="AH172" s="256">
        <f>IFERROR(IFERROR(V172,0)+IFERROR(AC172,0)+IFERROR(AD172,0)+IFERROR(AE172,0)+IFERROR(AF172,0)+IFERROR(AG172,0),0)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IFERROR(H173+IFERROR(I173,0)+T173+IFERROR(AH173,0),0)</f>
        <v/>
      </c>
      <c r="V173" s="256" t="n"/>
      <c r="W173" s="257" t="n"/>
      <c r="X173" s="256" t="n"/>
      <c r="Y173" s="258" t="n"/>
      <c r="Z173" s="259" t="n"/>
      <c r="AA173" s="259" t="n"/>
      <c r="AB173" s="258" t="n"/>
      <c r="AC173" s="256" t="n"/>
      <c r="AD173" s="256" t="n"/>
      <c r="AE173" s="256" t="n"/>
      <c r="AF173" s="256" t="n"/>
      <c r="AG173" s="256" t="n"/>
      <c r="AH173" s="256">
        <f>IFERROR(IFERROR(V173,0)+IFERROR(AC173,0)+IFERROR(AD173,0)+IFERROR(AE173,0)+IFERROR(AF173,0)+IFERROR(AG173,0),0)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IFERROR(H174+IFERROR(I174,0)+T174+IFERROR(AH174,0),0)</f>
        <v/>
      </c>
      <c r="V174" s="256" t="n"/>
      <c r="W174" s="257" t="n"/>
      <c r="X174" s="256" t="n"/>
      <c r="Y174" s="258" t="n"/>
      <c r="Z174" s="259" t="n"/>
      <c r="AA174" s="259" t="n"/>
      <c r="AB174" s="258" t="n"/>
      <c r="AC174" s="256" t="n"/>
      <c r="AD174" s="256" t="n"/>
      <c r="AE174" s="256" t="n"/>
      <c r="AF174" s="256" t="n"/>
      <c r="AG174" s="256" t="n"/>
      <c r="AH174" s="256">
        <f>IFERROR(IFERROR(V174,0)+IFERROR(AC174,0)+IFERROR(AD174,0)+IFERROR(AE174,0)+IFERROR(AF174,0)+IFERROR(AG174,0),0)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IFERROR(H175+IFERROR(I175,0)+T175+IFERROR(AH175,0),0)</f>
        <v/>
      </c>
      <c r="V175" s="256" t="n"/>
      <c r="W175" s="257" t="n"/>
      <c r="X175" s="256" t="n"/>
      <c r="Y175" s="258" t="n"/>
      <c r="Z175" s="259" t="n"/>
      <c r="AA175" s="259" t="n"/>
      <c r="AB175" s="258" t="n"/>
      <c r="AC175" s="256" t="n"/>
      <c r="AD175" s="256" t="n"/>
      <c r="AE175" s="256" t="n"/>
      <c r="AF175" s="256" t="n"/>
      <c r="AG175" s="256" t="n"/>
      <c r="AH175" s="256">
        <f>IFERROR(IFERROR(V175,0)+IFERROR(AC175,0)+IFERROR(AD175,0)+IFERROR(AE175,0)+IFERROR(AF175,0)+IFERROR(AG175,0),0)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IFERROR(H176+IFERROR(I176,0)+T176+IFERROR(AH176,0),0)</f>
        <v/>
      </c>
      <c r="V176" s="256" t="n"/>
      <c r="W176" s="257" t="n"/>
      <c r="X176" s="256" t="n"/>
      <c r="Y176" s="258" t="n"/>
      <c r="Z176" s="259" t="n"/>
      <c r="AA176" s="259" t="n"/>
      <c r="AB176" s="258" t="n"/>
      <c r="AC176" s="256" t="n"/>
      <c r="AD176" s="256" t="n"/>
      <c r="AE176" s="256" t="n"/>
      <c r="AF176" s="256" t="n"/>
      <c r="AG176" s="256" t="n"/>
      <c r="AH176" s="256">
        <f>IFERROR(IFERROR(V176,0)+IFERROR(AC176,0)+IFERROR(AD176,0)+IFERROR(AE176,0)+IFERROR(AF176,0)+IFERROR(AG176,0),0)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IFERROR(H177+IFERROR(I177,0)+T177+IFERROR(AH177,0),0)</f>
        <v/>
      </c>
      <c r="V177" s="256" t="n"/>
      <c r="W177" s="257" t="n"/>
      <c r="X177" s="256" t="n"/>
      <c r="Y177" s="258" t="n"/>
      <c r="Z177" s="259" t="n"/>
      <c r="AA177" s="259" t="n"/>
      <c r="AB177" s="258" t="n"/>
      <c r="AC177" s="256" t="n"/>
      <c r="AD177" s="256" t="n"/>
      <c r="AE177" s="256" t="n"/>
      <c r="AF177" s="256" t="n"/>
      <c r="AG177" s="256" t="n"/>
      <c r="AH177" s="256">
        <f>IFERROR(IFERROR(V177,0)+IFERROR(AC177,0)+IFERROR(AD177,0)+IFERROR(AE177,0)+IFERROR(AF177,0)+IFERROR(AG177,0),0)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IFERROR(H178+IFERROR(I178,0)+T178+IFERROR(AH178,0),0)</f>
        <v/>
      </c>
      <c r="V178" s="256" t="n"/>
      <c r="W178" s="257" t="n"/>
      <c r="X178" s="256" t="n"/>
      <c r="Y178" s="258" t="n"/>
      <c r="Z178" s="259" t="n"/>
      <c r="AA178" s="259" t="n"/>
      <c r="AB178" s="258" t="n"/>
      <c r="AC178" s="256" t="n"/>
      <c r="AD178" s="256" t="n"/>
      <c r="AE178" s="256" t="n"/>
      <c r="AF178" s="256" t="n"/>
      <c r="AG178" s="256" t="n"/>
      <c r="AH178" s="256">
        <f>IFERROR(IFERROR(V178,0)+IFERROR(AC178,0)+IFERROR(AD178,0)+IFERROR(AE178,0)+IFERROR(AF178,0)+IFERROR(AG178,0),0)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IFERROR(H179+IFERROR(I179,0)+T179+IFERROR(AH179,0),0)</f>
        <v/>
      </c>
      <c r="V179" s="256" t="n"/>
      <c r="W179" s="257" t="n"/>
      <c r="X179" s="256" t="n"/>
      <c r="Y179" s="258" t="n"/>
      <c r="Z179" s="259" t="n"/>
      <c r="AA179" s="259" t="n"/>
      <c r="AB179" s="258" t="n"/>
      <c r="AC179" s="256" t="n"/>
      <c r="AD179" s="256" t="n"/>
      <c r="AE179" s="256" t="n"/>
      <c r="AF179" s="256" t="n"/>
      <c r="AG179" s="256" t="n"/>
      <c r="AH179" s="256">
        <f>IFERROR(IFERROR(V179,0)+IFERROR(AC179,0)+IFERROR(AD179,0)+IFERROR(AE179,0)+IFERROR(AF179,0)+IFERROR(AG179,0),0)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IFERROR(H180+IFERROR(I180,0)+T180+IFERROR(AH180,0),0)</f>
        <v/>
      </c>
      <c r="V180" s="256" t="n"/>
      <c r="W180" s="257" t="n"/>
      <c r="X180" s="256" t="n"/>
      <c r="Y180" s="258" t="n"/>
      <c r="Z180" s="259" t="n"/>
      <c r="AA180" s="259" t="n"/>
      <c r="AB180" s="258" t="n"/>
      <c r="AC180" s="256" t="n"/>
      <c r="AD180" s="256" t="n"/>
      <c r="AE180" s="256" t="n"/>
      <c r="AF180" s="256" t="n"/>
      <c r="AG180" s="256" t="n"/>
      <c r="AH180" s="256">
        <f>IFERROR(IFERROR(V180,0)+IFERROR(AC180,0)+IFERROR(AD180,0)+IFERROR(AE180,0)+IFERROR(AF180,0)+IFERROR(AG180,0),0)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IFERROR(H181+IFERROR(I181,0)+T181+IFERROR(AH181,0),0)</f>
        <v/>
      </c>
      <c r="V181" s="256" t="n"/>
      <c r="W181" s="257" t="n"/>
      <c r="X181" s="256" t="n"/>
      <c r="Y181" s="258" t="n"/>
      <c r="Z181" s="259" t="n"/>
      <c r="AA181" s="259" t="n"/>
      <c r="AB181" s="258" t="n"/>
      <c r="AC181" s="256" t="n"/>
      <c r="AD181" s="256" t="n"/>
      <c r="AE181" s="256" t="n"/>
      <c r="AF181" s="256" t="n"/>
      <c r="AG181" s="256" t="n"/>
      <c r="AH181" s="256">
        <f>IFERROR(IFERROR(V181,0)+IFERROR(AC181,0)+IFERROR(AD181,0)+IFERROR(AE181,0)+IFERROR(AF181,0)+IFERROR(AG181,0),0)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IFERROR(H182+IFERROR(I182,0)+T182+IFERROR(AH182,0),0)</f>
        <v/>
      </c>
      <c r="V182" s="256" t="n"/>
      <c r="W182" s="257" t="n"/>
      <c r="X182" s="256" t="n"/>
      <c r="Y182" s="258" t="n"/>
      <c r="Z182" s="259" t="n"/>
      <c r="AA182" s="259" t="n"/>
      <c r="AB182" s="258" t="n"/>
      <c r="AC182" s="256" t="n"/>
      <c r="AD182" s="256" t="n"/>
      <c r="AE182" s="256" t="n"/>
      <c r="AF182" s="256" t="n"/>
      <c r="AG182" s="256" t="n"/>
      <c r="AH182" s="256">
        <f>IFERROR(IFERROR(V182,0)+IFERROR(AC182,0)+IFERROR(AD182,0)+IFERROR(AE182,0)+IFERROR(AF182,0)+IFERROR(AG182,0),0)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IFERROR(H183+IFERROR(I183,0)+T183+IFERROR(AH183,0),0)</f>
        <v/>
      </c>
      <c r="V183" s="256" t="n"/>
      <c r="W183" s="257" t="n"/>
      <c r="X183" s="256" t="n"/>
      <c r="Y183" s="258" t="n"/>
      <c r="Z183" s="259" t="n"/>
      <c r="AA183" s="259" t="n"/>
      <c r="AB183" s="258" t="n"/>
      <c r="AC183" s="256" t="n"/>
      <c r="AD183" s="256" t="n"/>
      <c r="AE183" s="256" t="n"/>
      <c r="AF183" s="256" t="n"/>
      <c r="AG183" s="256" t="n"/>
      <c r="AH183" s="256">
        <f>IFERROR(IFERROR(V183,0)+IFERROR(AC183,0)+IFERROR(AD183,0)+IFERROR(AE183,0)+IFERROR(AF183,0)+IFERROR(AG183,0),0)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IFERROR(H184+IFERROR(I184,0)+T184+IFERROR(AH184,0),0)</f>
        <v/>
      </c>
      <c r="V184" s="256" t="n"/>
      <c r="W184" s="257" t="n"/>
      <c r="X184" s="256" t="n"/>
      <c r="Y184" s="258" t="n"/>
      <c r="Z184" s="259" t="n"/>
      <c r="AA184" s="259" t="n"/>
      <c r="AB184" s="258" t="n"/>
      <c r="AC184" s="256" t="n"/>
      <c r="AD184" s="256" t="n"/>
      <c r="AE184" s="256" t="n"/>
      <c r="AF184" s="256" t="n"/>
      <c r="AG184" s="256" t="n"/>
      <c r="AH184" s="256">
        <f>IFERROR(IFERROR(V184,0)+IFERROR(AC184,0)+IFERROR(AD184,0)+IFERROR(AE184,0)+IFERROR(AF184,0)+IFERROR(AG184,0),0)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IFERROR(H185+IFERROR(I185,0)+T185+IFERROR(AH185,0),0)</f>
        <v/>
      </c>
      <c r="V185" s="256" t="n"/>
      <c r="W185" s="257" t="n"/>
      <c r="X185" s="256" t="n"/>
      <c r="Y185" s="258" t="n"/>
      <c r="Z185" s="259" t="n"/>
      <c r="AA185" s="259" t="n"/>
      <c r="AB185" s="258" t="n"/>
      <c r="AC185" s="256" t="n"/>
      <c r="AD185" s="256" t="n"/>
      <c r="AE185" s="256" t="n"/>
      <c r="AF185" s="256" t="n"/>
      <c r="AG185" s="256" t="n"/>
      <c r="AH185" s="256">
        <f>IFERROR(IFERROR(V185,0)+IFERROR(AC185,0)+IFERROR(AD185,0)+IFERROR(AE185,0)+IFERROR(AF185,0)+IFERROR(AG185,0),0)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IFERROR(H186+IFERROR(I186,0)+T186+IFERROR(AH186,0),0)</f>
        <v/>
      </c>
      <c r="V186" s="256" t="n"/>
      <c r="W186" s="257" t="n"/>
      <c r="X186" s="256" t="n"/>
      <c r="Y186" s="258" t="n"/>
      <c r="Z186" s="259" t="n"/>
      <c r="AA186" s="259" t="n"/>
      <c r="AB186" s="258" t="n"/>
      <c r="AC186" s="256" t="n"/>
      <c r="AD186" s="256" t="n"/>
      <c r="AE186" s="256" t="n"/>
      <c r="AF186" s="256" t="n"/>
      <c r="AG186" s="256" t="n"/>
      <c r="AH186" s="256">
        <f>IFERROR(IFERROR(V186,0)+IFERROR(AC186,0)+IFERROR(AD186,0)+IFERROR(AE186,0)+IFERROR(AF186,0)+IFERROR(AG186,0),0)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IFERROR(H187+IFERROR(I187,0)+T187+IFERROR(AH187,0),0)</f>
        <v/>
      </c>
      <c r="V187" s="256" t="n"/>
      <c r="W187" s="257" t="n"/>
      <c r="X187" s="256" t="n"/>
      <c r="Y187" s="258" t="n"/>
      <c r="Z187" s="259" t="n"/>
      <c r="AA187" s="259" t="n"/>
      <c r="AB187" s="258" t="n"/>
      <c r="AC187" s="256" t="n"/>
      <c r="AD187" s="256" t="n"/>
      <c r="AE187" s="256" t="n"/>
      <c r="AF187" s="256" t="n"/>
      <c r="AG187" s="256" t="n"/>
      <c r="AH187" s="256">
        <f>IFERROR(IFERROR(V187,0)+IFERROR(AC187,0)+IFERROR(AD187,0)+IFERROR(AE187,0)+IFERROR(AF187,0)+IFERROR(AG187,0),0)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IFERROR(H188+IFERROR(I188,0)+T188+IFERROR(AH188,0),0)</f>
        <v/>
      </c>
      <c r="V188" s="256" t="n"/>
      <c r="W188" s="257" t="n"/>
      <c r="X188" s="256" t="n"/>
      <c r="Y188" s="258" t="n"/>
      <c r="Z188" s="259" t="n"/>
      <c r="AA188" s="259" t="n"/>
      <c r="AB188" s="258" t="n"/>
      <c r="AC188" s="256" t="n"/>
      <c r="AD188" s="256" t="n"/>
      <c r="AE188" s="256" t="n"/>
      <c r="AF188" s="256" t="n"/>
      <c r="AG188" s="256" t="n"/>
      <c r="AH188" s="256">
        <f>IFERROR(IFERROR(V188,0)+IFERROR(AC188,0)+IFERROR(AD188,0)+IFERROR(AE188,0)+IFERROR(AF188,0)+IFERROR(AG188,0),0)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IFERROR(H189+IFERROR(I189,0)+T189+IFERROR(AH189,0),0)</f>
        <v/>
      </c>
      <c r="V189" s="256" t="n"/>
      <c r="W189" s="257" t="n"/>
      <c r="X189" s="256" t="n"/>
      <c r="Y189" s="258" t="n"/>
      <c r="Z189" s="259" t="n"/>
      <c r="AA189" s="259" t="n"/>
      <c r="AB189" s="258" t="n"/>
      <c r="AC189" s="256" t="n"/>
      <c r="AD189" s="256" t="n"/>
      <c r="AE189" s="256" t="n"/>
      <c r="AF189" s="256" t="n"/>
      <c r="AG189" s="256" t="n"/>
      <c r="AH189" s="256">
        <f>IFERROR(IFERROR(V189,0)+IFERROR(AC189,0)+IFERROR(AD189,0)+IFERROR(AE189,0)+IFERROR(AF189,0)+IFERROR(AG189,0),0)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IFERROR(H190+IFERROR(I190,0)+T190+IFERROR(AH190,0),0)</f>
        <v/>
      </c>
      <c r="V190" s="256" t="n"/>
      <c r="W190" s="257" t="n"/>
      <c r="X190" s="256" t="n"/>
      <c r="Y190" s="258" t="n"/>
      <c r="Z190" s="259" t="n"/>
      <c r="AA190" s="259" t="n"/>
      <c r="AB190" s="258" t="n"/>
      <c r="AC190" s="256" t="n"/>
      <c r="AD190" s="256" t="n"/>
      <c r="AE190" s="256" t="n"/>
      <c r="AF190" s="256" t="n"/>
      <c r="AG190" s="256" t="n"/>
      <c r="AH190" s="256">
        <f>IFERROR(IFERROR(V190,0)+IFERROR(AC190,0)+IFERROR(AD190,0)+IFERROR(AE190,0)+IFERROR(AF190,0)+IFERROR(AG190,0),0)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IFERROR(H191+IFERROR(I191,0)+T191+IFERROR(AH191,0),0)</f>
        <v/>
      </c>
      <c r="V191" s="256" t="n"/>
      <c r="W191" s="257" t="n"/>
      <c r="X191" s="256" t="n"/>
      <c r="Y191" s="258" t="n"/>
      <c r="Z191" s="259" t="n"/>
      <c r="AA191" s="259" t="n"/>
      <c r="AB191" s="258" t="n"/>
      <c r="AC191" s="256" t="n"/>
      <c r="AD191" s="256" t="n"/>
      <c r="AE191" s="256" t="n"/>
      <c r="AF191" s="256" t="n"/>
      <c r="AG191" s="256" t="n"/>
      <c r="AH191" s="256">
        <f>IFERROR(IFERROR(V191,0)+IFERROR(AC191,0)+IFERROR(AD191,0)+IFERROR(AE191,0)+IFERROR(AF191,0)+IFERROR(AG191,0),0)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IFERROR(H192+IFERROR(I192,0)+T192+IFERROR(AH192,0),0)</f>
        <v/>
      </c>
      <c r="V192" s="256" t="n"/>
      <c r="W192" s="257" t="n"/>
      <c r="X192" s="256" t="n"/>
      <c r="Y192" s="258" t="n"/>
      <c r="Z192" s="259" t="n"/>
      <c r="AA192" s="259" t="n"/>
      <c r="AB192" s="258" t="n"/>
      <c r="AC192" s="256" t="n"/>
      <c r="AD192" s="256" t="n"/>
      <c r="AE192" s="256" t="n"/>
      <c r="AF192" s="256" t="n"/>
      <c r="AG192" s="256" t="n"/>
      <c r="AH192" s="256">
        <f>IFERROR(IFERROR(V192,0)+IFERROR(AC192,0)+IFERROR(AD192,0)+IFERROR(AE192,0)+IFERROR(AF192,0)+IFERROR(AG192,0),0)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IFERROR(H193+IFERROR(I193,0)+T193+IFERROR(AH193,0),0)</f>
        <v/>
      </c>
      <c r="V193" s="256" t="n"/>
      <c r="W193" s="257" t="n"/>
      <c r="X193" s="256" t="n"/>
      <c r="Y193" s="258" t="n"/>
      <c r="Z193" s="259" t="n"/>
      <c r="AA193" s="259" t="n"/>
      <c r="AB193" s="258" t="n"/>
      <c r="AC193" s="256" t="n"/>
      <c r="AD193" s="256" t="n"/>
      <c r="AE193" s="256" t="n"/>
      <c r="AF193" s="256" t="n"/>
      <c r="AG193" s="256" t="n"/>
      <c r="AH193" s="256">
        <f>IFERROR(IFERROR(V193,0)+IFERROR(AC193,0)+IFERROR(AD193,0)+IFERROR(AE193,0)+IFERROR(AF193,0)+IFERROR(AG193,0),0)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IFERROR(H194+IFERROR(I194,0)+T194+IFERROR(AH194,0),0)</f>
        <v/>
      </c>
      <c r="V194" s="256" t="n"/>
      <c r="W194" s="257" t="n"/>
      <c r="X194" s="256" t="n"/>
      <c r="Y194" s="258" t="n"/>
      <c r="Z194" s="259" t="n"/>
      <c r="AA194" s="259" t="n"/>
      <c r="AB194" s="258" t="n"/>
      <c r="AC194" s="256" t="n"/>
      <c r="AD194" s="256" t="n"/>
      <c r="AE194" s="256" t="n"/>
      <c r="AF194" s="256" t="n"/>
      <c r="AG194" s="256" t="n"/>
      <c r="AH194" s="256">
        <f>IFERROR(IFERROR(V194,0)+IFERROR(AC194,0)+IFERROR(AD194,0)+IFERROR(AE194,0)+IFERROR(AF194,0)+IFERROR(AG194,0),0)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IFERROR(H195+IFERROR(I195,0)+T195+IFERROR(AH195,0),0)</f>
        <v/>
      </c>
      <c r="V195" s="256" t="n"/>
      <c r="W195" s="257" t="n"/>
      <c r="X195" s="256" t="n"/>
      <c r="Y195" s="258" t="n"/>
      <c r="Z195" s="259" t="n"/>
      <c r="AA195" s="259" t="n"/>
      <c r="AB195" s="258" t="n"/>
      <c r="AC195" s="256" t="n"/>
      <c r="AD195" s="256" t="n"/>
      <c r="AE195" s="256" t="n"/>
      <c r="AF195" s="256" t="n"/>
      <c r="AG195" s="256" t="n"/>
      <c r="AH195" s="256">
        <f>IFERROR(IFERROR(V195,0)+IFERROR(AC195,0)+IFERROR(AD195,0)+IFERROR(AE195,0)+IFERROR(AF195,0)+IFERROR(AG195,0),0)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IFERROR(H196+IFERROR(I196,0)+T196+IFERROR(AH196,0),0)</f>
        <v/>
      </c>
      <c r="V196" s="256" t="n"/>
      <c r="W196" s="257" t="n"/>
      <c r="X196" s="256" t="n"/>
      <c r="Y196" s="258" t="n"/>
      <c r="Z196" s="259" t="n"/>
      <c r="AA196" s="259" t="n"/>
      <c r="AB196" s="258" t="n"/>
      <c r="AC196" s="256" t="n"/>
      <c r="AD196" s="256" t="n"/>
      <c r="AE196" s="256" t="n"/>
      <c r="AF196" s="256" t="n"/>
      <c r="AG196" s="256" t="n"/>
      <c r="AH196" s="256">
        <f>IFERROR(IFERROR(V196,0)+IFERROR(AC196,0)+IFERROR(AD196,0)+IFERROR(AE196,0)+IFERROR(AF196,0)+IFERROR(AG196,0),0)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IFERROR(H197+IFERROR(I197,0)+T197+IFERROR(AH197,0),0)</f>
        <v/>
      </c>
      <c r="V197" s="256" t="n"/>
      <c r="W197" s="257" t="n"/>
      <c r="X197" s="256" t="n"/>
      <c r="Y197" s="258" t="n"/>
      <c r="Z197" s="259" t="n"/>
      <c r="AA197" s="259" t="n"/>
      <c r="AB197" s="258" t="n"/>
      <c r="AC197" s="256" t="n"/>
      <c r="AD197" s="256" t="n"/>
      <c r="AE197" s="256" t="n"/>
      <c r="AF197" s="256" t="n"/>
      <c r="AG197" s="256" t="n"/>
      <c r="AH197" s="256">
        <f>IFERROR(IFERROR(V197,0)+IFERROR(AC197,0)+IFERROR(AD197,0)+IFERROR(AE197,0)+IFERROR(AF197,0)+IFERROR(AG197,0),0)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IFERROR(H198+IFERROR(I198,0)+T198+IFERROR(AH198,0),0)</f>
        <v/>
      </c>
      <c r="V198" s="256" t="n"/>
      <c r="W198" s="257" t="n"/>
      <c r="X198" s="256" t="n"/>
      <c r="Y198" s="258" t="n"/>
      <c r="Z198" s="259" t="n"/>
      <c r="AA198" s="259" t="n"/>
      <c r="AB198" s="258" t="n"/>
      <c r="AC198" s="256" t="n"/>
      <c r="AD198" s="256" t="n"/>
      <c r="AE198" s="256" t="n"/>
      <c r="AF198" s="256" t="n"/>
      <c r="AG198" s="256" t="n"/>
      <c r="AH198" s="256">
        <f>IFERROR(IFERROR(V198,0)+IFERROR(AC198,0)+IFERROR(AD198,0)+IFERROR(AE198,0)+IFERROR(AF198,0)+IFERROR(AG198,0),0)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IFERROR(H199+IFERROR(I199,0)+T199+IFERROR(AH199,0),0)</f>
        <v/>
      </c>
      <c r="V199" s="256" t="n"/>
      <c r="W199" s="257" t="n"/>
      <c r="X199" s="256" t="n"/>
      <c r="Y199" s="258" t="n"/>
      <c r="Z199" s="259" t="n"/>
      <c r="AA199" s="259" t="n"/>
      <c r="AB199" s="258" t="n"/>
      <c r="AC199" s="256" t="n"/>
      <c r="AD199" s="256" t="n"/>
      <c r="AE199" s="256" t="n"/>
      <c r="AF199" s="256" t="n"/>
      <c r="AG199" s="256" t="n"/>
      <c r="AH199" s="256">
        <f>IFERROR(IFERROR(V199,0)+IFERROR(AC199,0)+IFERROR(AD199,0)+IFERROR(AE199,0)+IFERROR(AF199,0)+IFERROR(AG199,0),0)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IFERROR(H200+IFERROR(I200,0)+T200+IFERROR(AH200,0),0)</f>
        <v/>
      </c>
      <c r="V200" s="256" t="n"/>
      <c r="W200" s="257" t="n"/>
      <c r="X200" s="256" t="n"/>
      <c r="Y200" s="258" t="n"/>
      <c r="Z200" s="259" t="n"/>
      <c r="AA200" s="259" t="n"/>
      <c r="AB200" s="258" t="n"/>
      <c r="AC200" s="256" t="n"/>
      <c r="AD200" s="256" t="n"/>
      <c r="AE200" s="256" t="n"/>
      <c r="AF200" s="256" t="n"/>
      <c r="AG200" s="256" t="n"/>
      <c r="AH200" s="256">
        <f>IFERROR(IFERROR(V200,0)+IFERROR(AC200,0)+IFERROR(AD200,0)+IFERROR(AE200,0)+IFERROR(AF200,0)+IFERROR(AG200,0),0)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IFERROR(H201+IFERROR(I201,0)+T201+IFERROR(AH201,0),0)</f>
        <v/>
      </c>
      <c r="V201" s="256" t="n"/>
      <c r="W201" s="257" t="n"/>
      <c r="X201" s="256" t="n"/>
      <c r="Y201" s="258" t="n"/>
      <c r="Z201" s="259" t="n"/>
      <c r="AA201" s="259" t="n"/>
      <c r="AB201" s="258" t="n"/>
      <c r="AC201" s="256" t="n"/>
      <c r="AD201" s="256" t="n"/>
      <c r="AE201" s="256" t="n"/>
      <c r="AF201" s="256" t="n"/>
      <c r="AG201" s="256" t="n"/>
      <c r="AH201" s="256">
        <f>IFERROR(IFERROR(V201,0)+IFERROR(AC201,0)+IFERROR(AD201,0)+IFERROR(AE201,0)+IFERROR(AF201,0)+IFERROR(AG201,0),0)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IFERROR(H202+IFERROR(I202,0)+T202+IFERROR(AH202,0),0)</f>
        <v/>
      </c>
      <c r="V202" s="256" t="n"/>
      <c r="W202" s="257" t="n"/>
      <c r="X202" s="256" t="n"/>
      <c r="Y202" s="258" t="n"/>
      <c r="Z202" s="259" t="n"/>
      <c r="AA202" s="259" t="n"/>
      <c r="AB202" s="258" t="n"/>
      <c r="AC202" s="256" t="n"/>
      <c r="AD202" s="256" t="n"/>
      <c r="AE202" s="256" t="n"/>
      <c r="AF202" s="256" t="n"/>
      <c r="AG202" s="256" t="n"/>
      <c r="AH202" s="256">
        <f>IFERROR(IFERROR(V202,0)+IFERROR(AC202,0)+IFERROR(AD202,0)+IFERROR(AE202,0)+IFERROR(AF202,0)+IFERROR(AG202,0),0)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IFERROR(H203+IFERROR(I203,0)+T203+IFERROR(AH203,0),0)</f>
        <v/>
      </c>
      <c r="V203" s="256" t="n"/>
      <c r="W203" s="257" t="n"/>
      <c r="X203" s="256" t="n"/>
      <c r="Y203" s="258" t="n"/>
      <c r="Z203" s="259" t="n"/>
      <c r="AA203" s="259" t="n"/>
      <c r="AB203" s="258" t="n"/>
      <c r="AC203" s="256" t="n"/>
      <c r="AD203" s="256" t="n"/>
      <c r="AE203" s="256" t="n"/>
      <c r="AF203" s="256" t="n"/>
      <c r="AG203" s="256" t="n"/>
      <c r="AH203" s="256">
        <f>IFERROR(IFERROR(V203,0)+IFERROR(AC203,0)+IFERROR(AD203,0)+IFERROR(AE203,0)+IFERROR(AF203,0)+IFERROR(AG203,0),0)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IFERROR(H204+IFERROR(I204,0)+T204+IFERROR(AH204,0),0)</f>
        <v/>
      </c>
      <c r="V204" s="256" t="n"/>
      <c r="W204" s="257" t="n"/>
      <c r="X204" s="256" t="n"/>
      <c r="Y204" s="258" t="n"/>
      <c r="Z204" s="259" t="n"/>
      <c r="AA204" s="259" t="n"/>
      <c r="AB204" s="258" t="n"/>
      <c r="AC204" s="256" t="n"/>
      <c r="AD204" s="256" t="n"/>
      <c r="AE204" s="256" t="n"/>
      <c r="AF204" s="256" t="n"/>
      <c r="AG204" s="256" t="n"/>
      <c r="AH204" s="256">
        <f>IFERROR(IFERROR(V204,0)+IFERROR(AC204,0)+IFERROR(AD204,0)+IFERROR(AE204,0)+IFERROR(AF204,0)+IFERROR(AG204,0),0)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IFERROR(H205+IFERROR(I205,0)+T205+IFERROR(AH205,0),0)</f>
        <v/>
      </c>
      <c r="V205" s="256" t="n"/>
      <c r="W205" s="257" t="n"/>
      <c r="X205" s="256" t="n"/>
      <c r="Y205" s="258" t="n"/>
      <c r="Z205" s="259" t="n"/>
      <c r="AA205" s="259" t="n"/>
      <c r="AB205" s="258" t="n"/>
      <c r="AC205" s="256" t="n"/>
      <c r="AD205" s="256" t="n"/>
      <c r="AE205" s="256" t="n"/>
      <c r="AF205" s="256" t="n"/>
      <c r="AG205" s="256" t="n"/>
      <c r="AH205" s="256">
        <f>IFERROR(IFERROR(V205,0)+IFERROR(AC205,0)+IFERROR(AD205,0)+IFERROR(AE205,0)+IFERROR(AF205,0)+IFERROR(AG205,0),0)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IFERROR(H206+IFERROR(I206,0)+T206+IFERROR(AH206,0),0)</f>
        <v/>
      </c>
      <c r="V206" s="256" t="n"/>
      <c r="W206" s="257" t="n"/>
      <c r="X206" s="256" t="n"/>
      <c r="Y206" s="258" t="n"/>
      <c r="Z206" s="259" t="n"/>
      <c r="AA206" s="259" t="n"/>
      <c r="AB206" s="258" t="n"/>
      <c r="AC206" s="256" t="n"/>
      <c r="AD206" s="256" t="n"/>
      <c r="AE206" s="256" t="n"/>
      <c r="AF206" s="256" t="n"/>
      <c r="AG206" s="256" t="n"/>
      <c r="AH206" s="256">
        <f>IFERROR(IFERROR(V206,0)+IFERROR(AC206,0)+IFERROR(AD206,0)+IFERROR(AE206,0)+IFERROR(AF206,0)+IFERROR(AG206,0),0)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IFERROR(H207+IFERROR(I207,0)+T207+IFERROR(AH207,0),0)</f>
        <v/>
      </c>
      <c r="V207" s="256" t="n"/>
      <c r="W207" s="257" t="n"/>
      <c r="X207" s="256" t="n"/>
      <c r="Y207" s="258" t="n"/>
      <c r="Z207" s="259" t="n"/>
      <c r="AA207" s="259" t="n"/>
      <c r="AB207" s="258" t="n"/>
      <c r="AC207" s="256" t="n"/>
      <c r="AD207" s="256" t="n"/>
      <c r="AE207" s="256" t="n"/>
      <c r="AF207" s="256" t="n"/>
      <c r="AG207" s="256" t="n"/>
      <c r="AH207" s="256">
        <f>IFERROR(IFERROR(V207,0)+IFERROR(AC207,0)+IFERROR(AD207,0)+IFERROR(AE207,0)+IFERROR(AF207,0)+IFERROR(AG207,0),0)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IFERROR(H208+IFERROR(I208,0)+T208+IFERROR(AH208,0),0)</f>
        <v/>
      </c>
      <c r="V208" s="256" t="n"/>
      <c r="W208" s="257" t="n"/>
      <c r="X208" s="256" t="n"/>
      <c r="Y208" s="258" t="n"/>
      <c r="Z208" s="259" t="n"/>
      <c r="AA208" s="259" t="n"/>
      <c r="AB208" s="258" t="n"/>
      <c r="AC208" s="256" t="n"/>
      <c r="AD208" s="256" t="n"/>
      <c r="AE208" s="256" t="n"/>
      <c r="AF208" s="256" t="n"/>
      <c r="AG208" s="256" t="n"/>
      <c r="AH208" s="256">
        <f>IFERROR(IFERROR(V208,0)+IFERROR(AC208,0)+IFERROR(AD208,0)+IFERROR(AE208,0)+IFERROR(AF208,0)+IFERROR(AG208,0),0)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IFERROR(H209+IFERROR(I209,0)+T209+IFERROR(AH209,0),0)</f>
        <v/>
      </c>
      <c r="V209" s="256" t="n"/>
      <c r="W209" s="257" t="n"/>
      <c r="X209" s="256" t="n"/>
      <c r="Y209" s="258" t="n"/>
      <c r="Z209" s="259" t="n"/>
      <c r="AA209" s="259" t="n"/>
      <c r="AB209" s="258" t="n"/>
      <c r="AC209" s="256" t="n"/>
      <c r="AD209" s="256" t="n"/>
      <c r="AE209" s="256" t="n"/>
      <c r="AF209" s="256" t="n"/>
      <c r="AG209" s="256" t="n"/>
      <c r="AH209" s="256">
        <f>IFERROR(IFERROR(V209,0)+IFERROR(AC209,0)+IFERROR(AD209,0)+IFERROR(AE209,0)+IFERROR(AF209,0)+IFERROR(AG209,0),0)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IFERROR(H210+IFERROR(I210,0)+T210+IFERROR(AH210,0),0)</f>
        <v/>
      </c>
      <c r="V210" s="256" t="n"/>
      <c r="W210" s="257" t="n"/>
      <c r="X210" s="256" t="n"/>
      <c r="Y210" s="258" t="n"/>
      <c r="Z210" s="259" t="n"/>
      <c r="AA210" s="259" t="n"/>
      <c r="AB210" s="258" t="n"/>
      <c r="AC210" s="256" t="n"/>
      <c r="AD210" s="256" t="n"/>
      <c r="AE210" s="256" t="n"/>
      <c r="AF210" s="256" t="n"/>
      <c r="AG210" s="256" t="n"/>
      <c r="AH210" s="256">
        <f>IFERROR(IFERROR(V210,0)+IFERROR(AC210,0)+IFERROR(AD210,0)+IFERROR(AE210,0)+IFERROR(AF210,0)+IFERROR(AG210,0),0)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IFERROR(H211+IFERROR(I211,0)+T211+IFERROR(AH211,0),0)</f>
        <v/>
      </c>
      <c r="V211" s="256" t="n"/>
      <c r="W211" s="257" t="n"/>
      <c r="X211" s="256" t="n"/>
      <c r="Y211" s="258" t="n"/>
      <c r="Z211" s="259" t="n"/>
      <c r="AA211" s="259" t="n"/>
      <c r="AB211" s="258" t="n"/>
      <c r="AC211" s="256" t="n"/>
      <c r="AD211" s="256" t="n"/>
      <c r="AE211" s="256" t="n"/>
      <c r="AF211" s="256" t="n"/>
      <c r="AG211" s="256" t="n"/>
      <c r="AH211" s="256">
        <f>IFERROR(IFERROR(V211,0)+IFERROR(AC211,0)+IFERROR(AD211,0)+IFERROR(AE211,0)+IFERROR(AF211,0)+IFERROR(AG211,0),0)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IFERROR(H212+IFERROR(I212,0)+T212+IFERROR(AH212,0),0)</f>
        <v/>
      </c>
      <c r="V212" s="256" t="n"/>
      <c r="W212" s="257" t="n"/>
      <c r="X212" s="256" t="n"/>
      <c r="Y212" s="258" t="n"/>
      <c r="Z212" s="259" t="n"/>
      <c r="AA212" s="259" t="n"/>
      <c r="AB212" s="258" t="n"/>
      <c r="AC212" s="256" t="n"/>
      <c r="AD212" s="256" t="n"/>
      <c r="AE212" s="256" t="n"/>
      <c r="AF212" s="256" t="n"/>
      <c r="AG212" s="256" t="n"/>
      <c r="AH212" s="256">
        <f>IFERROR(IFERROR(V212,0)+IFERROR(AC212,0)+IFERROR(AD212,0)+IFERROR(AE212,0)+IFERROR(AF212,0)+IFERROR(AG212,0),0)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IFERROR(H213+IFERROR(I213,0)+T213+IFERROR(AH213,0),0)</f>
        <v/>
      </c>
      <c r="V213" s="256" t="n"/>
      <c r="W213" s="257" t="n"/>
      <c r="X213" s="256" t="n"/>
      <c r="Y213" s="258" t="n"/>
      <c r="Z213" s="259" t="n"/>
      <c r="AA213" s="259" t="n"/>
      <c r="AB213" s="258" t="n"/>
      <c r="AC213" s="256" t="n"/>
      <c r="AD213" s="256" t="n"/>
      <c r="AE213" s="256" t="n"/>
      <c r="AF213" s="256" t="n"/>
      <c r="AG213" s="256" t="n"/>
      <c r="AH213" s="256">
        <f>IFERROR(IFERROR(V213,0)+IFERROR(AC213,0)+IFERROR(AD213,0)+IFERROR(AE213,0)+IFERROR(AF213,0)+IFERROR(AG213,0),0)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IFERROR(H214+IFERROR(I214,0)+T214+IFERROR(AH214,0),0)</f>
        <v/>
      </c>
      <c r="V214" s="256" t="n"/>
      <c r="W214" s="257" t="n"/>
      <c r="X214" s="256" t="n"/>
      <c r="Y214" s="258" t="n"/>
      <c r="Z214" s="259" t="n"/>
      <c r="AA214" s="259" t="n"/>
      <c r="AB214" s="258" t="n"/>
      <c r="AC214" s="256" t="n"/>
      <c r="AD214" s="256" t="n"/>
      <c r="AE214" s="256" t="n"/>
      <c r="AF214" s="256" t="n"/>
      <c r="AG214" s="256" t="n"/>
      <c r="AH214" s="256">
        <f>IFERROR(IFERROR(V214,0)+IFERROR(AC214,0)+IFERROR(AD214,0)+IFERROR(AE214,0)+IFERROR(AF214,0)+IFERROR(AG214,0),0)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IFERROR(H215+IFERROR(I215,0)+T215+IFERROR(AH215,0),0)</f>
        <v/>
      </c>
      <c r="V215" s="256" t="n"/>
      <c r="W215" s="257" t="n"/>
      <c r="X215" s="256" t="n"/>
      <c r="Y215" s="258" t="n"/>
      <c r="Z215" s="259" t="n"/>
      <c r="AA215" s="259" t="n"/>
      <c r="AB215" s="258" t="n"/>
      <c r="AC215" s="256" t="n"/>
      <c r="AD215" s="256" t="n"/>
      <c r="AE215" s="256" t="n"/>
      <c r="AF215" s="256" t="n"/>
      <c r="AG215" s="256" t="n"/>
      <c r="AH215" s="256">
        <f>IFERROR(IFERROR(V215,0)+IFERROR(AC215,0)+IFERROR(AD215,0)+IFERROR(AE215,0)+IFERROR(AF215,0)+IFERROR(AG215,0),0)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IFERROR(H216+IFERROR(I216,0)+T216+IFERROR(AH216,0),0)</f>
        <v/>
      </c>
      <c r="V216" s="256" t="n"/>
      <c r="W216" s="257" t="n"/>
      <c r="X216" s="256" t="n"/>
      <c r="Y216" s="258" t="n"/>
      <c r="Z216" s="259" t="n"/>
      <c r="AA216" s="259" t="n"/>
      <c r="AB216" s="258" t="n"/>
      <c r="AC216" s="256" t="n"/>
      <c r="AD216" s="256" t="n"/>
      <c r="AE216" s="256" t="n"/>
      <c r="AF216" s="256" t="n"/>
      <c r="AG216" s="256" t="n"/>
      <c r="AH216" s="256">
        <f>IFERROR(IFERROR(V216,0)+IFERROR(AC216,0)+IFERROR(AD216,0)+IFERROR(AE216,0)+IFERROR(AF216,0)+IFERROR(AG216,0),0)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IFERROR(H217+IFERROR(I217,0)+T217+IFERROR(AH217,0),0)</f>
        <v/>
      </c>
      <c r="V217" s="256" t="n"/>
      <c r="W217" s="257" t="n"/>
      <c r="X217" s="256" t="n"/>
      <c r="Y217" s="258" t="n"/>
      <c r="Z217" s="259" t="n"/>
      <c r="AA217" s="259" t="n"/>
      <c r="AB217" s="258" t="n"/>
      <c r="AC217" s="256" t="n"/>
      <c r="AD217" s="256" t="n"/>
      <c r="AE217" s="256" t="n"/>
      <c r="AF217" s="256" t="n"/>
      <c r="AG217" s="256" t="n"/>
      <c r="AH217" s="256">
        <f>IFERROR(IFERROR(V217,0)+IFERROR(AC217,0)+IFERROR(AD217,0)+IFERROR(AE217,0)+IFERROR(AF217,0)+IFERROR(AG217,0),0)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IFERROR(H218+IFERROR(I218,0)+T218+IFERROR(AH218,0),0)</f>
        <v/>
      </c>
      <c r="V218" s="256" t="n"/>
      <c r="W218" s="257" t="n"/>
      <c r="X218" s="256" t="n"/>
      <c r="Y218" s="258" t="n"/>
      <c r="Z218" s="259" t="n"/>
      <c r="AA218" s="259" t="n"/>
      <c r="AB218" s="258" t="n"/>
      <c r="AC218" s="256" t="n"/>
      <c r="AD218" s="256" t="n"/>
      <c r="AE218" s="256" t="n"/>
      <c r="AF218" s="256" t="n"/>
      <c r="AG218" s="256" t="n"/>
      <c r="AH218" s="256">
        <f>IFERROR(IFERROR(V218,0)+IFERROR(AC218,0)+IFERROR(AD218,0)+IFERROR(AE218,0)+IFERROR(AF218,0)+IFERROR(AG218,0),0)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IFERROR(H219+IFERROR(I219,0)+T219+IFERROR(AH219,0),0)</f>
        <v/>
      </c>
      <c r="V219" s="256" t="n"/>
      <c r="W219" s="257" t="n"/>
      <c r="X219" s="256" t="n"/>
      <c r="Y219" s="258" t="n"/>
      <c r="Z219" s="259" t="n"/>
      <c r="AA219" s="259" t="n"/>
      <c r="AB219" s="258" t="n"/>
      <c r="AC219" s="256" t="n"/>
      <c r="AD219" s="256" t="n"/>
      <c r="AE219" s="256" t="n"/>
      <c r="AF219" s="256" t="n"/>
      <c r="AG219" s="256" t="n"/>
      <c r="AH219" s="256">
        <f>IFERROR(IFERROR(V219,0)+IFERROR(AC219,0)+IFERROR(AD219,0)+IFERROR(AE219,0)+IFERROR(AF219,0)+IFERROR(AG219,0),0)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IFERROR(H220+IFERROR(I220,0)+T220+IFERROR(AH220,0),0)</f>
        <v/>
      </c>
      <c r="V220" s="256" t="n"/>
      <c r="W220" s="257" t="n"/>
      <c r="X220" s="256" t="n"/>
      <c r="Y220" s="258" t="n"/>
      <c r="Z220" s="259" t="n"/>
      <c r="AA220" s="259" t="n"/>
      <c r="AB220" s="258" t="n"/>
      <c r="AC220" s="256" t="n"/>
      <c r="AD220" s="256" t="n"/>
      <c r="AE220" s="256" t="n"/>
      <c r="AF220" s="256" t="n"/>
      <c r="AG220" s="256" t="n"/>
      <c r="AH220" s="256">
        <f>IFERROR(IFERROR(V220,0)+IFERROR(AC220,0)+IFERROR(AD220,0)+IFERROR(AE220,0)+IFERROR(AF220,0)+IFERROR(AG220,0),0)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IFERROR(H221+IFERROR(I221,0)+T221+IFERROR(AH221,0),0)</f>
        <v/>
      </c>
      <c r="V221" s="256" t="n"/>
      <c r="W221" s="257" t="n"/>
      <c r="X221" s="256" t="n"/>
      <c r="Y221" s="258" t="n"/>
      <c r="Z221" s="259" t="n"/>
      <c r="AA221" s="259" t="n"/>
      <c r="AB221" s="258" t="n"/>
      <c r="AC221" s="256" t="n"/>
      <c r="AD221" s="256" t="n"/>
      <c r="AE221" s="256" t="n"/>
      <c r="AF221" s="256" t="n"/>
      <c r="AG221" s="256" t="n"/>
      <c r="AH221" s="256">
        <f>IFERROR(IFERROR(V221,0)+IFERROR(AC221,0)+IFERROR(AD221,0)+IFERROR(AE221,0)+IFERROR(AF221,0)+IFERROR(AG221,0),0)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IFERROR(H222+IFERROR(I222,0)+T222+IFERROR(AH222,0),0)</f>
        <v/>
      </c>
      <c r="V222" s="256" t="n"/>
      <c r="W222" s="257" t="n"/>
      <c r="X222" s="256" t="n"/>
      <c r="Y222" s="258" t="n"/>
      <c r="Z222" s="259" t="n"/>
      <c r="AA222" s="259" t="n"/>
      <c r="AB222" s="258" t="n"/>
      <c r="AC222" s="256" t="n"/>
      <c r="AD222" s="256" t="n"/>
      <c r="AE222" s="256" t="n"/>
      <c r="AF222" s="256" t="n"/>
      <c r="AG222" s="256" t="n"/>
      <c r="AH222" s="256">
        <f>IFERROR(IFERROR(V222,0)+IFERROR(AC222,0)+IFERROR(AD222,0)+IFERROR(AE222,0)+IFERROR(AF222,0)+IFERROR(AG222,0),0)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IFERROR(H223+IFERROR(I223,0)+T223+IFERROR(AH223,0),0)</f>
        <v/>
      </c>
      <c r="V223" s="256" t="n"/>
      <c r="W223" s="257" t="n"/>
      <c r="X223" s="256" t="n"/>
      <c r="Y223" s="258" t="n"/>
      <c r="Z223" s="259" t="n"/>
      <c r="AA223" s="259" t="n"/>
      <c r="AB223" s="258" t="n"/>
      <c r="AC223" s="256" t="n"/>
      <c r="AD223" s="256" t="n"/>
      <c r="AE223" s="256" t="n"/>
      <c r="AF223" s="256" t="n"/>
      <c r="AG223" s="256" t="n"/>
      <c r="AH223" s="256">
        <f>IFERROR(IFERROR(V223,0)+IFERROR(AC223,0)+IFERROR(AD223,0)+IFERROR(AE223,0)+IFERROR(AF223,0)+IFERROR(AG223,0),0)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IFERROR(H224+IFERROR(I224,0)+T224+IFERROR(AH224,0),0)</f>
        <v/>
      </c>
      <c r="V224" s="256" t="n"/>
      <c r="W224" s="257" t="n"/>
      <c r="X224" s="256" t="n"/>
      <c r="Y224" s="258" t="n"/>
      <c r="Z224" s="259" t="n"/>
      <c r="AA224" s="259" t="n"/>
      <c r="AB224" s="258" t="n"/>
      <c r="AC224" s="256" t="n"/>
      <c r="AD224" s="256" t="n"/>
      <c r="AE224" s="256" t="n"/>
      <c r="AF224" s="256" t="n"/>
      <c r="AG224" s="256" t="n"/>
      <c r="AH224" s="256">
        <f>IFERROR(IFERROR(V224,0)+IFERROR(AC224,0)+IFERROR(AD224,0)+IFERROR(AE224,0)+IFERROR(AF224,0)+IFERROR(AG224,0),0)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IFERROR(H225+IFERROR(I225,0)+T225+IFERROR(AH225,0),0)</f>
        <v/>
      </c>
      <c r="V225" s="256" t="n"/>
      <c r="W225" s="257" t="n"/>
      <c r="X225" s="256" t="n"/>
      <c r="Y225" s="258" t="n"/>
      <c r="Z225" s="259" t="n"/>
      <c r="AA225" s="259" t="n"/>
      <c r="AB225" s="258" t="n"/>
      <c r="AC225" s="256" t="n"/>
      <c r="AD225" s="256" t="n"/>
      <c r="AE225" s="256" t="n"/>
      <c r="AF225" s="256" t="n"/>
      <c r="AG225" s="256" t="n"/>
      <c r="AH225" s="256">
        <f>IFERROR(IFERROR(V225,0)+IFERROR(AC225,0)+IFERROR(AD225,0)+IFERROR(AE225,0)+IFERROR(AF225,0)+IFERROR(AG225,0),0)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IFERROR(H226+IFERROR(I226,0)+T226+IFERROR(AH226,0),0)</f>
        <v/>
      </c>
      <c r="V226" s="256" t="n"/>
      <c r="W226" s="257" t="n"/>
      <c r="X226" s="256" t="n"/>
      <c r="Y226" s="258" t="n"/>
      <c r="Z226" s="259" t="n"/>
      <c r="AA226" s="259" t="n"/>
      <c r="AB226" s="258" t="n"/>
      <c r="AC226" s="256" t="n"/>
      <c r="AD226" s="256" t="n"/>
      <c r="AE226" s="256" t="n"/>
      <c r="AF226" s="256" t="n"/>
      <c r="AG226" s="256" t="n"/>
      <c r="AH226" s="256">
        <f>IFERROR(IFERROR(V226,0)+IFERROR(AC226,0)+IFERROR(AD226,0)+IFERROR(AE226,0)+IFERROR(AF226,0)+IFERROR(AG226,0),0)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IFERROR(H227+IFERROR(I227,0)+T227+IFERROR(AH227,0),0)</f>
        <v/>
      </c>
      <c r="V227" s="256" t="n"/>
      <c r="W227" s="257" t="n"/>
      <c r="X227" s="256" t="n"/>
      <c r="Y227" s="258" t="n"/>
      <c r="Z227" s="259" t="n"/>
      <c r="AA227" s="259" t="n"/>
      <c r="AB227" s="258" t="n"/>
      <c r="AC227" s="256" t="n"/>
      <c r="AD227" s="256" t="n"/>
      <c r="AE227" s="256" t="n"/>
      <c r="AF227" s="256" t="n"/>
      <c r="AG227" s="256" t="n"/>
      <c r="AH227" s="256">
        <f>IFERROR(IFERROR(V227,0)+IFERROR(AC227,0)+IFERROR(AD227,0)+IFERROR(AE227,0)+IFERROR(AF227,0)+IFERROR(AG227,0),0)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IFERROR(H228+IFERROR(I228,0)+T228+IFERROR(AH228,0),0)</f>
        <v/>
      </c>
      <c r="V228" s="256" t="n"/>
      <c r="W228" s="257" t="n"/>
      <c r="X228" s="256" t="n"/>
      <c r="Y228" s="258" t="n"/>
      <c r="Z228" s="259" t="n"/>
      <c r="AA228" s="259" t="n"/>
      <c r="AB228" s="258" t="n"/>
      <c r="AC228" s="256" t="n"/>
      <c r="AD228" s="256" t="n"/>
      <c r="AE228" s="256" t="n"/>
      <c r="AF228" s="256" t="n"/>
      <c r="AG228" s="256" t="n"/>
      <c r="AH228" s="256">
        <f>IFERROR(IFERROR(V228,0)+IFERROR(AC228,0)+IFERROR(AD228,0)+IFERROR(AE228,0)+IFERROR(AF228,0)+IFERROR(AG228,0),0)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IFERROR(H229+IFERROR(I229,0)+T229+IFERROR(AH229,0),0)</f>
        <v/>
      </c>
      <c r="V229" s="256" t="n"/>
      <c r="W229" s="257" t="n"/>
      <c r="X229" s="256" t="n"/>
      <c r="Y229" s="258" t="n"/>
      <c r="Z229" s="259" t="n"/>
      <c r="AA229" s="259" t="n"/>
      <c r="AB229" s="258" t="n"/>
      <c r="AC229" s="256" t="n"/>
      <c r="AD229" s="256" t="n"/>
      <c r="AE229" s="256" t="n"/>
      <c r="AF229" s="256" t="n"/>
      <c r="AG229" s="256" t="n"/>
      <c r="AH229" s="256">
        <f>IFERROR(IFERROR(V229,0)+IFERROR(AC229,0)+IFERROR(AD229,0)+IFERROR(AE229,0)+IFERROR(AF229,0)+IFERROR(AG229,0),0)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IFERROR(H230+IFERROR(I230,0)+T230+IFERROR(AH230,0),0)</f>
        <v/>
      </c>
      <c r="V230" s="256" t="n"/>
      <c r="W230" s="257" t="n"/>
      <c r="X230" s="256" t="n"/>
      <c r="Y230" s="258" t="n"/>
      <c r="Z230" s="259" t="n"/>
      <c r="AA230" s="259" t="n"/>
      <c r="AB230" s="258" t="n"/>
      <c r="AC230" s="256" t="n"/>
      <c r="AD230" s="256" t="n"/>
      <c r="AE230" s="256" t="n"/>
      <c r="AF230" s="256" t="n"/>
      <c r="AG230" s="256" t="n"/>
      <c r="AH230" s="256">
        <f>IFERROR(IFERROR(V230,0)+IFERROR(AC230,0)+IFERROR(AD230,0)+IFERROR(AE230,0)+IFERROR(AF230,0)+IFERROR(AG230,0),0)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IFERROR(H231+IFERROR(I231,0)+T231+IFERROR(AH231,0),0)</f>
        <v/>
      </c>
      <c r="V231" s="256" t="n"/>
      <c r="W231" s="257" t="n"/>
      <c r="X231" s="256" t="n"/>
      <c r="Y231" s="258" t="n"/>
      <c r="Z231" s="259" t="n"/>
      <c r="AA231" s="259" t="n"/>
      <c r="AB231" s="258" t="n"/>
      <c r="AC231" s="256" t="n"/>
      <c r="AD231" s="256" t="n"/>
      <c r="AE231" s="256" t="n"/>
      <c r="AF231" s="256" t="n"/>
      <c r="AG231" s="256" t="n"/>
      <c r="AH231" s="256">
        <f>IFERROR(IFERROR(V231,0)+IFERROR(AC231,0)+IFERROR(AD231,0)+IFERROR(AE231,0)+IFERROR(AF231,0)+IFERROR(AG231,0),0)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IFERROR(H232+IFERROR(I232,0)+T232+IFERROR(AH232,0),0)</f>
        <v/>
      </c>
      <c r="V232" s="256" t="n"/>
      <c r="W232" s="257" t="n"/>
      <c r="X232" s="256" t="n"/>
      <c r="Y232" s="258" t="n"/>
      <c r="Z232" s="259" t="n"/>
      <c r="AA232" s="259" t="n"/>
      <c r="AB232" s="258" t="n"/>
      <c r="AC232" s="256" t="n"/>
      <c r="AD232" s="256" t="n"/>
      <c r="AE232" s="256" t="n"/>
      <c r="AF232" s="256" t="n"/>
      <c r="AG232" s="256" t="n"/>
      <c r="AH232" s="256">
        <f>IFERROR(IFERROR(V232,0)+IFERROR(AC232,0)+IFERROR(AD232,0)+IFERROR(AE232,0)+IFERROR(AF232,0)+IFERROR(AG232,0),0)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IFERROR(H233+IFERROR(I233,0)+T233+IFERROR(AH233,0),0)</f>
        <v/>
      </c>
      <c r="V233" s="256" t="n"/>
      <c r="W233" s="257" t="n"/>
      <c r="X233" s="256" t="n"/>
      <c r="Y233" s="258" t="n"/>
      <c r="Z233" s="259" t="n"/>
      <c r="AA233" s="259" t="n"/>
      <c r="AB233" s="258" t="n"/>
      <c r="AC233" s="256" t="n"/>
      <c r="AD233" s="256" t="n"/>
      <c r="AE233" s="256" t="n"/>
      <c r="AF233" s="256" t="n"/>
      <c r="AG233" s="256" t="n"/>
      <c r="AH233" s="256">
        <f>IFERROR(IFERROR(V233,0)+IFERROR(AC233,0)+IFERROR(AD233,0)+IFERROR(AE233,0)+IFERROR(AF233,0)+IFERROR(AG233,0),0)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IFERROR(H234+IFERROR(I234,0)+T234+IFERROR(AH234,0),0)</f>
        <v/>
      </c>
      <c r="V234" s="256" t="n"/>
      <c r="W234" s="257" t="n"/>
      <c r="X234" s="256" t="n"/>
      <c r="Y234" s="258" t="n"/>
      <c r="Z234" s="259" t="n"/>
      <c r="AA234" s="259" t="n"/>
      <c r="AB234" s="258" t="n"/>
      <c r="AC234" s="256" t="n"/>
      <c r="AD234" s="256" t="n"/>
      <c r="AE234" s="256" t="n"/>
      <c r="AF234" s="256" t="n"/>
      <c r="AG234" s="256" t="n"/>
      <c r="AH234" s="256">
        <f>IFERROR(IFERROR(V234,0)+IFERROR(AC234,0)+IFERROR(AD234,0)+IFERROR(AE234,0)+IFERROR(AF234,0)+IFERROR(AG234,0),0)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IFERROR(H235+IFERROR(I235,0)+T235+IFERROR(AH235,0),0)</f>
        <v/>
      </c>
      <c r="V235" s="256" t="n"/>
      <c r="W235" s="257" t="n"/>
      <c r="X235" s="256" t="n"/>
      <c r="Y235" s="258" t="n"/>
      <c r="Z235" s="259" t="n"/>
      <c r="AA235" s="259" t="n"/>
      <c r="AB235" s="258" t="n"/>
      <c r="AC235" s="256" t="n"/>
      <c r="AD235" s="256" t="n"/>
      <c r="AE235" s="256" t="n"/>
      <c r="AF235" s="256" t="n"/>
      <c r="AG235" s="256" t="n"/>
      <c r="AH235" s="256">
        <f>IFERROR(IFERROR(V235,0)+IFERROR(AC235,0)+IFERROR(AD235,0)+IFERROR(AE235,0)+IFERROR(AF235,0)+IFERROR(AG235,0),0)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IFERROR(H236+IFERROR(I236,0)+T236+IFERROR(AH236,0),0)</f>
        <v/>
      </c>
      <c r="V236" s="256" t="n"/>
      <c r="W236" s="257" t="n"/>
      <c r="X236" s="256" t="n"/>
      <c r="Y236" s="258" t="n"/>
      <c r="Z236" s="259" t="n"/>
      <c r="AA236" s="259" t="n"/>
      <c r="AB236" s="258" t="n"/>
      <c r="AC236" s="256" t="n"/>
      <c r="AD236" s="256" t="n"/>
      <c r="AE236" s="256" t="n"/>
      <c r="AF236" s="256" t="n"/>
      <c r="AG236" s="256" t="n"/>
      <c r="AH236" s="256">
        <f>IFERROR(IFERROR(V236,0)+IFERROR(AC236,0)+IFERROR(AD236,0)+IFERROR(AE236,0)+IFERROR(AF236,0)+IFERROR(AG236,0),0)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IFERROR(H237+IFERROR(I237,0)+T237+IFERROR(AH237,0),0)</f>
        <v/>
      </c>
      <c r="V237" s="256" t="n"/>
      <c r="W237" s="257" t="n"/>
      <c r="X237" s="256" t="n"/>
      <c r="Y237" s="258" t="n"/>
      <c r="Z237" s="259" t="n"/>
      <c r="AA237" s="259" t="n"/>
      <c r="AB237" s="258" t="n"/>
      <c r="AC237" s="256" t="n"/>
      <c r="AD237" s="256" t="n"/>
      <c r="AE237" s="256" t="n"/>
      <c r="AF237" s="256" t="n"/>
      <c r="AG237" s="256" t="n"/>
      <c r="AH237" s="256">
        <f>IFERROR(IFERROR(V237,0)+IFERROR(AC237,0)+IFERROR(AD237,0)+IFERROR(AE237,0)+IFERROR(AF237,0)+IFERROR(AG237,0),0)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IFERROR(H238+IFERROR(I238,0)+T238+IFERROR(AH238,0),0)</f>
        <v/>
      </c>
      <c r="V238" s="256" t="n"/>
      <c r="W238" s="257" t="n"/>
      <c r="X238" s="256" t="n"/>
      <c r="Y238" s="258" t="n"/>
      <c r="Z238" s="259" t="n"/>
      <c r="AA238" s="259" t="n"/>
      <c r="AB238" s="258" t="n"/>
      <c r="AC238" s="256" t="n"/>
      <c r="AD238" s="256" t="n"/>
      <c r="AE238" s="256" t="n"/>
      <c r="AF238" s="256" t="n"/>
      <c r="AG238" s="256" t="n"/>
      <c r="AH238" s="256">
        <f>IFERROR(IFERROR(V238,0)+IFERROR(AC238,0)+IFERROR(AD238,0)+IFERROR(AE238,0)+IFERROR(AF238,0)+IFERROR(AG238,0),0)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IFERROR(H239+IFERROR(I239,0)+T239+IFERROR(AH239,0),0)</f>
        <v/>
      </c>
      <c r="V239" s="256" t="n"/>
      <c r="W239" s="257" t="n"/>
      <c r="X239" s="256" t="n"/>
      <c r="Y239" s="258" t="n"/>
      <c r="Z239" s="259" t="n"/>
      <c r="AA239" s="259" t="n"/>
      <c r="AB239" s="258" t="n"/>
      <c r="AC239" s="256" t="n"/>
      <c r="AD239" s="256" t="n"/>
      <c r="AE239" s="256" t="n"/>
      <c r="AF239" s="256" t="n"/>
      <c r="AG239" s="256" t="n"/>
      <c r="AH239" s="256">
        <f>IFERROR(IFERROR(V239,0)+IFERROR(AC239,0)+IFERROR(AD239,0)+IFERROR(AE239,0)+IFERROR(AF239,0)+IFERROR(AG239,0),0)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IFERROR(H240+IFERROR(I240,0)+T240+IFERROR(AH240,0),0)</f>
        <v/>
      </c>
      <c r="V240" s="256" t="n"/>
      <c r="W240" s="257" t="n"/>
      <c r="X240" s="256" t="n"/>
      <c r="Y240" s="258" t="n"/>
      <c r="Z240" s="259" t="n"/>
      <c r="AA240" s="259" t="n"/>
      <c r="AB240" s="258" t="n"/>
      <c r="AC240" s="256" t="n"/>
      <c r="AD240" s="256" t="n"/>
      <c r="AE240" s="256" t="n"/>
      <c r="AF240" s="256" t="n"/>
      <c r="AG240" s="256" t="n"/>
      <c r="AH240" s="256">
        <f>IFERROR(IFERROR(V240,0)+IFERROR(AC240,0)+IFERROR(AD240,0)+IFERROR(AE240,0)+IFERROR(AF240,0)+IFERROR(AG240,0),0)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IFERROR(H241+IFERROR(I241,0)+T241+IFERROR(AH241,0),0)</f>
        <v/>
      </c>
      <c r="V241" s="256" t="n"/>
      <c r="W241" s="257" t="n"/>
      <c r="X241" s="256" t="n"/>
      <c r="Y241" s="258" t="n"/>
      <c r="Z241" s="259" t="n"/>
      <c r="AA241" s="259" t="n"/>
      <c r="AB241" s="258" t="n"/>
      <c r="AC241" s="256" t="n"/>
      <c r="AD241" s="256" t="n"/>
      <c r="AE241" s="256" t="n"/>
      <c r="AF241" s="256" t="n"/>
      <c r="AG241" s="256" t="n"/>
      <c r="AH241" s="256">
        <f>IFERROR(IFERROR(V241,0)+IFERROR(AC241,0)+IFERROR(AD241,0)+IFERROR(AE241,0)+IFERROR(AF241,0)+IFERROR(AG241,0),0)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IFERROR(H242+IFERROR(I242,0)+T242+IFERROR(AH242,0),0)</f>
        <v/>
      </c>
      <c r="V242" s="256" t="n"/>
      <c r="W242" s="257" t="n"/>
      <c r="X242" s="256" t="n"/>
      <c r="Y242" s="258" t="n"/>
      <c r="Z242" s="259" t="n"/>
      <c r="AA242" s="259" t="n"/>
      <c r="AB242" s="258" t="n"/>
      <c r="AC242" s="256" t="n"/>
      <c r="AD242" s="256" t="n"/>
      <c r="AE242" s="256" t="n"/>
      <c r="AF242" s="256" t="n"/>
      <c r="AG242" s="256" t="n"/>
      <c r="AH242" s="256">
        <f>IFERROR(IFERROR(V242,0)+IFERROR(AC242,0)+IFERROR(AD242,0)+IFERROR(AE242,0)+IFERROR(AF242,0)+IFERROR(AG242,0),0)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IFERROR(H243+IFERROR(I243,0)+T243+IFERROR(AH243,0),0)</f>
        <v/>
      </c>
      <c r="V243" s="256" t="n"/>
      <c r="W243" s="257" t="n"/>
      <c r="X243" s="256" t="n"/>
      <c r="Y243" s="258" t="n"/>
      <c r="Z243" s="259" t="n"/>
      <c r="AA243" s="259" t="n"/>
      <c r="AB243" s="258" t="n"/>
      <c r="AC243" s="256" t="n"/>
      <c r="AD243" s="256" t="n"/>
      <c r="AE243" s="256" t="n"/>
      <c r="AF243" s="256" t="n"/>
      <c r="AG243" s="256" t="n"/>
      <c r="AH243" s="256">
        <f>IFERROR(IFERROR(V243,0)+IFERROR(AC243,0)+IFERROR(AD243,0)+IFERROR(AE243,0)+IFERROR(AF243,0)+IFERROR(AG243,0),0)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IFERROR(H244+IFERROR(I244,0)+T244+IFERROR(AH244,0),0)</f>
        <v/>
      </c>
      <c r="V244" s="256" t="n"/>
      <c r="W244" s="257" t="n"/>
      <c r="X244" s="256" t="n"/>
      <c r="Y244" s="258" t="n"/>
      <c r="Z244" s="259" t="n"/>
      <c r="AA244" s="259" t="n"/>
      <c r="AB244" s="258" t="n"/>
      <c r="AC244" s="256" t="n"/>
      <c r="AD244" s="256" t="n"/>
      <c r="AE244" s="256" t="n"/>
      <c r="AF244" s="256" t="n"/>
      <c r="AG244" s="256" t="n"/>
      <c r="AH244" s="256">
        <f>IFERROR(IFERROR(V244,0)+IFERROR(AC244,0)+IFERROR(AD244,0)+IFERROR(AE244,0)+IFERROR(AF244,0)+IFERROR(AG244,0),0)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IFERROR(H245+IFERROR(I245,0)+T245+IFERROR(AH245,0),0)</f>
        <v/>
      </c>
      <c r="V245" s="256" t="n"/>
      <c r="W245" s="257" t="n"/>
      <c r="X245" s="256" t="n"/>
      <c r="Y245" s="258" t="n"/>
      <c r="Z245" s="259" t="n"/>
      <c r="AA245" s="259" t="n"/>
      <c r="AB245" s="258" t="n"/>
      <c r="AC245" s="256" t="n"/>
      <c r="AD245" s="256" t="n"/>
      <c r="AE245" s="256" t="n"/>
      <c r="AF245" s="256" t="n"/>
      <c r="AG245" s="256" t="n"/>
      <c r="AH245" s="256">
        <f>IFERROR(IFERROR(V245,0)+IFERROR(AC245,0)+IFERROR(AD245,0)+IFERROR(AE245,0)+IFERROR(AF245,0)+IFERROR(AG245,0),0)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IFERROR(H246+IFERROR(I246,0)+T246+IFERROR(AH246,0),0)</f>
        <v/>
      </c>
      <c r="V246" s="256" t="n"/>
      <c r="W246" s="257" t="n"/>
      <c r="X246" s="256" t="n"/>
      <c r="Y246" s="258" t="n"/>
      <c r="Z246" s="259" t="n"/>
      <c r="AA246" s="259" t="n"/>
      <c r="AB246" s="258" t="n"/>
      <c r="AC246" s="256" t="n"/>
      <c r="AD246" s="256" t="n"/>
      <c r="AE246" s="256" t="n"/>
      <c r="AF246" s="256" t="n"/>
      <c r="AG246" s="256" t="n"/>
      <c r="AH246" s="256">
        <f>IFERROR(IFERROR(V246,0)+IFERROR(AC246,0)+IFERROR(AD246,0)+IFERROR(AE246,0)+IFERROR(AF246,0)+IFERROR(AG246,0),0)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IFERROR(H247+IFERROR(I247,0)+T247+IFERROR(AH247,0),0)</f>
        <v/>
      </c>
      <c r="V247" s="256" t="n"/>
      <c r="W247" s="257" t="n"/>
      <c r="X247" s="256" t="n"/>
      <c r="Y247" s="258" t="n"/>
      <c r="Z247" s="259" t="n"/>
      <c r="AA247" s="259" t="n"/>
      <c r="AB247" s="258" t="n"/>
      <c r="AC247" s="256" t="n"/>
      <c r="AD247" s="256" t="n"/>
      <c r="AE247" s="256" t="n"/>
      <c r="AF247" s="256" t="n"/>
      <c r="AG247" s="256" t="n"/>
      <c r="AH247" s="256">
        <f>IFERROR(IFERROR(V247,0)+IFERROR(AC247,0)+IFERROR(AD247,0)+IFERROR(AE247,0)+IFERROR(AF247,0)+IFERROR(AG247,0),0)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IFERROR(H248+IFERROR(I248,0)+T248+IFERROR(AH248,0),0)</f>
        <v/>
      </c>
      <c r="V248" s="256" t="n"/>
      <c r="W248" s="257" t="n"/>
      <c r="X248" s="256" t="n"/>
      <c r="Y248" s="258" t="n"/>
      <c r="Z248" s="259" t="n"/>
      <c r="AA248" s="259" t="n"/>
      <c r="AB248" s="258" t="n"/>
      <c r="AC248" s="256" t="n"/>
      <c r="AD248" s="256" t="n"/>
      <c r="AE248" s="256" t="n"/>
      <c r="AF248" s="256" t="n"/>
      <c r="AG248" s="256" t="n"/>
      <c r="AH248" s="256">
        <f>IFERROR(IFERROR(V248,0)+IFERROR(AC248,0)+IFERROR(AD248,0)+IFERROR(AE248,0)+IFERROR(AF248,0)+IFERROR(AG248,0),0)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IFERROR(H249+IFERROR(I249,0)+T249+IFERROR(AH249,0),0)</f>
        <v/>
      </c>
      <c r="V249" s="256" t="n"/>
      <c r="W249" s="257" t="n"/>
      <c r="X249" s="256" t="n"/>
      <c r="Y249" s="258" t="n"/>
      <c r="Z249" s="259" t="n"/>
      <c r="AA249" s="259" t="n"/>
      <c r="AB249" s="258" t="n"/>
      <c r="AC249" s="256" t="n"/>
      <c r="AD249" s="256" t="n"/>
      <c r="AE249" s="256" t="n"/>
      <c r="AF249" s="256" t="n"/>
      <c r="AG249" s="256" t="n"/>
      <c r="AH249" s="256">
        <f>IFERROR(IFERROR(V249,0)+IFERROR(AC249,0)+IFERROR(AD249,0)+IFERROR(AE249,0)+IFERROR(AF249,0)+IFERROR(AG249,0),0)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IFERROR(H250+IFERROR(I250,0)+T250+IFERROR(AH250,0),0)</f>
        <v/>
      </c>
      <c r="V250" s="256" t="n"/>
      <c r="W250" s="257" t="n"/>
      <c r="X250" s="256" t="n"/>
      <c r="Y250" s="258" t="n"/>
      <c r="Z250" s="259" t="n"/>
      <c r="AA250" s="259" t="n"/>
      <c r="AB250" s="258" t="n"/>
      <c r="AC250" s="256" t="n"/>
      <c r="AD250" s="256" t="n"/>
      <c r="AE250" s="256" t="n"/>
      <c r="AF250" s="256" t="n"/>
      <c r="AG250" s="256" t="n"/>
      <c r="AH250" s="256">
        <f>IFERROR(IFERROR(V250,0)+IFERROR(AC250,0)+IFERROR(AD250,0)+IFERROR(AE250,0)+IFERROR(AF250,0)+IFERROR(AG250,0),0)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IFERROR(H251+IFERROR(I251,0)+T251+IFERROR(AH251,0),0)</f>
        <v/>
      </c>
      <c r="V251" s="256" t="n"/>
      <c r="W251" s="257" t="n"/>
      <c r="X251" s="256" t="n"/>
      <c r="Y251" s="258" t="n"/>
      <c r="Z251" s="259" t="n"/>
      <c r="AA251" s="259" t="n"/>
      <c r="AB251" s="258" t="n"/>
      <c r="AC251" s="256" t="n"/>
      <c r="AD251" s="256" t="n"/>
      <c r="AE251" s="256" t="n"/>
      <c r="AF251" s="256" t="n"/>
      <c r="AG251" s="256" t="n"/>
      <c r="AH251" s="256">
        <f>IFERROR(IFERROR(V251,0)+IFERROR(AC251,0)+IFERROR(AD251,0)+IFERROR(AE251,0)+IFERROR(AF251,0)+IFERROR(AG251,0),0)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IFERROR(H252+IFERROR(I252,0)+T252+IFERROR(AH252,0),0)</f>
        <v/>
      </c>
      <c r="V252" s="256" t="n"/>
      <c r="W252" s="257" t="n"/>
      <c r="X252" s="256" t="n"/>
      <c r="Y252" s="258" t="n"/>
      <c r="Z252" s="259" t="n"/>
      <c r="AA252" s="259" t="n"/>
      <c r="AB252" s="258" t="n"/>
      <c r="AC252" s="256" t="n"/>
      <c r="AD252" s="256" t="n"/>
      <c r="AE252" s="256" t="n"/>
      <c r="AF252" s="256" t="n"/>
      <c r="AG252" s="256" t="n"/>
      <c r="AH252" s="256">
        <f>IFERROR(IFERROR(V252,0)+IFERROR(AC252,0)+IFERROR(AD252,0)+IFERROR(AE252,0)+IFERROR(AF252,0)+IFERROR(AG252,0),0)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IFERROR(H253+IFERROR(I253,0)+T253+IFERROR(AH253,0),0)</f>
        <v/>
      </c>
      <c r="V253" s="256" t="n"/>
      <c r="W253" s="257" t="n"/>
      <c r="X253" s="256" t="n"/>
      <c r="Y253" s="258" t="n"/>
      <c r="Z253" s="259" t="n"/>
      <c r="AA253" s="259" t="n"/>
      <c r="AB253" s="258" t="n"/>
      <c r="AC253" s="256" t="n"/>
      <c r="AD253" s="256" t="n"/>
      <c r="AE253" s="256" t="n"/>
      <c r="AF253" s="256" t="n"/>
      <c r="AG253" s="256" t="n"/>
      <c r="AH253" s="256">
        <f>IFERROR(IFERROR(V253,0)+IFERROR(AC253,0)+IFERROR(AD253,0)+IFERROR(AE253,0)+IFERROR(AF253,0)+IFERROR(AG253,0),0)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IFERROR(H254+IFERROR(I254,0)+T254+IFERROR(AH254,0),0)</f>
        <v/>
      </c>
      <c r="V254" s="256" t="n"/>
      <c r="W254" s="257" t="n"/>
      <c r="X254" s="256" t="n"/>
      <c r="Y254" s="258" t="n"/>
      <c r="Z254" s="259" t="n"/>
      <c r="AA254" s="259" t="n"/>
      <c r="AB254" s="258" t="n"/>
      <c r="AC254" s="256" t="n"/>
      <c r="AD254" s="256" t="n"/>
      <c r="AE254" s="256" t="n"/>
      <c r="AF254" s="256" t="n"/>
      <c r="AG254" s="256" t="n"/>
      <c r="AH254" s="256">
        <f>IFERROR(IFERROR(V254,0)+IFERROR(AC254,0)+IFERROR(AD254,0)+IFERROR(AE254,0)+IFERROR(AF254,0)+IFERROR(AG254,0),0)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IFERROR(H255+IFERROR(I255,0)+T255+IFERROR(AH255,0),0)</f>
        <v/>
      </c>
      <c r="V255" s="256" t="n"/>
      <c r="W255" s="257" t="n"/>
      <c r="X255" s="256" t="n"/>
      <c r="Y255" s="258" t="n"/>
      <c r="Z255" s="259" t="n"/>
      <c r="AA255" s="259" t="n"/>
      <c r="AB255" s="258" t="n"/>
      <c r="AC255" s="256" t="n"/>
      <c r="AD255" s="256" t="n"/>
      <c r="AE255" s="256" t="n"/>
      <c r="AF255" s="256" t="n"/>
      <c r="AG255" s="256" t="n"/>
      <c r="AH255" s="256">
        <f>IFERROR(IFERROR(V255,0)+IFERROR(AC255,0)+IFERROR(AD255,0)+IFERROR(AE255,0)+IFERROR(AF255,0)+IFERROR(AG255,0),0)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IFERROR(H256+IFERROR(I256,0)+T256+IFERROR(AH256,0),0)</f>
        <v/>
      </c>
      <c r="V256" s="256" t="n"/>
      <c r="W256" s="257" t="n"/>
      <c r="X256" s="256" t="n"/>
      <c r="Y256" s="258" t="n"/>
      <c r="Z256" s="259" t="n"/>
      <c r="AA256" s="259" t="n"/>
      <c r="AB256" s="258" t="n"/>
      <c r="AC256" s="256" t="n"/>
      <c r="AD256" s="256" t="n"/>
      <c r="AE256" s="256" t="n"/>
      <c r="AF256" s="256" t="n"/>
      <c r="AG256" s="256" t="n"/>
      <c r="AH256" s="256">
        <f>IFERROR(IFERROR(V256,0)+IFERROR(AC256,0)+IFERROR(AD256,0)+IFERROR(AE256,0)+IFERROR(AF256,0)+IFERROR(AG256,0),0)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IFERROR(H257+IFERROR(I257,0)+T257+IFERROR(AH257,0),0)</f>
        <v/>
      </c>
      <c r="V257" s="256" t="n"/>
      <c r="W257" s="257" t="n"/>
      <c r="X257" s="256" t="n"/>
      <c r="Y257" s="258" t="n"/>
      <c r="Z257" s="259" t="n"/>
      <c r="AA257" s="259" t="n"/>
      <c r="AB257" s="258" t="n"/>
      <c r="AC257" s="256" t="n"/>
      <c r="AD257" s="256" t="n"/>
      <c r="AE257" s="256" t="n"/>
      <c r="AF257" s="256" t="n"/>
      <c r="AG257" s="256" t="n"/>
      <c r="AH257" s="256">
        <f>IFERROR(IFERROR(V257,0)+IFERROR(AC257,0)+IFERROR(AD257,0)+IFERROR(AE257,0)+IFERROR(AF257,0)+IFERROR(AG257,0),0)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IFERROR(H258+IFERROR(I258,0)+T258+IFERROR(AH258,0),0)</f>
        <v/>
      </c>
      <c r="V258" s="256" t="n"/>
      <c r="W258" s="257" t="n"/>
      <c r="X258" s="256" t="n"/>
      <c r="Y258" s="258" t="n"/>
      <c r="Z258" s="259" t="n"/>
      <c r="AA258" s="259" t="n"/>
      <c r="AB258" s="258" t="n"/>
      <c r="AC258" s="256" t="n"/>
      <c r="AD258" s="256" t="n"/>
      <c r="AE258" s="256" t="n"/>
      <c r="AF258" s="256" t="n"/>
      <c r="AG258" s="256" t="n"/>
      <c r="AH258" s="256">
        <f>IFERROR(IFERROR(V258,0)+IFERROR(AC258,0)+IFERROR(AD258,0)+IFERROR(AE258,0)+IFERROR(AF258,0)+IFERROR(AG258,0),0)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IFERROR(H259+IFERROR(I259,0)+T259+IFERROR(AH259,0),0)</f>
        <v/>
      </c>
      <c r="V259" s="256" t="n"/>
      <c r="W259" s="257" t="n"/>
      <c r="X259" s="256" t="n"/>
      <c r="Y259" s="258" t="n"/>
      <c r="Z259" s="259" t="n"/>
      <c r="AA259" s="259" t="n"/>
      <c r="AB259" s="258" t="n"/>
      <c r="AC259" s="256" t="n"/>
      <c r="AD259" s="256" t="n"/>
      <c r="AE259" s="256" t="n"/>
      <c r="AF259" s="256" t="n"/>
      <c r="AG259" s="256" t="n"/>
      <c r="AH259" s="256">
        <f>IFERROR(IFERROR(V259,0)+IFERROR(AC259,0)+IFERROR(AD259,0)+IFERROR(AE259,0)+IFERROR(AF259,0)+IFERROR(AG259,0),0)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IFERROR(H260+IFERROR(I260,0)+T260+IFERROR(AH260,0),0)</f>
        <v/>
      </c>
      <c r="V260" s="256" t="n"/>
      <c r="W260" s="257" t="n"/>
      <c r="X260" s="256" t="n"/>
      <c r="Y260" s="258" t="n"/>
      <c r="Z260" s="259" t="n"/>
      <c r="AA260" s="259" t="n"/>
      <c r="AB260" s="258" t="n"/>
      <c r="AC260" s="256" t="n"/>
      <c r="AD260" s="256" t="n"/>
      <c r="AE260" s="256" t="n"/>
      <c r="AF260" s="256" t="n"/>
      <c r="AG260" s="256" t="n"/>
      <c r="AH260" s="256">
        <f>IFERROR(IFERROR(V260,0)+IFERROR(AC260,0)+IFERROR(AD260,0)+IFERROR(AE260,0)+IFERROR(AF260,0)+IFERROR(AG260,0),0)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IFERROR(H261+IFERROR(I261,0)+T261+IFERROR(AH261,0),0)</f>
        <v/>
      </c>
      <c r="V261" s="256" t="n"/>
      <c r="W261" s="257" t="n"/>
      <c r="X261" s="256" t="n"/>
      <c r="Y261" s="258" t="n"/>
      <c r="Z261" s="259" t="n"/>
      <c r="AA261" s="259" t="n"/>
      <c r="AB261" s="258" t="n"/>
      <c r="AC261" s="256" t="n"/>
      <c r="AD261" s="256" t="n"/>
      <c r="AE261" s="256" t="n"/>
      <c r="AF261" s="256" t="n"/>
      <c r="AG261" s="256" t="n"/>
      <c r="AH261" s="256">
        <f>IFERROR(IFERROR(V261,0)+IFERROR(AC261,0)+IFERROR(AD261,0)+IFERROR(AE261,0)+IFERROR(AF261,0)+IFERROR(AG261,0),0)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IFERROR(H262+IFERROR(I262,0)+T262+IFERROR(AH262,0),0)</f>
        <v/>
      </c>
      <c r="V262" s="256" t="n"/>
      <c r="W262" s="257" t="n"/>
      <c r="X262" s="256" t="n"/>
      <c r="Y262" s="258" t="n"/>
      <c r="Z262" s="259" t="n"/>
      <c r="AA262" s="259" t="n"/>
      <c r="AB262" s="258" t="n"/>
      <c r="AC262" s="256" t="n"/>
      <c r="AD262" s="256" t="n"/>
      <c r="AE262" s="256" t="n"/>
      <c r="AF262" s="256" t="n"/>
      <c r="AG262" s="256" t="n"/>
      <c r="AH262" s="256">
        <f>IFERROR(IFERROR(V262,0)+IFERROR(AC262,0)+IFERROR(AD262,0)+IFERROR(AE262,0)+IFERROR(AF262,0)+IFERROR(AG262,0),0)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IFERROR(H263+IFERROR(I263,0)+T263+IFERROR(AH263,0),0)</f>
        <v/>
      </c>
      <c r="V263" s="256" t="n"/>
      <c r="W263" s="257" t="n"/>
      <c r="X263" s="256" t="n"/>
      <c r="Y263" s="258" t="n"/>
      <c r="Z263" s="259" t="n"/>
      <c r="AA263" s="259" t="n"/>
      <c r="AB263" s="258" t="n"/>
      <c r="AC263" s="256" t="n"/>
      <c r="AD263" s="256" t="n"/>
      <c r="AE263" s="256" t="n"/>
      <c r="AF263" s="256" t="n"/>
      <c r="AG263" s="256" t="n"/>
      <c r="AH263" s="256">
        <f>IFERROR(IFERROR(V263,0)+IFERROR(AC263,0)+IFERROR(AD263,0)+IFERROR(AE263,0)+IFERROR(AF263,0)+IFERROR(AG263,0),0)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IFERROR(H264+IFERROR(I264,0)+T264+IFERROR(AH264,0),0)</f>
        <v/>
      </c>
      <c r="V264" s="256" t="n"/>
      <c r="W264" s="257" t="n"/>
      <c r="X264" s="256" t="n"/>
      <c r="Y264" s="258" t="n"/>
      <c r="Z264" s="259" t="n"/>
      <c r="AA264" s="259" t="n"/>
      <c r="AB264" s="258" t="n"/>
      <c r="AC264" s="256" t="n"/>
      <c r="AD264" s="256" t="n"/>
      <c r="AE264" s="256" t="n"/>
      <c r="AF264" s="256" t="n"/>
      <c r="AG264" s="256" t="n"/>
      <c r="AH264" s="256">
        <f>IFERROR(IFERROR(V264,0)+IFERROR(AC264,0)+IFERROR(AD264,0)+IFERROR(AE264,0)+IFERROR(AF264,0)+IFERROR(AG264,0),0)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IFERROR(H265+IFERROR(I265,0)+T265+IFERROR(AH265,0),0)</f>
        <v/>
      </c>
      <c r="V265" s="256" t="n"/>
      <c r="W265" s="257" t="n"/>
      <c r="X265" s="256" t="n"/>
      <c r="Y265" s="258" t="n"/>
      <c r="Z265" s="259" t="n"/>
      <c r="AA265" s="259" t="n"/>
      <c r="AB265" s="258" t="n"/>
      <c r="AC265" s="256" t="n"/>
      <c r="AD265" s="256" t="n"/>
      <c r="AE265" s="256" t="n"/>
      <c r="AF265" s="256" t="n"/>
      <c r="AG265" s="256" t="n"/>
      <c r="AH265" s="256">
        <f>IFERROR(IFERROR(V265,0)+IFERROR(AC265,0)+IFERROR(AD265,0)+IFERROR(AE265,0)+IFERROR(AF265,0)+IFERROR(AG265,0),0)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IFERROR(H266+IFERROR(I266,0)+T266+IFERROR(AH266,0),0)</f>
        <v/>
      </c>
      <c r="V266" s="256" t="n"/>
      <c r="W266" s="257" t="n"/>
      <c r="X266" s="256" t="n"/>
      <c r="Y266" s="258" t="n"/>
      <c r="Z266" s="259" t="n"/>
      <c r="AA266" s="259" t="n"/>
      <c r="AB266" s="258" t="n"/>
      <c r="AC266" s="256" t="n"/>
      <c r="AD266" s="256" t="n"/>
      <c r="AE266" s="256" t="n"/>
      <c r="AF266" s="256" t="n"/>
      <c r="AG266" s="256" t="n"/>
      <c r="AH266" s="256">
        <f>IFERROR(IFERROR(V266,0)+IFERROR(AC266,0)+IFERROR(AD266,0)+IFERROR(AE266,0)+IFERROR(AF266,0)+IFERROR(AG266,0),0)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IFERROR(H267+IFERROR(I267,0)+T267+IFERROR(AH267,0),0)</f>
        <v/>
      </c>
      <c r="V267" s="256" t="n"/>
      <c r="W267" s="257" t="n"/>
      <c r="X267" s="256" t="n"/>
      <c r="Y267" s="258" t="n"/>
      <c r="Z267" s="259" t="n"/>
      <c r="AA267" s="259" t="n"/>
      <c r="AB267" s="258" t="n"/>
      <c r="AC267" s="256" t="n"/>
      <c r="AD267" s="256" t="n"/>
      <c r="AE267" s="256" t="n"/>
      <c r="AF267" s="256" t="n"/>
      <c r="AG267" s="256" t="n"/>
      <c r="AH267" s="256">
        <f>IFERROR(IFERROR(V267,0)+IFERROR(AC267,0)+IFERROR(AD267,0)+IFERROR(AE267,0)+IFERROR(AF267,0)+IFERROR(AG267,0),0)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IFERROR(H268+IFERROR(I268,0)+T268+IFERROR(AH268,0),0)</f>
        <v/>
      </c>
      <c r="V268" s="256" t="n"/>
      <c r="W268" s="257" t="n"/>
      <c r="X268" s="256" t="n"/>
      <c r="Y268" s="258" t="n"/>
      <c r="Z268" s="259" t="n"/>
      <c r="AA268" s="259" t="n"/>
      <c r="AB268" s="258" t="n"/>
      <c r="AC268" s="256" t="n"/>
      <c r="AD268" s="256" t="n"/>
      <c r="AE268" s="256" t="n"/>
      <c r="AF268" s="256" t="n"/>
      <c r="AG268" s="256" t="n"/>
      <c r="AH268" s="256">
        <f>IFERROR(IFERROR(V268,0)+IFERROR(AC268,0)+IFERROR(AD268,0)+IFERROR(AE268,0)+IFERROR(AF268,0)+IFERROR(AG268,0),0)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IFERROR(H269+IFERROR(I269,0)+T269+IFERROR(AH269,0),0)</f>
        <v/>
      </c>
      <c r="V269" s="256" t="n"/>
      <c r="W269" s="257" t="n"/>
      <c r="X269" s="256" t="n"/>
      <c r="Y269" s="258" t="n"/>
      <c r="Z269" s="259" t="n"/>
      <c r="AA269" s="259" t="n"/>
      <c r="AB269" s="258" t="n"/>
      <c r="AC269" s="256" t="n"/>
      <c r="AD269" s="256" t="n"/>
      <c r="AE269" s="256" t="n"/>
      <c r="AF269" s="256" t="n"/>
      <c r="AG269" s="256" t="n"/>
      <c r="AH269" s="256">
        <f>IFERROR(IFERROR(V269,0)+IFERROR(AC269,0)+IFERROR(AD269,0)+IFERROR(AE269,0)+IFERROR(AF269,0)+IFERROR(AG269,0),0)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IFERROR(H270+IFERROR(I270,0)+T270+IFERROR(AH270,0),0)</f>
        <v/>
      </c>
      <c r="V270" s="256" t="n"/>
      <c r="W270" s="257" t="n"/>
      <c r="X270" s="256" t="n"/>
      <c r="Y270" s="258" t="n"/>
      <c r="Z270" s="259" t="n"/>
      <c r="AA270" s="259" t="n"/>
      <c r="AB270" s="258" t="n"/>
      <c r="AC270" s="256" t="n"/>
      <c r="AD270" s="256" t="n"/>
      <c r="AE270" s="256" t="n"/>
      <c r="AF270" s="256" t="n"/>
      <c r="AG270" s="256" t="n"/>
      <c r="AH270" s="256">
        <f>IFERROR(IFERROR(V270,0)+IFERROR(AC270,0)+IFERROR(AD270,0)+IFERROR(AE270,0)+IFERROR(AF270,0)+IFERROR(AG270,0),0)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IFERROR(H271+IFERROR(I271,0)+T271+IFERROR(AH271,0),0)</f>
        <v/>
      </c>
      <c r="V271" s="256" t="n"/>
      <c r="W271" s="257" t="n"/>
      <c r="X271" s="256" t="n"/>
      <c r="Y271" s="258" t="n"/>
      <c r="Z271" s="259" t="n"/>
      <c r="AA271" s="259" t="n"/>
      <c r="AB271" s="258" t="n"/>
      <c r="AC271" s="256" t="n"/>
      <c r="AD271" s="256" t="n"/>
      <c r="AE271" s="256" t="n"/>
      <c r="AF271" s="256" t="n"/>
      <c r="AG271" s="256" t="n"/>
      <c r="AH271" s="256">
        <f>IFERROR(IFERROR(V271,0)+IFERROR(AC271,0)+IFERROR(AD271,0)+IFERROR(AE271,0)+IFERROR(AF271,0)+IFERROR(AG271,0),0)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IFERROR(H272+IFERROR(I272,0)+T272+IFERROR(AH272,0),0)</f>
        <v/>
      </c>
      <c r="V272" s="256" t="n"/>
      <c r="W272" s="257" t="n"/>
      <c r="X272" s="256" t="n"/>
      <c r="Y272" s="258" t="n"/>
      <c r="Z272" s="259" t="n"/>
      <c r="AA272" s="259" t="n"/>
      <c r="AB272" s="258" t="n"/>
      <c r="AC272" s="256" t="n"/>
      <c r="AD272" s="256" t="n"/>
      <c r="AE272" s="256" t="n"/>
      <c r="AF272" s="256" t="n"/>
      <c r="AG272" s="256" t="n"/>
      <c r="AH272" s="256">
        <f>IFERROR(IFERROR(V272,0)+IFERROR(AC272,0)+IFERROR(AD272,0)+IFERROR(AE272,0)+IFERROR(AF272,0)+IFERROR(AG272,0),0)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IFERROR(H273+IFERROR(I273,0)+T273+IFERROR(AH273,0),0)</f>
        <v/>
      </c>
      <c r="V273" s="256" t="n"/>
      <c r="W273" s="257" t="n"/>
      <c r="X273" s="256" t="n"/>
      <c r="Y273" s="258" t="n"/>
      <c r="Z273" s="259" t="n"/>
      <c r="AA273" s="259" t="n"/>
      <c r="AB273" s="258" t="n"/>
      <c r="AC273" s="256" t="n"/>
      <c r="AD273" s="256" t="n"/>
      <c r="AE273" s="256" t="n"/>
      <c r="AF273" s="256" t="n"/>
      <c r="AG273" s="256" t="n"/>
      <c r="AH273" s="256">
        <f>IFERROR(IFERROR(V273,0)+IFERROR(AC273,0)+IFERROR(AD273,0)+IFERROR(AE273,0)+IFERROR(AF273,0)+IFERROR(AG273,0),0)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IFERROR(H274+IFERROR(I274,0)+T274+IFERROR(AH274,0),0)</f>
        <v/>
      </c>
      <c r="V274" s="256" t="n"/>
      <c r="W274" s="257" t="n"/>
      <c r="X274" s="256" t="n"/>
      <c r="Y274" s="258" t="n"/>
      <c r="Z274" s="259" t="n"/>
      <c r="AA274" s="259" t="n"/>
      <c r="AB274" s="258" t="n"/>
      <c r="AC274" s="256" t="n"/>
      <c r="AD274" s="256" t="n"/>
      <c r="AE274" s="256" t="n"/>
      <c r="AF274" s="256" t="n"/>
      <c r="AG274" s="256" t="n"/>
      <c r="AH274" s="256">
        <f>IFERROR(IFERROR(V274,0)+IFERROR(AC274,0)+IFERROR(AD274,0)+IFERROR(AE274,0)+IFERROR(AF274,0)+IFERROR(AG274,0),0)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IFERROR(H275+IFERROR(I275,0)+T275+IFERROR(AH275,0),0)</f>
        <v/>
      </c>
      <c r="V275" s="256" t="n"/>
      <c r="W275" s="257" t="n"/>
      <c r="X275" s="256" t="n"/>
      <c r="Y275" s="258" t="n"/>
      <c r="Z275" s="259" t="n"/>
      <c r="AA275" s="259" t="n"/>
      <c r="AB275" s="258" t="n"/>
      <c r="AC275" s="256" t="n"/>
      <c r="AD275" s="256" t="n"/>
      <c r="AE275" s="256" t="n"/>
      <c r="AF275" s="256" t="n"/>
      <c r="AG275" s="256" t="n"/>
      <c r="AH275" s="256">
        <f>IFERROR(IFERROR(V275,0)+IFERROR(AC275,0)+IFERROR(AD275,0)+IFERROR(AE275,0)+IFERROR(AF275,0)+IFERROR(AG275,0),0)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IFERROR(H276+IFERROR(I276,0)+T276+IFERROR(AH276,0),0)</f>
        <v/>
      </c>
      <c r="V276" s="256" t="n"/>
      <c r="W276" s="257" t="n"/>
      <c r="X276" s="256" t="n"/>
      <c r="Y276" s="258" t="n"/>
      <c r="Z276" s="259" t="n"/>
      <c r="AA276" s="259" t="n"/>
      <c r="AB276" s="258" t="n"/>
      <c r="AC276" s="256" t="n"/>
      <c r="AD276" s="256" t="n"/>
      <c r="AE276" s="256" t="n"/>
      <c r="AF276" s="256" t="n"/>
      <c r="AG276" s="256" t="n"/>
      <c r="AH276" s="256">
        <f>IFERROR(IFERROR(V276,0)+IFERROR(AC276,0)+IFERROR(AD276,0)+IFERROR(AE276,0)+IFERROR(AF276,0)+IFERROR(AG276,0),0)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IFERROR(H277+IFERROR(I277,0)+T277+IFERROR(AH277,0),0)</f>
        <v/>
      </c>
      <c r="V277" s="256" t="n"/>
      <c r="W277" s="257" t="n"/>
      <c r="X277" s="256" t="n"/>
      <c r="Y277" s="258" t="n"/>
      <c r="Z277" s="259" t="n"/>
      <c r="AA277" s="259" t="n"/>
      <c r="AB277" s="258" t="n"/>
      <c r="AC277" s="256" t="n"/>
      <c r="AD277" s="256" t="n"/>
      <c r="AE277" s="256" t="n"/>
      <c r="AF277" s="256" t="n"/>
      <c r="AG277" s="256" t="n"/>
      <c r="AH277" s="256">
        <f>IFERROR(IFERROR(V277,0)+IFERROR(AC277,0)+IFERROR(AD277,0)+IFERROR(AE277,0)+IFERROR(AF277,0)+IFERROR(AG277,0),0)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IFERROR(H278+IFERROR(I278,0)+T278+IFERROR(AH278,0),0)</f>
        <v/>
      </c>
      <c r="V278" s="256" t="n"/>
      <c r="W278" s="257" t="n"/>
      <c r="X278" s="256" t="n"/>
      <c r="Y278" s="258" t="n"/>
      <c r="Z278" s="259" t="n"/>
      <c r="AA278" s="259" t="n"/>
      <c r="AB278" s="258" t="n"/>
      <c r="AC278" s="256" t="n"/>
      <c r="AD278" s="256" t="n"/>
      <c r="AE278" s="256" t="n"/>
      <c r="AF278" s="256" t="n"/>
      <c r="AG278" s="256" t="n"/>
      <c r="AH278" s="256">
        <f>IFERROR(IFERROR(V278,0)+IFERROR(AC278,0)+IFERROR(AD278,0)+IFERROR(AE278,0)+IFERROR(AF278,0)+IFERROR(AG278,0),0)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IFERROR(H279+IFERROR(I279,0)+T279+IFERROR(AH279,0),0)</f>
        <v/>
      </c>
      <c r="V279" s="256" t="n"/>
      <c r="W279" s="257" t="n"/>
      <c r="X279" s="256" t="n"/>
      <c r="Y279" s="258" t="n"/>
      <c r="Z279" s="259" t="n"/>
      <c r="AA279" s="259" t="n"/>
      <c r="AB279" s="258" t="n"/>
      <c r="AC279" s="256" t="n"/>
      <c r="AD279" s="256" t="n"/>
      <c r="AE279" s="256" t="n"/>
      <c r="AF279" s="256" t="n"/>
      <c r="AG279" s="256" t="n"/>
      <c r="AH279" s="256">
        <f>IFERROR(IFERROR(V279,0)+IFERROR(AC279,0)+IFERROR(AD279,0)+IFERROR(AE279,0)+IFERROR(AF279,0)+IFERROR(AG279,0),0)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IFERROR(H280+IFERROR(I280,0)+T280+IFERROR(AH280,0),0)</f>
        <v/>
      </c>
      <c r="V280" s="256" t="n"/>
      <c r="W280" s="257" t="n"/>
      <c r="X280" s="256" t="n"/>
      <c r="Y280" s="258" t="n"/>
      <c r="Z280" s="259" t="n"/>
      <c r="AA280" s="259" t="n"/>
      <c r="AB280" s="258" t="n"/>
      <c r="AC280" s="256" t="n"/>
      <c r="AD280" s="256" t="n"/>
      <c r="AE280" s="256" t="n"/>
      <c r="AF280" s="256" t="n"/>
      <c r="AG280" s="256" t="n"/>
      <c r="AH280" s="256">
        <f>IFERROR(IFERROR(V280,0)+IFERROR(AC280,0)+IFERROR(AD280,0)+IFERROR(AE280,0)+IFERROR(AF280,0)+IFERROR(AG280,0),0)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IFERROR(H281+IFERROR(I281,0)+T281+IFERROR(AH281,0),0)</f>
        <v/>
      </c>
      <c r="V281" s="256" t="n"/>
      <c r="W281" s="257" t="n"/>
      <c r="X281" s="256" t="n"/>
      <c r="Y281" s="258" t="n"/>
      <c r="Z281" s="259" t="n"/>
      <c r="AA281" s="259" t="n"/>
      <c r="AB281" s="258" t="n"/>
      <c r="AC281" s="256" t="n"/>
      <c r="AD281" s="256" t="n"/>
      <c r="AE281" s="256" t="n"/>
      <c r="AF281" s="256" t="n"/>
      <c r="AG281" s="256" t="n"/>
      <c r="AH281" s="256">
        <f>IFERROR(IFERROR(V281,0)+IFERROR(AC281,0)+IFERROR(AD281,0)+IFERROR(AE281,0)+IFERROR(AF281,0)+IFERROR(AG281,0),0)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IFERROR(H282+IFERROR(I282,0)+T282+IFERROR(AH282,0),0)</f>
        <v/>
      </c>
      <c r="V282" s="256" t="n"/>
      <c r="W282" s="257" t="n"/>
      <c r="X282" s="256" t="n"/>
      <c r="Y282" s="258" t="n"/>
      <c r="Z282" s="259" t="n"/>
      <c r="AA282" s="259" t="n"/>
      <c r="AB282" s="258" t="n"/>
      <c r="AC282" s="256" t="n"/>
      <c r="AD282" s="256" t="n"/>
      <c r="AE282" s="256" t="n"/>
      <c r="AF282" s="256" t="n"/>
      <c r="AG282" s="256" t="n"/>
      <c r="AH282" s="256">
        <f>IFERROR(IFERROR(V282,0)+IFERROR(AC282,0)+IFERROR(AD282,0)+IFERROR(AE282,0)+IFERROR(AF282,0)+IFERROR(AG282,0),0)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IFERROR(H283+IFERROR(I283,0)+T283+IFERROR(AH283,0),0)</f>
        <v/>
      </c>
      <c r="V283" s="256" t="n"/>
      <c r="W283" s="257" t="n"/>
      <c r="X283" s="256" t="n"/>
      <c r="Y283" s="258" t="n"/>
      <c r="Z283" s="259" t="n"/>
      <c r="AA283" s="259" t="n"/>
      <c r="AB283" s="258" t="n"/>
      <c r="AC283" s="256" t="n"/>
      <c r="AD283" s="256" t="n"/>
      <c r="AE283" s="256" t="n"/>
      <c r="AF283" s="256" t="n"/>
      <c r="AG283" s="256" t="n"/>
      <c r="AH283" s="256">
        <f>IFERROR(IFERROR(V283,0)+IFERROR(AC283,0)+IFERROR(AD283,0)+IFERROR(AE283,0)+IFERROR(AF283,0)+IFERROR(AG283,0),0)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IFERROR(H284+IFERROR(I284,0)+T284+IFERROR(AH284,0),0)</f>
        <v/>
      </c>
      <c r="V284" s="256" t="n"/>
      <c r="W284" s="257" t="n"/>
      <c r="X284" s="256" t="n"/>
      <c r="Y284" s="258" t="n"/>
      <c r="Z284" s="259" t="n"/>
      <c r="AA284" s="259" t="n"/>
      <c r="AB284" s="258" t="n"/>
      <c r="AC284" s="256" t="n"/>
      <c r="AD284" s="256" t="n"/>
      <c r="AE284" s="256" t="n"/>
      <c r="AF284" s="256" t="n"/>
      <c r="AG284" s="256" t="n"/>
      <c r="AH284" s="256">
        <f>IFERROR(IFERROR(V284,0)+IFERROR(AC284,0)+IFERROR(AD284,0)+IFERROR(AE284,0)+IFERROR(AF284,0)+IFERROR(AG284,0),0)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IFERROR(H285+IFERROR(I285,0)+T285+IFERROR(AH285,0),0)</f>
        <v/>
      </c>
      <c r="V285" s="256" t="n"/>
      <c r="W285" s="257" t="n"/>
      <c r="X285" s="256" t="n"/>
      <c r="Y285" s="258" t="n"/>
      <c r="Z285" s="259" t="n"/>
      <c r="AA285" s="259" t="n"/>
      <c r="AB285" s="258" t="n"/>
      <c r="AC285" s="256" t="n"/>
      <c r="AD285" s="256" t="n"/>
      <c r="AE285" s="256" t="n"/>
      <c r="AF285" s="256" t="n"/>
      <c r="AG285" s="256" t="n"/>
      <c r="AH285" s="256">
        <f>IFERROR(IFERROR(V285,0)+IFERROR(AC285,0)+IFERROR(AD285,0)+IFERROR(AE285,0)+IFERROR(AF285,0)+IFERROR(AG285,0),0)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IFERROR(H286+IFERROR(I286,0)+T286+IFERROR(AH286,0),0)</f>
        <v/>
      </c>
      <c r="V286" s="256" t="n"/>
      <c r="W286" s="257" t="n"/>
      <c r="X286" s="256" t="n"/>
      <c r="Y286" s="258" t="n"/>
      <c r="Z286" s="259" t="n"/>
      <c r="AA286" s="259" t="n"/>
      <c r="AB286" s="258" t="n"/>
      <c r="AC286" s="256" t="n"/>
      <c r="AD286" s="256" t="n"/>
      <c r="AE286" s="256" t="n"/>
      <c r="AF286" s="256" t="n"/>
      <c r="AG286" s="256" t="n"/>
      <c r="AH286" s="256">
        <f>IFERROR(IFERROR(V286,0)+IFERROR(AC286,0)+IFERROR(AD286,0)+IFERROR(AE286,0)+IFERROR(AF286,0)+IFERROR(AG286,0),0)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IFERROR(H287+IFERROR(I287,0)+T287+IFERROR(AH287,0),0)</f>
        <v/>
      </c>
      <c r="V287" s="256" t="n"/>
      <c r="W287" s="257" t="n"/>
      <c r="X287" s="256" t="n"/>
      <c r="Y287" s="258" t="n"/>
      <c r="Z287" s="259" t="n"/>
      <c r="AA287" s="259" t="n"/>
      <c r="AB287" s="258" t="n"/>
      <c r="AC287" s="256" t="n"/>
      <c r="AD287" s="256" t="n"/>
      <c r="AE287" s="256" t="n"/>
      <c r="AF287" s="256" t="n"/>
      <c r="AG287" s="256" t="n"/>
      <c r="AH287" s="256">
        <f>IFERROR(IFERROR(V287,0)+IFERROR(AC287,0)+IFERROR(AD287,0)+IFERROR(AE287,0)+IFERROR(AF287,0)+IFERROR(AG287,0),0)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IFERROR(H288+IFERROR(I288,0)+T288+IFERROR(AH288,0),0)</f>
        <v/>
      </c>
      <c r="V288" s="256" t="n"/>
      <c r="W288" s="257" t="n"/>
      <c r="X288" s="256" t="n"/>
      <c r="Y288" s="258" t="n"/>
      <c r="Z288" s="259" t="n"/>
      <c r="AA288" s="259" t="n"/>
      <c r="AB288" s="258" t="n"/>
      <c r="AC288" s="256" t="n"/>
      <c r="AD288" s="256" t="n"/>
      <c r="AE288" s="256" t="n"/>
      <c r="AF288" s="256" t="n"/>
      <c r="AG288" s="256" t="n"/>
      <c r="AH288" s="256">
        <f>IFERROR(IFERROR(V288,0)+IFERROR(AC288,0)+IFERROR(AD288,0)+IFERROR(AE288,0)+IFERROR(AF288,0)+IFERROR(AG288,0),0)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IFERROR(H289+IFERROR(I289,0)+T289+IFERROR(AH289,0),0)</f>
        <v/>
      </c>
      <c r="V289" s="256" t="n"/>
      <c r="W289" s="257" t="n"/>
      <c r="X289" s="256" t="n"/>
      <c r="Y289" s="258" t="n"/>
      <c r="Z289" s="259" t="n"/>
      <c r="AA289" s="259" t="n"/>
      <c r="AB289" s="258" t="n"/>
      <c r="AC289" s="256" t="n"/>
      <c r="AD289" s="256" t="n"/>
      <c r="AE289" s="256" t="n"/>
      <c r="AF289" s="256" t="n"/>
      <c r="AG289" s="256" t="n"/>
      <c r="AH289" s="256">
        <f>IFERROR(IFERROR(V289,0)+IFERROR(AC289,0)+IFERROR(AD289,0)+IFERROR(AE289,0)+IFERROR(AF289,0)+IFERROR(AG289,0),0)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IFERROR(H290+IFERROR(I290,0)+T290+IFERROR(AH290,0),0)</f>
        <v/>
      </c>
      <c r="V290" s="256" t="n"/>
      <c r="W290" s="257" t="n"/>
      <c r="X290" s="256" t="n"/>
      <c r="Y290" s="258" t="n"/>
      <c r="Z290" s="259" t="n"/>
      <c r="AA290" s="259" t="n"/>
      <c r="AB290" s="258" t="n"/>
      <c r="AC290" s="256" t="n"/>
      <c r="AD290" s="256" t="n"/>
      <c r="AE290" s="256" t="n"/>
      <c r="AF290" s="256" t="n"/>
      <c r="AG290" s="256" t="n"/>
      <c r="AH290" s="256">
        <f>IFERROR(IFERROR(V290,0)+IFERROR(AC290,0)+IFERROR(AD290,0)+IFERROR(AE290,0)+IFERROR(AF290,0)+IFERROR(AG290,0),0)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IFERROR(H291+IFERROR(I291,0)+T291+IFERROR(AH291,0),0)</f>
        <v/>
      </c>
      <c r="V291" s="256" t="n"/>
      <c r="W291" s="257" t="n"/>
      <c r="X291" s="256" t="n"/>
      <c r="Y291" s="258" t="n"/>
      <c r="Z291" s="259" t="n"/>
      <c r="AA291" s="259" t="n"/>
      <c r="AB291" s="258" t="n"/>
      <c r="AC291" s="256" t="n"/>
      <c r="AD291" s="256" t="n"/>
      <c r="AE291" s="256" t="n"/>
      <c r="AF291" s="256" t="n"/>
      <c r="AG291" s="256" t="n"/>
      <c r="AH291" s="256">
        <f>IFERROR(IFERROR(V291,0)+IFERROR(AC291,0)+IFERROR(AD291,0)+IFERROR(AE291,0)+IFERROR(AF291,0)+IFERROR(AG291,0),0)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IFERROR(H292+IFERROR(I292,0)+T292+IFERROR(AH292,0),0)</f>
        <v/>
      </c>
      <c r="V292" s="256" t="n"/>
      <c r="W292" s="257" t="n"/>
      <c r="X292" s="256" t="n"/>
      <c r="Y292" s="258" t="n"/>
      <c r="Z292" s="259" t="n"/>
      <c r="AA292" s="259" t="n"/>
      <c r="AB292" s="258" t="n"/>
      <c r="AC292" s="256" t="n"/>
      <c r="AD292" s="256" t="n"/>
      <c r="AE292" s="256" t="n"/>
      <c r="AF292" s="256" t="n"/>
      <c r="AG292" s="256" t="n"/>
      <c r="AH292" s="256">
        <f>IFERROR(IFERROR(V292,0)+IFERROR(AC292,0)+IFERROR(AD292,0)+IFERROR(AE292,0)+IFERROR(AF292,0)+IFERROR(AG292,0),0)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IFERROR(H293+IFERROR(I293,0)+T293+IFERROR(AH293,0),0)</f>
        <v/>
      </c>
      <c r="V293" s="256" t="n"/>
      <c r="W293" s="257" t="n"/>
      <c r="X293" s="256" t="n"/>
      <c r="Y293" s="258" t="n"/>
      <c r="Z293" s="259" t="n"/>
      <c r="AA293" s="259" t="n"/>
      <c r="AB293" s="258" t="n"/>
      <c r="AC293" s="256" t="n"/>
      <c r="AD293" s="256" t="n"/>
      <c r="AE293" s="256" t="n"/>
      <c r="AF293" s="256" t="n"/>
      <c r="AG293" s="256" t="n"/>
      <c r="AH293" s="256">
        <f>IFERROR(IFERROR(V293,0)+IFERROR(AC293,0)+IFERROR(AD293,0)+IFERROR(AE293,0)+IFERROR(AF293,0)+IFERROR(AG293,0),0)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IFERROR(H294+IFERROR(I294,0)+T294+IFERROR(AH294,0),0)</f>
        <v/>
      </c>
      <c r="V294" s="256" t="n"/>
      <c r="W294" s="257" t="n"/>
      <c r="X294" s="256" t="n"/>
      <c r="Y294" s="258" t="n"/>
      <c r="Z294" s="259" t="n"/>
      <c r="AA294" s="259" t="n"/>
      <c r="AB294" s="258" t="n"/>
      <c r="AC294" s="256" t="n"/>
      <c r="AD294" s="256" t="n"/>
      <c r="AE294" s="256" t="n"/>
      <c r="AF294" s="256" t="n"/>
      <c r="AG294" s="256" t="n"/>
      <c r="AH294" s="256">
        <f>IFERROR(IFERROR(V294,0)+IFERROR(AC294,0)+IFERROR(AD294,0)+IFERROR(AE294,0)+IFERROR(AF294,0)+IFERROR(AG294,0),0)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IFERROR(H295+IFERROR(I295,0)+T295+IFERROR(AH295,0),0)</f>
        <v/>
      </c>
      <c r="V295" s="256" t="n"/>
      <c r="W295" s="257" t="n"/>
      <c r="X295" s="256" t="n"/>
      <c r="Y295" s="258" t="n"/>
      <c r="Z295" s="259" t="n"/>
      <c r="AA295" s="259" t="n"/>
      <c r="AB295" s="258" t="n"/>
      <c r="AC295" s="256" t="n"/>
      <c r="AD295" s="256" t="n"/>
      <c r="AE295" s="256" t="n"/>
      <c r="AF295" s="256" t="n"/>
      <c r="AG295" s="256" t="n"/>
      <c r="AH295" s="256">
        <f>IFERROR(IFERROR(V295,0)+IFERROR(AC295,0)+IFERROR(AD295,0)+IFERROR(AE295,0)+IFERROR(AF295,0)+IFERROR(AG295,0),0)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IFERROR(H296+IFERROR(I296,0)+T296+IFERROR(AH296,0),0)</f>
        <v/>
      </c>
      <c r="V296" s="256" t="n"/>
      <c r="W296" s="257" t="n"/>
      <c r="X296" s="256" t="n"/>
      <c r="Y296" s="258" t="n"/>
      <c r="Z296" s="259" t="n"/>
      <c r="AA296" s="259" t="n"/>
      <c r="AB296" s="258" t="n"/>
      <c r="AC296" s="256" t="n"/>
      <c r="AD296" s="256" t="n"/>
      <c r="AE296" s="256" t="n"/>
      <c r="AF296" s="256" t="n"/>
      <c r="AG296" s="256" t="n"/>
      <c r="AH296" s="256">
        <f>IFERROR(IFERROR(V296,0)+IFERROR(AC296,0)+IFERROR(AD296,0)+IFERROR(AE296,0)+IFERROR(AF296,0)+IFERROR(AG296,0),0)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IFERROR(H297+IFERROR(I297,0)+T297+IFERROR(AH297,0),0)</f>
        <v/>
      </c>
      <c r="V297" s="256" t="n"/>
      <c r="W297" s="257" t="n"/>
      <c r="X297" s="256" t="n"/>
      <c r="Y297" s="258" t="n"/>
      <c r="Z297" s="259" t="n"/>
      <c r="AA297" s="259" t="n"/>
      <c r="AB297" s="258" t="n"/>
      <c r="AC297" s="256" t="n"/>
      <c r="AD297" s="256" t="n"/>
      <c r="AE297" s="256" t="n"/>
      <c r="AF297" s="256" t="n"/>
      <c r="AG297" s="256" t="n"/>
      <c r="AH297" s="256">
        <f>IFERROR(IFERROR(V297,0)+IFERROR(AC297,0)+IFERROR(AD297,0)+IFERROR(AE297,0)+IFERROR(AF297,0)+IFERROR(AG297,0),0)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IFERROR(H298+IFERROR(I298,0)+T298+IFERROR(AH298,0),0)</f>
        <v/>
      </c>
      <c r="V298" s="256" t="n"/>
      <c r="W298" s="257" t="n"/>
      <c r="X298" s="256" t="n"/>
      <c r="Y298" s="258" t="n"/>
      <c r="Z298" s="259" t="n"/>
      <c r="AA298" s="259" t="n"/>
      <c r="AB298" s="258" t="n"/>
      <c r="AC298" s="256" t="n"/>
      <c r="AD298" s="256" t="n"/>
      <c r="AE298" s="256" t="n"/>
      <c r="AF298" s="256" t="n"/>
      <c r="AG298" s="256" t="n"/>
      <c r="AH298" s="256">
        <f>IFERROR(IFERROR(V298,0)+IFERROR(AC298,0)+IFERROR(AD298,0)+IFERROR(AE298,0)+IFERROR(AF298,0)+IFERROR(AG298,0),0)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IFERROR(H299+IFERROR(I299,0)+T299+IFERROR(AH299,0),0)</f>
        <v/>
      </c>
      <c r="V299" s="256" t="n"/>
      <c r="W299" s="257" t="n"/>
      <c r="X299" s="256" t="n"/>
      <c r="Y299" s="258" t="n"/>
      <c r="Z299" s="259" t="n"/>
      <c r="AA299" s="259" t="n"/>
      <c r="AB299" s="258" t="n"/>
      <c r="AC299" s="256" t="n"/>
      <c r="AD299" s="256" t="n"/>
      <c r="AE299" s="256" t="n"/>
      <c r="AF299" s="256" t="n"/>
      <c r="AG299" s="256" t="n"/>
      <c r="AH299" s="256">
        <f>IFERROR(IFERROR(V299,0)+IFERROR(AC299,0)+IFERROR(AD299,0)+IFERROR(AE299,0)+IFERROR(AF299,0)+IFERROR(AG299,0),0)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IFERROR(H300+IFERROR(I300,0)+T300+IFERROR(AH300,0),0)</f>
        <v/>
      </c>
      <c r="V300" s="256" t="n"/>
      <c r="W300" s="257" t="n"/>
      <c r="X300" s="256" t="n"/>
      <c r="Y300" s="258" t="n"/>
      <c r="Z300" s="259" t="n"/>
      <c r="AA300" s="259" t="n"/>
      <c r="AB300" s="258" t="n"/>
      <c r="AC300" s="256" t="n"/>
      <c r="AD300" s="256" t="n"/>
      <c r="AE300" s="256" t="n"/>
      <c r="AF300" s="256" t="n"/>
      <c r="AG300" s="256" t="n"/>
      <c r="AH300" s="256">
        <f>IFERROR(IFERROR(V300,0)+IFERROR(AC300,0)+IFERROR(AD300,0)+IFERROR(AE300,0)+IFERROR(AF300,0)+IFERROR(AG300,0),0)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IFERROR(H301+IFERROR(I301,0)+T301+IFERROR(AH301,0),0)</f>
        <v/>
      </c>
      <c r="V301" s="256" t="n"/>
      <c r="W301" s="257" t="n"/>
      <c r="X301" s="256" t="n"/>
      <c r="Y301" s="258" t="n"/>
      <c r="Z301" s="259" t="n"/>
      <c r="AA301" s="259" t="n"/>
      <c r="AB301" s="258" t="n"/>
      <c r="AC301" s="256" t="n"/>
      <c r="AD301" s="256" t="n"/>
      <c r="AE301" s="256" t="n"/>
      <c r="AF301" s="256" t="n"/>
      <c r="AG301" s="256" t="n"/>
      <c r="AH301" s="256">
        <f>IFERROR(IFERROR(V301,0)+IFERROR(AC301,0)+IFERROR(AD301,0)+IFERROR(AE301,0)+IFERROR(AF301,0)+IFERROR(AG301,0),0)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IFERROR(H302+IFERROR(I302,0)+T302+IFERROR(AH302,0),0)</f>
        <v/>
      </c>
      <c r="V302" s="256" t="n"/>
      <c r="W302" s="257" t="n"/>
      <c r="X302" s="256" t="n"/>
      <c r="Y302" s="258" t="n"/>
      <c r="Z302" s="259" t="n"/>
      <c r="AA302" s="259" t="n"/>
      <c r="AB302" s="258" t="n"/>
      <c r="AC302" s="256" t="n"/>
      <c r="AD302" s="256" t="n"/>
      <c r="AE302" s="256" t="n"/>
      <c r="AF302" s="256" t="n"/>
      <c r="AG302" s="256" t="n"/>
      <c r="AH302" s="256">
        <f>IFERROR(IFERROR(V302,0)+IFERROR(AC302,0)+IFERROR(AD302,0)+IFERROR(AE302,0)+IFERROR(AF302,0)+IFERROR(AG302,0),0)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IFERROR(H303+IFERROR(I303,0)+T303+IFERROR(AH303,0),0)</f>
        <v/>
      </c>
      <c r="V303" s="256" t="n"/>
      <c r="W303" s="257" t="n"/>
      <c r="X303" s="256" t="n"/>
      <c r="Y303" s="258" t="n"/>
      <c r="Z303" s="259" t="n"/>
      <c r="AA303" s="259" t="n"/>
      <c r="AB303" s="258" t="n"/>
      <c r="AC303" s="256" t="n"/>
      <c r="AD303" s="256" t="n"/>
      <c r="AE303" s="256" t="n"/>
      <c r="AF303" s="256" t="n"/>
      <c r="AG303" s="256" t="n"/>
      <c r="AH303" s="256">
        <f>IFERROR(IFERROR(V303,0)+IFERROR(AC303,0)+IFERROR(AD303,0)+IFERROR(AE303,0)+IFERROR(AF303,0)+IFERROR(AG303,0),0)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IFERROR(H304+IFERROR(I304,0)+T304+IFERROR(AH304,0),0)</f>
        <v/>
      </c>
      <c r="V304" s="256" t="n"/>
      <c r="W304" s="257" t="n"/>
      <c r="X304" s="256" t="n"/>
      <c r="Y304" s="258" t="n"/>
      <c r="Z304" s="259" t="n"/>
      <c r="AA304" s="259" t="n"/>
      <c r="AB304" s="258" t="n"/>
      <c r="AC304" s="256" t="n"/>
      <c r="AD304" s="256" t="n"/>
      <c r="AE304" s="256" t="n"/>
      <c r="AF304" s="256" t="n"/>
      <c r="AG304" s="256" t="n"/>
      <c r="AH304" s="256">
        <f>IFERROR(IFERROR(V304,0)+IFERROR(AC304,0)+IFERROR(AD304,0)+IFERROR(AE304,0)+IFERROR(AF304,0)+IFERROR(AG304,0),0)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IFERROR(H305+IFERROR(I305,0)+T305+IFERROR(AH305,0),0)</f>
        <v/>
      </c>
      <c r="V305" s="256" t="n"/>
      <c r="W305" s="257" t="n"/>
      <c r="X305" s="256" t="n"/>
      <c r="Y305" s="258" t="n"/>
      <c r="Z305" s="259" t="n"/>
      <c r="AA305" s="259" t="n"/>
      <c r="AB305" s="258" t="n"/>
      <c r="AC305" s="256" t="n"/>
      <c r="AD305" s="256" t="n"/>
      <c r="AE305" s="256" t="n"/>
      <c r="AF305" s="256" t="n"/>
      <c r="AG305" s="256" t="n"/>
      <c r="AH305" s="256">
        <f>IFERROR(IFERROR(V305,0)+IFERROR(AC305,0)+IFERROR(AD305,0)+IFERROR(AE305,0)+IFERROR(AF305,0)+IFERROR(AG305,0),0)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IFERROR(H306+IFERROR(I306,0)+T306+IFERROR(AH306,0),0)</f>
        <v/>
      </c>
      <c r="V306" s="256" t="n"/>
      <c r="W306" s="257" t="n"/>
      <c r="X306" s="256" t="n"/>
      <c r="Y306" s="258" t="n"/>
      <c r="Z306" s="259" t="n"/>
      <c r="AA306" s="259" t="n"/>
      <c r="AB306" s="258" t="n"/>
      <c r="AC306" s="256" t="n"/>
      <c r="AD306" s="256" t="n"/>
      <c r="AE306" s="256" t="n"/>
      <c r="AF306" s="256" t="n"/>
      <c r="AG306" s="256" t="n"/>
      <c r="AH306" s="256">
        <f>IFERROR(IFERROR(V306,0)+IFERROR(AC306,0)+IFERROR(AD306,0)+IFERROR(AE306,0)+IFERROR(AF306,0)+IFERROR(AG306,0),0)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IFERROR(H307+IFERROR(I307,0)+T307+IFERROR(AH307,0),0)</f>
        <v/>
      </c>
      <c r="V307" s="256" t="n"/>
      <c r="W307" s="257" t="n"/>
      <c r="X307" s="256" t="n"/>
      <c r="Y307" s="258" t="n"/>
      <c r="Z307" s="259" t="n"/>
      <c r="AA307" s="259" t="n"/>
      <c r="AB307" s="258" t="n"/>
      <c r="AC307" s="256" t="n"/>
      <c r="AD307" s="256" t="n"/>
      <c r="AE307" s="256" t="n"/>
      <c r="AF307" s="256" t="n"/>
      <c r="AG307" s="256" t="n"/>
      <c r="AH307" s="256">
        <f>IFERROR(IFERROR(V307,0)+IFERROR(AC307,0)+IFERROR(AD307,0)+IFERROR(AE307,0)+IFERROR(AF307,0)+IFERROR(AG307,0),0)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IFERROR(H308+IFERROR(I308,0)+T308+IFERROR(AH308,0),0)</f>
        <v/>
      </c>
      <c r="V308" s="256" t="n"/>
      <c r="W308" s="257" t="n"/>
      <c r="X308" s="256" t="n"/>
      <c r="Y308" s="258" t="n"/>
      <c r="Z308" s="259" t="n"/>
      <c r="AA308" s="259" t="n"/>
      <c r="AB308" s="258" t="n"/>
      <c r="AC308" s="256" t="n"/>
      <c r="AD308" s="256" t="n"/>
      <c r="AE308" s="256" t="n"/>
      <c r="AF308" s="256" t="n"/>
      <c r="AG308" s="256" t="n"/>
      <c r="AH308" s="256">
        <f>IFERROR(IFERROR(V308,0)+IFERROR(AC308,0)+IFERROR(AD308,0)+IFERROR(AE308,0)+IFERROR(AF308,0)+IFERROR(AG308,0),0)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IFERROR(H309+IFERROR(I309,0)+T309+IFERROR(AH309,0),0)</f>
        <v/>
      </c>
      <c r="V309" s="256" t="n"/>
      <c r="W309" s="257" t="n"/>
      <c r="X309" s="256" t="n"/>
      <c r="Y309" s="258" t="n"/>
      <c r="Z309" s="259" t="n"/>
      <c r="AA309" s="259" t="n"/>
      <c r="AB309" s="258" t="n"/>
      <c r="AC309" s="256" t="n"/>
      <c r="AD309" s="256" t="n"/>
      <c r="AE309" s="256" t="n"/>
      <c r="AF309" s="256" t="n"/>
      <c r="AG309" s="256" t="n"/>
      <c r="AH309" s="256">
        <f>IFERROR(IFERROR(V309,0)+IFERROR(AC309,0)+IFERROR(AD309,0)+IFERROR(AE309,0)+IFERROR(AF309,0)+IFERROR(AG309,0),0)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IFERROR(H310+IFERROR(I310,0)+T310+IFERROR(AH310,0),0)</f>
        <v/>
      </c>
      <c r="V310" s="256" t="n"/>
      <c r="W310" s="257" t="n"/>
      <c r="X310" s="256" t="n"/>
      <c r="Y310" s="258" t="n"/>
      <c r="Z310" s="259" t="n"/>
      <c r="AA310" s="259" t="n"/>
      <c r="AB310" s="258" t="n"/>
      <c r="AC310" s="256" t="n"/>
      <c r="AD310" s="256" t="n"/>
      <c r="AE310" s="256" t="n"/>
      <c r="AF310" s="256" t="n"/>
      <c r="AG310" s="256" t="n"/>
      <c r="AH310" s="256">
        <f>IFERROR(IFERROR(V310,0)+IFERROR(AC310,0)+IFERROR(AD310,0)+IFERROR(AE310,0)+IFERROR(AF310,0)+IFERROR(AG310,0),0)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IFERROR(H311+IFERROR(I311,0)+T311+IFERROR(AH311,0),0)</f>
        <v/>
      </c>
      <c r="V311" s="256" t="n"/>
      <c r="W311" s="257" t="n"/>
      <c r="X311" s="256" t="n"/>
      <c r="Y311" s="258" t="n"/>
      <c r="Z311" s="259" t="n"/>
      <c r="AA311" s="259" t="n"/>
      <c r="AB311" s="258" t="n"/>
      <c r="AC311" s="256" t="n"/>
      <c r="AD311" s="256" t="n"/>
      <c r="AE311" s="256" t="n"/>
      <c r="AF311" s="256" t="n"/>
      <c r="AG311" s="256" t="n"/>
      <c r="AH311" s="256">
        <f>IFERROR(IFERROR(V311,0)+IFERROR(AC311,0)+IFERROR(AD311,0)+IFERROR(AE311,0)+IFERROR(AF311,0)+IFERROR(AG311,0),0)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IFERROR(H312+IFERROR(I312,0)+T312+IFERROR(AH312,0),0)</f>
        <v/>
      </c>
      <c r="V312" s="256" t="n"/>
      <c r="W312" s="257" t="n"/>
      <c r="X312" s="256" t="n"/>
      <c r="Y312" s="258" t="n"/>
      <c r="Z312" s="259" t="n"/>
      <c r="AA312" s="259" t="n"/>
      <c r="AB312" s="258" t="n"/>
      <c r="AC312" s="256" t="n"/>
      <c r="AD312" s="256" t="n"/>
      <c r="AE312" s="256" t="n"/>
      <c r="AF312" s="256" t="n"/>
      <c r="AG312" s="256" t="n"/>
      <c r="AH312" s="256">
        <f>IFERROR(IFERROR(V312,0)+IFERROR(AC312,0)+IFERROR(AD312,0)+IFERROR(AE312,0)+IFERROR(AF312,0)+IFERROR(AG312,0),0)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IFERROR(H313+IFERROR(I313,0)+T313+IFERROR(AH313,0),0)</f>
        <v/>
      </c>
      <c r="V313" s="256" t="n"/>
      <c r="W313" s="257" t="n"/>
      <c r="X313" s="256" t="n"/>
      <c r="Y313" s="258" t="n"/>
      <c r="Z313" s="259" t="n"/>
      <c r="AA313" s="259" t="n"/>
      <c r="AB313" s="258" t="n"/>
      <c r="AC313" s="256" t="n"/>
      <c r="AD313" s="256" t="n"/>
      <c r="AE313" s="256" t="n"/>
      <c r="AF313" s="256" t="n"/>
      <c r="AG313" s="256" t="n"/>
      <c r="AH313" s="256">
        <f>IFERROR(IFERROR(V313,0)+IFERROR(AC313,0)+IFERROR(AD313,0)+IFERROR(AE313,0)+IFERROR(AF313,0)+IFERROR(AG313,0),0)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IFERROR(H314+IFERROR(I314,0)+T314+IFERROR(AH314,0),0)</f>
        <v/>
      </c>
      <c r="V314" s="256" t="n"/>
      <c r="W314" s="257" t="n"/>
      <c r="X314" s="256" t="n"/>
      <c r="Y314" s="258" t="n"/>
      <c r="Z314" s="259" t="n"/>
      <c r="AA314" s="259" t="n"/>
      <c r="AB314" s="258" t="n"/>
      <c r="AC314" s="256" t="n"/>
      <c r="AD314" s="256" t="n"/>
      <c r="AE314" s="256" t="n"/>
      <c r="AF314" s="256" t="n"/>
      <c r="AG314" s="256" t="n"/>
      <c r="AH314" s="256">
        <f>IFERROR(IFERROR(V314,0)+IFERROR(AC314,0)+IFERROR(AD314,0)+IFERROR(AE314,0)+IFERROR(AF314,0)+IFERROR(AG314,0),0)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IFERROR(H315+IFERROR(I315,0)+T315+IFERROR(AH315,0),0)</f>
        <v/>
      </c>
      <c r="V315" s="256" t="n"/>
      <c r="W315" s="257" t="n"/>
      <c r="X315" s="256" t="n"/>
      <c r="Y315" s="258" t="n"/>
      <c r="Z315" s="259" t="n"/>
      <c r="AA315" s="259" t="n"/>
      <c r="AB315" s="258" t="n"/>
      <c r="AC315" s="256" t="n"/>
      <c r="AD315" s="256" t="n"/>
      <c r="AE315" s="256" t="n"/>
      <c r="AF315" s="256" t="n"/>
      <c r="AG315" s="256" t="n"/>
      <c r="AH315" s="256">
        <f>IFERROR(IFERROR(V315,0)+IFERROR(AC315,0)+IFERROR(AD315,0)+IFERROR(AE315,0)+IFERROR(AF315,0)+IFERROR(AG315,0),0)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IFERROR(H316+IFERROR(I316,0)+T316+IFERROR(AH316,0),0)</f>
        <v/>
      </c>
      <c r="V316" s="256" t="n"/>
      <c r="W316" s="257" t="n"/>
      <c r="X316" s="256" t="n"/>
      <c r="Y316" s="258" t="n"/>
      <c r="Z316" s="259" t="n"/>
      <c r="AA316" s="259" t="n"/>
      <c r="AB316" s="258" t="n"/>
      <c r="AC316" s="256" t="n"/>
      <c r="AD316" s="256" t="n"/>
      <c r="AE316" s="256" t="n"/>
      <c r="AF316" s="256" t="n"/>
      <c r="AG316" s="256" t="n"/>
      <c r="AH316" s="256">
        <f>IFERROR(IFERROR(V316,0)+IFERROR(AC316,0)+IFERROR(AD316,0)+IFERROR(AE316,0)+IFERROR(AF316,0)+IFERROR(AG316,0),0)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IFERROR(H317+IFERROR(I317,0)+T317+IFERROR(AH317,0),0)</f>
        <v/>
      </c>
      <c r="V317" s="256" t="n"/>
      <c r="W317" s="257" t="n"/>
      <c r="X317" s="256" t="n"/>
      <c r="Y317" s="258" t="n"/>
      <c r="Z317" s="259" t="n"/>
      <c r="AA317" s="259" t="n"/>
      <c r="AB317" s="258" t="n"/>
      <c r="AC317" s="256" t="n"/>
      <c r="AD317" s="256" t="n"/>
      <c r="AE317" s="256" t="n"/>
      <c r="AF317" s="256" t="n"/>
      <c r="AG317" s="256" t="n"/>
      <c r="AH317" s="256">
        <f>IFERROR(IFERROR(V317,0)+IFERROR(AC317,0)+IFERROR(AD317,0)+IFERROR(AE317,0)+IFERROR(AF317,0)+IFERROR(AG317,0),0)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IFERROR(H318+IFERROR(I318,0)+T318+IFERROR(AH318,0),0)</f>
        <v/>
      </c>
      <c r="V318" s="256" t="n"/>
      <c r="W318" s="257" t="n"/>
      <c r="X318" s="256" t="n"/>
      <c r="Y318" s="258" t="n"/>
      <c r="Z318" s="259" t="n"/>
      <c r="AA318" s="259" t="n"/>
      <c r="AB318" s="258" t="n"/>
      <c r="AC318" s="256" t="n"/>
      <c r="AD318" s="256" t="n"/>
      <c r="AE318" s="256" t="n"/>
      <c r="AF318" s="256" t="n"/>
      <c r="AG318" s="256" t="n"/>
      <c r="AH318" s="256">
        <f>IFERROR(IFERROR(V318,0)+IFERROR(AC318,0)+IFERROR(AD318,0)+IFERROR(AE318,0)+IFERROR(AF318,0)+IFERROR(AG318,0),0)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IFERROR(H319+IFERROR(I319,0)+T319+IFERROR(AH319,0),0)</f>
        <v/>
      </c>
      <c r="V319" s="256" t="n"/>
      <c r="W319" s="257" t="n"/>
      <c r="X319" s="256" t="n"/>
      <c r="Y319" s="258" t="n"/>
      <c r="Z319" s="259" t="n"/>
      <c r="AA319" s="259" t="n"/>
      <c r="AB319" s="258" t="n"/>
      <c r="AC319" s="256" t="n"/>
      <c r="AD319" s="256" t="n"/>
      <c r="AE319" s="256" t="n"/>
      <c r="AF319" s="256" t="n"/>
      <c r="AG319" s="256" t="n"/>
      <c r="AH319" s="256">
        <f>IFERROR(IFERROR(V319,0)+IFERROR(AC319,0)+IFERROR(AD319,0)+IFERROR(AE319,0)+IFERROR(AF319,0)+IFERROR(AG319,0),0)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IFERROR(H320+IFERROR(I320,0)+T320+IFERROR(AH320,0),0)</f>
        <v/>
      </c>
      <c r="V320" s="256" t="n"/>
      <c r="W320" s="257" t="n"/>
      <c r="X320" s="256" t="n"/>
      <c r="Y320" s="258" t="n"/>
      <c r="Z320" s="259" t="n"/>
      <c r="AA320" s="259" t="n"/>
      <c r="AB320" s="258" t="n"/>
      <c r="AC320" s="256" t="n"/>
      <c r="AD320" s="256" t="n"/>
      <c r="AE320" s="256" t="n"/>
      <c r="AF320" s="256" t="n"/>
      <c r="AG320" s="256" t="n"/>
      <c r="AH320" s="256">
        <f>IFERROR(IFERROR(V320,0)+IFERROR(AC320,0)+IFERROR(AD320,0)+IFERROR(AE320,0)+IFERROR(AF320,0)+IFERROR(AG320,0),0)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IFERROR(H321+IFERROR(I321,0)+T321+IFERROR(AH321,0),0)</f>
        <v/>
      </c>
      <c r="V321" s="256" t="n"/>
      <c r="W321" s="257" t="n"/>
      <c r="X321" s="256" t="n"/>
      <c r="Y321" s="258" t="n"/>
      <c r="Z321" s="259" t="n"/>
      <c r="AA321" s="259" t="n"/>
      <c r="AB321" s="258" t="n"/>
      <c r="AC321" s="256" t="n"/>
      <c r="AD321" s="256" t="n"/>
      <c r="AE321" s="256" t="n"/>
      <c r="AF321" s="256" t="n"/>
      <c r="AG321" s="256" t="n"/>
      <c r="AH321" s="256">
        <f>IFERROR(IFERROR(V321,0)+IFERROR(AC321,0)+IFERROR(AD321,0)+IFERROR(AE321,0)+IFERROR(AF321,0)+IFERROR(AG321,0),0)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IFERROR(H322+IFERROR(I322,0)+T322+IFERROR(AH322,0),0)</f>
        <v/>
      </c>
      <c r="V322" s="256" t="n"/>
      <c r="W322" s="257" t="n"/>
      <c r="X322" s="256" t="n"/>
      <c r="Y322" s="258" t="n"/>
      <c r="Z322" s="259" t="n"/>
      <c r="AA322" s="259" t="n"/>
      <c r="AB322" s="258" t="n"/>
      <c r="AC322" s="256" t="n"/>
      <c r="AD322" s="256" t="n"/>
      <c r="AE322" s="256" t="n"/>
      <c r="AF322" s="256" t="n"/>
      <c r="AG322" s="256" t="n"/>
      <c r="AH322" s="256">
        <f>IFERROR(IFERROR(V322,0)+IFERROR(AC322,0)+IFERROR(AD322,0)+IFERROR(AE322,0)+IFERROR(AF322,0)+IFERROR(AG322,0),0)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IFERROR(H323+IFERROR(I323,0)+T323+IFERROR(AH323,0),0)</f>
        <v/>
      </c>
      <c r="V323" s="256" t="n"/>
      <c r="W323" s="257" t="n"/>
      <c r="X323" s="256" t="n"/>
      <c r="Y323" s="258" t="n"/>
      <c r="Z323" s="259" t="n"/>
      <c r="AA323" s="259" t="n"/>
      <c r="AB323" s="258" t="n"/>
      <c r="AC323" s="256" t="n"/>
      <c r="AD323" s="256" t="n"/>
      <c r="AE323" s="256" t="n"/>
      <c r="AF323" s="256" t="n"/>
      <c r="AG323" s="256" t="n"/>
      <c r="AH323" s="256">
        <f>IFERROR(IFERROR(V323,0)+IFERROR(AC323,0)+IFERROR(AD323,0)+IFERROR(AE323,0)+IFERROR(AF323,0)+IFERROR(AG323,0),0)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IFERROR(H324+IFERROR(I324,0)+T324+IFERROR(AH324,0),0)</f>
        <v/>
      </c>
      <c r="V324" s="256" t="n"/>
      <c r="W324" s="257" t="n"/>
      <c r="X324" s="256" t="n"/>
      <c r="Y324" s="258" t="n"/>
      <c r="Z324" s="259" t="n"/>
      <c r="AA324" s="259" t="n"/>
      <c r="AB324" s="258" t="n"/>
      <c r="AC324" s="256" t="n"/>
      <c r="AD324" s="256" t="n"/>
      <c r="AE324" s="256" t="n"/>
      <c r="AF324" s="256" t="n"/>
      <c r="AG324" s="256" t="n"/>
      <c r="AH324" s="256">
        <f>IFERROR(IFERROR(V324,0)+IFERROR(AC324,0)+IFERROR(AD324,0)+IFERROR(AE324,0)+IFERROR(AF324,0)+IFERROR(AG324,0),0)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IFERROR(H325+IFERROR(I325,0)+T325+IFERROR(AH325,0),0)</f>
        <v/>
      </c>
      <c r="V325" s="256" t="n"/>
      <c r="W325" s="257" t="n"/>
      <c r="X325" s="256" t="n"/>
      <c r="Y325" s="258" t="n"/>
      <c r="Z325" s="259" t="n"/>
      <c r="AA325" s="259" t="n"/>
      <c r="AB325" s="258" t="n"/>
      <c r="AC325" s="256" t="n"/>
      <c r="AD325" s="256" t="n"/>
      <c r="AE325" s="256" t="n"/>
      <c r="AF325" s="256" t="n"/>
      <c r="AG325" s="256" t="n"/>
      <c r="AH325" s="256">
        <f>IFERROR(IFERROR(V325,0)+IFERROR(AC325,0)+IFERROR(AD325,0)+IFERROR(AE325,0)+IFERROR(AF325,0)+IFERROR(AG325,0),0)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IFERROR(H326+IFERROR(I326,0)+T326+IFERROR(AH326,0),0)</f>
        <v/>
      </c>
      <c r="V326" s="256" t="n"/>
      <c r="W326" s="257" t="n"/>
      <c r="X326" s="256" t="n"/>
      <c r="Y326" s="258" t="n"/>
      <c r="Z326" s="259" t="n"/>
      <c r="AA326" s="259" t="n"/>
      <c r="AB326" s="258" t="n"/>
      <c r="AC326" s="256" t="n"/>
      <c r="AD326" s="256" t="n"/>
      <c r="AE326" s="256" t="n"/>
      <c r="AF326" s="256" t="n"/>
      <c r="AG326" s="256" t="n"/>
      <c r="AH326" s="256">
        <f>IFERROR(IFERROR(V326,0)+IFERROR(AC326,0)+IFERROR(AD326,0)+IFERROR(AE326,0)+IFERROR(AF326,0)+IFERROR(AG326,0),0)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IFERROR(H327+IFERROR(I327,0)+T327+IFERROR(AH327,0),0)</f>
        <v/>
      </c>
      <c r="V327" s="256" t="n"/>
      <c r="W327" s="257" t="n"/>
      <c r="X327" s="256" t="n"/>
      <c r="Y327" s="258" t="n"/>
      <c r="Z327" s="259" t="n"/>
      <c r="AA327" s="259" t="n"/>
      <c r="AB327" s="258" t="n"/>
      <c r="AC327" s="256" t="n"/>
      <c r="AD327" s="256" t="n"/>
      <c r="AE327" s="256" t="n"/>
      <c r="AF327" s="256" t="n"/>
      <c r="AG327" s="256" t="n"/>
      <c r="AH327" s="256">
        <f>IFERROR(IFERROR(V327,0)+IFERROR(AC327,0)+IFERROR(AD327,0)+IFERROR(AE327,0)+IFERROR(AF327,0)+IFERROR(AG327,0),0)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IFERROR(H328+IFERROR(I328,0)+T328+IFERROR(AH328,0),0)</f>
        <v/>
      </c>
      <c r="V328" s="256" t="n"/>
      <c r="W328" s="257" t="n"/>
      <c r="X328" s="256" t="n"/>
      <c r="Y328" s="258" t="n"/>
      <c r="Z328" s="259" t="n"/>
      <c r="AA328" s="259" t="n"/>
      <c r="AB328" s="258" t="n"/>
      <c r="AC328" s="256" t="n"/>
      <c r="AD328" s="256" t="n"/>
      <c r="AE328" s="256" t="n"/>
      <c r="AF328" s="256" t="n"/>
      <c r="AG328" s="256" t="n"/>
      <c r="AH328" s="256">
        <f>IFERROR(IFERROR(V328,0)+IFERROR(AC328,0)+IFERROR(AD328,0)+IFERROR(AE328,0)+IFERROR(AF328,0)+IFERROR(AG328,0),0)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IFERROR(H329+IFERROR(I329,0)+T329+IFERROR(AH329,0),0)</f>
        <v/>
      </c>
      <c r="V329" s="256" t="n"/>
      <c r="W329" s="257" t="n"/>
      <c r="X329" s="256" t="n"/>
      <c r="Y329" s="258" t="n"/>
      <c r="Z329" s="259" t="n"/>
      <c r="AA329" s="259" t="n"/>
      <c r="AB329" s="258" t="n"/>
      <c r="AC329" s="256" t="n"/>
      <c r="AD329" s="256" t="n"/>
      <c r="AE329" s="256" t="n"/>
      <c r="AF329" s="256" t="n"/>
      <c r="AG329" s="256" t="n"/>
      <c r="AH329" s="256">
        <f>IFERROR(IFERROR(V329,0)+IFERROR(AC329,0)+IFERROR(AD329,0)+IFERROR(AE329,0)+IFERROR(AF329,0)+IFERROR(AG329,0),0)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IFERROR(H330+IFERROR(I330,0)+T330+IFERROR(AH330,0),0)</f>
        <v/>
      </c>
      <c r="V330" s="256" t="n"/>
      <c r="W330" s="257" t="n"/>
      <c r="X330" s="256" t="n"/>
      <c r="Y330" s="258" t="n"/>
      <c r="Z330" s="259" t="n"/>
      <c r="AA330" s="259" t="n"/>
      <c r="AB330" s="258" t="n"/>
      <c r="AC330" s="256" t="n"/>
      <c r="AD330" s="256" t="n"/>
      <c r="AE330" s="256" t="n"/>
      <c r="AF330" s="256" t="n"/>
      <c r="AG330" s="256" t="n"/>
      <c r="AH330" s="256">
        <f>IFERROR(IFERROR(V330,0)+IFERROR(AC330,0)+IFERROR(AD330,0)+IFERROR(AE330,0)+IFERROR(AF330,0)+IFERROR(AG330,0),0)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IFERROR(H331+IFERROR(I331,0)+T331+IFERROR(AH331,0),0)</f>
        <v/>
      </c>
      <c r="V331" s="256" t="n"/>
      <c r="W331" s="257" t="n"/>
      <c r="X331" s="256" t="n"/>
      <c r="Y331" s="258" t="n"/>
      <c r="Z331" s="259" t="n"/>
      <c r="AA331" s="259" t="n"/>
      <c r="AB331" s="258" t="n"/>
      <c r="AC331" s="256" t="n"/>
      <c r="AD331" s="256" t="n"/>
      <c r="AE331" s="256" t="n"/>
      <c r="AF331" s="256" t="n"/>
      <c r="AG331" s="256" t="n"/>
      <c r="AH331" s="256">
        <f>IFERROR(IFERROR(V331,0)+IFERROR(AC331,0)+IFERROR(AD331,0)+IFERROR(AE331,0)+IFERROR(AF331,0)+IFERROR(AG331,0),0)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IFERROR(H332+IFERROR(I332,0)+T332+IFERROR(AH332,0),0)</f>
        <v/>
      </c>
      <c r="V332" s="256" t="n"/>
      <c r="W332" s="257" t="n"/>
      <c r="X332" s="256" t="n"/>
      <c r="Y332" s="258" t="n"/>
      <c r="Z332" s="259" t="n"/>
      <c r="AA332" s="259" t="n"/>
      <c r="AB332" s="258" t="n"/>
      <c r="AC332" s="256" t="n"/>
      <c r="AD332" s="256" t="n"/>
      <c r="AE332" s="256" t="n"/>
      <c r="AF332" s="256" t="n"/>
      <c r="AG332" s="256" t="n"/>
      <c r="AH332" s="256">
        <f>IFERROR(IFERROR(V332,0)+IFERROR(AC332,0)+IFERROR(AD332,0)+IFERROR(AE332,0)+IFERROR(AF332,0)+IFERROR(AG332,0),0)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IFERROR(H333+IFERROR(I333,0)+T333+IFERROR(AH333,0),0)</f>
        <v/>
      </c>
      <c r="V333" s="256" t="n"/>
      <c r="W333" s="257" t="n"/>
      <c r="X333" s="256" t="n"/>
      <c r="Y333" s="258" t="n"/>
      <c r="Z333" s="259" t="n"/>
      <c r="AA333" s="259" t="n"/>
      <c r="AB333" s="258" t="n"/>
      <c r="AC333" s="256" t="n"/>
      <c r="AD333" s="256" t="n"/>
      <c r="AE333" s="256" t="n"/>
      <c r="AF333" s="256" t="n"/>
      <c r="AG333" s="256" t="n"/>
      <c r="AH333" s="256">
        <f>IFERROR(IFERROR(V333,0)+IFERROR(AC333,0)+IFERROR(AD333,0)+IFERROR(AE333,0)+IFERROR(AF333,0)+IFERROR(AG333,0),0)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IFERROR(H334+IFERROR(I334,0)+T334+IFERROR(AH334,0),0)</f>
        <v/>
      </c>
      <c r="V334" s="256" t="n"/>
      <c r="W334" s="257" t="n"/>
      <c r="X334" s="256" t="n"/>
      <c r="Y334" s="258" t="n"/>
      <c r="Z334" s="259" t="n"/>
      <c r="AA334" s="259" t="n"/>
      <c r="AB334" s="258" t="n"/>
      <c r="AC334" s="256" t="n"/>
      <c r="AD334" s="256" t="n"/>
      <c r="AE334" s="256" t="n"/>
      <c r="AF334" s="256" t="n"/>
      <c r="AG334" s="256" t="n"/>
      <c r="AH334" s="256">
        <f>IFERROR(IFERROR(V334,0)+IFERROR(AC334,0)+IFERROR(AD334,0)+IFERROR(AE334,0)+IFERROR(AF334,0)+IFERROR(AG334,0),0)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IFERROR(H335+IFERROR(I335,0)+T335+IFERROR(AH335,0),0)</f>
        <v/>
      </c>
      <c r="V335" s="256" t="n"/>
      <c r="W335" s="257" t="n"/>
      <c r="X335" s="256" t="n"/>
      <c r="Y335" s="258" t="n"/>
      <c r="Z335" s="259" t="n"/>
      <c r="AA335" s="259" t="n"/>
      <c r="AB335" s="258" t="n"/>
      <c r="AC335" s="256" t="n"/>
      <c r="AD335" s="256" t="n"/>
      <c r="AE335" s="256" t="n"/>
      <c r="AF335" s="256" t="n"/>
      <c r="AG335" s="256" t="n"/>
      <c r="AH335" s="256">
        <f>IFERROR(IFERROR(V335,0)+IFERROR(AC335,0)+IFERROR(AD335,0)+IFERROR(AE335,0)+IFERROR(AF335,0)+IFERROR(AG335,0),0)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IFERROR(H336+IFERROR(I336,0)+T336+IFERROR(AH336,0),0)</f>
        <v/>
      </c>
      <c r="V336" s="256" t="n"/>
      <c r="W336" s="257" t="n"/>
      <c r="X336" s="256" t="n"/>
      <c r="Y336" s="258" t="n"/>
      <c r="Z336" s="259" t="n"/>
      <c r="AA336" s="259" t="n"/>
      <c r="AB336" s="258" t="n"/>
      <c r="AC336" s="256" t="n"/>
      <c r="AD336" s="256" t="n"/>
      <c r="AE336" s="256" t="n"/>
      <c r="AF336" s="256" t="n"/>
      <c r="AG336" s="256" t="n"/>
      <c r="AH336" s="256">
        <f>IFERROR(IFERROR(V336,0)+IFERROR(AC336,0)+IFERROR(AD336,0)+IFERROR(AE336,0)+IFERROR(AF336,0)+IFERROR(AG336,0),0)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IFERROR(H337+IFERROR(I337,0)+T337+IFERROR(AH337,0),0)</f>
        <v/>
      </c>
      <c r="V337" s="256" t="n"/>
      <c r="W337" s="257" t="n"/>
      <c r="X337" s="256" t="n"/>
      <c r="Y337" s="258" t="n"/>
      <c r="Z337" s="259" t="n"/>
      <c r="AA337" s="259" t="n"/>
      <c r="AB337" s="258" t="n"/>
      <c r="AC337" s="256" t="n"/>
      <c r="AD337" s="256" t="n"/>
      <c r="AE337" s="256" t="n"/>
      <c r="AF337" s="256" t="n"/>
      <c r="AG337" s="256" t="n"/>
      <c r="AH337" s="256">
        <f>IFERROR(IFERROR(V337,0)+IFERROR(AC337,0)+IFERROR(AD337,0)+IFERROR(AE337,0)+IFERROR(AF337,0)+IFERROR(AG337,0),0)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IFERROR(H338+IFERROR(I338,0)+T338+IFERROR(AH338,0),0)</f>
        <v/>
      </c>
      <c r="V338" s="256" t="n"/>
      <c r="W338" s="257" t="n"/>
      <c r="X338" s="256" t="n"/>
      <c r="Y338" s="258" t="n"/>
      <c r="Z338" s="259" t="n"/>
      <c r="AA338" s="259" t="n"/>
      <c r="AB338" s="258" t="n"/>
      <c r="AC338" s="256" t="n"/>
      <c r="AD338" s="256" t="n"/>
      <c r="AE338" s="256" t="n"/>
      <c r="AF338" s="256" t="n"/>
      <c r="AG338" s="256" t="n"/>
      <c r="AH338" s="256">
        <f>IFERROR(IFERROR(V338,0)+IFERROR(AC338,0)+IFERROR(AD338,0)+IFERROR(AE338,0)+IFERROR(AF338,0)+IFERROR(AG338,0),0)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IFERROR(H339+IFERROR(I339,0)+T339+IFERROR(AH339,0),0)</f>
        <v/>
      </c>
      <c r="V339" s="256" t="n"/>
      <c r="W339" s="257" t="n"/>
      <c r="X339" s="256" t="n"/>
      <c r="Y339" s="258" t="n"/>
      <c r="Z339" s="259" t="n"/>
      <c r="AA339" s="259" t="n"/>
      <c r="AB339" s="258" t="n"/>
      <c r="AC339" s="256" t="n"/>
      <c r="AD339" s="256" t="n"/>
      <c r="AE339" s="256" t="n"/>
      <c r="AF339" s="256" t="n"/>
      <c r="AG339" s="256" t="n"/>
      <c r="AH339" s="256">
        <f>IFERROR(IFERROR(V339,0)+IFERROR(AC339,0)+IFERROR(AD339,0)+IFERROR(AE339,0)+IFERROR(AF339,0)+IFERROR(AG339,0),0)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IFERROR(H340+IFERROR(I340,0)+T340+IFERROR(AH340,0),0)</f>
        <v/>
      </c>
      <c r="V340" s="256" t="n"/>
      <c r="W340" s="257" t="n"/>
      <c r="X340" s="256" t="n"/>
      <c r="Y340" s="258" t="n"/>
      <c r="Z340" s="259" t="n"/>
      <c r="AA340" s="259" t="n"/>
      <c r="AB340" s="258" t="n"/>
      <c r="AC340" s="256" t="n"/>
      <c r="AD340" s="256" t="n"/>
      <c r="AE340" s="256" t="n"/>
      <c r="AF340" s="256" t="n"/>
      <c r="AG340" s="256" t="n"/>
      <c r="AH340" s="256">
        <f>IFERROR(IFERROR(V340,0)+IFERROR(AC340,0)+IFERROR(AD340,0)+IFERROR(AE340,0)+IFERROR(AF340,0)+IFERROR(AG340,0),0)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IFERROR(H341+IFERROR(I341,0)+T341+IFERROR(AH341,0),0)</f>
        <v/>
      </c>
      <c r="V341" s="256" t="n"/>
      <c r="W341" s="257" t="n"/>
      <c r="X341" s="256" t="n"/>
      <c r="Y341" s="258" t="n"/>
      <c r="Z341" s="259" t="n"/>
      <c r="AA341" s="259" t="n"/>
      <c r="AB341" s="258" t="n"/>
      <c r="AC341" s="256" t="n"/>
      <c r="AD341" s="256" t="n"/>
      <c r="AE341" s="256" t="n"/>
      <c r="AF341" s="256" t="n"/>
      <c r="AG341" s="256" t="n"/>
      <c r="AH341" s="256">
        <f>IFERROR(IFERROR(V341,0)+IFERROR(AC341,0)+IFERROR(AD341,0)+IFERROR(AE341,0)+IFERROR(AF341,0)+IFERROR(AG341,0),0)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IFERROR(H342+IFERROR(I342,0)+T342+IFERROR(AH342,0),0)</f>
        <v/>
      </c>
      <c r="V342" s="256" t="n"/>
      <c r="W342" s="257" t="n"/>
      <c r="X342" s="256" t="n"/>
      <c r="Y342" s="258" t="n"/>
      <c r="Z342" s="259" t="n"/>
      <c r="AA342" s="259" t="n"/>
      <c r="AB342" s="258" t="n"/>
      <c r="AC342" s="256" t="n"/>
      <c r="AD342" s="256" t="n"/>
      <c r="AE342" s="256" t="n"/>
      <c r="AF342" s="256" t="n"/>
      <c r="AG342" s="256" t="n"/>
      <c r="AH342" s="256">
        <f>IFERROR(IFERROR(V342,0)+IFERROR(AC342,0)+IFERROR(AD342,0)+IFERROR(AE342,0)+IFERROR(AF342,0)+IFERROR(AG342,0),0)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IFERROR(H343+IFERROR(I343,0)+T343+IFERROR(AH343,0),0)</f>
        <v/>
      </c>
      <c r="V343" s="256" t="n"/>
      <c r="W343" s="257" t="n"/>
      <c r="X343" s="256" t="n"/>
      <c r="Y343" s="258" t="n"/>
      <c r="Z343" s="259" t="n"/>
      <c r="AA343" s="259" t="n"/>
      <c r="AB343" s="258" t="n"/>
      <c r="AC343" s="256" t="n"/>
      <c r="AD343" s="256" t="n"/>
      <c r="AE343" s="256" t="n"/>
      <c r="AF343" s="256" t="n"/>
      <c r="AG343" s="256" t="n"/>
      <c r="AH343" s="256">
        <f>IFERROR(IFERROR(V343,0)+IFERROR(AC343,0)+IFERROR(AD343,0)+IFERROR(AE343,0)+IFERROR(AF343,0)+IFERROR(AG343,0),0)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IFERROR(H344+IFERROR(I344,0)+T344+IFERROR(AH344,0),0)</f>
        <v/>
      </c>
      <c r="V344" s="256" t="n"/>
      <c r="W344" s="257" t="n"/>
      <c r="X344" s="256" t="n"/>
      <c r="Y344" s="258" t="n"/>
      <c r="Z344" s="259" t="n"/>
      <c r="AA344" s="259" t="n"/>
      <c r="AB344" s="258" t="n"/>
      <c r="AC344" s="256" t="n"/>
      <c r="AD344" s="256" t="n"/>
      <c r="AE344" s="256" t="n"/>
      <c r="AF344" s="256" t="n"/>
      <c r="AG344" s="256" t="n"/>
      <c r="AH344" s="256">
        <f>IFERROR(IFERROR(V344,0)+IFERROR(AC344,0)+IFERROR(AD344,0)+IFERROR(AE344,0)+IFERROR(AF344,0)+IFERROR(AG344,0),0)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IFERROR(H345+IFERROR(I345,0)+T345+IFERROR(AH345,0),0)</f>
        <v/>
      </c>
      <c r="V345" s="256" t="n"/>
      <c r="W345" s="257" t="n"/>
      <c r="X345" s="256" t="n"/>
      <c r="Y345" s="258" t="n"/>
      <c r="Z345" s="259" t="n"/>
      <c r="AA345" s="259" t="n"/>
      <c r="AB345" s="258" t="n"/>
      <c r="AC345" s="256" t="n"/>
      <c r="AD345" s="256" t="n"/>
      <c r="AE345" s="256" t="n"/>
      <c r="AF345" s="256" t="n"/>
      <c r="AG345" s="256" t="n"/>
      <c r="AH345" s="256">
        <f>IFERROR(IFERROR(V345,0)+IFERROR(AC345,0)+IFERROR(AD345,0)+IFERROR(AE345,0)+IFERROR(AF345,0)+IFERROR(AG345,0),0)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IFERROR(H346+IFERROR(I346,0)+T346+IFERROR(AH346,0),0)</f>
        <v/>
      </c>
      <c r="V346" s="256" t="n"/>
      <c r="W346" s="257" t="n"/>
      <c r="X346" s="256" t="n"/>
      <c r="Y346" s="258" t="n"/>
      <c r="Z346" s="259" t="n"/>
      <c r="AA346" s="259" t="n"/>
      <c r="AB346" s="258" t="n"/>
      <c r="AC346" s="256" t="n"/>
      <c r="AD346" s="256" t="n"/>
      <c r="AE346" s="256" t="n"/>
      <c r="AF346" s="256" t="n"/>
      <c r="AG346" s="256" t="n"/>
      <c r="AH346" s="256">
        <f>IFERROR(IFERROR(V346,0)+IFERROR(AC346,0)+IFERROR(AD346,0)+IFERROR(AE346,0)+IFERROR(AF346,0)+IFERROR(AG346,0),0)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IFERROR(H347+IFERROR(I347,0)+T347+IFERROR(AH347,0),0)</f>
        <v/>
      </c>
      <c r="V347" s="256" t="n"/>
      <c r="W347" s="257" t="n"/>
      <c r="X347" s="256" t="n"/>
      <c r="Y347" s="258" t="n"/>
      <c r="Z347" s="259" t="n"/>
      <c r="AA347" s="259" t="n"/>
      <c r="AB347" s="258" t="n"/>
      <c r="AC347" s="256" t="n"/>
      <c r="AD347" s="256" t="n"/>
      <c r="AE347" s="256" t="n"/>
      <c r="AF347" s="256" t="n"/>
      <c r="AG347" s="256" t="n"/>
      <c r="AH347" s="256">
        <f>IFERROR(IFERROR(V347,0)+IFERROR(AC347,0)+IFERROR(AD347,0)+IFERROR(AE347,0)+IFERROR(AF347,0)+IFERROR(AG347,0),0)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IFERROR(H348+IFERROR(I348,0)+T348+IFERROR(AH348,0),0)</f>
        <v/>
      </c>
      <c r="V348" s="256" t="n"/>
      <c r="W348" s="257" t="n"/>
      <c r="X348" s="256" t="n"/>
      <c r="Y348" s="258" t="n"/>
      <c r="Z348" s="259" t="n"/>
      <c r="AA348" s="259" t="n"/>
      <c r="AB348" s="258" t="n"/>
      <c r="AC348" s="256" t="n"/>
      <c r="AD348" s="256" t="n"/>
      <c r="AE348" s="256" t="n"/>
      <c r="AF348" s="256" t="n"/>
      <c r="AG348" s="256" t="n"/>
      <c r="AH348" s="256">
        <f>IFERROR(IFERROR(V348,0)+IFERROR(AC348,0)+IFERROR(AD348,0)+IFERROR(AE348,0)+IFERROR(AF348,0)+IFERROR(AG348,0),0)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IFERROR(H349+IFERROR(I349,0)+T349+IFERROR(AH349,0),0)</f>
        <v/>
      </c>
      <c r="V349" s="256" t="n"/>
      <c r="W349" s="257" t="n"/>
      <c r="X349" s="256" t="n"/>
      <c r="Y349" s="258" t="n"/>
      <c r="Z349" s="259" t="n"/>
      <c r="AA349" s="259" t="n"/>
      <c r="AB349" s="258" t="n"/>
      <c r="AC349" s="256" t="n"/>
      <c r="AD349" s="256" t="n"/>
      <c r="AE349" s="256" t="n"/>
      <c r="AF349" s="256" t="n"/>
      <c r="AG349" s="256" t="n"/>
      <c r="AH349" s="256">
        <f>IFERROR(IFERROR(V349,0)+IFERROR(AC349,0)+IFERROR(AD349,0)+IFERROR(AE349,0)+IFERROR(AF349,0)+IFERROR(AG349,0),0)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IFERROR(H350+IFERROR(I350,0)+T350+IFERROR(AH350,0),0)</f>
        <v/>
      </c>
      <c r="V350" s="256" t="n"/>
      <c r="W350" s="257" t="n"/>
      <c r="X350" s="256" t="n"/>
      <c r="Y350" s="258" t="n"/>
      <c r="Z350" s="259" t="n"/>
      <c r="AA350" s="259" t="n"/>
      <c r="AB350" s="258" t="n"/>
      <c r="AC350" s="256" t="n"/>
      <c r="AD350" s="256" t="n"/>
      <c r="AE350" s="256" t="n"/>
      <c r="AF350" s="256" t="n"/>
      <c r="AG350" s="256" t="n"/>
      <c r="AH350" s="256">
        <f>IFERROR(IFERROR(V350,0)+IFERROR(AC350,0)+IFERROR(AD350,0)+IFERROR(AE350,0)+IFERROR(AF350,0)+IFERROR(AG350,0),0)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IFERROR(H351+IFERROR(I351,0)+T351+IFERROR(AH351,0),0)</f>
        <v/>
      </c>
      <c r="V351" s="256" t="n"/>
      <c r="W351" s="257" t="n"/>
      <c r="X351" s="256" t="n"/>
      <c r="Y351" s="258" t="n"/>
      <c r="Z351" s="259" t="n"/>
      <c r="AA351" s="259" t="n"/>
      <c r="AB351" s="258" t="n"/>
      <c r="AC351" s="256" t="n"/>
      <c r="AD351" s="256" t="n"/>
      <c r="AE351" s="256" t="n"/>
      <c r="AF351" s="256" t="n"/>
      <c r="AG351" s="256" t="n"/>
      <c r="AH351" s="256">
        <f>IFERROR(IFERROR(V351,0)+IFERROR(AC351,0)+IFERROR(AD351,0)+IFERROR(AE351,0)+IFERROR(AF351,0)+IFERROR(AG351,0),0)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IFERROR(H352+IFERROR(I352,0)+T352+IFERROR(AH352,0),0)</f>
        <v/>
      </c>
      <c r="V352" s="256" t="n"/>
      <c r="W352" s="257" t="n"/>
      <c r="X352" s="256" t="n"/>
      <c r="Y352" s="258" t="n"/>
      <c r="Z352" s="259" t="n"/>
      <c r="AA352" s="259" t="n"/>
      <c r="AB352" s="258" t="n"/>
      <c r="AC352" s="256" t="n"/>
      <c r="AD352" s="256" t="n"/>
      <c r="AE352" s="256" t="n"/>
      <c r="AF352" s="256" t="n"/>
      <c r="AG352" s="256" t="n"/>
      <c r="AH352" s="256">
        <f>IFERROR(IFERROR(V352,0)+IFERROR(AC352,0)+IFERROR(AD352,0)+IFERROR(AE352,0)+IFERROR(AF352,0)+IFERROR(AG352,0),0)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IFERROR(H353+IFERROR(I353,0)+T353+IFERROR(AH353,0),0)</f>
        <v/>
      </c>
      <c r="V353" s="256" t="n"/>
      <c r="W353" s="257" t="n"/>
      <c r="X353" s="256" t="n"/>
      <c r="Y353" s="258" t="n"/>
      <c r="Z353" s="259" t="n"/>
      <c r="AA353" s="259" t="n"/>
      <c r="AB353" s="258" t="n"/>
      <c r="AC353" s="256" t="n"/>
      <c r="AD353" s="256" t="n"/>
      <c r="AE353" s="256" t="n"/>
      <c r="AF353" s="256" t="n"/>
      <c r="AG353" s="256" t="n"/>
      <c r="AH353" s="256">
        <f>IFERROR(IFERROR(V353,0)+IFERROR(AC353,0)+IFERROR(AD353,0)+IFERROR(AE353,0)+IFERROR(AF353,0)+IFERROR(AG353,0),0)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IFERROR(H354+IFERROR(I354,0)+T354+IFERROR(AH354,0),0)</f>
        <v/>
      </c>
      <c r="V354" s="256" t="n"/>
      <c r="W354" s="257" t="n"/>
      <c r="X354" s="256" t="n"/>
      <c r="Y354" s="258" t="n"/>
      <c r="Z354" s="259" t="n"/>
      <c r="AA354" s="259" t="n"/>
      <c r="AB354" s="258" t="n"/>
      <c r="AC354" s="256" t="n"/>
      <c r="AD354" s="256" t="n"/>
      <c r="AE354" s="256" t="n"/>
      <c r="AF354" s="256" t="n"/>
      <c r="AG354" s="256" t="n"/>
      <c r="AH354" s="256">
        <f>IFERROR(IFERROR(V354,0)+IFERROR(AC354,0)+IFERROR(AD354,0)+IFERROR(AE354,0)+IFERROR(AF354,0)+IFERROR(AG354,0),0)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IFERROR(H355+IFERROR(I355,0)+T355+IFERROR(AH355,0),0)</f>
        <v/>
      </c>
      <c r="V355" s="256" t="n"/>
      <c r="W355" s="257" t="n"/>
      <c r="X355" s="256" t="n"/>
      <c r="Y355" s="258" t="n"/>
      <c r="Z355" s="259" t="n"/>
      <c r="AA355" s="259" t="n"/>
      <c r="AB355" s="258" t="n"/>
      <c r="AC355" s="256" t="n"/>
      <c r="AD355" s="256" t="n"/>
      <c r="AE355" s="256" t="n"/>
      <c r="AF355" s="256" t="n"/>
      <c r="AG355" s="256" t="n"/>
      <c r="AH355" s="256">
        <f>IFERROR(IFERROR(V355,0)+IFERROR(AC355,0)+IFERROR(AD355,0)+IFERROR(AE355,0)+IFERROR(AF355,0)+IFERROR(AG355,0),0)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IFERROR(H356+IFERROR(I356,0)+T356+IFERROR(AH356,0),0)</f>
        <v/>
      </c>
      <c r="V356" s="256" t="n"/>
      <c r="W356" s="257" t="n"/>
      <c r="X356" s="256" t="n"/>
      <c r="Y356" s="258" t="n"/>
      <c r="Z356" s="259" t="n"/>
      <c r="AA356" s="259" t="n"/>
      <c r="AB356" s="258" t="n"/>
      <c r="AC356" s="256" t="n"/>
      <c r="AD356" s="256" t="n"/>
      <c r="AE356" s="256" t="n"/>
      <c r="AF356" s="256" t="n"/>
      <c r="AG356" s="256" t="n"/>
      <c r="AH356" s="256">
        <f>IFERROR(IFERROR(V356,0)+IFERROR(AC356,0)+IFERROR(AD356,0)+IFERROR(AE356,0)+IFERROR(AF356,0)+IFERROR(AG356,0),0)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IFERROR(H357+IFERROR(I357,0)+T357+IFERROR(AH357,0),0)</f>
        <v/>
      </c>
      <c r="V357" s="256" t="n"/>
      <c r="W357" s="257" t="n"/>
      <c r="X357" s="256" t="n"/>
      <c r="Y357" s="258" t="n"/>
      <c r="Z357" s="259" t="n"/>
      <c r="AA357" s="259" t="n"/>
      <c r="AB357" s="258" t="n"/>
      <c r="AC357" s="256" t="n"/>
      <c r="AD357" s="256" t="n"/>
      <c r="AE357" s="256" t="n"/>
      <c r="AF357" s="256" t="n"/>
      <c r="AG357" s="256" t="n"/>
      <c r="AH357" s="256">
        <f>IFERROR(IFERROR(V357,0)+IFERROR(AC357,0)+IFERROR(AD357,0)+IFERROR(AE357,0)+IFERROR(AF357,0)+IFERROR(AG357,0),0)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IFERROR(H358+IFERROR(I358,0)+T358+IFERROR(AH358,0),0)</f>
        <v/>
      </c>
      <c r="V358" s="256" t="n"/>
      <c r="W358" s="257" t="n"/>
      <c r="X358" s="256" t="n"/>
      <c r="Y358" s="258" t="n"/>
      <c r="Z358" s="259" t="n"/>
      <c r="AA358" s="259" t="n"/>
      <c r="AB358" s="258" t="n"/>
      <c r="AC358" s="256" t="n"/>
      <c r="AD358" s="256" t="n"/>
      <c r="AE358" s="256" t="n"/>
      <c r="AF358" s="256" t="n"/>
      <c r="AG358" s="256" t="n"/>
      <c r="AH358" s="256">
        <f>IFERROR(IFERROR(V358,0)+IFERROR(AC358,0)+IFERROR(AD358,0)+IFERROR(AE358,0)+IFERROR(AF358,0)+IFERROR(AG358,0),0)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IFERROR(H359+IFERROR(I359,0)+T359+IFERROR(AH359,0),0)</f>
        <v/>
      </c>
      <c r="V359" s="256" t="n"/>
      <c r="W359" s="257" t="n"/>
      <c r="X359" s="256" t="n"/>
      <c r="Y359" s="258" t="n"/>
      <c r="Z359" s="259" t="n"/>
      <c r="AA359" s="259" t="n"/>
      <c r="AB359" s="258" t="n"/>
      <c r="AC359" s="256" t="n"/>
      <c r="AD359" s="256" t="n"/>
      <c r="AE359" s="256" t="n"/>
      <c r="AF359" s="256" t="n"/>
      <c r="AG359" s="256" t="n"/>
      <c r="AH359" s="256">
        <f>IFERROR(IFERROR(V359,0)+IFERROR(AC359,0)+IFERROR(AD359,0)+IFERROR(AE359,0)+IFERROR(AF359,0)+IFERROR(AG359,0),0)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IFERROR(H360+IFERROR(I360,0)+T360+IFERROR(AH360,0),0)</f>
        <v/>
      </c>
      <c r="V360" s="256" t="n"/>
      <c r="W360" s="257" t="n"/>
      <c r="X360" s="256" t="n"/>
      <c r="Y360" s="258" t="n"/>
      <c r="Z360" s="259" t="n"/>
      <c r="AA360" s="259" t="n"/>
      <c r="AB360" s="258" t="n"/>
      <c r="AC360" s="256" t="n"/>
      <c r="AD360" s="256" t="n"/>
      <c r="AE360" s="256" t="n"/>
      <c r="AF360" s="256" t="n"/>
      <c r="AG360" s="256" t="n"/>
      <c r="AH360" s="256">
        <f>IFERROR(IFERROR(V360,0)+IFERROR(AC360,0)+IFERROR(AD360,0)+IFERROR(AE360,0)+IFERROR(AF360,0)+IFERROR(AG360,0),0)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IFERROR(H361+IFERROR(I361,0)+T361+IFERROR(AH361,0),0)</f>
        <v/>
      </c>
      <c r="V361" s="256" t="n"/>
      <c r="W361" s="257" t="n"/>
      <c r="X361" s="256" t="n"/>
      <c r="Y361" s="258" t="n"/>
      <c r="Z361" s="259" t="n"/>
      <c r="AA361" s="259" t="n"/>
      <c r="AB361" s="258" t="n"/>
      <c r="AC361" s="256" t="n"/>
      <c r="AD361" s="256" t="n"/>
      <c r="AE361" s="256" t="n"/>
      <c r="AF361" s="256" t="n"/>
      <c r="AG361" s="256" t="n"/>
      <c r="AH361" s="256">
        <f>IFERROR(IFERROR(V361,0)+IFERROR(AC361,0)+IFERROR(AD361,0)+IFERROR(AE361,0)+IFERROR(AF361,0)+IFERROR(AG361,0),0)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IFERROR(H362+IFERROR(I362,0)+T362+IFERROR(AH362,0),0)</f>
        <v/>
      </c>
      <c r="V362" s="256" t="n"/>
      <c r="W362" s="257" t="n"/>
      <c r="X362" s="256" t="n"/>
      <c r="Y362" s="258" t="n"/>
      <c r="Z362" s="259" t="n"/>
      <c r="AA362" s="259" t="n"/>
      <c r="AB362" s="258" t="n"/>
      <c r="AC362" s="256" t="n"/>
      <c r="AD362" s="256" t="n"/>
      <c r="AE362" s="256" t="n"/>
      <c r="AF362" s="256" t="n"/>
      <c r="AG362" s="256" t="n"/>
      <c r="AH362" s="256">
        <f>IFERROR(IFERROR(V362,0)+IFERROR(AC362,0)+IFERROR(AD362,0)+IFERROR(AE362,0)+IFERROR(AF362,0)+IFERROR(AG362,0),0)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IFERROR(H363+IFERROR(I363,0)+T363+IFERROR(AH363,0),0)</f>
        <v/>
      </c>
      <c r="V363" s="256" t="n"/>
      <c r="W363" s="257" t="n"/>
      <c r="X363" s="256" t="n"/>
      <c r="Y363" s="258" t="n"/>
      <c r="Z363" s="259" t="n"/>
      <c r="AA363" s="259" t="n"/>
      <c r="AB363" s="258" t="n"/>
      <c r="AC363" s="256" t="n"/>
      <c r="AD363" s="256" t="n"/>
      <c r="AE363" s="256" t="n"/>
      <c r="AF363" s="256" t="n"/>
      <c r="AG363" s="256" t="n"/>
      <c r="AH363" s="256">
        <f>IFERROR(IFERROR(V363,0)+IFERROR(AC363,0)+IFERROR(AD363,0)+IFERROR(AE363,0)+IFERROR(AF363,0)+IFERROR(AG363,0),0)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IFERROR(H364+IFERROR(I364,0)+T364+IFERROR(AH364,0),0)</f>
        <v/>
      </c>
      <c r="V364" s="256" t="n"/>
      <c r="W364" s="257" t="n"/>
      <c r="X364" s="256" t="n"/>
      <c r="Y364" s="258" t="n"/>
      <c r="Z364" s="259" t="n"/>
      <c r="AA364" s="259" t="n"/>
      <c r="AB364" s="258" t="n"/>
      <c r="AC364" s="256" t="n"/>
      <c r="AD364" s="256" t="n"/>
      <c r="AE364" s="256" t="n"/>
      <c r="AF364" s="256" t="n"/>
      <c r="AG364" s="256" t="n"/>
      <c r="AH364" s="256">
        <f>IFERROR(IFERROR(V364,0)+IFERROR(AC364,0)+IFERROR(AD364,0)+IFERROR(AE364,0)+IFERROR(AF364,0)+IFERROR(AG364,0),0)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IFERROR(H365+IFERROR(I365,0)+T365+IFERROR(AH365,0),0)</f>
        <v/>
      </c>
      <c r="V365" s="256" t="n"/>
      <c r="W365" s="257" t="n"/>
      <c r="X365" s="256" t="n"/>
      <c r="Y365" s="258" t="n"/>
      <c r="Z365" s="259" t="n"/>
      <c r="AA365" s="259" t="n"/>
      <c r="AB365" s="258" t="n"/>
      <c r="AC365" s="256" t="n"/>
      <c r="AD365" s="256" t="n"/>
      <c r="AE365" s="256" t="n"/>
      <c r="AF365" s="256" t="n"/>
      <c r="AG365" s="256" t="n"/>
      <c r="AH365" s="256">
        <f>IFERROR(IFERROR(V365,0)+IFERROR(AC365,0)+IFERROR(AD365,0)+IFERROR(AE365,0)+IFERROR(AF365,0)+IFERROR(AG365,0),0)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IFERROR(H366+IFERROR(I366,0)+T366+IFERROR(AH366,0),0)</f>
        <v/>
      </c>
      <c r="V366" s="256" t="n"/>
      <c r="W366" s="257" t="n"/>
      <c r="X366" s="256" t="n"/>
      <c r="Y366" s="258" t="n"/>
      <c r="Z366" s="259" t="n"/>
      <c r="AA366" s="259" t="n"/>
      <c r="AB366" s="258" t="n"/>
      <c r="AC366" s="256" t="n"/>
      <c r="AD366" s="256" t="n"/>
      <c r="AE366" s="256" t="n"/>
      <c r="AF366" s="256" t="n"/>
      <c r="AG366" s="256" t="n"/>
      <c r="AH366" s="256">
        <f>IFERROR(IFERROR(V366,0)+IFERROR(AC366,0)+IFERROR(AD366,0)+IFERROR(AE366,0)+IFERROR(AF366,0)+IFERROR(AG366,0),0)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IFERROR(H367+IFERROR(I367,0)+T367+IFERROR(AH367,0),0)</f>
        <v/>
      </c>
      <c r="V367" s="256" t="n"/>
      <c r="W367" s="257" t="n"/>
      <c r="X367" s="256" t="n"/>
      <c r="Y367" s="258" t="n"/>
      <c r="Z367" s="259" t="n"/>
      <c r="AA367" s="259" t="n"/>
      <c r="AB367" s="258" t="n"/>
      <c r="AC367" s="256" t="n"/>
      <c r="AD367" s="256" t="n"/>
      <c r="AE367" s="256" t="n"/>
      <c r="AF367" s="256" t="n"/>
      <c r="AG367" s="256" t="n"/>
      <c r="AH367" s="256">
        <f>IFERROR(IFERROR(V367,0)+IFERROR(AC367,0)+IFERROR(AD367,0)+IFERROR(AE367,0)+IFERROR(AF367,0)+IFERROR(AG367,0),0)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IFERROR(H368+IFERROR(I368,0)+T368+IFERROR(AH368,0),0)</f>
        <v/>
      </c>
      <c r="V368" s="256" t="n"/>
      <c r="W368" s="257" t="n"/>
      <c r="X368" s="256" t="n"/>
      <c r="Y368" s="258" t="n"/>
      <c r="Z368" s="259" t="n"/>
      <c r="AA368" s="259" t="n"/>
      <c r="AB368" s="258" t="n"/>
      <c r="AC368" s="256" t="n"/>
      <c r="AD368" s="256" t="n"/>
      <c r="AE368" s="256" t="n"/>
      <c r="AF368" s="256" t="n"/>
      <c r="AG368" s="256" t="n"/>
      <c r="AH368" s="256">
        <f>IFERROR(IFERROR(V368,0)+IFERROR(AC368,0)+IFERROR(AD368,0)+IFERROR(AE368,0)+IFERROR(AF368,0)+IFERROR(AG368,0),0)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IFERROR(H369+IFERROR(I369,0)+T369+IFERROR(AH369,0),0)</f>
        <v/>
      </c>
      <c r="V369" s="256" t="n"/>
      <c r="W369" s="257" t="n"/>
      <c r="X369" s="256" t="n"/>
      <c r="Y369" s="258" t="n"/>
      <c r="Z369" s="259" t="n"/>
      <c r="AA369" s="259" t="n"/>
      <c r="AB369" s="258" t="n"/>
      <c r="AC369" s="256" t="n"/>
      <c r="AD369" s="256" t="n"/>
      <c r="AE369" s="256" t="n"/>
      <c r="AF369" s="256" t="n"/>
      <c r="AG369" s="256" t="n"/>
      <c r="AH369" s="256">
        <f>IFERROR(IFERROR(V369,0)+IFERROR(AC369,0)+IFERROR(AD369,0)+IFERROR(AE369,0)+IFERROR(AF369,0)+IFERROR(AG369,0),0)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IFERROR(H370+IFERROR(I370,0)+T370+IFERROR(AH370,0),0)</f>
        <v/>
      </c>
      <c r="V370" s="256" t="n"/>
      <c r="W370" s="257" t="n"/>
      <c r="X370" s="256" t="n"/>
      <c r="Y370" s="258" t="n"/>
      <c r="Z370" s="259" t="n"/>
      <c r="AA370" s="259" t="n"/>
      <c r="AB370" s="258" t="n"/>
      <c r="AC370" s="256" t="n"/>
      <c r="AD370" s="256" t="n"/>
      <c r="AE370" s="256" t="n"/>
      <c r="AF370" s="256" t="n"/>
      <c r="AG370" s="256" t="n"/>
      <c r="AH370" s="256">
        <f>IFERROR(IFERROR(V370,0)+IFERROR(AC370,0)+IFERROR(AD370,0)+IFERROR(AE370,0)+IFERROR(AF370,0)+IFERROR(AG370,0),0)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IFERROR(H371+IFERROR(I371,0)+T371+IFERROR(AH371,0),0)</f>
        <v/>
      </c>
      <c r="V371" s="256" t="n"/>
      <c r="W371" s="257" t="n"/>
      <c r="X371" s="256" t="n"/>
      <c r="Y371" s="258" t="n"/>
      <c r="Z371" s="259" t="n"/>
      <c r="AA371" s="259" t="n"/>
      <c r="AB371" s="258" t="n"/>
      <c r="AC371" s="256" t="n"/>
      <c r="AD371" s="256" t="n"/>
      <c r="AE371" s="256" t="n"/>
      <c r="AF371" s="256" t="n"/>
      <c r="AG371" s="256" t="n"/>
      <c r="AH371" s="256">
        <f>IFERROR(IFERROR(V371,0)+IFERROR(AC371,0)+IFERROR(AD371,0)+IFERROR(AE371,0)+IFERROR(AF371,0)+IFERROR(AG371,0),0)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IFERROR(H372+IFERROR(I372,0)+T372+IFERROR(AH372,0),0)</f>
        <v/>
      </c>
      <c r="V372" s="256" t="n"/>
      <c r="W372" s="257" t="n"/>
      <c r="X372" s="256" t="n"/>
      <c r="Y372" s="258" t="n"/>
      <c r="Z372" s="259" t="n"/>
      <c r="AA372" s="259" t="n"/>
      <c r="AB372" s="258" t="n"/>
      <c r="AC372" s="256" t="n"/>
      <c r="AD372" s="256" t="n"/>
      <c r="AE372" s="256" t="n"/>
      <c r="AF372" s="256" t="n"/>
      <c r="AG372" s="256" t="n"/>
      <c r="AH372" s="256">
        <f>IFERROR(IFERROR(V372,0)+IFERROR(AC372,0)+IFERROR(AD372,0)+IFERROR(AE372,0)+IFERROR(AF372,0)+IFERROR(AG372,0),0)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IFERROR(H373+IFERROR(I373,0)+T373+IFERROR(AH373,0),0)</f>
        <v/>
      </c>
      <c r="V373" s="256" t="n"/>
      <c r="W373" s="257" t="n"/>
      <c r="X373" s="256" t="n"/>
      <c r="Y373" s="258" t="n"/>
      <c r="Z373" s="259" t="n"/>
      <c r="AA373" s="259" t="n"/>
      <c r="AB373" s="258" t="n"/>
      <c r="AC373" s="256" t="n"/>
      <c r="AD373" s="256" t="n"/>
      <c r="AE373" s="256" t="n"/>
      <c r="AF373" s="256" t="n"/>
      <c r="AG373" s="256" t="n"/>
      <c r="AH373" s="256">
        <f>IFERROR(IFERROR(V373,0)+IFERROR(AC373,0)+IFERROR(AD373,0)+IFERROR(AE373,0)+IFERROR(AF373,0)+IFERROR(AG373,0),0)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IFERROR(H374+IFERROR(I374,0)+T374+IFERROR(AH374,0),0)</f>
        <v/>
      </c>
      <c r="V374" s="256" t="n"/>
      <c r="W374" s="257" t="n"/>
      <c r="X374" s="256" t="n"/>
      <c r="Y374" s="258" t="n"/>
      <c r="Z374" s="259" t="n"/>
      <c r="AA374" s="259" t="n"/>
      <c r="AB374" s="258" t="n"/>
      <c r="AC374" s="256" t="n"/>
      <c r="AD374" s="256" t="n"/>
      <c r="AE374" s="256" t="n"/>
      <c r="AF374" s="256" t="n"/>
      <c r="AG374" s="256" t="n"/>
      <c r="AH374" s="256">
        <f>IFERROR(IFERROR(V374,0)+IFERROR(AC374,0)+IFERROR(AD374,0)+IFERROR(AE374,0)+IFERROR(AF374,0)+IFERROR(AG374,0),0)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IFERROR(H375+IFERROR(I375,0)+T375+IFERROR(AH375,0),0)</f>
        <v/>
      </c>
      <c r="V375" s="256" t="n"/>
      <c r="W375" s="257" t="n"/>
      <c r="X375" s="256" t="n"/>
      <c r="Y375" s="258" t="n"/>
      <c r="Z375" s="259" t="n"/>
      <c r="AA375" s="259" t="n"/>
      <c r="AB375" s="258" t="n"/>
      <c r="AC375" s="256" t="n"/>
      <c r="AD375" s="256" t="n"/>
      <c r="AE375" s="256" t="n"/>
      <c r="AF375" s="256" t="n"/>
      <c r="AG375" s="256" t="n"/>
      <c r="AH375" s="256">
        <f>IFERROR(IFERROR(V375,0)+IFERROR(AC375,0)+IFERROR(AD375,0)+IFERROR(AE375,0)+IFERROR(AF375,0)+IFERROR(AG375,0),0)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IFERROR(H376+IFERROR(I376,0)+T376+IFERROR(AH376,0),0)</f>
        <v/>
      </c>
      <c r="V376" s="256" t="n"/>
      <c r="W376" s="257" t="n"/>
      <c r="X376" s="256" t="n"/>
      <c r="Y376" s="258" t="n"/>
      <c r="Z376" s="259" t="n"/>
      <c r="AA376" s="259" t="n"/>
      <c r="AB376" s="258" t="n"/>
      <c r="AC376" s="256" t="n"/>
      <c r="AD376" s="256" t="n"/>
      <c r="AE376" s="256" t="n"/>
      <c r="AF376" s="256" t="n"/>
      <c r="AG376" s="256" t="n"/>
      <c r="AH376" s="256">
        <f>IFERROR(IFERROR(V376,0)+IFERROR(AC376,0)+IFERROR(AD376,0)+IFERROR(AE376,0)+IFERROR(AF376,0)+IFERROR(AG376,0),0)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IFERROR(H377+IFERROR(I377,0)+T377+IFERROR(AH377,0),0)</f>
        <v/>
      </c>
      <c r="V377" s="256" t="n"/>
      <c r="W377" s="257" t="n"/>
      <c r="X377" s="256" t="n"/>
      <c r="Y377" s="258" t="n"/>
      <c r="Z377" s="259" t="n"/>
      <c r="AA377" s="259" t="n"/>
      <c r="AB377" s="258" t="n"/>
      <c r="AC377" s="256" t="n"/>
      <c r="AD377" s="256" t="n"/>
      <c r="AE377" s="256" t="n"/>
      <c r="AF377" s="256" t="n"/>
      <c r="AG377" s="256" t="n"/>
      <c r="AH377" s="256">
        <f>IFERROR(IFERROR(V377,0)+IFERROR(AC377,0)+IFERROR(AD377,0)+IFERROR(AE377,0)+IFERROR(AF377,0)+IFERROR(AG377,0),0)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IFERROR(H378+IFERROR(I378,0)+T378+IFERROR(AH378,0),0)</f>
        <v/>
      </c>
      <c r="V378" s="256" t="n"/>
      <c r="W378" s="257" t="n"/>
      <c r="X378" s="256" t="n"/>
      <c r="Y378" s="258" t="n"/>
      <c r="Z378" s="259" t="n"/>
      <c r="AA378" s="259" t="n"/>
      <c r="AB378" s="258" t="n"/>
      <c r="AC378" s="256" t="n"/>
      <c r="AD378" s="256" t="n"/>
      <c r="AE378" s="256" t="n"/>
      <c r="AF378" s="256" t="n"/>
      <c r="AG378" s="256" t="n"/>
      <c r="AH378" s="256">
        <f>IFERROR(IFERROR(V378,0)+IFERROR(AC378,0)+IFERROR(AD378,0)+IFERROR(AE378,0)+IFERROR(AF378,0)+IFERROR(AG378,0),0)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IFERROR(H379+IFERROR(I379,0)+T379+IFERROR(AH379,0),0)</f>
        <v/>
      </c>
      <c r="V379" s="256" t="n"/>
      <c r="W379" s="257" t="n"/>
      <c r="X379" s="256" t="n"/>
      <c r="Y379" s="258" t="n"/>
      <c r="Z379" s="259" t="n"/>
      <c r="AA379" s="259" t="n"/>
      <c r="AB379" s="258" t="n"/>
      <c r="AC379" s="256" t="n"/>
      <c r="AD379" s="256" t="n"/>
      <c r="AE379" s="256" t="n"/>
      <c r="AF379" s="256" t="n"/>
      <c r="AG379" s="256" t="n"/>
      <c r="AH379" s="256">
        <f>IFERROR(IFERROR(V379,0)+IFERROR(AC379,0)+IFERROR(AD379,0)+IFERROR(AE379,0)+IFERROR(AF379,0)+IFERROR(AG379,0),0)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IFERROR(H380+IFERROR(I380,0)+T380+IFERROR(AH380,0),0)</f>
        <v/>
      </c>
      <c r="V380" s="256" t="n"/>
      <c r="W380" s="257" t="n"/>
      <c r="X380" s="256" t="n"/>
      <c r="Y380" s="258" t="n"/>
      <c r="Z380" s="259" t="n"/>
      <c r="AA380" s="259" t="n"/>
      <c r="AB380" s="258" t="n"/>
      <c r="AC380" s="256" t="n"/>
      <c r="AD380" s="256" t="n"/>
      <c r="AE380" s="256" t="n"/>
      <c r="AF380" s="256" t="n"/>
      <c r="AG380" s="256" t="n"/>
      <c r="AH380" s="256">
        <f>IFERROR(IFERROR(V380,0)+IFERROR(AC380,0)+IFERROR(AD380,0)+IFERROR(AE380,0)+IFERROR(AF380,0)+IFERROR(AG380,0),0)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IFERROR(H381+IFERROR(I381,0)+T381+IFERROR(AH381,0),0)</f>
        <v/>
      </c>
      <c r="V381" s="256" t="n"/>
      <c r="W381" s="257" t="n"/>
      <c r="X381" s="256" t="n"/>
      <c r="Y381" s="258" t="n"/>
      <c r="Z381" s="259" t="n"/>
      <c r="AA381" s="259" t="n"/>
      <c r="AB381" s="258" t="n"/>
      <c r="AC381" s="256" t="n"/>
      <c r="AD381" s="256" t="n"/>
      <c r="AE381" s="256" t="n"/>
      <c r="AF381" s="256" t="n"/>
      <c r="AG381" s="256" t="n"/>
      <c r="AH381" s="256">
        <f>IFERROR(IFERROR(V381,0)+IFERROR(AC381,0)+IFERROR(AD381,0)+IFERROR(AE381,0)+IFERROR(AF381,0)+IFERROR(AG381,0),0)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IFERROR(H382+IFERROR(I382,0)+T382+IFERROR(AH382,0),0)</f>
        <v/>
      </c>
      <c r="V382" s="256" t="n"/>
      <c r="W382" s="257" t="n"/>
      <c r="X382" s="256" t="n"/>
      <c r="Y382" s="258" t="n"/>
      <c r="Z382" s="259" t="n"/>
      <c r="AA382" s="259" t="n"/>
      <c r="AB382" s="258" t="n"/>
      <c r="AC382" s="256" t="n"/>
      <c r="AD382" s="256" t="n"/>
      <c r="AE382" s="256" t="n"/>
      <c r="AF382" s="256" t="n"/>
      <c r="AG382" s="256" t="n"/>
      <c r="AH382" s="256">
        <f>IFERROR(IFERROR(V382,0)+IFERROR(AC382,0)+IFERROR(AD382,0)+IFERROR(AE382,0)+IFERROR(AF382,0)+IFERROR(AG382,0),0)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IFERROR(H383+IFERROR(I383,0)+T383+IFERROR(AH383,0),0)</f>
        <v/>
      </c>
      <c r="V383" s="256" t="n"/>
      <c r="W383" s="257" t="n"/>
      <c r="X383" s="256" t="n"/>
      <c r="Y383" s="258" t="n"/>
      <c r="Z383" s="259" t="n"/>
      <c r="AA383" s="259" t="n"/>
      <c r="AB383" s="258" t="n"/>
      <c r="AC383" s="256" t="n"/>
      <c r="AD383" s="256" t="n"/>
      <c r="AE383" s="256" t="n"/>
      <c r="AF383" s="256" t="n"/>
      <c r="AG383" s="256" t="n"/>
      <c r="AH383" s="256">
        <f>IFERROR(IFERROR(V383,0)+IFERROR(AC383,0)+IFERROR(AD383,0)+IFERROR(AE383,0)+IFERROR(AF383,0)+IFERROR(AG383,0),0)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IFERROR(H384+IFERROR(I384,0)+T384+IFERROR(AH384,0),0)</f>
        <v/>
      </c>
      <c r="V384" s="256" t="n"/>
      <c r="W384" s="257" t="n"/>
      <c r="X384" s="256" t="n"/>
      <c r="Y384" s="258" t="n"/>
      <c r="Z384" s="259" t="n"/>
      <c r="AA384" s="259" t="n"/>
      <c r="AB384" s="258" t="n"/>
      <c r="AC384" s="256" t="n"/>
      <c r="AD384" s="256" t="n"/>
      <c r="AE384" s="256" t="n"/>
      <c r="AF384" s="256" t="n"/>
      <c r="AG384" s="256" t="n"/>
      <c r="AH384" s="256">
        <f>IFERROR(IFERROR(V384,0)+IFERROR(AC384,0)+IFERROR(AD384,0)+IFERROR(AE384,0)+IFERROR(AF384,0)+IFERROR(AG384,0),0)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IFERROR(H385+IFERROR(I385,0)+T385+IFERROR(AH385,0),0)</f>
        <v/>
      </c>
      <c r="V385" s="256" t="n"/>
      <c r="W385" s="257" t="n"/>
      <c r="X385" s="256" t="n"/>
      <c r="Y385" s="258" t="n"/>
      <c r="Z385" s="259" t="n"/>
      <c r="AA385" s="259" t="n"/>
      <c r="AB385" s="258" t="n"/>
      <c r="AC385" s="256" t="n"/>
      <c r="AD385" s="256" t="n"/>
      <c r="AE385" s="256" t="n"/>
      <c r="AF385" s="256" t="n"/>
      <c r="AG385" s="256" t="n"/>
      <c r="AH385" s="256">
        <f>IFERROR(IFERROR(V385,0)+IFERROR(AC385,0)+IFERROR(AD385,0)+IFERROR(AE385,0)+IFERROR(AF385,0)+IFERROR(AG385,0),0)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IFERROR(H386+IFERROR(I386,0)+T386+IFERROR(AH386,0),0)</f>
        <v/>
      </c>
      <c r="V386" s="256" t="n"/>
      <c r="W386" s="257" t="n"/>
      <c r="X386" s="256" t="n"/>
      <c r="Y386" s="258" t="n"/>
      <c r="Z386" s="259" t="n"/>
      <c r="AA386" s="259" t="n"/>
      <c r="AB386" s="258" t="n"/>
      <c r="AC386" s="256" t="n"/>
      <c r="AD386" s="256" t="n"/>
      <c r="AE386" s="256" t="n"/>
      <c r="AF386" s="256" t="n"/>
      <c r="AG386" s="256" t="n"/>
      <c r="AH386" s="256">
        <f>IFERROR(IFERROR(V386,0)+IFERROR(AC386,0)+IFERROR(AD386,0)+IFERROR(AE386,0)+IFERROR(AF386,0)+IFERROR(AG386,0),0)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IFERROR(H387+IFERROR(I387,0)+T387+IFERROR(AH387,0),0)</f>
        <v/>
      </c>
      <c r="V387" s="256" t="n"/>
      <c r="W387" s="257" t="n"/>
      <c r="X387" s="256" t="n"/>
      <c r="Y387" s="258" t="n"/>
      <c r="Z387" s="259" t="n"/>
      <c r="AA387" s="259" t="n"/>
      <c r="AB387" s="258" t="n"/>
      <c r="AC387" s="256" t="n"/>
      <c r="AD387" s="256" t="n"/>
      <c r="AE387" s="256" t="n"/>
      <c r="AF387" s="256" t="n"/>
      <c r="AG387" s="256" t="n"/>
      <c r="AH387" s="256">
        <f>IFERROR(IFERROR(V387,0)+IFERROR(AC387,0)+IFERROR(AD387,0)+IFERROR(AE387,0)+IFERROR(AF387,0)+IFERROR(AG387,0),0)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IFERROR(H388+IFERROR(I388,0)+T388+IFERROR(AH388,0),0)</f>
        <v/>
      </c>
      <c r="V388" s="256" t="n"/>
      <c r="W388" s="257" t="n"/>
      <c r="X388" s="256" t="n"/>
      <c r="Y388" s="258" t="n"/>
      <c r="Z388" s="259" t="n"/>
      <c r="AA388" s="259" t="n"/>
      <c r="AB388" s="258" t="n"/>
      <c r="AC388" s="256" t="n"/>
      <c r="AD388" s="256" t="n"/>
      <c r="AE388" s="256" t="n"/>
      <c r="AF388" s="256" t="n"/>
      <c r="AG388" s="256" t="n"/>
      <c r="AH388" s="256">
        <f>IFERROR(IFERROR(V388,0)+IFERROR(AC388,0)+IFERROR(AD388,0)+IFERROR(AE388,0)+IFERROR(AF388,0)+IFERROR(AG388,0),0)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IFERROR(H389+IFERROR(I389,0)+T389+IFERROR(AH389,0),0)</f>
        <v/>
      </c>
      <c r="V389" s="256" t="n"/>
      <c r="W389" s="257" t="n"/>
      <c r="X389" s="256" t="n"/>
      <c r="Y389" s="258" t="n"/>
      <c r="Z389" s="259" t="n"/>
      <c r="AA389" s="259" t="n"/>
      <c r="AB389" s="258" t="n"/>
      <c r="AC389" s="256" t="n"/>
      <c r="AD389" s="256" t="n"/>
      <c r="AE389" s="256" t="n"/>
      <c r="AF389" s="256" t="n"/>
      <c r="AG389" s="256" t="n"/>
      <c r="AH389" s="256">
        <f>IFERROR(IFERROR(V389,0)+IFERROR(AC389,0)+IFERROR(AD389,0)+IFERROR(AE389,0)+IFERROR(AF389,0)+IFERROR(AG389,0),0)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IFERROR(H390+IFERROR(I390,0)+T390+IFERROR(AH390,0),0)</f>
        <v/>
      </c>
      <c r="V390" s="256" t="n"/>
      <c r="W390" s="257" t="n"/>
      <c r="X390" s="256" t="n"/>
      <c r="Y390" s="258" t="n"/>
      <c r="Z390" s="259" t="n"/>
      <c r="AA390" s="259" t="n"/>
      <c r="AB390" s="258" t="n"/>
      <c r="AC390" s="256" t="n"/>
      <c r="AD390" s="256" t="n"/>
      <c r="AE390" s="256" t="n"/>
      <c r="AF390" s="256" t="n"/>
      <c r="AG390" s="256" t="n"/>
      <c r="AH390" s="256">
        <f>IFERROR(IFERROR(V390,0)+IFERROR(AC390,0)+IFERROR(AD390,0)+IFERROR(AE390,0)+IFERROR(AF390,0)+IFERROR(AG390,0),0)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IFERROR(H391+IFERROR(I391,0)+T391+IFERROR(AH391,0),0)</f>
        <v/>
      </c>
      <c r="V391" s="256" t="n"/>
      <c r="W391" s="257" t="n"/>
      <c r="X391" s="256" t="n"/>
      <c r="Y391" s="258" t="n"/>
      <c r="Z391" s="259" t="n"/>
      <c r="AA391" s="259" t="n"/>
      <c r="AB391" s="258" t="n"/>
      <c r="AC391" s="256" t="n"/>
      <c r="AD391" s="256" t="n"/>
      <c r="AE391" s="256" t="n"/>
      <c r="AF391" s="256" t="n"/>
      <c r="AG391" s="256" t="n"/>
      <c r="AH391" s="256">
        <f>IFERROR(IFERROR(V391,0)+IFERROR(AC391,0)+IFERROR(AD391,0)+IFERROR(AE391,0)+IFERROR(AF391,0)+IFERROR(AG391,0),0)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IFERROR(H392+IFERROR(I392,0)+T392+IFERROR(AH392,0),0)</f>
        <v/>
      </c>
      <c r="V392" s="256" t="n"/>
      <c r="W392" s="257" t="n"/>
      <c r="X392" s="256" t="n"/>
      <c r="Y392" s="258" t="n"/>
      <c r="Z392" s="259" t="n"/>
      <c r="AA392" s="259" t="n"/>
      <c r="AB392" s="258" t="n"/>
      <c r="AC392" s="256" t="n"/>
      <c r="AD392" s="256" t="n"/>
      <c r="AE392" s="256" t="n"/>
      <c r="AF392" s="256" t="n"/>
      <c r="AG392" s="256" t="n"/>
      <c r="AH392" s="256">
        <f>IFERROR(IFERROR(V392,0)+IFERROR(AC392,0)+IFERROR(AD392,0)+IFERROR(AE392,0)+IFERROR(AF392,0)+IFERROR(AG392,0),0)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IFERROR(H393+IFERROR(I393,0)+T393+IFERROR(AH393,0),0)</f>
        <v/>
      </c>
      <c r="V393" s="256" t="n"/>
      <c r="W393" s="257" t="n"/>
      <c r="X393" s="256" t="n"/>
      <c r="Y393" s="258" t="n"/>
      <c r="Z393" s="259" t="n"/>
      <c r="AA393" s="259" t="n"/>
      <c r="AB393" s="258" t="n"/>
      <c r="AC393" s="256" t="n"/>
      <c r="AD393" s="256" t="n"/>
      <c r="AE393" s="256" t="n"/>
      <c r="AF393" s="256" t="n"/>
      <c r="AG393" s="256" t="n"/>
      <c r="AH393" s="256">
        <f>IFERROR(IFERROR(V393,0)+IFERROR(AC393,0)+IFERROR(AD393,0)+IFERROR(AE393,0)+IFERROR(AF393,0)+IFERROR(AG393,0),0)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IFERROR(H394+IFERROR(I394,0)+T394+IFERROR(AH394,0),0)</f>
        <v/>
      </c>
      <c r="V394" s="256" t="n"/>
      <c r="W394" s="257" t="n"/>
      <c r="X394" s="256" t="n"/>
      <c r="Y394" s="258" t="n"/>
      <c r="Z394" s="259" t="n"/>
      <c r="AA394" s="259" t="n"/>
      <c r="AB394" s="258" t="n"/>
      <c r="AC394" s="256" t="n"/>
      <c r="AD394" s="256" t="n"/>
      <c r="AE394" s="256" t="n"/>
      <c r="AF394" s="256" t="n"/>
      <c r="AG394" s="256" t="n"/>
      <c r="AH394" s="256">
        <f>IFERROR(IFERROR(V394,0)+IFERROR(AC394,0)+IFERROR(AD394,0)+IFERROR(AE394,0)+IFERROR(AF394,0)+IFERROR(AG394,0),0)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IFERROR(H395+IFERROR(I395,0)+T395+IFERROR(AH395,0),0)</f>
        <v/>
      </c>
      <c r="V395" s="256" t="n"/>
      <c r="W395" s="257" t="n"/>
      <c r="X395" s="256" t="n"/>
      <c r="Y395" s="258" t="n"/>
      <c r="Z395" s="259" t="n"/>
      <c r="AA395" s="259" t="n"/>
      <c r="AB395" s="258" t="n"/>
      <c r="AC395" s="256" t="n"/>
      <c r="AD395" s="256" t="n"/>
      <c r="AE395" s="256" t="n"/>
      <c r="AF395" s="256" t="n"/>
      <c r="AG395" s="256" t="n"/>
      <c r="AH395" s="256">
        <f>IFERROR(IFERROR(V395,0)+IFERROR(AC395,0)+IFERROR(AD395,0)+IFERROR(AE395,0)+IFERROR(AF395,0)+IFERROR(AG395,0),0)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IFERROR(H396+IFERROR(I396,0)+T396+IFERROR(AH396,0),0)</f>
        <v/>
      </c>
      <c r="V396" s="256" t="n"/>
      <c r="W396" s="257" t="n"/>
      <c r="X396" s="256" t="n"/>
      <c r="Y396" s="258" t="n"/>
      <c r="Z396" s="259" t="n"/>
      <c r="AA396" s="259" t="n"/>
      <c r="AB396" s="258" t="n"/>
      <c r="AC396" s="256" t="n"/>
      <c r="AD396" s="256" t="n"/>
      <c r="AE396" s="256" t="n"/>
      <c r="AF396" s="256" t="n"/>
      <c r="AG396" s="256" t="n"/>
      <c r="AH396" s="256">
        <f>IFERROR(IFERROR(V396,0)+IFERROR(AC396,0)+IFERROR(AD396,0)+IFERROR(AE396,0)+IFERROR(AF396,0)+IFERROR(AG396,0),0)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IFERROR(H397+IFERROR(I397,0)+T397+IFERROR(AH397,0),0)</f>
        <v/>
      </c>
      <c r="V397" s="256" t="n"/>
      <c r="W397" s="257" t="n"/>
      <c r="X397" s="256" t="n"/>
      <c r="Y397" s="258" t="n"/>
      <c r="Z397" s="259" t="n"/>
      <c r="AA397" s="259" t="n"/>
      <c r="AB397" s="258" t="n"/>
      <c r="AC397" s="256" t="n"/>
      <c r="AD397" s="256" t="n"/>
      <c r="AE397" s="256" t="n"/>
      <c r="AF397" s="256" t="n"/>
      <c r="AG397" s="256" t="n"/>
      <c r="AH397" s="256">
        <f>IFERROR(IFERROR(V397,0)+IFERROR(AC397,0)+IFERROR(AD397,0)+IFERROR(AE397,0)+IFERROR(AF397,0)+IFERROR(AG397,0),0)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IFERROR(H398+IFERROR(I398,0)+T398+IFERROR(AH398,0),0)</f>
        <v/>
      </c>
      <c r="V398" s="256" t="n"/>
      <c r="W398" s="257" t="n"/>
      <c r="X398" s="256" t="n"/>
      <c r="Y398" s="258" t="n"/>
      <c r="Z398" s="259" t="n"/>
      <c r="AA398" s="259" t="n"/>
      <c r="AB398" s="258" t="n"/>
      <c r="AC398" s="256" t="n"/>
      <c r="AD398" s="256" t="n"/>
      <c r="AE398" s="256" t="n"/>
      <c r="AF398" s="256" t="n"/>
      <c r="AG398" s="256" t="n"/>
      <c r="AH398" s="256">
        <f>IFERROR(IFERROR(V398,0)+IFERROR(AC398,0)+IFERROR(AD398,0)+IFERROR(AE398,0)+IFERROR(AF398,0)+IFERROR(AG398,0),0)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IFERROR(H399+IFERROR(I399,0)+T399+IFERROR(AH399,0),0)</f>
        <v/>
      </c>
      <c r="V399" s="256" t="n"/>
      <c r="W399" s="257" t="n"/>
      <c r="X399" s="256" t="n"/>
      <c r="Y399" s="258" t="n"/>
      <c r="Z399" s="259" t="n"/>
      <c r="AA399" s="259" t="n"/>
      <c r="AB399" s="258" t="n"/>
      <c r="AC399" s="256" t="n"/>
      <c r="AD399" s="256" t="n"/>
      <c r="AE399" s="256" t="n"/>
      <c r="AF399" s="256" t="n"/>
      <c r="AG399" s="256" t="n"/>
      <c r="AH399" s="256">
        <f>IFERROR(IFERROR(V399,0)+IFERROR(AC399,0)+IFERROR(AD399,0)+IFERROR(AE399,0)+IFERROR(AF399,0)+IFERROR(AG399,0),0)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IFERROR(H400+IFERROR(I400,0)+T400+IFERROR(AH400,0),0)</f>
        <v/>
      </c>
      <c r="V400" s="256" t="n"/>
      <c r="W400" s="257" t="n"/>
      <c r="X400" s="256" t="n"/>
      <c r="Y400" s="258" t="n"/>
      <c r="Z400" s="259" t="n"/>
      <c r="AA400" s="259" t="n"/>
      <c r="AB400" s="258" t="n"/>
      <c r="AC400" s="256" t="n"/>
      <c r="AD400" s="256" t="n"/>
      <c r="AE400" s="256" t="n"/>
      <c r="AF400" s="256" t="n"/>
      <c r="AG400" s="256" t="n"/>
      <c r="AH400" s="256">
        <f>IFERROR(IFERROR(V400,0)+IFERROR(AC400,0)+IFERROR(AD400,0)+IFERROR(AE400,0)+IFERROR(AF400,0)+IFERROR(AG400,0),0)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IFERROR(H401+IFERROR(I401,0)+T401+IFERROR(AH401,0),0)</f>
        <v/>
      </c>
      <c r="V401" s="256" t="n"/>
      <c r="W401" s="257" t="n"/>
      <c r="X401" s="256" t="n"/>
      <c r="Y401" s="258" t="n"/>
      <c r="Z401" s="259" t="n"/>
      <c r="AA401" s="259" t="n"/>
      <c r="AB401" s="258" t="n"/>
      <c r="AC401" s="256" t="n"/>
      <c r="AD401" s="256" t="n"/>
      <c r="AE401" s="256" t="n"/>
      <c r="AF401" s="256" t="n"/>
      <c r="AG401" s="256" t="n"/>
      <c r="AH401" s="256">
        <f>IFERROR(IFERROR(V401,0)+IFERROR(AC401,0)+IFERROR(AD401,0)+IFERROR(AE401,0)+IFERROR(AF401,0)+IFERROR(AG401,0),0)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IFERROR(H402+IFERROR(I402,0)+T402+IFERROR(AH402,0),0)</f>
        <v/>
      </c>
      <c r="V402" s="256" t="n"/>
      <c r="W402" s="257" t="n"/>
      <c r="X402" s="256" t="n"/>
      <c r="Y402" s="258" t="n"/>
      <c r="Z402" s="259" t="n"/>
      <c r="AA402" s="259" t="n"/>
      <c r="AB402" s="258" t="n"/>
      <c r="AC402" s="256" t="n"/>
      <c r="AD402" s="256" t="n"/>
      <c r="AE402" s="256" t="n"/>
      <c r="AF402" s="256" t="n"/>
      <c r="AG402" s="256" t="n"/>
      <c r="AH402" s="256">
        <f>IFERROR(IFERROR(V402,0)+IFERROR(AC402,0)+IFERROR(AD402,0)+IFERROR(AE402,0)+IFERROR(AF402,0)+IFERROR(AG402,0),0)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IFERROR(H403+IFERROR(I403,0)+T403+IFERROR(AH403,0),0)</f>
        <v/>
      </c>
      <c r="V403" s="256" t="n"/>
      <c r="W403" s="257" t="n"/>
      <c r="X403" s="256" t="n"/>
      <c r="Y403" s="258" t="n"/>
      <c r="Z403" s="259" t="n"/>
      <c r="AA403" s="259" t="n"/>
      <c r="AB403" s="258" t="n"/>
      <c r="AC403" s="256" t="n"/>
      <c r="AD403" s="256" t="n"/>
      <c r="AE403" s="256" t="n"/>
      <c r="AF403" s="256" t="n"/>
      <c r="AG403" s="256" t="n"/>
      <c r="AH403" s="256">
        <f>IFERROR(IFERROR(V403,0)+IFERROR(AC403,0)+IFERROR(AD403,0)+IFERROR(AE403,0)+IFERROR(AF403,0)+IFERROR(AG403,0),0)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IFERROR(H404+IFERROR(I404,0)+T404+IFERROR(AH404,0),0)</f>
        <v/>
      </c>
      <c r="V404" s="256" t="n"/>
      <c r="W404" s="257" t="n"/>
      <c r="X404" s="256" t="n"/>
      <c r="Y404" s="258" t="n"/>
      <c r="Z404" s="259" t="n"/>
      <c r="AA404" s="259" t="n"/>
      <c r="AB404" s="258" t="n"/>
      <c r="AC404" s="256" t="n"/>
      <c r="AD404" s="256" t="n"/>
      <c r="AE404" s="256" t="n"/>
      <c r="AF404" s="256" t="n"/>
      <c r="AG404" s="256" t="n"/>
      <c r="AH404" s="256">
        <f>IFERROR(IFERROR(V404,0)+IFERROR(AC404,0)+IFERROR(AD404,0)+IFERROR(AE404,0)+IFERROR(AF404,0)+IFERROR(AG404,0),0)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IFERROR(H405+IFERROR(I405,0)+T405+IFERROR(AH405,0),0)</f>
        <v/>
      </c>
      <c r="V405" s="256" t="n"/>
      <c r="W405" s="257" t="n"/>
      <c r="X405" s="256" t="n"/>
      <c r="Y405" s="258" t="n"/>
      <c r="Z405" s="259" t="n"/>
      <c r="AA405" s="259" t="n"/>
      <c r="AB405" s="258" t="n"/>
      <c r="AC405" s="256" t="n"/>
      <c r="AD405" s="256" t="n"/>
      <c r="AE405" s="256" t="n"/>
      <c r="AF405" s="256" t="n"/>
      <c r="AG405" s="256" t="n"/>
      <c r="AH405" s="256">
        <f>IFERROR(IFERROR(V405,0)+IFERROR(AC405,0)+IFERROR(AD405,0)+IFERROR(AE405,0)+IFERROR(AF405,0)+IFERROR(AG405,0),0)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IFERROR(H406+IFERROR(I406,0)+T406+IFERROR(AH406,0),0)</f>
        <v/>
      </c>
      <c r="V406" s="256" t="n"/>
      <c r="W406" s="257" t="n"/>
      <c r="X406" s="256" t="n"/>
      <c r="Y406" s="258" t="n"/>
      <c r="Z406" s="259" t="n"/>
      <c r="AA406" s="259" t="n"/>
      <c r="AB406" s="258" t="n"/>
      <c r="AC406" s="256" t="n"/>
      <c r="AD406" s="256" t="n"/>
      <c r="AE406" s="256" t="n"/>
      <c r="AF406" s="256" t="n"/>
      <c r="AG406" s="256" t="n"/>
      <c r="AH406" s="256">
        <f>IFERROR(IFERROR(V406,0)+IFERROR(AC406,0)+IFERROR(AD406,0)+IFERROR(AE406,0)+IFERROR(AF406,0)+IFERROR(AG406,0),0)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IFERROR(H407+IFERROR(I407,0)+T407+IFERROR(AH407,0),0)</f>
        <v/>
      </c>
      <c r="V407" s="256" t="n"/>
      <c r="W407" s="257" t="n"/>
      <c r="X407" s="256" t="n"/>
      <c r="Y407" s="258" t="n"/>
      <c r="Z407" s="259" t="n"/>
      <c r="AA407" s="259" t="n"/>
      <c r="AB407" s="258" t="n"/>
      <c r="AC407" s="256" t="n"/>
      <c r="AD407" s="256" t="n"/>
      <c r="AE407" s="256" t="n"/>
      <c r="AF407" s="256" t="n"/>
      <c r="AG407" s="256" t="n"/>
      <c r="AH407" s="256">
        <f>IFERROR(IFERROR(V407,0)+IFERROR(AC407,0)+IFERROR(AD407,0)+IFERROR(AE407,0)+IFERROR(AF407,0)+IFERROR(AG407,0),0)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IFERROR(H408+IFERROR(I408,0)+T408+IFERROR(AH408,0),0)</f>
        <v/>
      </c>
      <c r="V408" s="256" t="n"/>
      <c r="W408" s="257" t="n"/>
      <c r="X408" s="256" t="n"/>
      <c r="Y408" s="258" t="n"/>
      <c r="Z408" s="259" t="n"/>
      <c r="AA408" s="259" t="n"/>
      <c r="AB408" s="258" t="n"/>
      <c r="AC408" s="256" t="n"/>
      <c r="AD408" s="256" t="n"/>
      <c r="AE408" s="256" t="n"/>
      <c r="AF408" s="256" t="n"/>
      <c r="AG408" s="256" t="n"/>
      <c r="AH408" s="256">
        <f>IFERROR(IFERROR(V408,0)+IFERROR(AC408,0)+IFERROR(AD408,0)+IFERROR(AE408,0)+IFERROR(AF408,0)+IFERROR(AG408,0),0)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IFERROR(H409+IFERROR(I409,0)+T409+IFERROR(AH409,0),0)</f>
        <v/>
      </c>
      <c r="V409" s="256" t="n"/>
      <c r="W409" s="257" t="n"/>
      <c r="X409" s="256" t="n"/>
      <c r="Y409" s="258" t="n"/>
      <c r="Z409" s="259" t="n"/>
      <c r="AA409" s="259" t="n"/>
      <c r="AB409" s="258" t="n"/>
      <c r="AC409" s="256" t="n"/>
      <c r="AD409" s="256" t="n"/>
      <c r="AE409" s="256" t="n"/>
      <c r="AF409" s="256" t="n"/>
      <c r="AG409" s="256" t="n"/>
      <c r="AH409" s="256">
        <f>IFERROR(IFERROR(V409,0)+IFERROR(AC409,0)+IFERROR(AD409,0)+IFERROR(AE409,0)+IFERROR(AF409,0)+IFERROR(AG409,0),0)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IFERROR(H410+IFERROR(I410,0)+T410+IFERROR(AH410,0),0)</f>
        <v/>
      </c>
      <c r="V410" s="256" t="n"/>
      <c r="W410" s="257" t="n"/>
      <c r="X410" s="256" t="n"/>
      <c r="Y410" s="258" t="n"/>
      <c r="Z410" s="259" t="n"/>
      <c r="AA410" s="259" t="n"/>
      <c r="AB410" s="258" t="n"/>
      <c r="AC410" s="256" t="n"/>
      <c r="AD410" s="256" t="n"/>
      <c r="AE410" s="256" t="n"/>
      <c r="AF410" s="256" t="n"/>
      <c r="AG410" s="256" t="n"/>
      <c r="AH410" s="256">
        <f>IFERROR(IFERROR(V410,0)+IFERROR(AC410,0)+IFERROR(AD410,0)+IFERROR(AE410,0)+IFERROR(AF410,0)+IFERROR(AG410,0),0)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IFERROR(H411+IFERROR(I411,0)+T411+IFERROR(AH411,0),0)</f>
        <v/>
      </c>
      <c r="V411" s="256" t="n"/>
      <c r="W411" s="257" t="n"/>
      <c r="X411" s="256" t="n"/>
      <c r="Y411" s="258" t="n"/>
      <c r="Z411" s="259" t="n"/>
      <c r="AA411" s="259" t="n"/>
      <c r="AB411" s="258" t="n"/>
      <c r="AC411" s="256" t="n"/>
      <c r="AD411" s="256" t="n"/>
      <c r="AE411" s="256" t="n"/>
      <c r="AF411" s="256" t="n"/>
      <c r="AG411" s="256" t="n"/>
      <c r="AH411" s="256">
        <f>IFERROR(IFERROR(V411,0)+IFERROR(AC411,0)+IFERROR(AD411,0)+IFERROR(AE411,0)+IFERROR(AF411,0)+IFERROR(AG411,0),0)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IFERROR(H412+IFERROR(I412,0)+T412+IFERROR(AH412,0),0)</f>
        <v/>
      </c>
      <c r="V412" s="256" t="n"/>
      <c r="W412" s="257" t="n"/>
      <c r="X412" s="256" t="n"/>
      <c r="Y412" s="258" t="n"/>
      <c r="Z412" s="259" t="n"/>
      <c r="AA412" s="259" t="n"/>
      <c r="AB412" s="258" t="n"/>
      <c r="AC412" s="256" t="n"/>
      <c r="AD412" s="256" t="n"/>
      <c r="AE412" s="256" t="n"/>
      <c r="AF412" s="256" t="n"/>
      <c r="AG412" s="256" t="n"/>
      <c r="AH412" s="256">
        <f>IFERROR(IFERROR(V412,0)+IFERROR(AC412,0)+IFERROR(AD412,0)+IFERROR(AE412,0)+IFERROR(AF412,0)+IFERROR(AG412,0),0)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IFERROR(H413+IFERROR(I413,0)+T413+IFERROR(AH413,0),0)</f>
        <v/>
      </c>
      <c r="V413" s="256" t="n"/>
      <c r="W413" s="257" t="n"/>
      <c r="X413" s="256" t="n"/>
      <c r="Y413" s="258" t="n"/>
      <c r="Z413" s="259" t="n"/>
      <c r="AA413" s="259" t="n"/>
      <c r="AB413" s="258" t="n"/>
      <c r="AC413" s="256" t="n"/>
      <c r="AD413" s="256" t="n"/>
      <c r="AE413" s="256" t="n"/>
      <c r="AF413" s="256" t="n"/>
      <c r="AG413" s="256" t="n"/>
      <c r="AH413" s="256">
        <f>IFERROR(IFERROR(V413,0)+IFERROR(AC413,0)+IFERROR(AD413,0)+IFERROR(AE413,0)+IFERROR(AF413,0)+IFERROR(AG413,0),0)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IFERROR(H414+IFERROR(I414,0)+T414+IFERROR(AH414,0),0)</f>
        <v/>
      </c>
      <c r="V414" s="256" t="n"/>
      <c r="W414" s="257" t="n"/>
      <c r="X414" s="256" t="n"/>
      <c r="Y414" s="258" t="n"/>
      <c r="Z414" s="259" t="n"/>
      <c r="AA414" s="259" t="n"/>
      <c r="AB414" s="258" t="n"/>
      <c r="AC414" s="256" t="n"/>
      <c r="AD414" s="256" t="n"/>
      <c r="AE414" s="256" t="n"/>
      <c r="AF414" s="256" t="n"/>
      <c r="AG414" s="256" t="n"/>
      <c r="AH414" s="256">
        <f>IFERROR(IFERROR(V414,0)+IFERROR(AC414,0)+IFERROR(AD414,0)+IFERROR(AE414,0)+IFERROR(AF414,0)+IFERROR(AG414,0),0)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IFERROR(H415+IFERROR(I415,0)+T415+IFERROR(AH415,0),0)</f>
        <v/>
      </c>
      <c r="V415" s="256" t="n"/>
      <c r="W415" s="257" t="n"/>
      <c r="X415" s="256" t="n"/>
      <c r="Y415" s="258" t="n"/>
      <c r="Z415" s="259" t="n"/>
      <c r="AA415" s="259" t="n"/>
      <c r="AB415" s="258" t="n"/>
      <c r="AC415" s="256" t="n"/>
      <c r="AD415" s="256" t="n"/>
      <c r="AE415" s="256" t="n"/>
      <c r="AF415" s="256" t="n"/>
      <c r="AG415" s="256" t="n"/>
      <c r="AH415" s="256">
        <f>IFERROR(IFERROR(V415,0)+IFERROR(AC415,0)+IFERROR(AD415,0)+IFERROR(AE415,0)+IFERROR(AF415,0)+IFERROR(AG415,0),0)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IFERROR(H416+IFERROR(I416,0)+T416+IFERROR(AH416,0),0)</f>
        <v/>
      </c>
      <c r="V416" s="256" t="n"/>
      <c r="W416" s="257" t="n"/>
      <c r="X416" s="256" t="n"/>
      <c r="Y416" s="258" t="n"/>
      <c r="Z416" s="259" t="n"/>
      <c r="AA416" s="259" t="n"/>
      <c r="AB416" s="258" t="n"/>
      <c r="AC416" s="256" t="n"/>
      <c r="AD416" s="256" t="n"/>
      <c r="AE416" s="256" t="n"/>
      <c r="AF416" s="256" t="n"/>
      <c r="AG416" s="256" t="n"/>
      <c r="AH416" s="256">
        <f>IFERROR(IFERROR(V416,0)+IFERROR(AC416,0)+IFERROR(AD416,0)+IFERROR(AE416,0)+IFERROR(AF416,0)+IFERROR(AG416,0),0)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IFERROR(H417+IFERROR(I417,0)+T417+IFERROR(AH417,0),0)</f>
        <v/>
      </c>
      <c r="V417" s="256" t="n"/>
      <c r="W417" s="257" t="n"/>
      <c r="X417" s="256" t="n"/>
      <c r="Y417" s="258" t="n"/>
      <c r="Z417" s="259" t="n"/>
      <c r="AA417" s="259" t="n"/>
      <c r="AB417" s="258" t="n"/>
      <c r="AC417" s="256" t="n"/>
      <c r="AD417" s="256" t="n"/>
      <c r="AE417" s="256" t="n"/>
      <c r="AF417" s="256" t="n"/>
      <c r="AG417" s="256" t="n"/>
      <c r="AH417" s="256">
        <f>IFERROR(IFERROR(V417,0)+IFERROR(AC417,0)+IFERROR(AD417,0)+IFERROR(AE417,0)+IFERROR(AF417,0)+IFERROR(AG417,0),0)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IFERROR(H418+IFERROR(I418,0)+T418+IFERROR(AH418,0),0)</f>
        <v/>
      </c>
      <c r="V418" s="256" t="n"/>
      <c r="W418" s="257" t="n"/>
      <c r="X418" s="256" t="n"/>
      <c r="Y418" s="258" t="n"/>
      <c r="Z418" s="259" t="n"/>
      <c r="AA418" s="259" t="n"/>
      <c r="AB418" s="258" t="n"/>
      <c r="AC418" s="256" t="n"/>
      <c r="AD418" s="256" t="n"/>
      <c r="AE418" s="256" t="n"/>
      <c r="AF418" s="256" t="n"/>
      <c r="AG418" s="256" t="n"/>
      <c r="AH418" s="256">
        <f>IFERROR(IFERROR(V418,0)+IFERROR(AC418,0)+IFERROR(AD418,0)+IFERROR(AE418,0)+IFERROR(AF418,0)+IFERROR(AG418,0),0)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IFERROR(H419+IFERROR(I419,0)+T419+IFERROR(AH419,0),0)</f>
        <v/>
      </c>
      <c r="V419" s="256" t="n"/>
      <c r="W419" s="257" t="n"/>
      <c r="X419" s="256" t="n"/>
      <c r="Y419" s="258" t="n"/>
      <c r="Z419" s="259" t="n"/>
      <c r="AA419" s="259" t="n"/>
      <c r="AB419" s="258" t="n"/>
      <c r="AC419" s="256" t="n"/>
      <c r="AD419" s="256" t="n"/>
      <c r="AE419" s="256" t="n"/>
      <c r="AF419" s="256" t="n"/>
      <c r="AG419" s="256" t="n"/>
      <c r="AH419" s="256">
        <f>IFERROR(IFERROR(V419,0)+IFERROR(AC419,0)+IFERROR(AD419,0)+IFERROR(AE419,0)+IFERROR(AF419,0)+IFERROR(AG419,0),0)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IFERROR(H420+IFERROR(I420,0)+T420+IFERROR(AH420,0),0)</f>
        <v/>
      </c>
      <c r="V420" s="256" t="n"/>
      <c r="W420" s="257" t="n"/>
      <c r="X420" s="256" t="n"/>
      <c r="Y420" s="258" t="n"/>
      <c r="Z420" s="259" t="n"/>
      <c r="AA420" s="259" t="n"/>
      <c r="AB420" s="258" t="n"/>
      <c r="AC420" s="256" t="n"/>
      <c r="AD420" s="256" t="n"/>
      <c r="AE420" s="256" t="n"/>
      <c r="AF420" s="256" t="n"/>
      <c r="AG420" s="256" t="n"/>
      <c r="AH420" s="256">
        <f>IFERROR(IFERROR(V420,0)+IFERROR(AC420,0)+IFERROR(AD420,0)+IFERROR(AE420,0)+IFERROR(AF420,0)+IFERROR(AG420,0),0)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IFERROR(H421+IFERROR(I421,0)+T421+IFERROR(AH421,0),0)</f>
        <v/>
      </c>
      <c r="V421" s="256" t="n"/>
      <c r="W421" s="257" t="n"/>
      <c r="X421" s="256" t="n"/>
      <c r="Y421" s="258" t="n"/>
      <c r="Z421" s="259" t="n"/>
      <c r="AA421" s="259" t="n"/>
      <c r="AB421" s="258" t="n"/>
      <c r="AC421" s="256" t="n"/>
      <c r="AD421" s="256" t="n"/>
      <c r="AE421" s="256" t="n"/>
      <c r="AF421" s="256" t="n"/>
      <c r="AG421" s="256" t="n"/>
      <c r="AH421" s="256">
        <f>IFERROR(IFERROR(V421,0)+IFERROR(AC421,0)+IFERROR(AD421,0)+IFERROR(AE421,0)+IFERROR(AF421,0)+IFERROR(AG421,0),0)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IFERROR(H422+IFERROR(I422,0)+T422+IFERROR(AH422,0),0)</f>
        <v/>
      </c>
      <c r="V422" s="256" t="n"/>
      <c r="W422" s="257" t="n"/>
      <c r="X422" s="256" t="n"/>
      <c r="Y422" s="258" t="n"/>
      <c r="Z422" s="259" t="n"/>
      <c r="AA422" s="259" t="n"/>
      <c r="AB422" s="258" t="n"/>
      <c r="AC422" s="256" t="n"/>
      <c r="AD422" s="256" t="n"/>
      <c r="AE422" s="256" t="n"/>
      <c r="AF422" s="256" t="n"/>
      <c r="AG422" s="256" t="n"/>
      <c r="AH422" s="256">
        <f>IFERROR(IFERROR(V422,0)+IFERROR(AC422,0)+IFERROR(AD422,0)+IFERROR(AE422,0)+IFERROR(AF422,0)+IFERROR(AG422,0),0)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IFERROR(H423+IFERROR(I423,0)+T423+IFERROR(AH423,0),0)</f>
        <v/>
      </c>
      <c r="V423" s="256" t="n"/>
      <c r="W423" s="257" t="n"/>
      <c r="X423" s="256" t="n"/>
      <c r="Y423" s="258" t="n"/>
      <c r="Z423" s="259" t="n"/>
      <c r="AA423" s="259" t="n"/>
      <c r="AB423" s="258" t="n"/>
      <c r="AC423" s="256" t="n"/>
      <c r="AD423" s="256" t="n"/>
      <c r="AE423" s="256" t="n"/>
      <c r="AF423" s="256" t="n"/>
      <c r="AG423" s="256" t="n"/>
      <c r="AH423" s="256">
        <f>IFERROR(IFERROR(V423,0)+IFERROR(AC423,0)+IFERROR(AD423,0)+IFERROR(AE423,0)+IFERROR(AF423,0)+IFERROR(AG423,0),0)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IFERROR(H424+IFERROR(I424,0)+T424+IFERROR(AH424,0),0)</f>
        <v/>
      </c>
      <c r="V424" s="256" t="n"/>
      <c r="W424" s="257" t="n"/>
      <c r="X424" s="256" t="n"/>
      <c r="Y424" s="258" t="n"/>
      <c r="Z424" s="259" t="n"/>
      <c r="AA424" s="259" t="n"/>
      <c r="AB424" s="258" t="n"/>
      <c r="AC424" s="256" t="n"/>
      <c r="AD424" s="256" t="n"/>
      <c r="AE424" s="256" t="n"/>
      <c r="AF424" s="256" t="n"/>
      <c r="AG424" s="256" t="n"/>
      <c r="AH424" s="256">
        <f>IFERROR(IFERROR(V424,0)+IFERROR(AC424,0)+IFERROR(AD424,0)+IFERROR(AE424,0)+IFERROR(AF424,0)+IFERROR(AG424,0),0)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IFERROR(H425+IFERROR(I425,0)+T425+IFERROR(AH425,0),0)</f>
        <v/>
      </c>
      <c r="V425" s="256" t="n"/>
      <c r="W425" s="257" t="n"/>
      <c r="X425" s="256" t="n"/>
      <c r="Y425" s="258" t="n"/>
      <c r="Z425" s="259" t="n"/>
      <c r="AA425" s="259" t="n"/>
      <c r="AB425" s="258" t="n"/>
      <c r="AC425" s="256" t="n"/>
      <c r="AD425" s="256" t="n"/>
      <c r="AE425" s="256" t="n"/>
      <c r="AF425" s="256" t="n"/>
      <c r="AG425" s="256" t="n"/>
      <c r="AH425" s="256">
        <f>IFERROR(IFERROR(V425,0)+IFERROR(AC425,0)+IFERROR(AD425,0)+IFERROR(AE425,0)+IFERROR(AF425,0)+IFERROR(AG425,0),0)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IFERROR(H426+IFERROR(I426,0)+T426+IFERROR(AH426,0),0)</f>
        <v/>
      </c>
      <c r="V426" s="256" t="n"/>
      <c r="W426" s="257" t="n"/>
      <c r="X426" s="256" t="n"/>
      <c r="Y426" s="258" t="n"/>
      <c r="Z426" s="259" t="n"/>
      <c r="AA426" s="259" t="n"/>
      <c r="AB426" s="258" t="n"/>
      <c r="AC426" s="256" t="n"/>
      <c r="AD426" s="256" t="n"/>
      <c r="AE426" s="256" t="n"/>
      <c r="AF426" s="256" t="n"/>
      <c r="AG426" s="256" t="n"/>
      <c r="AH426" s="256">
        <f>IFERROR(IFERROR(V426,0)+IFERROR(AC426,0)+IFERROR(AD426,0)+IFERROR(AE426,0)+IFERROR(AF426,0)+IFERROR(AG426,0),0)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IFERROR(H427+IFERROR(I427,0)+T427+IFERROR(AH427,0),0)</f>
        <v/>
      </c>
      <c r="V427" s="256" t="n"/>
      <c r="W427" s="257" t="n"/>
      <c r="X427" s="256" t="n"/>
      <c r="Y427" s="258" t="n"/>
      <c r="Z427" s="259" t="n"/>
      <c r="AA427" s="259" t="n"/>
      <c r="AB427" s="258" t="n"/>
      <c r="AC427" s="256" t="n"/>
      <c r="AD427" s="256" t="n"/>
      <c r="AE427" s="256" t="n"/>
      <c r="AF427" s="256" t="n"/>
      <c r="AG427" s="256" t="n"/>
      <c r="AH427" s="256">
        <f>IFERROR(IFERROR(V427,0)+IFERROR(AC427,0)+IFERROR(AD427,0)+IFERROR(AE427,0)+IFERROR(AF427,0)+IFERROR(AG427,0),0)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IFERROR(H428+IFERROR(I428,0)+T428+IFERROR(AH428,0),0)</f>
        <v/>
      </c>
      <c r="V428" s="256" t="n"/>
      <c r="W428" s="257" t="n"/>
      <c r="X428" s="256" t="n"/>
      <c r="Y428" s="258" t="n"/>
      <c r="Z428" s="259" t="n"/>
      <c r="AA428" s="259" t="n"/>
      <c r="AB428" s="258" t="n"/>
      <c r="AC428" s="256" t="n"/>
      <c r="AD428" s="256" t="n"/>
      <c r="AE428" s="256" t="n"/>
      <c r="AF428" s="256" t="n"/>
      <c r="AG428" s="256" t="n"/>
      <c r="AH428" s="256">
        <f>IFERROR(IFERROR(V428,0)+IFERROR(AC428,0)+IFERROR(AD428,0)+IFERROR(AE428,0)+IFERROR(AF428,0)+IFERROR(AG428,0),0)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IFERROR(H429+IFERROR(I429,0)+T429+IFERROR(AH429,0),0)</f>
        <v/>
      </c>
      <c r="V429" s="256" t="n"/>
      <c r="W429" s="257" t="n"/>
      <c r="X429" s="256" t="n"/>
      <c r="Y429" s="258" t="n"/>
      <c r="Z429" s="259" t="n"/>
      <c r="AA429" s="259" t="n"/>
      <c r="AB429" s="258" t="n"/>
      <c r="AC429" s="256" t="n"/>
      <c r="AD429" s="256" t="n"/>
      <c r="AE429" s="256" t="n"/>
      <c r="AF429" s="256" t="n"/>
      <c r="AG429" s="256" t="n"/>
      <c r="AH429" s="256">
        <f>IFERROR(IFERROR(V429,0)+IFERROR(AC429,0)+IFERROR(AD429,0)+IFERROR(AE429,0)+IFERROR(AF429,0)+IFERROR(AG429,0),0)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IFERROR(H430+IFERROR(I430,0)+T430+IFERROR(AH430,0),0)</f>
        <v/>
      </c>
      <c r="V430" s="256" t="n"/>
      <c r="W430" s="257" t="n"/>
      <c r="X430" s="256" t="n"/>
      <c r="Y430" s="258" t="n"/>
      <c r="Z430" s="259" t="n"/>
      <c r="AA430" s="259" t="n"/>
      <c r="AB430" s="258" t="n"/>
      <c r="AC430" s="256" t="n"/>
      <c r="AD430" s="256" t="n"/>
      <c r="AE430" s="256" t="n"/>
      <c r="AF430" s="256" t="n"/>
      <c r="AG430" s="256" t="n"/>
      <c r="AH430" s="256">
        <f>IFERROR(IFERROR(V430,0)+IFERROR(AC430,0)+IFERROR(AD430,0)+IFERROR(AE430,0)+IFERROR(AF430,0)+IFERROR(AG430,0),0)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IFERROR(H431+IFERROR(I431,0)+T431+IFERROR(AH431,0),0)</f>
        <v/>
      </c>
      <c r="V431" s="256" t="n"/>
      <c r="W431" s="257" t="n"/>
      <c r="X431" s="256" t="n"/>
      <c r="Y431" s="258" t="n"/>
      <c r="Z431" s="259" t="n"/>
      <c r="AA431" s="259" t="n"/>
      <c r="AB431" s="258" t="n"/>
      <c r="AC431" s="256" t="n"/>
      <c r="AD431" s="256" t="n"/>
      <c r="AE431" s="256" t="n"/>
      <c r="AF431" s="256" t="n"/>
      <c r="AG431" s="256" t="n"/>
      <c r="AH431" s="256">
        <f>IFERROR(IFERROR(V431,0)+IFERROR(AC431,0)+IFERROR(AD431,0)+IFERROR(AE431,0)+IFERROR(AF431,0)+IFERROR(AG431,0),0)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IFERROR(H432+IFERROR(I432,0)+T432+IFERROR(AH432,0),0)</f>
        <v/>
      </c>
      <c r="V432" s="256" t="n"/>
      <c r="W432" s="257" t="n"/>
      <c r="X432" s="256" t="n"/>
      <c r="Y432" s="258" t="n"/>
      <c r="Z432" s="259" t="n"/>
      <c r="AA432" s="259" t="n"/>
      <c r="AB432" s="258" t="n"/>
      <c r="AC432" s="256" t="n"/>
      <c r="AD432" s="256" t="n"/>
      <c r="AE432" s="256" t="n"/>
      <c r="AF432" s="256" t="n"/>
      <c r="AG432" s="256" t="n"/>
      <c r="AH432" s="256">
        <f>IFERROR(IFERROR(V432,0)+IFERROR(AC432,0)+IFERROR(AD432,0)+IFERROR(AE432,0)+IFERROR(AF432,0)+IFERROR(AG432,0),0)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IFERROR(H433+IFERROR(I433,0)+T433+IFERROR(AH433,0),0)</f>
        <v/>
      </c>
      <c r="V433" s="256" t="n"/>
      <c r="W433" s="257" t="n"/>
      <c r="X433" s="256" t="n"/>
      <c r="Y433" s="258" t="n"/>
      <c r="Z433" s="259" t="n"/>
      <c r="AA433" s="259" t="n"/>
      <c r="AB433" s="258" t="n"/>
      <c r="AC433" s="256" t="n"/>
      <c r="AD433" s="256" t="n"/>
      <c r="AE433" s="256" t="n"/>
      <c r="AF433" s="256" t="n"/>
      <c r="AG433" s="256" t="n"/>
      <c r="AH433" s="256">
        <f>IFERROR(IFERROR(V433,0)+IFERROR(AC433,0)+IFERROR(AD433,0)+IFERROR(AE433,0)+IFERROR(AF433,0)+IFERROR(AG433,0),0)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IFERROR(H434+IFERROR(I434,0)+T434+IFERROR(AH434,0),0)</f>
        <v/>
      </c>
      <c r="V434" s="256" t="n"/>
      <c r="W434" s="257" t="n"/>
      <c r="X434" s="256" t="n"/>
      <c r="Y434" s="258" t="n"/>
      <c r="Z434" s="259" t="n"/>
      <c r="AA434" s="259" t="n"/>
      <c r="AB434" s="258" t="n"/>
      <c r="AC434" s="256" t="n"/>
      <c r="AD434" s="256" t="n"/>
      <c r="AE434" s="256" t="n"/>
      <c r="AF434" s="256" t="n"/>
      <c r="AG434" s="256" t="n"/>
      <c r="AH434" s="256">
        <f>IFERROR(IFERROR(V434,0)+IFERROR(AC434,0)+IFERROR(AD434,0)+IFERROR(AE434,0)+IFERROR(AF434,0)+IFERROR(AG434,0),0)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IFERROR(H435+IFERROR(I435,0)+T435+IFERROR(AH435,0),0)</f>
        <v/>
      </c>
      <c r="V435" s="256" t="n"/>
      <c r="W435" s="257" t="n"/>
      <c r="X435" s="256" t="n"/>
      <c r="Y435" s="258" t="n"/>
      <c r="Z435" s="259" t="n"/>
      <c r="AA435" s="259" t="n"/>
      <c r="AB435" s="258" t="n"/>
      <c r="AC435" s="256" t="n"/>
      <c r="AD435" s="256" t="n"/>
      <c r="AE435" s="256" t="n"/>
      <c r="AF435" s="256" t="n"/>
      <c r="AG435" s="256" t="n"/>
      <c r="AH435" s="256">
        <f>IFERROR(IFERROR(V435,0)+IFERROR(AC435,0)+IFERROR(AD435,0)+IFERROR(AE435,0)+IFERROR(AF435,0)+IFERROR(AG435,0),0)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IFERROR(H436+IFERROR(I436,0)+T436+IFERROR(AH436,0),0)</f>
        <v/>
      </c>
      <c r="V436" s="256" t="n"/>
      <c r="W436" s="257" t="n"/>
      <c r="X436" s="256" t="n"/>
      <c r="Y436" s="258" t="n"/>
      <c r="Z436" s="259" t="n"/>
      <c r="AA436" s="259" t="n"/>
      <c r="AB436" s="258" t="n"/>
      <c r="AC436" s="256" t="n"/>
      <c r="AD436" s="256" t="n"/>
      <c r="AE436" s="256" t="n"/>
      <c r="AF436" s="256" t="n"/>
      <c r="AG436" s="256" t="n"/>
      <c r="AH436" s="256">
        <f>IFERROR(IFERROR(V436,0)+IFERROR(AC436,0)+IFERROR(AD436,0)+IFERROR(AE436,0)+IFERROR(AF436,0)+IFERROR(AG436,0),0)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IFERROR(H437+IFERROR(I437,0)+T437+IFERROR(AH437,0),0)</f>
        <v/>
      </c>
      <c r="V437" s="256" t="n"/>
      <c r="W437" s="257" t="n"/>
      <c r="X437" s="256" t="n"/>
      <c r="Y437" s="258" t="n"/>
      <c r="Z437" s="259" t="n"/>
      <c r="AA437" s="259" t="n"/>
      <c r="AB437" s="258" t="n"/>
      <c r="AC437" s="256" t="n"/>
      <c r="AD437" s="256" t="n"/>
      <c r="AE437" s="256" t="n"/>
      <c r="AF437" s="256" t="n"/>
      <c r="AG437" s="256" t="n"/>
      <c r="AH437" s="256">
        <f>IFERROR(IFERROR(V437,0)+IFERROR(AC437,0)+IFERROR(AD437,0)+IFERROR(AE437,0)+IFERROR(AF437,0)+IFERROR(AG437,0),0)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IFERROR(H438+IFERROR(I438,0)+T438+IFERROR(AH438,0),0)</f>
        <v/>
      </c>
      <c r="V438" s="256" t="n"/>
      <c r="W438" s="257" t="n"/>
      <c r="X438" s="256" t="n"/>
      <c r="Y438" s="258" t="n"/>
      <c r="Z438" s="259" t="n"/>
      <c r="AA438" s="259" t="n"/>
      <c r="AB438" s="258" t="n"/>
      <c r="AC438" s="256" t="n"/>
      <c r="AD438" s="256" t="n"/>
      <c r="AE438" s="256" t="n"/>
      <c r="AF438" s="256" t="n"/>
      <c r="AG438" s="256" t="n"/>
      <c r="AH438" s="256">
        <f>IFERROR(IFERROR(V438,0)+IFERROR(AC438,0)+IFERROR(AD438,0)+IFERROR(AE438,0)+IFERROR(AF438,0)+IFERROR(AG438,0),0)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IFERROR(H439+IFERROR(I439,0)+T439+IFERROR(AH439,0),0)</f>
        <v/>
      </c>
      <c r="V439" s="256" t="n"/>
      <c r="W439" s="257" t="n"/>
      <c r="X439" s="256" t="n"/>
      <c r="Y439" s="258" t="n"/>
      <c r="Z439" s="259" t="n"/>
      <c r="AA439" s="259" t="n"/>
      <c r="AB439" s="258" t="n"/>
      <c r="AC439" s="256" t="n"/>
      <c r="AD439" s="256" t="n"/>
      <c r="AE439" s="256" t="n"/>
      <c r="AF439" s="256" t="n"/>
      <c r="AG439" s="256" t="n"/>
      <c r="AH439" s="256">
        <f>IFERROR(IFERROR(V439,0)+IFERROR(AC439,0)+IFERROR(AD439,0)+IFERROR(AE439,0)+IFERROR(AF439,0)+IFERROR(AG439,0),0)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IFERROR(H440+IFERROR(I440,0)+T440+IFERROR(AH440,0),0)</f>
        <v/>
      </c>
      <c r="V440" s="256" t="n"/>
      <c r="W440" s="257" t="n"/>
      <c r="X440" s="256" t="n"/>
      <c r="Y440" s="258" t="n"/>
      <c r="Z440" s="259" t="n"/>
      <c r="AA440" s="259" t="n"/>
      <c r="AB440" s="258" t="n"/>
      <c r="AC440" s="256" t="n"/>
      <c r="AD440" s="256" t="n"/>
      <c r="AE440" s="256" t="n"/>
      <c r="AF440" s="256" t="n"/>
      <c r="AG440" s="256" t="n"/>
      <c r="AH440" s="256">
        <f>IFERROR(IFERROR(V440,0)+IFERROR(AC440,0)+IFERROR(AD440,0)+IFERROR(AE440,0)+IFERROR(AF440,0)+IFERROR(AG440,0),0)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IFERROR(H441+IFERROR(I441,0)+T441+IFERROR(AH441,0),0)</f>
        <v/>
      </c>
      <c r="V441" s="256" t="n"/>
      <c r="W441" s="257" t="n"/>
      <c r="X441" s="256" t="n"/>
      <c r="Y441" s="258" t="n"/>
      <c r="Z441" s="259" t="n"/>
      <c r="AA441" s="259" t="n"/>
      <c r="AB441" s="258" t="n"/>
      <c r="AC441" s="256" t="n"/>
      <c r="AD441" s="256" t="n"/>
      <c r="AE441" s="256" t="n"/>
      <c r="AF441" s="256" t="n"/>
      <c r="AG441" s="256" t="n"/>
      <c r="AH441" s="256">
        <f>IFERROR(IFERROR(V441,0)+IFERROR(AC441,0)+IFERROR(AD441,0)+IFERROR(AE441,0)+IFERROR(AF441,0)+IFERROR(AG441,0),0)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IFERROR(H442+IFERROR(I442,0)+T442+IFERROR(AH442,0),0)</f>
        <v/>
      </c>
      <c r="V442" s="256" t="n"/>
      <c r="W442" s="257" t="n"/>
      <c r="X442" s="256" t="n"/>
      <c r="Y442" s="258" t="n"/>
      <c r="Z442" s="259" t="n"/>
      <c r="AA442" s="259" t="n"/>
      <c r="AB442" s="258" t="n"/>
      <c r="AC442" s="256" t="n"/>
      <c r="AD442" s="256" t="n"/>
      <c r="AE442" s="256" t="n"/>
      <c r="AF442" s="256" t="n"/>
      <c r="AG442" s="256" t="n"/>
      <c r="AH442" s="256">
        <f>IFERROR(IFERROR(V442,0)+IFERROR(AC442,0)+IFERROR(AD442,0)+IFERROR(AE442,0)+IFERROR(AF442,0)+IFERROR(AG442,0),0)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IFERROR(H443+IFERROR(I443,0)+T443+IFERROR(AH443,0),0)</f>
        <v/>
      </c>
      <c r="V443" s="256" t="n"/>
      <c r="W443" s="257" t="n"/>
      <c r="X443" s="256" t="n"/>
      <c r="Y443" s="258" t="n"/>
      <c r="Z443" s="259" t="n"/>
      <c r="AA443" s="259" t="n"/>
      <c r="AB443" s="258" t="n"/>
      <c r="AC443" s="256" t="n"/>
      <c r="AD443" s="256" t="n"/>
      <c r="AE443" s="256" t="n"/>
      <c r="AF443" s="256" t="n"/>
      <c r="AG443" s="256" t="n"/>
      <c r="AH443" s="256">
        <f>IFERROR(IFERROR(V443,0)+IFERROR(AC443,0)+IFERROR(AD443,0)+IFERROR(AE443,0)+IFERROR(AF443,0)+IFERROR(AG443,0),0)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IFERROR(H444+IFERROR(I444,0)+T444+IFERROR(AH444,0),0)</f>
        <v/>
      </c>
      <c r="V444" s="256" t="n"/>
      <c r="W444" s="257" t="n"/>
      <c r="X444" s="256" t="n"/>
      <c r="Y444" s="258" t="n"/>
      <c r="Z444" s="259" t="n"/>
      <c r="AA444" s="259" t="n"/>
      <c r="AB444" s="258" t="n"/>
      <c r="AC444" s="256" t="n"/>
      <c r="AD444" s="256" t="n"/>
      <c r="AE444" s="256" t="n"/>
      <c r="AF444" s="256" t="n"/>
      <c r="AG444" s="256" t="n"/>
      <c r="AH444" s="256">
        <f>IFERROR(IFERROR(V444,0)+IFERROR(AC444,0)+IFERROR(AD444,0)+IFERROR(AE444,0)+IFERROR(AF444,0)+IFERROR(AG444,0),0)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IFERROR(H445+IFERROR(I445,0)+T445+IFERROR(AH445,0),0)</f>
        <v/>
      </c>
      <c r="V445" s="256" t="n"/>
      <c r="W445" s="257" t="n"/>
      <c r="X445" s="256" t="n"/>
      <c r="Y445" s="258" t="n"/>
      <c r="Z445" s="259" t="n"/>
      <c r="AA445" s="259" t="n"/>
      <c r="AB445" s="258" t="n"/>
      <c r="AC445" s="256" t="n"/>
      <c r="AD445" s="256" t="n"/>
      <c r="AE445" s="256" t="n"/>
      <c r="AF445" s="256" t="n"/>
      <c r="AG445" s="256" t="n"/>
      <c r="AH445" s="256">
        <f>IFERROR(IFERROR(V445,0)+IFERROR(AC445,0)+IFERROR(AD445,0)+IFERROR(AE445,0)+IFERROR(AF445,0)+IFERROR(AG445,0),0)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IFERROR(H446+IFERROR(I446,0)+T446+IFERROR(AH446,0),0)</f>
        <v/>
      </c>
      <c r="V446" s="256" t="n"/>
      <c r="W446" s="257" t="n"/>
      <c r="X446" s="256" t="n"/>
      <c r="Y446" s="258" t="n"/>
      <c r="Z446" s="259" t="n"/>
      <c r="AA446" s="259" t="n"/>
      <c r="AB446" s="258" t="n"/>
      <c r="AC446" s="256" t="n"/>
      <c r="AD446" s="256" t="n"/>
      <c r="AE446" s="256" t="n"/>
      <c r="AF446" s="256" t="n"/>
      <c r="AG446" s="256" t="n"/>
      <c r="AH446" s="256">
        <f>IFERROR(IFERROR(V446,0)+IFERROR(AC446,0)+IFERROR(AD446,0)+IFERROR(AE446,0)+IFERROR(AF446,0)+IFERROR(AG446,0),0)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IFERROR(H447+IFERROR(I447,0)+T447+IFERROR(AH447,0),0)</f>
        <v/>
      </c>
      <c r="V447" s="256" t="n"/>
      <c r="W447" s="257" t="n"/>
      <c r="X447" s="256" t="n"/>
      <c r="Y447" s="258" t="n"/>
      <c r="Z447" s="259" t="n"/>
      <c r="AA447" s="259" t="n"/>
      <c r="AB447" s="258" t="n"/>
      <c r="AC447" s="256" t="n"/>
      <c r="AD447" s="256" t="n"/>
      <c r="AE447" s="256" t="n"/>
      <c r="AF447" s="256" t="n"/>
      <c r="AG447" s="256" t="n"/>
      <c r="AH447" s="256">
        <f>IFERROR(IFERROR(V447,0)+IFERROR(AC447,0)+IFERROR(AD447,0)+IFERROR(AE447,0)+IFERROR(AF447,0)+IFERROR(AG447,0),0)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IFERROR(H448+IFERROR(I448,0)+T448+IFERROR(AH448,0),0)</f>
        <v/>
      </c>
      <c r="V448" s="256" t="n"/>
      <c r="W448" s="257" t="n"/>
      <c r="X448" s="256" t="n"/>
      <c r="Y448" s="258" t="n"/>
      <c r="Z448" s="259" t="n"/>
      <c r="AA448" s="259" t="n"/>
      <c r="AB448" s="258" t="n"/>
      <c r="AC448" s="256" t="n"/>
      <c r="AD448" s="256" t="n"/>
      <c r="AE448" s="256" t="n"/>
      <c r="AF448" s="256" t="n"/>
      <c r="AG448" s="256" t="n"/>
      <c r="AH448" s="256">
        <f>IFERROR(IFERROR(V448,0)+IFERROR(AC448,0)+IFERROR(AD448,0)+IFERROR(AE448,0)+IFERROR(AF448,0)+IFERROR(AG448,0),0)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IFERROR(H449+IFERROR(I449,0)+T449+IFERROR(AH449,0),0)</f>
        <v/>
      </c>
      <c r="V449" s="256" t="n"/>
      <c r="W449" s="257" t="n"/>
      <c r="X449" s="256" t="n"/>
      <c r="Y449" s="258" t="n"/>
      <c r="Z449" s="259" t="n"/>
      <c r="AA449" s="259" t="n"/>
      <c r="AB449" s="258" t="n"/>
      <c r="AC449" s="256" t="n"/>
      <c r="AD449" s="256" t="n"/>
      <c r="AE449" s="256" t="n"/>
      <c r="AF449" s="256" t="n"/>
      <c r="AG449" s="256" t="n"/>
      <c r="AH449" s="256">
        <f>IFERROR(IFERROR(V449,0)+IFERROR(AC449,0)+IFERROR(AD449,0)+IFERROR(AE449,0)+IFERROR(AF449,0)+IFERROR(AG449,0),0)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IFERROR(H450+IFERROR(I450,0)+T450+IFERROR(AH450,0),0)</f>
        <v/>
      </c>
      <c r="V450" s="256" t="n"/>
      <c r="W450" s="257" t="n"/>
      <c r="X450" s="256" t="n"/>
      <c r="Y450" s="258" t="n"/>
      <c r="Z450" s="259" t="n"/>
      <c r="AA450" s="259" t="n"/>
      <c r="AB450" s="258" t="n"/>
      <c r="AC450" s="256" t="n"/>
      <c r="AD450" s="256" t="n"/>
      <c r="AE450" s="256" t="n"/>
      <c r="AF450" s="256" t="n"/>
      <c r="AG450" s="256" t="n"/>
      <c r="AH450" s="256">
        <f>IFERROR(IFERROR(V450,0)+IFERROR(AC450,0)+IFERROR(AD450,0)+IFERROR(AE450,0)+IFERROR(AF450,0)+IFERROR(AG450,0),0)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IFERROR(H451+IFERROR(I451,0)+T451+IFERROR(AH451,0),0)</f>
        <v/>
      </c>
      <c r="V451" s="256" t="n"/>
      <c r="W451" s="257" t="n"/>
      <c r="X451" s="256" t="n"/>
      <c r="Y451" s="258" t="n"/>
      <c r="Z451" s="259" t="n"/>
      <c r="AA451" s="259" t="n"/>
      <c r="AB451" s="258" t="n"/>
      <c r="AC451" s="256" t="n"/>
      <c r="AD451" s="256" t="n"/>
      <c r="AE451" s="256" t="n"/>
      <c r="AF451" s="256" t="n"/>
      <c r="AG451" s="256" t="n"/>
      <c r="AH451" s="256">
        <f>IFERROR(IFERROR(V451,0)+IFERROR(AC451,0)+IFERROR(AD451,0)+IFERROR(AE451,0)+IFERROR(AF451,0)+IFERROR(AG451,0),0)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IFERROR(H452+IFERROR(I452,0)+T452+IFERROR(AH452,0),0)</f>
        <v/>
      </c>
      <c r="V452" s="256" t="n"/>
      <c r="W452" s="257" t="n"/>
      <c r="X452" s="256" t="n"/>
      <c r="Y452" s="258" t="n"/>
      <c r="Z452" s="259" t="n"/>
      <c r="AA452" s="259" t="n"/>
      <c r="AB452" s="258" t="n"/>
      <c r="AC452" s="256" t="n"/>
      <c r="AD452" s="256" t="n"/>
      <c r="AE452" s="256" t="n"/>
      <c r="AF452" s="256" t="n"/>
      <c r="AG452" s="256" t="n"/>
      <c r="AH452" s="256">
        <f>IFERROR(IFERROR(V452,0)+IFERROR(AC452,0)+IFERROR(AD452,0)+IFERROR(AE452,0)+IFERROR(AF452,0)+IFERROR(AG452,0),0)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IFERROR(H453+IFERROR(I453,0)+T453+IFERROR(AH453,0),0)</f>
        <v/>
      </c>
      <c r="V453" s="256" t="n"/>
      <c r="W453" s="257" t="n"/>
      <c r="X453" s="256" t="n"/>
      <c r="Y453" s="258" t="n"/>
      <c r="Z453" s="259" t="n"/>
      <c r="AA453" s="259" t="n"/>
      <c r="AB453" s="258" t="n"/>
      <c r="AC453" s="256" t="n"/>
      <c r="AD453" s="256" t="n"/>
      <c r="AE453" s="256" t="n"/>
      <c r="AF453" s="256" t="n"/>
      <c r="AG453" s="256" t="n"/>
      <c r="AH453" s="256">
        <f>IFERROR(IFERROR(V453,0)+IFERROR(AC453,0)+IFERROR(AD453,0)+IFERROR(AE453,0)+IFERROR(AF453,0)+IFERROR(AG453,0),0)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IFERROR(H454+IFERROR(I454,0)+T454+IFERROR(AH454,0),0)</f>
        <v/>
      </c>
      <c r="V454" s="256" t="n"/>
      <c r="W454" s="257" t="n"/>
      <c r="X454" s="256" t="n"/>
      <c r="Y454" s="258" t="n"/>
      <c r="Z454" s="259" t="n"/>
      <c r="AA454" s="259" t="n"/>
      <c r="AB454" s="258" t="n"/>
      <c r="AC454" s="256" t="n"/>
      <c r="AD454" s="256" t="n"/>
      <c r="AE454" s="256" t="n"/>
      <c r="AF454" s="256" t="n"/>
      <c r="AG454" s="256" t="n"/>
      <c r="AH454" s="256">
        <f>IFERROR(IFERROR(V454,0)+IFERROR(AC454,0)+IFERROR(AD454,0)+IFERROR(AE454,0)+IFERROR(AF454,0)+IFERROR(AG454,0),0)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IFERROR(H455+IFERROR(I455,0)+T455+IFERROR(AH455,0),0)</f>
        <v/>
      </c>
      <c r="V455" s="256" t="n"/>
      <c r="W455" s="257" t="n"/>
      <c r="X455" s="256" t="n"/>
      <c r="Y455" s="258" t="n"/>
      <c r="Z455" s="259" t="n"/>
      <c r="AA455" s="259" t="n"/>
      <c r="AB455" s="258" t="n"/>
      <c r="AC455" s="256" t="n"/>
      <c r="AD455" s="256" t="n"/>
      <c r="AE455" s="256" t="n"/>
      <c r="AF455" s="256" t="n"/>
      <c r="AG455" s="256" t="n"/>
      <c r="AH455" s="256">
        <f>IFERROR(IFERROR(V455,0)+IFERROR(AC455,0)+IFERROR(AD455,0)+IFERROR(AE455,0)+IFERROR(AF455,0)+IFERROR(AG455,0),0)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IFERROR(H456+IFERROR(I456,0)+T456+IFERROR(AH456,0),0)</f>
        <v/>
      </c>
      <c r="V456" s="256" t="n"/>
      <c r="W456" s="257" t="n"/>
      <c r="X456" s="256" t="n"/>
      <c r="Y456" s="258" t="n"/>
      <c r="Z456" s="259" t="n"/>
      <c r="AA456" s="259" t="n"/>
      <c r="AB456" s="258" t="n"/>
      <c r="AC456" s="256" t="n"/>
      <c r="AD456" s="256" t="n"/>
      <c r="AE456" s="256" t="n"/>
      <c r="AF456" s="256" t="n"/>
      <c r="AG456" s="256" t="n"/>
      <c r="AH456" s="256">
        <f>IFERROR(IFERROR(V456,0)+IFERROR(AC456,0)+IFERROR(AD456,0)+IFERROR(AE456,0)+IFERROR(AF456,0)+IFERROR(AG456,0),0)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IFERROR(H457+IFERROR(I457,0)+T457+IFERROR(AH457,0),0)</f>
        <v/>
      </c>
      <c r="V457" s="256" t="n"/>
      <c r="W457" s="257" t="n"/>
      <c r="X457" s="256" t="n"/>
      <c r="Y457" s="258" t="n"/>
      <c r="Z457" s="259" t="n"/>
      <c r="AA457" s="259" t="n"/>
      <c r="AB457" s="258" t="n"/>
      <c r="AC457" s="256" t="n"/>
      <c r="AD457" s="256" t="n"/>
      <c r="AE457" s="256" t="n"/>
      <c r="AF457" s="256" t="n"/>
      <c r="AG457" s="256" t="n"/>
      <c r="AH457" s="256">
        <f>IFERROR(IFERROR(V457,0)+IFERROR(AC457,0)+IFERROR(AD457,0)+IFERROR(AE457,0)+IFERROR(AF457,0)+IFERROR(AG457,0),0)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IFERROR(H458+IFERROR(I458,0)+T458+IFERROR(AH458,0),0)</f>
        <v/>
      </c>
      <c r="V458" s="256" t="n"/>
      <c r="W458" s="257" t="n"/>
      <c r="X458" s="256" t="n"/>
      <c r="Y458" s="258" t="n"/>
      <c r="Z458" s="259" t="n"/>
      <c r="AA458" s="259" t="n"/>
      <c r="AB458" s="258" t="n"/>
      <c r="AC458" s="256" t="n"/>
      <c r="AD458" s="256" t="n"/>
      <c r="AE458" s="256" t="n"/>
      <c r="AF458" s="256" t="n"/>
      <c r="AG458" s="256" t="n"/>
      <c r="AH458" s="256">
        <f>IFERROR(IFERROR(V458,0)+IFERROR(AC458,0)+IFERROR(AD458,0)+IFERROR(AE458,0)+IFERROR(AF458,0)+IFERROR(AG458,0),0)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IFERROR(H459+IFERROR(I459,0)+T459+IFERROR(AH459,0),0)</f>
        <v/>
      </c>
      <c r="V459" s="256" t="n"/>
      <c r="W459" s="257" t="n"/>
      <c r="X459" s="256" t="n"/>
      <c r="Y459" s="258" t="n"/>
      <c r="Z459" s="259" t="n"/>
      <c r="AA459" s="259" t="n"/>
      <c r="AB459" s="258" t="n"/>
      <c r="AC459" s="256" t="n"/>
      <c r="AD459" s="256" t="n"/>
      <c r="AE459" s="256" t="n"/>
      <c r="AF459" s="256" t="n"/>
      <c r="AG459" s="256" t="n"/>
      <c r="AH459" s="256">
        <f>IFERROR(IFERROR(V459,0)+IFERROR(AC459,0)+IFERROR(AD459,0)+IFERROR(AE459,0)+IFERROR(AF459,0)+IFERROR(AG459,0),0)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IFERROR(H460+IFERROR(I460,0)+T460+IFERROR(AH460,0),0)</f>
        <v/>
      </c>
      <c r="V460" s="256" t="n"/>
      <c r="W460" s="257" t="n"/>
      <c r="X460" s="256" t="n"/>
      <c r="Y460" s="258" t="n"/>
      <c r="Z460" s="259" t="n"/>
      <c r="AA460" s="259" t="n"/>
      <c r="AB460" s="258" t="n"/>
      <c r="AC460" s="256" t="n"/>
      <c r="AD460" s="256" t="n"/>
      <c r="AE460" s="256" t="n"/>
      <c r="AF460" s="256" t="n"/>
      <c r="AG460" s="256" t="n"/>
      <c r="AH460" s="256">
        <f>IFERROR(IFERROR(V460,0)+IFERROR(AC460,0)+IFERROR(AD460,0)+IFERROR(AE460,0)+IFERROR(AF460,0)+IFERROR(AG460,0),0)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IFERROR(H461+IFERROR(I461,0)+T461+IFERROR(AH461,0),0)</f>
        <v/>
      </c>
      <c r="V461" s="256" t="n"/>
      <c r="W461" s="257" t="n"/>
      <c r="X461" s="256" t="n"/>
      <c r="Y461" s="258" t="n"/>
      <c r="Z461" s="259" t="n"/>
      <c r="AA461" s="259" t="n"/>
      <c r="AB461" s="258" t="n"/>
      <c r="AC461" s="256" t="n"/>
      <c r="AD461" s="256" t="n"/>
      <c r="AE461" s="256" t="n"/>
      <c r="AF461" s="256" t="n"/>
      <c r="AG461" s="256" t="n"/>
      <c r="AH461" s="256">
        <f>IFERROR(IFERROR(V461,0)+IFERROR(AC461,0)+IFERROR(AD461,0)+IFERROR(AE461,0)+IFERROR(AF461,0)+IFERROR(AG461,0),0)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IFERROR(H462+IFERROR(I462,0)+T462+IFERROR(AH462,0),0)</f>
        <v/>
      </c>
      <c r="V462" s="256" t="n"/>
      <c r="W462" s="257" t="n"/>
      <c r="X462" s="256" t="n"/>
      <c r="Y462" s="258" t="n"/>
      <c r="Z462" s="259" t="n"/>
      <c r="AA462" s="259" t="n"/>
      <c r="AB462" s="258" t="n"/>
      <c r="AC462" s="256" t="n"/>
      <c r="AD462" s="256" t="n"/>
      <c r="AE462" s="256" t="n"/>
      <c r="AF462" s="256" t="n"/>
      <c r="AG462" s="256" t="n"/>
      <c r="AH462" s="256">
        <f>IFERROR(IFERROR(V462,0)+IFERROR(AC462,0)+IFERROR(AD462,0)+IFERROR(AE462,0)+IFERROR(AF462,0)+IFERROR(AG462,0),0)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IFERROR(H463+IFERROR(I463,0)+T463+IFERROR(AH463,0),0)</f>
        <v/>
      </c>
      <c r="V463" s="256" t="n"/>
      <c r="W463" s="257" t="n"/>
      <c r="X463" s="256" t="n"/>
      <c r="Y463" s="258" t="n"/>
      <c r="Z463" s="259" t="n"/>
      <c r="AA463" s="259" t="n"/>
      <c r="AB463" s="258" t="n"/>
      <c r="AC463" s="256" t="n"/>
      <c r="AD463" s="256" t="n"/>
      <c r="AE463" s="256" t="n"/>
      <c r="AF463" s="256" t="n"/>
      <c r="AG463" s="256" t="n"/>
      <c r="AH463" s="256">
        <f>IFERROR(IFERROR(V463,0)+IFERROR(AC463,0)+IFERROR(AD463,0)+IFERROR(AE463,0)+IFERROR(AF463,0)+IFERROR(AG463,0),0)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IFERROR(H464+IFERROR(I464,0)+T464+IFERROR(AH464,0),0)</f>
        <v/>
      </c>
      <c r="V464" s="256" t="n"/>
      <c r="W464" s="257" t="n"/>
      <c r="X464" s="256" t="n"/>
      <c r="Y464" s="258" t="n"/>
      <c r="Z464" s="259" t="n"/>
      <c r="AA464" s="259" t="n"/>
      <c r="AB464" s="258" t="n"/>
      <c r="AC464" s="256" t="n"/>
      <c r="AD464" s="256" t="n"/>
      <c r="AE464" s="256" t="n"/>
      <c r="AF464" s="256" t="n"/>
      <c r="AG464" s="256" t="n"/>
      <c r="AH464" s="256">
        <f>IFERROR(IFERROR(V464,0)+IFERROR(AC464,0)+IFERROR(AD464,0)+IFERROR(AE464,0)+IFERROR(AF464,0)+IFERROR(AG464,0),0)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IFERROR(H465+IFERROR(I465,0)+T465+IFERROR(AH465,0),0)</f>
        <v/>
      </c>
      <c r="V465" s="256" t="n"/>
      <c r="W465" s="257" t="n"/>
      <c r="X465" s="256" t="n"/>
      <c r="Y465" s="258" t="n"/>
      <c r="Z465" s="259" t="n"/>
      <c r="AA465" s="259" t="n"/>
      <c r="AB465" s="258" t="n"/>
      <c r="AC465" s="256" t="n"/>
      <c r="AD465" s="256" t="n"/>
      <c r="AE465" s="256" t="n"/>
      <c r="AF465" s="256" t="n"/>
      <c r="AG465" s="256" t="n"/>
      <c r="AH465" s="256">
        <f>IFERROR(IFERROR(V465,0)+IFERROR(AC465,0)+IFERROR(AD465,0)+IFERROR(AE465,0)+IFERROR(AF465,0)+IFERROR(AG465,0),0)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IFERROR(H466+IFERROR(I466,0)+T466+IFERROR(AH466,0),0)</f>
        <v/>
      </c>
      <c r="V466" s="256" t="n"/>
      <c r="W466" s="257" t="n"/>
      <c r="X466" s="256" t="n"/>
      <c r="Y466" s="258" t="n"/>
      <c r="Z466" s="259" t="n"/>
      <c r="AA466" s="259" t="n"/>
      <c r="AB466" s="258" t="n"/>
      <c r="AC466" s="256" t="n"/>
      <c r="AD466" s="256" t="n"/>
      <c r="AE466" s="256" t="n"/>
      <c r="AF466" s="256" t="n"/>
      <c r="AG466" s="256" t="n"/>
      <c r="AH466" s="256">
        <f>IFERROR(IFERROR(V466,0)+IFERROR(AC466,0)+IFERROR(AD466,0)+IFERROR(AE466,0)+IFERROR(AF466,0)+IFERROR(AG466,0),0)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IFERROR(H467+IFERROR(I467,0)+T467+IFERROR(AH467,0),0)</f>
        <v/>
      </c>
      <c r="V467" s="256" t="n"/>
      <c r="W467" s="257" t="n"/>
      <c r="X467" s="256" t="n"/>
      <c r="Y467" s="258" t="n"/>
      <c r="Z467" s="259" t="n"/>
      <c r="AA467" s="259" t="n"/>
      <c r="AB467" s="258" t="n"/>
      <c r="AC467" s="256" t="n"/>
      <c r="AD467" s="256" t="n"/>
      <c r="AE467" s="256" t="n"/>
      <c r="AF467" s="256" t="n"/>
      <c r="AG467" s="256" t="n"/>
      <c r="AH467" s="256">
        <f>IFERROR(IFERROR(V467,0)+IFERROR(AC467,0)+IFERROR(AD467,0)+IFERROR(AE467,0)+IFERROR(AF467,0)+IFERROR(AG467,0),0)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IFERROR(H468+IFERROR(I468,0)+T468+IFERROR(AH468,0),0)</f>
        <v/>
      </c>
      <c r="V468" s="256" t="n"/>
      <c r="W468" s="257" t="n"/>
      <c r="X468" s="256" t="n"/>
      <c r="Y468" s="258" t="n"/>
      <c r="Z468" s="259" t="n"/>
      <c r="AA468" s="259" t="n"/>
      <c r="AB468" s="258" t="n"/>
      <c r="AC468" s="256" t="n"/>
      <c r="AD468" s="256" t="n"/>
      <c r="AE468" s="256" t="n"/>
      <c r="AF468" s="256" t="n"/>
      <c r="AG468" s="256" t="n"/>
      <c r="AH468" s="256">
        <f>IFERROR(IFERROR(V468,0)+IFERROR(AC468,0)+IFERROR(AD468,0)+IFERROR(AE468,0)+IFERROR(AF468,0)+IFERROR(AG468,0),0)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IFERROR(H469+IFERROR(I469,0)+T469+IFERROR(AH469,0),0)</f>
        <v/>
      </c>
      <c r="V469" s="256" t="n"/>
      <c r="W469" s="257" t="n"/>
      <c r="X469" s="256" t="n"/>
      <c r="Y469" s="258" t="n"/>
      <c r="Z469" s="259" t="n"/>
      <c r="AA469" s="259" t="n"/>
      <c r="AB469" s="258" t="n"/>
      <c r="AC469" s="256" t="n"/>
      <c r="AD469" s="256" t="n"/>
      <c r="AE469" s="256" t="n"/>
      <c r="AF469" s="256" t="n"/>
      <c r="AG469" s="256" t="n"/>
      <c r="AH469" s="256">
        <f>IFERROR(IFERROR(V469,0)+IFERROR(AC469,0)+IFERROR(AD469,0)+IFERROR(AE469,0)+IFERROR(AF469,0)+IFERROR(AG469,0),0)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IFERROR(H470+IFERROR(I470,0)+T470+IFERROR(AH470,0),0)</f>
        <v/>
      </c>
      <c r="V470" s="256" t="n"/>
      <c r="W470" s="257" t="n"/>
      <c r="X470" s="256" t="n"/>
      <c r="Y470" s="258" t="n"/>
      <c r="Z470" s="259" t="n"/>
      <c r="AA470" s="259" t="n"/>
      <c r="AB470" s="258" t="n"/>
      <c r="AC470" s="256" t="n"/>
      <c r="AD470" s="256" t="n"/>
      <c r="AE470" s="256" t="n"/>
      <c r="AF470" s="256" t="n"/>
      <c r="AG470" s="256" t="n"/>
      <c r="AH470" s="256">
        <f>IFERROR(IFERROR(V470,0)+IFERROR(AC470,0)+IFERROR(AD470,0)+IFERROR(AE470,0)+IFERROR(AF470,0)+IFERROR(AG470,0),0)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IFERROR(H471+IFERROR(I471,0)+T471+IFERROR(AH471,0),0)</f>
        <v/>
      </c>
      <c r="V471" s="256" t="n"/>
      <c r="W471" s="257" t="n"/>
      <c r="X471" s="256" t="n"/>
      <c r="Y471" s="258" t="n"/>
      <c r="Z471" s="259" t="n"/>
      <c r="AA471" s="259" t="n"/>
      <c r="AB471" s="258" t="n"/>
      <c r="AC471" s="256" t="n"/>
      <c r="AD471" s="256" t="n"/>
      <c r="AE471" s="256" t="n"/>
      <c r="AF471" s="256" t="n"/>
      <c r="AG471" s="256" t="n"/>
      <c r="AH471" s="256">
        <f>IFERROR(IFERROR(V471,0)+IFERROR(AC471,0)+IFERROR(AD471,0)+IFERROR(AE471,0)+IFERROR(AF471,0)+IFERROR(AG471,0),0)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IFERROR(H472+IFERROR(I472,0)+T472+IFERROR(AH472,0),0)</f>
        <v/>
      </c>
      <c r="V472" s="256" t="n"/>
      <c r="W472" s="257" t="n"/>
      <c r="X472" s="256" t="n"/>
      <c r="Y472" s="258" t="n"/>
      <c r="Z472" s="259" t="n"/>
      <c r="AA472" s="259" t="n"/>
      <c r="AB472" s="258" t="n"/>
      <c r="AC472" s="256" t="n"/>
      <c r="AD472" s="256" t="n"/>
      <c r="AE472" s="256" t="n"/>
      <c r="AF472" s="256" t="n"/>
      <c r="AG472" s="256" t="n"/>
      <c r="AH472" s="256">
        <f>IFERROR(IFERROR(V472,0)+IFERROR(AC472,0)+IFERROR(AD472,0)+IFERROR(AE472,0)+IFERROR(AF472,0)+IFERROR(AG472,0),0)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IFERROR(H473+IFERROR(I473,0)+T473+IFERROR(AH473,0),0)</f>
        <v/>
      </c>
      <c r="V473" s="256" t="n"/>
      <c r="W473" s="257" t="n"/>
      <c r="X473" s="256" t="n"/>
      <c r="Y473" s="258" t="n"/>
      <c r="Z473" s="259" t="n"/>
      <c r="AA473" s="259" t="n"/>
      <c r="AB473" s="258" t="n"/>
      <c r="AC473" s="256" t="n"/>
      <c r="AD473" s="256" t="n"/>
      <c r="AE473" s="256" t="n"/>
      <c r="AF473" s="256" t="n"/>
      <c r="AG473" s="256" t="n"/>
      <c r="AH473" s="256">
        <f>IFERROR(IFERROR(V473,0)+IFERROR(AC473,0)+IFERROR(AD473,0)+IFERROR(AE473,0)+IFERROR(AF473,0)+IFERROR(AG473,0),0)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IFERROR(H474+IFERROR(I474,0)+T474+IFERROR(AH474,0),0)</f>
        <v/>
      </c>
      <c r="V474" s="256" t="n"/>
      <c r="W474" s="257" t="n"/>
      <c r="X474" s="256" t="n"/>
      <c r="Y474" s="258" t="n"/>
      <c r="Z474" s="259" t="n"/>
      <c r="AA474" s="259" t="n"/>
      <c r="AB474" s="258" t="n"/>
      <c r="AC474" s="256" t="n"/>
      <c r="AD474" s="256" t="n"/>
      <c r="AE474" s="256" t="n"/>
      <c r="AF474" s="256" t="n"/>
      <c r="AG474" s="256" t="n"/>
      <c r="AH474" s="256">
        <f>IFERROR(IFERROR(V474,0)+IFERROR(AC474,0)+IFERROR(AD474,0)+IFERROR(AE474,0)+IFERROR(AF474,0)+IFERROR(AG474,0),0)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IFERROR(H475+IFERROR(I475,0)+T475+IFERROR(AH475,0),0)</f>
        <v/>
      </c>
      <c r="V475" s="256" t="n"/>
      <c r="W475" s="257" t="n"/>
      <c r="X475" s="256" t="n"/>
      <c r="Y475" s="258" t="n"/>
      <c r="Z475" s="259" t="n"/>
      <c r="AA475" s="259" t="n"/>
      <c r="AB475" s="258" t="n"/>
      <c r="AC475" s="256" t="n"/>
      <c r="AD475" s="256" t="n"/>
      <c r="AE475" s="256" t="n"/>
      <c r="AF475" s="256" t="n"/>
      <c r="AG475" s="256" t="n"/>
      <c r="AH475" s="256">
        <f>IFERROR(IFERROR(V475,0)+IFERROR(AC475,0)+IFERROR(AD475,0)+IFERROR(AE475,0)+IFERROR(AF475,0)+IFERROR(AG475,0),0)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IFERROR(H476+IFERROR(I476,0)+T476+IFERROR(AH476,0),0)</f>
        <v/>
      </c>
      <c r="V476" s="256" t="n"/>
      <c r="W476" s="257" t="n"/>
      <c r="X476" s="256" t="n"/>
      <c r="Y476" s="258" t="n"/>
      <c r="Z476" s="259" t="n"/>
      <c r="AA476" s="259" t="n"/>
      <c r="AB476" s="258" t="n"/>
      <c r="AC476" s="256" t="n"/>
      <c r="AD476" s="256" t="n"/>
      <c r="AE476" s="256" t="n"/>
      <c r="AF476" s="256" t="n"/>
      <c r="AG476" s="256" t="n"/>
      <c r="AH476" s="256">
        <f>IFERROR(IFERROR(V476,0)+IFERROR(AC476,0)+IFERROR(AD476,0)+IFERROR(AE476,0)+IFERROR(AF476,0)+IFERROR(AG476,0),0)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IFERROR(H477+IFERROR(I477,0)+T477+IFERROR(AH477,0),0)</f>
        <v/>
      </c>
      <c r="V477" s="256" t="n"/>
      <c r="W477" s="257" t="n"/>
      <c r="X477" s="256" t="n"/>
      <c r="Y477" s="258" t="n"/>
      <c r="Z477" s="259" t="n"/>
      <c r="AA477" s="259" t="n"/>
      <c r="AB477" s="258" t="n"/>
      <c r="AC477" s="256" t="n"/>
      <c r="AD477" s="256" t="n"/>
      <c r="AE477" s="256" t="n"/>
      <c r="AF477" s="256" t="n"/>
      <c r="AG477" s="256" t="n"/>
      <c r="AH477" s="256">
        <f>IFERROR(IFERROR(V477,0)+IFERROR(AC477,0)+IFERROR(AD477,0)+IFERROR(AE477,0)+IFERROR(AF477,0)+IFERROR(AG477,0),0)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IFERROR(H478+IFERROR(I478,0)+T478+IFERROR(AH478,0),0)</f>
        <v/>
      </c>
      <c r="V478" s="256" t="n"/>
      <c r="W478" s="257" t="n"/>
      <c r="X478" s="256" t="n"/>
      <c r="Y478" s="258" t="n"/>
      <c r="Z478" s="259" t="n"/>
      <c r="AA478" s="259" t="n"/>
      <c r="AB478" s="258" t="n"/>
      <c r="AC478" s="256" t="n"/>
      <c r="AD478" s="256" t="n"/>
      <c r="AE478" s="256" t="n"/>
      <c r="AF478" s="256" t="n"/>
      <c r="AG478" s="256" t="n"/>
      <c r="AH478" s="256">
        <f>IFERROR(IFERROR(V478,0)+IFERROR(AC478,0)+IFERROR(AD478,0)+IFERROR(AE478,0)+IFERROR(AF478,0)+IFERROR(AG478,0),0)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IFERROR(H479+IFERROR(I479,0)+T479+IFERROR(AH479,0),0)</f>
        <v/>
      </c>
      <c r="V479" s="256" t="n"/>
      <c r="W479" s="257" t="n"/>
      <c r="X479" s="256" t="n"/>
      <c r="Y479" s="258" t="n"/>
      <c r="Z479" s="259" t="n"/>
      <c r="AA479" s="259" t="n"/>
      <c r="AB479" s="258" t="n"/>
      <c r="AC479" s="256" t="n"/>
      <c r="AD479" s="256" t="n"/>
      <c r="AE479" s="256" t="n"/>
      <c r="AF479" s="256" t="n"/>
      <c r="AG479" s="256" t="n"/>
      <c r="AH479" s="256">
        <f>IFERROR(IFERROR(V479,0)+IFERROR(AC479,0)+IFERROR(AD479,0)+IFERROR(AE479,0)+IFERROR(AF479,0)+IFERROR(AG479,0),0)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IFERROR(H480+IFERROR(I480,0)+T480+IFERROR(AH480,0),0)</f>
        <v/>
      </c>
      <c r="V480" s="256" t="n"/>
      <c r="W480" s="257" t="n"/>
      <c r="X480" s="256" t="n"/>
      <c r="Y480" s="258" t="n"/>
      <c r="Z480" s="259" t="n"/>
      <c r="AA480" s="259" t="n"/>
      <c r="AB480" s="258" t="n"/>
      <c r="AC480" s="256" t="n"/>
      <c r="AD480" s="256" t="n"/>
      <c r="AE480" s="256" t="n"/>
      <c r="AF480" s="256" t="n"/>
      <c r="AG480" s="256" t="n"/>
      <c r="AH480" s="256">
        <f>IFERROR(IFERROR(V480,0)+IFERROR(AC480,0)+IFERROR(AD480,0)+IFERROR(AE480,0)+IFERROR(AF480,0)+IFERROR(AG480,0),0)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IFERROR(H481+IFERROR(I481,0)+T481+IFERROR(AH481,0),0)</f>
        <v/>
      </c>
      <c r="V481" s="256" t="n"/>
      <c r="W481" s="257" t="n"/>
      <c r="X481" s="256" t="n"/>
      <c r="Y481" s="258" t="n"/>
      <c r="Z481" s="259" t="n"/>
      <c r="AA481" s="259" t="n"/>
      <c r="AB481" s="258" t="n"/>
      <c r="AC481" s="256" t="n"/>
      <c r="AD481" s="256" t="n"/>
      <c r="AE481" s="256" t="n"/>
      <c r="AF481" s="256" t="n"/>
      <c r="AG481" s="256" t="n"/>
      <c r="AH481" s="256">
        <f>IFERROR(IFERROR(V481,0)+IFERROR(AC481,0)+IFERROR(AD481,0)+IFERROR(AE481,0)+IFERROR(AF481,0)+IFERROR(AG481,0),0)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IFERROR(H482+IFERROR(I482,0)+T482+IFERROR(AH482,0),0)</f>
        <v/>
      </c>
      <c r="V482" s="256" t="n"/>
      <c r="W482" s="257" t="n"/>
      <c r="X482" s="256" t="n"/>
      <c r="Y482" s="258" t="n"/>
      <c r="Z482" s="259" t="n"/>
      <c r="AA482" s="259" t="n"/>
      <c r="AB482" s="258" t="n"/>
      <c r="AC482" s="256" t="n"/>
      <c r="AD482" s="256" t="n"/>
      <c r="AE482" s="256" t="n"/>
      <c r="AF482" s="256" t="n"/>
      <c r="AG482" s="256" t="n"/>
      <c r="AH482" s="256">
        <f>IFERROR(IFERROR(V482,0)+IFERROR(AC482,0)+IFERROR(AD482,0)+IFERROR(AE482,0)+IFERROR(AF482,0)+IFERROR(AG482,0),0)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IFERROR(H483+IFERROR(I483,0)+T483+IFERROR(AH483,0),0)</f>
        <v/>
      </c>
      <c r="V483" s="256" t="n"/>
      <c r="W483" s="257" t="n"/>
      <c r="X483" s="256" t="n"/>
      <c r="Y483" s="258" t="n"/>
      <c r="Z483" s="259" t="n"/>
      <c r="AA483" s="259" t="n"/>
      <c r="AB483" s="258" t="n"/>
      <c r="AC483" s="256" t="n"/>
      <c r="AD483" s="256" t="n"/>
      <c r="AE483" s="256" t="n"/>
      <c r="AF483" s="256" t="n"/>
      <c r="AG483" s="256" t="n"/>
      <c r="AH483" s="256">
        <f>IFERROR(IFERROR(V483,0)+IFERROR(AC483,0)+IFERROR(AD483,0)+IFERROR(AE483,0)+IFERROR(AF483,0)+IFERROR(AG483,0),0)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IFERROR(H484+IFERROR(I484,0)+T484+IFERROR(AH484,0),0)</f>
        <v/>
      </c>
      <c r="V484" s="256" t="n"/>
      <c r="W484" s="257" t="n"/>
      <c r="X484" s="256" t="n"/>
      <c r="Y484" s="258" t="n"/>
      <c r="Z484" s="259" t="n"/>
      <c r="AA484" s="259" t="n"/>
      <c r="AB484" s="258" t="n"/>
      <c r="AC484" s="256" t="n"/>
      <c r="AD484" s="256" t="n"/>
      <c r="AE484" s="256" t="n"/>
      <c r="AF484" s="256" t="n"/>
      <c r="AG484" s="256" t="n"/>
      <c r="AH484" s="256">
        <f>IFERROR(IFERROR(V484,0)+IFERROR(AC484,0)+IFERROR(AD484,0)+IFERROR(AE484,0)+IFERROR(AF484,0)+IFERROR(AG484,0),0)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IFERROR(H485+IFERROR(I485,0)+T485+IFERROR(AH485,0),0)</f>
        <v/>
      </c>
      <c r="V485" s="256" t="n"/>
      <c r="W485" s="257" t="n"/>
      <c r="X485" s="256" t="n"/>
      <c r="Y485" s="258" t="n"/>
      <c r="Z485" s="259" t="n"/>
      <c r="AA485" s="259" t="n"/>
      <c r="AB485" s="258" t="n"/>
      <c r="AC485" s="256" t="n"/>
      <c r="AD485" s="256" t="n"/>
      <c r="AE485" s="256" t="n"/>
      <c r="AF485" s="256" t="n"/>
      <c r="AG485" s="256" t="n"/>
      <c r="AH485" s="256">
        <f>IFERROR(IFERROR(V485,0)+IFERROR(AC485,0)+IFERROR(AD485,0)+IFERROR(AE485,0)+IFERROR(AF485,0)+IFERROR(AG485,0),0)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IFERROR(H486+IFERROR(I486,0)+T486+IFERROR(AH486,0),0)</f>
        <v/>
      </c>
      <c r="V486" s="256" t="n"/>
      <c r="W486" s="257" t="n"/>
      <c r="X486" s="256" t="n"/>
      <c r="Y486" s="258" t="n"/>
      <c r="Z486" s="259" t="n"/>
      <c r="AA486" s="259" t="n"/>
      <c r="AB486" s="258" t="n"/>
      <c r="AC486" s="256" t="n"/>
      <c r="AD486" s="256" t="n"/>
      <c r="AE486" s="256" t="n"/>
      <c r="AF486" s="256" t="n"/>
      <c r="AG486" s="256" t="n"/>
      <c r="AH486" s="256">
        <f>IFERROR(IFERROR(V486,0)+IFERROR(AC486,0)+IFERROR(AD486,0)+IFERROR(AE486,0)+IFERROR(AF486,0)+IFERROR(AG486,0),0)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IFERROR(H487+IFERROR(I487,0)+T487+IFERROR(AH487,0),0)</f>
        <v/>
      </c>
      <c r="V487" s="256" t="n"/>
      <c r="W487" s="257" t="n"/>
      <c r="X487" s="256" t="n"/>
      <c r="Y487" s="258" t="n"/>
      <c r="Z487" s="259" t="n"/>
      <c r="AA487" s="259" t="n"/>
      <c r="AB487" s="258" t="n"/>
      <c r="AC487" s="256" t="n"/>
      <c r="AD487" s="256" t="n"/>
      <c r="AE487" s="256" t="n"/>
      <c r="AF487" s="256" t="n"/>
      <c r="AG487" s="256" t="n"/>
      <c r="AH487" s="256">
        <f>IFERROR(IFERROR(V487,0)+IFERROR(AC487,0)+IFERROR(AD487,0)+IFERROR(AE487,0)+IFERROR(AF487,0)+IFERROR(AG487,0),0)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IFERROR(H488+IFERROR(I488,0)+T488+IFERROR(AH488,0),0)</f>
        <v/>
      </c>
      <c r="V488" s="256" t="n"/>
      <c r="W488" s="257" t="n"/>
      <c r="X488" s="256" t="n"/>
      <c r="Y488" s="258" t="n"/>
      <c r="Z488" s="259" t="n"/>
      <c r="AA488" s="259" t="n"/>
      <c r="AB488" s="258" t="n"/>
      <c r="AC488" s="256" t="n"/>
      <c r="AD488" s="256" t="n"/>
      <c r="AE488" s="256" t="n"/>
      <c r="AF488" s="256" t="n"/>
      <c r="AG488" s="256" t="n"/>
      <c r="AH488" s="256">
        <f>IFERROR(IFERROR(V488,0)+IFERROR(AC488,0)+IFERROR(AD488,0)+IFERROR(AE488,0)+IFERROR(AF488,0)+IFERROR(AG488,0),0)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IFERROR(H489+IFERROR(I489,0)+T489+IFERROR(AH489,0),0)</f>
        <v/>
      </c>
      <c r="V489" s="256" t="n"/>
      <c r="W489" s="257" t="n"/>
      <c r="X489" s="256" t="n"/>
      <c r="Y489" s="258" t="n"/>
      <c r="Z489" s="259" t="n"/>
      <c r="AA489" s="259" t="n"/>
      <c r="AB489" s="258" t="n"/>
      <c r="AC489" s="256" t="n"/>
      <c r="AD489" s="256" t="n"/>
      <c r="AE489" s="256" t="n"/>
      <c r="AF489" s="256" t="n"/>
      <c r="AG489" s="256" t="n"/>
      <c r="AH489" s="256">
        <f>IFERROR(IFERROR(V489,0)+IFERROR(AC489,0)+IFERROR(AD489,0)+IFERROR(AE489,0)+IFERROR(AF489,0)+IFERROR(AG489,0),0)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IFERROR(H490+IFERROR(I490,0)+T490+IFERROR(AH490,0),0)</f>
        <v/>
      </c>
      <c r="V490" s="256" t="n"/>
      <c r="W490" s="257" t="n"/>
      <c r="X490" s="256" t="n"/>
      <c r="Y490" s="258" t="n"/>
      <c r="Z490" s="259" t="n"/>
      <c r="AA490" s="259" t="n"/>
      <c r="AB490" s="258" t="n"/>
      <c r="AC490" s="256" t="n"/>
      <c r="AD490" s="256" t="n"/>
      <c r="AE490" s="256" t="n"/>
      <c r="AF490" s="256" t="n"/>
      <c r="AG490" s="256" t="n"/>
      <c r="AH490" s="256">
        <f>IFERROR(IFERROR(V490,0)+IFERROR(AC490,0)+IFERROR(AD490,0)+IFERROR(AE490,0)+IFERROR(AF490,0)+IFERROR(AG490,0),0)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IFERROR(H491+IFERROR(I491,0)+T491+IFERROR(AH491,0),0)</f>
        <v/>
      </c>
      <c r="V491" s="256" t="n"/>
      <c r="W491" s="257" t="n"/>
      <c r="X491" s="256" t="n"/>
      <c r="Y491" s="258" t="n"/>
      <c r="Z491" s="259" t="n"/>
      <c r="AA491" s="259" t="n"/>
      <c r="AB491" s="258" t="n"/>
      <c r="AC491" s="256" t="n"/>
      <c r="AD491" s="256" t="n"/>
      <c r="AE491" s="256" t="n"/>
      <c r="AF491" s="256" t="n"/>
      <c r="AG491" s="256" t="n"/>
      <c r="AH491" s="256">
        <f>IFERROR(IFERROR(V491,0)+IFERROR(AC491,0)+IFERROR(AD491,0)+IFERROR(AE491,0)+IFERROR(AF491,0)+IFERROR(AG491,0),0)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IFERROR(H492+IFERROR(I492,0)+T492+IFERROR(AH492,0),0)</f>
        <v/>
      </c>
      <c r="V492" s="256" t="n"/>
      <c r="W492" s="257" t="n"/>
      <c r="X492" s="256" t="n"/>
      <c r="Y492" s="258" t="n"/>
      <c r="Z492" s="259" t="n"/>
      <c r="AA492" s="259" t="n"/>
      <c r="AB492" s="258" t="n"/>
      <c r="AC492" s="256" t="n"/>
      <c r="AD492" s="256" t="n"/>
      <c r="AE492" s="256" t="n"/>
      <c r="AF492" s="256" t="n"/>
      <c r="AG492" s="256" t="n"/>
      <c r="AH492" s="256">
        <f>IFERROR(IFERROR(V492,0)+IFERROR(AC492,0)+IFERROR(AD492,0)+IFERROR(AE492,0)+IFERROR(AF492,0)+IFERROR(AG492,0),0)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IFERROR(H493+IFERROR(I493,0)+T493+IFERROR(AH493,0),0)</f>
        <v/>
      </c>
      <c r="V493" s="256" t="n"/>
      <c r="W493" s="257" t="n"/>
      <c r="X493" s="256" t="n"/>
      <c r="Y493" s="258" t="n"/>
      <c r="Z493" s="259" t="n"/>
      <c r="AA493" s="259" t="n"/>
      <c r="AB493" s="258" t="n"/>
      <c r="AC493" s="256" t="n"/>
      <c r="AD493" s="256" t="n"/>
      <c r="AE493" s="256" t="n"/>
      <c r="AF493" s="256" t="n"/>
      <c r="AG493" s="256" t="n"/>
      <c r="AH493" s="256">
        <f>IFERROR(IFERROR(V493,0)+IFERROR(AC493,0)+IFERROR(AD493,0)+IFERROR(AE493,0)+IFERROR(AF493,0)+IFERROR(AG493,0),0)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IFERROR(H494+IFERROR(I494,0)+T494+IFERROR(AH494,0),0)</f>
        <v/>
      </c>
      <c r="V494" s="256" t="n"/>
      <c r="W494" s="257" t="n"/>
      <c r="X494" s="256" t="n"/>
      <c r="Y494" s="258" t="n"/>
      <c r="Z494" s="259" t="n"/>
      <c r="AA494" s="259" t="n"/>
      <c r="AB494" s="258" t="n"/>
      <c r="AC494" s="256" t="n"/>
      <c r="AD494" s="256" t="n"/>
      <c r="AE494" s="256" t="n"/>
      <c r="AF494" s="256" t="n"/>
      <c r="AG494" s="256" t="n"/>
      <c r="AH494" s="256">
        <f>IFERROR(IFERROR(V494,0)+IFERROR(AC494,0)+IFERROR(AD494,0)+IFERROR(AE494,0)+IFERROR(AF494,0)+IFERROR(AG494,0),0)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IFERROR(H495+IFERROR(I495,0)+T495+IFERROR(AH495,0),0)</f>
        <v/>
      </c>
      <c r="V495" s="256" t="n"/>
      <c r="W495" s="257" t="n"/>
      <c r="X495" s="256" t="n"/>
      <c r="Y495" s="258" t="n"/>
      <c r="Z495" s="259" t="n"/>
      <c r="AA495" s="259" t="n"/>
      <c r="AB495" s="258" t="n"/>
      <c r="AC495" s="256" t="n"/>
      <c r="AD495" s="256" t="n"/>
      <c r="AE495" s="256" t="n"/>
      <c r="AF495" s="256" t="n"/>
      <c r="AG495" s="256" t="n"/>
      <c r="AH495" s="256">
        <f>IFERROR(IFERROR(V495,0)+IFERROR(AC495,0)+IFERROR(AD495,0)+IFERROR(AE495,0)+IFERROR(AF495,0)+IFERROR(AG495,0),0)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IFERROR(H496+IFERROR(I496,0)+T496+IFERROR(AH496,0),0)</f>
        <v/>
      </c>
      <c r="V496" s="256" t="n"/>
      <c r="W496" s="257" t="n"/>
      <c r="X496" s="256" t="n"/>
      <c r="Y496" s="258" t="n"/>
      <c r="Z496" s="259" t="n"/>
      <c r="AA496" s="259" t="n"/>
      <c r="AB496" s="258" t="n"/>
      <c r="AC496" s="256" t="n"/>
      <c r="AD496" s="256" t="n"/>
      <c r="AE496" s="256" t="n"/>
      <c r="AF496" s="256" t="n"/>
      <c r="AG496" s="256" t="n"/>
      <c r="AH496" s="256">
        <f>IFERROR(IFERROR(V496,0)+IFERROR(AC496,0)+IFERROR(AD496,0)+IFERROR(AE496,0)+IFERROR(AF496,0)+IFERROR(AG496,0),0)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IFERROR(H497+IFERROR(I497,0)+T497+IFERROR(AH497,0),0)</f>
        <v/>
      </c>
      <c r="V497" s="256" t="n"/>
      <c r="W497" s="257" t="n"/>
      <c r="X497" s="256" t="n"/>
      <c r="Y497" s="258" t="n"/>
      <c r="Z497" s="259" t="n"/>
      <c r="AA497" s="259" t="n"/>
      <c r="AB497" s="258" t="n"/>
      <c r="AC497" s="256" t="n"/>
      <c r="AD497" s="256" t="n"/>
      <c r="AE497" s="256" t="n"/>
      <c r="AF497" s="256" t="n"/>
      <c r="AG497" s="256" t="n"/>
      <c r="AH497" s="256">
        <f>IFERROR(IFERROR(V497,0)+IFERROR(AC497,0)+IFERROR(AD497,0)+IFERROR(AE497,0)+IFERROR(AF497,0)+IFERROR(AG497,0),0)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IFERROR(H498+IFERROR(I498,0)+T498+IFERROR(AH498,0),0)</f>
        <v/>
      </c>
      <c r="V498" s="256" t="n"/>
      <c r="W498" s="257" t="n"/>
      <c r="X498" s="256" t="n"/>
      <c r="Y498" s="258" t="n"/>
      <c r="Z498" s="259" t="n"/>
      <c r="AA498" s="259" t="n"/>
      <c r="AB498" s="258" t="n"/>
      <c r="AC498" s="256" t="n"/>
      <c r="AD498" s="256" t="n"/>
      <c r="AE498" s="256" t="n"/>
      <c r="AF498" s="256" t="n"/>
      <c r="AG498" s="256" t="n"/>
      <c r="AH498" s="256">
        <f>IFERROR(IFERROR(V498,0)+IFERROR(AC498,0)+IFERROR(AD498,0)+IFERROR(AE498,0)+IFERROR(AF498,0)+IFERROR(AG498,0),0)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IFERROR(H499+IFERROR(I499,0)+T499+IFERROR(AH499,0),0)</f>
        <v/>
      </c>
      <c r="V499" s="256" t="n"/>
      <c r="W499" s="257" t="n"/>
      <c r="X499" s="256" t="n"/>
      <c r="Y499" s="258" t="n"/>
      <c r="Z499" s="259" t="n"/>
      <c r="AA499" s="259" t="n"/>
      <c r="AB499" s="258" t="n"/>
      <c r="AC499" s="256" t="n"/>
      <c r="AD499" s="256" t="n"/>
      <c r="AE499" s="256" t="n"/>
      <c r="AF499" s="256" t="n"/>
      <c r="AG499" s="256" t="n"/>
      <c r="AH499" s="256">
        <f>IFERROR(IFERROR(V499,0)+IFERROR(AC499,0)+IFERROR(AD499,0)+IFERROR(AE499,0)+IFERROR(AF499,0)+IFERROR(AG499,0),0)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IFERROR(H500+IFERROR(I500,0)+T500+IFERROR(AH500,0),0)</f>
        <v/>
      </c>
      <c r="V500" s="256" t="n"/>
      <c r="W500" s="257" t="n"/>
      <c r="X500" s="256" t="n"/>
      <c r="Y500" s="258" t="n"/>
      <c r="Z500" s="259" t="n"/>
      <c r="AA500" s="259" t="n"/>
      <c r="AB500" s="258" t="n"/>
      <c r="AC500" s="256" t="n"/>
      <c r="AD500" s="256" t="n"/>
      <c r="AE500" s="256" t="n"/>
      <c r="AF500" s="256" t="n"/>
      <c r="AG500" s="256" t="n"/>
      <c r="AH500" s="256">
        <f>IFERROR(IFERROR(V500,0)+IFERROR(AC500,0)+IFERROR(AD500,0)+IFERROR(AE500,0)+IFERROR(AF500,0)+IFERROR(AG500,0),0)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IFERROR(H501+IFERROR(I501,0)+T501+IFERROR(AH501,0),0)</f>
        <v/>
      </c>
      <c r="V501" s="256" t="n"/>
      <c r="W501" s="257" t="n"/>
      <c r="X501" s="256" t="n"/>
      <c r="Y501" s="258" t="n"/>
      <c r="Z501" s="259" t="n"/>
      <c r="AA501" s="259" t="n"/>
      <c r="AB501" s="258" t="n"/>
      <c r="AC501" s="256" t="n"/>
      <c r="AD501" s="256" t="n"/>
      <c r="AE501" s="256" t="n"/>
      <c r="AF501" s="256" t="n"/>
      <c r="AG501" s="256" t="n"/>
      <c r="AH501" s="256">
        <f>IFERROR(IFERROR(V501,0)+IFERROR(AC501,0)+IFERROR(AD501,0)+IFERROR(AE501,0)+IFERROR(AF501,0)+IFERROR(AG501,0),0)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IFERROR(H502+IFERROR(I502,0)+T502+IFERROR(AH502,0),0)</f>
        <v/>
      </c>
      <c r="V502" s="256" t="n"/>
      <c r="W502" s="257" t="n"/>
      <c r="X502" s="256" t="n"/>
      <c r="Y502" s="258" t="n"/>
      <c r="Z502" s="259" t="n"/>
      <c r="AA502" s="259" t="n"/>
      <c r="AB502" s="258" t="n"/>
      <c r="AC502" s="256" t="n"/>
      <c r="AD502" s="256" t="n"/>
      <c r="AE502" s="256" t="n"/>
      <c r="AF502" s="256" t="n"/>
      <c r="AG502" s="256" t="n"/>
      <c r="AH502" s="256">
        <f>IFERROR(IFERROR(V502,0)+IFERROR(AC502,0)+IFERROR(AD502,0)+IFERROR(AE502,0)+IFERROR(AF502,0)+IFERROR(AG502,0),0)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IFERROR(H503+IFERROR(I503,0)+T503+IFERROR(AH503,0),0)</f>
        <v/>
      </c>
      <c r="V503" s="256" t="n"/>
      <c r="W503" s="257" t="n"/>
      <c r="X503" s="256" t="n"/>
      <c r="Y503" s="258" t="n"/>
      <c r="Z503" s="259" t="n"/>
      <c r="AA503" s="259" t="n"/>
      <c r="AB503" s="258" t="n"/>
      <c r="AC503" s="256" t="n"/>
      <c r="AD503" s="256" t="n"/>
      <c r="AE503" s="256" t="n"/>
      <c r="AF503" s="256" t="n"/>
      <c r="AG503" s="256" t="n"/>
      <c r="AH503" s="256">
        <f>IFERROR(IFERROR(V503,0)+IFERROR(AC503,0)+IFERROR(AD503,0)+IFERROR(AE503,0)+IFERROR(AF503,0)+IFERROR(AG503,0),0)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IFERROR(H504+IFERROR(I504,0)+T504+IFERROR(AH504,0),0)</f>
        <v/>
      </c>
      <c r="V504" s="256" t="n"/>
      <c r="W504" s="257" t="n"/>
      <c r="X504" s="256" t="n"/>
      <c r="Y504" s="258" t="n"/>
      <c r="Z504" s="259" t="n"/>
      <c r="AA504" s="259" t="n"/>
      <c r="AB504" s="258" t="n"/>
      <c r="AC504" s="256" t="n"/>
      <c r="AD504" s="256" t="n"/>
      <c r="AE504" s="256" t="n"/>
      <c r="AF504" s="256" t="n"/>
      <c r="AG504" s="256" t="n"/>
      <c r="AH504" s="256">
        <f>IFERROR(IFERROR(V504,0)+IFERROR(AC504,0)+IFERROR(AD504,0)+IFERROR(AE504,0)+IFERROR(AF504,0)+IFERROR(AG504,0),0)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IFERROR(H505+IFERROR(I505,0)+T505+IFERROR(AH505,0),0)</f>
        <v/>
      </c>
      <c r="V505" s="256" t="n"/>
      <c r="W505" s="257" t="n"/>
      <c r="X505" s="256" t="n"/>
      <c r="Y505" s="258" t="n"/>
      <c r="Z505" s="259" t="n"/>
      <c r="AA505" s="259" t="n"/>
      <c r="AB505" s="258" t="n"/>
      <c r="AC505" s="256" t="n"/>
      <c r="AD505" s="256" t="n"/>
      <c r="AE505" s="256" t="n"/>
      <c r="AF505" s="256" t="n"/>
      <c r="AG505" s="256" t="n"/>
      <c r="AH505" s="256">
        <f>IFERROR(IFERROR(V505,0)+IFERROR(AC505,0)+IFERROR(AD505,0)+IFERROR(AE505,0)+IFERROR(AF505,0)+IFERROR(AG505,0),0)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IFERROR(H506+IFERROR(I506,0)+T506+IFERROR(AH506,0),0)</f>
        <v/>
      </c>
      <c r="V506" s="256" t="n"/>
      <c r="W506" s="257" t="n"/>
      <c r="X506" s="256" t="n"/>
      <c r="Y506" s="258" t="n"/>
      <c r="Z506" s="259" t="n"/>
      <c r="AA506" s="259" t="n"/>
      <c r="AB506" s="258" t="n"/>
      <c r="AC506" s="256" t="n"/>
      <c r="AD506" s="256" t="n"/>
      <c r="AE506" s="256" t="n"/>
      <c r="AF506" s="256" t="n"/>
      <c r="AG506" s="256" t="n"/>
      <c r="AH506" s="256">
        <f>IFERROR(IFERROR(V506,0)+IFERROR(AC506,0)+IFERROR(AD506,0)+IFERROR(AE506,0)+IFERROR(AF506,0)+IFERROR(AG506,0),0)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IFERROR(H507+IFERROR(I507,0)+T507+IFERROR(AH507,0),0)</f>
        <v/>
      </c>
      <c r="V507" s="256" t="n"/>
      <c r="W507" s="257" t="n"/>
      <c r="X507" s="256" t="n"/>
      <c r="Y507" s="258" t="n"/>
      <c r="Z507" s="259" t="n"/>
      <c r="AA507" s="259" t="n"/>
      <c r="AB507" s="258" t="n"/>
      <c r="AC507" s="256" t="n"/>
      <c r="AD507" s="256" t="n"/>
      <c r="AE507" s="256" t="n"/>
      <c r="AF507" s="256" t="n"/>
      <c r="AG507" s="256" t="n"/>
      <c r="AH507" s="256">
        <f>IFERROR(IFERROR(V507,0)+IFERROR(AC507,0)+IFERROR(AD507,0)+IFERROR(AE507,0)+IFERROR(AF507,0)+IFERROR(AG507,0),0)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IFERROR(H508+IFERROR(I508,0)+T508+IFERROR(AH508,0),0)</f>
        <v/>
      </c>
      <c r="V508" s="256" t="n"/>
      <c r="W508" s="257" t="n"/>
      <c r="X508" s="256" t="n"/>
      <c r="Y508" s="258" t="n"/>
      <c r="Z508" s="259" t="n"/>
      <c r="AA508" s="259" t="n"/>
      <c r="AB508" s="258" t="n"/>
      <c r="AC508" s="256" t="n"/>
      <c r="AD508" s="256" t="n"/>
      <c r="AE508" s="256" t="n"/>
      <c r="AF508" s="256" t="n"/>
      <c r="AG508" s="256" t="n"/>
      <c r="AH508" s="256">
        <f>IFERROR(IFERROR(V508,0)+IFERROR(AC508,0)+IFERROR(AD508,0)+IFERROR(AE508,0)+IFERROR(AF508,0)+IFERROR(AG508,0),0)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IFERROR(H509+IFERROR(I509,0)+T509+IFERROR(AH509,0),0)</f>
        <v/>
      </c>
      <c r="V509" s="256" t="n"/>
      <c r="W509" s="257" t="n"/>
      <c r="X509" s="256" t="n"/>
      <c r="Y509" s="258" t="n"/>
      <c r="Z509" s="259" t="n"/>
      <c r="AA509" s="259" t="n"/>
      <c r="AB509" s="258" t="n"/>
      <c r="AC509" s="256" t="n"/>
      <c r="AD509" s="256" t="n"/>
      <c r="AE509" s="256" t="n"/>
      <c r="AF509" s="256" t="n"/>
      <c r="AG509" s="256" t="n"/>
      <c r="AH509" s="256">
        <f>IFERROR(IFERROR(V509,0)+IFERROR(AC509,0)+IFERROR(AD509,0)+IFERROR(AE509,0)+IFERROR(AF509,0)+IFERROR(AG509,0),0)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IFERROR(H510+IFERROR(I510,0)+T510+IFERROR(AH510,0),0)</f>
        <v/>
      </c>
      <c r="V510" s="256" t="n"/>
      <c r="W510" s="257" t="n"/>
      <c r="X510" s="256" t="n"/>
      <c r="Y510" s="258" t="n"/>
      <c r="Z510" s="259" t="n"/>
      <c r="AA510" s="259" t="n"/>
      <c r="AB510" s="258" t="n"/>
      <c r="AC510" s="256" t="n"/>
      <c r="AD510" s="256" t="n"/>
      <c r="AE510" s="256" t="n"/>
      <c r="AF510" s="256" t="n"/>
      <c r="AG510" s="256" t="n"/>
      <c r="AH510" s="256">
        <f>IFERROR(IFERROR(V510,0)+IFERROR(AC510,0)+IFERROR(AD510,0)+IFERROR(AE510,0)+IFERROR(AF510,0)+IFERROR(AG510,0),0)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IFERROR(H511+IFERROR(I511,0)+T511+IFERROR(AH511,0),0)</f>
        <v/>
      </c>
      <c r="V511" s="256" t="n"/>
      <c r="W511" s="257" t="n"/>
      <c r="X511" s="256" t="n"/>
      <c r="Y511" s="258" t="n"/>
      <c r="Z511" s="259" t="n"/>
      <c r="AA511" s="259" t="n"/>
      <c r="AB511" s="258" t="n"/>
      <c r="AC511" s="256" t="n"/>
      <c r="AD511" s="256" t="n"/>
      <c r="AE511" s="256" t="n"/>
      <c r="AF511" s="256" t="n"/>
      <c r="AG511" s="256" t="n"/>
      <c r="AH511" s="256">
        <f>IFERROR(IFERROR(V511,0)+IFERROR(AC511,0)+IFERROR(AD511,0)+IFERROR(AE511,0)+IFERROR(AF511,0)+IFERROR(AG511,0),0)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IFERROR(H512+IFERROR(I512,0)+T512+IFERROR(AH512,0),0)</f>
        <v/>
      </c>
      <c r="V512" s="256" t="n"/>
      <c r="W512" s="257" t="n"/>
      <c r="X512" s="256" t="n"/>
      <c r="Y512" s="258" t="n"/>
      <c r="Z512" s="259" t="n"/>
      <c r="AA512" s="259" t="n"/>
      <c r="AB512" s="258" t="n"/>
      <c r="AC512" s="256" t="n"/>
      <c r="AD512" s="256" t="n"/>
      <c r="AE512" s="256" t="n"/>
      <c r="AF512" s="256" t="n"/>
      <c r="AG512" s="256" t="n"/>
      <c r="AH512" s="256">
        <f>IFERROR(IFERROR(V512,0)+IFERROR(AC512,0)+IFERROR(AD512,0)+IFERROR(AE512,0)+IFERROR(AF512,0)+IFERROR(AG512,0),0)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IFERROR(H513+IFERROR(I513,0)+T513+IFERROR(AH513,0),0)</f>
        <v/>
      </c>
      <c r="V513" s="256" t="n"/>
      <c r="W513" s="257" t="n"/>
      <c r="X513" s="256" t="n"/>
      <c r="Y513" s="258" t="n"/>
      <c r="Z513" s="259" t="n"/>
      <c r="AA513" s="259" t="n"/>
      <c r="AB513" s="258" t="n"/>
      <c r="AC513" s="256" t="n"/>
      <c r="AD513" s="256" t="n"/>
      <c r="AE513" s="256" t="n"/>
      <c r="AF513" s="256" t="n"/>
      <c r="AG513" s="256" t="n"/>
      <c r="AH513" s="256">
        <f>IFERROR(IFERROR(V513,0)+IFERROR(AC513,0)+IFERROR(AD513,0)+IFERROR(AE513,0)+IFERROR(AF513,0)+IFERROR(AG513,0),0)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IFERROR(H514+IFERROR(I514,0)+T514+IFERROR(AH514,0),0)</f>
        <v/>
      </c>
      <c r="V514" s="256" t="n"/>
      <c r="W514" s="257" t="n"/>
      <c r="X514" s="256" t="n"/>
      <c r="Y514" s="258" t="n"/>
      <c r="Z514" s="259" t="n"/>
      <c r="AA514" s="259" t="n"/>
      <c r="AB514" s="258" t="n"/>
      <c r="AC514" s="256" t="n"/>
      <c r="AD514" s="256" t="n"/>
      <c r="AE514" s="256" t="n"/>
      <c r="AF514" s="256" t="n"/>
      <c r="AG514" s="256" t="n"/>
      <c r="AH514" s="256">
        <f>IFERROR(IFERROR(V514,0)+IFERROR(AC514,0)+IFERROR(AD514,0)+IFERROR(AE514,0)+IFERROR(AF514,0)+IFERROR(AG514,0),0)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IFERROR(H515+IFERROR(I515,0)+T515+IFERROR(AH515,0),0)</f>
        <v/>
      </c>
      <c r="V515" s="256" t="n"/>
      <c r="W515" s="257" t="n"/>
      <c r="X515" s="256" t="n"/>
      <c r="Y515" s="258" t="n"/>
      <c r="Z515" s="259" t="n"/>
      <c r="AA515" s="259" t="n"/>
      <c r="AB515" s="258" t="n"/>
      <c r="AC515" s="256" t="n"/>
      <c r="AD515" s="256" t="n"/>
      <c r="AE515" s="256" t="n"/>
      <c r="AF515" s="256" t="n"/>
      <c r="AG515" s="256" t="n"/>
      <c r="AH515" s="256">
        <f>IFERROR(IFERROR(V515,0)+IFERROR(AC515,0)+IFERROR(AD515,0)+IFERROR(AE515,0)+IFERROR(AF515,0)+IFERROR(AG515,0),0)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IFERROR(H516+IFERROR(I516,0)+T516+IFERROR(AH516,0),0)</f>
        <v/>
      </c>
      <c r="V516" s="256" t="n"/>
      <c r="W516" s="257" t="n"/>
      <c r="X516" s="256" t="n"/>
      <c r="Y516" s="258" t="n"/>
      <c r="Z516" s="259" t="n"/>
      <c r="AA516" s="259" t="n"/>
      <c r="AB516" s="258" t="n"/>
      <c r="AC516" s="256" t="n"/>
      <c r="AD516" s="256" t="n"/>
      <c r="AE516" s="256" t="n"/>
      <c r="AF516" s="256" t="n"/>
      <c r="AG516" s="256" t="n"/>
      <c r="AH516" s="256">
        <f>IFERROR(IFERROR(V516,0)+IFERROR(AC516,0)+IFERROR(AD516,0)+IFERROR(AE516,0)+IFERROR(AF516,0)+IFERROR(AG516,0),0)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IFERROR(H517+IFERROR(I517,0)+T517+IFERROR(AH517,0),0)</f>
        <v/>
      </c>
      <c r="V517" s="256" t="n"/>
      <c r="W517" s="257" t="n"/>
      <c r="X517" s="256" t="n"/>
      <c r="Y517" s="258" t="n"/>
      <c r="Z517" s="259" t="n"/>
      <c r="AA517" s="259" t="n"/>
      <c r="AB517" s="258" t="n"/>
      <c r="AC517" s="256" t="n"/>
      <c r="AD517" s="256" t="n"/>
      <c r="AE517" s="256" t="n"/>
      <c r="AF517" s="256" t="n"/>
      <c r="AG517" s="256" t="n"/>
      <c r="AH517" s="256">
        <f>IFERROR(IFERROR(V517,0)+IFERROR(AC517,0)+IFERROR(AD517,0)+IFERROR(AE517,0)+IFERROR(AF517,0)+IFERROR(AG517,0),0)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IFERROR(H518+IFERROR(I518,0)+T518+IFERROR(AH518,0),0)</f>
        <v/>
      </c>
      <c r="V518" s="256" t="n"/>
      <c r="W518" s="257" t="n"/>
      <c r="X518" s="256" t="n"/>
      <c r="Y518" s="258" t="n"/>
      <c r="Z518" s="259" t="n"/>
      <c r="AA518" s="259" t="n"/>
      <c r="AB518" s="258" t="n"/>
      <c r="AC518" s="256" t="n"/>
      <c r="AD518" s="256" t="n"/>
      <c r="AE518" s="256" t="n"/>
      <c r="AF518" s="256" t="n"/>
      <c r="AG518" s="256" t="n"/>
      <c r="AH518" s="256">
        <f>IFERROR(IFERROR(V518,0)+IFERROR(AC518,0)+IFERROR(AD518,0)+IFERROR(AE518,0)+IFERROR(AF518,0)+IFERROR(AG518,0),0)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IFERROR(H519+IFERROR(I519,0)+T519+IFERROR(AH519,0),0)</f>
        <v/>
      </c>
      <c r="V519" s="256" t="n"/>
      <c r="W519" s="257" t="n"/>
      <c r="X519" s="256" t="n"/>
      <c r="Y519" s="258" t="n"/>
      <c r="Z519" s="259" t="n"/>
      <c r="AA519" s="259" t="n"/>
      <c r="AB519" s="258" t="n"/>
      <c r="AC519" s="256" t="n"/>
      <c r="AD519" s="256" t="n"/>
      <c r="AE519" s="256" t="n"/>
      <c r="AF519" s="256" t="n"/>
      <c r="AG519" s="256" t="n"/>
      <c r="AH519" s="256">
        <f>IFERROR(IFERROR(V519,0)+IFERROR(AC519,0)+IFERROR(AD519,0)+IFERROR(AE519,0)+IFERROR(AF519,0)+IFERROR(AG519,0),0)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IFERROR(H520+IFERROR(I520,0)+T520+IFERROR(AH520,0),0)</f>
        <v/>
      </c>
      <c r="V520" s="256" t="n"/>
      <c r="W520" s="257" t="n"/>
      <c r="X520" s="256" t="n"/>
      <c r="Y520" s="258" t="n"/>
      <c r="Z520" s="259" t="n"/>
      <c r="AA520" s="259" t="n"/>
      <c r="AB520" s="258" t="n"/>
      <c r="AC520" s="256" t="n"/>
      <c r="AD520" s="256" t="n"/>
      <c r="AE520" s="256" t="n"/>
      <c r="AF520" s="256" t="n"/>
      <c r="AG520" s="256" t="n"/>
      <c r="AH520" s="256">
        <f>IFERROR(IFERROR(V520,0)+IFERROR(AC520,0)+IFERROR(AD520,0)+IFERROR(AE520,0)+IFERROR(AF520,0)+IFERROR(AG520,0),0)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IFERROR(H521+IFERROR(I521,0)+T521+IFERROR(AH521,0),0)</f>
        <v/>
      </c>
      <c r="V521" s="256" t="n"/>
      <c r="W521" s="257" t="n"/>
      <c r="X521" s="256" t="n"/>
      <c r="Y521" s="258" t="n"/>
      <c r="Z521" s="259" t="n"/>
      <c r="AA521" s="259" t="n"/>
      <c r="AB521" s="258" t="n"/>
      <c r="AC521" s="256" t="n"/>
      <c r="AD521" s="256" t="n"/>
      <c r="AE521" s="256" t="n"/>
      <c r="AF521" s="256" t="n"/>
      <c r="AG521" s="256" t="n"/>
      <c r="AH521" s="256">
        <f>IFERROR(IFERROR(V521,0)+IFERROR(AC521,0)+IFERROR(AD521,0)+IFERROR(AE521,0)+IFERROR(AF521,0)+IFERROR(AG521,0),0)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IFERROR(H522+IFERROR(I522,0)+T522+IFERROR(AH522,0),0)</f>
        <v/>
      </c>
      <c r="V522" s="256" t="n"/>
      <c r="W522" s="257" t="n"/>
      <c r="X522" s="256" t="n"/>
      <c r="Y522" s="258" t="n"/>
      <c r="Z522" s="259" t="n"/>
      <c r="AA522" s="259" t="n"/>
      <c r="AB522" s="258" t="n"/>
      <c r="AC522" s="256" t="n"/>
      <c r="AD522" s="256" t="n"/>
      <c r="AE522" s="256" t="n"/>
      <c r="AF522" s="256" t="n"/>
      <c r="AG522" s="256" t="n"/>
      <c r="AH522" s="256">
        <f>IFERROR(IFERROR(V522,0)+IFERROR(AC522,0)+IFERROR(AD522,0)+IFERROR(AE522,0)+IFERROR(AF522,0)+IFERROR(AG522,0),0)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IFERROR(H523+IFERROR(I523,0)+T523+IFERROR(AH523,0),0)</f>
        <v/>
      </c>
      <c r="V523" s="256" t="n"/>
      <c r="W523" s="257" t="n"/>
      <c r="X523" s="256" t="n"/>
      <c r="Y523" s="258" t="n"/>
      <c r="Z523" s="259" t="n"/>
      <c r="AA523" s="259" t="n"/>
      <c r="AB523" s="258" t="n"/>
      <c r="AC523" s="256" t="n"/>
      <c r="AD523" s="256" t="n"/>
      <c r="AE523" s="256" t="n"/>
      <c r="AF523" s="256" t="n"/>
      <c r="AG523" s="256" t="n"/>
      <c r="AH523" s="256">
        <f>IFERROR(IFERROR(V523,0)+IFERROR(AC523,0)+IFERROR(AD523,0)+IFERROR(AE523,0)+IFERROR(AF523,0)+IFERROR(AG523,0),0)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IFERROR(H524+IFERROR(I524,0)+T524+IFERROR(AH524,0),0)</f>
        <v/>
      </c>
      <c r="V524" s="256" t="n"/>
      <c r="W524" s="257" t="n"/>
      <c r="X524" s="256" t="n"/>
      <c r="Y524" s="258" t="n"/>
      <c r="Z524" s="259" t="n"/>
      <c r="AA524" s="259" t="n"/>
      <c r="AB524" s="258" t="n"/>
      <c r="AC524" s="256" t="n"/>
      <c r="AD524" s="256" t="n"/>
      <c r="AE524" s="256" t="n"/>
      <c r="AF524" s="256" t="n"/>
      <c r="AG524" s="256" t="n"/>
      <c r="AH524" s="256">
        <f>IFERROR(IFERROR(V524,0)+IFERROR(AC524,0)+IFERROR(AD524,0)+IFERROR(AE524,0)+IFERROR(AF524,0)+IFERROR(AG524,0),0)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IFERROR(H525+IFERROR(I525,0)+T525+IFERROR(AH525,0),0)</f>
        <v/>
      </c>
      <c r="V525" s="256" t="n"/>
      <c r="W525" s="257" t="n"/>
      <c r="X525" s="256" t="n"/>
      <c r="Y525" s="258" t="n"/>
      <c r="Z525" s="259" t="n"/>
      <c r="AA525" s="259" t="n"/>
      <c r="AB525" s="258" t="n"/>
      <c r="AC525" s="256" t="n"/>
      <c r="AD525" s="256" t="n"/>
      <c r="AE525" s="256" t="n"/>
      <c r="AF525" s="256" t="n"/>
      <c r="AG525" s="256" t="n"/>
      <c r="AH525" s="256">
        <f>IFERROR(IFERROR(V525,0)+IFERROR(AC525,0)+IFERROR(AD525,0)+IFERROR(AE525,0)+IFERROR(AF525,0)+IFERROR(AG525,0),0)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IFERROR(H526+IFERROR(I526,0)+T526+IFERROR(AH526,0),0)</f>
        <v/>
      </c>
      <c r="V526" s="256" t="n"/>
      <c r="W526" s="257" t="n"/>
      <c r="X526" s="256" t="n"/>
      <c r="Y526" s="258" t="n"/>
      <c r="Z526" s="259" t="n"/>
      <c r="AA526" s="259" t="n"/>
      <c r="AB526" s="258" t="n"/>
      <c r="AC526" s="256" t="n"/>
      <c r="AD526" s="256" t="n"/>
      <c r="AE526" s="256" t="n"/>
      <c r="AF526" s="256" t="n"/>
      <c r="AG526" s="256" t="n"/>
      <c r="AH526" s="256">
        <f>IFERROR(IFERROR(V526,0)+IFERROR(AC526,0)+IFERROR(AD526,0)+IFERROR(AE526,0)+IFERROR(AF526,0)+IFERROR(AG526,0),0)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IFERROR(H527+IFERROR(I527,0)+T527+IFERROR(AH527,0),0)</f>
        <v/>
      </c>
      <c r="V527" s="256" t="n"/>
      <c r="W527" s="257" t="n"/>
      <c r="X527" s="256" t="n"/>
      <c r="Y527" s="258" t="n"/>
      <c r="Z527" s="259" t="n"/>
      <c r="AA527" s="259" t="n"/>
      <c r="AB527" s="258" t="n"/>
      <c r="AC527" s="256" t="n"/>
      <c r="AD527" s="256" t="n"/>
      <c r="AE527" s="256" t="n"/>
      <c r="AF527" s="256" t="n"/>
      <c r="AG527" s="256" t="n"/>
      <c r="AH527" s="256">
        <f>IFERROR(IFERROR(V527,0)+IFERROR(AC527,0)+IFERROR(AD527,0)+IFERROR(AE527,0)+IFERROR(AF527,0)+IFERROR(AG527,0),0)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IFERROR(H528+IFERROR(I528,0)+T528+IFERROR(AH528,0),0)</f>
        <v/>
      </c>
      <c r="V528" s="256" t="n"/>
      <c r="W528" s="257" t="n"/>
      <c r="X528" s="256" t="n"/>
      <c r="Y528" s="258" t="n"/>
      <c r="Z528" s="259" t="n"/>
      <c r="AA528" s="259" t="n"/>
      <c r="AB528" s="258" t="n"/>
      <c r="AC528" s="256" t="n"/>
      <c r="AD528" s="256" t="n"/>
      <c r="AE528" s="256" t="n"/>
      <c r="AF528" s="256" t="n"/>
      <c r="AG528" s="256" t="n"/>
      <c r="AH528" s="256">
        <f>IFERROR(IFERROR(V528,0)+IFERROR(AC528,0)+IFERROR(AD528,0)+IFERROR(AE528,0)+IFERROR(AF528,0)+IFERROR(AG528,0),0)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IFERROR(H529+IFERROR(I529,0)+T529+IFERROR(AH529,0),0)</f>
        <v/>
      </c>
      <c r="V529" s="256" t="n"/>
      <c r="W529" s="257" t="n"/>
      <c r="X529" s="256" t="n"/>
      <c r="Y529" s="258" t="n"/>
      <c r="Z529" s="259" t="n"/>
      <c r="AA529" s="259" t="n"/>
      <c r="AB529" s="258" t="n"/>
      <c r="AC529" s="256" t="n"/>
      <c r="AD529" s="256" t="n"/>
      <c r="AE529" s="256" t="n"/>
      <c r="AF529" s="256" t="n"/>
      <c r="AG529" s="256" t="n"/>
      <c r="AH529" s="256">
        <f>IFERROR(IFERROR(V529,0)+IFERROR(AC529,0)+IFERROR(AD529,0)+IFERROR(AE529,0)+IFERROR(AF529,0)+IFERROR(AG529,0),0)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IFERROR(H530+IFERROR(I530,0)+T530+IFERROR(AH530,0),0)</f>
        <v/>
      </c>
      <c r="V530" s="256" t="n"/>
      <c r="W530" s="257" t="n"/>
      <c r="X530" s="256" t="n"/>
      <c r="Y530" s="258" t="n"/>
      <c r="Z530" s="259" t="n"/>
      <c r="AA530" s="259" t="n"/>
      <c r="AB530" s="258" t="n"/>
      <c r="AC530" s="256" t="n"/>
      <c r="AD530" s="256" t="n"/>
      <c r="AE530" s="256" t="n"/>
      <c r="AF530" s="256" t="n"/>
      <c r="AG530" s="256" t="n"/>
      <c r="AH530" s="256">
        <f>IFERROR(IFERROR(V530,0)+IFERROR(AC530,0)+IFERROR(AD530,0)+IFERROR(AE530,0)+IFERROR(AF530,0)+IFERROR(AG530,0),0)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IFERROR(H531+IFERROR(I531,0)+T531+IFERROR(AH531,0),0)</f>
        <v/>
      </c>
      <c r="V531" s="256" t="n"/>
      <c r="W531" s="257" t="n"/>
      <c r="X531" s="256" t="n"/>
      <c r="Y531" s="258" t="n"/>
      <c r="Z531" s="259" t="n"/>
      <c r="AA531" s="259" t="n"/>
      <c r="AB531" s="258" t="n"/>
      <c r="AC531" s="256" t="n"/>
      <c r="AD531" s="256" t="n"/>
      <c r="AE531" s="256" t="n"/>
      <c r="AF531" s="256" t="n"/>
      <c r="AG531" s="256" t="n"/>
      <c r="AH531" s="256">
        <f>IFERROR(IFERROR(V531,0)+IFERROR(AC531,0)+IFERROR(AD531,0)+IFERROR(AE531,0)+IFERROR(AF531,0)+IFERROR(AG531,0),0)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IFERROR(H532+IFERROR(I532,0)+T532+IFERROR(AH532,0),0)</f>
        <v/>
      </c>
      <c r="V532" s="256" t="n"/>
      <c r="W532" s="257" t="n"/>
      <c r="X532" s="256" t="n"/>
      <c r="Y532" s="258" t="n"/>
      <c r="Z532" s="259" t="n"/>
      <c r="AA532" s="259" t="n"/>
      <c r="AB532" s="258" t="n"/>
      <c r="AC532" s="256" t="n"/>
      <c r="AD532" s="256" t="n"/>
      <c r="AE532" s="256" t="n"/>
      <c r="AF532" s="256" t="n"/>
      <c r="AG532" s="256" t="n"/>
      <c r="AH532" s="256">
        <f>IFERROR(IFERROR(V532,0)+IFERROR(AC532,0)+IFERROR(AD532,0)+IFERROR(AE532,0)+IFERROR(AF532,0)+IFERROR(AG532,0),0)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IFERROR(H533+IFERROR(I533,0)+T533+IFERROR(AH533,0),0)</f>
        <v/>
      </c>
      <c r="V533" s="256" t="n"/>
      <c r="W533" s="257" t="n"/>
      <c r="X533" s="256" t="n"/>
      <c r="Y533" s="258" t="n"/>
      <c r="Z533" s="259" t="n"/>
      <c r="AA533" s="259" t="n"/>
      <c r="AB533" s="258" t="n"/>
      <c r="AC533" s="256" t="n"/>
      <c r="AD533" s="256" t="n"/>
      <c r="AE533" s="256" t="n"/>
      <c r="AF533" s="256" t="n"/>
      <c r="AG533" s="256" t="n"/>
      <c r="AH533" s="256">
        <f>IFERROR(IFERROR(V533,0)+IFERROR(AC533,0)+IFERROR(AD533,0)+IFERROR(AE533,0)+IFERROR(AF533,0)+IFERROR(AG533,0),0)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IFERROR(H534+IFERROR(I534,0)+T534+IFERROR(AH534,0),0)</f>
        <v/>
      </c>
      <c r="V534" s="256" t="n"/>
      <c r="W534" s="257" t="n"/>
      <c r="X534" s="256" t="n"/>
      <c r="Y534" s="258" t="n"/>
      <c r="Z534" s="259" t="n"/>
      <c r="AA534" s="259" t="n"/>
      <c r="AB534" s="258" t="n"/>
      <c r="AC534" s="256" t="n"/>
      <c r="AD534" s="256" t="n"/>
      <c r="AE534" s="256" t="n"/>
      <c r="AF534" s="256" t="n"/>
      <c r="AG534" s="256" t="n"/>
      <c r="AH534" s="256">
        <f>IFERROR(IFERROR(V534,0)+IFERROR(AC534,0)+IFERROR(AD534,0)+IFERROR(AE534,0)+IFERROR(AF534,0)+IFERROR(AG534,0),0)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IFERROR(H535+IFERROR(I535,0)+T535+IFERROR(AH535,0),0)</f>
        <v/>
      </c>
      <c r="V535" s="256" t="n"/>
      <c r="W535" s="257" t="n"/>
      <c r="X535" s="256" t="n"/>
      <c r="Y535" s="258" t="n"/>
      <c r="Z535" s="259" t="n"/>
      <c r="AA535" s="259" t="n"/>
      <c r="AB535" s="258" t="n"/>
      <c r="AC535" s="256" t="n"/>
      <c r="AD535" s="256" t="n"/>
      <c r="AE535" s="256" t="n"/>
      <c r="AF535" s="256" t="n"/>
      <c r="AG535" s="256" t="n"/>
      <c r="AH535" s="256">
        <f>IFERROR(IFERROR(V535,0)+IFERROR(AC535,0)+IFERROR(AD535,0)+IFERROR(AE535,0)+IFERROR(AF535,0)+IFERROR(AG535,0),0)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IFERROR(H536+IFERROR(I536,0)+T536+IFERROR(AH536,0),0)</f>
        <v/>
      </c>
      <c r="V536" s="256" t="n"/>
      <c r="W536" s="257" t="n"/>
      <c r="X536" s="256" t="n"/>
      <c r="Y536" s="258" t="n"/>
      <c r="Z536" s="259" t="n"/>
      <c r="AA536" s="259" t="n"/>
      <c r="AB536" s="258" t="n"/>
      <c r="AC536" s="256" t="n"/>
      <c r="AD536" s="256" t="n"/>
      <c r="AE536" s="256" t="n"/>
      <c r="AF536" s="256" t="n"/>
      <c r="AG536" s="256" t="n"/>
      <c r="AH536" s="256">
        <f>IFERROR(IFERROR(V536,0)+IFERROR(AC536,0)+IFERROR(AD536,0)+IFERROR(AE536,0)+IFERROR(AF536,0)+IFERROR(AG536,0),0)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IFERROR(H537+IFERROR(I537,0)+T537+IFERROR(AH537,0),0)</f>
        <v/>
      </c>
      <c r="V537" s="256" t="n"/>
      <c r="W537" s="257" t="n"/>
      <c r="X537" s="256" t="n"/>
      <c r="Y537" s="258" t="n"/>
      <c r="Z537" s="259" t="n"/>
      <c r="AA537" s="259" t="n"/>
      <c r="AB537" s="258" t="n"/>
      <c r="AC537" s="256" t="n"/>
      <c r="AD537" s="256" t="n"/>
      <c r="AE537" s="256" t="n"/>
      <c r="AF537" s="256" t="n"/>
      <c r="AG537" s="256" t="n"/>
      <c r="AH537" s="256">
        <f>IFERROR(IFERROR(V537,0)+IFERROR(AC537,0)+IFERROR(AD537,0)+IFERROR(AE537,0)+IFERROR(AF537,0)+IFERROR(AG537,0),0)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IFERROR(H538+IFERROR(I538,0)+T538+IFERROR(AH538,0),0)</f>
        <v/>
      </c>
      <c r="V538" s="256" t="n"/>
      <c r="W538" s="257" t="n"/>
      <c r="X538" s="256" t="n"/>
      <c r="Y538" s="258" t="n"/>
      <c r="Z538" s="259" t="n"/>
      <c r="AA538" s="259" t="n"/>
      <c r="AB538" s="258" t="n"/>
      <c r="AC538" s="256" t="n"/>
      <c r="AD538" s="256" t="n"/>
      <c r="AE538" s="256" t="n"/>
      <c r="AF538" s="256" t="n"/>
      <c r="AG538" s="256" t="n"/>
      <c r="AH538" s="256">
        <f>IFERROR(IFERROR(V538,0)+IFERROR(AC538,0)+IFERROR(AD538,0)+IFERROR(AE538,0)+IFERROR(AF538,0)+IFERROR(AG538,0),0)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IFERROR(H539+IFERROR(I539,0)+T539+IFERROR(AH539,0),0)</f>
        <v/>
      </c>
      <c r="V539" s="256" t="n"/>
      <c r="W539" s="257" t="n"/>
      <c r="X539" s="256" t="n"/>
      <c r="Y539" s="258" t="n"/>
      <c r="Z539" s="259" t="n"/>
      <c r="AA539" s="259" t="n"/>
      <c r="AB539" s="258" t="n"/>
      <c r="AC539" s="256" t="n"/>
      <c r="AD539" s="256" t="n"/>
      <c r="AE539" s="256" t="n"/>
      <c r="AF539" s="256" t="n"/>
      <c r="AG539" s="256" t="n"/>
      <c r="AH539" s="256">
        <f>IFERROR(IFERROR(V539,0)+IFERROR(AC539,0)+IFERROR(AD539,0)+IFERROR(AE539,0)+IFERROR(AF539,0)+IFERROR(AG539,0),0)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IFERROR(H540+IFERROR(I540,0)+T540+IFERROR(AH540,0),0)</f>
        <v/>
      </c>
      <c r="V540" s="256" t="n"/>
      <c r="W540" s="257" t="n"/>
      <c r="X540" s="256" t="n"/>
      <c r="Y540" s="258" t="n"/>
      <c r="Z540" s="259" t="n"/>
      <c r="AA540" s="259" t="n"/>
      <c r="AB540" s="258" t="n"/>
      <c r="AC540" s="256" t="n"/>
      <c r="AD540" s="256" t="n"/>
      <c r="AE540" s="256" t="n"/>
      <c r="AF540" s="256" t="n"/>
      <c r="AG540" s="256" t="n"/>
      <c r="AH540" s="256">
        <f>IFERROR(IFERROR(V540,0)+IFERROR(AC540,0)+IFERROR(AD540,0)+IFERROR(AE540,0)+IFERROR(AF540,0)+IFERROR(AG540,0),0)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IFERROR(H541+IFERROR(I541,0)+T541+IFERROR(AH541,0),0)</f>
        <v/>
      </c>
      <c r="V541" s="256" t="n"/>
      <c r="W541" s="257" t="n"/>
      <c r="X541" s="256" t="n"/>
      <c r="Y541" s="258" t="n"/>
      <c r="Z541" s="259" t="n"/>
      <c r="AA541" s="259" t="n"/>
      <c r="AB541" s="258" t="n"/>
      <c r="AC541" s="256" t="n"/>
      <c r="AD541" s="256" t="n"/>
      <c r="AE541" s="256" t="n"/>
      <c r="AF541" s="256" t="n"/>
      <c r="AG541" s="256" t="n"/>
      <c r="AH541" s="256">
        <f>IFERROR(IFERROR(V541,0)+IFERROR(AC541,0)+IFERROR(AD541,0)+IFERROR(AE541,0)+IFERROR(AF541,0)+IFERROR(AG541,0),0)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IFERROR(H542+IFERROR(I542,0)+T542+IFERROR(AH542,0),0)</f>
        <v/>
      </c>
      <c r="V542" s="256" t="n"/>
      <c r="W542" s="257" t="n"/>
      <c r="X542" s="256" t="n"/>
      <c r="Y542" s="258" t="n"/>
      <c r="Z542" s="259" t="n"/>
      <c r="AA542" s="259" t="n"/>
      <c r="AB542" s="258" t="n"/>
      <c r="AC542" s="256" t="n"/>
      <c r="AD542" s="256" t="n"/>
      <c r="AE542" s="256" t="n"/>
      <c r="AF542" s="256" t="n"/>
      <c r="AG542" s="256" t="n"/>
      <c r="AH542" s="256">
        <f>IFERROR(IFERROR(V542,0)+IFERROR(AC542,0)+IFERROR(AD542,0)+IFERROR(AE542,0)+IFERROR(AF542,0)+IFERROR(AG542,0),0)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IFERROR(H543+IFERROR(I543,0)+T543+IFERROR(AH543,0),0)</f>
        <v/>
      </c>
      <c r="V543" s="256" t="n"/>
      <c r="W543" s="257" t="n"/>
      <c r="X543" s="256" t="n"/>
      <c r="Y543" s="258" t="n"/>
      <c r="Z543" s="259" t="n"/>
      <c r="AA543" s="259" t="n"/>
      <c r="AB543" s="258" t="n"/>
      <c r="AC543" s="256" t="n"/>
      <c r="AD543" s="256" t="n"/>
      <c r="AE543" s="256" t="n"/>
      <c r="AF543" s="256" t="n"/>
      <c r="AG543" s="256" t="n"/>
      <c r="AH543" s="256">
        <f>IFERROR(IFERROR(V543,0)+IFERROR(AC543,0)+IFERROR(AD543,0)+IFERROR(AE543,0)+IFERROR(AF543,0)+IFERROR(AG543,0),0)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IFERROR(H544+IFERROR(I544,0)+T544+IFERROR(AH544,0),0)</f>
        <v/>
      </c>
      <c r="V544" s="256" t="n"/>
      <c r="W544" s="257" t="n"/>
      <c r="X544" s="256" t="n"/>
      <c r="Y544" s="258" t="n"/>
      <c r="Z544" s="259" t="n"/>
      <c r="AA544" s="259" t="n"/>
      <c r="AB544" s="258" t="n"/>
      <c r="AC544" s="256" t="n"/>
      <c r="AD544" s="256" t="n"/>
      <c r="AE544" s="256" t="n"/>
      <c r="AF544" s="256" t="n"/>
      <c r="AG544" s="256" t="n"/>
      <c r="AH544" s="256">
        <f>IFERROR(IFERROR(V544,0)+IFERROR(AC544,0)+IFERROR(AD544,0)+IFERROR(AE544,0)+IFERROR(AF544,0)+IFERROR(AG544,0),0)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IFERROR(H545+IFERROR(I545,0)+T545+IFERROR(AH545,0),0)</f>
        <v/>
      </c>
      <c r="V545" s="256" t="n"/>
      <c r="W545" s="257" t="n"/>
      <c r="X545" s="256" t="n"/>
      <c r="Y545" s="258" t="n"/>
      <c r="Z545" s="259" t="n"/>
      <c r="AA545" s="259" t="n"/>
      <c r="AB545" s="258" t="n"/>
      <c r="AC545" s="256" t="n"/>
      <c r="AD545" s="256" t="n"/>
      <c r="AE545" s="256" t="n"/>
      <c r="AF545" s="256" t="n"/>
      <c r="AG545" s="256" t="n"/>
      <c r="AH545" s="256">
        <f>IFERROR(IFERROR(V545,0)+IFERROR(AC545,0)+IFERROR(AD545,0)+IFERROR(AE545,0)+IFERROR(AF545,0)+IFERROR(AG545,0),0)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IFERROR(H546+IFERROR(I546,0)+T546+IFERROR(AH546,0),0)</f>
        <v/>
      </c>
      <c r="V546" s="256" t="n"/>
      <c r="W546" s="257" t="n"/>
      <c r="X546" s="256" t="n"/>
      <c r="Y546" s="258" t="n"/>
      <c r="Z546" s="259" t="n"/>
      <c r="AA546" s="259" t="n"/>
      <c r="AB546" s="258" t="n"/>
      <c r="AC546" s="256" t="n"/>
      <c r="AD546" s="256" t="n"/>
      <c r="AE546" s="256" t="n"/>
      <c r="AF546" s="256" t="n"/>
      <c r="AG546" s="256" t="n"/>
      <c r="AH546" s="256">
        <f>IFERROR(IFERROR(V546,0)+IFERROR(AC546,0)+IFERROR(AD546,0)+IFERROR(AE546,0)+IFERROR(AF546,0)+IFERROR(AG546,0),0)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IFERROR(H547+IFERROR(I547,0)+T547+IFERROR(AH547,0),0)</f>
        <v/>
      </c>
      <c r="V547" s="256" t="n"/>
      <c r="W547" s="257" t="n"/>
      <c r="X547" s="256" t="n"/>
      <c r="Y547" s="258" t="n"/>
      <c r="Z547" s="259" t="n"/>
      <c r="AA547" s="259" t="n"/>
      <c r="AB547" s="258" t="n"/>
      <c r="AC547" s="256" t="n"/>
      <c r="AD547" s="256" t="n"/>
      <c r="AE547" s="256" t="n"/>
      <c r="AF547" s="256" t="n"/>
      <c r="AG547" s="256" t="n"/>
      <c r="AH547" s="256">
        <f>IFERROR(IFERROR(V547,0)+IFERROR(AC547,0)+IFERROR(AD547,0)+IFERROR(AE547,0)+IFERROR(AF547,0)+IFERROR(AG547,0),0)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IFERROR(H548+IFERROR(I548,0)+T548+IFERROR(AH548,0),0)</f>
        <v/>
      </c>
      <c r="V548" s="256" t="n"/>
      <c r="W548" s="257" t="n"/>
      <c r="X548" s="256" t="n"/>
      <c r="Y548" s="258" t="n"/>
      <c r="Z548" s="259" t="n"/>
      <c r="AA548" s="259" t="n"/>
      <c r="AB548" s="258" t="n"/>
      <c r="AC548" s="256" t="n"/>
      <c r="AD548" s="256" t="n"/>
      <c r="AE548" s="256" t="n"/>
      <c r="AF548" s="256" t="n"/>
      <c r="AG548" s="256" t="n"/>
      <c r="AH548" s="256">
        <f>IFERROR(IFERROR(V548,0)+IFERROR(AC548,0)+IFERROR(AD548,0)+IFERROR(AE548,0)+IFERROR(AF548,0)+IFERROR(AG548,0),0)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IFERROR(H549+IFERROR(I549,0)+T549+IFERROR(AH549,0),0)</f>
        <v/>
      </c>
      <c r="V549" s="256" t="n"/>
      <c r="W549" s="257" t="n"/>
      <c r="X549" s="256" t="n"/>
      <c r="Y549" s="258" t="n"/>
      <c r="Z549" s="259" t="n"/>
      <c r="AA549" s="259" t="n"/>
      <c r="AB549" s="258" t="n"/>
      <c r="AC549" s="256" t="n"/>
      <c r="AD549" s="256" t="n"/>
      <c r="AE549" s="256" t="n"/>
      <c r="AF549" s="256" t="n"/>
      <c r="AG549" s="256" t="n"/>
      <c r="AH549" s="256">
        <f>IFERROR(IFERROR(V549,0)+IFERROR(AC549,0)+IFERROR(AD549,0)+IFERROR(AE549,0)+IFERROR(AF549,0)+IFERROR(AG549,0),0)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IFERROR(H550+IFERROR(I550,0)+T550+IFERROR(AH550,0),0)</f>
        <v/>
      </c>
      <c r="V550" s="256" t="n"/>
      <c r="W550" s="257" t="n"/>
      <c r="X550" s="256" t="n"/>
      <c r="Y550" s="258" t="n"/>
      <c r="Z550" s="259" t="n"/>
      <c r="AA550" s="259" t="n"/>
      <c r="AB550" s="258" t="n"/>
      <c r="AC550" s="256" t="n"/>
      <c r="AD550" s="256" t="n"/>
      <c r="AE550" s="256" t="n"/>
      <c r="AF550" s="256" t="n"/>
      <c r="AG550" s="256" t="n"/>
      <c r="AH550" s="256">
        <f>IFERROR(IFERROR(V550,0)+IFERROR(AC550,0)+IFERROR(AD550,0)+IFERROR(AE550,0)+IFERROR(AF550,0)+IFERROR(AG550,0),0)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IFERROR(H551+IFERROR(I551,0)+T551+IFERROR(AH551,0),0)</f>
        <v/>
      </c>
      <c r="V551" s="256" t="n"/>
      <c r="W551" s="257" t="n"/>
      <c r="X551" s="256" t="n"/>
      <c r="Y551" s="258" t="n"/>
      <c r="Z551" s="259" t="n"/>
      <c r="AA551" s="259" t="n"/>
      <c r="AB551" s="258" t="n"/>
      <c r="AC551" s="256" t="n"/>
      <c r="AD551" s="256" t="n"/>
      <c r="AE551" s="256" t="n"/>
      <c r="AF551" s="256" t="n"/>
      <c r="AG551" s="256" t="n"/>
      <c r="AH551" s="256">
        <f>IFERROR(IFERROR(V551,0)+IFERROR(AC551,0)+IFERROR(AD551,0)+IFERROR(AE551,0)+IFERROR(AF551,0)+IFERROR(AG551,0),0)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IFERROR(H552+IFERROR(I552,0)+T552+IFERROR(AH552,0),0)</f>
        <v/>
      </c>
      <c r="V552" s="256" t="n"/>
      <c r="W552" s="257" t="n"/>
      <c r="X552" s="256" t="n"/>
      <c r="Y552" s="258" t="n"/>
      <c r="Z552" s="259" t="n"/>
      <c r="AA552" s="259" t="n"/>
      <c r="AB552" s="258" t="n"/>
      <c r="AC552" s="256" t="n"/>
      <c r="AD552" s="256" t="n"/>
      <c r="AE552" s="256" t="n"/>
      <c r="AF552" s="256" t="n"/>
      <c r="AG552" s="256" t="n"/>
      <c r="AH552" s="256">
        <f>IFERROR(IFERROR(V552,0)+IFERROR(AC552,0)+IFERROR(AD552,0)+IFERROR(AE552,0)+IFERROR(AF552,0)+IFERROR(AG552,0),0)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IFERROR(H553+IFERROR(I553,0)+T553+IFERROR(AH553,0),0)</f>
        <v/>
      </c>
      <c r="V553" s="256" t="n"/>
      <c r="W553" s="257" t="n"/>
      <c r="X553" s="256" t="n"/>
      <c r="Y553" s="258" t="n"/>
      <c r="Z553" s="259" t="n"/>
      <c r="AA553" s="259" t="n"/>
      <c r="AB553" s="258" t="n"/>
      <c r="AC553" s="256" t="n"/>
      <c r="AD553" s="256" t="n"/>
      <c r="AE553" s="256" t="n"/>
      <c r="AF553" s="256" t="n"/>
      <c r="AG553" s="256" t="n"/>
      <c r="AH553" s="256">
        <f>IFERROR(IFERROR(V553,0)+IFERROR(AC553,0)+IFERROR(AD553,0)+IFERROR(AE553,0)+IFERROR(AF553,0)+IFERROR(AG553,0),0)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IFERROR(H554+IFERROR(I554,0)+T554+IFERROR(AH554,0),0)</f>
        <v/>
      </c>
      <c r="V554" s="256" t="n"/>
      <c r="W554" s="257" t="n"/>
      <c r="X554" s="256" t="n"/>
      <c r="Y554" s="258" t="n"/>
      <c r="Z554" s="259" t="n"/>
      <c r="AA554" s="259" t="n"/>
      <c r="AB554" s="258" t="n"/>
      <c r="AC554" s="256" t="n"/>
      <c r="AD554" s="256" t="n"/>
      <c r="AE554" s="256" t="n"/>
      <c r="AF554" s="256" t="n"/>
      <c r="AG554" s="256" t="n"/>
      <c r="AH554" s="256">
        <f>IFERROR(IFERROR(V554,0)+IFERROR(AC554,0)+IFERROR(AD554,0)+IFERROR(AE554,0)+IFERROR(AF554,0)+IFERROR(AG554,0),0)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IFERROR(H555+IFERROR(I555,0)+T555+IFERROR(AH555,0),0)</f>
        <v/>
      </c>
      <c r="V555" s="256" t="n"/>
      <c r="W555" s="257" t="n"/>
      <c r="X555" s="256" t="n"/>
      <c r="Y555" s="258" t="n"/>
      <c r="Z555" s="259" t="n"/>
      <c r="AA555" s="259" t="n"/>
      <c r="AB555" s="258" t="n"/>
      <c r="AC555" s="256" t="n"/>
      <c r="AD555" s="256" t="n"/>
      <c r="AE555" s="256" t="n"/>
      <c r="AF555" s="256" t="n"/>
      <c r="AG555" s="256" t="n"/>
      <c r="AH555" s="256">
        <f>IFERROR(IFERROR(V555,0)+IFERROR(AC555,0)+IFERROR(AD555,0)+IFERROR(AE555,0)+IFERROR(AF555,0)+IFERROR(AG555,0),0)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IFERROR(H556+IFERROR(I556,0)+T556+IFERROR(AH556,0),0)</f>
        <v/>
      </c>
      <c r="V556" s="256" t="n"/>
      <c r="W556" s="257" t="n"/>
      <c r="X556" s="256" t="n"/>
      <c r="Y556" s="258" t="n"/>
      <c r="Z556" s="259" t="n"/>
      <c r="AA556" s="259" t="n"/>
      <c r="AB556" s="258" t="n"/>
      <c r="AC556" s="256" t="n"/>
      <c r="AD556" s="256" t="n"/>
      <c r="AE556" s="256" t="n"/>
      <c r="AF556" s="256" t="n"/>
      <c r="AG556" s="256" t="n"/>
      <c r="AH556" s="256">
        <f>IFERROR(IFERROR(V556,0)+IFERROR(AC556,0)+IFERROR(AD556,0)+IFERROR(AE556,0)+IFERROR(AF556,0)+IFERROR(AG556,0),0)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IFERROR(H557+IFERROR(I557,0)+T557+IFERROR(AH557,0),0)</f>
        <v/>
      </c>
      <c r="V557" s="256" t="n"/>
      <c r="W557" s="257" t="n"/>
      <c r="X557" s="256" t="n"/>
      <c r="Y557" s="258" t="n"/>
      <c r="Z557" s="259" t="n"/>
      <c r="AA557" s="259" t="n"/>
      <c r="AB557" s="258" t="n"/>
      <c r="AC557" s="256" t="n"/>
      <c r="AD557" s="256" t="n"/>
      <c r="AE557" s="256" t="n"/>
      <c r="AF557" s="256" t="n"/>
      <c r="AG557" s="256" t="n"/>
      <c r="AH557" s="256">
        <f>IFERROR(IFERROR(V557,0)+IFERROR(AC557,0)+IFERROR(AD557,0)+IFERROR(AE557,0)+IFERROR(AF557,0)+IFERROR(AG557,0),0)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IFERROR(H558+IFERROR(I558,0)+T558+IFERROR(AH558,0),0)</f>
        <v/>
      </c>
      <c r="V558" s="256" t="n"/>
      <c r="W558" s="257" t="n"/>
      <c r="X558" s="256" t="n"/>
      <c r="Y558" s="258" t="n"/>
      <c r="Z558" s="259" t="n"/>
      <c r="AA558" s="259" t="n"/>
      <c r="AB558" s="258" t="n"/>
      <c r="AC558" s="256" t="n"/>
      <c r="AD558" s="256" t="n"/>
      <c r="AE558" s="256" t="n"/>
      <c r="AF558" s="256" t="n"/>
      <c r="AG558" s="256" t="n"/>
      <c r="AH558" s="256">
        <f>IFERROR(IFERROR(V558,0)+IFERROR(AC558,0)+IFERROR(AD558,0)+IFERROR(AE558,0)+IFERROR(AF558,0)+IFERROR(AG558,0),0)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IFERROR(H559+IFERROR(I559,0)+T559+IFERROR(AH559,0),0)</f>
        <v/>
      </c>
      <c r="V559" s="256" t="n"/>
      <c r="W559" s="257" t="n"/>
      <c r="X559" s="256" t="n"/>
      <c r="Y559" s="258" t="n"/>
      <c r="Z559" s="259" t="n"/>
      <c r="AA559" s="259" t="n"/>
      <c r="AB559" s="258" t="n"/>
      <c r="AC559" s="256" t="n"/>
      <c r="AD559" s="256" t="n"/>
      <c r="AE559" s="256" t="n"/>
      <c r="AF559" s="256" t="n"/>
      <c r="AG559" s="256" t="n"/>
      <c r="AH559" s="256">
        <f>IFERROR(IFERROR(V559,0)+IFERROR(AC559,0)+IFERROR(AD559,0)+IFERROR(AE559,0)+IFERROR(AF559,0)+IFERROR(AG559,0),0)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IFERROR(H560+IFERROR(I560,0)+T560+IFERROR(AH560,0),0)</f>
        <v/>
      </c>
      <c r="V560" s="256" t="n"/>
      <c r="W560" s="257" t="n"/>
      <c r="X560" s="256" t="n"/>
      <c r="Y560" s="258" t="n"/>
      <c r="Z560" s="259" t="n"/>
      <c r="AA560" s="259" t="n"/>
      <c r="AB560" s="258" t="n"/>
      <c r="AC560" s="256" t="n"/>
      <c r="AD560" s="256" t="n"/>
      <c r="AE560" s="256" t="n"/>
      <c r="AF560" s="256" t="n"/>
      <c r="AG560" s="256" t="n"/>
      <c r="AH560" s="256">
        <f>IFERROR(IFERROR(V560,0)+IFERROR(AC560,0)+IFERROR(AD560,0)+IFERROR(AE560,0)+IFERROR(AF560,0)+IFERROR(AG560,0),0)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IFERROR(H561+IFERROR(I561,0)+T561+IFERROR(AH561,0),0)</f>
        <v/>
      </c>
      <c r="V561" s="256" t="n"/>
      <c r="W561" s="257" t="n"/>
      <c r="X561" s="256" t="n"/>
      <c r="Y561" s="258" t="n"/>
      <c r="Z561" s="259" t="n"/>
      <c r="AA561" s="259" t="n"/>
      <c r="AB561" s="258" t="n"/>
      <c r="AC561" s="256" t="n"/>
      <c r="AD561" s="256" t="n"/>
      <c r="AE561" s="256" t="n"/>
      <c r="AF561" s="256" t="n"/>
      <c r="AG561" s="256" t="n"/>
      <c r="AH561" s="256">
        <f>IFERROR(IFERROR(V561,0)+IFERROR(AC561,0)+IFERROR(AD561,0)+IFERROR(AE561,0)+IFERROR(AF561,0)+IFERROR(AG561,0),0)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IFERROR(H562+IFERROR(I562,0)+T562+IFERROR(AH562,0),0)</f>
        <v/>
      </c>
      <c r="V562" s="256" t="n"/>
      <c r="W562" s="257" t="n"/>
      <c r="X562" s="256" t="n"/>
      <c r="Y562" s="258" t="n"/>
      <c r="Z562" s="259" t="n"/>
      <c r="AA562" s="259" t="n"/>
      <c r="AB562" s="258" t="n"/>
      <c r="AC562" s="256" t="n"/>
      <c r="AD562" s="256" t="n"/>
      <c r="AE562" s="256" t="n"/>
      <c r="AF562" s="256" t="n"/>
      <c r="AG562" s="256" t="n"/>
      <c r="AH562" s="256">
        <f>IFERROR(IFERROR(V562,0)+IFERROR(AC562,0)+IFERROR(AD562,0)+IFERROR(AE562,0)+IFERROR(AF562,0)+IFERROR(AG562,0),0)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IFERROR(H563+IFERROR(I563,0)+T563+IFERROR(AH563,0),0)</f>
        <v/>
      </c>
      <c r="V563" s="256" t="n"/>
      <c r="W563" s="257" t="n"/>
      <c r="X563" s="256" t="n"/>
      <c r="Y563" s="258" t="n"/>
      <c r="Z563" s="259" t="n"/>
      <c r="AA563" s="259" t="n"/>
      <c r="AB563" s="258" t="n"/>
      <c r="AC563" s="256" t="n"/>
      <c r="AD563" s="256" t="n"/>
      <c r="AE563" s="256" t="n"/>
      <c r="AF563" s="256" t="n"/>
      <c r="AG563" s="256" t="n"/>
      <c r="AH563" s="256">
        <f>IFERROR(IFERROR(V563,0)+IFERROR(AC563,0)+IFERROR(AD563,0)+IFERROR(AE563,0)+IFERROR(AF563,0)+IFERROR(AG563,0),0)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IFERROR(H564+IFERROR(I564,0)+T564+IFERROR(AH564,0),0)</f>
        <v/>
      </c>
      <c r="V564" s="256" t="n"/>
      <c r="W564" s="257" t="n"/>
      <c r="X564" s="256" t="n"/>
      <c r="Y564" s="258" t="n"/>
      <c r="Z564" s="259" t="n"/>
      <c r="AA564" s="259" t="n"/>
      <c r="AB564" s="258" t="n"/>
      <c r="AC564" s="256" t="n"/>
      <c r="AD564" s="256" t="n"/>
      <c r="AE564" s="256" t="n"/>
      <c r="AF564" s="256" t="n"/>
      <c r="AG564" s="256" t="n"/>
      <c r="AH564" s="256">
        <f>IFERROR(IFERROR(V564,0)+IFERROR(AC564,0)+IFERROR(AD564,0)+IFERROR(AE564,0)+IFERROR(AF564,0)+IFERROR(AG564,0),0)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IFERROR(H565+IFERROR(I565,0)+T565+IFERROR(AH565,0),0)</f>
        <v/>
      </c>
      <c r="V565" s="256" t="n"/>
      <c r="W565" s="257" t="n"/>
      <c r="X565" s="256" t="n"/>
      <c r="Y565" s="258" t="n"/>
      <c r="Z565" s="259" t="n"/>
      <c r="AA565" s="259" t="n"/>
      <c r="AB565" s="258" t="n"/>
      <c r="AC565" s="256" t="n"/>
      <c r="AD565" s="256" t="n"/>
      <c r="AE565" s="256" t="n"/>
      <c r="AF565" s="256" t="n"/>
      <c r="AG565" s="256" t="n"/>
      <c r="AH565" s="256">
        <f>IFERROR(IFERROR(V565,0)+IFERROR(AC565,0)+IFERROR(AD565,0)+IFERROR(AE565,0)+IFERROR(AF565,0)+IFERROR(AG565,0),0)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IFERROR(H566+IFERROR(I566,0)+T566+IFERROR(AH566,0),0)</f>
        <v/>
      </c>
      <c r="V566" s="256" t="n"/>
      <c r="W566" s="257" t="n"/>
      <c r="X566" s="256" t="n"/>
      <c r="Y566" s="258" t="n"/>
      <c r="Z566" s="259" t="n"/>
      <c r="AA566" s="259" t="n"/>
      <c r="AB566" s="258" t="n"/>
      <c r="AC566" s="256" t="n"/>
      <c r="AD566" s="256" t="n"/>
      <c r="AE566" s="256" t="n"/>
      <c r="AF566" s="256" t="n"/>
      <c r="AG566" s="256" t="n"/>
      <c r="AH566" s="256">
        <f>IFERROR(IFERROR(V566,0)+IFERROR(AC566,0)+IFERROR(AD566,0)+IFERROR(AE566,0)+IFERROR(AF566,0)+IFERROR(AG566,0),0)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IFERROR(H567+IFERROR(I567,0)+T567+IFERROR(AH567,0),0)</f>
        <v/>
      </c>
      <c r="V567" s="256" t="n"/>
      <c r="W567" s="257" t="n"/>
      <c r="X567" s="256" t="n"/>
      <c r="Y567" s="258" t="n"/>
      <c r="Z567" s="259" t="n"/>
      <c r="AA567" s="259" t="n"/>
      <c r="AB567" s="258" t="n"/>
      <c r="AC567" s="256" t="n"/>
      <c r="AD567" s="256" t="n"/>
      <c r="AE567" s="256" t="n"/>
      <c r="AF567" s="256" t="n"/>
      <c r="AG567" s="256" t="n"/>
      <c r="AH567" s="256">
        <f>IFERROR(IFERROR(V567,0)+IFERROR(AC567,0)+IFERROR(AD567,0)+IFERROR(AE567,0)+IFERROR(AF567,0)+IFERROR(AG567,0),0)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IFERROR(H568+IFERROR(I568,0)+T568+IFERROR(AH568,0),0)</f>
        <v/>
      </c>
      <c r="V568" s="256" t="n"/>
      <c r="W568" s="257" t="n"/>
      <c r="X568" s="256" t="n"/>
      <c r="Y568" s="258" t="n"/>
      <c r="Z568" s="259" t="n"/>
      <c r="AA568" s="259" t="n"/>
      <c r="AB568" s="258" t="n"/>
      <c r="AC568" s="256" t="n"/>
      <c r="AD568" s="256" t="n"/>
      <c r="AE568" s="256" t="n"/>
      <c r="AF568" s="256" t="n"/>
      <c r="AG568" s="256" t="n"/>
      <c r="AH568" s="256">
        <f>IFERROR(IFERROR(V568,0)+IFERROR(AC568,0)+IFERROR(AD568,0)+IFERROR(AE568,0)+IFERROR(AF568,0)+IFERROR(AG568,0),0)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IFERROR(H569+IFERROR(I569,0)+T569+IFERROR(AH569,0),0)</f>
        <v/>
      </c>
      <c r="V569" s="256" t="n"/>
      <c r="W569" s="257" t="n"/>
      <c r="X569" s="256" t="n"/>
      <c r="Y569" s="258" t="n"/>
      <c r="Z569" s="259" t="n"/>
      <c r="AA569" s="259" t="n"/>
      <c r="AB569" s="258" t="n"/>
      <c r="AC569" s="256" t="n"/>
      <c r="AD569" s="256" t="n"/>
      <c r="AE569" s="256" t="n"/>
      <c r="AF569" s="256" t="n"/>
      <c r="AG569" s="256" t="n"/>
      <c r="AH569" s="256">
        <f>IFERROR(IFERROR(V569,0)+IFERROR(AC569,0)+IFERROR(AD569,0)+IFERROR(AE569,0)+IFERROR(AF569,0)+IFERROR(AG569,0),0)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IFERROR(H570+IFERROR(I570,0)+T570+IFERROR(AH570,0),0)</f>
        <v/>
      </c>
      <c r="V570" s="256" t="n"/>
      <c r="W570" s="257" t="n"/>
      <c r="X570" s="256" t="n"/>
      <c r="Y570" s="258" t="n"/>
      <c r="Z570" s="259" t="n"/>
      <c r="AA570" s="259" t="n"/>
      <c r="AB570" s="258" t="n"/>
      <c r="AC570" s="256" t="n"/>
      <c r="AD570" s="256" t="n"/>
      <c r="AE570" s="256" t="n"/>
      <c r="AF570" s="256" t="n"/>
      <c r="AG570" s="256" t="n"/>
      <c r="AH570" s="256">
        <f>IFERROR(IFERROR(V570,0)+IFERROR(AC570,0)+IFERROR(AD570,0)+IFERROR(AE570,0)+IFERROR(AF570,0)+IFERROR(AG570,0),0)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IFERROR(H571+IFERROR(I571,0)+T571+IFERROR(AH571,0),0)</f>
        <v/>
      </c>
      <c r="V571" s="256" t="n"/>
      <c r="W571" s="257" t="n"/>
      <c r="X571" s="256" t="n"/>
      <c r="Y571" s="258" t="n"/>
      <c r="Z571" s="259" t="n"/>
      <c r="AA571" s="259" t="n"/>
      <c r="AB571" s="258" t="n"/>
      <c r="AC571" s="256" t="n"/>
      <c r="AD571" s="256" t="n"/>
      <c r="AE571" s="256" t="n"/>
      <c r="AF571" s="256" t="n"/>
      <c r="AG571" s="256" t="n"/>
      <c r="AH571" s="256">
        <f>IFERROR(IFERROR(V571,0)+IFERROR(AC571,0)+IFERROR(AD571,0)+IFERROR(AE571,0)+IFERROR(AF571,0)+IFERROR(AG571,0),0)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IFERROR(H572+IFERROR(I572,0)+T572+IFERROR(AH572,0),0)</f>
        <v/>
      </c>
      <c r="V572" s="256" t="n"/>
      <c r="W572" s="257" t="n"/>
      <c r="X572" s="256" t="n"/>
      <c r="Y572" s="258" t="n"/>
      <c r="Z572" s="259" t="n"/>
      <c r="AA572" s="259" t="n"/>
      <c r="AB572" s="258" t="n"/>
      <c r="AC572" s="256" t="n"/>
      <c r="AD572" s="256" t="n"/>
      <c r="AE572" s="256" t="n"/>
      <c r="AF572" s="256" t="n"/>
      <c r="AG572" s="256" t="n"/>
      <c r="AH572" s="256">
        <f>IFERROR(IFERROR(V572,0)+IFERROR(AC572,0)+IFERROR(AD572,0)+IFERROR(AE572,0)+IFERROR(AF572,0)+IFERROR(AG572,0),0)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IFERROR(H573+IFERROR(I573,0)+T573+IFERROR(AH573,0),0)</f>
        <v/>
      </c>
      <c r="V573" s="256" t="n"/>
      <c r="W573" s="257" t="n"/>
      <c r="X573" s="256" t="n"/>
      <c r="Y573" s="258" t="n"/>
      <c r="Z573" s="259" t="n"/>
      <c r="AA573" s="259" t="n"/>
      <c r="AB573" s="258" t="n"/>
      <c r="AC573" s="256" t="n"/>
      <c r="AD573" s="256" t="n"/>
      <c r="AE573" s="256" t="n"/>
      <c r="AF573" s="256" t="n"/>
      <c r="AG573" s="256" t="n"/>
      <c r="AH573" s="256">
        <f>IFERROR(IFERROR(V573,0)+IFERROR(AC573,0)+IFERROR(AD573,0)+IFERROR(AE573,0)+IFERROR(AF573,0)+IFERROR(AG573,0),0)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IFERROR(H574+IFERROR(I574,0)+T574+IFERROR(AH574,0),0)</f>
        <v/>
      </c>
      <c r="V574" s="256" t="n"/>
      <c r="W574" s="257" t="n"/>
      <c r="X574" s="256" t="n"/>
      <c r="Y574" s="258" t="n"/>
      <c r="Z574" s="259" t="n"/>
      <c r="AA574" s="259" t="n"/>
      <c r="AB574" s="258" t="n"/>
      <c r="AC574" s="256" t="n"/>
      <c r="AD574" s="256" t="n"/>
      <c r="AE574" s="256" t="n"/>
      <c r="AF574" s="256" t="n"/>
      <c r="AG574" s="256" t="n"/>
      <c r="AH574" s="256">
        <f>IFERROR(IFERROR(V574,0)+IFERROR(AC574,0)+IFERROR(AD574,0)+IFERROR(AE574,0)+IFERROR(AF574,0)+IFERROR(AG574,0),0)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IFERROR(H575+IFERROR(I575,0)+T575+IFERROR(AH575,0),0)</f>
        <v/>
      </c>
      <c r="V575" s="256" t="n"/>
      <c r="W575" s="257" t="n"/>
      <c r="X575" s="256" t="n"/>
      <c r="Y575" s="258" t="n"/>
      <c r="Z575" s="259" t="n"/>
      <c r="AA575" s="259" t="n"/>
      <c r="AB575" s="258" t="n"/>
      <c r="AC575" s="256" t="n"/>
      <c r="AD575" s="256" t="n"/>
      <c r="AE575" s="256" t="n"/>
      <c r="AF575" s="256" t="n"/>
      <c r="AG575" s="256" t="n"/>
      <c r="AH575" s="256">
        <f>IFERROR(IFERROR(V575,0)+IFERROR(AC575,0)+IFERROR(AD575,0)+IFERROR(AE575,0)+IFERROR(AF575,0)+IFERROR(AG575,0),0)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IFERROR(H576+IFERROR(I576,0)+T576+IFERROR(AH576,0),0)</f>
        <v/>
      </c>
      <c r="V576" s="256" t="n"/>
      <c r="W576" s="257" t="n"/>
      <c r="X576" s="256" t="n"/>
      <c r="Y576" s="258" t="n"/>
      <c r="Z576" s="259" t="n"/>
      <c r="AA576" s="259" t="n"/>
      <c r="AB576" s="258" t="n"/>
      <c r="AC576" s="256" t="n"/>
      <c r="AD576" s="256" t="n"/>
      <c r="AE576" s="256" t="n"/>
      <c r="AF576" s="256" t="n"/>
      <c r="AG576" s="256" t="n"/>
      <c r="AH576" s="256">
        <f>IFERROR(IFERROR(V576,0)+IFERROR(AC576,0)+IFERROR(AD576,0)+IFERROR(AE576,0)+IFERROR(AF576,0)+IFERROR(AG576,0),0)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IFERROR(H577+IFERROR(I577,0)+T577+IFERROR(AH577,0),0)</f>
        <v/>
      </c>
      <c r="V577" s="256" t="n"/>
      <c r="W577" s="257" t="n"/>
      <c r="X577" s="256" t="n"/>
      <c r="Y577" s="258" t="n"/>
      <c r="Z577" s="259" t="n"/>
      <c r="AA577" s="259" t="n"/>
      <c r="AB577" s="258" t="n"/>
      <c r="AC577" s="256" t="n"/>
      <c r="AD577" s="256" t="n"/>
      <c r="AE577" s="256" t="n"/>
      <c r="AF577" s="256" t="n"/>
      <c r="AG577" s="256" t="n"/>
      <c r="AH577" s="256">
        <f>IFERROR(IFERROR(V577,0)+IFERROR(AC577,0)+IFERROR(AD577,0)+IFERROR(AE577,0)+IFERROR(AF577,0)+IFERROR(AG577,0),0)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IFERROR(H578+IFERROR(I578,0)+T578+IFERROR(AH578,0),0)</f>
        <v/>
      </c>
      <c r="V578" s="256" t="n"/>
      <c r="W578" s="257" t="n"/>
      <c r="X578" s="256" t="n"/>
      <c r="Y578" s="258" t="n"/>
      <c r="Z578" s="259" t="n"/>
      <c r="AA578" s="259" t="n"/>
      <c r="AB578" s="258" t="n"/>
      <c r="AC578" s="256" t="n"/>
      <c r="AD578" s="256" t="n"/>
      <c r="AE578" s="256" t="n"/>
      <c r="AF578" s="256" t="n"/>
      <c r="AG578" s="256" t="n"/>
      <c r="AH578" s="256">
        <f>IFERROR(IFERROR(V578,0)+IFERROR(AC578,0)+IFERROR(AD578,0)+IFERROR(AE578,0)+IFERROR(AF578,0)+IFERROR(AG578,0),0)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IFERROR(H579+IFERROR(I579,0)+T579+IFERROR(AH579,0),0)</f>
        <v/>
      </c>
      <c r="V579" s="256" t="n"/>
      <c r="W579" s="257" t="n"/>
      <c r="X579" s="256" t="n"/>
      <c r="Y579" s="258" t="n"/>
      <c r="Z579" s="259" t="n"/>
      <c r="AA579" s="259" t="n"/>
      <c r="AB579" s="258" t="n"/>
      <c r="AC579" s="256" t="n"/>
      <c r="AD579" s="256" t="n"/>
      <c r="AE579" s="256" t="n"/>
      <c r="AF579" s="256" t="n"/>
      <c r="AG579" s="256" t="n"/>
      <c r="AH579" s="256">
        <f>IFERROR(IFERROR(V579,0)+IFERROR(AC579,0)+IFERROR(AD579,0)+IFERROR(AE579,0)+IFERROR(AF579,0)+IFERROR(AG579,0),0)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IFERROR(H580+IFERROR(I580,0)+T580+IFERROR(AH580,0),0)</f>
        <v/>
      </c>
      <c r="V580" s="256" t="n"/>
      <c r="W580" s="257" t="n"/>
      <c r="X580" s="256" t="n"/>
      <c r="Y580" s="258" t="n"/>
      <c r="Z580" s="259" t="n"/>
      <c r="AA580" s="259" t="n"/>
      <c r="AB580" s="258" t="n"/>
      <c r="AC580" s="256" t="n"/>
      <c r="AD580" s="256" t="n"/>
      <c r="AE580" s="256" t="n"/>
      <c r="AF580" s="256" t="n"/>
      <c r="AG580" s="256" t="n"/>
      <c r="AH580" s="256">
        <f>IFERROR(IFERROR(V580,0)+IFERROR(AC580,0)+IFERROR(AD580,0)+IFERROR(AE580,0)+IFERROR(AF580,0)+IFERROR(AG580,0),0)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IFERROR(H581+IFERROR(I581,0)+T581+IFERROR(AH581,0),0)</f>
        <v/>
      </c>
      <c r="V581" s="256" t="n"/>
      <c r="W581" s="257" t="n"/>
      <c r="X581" s="256" t="n"/>
      <c r="Y581" s="258" t="n"/>
      <c r="Z581" s="259" t="n"/>
      <c r="AA581" s="259" t="n"/>
      <c r="AB581" s="258" t="n"/>
      <c r="AC581" s="256" t="n"/>
      <c r="AD581" s="256" t="n"/>
      <c r="AE581" s="256" t="n"/>
      <c r="AF581" s="256" t="n"/>
      <c r="AG581" s="256" t="n"/>
      <c r="AH581" s="256">
        <f>IFERROR(IFERROR(V581,0)+IFERROR(AC581,0)+IFERROR(AD581,0)+IFERROR(AE581,0)+IFERROR(AF581,0)+IFERROR(AG581,0),0)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IFERROR(H582+IFERROR(I582,0)+T582+IFERROR(AH582,0),0)</f>
        <v/>
      </c>
      <c r="V582" s="256" t="n"/>
      <c r="W582" s="257" t="n"/>
      <c r="X582" s="256" t="n"/>
      <c r="Y582" s="258" t="n"/>
      <c r="Z582" s="259" t="n"/>
      <c r="AA582" s="259" t="n"/>
      <c r="AB582" s="258" t="n"/>
      <c r="AC582" s="256" t="n"/>
      <c r="AD582" s="256" t="n"/>
      <c r="AE582" s="256" t="n"/>
      <c r="AF582" s="256" t="n"/>
      <c r="AG582" s="256" t="n"/>
      <c r="AH582" s="256">
        <f>IFERROR(IFERROR(V582,0)+IFERROR(AC582,0)+IFERROR(AD582,0)+IFERROR(AE582,0)+IFERROR(AF582,0)+IFERROR(AG582,0),0)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IFERROR(H583+IFERROR(I583,0)+T583+IFERROR(AH583,0),0)</f>
        <v/>
      </c>
      <c r="V583" s="256" t="n"/>
      <c r="W583" s="257" t="n"/>
      <c r="X583" s="256" t="n"/>
      <c r="Y583" s="258" t="n"/>
      <c r="Z583" s="259" t="n"/>
      <c r="AA583" s="259" t="n"/>
      <c r="AB583" s="258" t="n"/>
      <c r="AC583" s="256" t="n"/>
      <c r="AD583" s="256" t="n"/>
      <c r="AE583" s="256" t="n"/>
      <c r="AF583" s="256" t="n"/>
      <c r="AG583" s="256" t="n"/>
      <c r="AH583" s="256">
        <f>IFERROR(IFERROR(V583,0)+IFERROR(AC583,0)+IFERROR(AD583,0)+IFERROR(AE583,0)+IFERROR(AF583,0)+IFERROR(AG583,0),0)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IFERROR(H584+IFERROR(I584,0)+T584+IFERROR(AH584,0),0)</f>
        <v/>
      </c>
      <c r="V584" s="256" t="n"/>
      <c r="W584" s="257" t="n"/>
      <c r="X584" s="256" t="n"/>
      <c r="Y584" s="258" t="n"/>
      <c r="Z584" s="259" t="n"/>
      <c r="AA584" s="259" t="n"/>
      <c r="AB584" s="258" t="n"/>
      <c r="AC584" s="256" t="n"/>
      <c r="AD584" s="256" t="n"/>
      <c r="AE584" s="256" t="n"/>
      <c r="AF584" s="256" t="n"/>
      <c r="AG584" s="256" t="n"/>
      <c r="AH584" s="256">
        <f>IFERROR(IFERROR(V584,0)+IFERROR(AC584,0)+IFERROR(AD584,0)+IFERROR(AE584,0)+IFERROR(AF584,0)+IFERROR(AG584,0),0)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IFERROR(H585+IFERROR(I585,0)+T585+IFERROR(AH585,0),0)</f>
        <v/>
      </c>
      <c r="V585" s="256" t="n"/>
      <c r="W585" s="257" t="n"/>
      <c r="X585" s="256" t="n"/>
      <c r="Y585" s="258" t="n"/>
      <c r="Z585" s="259" t="n"/>
      <c r="AA585" s="259" t="n"/>
      <c r="AB585" s="258" t="n"/>
      <c r="AC585" s="256" t="n"/>
      <c r="AD585" s="256" t="n"/>
      <c r="AE585" s="256" t="n"/>
      <c r="AF585" s="256" t="n"/>
      <c r="AG585" s="256" t="n"/>
      <c r="AH585" s="256">
        <f>IFERROR(IFERROR(V585,0)+IFERROR(AC585,0)+IFERROR(AD585,0)+IFERROR(AE585,0)+IFERROR(AF585,0)+IFERROR(AG585,0),0)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IFERROR(H586+IFERROR(I586,0)+T586+IFERROR(AH586,0),0)</f>
        <v/>
      </c>
      <c r="V586" s="256" t="n"/>
      <c r="W586" s="257" t="n"/>
      <c r="X586" s="256" t="n"/>
      <c r="Y586" s="258" t="n"/>
      <c r="Z586" s="259" t="n"/>
      <c r="AA586" s="259" t="n"/>
      <c r="AB586" s="258" t="n"/>
      <c r="AC586" s="256" t="n"/>
      <c r="AD586" s="256" t="n"/>
      <c r="AE586" s="256" t="n"/>
      <c r="AF586" s="256" t="n"/>
      <c r="AG586" s="256" t="n"/>
      <c r="AH586" s="256">
        <f>IFERROR(IFERROR(V586,0)+IFERROR(AC586,0)+IFERROR(AD586,0)+IFERROR(AE586,0)+IFERROR(AF586,0)+IFERROR(AG586,0),0)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IFERROR(H587+IFERROR(I587,0)+T587+IFERROR(AH587,0),0)</f>
        <v/>
      </c>
      <c r="V587" s="256" t="n"/>
      <c r="W587" s="257" t="n"/>
      <c r="X587" s="256" t="n"/>
      <c r="Y587" s="258" t="n"/>
      <c r="Z587" s="259" t="n"/>
      <c r="AA587" s="259" t="n"/>
      <c r="AB587" s="258" t="n"/>
      <c r="AC587" s="256" t="n"/>
      <c r="AD587" s="256" t="n"/>
      <c r="AE587" s="256" t="n"/>
      <c r="AF587" s="256" t="n"/>
      <c r="AG587" s="256" t="n"/>
      <c r="AH587" s="256">
        <f>IFERROR(IFERROR(V587,0)+IFERROR(AC587,0)+IFERROR(AD587,0)+IFERROR(AE587,0)+IFERROR(AF587,0)+IFERROR(AG587,0),0)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IFERROR(H588+IFERROR(I588,0)+T588+IFERROR(AH588,0),0)</f>
        <v/>
      </c>
      <c r="V588" s="256" t="n"/>
      <c r="W588" s="257" t="n"/>
      <c r="X588" s="256" t="n"/>
      <c r="Y588" s="258" t="n"/>
      <c r="Z588" s="259" t="n"/>
      <c r="AA588" s="259" t="n"/>
      <c r="AB588" s="258" t="n"/>
      <c r="AC588" s="256" t="n"/>
      <c r="AD588" s="256" t="n"/>
      <c r="AE588" s="256" t="n"/>
      <c r="AF588" s="256" t="n"/>
      <c r="AG588" s="256" t="n"/>
      <c r="AH588" s="256">
        <f>IFERROR(IFERROR(V588,0)+IFERROR(AC588,0)+IFERROR(AD588,0)+IFERROR(AE588,0)+IFERROR(AF588,0)+IFERROR(AG588,0),0)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IFERROR(H589+IFERROR(I589,0)+T589+IFERROR(AH589,0),0)</f>
        <v/>
      </c>
      <c r="V589" s="256" t="n"/>
      <c r="W589" s="257" t="n"/>
      <c r="X589" s="256" t="n"/>
      <c r="Y589" s="258" t="n"/>
      <c r="Z589" s="259" t="n"/>
      <c r="AA589" s="259" t="n"/>
      <c r="AB589" s="258" t="n"/>
      <c r="AC589" s="256" t="n"/>
      <c r="AD589" s="256" t="n"/>
      <c r="AE589" s="256" t="n"/>
      <c r="AF589" s="256" t="n"/>
      <c r="AG589" s="256" t="n"/>
      <c r="AH589" s="256">
        <f>IFERROR(IFERROR(V589,0)+IFERROR(AC589,0)+IFERROR(AD589,0)+IFERROR(AE589,0)+IFERROR(AF589,0)+IFERROR(AG589,0),0)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IFERROR(H590+IFERROR(I590,0)+T590+IFERROR(AH590,0),0)</f>
        <v/>
      </c>
      <c r="V590" s="256" t="n"/>
      <c r="W590" s="257" t="n"/>
      <c r="X590" s="256" t="n"/>
      <c r="Y590" s="258" t="n"/>
      <c r="Z590" s="259" t="n"/>
      <c r="AA590" s="259" t="n"/>
      <c r="AB590" s="258" t="n"/>
      <c r="AC590" s="256" t="n"/>
      <c r="AD590" s="256" t="n"/>
      <c r="AE590" s="256" t="n"/>
      <c r="AF590" s="256" t="n"/>
      <c r="AG590" s="256" t="n"/>
      <c r="AH590" s="256">
        <f>IFERROR(IFERROR(V590,0)+IFERROR(AC590,0)+IFERROR(AD590,0)+IFERROR(AE590,0)+IFERROR(AF590,0)+IFERROR(AG590,0),0)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IFERROR(H591+IFERROR(I591,0)+T591+IFERROR(AH591,0),0)</f>
        <v/>
      </c>
      <c r="V591" s="256" t="n"/>
      <c r="W591" s="257" t="n"/>
      <c r="X591" s="256" t="n"/>
      <c r="Y591" s="258" t="n"/>
      <c r="Z591" s="259" t="n"/>
      <c r="AA591" s="259" t="n"/>
      <c r="AB591" s="258" t="n"/>
      <c r="AC591" s="256" t="n"/>
      <c r="AD591" s="256" t="n"/>
      <c r="AE591" s="256" t="n"/>
      <c r="AF591" s="256" t="n"/>
      <c r="AG591" s="256" t="n"/>
      <c r="AH591" s="256">
        <f>IFERROR(IFERROR(V591,0)+IFERROR(AC591,0)+IFERROR(AD591,0)+IFERROR(AE591,0)+IFERROR(AF591,0)+IFERROR(AG591,0),0)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IFERROR(H592+IFERROR(I592,0)+T592+IFERROR(AH592,0),0)</f>
        <v/>
      </c>
      <c r="V592" s="256" t="n"/>
      <c r="W592" s="257" t="n"/>
      <c r="X592" s="256" t="n"/>
      <c r="Y592" s="258" t="n"/>
      <c r="Z592" s="259" t="n"/>
      <c r="AA592" s="259" t="n"/>
      <c r="AB592" s="258" t="n"/>
      <c r="AC592" s="256" t="n"/>
      <c r="AD592" s="256" t="n"/>
      <c r="AE592" s="256" t="n"/>
      <c r="AF592" s="256" t="n"/>
      <c r="AG592" s="256" t="n"/>
      <c r="AH592" s="256">
        <f>IFERROR(IFERROR(V592,0)+IFERROR(AC592,0)+IFERROR(AD592,0)+IFERROR(AE592,0)+IFERROR(AF592,0)+IFERROR(AG592,0),0)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IFERROR(H593+IFERROR(I593,0)+T593+IFERROR(AH593,0),0)</f>
        <v/>
      </c>
      <c r="V593" s="256" t="n"/>
      <c r="W593" s="257" t="n"/>
      <c r="X593" s="256" t="n"/>
      <c r="Y593" s="258" t="n"/>
      <c r="Z593" s="259" t="n"/>
      <c r="AA593" s="259" t="n"/>
      <c r="AB593" s="258" t="n"/>
      <c r="AC593" s="256" t="n"/>
      <c r="AD593" s="256" t="n"/>
      <c r="AE593" s="256" t="n"/>
      <c r="AF593" s="256" t="n"/>
      <c r="AG593" s="256" t="n"/>
      <c r="AH593" s="256">
        <f>IFERROR(IFERROR(V593,0)+IFERROR(AC593,0)+IFERROR(AD593,0)+IFERROR(AE593,0)+IFERROR(AF593,0)+IFERROR(AG593,0),0)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IFERROR(H594+IFERROR(I594,0)+T594+IFERROR(AH594,0),0)</f>
        <v/>
      </c>
      <c r="V594" s="256" t="n"/>
      <c r="W594" s="257" t="n"/>
      <c r="X594" s="256" t="n"/>
      <c r="Y594" s="258" t="n"/>
      <c r="Z594" s="259" t="n"/>
      <c r="AA594" s="259" t="n"/>
      <c r="AB594" s="258" t="n"/>
      <c r="AC594" s="256" t="n"/>
      <c r="AD594" s="256" t="n"/>
      <c r="AE594" s="256" t="n"/>
      <c r="AF594" s="256" t="n"/>
      <c r="AG594" s="256" t="n"/>
      <c r="AH594" s="256">
        <f>IFERROR(IFERROR(V594,0)+IFERROR(AC594,0)+IFERROR(AD594,0)+IFERROR(AE594,0)+IFERROR(AF594,0)+IFERROR(AG594,0),0)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IFERROR(H595+IFERROR(I595,0)+T595+IFERROR(AH595,0),0)</f>
        <v/>
      </c>
      <c r="V595" s="256" t="n"/>
      <c r="W595" s="257" t="n"/>
      <c r="X595" s="256" t="n"/>
      <c r="Y595" s="258" t="n"/>
      <c r="Z595" s="259" t="n"/>
      <c r="AA595" s="259" t="n"/>
      <c r="AB595" s="258" t="n"/>
      <c r="AC595" s="256" t="n"/>
      <c r="AD595" s="256" t="n"/>
      <c r="AE595" s="256" t="n"/>
      <c r="AF595" s="256" t="n"/>
      <c r="AG595" s="256" t="n"/>
      <c r="AH595" s="256">
        <f>IFERROR(IFERROR(V595,0)+IFERROR(AC595,0)+IFERROR(AD595,0)+IFERROR(AE595,0)+IFERROR(AF595,0)+IFERROR(AG595,0),0)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IFERROR(H596+IFERROR(I596,0)+T596+IFERROR(AH596,0),0)</f>
        <v/>
      </c>
      <c r="V596" s="256" t="n"/>
      <c r="W596" s="257" t="n"/>
      <c r="X596" s="256" t="n"/>
      <c r="Y596" s="258" t="n"/>
      <c r="Z596" s="259" t="n"/>
      <c r="AA596" s="259" t="n"/>
      <c r="AB596" s="258" t="n"/>
      <c r="AC596" s="256" t="n"/>
      <c r="AD596" s="256" t="n"/>
      <c r="AE596" s="256" t="n"/>
      <c r="AF596" s="256" t="n"/>
      <c r="AG596" s="256" t="n"/>
      <c r="AH596" s="256">
        <f>IFERROR(IFERROR(V596,0)+IFERROR(AC596,0)+IFERROR(AD596,0)+IFERROR(AE596,0)+IFERROR(AF596,0)+IFERROR(AG596,0),0)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IFERROR(H597+IFERROR(I597,0)+T597+IFERROR(AH597,0),0)</f>
        <v/>
      </c>
      <c r="V597" s="256" t="n"/>
      <c r="W597" s="257" t="n"/>
      <c r="X597" s="256" t="n"/>
      <c r="Y597" s="258" t="n"/>
      <c r="Z597" s="259" t="n"/>
      <c r="AA597" s="259" t="n"/>
      <c r="AB597" s="258" t="n"/>
      <c r="AC597" s="256" t="n"/>
      <c r="AD597" s="256" t="n"/>
      <c r="AE597" s="256" t="n"/>
      <c r="AF597" s="256" t="n"/>
      <c r="AG597" s="256" t="n"/>
      <c r="AH597" s="256">
        <f>IFERROR(IFERROR(V597,0)+IFERROR(AC597,0)+IFERROR(AD597,0)+IFERROR(AE597,0)+IFERROR(AF597,0)+IFERROR(AG597,0),0)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IFERROR(H598+IFERROR(I598,0)+T598+IFERROR(AH598,0),0)</f>
        <v/>
      </c>
      <c r="V598" s="256" t="n"/>
      <c r="W598" s="257" t="n"/>
      <c r="X598" s="256" t="n"/>
      <c r="Y598" s="258" t="n"/>
      <c r="Z598" s="259" t="n"/>
      <c r="AA598" s="259" t="n"/>
      <c r="AB598" s="258" t="n"/>
      <c r="AC598" s="256" t="n"/>
      <c r="AD598" s="256" t="n"/>
      <c r="AE598" s="256" t="n"/>
      <c r="AF598" s="256" t="n"/>
      <c r="AG598" s="256" t="n"/>
      <c r="AH598" s="256">
        <f>IFERROR(IFERROR(V598,0)+IFERROR(AC598,0)+IFERROR(AD598,0)+IFERROR(AE598,0)+IFERROR(AF598,0)+IFERROR(AG598,0),0)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IFERROR(H599+IFERROR(I599,0)+T599+IFERROR(AH599,0),0)</f>
        <v/>
      </c>
      <c r="V599" s="256" t="n"/>
      <c r="W599" s="257" t="n"/>
      <c r="X599" s="256" t="n"/>
      <c r="Y599" s="258" t="n"/>
      <c r="Z599" s="259" t="n"/>
      <c r="AA599" s="259" t="n"/>
      <c r="AB599" s="258" t="n"/>
      <c r="AC599" s="256" t="n"/>
      <c r="AD599" s="256" t="n"/>
      <c r="AE599" s="256" t="n"/>
      <c r="AF599" s="256" t="n"/>
      <c r="AG599" s="256" t="n"/>
      <c r="AH599" s="256">
        <f>IFERROR(IFERROR(V599,0)+IFERROR(AC599,0)+IFERROR(AD599,0)+IFERROR(AE599,0)+IFERROR(AF599,0)+IFERROR(AG599,0),0)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IFERROR(H600+IFERROR(I600,0)+T600+IFERROR(AH600,0),0)</f>
        <v/>
      </c>
      <c r="V600" s="256" t="n"/>
      <c r="W600" s="257" t="n"/>
      <c r="X600" s="256" t="n"/>
      <c r="Y600" s="258" t="n"/>
      <c r="Z600" s="259" t="n"/>
      <c r="AA600" s="259" t="n"/>
      <c r="AB600" s="258" t="n"/>
      <c r="AC600" s="256" t="n"/>
      <c r="AD600" s="256" t="n"/>
      <c r="AE600" s="256" t="n"/>
      <c r="AF600" s="256" t="n"/>
      <c r="AG600" s="256" t="n"/>
      <c r="AH600" s="256">
        <f>IFERROR(IFERROR(V600,0)+IFERROR(AC600,0)+IFERROR(AD600,0)+IFERROR(AE600,0)+IFERROR(AF600,0)+IFERROR(AG600,0),0)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IFERROR(H601+IFERROR(I601,0)+T601+IFERROR(AH601,0),0)</f>
        <v/>
      </c>
      <c r="V601" s="256" t="n"/>
      <c r="W601" s="257" t="n"/>
      <c r="X601" s="256" t="n"/>
      <c r="Y601" s="258" t="n"/>
      <c r="Z601" s="259" t="n"/>
      <c r="AA601" s="259" t="n"/>
      <c r="AB601" s="258" t="n"/>
      <c r="AC601" s="256" t="n"/>
      <c r="AD601" s="256" t="n"/>
      <c r="AE601" s="256" t="n"/>
      <c r="AF601" s="256" t="n"/>
      <c r="AG601" s="256" t="n"/>
      <c r="AH601" s="256">
        <f>IFERROR(IFERROR(V601,0)+IFERROR(AC601,0)+IFERROR(AD601,0)+IFERROR(AE601,0)+IFERROR(AF601,0)+IFERROR(AG601,0),0)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IFERROR(H602+IFERROR(I602,0)+T602+IFERROR(AH602,0),0)</f>
        <v/>
      </c>
      <c r="V602" s="256" t="n"/>
      <c r="W602" s="257" t="n"/>
      <c r="X602" s="256" t="n"/>
      <c r="Y602" s="258" t="n"/>
      <c r="Z602" s="259" t="n"/>
      <c r="AA602" s="259" t="n"/>
      <c r="AB602" s="258" t="n"/>
      <c r="AC602" s="256" t="n"/>
      <c r="AD602" s="256" t="n"/>
      <c r="AE602" s="256" t="n"/>
      <c r="AF602" s="256" t="n"/>
      <c r="AG602" s="256" t="n"/>
      <c r="AH602" s="256">
        <f>IFERROR(IFERROR(V602,0)+IFERROR(AC602,0)+IFERROR(AD602,0)+IFERROR(AE602,0)+IFERROR(AF602,0)+IFERROR(AG602,0),0)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IFERROR(H603+IFERROR(I603,0)+T603+IFERROR(AH603,0),0)</f>
        <v/>
      </c>
      <c r="V603" s="256" t="n"/>
      <c r="W603" s="257" t="n"/>
      <c r="X603" s="256" t="n"/>
      <c r="Y603" s="258" t="n"/>
      <c r="Z603" s="259" t="n"/>
      <c r="AA603" s="259" t="n"/>
      <c r="AB603" s="258" t="n"/>
      <c r="AC603" s="256" t="n"/>
      <c r="AD603" s="256" t="n"/>
      <c r="AE603" s="256" t="n"/>
      <c r="AF603" s="256" t="n"/>
      <c r="AG603" s="256" t="n"/>
      <c r="AH603" s="256">
        <f>IFERROR(IFERROR(V603,0)+IFERROR(AC603,0)+IFERROR(AD603,0)+IFERROR(AE603,0)+IFERROR(AF603,0)+IFERROR(AG603,0),0)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IFERROR(H604+IFERROR(I604,0)+T604+IFERROR(AH604,0),0)</f>
        <v/>
      </c>
      <c r="V604" s="256" t="n"/>
      <c r="W604" s="257" t="n"/>
      <c r="X604" s="256" t="n"/>
      <c r="Y604" s="258" t="n"/>
      <c r="Z604" s="259" t="n"/>
      <c r="AA604" s="259" t="n"/>
      <c r="AB604" s="258" t="n"/>
      <c r="AC604" s="256" t="n"/>
      <c r="AD604" s="256" t="n"/>
      <c r="AE604" s="256" t="n"/>
      <c r="AF604" s="256" t="n"/>
      <c r="AG604" s="256" t="n"/>
      <c r="AH604" s="256">
        <f>IFERROR(IFERROR(V604,0)+IFERROR(AC604,0)+IFERROR(AD604,0)+IFERROR(AE604,0)+IFERROR(AF604,0)+IFERROR(AG604,0),0)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IFERROR(H605+IFERROR(I605,0)+T605+IFERROR(AH605,0),0)</f>
        <v/>
      </c>
      <c r="V605" s="256" t="n"/>
      <c r="W605" s="257" t="n"/>
      <c r="X605" s="256" t="n"/>
      <c r="Y605" s="258" t="n"/>
      <c r="Z605" s="259" t="n"/>
      <c r="AA605" s="259" t="n"/>
      <c r="AB605" s="258" t="n"/>
      <c r="AC605" s="256" t="n"/>
      <c r="AD605" s="256" t="n"/>
      <c r="AE605" s="256" t="n"/>
      <c r="AF605" s="256" t="n"/>
      <c r="AG605" s="256" t="n"/>
      <c r="AH605" s="256">
        <f>IFERROR(IFERROR(V605,0)+IFERROR(AC605,0)+IFERROR(AD605,0)+IFERROR(AE605,0)+IFERROR(AF605,0)+IFERROR(AG605,0),0)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IFERROR(H606+IFERROR(I606,0)+T606+IFERROR(AH606,0),0)</f>
        <v/>
      </c>
      <c r="V606" s="256" t="n"/>
      <c r="W606" s="257" t="n"/>
      <c r="X606" s="256" t="n"/>
      <c r="Y606" s="258" t="n"/>
      <c r="Z606" s="259" t="n"/>
      <c r="AA606" s="259" t="n"/>
      <c r="AB606" s="258" t="n"/>
      <c r="AC606" s="256" t="n"/>
      <c r="AD606" s="256" t="n"/>
      <c r="AE606" s="256" t="n"/>
      <c r="AF606" s="256" t="n"/>
      <c r="AG606" s="256" t="n"/>
      <c r="AH606" s="256">
        <f>IFERROR(IFERROR(V606,0)+IFERROR(AC606,0)+IFERROR(AD606,0)+IFERROR(AE606,0)+IFERROR(AF606,0)+IFERROR(AG606,0),0)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v0.2.4</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Potential Rent / mo  (Market × all units)</t>
        </is>
      </c>
      <c r="B16" s="120">
        <f>IFERROR(SUMIFS('Rent Roll Input'!$G$7:$G$606,'Rent Roll Input'!$S$7:$S$606,'Rent Roll Recon'!$B$2,'Rent Roll Input'!$D$7:$D$606,"IL"),0)</f>
        <v/>
      </c>
      <c r="C16" s="120">
        <f>IFERROR(SUMIFS('Rent Roll Input'!$G$7:$G$606,'Rent Roll Input'!$S$7:$S$606,'Rent Roll Recon'!$B$2,'Rent Roll Input'!$D$7:$D$606,"AL"),0)</f>
        <v/>
      </c>
      <c r="D16" s="120">
        <f>IFERROR(SUMIFS('Rent Roll Input'!$G$7:$G$606,'Rent Roll Input'!$S$7:$S$606,'Rent Roll Recon'!$B$2,'Rent Roll Input'!$D$7:$D$606,"MC"),0)</f>
        <v/>
      </c>
      <c r="E16" s="121">
        <f>SUM(B16:D16)</f>
        <v/>
      </c>
      <c r="F16" s="200" t="n"/>
      <c r="G16" s="200" t="n"/>
      <c r="H16" s="119" t="inlineStr">
        <is>
          <t>Gross Potential Rent — Market Rate × all units at 100% occupancy. Excludes concessions &amp; vacancy loss. Row 16 − Row 17 = vacancy + market-vs-actual gap.</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IF($B$67=0,"",IFERROR(SUMIFS('Rent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IF($B$67=0,"",IFERROR(SUMIFS('Rent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IF($B$67=0,"",IFERROR(SUMIFS('Rent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IF($B$67=0,"",IFERROR(SUMIFS('Rent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IF($B$67=0,"",IFERROR(SUMIFS('Rent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IF($B$67=0,"",IFERROR(SUMIFS('Rent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IF($B$67=0,"",IFERROR(SUMIFS('Rent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IF($B$67=0,"",IFERROR(SUMIFS('Rent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c r="I87" s="226" t="inlineStr">
        <is>
          <t>Avg Actual
PSF</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c r="I88" s="242">
        <f>IFERROR(AVERAGEIFS('Rent Roll Input'!$AA$7:$AA$606,'Rent Roll Input'!$S$7:$S$606,'Rent Roll Recon'!$B$2,'Rent Roll Input'!$E$7:$E$606,"&lt;&gt;Vacant",'Rent Roll Input'!$E$7:$E$606,"&lt;&gt;Eviction",'Rent Roll Input'!$D$7:$D$606,"IL",'Rent Roll Input'!$F$7:$F$606,"Studio"),"-")</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c r="I89" s="242">
        <f>IFERROR(AVERAGEIFS('Rent Roll Input'!$AA$7:$AA$606,'Rent Roll Input'!$S$7:$S$606,'Rent Roll Recon'!$B$2,'Rent Roll Input'!$E$7:$E$606,"&lt;&gt;Vacant",'Rent Roll Input'!$E$7:$E$606,"&lt;&gt;Eviction",'Rent Roll Input'!$D$7:$D$606,"IL",'Rent Roll Input'!$F$7:$F$606,"1 Bedroom"),"-")</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c r="I90" s="242">
        <f>IFERROR(AVERAGEIFS('Rent Roll Input'!$AA$7:$AA$606,'Rent Roll Input'!$S$7:$S$606,'Rent Roll Recon'!$B$2,'Rent Roll Input'!$E$7:$E$606,"&lt;&gt;Vacant",'Rent Roll Input'!$E$7:$E$606,"&lt;&gt;Eviction",'Rent Roll Input'!$D$7:$D$606,"IL",'Rent Roll Input'!$F$7:$F$606,"2 Bedroom"),"-")</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c r="I91" s="242">
        <f>IFERROR(AVERAGEIFS('Rent Roll Input'!$AA$7:$AA$606,'Rent Roll Input'!$S$7:$S$606,'Rent Roll Recon'!$B$2,'Rent Roll Input'!$E$7:$E$606,"&lt;&gt;Vacant",'Rent Roll Input'!$E$7:$E$606,"&lt;&gt;Eviction",'Rent Roll Input'!$D$7:$D$606,"IL",'Rent Roll Input'!$F$7:$F$606,"Cottage / Villa"),"-")</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c r="I92" s="242">
        <f>IFERROR(AVERAGEIFS('Rent Roll Input'!$AA$7:$AA$606,'Rent Roll Input'!$S$7:$S$606,'Rent Roll Recon'!$B$2,'Rent Roll Input'!$E$7:$E$606,"&lt;&gt;Vacant",'Rent Roll Input'!$E$7:$E$606,"&lt;&gt;Eviction",'Rent Roll Input'!$D$7:$D$606,"IL",'Rent Roll Input'!$F$7:$F$606,"Other"),"-")</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c r="I93" s="242">
        <f>IFERROR(AVERAGEIFS('Rent Roll Input'!$AA$7:$AA$606,'Rent Roll Input'!$S$7:$S$606,'Rent Roll Recon'!$B$2,'Rent Roll Input'!$E$7:$E$606,"&lt;&gt;Vacant",'Rent Roll Input'!$E$7:$E$606,"&lt;&gt;Eviction",'Rent Roll Input'!$D$7:$D$606,"IL"),"-")</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s="262"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199">
      <c r="A119" s="224" t="inlineStr">
        <is>
          <t>M  ·  OPERATOR FEE SCHEDULE  &amp;  ANCILLARY RECONCILIATION</t>
        </is>
      </c>
    </row>
    <row r="121" ht="18" customHeight="1" s="199">
      <c r="A121" s="225" t="inlineStr">
        <is>
          <t>M1  —  Published schedule  (paste-in: published rates from broker)</t>
        </is>
      </c>
    </row>
    <row r="122">
      <c r="A122" s="226" t="inlineStr">
        <is>
          <t>Fee Name</t>
        </is>
      </c>
      <c r="B122" s="226" t="inlineStr">
        <is>
          <t>Published $</t>
        </is>
      </c>
      <c r="C122" s="226" t="inlineStr">
        <is>
          <t>Basis</t>
        </is>
      </c>
      <c r="D122" s="226" t="inlineStr">
        <is>
          <t>T12 Label</t>
        </is>
      </c>
      <c r="E122" s="226" t="inlineStr">
        <is>
          <t>RR Input Col</t>
        </is>
      </c>
    </row>
    <row r="123">
      <c r="A123" s="227" t="inlineStr">
        <is>
          <t>Community Fee</t>
        </is>
      </c>
      <c r="B123" s="228" t="n"/>
      <c r="C123" s="227" t="inlineStr">
        <is>
          <t>per unit</t>
        </is>
      </c>
      <c r="D123" s="227" t="inlineStr">
        <is>
          <t>Community / move-in fees</t>
        </is>
      </c>
      <c r="E123" s="238" t="inlineStr"/>
    </row>
    <row r="124">
      <c r="A124" s="227" t="inlineStr">
        <is>
          <t>Elective Transfer Fee</t>
        </is>
      </c>
      <c r="B124" s="228" t="n"/>
      <c r="C124" s="227" t="inlineStr">
        <is>
          <t>per move</t>
        </is>
      </c>
      <c r="D124" s="227" t="inlineStr">
        <is>
          <t>Transfer Fee Revenue</t>
        </is>
      </c>
      <c r="E124" s="238" t="inlineStr"/>
    </row>
    <row r="125">
      <c r="A125" s="227" t="inlineStr">
        <is>
          <t>Meal Delivery</t>
        </is>
      </c>
      <c r="B125" s="228" t="n"/>
      <c r="C125" s="227" t="inlineStr">
        <is>
          <t>per meal</t>
        </is>
      </c>
      <c r="D125" s="227" t="inlineStr">
        <is>
          <t>Meal Income</t>
        </is>
      </c>
      <c r="E125" s="238" t="inlineStr">
        <is>
          <t>AC</t>
        </is>
      </c>
    </row>
    <row r="126">
      <c r="A126" s="227" t="inlineStr">
        <is>
          <t>Motorized Scooter Fee</t>
        </is>
      </c>
      <c r="B126" s="228" t="n"/>
      <c r="C126" s="227" t="inlineStr">
        <is>
          <t>per month</t>
        </is>
      </c>
      <c r="D126" s="227" t="inlineStr">
        <is>
          <t>Scooter Fee Revenue</t>
        </is>
      </c>
      <c r="E126" s="238" t="inlineStr">
        <is>
          <t>AD</t>
        </is>
      </c>
    </row>
    <row r="127">
      <c r="A127" s="227" t="inlineStr">
        <is>
          <t>Second Person Fee</t>
        </is>
      </c>
      <c r="B127" s="228" t="n"/>
      <c r="C127" s="227" t="inlineStr">
        <is>
          <t>per month</t>
        </is>
      </c>
      <c r="D127" s="227" t="inlineStr">
        <is>
          <t>2nd Person Revenue</t>
        </is>
      </c>
      <c r="E127" s="238" t="inlineStr">
        <is>
          <t>V</t>
        </is>
      </c>
    </row>
    <row r="128">
      <c r="A128" s="227" t="inlineStr">
        <is>
          <t>Housekeeping</t>
        </is>
      </c>
      <c r="B128" s="228" t="n"/>
      <c r="C128" s="227" t="inlineStr">
        <is>
          <t>per visit</t>
        </is>
      </c>
      <c r="D128" s="227" t="inlineStr">
        <is>
          <t>Housekeeping Income</t>
        </is>
      </c>
      <c r="E128" s="238" t="inlineStr">
        <is>
          <t>AE</t>
        </is>
      </c>
    </row>
    <row r="129">
      <c r="A129" s="227" t="inlineStr">
        <is>
          <t>Laundry</t>
        </is>
      </c>
      <c r="B129" s="228" t="n"/>
      <c r="C129" s="227" t="inlineStr">
        <is>
          <t>per pickup</t>
        </is>
      </c>
      <c r="D129" s="227" t="inlineStr">
        <is>
          <t>Laundry Income</t>
        </is>
      </c>
      <c r="E129" s="238" t="inlineStr">
        <is>
          <t>AF</t>
        </is>
      </c>
    </row>
    <row r="130">
      <c r="A130" s="227" t="n"/>
      <c r="B130" s="228" t="n"/>
      <c r="C130" s="227" t="n"/>
      <c r="D130" s="227" t="n"/>
      <c r="E130" s="239" t="n"/>
    </row>
    <row r="131">
      <c r="A131" s="227" t="n"/>
      <c r="B131" s="228" t="n"/>
      <c r="C131" s="227" t="n"/>
      <c r="D131" s="227" t="n"/>
      <c r="E131" s="239" t="n"/>
    </row>
    <row r="133" ht="18" customHeight="1" s="199">
      <c r="A133" s="225" t="inlineStr">
        <is>
          <t>M2  —  RR-side capture  (auto, from Rent Roll Input)</t>
        </is>
      </c>
    </row>
    <row r="134">
      <c r="A134" s="226" t="inlineStr">
        <is>
          <t>Fee Name</t>
        </is>
      </c>
      <c r="B134" s="226" t="inlineStr">
        <is>
          <t>Eligible #</t>
        </is>
      </c>
      <c r="C134" s="226" t="inlineStr">
        <is>
          <t>Capturing #</t>
        </is>
      </c>
      <c r="D134" s="226" t="inlineStr">
        <is>
          <t>Capture %</t>
        </is>
      </c>
      <c r="E134" s="226" t="inlineStr">
        <is>
          <t>Note</t>
        </is>
      </c>
    </row>
    <row r="135">
      <c r="A135" s="229">
        <f>A123</f>
        <v/>
      </c>
      <c r="B135" s="231">
        <f>COUNTIFS('Rent Roll Input'!$E$7:$E$606,"Occupied",'Rent Roll Input'!$S$7:$S$606,$B$2)</f>
        <v/>
      </c>
      <c r="C135" s="231">
        <f>IF(TRIM(E123)="","—",COUNTIF(INDIRECT("'Rent Roll Input'!"&amp;E123&amp;"7:"&amp;E123&amp;"606"),"&gt;0"))</f>
        <v/>
      </c>
      <c r="D135" s="232">
        <f>IFERROR(C135/B135,"")</f>
        <v/>
      </c>
      <c r="E135" s="229">
        <f>IF(TRIM(E123)="","No per-fee RR column (event-based / not captured per-resident)","✓ Direct RR match (col "&amp;TRIM(E123)&amp;")")</f>
        <v/>
      </c>
    </row>
    <row r="136">
      <c r="A136" s="229">
        <f>A124</f>
        <v/>
      </c>
      <c r="B136" s="231">
        <f>COUNTIFS('Rent Roll Input'!$E$7:$E$606,"Occupied",'Rent Roll Input'!$S$7:$S$606,$B$2)</f>
        <v/>
      </c>
      <c r="C136" s="231">
        <f>IF(TRIM(E124)="","—",COUNTIF(INDIRECT("'Rent Roll Input'!"&amp;E124&amp;"7:"&amp;E124&amp;"606"),"&gt;0"))</f>
        <v/>
      </c>
      <c r="D136" s="232">
        <f>IFERROR(C136/B136,"")</f>
        <v/>
      </c>
      <c r="E136" s="229">
        <f>IF(TRIM(E124)="","No per-fee RR column (event-based / not captured per-resident)","✓ Direct RR match (col "&amp;TRIM(E124)&amp;")")</f>
        <v/>
      </c>
    </row>
    <row r="137">
      <c r="A137" s="229">
        <f>A125</f>
        <v/>
      </c>
      <c r="B137" s="231">
        <f>COUNTIFS('Rent Roll Input'!$E$7:$E$606,"Occupied",'Rent Roll Input'!$S$7:$S$606,$B$2)</f>
        <v/>
      </c>
      <c r="C137" s="231">
        <f>IF(TRIM(E125)="","—",COUNTIF(INDIRECT("'Rent Roll Input'!"&amp;E125&amp;"7:"&amp;E125&amp;"606"),"&gt;0"))</f>
        <v/>
      </c>
      <c r="D137" s="232">
        <f>IFERROR(C137/B137,"")</f>
        <v/>
      </c>
      <c r="E137" s="229">
        <f>IF(TRIM(E125)="","No per-fee RR column (event-based / not captured per-resident)","✓ Direct RR match (col "&amp;TRIM(E125)&amp;")")</f>
        <v/>
      </c>
    </row>
    <row r="138">
      <c r="A138" s="229">
        <f>A126</f>
        <v/>
      </c>
      <c r="B138" s="231">
        <f>COUNTIFS('Rent Roll Input'!$E$7:$E$606,"Occupied",'Rent Roll Input'!$S$7:$S$606,$B$2)</f>
        <v/>
      </c>
      <c r="C138" s="231">
        <f>IF(TRIM(E126)="","—",COUNTIF(INDIRECT("'Rent Roll Input'!"&amp;E126&amp;"7:"&amp;E126&amp;"606"),"&gt;0"))</f>
        <v/>
      </c>
      <c r="D138" s="232">
        <f>IFERROR(C138/B138,"")</f>
        <v/>
      </c>
      <c r="E138" s="229">
        <f>IF(TRIM(E126)="","No per-fee RR column (event-based / not captured per-resident)","✓ Direct RR match (col "&amp;TRIM(E126)&amp;")")</f>
        <v/>
      </c>
    </row>
    <row r="139">
      <c r="A139" s="229">
        <f>A127</f>
        <v/>
      </c>
      <c r="B139" s="231">
        <f>COUNTIFS('Rent Roll Input'!$E$7:$E$606,"Occupied",'Rent Roll Input'!$S$7:$S$606,$B$2)</f>
        <v/>
      </c>
      <c r="C139" s="231">
        <f>IF(TRIM(E127)="","—",COUNTIF(INDIRECT("'Rent Roll Input'!"&amp;E127&amp;"7:"&amp;E127&amp;"606"),"&gt;0"))</f>
        <v/>
      </c>
      <c r="D139" s="232">
        <f>IFERROR(C139/B139,"")</f>
        <v/>
      </c>
      <c r="E139" s="229">
        <f>IF(TRIM(E127)="","No per-fee RR column (event-based / not captured per-resident)","✓ Direct RR match (col "&amp;TRIM(E127)&amp;")")</f>
        <v/>
      </c>
    </row>
    <row r="140">
      <c r="A140" s="229">
        <f>A128</f>
        <v/>
      </c>
      <c r="B140" s="231">
        <f>COUNTIFS('Rent Roll Input'!$E$7:$E$606,"Occupied",'Rent Roll Input'!$S$7:$S$606,$B$2)</f>
        <v/>
      </c>
      <c r="C140" s="231">
        <f>IF(TRIM(E128)="","—",COUNTIF(INDIRECT("'Rent Roll Input'!"&amp;E128&amp;"7:"&amp;E128&amp;"606"),"&gt;0"))</f>
        <v/>
      </c>
      <c r="D140" s="232">
        <f>IFERROR(C140/B140,"")</f>
        <v/>
      </c>
      <c r="E140" s="229">
        <f>IF(TRIM(E128)="","No per-fee RR column (event-based / not captured per-resident)","✓ Direct RR match (col "&amp;TRIM(E128)&amp;")")</f>
        <v/>
      </c>
    </row>
    <row r="141">
      <c r="A141" s="229">
        <f>A129</f>
        <v/>
      </c>
      <c r="B141" s="231">
        <f>COUNTIFS('Rent Roll Input'!$E$7:$E$606,"Occupied",'Rent Roll Input'!$S$7:$S$606,$B$2)</f>
        <v/>
      </c>
      <c r="C141" s="231">
        <f>IF(TRIM(E129)="","—",COUNTIF(INDIRECT("'Rent Roll Input'!"&amp;E129&amp;"7:"&amp;E129&amp;"606"),"&gt;0"))</f>
        <v/>
      </c>
      <c r="D141" s="232">
        <f>IFERROR(C141/B141,"")</f>
        <v/>
      </c>
      <c r="E141" s="229">
        <f>IF(TRIM(E129)="","No per-fee RR column (event-based / not captured per-resident)","✓ Direct RR match (col "&amp;TRIM(E129)&amp;")")</f>
        <v/>
      </c>
    </row>
    <row r="142">
      <c r="A142" s="229">
        <f>A130</f>
        <v/>
      </c>
      <c r="B142" s="231">
        <f>COUNTIFS('Rent Roll Input'!$E$7:$E$606,"Occupied",'Rent Roll Input'!$S$7:$S$606,$B$2)</f>
        <v/>
      </c>
      <c r="C142" s="231">
        <f>IF(TRIM(E130)="","—",COUNTIF(INDIRECT("'Rent Roll Input'!"&amp;E130&amp;"7:"&amp;E130&amp;"606"),"&gt;0"))</f>
        <v/>
      </c>
      <c r="D142" s="232">
        <f>IFERROR(C142/B142,"")</f>
        <v/>
      </c>
      <c r="E142" s="229">
        <f>IF(TRIM(E130)="","No per-fee RR column (event-based / not captured per-resident)","✓ Direct RR match (col "&amp;TRIM(E130)&amp;")")</f>
        <v/>
      </c>
    </row>
    <row r="143">
      <c r="A143" s="229">
        <f>A131</f>
        <v/>
      </c>
      <c r="B143" s="231">
        <f>COUNTIFS('Rent Roll Input'!$E$7:$E$606,"Occupied",'Rent Roll Input'!$S$7:$S$606,$B$2)</f>
        <v/>
      </c>
      <c r="C143" s="231">
        <f>IF(TRIM(E131)="","—",COUNTIF(INDIRECT("'Rent Roll Input'!"&amp;E131&amp;"7:"&amp;E131&amp;"606"),"&gt;0"))</f>
        <v/>
      </c>
      <c r="D143" s="232">
        <f>IFERROR(C143/B143,"")</f>
        <v/>
      </c>
      <c r="E143" s="229">
        <f>IF(TRIM(E131)="","No per-fee RR column (event-based / not captured per-resident)","✓ Direct RR match (col "&amp;TRIM(E131)&amp;")")</f>
        <v/>
      </c>
    </row>
    <row r="145" ht="18" customHeight="1" s="199">
      <c r="A145" s="225" t="inlineStr">
        <is>
          <t>M3  —  T12 actuals  (12-month total + monthly avg, via VLOOKUP on M1 Label)</t>
        </is>
      </c>
    </row>
    <row r="146">
      <c r="A146" s="226" t="inlineStr">
        <is>
          <t>Fee Name</t>
        </is>
      </c>
      <c r="B146" s="226" t="inlineStr">
        <is>
          <t>T12 Annual $</t>
        </is>
      </c>
      <c r="C146" s="226" t="inlineStr">
        <is>
          <t>T12 Monthly $</t>
        </is>
      </c>
      <c r="D146" s="226" t="inlineStr">
        <is>
          <t>Mapped to Label</t>
        </is>
      </c>
      <c r="E146" s="226" t="inlineStr">
        <is>
          <t>Note</t>
        </is>
      </c>
    </row>
    <row r="147">
      <c r="A147" s="229">
        <f>A123</f>
        <v/>
      </c>
      <c r="B147" s="233">
        <f>IFERROR(VLOOKUP(D123, 'T12 Raw Data'!$B:$R, 17, 0), 0)</f>
        <v/>
      </c>
      <c r="C147" s="233">
        <f>IF(ISNUMBER(B147), B147/12, B147)</f>
        <v/>
      </c>
      <c r="D147" s="229">
        <f>D123</f>
        <v/>
      </c>
      <c r="E147" s="229">
        <f>IF(D123="","",IF(COUNTIF($D$123:$D$131, D123) &gt; 1, "⚠ Shared T12 Label — can't isolate per-fee", ""))</f>
        <v/>
      </c>
    </row>
    <row r="148">
      <c r="A148" s="229">
        <f>A124</f>
        <v/>
      </c>
      <c r="B148" s="233">
        <f>IF(COUNTIF($D$123:D123, D124) &gt; 0, "(shared — see row " &amp; MATCH(D124, $D$123:D123, 0) + 122 &amp; ")", IFERROR(VLOOKUP(D124, 'T12 Raw Data'!$B:$R, 17, 0), 0))</f>
        <v/>
      </c>
      <c r="C148" s="233">
        <f>IF(ISNUMBER(B148), B148/12, B148)</f>
        <v/>
      </c>
      <c r="D148" s="229">
        <f>D124</f>
        <v/>
      </c>
      <c r="E148" s="229">
        <f>IF(D124="","",IF(COUNTIF($D$123:$D$131, D124) &gt; 1, "⚠ Shared T12 Label — can't isolate per-fee", ""))</f>
        <v/>
      </c>
    </row>
    <row r="149">
      <c r="A149" s="229">
        <f>A125</f>
        <v/>
      </c>
      <c r="B149" s="233">
        <f>IF(COUNTIF($D$123:D124, D125) &gt; 0, "(shared — see row " &amp; MATCH(D125, $D$123:D124, 0) + 122 &amp; ")", IFERROR(VLOOKUP(D125, 'T12 Raw Data'!$B:$R, 17, 0), 0))</f>
        <v/>
      </c>
      <c r="C149" s="233">
        <f>IF(ISNUMBER(B149), B149/12, B149)</f>
        <v/>
      </c>
      <c r="D149" s="229">
        <f>D125</f>
        <v/>
      </c>
      <c r="E149" s="229">
        <f>IF(D125="","",IF(COUNTIF($D$123:$D$131, D125) &gt; 1, "⚠ Shared T12 Label — can't isolate per-fee", ""))</f>
        <v/>
      </c>
    </row>
    <row r="150">
      <c r="A150" s="229">
        <f>A126</f>
        <v/>
      </c>
      <c r="B150" s="233">
        <f>IF(COUNTIF($D$123:D125, D126) &gt; 0, "(shared — see row " &amp; MATCH(D126, $D$123:D125, 0) + 122 &amp; ")", IFERROR(VLOOKUP(D126, 'T12 Raw Data'!$B:$R, 17, 0), 0))</f>
        <v/>
      </c>
      <c r="C150" s="233">
        <f>IF(ISNUMBER(B150), B150/12, B150)</f>
        <v/>
      </c>
      <c r="D150" s="229">
        <f>D126</f>
        <v/>
      </c>
      <c r="E150" s="229">
        <f>IF(D126="","",IF(COUNTIF($D$123:$D$131, D126) &gt; 1, "⚠ Shared T12 Label — can't isolate per-fee", ""))</f>
        <v/>
      </c>
    </row>
    <row r="151">
      <c r="A151" s="229">
        <f>A127</f>
        <v/>
      </c>
      <c r="B151" s="233">
        <f>IF(COUNTIF($D$123:D126, D127) &gt; 0, "(shared — see row " &amp; MATCH(D127, $D$123:D126, 0) + 122 &amp; ")", IFERROR(VLOOKUP(D127, 'T12 Raw Data'!$B:$R, 17, 0), 0))</f>
        <v/>
      </c>
      <c r="C151" s="233">
        <f>IF(ISNUMBER(B151), B151/12, B151)</f>
        <v/>
      </c>
      <c r="D151" s="229">
        <f>D127</f>
        <v/>
      </c>
      <c r="E151" s="229">
        <f>IF(D127="","",IF(COUNTIF($D$123:$D$131, D127) &gt; 1, "⚠ Shared T12 Label — can't isolate per-fee", ""))</f>
        <v/>
      </c>
    </row>
    <row r="152">
      <c r="A152" s="229">
        <f>A128</f>
        <v/>
      </c>
      <c r="B152" s="233">
        <f>IF(COUNTIF($D$123:D127, D128) &gt; 0, "(shared — see row " &amp; MATCH(D128, $D$123:D127, 0) + 122 &amp; ")", IFERROR(VLOOKUP(D128, 'T12 Raw Data'!$B:$R, 17, 0), 0))</f>
        <v/>
      </c>
      <c r="C152" s="233">
        <f>IF(ISNUMBER(B152), B152/12, B152)</f>
        <v/>
      </c>
      <c r="D152" s="229">
        <f>D128</f>
        <v/>
      </c>
      <c r="E152" s="229">
        <f>IF(D128="","",IF(COUNTIF($D$123:$D$131, D128) &gt; 1, "⚠ Shared T12 Label — can't isolate per-fee", ""))</f>
        <v/>
      </c>
    </row>
    <row r="153">
      <c r="A153" s="229">
        <f>A129</f>
        <v/>
      </c>
      <c r="B153" s="233">
        <f>IF(COUNTIF($D$123:D128, D129) &gt; 0, "(shared — see row " &amp; MATCH(D129, $D$123:D128, 0) + 122 &amp; ")", IFERROR(VLOOKUP(D129, 'T12 Raw Data'!$B:$R, 17, 0), 0))</f>
        <v/>
      </c>
      <c r="C153" s="233">
        <f>IF(ISNUMBER(B153), B153/12, B153)</f>
        <v/>
      </c>
      <c r="D153" s="229">
        <f>D129</f>
        <v/>
      </c>
      <c r="E153" s="229">
        <f>IF(D129="","",IF(COUNTIF($D$123:$D$131, D129) &gt; 1, "⚠ Shared T12 Label — can't isolate per-fee", ""))</f>
        <v/>
      </c>
    </row>
    <row r="154">
      <c r="A154" s="229">
        <f>A130</f>
        <v/>
      </c>
      <c r="B154" s="233">
        <f>IF(COUNTIF($D$123:D129, D130) &gt; 0, "(shared — see row " &amp; MATCH(D130, $D$123:D129, 0) + 122 &amp; ")", IFERROR(VLOOKUP(D130, 'T12 Raw Data'!$B:$R, 17, 0), 0))</f>
        <v/>
      </c>
      <c r="C154" s="233">
        <f>IF(ISNUMBER(B154), B154/12, B154)</f>
        <v/>
      </c>
      <c r="D154" s="229">
        <f>D130</f>
        <v/>
      </c>
      <c r="E154" s="229">
        <f>IF(D130="","",IF(COUNTIF($D$123:$D$131, D130) &gt; 1, "⚠ Shared T12 Label — can't isolate per-fee", ""))</f>
        <v/>
      </c>
    </row>
    <row r="155">
      <c r="A155" s="229">
        <f>A131</f>
        <v/>
      </c>
      <c r="B155" s="233">
        <f>IF(COUNTIF($D$123:D130, D131) &gt; 0, "(shared — see row " &amp; MATCH(D131, $D$123:D130, 0) + 122 &amp; ")", IFERROR(VLOOKUP(D131, 'T12 Raw Data'!$B:$R, 17, 0), 0))</f>
        <v/>
      </c>
      <c r="C155" s="233">
        <f>IF(ISNUMBER(B155), B155/12, B155)</f>
        <v/>
      </c>
      <c r="D155" s="229">
        <f>D131</f>
        <v/>
      </c>
      <c r="E155" s="229">
        <f>IF(D131="","",IF(COUNTIF($D$123:$D$131, D131) &gt; 1, "⚠ Shared T12 Label — can't isolate per-fee", ""))</f>
        <v/>
      </c>
    </row>
    <row r="157" ht="18" customHeight="1" s="199">
      <c r="A157" s="225" t="inlineStr">
        <is>
          <t>M4  —  Implied per-resident rate  (T12 monthly ÷ RR # capturing  vs.  schedule)</t>
        </is>
      </c>
    </row>
    <row r="158">
      <c r="A158" s="226" t="inlineStr">
        <is>
          <t>Fee Name</t>
        </is>
      </c>
      <c r="B158" s="226" t="inlineStr">
        <is>
          <t>T12 $/mo</t>
        </is>
      </c>
      <c r="C158" s="226" t="inlineStr">
        <is>
          <t>RR # capturing</t>
        </is>
      </c>
      <c r="D158" s="226" t="inlineStr">
        <is>
          <t>Implied $/resident</t>
        </is>
      </c>
      <c r="E158" s="226" t="inlineStr">
        <is>
          <t>Schedule $</t>
        </is>
      </c>
      <c r="F158" s="226" t="inlineStr">
        <is>
          <t>Variance %</t>
        </is>
      </c>
      <c r="G158" s="226" t="inlineStr">
        <is>
          <t>Note</t>
        </is>
      </c>
    </row>
    <row r="159">
      <c r="A159" s="229">
        <f>A123</f>
        <v/>
      </c>
      <c r="B159" s="233">
        <f>C147</f>
        <v/>
      </c>
      <c r="C159" s="231">
        <f>IF(TRIM(E123)="","—",C135)</f>
        <v/>
      </c>
      <c r="D159" s="233">
        <f>IF(AND(TRIM(E123)&lt;&gt;"",ISNUMBER(B159),ISNUMBER(C159),C159&gt;0),B159/C159,"")</f>
        <v/>
      </c>
      <c r="E159" s="233">
        <f>B123</f>
        <v/>
      </c>
      <c r="F159" s="234">
        <f>IF(AND(ISNUMBER(D159),ISNUMBER(E159),E159&lt;&gt;0),(D159-E159)/E159,"")</f>
        <v/>
      </c>
      <c r="G159" s="229">
        <f>IF(TRIM(E123)="","Falls into M5 Misc. (event-based; reconcile via M3 ÷ annual turnover)",IF(NOT(ISNUMBER(F159)),"",IF(ABS(F159)&gt;0.05,"⚠ Implied rate differs from schedule by "&amp;TEXT(F159,"0.0%")&amp; " — legacy in-place residents or schedule out of date","✓ Implied rate within 5% of schedule")))</f>
        <v/>
      </c>
    </row>
    <row r="160">
      <c r="A160" s="229">
        <f>A124</f>
        <v/>
      </c>
      <c r="B160" s="233">
        <f>C148</f>
        <v/>
      </c>
      <c r="C160" s="231">
        <f>IF(TRIM(E124)="","—",C136)</f>
        <v/>
      </c>
      <c r="D160" s="233">
        <f>IF(AND(TRIM(E124)&lt;&gt;"",ISNUMBER(B160),ISNUMBER(C160),C160&gt;0),B160/C160,"")</f>
        <v/>
      </c>
      <c r="E160" s="233">
        <f>B124</f>
        <v/>
      </c>
      <c r="F160" s="234">
        <f>IF(AND(ISNUMBER(D160),ISNUMBER(E160),E160&lt;&gt;0),(D160-E160)/E160,"")</f>
        <v/>
      </c>
      <c r="G160" s="229">
        <f>IF(TRIM(E124)="","Falls into M5 Misc. (event-based; reconcile via M3 ÷ annual turnover)",IF(NOT(ISNUMBER(F160)),"",IF(ABS(F160)&gt;0.05,"⚠ Implied rate differs from schedule by "&amp;TEXT(F160,"0.0%")&amp; " — legacy in-place residents or schedule out of date","✓ Implied rate within 5% of schedule")))</f>
        <v/>
      </c>
    </row>
    <row r="161">
      <c r="A161" s="229">
        <f>A125</f>
        <v/>
      </c>
      <c r="B161" s="233">
        <f>C149</f>
        <v/>
      </c>
      <c r="C161" s="231">
        <f>IF(TRIM(E125)="","—",C137)</f>
        <v/>
      </c>
      <c r="D161" s="233">
        <f>IF(AND(TRIM(E125)&lt;&gt;"",ISNUMBER(B161),ISNUMBER(C161),C161&gt;0),B161/C161,"")</f>
        <v/>
      </c>
      <c r="E161" s="233">
        <f>B125</f>
        <v/>
      </c>
      <c r="F161" s="234">
        <f>IF(AND(ISNUMBER(D161),ISNUMBER(E161),E161&lt;&gt;0),(D161-E161)/E161,"")</f>
        <v/>
      </c>
      <c r="G161" s="229">
        <f>IF(TRIM(E125)="","Falls into M5 Misc. (event-based; reconcile via M3 ÷ annual turnover)",IF(NOT(ISNUMBER(F161)),"",IF(ABS(F161)&gt;0.05,"⚠ Implied rate differs from schedule by "&amp;TEXT(F161,"0.0%")&amp; " — legacy in-place residents or schedule out of date","✓ Implied rate within 5% of schedule")))</f>
        <v/>
      </c>
    </row>
    <row r="162">
      <c r="A162" s="229">
        <f>A126</f>
        <v/>
      </c>
      <c r="B162" s="233">
        <f>C150</f>
        <v/>
      </c>
      <c r="C162" s="231">
        <f>IF(TRIM(E126)="","—",C138)</f>
        <v/>
      </c>
      <c r="D162" s="233">
        <f>IF(AND(TRIM(E126)&lt;&gt;"",ISNUMBER(B162),ISNUMBER(C162),C162&gt;0),B162/C162,"")</f>
        <v/>
      </c>
      <c r="E162" s="233">
        <f>B126</f>
        <v/>
      </c>
      <c r="F162" s="234">
        <f>IF(AND(ISNUMBER(D162),ISNUMBER(E162),E162&lt;&gt;0),(D162-E162)/E162,"")</f>
        <v/>
      </c>
      <c r="G162" s="229">
        <f>IF(TRIM(E126)="","Falls into M5 Misc. (event-based; reconcile via M3 ÷ annual turnover)",IF(NOT(ISNUMBER(F162)),"",IF(ABS(F162)&gt;0.05,"⚠ Implied rate differs from schedule by "&amp;TEXT(F162,"0.0%")&amp; " — legacy in-place residents or schedule out of date","✓ Implied rate within 5% of schedule")))</f>
        <v/>
      </c>
    </row>
    <row r="163">
      <c r="A163" s="229">
        <f>A127</f>
        <v/>
      </c>
      <c r="B163" s="233">
        <f>C151</f>
        <v/>
      </c>
      <c r="C163" s="231">
        <f>IF(TRIM(E127)="","—",C139)</f>
        <v/>
      </c>
      <c r="D163" s="233">
        <f>IF(AND(TRIM(E127)&lt;&gt;"",ISNUMBER(B163),ISNUMBER(C163),C163&gt;0),B163/C163,"")</f>
        <v/>
      </c>
      <c r="E163" s="233">
        <f>B127</f>
        <v/>
      </c>
      <c r="F163" s="234">
        <f>IF(AND(ISNUMBER(D163),ISNUMBER(E163),E163&lt;&gt;0),(D163-E163)/E163,"")</f>
        <v/>
      </c>
      <c r="G163" s="229">
        <f>IF(TRIM(E127)="","Falls into M5 Misc. (event-based; reconcile via M3 ÷ annual turnover)",IF(NOT(ISNUMBER(F163)),"",IF(ABS(F163)&gt;0.05,"⚠ Implied rate differs from schedule by "&amp;TEXT(F163,"0.0%")&amp; " — legacy in-place residents or schedule out of date","✓ Implied rate within 5% of schedule")))</f>
        <v/>
      </c>
    </row>
    <row r="164">
      <c r="A164" s="229">
        <f>A128</f>
        <v/>
      </c>
      <c r="B164" s="233">
        <f>C152</f>
        <v/>
      </c>
      <c r="C164" s="231">
        <f>IF(TRIM(E128)="","—",C140)</f>
        <v/>
      </c>
      <c r="D164" s="233">
        <f>IF(AND(TRIM(E128)&lt;&gt;"",ISNUMBER(B164),ISNUMBER(C164),C164&gt;0),B164/C164,"")</f>
        <v/>
      </c>
      <c r="E164" s="233">
        <f>B128</f>
        <v/>
      </c>
      <c r="F164" s="234">
        <f>IF(AND(ISNUMBER(D164),ISNUMBER(E164),E164&lt;&gt;0),(D164-E164)/E164,"")</f>
        <v/>
      </c>
      <c r="G164" s="229">
        <f>IF(TRIM(E128)="","Falls into M5 Misc. (event-based; reconcile via M3 ÷ annual turnover)",IF(NOT(ISNUMBER(F164)),"",IF(ABS(F164)&gt;0.05,"⚠ Implied rate differs from schedule by "&amp;TEXT(F164,"0.0%")&amp; " — legacy in-place residents or schedule out of date","✓ Implied rate within 5% of schedule")))</f>
        <v/>
      </c>
    </row>
    <row r="165">
      <c r="A165" s="229">
        <f>A129</f>
        <v/>
      </c>
      <c r="B165" s="233">
        <f>C153</f>
        <v/>
      </c>
      <c r="C165" s="231">
        <f>IF(TRIM(E129)="","—",C141)</f>
        <v/>
      </c>
      <c r="D165" s="233">
        <f>IF(AND(TRIM(E129)&lt;&gt;"",ISNUMBER(B165),ISNUMBER(C165),C165&gt;0),B165/C165,"")</f>
        <v/>
      </c>
      <c r="E165" s="233">
        <f>B129</f>
        <v/>
      </c>
      <c r="F165" s="234">
        <f>IF(AND(ISNUMBER(D165),ISNUMBER(E165),E165&lt;&gt;0),(D165-E165)/E165,"")</f>
        <v/>
      </c>
      <c r="G165" s="229">
        <f>IF(TRIM(E129)="","Falls into M5 Misc. (event-based; reconcile via M3 ÷ annual turnover)",IF(NOT(ISNUMBER(F165)),"",IF(ABS(F165)&gt;0.05,"⚠ Implied rate differs from schedule by "&amp;TEXT(F165,"0.0%")&amp; " — legacy in-place residents or schedule out of date","✓ Implied rate within 5% of schedule")))</f>
        <v/>
      </c>
    </row>
    <row r="166">
      <c r="A166" s="229">
        <f>A130</f>
        <v/>
      </c>
      <c r="B166" s="233">
        <f>C154</f>
        <v/>
      </c>
      <c r="C166" s="231">
        <f>IF(TRIM(E130)="","—",C142)</f>
        <v/>
      </c>
      <c r="D166" s="233">
        <f>IF(AND(TRIM(E130)&lt;&gt;"",ISNUMBER(B166),ISNUMBER(C166),C166&gt;0),B166/C166,"")</f>
        <v/>
      </c>
      <c r="E166" s="233">
        <f>B130</f>
        <v/>
      </c>
      <c r="F166" s="234">
        <f>IF(AND(ISNUMBER(D166),ISNUMBER(E166),E166&lt;&gt;0),(D166-E166)/E166,"")</f>
        <v/>
      </c>
      <c r="G166" s="229">
        <f>IF(TRIM(E130)="","Falls into M5 Misc. (event-based; reconcile via M3 ÷ annual turnover)",IF(NOT(ISNUMBER(F166)),"",IF(ABS(F166)&gt;0.05,"⚠ Implied rate differs from schedule by "&amp;TEXT(F166,"0.0%")&amp; " — legacy in-place residents or schedule out of date","✓ Implied rate within 5% of schedule")))</f>
        <v/>
      </c>
    </row>
    <row r="167">
      <c r="A167" s="229">
        <f>A131</f>
        <v/>
      </c>
      <c r="B167" s="233">
        <f>C155</f>
        <v/>
      </c>
      <c r="C167" s="231">
        <f>IF(TRIM(E131)="","—",C143)</f>
        <v/>
      </c>
      <c r="D167" s="233">
        <f>IF(AND(TRIM(E131)&lt;&gt;"",ISNUMBER(B167),ISNUMBER(C167),C167&gt;0),B167/C167,"")</f>
        <v/>
      </c>
      <c r="E167" s="233">
        <f>B131</f>
        <v/>
      </c>
      <c r="F167" s="234">
        <f>IF(AND(ISNUMBER(D167),ISNUMBER(E167),E167&lt;&gt;0),(D167-E167)/E167,"")</f>
        <v/>
      </c>
      <c r="G167" s="229">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199">
      <c r="A169" s="225" t="inlineStr">
        <is>
          <t>M5  —  Misc. Income  (T12 'Other community revenue' minus per-fee attribution)</t>
        </is>
      </c>
    </row>
    <row r="170">
      <c r="A170" s="229" t="inlineStr">
        <is>
          <t>T12 'Other community revenue' — annual total</t>
        </is>
      </c>
      <c r="B170" s="235">
        <f>IFERROR(VLOOKUP("Other community revenue", 'T12 Raw Data'!$B:$R, 17, 0), 0)</f>
        <v/>
      </c>
    </row>
    <row r="171">
      <c r="A171" s="229" t="inlineStr">
        <is>
          <t>T12 'Other community revenue' — monthly avg</t>
        </is>
      </c>
      <c r="B171" s="235">
        <f>B170/12</f>
        <v/>
      </c>
    </row>
    <row r="172">
      <c r="A172" s="229" t="inlineStr">
        <is>
          <t>Less: M4 fees attributed to this bucket (annualized)</t>
        </is>
      </c>
      <c r="B172" s="235">
        <f>SUMPRODUCT(($D$123:$D$131="Other community revenue")*ISNUMBER($C$135:$C$143)*IFERROR($C$135:$C$143*$B$123:$B$131*12,0))</f>
        <v/>
      </c>
    </row>
    <row r="173">
      <c r="A173" s="229" t="inlineStr">
        <is>
          <t>Residual unattributed Misc. income (annual)</t>
        </is>
      </c>
      <c r="B173" s="235">
        <f>B170 - B172</f>
        <v/>
      </c>
    </row>
    <row r="174">
      <c r="A174" s="229" t="inlineStr">
        <is>
          <t>Residual as % of EGI (annual)</t>
        </is>
      </c>
      <c r="B174" s="236">
        <f>IFERROR(B173 / 'Monthly Trending'!$N$26, 0)</f>
        <v/>
      </c>
    </row>
    <row r="176">
      <c r="A176" s="237">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2">
    <dataValidation sqref="B2" showDropDown="0" showInputMessage="0" showErrorMessage="0" allowBlank="1" type="list">
      <formula1>='RR_Calc'!$A$2:$A$13</formula1>
    </dataValidation>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v0.2.4</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Meal Income</t>
        </is>
      </c>
      <c r="B20" s="144">
        <f>IFERROR(INDEX('T12 Raw Data'!F:F,MATCH("Meal Income",'T12 Raw Data'!B:B,0)),0)</f>
        <v/>
      </c>
      <c r="C20" s="144">
        <f>IFERROR(INDEX('T12 Raw Data'!G:G,MATCH("Meal Income",'T12 Raw Data'!B:B,0)),0)</f>
        <v/>
      </c>
      <c r="D20" s="144">
        <f>IFERROR(INDEX('T12 Raw Data'!H:H,MATCH("Meal Income",'T12 Raw Data'!B:B,0)),0)</f>
        <v/>
      </c>
      <c r="E20" s="144">
        <f>IFERROR(INDEX('T12 Raw Data'!I:I,MATCH("Meal Income",'T12 Raw Data'!B:B,0)),0)</f>
        <v/>
      </c>
      <c r="F20" s="144">
        <f>IFERROR(INDEX('T12 Raw Data'!J:J,MATCH("Meal Income",'T12 Raw Data'!B:B,0)),0)</f>
        <v/>
      </c>
      <c r="G20" s="144">
        <f>IFERROR(INDEX('T12 Raw Data'!K:K,MATCH("Meal Income",'T12 Raw Data'!B:B,0)),0)</f>
        <v/>
      </c>
      <c r="H20" s="144">
        <f>IFERROR(INDEX('T12 Raw Data'!L:L,MATCH("Meal Income",'T12 Raw Data'!B:B,0)),0)</f>
        <v/>
      </c>
      <c r="I20" s="144">
        <f>IFERROR(INDEX('T12 Raw Data'!M:M,MATCH("Meal Income",'T12 Raw Data'!B:B,0)),0)</f>
        <v/>
      </c>
      <c r="J20" s="144">
        <f>IFERROR(INDEX('T12 Raw Data'!N:N,MATCH("Meal Income",'T12 Raw Data'!B:B,0)),0)</f>
        <v/>
      </c>
      <c r="K20" s="144">
        <f>IFERROR(INDEX('T12 Raw Data'!O:O,MATCH("Meal Income",'T12 Raw Data'!B:B,0)),0)</f>
        <v/>
      </c>
      <c r="L20" s="144">
        <f>IFERROR(INDEX('T12 Raw Data'!P:P,MATCH("Meal Income",'T12 Raw Data'!B:B,0)),0)</f>
        <v/>
      </c>
      <c r="M20" s="144">
        <f>IFERROR(INDEX('T12 Raw Data'!Q:Q,MATCH("Meal Income",'T12 Raw Data'!B:B,0)),0)</f>
        <v/>
      </c>
      <c r="N20" s="145">
        <f>SUM(B20:M20)</f>
        <v/>
      </c>
    </row>
    <row r="21" ht="18" customHeight="1" s="199">
      <c r="A21" s="83" t="inlineStr">
        <is>
          <t>Housekeeping Income</t>
        </is>
      </c>
      <c r="B21" s="144">
        <f>IFERROR(INDEX('T12 Raw Data'!F:F,MATCH("Housekeeping Income",'T12 Raw Data'!B:B,0)),0)</f>
        <v/>
      </c>
      <c r="C21" s="144">
        <f>IFERROR(INDEX('T12 Raw Data'!G:G,MATCH("Housekeeping Income",'T12 Raw Data'!B:B,0)),0)</f>
        <v/>
      </c>
      <c r="D21" s="144">
        <f>IFERROR(INDEX('T12 Raw Data'!H:H,MATCH("Housekeeping Income",'T12 Raw Data'!B:B,0)),0)</f>
        <v/>
      </c>
      <c r="E21" s="144">
        <f>IFERROR(INDEX('T12 Raw Data'!I:I,MATCH("Housekeeping Income",'T12 Raw Data'!B:B,0)),0)</f>
        <v/>
      </c>
      <c r="F21" s="144">
        <f>IFERROR(INDEX('T12 Raw Data'!J:J,MATCH("Housekeeping Income",'T12 Raw Data'!B:B,0)),0)</f>
        <v/>
      </c>
      <c r="G21" s="144">
        <f>IFERROR(INDEX('T12 Raw Data'!K:K,MATCH("Housekeeping Income",'T12 Raw Data'!B:B,0)),0)</f>
        <v/>
      </c>
      <c r="H21" s="144">
        <f>IFERROR(INDEX('T12 Raw Data'!L:L,MATCH("Housekeeping Income",'T12 Raw Data'!B:B,0)),0)</f>
        <v/>
      </c>
      <c r="I21" s="144">
        <f>IFERROR(INDEX('T12 Raw Data'!M:M,MATCH("Housekeeping Income",'T12 Raw Data'!B:B,0)),0)</f>
        <v/>
      </c>
      <c r="J21" s="144">
        <f>IFERROR(INDEX('T12 Raw Data'!N:N,MATCH("Housekeeping Income",'T12 Raw Data'!B:B,0)),0)</f>
        <v/>
      </c>
      <c r="K21" s="144">
        <f>IFERROR(INDEX('T12 Raw Data'!O:O,MATCH("Housekeeping Income",'T12 Raw Data'!B:B,0)),0)</f>
        <v/>
      </c>
      <c r="L21" s="144">
        <f>IFERROR(INDEX('T12 Raw Data'!P:P,MATCH("Housekeeping Income",'T12 Raw Data'!B:B,0)),0)</f>
        <v/>
      </c>
      <c r="M21" s="144">
        <f>IFERROR(INDEX('T12 Raw Data'!Q:Q,MATCH("Housekeeping Income",'T12 Raw Data'!B:B,0)),0)</f>
        <v/>
      </c>
      <c r="N21" s="145">
        <f>SUM(B21:M21)</f>
        <v/>
      </c>
    </row>
    <row r="22" ht="15.75" customHeight="1" s="199">
      <c r="A22" s="83" t="inlineStr">
        <is>
          <t>Laundry Income</t>
        </is>
      </c>
      <c r="B22" s="144">
        <f>IFERROR(INDEX('T12 Raw Data'!F:F,MATCH("Laundry Income",'T12 Raw Data'!B:B,0)),0)</f>
        <v/>
      </c>
      <c r="C22" s="144">
        <f>IFERROR(INDEX('T12 Raw Data'!G:G,MATCH("Laundry Income",'T12 Raw Data'!B:B,0)),0)</f>
        <v/>
      </c>
      <c r="D22" s="144">
        <f>IFERROR(INDEX('T12 Raw Data'!H:H,MATCH("Laundry Income",'T12 Raw Data'!B:B,0)),0)</f>
        <v/>
      </c>
      <c r="E22" s="144">
        <f>IFERROR(INDEX('T12 Raw Data'!I:I,MATCH("Laundry Income",'T12 Raw Data'!B:B,0)),0)</f>
        <v/>
      </c>
      <c r="F22" s="144">
        <f>IFERROR(INDEX('T12 Raw Data'!J:J,MATCH("Laundry Income",'T12 Raw Data'!B:B,0)),0)</f>
        <v/>
      </c>
      <c r="G22" s="144">
        <f>IFERROR(INDEX('T12 Raw Data'!K:K,MATCH("Laundry Income",'T12 Raw Data'!B:B,0)),0)</f>
        <v/>
      </c>
      <c r="H22" s="144">
        <f>IFERROR(INDEX('T12 Raw Data'!L:L,MATCH("Laundry Income",'T12 Raw Data'!B:B,0)),0)</f>
        <v/>
      </c>
      <c r="I22" s="144">
        <f>IFERROR(INDEX('T12 Raw Data'!M:M,MATCH("Laundry Income",'T12 Raw Data'!B:B,0)),0)</f>
        <v/>
      </c>
      <c r="J22" s="144">
        <f>IFERROR(INDEX('T12 Raw Data'!N:N,MATCH("Laundry Income",'T12 Raw Data'!B:B,0)),0)</f>
        <v/>
      </c>
      <c r="K22" s="144">
        <f>IFERROR(INDEX('T12 Raw Data'!O:O,MATCH("Laundry Income",'T12 Raw Data'!B:B,0)),0)</f>
        <v/>
      </c>
      <c r="L22" s="144">
        <f>IFERROR(INDEX('T12 Raw Data'!P:P,MATCH("Laundry Income",'T12 Raw Data'!B:B,0)),0)</f>
        <v/>
      </c>
      <c r="M22" s="144">
        <f>IFERROR(INDEX('T12 Raw Data'!Q:Q,MATCH("Laundry Income",'T12 Raw Data'!B:B,0)),0)</f>
        <v/>
      </c>
      <c r="N22" s="145">
        <f>SUM(B22:M22)</f>
        <v/>
      </c>
    </row>
    <row r="23" ht="15.75" customHeight="1" s="199">
      <c r="A23" s="83" t="inlineStr">
        <is>
          <t>Scooter Fee Revenue</t>
        </is>
      </c>
      <c r="B23" s="144">
        <f>IFERROR(INDEX('T12 Raw Data'!F:F,MATCH("Scooter Fee Revenue",'T12 Raw Data'!B:B,0)),0)</f>
        <v/>
      </c>
      <c r="C23" s="144">
        <f>IFERROR(INDEX('T12 Raw Data'!G:G,MATCH("Scooter Fee Revenue",'T12 Raw Data'!B:B,0)),0)</f>
        <v/>
      </c>
      <c r="D23" s="144">
        <f>IFERROR(INDEX('T12 Raw Data'!H:H,MATCH("Scooter Fee Revenue",'T12 Raw Data'!B:B,0)),0)</f>
        <v/>
      </c>
      <c r="E23" s="144">
        <f>IFERROR(INDEX('T12 Raw Data'!I:I,MATCH("Scooter Fee Revenue",'T12 Raw Data'!B:B,0)),0)</f>
        <v/>
      </c>
      <c r="F23" s="144">
        <f>IFERROR(INDEX('T12 Raw Data'!J:J,MATCH("Scooter Fee Revenue",'T12 Raw Data'!B:B,0)),0)</f>
        <v/>
      </c>
      <c r="G23" s="144">
        <f>IFERROR(INDEX('T12 Raw Data'!K:K,MATCH("Scooter Fee Revenue",'T12 Raw Data'!B:B,0)),0)</f>
        <v/>
      </c>
      <c r="H23" s="144">
        <f>IFERROR(INDEX('T12 Raw Data'!L:L,MATCH("Scooter Fee Revenue",'T12 Raw Data'!B:B,0)),0)</f>
        <v/>
      </c>
      <c r="I23" s="144">
        <f>IFERROR(INDEX('T12 Raw Data'!M:M,MATCH("Scooter Fee Revenue",'T12 Raw Data'!B:B,0)),0)</f>
        <v/>
      </c>
      <c r="J23" s="144">
        <f>IFERROR(INDEX('T12 Raw Data'!N:N,MATCH("Scooter Fee Revenue",'T12 Raw Data'!B:B,0)),0)</f>
        <v/>
      </c>
      <c r="K23" s="144">
        <f>IFERROR(INDEX('T12 Raw Data'!O:O,MATCH("Scooter Fee Revenue",'T12 Raw Data'!B:B,0)),0)</f>
        <v/>
      </c>
      <c r="L23" s="144">
        <f>IFERROR(INDEX('T12 Raw Data'!P:P,MATCH("Scooter Fee Revenue",'T12 Raw Data'!B:B,0)),0)</f>
        <v/>
      </c>
      <c r="M23" s="144">
        <f>IFERROR(INDEX('T12 Raw Data'!Q:Q,MATCH("Scooter Fee Revenue",'T12 Raw Data'!B:B,0)),0)</f>
        <v/>
      </c>
      <c r="N23" s="145">
        <f>SUM(B23:M23)</f>
        <v/>
      </c>
    </row>
    <row r="24" ht="15.75" customHeight="1" s="199">
      <c r="A24" s="83" t="inlineStr">
        <is>
          <t>Transfer Fee Revenue</t>
        </is>
      </c>
      <c r="B24" s="144">
        <f>IFERROR(INDEX('T12 Raw Data'!F:F,MATCH("Transfer Fee Revenue",'T12 Raw Data'!B:B,0)),0)</f>
        <v/>
      </c>
      <c r="C24" s="144">
        <f>IFERROR(INDEX('T12 Raw Data'!G:G,MATCH("Transfer Fee Revenue",'T12 Raw Data'!B:B,0)),0)</f>
        <v/>
      </c>
      <c r="D24" s="144">
        <f>IFERROR(INDEX('T12 Raw Data'!H:H,MATCH("Transfer Fee Revenue",'T12 Raw Data'!B:B,0)),0)</f>
        <v/>
      </c>
      <c r="E24" s="144">
        <f>IFERROR(INDEX('T12 Raw Data'!I:I,MATCH("Transfer Fee Revenue",'T12 Raw Data'!B:B,0)),0)</f>
        <v/>
      </c>
      <c r="F24" s="144">
        <f>IFERROR(INDEX('T12 Raw Data'!J:J,MATCH("Transfer Fee Revenue",'T12 Raw Data'!B:B,0)),0)</f>
        <v/>
      </c>
      <c r="G24" s="144">
        <f>IFERROR(INDEX('T12 Raw Data'!K:K,MATCH("Transfer Fee Revenue",'T12 Raw Data'!B:B,0)),0)</f>
        <v/>
      </c>
      <c r="H24" s="144">
        <f>IFERROR(INDEX('T12 Raw Data'!L:L,MATCH("Transfer Fee Revenue",'T12 Raw Data'!B:B,0)),0)</f>
        <v/>
      </c>
      <c r="I24" s="144">
        <f>IFERROR(INDEX('T12 Raw Data'!M:M,MATCH("Transfer Fee Revenue",'T12 Raw Data'!B:B,0)),0)</f>
        <v/>
      </c>
      <c r="J24" s="144">
        <f>IFERROR(INDEX('T12 Raw Data'!N:N,MATCH("Transfer Fee Revenue",'T12 Raw Data'!B:B,0)),0)</f>
        <v/>
      </c>
      <c r="K24" s="144">
        <f>IFERROR(INDEX('T12 Raw Data'!O:O,MATCH("Transfer Fee Revenue",'T12 Raw Data'!B:B,0)),0)</f>
        <v/>
      </c>
      <c r="L24" s="144">
        <f>IFERROR(INDEX('T12 Raw Data'!P:P,MATCH("Transfer Fee Revenue",'T12 Raw Data'!B:B,0)),0)</f>
        <v/>
      </c>
      <c r="M24" s="144">
        <f>IFERROR(INDEX('T12 Raw Data'!Q:Q,MATCH("Transfer Fee Revenue",'T12 Raw Data'!B:B,0)),0)</f>
        <v/>
      </c>
      <c r="N24" s="145">
        <f>SUM(B24:M24)</f>
        <v/>
      </c>
    </row>
    <row r="25" ht="15.75" customHeight="1" s="199">
      <c r="A25" s="83" t="inlineStr">
        <is>
          <t>Other community revenue</t>
        </is>
      </c>
      <c r="B25" s="144">
        <f>IFERROR(INDEX('T12 Raw Data'!F:F,MATCH("Other community revenue",'T12 Raw Data'!B:B,0)),0)</f>
        <v/>
      </c>
      <c r="C25" s="144">
        <f>IFERROR(INDEX('T12 Raw Data'!G:G,MATCH("Other community revenue",'T12 Raw Data'!B:B,0)),0)</f>
        <v/>
      </c>
      <c r="D25" s="144">
        <f>IFERROR(INDEX('T12 Raw Data'!H:H,MATCH("Other community revenue",'T12 Raw Data'!B:B,0)),0)</f>
        <v/>
      </c>
      <c r="E25" s="144">
        <f>IFERROR(INDEX('T12 Raw Data'!I:I,MATCH("Other community revenue",'T12 Raw Data'!B:B,0)),0)</f>
        <v/>
      </c>
      <c r="F25" s="144">
        <f>IFERROR(INDEX('T12 Raw Data'!J:J,MATCH("Other community revenue",'T12 Raw Data'!B:B,0)),0)</f>
        <v/>
      </c>
      <c r="G25" s="144">
        <f>IFERROR(INDEX('T12 Raw Data'!K:K,MATCH("Other community revenue",'T12 Raw Data'!B:B,0)),0)</f>
        <v/>
      </c>
      <c r="H25" s="144">
        <f>IFERROR(INDEX('T12 Raw Data'!L:L,MATCH("Other community revenue",'T12 Raw Data'!B:B,0)),0)</f>
        <v/>
      </c>
      <c r="I25" s="144">
        <f>IFERROR(INDEX('T12 Raw Data'!M:M,MATCH("Other community revenue",'T12 Raw Data'!B:B,0)),0)</f>
        <v/>
      </c>
      <c r="J25" s="144">
        <f>IFERROR(INDEX('T12 Raw Data'!N:N,MATCH("Other community revenue",'T12 Raw Data'!B:B,0)),0)</f>
        <v/>
      </c>
      <c r="K25" s="144">
        <f>IFERROR(INDEX('T12 Raw Data'!O:O,MATCH("Other community revenue",'T12 Raw Data'!B:B,0)),0)</f>
        <v/>
      </c>
      <c r="L25" s="144">
        <f>IFERROR(INDEX('T12 Raw Data'!P:P,MATCH("Other community revenue",'T12 Raw Data'!B:B,0)),0)</f>
        <v/>
      </c>
      <c r="M25" s="144">
        <f>IFERROR(INDEX('T12 Raw Data'!Q:Q,MATCH("Other community revenue",'T12 Raw Data'!B:B,0)),0)</f>
        <v/>
      </c>
      <c r="N25" s="145">
        <f>SUM(B25:M25)</f>
        <v/>
      </c>
    </row>
    <row r="26" ht="15.75" customHeight="1" s="199">
      <c r="A26" s="151" t="inlineStr">
        <is>
          <t>EFFECTIVE GROSS INCOME</t>
        </is>
      </c>
      <c r="B26" s="30">
        <f>B8+B10+B11+B15+B16+B17+B18+B19+B20+B21+B22+B23+B24+B25</f>
        <v/>
      </c>
      <c r="C26" s="30">
        <f>C8+C10+C11+C15+C16+C17+C18+C19+C20+C21+C22+C23+C24+C25</f>
        <v/>
      </c>
      <c r="D26" s="30">
        <f>D8+D10+D11+D15+D16+D17+D18+D19+D20+D21+D22+D23+D24+D25</f>
        <v/>
      </c>
      <c r="E26" s="30">
        <f>E8+E10+E11+E15+E16+E17+E18+E19+E20+E21+E22+E23+E24+E25</f>
        <v/>
      </c>
      <c r="F26" s="30">
        <f>F8+F10+F11+F15+F16+F17+F18+F19+F20+F21+F22+F23+F24+F25</f>
        <v/>
      </c>
      <c r="G26" s="30">
        <f>G8+G10+G11+G15+G16+G17+G18+G19+G20+G21+G22+G23+G24+G25</f>
        <v/>
      </c>
      <c r="H26" s="30">
        <f>H8+H10+H11+H15+H16+H17+H18+H19+H20+H21+H22+H23+H24+H25</f>
        <v/>
      </c>
      <c r="I26" s="30">
        <f>I8+I10+I11+I15+I16+I17+I18+I19+I20+I21+I22+I23+I24+I25</f>
        <v/>
      </c>
      <c r="J26" s="30">
        <f>J8+J10+J11+J15+J16+J17+J18+J19+J20+J21+J22+J23+J24+J25</f>
        <v/>
      </c>
      <c r="K26" s="30">
        <f>K8+K10+K11+K15+K16+K17+K18+K19+K20+K21+K22+K23+K24+K25</f>
        <v/>
      </c>
      <c r="L26" s="30">
        <f>L8+L10+L11+L15+L16+L17+L18+L19+L20+L21+L22+L23+L24+L25</f>
        <v/>
      </c>
      <c r="M26" s="30">
        <f>M8+M10+M11+M15+M16+M17+M18+M19+M20+M21+M22+M23+M24+M25</f>
        <v/>
      </c>
      <c r="N26" s="30">
        <f>N8+N10+N11+N15+N16+N17+N18+N19+N20+N21+N22+N23+N24+N25</f>
        <v/>
      </c>
    </row>
    <row r="27" ht="15.75" customHeight="1" s="199">
      <c r="A27" s="174" t="inlineStr">
        <is>
          <t>LABOR</t>
        </is>
      </c>
    </row>
    <row r="28" ht="15.75" customHeight="1" s="199">
      <c r="A28" s="83" t="inlineStr">
        <is>
          <t>Care staff labor</t>
        </is>
      </c>
      <c r="B28" s="144">
        <f>IFERROR(INDEX('T12 Raw Data'!F:F,MATCH("Care staff labor",'T12 Raw Data'!B:B,0)),0)</f>
        <v/>
      </c>
      <c r="C28" s="144">
        <f>IFERROR(INDEX('T12 Raw Data'!G:G,MATCH("Care staff labor",'T12 Raw Data'!B:B,0)),0)</f>
        <v/>
      </c>
      <c r="D28" s="144">
        <f>IFERROR(INDEX('T12 Raw Data'!H:H,MATCH("Care staff labor",'T12 Raw Data'!B:B,0)),0)</f>
        <v/>
      </c>
      <c r="E28" s="144">
        <f>IFERROR(INDEX('T12 Raw Data'!I:I,MATCH("Care staff labor",'T12 Raw Data'!B:B,0)),0)</f>
        <v/>
      </c>
      <c r="F28" s="144">
        <f>IFERROR(INDEX('T12 Raw Data'!J:J,MATCH("Care staff labor",'T12 Raw Data'!B:B,0)),0)</f>
        <v/>
      </c>
      <c r="G28" s="144">
        <f>IFERROR(INDEX('T12 Raw Data'!K:K,MATCH("Care staff labor",'T12 Raw Data'!B:B,0)),0)</f>
        <v/>
      </c>
      <c r="H28" s="144">
        <f>IFERROR(INDEX('T12 Raw Data'!L:L,MATCH("Care staff labor",'T12 Raw Data'!B:B,0)),0)</f>
        <v/>
      </c>
      <c r="I28" s="144">
        <f>IFERROR(INDEX('T12 Raw Data'!M:M,MATCH("Care staff labor",'T12 Raw Data'!B:B,0)),0)</f>
        <v/>
      </c>
      <c r="J28" s="144">
        <f>IFERROR(INDEX('T12 Raw Data'!N:N,MATCH("Care staff labor",'T12 Raw Data'!B:B,0)),0)</f>
        <v/>
      </c>
      <c r="K28" s="144">
        <f>IFERROR(INDEX('T12 Raw Data'!O:O,MATCH("Care staff labor",'T12 Raw Data'!B:B,0)),0)</f>
        <v/>
      </c>
      <c r="L28" s="144">
        <f>IFERROR(INDEX('T12 Raw Data'!P:P,MATCH("Care staff labor",'T12 Raw Data'!B:B,0)),0)</f>
        <v/>
      </c>
      <c r="M28" s="144">
        <f>IFERROR(INDEX('T12 Raw Data'!Q:Q,MATCH("Care staff labor",'T12 Raw Data'!B:B,0)),0)</f>
        <v/>
      </c>
      <c r="N28" s="145">
        <f>SUM(B28:M28)</f>
        <v/>
      </c>
    </row>
    <row r="29" ht="15.75" customHeight="1" s="199">
      <c r="A29" s="83" t="inlineStr">
        <is>
          <t>Wellness / care coord.</t>
        </is>
      </c>
      <c r="B29" s="144">
        <f>IFERROR(INDEX('T12 Raw Data'!F:F,MATCH("Wellness / care coordinators",'T12 Raw Data'!B:B,0)),0)</f>
        <v/>
      </c>
      <c r="C29" s="144">
        <f>IFERROR(INDEX('T12 Raw Data'!G:G,MATCH("Wellness / care coordinators",'T12 Raw Data'!B:B,0)),0)</f>
        <v/>
      </c>
      <c r="D29" s="144">
        <f>IFERROR(INDEX('T12 Raw Data'!H:H,MATCH("Wellness / care coordinators",'T12 Raw Data'!B:B,0)),0)</f>
        <v/>
      </c>
      <c r="E29" s="144">
        <f>IFERROR(INDEX('T12 Raw Data'!I:I,MATCH("Wellness / care coordinators",'T12 Raw Data'!B:B,0)),0)</f>
        <v/>
      </c>
      <c r="F29" s="144">
        <f>IFERROR(INDEX('T12 Raw Data'!J:J,MATCH("Wellness / care coordinators",'T12 Raw Data'!B:B,0)),0)</f>
        <v/>
      </c>
      <c r="G29" s="144">
        <f>IFERROR(INDEX('T12 Raw Data'!K:K,MATCH("Wellness / care coordinators",'T12 Raw Data'!B:B,0)),0)</f>
        <v/>
      </c>
      <c r="H29" s="144">
        <f>IFERROR(INDEX('T12 Raw Data'!L:L,MATCH("Wellness / care coordinators",'T12 Raw Data'!B:B,0)),0)</f>
        <v/>
      </c>
      <c r="I29" s="144">
        <f>IFERROR(INDEX('T12 Raw Data'!M:M,MATCH("Wellness / care coordinators",'T12 Raw Data'!B:B,0)),0)</f>
        <v/>
      </c>
      <c r="J29" s="144">
        <f>IFERROR(INDEX('T12 Raw Data'!N:N,MATCH("Wellness / care coordinators",'T12 Raw Data'!B:B,0)),0)</f>
        <v/>
      </c>
      <c r="K29" s="144">
        <f>IFERROR(INDEX('T12 Raw Data'!O:O,MATCH("Wellness / care coordinators",'T12 Raw Data'!B:B,0)),0)</f>
        <v/>
      </c>
      <c r="L29" s="144">
        <f>IFERROR(INDEX('T12 Raw Data'!P:P,MATCH("Wellness / care coordinators",'T12 Raw Data'!B:B,0)),0)</f>
        <v/>
      </c>
      <c r="M29" s="144">
        <f>IFERROR(INDEX('T12 Raw Data'!Q:Q,MATCH("Wellness / care coordinators",'T12 Raw Data'!B:B,0)),0)</f>
        <v/>
      </c>
      <c r="N29" s="145">
        <f>SUM(B29:M29)</f>
        <v/>
      </c>
    </row>
    <row r="30" ht="15.75" customHeight="1" s="199">
      <c r="A30" s="83" t="inlineStr">
        <is>
          <t>Contract / agency labor</t>
        </is>
      </c>
      <c r="B30" s="144">
        <f>IFERROR(INDEX('T12 Raw Data'!F:F,MATCH("Contract / agency labor",'T12 Raw Data'!B:B,0)),0)</f>
        <v/>
      </c>
      <c r="C30" s="144">
        <f>IFERROR(INDEX('T12 Raw Data'!G:G,MATCH("Contract / agency labor",'T12 Raw Data'!B:B,0)),0)</f>
        <v/>
      </c>
      <c r="D30" s="144">
        <f>IFERROR(INDEX('T12 Raw Data'!H:H,MATCH("Contract / agency labor",'T12 Raw Data'!B:B,0)),0)</f>
        <v/>
      </c>
      <c r="E30" s="144">
        <f>IFERROR(INDEX('T12 Raw Data'!I:I,MATCH("Contract / agency labor",'T12 Raw Data'!B:B,0)),0)</f>
        <v/>
      </c>
      <c r="F30" s="144">
        <f>IFERROR(INDEX('T12 Raw Data'!J:J,MATCH("Contract / agency labor",'T12 Raw Data'!B:B,0)),0)</f>
        <v/>
      </c>
      <c r="G30" s="144">
        <f>IFERROR(INDEX('T12 Raw Data'!K:K,MATCH("Contract / agency labor",'T12 Raw Data'!B:B,0)),0)</f>
        <v/>
      </c>
      <c r="H30" s="144">
        <f>IFERROR(INDEX('T12 Raw Data'!L:L,MATCH("Contract / agency labor",'T12 Raw Data'!B:B,0)),0)</f>
        <v/>
      </c>
      <c r="I30" s="144">
        <f>IFERROR(INDEX('T12 Raw Data'!M:M,MATCH("Contract / agency labor",'T12 Raw Data'!B:B,0)),0)</f>
        <v/>
      </c>
      <c r="J30" s="144">
        <f>IFERROR(INDEX('T12 Raw Data'!N:N,MATCH("Contract / agency labor",'T12 Raw Data'!B:B,0)),0)</f>
        <v/>
      </c>
      <c r="K30" s="144">
        <f>IFERROR(INDEX('T12 Raw Data'!O:O,MATCH("Contract / agency labor",'T12 Raw Data'!B:B,0)),0)</f>
        <v/>
      </c>
      <c r="L30" s="144">
        <f>IFERROR(INDEX('T12 Raw Data'!P:P,MATCH("Contract / agency labor",'T12 Raw Data'!B:B,0)),0)</f>
        <v/>
      </c>
      <c r="M30" s="144">
        <f>IFERROR(INDEX('T12 Raw Data'!Q:Q,MATCH("Contract / agency labor",'T12 Raw Data'!B:B,0)),0)</f>
        <v/>
      </c>
      <c r="N30" s="145">
        <f>SUM(B30:M30)</f>
        <v/>
      </c>
    </row>
    <row r="31" ht="15.75" customHeight="1" s="199">
      <c r="A31" s="83" t="inlineStr">
        <is>
          <t>Activities labor</t>
        </is>
      </c>
      <c r="B31" s="144">
        <f>IFERROR(INDEX('T12 Raw Data'!F:F,MATCH("Activities labor",'T12 Raw Data'!B:B,0)),0)</f>
        <v/>
      </c>
      <c r="C31" s="144">
        <f>IFERROR(INDEX('T12 Raw Data'!G:G,MATCH("Activities labor",'T12 Raw Data'!B:B,0)),0)</f>
        <v/>
      </c>
      <c r="D31" s="144">
        <f>IFERROR(INDEX('T12 Raw Data'!H:H,MATCH("Activities labor",'T12 Raw Data'!B:B,0)),0)</f>
        <v/>
      </c>
      <c r="E31" s="144">
        <f>IFERROR(INDEX('T12 Raw Data'!I:I,MATCH("Activities labor",'T12 Raw Data'!B:B,0)),0)</f>
        <v/>
      </c>
      <c r="F31" s="144">
        <f>IFERROR(INDEX('T12 Raw Data'!J:J,MATCH("Activities labor",'T12 Raw Data'!B:B,0)),0)</f>
        <v/>
      </c>
      <c r="G31" s="144">
        <f>IFERROR(INDEX('T12 Raw Data'!K:K,MATCH("Activities labor",'T12 Raw Data'!B:B,0)),0)</f>
        <v/>
      </c>
      <c r="H31" s="144">
        <f>IFERROR(INDEX('T12 Raw Data'!L:L,MATCH("Activities labor",'T12 Raw Data'!B:B,0)),0)</f>
        <v/>
      </c>
      <c r="I31" s="144">
        <f>IFERROR(INDEX('T12 Raw Data'!M:M,MATCH("Activities labor",'T12 Raw Data'!B:B,0)),0)</f>
        <v/>
      </c>
      <c r="J31" s="144">
        <f>IFERROR(INDEX('T12 Raw Data'!N:N,MATCH("Activities labor",'T12 Raw Data'!B:B,0)),0)</f>
        <v/>
      </c>
      <c r="K31" s="144">
        <f>IFERROR(INDEX('T12 Raw Data'!O:O,MATCH("Activities labor",'T12 Raw Data'!B:B,0)),0)</f>
        <v/>
      </c>
      <c r="L31" s="144">
        <f>IFERROR(INDEX('T12 Raw Data'!P:P,MATCH("Activities labor",'T12 Raw Data'!B:B,0)),0)</f>
        <v/>
      </c>
      <c r="M31" s="144">
        <f>IFERROR(INDEX('T12 Raw Data'!Q:Q,MATCH("Activities labor",'T12 Raw Data'!B:B,0)),0)</f>
        <v/>
      </c>
      <c r="N31" s="145">
        <f>SUM(B31:M31)</f>
        <v/>
      </c>
    </row>
    <row r="32" ht="15.75" customHeight="1" s="199">
      <c r="A32" s="83" t="inlineStr">
        <is>
          <t>Dining / food svc labor</t>
        </is>
      </c>
      <c r="B32" s="144">
        <f>IFERROR(INDEX('T12 Raw Data'!F:F,MATCH("Dining / food service labor",'T12 Raw Data'!B:B,0)),0)</f>
        <v/>
      </c>
      <c r="C32" s="144">
        <f>IFERROR(INDEX('T12 Raw Data'!G:G,MATCH("Dining / food service labor",'T12 Raw Data'!B:B,0)),0)</f>
        <v/>
      </c>
      <c r="D32" s="144">
        <f>IFERROR(INDEX('T12 Raw Data'!H:H,MATCH("Dining / food service labor",'T12 Raw Data'!B:B,0)),0)</f>
        <v/>
      </c>
      <c r="E32" s="144">
        <f>IFERROR(INDEX('T12 Raw Data'!I:I,MATCH("Dining / food service labor",'T12 Raw Data'!B:B,0)),0)</f>
        <v/>
      </c>
      <c r="F32" s="144">
        <f>IFERROR(INDEX('T12 Raw Data'!J:J,MATCH("Dining / food service labor",'T12 Raw Data'!B:B,0)),0)</f>
        <v/>
      </c>
      <c r="G32" s="144">
        <f>IFERROR(INDEX('T12 Raw Data'!K:K,MATCH("Dining / food service labor",'T12 Raw Data'!B:B,0)),0)</f>
        <v/>
      </c>
      <c r="H32" s="144">
        <f>IFERROR(INDEX('T12 Raw Data'!L:L,MATCH("Dining / food service labor",'T12 Raw Data'!B:B,0)),0)</f>
        <v/>
      </c>
      <c r="I32" s="144">
        <f>IFERROR(INDEX('T12 Raw Data'!M:M,MATCH("Dining / food service labor",'T12 Raw Data'!B:B,0)),0)</f>
        <v/>
      </c>
      <c r="J32" s="144">
        <f>IFERROR(INDEX('T12 Raw Data'!N:N,MATCH("Dining / food service labor",'T12 Raw Data'!B:B,0)),0)</f>
        <v/>
      </c>
      <c r="K32" s="144">
        <f>IFERROR(INDEX('T12 Raw Data'!O:O,MATCH("Dining / food service labor",'T12 Raw Data'!B:B,0)),0)</f>
        <v/>
      </c>
      <c r="L32" s="144">
        <f>IFERROR(INDEX('T12 Raw Data'!P:P,MATCH("Dining / food service labor",'T12 Raw Data'!B:B,0)),0)</f>
        <v/>
      </c>
      <c r="M32" s="144">
        <f>IFERROR(INDEX('T12 Raw Data'!Q:Q,MATCH("Dining / food service labor",'T12 Raw Data'!B:B,0)),0)</f>
        <v/>
      </c>
      <c r="N32" s="145">
        <f>SUM(B32:M32)</f>
        <v/>
      </c>
    </row>
    <row r="33" ht="15.75" customHeight="1" s="199">
      <c r="A33" s="83" t="inlineStr">
        <is>
          <t>Maint. &amp; HK labor</t>
        </is>
      </c>
      <c r="B33" s="144">
        <f>IFERROR(INDEX('T12 Raw Data'!F:F,MATCH("Maint. &amp; housekeeping labor",'T12 Raw Data'!B:B,0)),0)</f>
        <v/>
      </c>
      <c r="C33" s="144">
        <f>IFERROR(INDEX('T12 Raw Data'!G:G,MATCH("Maint. &amp; housekeeping labor",'T12 Raw Data'!B:B,0)),0)</f>
        <v/>
      </c>
      <c r="D33" s="144">
        <f>IFERROR(INDEX('T12 Raw Data'!H:H,MATCH("Maint. &amp; housekeeping labor",'T12 Raw Data'!B:B,0)),0)</f>
        <v/>
      </c>
      <c r="E33" s="144">
        <f>IFERROR(INDEX('T12 Raw Data'!I:I,MATCH("Maint. &amp; housekeeping labor",'T12 Raw Data'!B:B,0)),0)</f>
        <v/>
      </c>
      <c r="F33" s="144">
        <f>IFERROR(INDEX('T12 Raw Data'!J:J,MATCH("Maint. &amp; housekeeping labor",'T12 Raw Data'!B:B,0)),0)</f>
        <v/>
      </c>
      <c r="G33" s="144">
        <f>IFERROR(INDEX('T12 Raw Data'!K:K,MATCH("Maint. &amp; housekeeping labor",'T12 Raw Data'!B:B,0)),0)</f>
        <v/>
      </c>
      <c r="H33" s="144">
        <f>IFERROR(INDEX('T12 Raw Data'!L:L,MATCH("Maint. &amp; housekeeping labor",'T12 Raw Data'!B:B,0)),0)</f>
        <v/>
      </c>
      <c r="I33" s="144">
        <f>IFERROR(INDEX('T12 Raw Data'!M:M,MATCH("Maint. &amp; housekeeping labor",'T12 Raw Data'!B:B,0)),0)</f>
        <v/>
      </c>
      <c r="J33" s="144">
        <f>IFERROR(INDEX('T12 Raw Data'!N:N,MATCH("Maint. &amp; housekeeping labor",'T12 Raw Data'!B:B,0)),0)</f>
        <v/>
      </c>
      <c r="K33" s="144">
        <f>IFERROR(INDEX('T12 Raw Data'!O:O,MATCH("Maint. &amp; housekeeping labor",'T12 Raw Data'!B:B,0)),0)</f>
        <v/>
      </c>
      <c r="L33" s="144">
        <f>IFERROR(INDEX('T12 Raw Data'!P:P,MATCH("Maint. &amp; housekeeping labor",'T12 Raw Data'!B:B,0)),0)</f>
        <v/>
      </c>
      <c r="M33" s="144">
        <f>IFERROR(INDEX('T12 Raw Data'!Q:Q,MATCH("Maint. &amp; housekeeping labor",'T12 Raw Data'!B:B,0)),0)</f>
        <v/>
      </c>
      <c r="N33" s="145">
        <f>SUM(B33:M33)</f>
        <v/>
      </c>
    </row>
    <row r="34" ht="15.75" customHeight="1" s="199">
      <c r="A34" s="83" t="inlineStr">
        <is>
          <t>Administrative labor</t>
        </is>
      </c>
      <c r="B34" s="144">
        <f>IFERROR(INDEX('T12 Raw Data'!F:F,MATCH("Administrative labor",'T12 Raw Data'!B:B,0)),0)</f>
        <v/>
      </c>
      <c r="C34" s="144">
        <f>IFERROR(INDEX('T12 Raw Data'!G:G,MATCH("Administrative labor",'T12 Raw Data'!B:B,0)),0)</f>
        <v/>
      </c>
      <c r="D34" s="144">
        <f>IFERROR(INDEX('T12 Raw Data'!H:H,MATCH("Administrative labor",'T12 Raw Data'!B:B,0)),0)</f>
        <v/>
      </c>
      <c r="E34" s="144">
        <f>IFERROR(INDEX('T12 Raw Data'!I:I,MATCH("Administrative labor",'T12 Raw Data'!B:B,0)),0)</f>
        <v/>
      </c>
      <c r="F34" s="144">
        <f>IFERROR(INDEX('T12 Raw Data'!J:J,MATCH("Administrative labor",'T12 Raw Data'!B:B,0)),0)</f>
        <v/>
      </c>
      <c r="G34" s="144">
        <f>IFERROR(INDEX('T12 Raw Data'!K:K,MATCH("Administrative labor",'T12 Raw Data'!B:B,0)),0)</f>
        <v/>
      </c>
      <c r="H34" s="144">
        <f>IFERROR(INDEX('T12 Raw Data'!L:L,MATCH("Administrative labor",'T12 Raw Data'!B:B,0)),0)</f>
        <v/>
      </c>
      <c r="I34" s="144">
        <f>IFERROR(INDEX('T12 Raw Data'!M:M,MATCH("Administrative labor",'T12 Raw Data'!B:B,0)),0)</f>
        <v/>
      </c>
      <c r="J34" s="144">
        <f>IFERROR(INDEX('T12 Raw Data'!N:N,MATCH("Administrative labor",'T12 Raw Data'!B:B,0)),0)</f>
        <v/>
      </c>
      <c r="K34" s="144">
        <f>IFERROR(INDEX('T12 Raw Data'!O:O,MATCH("Administrative labor",'T12 Raw Data'!B:B,0)),0)</f>
        <v/>
      </c>
      <c r="L34" s="144">
        <f>IFERROR(INDEX('T12 Raw Data'!P:P,MATCH("Administrative labor",'T12 Raw Data'!B:B,0)),0)</f>
        <v/>
      </c>
      <c r="M34" s="144">
        <f>IFERROR(INDEX('T12 Raw Data'!Q:Q,MATCH("Administrative labor",'T12 Raw Data'!B:B,0)),0)</f>
        <v/>
      </c>
      <c r="N34" s="145">
        <f>SUM(B34:M34)</f>
        <v/>
      </c>
    </row>
    <row r="35" ht="15.75" customHeight="1" s="199">
      <c r="A35" s="83" t="inlineStr">
        <is>
          <t>Bonus wages</t>
        </is>
      </c>
      <c r="B35" s="144">
        <f>IFERROR(INDEX('T12 Raw Data'!F:F,MATCH("Bonus wages",'T12 Raw Data'!B:B,0)),0)</f>
        <v/>
      </c>
      <c r="C35" s="144">
        <f>IFERROR(INDEX('T12 Raw Data'!G:G,MATCH("Bonus wages",'T12 Raw Data'!B:B,0)),0)</f>
        <v/>
      </c>
      <c r="D35" s="144">
        <f>IFERROR(INDEX('T12 Raw Data'!H:H,MATCH("Bonus wages",'T12 Raw Data'!B:B,0)),0)</f>
        <v/>
      </c>
      <c r="E35" s="144">
        <f>IFERROR(INDEX('T12 Raw Data'!I:I,MATCH("Bonus wages",'T12 Raw Data'!B:B,0)),0)</f>
        <v/>
      </c>
      <c r="F35" s="144">
        <f>IFERROR(INDEX('T12 Raw Data'!J:J,MATCH("Bonus wages",'T12 Raw Data'!B:B,0)),0)</f>
        <v/>
      </c>
      <c r="G35" s="144">
        <f>IFERROR(INDEX('T12 Raw Data'!K:K,MATCH("Bonus wages",'T12 Raw Data'!B:B,0)),0)</f>
        <v/>
      </c>
      <c r="H35" s="144">
        <f>IFERROR(INDEX('T12 Raw Data'!L:L,MATCH("Bonus wages",'T12 Raw Data'!B:B,0)),0)</f>
        <v/>
      </c>
      <c r="I35" s="144">
        <f>IFERROR(INDEX('T12 Raw Data'!M:M,MATCH("Bonus wages",'T12 Raw Data'!B:B,0)),0)</f>
        <v/>
      </c>
      <c r="J35" s="144">
        <f>IFERROR(INDEX('T12 Raw Data'!N:N,MATCH("Bonus wages",'T12 Raw Data'!B:B,0)),0)</f>
        <v/>
      </c>
      <c r="K35" s="144">
        <f>IFERROR(INDEX('T12 Raw Data'!O:O,MATCH("Bonus wages",'T12 Raw Data'!B:B,0)),0)</f>
        <v/>
      </c>
      <c r="L35" s="144">
        <f>IFERROR(INDEX('T12 Raw Data'!P:P,MATCH("Bonus wages",'T12 Raw Data'!B:B,0)),0)</f>
        <v/>
      </c>
      <c r="M35" s="144">
        <f>IFERROR(INDEX('T12 Raw Data'!Q:Q,MATCH("Bonus wages",'T12 Raw Data'!B:B,0)),0)</f>
        <v/>
      </c>
      <c r="N35" s="145">
        <f>SUM(B35:M35)</f>
        <v/>
      </c>
    </row>
    <row r="36" ht="15.75" customHeight="1" s="199">
      <c r="A36" s="146" t="inlineStr">
        <is>
          <t>Total direct labor</t>
        </is>
      </c>
      <c r="B36" s="147">
        <f>B28+B29+B30+B31+B32+B33+B34+B35</f>
        <v/>
      </c>
      <c r="C36" s="147">
        <f>C28+C29+C30+C31+C32+C33+C34+C35</f>
        <v/>
      </c>
      <c r="D36" s="147">
        <f>D28+D29+D30+D31+D32+D33+D34+D35</f>
        <v/>
      </c>
      <c r="E36" s="147">
        <f>E28+E29+E30+E31+E32+E33+E34+E35</f>
        <v/>
      </c>
      <c r="F36" s="147">
        <f>F28+F29+F30+F31+F32+F33+F34+F35</f>
        <v/>
      </c>
      <c r="G36" s="147">
        <f>G28+G29+G30+G31+G32+G33+G34+G35</f>
        <v/>
      </c>
      <c r="H36" s="147">
        <f>H28+H29+H30+H31+H32+H33+H34+H35</f>
        <v/>
      </c>
      <c r="I36" s="147">
        <f>I28+I29+I30+I31+I32+I33+I34+I35</f>
        <v/>
      </c>
      <c r="J36" s="147">
        <f>J28+J29+J30+J31+J32+J33+J34+J35</f>
        <v/>
      </c>
      <c r="K36" s="147">
        <f>K28+K29+K30+K31+K32+K33+K34+K35</f>
        <v/>
      </c>
      <c r="L36" s="147">
        <f>L28+L29+L30+L31+L32+L33+L34+L35</f>
        <v/>
      </c>
      <c r="M36" s="147">
        <f>M28+M29+M30+M31+M32+M33+M34+M35</f>
        <v/>
      </c>
      <c r="N36" s="147">
        <f>N28+N29+N30+N31+N32+N33+N34+N35</f>
        <v/>
      </c>
    </row>
    <row r="37" ht="15.75" customHeight="1" s="199">
      <c r="A37" s="83" t="inlineStr">
        <is>
          <t>Overtime wages</t>
        </is>
      </c>
      <c r="B37" s="144">
        <f>IFERROR(INDEX('T12 Raw Data'!F:F,MATCH("Overtime wages",'T12 Raw Data'!B:B,0)),0)</f>
        <v/>
      </c>
      <c r="C37" s="144">
        <f>IFERROR(INDEX('T12 Raw Data'!G:G,MATCH("Overtime wages",'T12 Raw Data'!B:B,0)),0)</f>
        <v/>
      </c>
      <c r="D37" s="144">
        <f>IFERROR(INDEX('T12 Raw Data'!H:H,MATCH("Overtime wages",'T12 Raw Data'!B:B,0)),0)</f>
        <v/>
      </c>
      <c r="E37" s="144">
        <f>IFERROR(INDEX('T12 Raw Data'!I:I,MATCH("Overtime wages",'T12 Raw Data'!B:B,0)),0)</f>
        <v/>
      </c>
      <c r="F37" s="144">
        <f>IFERROR(INDEX('T12 Raw Data'!J:J,MATCH("Overtime wages",'T12 Raw Data'!B:B,0)),0)</f>
        <v/>
      </c>
      <c r="G37" s="144">
        <f>IFERROR(INDEX('T12 Raw Data'!K:K,MATCH("Overtime wages",'T12 Raw Data'!B:B,0)),0)</f>
        <v/>
      </c>
      <c r="H37" s="144">
        <f>IFERROR(INDEX('T12 Raw Data'!L:L,MATCH("Overtime wages",'T12 Raw Data'!B:B,0)),0)</f>
        <v/>
      </c>
      <c r="I37" s="144">
        <f>IFERROR(INDEX('T12 Raw Data'!M:M,MATCH("Overtime wages",'T12 Raw Data'!B:B,0)),0)</f>
        <v/>
      </c>
      <c r="J37" s="144">
        <f>IFERROR(INDEX('T12 Raw Data'!N:N,MATCH("Overtime wages",'T12 Raw Data'!B:B,0)),0)</f>
        <v/>
      </c>
      <c r="K37" s="144">
        <f>IFERROR(INDEX('T12 Raw Data'!O:O,MATCH("Overtime wages",'T12 Raw Data'!B:B,0)),0)</f>
        <v/>
      </c>
      <c r="L37" s="144">
        <f>IFERROR(INDEX('T12 Raw Data'!P:P,MATCH("Overtime wages",'T12 Raw Data'!B:B,0)),0)</f>
        <v/>
      </c>
      <c r="M37" s="144">
        <f>IFERROR(INDEX('T12 Raw Data'!Q:Q,MATCH("Overtime wages",'T12 Raw Data'!B:B,0)),0)</f>
        <v/>
      </c>
      <c r="N37" s="145">
        <f>SUM(B37:M37)</f>
        <v/>
      </c>
    </row>
    <row r="38" ht="15.75" customHeight="1" s="199">
      <c r="A38" s="83" t="inlineStr">
        <is>
          <t>PTO wages</t>
        </is>
      </c>
      <c r="B38" s="144">
        <f>IFERROR(INDEX('T12 Raw Data'!F:F,MATCH("PTO wages",'T12 Raw Data'!B:B,0)),0)</f>
        <v/>
      </c>
      <c r="C38" s="144">
        <f>IFERROR(INDEX('T12 Raw Data'!G:G,MATCH("PTO wages",'T12 Raw Data'!B:B,0)),0)</f>
        <v/>
      </c>
      <c r="D38" s="144">
        <f>IFERROR(INDEX('T12 Raw Data'!H:H,MATCH("PTO wages",'T12 Raw Data'!B:B,0)),0)</f>
        <v/>
      </c>
      <c r="E38" s="144">
        <f>IFERROR(INDEX('T12 Raw Data'!I:I,MATCH("PTO wages",'T12 Raw Data'!B:B,0)),0)</f>
        <v/>
      </c>
      <c r="F38" s="144">
        <f>IFERROR(INDEX('T12 Raw Data'!J:J,MATCH("PTO wages",'T12 Raw Data'!B:B,0)),0)</f>
        <v/>
      </c>
      <c r="G38" s="144">
        <f>IFERROR(INDEX('T12 Raw Data'!K:K,MATCH("PTO wages",'T12 Raw Data'!B:B,0)),0)</f>
        <v/>
      </c>
      <c r="H38" s="144">
        <f>IFERROR(INDEX('T12 Raw Data'!L:L,MATCH("PTO wages",'T12 Raw Data'!B:B,0)),0)</f>
        <v/>
      </c>
      <c r="I38" s="144">
        <f>IFERROR(INDEX('T12 Raw Data'!M:M,MATCH("PTO wages",'T12 Raw Data'!B:B,0)),0)</f>
        <v/>
      </c>
      <c r="J38" s="144">
        <f>IFERROR(INDEX('T12 Raw Data'!N:N,MATCH("PTO wages",'T12 Raw Data'!B:B,0)),0)</f>
        <v/>
      </c>
      <c r="K38" s="144">
        <f>IFERROR(INDEX('T12 Raw Data'!O:O,MATCH("PTO wages",'T12 Raw Data'!B:B,0)),0)</f>
        <v/>
      </c>
      <c r="L38" s="144">
        <f>IFERROR(INDEX('T12 Raw Data'!P:P,MATCH("PTO wages",'T12 Raw Data'!B:B,0)),0)</f>
        <v/>
      </c>
      <c r="M38" s="144">
        <f>IFERROR(INDEX('T12 Raw Data'!Q:Q,MATCH("PTO wages",'T12 Raw Data'!B:B,0)),0)</f>
        <v/>
      </c>
      <c r="N38" s="145">
        <f>SUM(B38:M38)</f>
        <v/>
      </c>
    </row>
    <row r="39" ht="18" customHeight="1" s="199">
      <c r="A39" s="83" t="inlineStr">
        <is>
          <t>Payroll taxes</t>
        </is>
      </c>
      <c r="B39" s="144">
        <f>IFERROR(INDEX('T12 Raw Data'!F:F,MATCH("Payroll taxes",'T12 Raw Data'!B:B,0)),0)</f>
        <v/>
      </c>
      <c r="C39" s="144">
        <f>IFERROR(INDEX('T12 Raw Data'!G:G,MATCH("Payroll taxes",'T12 Raw Data'!B:B,0)),0)</f>
        <v/>
      </c>
      <c r="D39" s="144">
        <f>IFERROR(INDEX('T12 Raw Data'!H:H,MATCH("Payroll taxes",'T12 Raw Data'!B:B,0)),0)</f>
        <v/>
      </c>
      <c r="E39" s="144">
        <f>IFERROR(INDEX('T12 Raw Data'!I:I,MATCH("Payroll taxes",'T12 Raw Data'!B:B,0)),0)</f>
        <v/>
      </c>
      <c r="F39" s="144">
        <f>IFERROR(INDEX('T12 Raw Data'!J:J,MATCH("Payroll taxes",'T12 Raw Data'!B:B,0)),0)</f>
        <v/>
      </c>
      <c r="G39" s="144">
        <f>IFERROR(INDEX('T12 Raw Data'!K:K,MATCH("Payroll taxes",'T12 Raw Data'!B:B,0)),0)</f>
        <v/>
      </c>
      <c r="H39" s="144">
        <f>IFERROR(INDEX('T12 Raw Data'!L:L,MATCH("Payroll taxes",'T12 Raw Data'!B:B,0)),0)</f>
        <v/>
      </c>
      <c r="I39" s="144">
        <f>IFERROR(INDEX('T12 Raw Data'!M:M,MATCH("Payroll taxes",'T12 Raw Data'!B:B,0)),0)</f>
        <v/>
      </c>
      <c r="J39" s="144">
        <f>IFERROR(INDEX('T12 Raw Data'!N:N,MATCH("Payroll taxes",'T12 Raw Data'!B:B,0)),0)</f>
        <v/>
      </c>
      <c r="K39" s="144">
        <f>IFERROR(INDEX('T12 Raw Data'!O:O,MATCH("Payroll taxes",'T12 Raw Data'!B:B,0)),0)</f>
        <v/>
      </c>
      <c r="L39" s="144">
        <f>IFERROR(INDEX('T12 Raw Data'!P:P,MATCH("Payroll taxes",'T12 Raw Data'!B:B,0)),0)</f>
        <v/>
      </c>
      <c r="M39" s="144">
        <f>IFERROR(INDEX('T12 Raw Data'!Q:Q,MATCH("Payroll taxes",'T12 Raw Data'!B:B,0)),0)</f>
        <v/>
      </c>
      <c r="N39" s="145">
        <f>SUM(B39:M39)</f>
        <v/>
      </c>
    </row>
    <row r="40" ht="15.75" customHeight="1" s="199">
      <c r="A40" s="83" t="inlineStr">
        <is>
          <t>Employee benefits</t>
        </is>
      </c>
      <c r="B40" s="144">
        <f>IFERROR(INDEX('T12 Raw Data'!F:F,MATCH("Employee benefits",'T12 Raw Data'!B:B,0)),0)</f>
        <v/>
      </c>
      <c r="C40" s="144">
        <f>IFERROR(INDEX('T12 Raw Data'!G:G,MATCH("Employee benefits",'T12 Raw Data'!B:B,0)),0)</f>
        <v/>
      </c>
      <c r="D40" s="144">
        <f>IFERROR(INDEX('T12 Raw Data'!H:H,MATCH("Employee benefits",'T12 Raw Data'!B:B,0)),0)</f>
        <v/>
      </c>
      <c r="E40" s="144">
        <f>IFERROR(INDEX('T12 Raw Data'!I:I,MATCH("Employee benefits",'T12 Raw Data'!B:B,0)),0)</f>
        <v/>
      </c>
      <c r="F40" s="144">
        <f>IFERROR(INDEX('T12 Raw Data'!J:J,MATCH("Employee benefits",'T12 Raw Data'!B:B,0)),0)</f>
        <v/>
      </c>
      <c r="G40" s="144">
        <f>IFERROR(INDEX('T12 Raw Data'!K:K,MATCH("Employee benefits",'T12 Raw Data'!B:B,0)),0)</f>
        <v/>
      </c>
      <c r="H40" s="144">
        <f>IFERROR(INDEX('T12 Raw Data'!L:L,MATCH("Employee benefits",'T12 Raw Data'!B:B,0)),0)</f>
        <v/>
      </c>
      <c r="I40" s="144">
        <f>IFERROR(INDEX('T12 Raw Data'!M:M,MATCH("Employee benefits",'T12 Raw Data'!B:B,0)),0)</f>
        <v/>
      </c>
      <c r="J40" s="144">
        <f>IFERROR(INDEX('T12 Raw Data'!N:N,MATCH("Employee benefits",'T12 Raw Data'!B:B,0)),0)</f>
        <v/>
      </c>
      <c r="K40" s="144">
        <f>IFERROR(INDEX('T12 Raw Data'!O:O,MATCH("Employee benefits",'T12 Raw Data'!B:B,0)),0)</f>
        <v/>
      </c>
      <c r="L40" s="144">
        <f>IFERROR(INDEX('T12 Raw Data'!P:P,MATCH("Employee benefits",'T12 Raw Data'!B:B,0)),0)</f>
        <v/>
      </c>
      <c r="M40" s="144">
        <f>IFERROR(INDEX('T12 Raw Data'!Q:Q,MATCH("Employee benefits",'T12 Raw Data'!B:B,0)),0)</f>
        <v/>
      </c>
      <c r="N40" s="145">
        <f>SUM(B40:M40)</f>
        <v/>
      </c>
    </row>
    <row r="41" ht="15.75" customHeight="1" s="199">
      <c r="A41" s="83" t="inlineStr">
        <is>
          <t>Workers' comp insurance</t>
        </is>
      </c>
      <c r="B41" s="144">
        <f>IFERROR(INDEX('T12 Raw Data'!F:F,MATCH("Workers' comp insurance",'T12 Raw Data'!B:B,0)),0)</f>
        <v/>
      </c>
      <c r="C41" s="144">
        <f>IFERROR(INDEX('T12 Raw Data'!G:G,MATCH("Workers' comp insurance",'T12 Raw Data'!B:B,0)),0)</f>
        <v/>
      </c>
      <c r="D41" s="144">
        <f>IFERROR(INDEX('T12 Raw Data'!H:H,MATCH("Workers' comp insurance",'T12 Raw Data'!B:B,0)),0)</f>
        <v/>
      </c>
      <c r="E41" s="144">
        <f>IFERROR(INDEX('T12 Raw Data'!I:I,MATCH("Workers' comp insurance",'T12 Raw Data'!B:B,0)),0)</f>
        <v/>
      </c>
      <c r="F41" s="144">
        <f>IFERROR(INDEX('T12 Raw Data'!J:J,MATCH("Workers' comp insurance",'T12 Raw Data'!B:B,0)),0)</f>
        <v/>
      </c>
      <c r="G41" s="144">
        <f>IFERROR(INDEX('T12 Raw Data'!K:K,MATCH("Workers' comp insurance",'T12 Raw Data'!B:B,0)),0)</f>
        <v/>
      </c>
      <c r="H41" s="144">
        <f>IFERROR(INDEX('T12 Raw Data'!L:L,MATCH("Workers' comp insurance",'T12 Raw Data'!B:B,0)),0)</f>
        <v/>
      </c>
      <c r="I41" s="144">
        <f>IFERROR(INDEX('T12 Raw Data'!M:M,MATCH("Workers' comp insurance",'T12 Raw Data'!B:B,0)),0)</f>
        <v/>
      </c>
      <c r="J41" s="144">
        <f>IFERROR(INDEX('T12 Raw Data'!N:N,MATCH("Workers' comp insurance",'T12 Raw Data'!B:B,0)),0)</f>
        <v/>
      </c>
      <c r="K41" s="144">
        <f>IFERROR(INDEX('T12 Raw Data'!O:O,MATCH("Workers' comp insurance",'T12 Raw Data'!B:B,0)),0)</f>
        <v/>
      </c>
      <c r="L41" s="144">
        <f>IFERROR(INDEX('T12 Raw Data'!P:P,MATCH("Workers' comp insurance",'T12 Raw Data'!B:B,0)),0)</f>
        <v/>
      </c>
      <c r="M41" s="144">
        <f>IFERROR(INDEX('T12 Raw Data'!Q:Q,MATCH("Workers' comp insurance",'T12 Raw Data'!B:B,0)),0)</f>
        <v/>
      </c>
      <c r="N41" s="145">
        <f>SUM(B41:M41)</f>
        <v/>
      </c>
    </row>
    <row r="42" ht="15.75" customHeight="1" s="199">
      <c r="A42" s="83" t="inlineStr">
        <is>
          <t>Employee 401(k)</t>
        </is>
      </c>
      <c r="B42" s="144">
        <f>IFERROR(INDEX('T12 Raw Data'!F:F,MATCH("Employee 401(k)",'T12 Raw Data'!B:B,0)),0)</f>
        <v/>
      </c>
      <c r="C42" s="144">
        <f>IFERROR(INDEX('T12 Raw Data'!G:G,MATCH("Employee 401(k)",'T12 Raw Data'!B:B,0)),0)</f>
        <v/>
      </c>
      <c r="D42" s="144">
        <f>IFERROR(INDEX('T12 Raw Data'!H:H,MATCH("Employee 401(k)",'T12 Raw Data'!B:B,0)),0)</f>
        <v/>
      </c>
      <c r="E42" s="144">
        <f>IFERROR(INDEX('T12 Raw Data'!I:I,MATCH("Employee 401(k)",'T12 Raw Data'!B:B,0)),0)</f>
        <v/>
      </c>
      <c r="F42" s="144">
        <f>IFERROR(INDEX('T12 Raw Data'!J:J,MATCH("Employee 401(k)",'T12 Raw Data'!B:B,0)),0)</f>
        <v/>
      </c>
      <c r="G42" s="144">
        <f>IFERROR(INDEX('T12 Raw Data'!K:K,MATCH("Employee 401(k)",'T12 Raw Data'!B:B,0)),0)</f>
        <v/>
      </c>
      <c r="H42" s="144">
        <f>IFERROR(INDEX('T12 Raw Data'!L:L,MATCH("Employee 401(k)",'T12 Raw Data'!B:B,0)),0)</f>
        <v/>
      </c>
      <c r="I42" s="144">
        <f>IFERROR(INDEX('T12 Raw Data'!M:M,MATCH("Employee 401(k)",'T12 Raw Data'!B:B,0)),0)</f>
        <v/>
      </c>
      <c r="J42" s="144">
        <f>IFERROR(INDEX('T12 Raw Data'!N:N,MATCH("Employee 401(k)",'T12 Raw Data'!B:B,0)),0)</f>
        <v/>
      </c>
      <c r="K42" s="144">
        <f>IFERROR(INDEX('T12 Raw Data'!O:O,MATCH("Employee 401(k)",'T12 Raw Data'!B:B,0)),0)</f>
        <v/>
      </c>
      <c r="L42" s="144">
        <f>IFERROR(INDEX('T12 Raw Data'!P:P,MATCH("Employee 401(k)",'T12 Raw Data'!B:B,0)),0)</f>
        <v/>
      </c>
      <c r="M42" s="144">
        <f>IFERROR(INDEX('T12 Raw Data'!Q:Q,MATCH("Employee 401(k)",'T12 Raw Data'!B:B,0)),0)</f>
        <v/>
      </c>
      <c r="N42" s="145">
        <f>SUM(B42:M42)</f>
        <v/>
      </c>
    </row>
    <row r="43" ht="15.75" customHeight="1" s="199">
      <c r="A43" s="146" t="inlineStr">
        <is>
          <t>Total payroll burden</t>
        </is>
      </c>
      <c r="B43" s="147">
        <f>B37+B38+B39+B40+B41+B42</f>
        <v/>
      </c>
      <c r="C43" s="147">
        <f>C37+C38+C39+C40+C41+C42</f>
        <v/>
      </c>
      <c r="D43" s="147">
        <f>D37+D38+D39+D40+D41+D42</f>
        <v/>
      </c>
      <c r="E43" s="147">
        <f>E37+E38+E39+E40+E41+E42</f>
        <v/>
      </c>
      <c r="F43" s="147">
        <f>F37+F38+F39+F40+F41+F42</f>
        <v/>
      </c>
      <c r="G43" s="147">
        <f>G37+G38+G39+G40+G41+G42</f>
        <v/>
      </c>
      <c r="H43" s="147">
        <f>H37+H38+H39+H40+H41+H42</f>
        <v/>
      </c>
      <c r="I43" s="147">
        <f>I37+I38+I39+I40+I41+I42</f>
        <v/>
      </c>
      <c r="J43" s="147">
        <f>J37+J38+J39+J40+J41+J42</f>
        <v/>
      </c>
      <c r="K43" s="147">
        <f>K37+K38+K39+K40+K41+K42</f>
        <v/>
      </c>
      <c r="L43" s="147">
        <f>L37+L38+L39+L40+L41+L42</f>
        <v/>
      </c>
      <c r="M43" s="147">
        <f>M37+M38+M39+M40+M41+M42</f>
        <v/>
      </c>
      <c r="N43" s="147">
        <f>N37+N38+N39+N40+N41+N42</f>
        <v/>
      </c>
    </row>
    <row r="44" ht="15.75" customHeight="1" s="199">
      <c r="A44" s="151" t="inlineStr">
        <is>
          <t>TOTAL LABOR &amp; BURDEN</t>
        </is>
      </c>
      <c r="B44" s="30">
        <f>B36+B43</f>
        <v/>
      </c>
      <c r="C44" s="30">
        <f>C36+C43</f>
        <v/>
      </c>
      <c r="D44" s="30">
        <f>D36+D43</f>
        <v/>
      </c>
      <c r="E44" s="30">
        <f>E36+E43</f>
        <v/>
      </c>
      <c r="F44" s="30">
        <f>F36+F43</f>
        <v/>
      </c>
      <c r="G44" s="30">
        <f>G36+G43</f>
        <v/>
      </c>
      <c r="H44" s="30">
        <f>H36+H43</f>
        <v/>
      </c>
      <c r="I44" s="30">
        <f>I36+I43</f>
        <v/>
      </c>
      <c r="J44" s="30">
        <f>J36+J43</f>
        <v/>
      </c>
      <c r="K44" s="30">
        <f>K36+K43</f>
        <v/>
      </c>
      <c r="L44" s="30">
        <f>L36+L43</f>
        <v/>
      </c>
      <c r="M44" s="30">
        <f>M36+M43</f>
        <v/>
      </c>
      <c r="N44" s="30">
        <f>N36+N43</f>
        <v/>
      </c>
    </row>
    <row r="45" ht="15.75" customHeight="1" s="199">
      <c r="A45" s="174" t="inlineStr">
        <is>
          <t>NON-LABOR</t>
        </is>
      </c>
    </row>
    <row r="46" ht="15.75" customHeight="1" s="199">
      <c r="A46" s="83" t="inlineStr">
        <is>
          <t>Food cost</t>
        </is>
      </c>
      <c r="B46" s="144">
        <f>IFERROR(INDEX('T12 Raw Data'!F:F,MATCH("Food cost",'T12 Raw Data'!B:B,0)),0)</f>
        <v/>
      </c>
      <c r="C46" s="144">
        <f>IFERROR(INDEX('T12 Raw Data'!G:G,MATCH("Food cost",'T12 Raw Data'!B:B,0)),0)</f>
        <v/>
      </c>
      <c r="D46" s="144">
        <f>IFERROR(INDEX('T12 Raw Data'!H:H,MATCH("Food cost",'T12 Raw Data'!B:B,0)),0)</f>
        <v/>
      </c>
      <c r="E46" s="144">
        <f>IFERROR(INDEX('T12 Raw Data'!I:I,MATCH("Food cost",'T12 Raw Data'!B:B,0)),0)</f>
        <v/>
      </c>
      <c r="F46" s="144">
        <f>IFERROR(INDEX('T12 Raw Data'!J:J,MATCH("Food cost",'T12 Raw Data'!B:B,0)),0)</f>
        <v/>
      </c>
      <c r="G46" s="144">
        <f>IFERROR(INDEX('T12 Raw Data'!K:K,MATCH("Food cost",'T12 Raw Data'!B:B,0)),0)</f>
        <v/>
      </c>
      <c r="H46" s="144">
        <f>IFERROR(INDEX('T12 Raw Data'!L:L,MATCH("Food cost",'T12 Raw Data'!B:B,0)),0)</f>
        <v/>
      </c>
      <c r="I46" s="144">
        <f>IFERROR(INDEX('T12 Raw Data'!M:M,MATCH("Food cost",'T12 Raw Data'!B:B,0)),0)</f>
        <v/>
      </c>
      <c r="J46" s="144">
        <f>IFERROR(INDEX('T12 Raw Data'!N:N,MATCH("Food cost",'T12 Raw Data'!B:B,0)),0)</f>
        <v/>
      </c>
      <c r="K46" s="144">
        <f>IFERROR(INDEX('T12 Raw Data'!O:O,MATCH("Food cost",'T12 Raw Data'!B:B,0)),0)</f>
        <v/>
      </c>
      <c r="L46" s="144">
        <f>IFERROR(INDEX('T12 Raw Data'!P:P,MATCH("Food cost",'T12 Raw Data'!B:B,0)),0)</f>
        <v/>
      </c>
      <c r="M46" s="144">
        <f>IFERROR(INDEX('T12 Raw Data'!Q:Q,MATCH("Food cost",'T12 Raw Data'!B:B,0)),0)</f>
        <v/>
      </c>
      <c r="N46" s="145">
        <f>SUM(B46:M46)</f>
        <v/>
      </c>
    </row>
    <row r="47" ht="15.75" customHeight="1" s="199">
      <c r="A47" s="83" t="inlineStr">
        <is>
          <t>Dining &amp; kitchen supplies</t>
        </is>
      </c>
      <c r="B47" s="144">
        <f>IFERROR(INDEX('T12 Raw Data'!F:F,MATCH("Dining &amp; kitchen supplies",'T12 Raw Data'!B:B,0)),0)</f>
        <v/>
      </c>
      <c r="C47" s="144">
        <f>IFERROR(INDEX('T12 Raw Data'!G:G,MATCH("Dining &amp; kitchen supplies",'T12 Raw Data'!B:B,0)),0)</f>
        <v/>
      </c>
      <c r="D47" s="144">
        <f>IFERROR(INDEX('T12 Raw Data'!H:H,MATCH("Dining &amp; kitchen supplies",'T12 Raw Data'!B:B,0)),0)</f>
        <v/>
      </c>
      <c r="E47" s="144">
        <f>IFERROR(INDEX('T12 Raw Data'!I:I,MATCH("Dining &amp; kitchen supplies",'T12 Raw Data'!B:B,0)),0)</f>
        <v/>
      </c>
      <c r="F47" s="144">
        <f>IFERROR(INDEX('T12 Raw Data'!J:J,MATCH("Dining &amp; kitchen supplies",'T12 Raw Data'!B:B,0)),0)</f>
        <v/>
      </c>
      <c r="G47" s="144">
        <f>IFERROR(INDEX('T12 Raw Data'!K:K,MATCH("Dining &amp; kitchen supplies",'T12 Raw Data'!B:B,0)),0)</f>
        <v/>
      </c>
      <c r="H47" s="144">
        <f>IFERROR(INDEX('T12 Raw Data'!L:L,MATCH("Dining &amp; kitchen supplies",'T12 Raw Data'!B:B,0)),0)</f>
        <v/>
      </c>
      <c r="I47" s="144">
        <f>IFERROR(INDEX('T12 Raw Data'!M:M,MATCH("Dining &amp; kitchen supplies",'T12 Raw Data'!B:B,0)),0)</f>
        <v/>
      </c>
      <c r="J47" s="144">
        <f>IFERROR(INDEX('T12 Raw Data'!N:N,MATCH("Dining &amp; kitchen supplies",'T12 Raw Data'!B:B,0)),0)</f>
        <v/>
      </c>
      <c r="K47" s="144">
        <f>IFERROR(INDEX('T12 Raw Data'!O:O,MATCH("Dining &amp; kitchen supplies",'T12 Raw Data'!B:B,0)),0)</f>
        <v/>
      </c>
      <c r="L47" s="144">
        <f>IFERROR(INDEX('T12 Raw Data'!P:P,MATCH("Dining &amp; kitchen supplies",'T12 Raw Data'!B:B,0)),0)</f>
        <v/>
      </c>
      <c r="M47" s="144">
        <f>IFERROR(INDEX('T12 Raw Data'!Q:Q,MATCH("Dining &amp; kitchen supplies",'T12 Raw Data'!B:B,0)),0)</f>
        <v/>
      </c>
      <c r="N47" s="145">
        <f>SUM(B47:M47)</f>
        <v/>
      </c>
    </row>
    <row r="48" ht="15.75" customHeight="1" s="199">
      <c r="A48" s="83" t="inlineStr">
        <is>
          <t>Nursing &amp; care supplies</t>
        </is>
      </c>
      <c r="B48" s="144">
        <f>IFERROR(INDEX('T12 Raw Data'!F:F,MATCH("Nursing &amp; care supplies",'T12 Raw Data'!B:B,0)),0)</f>
        <v/>
      </c>
      <c r="C48" s="144">
        <f>IFERROR(INDEX('T12 Raw Data'!G:G,MATCH("Nursing &amp; care supplies",'T12 Raw Data'!B:B,0)),0)</f>
        <v/>
      </c>
      <c r="D48" s="144">
        <f>IFERROR(INDEX('T12 Raw Data'!H:H,MATCH("Nursing &amp; care supplies",'T12 Raw Data'!B:B,0)),0)</f>
        <v/>
      </c>
      <c r="E48" s="144">
        <f>IFERROR(INDEX('T12 Raw Data'!I:I,MATCH("Nursing &amp; care supplies",'T12 Raw Data'!B:B,0)),0)</f>
        <v/>
      </c>
      <c r="F48" s="144">
        <f>IFERROR(INDEX('T12 Raw Data'!J:J,MATCH("Nursing &amp; care supplies",'T12 Raw Data'!B:B,0)),0)</f>
        <v/>
      </c>
      <c r="G48" s="144">
        <f>IFERROR(INDEX('T12 Raw Data'!K:K,MATCH("Nursing &amp; care supplies",'T12 Raw Data'!B:B,0)),0)</f>
        <v/>
      </c>
      <c r="H48" s="144">
        <f>IFERROR(INDEX('T12 Raw Data'!L:L,MATCH("Nursing &amp; care supplies",'T12 Raw Data'!B:B,0)),0)</f>
        <v/>
      </c>
      <c r="I48" s="144">
        <f>IFERROR(INDEX('T12 Raw Data'!M:M,MATCH("Nursing &amp; care supplies",'T12 Raw Data'!B:B,0)),0)</f>
        <v/>
      </c>
      <c r="J48" s="144">
        <f>IFERROR(INDEX('T12 Raw Data'!N:N,MATCH("Nursing &amp; care supplies",'T12 Raw Data'!B:B,0)),0)</f>
        <v/>
      </c>
      <c r="K48" s="144">
        <f>IFERROR(INDEX('T12 Raw Data'!O:O,MATCH("Nursing &amp; care supplies",'T12 Raw Data'!B:B,0)),0)</f>
        <v/>
      </c>
      <c r="L48" s="144">
        <f>IFERROR(INDEX('T12 Raw Data'!P:P,MATCH("Nursing &amp; care supplies",'T12 Raw Data'!B:B,0)),0)</f>
        <v/>
      </c>
      <c r="M48" s="144">
        <f>IFERROR(INDEX('T12 Raw Data'!Q:Q,MATCH("Nursing &amp; care supplies",'T12 Raw Data'!B:B,0)),0)</f>
        <v/>
      </c>
      <c r="N48" s="145">
        <f>SUM(B48:M48)</f>
        <v/>
      </c>
    </row>
    <row r="49" ht="15.75" customHeight="1" s="199">
      <c r="A49" s="83" t="inlineStr">
        <is>
          <t>Recreation supplies</t>
        </is>
      </c>
      <c r="B49" s="144">
        <f>IFERROR(INDEX('T12 Raw Data'!F:F,MATCH("Recreation &amp; activity suppl.",'T12 Raw Data'!B:B,0)),0)</f>
        <v/>
      </c>
      <c r="C49" s="144">
        <f>IFERROR(INDEX('T12 Raw Data'!G:G,MATCH("Recreation &amp; activity suppl.",'T12 Raw Data'!B:B,0)),0)</f>
        <v/>
      </c>
      <c r="D49" s="144">
        <f>IFERROR(INDEX('T12 Raw Data'!H:H,MATCH("Recreation &amp; activity suppl.",'T12 Raw Data'!B:B,0)),0)</f>
        <v/>
      </c>
      <c r="E49" s="144">
        <f>IFERROR(INDEX('T12 Raw Data'!I:I,MATCH("Recreation &amp; activity suppl.",'T12 Raw Data'!B:B,0)),0)</f>
        <v/>
      </c>
      <c r="F49" s="144">
        <f>IFERROR(INDEX('T12 Raw Data'!J:J,MATCH("Recreation &amp; activity suppl.",'T12 Raw Data'!B:B,0)),0)</f>
        <v/>
      </c>
      <c r="G49" s="144">
        <f>IFERROR(INDEX('T12 Raw Data'!K:K,MATCH("Recreation &amp; activity suppl.",'T12 Raw Data'!B:B,0)),0)</f>
        <v/>
      </c>
      <c r="H49" s="144">
        <f>IFERROR(INDEX('T12 Raw Data'!L:L,MATCH("Recreation &amp; activity suppl.",'T12 Raw Data'!B:B,0)),0)</f>
        <v/>
      </c>
      <c r="I49" s="144">
        <f>IFERROR(INDEX('T12 Raw Data'!M:M,MATCH("Recreation &amp; activity suppl.",'T12 Raw Data'!B:B,0)),0)</f>
        <v/>
      </c>
      <c r="J49" s="144">
        <f>IFERROR(INDEX('T12 Raw Data'!N:N,MATCH("Recreation &amp; activity suppl.",'T12 Raw Data'!B:B,0)),0)</f>
        <v/>
      </c>
      <c r="K49" s="144">
        <f>IFERROR(INDEX('T12 Raw Data'!O:O,MATCH("Recreation &amp; activity suppl.",'T12 Raw Data'!B:B,0)),0)</f>
        <v/>
      </c>
      <c r="L49" s="144">
        <f>IFERROR(INDEX('T12 Raw Data'!P:P,MATCH("Recreation &amp; activity suppl.",'T12 Raw Data'!B:B,0)),0)</f>
        <v/>
      </c>
      <c r="M49" s="144">
        <f>IFERROR(INDEX('T12 Raw Data'!Q:Q,MATCH("Recreation &amp; activity suppl.",'T12 Raw Data'!B:B,0)),0)</f>
        <v/>
      </c>
      <c r="N49" s="145">
        <f>SUM(B49:M49)</f>
        <v/>
      </c>
    </row>
    <row r="50" ht="15.75" customHeight="1" s="199">
      <c r="A50" s="83" t="inlineStr">
        <is>
          <t>R&amp;M fixed</t>
        </is>
      </c>
      <c r="B50" s="144">
        <f>IFERROR(INDEX('T12 Raw Data'!F:F,MATCH("R&amp;M fixed",'T12 Raw Data'!B:B,0)),0)</f>
        <v/>
      </c>
      <c r="C50" s="144">
        <f>IFERROR(INDEX('T12 Raw Data'!G:G,MATCH("R&amp;M fixed",'T12 Raw Data'!B:B,0)),0)</f>
        <v/>
      </c>
      <c r="D50" s="144">
        <f>IFERROR(INDEX('T12 Raw Data'!H:H,MATCH("R&amp;M fixed",'T12 Raw Data'!B:B,0)),0)</f>
        <v/>
      </c>
      <c r="E50" s="144">
        <f>IFERROR(INDEX('T12 Raw Data'!I:I,MATCH("R&amp;M fixed",'T12 Raw Data'!B:B,0)),0)</f>
        <v/>
      </c>
      <c r="F50" s="144">
        <f>IFERROR(INDEX('T12 Raw Data'!J:J,MATCH("R&amp;M fixed",'T12 Raw Data'!B:B,0)),0)</f>
        <v/>
      </c>
      <c r="G50" s="144">
        <f>IFERROR(INDEX('T12 Raw Data'!K:K,MATCH("R&amp;M fixed",'T12 Raw Data'!B:B,0)),0)</f>
        <v/>
      </c>
      <c r="H50" s="144">
        <f>IFERROR(INDEX('T12 Raw Data'!L:L,MATCH("R&amp;M fixed",'T12 Raw Data'!B:B,0)),0)</f>
        <v/>
      </c>
      <c r="I50" s="144">
        <f>IFERROR(INDEX('T12 Raw Data'!M:M,MATCH("R&amp;M fixed",'T12 Raw Data'!B:B,0)),0)</f>
        <v/>
      </c>
      <c r="J50" s="144">
        <f>IFERROR(INDEX('T12 Raw Data'!N:N,MATCH("R&amp;M fixed",'T12 Raw Data'!B:B,0)),0)</f>
        <v/>
      </c>
      <c r="K50" s="144">
        <f>IFERROR(INDEX('T12 Raw Data'!O:O,MATCH("R&amp;M fixed",'T12 Raw Data'!B:B,0)),0)</f>
        <v/>
      </c>
      <c r="L50" s="144">
        <f>IFERROR(INDEX('T12 Raw Data'!P:P,MATCH("R&amp;M fixed",'T12 Raw Data'!B:B,0)),0)</f>
        <v/>
      </c>
      <c r="M50" s="144">
        <f>IFERROR(INDEX('T12 Raw Data'!Q:Q,MATCH("R&amp;M fixed",'T12 Raw Data'!B:B,0)),0)</f>
        <v/>
      </c>
      <c r="N50" s="145">
        <f>SUM(B50:M50)</f>
        <v/>
      </c>
    </row>
    <row r="51" ht="15.75" customHeight="1" s="199">
      <c r="A51" s="83" t="inlineStr">
        <is>
          <t>R&amp;M variable</t>
        </is>
      </c>
      <c r="B51" s="144">
        <f>IFERROR(INDEX('T12 Raw Data'!F:F,MATCH("R&amp;M variable",'T12 Raw Data'!B:B,0)),0)</f>
        <v/>
      </c>
      <c r="C51" s="144">
        <f>IFERROR(INDEX('T12 Raw Data'!G:G,MATCH("R&amp;M variable",'T12 Raw Data'!B:B,0)),0)</f>
        <v/>
      </c>
      <c r="D51" s="144">
        <f>IFERROR(INDEX('T12 Raw Data'!H:H,MATCH("R&amp;M variable",'T12 Raw Data'!B:B,0)),0)</f>
        <v/>
      </c>
      <c r="E51" s="144">
        <f>IFERROR(INDEX('T12 Raw Data'!I:I,MATCH("R&amp;M variable",'T12 Raw Data'!B:B,0)),0)</f>
        <v/>
      </c>
      <c r="F51" s="144">
        <f>IFERROR(INDEX('T12 Raw Data'!J:J,MATCH("R&amp;M variable",'T12 Raw Data'!B:B,0)),0)</f>
        <v/>
      </c>
      <c r="G51" s="144">
        <f>IFERROR(INDEX('T12 Raw Data'!K:K,MATCH("R&amp;M variable",'T12 Raw Data'!B:B,0)),0)</f>
        <v/>
      </c>
      <c r="H51" s="144">
        <f>IFERROR(INDEX('T12 Raw Data'!L:L,MATCH("R&amp;M variable",'T12 Raw Data'!B:B,0)),0)</f>
        <v/>
      </c>
      <c r="I51" s="144">
        <f>IFERROR(INDEX('T12 Raw Data'!M:M,MATCH("R&amp;M variable",'T12 Raw Data'!B:B,0)),0)</f>
        <v/>
      </c>
      <c r="J51" s="144">
        <f>IFERROR(INDEX('T12 Raw Data'!N:N,MATCH("R&amp;M variable",'T12 Raw Data'!B:B,0)),0)</f>
        <v/>
      </c>
      <c r="K51" s="144">
        <f>IFERROR(INDEX('T12 Raw Data'!O:O,MATCH("R&amp;M variable",'T12 Raw Data'!B:B,0)),0)</f>
        <v/>
      </c>
      <c r="L51" s="144">
        <f>IFERROR(INDEX('T12 Raw Data'!P:P,MATCH("R&amp;M variable",'T12 Raw Data'!B:B,0)),0)</f>
        <v/>
      </c>
      <c r="M51" s="144">
        <f>IFERROR(INDEX('T12 Raw Data'!Q:Q,MATCH("R&amp;M variable",'T12 Raw Data'!B:B,0)),0)</f>
        <v/>
      </c>
      <c r="N51" s="145">
        <f>SUM(B51:M51)</f>
        <v/>
      </c>
    </row>
    <row r="52" ht="15.75" customHeight="1" s="199">
      <c r="A52" s="83" t="inlineStr">
        <is>
          <t>HK &amp; laundry supplies</t>
        </is>
      </c>
      <c r="B52" s="144">
        <f>IFERROR(INDEX('T12 Raw Data'!F:F,MATCH("HK &amp; laundry supplies",'T12 Raw Data'!B:B,0)),0)</f>
        <v/>
      </c>
      <c r="C52" s="144">
        <f>IFERROR(INDEX('T12 Raw Data'!G:G,MATCH("HK &amp; laundry supplies",'T12 Raw Data'!B:B,0)),0)</f>
        <v/>
      </c>
      <c r="D52" s="144">
        <f>IFERROR(INDEX('T12 Raw Data'!H:H,MATCH("HK &amp; laundry supplies",'T12 Raw Data'!B:B,0)),0)</f>
        <v/>
      </c>
      <c r="E52" s="144">
        <f>IFERROR(INDEX('T12 Raw Data'!I:I,MATCH("HK &amp; laundry supplies",'T12 Raw Data'!B:B,0)),0)</f>
        <v/>
      </c>
      <c r="F52" s="144">
        <f>IFERROR(INDEX('T12 Raw Data'!J:J,MATCH("HK &amp; laundry supplies",'T12 Raw Data'!B:B,0)),0)</f>
        <v/>
      </c>
      <c r="G52" s="144">
        <f>IFERROR(INDEX('T12 Raw Data'!K:K,MATCH("HK &amp; laundry supplies",'T12 Raw Data'!B:B,0)),0)</f>
        <v/>
      </c>
      <c r="H52" s="144">
        <f>IFERROR(INDEX('T12 Raw Data'!L:L,MATCH("HK &amp; laundry supplies",'T12 Raw Data'!B:B,0)),0)</f>
        <v/>
      </c>
      <c r="I52" s="144">
        <f>IFERROR(INDEX('T12 Raw Data'!M:M,MATCH("HK &amp; laundry supplies",'T12 Raw Data'!B:B,0)),0)</f>
        <v/>
      </c>
      <c r="J52" s="144">
        <f>IFERROR(INDEX('T12 Raw Data'!N:N,MATCH("HK &amp; laundry supplies",'T12 Raw Data'!B:B,0)),0)</f>
        <v/>
      </c>
      <c r="K52" s="144">
        <f>IFERROR(INDEX('T12 Raw Data'!O:O,MATCH("HK &amp; laundry supplies",'T12 Raw Data'!B:B,0)),0)</f>
        <v/>
      </c>
      <c r="L52" s="144">
        <f>IFERROR(INDEX('T12 Raw Data'!P:P,MATCH("HK &amp; laundry supplies",'T12 Raw Data'!B:B,0)),0)</f>
        <v/>
      </c>
      <c r="M52" s="144">
        <f>IFERROR(INDEX('T12 Raw Data'!Q:Q,MATCH("HK &amp; laundry supplies",'T12 Raw Data'!B:B,0)),0)</f>
        <v/>
      </c>
      <c r="N52" s="145">
        <f>SUM(B52:M52)</f>
        <v/>
      </c>
    </row>
    <row r="53" ht="15.75" customHeight="1" s="199">
      <c r="A53" s="83" t="inlineStr">
        <is>
          <t>Sales, adv. &amp; marketing</t>
        </is>
      </c>
      <c r="B53" s="144">
        <f>IFERROR(INDEX('T12 Raw Data'!F:F,MATCH("Sales, adv. &amp; marketing",'T12 Raw Data'!B:B,0)),0)</f>
        <v/>
      </c>
      <c r="C53" s="144">
        <f>IFERROR(INDEX('T12 Raw Data'!G:G,MATCH("Sales, adv. &amp; marketing",'T12 Raw Data'!B:B,0)),0)</f>
        <v/>
      </c>
      <c r="D53" s="144">
        <f>IFERROR(INDEX('T12 Raw Data'!H:H,MATCH("Sales, adv. &amp; marketing",'T12 Raw Data'!B:B,0)),0)</f>
        <v/>
      </c>
      <c r="E53" s="144">
        <f>IFERROR(INDEX('T12 Raw Data'!I:I,MATCH("Sales, adv. &amp; marketing",'T12 Raw Data'!B:B,0)),0)</f>
        <v/>
      </c>
      <c r="F53" s="144">
        <f>IFERROR(INDEX('T12 Raw Data'!J:J,MATCH("Sales, adv. &amp; marketing",'T12 Raw Data'!B:B,0)),0)</f>
        <v/>
      </c>
      <c r="G53" s="144">
        <f>IFERROR(INDEX('T12 Raw Data'!K:K,MATCH("Sales, adv. &amp; marketing",'T12 Raw Data'!B:B,0)),0)</f>
        <v/>
      </c>
      <c r="H53" s="144">
        <f>IFERROR(INDEX('T12 Raw Data'!L:L,MATCH("Sales, adv. &amp; marketing",'T12 Raw Data'!B:B,0)),0)</f>
        <v/>
      </c>
      <c r="I53" s="144">
        <f>IFERROR(INDEX('T12 Raw Data'!M:M,MATCH("Sales, adv. &amp; marketing",'T12 Raw Data'!B:B,0)),0)</f>
        <v/>
      </c>
      <c r="J53" s="144">
        <f>IFERROR(INDEX('T12 Raw Data'!N:N,MATCH("Sales, adv. &amp; marketing",'T12 Raw Data'!B:B,0)),0)</f>
        <v/>
      </c>
      <c r="K53" s="144">
        <f>IFERROR(INDEX('T12 Raw Data'!O:O,MATCH("Sales, adv. &amp; marketing",'T12 Raw Data'!B:B,0)),0)</f>
        <v/>
      </c>
      <c r="L53" s="144">
        <f>IFERROR(INDEX('T12 Raw Data'!P:P,MATCH("Sales, adv. &amp; marketing",'T12 Raw Data'!B:B,0)),0)</f>
        <v/>
      </c>
      <c r="M53" s="144">
        <f>IFERROR(INDEX('T12 Raw Data'!Q:Q,MATCH("Sales, adv. &amp; marketing",'T12 Raw Data'!B:B,0)),0)</f>
        <v/>
      </c>
      <c r="N53" s="145">
        <f>SUM(B53:M53)</f>
        <v/>
      </c>
    </row>
    <row r="54" ht="15.75" customHeight="1" s="199">
      <c r="A54" s="83" t="inlineStr">
        <is>
          <t>Referral fees</t>
        </is>
      </c>
      <c r="B54" s="144">
        <f>IFERROR(INDEX('T12 Raw Data'!F:F,MATCH("Referral fees",'T12 Raw Data'!B:B,0)),0)</f>
        <v/>
      </c>
      <c r="C54" s="144">
        <f>IFERROR(INDEX('T12 Raw Data'!G:G,MATCH("Referral fees",'T12 Raw Data'!B:B,0)),0)</f>
        <v/>
      </c>
      <c r="D54" s="144">
        <f>IFERROR(INDEX('T12 Raw Data'!H:H,MATCH("Referral fees",'T12 Raw Data'!B:B,0)),0)</f>
        <v/>
      </c>
      <c r="E54" s="144">
        <f>IFERROR(INDEX('T12 Raw Data'!I:I,MATCH("Referral fees",'T12 Raw Data'!B:B,0)),0)</f>
        <v/>
      </c>
      <c r="F54" s="144">
        <f>IFERROR(INDEX('T12 Raw Data'!J:J,MATCH("Referral fees",'T12 Raw Data'!B:B,0)),0)</f>
        <v/>
      </c>
      <c r="G54" s="144">
        <f>IFERROR(INDEX('T12 Raw Data'!K:K,MATCH("Referral fees",'T12 Raw Data'!B:B,0)),0)</f>
        <v/>
      </c>
      <c r="H54" s="144">
        <f>IFERROR(INDEX('T12 Raw Data'!L:L,MATCH("Referral fees",'T12 Raw Data'!B:B,0)),0)</f>
        <v/>
      </c>
      <c r="I54" s="144">
        <f>IFERROR(INDEX('T12 Raw Data'!M:M,MATCH("Referral fees",'T12 Raw Data'!B:B,0)),0)</f>
        <v/>
      </c>
      <c r="J54" s="144">
        <f>IFERROR(INDEX('T12 Raw Data'!N:N,MATCH("Referral fees",'T12 Raw Data'!B:B,0)),0)</f>
        <v/>
      </c>
      <c r="K54" s="144">
        <f>IFERROR(INDEX('T12 Raw Data'!O:O,MATCH("Referral fees",'T12 Raw Data'!B:B,0)),0)</f>
        <v/>
      </c>
      <c r="L54" s="144">
        <f>IFERROR(INDEX('T12 Raw Data'!P:P,MATCH("Referral fees",'T12 Raw Data'!B:B,0)),0)</f>
        <v/>
      </c>
      <c r="M54" s="144">
        <f>IFERROR(INDEX('T12 Raw Data'!Q:Q,MATCH("Referral fees",'T12 Raw Data'!B:B,0)),0)</f>
        <v/>
      </c>
      <c r="N54" s="145">
        <f>SUM(B54:M54)</f>
        <v/>
      </c>
    </row>
    <row r="55" ht="15.75" customHeight="1" s="199">
      <c r="A55" s="83" t="inlineStr">
        <is>
          <t>Utilities</t>
        </is>
      </c>
      <c r="B55" s="144">
        <f>IFERROR(INDEX('T12 Raw Data'!F:F,MATCH("Utilities",'T12 Raw Data'!B:B,0)),0)</f>
        <v/>
      </c>
      <c r="C55" s="144">
        <f>IFERROR(INDEX('T12 Raw Data'!G:G,MATCH("Utilities",'T12 Raw Data'!B:B,0)),0)</f>
        <v/>
      </c>
      <c r="D55" s="144">
        <f>IFERROR(INDEX('T12 Raw Data'!H:H,MATCH("Utilities",'T12 Raw Data'!B:B,0)),0)</f>
        <v/>
      </c>
      <c r="E55" s="144">
        <f>IFERROR(INDEX('T12 Raw Data'!I:I,MATCH("Utilities",'T12 Raw Data'!B:B,0)),0)</f>
        <v/>
      </c>
      <c r="F55" s="144">
        <f>IFERROR(INDEX('T12 Raw Data'!J:J,MATCH("Utilities",'T12 Raw Data'!B:B,0)),0)</f>
        <v/>
      </c>
      <c r="G55" s="144">
        <f>IFERROR(INDEX('T12 Raw Data'!K:K,MATCH("Utilities",'T12 Raw Data'!B:B,0)),0)</f>
        <v/>
      </c>
      <c r="H55" s="144">
        <f>IFERROR(INDEX('T12 Raw Data'!L:L,MATCH("Utilities",'T12 Raw Data'!B:B,0)),0)</f>
        <v/>
      </c>
      <c r="I55" s="144">
        <f>IFERROR(INDEX('T12 Raw Data'!M:M,MATCH("Utilities",'T12 Raw Data'!B:B,0)),0)</f>
        <v/>
      </c>
      <c r="J55" s="144">
        <f>IFERROR(INDEX('T12 Raw Data'!N:N,MATCH("Utilities",'T12 Raw Data'!B:B,0)),0)</f>
        <v/>
      </c>
      <c r="K55" s="144">
        <f>IFERROR(INDEX('T12 Raw Data'!O:O,MATCH("Utilities",'T12 Raw Data'!B:B,0)),0)</f>
        <v/>
      </c>
      <c r="L55" s="144">
        <f>IFERROR(INDEX('T12 Raw Data'!P:P,MATCH("Utilities",'T12 Raw Data'!B:B,0)),0)</f>
        <v/>
      </c>
      <c r="M55" s="144">
        <f>IFERROR(INDEX('T12 Raw Data'!Q:Q,MATCH("Utilities",'T12 Raw Data'!B:B,0)),0)</f>
        <v/>
      </c>
      <c r="N55" s="145">
        <f>SUM(B55:M55)</f>
        <v/>
      </c>
    </row>
    <row r="56" ht="15.75" customHeight="1" s="199">
      <c r="A56" s="83" t="inlineStr">
        <is>
          <t>Telephone / IT</t>
        </is>
      </c>
      <c r="B56" s="144">
        <f>IFERROR(INDEX('T12 Raw Data'!F:F,MATCH("Telephone / IT",'T12 Raw Data'!B:B,0)),0)</f>
        <v/>
      </c>
      <c r="C56" s="144">
        <f>IFERROR(INDEX('T12 Raw Data'!G:G,MATCH("Telephone / IT",'T12 Raw Data'!B:B,0)),0)</f>
        <v/>
      </c>
      <c r="D56" s="144">
        <f>IFERROR(INDEX('T12 Raw Data'!H:H,MATCH("Telephone / IT",'T12 Raw Data'!B:B,0)),0)</f>
        <v/>
      </c>
      <c r="E56" s="144">
        <f>IFERROR(INDEX('T12 Raw Data'!I:I,MATCH("Telephone / IT",'T12 Raw Data'!B:B,0)),0)</f>
        <v/>
      </c>
      <c r="F56" s="144">
        <f>IFERROR(INDEX('T12 Raw Data'!J:J,MATCH("Telephone / IT",'T12 Raw Data'!B:B,0)),0)</f>
        <v/>
      </c>
      <c r="G56" s="144">
        <f>IFERROR(INDEX('T12 Raw Data'!K:K,MATCH("Telephone / IT",'T12 Raw Data'!B:B,0)),0)</f>
        <v/>
      </c>
      <c r="H56" s="144">
        <f>IFERROR(INDEX('T12 Raw Data'!L:L,MATCH("Telephone / IT",'T12 Raw Data'!B:B,0)),0)</f>
        <v/>
      </c>
      <c r="I56" s="144">
        <f>IFERROR(INDEX('T12 Raw Data'!M:M,MATCH("Telephone / IT",'T12 Raw Data'!B:B,0)),0)</f>
        <v/>
      </c>
      <c r="J56" s="144">
        <f>IFERROR(INDEX('T12 Raw Data'!N:N,MATCH("Telephone / IT",'T12 Raw Data'!B:B,0)),0)</f>
        <v/>
      </c>
      <c r="K56" s="144">
        <f>IFERROR(INDEX('T12 Raw Data'!O:O,MATCH("Telephone / IT",'T12 Raw Data'!B:B,0)),0)</f>
        <v/>
      </c>
      <c r="L56" s="144">
        <f>IFERROR(INDEX('T12 Raw Data'!P:P,MATCH("Telephone / IT",'T12 Raw Data'!B:B,0)),0)</f>
        <v/>
      </c>
      <c r="M56" s="144">
        <f>IFERROR(INDEX('T12 Raw Data'!Q:Q,MATCH("Telephone / IT",'T12 Raw Data'!B:B,0)),0)</f>
        <v/>
      </c>
      <c r="N56" s="145">
        <f>SUM(B56:M56)</f>
        <v/>
      </c>
    </row>
    <row r="57" ht="15.75" customHeight="1" s="199">
      <c r="A57" s="83" t="inlineStr">
        <is>
          <t>P&amp;C insurance</t>
        </is>
      </c>
      <c r="B57" s="144">
        <f>IFERROR(INDEX('T12 Raw Data'!F:F,MATCH("P&amp;C insurance (bundled)",'T12 Raw Data'!B:B,0)),0)</f>
        <v/>
      </c>
      <c r="C57" s="144">
        <f>IFERROR(INDEX('T12 Raw Data'!G:G,MATCH("P&amp;C insurance (bundled)",'T12 Raw Data'!B:B,0)),0)</f>
        <v/>
      </c>
      <c r="D57" s="144">
        <f>IFERROR(INDEX('T12 Raw Data'!H:H,MATCH("P&amp;C insurance (bundled)",'T12 Raw Data'!B:B,0)),0)</f>
        <v/>
      </c>
      <c r="E57" s="144">
        <f>IFERROR(INDEX('T12 Raw Data'!I:I,MATCH("P&amp;C insurance (bundled)",'T12 Raw Data'!B:B,0)),0)</f>
        <v/>
      </c>
      <c r="F57" s="144">
        <f>IFERROR(INDEX('T12 Raw Data'!J:J,MATCH("P&amp;C insurance (bundled)",'T12 Raw Data'!B:B,0)),0)</f>
        <v/>
      </c>
      <c r="G57" s="144">
        <f>IFERROR(INDEX('T12 Raw Data'!K:K,MATCH("P&amp;C insurance (bundled)",'T12 Raw Data'!B:B,0)),0)</f>
        <v/>
      </c>
      <c r="H57" s="144">
        <f>IFERROR(INDEX('T12 Raw Data'!L:L,MATCH("P&amp;C insurance (bundled)",'T12 Raw Data'!B:B,0)),0)</f>
        <v/>
      </c>
      <c r="I57" s="144">
        <f>IFERROR(INDEX('T12 Raw Data'!M:M,MATCH("P&amp;C insurance (bundled)",'T12 Raw Data'!B:B,0)),0)</f>
        <v/>
      </c>
      <c r="J57" s="144">
        <f>IFERROR(INDEX('T12 Raw Data'!N:N,MATCH("P&amp;C insurance (bundled)",'T12 Raw Data'!B:B,0)),0)</f>
        <v/>
      </c>
      <c r="K57" s="144">
        <f>IFERROR(INDEX('T12 Raw Data'!O:O,MATCH("P&amp;C insurance (bundled)",'T12 Raw Data'!B:B,0)),0)</f>
        <v/>
      </c>
      <c r="L57" s="144">
        <f>IFERROR(INDEX('T12 Raw Data'!P:P,MATCH("P&amp;C insurance (bundled)",'T12 Raw Data'!B:B,0)),0)</f>
        <v/>
      </c>
      <c r="M57" s="144">
        <f>IFERROR(INDEX('T12 Raw Data'!Q:Q,MATCH("P&amp;C insurance (bundled)",'T12 Raw Data'!B:B,0)),0)</f>
        <v/>
      </c>
      <c r="N57" s="145">
        <f>SUM(B57:M57)</f>
        <v/>
      </c>
    </row>
    <row r="58" ht="15.75" customHeight="1" s="199">
      <c r="A58" s="83" t="inlineStr">
        <is>
          <t>Auto insurance</t>
        </is>
      </c>
      <c r="B58" s="144">
        <f>IFERROR(INDEX('T12 Raw Data'!F:F,MATCH("Auto insurance",'T12 Raw Data'!B:B,0)),0)</f>
        <v/>
      </c>
      <c r="C58" s="144">
        <f>IFERROR(INDEX('T12 Raw Data'!G:G,MATCH("Auto insurance",'T12 Raw Data'!B:B,0)),0)</f>
        <v/>
      </c>
      <c r="D58" s="144">
        <f>IFERROR(INDEX('T12 Raw Data'!H:H,MATCH("Auto insurance",'T12 Raw Data'!B:B,0)),0)</f>
        <v/>
      </c>
      <c r="E58" s="144">
        <f>IFERROR(INDEX('T12 Raw Data'!I:I,MATCH("Auto insurance",'T12 Raw Data'!B:B,0)),0)</f>
        <v/>
      </c>
      <c r="F58" s="144">
        <f>IFERROR(INDEX('T12 Raw Data'!J:J,MATCH("Auto insurance",'T12 Raw Data'!B:B,0)),0)</f>
        <v/>
      </c>
      <c r="G58" s="144">
        <f>IFERROR(INDEX('T12 Raw Data'!K:K,MATCH("Auto insurance",'T12 Raw Data'!B:B,0)),0)</f>
        <v/>
      </c>
      <c r="H58" s="144">
        <f>IFERROR(INDEX('T12 Raw Data'!L:L,MATCH("Auto insurance",'T12 Raw Data'!B:B,0)),0)</f>
        <v/>
      </c>
      <c r="I58" s="144">
        <f>IFERROR(INDEX('T12 Raw Data'!M:M,MATCH("Auto insurance",'T12 Raw Data'!B:B,0)),0)</f>
        <v/>
      </c>
      <c r="J58" s="144">
        <f>IFERROR(INDEX('T12 Raw Data'!N:N,MATCH("Auto insurance",'T12 Raw Data'!B:B,0)),0)</f>
        <v/>
      </c>
      <c r="K58" s="144">
        <f>IFERROR(INDEX('T12 Raw Data'!O:O,MATCH("Auto insurance",'T12 Raw Data'!B:B,0)),0)</f>
        <v/>
      </c>
      <c r="L58" s="144">
        <f>IFERROR(INDEX('T12 Raw Data'!P:P,MATCH("Auto insurance",'T12 Raw Data'!B:B,0)),0)</f>
        <v/>
      </c>
      <c r="M58" s="144">
        <f>IFERROR(INDEX('T12 Raw Data'!Q:Q,MATCH("Auto insurance",'T12 Raw Data'!B:B,0)),0)</f>
        <v/>
      </c>
      <c r="N58" s="145">
        <f>SUM(B58:M58)</f>
        <v/>
      </c>
    </row>
    <row r="59" ht="15.75" customHeight="1" s="199">
      <c r="A59" s="83" t="inlineStr">
        <is>
          <t>Auto Expense</t>
        </is>
      </c>
      <c r="B59" s="144">
        <f>IFERROR(INDEX('T12 Raw Data'!F:F,MATCH("Auto Expense",'T12 Raw Data'!B:B,0)),0)</f>
        <v/>
      </c>
      <c r="C59" s="144">
        <f>IFERROR(INDEX('T12 Raw Data'!G:G,MATCH("Auto Expense",'T12 Raw Data'!B:B,0)),0)</f>
        <v/>
      </c>
      <c r="D59" s="144">
        <f>IFERROR(INDEX('T12 Raw Data'!H:H,MATCH("Auto Expense",'T12 Raw Data'!B:B,0)),0)</f>
        <v/>
      </c>
      <c r="E59" s="144">
        <f>IFERROR(INDEX('T12 Raw Data'!I:I,MATCH("Auto Expense",'T12 Raw Data'!B:B,0)),0)</f>
        <v/>
      </c>
      <c r="F59" s="144">
        <f>IFERROR(INDEX('T12 Raw Data'!J:J,MATCH("Auto Expense",'T12 Raw Data'!B:B,0)),0)</f>
        <v/>
      </c>
      <c r="G59" s="144">
        <f>IFERROR(INDEX('T12 Raw Data'!K:K,MATCH("Auto Expense",'T12 Raw Data'!B:B,0)),0)</f>
        <v/>
      </c>
      <c r="H59" s="144">
        <f>IFERROR(INDEX('T12 Raw Data'!L:L,MATCH("Auto Expense",'T12 Raw Data'!B:B,0)),0)</f>
        <v/>
      </c>
      <c r="I59" s="144">
        <f>IFERROR(INDEX('T12 Raw Data'!M:M,MATCH("Auto Expense",'T12 Raw Data'!B:B,0)),0)</f>
        <v/>
      </c>
      <c r="J59" s="144">
        <f>IFERROR(INDEX('T12 Raw Data'!N:N,MATCH("Auto Expense",'T12 Raw Data'!B:B,0)),0)</f>
        <v/>
      </c>
      <c r="K59" s="144">
        <f>IFERROR(INDEX('T12 Raw Data'!O:O,MATCH("Auto Expense",'T12 Raw Data'!B:B,0)),0)</f>
        <v/>
      </c>
      <c r="L59" s="144">
        <f>IFERROR(INDEX('T12 Raw Data'!P:P,MATCH("Auto Expense",'T12 Raw Data'!B:B,0)),0)</f>
        <v/>
      </c>
      <c r="M59" s="144">
        <f>IFERROR(INDEX('T12 Raw Data'!Q:Q,MATCH("Auto Expense",'T12 Raw Data'!B:B,0)),0)</f>
        <v/>
      </c>
      <c r="N59" s="145">
        <f>SUM(B59:M59)</f>
        <v/>
      </c>
    </row>
    <row r="60" ht="15.75" customHeight="1" s="199">
      <c r="A60" s="83" t="inlineStr">
        <is>
          <t>Fire / security monitor</t>
        </is>
      </c>
      <c r="B60" s="144">
        <f>IFERROR(INDEX('T12 Raw Data'!F:F,MATCH("Fire / security monitoring",'T12 Raw Data'!B:B,0)),0)</f>
        <v/>
      </c>
      <c r="C60" s="144">
        <f>IFERROR(INDEX('T12 Raw Data'!G:G,MATCH("Fire / security monitoring",'T12 Raw Data'!B:B,0)),0)</f>
        <v/>
      </c>
      <c r="D60" s="144">
        <f>IFERROR(INDEX('T12 Raw Data'!H:H,MATCH("Fire / security monitoring",'T12 Raw Data'!B:B,0)),0)</f>
        <v/>
      </c>
      <c r="E60" s="144">
        <f>IFERROR(INDEX('T12 Raw Data'!I:I,MATCH("Fire / security monitoring",'T12 Raw Data'!B:B,0)),0)</f>
        <v/>
      </c>
      <c r="F60" s="144">
        <f>IFERROR(INDEX('T12 Raw Data'!J:J,MATCH("Fire / security monitoring",'T12 Raw Data'!B:B,0)),0)</f>
        <v/>
      </c>
      <c r="G60" s="144">
        <f>IFERROR(INDEX('T12 Raw Data'!K:K,MATCH("Fire / security monitoring",'T12 Raw Data'!B:B,0)),0)</f>
        <v/>
      </c>
      <c r="H60" s="144">
        <f>IFERROR(INDEX('T12 Raw Data'!L:L,MATCH("Fire / security monitoring",'T12 Raw Data'!B:B,0)),0)</f>
        <v/>
      </c>
      <c r="I60" s="144">
        <f>IFERROR(INDEX('T12 Raw Data'!M:M,MATCH("Fire / security monitoring",'T12 Raw Data'!B:B,0)),0)</f>
        <v/>
      </c>
      <c r="J60" s="144">
        <f>IFERROR(INDEX('T12 Raw Data'!N:N,MATCH("Fire / security monitoring",'T12 Raw Data'!B:B,0)),0)</f>
        <v/>
      </c>
      <c r="K60" s="144">
        <f>IFERROR(INDEX('T12 Raw Data'!O:O,MATCH("Fire / security monitoring",'T12 Raw Data'!B:B,0)),0)</f>
        <v/>
      </c>
      <c r="L60" s="144">
        <f>IFERROR(INDEX('T12 Raw Data'!P:P,MATCH("Fire / security monitoring",'T12 Raw Data'!B:B,0)),0)</f>
        <v/>
      </c>
      <c r="M60" s="144">
        <f>IFERROR(INDEX('T12 Raw Data'!Q:Q,MATCH("Fire / security monitoring",'T12 Raw Data'!B:B,0)),0)</f>
        <v/>
      </c>
      <c r="N60" s="145">
        <f>SUM(B60:M60)</f>
        <v/>
      </c>
    </row>
    <row r="61" ht="15.75" customHeight="1" s="199">
      <c r="A61" s="83" t="inlineStr">
        <is>
          <t>Pest elimination</t>
        </is>
      </c>
      <c r="B61" s="144">
        <f>IFERROR(INDEX('T12 Raw Data'!F:F,MATCH("Pest elimination",'T12 Raw Data'!B:B,0)),0)</f>
        <v/>
      </c>
      <c r="C61" s="144">
        <f>IFERROR(INDEX('T12 Raw Data'!G:G,MATCH("Pest elimination",'T12 Raw Data'!B:B,0)),0)</f>
        <v/>
      </c>
      <c r="D61" s="144">
        <f>IFERROR(INDEX('T12 Raw Data'!H:H,MATCH("Pest elimination",'T12 Raw Data'!B:B,0)),0)</f>
        <v/>
      </c>
      <c r="E61" s="144">
        <f>IFERROR(INDEX('T12 Raw Data'!I:I,MATCH("Pest elimination",'T12 Raw Data'!B:B,0)),0)</f>
        <v/>
      </c>
      <c r="F61" s="144">
        <f>IFERROR(INDEX('T12 Raw Data'!J:J,MATCH("Pest elimination",'T12 Raw Data'!B:B,0)),0)</f>
        <v/>
      </c>
      <c r="G61" s="144">
        <f>IFERROR(INDEX('T12 Raw Data'!K:K,MATCH("Pest elimination",'T12 Raw Data'!B:B,0)),0)</f>
        <v/>
      </c>
      <c r="H61" s="144">
        <f>IFERROR(INDEX('T12 Raw Data'!L:L,MATCH("Pest elimination",'T12 Raw Data'!B:B,0)),0)</f>
        <v/>
      </c>
      <c r="I61" s="144">
        <f>IFERROR(INDEX('T12 Raw Data'!M:M,MATCH("Pest elimination",'T12 Raw Data'!B:B,0)),0)</f>
        <v/>
      </c>
      <c r="J61" s="144">
        <f>IFERROR(INDEX('T12 Raw Data'!N:N,MATCH("Pest elimination",'T12 Raw Data'!B:B,0)),0)</f>
        <v/>
      </c>
      <c r="K61" s="144">
        <f>IFERROR(INDEX('T12 Raw Data'!O:O,MATCH("Pest elimination",'T12 Raw Data'!B:B,0)),0)</f>
        <v/>
      </c>
      <c r="L61" s="144">
        <f>IFERROR(INDEX('T12 Raw Data'!P:P,MATCH("Pest elimination",'T12 Raw Data'!B:B,0)),0)</f>
        <v/>
      </c>
      <c r="M61" s="144">
        <f>IFERROR(INDEX('T12 Raw Data'!Q:Q,MATCH("Pest elimination",'T12 Raw Data'!B:B,0)),0)</f>
        <v/>
      </c>
      <c r="N61" s="145">
        <f>SUM(B61:M61)</f>
        <v/>
      </c>
    </row>
    <row r="62" ht="15.75" customHeight="1" s="199">
      <c r="A62" s="83" t="inlineStr">
        <is>
          <t>Real estate taxes</t>
        </is>
      </c>
      <c r="B62" s="144">
        <f>IFERROR(INDEX('T12 Raw Data'!F:F,MATCH("Real estate taxes",'T12 Raw Data'!B:B,0)),0)</f>
        <v/>
      </c>
      <c r="C62" s="144">
        <f>IFERROR(INDEX('T12 Raw Data'!G:G,MATCH("Real estate taxes",'T12 Raw Data'!B:B,0)),0)</f>
        <v/>
      </c>
      <c r="D62" s="144">
        <f>IFERROR(INDEX('T12 Raw Data'!H:H,MATCH("Real estate taxes",'T12 Raw Data'!B:B,0)),0)</f>
        <v/>
      </c>
      <c r="E62" s="144">
        <f>IFERROR(INDEX('T12 Raw Data'!I:I,MATCH("Real estate taxes",'T12 Raw Data'!B:B,0)),0)</f>
        <v/>
      </c>
      <c r="F62" s="144">
        <f>IFERROR(INDEX('T12 Raw Data'!J:J,MATCH("Real estate taxes",'T12 Raw Data'!B:B,0)),0)</f>
        <v/>
      </c>
      <c r="G62" s="144">
        <f>IFERROR(INDEX('T12 Raw Data'!K:K,MATCH("Real estate taxes",'T12 Raw Data'!B:B,0)),0)</f>
        <v/>
      </c>
      <c r="H62" s="144">
        <f>IFERROR(INDEX('T12 Raw Data'!L:L,MATCH("Real estate taxes",'T12 Raw Data'!B:B,0)),0)</f>
        <v/>
      </c>
      <c r="I62" s="144">
        <f>IFERROR(INDEX('T12 Raw Data'!M:M,MATCH("Real estate taxes",'T12 Raw Data'!B:B,0)),0)</f>
        <v/>
      </c>
      <c r="J62" s="144">
        <f>IFERROR(INDEX('T12 Raw Data'!N:N,MATCH("Real estate taxes",'T12 Raw Data'!B:B,0)),0)</f>
        <v/>
      </c>
      <c r="K62" s="144">
        <f>IFERROR(INDEX('T12 Raw Data'!O:O,MATCH("Real estate taxes",'T12 Raw Data'!B:B,0)),0)</f>
        <v/>
      </c>
      <c r="L62" s="144">
        <f>IFERROR(INDEX('T12 Raw Data'!P:P,MATCH("Real estate taxes",'T12 Raw Data'!B:B,0)),0)</f>
        <v/>
      </c>
      <c r="M62" s="144">
        <f>IFERROR(INDEX('T12 Raw Data'!Q:Q,MATCH("Real estate taxes",'T12 Raw Data'!B:B,0)),0)</f>
        <v/>
      </c>
      <c r="N62" s="145">
        <f>SUM(B62:M62)</f>
        <v/>
      </c>
    </row>
    <row r="63" ht="15.75" customHeight="1" s="199">
      <c r="A63" s="83" t="inlineStr">
        <is>
          <t>Personal property taxes</t>
        </is>
      </c>
      <c r="B63" s="144">
        <f>IFERROR(INDEX('T12 Raw Data'!F:F,MATCH("Personal property taxes",'T12 Raw Data'!B:B,0)),0)</f>
        <v/>
      </c>
      <c r="C63" s="144">
        <f>IFERROR(INDEX('T12 Raw Data'!G:G,MATCH("Personal property taxes",'T12 Raw Data'!B:B,0)),0)</f>
        <v/>
      </c>
      <c r="D63" s="144">
        <f>IFERROR(INDEX('T12 Raw Data'!H:H,MATCH("Personal property taxes",'T12 Raw Data'!B:B,0)),0)</f>
        <v/>
      </c>
      <c r="E63" s="144">
        <f>IFERROR(INDEX('T12 Raw Data'!I:I,MATCH("Personal property taxes",'T12 Raw Data'!B:B,0)),0)</f>
        <v/>
      </c>
      <c r="F63" s="144">
        <f>IFERROR(INDEX('T12 Raw Data'!J:J,MATCH("Personal property taxes",'T12 Raw Data'!B:B,0)),0)</f>
        <v/>
      </c>
      <c r="G63" s="144">
        <f>IFERROR(INDEX('T12 Raw Data'!K:K,MATCH("Personal property taxes",'T12 Raw Data'!B:B,0)),0)</f>
        <v/>
      </c>
      <c r="H63" s="144">
        <f>IFERROR(INDEX('T12 Raw Data'!L:L,MATCH("Personal property taxes",'T12 Raw Data'!B:B,0)),0)</f>
        <v/>
      </c>
      <c r="I63" s="144">
        <f>IFERROR(INDEX('T12 Raw Data'!M:M,MATCH("Personal property taxes",'T12 Raw Data'!B:B,0)),0)</f>
        <v/>
      </c>
      <c r="J63" s="144">
        <f>IFERROR(INDEX('T12 Raw Data'!N:N,MATCH("Personal property taxes",'T12 Raw Data'!B:B,0)),0)</f>
        <v/>
      </c>
      <c r="K63" s="144">
        <f>IFERROR(INDEX('T12 Raw Data'!O:O,MATCH("Personal property taxes",'T12 Raw Data'!B:B,0)),0)</f>
        <v/>
      </c>
      <c r="L63" s="144">
        <f>IFERROR(INDEX('T12 Raw Data'!P:P,MATCH("Personal property taxes",'T12 Raw Data'!B:B,0)),0)</f>
        <v/>
      </c>
      <c r="M63" s="144">
        <f>IFERROR(INDEX('T12 Raw Data'!Q:Q,MATCH("Personal property taxes",'T12 Raw Data'!B:B,0)),0)</f>
        <v/>
      </c>
      <c r="N63" s="145">
        <f>SUM(B63:M63)</f>
        <v/>
      </c>
    </row>
    <row r="64" ht="15.75" customHeight="1" s="199">
      <c r="A64" s="83" t="inlineStr">
        <is>
          <t>Legal expenses</t>
        </is>
      </c>
      <c r="B64" s="144">
        <f>IFERROR(INDEX('T12 Raw Data'!F:F,MATCH("Legal expenses",'T12 Raw Data'!B:B,0)),0)</f>
        <v/>
      </c>
      <c r="C64" s="144">
        <f>IFERROR(INDEX('T12 Raw Data'!G:G,MATCH("Legal expenses",'T12 Raw Data'!B:B,0)),0)</f>
        <v/>
      </c>
      <c r="D64" s="144">
        <f>IFERROR(INDEX('T12 Raw Data'!H:H,MATCH("Legal expenses",'T12 Raw Data'!B:B,0)),0)</f>
        <v/>
      </c>
      <c r="E64" s="144">
        <f>IFERROR(INDEX('T12 Raw Data'!I:I,MATCH("Legal expenses",'T12 Raw Data'!B:B,0)),0)</f>
        <v/>
      </c>
      <c r="F64" s="144">
        <f>IFERROR(INDEX('T12 Raw Data'!J:J,MATCH("Legal expenses",'T12 Raw Data'!B:B,0)),0)</f>
        <v/>
      </c>
      <c r="G64" s="144">
        <f>IFERROR(INDEX('T12 Raw Data'!K:K,MATCH("Legal expenses",'T12 Raw Data'!B:B,0)),0)</f>
        <v/>
      </c>
      <c r="H64" s="144">
        <f>IFERROR(INDEX('T12 Raw Data'!L:L,MATCH("Legal expenses",'T12 Raw Data'!B:B,0)),0)</f>
        <v/>
      </c>
      <c r="I64" s="144">
        <f>IFERROR(INDEX('T12 Raw Data'!M:M,MATCH("Legal expenses",'T12 Raw Data'!B:B,0)),0)</f>
        <v/>
      </c>
      <c r="J64" s="144">
        <f>IFERROR(INDEX('T12 Raw Data'!N:N,MATCH("Legal expenses",'T12 Raw Data'!B:B,0)),0)</f>
        <v/>
      </c>
      <c r="K64" s="144">
        <f>IFERROR(INDEX('T12 Raw Data'!O:O,MATCH("Legal expenses",'T12 Raw Data'!B:B,0)),0)</f>
        <v/>
      </c>
      <c r="L64" s="144">
        <f>IFERROR(INDEX('T12 Raw Data'!P:P,MATCH("Legal expenses",'T12 Raw Data'!B:B,0)),0)</f>
        <v/>
      </c>
      <c r="M64" s="144">
        <f>IFERROR(INDEX('T12 Raw Data'!Q:Q,MATCH("Legal expenses",'T12 Raw Data'!B:B,0)),0)</f>
        <v/>
      </c>
      <c r="N64" s="145">
        <f>SUM(B64:M64)</f>
        <v/>
      </c>
    </row>
    <row r="65" ht="15.75" customHeight="1" s="199">
      <c r="A65" s="83" t="inlineStr">
        <is>
          <t>Professional services</t>
        </is>
      </c>
      <c r="B65" s="144">
        <f>IFERROR(INDEX('T12 Raw Data'!F:F,MATCH("Professional services",'T12 Raw Data'!B:B,0)),0)</f>
        <v/>
      </c>
      <c r="C65" s="144">
        <f>IFERROR(INDEX('T12 Raw Data'!G:G,MATCH("Professional services",'T12 Raw Data'!B:B,0)),0)</f>
        <v/>
      </c>
      <c r="D65" s="144">
        <f>IFERROR(INDEX('T12 Raw Data'!H:H,MATCH("Professional services",'T12 Raw Data'!B:B,0)),0)</f>
        <v/>
      </c>
      <c r="E65" s="144">
        <f>IFERROR(INDEX('T12 Raw Data'!I:I,MATCH("Professional services",'T12 Raw Data'!B:B,0)),0)</f>
        <v/>
      </c>
      <c r="F65" s="144">
        <f>IFERROR(INDEX('T12 Raw Data'!J:J,MATCH("Professional services",'T12 Raw Data'!B:B,0)),0)</f>
        <v/>
      </c>
      <c r="G65" s="144">
        <f>IFERROR(INDEX('T12 Raw Data'!K:K,MATCH("Professional services",'T12 Raw Data'!B:B,0)),0)</f>
        <v/>
      </c>
      <c r="H65" s="144">
        <f>IFERROR(INDEX('T12 Raw Data'!L:L,MATCH("Professional services",'T12 Raw Data'!B:B,0)),0)</f>
        <v/>
      </c>
      <c r="I65" s="144">
        <f>IFERROR(INDEX('T12 Raw Data'!M:M,MATCH("Professional services",'T12 Raw Data'!B:B,0)),0)</f>
        <v/>
      </c>
      <c r="J65" s="144">
        <f>IFERROR(INDEX('T12 Raw Data'!N:N,MATCH("Professional services",'T12 Raw Data'!B:B,0)),0)</f>
        <v/>
      </c>
      <c r="K65" s="144">
        <f>IFERROR(INDEX('T12 Raw Data'!O:O,MATCH("Professional services",'T12 Raw Data'!B:B,0)),0)</f>
        <v/>
      </c>
      <c r="L65" s="144">
        <f>IFERROR(INDEX('T12 Raw Data'!P:P,MATCH("Professional services",'T12 Raw Data'!B:B,0)),0)</f>
        <v/>
      </c>
      <c r="M65" s="144">
        <f>IFERROR(INDEX('T12 Raw Data'!Q:Q,MATCH("Professional services",'T12 Raw Data'!B:B,0)),0)</f>
        <v/>
      </c>
      <c r="N65" s="145">
        <f>SUM(B65:M65)</f>
        <v/>
      </c>
    </row>
    <row r="66" ht="15.75" customHeight="1" s="199">
      <c r="A66" s="83" t="inlineStr">
        <is>
          <t>Bad debt expense</t>
        </is>
      </c>
      <c r="B66" s="144">
        <f>IFERROR(INDEX('T12 Raw Data'!F:F,MATCH("Bad debt expense",'T12 Raw Data'!B:B,0)),0)</f>
        <v/>
      </c>
      <c r="C66" s="144">
        <f>IFERROR(INDEX('T12 Raw Data'!G:G,MATCH("Bad debt expense",'T12 Raw Data'!B:B,0)),0)</f>
        <v/>
      </c>
      <c r="D66" s="144">
        <f>IFERROR(INDEX('T12 Raw Data'!H:H,MATCH("Bad debt expense",'T12 Raw Data'!B:B,0)),0)</f>
        <v/>
      </c>
      <c r="E66" s="144">
        <f>IFERROR(INDEX('T12 Raw Data'!I:I,MATCH("Bad debt expense",'T12 Raw Data'!B:B,0)),0)</f>
        <v/>
      </c>
      <c r="F66" s="144">
        <f>IFERROR(INDEX('T12 Raw Data'!J:J,MATCH("Bad debt expense",'T12 Raw Data'!B:B,0)),0)</f>
        <v/>
      </c>
      <c r="G66" s="144">
        <f>IFERROR(INDEX('T12 Raw Data'!K:K,MATCH("Bad debt expense",'T12 Raw Data'!B:B,0)),0)</f>
        <v/>
      </c>
      <c r="H66" s="144">
        <f>IFERROR(INDEX('T12 Raw Data'!L:L,MATCH("Bad debt expense",'T12 Raw Data'!B:B,0)),0)</f>
        <v/>
      </c>
      <c r="I66" s="144">
        <f>IFERROR(INDEX('T12 Raw Data'!M:M,MATCH("Bad debt expense",'T12 Raw Data'!B:B,0)),0)</f>
        <v/>
      </c>
      <c r="J66" s="144">
        <f>IFERROR(INDEX('T12 Raw Data'!N:N,MATCH("Bad debt expense",'T12 Raw Data'!B:B,0)),0)</f>
        <v/>
      </c>
      <c r="K66" s="144">
        <f>IFERROR(INDEX('T12 Raw Data'!O:O,MATCH("Bad debt expense",'T12 Raw Data'!B:B,0)),0)</f>
        <v/>
      </c>
      <c r="L66" s="144">
        <f>IFERROR(INDEX('T12 Raw Data'!P:P,MATCH("Bad debt expense",'T12 Raw Data'!B:B,0)),0)</f>
        <v/>
      </c>
      <c r="M66" s="144">
        <f>IFERROR(INDEX('T12 Raw Data'!Q:Q,MATCH("Bad debt expense",'T12 Raw Data'!B:B,0)),0)</f>
        <v/>
      </c>
      <c r="N66" s="145">
        <f>SUM(B66:M66)</f>
        <v/>
      </c>
    </row>
    <row r="67" ht="15.75" customHeight="1" s="199">
      <c r="A67" s="83" t="inlineStr">
        <is>
          <t>Permits, licenses &amp; dues</t>
        </is>
      </c>
      <c r="B67" s="144">
        <f>IFERROR(INDEX('T12 Raw Data'!F:F,MATCH("Permits, licenses &amp; dues",'T12 Raw Data'!B:B,0)),0)</f>
        <v/>
      </c>
      <c r="C67" s="144">
        <f>IFERROR(INDEX('T12 Raw Data'!G:G,MATCH("Permits, licenses &amp; dues",'T12 Raw Data'!B:B,0)),0)</f>
        <v/>
      </c>
      <c r="D67" s="144">
        <f>IFERROR(INDEX('T12 Raw Data'!H:H,MATCH("Permits, licenses &amp; dues",'T12 Raw Data'!B:B,0)),0)</f>
        <v/>
      </c>
      <c r="E67" s="144">
        <f>IFERROR(INDEX('T12 Raw Data'!I:I,MATCH("Permits, licenses &amp; dues",'T12 Raw Data'!B:B,0)),0)</f>
        <v/>
      </c>
      <c r="F67" s="144">
        <f>IFERROR(INDEX('T12 Raw Data'!J:J,MATCH("Permits, licenses &amp; dues",'T12 Raw Data'!B:B,0)),0)</f>
        <v/>
      </c>
      <c r="G67" s="144">
        <f>IFERROR(INDEX('T12 Raw Data'!K:K,MATCH("Permits, licenses &amp; dues",'T12 Raw Data'!B:B,0)),0)</f>
        <v/>
      </c>
      <c r="H67" s="144">
        <f>IFERROR(INDEX('T12 Raw Data'!L:L,MATCH("Permits, licenses &amp; dues",'T12 Raw Data'!B:B,0)),0)</f>
        <v/>
      </c>
      <c r="I67" s="144">
        <f>IFERROR(INDEX('T12 Raw Data'!M:M,MATCH("Permits, licenses &amp; dues",'T12 Raw Data'!B:B,0)),0)</f>
        <v/>
      </c>
      <c r="J67" s="144">
        <f>IFERROR(INDEX('T12 Raw Data'!N:N,MATCH("Permits, licenses &amp; dues",'T12 Raw Data'!B:B,0)),0)</f>
        <v/>
      </c>
      <c r="K67" s="144">
        <f>IFERROR(INDEX('T12 Raw Data'!O:O,MATCH("Permits, licenses &amp; dues",'T12 Raw Data'!B:B,0)),0)</f>
        <v/>
      </c>
      <c r="L67" s="144">
        <f>IFERROR(INDEX('T12 Raw Data'!P:P,MATCH("Permits, licenses &amp; dues",'T12 Raw Data'!B:B,0)),0)</f>
        <v/>
      </c>
      <c r="M67" s="144">
        <f>IFERROR(INDEX('T12 Raw Data'!Q:Q,MATCH("Permits, licenses &amp; dues",'T12 Raw Data'!B:B,0)),0)</f>
        <v/>
      </c>
      <c r="N67" s="145">
        <f>SUM(B67:M67)</f>
        <v/>
      </c>
    </row>
    <row r="68" ht="15.75" customHeight="1" s="199">
      <c r="A68" s="83" t="inlineStr">
        <is>
          <t>Office, admin &amp; G&amp;A</t>
        </is>
      </c>
      <c r="B68" s="144">
        <f>IFERROR(INDEX('T12 Raw Data'!F:F,MATCH("Office, admin &amp; G&amp;A",'T12 Raw Data'!B:B,0)),0)</f>
        <v/>
      </c>
      <c r="C68" s="144">
        <f>IFERROR(INDEX('T12 Raw Data'!G:G,MATCH("Office, admin &amp; G&amp;A",'T12 Raw Data'!B:B,0)),0)</f>
        <v/>
      </c>
      <c r="D68" s="144">
        <f>IFERROR(INDEX('T12 Raw Data'!H:H,MATCH("Office, admin &amp; G&amp;A",'T12 Raw Data'!B:B,0)),0)</f>
        <v/>
      </c>
      <c r="E68" s="144">
        <f>IFERROR(INDEX('T12 Raw Data'!I:I,MATCH("Office, admin &amp; G&amp;A",'T12 Raw Data'!B:B,0)),0)</f>
        <v/>
      </c>
      <c r="F68" s="144">
        <f>IFERROR(INDEX('T12 Raw Data'!J:J,MATCH("Office, admin &amp; G&amp;A",'T12 Raw Data'!B:B,0)),0)</f>
        <v/>
      </c>
      <c r="G68" s="144">
        <f>IFERROR(INDEX('T12 Raw Data'!K:K,MATCH("Office, admin &amp; G&amp;A",'T12 Raw Data'!B:B,0)),0)</f>
        <v/>
      </c>
      <c r="H68" s="144">
        <f>IFERROR(INDEX('T12 Raw Data'!L:L,MATCH("Office, admin &amp; G&amp;A",'T12 Raw Data'!B:B,0)),0)</f>
        <v/>
      </c>
      <c r="I68" s="144">
        <f>IFERROR(INDEX('T12 Raw Data'!M:M,MATCH("Office, admin &amp; G&amp;A",'T12 Raw Data'!B:B,0)),0)</f>
        <v/>
      </c>
      <c r="J68" s="144">
        <f>IFERROR(INDEX('T12 Raw Data'!N:N,MATCH("Office, admin &amp; G&amp;A",'T12 Raw Data'!B:B,0)),0)</f>
        <v/>
      </c>
      <c r="K68" s="144">
        <f>IFERROR(INDEX('T12 Raw Data'!O:O,MATCH("Office, admin &amp; G&amp;A",'T12 Raw Data'!B:B,0)),0)</f>
        <v/>
      </c>
      <c r="L68" s="144">
        <f>IFERROR(INDEX('T12 Raw Data'!P:P,MATCH("Office, admin &amp; G&amp;A",'T12 Raw Data'!B:B,0)),0)</f>
        <v/>
      </c>
      <c r="M68" s="144">
        <f>IFERROR(INDEX('T12 Raw Data'!Q:Q,MATCH("Office, admin &amp; G&amp;A",'T12 Raw Data'!B:B,0)),0)</f>
        <v/>
      </c>
      <c r="N68" s="145">
        <f>SUM(B68:M68)</f>
        <v/>
      </c>
    </row>
    <row r="69">
      <c r="A69" s="83" t="inlineStr">
        <is>
          <t>Other / miscellaneous</t>
        </is>
      </c>
      <c r="B69" s="144">
        <f>IFERROR(INDEX('T12 Raw Data'!F:F,MATCH("Other / miscellaneous",'T12 Raw Data'!B:B,0)),0)</f>
        <v/>
      </c>
      <c r="C69" s="144">
        <f>IFERROR(INDEX('T12 Raw Data'!G:G,MATCH("Other / miscellaneous",'T12 Raw Data'!B:B,0)),0)</f>
        <v/>
      </c>
      <c r="D69" s="144">
        <f>IFERROR(INDEX('T12 Raw Data'!H:H,MATCH("Other / miscellaneous",'T12 Raw Data'!B:B,0)),0)</f>
        <v/>
      </c>
      <c r="E69" s="144">
        <f>IFERROR(INDEX('T12 Raw Data'!I:I,MATCH("Other / miscellaneous",'T12 Raw Data'!B:B,0)),0)</f>
        <v/>
      </c>
      <c r="F69" s="144">
        <f>IFERROR(INDEX('T12 Raw Data'!J:J,MATCH("Other / miscellaneous",'T12 Raw Data'!B:B,0)),0)</f>
        <v/>
      </c>
      <c r="G69" s="144">
        <f>IFERROR(INDEX('T12 Raw Data'!K:K,MATCH("Other / miscellaneous",'T12 Raw Data'!B:B,0)),0)</f>
        <v/>
      </c>
      <c r="H69" s="144">
        <f>IFERROR(INDEX('T12 Raw Data'!L:L,MATCH("Other / miscellaneous",'T12 Raw Data'!B:B,0)),0)</f>
        <v/>
      </c>
      <c r="I69" s="144">
        <f>IFERROR(INDEX('T12 Raw Data'!M:M,MATCH("Other / miscellaneous",'T12 Raw Data'!B:B,0)),0)</f>
        <v/>
      </c>
      <c r="J69" s="144">
        <f>IFERROR(INDEX('T12 Raw Data'!N:N,MATCH("Other / miscellaneous",'T12 Raw Data'!B:B,0)),0)</f>
        <v/>
      </c>
      <c r="K69" s="144">
        <f>IFERROR(INDEX('T12 Raw Data'!O:O,MATCH("Other / miscellaneous",'T12 Raw Data'!B:B,0)),0)</f>
        <v/>
      </c>
      <c r="L69" s="144">
        <f>IFERROR(INDEX('T12 Raw Data'!P:P,MATCH("Other / miscellaneous",'T12 Raw Data'!B:B,0)),0)</f>
        <v/>
      </c>
      <c r="M69" s="144">
        <f>IFERROR(INDEX('T12 Raw Data'!Q:Q,MATCH("Other / miscellaneous",'T12 Raw Data'!B:B,0)),0)</f>
        <v/>
      </c>
      <c r="N69" s="145">
        <f>SUM(B69:M69)</f>
        <v/>
      </c>
    </row>
    <row r="70">
      <c r="A70" s="83" t="inlineStr">
        <is>
          <t>Lease / ground lease</t>
        </is>
      </c>
      <c r="B70" s="144">
        <f>IFERROR(INDEX('T12 Raw Data'!F:F,MATCH("Lease / ground lease",'T12 Raw Data'!B:B,0)),0)</f>
        <v/>
      </c>
      <c r="C70" s="144">
        <f>IFERROR(INDEX('T12 Raw Data'!G:G,MATCH("Lease / ground lease",'T12 Raw Data'!B:B,0)),0)</f>
        <v/>
      </c>
      <c r="D70" s="144">
        <f>IFERROR(INDEX('T12 Raw Data'!H:H,MATCH("Lease / ground lease",'T12 Raw Data'!B:B,0)),0)</f>
        <v/>
      </c>
      <c r="E70" s="144">
        <f>IFERROR(INDEX('T12 Raw Data'!I:I,MATCH("Lease / ground lease",'T12 Raw Data'!B:B,0)),0)</f>
        <v/>
      </c>
      <c r="F70" s="144">
        <f>IFERROR(INDEX('T12 Raw Data'!J:J,MATCH("Lease / ground lease",'T12 Raw Data'!B:B,0)),0)</f>
        <v/>
      </c>
      <c r="G70" s="144">
        <f>IFERROR(INDEX('T12 Raw Data'!K:K,MATCH("Lease / ground lease",'T12 Raw Data'!B:B,0)),0)</f>
        <v/>
      </c>
      <c r="H70" s="144">
        <f>IFERROR(INDEX('T12 Raw Data'!L:L,MATCH("Lease / ground lease",'T12 Raw Data'!B:B,0)),0)</f>
        <v/>
      </c>
      <c r="I70" s="144">
        <f>IFERROR(INDEX('T12 Raw Data'!M:M,MATCH("Lease / ground lease",'T12 Raw Data'!B:B,0)),0)</f>
        <v/>
      </c>
      <c r="J70" s="144">
        <f>IFERROR(INDEX('T12 Raw Data'!N:N,MATCH("Lease / ground lease",'T12 Raw Data'!B:B,0)),0)</f>
        <v/>
      </c>
      <c r="K70" s="144">
        <f>IFERROR(INDEX('T12 Raw Data'!O:O,MATCH("Lease / ground lease",'T12 Raw Data'!B:B,0)),0)</f>
        <v/>
      </c>
      <c r="L70" s="144">
        <f>IFERROR(INDEX('T12 Raw Data'!P:P,MATCH("Lease / ground lease",'T12 Raw Data'!B:B,0)),0)</f>
        <v/>
      </c>
      <c r="M70" s="144">
        <f>IFERROR(INDEX('T12 Raw Data'!Q:Q,MATCH("Lease / ground lease",'T12 Raw Data'!B:B,0)),0)</f>
        <v/>
      </c>
      <c r="N70" s="145">
        <f>SUM(B70:M70)</f>
        <v/>
      </c>
    </row>
    <row r="71">
      <c r="A71" s="146" t="inlineStr">
        <is>
          <t>Total non-labor opex</t>
        </is>
      </c>
      <c r="B71" s="147">
        <f>B46+B47+B48+B49+B50+B51+B52+B53+B54+B55+B56+B57+B58+B59+B60+B61+B62+B63+B64+B65+B66+B67+B68+B69+B70</f>
        <v/>
      </c>
      <c r="C71" s="147">
        <f>C46+C47+C48+C49+C50+C51+C52+C53+C54+C55+C56+C57+C58+C59+C60+C61+C62+C63+C64+C65+C66+C67+C68+C69+C70</f>
        <v/>
      </c>
      <c r="D71" s="147">
        <f>D46+D47+D48+D49+D50+D51+D52+D53+D54+D55+D56+D57+D58+D59+D60+D61+D62+D63+D64+D65+D66+D67+D68+D69+D70</f>
        <v/>
      </c>
      <c r="E71" s="147">
        <f>E46+E47+E48+E49+E50+E51+E52+E53+E54+E55+E56+E57+E58+E59+E60+E61+E62+E63+E64+E65+E66+E67+E68+E69+E70</f>
        <v/>
      </c>
      <c r="F71" s="147">
        <f>F46+F47+F48+F49+F50+F51+F52+F53+F54+F55+F56+F57+F58+F59+F60+F61+F62+F63+F64+F65+F66+F67+F68+F69+F70</f>
        <v/>
      </c>
      <c r="G71" s="147">
        <f>G46+G47+G48+G49+G50+G51+G52+G53+G54+G55+G56+G57+G58+G59+G60+G61+G62+G63+G64+G65+G66+G67+G68+G69+G70</f>
        <v/>
      </c>
      <c r="H71" s="147">
        <f>H46+H47+H48+H49+H50+H51+H52+H53+H54+H55+H56+H57+H58+H59+H60+H61+H62+H63+H64+H65+H66+H67+H68+H69+H70</f>
        <v/>
      </c>
      <c r="I71" s="147">
        <f>I46+I47+I48+I49+I50+I51+I52+I53+I54+I55+I56+I57+I58+I59+I60+I61+I62+I63+I64+I65+I66+I67+I68+I69+I70</f>
        <v/>
      </c>
      <c r="J71" s="147">
        <f>J46+J47+J48+J49+J50+J51+J52+J53+J54+J55+J56+J57+J58+J59+J60+J61+J62+J63+J64+J65+J66+J67+J68+J69+J70</f>
        <v/>
      </c>
      <c r="K71" s="147">
        <f>K46+K47+K48+K49+K50+K51+K52+K53+K54+K55+K56+K57+K58+K59+K60+K61+K62+K63+K64+K65+K66+K67+K68+K69+K70</f>
        <v/>
      </c>
      <c r="L71" s="147">
        <f>L46+L47+L48+L49+L50+L51+L52+L53+L54+L55+L56+L57+L58+L59+L60+L61+L62+L63+L64+L65+L66+L67+L68+L69+L70</f>
        <v/>
      </c>
      <c r="M71" s="147">
        <f>M46+M47+M48+M49+M50+M51+M52+M53+M54+M55+M56+M57+M58+M59+M60+M61+M62+M63+M64+M65+M66+M67+M68+M69+M70</f>
        <v/>
      </c>
      <c r="N71" s="147">
        <f>N46+N47+N48+N49+N50+N51+N52+N53+N54+N55+N56+N57+N58+N59+N60+N61+N62+N63+N64+N65+N66+N67+N68+N69+N70</f>
        <v/>
      </c>
    </row>
    <row r="72">
      <c r="A72" s="151" t="inlineStr">
        <is>
          <t>TOTAL OPEX  (excl. mgmt)</t>
        </is>
      </c>
      <c r="B72" s="30">
        <f>B44+B71</f>
        <v/>
      </c>
      <c r="C72" s="30">
        <f>C44+C71</f>
        <v/>
      </c>
      <c r="D72" s="30">
        <f>D44+D71</f>
        <v/>
      </c>
      <c r="E72" s="30">
        <f>E44+E71</f>
        <v/>
      </c>
      <c r="F72" s="30">
        <f>F44+F71</f>
        <v/>
      </c>
      <c r="G72" s="30">
        <f>G44+G71</f>
        <v/>
      </c>
      <c r="H72" s="30">
        <f>H44+H71</f>
        <v/>
      </c>
      <c r="I72" s="30">
        <f>I44+I71</f>
        <v/>
      </c>
      <c r="J72" s="30">
        <f>J44+J71</f>
        <v/>
      </c>
      <c r="K72" s="30">
        <f>K44+K71</f>
        <v/>
      </c>
      <c r="L72" s="30">
        <f>L44+L71</f>
        <v/>
      </c>
      <c r="M72" s="30">
        <f>M44+M71</f>
        <v/>
      </c>
      <c r="N72" s="30">
        <f>N44+N71</f>
        <v/>
      </c>
    </row>
    <row r="73">
      <c r="A73" s="83" t="inlineStr">
        <is>
          <t>Management fee</t>
        </is>
      </c>
      <c r="B73" s="144">
        <f>IFERROR(INDEX('T12 Raw Data'!F:F,MATCH("Management fee",'T12 Raw Data'!B:B,0)),0)</f>
        <v/>
      </c>
      <c r="C73" s="144">
        <f>IFERROR(INDEX('T12 Raw Data'!G:G,MATCH("Management fee",'T12 Raw Data'!B:B,0)),0)</f>
        <v/>
      </c>
      <c r="D73" s="144">
        <f>IFERROR(INDEX('T12 Raw Data'!H:H,MATCH("Management fee",'T12 Raw Data'!B:B,0)),0)</f>
        <v/>
      </c>
      <c r="E73" s="144">
        <f>IFERROR(INDEX('T12 Raw Data'!I:I,MATCH("Management fee",'T12 Raw Data'!B:B,0)),0)</f>
        <v/>
      </c>
      <c r="F73" s="144">
        <f>IFERROR(INDEX('T12 Raw Data'!J:J,MATCH("Management fee",'T12 Raw Data'!B:B,0)),0)</f>
        <v/>
      </c>
      <c r="G73" s="144">
        <f>IFERROR(INDEX('T12 Raw Data'!K:K,MATCH("Management fee",'T12 Raw Data'!B:B,0)),0)</f>
        <v/>
      </c>
      <c r="H73" s="144">
        <f>IFERROR(INDEX('T12 Raw Data'!L:L,MATCH("Management fee",'T12 Raw Data'!B:B,0)),0)</f>
        <v/>
      </c>
      <c r="I73" s="144">
        <f>IFERROR(INDEX('T12 Raw Data'!M:M,MATCH("Management fee",'T12 Raw Data'!B:B,0)),0)</f>
        <v/>
      </c>
      <c r="J73" s="144">
        <f>IFERROR(INDEX('T12 Raw Data'!N:N,MATCH("Management fee",'T12 Raw Data'!B:B,0)),0)</f>
        <v/>
      </c>
      <c r="K73" s="144">
        <f>IFERROR(INDEX('T12 Raw Data'!O:O,MATCH("Management fee",'T12 Raw Data'!B:B,0)),0)</f>
        <v/>
      </c>
      <c r="L73" s="144">
        <f>IFERROR(INDEX('T12 Raw Data'!P:P,MATCH("Management fee",'T12 Raw Data'!B:B,0)),0)</f>
        <v/>
      </c>
      <c r="M73" s="144">
        <f>IFERROR(INDEX('T12 Raw Data'!Q:Q,MATCH("Management fee",'T12 Raw Data'!B:B,0)),0)</f>
        <v/>
      </c>
      <c r="N73" s="145">
        <f>SUM(B73:M73)</f>
        <v/>
      </c>
    </row>
    <row r="74">
      <c r="A74" s="151" t="inlineStr">
        <is>
          <t>EBITDARM</t>
        </is>
      </c>
      <c r="B74" s="30">
        <f>B26-B72</f>
        <v/>
      </c>
      <c r="C74" s="30">
        <f>C26-C72</f>
        <v/>
      </c>
      <c r="D74" s="30">
        <f>D26-D72</f>
        <v/>
      </c>
      <c r="E74" s="30">
        <f>E26-E72</f>
        <v/>
      </c>
      <c r="F74" s="30">
        <f>F26-F72</f>
        <v/>
      </c>
      <c r="G74" s="30">
        <f>G26-G72</f>
        <v/>
      </c>
      <c r="H74" s="30">
        <f>H26-H72</f>
        <v/>
      </c>
      <c r="I74" s="30">
        <f>I26-I72</f>
        <v/>
      </c>
      <c r="J74" s="30">
        <f>J26-J72</f>
        <v/>
      </c>
      <c r="K74" s="30">
        <f>K26-K72</f>
        <v/>
      </c>
      <c r="L74" s="30">
        <f>L26-L72</f>
        <v/>
      </c>
      <c r="M74" s="30">
        <f>M26-M72</f>
        <v/>
      </c>
      <c r="N74" s="30">
        <f>N26-N72</f>
        <v/>
      </c>
    </row>
    <row r="75">
      <c r="A75" s="151" t="inlineStr">
        <is>
          <t>EBITDAR</t>
        </is>
      </c>
      <c r="B75" s="30">
        <f>B74-B73</f>
        <v/>
      </c>
      <c r="C75" s="30">
        <f>C74-C73</f>
        <v/>
      </c>
      <c r="D75" s="30">
        <f>D74-D73</f>
        <v/>
      </c>
      <c r="E75" s="30">
        <f>E74-E73</f>
        <v/>
      </c>
      <c r="F75" s="30">
        <f>F74-F73</f>
        <v/>
      </c>
      <c r="G75" s="30">
        <f>G74-G73</f>
        <v/>
      </c>
      <c r="H75" s="30">
        <f>H74-H73</f>
        <v/>
      </c>
      <c r="I75" s="30">
        <f>I74-I73</f>
        <v/>
      </c>
      <c r="J75" s="30">
        <f>J74-J73</f>
        <v/>
      </c>
      <c r="K75" s="30">
        <f>K74-K73</f>
        <v/>
      </c>
      <c r="L75" s="30">
        <f>L74-L73</f>
        <v/>
      </c>
      <c r="M75" s="30">
        <f>M74-M73</f>
        <v/>
      </c>
      <c r="N75" s="30">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v0.2.4</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63" t="inlineStr">
        <is>
          <t>—</t>
        </is>
      </c>
      <c r="C8" s="263" t="inlineStr">
        <is>
          <t>—</t>
        </is>
      </c>
      <c r="D8" s="263" t="inlineStr">
        <is>
          <t>—</t>
        </is>
      </c>
      <c r="E8" s="24">
        <f>'T12 Analytics'!E47</f>
        <v/>
      </c>
      <c r="F8" s="24">
        <f>'T12 Analytics'!F47</f>
        <v/>
      </c>
      <c r="G8" s="24">
        <f>F8-E8</f>
        <v/>
      </c>
      <c r="H8" s="156" t="n"/>
    </row>
    <row r="9" ht="15.75" customHeight="1" s="199">
      <c r="A9" s="112" t="inlineStr">
        <is>
          <t>Concessions &amp; specials</t>
        </is>
      </c>
      <c r="B9" s="263" t="inlineStr">
        <is>
          <t>—</t>
        </is>
      </c>
      <c r="C9" s="263" t="inlineStr">
        <is>
          <t>—</t>
        </is>
      </c>
      <c r="D9" s="263" t="inlineStr">
        <is>
          <t>—</t>
        </is>
      </c>
      <c r="E9" s="24">
        <f>'T12 Analytics'!E48</f>
        <v/>
      </c>
      <c r="F9" s="24">
        <f>'T12 Analytics'!F48</f>
        <v/>
      </c>
      <c r="G9" s="24">
        <f>F9-E9</f>
        <v/>
      </c>
      <c r="H9" s="156" t="n"/>
    </row>
    <row r="10" ht="15.75" customHeight="1" s="199">
      <c r="A10" s="112" t="inlineStr">
        <is>
          <t>Respite care</t>
        </is>
      </c>
      <c r="B10" s="263" t="inlineStr">
        <is>
          <t>—</t>
        </is>
      </c>
      <c r="C10" s="263" t="inlineStr">
        <is>
          <t>—</t>
        </is>
      </c>
      <c r="D10" s="263" t="inlineStr">
        <is>
          <t>—</t>
        </is>
      </c>
      <c r="E10" s="24">
        <f>'T12 Analytics'!E49</f>
        <v/>
      </c>
      <c r="F10" s="24">
        <f>'T12 Analytics'!F49</f>
        <v/>
      </c>
      <c r="G10" s="24">
        <f>F10-E10</f>
        <v/>
      </c>
      <c r="H10" s="156" t="n"/>
    </row>
    <row r="11" ht="15.75" customHeight="1" s="199">
      <c r="A11" s="112" t="inlineStr">
        <is>
          <t>Other community revenue</t>
        </is>
      </c>
      <c r="B11" s="263" t="inlineStr">
        <is>
          <t>—</t>
        </is>
      </c>
      <c r="C11" s="263" t="inlineStr">
        <is>
          <t>—</t>
        </is>
      </c>
      <c r="D11" s="263" t="inlineStr">
        <is>
          <t>—</t>
        </is>
      </c>
      <c r="E11" s="24">
        <f>'T12 Analytics'!E50</f>
        <v/>
      </c>
      <c r="F11" s="24">
        <f>'T12 Analytics'!F50</f>
        <v/>
      </c>
      <c r="G11" s="24">
        <f>F11-E11</f>
        <v/>
      </c>
      <c r="H11" s="156" t="n"/>
    </row>
    <row r="12" ht="18" customHeight="1" s="199">
      <c r="A12" s="183" t="inlineStr">
        <is>
          <t>EGI (normalized)</t>
        </is>
      </c>
      <c r="B12" s="264" t="inlineStr">
        <is>
          <t>—</t>
        </is>
      </c>
      <c r="C12" s="264" t="inlineStr">
        <is>
          <t>—</t>
        </is>
      </c>
      <c r="D12" s="264"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63" t="inlineStr">
        <is>
          <t>—</t>
        </is>
      </c>
      <c r="C22" s="263" t="inlineStr">
        <is>
          <t>—</t>
        </is>
      </c>
      <c r="D22" s="263" t="inlineStr">
        <is>
          <t>—</t>
        </is>
      </c>
      <c r="E22" s="24">
        <f>'T12 Analytics'!E57</f>
        <v/>
      </c>
      <c r="F22" s="24">
        <f>'T12 Analytics'!F57</f>
        <v/>
      </c>
      <c r="G22" s="24">
        <f>F22-E22</f>
        <v/>
      </c>
      <c r="H22" s="156" t="n"/>
    </row>
    <row r="23" ht="15.75" customHeight="1" s="199">
      <c r="A23" s="112" t="inlineStr">
        <is>
          <t>Wellness / care coordinators</t>
        </is>
      </c>
      <c r="B23" s="263" t="inlineStr">
        <is>
          <t>—</t>
        </is>
      </c>
      <c r="C23" s="263" t="inlineStr">
        <is>
          <t>—</t>
        </is>
      </c>
      <c r="D23" s="263" t="inlineStr">
        <is>
          <t>—</t>
        </is>
      </c>
      <c r="E23" s="24">
        <f>'T12 Analytics'!E58</f>
        <v/>
      </c>
      <c r="F23" s="24">
        <f>'T12 Analytics'!F58</f>
        <v/>
      </c>
      <c r="G23" s="24">
        <f>F23-E23</f>
        <v/>
      </c>
      <c r="H23" s="156" t="n"/>
    </row>
    <row r="24" ht="15.75" customHeight="1" s="199">
      <c r="A24" s="112" t="inlineStr">
        <is>
          <t>Contract / agency labor</t>
        </is>
      </c>
      <c r="B24" s="263" t="inlineStr">
        <is>
          <t>—</t>
        </is>
      </c>
      <c r="C24" s="263" t="inlineStr">
        <is>
          <t>—</t>
        </is>
      </c>
      <c r="D24" s="263" t="inlineStr">
        <is>
          <t>—</t>
        </is>
      </c>
      <c r="E24" s="24">
        <f>'T12 Analytics'!E59</f>
        <v/>
      </c>
      <c r="F24" s="24">
        <f>'T12 Analytics'!F59</f>
        <v/>
      </c>
      <c r="G24" s="24">
        <f>F24-E24</f>
        <v/>
      </c>
      <c r="H24" s="156" t="n"/>
    </row>
    <row r="25" ht="15.75" customHeight="1" s="199">
      <c r="A25" s="112" t="inlineStr">
        <is>
          <t>Activities labor</t>
        </is>
      </c>
      <c r="B25" s="263" t="inlineStr">
        <is>
          <t>—</t>
        </is>
      </c>
      <c r="C25" s="263" t="inlineStr">
        <is>
          <t>—</t>
        </is>
      </c>
      <c r="D25" s="263" t="inlineStr">
        <is>
          <t>—</t>
        </is>
      </c>
      <c r="E25" s="24">
        <f>'T12 Analytics'!E60</f>
        <v/>
      </c>
      <c r="F25" s="24">
        <f>'T12 Analytics'!F60</f>
        <v/>
      </c>
      <c r="G25" s="24">
        <f>F25-E25</f>
        <v/>
      </c>
      <c r="H25" s="156" t="n"/>
    </row>
    <row r="26" ht="15.75" customHeight="1" s="199">
      <c r="A26" s="112" t="inlineStr">
        <is>
          <t>Dining / food service labor</t>
        </is>
      </c>
      <c r="B26" s="263" t="inlineStr">
        <is>
          <t>—</t>
        </is>
      </c>
      <c r="C26" s="263" t="inlineStr">
        <is>
          <t>—</t>
        </is>
      </c>
      <c r="D26" s="263" t="inlineStr">
        <is>
          <t>—</t>
        </is>
      </c>
      <c r="E26" s="24">
        <f>'T12 Analytics'!E61</f>
        <v/>
      </c>
      <c r="F26" s="24">
        <f>'T12 Analytics'!F61</f>
        <v/>
      </c>
      <c r="G26" s="24">
        <f>F26-E26</f>
        <v/>
      </c>
      <c r="H26" s="156" t="n"/>
    </row>
    <row r="27" ht="15.75" customHeight="1" s="199">
      <c r="A27" s="112" t="inlineStr">
        <is>
          <t>Maintenance &amp; HK labor</t>
        </is>
      </c>
      <c r="B27" s="263" t="inlineStr">
        <is>
          <t>—</t>
        </is>
      </c>
      <c r="C27" s="263" t="inlineStr">
        <is>
          <t>—</t>
        </is>
      </c>
      <c r="D27" s="263" t="inlineStr">
        <is>
          <t>—</t>
        </is>
      </c>
      <c r="E27" s="24">
        <f>'T12 Analytics'!E62</f>
        <v/>
      </c>
      <c r="F27" s="24">
        <f>'T12 Analytics'!F62</f>
        <v/>
      </c>
      <c r="G27" s="24">
        <f>F27-E27</f>
        <v/>
      </c>
      <c r="H27" s="156" t="n"/>
    </row>
    <row r="28" ht="18" customHeight="1" s="199">
      <c r="A28" s="112" t="inlineStr">
        <is>
          <t>Administrative labor</t>
        </is>
      </c>
      <c r="B28" s="263" t="inlineStr">
        <is>
          <t>—</t>
        </is>
      </c>
      <c r="C28" s="263" t="inlineStr">
        <is>
          <t>—</t>
        </is>
      </c>
      <c r="D28" s="263"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63" t="inlineStr">
        <is>
          <t>—</t>
        </is>
      </c>
      <c r="C30" s="263" t="inlineStr">
        <is>
          <t>—</t>
        </is>
      </c>
      <c r="D30" s="263" t="inlineStr">
        <is>
          <t>—</t>
        </is>
      </c>
      <c r="E30" s="24">
        <f>'T12 Analytics'!E68</f>
        <v/>
      </c>
      <c r="F30" s="24">
        <f>'T12 Analytics'!F68</f>
        <v/>
      </c>
      <c r="G30" s="24">
        <f>F30-E30</f>
        <v/>
      </c>
      <c r="H30" s="156" t="n"/>
    </row>
    <row r="31" ht="15.75" customHeight="1" s="199">
      <c r="A31" s="112" t="inlineStr">
        <is>
          <t>PTO wages</t>
        </is>
      </c>
      <c r="B31" s="263" t="inlineStr">
        <is>
          <t>—</t>
        </is>
      </c>
      <c r="C31" s="263" t="inlineStr">
        <is>
          <t>—</t>
        </is>
      </c>
      <c r="D31" s="263" t="inlineStr">
        <is>
          <t>—</t>
        </is>
      </c>
      <c r="E31" s="24">
        <f>'T12 Analytics'!E69</f>
        <v/>
      </c>
      <c r="F31" s="24">
        <f>'T12 Analytics'!F69</f>
        <v/>
      </c>
      <c r="G31" s="24">
        <f>F31-E31</f>
        <v/>
      </c>
      <c r="H31" s="156" t="n"/>
    </row>
    <row r="32" ht="15.75" customHeight="1" s="199">
      <c r="A32" s="112" t="inlineStr">
        <is>
          <t>Payroll taxes</t>
        </is>
      </c>
      <c r="B32" s="263" t="inlineStr">
        <is>
          <t>—</t>
        </is>
      </c>
      <c r="C32" s="263" t="inlineStr">
        <is>
          <t>—</t>
        </is>
      </c>
      <c r="D32" s="263" t="inlineStr">
        <is>
          <t>—</t>
        </is>
      </c>
      <c r="E32" s="24">
        <f>'T12 Analytics'!E70</f>
        <v/>
      </c>
      <c r="F32" s="24">
        <f>'T12 Analytics'!F70</f>
        <v/>
      </c>
      <c r="G32" s="24">
        <f>F32-E32</f>
        <v/>
      </c>
      <c r="H32" s="156" t="n"/>
    </row>
    <row r="33" ht="15.75" customHeight="1" s="199">
      <c r="A33" s="112" t="inlineStr">
        <is>
          <t>Employee benefits</t>
        </is>
      </c>
      <c r="B33" s="263" t="inlineStr">
        <is>
          <t>—</t>
        </is>
      </c>
      <c r="C33" s="263" t="inlineStr">
        <is>
          <t>—</t>
        </is>
      </c>
      <c r="D33" s="263" t="inlineStr">
        <is>
          <t>—</t>
        </is>
      </c>
      <c r="E33" s="24">
        <f>'T12 Analytics'!E71</f>
        <v/>
      </c>
      <c r="F33" s="24">
        <f>'T12 Analytics'!F71</f>
        <v/>
      </c>
      <c r="G33" s="24">
        <f>F33-E33</f>
        <v/>
      </c>
      <c r="H33" s="156" t="n"/>
    </row>
    <row r="34" ht="15.75" customHeight="1" s="199">
      <c r="A34" s="112" t="inlineStr">
        <is>
          <t>Workers' comp insurance</t>
        </is>
      </c>
      <c r="B34" s="263" t="inlineStr">
        <is>
          <t>—</t>
        </is>
      </c>
      <c r="C34" s="263" t="inlineStr">
        <is>
          <t>—</t>
        </is>
      </c>
      <c r="D34" s="263" t="inlineStr">
        <is>
          <t>—</t>
        </is>
      </c>
      <c r="E34" s="24">
        <f>'T12 Analytics'!E72</f>
        <v/>
      </c>
      <c r="F34" s="24">
        <f>'T12 Analytics'!F72</f>
        <v/>
      </c>
      <c r="G34" s="24">
        <f>F34-E34</f>
        <v/>
      </c>
      <c r="H34" s="156" t="n"/>
    </row>
    <row r="35" ht="15.75" customHeight="1" s="199">
      <c r="A35" s="112" t="inlineStr">
        <is>
          <t>Employee 401(k)</t>
        </is>
      </c>
      <c r="B35" s="263" t="inlineStr">
        <is>
          <t>—</t>
        </is>
      </c>
      <c r="C35" s="263" t="inlineStr">
        <is>
          <t>—</t>
        </is>
      </c>
      <c r="D35" s="263" t="inlineStr">
        <is>
          <t>—</t>
        </is>
      </c>
      <c r="E35" s="24">
        <f>'T12 Analytics'!E73</f>
        <v/>
      </c>
      <c r="F35" s="24">
        <f>'T12 Analytics'!F73</f>
        <v/>
      </c>
      <c r="G35" s="24">
        <f>F35-E35</f>
        <v/>
      </c>
      <c r="H35" s="156" t="n"/>
    </row>
    <row r="36" ht="15.75" customHeight="1" s="199">
      <c r="A36" s="183" t="inlineStr">
        <is>
          <t>Total labor &amp; burden</t>
        </is>
      </c>
      <c r="B36" s="264" t="inlineStr">
        <is>
          <t>—</t>
        </is>
      </c>
      <c r="C36" s="264" t="inlineStr">
        <is>
          <t>—</t>
        </is>
      </c>
      <c r="D36" s="264"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63" t="inlineStr">
        <is>
          <t>—</t>
        </is>
      </c>
      <c r="C38" s="263" t="inlineStr">
        <is>
          <t>—</t>
        </is>
      </c>
      <c r="D38" s="263" t="inlineStr">
        <is>
          <t>—</t>
        </is>
      </c>
      <c r="E38" s="24">
        <f>'T12 Analytics'!E79</f>
        <v/>
      </c>
      <c r="F38" s="24">
        <f>'T12 Analytics'!F79</f>
        <v/>
      </c>
      <c r="G38" s="24">
        <f>F38-E38</f>
        <v/>
      </c>
      <c r="H38" s="156" t="n"/>
    </row>
    <row r="39" ht="15.75" customHeight="1" s="199">
      <c r="A39" s="112" t="inlineStr">
        <is>
          <t>Dining &amp; kitchen supplies</t>
        </is>
      </c>
      <c r="B39" s="263" t="inlineStr">
        <is>
          <t>—</t>
        </is>
      </c>
      <c r="C39" s="263" t="inlineStr">
        <is>
          <t>—</t>
        </is>
      </c>
      <c r="D39" s="263" t="inlineStr">
        <is>
          <t>—</t>
        </is>
      </c>
      <c r="E39" s="24">
        <f>'T12 Analytics'!E80</f>
        <v/>
      </c>
      <c r="F39" s="24">
        <f>'T12 Analytics'!F80</f>
        <v/>
      </c>
      <c r="G39" s="24">
        <f>F39-E39</f>
        <v/>
      </c>
      <c r="H39" s="156" t="n"/>
    </row>
    <row r="40" ht="15.75" customHeight="1" s="199">
      <c r="A40" s="112" t="inlineStr">
        <is>
          <t>Nursing &amp; care supplies</t>
        </is>
      </c>
      <c r="B40" s="263" t="inlineStr">
        <is>
          <t>—</t>
        </is>
      </c>
      <c r="C40" s="263" t="inlineStr">
        <is>
          <t>—</t>
        </is>
      </c>
      <c r="D40" s="263" t="inlineStr">
        <is>
          <t>—</t>
        </is>
      </c>
      <c r="E40" s="24">
        <f>'T12 Analytics'!E81</f>
        <v/>
      </c>
      <c r="F40" s="24">
        <f>'T12 Analytics'!F81</f>
        <v/>
      </c>
      <c r="G40" s="24">
        <f>F40-E40</f>
        <v/>
      </c>
      <c r="H40" s="156" t="n"/>
    </row>
    <row r="41" ht="15.75" customHeight="1" s="199">
      <c r="A41" s="112" t="inlineStr">
        <is>
          <t>Recreation supplies</t>
        </is>
      </c>
      <c r="B41" s="263" t="inlineStr">
        <is>
          <t>—</t>
        </is>
      </c>
      <c r="C41" s="263" t="inlineStr">
        <is>
          <t>—</t>
        </is>
      </c>
      <c r="D41" s="263" t="inlineStr">
        <is>
          <t>—</t>
        </is>
      </c>
      <c r="E41" s="24">
        <f>'T12 Analytics'!E82</f>
        <v/>
      </c>
      <c r="F41" s="24">
        <f>'T12 Analytics'!F82</f>
        <v/>
      </c>
      <c r="G41" s="24">
        <f>F41-E41</f>
        <v/>
      </c>
      <c r="H41" s="156" t="n"/>
    </row>
    <row r="42" ht="15.75" customHeight="1" s="199">
      <c r="A42" s="112" t="inlineStr">
        <is>
          <t>R&amp;M fixed</t>
        </is>
      </c>
      <c r="B42" s="263" t="inlineStr">
        <is>
          <t>—</t>
        </is>
      </c>
      <c r="C42" s="263" t="inlineStr">
        <is>
          <t>—</t>
        </is>
      </c>
      <c r="D42" s="263" t="inlineStr">
        <is>
          <t>—</t>
        </is>
      </c>
      <c r="E42" s="24">
        <f>'T12 Analytics'!E83</f>
        <v/>
      </c>
      <c r="F42" s="24">
        <f>'T12 Analytics'!F83</f>
        <v/>
      </c>
      <c r="G42" s="24">
        <f>F42-E42</f>
        <v/>
      </c>
      <c r="H42" s="156" t="n"/>
    </row>
    <row r="43" ht="15.75" customHeight="1" s="199">
      <c r="A43" s="112" t="inlineStr">
        <is>
          <t>R&amp;M variable</t>
        </is>
      </c>
      <c r="B43" s="263" t="inlineStr">
        <is>
          <t>—</t>
        </is>
      </c>
      <c r="C43" s="263" t="inlineStr">
        <is>
          <t>—</t>
        </is>
      </c>
      <c r="D43" s="263" t="inlineStr">
        <is>
          <t>—</t>
        </is>
      </c>
      <c r="E43" s="24">
        <f>'T12 Analytics'!E84</f>
        <v/>
      </c>
      <c r="F43" s="24">
        <f>'T12 Analytics'!F84</f>
        <v/>
      </c>
      <c r="G43" s="24">
        <f>F43-E43</f>
        <v/>
      </c>
      <c r="H43" s="156" t="n"/>
    </row>
    <row r="44" ht="15.75" customHeight="1" s="199">
      <c r="A44" s="112" t="inlineStr">
        <is>
          <t>HK &amp; laundry supplies</t>
        </is>
      </c>
      <c r="B44" s="263" t="inlineStr">
        <is>
          <t>—</t>
        </is>
      </c>
      <c r="C44" s="263" t="inlineStr">
        <is>
          <t>—</t>
        </is>
      </c>
      <c r="D44" s="263" t="inlineStr">
        <is>
          <t>—</t>
        </is>
      </c>
      <c r="E44" s="24">
        <f>'T12 Analytics'!E85</f>
        <v/>
      </c>
      <c r="F44" s="24">
        <f>'T12 Analytics'!F85</f>
        <v/>
      </c>
      <c r="G44" s="24">
        <f>F44-E44</f>
        <v/>
      </c>
      <c r="H44" s="156" t="n"/>
    </row>
    <row r="45" ht="15.75" customHeight="1" s="199">
      <c r="A45" s="112" t="inlineStr">
        <is>
          <t>Sales, adv. &amp; marketing</t>
        </is>
      </c>
      <c r="B45" s="263" t="inlineStr">
        <is>
          <t>—</t>
        </is>
      </c>
      <c r="C45" s="263" t="inlineStr">
        <is>
          <t>—</t>
        </is>
      </c>
      <c r="D45" s="263" t="inlineStr">
        <is>
          <t>—</t>
        </is>
      </c>
      <c r="E45" s="24">
        <f>'T12 Analytics'!E86</f>
        <v/>
      </c>
      <c r="F45" s="24">
        <f>'T12 Analytics'!F86</f>
        <v/>
      </c>
      <c r="G45" s="24">
        <f>F45-E45</f>
        <v/>
      </c>
      <c r="H45" s="156" t="n"/>
    </row>
    <row r="46" ht="15.75" customHeight="1" s="199">
      <c r="A46" s="112" t="inlineStr">
        <is>
          <t>Referral fees</t>
        </is>
      </c>
      <c r="B46" s="263" t="inlineStr">
        <is>
          <t>—</t>
        </is>
      </c>
      <c r="C46" s="263" t="inlineStr">
        <is>
          <t>—</t>
        </is>
      </c>
      <c r="D46" s="263" t="inlineStr">
        <is>
          <t>—</t>
        </is>
      </c>
      <c r="E46" s="24">
        <f>'T12 Analytics'!E87</f>
        <v/>
      </c>
      <c r="F46" s="24">
        <f>'T12 Analytics'!F87</f>
        <v/>
      </c>
      <c r="G46" s="24">
        <f>F46-E46</f>
        <v/>
      </c>
      <c r="H46" s="156" t="n"/>
    </row>
    <row r="47" ht="15.75" customHeight="1" s="199">
      <c r="A47" s="112" t="inlineStr">
        <is>
          <t>Utilities</t>
        </is>
      </c>
      <c r="B47" s="263" t="inlineStr">
        <is>
          <t>—</t>
        </is>
      </c>
      <c r="C47" s="263" t="inlineStr">
        <is>
          <t>—</t>
        </is>
      </c>
      <c r="D47" s="263" t="inlineStr">
        <is>
          <t>—</t>
        </is>
      </c>
      <c r="E47" s="24">
        <f>'T12 Analytics'!E88</f>
        <v/>
      </c>
      <c r="F47" s="24">
        <f>'T12 Analytics'!F88</f>
        <v/>
      </c>
      <c r="G47" s="24">
        <f>F47-E47</f>
        <v/>
      </c>
      <c r="H47" s="156" t="n"/>
    </row>
    <row r="48" ht="15.75" customHeight="1" s="199">
      <c r="A48" s="112" t="inlineStr">
        <is>
          <t>Telephone / IT</t>
        </is>
      </c>
      <c r="B48" s="263" t="inlineStr">
        <is>
          <t>—</t>
        </is>
      </c>
      <c r="C48" s="263" t="inlineStr">
        <is>
          <t>—</t>
        </is>
      </c>
      <c r="D48" s="263" t="inlineStr">
        <is>
          <t>—</t>
        </is>
      </c>
      <c r="E48" s="24">
        <f>'T12 Analytics'!E89</f>
        <v/>
      </c>
      <c r="F48" s="24">
        <f>'T12 Analytics'!F89</f>
        <v/>
      </c>
      <c r="G48" s="24">
        <f>F48-E48</f>
        <v/>
      </c>
      <c r="H48" s="156" t="n"/>
    </row>
    <row r="49" ht="15.75" customHeight="1" s="199">
      <c r="A49" s="112" t="inlineStr">
        <is>
          <t>P&amp;C insurance</t>
        </is>
      </c>
      <c r="B49" s="263" t="inlineStr">
        <is>
          <t>—</t>
        </is>
      </c>
      <c r="C49" s="263" t="inlineStr">
        <is>
          <t>—</t>
        </is>
      </c>
      <c r="D49" s="263" t="inlineStr">
        <is>
          <t>—</t>
        </is>
      </c>
      <c r="E49" s="24">
        <f>'T12 Analytics'!E90</f>
        <v/>
      </c>
      <c r="F49" s="24">
        <f>'T12 Analytics'!F90</f>
        <v/>
      </c>
      <c r="G49" s="24">
        <f>F49-E49</f>
        <v/>
      </c>
      <c r="H49" s="156" t="n"/>
    </row>
    <row r="50" ht="15.75" customHeight="1" s="199">
      <c r="A50" s="112" t="inlineStr">
        <is>
          <t>Auto insurance</t>
        </is>
      </c>
      <c r="B50" s="263" t="inlineStr">
        <is>
          <t>—</t>
        </is>
      </c>
      <c r="C50" s="263" t="inlineStr">
        <is>
          <t>—</t>
        </is>
      </c>
      <c r="D50" s="263" t="inlineStr">
        <is>
          <t>—</t>
        </is>
      </c>
      <c r="E50" s="24">
        <f>'T12 Analytics'!E91</f>
        <v/>
      </c>
      <c r="F50" s="24">
        <f>'T12 Analytics'!F91</f>
        <v/>
      </c>
      <c r="G50" s="24">
        <f>F50-E50</f>
        <v/>
      </c>
      <c r="H50" s="156" t="n"/>
    </row>
    <row r="51" ht="15.75" customHeight="1" s="199">
      <c r="A51" s="112" t="inlineStr">
        <is>
          <t>Fire / security monitoring</t>
        </is>
      </c>
      <c r="B51" s="263" t="inlineStr">
        <is>
          <t>—</t>
        </is>
      </c>
      <c r="C51" s="263" t="inlineStr">
        <is>
          <t>—</t>
        </is>
      </c>
      <c r="D51" s="263" t="inlineStr">
        <is>
          <t>—</t>
        </is>
      </c>
      <c r="E51" s="24">
        <f>'T12 Analytics'!E92</f>
        <v/>
      </c>
      <c r="F51" s="24">
        <f>'T12 Analytics'!F92</f>
        <v/>
      </c>
      <c r="G51" s="24">
        <f>F51-E51</f>
        <v/>
      </c>
      <c r="H51" s="156" t="n"/>
    </row>
    <row r="52" ht="15.75" customHeight="1" s="199">
      <c r="A52" s="112" t="inlineStr">
        <is>
          <t>Pest elimination</t>
        </is>
      </c>
      <c r="B52" s="263" t="inlineStr">
        <is>
          <t>—</t>
        </is>
      </c>
      <c r="C52" s="263" t="inlineStr">
        <is>
          <t>—</t>
        </is>
      </c>
      <c r="D52" s="263" t="inlineStr">
        <is>
          <t>—</t>
        </is>
      </c>
      <c r="E52" s="24">
        <f>'T12 Analytics'!E93</f>
        <v/>
      </c>
      <c r="F52" s="24">
        <f>'T12 Analytics'!F93</f>
        <v/>
      </c>
      <c r="G52" s="24">
        <f>F52-E52</f>
        <v/>
      </c>
      <c r="H52" s="156" t="n"/>
    </row>
    <row r="53" ht="15.75" customHeight="1" s="199">
      <c r="A53" s="112" t="inlineStr">
        <is>
          <t>Real estate taxes</t>
        </is>
      </c>
      <c r="B53" s="263" t="inlineStr">
        <is>
          <t>—</t>
        </is>
      </c>
      <c r="C53" s="263" t="inlineStr">
        <is>
          <t>—</t>
        </is>
      </c>
      <c r="D53" s="263" t="inlineStr">
        <is>
          <t>—</t>
        </is>
      </c>
      <c r="E53" s="24">
        <f>'T12 Analytics'!E94</f>
        <v/>
      </c>
      <c r="F53" s="24">
        <f>'T12 Analytics'!F94</f>
        <v/>
      </c>
      <c r="G53" s="24">
        <f>F53-E53</f>
        <v/>
      </c>
      <c r="H53" s="156" t="n"/>
    </row>
    <row r="54" ht="18" customHeight="1" s="199">
      <c r="A54" s="112" t="inlineStr">
        <is>
          <t>Personal property taxes</t>
        </is>
      </c>
      <c r="B54" s="263" t="inlineStr">
        <is>
          <t>—</t>
        </is>
      </c>
      <c r="C54" s="263" t="inlineStr">
        <is>
          <t>—</t>
        </is>
      </c>
      <c r="D54" s="263" t="inlineStr">
        <is>
          <t>—</t>
        </is>
      </c>
      <c r="E54" s="24">
        <f>'T12 Analytics'!E95</f>
        <v/>
      </c>
      <c r="F54" s="24">
        <f>'T12 Analytics'!F95</f>
        <v/>
      </c>
      <c r="G54" s="24">
        <f>F54-E54</f>
        <v/>
      </c>
      <c r="H54" s="156" t="n"/>
    </row>
    <row r="55" ht="18" customHeight="1" s="199">
      <c r="A55" s="112" t="inlineStr">
        <is>
          <t>Legal expenses</t>
        </is>
      </c>
      <c r="B55" s="263" t="inlineStr">
        <is>
          <t>—</t>
        </is>
      </c>
      <c r="C55" s="263" t="inlineStr">
        <is>
          <t>—</t>
        </is>
      </c>
      <c r="D55" s="263" t="inlineStr">
        <is>
          <t>—</t>
        </is>
      </c>
      <c r="E55" s="24">
        <f>'T12 Analytics'!E96</f>
        <v/>
      </c>
      <c r="F55" s="24">
        <f>'T12 Analytics'!F96</f>
        <v/>
      </c>
      <c r="G55" s="24">
        <f>F55-E55</f>
        <v/>
      </c>
      <c r="H55" s="156" t="n"/>
    </row>
    <row r="56" ht="15.75" customHeight="1" s="199">
      <c r="A56" s="112" t="inlineStr">
        <is>
          <t>Professional services</t>
        </is>
      </c>
      <c r="B56" s="263" t="inlineStr">
        <is>
          <t>—</t>
        </is>
      </c>
      <c r="C56" s="263" t="inlineStr">
        <is>
          <t>—</t>
        </is>
      </c>
      <c r="D56" s="263"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63" t="inlineStr">
        <is>
          <t>—</t>
        </is>
      </c>
      <c r="C58" s="263" t="inlineStr">
        <is>
          <t>—</t>
        </is>
      </c>
      <c r="D58" s="263" t="inlineStr">
        <is>
          <t>—</t>
        </is>
      </c>
      <c r="E58" s="24">
        <f>'T12 Analytics'!E99</f>
        <v/>
      </c>
      <c r="F58" s="24">
        <f>'T12 Analytics'!F99</f>
        <v/>
      </c>
      <c r="G58" s="24">
        <f>F58-E58</f>
        <v/>
      </c>
      <c r="H58" s="156" t="n"/>
    </row>
    <row r="59" ht="18" customHeight="1" s="199">
      <c r="A59" s="112" t="inlineStr">
        <is>
          <t>Office, admin &amp; G&amp;A</t>
        </is>
      </c>
      <c r="B59" s="263" t="inlineStr">
        <is>
          <t>—</t>
        </is>
      </c>
      <c r="C59" s="263" t="inlineStr">
        <is>
          <t>—</t>
        </is>
      </c>
      <c r="D59" s="263" t="inlineStr">
        <is>
          <t>—</t>
        </is>
      </c>
      <c r="E59" s="24">
        <f>'T12 Analytics'!E100</f>
        <v/>
      </c>
      <c r="F59" s="24">
        <f>'T12 Analytics'!F100</f>
        <v/>
      </c>
      <c r="G59" s="24">
        <f>F59-E59</f>
        <v/>
      </c>
      <c r="H59" s="156" t="n"/>
    </row>
    <row r="60" ht="18" customHeight="1" s="199">
      <c r="A60" s="112" t="inlineStr">
        <is>
          <t>Other / miscellaneous</t>
        </is>
      </c>
      <c r="B60" s="263" t="inlineStr">
        <is>
          <t>—</t>
        </is>
      </c>
      <c r="C60" s="263" t="inlineStr">
        <is>
          <t>—</t>
        </is>
      </c>
      <c r="D60" s="263"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264" t="inlineStr">
        <is>
          <t>—</t>
        </is>
      </c>
      <c r="C62" s="264" t="inlineStr">
        <is>
          <t>—</t>
        </is>
      </c>
      <c r="D62" s="264" t="inlineStr">
        <is>
          <t>—</t>
        </is>
      </c>
      <c r="E62" s="30">
        <f>'T12 Analytics'!E103</f>
        <v/>
      </c>
      <c r="F62" s="30">
        <f>'T12 Analytics'!F103</f>
        <v/>
      </c>
      <c r="G62" s="30">
        <f>F62-E62</f>
        <v/>
      </c>
      <c r="H62" s="157" t="n"/>
    </row>
    <row r="63" ht="15.75" customHeight="1" s="199">
      <c r="A63" s="183" t="inlineStr">
        <is>
          <t>Total opex (excl. mgmt)</t>
        </is>
      </c>
      <c r="B63" s="264" t="inlineStr">
        <is>
          <t>—</t>
        </is>
      </c>
      <c r="C63" s="264" t="inlineStr">
        <is>
          <t>—</t>
        </is>
      </c>
      <c r="D63" s="264" t="inlineStr">
        <is>
          <t>—</t>
        </is>
      </c>
      <c r="E63" s="30">
        <f>'T12 Analytics'!E105</f>
        <v/>
      </c>
      <c r="F63" s="30">
        <f>'T12 Analytics'!F105</f>
        <v/>
      </c>
      <c r="G63" s="30">
        <f>F63-E63</f>
        <v/>
      </c>
      <c r="H63" s="157" t="n"/>
    </row>
    <row r="64" ht="15" customHeight="1" s="199">
      <c r="A64" s="112" t="inlineStr">
        <is>
          <t>Management fee</t>
        </is>
      </c>
      <c r="B64" s="263" t="inlineStr">
        <is>
          <t>—</t>
        </is>
      </c>
      <c r="C64" s="263" t="inlineStr">
        <is>
          <t>—</t>
        </is>
      </c>
      <c r="D64" s="263"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264" t="inlineStr">
        <is>
          <t>—</t>
        </is>
      </c>
      <c r="C66" s="264" t="inlineStr">
        <is>
          <t>—</t>
        </is>
      </c>
      <c r="D66" s="264" t="inlineStr">
        <is>
          <t>—</t>
        </is>
      </c>
      <c r="E66" s="161">
        <f>'T12 Analytics'!E108</f>
        <v/>
      </c>
      <c r="F66" s="161">
        <f>'T12 Analytics'!F108</f>
        <v/>
      </c>
      <c r="G66" s="161">
        <f>F66-E66</f>
        <v/>
      </c>
      <c r="H66" s="162" t="n"/>
    </row>
    <row r="67" ht="15" customHeight="1" s="199">
      <c r="A67" s="183" t="inlineStr">
        <is>
          <t>EBITDAR</t>
        </is>
      </c>
      <c r="B67" s="264" t="inlineStr">
        <is>
          <t>—</t>
        </is>
      </c>
      <c r="C67" s="264" t="inlineStr">
        <is>
          <t>—</t>
        </is>
      </c>
      <c r="D67" s="264" t="inlineStr">
        <is>
          <t>—</t>
        </is>
      </c>
      <c r="E67" s="161">
        <f>'T12 Analytics'!E110</f>
        <v/>
      </c>
      <c r="F67" s="161">
        <f>'T12 Analytics'!F110</f>
        <v/>
      </c>
      <c r="G67" s="161">
        <f>F67-E67</f>
        <v/>
      </c>
      <c r="H67" s="162" t="n"/>
    </row>
    <row r="68" ht="15" customHeight="1" s="199">
      <c r="A68" s="183" t="inlineStr">
        <is>
          <t>EBITDA</t>
        </is>
      </c>
      <c r="B68" s="264" t="inlineStr">
        <is>
          <t>—</t>
        </is>
      </c>
      <c r="C68" s="264" t="inlineStr">
        <is>
          <t>—</t>
        </is>
      </c>
      <c r="D68" s="264"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8" defaultRowHeight="15"/>
  <cols>
    <col width="28" customWidth="1" style="199" min="1" max="1"/>
    <col width="14" customWidth="1" style="199" min="2" max="2"/>
    <col width="14" customWidth="1" style="199" min="3" max="3"/>
    <col width="14" customWidth="1" style="199" min="4" max="4"/>
    <col width="14" customWidth="1" style="199" min="5" max="5"/>
    <col width="14" customWidth="1" style="199" min="6" max="6"/>
    <col width="14" customWidth="1" style="199" min="7" max="7"/>
    <col width="14" customWidth="1" style="199" min="8" max="8"/>
  </cols>
  <sheetData>
    <row r="1" ht="22" customHeight="1" s="199">
      <c r="A1" s="247" t="inlineStr">
        <is>
          <t>UW Export  —  Values-only mirror of UW Output</t>
        </is>
      </c>
      <c r="AZ1" t="inlineStr">
        <is>
          <t>Values-only mirror of UW Output for downstream paste</t>
        </is>
      </c>
    </row>
    <row r="2" ht="28" customHeight="1" s="199">
      <c r="A2" s="237" t="inlineStr">
        <is>
          <t>Copy A9:H79 (or use Excel's Move-or-Copy → Create-a-copy → Paste-Special: Values) into the downstream UW template. Metadata header above (rows 3-7) carries the audit trail.</t>
        </is>
      </c>
    </row>
    <row r="3">
      <c r="A3" s="248" t="inlineStr">
        <is>
          <t>Property name</t>
        </is>
      </c>
      <c r="B3" s="249">
        <f>IFERROR(Property_Name,"(not set)")</f>
        <v/>
      </c>
      <c r="C3" s="196" t="n"/>
      <c r="D3" s="196" t="n"/>
      <c r="E3" s="196" t="n"/>
      <c r="F3" s="196" t="n"/>
      <c r="G3" s="196" t="n"/>
      <c r="H3" s="197" t="n"/>
    </row>
    <row r="4">
      <c r="A4" s="248" t="inlineStr">
        <is>
          <t>Rent roll period</t>
        </is>
      </c>
      <c r="B4" s="249">
        <f>IF(ISNUMBER(RR_Period_Date),TEXT(RR_Period_Date,"yyyy-mm-dd"),"(not set)")</f>
        <v/>
      </c>
      <c r="C4" s="196" t="n"/>
      <c r="D4" s="196" t="n"/>
      <c r="E4" s="196" t="n"/>
      <c r="F4" s="196" t="n"/>
      <c r="G4" s="196" t="n"/>
      <c r="H4" s="197" t="n"/>
      <c r="AZ4" t="inlineStr">
        <is>
          <t>v0.2.4</t>
        </is>
      </c>
    </row>
    <row r="5">
      <c r="A5" s="248" t="inlineStr">
        <is>
          <t>T12 period</t>
        </is>
      </c>
      <c r="B5" s="249">
        <f>IF(ISNUMBER(T12_Period_Date),TEXT(T12_Period_Date,"yyyy-mm-dd"),"(not set)")</f>
        <v/>
      </c>
      <c r="C5" s="196" t="n"/>
      <c r="D5" s="196" t="n"/>
      <c r="E5" s="196" t="n"/>
      <c r="F5" s="196" t="n"/>
      <c r="G5" s="196" t="n"/>
      <c r="H5" s="197" t="n"/>
    </row>
    <row r="6">
      <c r="A6" s="248" t="inlineStr">
        <is>
          <t>Substrate version</t>
        </is>
      </c>
      <c r="B6" s="249">
        <f>Cover!$B$8</f>
        <v/>
      </c>
      <c r="C6" s="196" t="n"/>
      <c r="D6" s="196" t="n"/>
      <c r="E6" s="196" t="n"/>
      <c r="F6" s="196" t="n"/>
      <c r="G6" s="196" t="n"/>
      <c r="H6" s="197" t="n"/>
    </row>
    <row r="7">
      <c r="A7" s="248" t="inlineStr">
        <is>
          <t>Generated (open time)</t>
        </is>
      </c>
      <c r="B7" s="249">
        <f>TEXT(NOW(),"yyyy-mm-dd hh:mm")</f>
        <v/>
      </c>
      <c r="C7" s="196" t="n"/>
      <c r="D7" s="196" t="n"/>
      <c r="E7" s="196" t="n"/>
      <c r="F7" s="196" t="n"/>
      <c r="G7" s="196" t="n"/>
      <c r="H7" s="197" t="n"/>
    </row>
    <row r="9">
      <c r="A9" s="250">
        <f>'UW Output'!A1</f>
        <v/>
      </c>
      <c r="B9" s="250">
        <f>'UW Output'!B1</f>
        <v/>
      </c>
      <c r="C9" s="250">
        <f>'UW Output'!C1</f>
        <v/>
      </c>
      <c r="D9" s="250">
        <f>'UW Output'!D1</f>
        <v/>
      </c>
      <c r="E9" s="250">
        <f>'UW Output'!E1</f>
        <v/>
      </c>
      <c r="F9" s="250">
        <f>'UW Output'!F1</f>
        <v/>
      </c>
      <c r="G9" s="250">
        <f>'UW Output'!G1</f>
        <v/>
      </c>
      <c r="H9" s="250">
        <f>'UW Output'!H1</f>
        <v/>
      </c>
    </row>
    <row r="10">
      <c r="A10" s="250">
        <f>'UW Output'!A2</f>
        <v/>
      </c>
      <c r="B10" s="250">
        <f>'UW Output'!B2</f>
        <v/>
      </c>
      <c r="C10" s="250">
        <f>'UW Output'!C2</f>
        <v/>
      </c>
      <c r="D10" s="250">
        <f>'UW Output'!D2</f>
        <v/>
      </c>
      <c r="E10" s="250">
        <f>'UW Output'!E2</f>
        <v/>
      </c>
      <c r="F10" s="250">
        <f>'UW Output'!F2</f>
        <v/>
      </c>
      <c r="G10" s="250">
        <f>'UW Output'!G2</f>
        <v/>
      </c>
      <c r="H10" s="250">
        <f>'UW Output'!H2</f>
        <v/>
      </c>
    </row>
    <row r="11">
      <c r="A11" s="250">
        <f>'UW Output'!A3</f>
        <v/>
      </c>
      <c r="B11" s="250">
        <f>'UW Output'!B3</f>
        <v/>
      </c>
      <c r="C11" s="250">
        <f>'UW Output'!C3</f>
        <v/>
      </c>
      <c r="D11" s="250">
        <f>'UW Output'!D3</f>
        <v/>
      </c>
      <c r="E11" s="250">
        <f>'UW Output'!E3</f>
        <v/>
      </c>
      <c r="F11" s="250">
        <f>'UW Output'!F3</f>
        <v/>
      </c>
      <c r="G11" s="250">
        <f>'UW Output'!G3</f>
        <v/>
      </c>
      <c r="H11" s="250">
        <f>'UW Output'!H3</f>
        <v/>
      </c>
    </row>
    <row r="12">
      <c r="A12" s="251">
        <f>'UW Output'!A4</f>
        <v/>
      </c>
      <c r="B12" s="251">
        <f>'UW Output'!B4</f>
        <v/>
      </c>
      <c r="C12" s="251">
        <f>'UW Output'!C4</f>
        <v/>
      </c>
      <c r="D12" s="251">
        <f>'UW Output'!D4</f>
        <v/>
      </c>
      <c r="E12" s="251">
        <f>'UW Output'!E4</f>
        <v/>
      </c>
      <c r="F12" s="251">
        <f>'UW Output'!F4</f>
        <v/>
      </c>
      <c r="G12" s="251">
        <f>'UW Output'!G4</f>
        <v/>
      </c>
      <c r="H12" s="251">
        <f>'UW Output'!H4</f>
        <v/>
      </c>
    </row>
    <row r="13">
      <c r="A13" s="250">
        <f>'UW Output'!A5</f>
        <v/>
      </c>
      <c r="B13" s="250">
        <f>'UW Output'!B5</f>
        <v/>
      </c>
      <c r="C13" s="250">
        <f>'UW Output'!C5</f>
        <v/>
      </c>
      <c r="D13" s="250">
        <f>'UW Output'!D5</f>
        <v/>
      </c>
      <c r="E13" s="250">
        <f>'UW Output'!E5</f>
        <v/>
      </c>
      <c r="F13" s="250">
        <f>'UW Output'!F5</f>
        <v/>
      </c>
      <c r="G13" s="250">
        <f>'UW Output'!G5</f>
        <v/>
      </c>
      <c r="H13" s="250">
        <f>'UW Output'!H5</f>
        <v/>
      </c>
    </row>
    <row r="14">
      <c r="A14" s="250">
        <f>'UW Output'!A6</f>
        <v/>
      </c>
      <c r="B14" s="250">
        <f>'UW Output'!B6</f>
        <v/>
      </c>
      <c r="C14" s="250">
        <f>'UW Output'!C6</f>
        <v/>
      </c>
      <c r="D14" s="250">
        <f>'UW Output'!D6</f>
        <v/>
      </c>
      <c r="E14" s="250">
        <f>'UW Output'!E6</f>
        <v/>
      </c>
      <c r="F14" s="250">
        <f>'UW Output'!F6</f>
        <v/>
      </c>
      <c r="G14" s="250">
        <f>'UW Output'!G6</f>
        <v/>
      </c>
      <c r="H14" s="250">
        <f>'UW Output'!H6</f>
        <v/>
      </c>
    </row>
    <row r="15">
      <c r="A15" s="250">
        <f>'UW Output'!A7</f>
        <v/>
      </c>
      <c r="B15" s="250">
        <f>'UW Output'!B7</f>
        <v/>
      </c>
      <c r="C15" s="250">
        <f>'UW Output'!C7</f>
        <v/>
      </c>
      <c r="D15" s="250">
        <f>'UW Output'!D7</f>
        <v/>
      </c>
      <c r="E15" s="250">
        <f>'UW Output'!E7</f>
        <v/>
      </c>
      <c r="F15" s="250">
        <f>'UW Output'!F7</f>
        <v/>
      </c>
      <c r="G15" s="250">
        <f>'UW Output'!G7</f>
        <v/>
      </c>
      <c r="H15" s="250">
        <f>'UW Output'!H7</f>
        <v/>
      </c>
    </row>
    <row r="16">
      <c r="A16" s="250">
        <f>'UW Output'!A8</f>
        <v/>
      </c>
      <c r="B16" s="250">
        <f>'UW Output'!B8</f>
        <v/>
      </c>
      <c r="C16" s="250">
        <f>'UW Output'!C8</f>
        <v/>
      </c>
      <c r="D16" s="250">
        <f>'UW Output'!D8</f>
        <v/>
      </c>
      <c r="E16" s="250">
        <f>'UW Output'!E8</f>
        <v/>
      </c>
      <c r="F16" s="250">
        <f>'UW Output'!F8</f>
        <v/>
      </c>
      <c r="G16" s="250">
        <f>'UW Output'!G8</f>
        <v/>
      </c>
      <c r="H16" s="250">
        <f>'UW Output'!H8</f>
        <v/>
      </c>
    </row>
    <row r="17">
      <c r="A17" s="250">
        <f>'UW Output'!A9</f>
        <v/>
      </c>
      <c r="B17" s="250">
        <f>'UW Output'!B9</f>
        <v/>
      </c>
      <c r="C17" s="250">
        <f>'UW Output'!C9</f>
        <v/>
      </c>
      <c r="D17" s="250">
        <f>'UW Output'!D9</f>
        <v/>
      </c>
      <c r="E17" s="250">
        <f>'UW Output'!E9</f>
        <v/>
      </c>
      <c r="F17" s="250">
        <f>'UW Output'!F9</f>
        <v/>
      </c>
      <c r="G17" s="250">
        <f>'UW Output'!G9</f>
        <v/>
      </c>
      <c r="H17" s="250">
        <f>'UW Output'!H9</f>
        <v/>
      </c>
    </row>
    <row r="18">
      <c r="A18" s="250">
        <f>'UW Output'!A10</f>
        <v/>
      </c>
      <c r="B18" s="250">
        <f>'UW Output'!B10</f>
        <v/>
      </c>
      <c r="C18" s="250">
        <f>'UW Output'!C10</f>
        <v/>
      </c>
      <c r="D18" s="250">
        <f>'UW Output'!D10</f>
        <v/>
      </c>
      <c r="E18" s="250">
        <f>'UW Output'!E10</f>
        <v/>
      </c>
      <c r="F18" s="250">
        <f>'UW Output'!F10</f>
        <v/>
      </c>
      <c r="G18" s="250">
        <f>'UW Output'!G10</f>
        <v/>
      </c>
      <c r="H18" s="250">
        <f>'UW Output'!H10</f>
        <v/>
      </c>
    </row>
    <row r="19">
      <c r="A19" s="250">
        <f>'UW Output'!A11</f>
        <v/>
      </c>
      <c r="B19" s="250">
        <f>'UW Output'!B11</f>
        <v/>
      </c>
      <c r="C19" s="250">
        <f>'UW Output'!C11</f>
        <v/>
      </c>
      <c r="D19" s="250">
        <f>'UW Output'!D11</f>
        <v/>
      </c>
      <c r="E19" s="250">
        <f>'UW Output'!E11</f>
        <v/>
      </c>
      <c r="F19" s="250">
        <f>'UW Output'!F11</f>
        <v/>
      </c>
      <c r="G19" s="250">
        <f>'UW Output'!G11</f>
        <v/>
      </c>
      <c r="H19" s="250">
        <f>'UW Output'!H11</f>
        <v/>
      </c>
    </row>
    <row r="20">
      <c r="A20" s="250">
        <f>'UW Output'!A12</f>
        <v/>
      </c>
      <c r="B20" s="250">
        <f>'UW Output'!B12</f>
        <v/>
      </c>
      <c r="C20" s="250">
        <f>'UW Output'!C12</f>
        <v/>
      </c>
      <c r="D20" s="250">
        <f>'UW Output'!D12</f>
        <v/>
      </c>
      <c r="E20" s="250">
        <f>'UW Output'!E12</f>
        <v/>
      </c>
      <c r="F20" s="250">
        <f>'UW Output'!F12</f>
        <v/>
      </c>
      <c r="G20" s="250">
        <f>'UW Output'!G12</f>
        <v/>
      </c>
      <c r="H20" s="250">
        <f>'UW Output'!H12</f>
        <v/>
      </c>
    </row>
    <row r="21">
      <c r="A21" s="250">
        <f>'UW Output'!A13</f>
        <v/>
      </c>
      <c r="B21" s="250">
        <f>'UW Output'!B13</f>
        <v/>
      </c>
      <c r="C21" s="250">
        <f>'UW Output'!C13</f>
        <v/>
      </c>
      <c r="D21" s="250">
        <f>'UW Output'!D13</f>
        <v/>
      </c>
      <c r="E21" s="250">
        <f>'UW Output'!E13</f>
        <v/>
      </c>
      <c r="F21" s="250">
        <f>'UW Output'!F13</f>
        <v/>
      </c>
      <c r="G21" s="250">
        <f>'UW Output'!G13</f>
        <v/>
      </c>
      <c r="H21" s="250">
        <f>'UW Output'!H13</f>
        <v/>
      </c>
    </row>
    <row r="22">
      <c r="A22" s="250">
        <f>'UW Output'!A14</f>
        <v/>
      </c>
      <c r="B22" s="250">
        <f>'UW Output'!B14</f>
        <v/>
      </c>
      <c r="C22" s="250">
        <f>'UW Output'!C14</f>
        <v/>
      </c>
      <c r="D22" s="250">
        <f>'UW Output'!D14</f>
        <v/>
      </c>
      <c r="E22" s="250">
        <f>'UW Output'!E14</f>
        <v/>
      </c>
      <c r="F22" s="250">
        <f>'UW Output'!F14</f>
        <v/>
      </c>
      <c r="G22" s="250">
        <f>'UW Output'!G14</f>
        <v/>
      </c>
      <c r="H22" s="250">
        <f>'UW Output'!H14</f>
        <v/>
      </c>
    </row>
    <row r="23">
      <c r="A23" s="250">
        <f>'UW Output'!A15</f>
        <v/>
      </c>
      <c r="B23" s="250">
        <f>'UW Output'!B15</f>
        <v/>
      </c>
      <c r="C23" s="250">
        <f>'UW Output'!C15</f>
        <v/>
      </c>
      <c r="D23" s="250">
        <f>'UW Output'!D15</f>
        <v/>
      </c>
      <c r="E23" s="250">
        <f>'UW Output'!E15</f>
        <v/>
      </c>
      <c r="F23" s="250">
        <f>'UW Output'!F15</f>
        <v/>
      </c>
      <c r="G23" s="250">
        <f>'UW Output'!G15</f>
        <v/>
      </c>
      <c r="H23" s="250">
        <f>'UW Output'!H15</f>
        <v/>
      </c>
    </row>
    <row r="24">
      <c r="A24" s="250">
        <f>'UW Output'!A16</f>
        <v/>
      </c>
      <c r="B24" s="250">
        <f>'UW Output'!B16</f>
        <v/>
      </c>
      <c r="C24" s="250">
        <f>'UW Output'!C16</f>
        <v/>
      </c>
      <c r="D24" s="250">
        <f>'UW Output'!D16</f>
        <v/>
      </c>
      <c r="E24" s="250">
        <f>'UW Output'!E16</f>
        <v/>
      </c>
      <c r="F24" s="250">
        <f>'UW Output'!F16</f>
        <v/>
      </c>
      <c r="G24" s="250">
        <f>'UW Output'!G16</f>
        <v/>
      </c>
      <c r="H24" s="250">
        <f>'UW Output'!H16</f>
        <v/>
      </c>
    </row>
    <row r="25">
      <c r="A25" s="250">
        <f>'UW Output'!A17</f>
        <v/>
      </c>
      <c r="B25" s="250">
        <f>'UW Output'!B17</f>
        <v/>
      </c>
      <c r="C25" s="250">
        <f>'UW Output'!C17</f>
        <v/>
      </c>
      <c r="D25" s="250">
        <f>'UW Output'!D17</f>
        <v/>
      </c>
      <c r="E25" s="250">
        <f>'UW Output'!E17</f>
        <v/>
      </c>
      <c r="F25" s="250">
        <f>'UW Output'!F17</f>
        <v/>
      </c>
      <c r="G25" s="250">
        <f>'UW Output'!G17</f>
        <v/>
      </c>
      <c r="H25" s="250">
        <f>'UW Output'!H17</f>
        <v/>
      </c>
    </row>
    <row r="26">
      <c r="A26" s="250">
        <f>'UW Output'!A18</f>
        <v/>
      </c>
      <c r="B26" s="250">
        <f>'UW Output'!B18</f>
        <v/>
      </c>
      <c r="C26" s="250">
        <f>'UW Output'!C18</f>
        <v/>
      </c>
      <c r="D26" s="250">
        <f>'UW Output'!D18</f>
        <v/>
      </c>
      <c r="E26" s="250">
        <f>'UW Output'!E18</f>
        <v/>
      </c>
      <c r="F26" s="250">
        <f>'UW Output'!F18</f>
        <v/>
      </c>
      <c r="G26" s="250">
        <f>'UW Output'!G18</f>
        <v/>
      </c>
      <c r="H26" s="250">
        <f>'UW Output'!H18</f>
        <v/>
      </c>
    </row>
    <row r="27">
      <c r="A27" s="250">
        <f>'UW Output'!A19</f>
        <v/>
      </c>
      <c r="B27" s="250">
        <f>'UW Output'!B19</f>
        <v/>
      </c>
      <c r="C27" s="250">
        <f>'UW Output'!C19</f>
        <v/>
      </c>
      <c r="D27" s="250">
        <f>'UW Output'!D19</f>
        <v/>
      </c>
      <c r="E27" s="250">
        <f>'UW Output'!E19</f>
        <v/>
      </c>
      <c r="F27" s="250">
        <f>'UW Output'!F19</f>
        <v/>
      </c>
      <c r="G27" s="250">
        <f>'UW Output'!G19</f>
        <v/>
      </c>
      <c r="H27" s="250">
        <f>'UW Output'!H19</f>
        <v/>
      </c>
    </row>
    <row r="28">
      <c r="A28" s="250">
        <f>'UW Output'!A20</f>
        <v/>
      </c>
      <c r="B28" s="250">
        <f>'UW Output'!B20</f>
        <v/>
      </c>
      <c r="C28" s="250">
        <f>'UW Output'!C20</f>
        <v/>
      </c>
      <c r="D28" s="250">
        <f>'UW Output'!D20</f>
        <v/>
      </c>
      <c r="E28" s="250">
        <f>'UW Output'!E20</f>
        <v/>
      </c>
      <c r="F28" s="250">
        <f>'UW Output'!F20</f>
        <v/>
      </c>
      <c r="G28" s="250">
        <f>'UW Output'!G20</f>
        <v/>
      </c>
      <c r="H28" s="250">
        <f>'UW Output'!H20</f>
        <v/>
      </c>
    </row>
    <row r="29">
      <c r="A29" s="250">
        <f>'UW Output'!A21</f>
        <v/>
      </c>
      <c r="B29" s="250">
        <f>'UW Output'!B21</f>
        <v/>
      </c>
      <c r="C29" s="250">
        <f>'UW Output'!C21</f>
        <v/>
      </c>
      <c r="D29" s="250">
        <f>'UW Output'!D21</f>
        <v/>
      </c>
      <c r="E29" s="250">
        <f>'UW Output'!E21</f>
        <v/>
      </c>
      <c r="F29" s="250">
        <f>'UW Output'!F21</f>
        <v/>
      </c>
      <c r="G29" s="250">
        <f>'UW Output'!G21</f>
        <v/>
      </c>
      <c r="H29" s="250">
        <f>'UW Output'!H21</f>
        <v/>
      </c>
    </row>
    <row r="30">
      <c r="A30" s="250">
        <f>'UW Output'!A22</f>
        <v/>
      </c>
      <c r="B30" s="250">
        <f>'UW Output'!B22</f>
        <v/>
      </c>
      <c r="C30" s="250">
        <f>'UW Output'!C22</f>
        <v/>
      </c>
      <c r="D30" s="250">
        <f>'UW Output'!D22</f>
        <v/>
      </c>
      <c r="E30" s="250">
        <f>'UW Output'!E22</f>
        <v/>
      </c>
      <c r="F30" s="250">
        <f>'UW Output'!F22</f>
        <v/>
      </c>
      <c r="G30" s="250">
        <f>'UW Output'!G22</f>
        <v/>
      </c>
      <c r="H30" s="250">
        <f>'UW Output'!H22</f>
        <v/>
      </c>
    </row>
    <row r="31">
      <c r="A31" s="250">
        <f>'UW Output'!A23</f>
        <v/>
      </c>
      <c r="B31" s="250">
        <f>'UW Output'!B23</f>
        <v/>
      </c>
      <c r="C31" s="250">
        <f>'UW Output'!C23</f>
        <v/>
      </c>
      <c r="D31" s="250">
        <f>'UW Output'!D23</f>
        <v/>
      </c>
      <c r="E31" s="250">
        <f>'UW Output'!E23</f>
        <v/>
      </c>
      <c r="F31" s="250">
        <f>'UW Output'!F23</f>
        <v/>
      </c>
      <c r="G31" s="250">
        <f>'UW Output'!G23</f>
        <v/>
      </c>
      <c r="H31" s="250">
        <f>'UW Output'!H23</f>
        <v/>
      </c>
    </row>
    <row r="32">
      <c r="A32" s="250">
        <f>'UW Output'!A24</f>
        <v/>
      </c>
      <c r="B32" s="250">
        <f>'UW Output'!B24</f>
        <v/>
      </c>
      <c r="C32" s="250">
        <f>'UW Output'!C24</f>
        <v/>
      </c>
      <c r="D32" s="250">
        <f>'UW Output'!D24</f>
        <v/>
      </c>
      <c r="E32" s="250">
        <f>'UW Output'!E24</f>
        <v/>
      </c>
      <c r="F32" s="250">
        <f>'UW Output'!F24</f>
        <v/>
      </c>
      <c r="G32" s="250">
        <f>'UW Output'!G24</f>
        <v/>
      </c>
      <c r="H32" s="250">
        <f>'UW Output'!H24</f>
        <v/>
      </c>
    </row>
    <row r="33">
      <c r="A33" s="250">
        <f>'UW Output'!A25</f>
        <v/>
      </c>
      <c r="B33" s="250">
        <f>'UW Output'!B25</f>
        <v/>
      </c>
      <c r="C33" s="250">
        <f>'UW Output'!C25</f>
        <v/>
      </c>
      <c r="D33" s="250">
        <f>'UW Output'!D25</f>
        <v/>
      </c>
      <c r="E33" s="250">
        <f>'UW Output'!E25</f>
        <v/>
      </c>
      <c r="F33" s="250">
        <f>'UW Output'!F25</f>
        <v/>
      </c>
      <c r="G33" s="250">
        <f>'UW Output'!G25</f>
        <v/>
      </c>
      <c r="H33" s="250">
        <f>'UW Output'!H25</f>
        <v/>
      </c>
    </row>
    <row r="34">
      <c r="A34" s="250">
        <f>'UW Output'!A26</f>
        <v/>
      </c>
      <c r="B34" s="250">
        <f>'UW Output'!B26</f>
        <v/>
      </c>
      <c r="C34" s="250">
        <f>'UW Output'!C26</f>
        <v/>
      </c>
      <c r="D34" s="250">
        <f>'UW Output'!D26</f>
        <v/>
      </c>
      <c r="E34" s="250">
        <f>'UW Output'!E26</f>
        <v/>
      </c>
      <c r="F34" s="250">
        <f>'UW Output'!F26</f>
        <v/>
      </c>
      <c r="G34" s="250">
        <f>'UW Output'!G26</f>
        <v/>
      </c>
      <c r="H34" s="250">
        <f>'UW Output'!H26</f>
        <v/>
      </c>
    </row>
    <row r="35">
      <c r="A35" s="250">
        <f>'UW Output'!A27</f>
        <v/>
      </c>
      <c r="B35" s="250">
        <f>'UW Output'!B27</f>
        <v/>
      </c>
      <c r="C35" s="250">
        <f>'UW Output'!C27</f>
        <v/>
      </c>
      <c r="D35" s="250">
        <f>'UW Output'!D27</f>
        <v/>
      </c>
      <c r="E35" s="250">
        <f>'UW Output'!E27</f>
        <v/>
      </c>
      <c r="F35" s="250">
        <f>'UW Output'!F27</f>
        <v/>
      </c>
      <c r="G35" s="250">
        <f>'UW Output'!G27</f>
        <v/>
      </c>
      <c r="H35" s="250">
        <f>'UW Output'!H27</f>
        <v/>
      </c>
    </row>
    <row r="36">
      <c r="A36" s="250">
        <f>'UW Output'!A28</f>
        <v/>
      </c>
      <c r="B36" s="250">
        <f>'UW Output'!B28</f>
        <v/>
      </c>
      <c r="C36" s="250">
        <f>'UW Output'!C28</f>
        <v/>
      </c>
      <c r="D36" s="250">
        <f>'UW Output'!D28</f>
        <v/>
      </c>
      <c r="E36" s="250">
        <f>'UW Output'!E28</f>
        <v/>
      </c>
      <c r="F36" s="250">
        <f>'UW Output'!F28</f>
        <v/>
      </c>
      <c r="G36" s="250">
        <f>'UW Output'!G28</f>
        <v/>
      </c>
      <c r="H36" s="250">
        <f>'UW Output'!H28</f>
        <v/>
      </c>
    </row>
    <row r="37">
      <c r="A37" s="250">
        <f>'UW Output'!A29</f>
        <v/>
      </c>
      <c r="B37" s="250">
        <f>'UW Output'!B29</f>
        <v/>
      </c>
      <c r="C37" s="250">
        <f>'UW Output'!C29</f>
        <v/>
      </c>
      <c r="D37" s="250">
        <f>'UW Output'!D29</f>
        <v/>
      </c>
      <c r="E37" s="250">
        <f>'UW Output'!E29</f>
        <v/>
      </c>
      <c r="F37" s="250">
        <f>'UW Output'!F29</f>
        <v/>
      </c>
      <c r="G37" s="250">
        <f>'UW Output'!G29</f>
        <v/>
      </c>
      <c r="H37" s="250">
        <f>'UW Output'!H29</f>
        <v/>
      </c>
    </row>
    <row r="38">
      <c r="A38" s="250">
        <f>'UW Output'!A30</f>
        <v/>
      </c>
      <c r="B38" s="250">
        <f>'UW Output'!B30</f>
        <v/>
      </c>
      <c r="C38" s="250">
        <f>'UW Output'!C30</f>
        <v/>
      </c>
      <c r="D38" s="250">
        <f>'UW Output'!D30</f>
        <v/>
      </c>
      <c r="E38" s="250">
        <f>'UW Output'!E30</f>
        <v/>
      </c>
      <c r="F38" s="250">
        <f>'UW Output'!F30</f>
        <v/>
      </c>
      <c r="G38" s="250">
        <f>'UW Output'!G30</f>
        <v/>
      </c>
      <c r="H38" s="250">
        <f>'UW Output'!H30</f>
        <v/>
      </c>
    </row>
    <row r="39">
      <c r="A39" s="250">
        <f>'UW Output'!A31</f>
        <v/>
      </c>
      <c r="B39" s="250">
        <f>'UW Output'!B31</f>
        <v/>
      </c>
      <c r="C39" s="250">
        <f>'UW Output'!C31</f>
        <v/>
      </c>
      <c r="D39" s="250">
        <f>'UW Output'!D31</f>
        <v/>
      </c>
      <c r="E39" s="250">
        <f>'UW Output'!E31</f>
        <v/>
      </c>
      <c r="F39" s="250">
        <f>'UW Output'!F31</f>
        <v/>
      </c>
      <c r="G39" s="250">
        <f>'UW Output'!G31</f>
        <v/>
      </c>
      <c r="H39" s="250">
        <f>'UW Output'!H31</f>
        <v/>
      </c>
    </row>
    <row r="40">
      <c r="A40" s="250">
        <f>'UW Output'!A32</f>
        <v/>
      </c>
      <c r="B40" s="250">
        <f>'UW Output'!B32</f>
        <v/>
      </c>
      <c r="C40" s="250">
        <f>'UW Output'!C32</f>
        <v/>
      </c>
      <c r="D40" s="250">
        <f>'UW Output'!D32</f>
        <v/>
      </c>
      <c r="E40" s="250">
        <f>'UW Output'!E32</f>
        <v/>
      </c>
      <c r="F40" s="250">
        <f>'UW Output'!F32</f>
        <v/>
      </c>
      <c r="G40" s="250">
        <f>'UW Output'!G32</f>
        <v/>
      </c>
      <c r="H40" s="250">
        <f>'UW Output'!H32</f>
        <v/>
      </c>
    </row>
    <row r="41">
      <c r="A41" s="250">
        <f>'UW Output'!A33</f>
        <v/>
      </c>
      <c r="B41" s="250">
        <f>'UW Output'!B33</f>
        <v/>
      </c>
      <c r="C41" s="250">
        <f>'UW Output'!C33</f>
        <v/>
      </c>
      <c r="D41" s="250">
        <f>'UW Output'!D33</f>
        <v/>
      </c>
      <c r="E41" s="250">
        <f>'UW Output'!E33</f>
        <v/>
      </c>
      <c r="F41" s="250">
        <f>'UW Output'!F33</f>
        <v/>
      </c>
      <c r="G41" s="250">
        <f>'UW Output'!G33</f>
        <v/>
      </c>
      <c r="H41" s="250">
        <f>'UW Output'!H33</f>
        <v/>
      </c>
    </row>
    <row r="42">
      <c r="A42" s="250">
        <f>'UW Output'!A34</f>
        <v/>
      </c>
      <c r="B42" s="250">
        <f>'UW Output'!B34</f>
        <v/>
      </c>
      <c r="C42" s="250">
        <f>'UW Output'!C34</f>
        <v/>
      </c>
      <c r="D42" s="250">
        <f>'UW Output'!D34</f>
        <v/>
      </c>
      <c r="E42" s="250">
        <f>'UW Output'!E34</f>
        <v/>
      </c>
      <c r="F42" s="250">
        <f>'UW Output'!F34</f>
        <v/>
      </c>
      <c r="G42" s="250">
        <f>'UW Output'!G34</f>
        <v/>
      </c>
      <c r="H42" s="250">
        <f>'UW Output'!H34</f>
        <v/>
      </c>
    </row>
    <row r="43">
      <c r="A43" s="250">
        <f>'UW Output'!A35</f>
        <v/>
      </c>
      <c r="B43" s="250">
        <f>'UW Output'!B35</f>
        <v/>
      </c>
      <c r="C43" s="250">
        <f>'UW Output'!C35</f>
        <v/>
      </c>
      <c r="D43" s="250">
        <f>'UW Output'!D35</f>
        <v/>
      </c>
      <c r="E43" s="250">
        <f>'UW Output'!E35</f>
        <v/>
      </c>
      <c r="F43" s="250">
        <f>'UW Output'!F35</f>
        <v/>
      </c>
      <c r="G43" s="250">
        <f>'UW Output'!G35</f>
        <v/>
      </c>
      <c r="H43" s="250">
        <f>'UW Output'!H35</f>
        <v/>
      </c>
    </row>
    <row r="44">
      <c r="A44" s="250">
        <f>'UW Output'!A36</f>
        <v/>
      </c>
      <c r="B44" s="250">
        <f>'UW Output'!B36</f>
        <v/>
      </c>
      <c r="C44" s="250">
        <f>'UW Output'!C36</f>
        <v/>
      </c>
      <c r="D44" s="250">
        <f>'UW Output'!D36</f>
        <v/>
      </c>
      <c r="E44" s="250">
        <f>'UW Output'!E36</f>
        <v/>
      </c>
      <c r="F44" s="250">
        <f>'UW Output'!F36</f>
        <v/>
      </c>
      <c r="G44" s="250">
        <f>'UW Output'!G36</f>
        <v/>
      </c>
      <c r="H44" s="250">
        <f>'UW Output'!H36</f>
        <v/>
      </c>
    </row>
    <row r="45">
      <c r="A45" s="250">
        <f>'UW Output'!A37</f>
        <v/>
      </c>
      <c r="B45" s="250">
        <f>'UW Output'!B37</f>
        <v/>
      </c>
      <c r="C45" s="250">
        <f>'UW Output'!C37</f>
        <v/>
      </c>
      <c r="D45" s="250">
        <f>'UW Output'!D37</f>
        <v/>
      </c>
      <c r="E45" s="250">
        <f>'UW Output'!E37</f>
        <v/>
      </c>
      <c r="F45" s="250">
        <f>'UW Output'!F37</f>
        <v/>
      </c>
      <c r="G45" s="250">
        <f>'UW Output'!G37</f>
        <v/>
      </c>
      <c r="H45" s="250">
        <f>'UW Output'!H37</f>
        <v/>
      </c>
    </row>
    <row r="46">
      <c r="A46" s="250">
        <f>'UW Output'!A38</f>
        <v/>
      </c>
      <c r="B46" s="250">
        <f>'UW Output'!B38</f>
        <v/>
      </c>
      <c r="C46" s="250">
        <f>'UW Output'!C38</f>
        <v/>
      </c>
      <c r="D46" s="250">
        <f>'UW Output'!D38</f>
        <v/>
      </c>
      <c r="E46" s="250">
        <f>'UW Output'!E38</f>
        <v/>
      </c>
      <c r="F46" s="250">
        <f>'UW Output'!F38</f>
        <v/>
      </c>
      <c r="G46" s="250">
        <f>'UW Output'!G38</f>
        <v/>
      </c>
      <c r="H46" s="250">
        <f>'UW Output'!H38</f>
        <v/>
      </c>
    </row>
    <row r="47">
      <c r="A47" s="250">
        <f>'UW Output'!A39</f>
        <v/>
      </c>
      <c r="B47" s="250">
        <f>'UW Output'!B39</f>
        <v/>
      </c>
      <c r="C47" s="250">
        <f>'UW Output'!C39</f>
        <v/>
      </c>
      <c r="D47" s="250">
        <f>'UW Output'!D39</f>
        <v/>
      </c>
      <c r="E47" s="250">
        <f>'UW Output'!E39</f>
        <v/>
      </c>
      <c r="F47" s="250">
        <f>'UW Output'!F39</f>
        <v/>
      </c>
      <c r="G47" s="250">
        <f>'UW Output'!G39</f>
        <v/>
      </c>
      <c r="H47" s="250">
        <f>'UW Output'!H39</f>
        <v/>
      </c>
    </row>
    <row r="48">
      <c r="A48" s="250">
        <f>'UW Output'!A40</f>
        <v/>
      </c>
      <c r="B48" s="250">
        <f>'UW Output'!B40</f>
        <v/>
      </c>
      <c r="C48" s="250">
        <f>'UW Output'!C40</f>
        <v/>
      </c>
      <c r="D48" s="250">
        <f>'UW Output'!D40</f>
        <v/>
      </c>
      <c r="E48" s="250">
        <f>'UW Output'!E40</f>
        <v/>
      </c>
      <c r="F48" s="250">
        <f>'UW Output'!F40</f>
        <v/>
      </c>
      <c r="G48" s="250">
        <f>'UW Output'!G40</f>
        <v/>
      </c>
      <c r="H48" s="250">
        <f>'UW Output'!H40</f>
        <v/>
      </c>
    </row>
    <row r="49">
      <c r="A49" s="250">
        <f>'UW Output'!A41</f>
        <v/>
      </c>
      <c r="B49" s="250">
        <f>'UW Output'!B41</f>
        <v/>
      </c>
      <c r="C49" s="250">
        <f>'UW Output'!C41</f>
        <v/>
      </c>
      <c r="D49" s="250">
        <f>'UW Output'!D41</f>
        <v/>
      </c>
      <c r="E49" s="250">
        <f>'UW Output'!E41</f>
        <v/>
      </c>
      <c r="F49" s="250">
        <f>'UW Output'!F41</f>
        <v/>
      </c>
      <c r="G49" s="250">
        <f>'UW Output'!G41</f>
        <v/>
      </c>
      <c r="H49" s="250">
        <f>'UW Output'!H41</f>
        <v/>
      </c>
    </row>
    <row r="50">
      <c r="A50" s="250">
        <f>'UW Output'!A42</f>
        <v/>
      </c>
      <c r="B50" s="250">
        <f>'UW Output'!B42</f>
        <v/>
      </c>
      <c r="C50" s="250">
        <f>'UW Output'!C42</f>
        <v/>
      </c>
      <c r="D50" s="250">
        <f>'UW Output'!D42</f>
        <v/>
      </c>
      <c r="E50" s="250">
        <f>'UW Output'!E42</f>
        <v/>
      </c>
      <c r="F50" s="250">
        <f>'UW Output'!F42</f>
        <v/>
      </c>
      <c r="G50" s="250">
        <f>'UW Output'!G42</f>
        <v/>
      </c>
      <c r="H50" s="250">
        <f>'UW Output'!H42</f>
        <v/>
      </c>
    </row>
    <row r="51">
      <c r="A51" s="250">
        <f>'UW Output'!A43</f>
        <v/>
      </c>
      <c r="B51" s="250">
        <f>'UW Output'!B43</f>
        <v/>
      </c>
      <c r="C51" s="250">
        <f>'UW Output'!C43</f>
        <v/>
      </c>
      <c r="D51" s="250">
        <f>'UW Output'!D43</f>
        <v/>
      </c>
      <c r="E51" s="250">
        <f>'UW Output'!E43</f>
        <v/>
      </c>
      <c r="F51" s="250">
        <f>'UW Output'!F43</f>
        <v/>
      </c>
      <c r="G51" s="250">
        <f>'UW Output'!G43</f>
        <v/>
      </c>
      <c r="H51" s="250">
        <f>'UW Output'!H43</f>
        <v/>
      </c>
    </row>
    <row r="52">
      <c r="A52" s="250">
        <f>'UW Output'!A44</f>
        <v/>
      </c>
      <c r="B52" s="250">
        <f>'UW Output'!B44</f>
        <v/>
      </c>
      <c r="C52" s="250">
        <f>'UW Output'!C44</f>
        <v/>
      </c>
      <c r="D52" s="250">
        <f>'UW Output'!D44</f>
        <v/>
      </c>
      <c r="E52" s="250">
        <f>'UW Output'!E44</f>
        <v/>
      </c>
      <c r="F52" s="250">
        <f>'UW Output'!F44</f>
        <v/>
      </c>
      <c r="G52" s="250">
        <f>'UW Output'!G44</f>
        <v/>
      </c>
      <c r="H52" s="250">
        <f>'UW Output'!H44</f>
        <v/>
      </c>
    </row>
    <row r="53">
      <c r="A53" s="250">
        <f>'UW Output'!A45</f>
        <v/>
      </c>
      <c r="B53" s="250">
        <f>'UW Output'!B45</f>
        <v/>
      </c>
      <c r="C53" s="250">
        <f>'UW Output'!C45</f>
        <v/>
      </c>
      <c r="D53" s="250">
        <f>'UW Output'!D45</f>
        <v/>
      </c>
      <c r="E53" s="250">
        <f>'UW Output'!E45</f>
        <v/>
      </c>
      <c r="F53" s="250">
        <f>'UW Output'!F45</f>
        <v/>
      </c>
      <c r="G53" s="250">
        <f>'UW Output'!G45</f>
        <v/>
      </c>
      <c r="H53" s="250">
        <f>'UW Output'!H45</f>
        <v/>
      </c>
    </row>
    <row r="54">
      <c r="A54" s="250">
        <f>'UW Output'!A46</f>
        <v/>
      </c>
      <c r="B54" s="250">
        <f>'UW Output'!B46</f>
        <v/>
      </c>
      <c r="C54" s="250">
        <f>'UW Output'!C46</f>
        <v/>
      </c>
      <c r="D54" s="250">
        <f>'UW Output'!D46</f>
        <v/>
      </c>
      <c r="E54" s="250">
        <f>'UW Output'!E46</f>
        <v/>
      </c>
      <c r="F54" s="250">
        <f>'UW Output'!F46</f>
        <v/>
      </c>
      <c r="G54" s="250">
        <f>'UW Output'!G46</f>
        <v/>
      </c>
      <c r="H54" s="250">
        <f>'UW Output'!H46</f>
        <v/>
      </c>
    </row>
    <row r="55">
      <c r="A55" s="250">
        <f>'UW Output'!A47</f>
        <v/>
      </c>
      <c r="B55" s="250">
        <f>'UW Output'!B47</f>
        <v/>
      </c>
      <c r="C55" s="250">
        <f>'UW Output'!C47</f>
        <v/>
      </c>
      <c r="D55" s="250">
        <f>'UW Output'!D47</f>
        <v/>
      </c>
      <c r="E55" s="250">
        <f>'UW Output'!E47</f>
        <v/>
      </c>
      <c r="F55" s="250">
        <f>'UW Output'!F47</f>
        <v/>
      </c>
      <c r="G55" s="250">
        <f>'UW Output'!G47</f>
        <v/>
      </c>
      <c r="H55" s="250">
        <f>'UW Output'!H47</f>
        <v/>
      </c>
    </row>
    <row r="56">
      <c r="A56" s="250">
        <f>'UW Output'!A48</f>
        <v/>
      </c>
      <c r="B56" s="250">
        <f>'UW Output'!B48</f>
        <v/>
      </c>
      <c r="C56" s="250">
        <f>'UW Output'!C48</f>
        <v/>
      </c>
      <c r="D56" s="250">
        <f>'UW Output'!D48</f>
        <v/>
      </c>
      <c r="E56" s="250">
        <f>'UW Output'!E48</f>
        <v/>
      </c>
      <c r="F56" s="250">
        <f>'UW Output'!F48</f>
        <v/>
      </c>
      <c r="G56" s="250">
        <f>'UW Output'!G48</f>
        <v/>
      </c>
      <c r="H56" s="250">
        <f>'UW Output'!H48</f>
        <v/>
      </c>
    </row>
    <row r="57">
      <c r="A57" s="250">
        <f>'UW Output'!A49</f>
        <v/>
      </c>
      <c r="B57" s="250">
        <f>'UW Output'!B49</f>
        <v/>
      </c>
      <c r="C57" s="250">
        <f>'UW Output'!C49</f>
        <v/>
      </c>
      <c r="D57" s="250">
        <f>'UW Output'!D49</f>
        <v/>
      </c>
      <c r="E57" s="250">
        <f>'UW Output'!E49</f>
        <v/>
      </c>
      <c r="F57" s="250">
        <f>'UW Output'!F49</f>
        <v/>
      </c>
      <c r="G57" s="250">
        <f>'UW Output'!G49</f>
        <v/>
      </c>
      <c r="H57" s="250">
        <f>'UW Output'!H49</f>
        <v/>
      </c>
    </row>
    <row r="58">
      <c r="A58" s="250">
        <f>'UW Output'!A50</f>
        <v/>
      </c>
      <c r="B58" s="250">
        <f>'UW Output'!B50</f>
        <v/>
      </c>
      <c r="C58" s="250">
        <f>'UW Output'!C50</f>
        <v/>
      </c>
      <c r="D58" s="250">
        <f>'UW Output'!D50</f>
        <v/>
      </c>
      <c r="E58" s="250">
        <f>'UW Output'!E50</f>
        <v/>
      </c>
      <c r="F58" s="250">
        <f>'UW Output'!F50</f>
        <v/>
      </c>
      <c r="G58" s="250">
        <f>'UW Output'!G50</f>
        <v/>
      </c>
      <c r="H58" s="250">
        <f>'UW Output'!H50</f>
        <v/>
      </c>
    </row>
    <row r="59">
      <c r="A59" s="250">
        <f>'UW Output'!A51</f>
        <v/>
      </c>
      <c r="B59" s="250">
        <f>'UW Output'!B51</f>
        <v/>
      </c>
      <c r="C59" s="250">
        <f>'UW Output'!C51</f>
        <v/>
      </c>
      <c r="D59" s="250">
        <f>'UW Output'!D51</f>
        <v/>
      </c>
      <c r="E59" s="250">
        <f>'UW Output'!E51</f>
        <v/>
      </c>
      <c r="F59" s="250">
        <f>'UW Output'!F51</f>
        <v/>
      </c>
      <c r="G59" s="250">
        <f>'UW Output'!G51</f>
        <v/>
      </c>
      <c r="H59" s="250">
        <f>'UW Output'!H51</f>
        <v/>
      </c>
    </row>
    <row r="60">
      <c r="A60" s="250">
        <f>'UW Output'!A52</f>
        <v/>
      </c>
      <c r="B60" s="250">
        <f>'UW Output'!B52</f>
        <v/>
      </c>
      <c r="C60" s="250">
        <f>'UW Output'!C52</f>
        <v/>
      </c>
      <c r="D60" s="250">
        <f>'UW Output'!D52</f>
        <v/>
      </c>
      <c r="E60" s="250">
        <f>'UW Output'!E52</f>
        <v/>
      </c>
      <c r="F60" s="250">
        <f>'UW Output'!F52</f>
        <v/>
      </c>
      <c r="G60" s="250">
        <f>'UW Output'!G52</f>
        <v/>
      </c>
      <c r="H60" s="250">
        <f>'UW Output'!H52</f>
        <v/>
      </c>
    </row>
    <row r="61">
      <c r="A61" s="250">
        <f>'UW Output'!A53</f>
        <v/>
      </c>
      <c r="B61" s="250">
        <f>'UW Output'!B53</f>
        <v/>
      </c>
      <c r="C61" s="250">
        <f>'UW Output'!C53</f>
        <v/>
      </c>
      <c r="D61" s="250">
        <f>'UW Output'!D53</f>
        <v/>
      </c>
      <c r="E61" s="250">
        <f>'UW Output'!E53</f>
        <v/>
      </c>
      <c r="F61" s="250">
        <f>'UW Output'!F53</f>
        <v/>
      </c>
      <c r="G61" s="250">
        <f>'UW Output'!G53</f>
        <v/>
      </c>
      <c r="H61" s="250">
        <f>'UW Output'!H53</f>
        <v/>
      </c>
    </row>
    <row r="62">
      <c r="A62" s="250">
        <f>'UW Output'!A54</f>
        <v/>
      </c>
      <c r="B62" s="250">
        <f>'UW Output'!B54</f>
        <v/>
      </c>
      <c r="C62" s="250">
        <f>'UW Output'!C54</f>
        <v/>
      </c>
      <c r="D62" s="250">
        <f>'UW Output'!D54</f>
        <v/>
      </c>
      <c r="E62" s="250">
        <f>'UW Output'!E54</f>
        <v/>
      </c>
      <c r="F62" s="250">
        <f>'UW Output'!F54</f>
        <v/>
      </c>
      <c r="G62" s="250">
        <f>'UW Output'!G54</f>
        <v/>
      </c>
      <c r="H62" s="250">
        <f>'UW Output'!H54</f>
        <v/>
      </c>
    </row>
    <row r="63">
      <c r="A63" s="250">
        <f>'UW Output'!A55</f>
        <v/>
      </c>
      <c r="B63" s="250">
        <f>'UW Output'!B55</f>
        <v/>
      </c>
      <c r="C63" s="250">
        <f>'UW Output'!C55</f>
        <v/>
      </c>
      <c r="D63" s="250">
        <f>'UW Output'!D55</f>
        <v/>
      </c>
      <c r="E63" s="250">
        <f>'UW Output'!E55</f>
        <v/>
      </c>
      <c r="F63" s="250">
        <f>'UW Output'!F55</f>
        <v/>
      </c>
      <c r="G63" s="250">
        <f>'UW Output'!G55</f>
        <v/>
      </c>
      <c r="H63" s="250">
        <f>'UW Output'!H55</f>
        <v/>
      </c>
    </row>
    <row r="64">
      <c r="A64" s="250">
        <f>'UW Output'!A56</f>
        <v/>
      </c>
      <c r="B64" s="250">
        <f>'UW Output'!B56</f>
        <v/>
      </c>
      <c r="C64" s="250">
        <f>'UW Output'!C56</f>
        <v/>
      </c>
      <c r="D64" s="250">
        <f>'UW Output'!D56</f>
        <v/>
      </c>
      <c r="E64" s="250">
        <f>'UW Output'!E56</f>
        <v/>
      </c>
      <c r="F64" s="250">
        <f>'UW Output'!F56</f>
        <v/>
      </c>
      <c r="G64" s="250">
        <f>'UW Output'!G56</f>
        <v/>
      </c>
      <c r="H64" s="250">
        <f>'UW Output'!H56</f>
        <v/>
      </c>
    </row>
    <row r="65">
      <c r="A65" s="250">
        <f>'UW Output'!A57</f>
        <v/>
      </c>
      <c r="B65" s="250">
        <f>'UW Output'!B57</f>
        <v/>
      </c>
      <c r="C65" s="250">
        <f>'UW Output'!C57</f>
        <v/>
      </c>
      <c r="D65" s="250">
        <f>'UW Output'!D57</f>
        <v/>
      </c>
      <c r="E65" s="250">
        <f>'UW Output'!E57</f>
        <v/>
      </c>
      <c r="F65" s="250">
        <f>'UW Output'!F57</f>
        <v/>
      </c>
      <c r="G65" s="250">
        <f>'UW Output'!G57</f>
        <v/>
      </c>
      <c r="H65" s="250">
        <f>'UW Output'!H57</f>
        <v/>
      </c>
    </row>
    <row r="66">
      <c r="A66" s="250">
        <f>'UW Output'!A58</f>
        <v/>
      </c>
      <c r="B66" s="250">
        <f>'UW Output'!B58</f>
        <v/>
      </c>
      <c r="C66" s="250">
        <f>'UW Output'!C58</f>
        <v/>
      </c>
      <c r="D66" s="250">
        <f>'UW Output'!D58</f>
        <v/>
      </c>
      <c r="E66" s="250">
        <f>'UW Output'!E58</f>
        <v/>
      </c>
      <c r="F66" s="250">
        <f>'UW Output'!F58</f>
        <v/>
      </c>
      <c r="G66" s="250">
        <f>'UW Output'!G58</f>
        <v/>
      </c>
      <c r="H66" s="250">
        <f>'UW Output'!H58</f>
        <v/>
      </c>
    </row>
    <row r="67">
      <c r="A67" s="250">
        <f>'UW Output'!A59</f>
        <v/>
      </c>
      <c r="B67" s="250">
        <f>'UW Output'!B59</f>
        <v/>
      </c>
      <c r="C67" s="250">
        <f>'UW Output'!C59</f>
        <v/>
      </c>
      <c r="D67" s="250">
        <f>'UW Output'!D59</f>
        <v/>
      </c>
      <c r="E67" s="250">
        <f>'UW Output'!E59</f>
        <v/>
      </c>
      <c r="F67" s="250">
        <f>'UW Output'!F59</f>
        <v/>
      </c>
      <c r="G67" s="250">
        <f>'UW Output'!G59</f>
        <v/>
      </c>
      <c r="H67" s="250">
        <f>'UW Output'!H59</f>
        <v/>
      </c>
    </row>
    <row r="68">
      <c r="A68" s="250">
        <f>'UW Output'!A60</f>
        <v/>
      </c>
      <c r="B68" s="250">
        <f>'UW Output'!B60</f>
        <v/>
      </c>
      <c r="C68" s="250">
        <f>'UW Output'!C60</f>
        <v/>
      </c>
      <c r="D68" s="250">
        <f>'UW Output'!D60</f>
        <v/>
      </c>
      <c r="E68" s="250">
        <f>'UW Output'!E60</f>
        <v/>
      </c>
      <c r="F68" s="250">
        <f>'UW Output'!F60</f>
        <v/>
      </c>
      <c r="G68" s="250">
        <f>'UW Output'!G60</f>
        <v/>
      </c>
      <c r="H68" s="250">
        <f>'UW Output'!H60</f>
        <v/>
      </c>
    </row>
    <row r="69">
      <c r="A69" s="250">
        <f>'UW Output'!A61</f>
        <v/>
      </c>
      <c r="B69" s="250">
        <f>'UW Output'!B61</f>
        <v/>
      </c>
      <c r="C69" s="250">
        <f>'UW Output'!C61</f>
        <v/>
      </c>
      <c r="D69" s="250">
        <f>'UW Output'!D61</f>
        <v/>
      </c>
      <c r="E69" s="250">
        <f>'UW Output'!E61</f>
        <v/>
      </c>
      <c r="F69" s="250">
        <f>'UW Output'!F61</f>
        <v/>
      </c>
      <c r="G69" s="250">
        <f>'UW Output'!G61</f>
        <v/>
      </c>
      <c r="H69" s="250">
        <f>'UW Output'!H61</f>
        <v/>
      </c>
    </row>
    <row r="70">
      <c r="A70" s="250">
        <f>'UW Output'!A62</f>
        <v/>
      </c>
      <c r="B70" s="250">
        <f>'UW Output'!B62</f>
        <v/>
      </c>
      <c r="C70" s="250">
        <f>'UW Output'!C62</f>
        <v/>
      </c>
      <c r="D70" s="250">
        <f>'UW Output'!D62</f>
        <v/>
      </c>
      <c r="E70" s="250">
        <f>'UW Output'!E62</f>
        <v/>
      </c>
      <c r="F70" s="250">
        <f>'UW Output'!F62</f>
        <v/>
      </c>
      <c r="G70" s="250">
        <f>'UW Output'!G62</f>
        <v/>
      </c>
      <c r="H70" s="250">
        <f>'UW Output'!H62</f>
        <v/>
      </c>
    </row>
    <row r="71">
      <c r="A71" s="250">
        <f>'UW Output'!A63</f>
        <v/>
      </c>
      <c r="B71" s="250">
        <f>'UW Output'!B63</f>
        <v/>
      </c>
      <c r="C71" s="250">
        <f>'UW Output'!C63</f>
        <v/>
      </c>
      <c r="D71" s="250">
        <f>'UW Output'!D63</f>
        <v/>
      </c>
      <c r="E71" s="250">
        <f>'UW Output'!E63</f>
        <v/>
      </c>
      <c r="F71" s="250">
        <f>'UW Output'!F63</f>
        <v/>
      </c>
      <c r="G71" s="250">
        <f>'UW Output'!G63</f>
        <v/>
      </c>
      <c r="H71" s="250">
        <f>'UW Output'!H63</f>
        <v/>
      </c>
    </row>
    <row r="72">
      <c r="A72" s="250">
        <f>'UW Output'!A64</f>
        <v/>
      </c>
      <c r="B72" s="250">
        <f>'UW Output'!B64</f>
        <v/>
      </c>
      <c r="C72" s="250">
        <f>'UW Output'!C64</f>
        <v/>
      </c>
      <c r="D72" s="250">
        <f>'UW Output'!D64</f>
        <v/>
      </c>
      <c r="E72" s="250">
        <f>'UW Output'!E64</f>
        <v/>
      </c>
      <c r="F72" s="250">
        <f>'UW Output'!F64</f>
        <v/>
      </c>
      <c r="G72" s="250">
        <f>'UW Output'!G64</f>
        <v/>
      </c>
      <c r="H72" s="250">
        <f>'UW Output'!H64</f>
        <v/>
      </c>
    </row>
    <row r="73">
      <c r="A73" s="250">
        <f>'UW Output'!A65</f>
        <v/>
      </c>
      <c r="B73" s="250">
        <f>'UW Output'!B65</f>
        <v/>
      </c>
      <c r="C73" s="250">
        <f>'UW Output'!C65</f>
        <v/>
      </c>
      <c r="D73" s="250">
        <f>'UW Output'!D65</f>
        <v/>
      </c>
      <c r="E73" s="250">
        <f>'UW Output'!E65</f>
        <v/>
      </c>
      <c r="F73" s="250">
        <f>'UW Output'!F65</f>
        <v/>
      </c>
      <c r="G73" s="250">
        <f>'UW Output'!G65</f>
        <v/>
      </c>
      <c r="H73" s="250">
        <f>'UW Output'!H65</f>
        <v/>
      </c>
    </row>
    <row r="74">
      <c r="A74" s="250">
        <f>'UW Output'!A66</f>
        <v/>
      </c>
      <c r="B74" s="250">
        <f>'UW Output'!B66</f>
        <v/>
      </c>
      <c r="C74" s="250">
        <f>'UW Output'!C66</f>
        <v/>
      </c>
      <c r="D74" s="250">
        <f>'UW Output'!D66</f>
        <v/>
      </c>
      <c r="E74" s="250">
        <f>'UW Output'!E66</f>
        <v/>
      </c>
      <c r="F74" s="250">
        <f>'UW Output'!F66</f>
        <v/>
      </c>
      <c r="G74" s="250">
        <f>'UW Output'!G66</f>
        <v/>
      </c>
      <c r="H74" s="250">
        <f>'UW Output'!H66</f>
        <v/>
      </c>
    </row>
    <row r="75">
      <c r="A75" s="250">
        <f>'UW Output'!A67</f>
        <v/>
      </c>
      <c r="B75" s="250">
        <f>'UW Output'!B67</f>
        <v/>
      </c>
      <c r="C75" s="250">
        <f>'UW Output'!C67</f>
        <v/>
      </c>
      <c r="D75" s="250">
        <f>'UW Output'!D67</f>
        <v/>
      </c>
      <c r="E75" s="250">
        <f>'UW Output'!E67</f>
        <v/>
      </c>
      <c r="F75" s="250">
        <f>'UW Output'!F67</f>
        <v/>
      </c>
      <c r="G75" s="250">
        <f>'UW Output'!G67</f>
        <v/>
      </c>
      <c r="H75" s="250">
        <f>'UW Output'!H67</f>
        <v/>
      </c>
    </row>
    <row r="76">
      <c r="A76" s="250">
        <f>'UW Output'!A68</f>
        <v/>
      </c>
      <c r="B76" s="250">
        <f>'UW Output'!B68</f>
        <v/>
      </c>
      <c r="C76" s="250">
        <f>'UW Output'!C68</f>
        <v/>
      </c>
      <c r="D76" s="250">
        <f>'UW Output'!D68</f>
        <v/>
      </c>
      <c r="E76" s="250">
        <f>'UW Output'!E68</f>
        <v/>
      </c>
      <c r="F76" s="250">
        <f>'UW Output'!F68</f>
        <v/>
      </c>
      <c r="G76" s="250">
        <f>'UW Output'!G68</f>
        <v/>
      </c>
      <c r="H76" s="250">
        <f>'UW Output'!H68</f>
        <v/>
      </c>
    </row>
    <row r="77">
      <c r="A77" s="250">
        <f>'UW Output'!A69</f>
        <v/>
      </c>
      <c r="B77" s="250">
        <f>'UW Output'!B69</f>
        <v/>
      </c>
      <c r="C77" s="250">
        <f>'UW Output'!C69</f>
        <v/>
      </c>
      <c r="D77" s="250">
        <f>'UW Output'!D69</f>
        <v/>
      </c>
      <c r="E77" s="250">
        <f>'UW Output'!E69</f>
        <v/>
      </c>
      <c r="F77" s="250">
        <f>'UW Output'!F69</f>
        <v/>
      </c>
      <c r="G77" s="250">
        <f>'UW Output'!G69</f>
        <v/>
      </c>
      <c r="H77" s="250">
        <f>'UW Output'!H69</f>
        <v/>
      </c>
    </row>
    <row r="78">
      <c r="A78" s="250">
        <f>'UW Output'!A70</f>
        <v/>
      </c>
      <c r="B78" s="250">
        <f>'UW Output'!B70</f>
        <v/>
      </c>
      <c r="C78" s="250">
        <f>'UW Output'!C70</f>
        <v/>
      </c>
      <c r="D78" s="250">
        <f>'UW Output'!D70</f>
        <v/>
      </c>
      <c r="E78" s="250">
        <f>'UW Output'!E70</f>
        <v/>
      </c>
      <c r="F78" s="250">
        <f>'UW Output'!F70</f>
        <v/>
      </c>
      <c r="G78" s="250">
        <f>'UW Output'!G70</f>
        <v/>
      </c>
      <c r="H78" s="250">
        <f>'UW Output'!H70</f>
        <v/>
      </c>
    </row>
    <row r="79">
      <c r="A79" s="250">
        <f>'UW Output'!A71</f>
        <v/>
      </c>
      <c r="B79" s="250">
        <f>'UW Output'!B71</f>
        <v/>
      </c>
      <c r="C79" s="250">
        <f>'UW Output'!C71</f>
        <v/>
      </c>
      <c r="D79" s="250">
        <f>'UW Output'!D71</f>
        <v/>
      </c>
      <c r="E79" s="250">
        <f>'UW Output'!E71</f>
        <v/>
      </c>
      <c r="F79" s="250">
        <f>'UW Output'!F71</f>
        <v/>
      </c>
      <c r="G79" s="250">
        <f>'UW Output'!G71</f>
        <v/>
      </c>
      <c r="H79" s="250">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v0.2.4</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v0.2.4</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65" t="inlineStr">
        <is>
          <t>Meal Income</t>
        </is>
      </c>
      <c r="B415" s="165" t="inlineStr">
        <is>
          <t>Meal Income</t>
        </is>
      </c>
      <c r="C415" s="165" t="n"/>
      <c r="D415" s="165" t="n"/>
      <c r="E415" s="165" t="n"/>
    </row>
    <row r="416">
      <c r="A416" s="165" t="inlineStr">
        <is>
          <t>Meal Plan Revenue</t>
        </is>
      </c>
      <c r="B416" s="165" t="inlineStr">
        <is>
          <t>Meal Income</t>
        </is>
      </c>
      <c r="C416" s="165" t="n"/>
      <c r="D416" s="165" t="n"/>
      <c r="E416" s="165" t="n"/>
    </row>
    <row r="417">
      <c r="A417" s="165" t="inlineStr">
        <is>
          <t>Meal Plan Income</t>
        </is>
      </c>
      <c r="B417" s="165" t="inlineStr">
        <is>
          <t>Meal Income</t>
        </is>
      </c>
      <c r="C417" s="165" t="n"/>
      <c r="D417" s="165" t="n"/>
      <c r="E417" s="165" t="n"/>
    </row>
    <row r="418">
      <c r="A418" s="165" t="inlineStr">
        <is>
          <t>Dining Revenue</t>
        </is>
      </c>
      <c r="B418" s="165" t="inlineStr">
        <is>
          <t>Meal Income</t>
        </is>
      </c>
      <c r="C418" s="165" t="n"/>
      <c r="D418" s="165" t="n"/>
      <c r="E418" s="165" t="n"/>
    </row>
    <row r="419">
      <c r="A419" s="165" t="inlineStr">
        <is>
          <t>Housekeeping Income</t>
        </is>
      </c>
      <c r="B419" s="165" t="inlineStr">
        <is>
          <t>Housekeeping Income</t>
        </is>
      </c>
      <c r="C419" s="165" t="n"/>
      <c r="D419" s="165" t="n"/>
      <c r="E419" s="165" t="n"/>
    </row>
    <row r="420">
      <c r="A420" s="165" t="inlineStr">
        <is>
          <t>Housekeeping Revenue</t>
        </is>
      </c>
      <c r="B420" s="165" t="inlineStr">
        <is>
          <t>Housekeeping Income</t>
        </is>
      </c>
      <c r="C420" s="165" t="n"/>
      <c r="D420" s="165" t="n"/>
      <c r="E420" s="165" t="n"/>
    </row>
    <row r="421">
      <c r="A421" s="165" t="inlineStr">
        <is>
          <t>H/K Income</t>
        </is>
      </c>
      <c r="B421" s="165" t="inlineStr">
        <is>
          <t>Housekeeping Income</t>
        </is>
      </c>
      <c r="C421" s="165" t="n"/>
      <c r="D421" s="165" t="n"/>
      <c r="E421" s="165" t="n"/>
    </row>
    <row r="422">
      <c r="A422" s="165" t="inlineStr">
        <is>
          <t>Laundry Income</t>
        </is>
      </c>
      <c r="B422" s="165" t="inlineStr">
        <is>
          <t>Laundry Income</t>
        </is>
      </c>
      <c r="C422" s="165" t="n"/>
      <c r="D422" s="165" t="n"/>
      <c r="E422" s="165" t="n"/>
    </row>
    <row r="423">
      <c r="A423" s="165" t="inlineStr">
        <is>
          <t>Laundry Revenue</t>
        </is>
      </c>
      <c r="B423" s="165" t="inlineStr">
        <is>
          <t>Laundry Income</t>
        </is>
      </c>
      <c r="C423" s="165" t="n"/>
      <c r="D423" s="165" t="n"/>
      <c r="E423" s="165" t="n"/>
    </row>
    <row r="424">
      <c r="A424" s="165" t="inlineStr">
        <is>
          <t>Scooter Fee</t>
        </is>
      </c>
      <c r="B424" s="165" t="inlineStr">
        <is>
          <t>Scooter Fee Revenue</t>
        </is>
      </c>
      <c r="C424" s="165" t="n"/>
      <c r="D424" s="165" t="n"/>
      <c r="E424" s="165" t="n"/>
    </row>
    <row r="425">
      <c r="A425" s="165" t="inlineStr">
        <is>
          <t>Motorized Scooter Fee</t>
        </is>
      </c>
      <c r="B425" s="165" t="inlineStr">
        <is>
          <t>Scooter Fee Revenue</t>
        </is>
      </c>
      <c r="C425" s="165" t="n"/>
      <c r="D425" s="165" t="n"/>
      <c r="E425" s="165" t="n"/>
    </row>
    <row r="426">
      <c r="A426" s="165" t="inlineStr">
        <is>
          <t>Mobility Fee</t>
        </is>
      </c>
      <c r="B426" s="165" t="inlineStr">
        <is>
          <t>Scooter Fee Revenue</t>
        </is>
      </c>
      <c r="C426" s="165" t="n"/>
      <c r="D426" s="165" t="n"/>
      <c r="E426" s="165" t="n"/>
    </row>
    <row r="427">
      <c r="A427" s="165" t="inlineStr">
        <is>
          <t>Transfer Fee</t>
        </is>
      </c>
      <c r="B427" s="165" t="inlineStr">
        <is>
          <t>Transfer Fee Revenue</t>
        </is>
      </c>
      <c r="C427" s="165" t="n"/>
      <c r="D427" s="165" t="n"/>
      <c r="E427" s="165" t="n"/>
    </row>
    <row r="428">
      <c r="A428" s="165" t="inlineStr">
        <is>
          <t>Elective Transfer Fee</t>
        </is>
      </c>
      <c r="B428" s="165" t="inlineStr">
        <is>
          <t>Transfer Fee Revenue</t>
        </is>
      </c>
      <c r="C428" s="165" t="n"/>
      <c r="D428" s="165" t="n"/>
      <c r="E428" s="165"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v0.2.4</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v0.2.4</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5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v0.2.4</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c r="A19" s="243" t="inlineStr">
        <is>
          <t>UW Export</t>
        </is>
      </c>
      <c r="B19" s="243">
        <f>'UW Export'!AZ1</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43" t="inlineStr">
        <is>
          <t>G9 · Total outstanding AR  (Σ Rent Roll Input!X)</t>
        </is>
      </c>
      <c r="B43" s="244">
        <f>SUM('Rent Roll Input'!$X$7:$X$606)</f>
        <v/>
      </c>
    </row>
    <row r="44">
      <c r="A44" s="243" t="inlineStr">
        <is>
          <t>G10 · AR ÷ monthly EGI  (collection-velocity indicator)</t>
        </is>
      </c>
      <c r="B44" s="245">
        <f>IFERROR(B43/('Monthly Trending'!$N$26/12),0)</f>
        <v/>
      </c>
    </row>
    <row r="45">
      <c r="A45" s="237">
        <f>IF(B43=0,"",IF(B44&gt;0.05,"⚠ AR is "&amp;TEXT(B44,"0.0%")&amp;" of monthly EGI — collection risk; review aging","✓ AR within "&amp;TEXT(0.05,"0%")&amp;" of monthly EGI"))</f>
        <v/>
      </c>
    </row>
    <row r="46">
      <c r="A46" s="225" t="inlineStr">
        <is>
          <t>4 · PRE-EXPORT GATE</t>
        </is>
      </c>
    </row>
    <row r="47">
      <c r="A47" s="248" t="inlineStr">
        <is>
          <t>Pre-export check</t>
        </is>
      </c>
      <c r="B47" s="226" t="inlineStr">
        <is>
          <t>Status</t>
        </is>
      </c>
    </row>
    <row r="48">
      <c r="A48" s="249" t="inlineStr">
        <is>
          <t>P1 · RR + T12 period dates set</t>
        </is>
      </c>
      <c r="B48" s="252">
        <f>IF(AND(LEN(B25)&gt;4,LEN(B26)&gt;4,B25&lt;&gt;"-",B26&lt;&gt;"-"),"✓","⚠ Set period dates")</f>
        <v/>
      </c>
    </row>
    <row r="49">
      <c r="A49" s="249" t="inlineStr">
        <is>
          <t>P2 · Property name populated</t>
        </is>
      </c>
      <c r="B49" s="252">
        <f>IF(LEN(TRIM(IFERROR(Property_Name,"")))&gt;0,"✓","⚠ Set property name on Cover!B5")</f>
        <v/>
      </c>
    </row>
    <row r="50">
      <c r="A50" s="249" t="inlineStr">
        <is>
          <t>P3 · RR + T12 input rows present</t>
        </is>
      </c>
      <c r="B50" s="252">
        <f>IF(AND(B28&gt;0,B29&gt;0),"✓","⚠ Upload RR + T12 to populate input sheets")</f>
        <v/>
      </c>
    </row>
    <row r="51">
      <c r="A51" s="249" t="inlineStr">
        <is>
          <t>P4 · Source $ → Operating $ leakage within ±$1</t>
        </is>
      </c>
      <c r="B51" s="252">
        <f>IF(IFERROR(VALUE(SUBSTITUTE(B23,"$","")),99)&lt;=1,"✓","⚠ Investigate T12 leakage (V1)")</f>
        <v/>
      </c>
    </row>
    <row r="52">
      <c r="A52" s="253" t="inlineStr">
        <is>
          <t>READY FOR EXPORT?</t>
        </is>
      </c>
      <c r="B52" s="253">
        <f>IF(AND(B48="✓",B49="✓",B50="✓",B51="✓"),"✓ READY — UW Export tab is good to copy","⚠ NOT READY — resolve the ⚠ items above first")</f>
        <v/>
      </c>
      <c r="C52" s="196" t="n"/>
      <c r="D52" s="197" t="n"/>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2026-05-16T07:38:15Z</dcterms:modified>
  <cp:lastModifiedBy>Erik J</cp:lastModifiedBy>
  <cp:revision>0</cp:revision>
</cp:coreProperties>
</file>