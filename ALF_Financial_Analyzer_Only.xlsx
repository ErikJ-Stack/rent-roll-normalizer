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Input'!$A$7:$AJ$606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499">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xf numFmtId="0" fontId="51" fillId="2" borderId="8" applyAlignment="1" pivotButton="0" quotePrefix="0" xfId="0">
      <alignment horizontal="center" vertical="center" wrapText="1"/>
    </xf>
    <xf numFmtId="0" fontId="36" fillId="4" borderId="0" applyAlignment="1" pivotButton="0" quotePrefix="0" xfId="0">
      <alignment horizontal="left" vertical="center" indent="1"/>
    </xf>
    <xf numFmtId="0" fontId="5" fillId="2" borderId="8" applyAlignment="1" pivotButton="0" quotePrefix="0" xfId="0">
      <alignment horizontal="left" vertical="center" wrapText="1"/>
    </xf>
    <xf numFmtId="0" fontId="5" fillId="2" borderId="8" applyAlignment="1" pivotButton="0" quotePrefix="0" xfId="0">
      <alignment horizontal="center" vertical="center" wrapText="1"/>
    </xf>
    <xf numFmtId="0" fontId="43" fillId="0" borderId="8" applyAlignment="1" pivotButton="0" quotePrefix="0" xfId="0">
      <alignment horizontal="left" vertical="center" indent="1"/>
    </xf>
    <xf numFmtId="172" fontId="43" fillId="0" borderId="8" applyAlignment="1" pivotButton="0" quotePrefix="0" xfId="0">
      <alignment horizontal="right" vertical="center"/>
    </xf>
    <xf numFmtId="172" fontId="42" fillId="5" borderId="8" applyAlignment="1" pivotButton="0" quotePrefix="0" xfId="0">
      <alignment horizontal="right" vertical="center"/>
    </xf>
    <xf numFmtId="0" fontId="0" fillId="0" borderId="8" pivotButton="0" quotePrefix="0" xfId="0"/>
    <xf numFmtId="174" fontId="43" fillId="0" borderId="8" applyAlignment="1" pivotButton="0" quotePrefix="0" xfId="0">
      <alignment horizontal="right" vertical="center"/>
    </xf>
    <xf numFmtId="174" fontId="42" fillId="5" borderId="8" applyAlignment="1" pivotButton="0" quotePrefix="0" xfId="0">
      <alignment horizontal="right" vertical="center"/>
    </xf>
    <xf numFmtId="0" fontId="51" fillId="16" borderId="8" applyAlignment="1" pivotButton="0" quotePrefix="0" xfId="0">
      <alignment horizontal="center" vertical="center" wrapText="1"/>
    </xf>
    <xf numFmtId="167" fontId="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v0.2.14</t>
        </is>
      </c>
    </row>
    <row r="5">
      <c r="A5" t="inlineStr">
        <is>
          <t>Property name</t>
        </is>
      </c>
    </row>
    <row r="7">
      <c r="A7" s="172" t="inlineStr">
        <is>
          <t>Versions</t>
        </is>
      </c>
    </row>
    <row r="8">
      <c r="A8" t="inlineStr">
        <is>
          <t>Substrate template</t>
        </is>
      </c>
      <c r="B8" t="inlineStr">
        <is>
          <t>v0.2.14</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v0.2.14</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Analytics'!E11/'T12 Analytics'!E6,NA())</f>
        <v/>
      </c>
      <c r="Q5" s="263" t="n">
        <v>0.895</v>
      </c>
    </row>
    <row r="6" ht="38.25" customHeight="1" s="410">
      <c r="B6" s="427">
        <f>IFERROR(TEXT('T12 Analytics'!E11/'T12 Analytics'!E6,"0.0%"),"—")</f>
        <v/>
      </c>
      <c r="C6" s="412" t="n"/>
      <c r="D6" s="217" t="n"/>
      <c r="E6" s="427">
        <f>IFERROR(IF(ISNUMBER('T12 Analytics'!F162),TEXT('T12 Analytics'!F162,"0.0%"),"—"),"—")</f>
        <v/>
      </c>
      <c r="F6" s="412" t="n"/>
      <c r="G6" s="217" t="n"/>
      <c r="H6" s="427">
        <f>IFERROR(IF(ISNUMBER('T12 Analytics'!F118),TEXT('T12 Analytics'!F118,"0.00%"),"—"),"—")</f>
        <v/>
      </c>
      <c r="I6" s="412" t="n"/>
      <c r="J6" s="217" t="n"/>
      <c r="K6" s="427">
        <f>IFERROR(TEXT(('T12 Analytics'!E20+'T12 Analytics'!E27)/('T12 Analytics'!E11*12),"$#,##0"),"—")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IFERROR(IF('T12 Analytics'!E11/'T12 Analytics'!E6&gt;=0.9,"✓ At/above 90% stabilized hurdle",IF('T12 Analytics'!E11/'T12 Analytics'!E6&gt;=0.85,"⚠ Below stabilized, lease-up risk","✗ Distressed occupancy")),"— Source not populated")</f>
        <v/>
      </c>
      <c r="C8" s="426" t="n"/>
      <c r="D8" s="217" t="n"/>
      <c r="E8" s="425">
        <f>IF(ISNUMBER('T12 Analytics'!F162),IF('T12 Analytics'!F162&gt;=0.27,"✓ In-line with REIT SHOP avg ~27%",IF('T12 Analytics'!F162&gt;=0.22,"⚠ Below institutional median","✗ Margin distressed")),"— Source not populated")</f>
        <v/>
      </c>
      <c r="F8" s="426" t="n"/>
      <c r="G8" s="217" t="n"/>
      <c r="H8" s="425">
        <f>IF(ISNUMBER('T12 Analytics'!F118),IF('T12 Analytics'!F118&gt;=0.07,"✓ Above 6.2% market avg",IF('T12 Analytics'!F118&gt;=0.055,"⚠ At market, modest yield","✗ Below market, aggressive")),"— Source not populated")</f>
        <v/>
      </c>
      <c r="I8" s="426" t="n"/>
      <c r="J8" s="217" t="n"/>
      <c r="K8" s="425">
        <f>IFERROR(IF(('T12 Analytics'!E20+'T12 Analytics'!E27)/('T12 Analytics'!E11*12)&gt;0,"vs blended market $5,500-$6,500","— Source not populated"),"—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Analytics'!F163),TEXT('T12 Analytics'!F163,"$#,##0"),"—"),"—")</f>
        <v/>
      </c>
      <c r="F11" s="412" t="n"/>
      <c r="G11" s="217" t="n"/>
      <c r="H11" s="427">
        <f>IFERROR(IF(AND(ISNUMBER('T12 Analytics'!F117),ISNUMBER('T12 Analytics'!E6),'T12 Analytics'!E6&gt;0),TEXT('T12 Analytics'!F117/'T12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Analytics'!F164),"Margin: "&amp;TEXT('T12 Analytics'!F164,"0.0%"),"— Margin n/a"),"—")</f>
        <v/>
      </c>
      <c r="F13" s="426" t="n"/>
      <c r="G13" s="217" t="n"/>
      <c r="H13" s="430">
        <f>IFERROR(IF(AND(ISNUMBER('T12 Analytics'!F117),ISNUMBER('T12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Analytics'!F161),'T12 Analytics'!F161,"—"),"—")</f>
        <v/>
      </c>
      <c r="J18" s="220" t="n"/>
      <c r="K18" s="437" t="inlineStr">
        <is>
          <t>Total labor % EGI</t>
        </is>
      </c>
      <c r="L18" s="241">
        <f>IFERROR(IF(ISNUMBER('T12 Analytics'!F148),'T12 Analytics'!F148,"—"),"—")</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Analytics'!F162),'T12 Analytics'!F162,"—"),"—")</f>
        <v/>
      </c>
      <c r="J19" s="220" t="n"/>
      <c r="K19" s="422" t="inlineStr">
        <is>
          <t>Direct labor % EGI</t>
        </is>
      </c>
      <c r="L19" s="232">
        <f>IFERROR(IF(ISNUMBER('T12 Analytics'!F149),'T12 Analytics'!F149,"—"),"—")</f>
        <v/>
      </c>
      <c r="O19" s="262" t="n"/>
      <c r="P19" s="289" t="n"/>
    </row>
    <row r="20" ht="18" customHeight="1" s="410">
      <c r="B20" s="437" t="inlineStr">
        <is>
          <t>Avg occupied beds</t>
        </is>
      </c>
      <c r="C20" s="229">
        <f>IFERROR(IF(ISNUMBER('T12 Analytics'!E11),'T12 Analytics'!E11,"—"),"—")</f>
        <v/>
      </c>
      <c r="D20" s="220" t="n"/>
      <c r="E20" s="437" t="inlineStr">
        <is>
          <t>Blended ADR / day</t>
        </is>
      </c>
      <c r="F20" s="234">
        <f>IFERROR('T12 Analytics'!E20/('T12 Analytics'!E11*12),"—")</f>
        <v/>
      </c>
      <c r="G20" s="220" t="n"/>
      <c r="H20" s="437" t="inlineStr">
        <is>
          <t>EBITDAR $ (post mgmt fee)</t>
        </is>
      </c>
      <c r="I20" s="234">
        <f>IFERROR(IF(ISNUMBER('T12 Analytics'!F163),'T12 Analytics'!F163,"—"),"—")</f>
        <v/>
      </c>
      <c r="J20" s="220" t="n"/>
      <c r="K20" s="437" t="inlineStr">
        <is>
          <t>Overtime %</t>
        </is>
      </c>
      <c r="L20" s="231">
        <f>IFERROR(IF(ISNUMBER('T12 Analytics'!F150),'T12 Analytics'!F150,"—"),"—")</f>
        <v/>
      </c>
    </row>
    <row r="21" ht="18" customHeight="1" s="410">
      <c r="B21" s="422" t="inlineStr">
        <is>
          <t>Community occupancy %</t>
        </is>
      </c>
      <c r="C21" s="230">
        <f>IFERROR('T12 Analytics'!E11/'T12 Analytics'!E6,"—")</f>
        <v/>
      </c>
      <c r="D21" s="220" t="n"/>
      <c r="E21" s="422" t="inlineStr">
        <is>
          <t>RevPOR (blended)</t>
        </is>
      </c>
      <c r="F21" s="235">
        <f>IFERROR(('T12 Analytics'!E20+'T12 Analytics'!E27)/('T12 Analytics'!E11*12),"—")</f>
        <v/>
      </c>
      <c r="G21" s="220" t="n"/>
      <c r="H21" s="422" t="inlineStr">
        <is>
          <t>EBITDAR margin</t>
        </is>
      </c>
      <c r="I21" s="232">
        <f>IFERROR(IF(ISNUMBER('T12 Analytics'!F164),'T12 Analytics'!F164,"—"),"—")</f>
        <v/>
      </c>
      <c r="J21" s="220" t="n"/>
      <c r="K21" s="422" t="inlineStr">
        <is>
          <t>Agency labor %</t>
        </is>
      </c>
      <c r="L21" s="230">
        <f>IFERROR(IF(ISNUMBER('T12 Analytics'!F152),'T12 Analytics'!F152,"—"),"—")</f>
        <v/>
      </c>
    </row>
    <row r="22" ht="18" customHeight="1" s="410">
      <c r="B22" s="437" t="inlineStr">
        <is>
          <t>Economic occupancy %</t>
        </is>
      </c>
      <c r="C22" s="231">
        <f>IFERROR(IF(ISNUMBER('Rent Roll Recon'!E13),'Rent Roll Recon'!E13,"—"),"—")</f>
        <v/>
      </c>
      <c r="D22" s="220" t="n"/>
      <c r="E22" s="437" t="inlineStr">
        <is>
          <t>RevPAB</t>
        </is>
      </c>
      <c r="F22" s="234">
        <f>IFERROR(IF(ISNUMBER('T12 Analytics'!F145),'T12 Analytics'!F145,"—"),"—")</f>
        <v/>
      </c>
      <c r="G22" s="220" t="n"/>
      <c r="H22" s="437" t="inlineStr">
        <is>
          <t>EGI / occupied bed</t>
        </is>
      </c>
      <c r="I22" s="234">
        <f>IFERROR(IF(ISNUMBER('T12 Analytics'!F144),'T12 Analytics'!F144,"—"),"—")</f>
        <v/>
      </c>
      <c r="J22" s="220" t="n"/>
      <c r="K22" s="437" t="inlineStr">
        <is>
          <t>Food PPD</t>
        </is>
      </c>
      <c r="L22" s="242">
        <f>IFERROR(IF(ISNUMBER('T12 Analytics'!F154),'T12 Analytics'!F154,"—"),"—")</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Analytics'!F146),'T12 Analytics'!F146,"—"),"—")</f>
        <v/>
      </c>
      <c r="G23" s="220" t="n"/>
      <c r="H23" s="422" t="inlineStr">
        <is>
          <t>Opex / occupied bed</t>
        </is>
      </c>
      <c r="I23" s="239">
        <f>IFERROR(IF(ISNUMBER('T12 Analytics'!F160),'T12 Analytics'!F160,"—"),"—")</f>
        <v/>
      </c>
      <c r="J23" s="220" t="n"/>
      <c r="K23" s="422" t="inlineStr">
        <is>
          <t>Mgmt fee %</t>
        </is>
      </c>
      <c r="L23" s="232">
        <f>IFERROR(IF(ISNUMBER('T12 Analytics'!F157),'T12 Analytics'!F157,"—"),"—")</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Analytics'!F117),'T12 Analytics'!F117,"—"),"—")</f>
        <v/>
      </c>
      <c r="E30" s="244" t="inlineStr">
        <is>
          <t>n/a</t>
        </is>
      </c>
      <c r="F30" s="254" t="inlineStr">
        <is>
          <t>—</t>
        </is>
      </c>
      <c r="H30" s="259" t="n"/>
      <c r="M30" s="153" t="n"/>
    </row>
    <row r="31" ht="18" customHeight="1" s="410">
      <c r="B31" s="422"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Analytics'!F118),'T12 Analytics'!F118,"—"),"—")</f>
        <v/>
      </c>
      <c r="E32" s="247" t="n">
        <v>0.062</v>
      </c>
      <c r="F32" s="256">
        <f>IF(ISNUMBER(D32),IF(D32&gt;=0.07,"✓",IF(D32&gt;=0.055,"⚠","✗")),"—")</f>
        <v/>
      </c>
      <c r="H32" s="259" t="n"/>
      <c r="M32" s="153" t="n"/>
    </row>
    <row r="33" ht="18" customHeight="1" s="410">
      <c r="B33" s="422" t="inlineStr">
        <is>
          <t>EBITDAR cap rate</t>
        </is>
      </c>
      <c r="D33" s="248">
        <f>IFERROR(IF(ISNUMBER('T12 Analytics'!F120),'T12 Analytics'!F120,"—"),"—")</f>
        <v/>
      </c>
      <c r="E33" s="245" t="inlineStr">
        <is>
          <t>5.7-6.5%</t>
        </is>
      </c>
      <c r="F33" s="255">
        <f>IF(ISNUMBER(D33),IF(D33&gt;=0.065,"✓",IF(D33&gt;=0.055,"⚠","✗")),"—")</f>
        <v/>
      </c>
      <c r="H33" s="259" t="n"/>
      <c r="M33" s="153" t="n"/>
    </row>
    <row r="34" ht="18" customHeight="1" s="410">
      <c r="B34" s="437" t="inlineStr">
        <is>
          <t>EBITDARM margin</t>
        </is>
      </c>
      <c r="D34" s="221">
        <f>IFERROR(IF(ISNUMBER('T12 Analytics'!F162),'T12 Analytics'!F162,"—"),"—")</f>
        <v/>
      </c>
      <c r="E34" s="247" t="n">
        <v>0.27</v>
      </c>
      <c r="F34" s="256">
        <f>IF(ISNUMBER(D34),IF(D34&gt;=0.27,"✓",IF(D34&gt;=0.22,"⚠","✗")),"—")</f>
        <v/>
      </c>
      <c r="H34" s="259" t="n"/>
      <c r="M34" s="153" t="n"/>
    </row>
    <row r="35" ht="18" customHeight="1" s="410">
      <c r="B35" s="422" t="inlineStr">
        <is>
          <t>Community occupancy</t>
        </is>
      </c>
      <c r="D35" s="222">
        <f>IFERROR('T12 Analytics'!E11/'T12 Analytics'!E6,"—")</f>
        <v/>
      </c>
      <c r="E35" s="249" t="n">
        <v>0.895</v>
      </c>
      <c r="F35" s="255">
        <f>IF(ISNUMBER(D35),IF(D35&gt;=0.9,"✓",IF(D35&gt;=0.85,"⚠","✗")),"—")</f>
        <v/>
      </c>
      <c r="H35" s="259" t="n"/>
      <c r="M35" s="153" t="n"/>
    </row>
    <row r="36" ht="18" customHeight="1" s="410">
      <c r="B36" s="437" t="inlineStr">
        <is>
          <t>Labor % EGI</t>
        </is>
      </c>
      <c r="D36" s="221">
        <f>IFERROR(IF(ISNUMBER('T12 Analytics'!F148),'T12 Analytics'!F148,"—"),"—")</f>
        <v/>
      </c>
      <c r="E36" s="250" t="inlineStr">
        <is>
          <t>43-45%</t>
        </is>
      </c>
      <c r="F36" s="256">
        <f>IF(ISNUMBER(D36),IF(D36&lt;=0.45,"✓",IF(D36&lt;=0.5,"⚠","✗")),"—")</f>
        <v/>
      </c>
      <c r="H36" s="259" t="n"/>
      <c r="M36" s="153" t="n"/>
    </row>
    <row r="37" ht="18" customHeight="1" s="410">
      <c r="B37" s="438" t="inlineStr">
        <is>
          <t>Agency labor %</t>
        </is>
      </c>
      <c r="C37" s="439" t="n"/>
      <c r="D37" s="251">
        <f>IFERROR(IF(ISNUMBER('T12 Analytics'!F152),'T12 Analytics'!F152,"—"),"—")</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IFERROR('T12 Analytics'!E11/'T12 Analytics'!E6-0.895,"—")</f>
        <v/>
      </c>
      <c r="F55" s="291" t="inlineStr">
        <is>
          <t>≥ 0 ppt</t>
        </is>
      </c>
      <c r="G55" s="292">
        <f>IFERROR(IF('T12 Analytics'!E11/'T12 Analytics'!E6&gt;=0.895,"✅",IF('T12 Analytics'!E11/'T12 Analytics'!E6&gt;=0.85,"⚠️","❌")),"⚪")</f>
        <v/>
      </c>
      <c r="H55" s="446">
        <f>IFERROR(IF('T12 Analytics'!E11/'T12 Analytics'!E6&gt;=0.895,"At or above NIC MAP",IF('T12 Analytics'!E11/'T12 Analytics'!E6&gt;=0.85,"Below market — lease-up risk","Significantly below market")),"No data")</f>
        <v/>
      </c>
      <c r="M55" s="447" t="n"/>
    </row>
    <row r="56" ht="22" customHeight="1" s="410">
      <c r="B56" s="413" t="inlineStr">
        <is>
          <t>Agency labor reliance</t>
        </is>
      </c>
      <c r="C56" s="407" t="n"/>
      <c r="D56" s="407" t="n"/>
      <c r="E56" s="293">
        <f>IFERROR(IF(ISNUMBER('T12 Analytics'!F152),'T12 Analytics'!F152,"—"),"—")</f>
        <v/>
      </c>
      <c r="F56" s="294" t="inlineStr">
        <is>
          <t>&lt; 3% of labor</t>
        </is>
      </c>
      <c r="G56" s="295">
        <f>IFERROR(IF(NOT(ISNUMBER('T12 Analytics'!F152)),"⚪",IF('T12 Analytics'!F152&lt;0.03,"✅",IF('T12 Analytics'!F152&lt;0.06,"⚠️","❌"))),"⚪")</f>
        <v/>
      </c>
      <c r="H56" s="416">
        <f>IFERROR(IF(NOT(ISNUMBER('T12 Analytics'!F152)),"No data",IF('T12 Analytics'!F152&lt;0.03,"Healthy in-house staffing",IF('T12 Analytics'!F152&lt;0.06,"Moderate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Analytics'!F150),'T12 Analytics'!F150,"—"),"—")</f>
        <v/>
      </c>
      <c r="F57" s="297" t="inlineStr">
        <is>
          <t>&lt; 5% of labor</t>
        </is>
      </c>
      <c r="G57" s="298">
        <f>IFERROR(IF(NOT(ISNUMBER('T12 Analytics'!F150)),"⚪",IF('T12 Analytics'!F150&lt;0.05,"✅",IF('T12 Analytics'!F150&lt;0.08,"⚠️","❌"))),"⚪")</f>
        <v/>
      </c>
      <c r="H57" s="406">
        <f>IFERROR(IF(NOT(ISNUMBER('T12 Analytics'!F150)),"No data",IF('T12 Analytics'!F150&lt;0.05,"Schedule well-managed",IF('T12 Analytics'!F150&lt;0.08,"Elevated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Analytics'!F158),'T12 Analytics'!F158,"—"),"—")</f>
        <v/>
      </c>
      <c r="F59" s="297" t="inlineStr">
        <is>
          <t>&lt; 1% of rev</t>
        </is>
      </c>
      <c r="G59" s="298">
        <f>IFERROR(IF(NOT(ISNUMBER('T12 Analytics'!F158)),"⚪",IF('T12 Analytics'!F158&lt;0.01,"✅",IF('T12 Analytics'!F158&lt;0.025,"⚠️","❌"))),"⚪")</f>
        <v/>
      </c>
      <c r="H59" s="406">
        <f>IFERROR(IF(NOT(ISNUMBER('T12 Analytics'!F158)),"No data",IF('T12 Analytics'!F158&lt;0.01,"Strong collections",IF('T12 Analytics'!F158&lt;0.025,"Watch AR aging","Collections issue"))),"")</f>
        <v/>
      </c>
      <c r="I59" s="407" t="n"/>
      <c r="J59" s="407" t="n"/>
      <c r="K59" s="407" t="n"/>
      <c r="L59" s="407" t="n"/>
      <c r="M59" s="408" t="n"/>
    </row>
    <row r="60" ht="22" customHeight="1" s="410">
      <c r="B60" s="413" t="inlineStr">
        <is>
          <t>EBITDARM margin</t>
        </is>
      </c>
      <c r="C60" s="407" t="n"/>
      <c r="D60" s="407" t="n"/>
      <c r="E60" s="293">
        <f>IFERROR(IF(ISNUMBER('T12 Analytics'!F162),'T12 Analytics'!F162,"—"),"—")</f>
        <v/>
      </c>
      <c r="F60" s="294" t="inlineStr">
        <is>
          <t>≥ 25%</t>
        </is>
      </c>
      <c r="G60" s="295">
        <f>IFERROR(IF(NOT(ISNUMBER('T12 Analytics'!F162)),"⚪",IF('T12 Analytics'!F162&gt;=0.25,"✅",IF('T12 Analytics'!F162&gt;=0.18,"⚠️","❌"))),"⚪")</f>
        <v/>
      </c>
      <c r="H60" s="416">
        <f>IFERROR(IF(NOT(ISNUMBER('T12 Analytics'!F162)),"No data",IF('T12 Analytics'!F162&gt;=0.25,"Institutional-quality margin",IF('T12 Analytics'!F162&gt;=0.18,"Sub-institutional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Analytics'!F118),'T12 Analytics'!F118,"—"),"—")</f>
        <v/>
      </c>
      <c r="F61" s="297" t="inlineStr">
        <is>
          <t>≥ 6.5%</t>
        </is>
      </c>
      <c r="G61" s="298">
        <f>IFERROR(IF(NOT(ISNUMBER('T12 Analytics'!F118)),"⚪",IF('T12 Analytics'!F118&gt;=0.065,"✅",IF('T12 Analytics'!F118&gt;=0.055,"⚠️","❌"))),"⚪")</f>
        <v/>
      </c>
      <c r="H61" s="406">
        <f>IFERROR(IF(NOT(ISNUMBER('T12 Analytics'!F118)),"No data",IF('T12 Analytics'!F118&gt;=0.065,"Wide of 6.2% market avg",IF('T12 Analytics'!F118&gt;=0.055,"In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Analytics'!F117),'T12 Analytics'!F117,"—"),"—")</f>
        <v/>
      </c>
      <c r="J75" s="304" t="n"/>
      <c r="K75" s="327">
        <f>IFERROR(IF(ISNUMBER('T12 Analytics'!F117),'T12 Analytics'!F117,"—"),"—")</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Analytics'!F161),ISNUMBER('T12 Analytics'!F117),'T12 Analytics'!F117&lt;&gt;0),'T12 Analytics'!F161/'T12 Analytics'!F117,"—"),"—")</f>
        <v/>
      </c>
      <c r="J76" s="308" t="n"/>
      <c r="K76" s="355">
        <f>IFERROR(IF(AND(ISNUMBER('T12 Analytics'!F161),ISNUMBER('T12 Analytics'!F117),'T12 Analytics'!F117&lt;&gt;0),'T12 Analytics'!F161/'T12 Analytics'!F117,"—"),"—")</f>
        <v/>
      </c>
    </row>
    <row r="77">
      <c r="B77" s="318" t="inlineStr">
        <is>
          <t>Non-labor opex</t>
        </is>
      </c>
      <c r="C77" s="325">
        <f>IFERROR(IF(ISNUMBER('T12 Analytics'!F103),'T12 Analytics'!F103,"—"),"—")</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Analytics'!F163),ISNUMBER('T12 Analytics'!F117),'T12 Analytics'!F117&lt;&gt;0),'T12 Analytics'!F163/'T12 Analytics'!F117,"—"),"—")</f>
        <v/>
      </c>
      <c r="J77" s="304" t="n"/>
      <c r="K77" s="356">
        <f>IFERROR(IF(AND(ISNUMBER('T12 Analytics'!F163),ISNUMBER('T12 Analytics'!F117),'T12 Analytics'!F117&lt;&gt;0),'T12 Analytics'!F163/'T12 Analytics'!F117,"—"),"—")</f>
        <v/>
      </c>
    </row>
    <row r="78">
      <c r="B78" s="342" t="inlineStr">
        <is>
          <t>EBITDARM (NOI)</t>
        </is>
      </c>
      <c r="C78" s="334">
        <f>IFERROR(IF(ISNUMBER('T12 Analytics'!F161),'T12 Analytics'!F161,"—"),"—")</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Analytics'!F117),ISNUMBER('T12 Analytics'!E6),'T12 Analytics'!E6&gt;0),'T12 Analytics'!F117/'T12 Analytics'!E6,"—"),"—")</f>
        <v/>
      </c>
      <c r="J78" s="308" t="n"/>
      <c r="K78" s="328">
        <f>IFERROR(IF(AND(ISNUMBER('T12 Analytics'!F117),ISNUMBER('T12 Analytics'!E6),'T12 Analytics'!E6&gt;0),'T12 Analytics'!F117/'T12 Analytics'!E6,"—"),"—")</f>
        <v/>
      </c>
    </row>
    <row r="79">
      <c r="B79" s="343" t="inlineStr">
        <is>
          <t>EBITDAR (after mgmt fee)</t>
        </is>
      </c>
      <c r="C79" s="338">
        <f>IFERROR(IF(ISNUMBER('T12 Analytics'!F163),'T12 Analytics'!F163,"—"),"—")</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Analytics'!F117),ISNUMBER('T12 Analytics'!F161),'T12 Analytics'!F161&lt;&gt;0),'T12 Analytics'!F117/'T12 Analytics'!F161,"—"),"—")</f>
        <v/>
      </c>
      <c r="J79" s="352" t="n"/>
      <c r="K79" s="357">
        <f>IFERROR(IF(AND(ISNUMBER('T12 Analytics'!F117),ISNUMBER('T12 Analytics'!F161),'T12 Analytics'!F161&lt;&gt;0),'T12 Analytics'!F117/'T12 Analytics'!F161,"—"),"—")</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Analytics'!F103,0)</f>
        <v/>
      </c>
    </row>
    <row r="104">
      <c r="B104" s="319" t="inlineStr">
        <is>
          <t>M08</t>
        </is>
      </c>
      <c r="C104" s="328">
        <f>IFERROR('Monthly Trending'!I26,0)</f>
        <v/>
      </c>
      <c r="E104" s="318" t="inlineStr">
        <is>
          <t>Mgmt Fee</t>
        </is>
      </c>
      <c r="F104" s="327">
        <f>-IFERROR('T12 Analytics'!F106,0)</f>
        <v/>
      </c>
    </row>
    <row r="105">
      <c r="B105" s="318" t="inlineStr">
        <is>
          <t>M09</t>
        </is>
      </c>
      <c r="C105" s="327">
        <f>IFERROR('Monthly Trending'!J26,0)</f>
        <v/>
      </c>
      <c r="E105" s="370" t="inlineStr">
        <is>
          <t>EBITDAR</t>
        </is>
      </c>
      <c r="F105" s="371">
        <f>IFERROR('T12 Analytics'!F163,0)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v0.2.14</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f>
        <v/>
      </c>
      <c r="F52" s="42">
        <f>E20+E27+F47+F48+F49+F50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410">
      <c r="A93" s="1" t="inlineStr">
        <is>
          <t>Pest elimination</t>
        </is>
      </c>
      <c r="B93" s="13" t="n"/>
      <c r="C93" s="13" t="n"/>
      <c r="D93" s="13" t="n"/>
      <c r="E93" s="22">
        <f>IFERROR(INDEX('T12 Raw Data'!R:R,MATCH("Pest elimination",'T12 Raw Data'!B:B,0)),0)</f>
        <v/>
      </c>
      <c r="F93" s="39">
        <f>E93</f>
        <v/>
      </c>
      <c r="G93" s="22">
        <f>F93-E93</f>
        <v/>
      </c>
      <c r="H93" s="78" t="n"/>
    </row>
    <row r="94" ht="14.25" customHeight="1" s="410">
      <c r="A94" s="458" t="inlineStr">
        <is>
          <t>Real estate taxes</t>
        </is>
      </c>
      <c r="B94" s="454" t="n"/>
      <c r="C94" s="454" t="n"/>
      <c r="D94" s="455" t="n"/>
      <c r="E94" s="44">
        <f>IFERROR(INDEX('T12 Raw Data'!R:R,MATCH("Real estate taxes",'T12 Raw Data'!B:B,0)),0)</f>
        <v/>
      </c>
      <c r="F94" s="39">
        <f>E94</f>
        <v/>
      </c>
      <c r="G94" s="44">
        <f>F94-E94</f>
        <v/>
      </c>
      <c r="H94" s="84" t="inlineStr">
        <is>
          <t>⚠ VERIFY  Confirm assessed value post-acquisition; exclude reversals</t>
        </is>
      </c>
    </row>
    <row r="95" ht="14.25" customHeight="1" s="410">
      <c r="A95" s="1" t="inlineStr">
        <is>
          <t>Personal property taxes</t>
        </is>
      </c>
      <c r="B95" s="13" t="n"/>
      <c r="C95" s="13" t="n"/>
      <c r="D95" s="13" t="n"/>
      <c r="E95" s="22">
        <f>IFERROR(INDEX('T12 Raw Data'!R:R,MATCH("Personal property taxes",'T12 Raw Data'!B:B,0)),0)</f>
        <v/>
      </c>
      <c r="F95" s="39">
        <f>E95</f>
        <v/>
      </c>
      <c r="G95" s="22">
        <f>F95-E95</f>
        <v/>
      </c>
      <c r="H95" s="78" t="n"/>
    </row>
    <row r="96" ht="14.25" customHeight="1" s="410">
      <c r="A96" s="1" t="inlineStr">
        <is>
          <t>Legal expenses</t>
        </is>
      </c>
      <c r="B96" s="13" t="n"/>
      <c r="C96" s="13" t="n"/>
      <c r="D96" s="13" t="n"/>
      <c r="E96" s="22">
        <f>IFERROR(INDEX('T12 Raw Data'!R:R,MATCH("Legal expenses",'T12 Raw Data'!B:B,0)),0)</f>
        <v/>
      </c>
      <c r="F96" s="39">
        <f>E96</f>
        <v/>
      </c>
      <c r="G96" s="22">
        <f>F96-E96</f>
        <v/>
      </c>
      <c r="H96" s="78" t="n"/>
    </row>
    <row r="97" ht="14.25" customHeight="1" s="410">
      <c r="A97" s="453" t="inlineStr">
        <is>
          <t>Professional services  (accounting / consulting)</t>
        </is>
      </c>
      <c r="B97" s="454" t="n"/>
      <c r="C97" s="454" t="n"/>
      <c r="D97" s="455" t="n"/>
      <c r="E97" s="22">
        <f>IFERROR(INDEX('T12 Raw Data'!R:R,MATCH("Professional services",'T12 Raw Data'!B:B,0)),0)</f>
        <v/>
      </c>
      <c r="F97" s="39">
        <f>E97</f>
        <v/>
      </c>
      <c r="G97" s="22">
        <f>F97-E97</f>
        <v/>
      </c>
      <c r="H97" s="78" t="inlineStr">
        <is>
          <t>Includes dietary consultant, audit, accounting</t>
        </is>
      </c>
    </row>
    <row r="98" ht="14.25" customHeight="1" s="410">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410">
      <c r="A99" s="453" t="inlineStr">
        <is>
          <t>Permits, licenses &amp; dues</t>
        </is>
      </c>
      <c r="B99" s="454" t="n"/>
      <c r="C99" s="454" t="n"/>
      <c r="D99" s="455" t="n"/>
      <c r="E99" s="22">
        <f>IFERROR(INDEX('T12 Raw Data'!R:R,MATCH("Permits, licenses &amp; dues",'T12 Raw Data'!B:B,0)),0)</f>
        <v/>
      </c>
      <c r="F99" s="39">
        <f>E99</f>
        <v/>
      </c>
      <c r="G99" s="22">
        <f>F99-E99</f>
        <v/>
      </c>
      <c r="H99" s="78" t="inlineStr">
        <is>
          <t>State survey fees, DOH, association dues, clinical licenses</t>
        </is>
      </c>
    </row>
    <row r="100" ht="14.25" customHeight="1" s="410">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410">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410">
      <c r="A102" s="458" t="inlineStr">
        <is>
          <t>Lease / ground lease  (if applicable)</t>
        </is>
      </c>
      <c r="B102" s="454" t="n"/>
      <c r="C102" s="454" t="n"/>
      <c r="D102" s="455"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410">
      <c r="A103" s="3" t="inlineStr">
        <is>
          <t xml:space="preserve">  Total non-labor opex</t>
        </is>
      </c>
      <c r="B103" s="45" t="n"/>
      <c r="C103" s="45" t="n"/>
      <c r="D103" s="45" t="n"/>
      <c r="E103" s="28">
        <f>SUM(E79:E102)</f>
        <v/>
      </c>
      <c r="F103" s="28">
        <f>SUM(F79:F102)</f>
        <v/>
      </c>
      <c r="G103" s="28">
        <f>F103-E103</f>
        <v/>
      </c>
      <c r="H103" s="45" t="n"/>
    </row>
    <row r="104" ht="14.25" customHeight="1" s="410"/>
    <row r="105" ht="14.25" customHeight="1" s="410">
      <c r="A105" s="46" t="inlineStr">
        <is>
          <t>TOTAL OPERATING EXPENSES  (excl. mgmt fee)</t>
        </is>
      </c>
      <c r="B105" s="454" t="n"/>
      <c r="C105" s="454" t="n"/>
      <c r="D105" s="454" t="n"/>
      <c r="E105" s="47">
        <f>E76+E103</f>
        <v/>
      </c>
      <c r="F105" s="47">
        <f>F76+F103</f>
        <v/>
      </c>
      <c r="G105" s="47">
        <f>F105-E105</f>
        <v/>
      </c>
      <c r="H105" s="49" t="n"/>
    </row>
    <row r="106" ht="14.25" customHeight="1" s="410">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410"/>
    <row r="108" ht="14.25" customHeight="1" s="410">
      <c r="A108" s="50" t="inlineStr">
        <is>
          <t>EBITDARM</t>
        </is>
      </c>
      <c r="B108" s="454" t="n"/>
      <c r="C108" s="454" t="n"/>
      <c r="D108" s="455" t="n"/>
      <c r="E108" s="52">
        <f>E52-E105</f>
        <v/>
      </c>
      <c r="F108" s="52">
        <f>F52-F105</f>
        <v/>
      </c>
      <c r="G108" s="52">
        <f>F108-E108</f>
        <v/>
      </c>
      <c r="H108" s="377">
        <f>IFERROR("DARM margin: "&amp;TEXT(F108/F52,"0.0%"),"")</f>
        <v/>
      </c>
    </row>
    <row r="109" ht="14.25" customHeight="1" s="410"/>
    <row r="110" ht="14.25" customHeight="1" s="410">
      <c r="A110" s="53" t="inlineStr">
        <is>
          <t>EBITDAR  (after mgmt fee)</t>
        </is>
      </c>
      <c r="B110" s="454" t="n"/>
      <c r="C110" s="454" t="n"/>
      <c r="D110" s="455" t="n"/>
      <c r="E110" s="54">
        <f>E108-E106</f>
        <v/>
      </c>
      <c r="F110" s="54">
        <f>F108-F106</f>
        <v/>
      </c>
      <c r="G110" s="54">
        <f>F110-E110</f>
        <v/>
      </c>
      <c r="H110" s="378">
        <f>IFERROR("DAR margin: "&amp;TEXT(F110/F52,"0.0%"),"")</f>
        <v/>
      </c>
    </row>
    <row r="111" ht="14.25" customHeight="1" s="410"/>
    <row r="112" ht="14.25" customHeight="1" s="410">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410">
      <c r="A113" s="56" t="inlineStr">
        <is>
          <t>EBITDA</t>
        </is>
      </c>
      <c r="B113" s="454" t="n"/>
      <c r="C113" s="454" t="n"/>
      <c r="D113" s="455" t="n"/>
      <c r="E113" s="57">
        <f>E110-E112</f>
        <v/>
      </c>
      <c r="F113" s="57">
        <f>F110-F112</f>
        <v/>
      </c>
      <c r="G113" s="57">
        <f>F113-E113</f>
        <v/>
      </c>
      <c r="H113" s="58" t="n"/>
    </row>
    <row r="114" ht="14.25" customHeight="1" s="410"/>
    <row r="115" ht="14.25" customHeight="1" s="410">
      <c r="A115" s="473" t="inlineStr">
        <is>
          <t>SECTION 4  ·  NOI &amp; CAP RATE ANALYSIS  —  ACQUISITION METRICS</t>
        </is>
      </c>
    </row>
    <row r="116" ht="14.25" customHeight="1" s="410">
      <c r="A116" s="9" t="inlineStr">
        <is>
          <t>Metric</t>
        </is>
      </c>
      <c r="B116" s="9" t="n"/>
      <c r="C116" s="9" t="n"/>
      <c r="D116" s="9" t="n"/>
      <c r="E116" s="9" t="inlineStr">
        <is>
          <t>T12 Actual</t>
        </is>
      </c>
      <c r="F116" s="21" t="inlineStr">
        <is>
          <t>Normalized</t>
        </is>
      </c>
      <c r="G116" s="9" t="n"/>
      <c r="H116" s="373" t="inlineStr">
        <is>
          <t>Notes</t>
        </is>
      </c>
    </row>
    <row r="117" ht="14.25" customHeight="1" s="410">
      <c r="A117" s="60" t="inlineStr">
        <is>
          <t>Purchase price  (input)</t>
        </is>
      </c>
      <c r="B117" s="13" t="n"/>
      <c r="C117" s="13" t="n"/>
      <c r="D117" s="13" t="n"/>
      <c r="E117" s="39" t="n"/>
      <c r="F117" s="23">
        <f>E117</f>
        <v/>
      </c>
      <c r="G117" s="13" t="n"/>
      <c r="H117" s="78" t="inlineStr">
        <is>
          <t>Total acquisition price including closing costs</t>
        </is>
      </c>
    </row>
    <row r="118" ht="14.25" customHeight="1" s="410">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410">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410">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410">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410"/>
    <row r="123" ht="14.25" customHeight="1" s="410">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410">
      <c r="A124" s="1" t="inlineStr">
        <is>
          <t>Price per AL bed</t>
        </is>
      </c>
      <c r="B124" s="13" t="n"/>
      <c r="C124" s="13" t="n"/>
      <c r="D124" s="13" t="n"/>
      <c r="E124" s="22">
        <f>IFERROR(E117/C6,"-")</f>
        <v/>
      </c>
      <c r="F124" s="23">
        <f>IFERROR(F117/C6,"-")</f>
        <v/>
      </c>
      <c r="G124" s="13" t="n"/>
      <c r="H124" s="78" t="inlineStr">
        <is>
          <t>Purchase price ÷ AL licensed beds</t>
        </is>
      </c>
    </row>
    <row r="125" ht="14.25" customHeight="1" s="410">
      <c r="A125" s="1" t="inlineStr">
        <is>
          <t>Price per MC bed</t>
        </is>
      </c>
      <c r="B125" s="13" t="n"/>
      <c r="C125" s="13" t="n"/>
      <c r="D125" s="13" t="n"/>
      <c r="E125" s="22">
        <f>IFERROR(E117/D6,"-")</f>
        <v/>
      </c>
      <c r="F125" s="23">
        <f>IFERROR(F117/D6,"-")</f>
        <v/>
      </c>
      <c r="G125" s="13" t="n"/>
      <c r="H125" s="78" t="inlineStr">
        <is>
          <t>Purchase price ÷ MC licensed beds</t>
        </is>
      </c>
    </row>
    <row r="126" ht="14.25" customHeight="1" s="410"/>
    <row r="127" ht="14.25" customHeight="1" s="410">
      <c r="A127" s="1" t="inlineStr">
        <is>
          <t>Gross revenue multiple  (GRM)</t>
        </is>
      </c>
      <c r="B127" s="13" t="n"/>
      <c r="C127" s="13" t="n"/>
      <c r="D127" s="13" t="n"/>
      <c r="E127" s="63">
        <f>IFERROR(E117/E52,"-")</f>
        <v/>
      </c>
      <c r="F127" s="64">
        <f>IFERROR(F117/F52,"-")</f>
        <v/>
      </c>
      <c r="G127" s="13" t="n"/>
      <c r="H127" s="78" t="inlineStr">
        <is>
          <t>Purchase price ÷ EGI</t>
        </is>
      </c>
    </row>
    <row r="128" ht="14.25" customHeight="1" s="410">
      <c r="A128" s="1" t="inlineStr">
        <is>
          <t>EBITDARM multiple</t>
        </is>
      </c>
      <c r="B128" s="13" t="n"/>
      <c r="C128" s="13" t="n"/>
      <c r="D128" s="13" t="n"/>
      <c r="E128" s="63">
        <f>IFERROR(E117/E108,"-")</f>
        <v/>
      </c>
      <c r="F128" s="64">
        <f>IFERROR(F117/F108,"-")</f>
        <v/>
      </c>
      <c r="G128" s="13" t="n"/>
      <c r="H128" s="78" t="inlineStr">
        <is>
          <t>Purchase price ÷ EBITDARM</t>
        </is>
      </c>
    </row>
    <row r="129" ht="14.25" customHeight="1" s="410"/>
    <row r="130" ht="14.25" customHeight="1" s="410">
      <c r="A130" s="473" t="inlineStr">
        <is>
          <t>SECTION 5  ·  KPI DASHBOARD  —  T12 ACTUAL vs. NORMALIZED</t>
        </is>
      </c>
    </row>
    <row r="131" ht="14.25" customHeight="1" s="410">
      <c r="A131" s="9" t="inlineStr">
        <is>
          <t>Key Performance Indicator</t>
        </is>
      </c>
      <c r="B131" s="9" t="n"/>
      <c r="C131" s="9" t="n"/>
      <c r="D131" s="9" t="n"/>
      <c r="E131" s="9" t="inlineStr">
        <is>
          <t>T12 Actual</t>
        </is>
      </c>
      <c r="F131" s="21" t="inlineStr">
        <is>
          <t>Normalized</t>
        </is>
      </c>
      <c r="G131" s="9" t="n"/>
      <c r="H131" s="373" t="inlineStr">
        <is>
          <t>Benchmark</t>
        </is>
      </c>
    </row>
    <row r="132" ht="14.25" customHeight="1" s="410">
      <c r="A132" s="452" t="inlineStr">
        <is>
          <t xml:space="preserve">  OCCUPANCY</t>
        </is>
      </c>
    </row>
    <row r="133" ht="14.25" customHeight="1" s="410">
      <c r="A133" s="65" t="inlineStr">
        <is>
          <t>Physical occupancy %  —  IL</t>
        </is>
      </c>
      <c r="B133" s="66" t="n"/>
      <c r="C133" s="66" t="n"/>
      <c r="D133" s="66" t="n"/>
      <c r="E133" s="67">
        <f>IFERROR(B7/B6,"-")</f>
        <v/>
      </c>
      <c r="F133" s="67">
        <f>IFERROR(B11/B6,"-")</f>
        <v/>
      </c>
      <c r="G133" s="66" t="n"/>
      <c r="H133" s="379" t="inlineStr">
        <is>
          <t>Target: 90%+ stabilized for IL</t>
        </is>
      </c>
    </row>
    <row r="134" ht="14.25" customHeight="1" s="410">
      <c r="A134" s="65" t="inlineStr">
        <is>
          <t>Physical occupancy %  —  AL</t>
        </is>
      </c>
      <c r="B134" s="66" t="n"/>
      <c r="C134" s="66" t="n"/>
      <c r="D134" s="66" t="n"/>
      <c r="E134" s="67">
        <f>IFERROR(C7/C6,"-")</f>
        <v/>
      </c>
      <c r="F134" s="67">
        <f>IFERROR(C11/C6,"-")</f>
        <v/>
      </c>
      <c r="G134" s="66" t="n"/>
      <c r="H134" s="379" t="inlineStr">
        <is>
          <t>Target: 87–92% stabilized for AL</t>
        </is>
      </c>
    </row>
    <row r="135" ht="14.25" customHeight="1" s="410">
      <c r="A135" s="65" t="inlineStr">
        <is>
          <t>Physical occupancy %  —  MC</t>
        </is>
      </c>
      <c r="B135" s="66" t="n"/>
      <c r="C135" s="66" t="n"/>
      <c r="D135" s="66" t="n"/>
      <c r="E135" s="67">
        <f>IFERROR(D7/D6,"-")</f>
        <v/>
      </c>
      <c r="F135" s="67">
        <f>IFERROR(D11/D6,"-")</f>
        <v/>
      </c>
      <c r="G135" s="66" t="n"/>
      <c r="H135" s="379" t="inlineStr">
        <is>
          <t>Target: 85–90% stabilized for MC</t>
        </is>
      </c>
    </row>
    <row r="136" ht="14.25" customHeight="1" s="410">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410">
      <c r="A137" s="452" t="inlineStr">
        <is>
          <t xml:space="preserve">  REVENUE PER UNIT / BED</t>
        </is>
      </c>
    </row>
    <row r="138" ht="14.25" customHeight="1" s="410">
      <c r="A138" s="65" t="inlineStr">
        <is>
          <t>ADR — IL  (avg daily rate, monthly)</t>
        </is>
      </c>
      <c r="B138" s="66" t="n"/>
      <c r="C138" s="66" t="n"/>
      <c r="D138" s="66" t="n"/>
      <c r="E138" s="69">
        <f>IFERROR(B16/(B7*12),"-")</f>
        <v/>
      </c>
      <c r="F138" s="69">
        <f>IFERROR(B20/(B11*12),"-")</f>
        <v/>
      </c>
      <c r="G138" s="66" t="n"/>
      <c r="H138" s="379" t="inlineStr">
        <is>
          <t>Avg monthly base rate per occupied IL unit</t>
        </is>
      </c>
    </row>
    <row r="139" ht="14.25" customHeight="1" s="410">
      <c r="A139" s="65" t="inlineStr">
        <is>
          <t>ADR — AL  (avg daily rate, monthly)</t>
        </is>
      </c>
      <c r="B139" s="66" t="n"/>
      <c r="C139" s="66" t="n"/>
      <c r="D139" s="66" t="n"/>
      <c r="E139" s="69">
        <f>IFERROR(C16/(C7*12),"-")</f>
        <v/>
      </c>
      <c r="F139" s="69">
        <f>IFERROR(C20/(C11*12),"-")</f>
        <v/>
      </c>
      <c r="G139" s="66" t="n"/>
      <c r="H139" s="379" t="inlineStr">
        <is>
          <t>Avg monthly base rate per occupied AL bed</t>
        </is>
      </c>
    </row>
    <row r="140" ht="14.25" customHeight="1" s="410">
      <c r="A140" s="65" t="inlineStr">
        <is>
          <t>ADR — MC  (avg daily rate, monthly)</t>
        </is>
      </c>
      <c r="B140" s="66" t="n"/>
      <c r="C140" s="66" t="n"/>
      <c r="D140" s="66" t="n"/>
      <c r="E140" s="69">
        <f>IFERROR(D16/(D7*12),"-")</f>
        <v/>
      </c>
      <c r="F140" s="69">
        <f>IFERROR(D20/(D11*12),"-")</f>
        <v/>
      </c>
      <c r="G140" s="66" t="n"/>
      <c r="H140" s="379" t="inlineStr">
        <is>
          <t>Avg monthly base rate per occupied MC bed</t>
        </is>
      </c>
    </row>
    <row r="141" ht="14.25" customHeight="1" s="410">
      <c r="A141" s="65" t="inlineStr">
        <is>
          <t>RevPOR — IL  (base + LOC / occ. unit / month)</t>
        </is>
      </c>
      <c r="B141" s="66" t="n"/>
      <c r="C141" s="66" t="n"/>
      <c r="D141" s="66" t="n"/>
      <c r="E141" s="69">
        <f>IFERROR((B16+B23)/(B7*12),"-")</f>
        <v/>
      </c>
      <c r="F141" s="69">
        <f>IFERROR((B20+B27)/(B11*12),"-")</f>
        <v/>
      </c>
      <c r="G141" s="66" t="n"/>
      <c r="H141" s="379" t="inlineStr">
        <is>
          <t>Total IL revenue per occupied unit per month</t>
        </is>
      </c>
    </row>
    <row r="142" ht="14.25" customHeight="1" s="410">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410">
      <c r="A143" s="65" t="inlineStr">
        <is>
          <t>RevPOR — MC  (base + LOC / occ. bed / month)</t>
        </is>
      </c>
      <c r="B143" s="66" t="n"/>
      <c r="C143" s="66" t="n"/>
      <c r="D143" s="66" t="n"/>
      <c r="E143" s="69">
        <f>IFERROR((D16+D23)/(D7*12),"-")</f>
        <v/>
      </c>
      <c r="F143" s="69">
        <f>IFERROR((D20+D27)/(D11*12),"-")</f>
        <v/>
      </c>
      <c r="G143" s="66" t="n"/>
      <c r="H143" s="379" t="inlineStr">
        <is>
          <t>Total MC revenue per occupied bed per month; typically highest</t>
        </is>
      </c>
    </row>
    <row r="144" ht="14.25" customHeight="1" s="410">
      <c r="A144" s="65" t="inlineStr">
        <is>
          <t>EGI per occupied bed / month</t>
        </is>
      </c>
      <c r="B144" s="66" t="n"/>
      <c r="C144" s="66" t="n"/>
      <c r="D144" s="66" t="n"/>
      <c r="E144" s="69">
        <f>IFERROR(E52/(E7*12),"-")</f>
        <v/>
      </c>
      <c r="F144" s="69">
        <f>IFERROR(F52/(E11*12),"-")</f>
        <v/>
      </c>
      <c r="G144" s="66" t="n"/>
      <c r="H144" s="379" t="inlineStr">
        <is>
          <t>Total EGI ÷ total occupied beds ÷ 12</t>
        </is>
      </c>
    </row>
    <row r="145" ht="14.25" customHeight="1" s="410">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410">
      <c r="A146" s="65" t="inlineStr">
        <is>
          <t>LOC revenue as % of base rent  (acuity indicator)</t>
        </is>
      </c>
      <c r="B146" s="66" t="n"/>
      <c r="C146" s="66" t="n"/>
      <c r="D146" s="66" t="n"/>
      <c r="E146" s="67">
        <f>IFERROR(E23/E16,"-")</f>
        <v/>
      </c>
      <c r="F146" s="67">
        <f>IFERROR(F27/F20,"-")</f>
        <v/>
      </c>
      <c r="G146" s="66" t="n"/>
      <c r="H146" s="379" t="inlineStr">
        <is>
          <t>Higher = higher acuity mix; validate vs. care level assessments</t>
        </is>
      </c>
    </row>
    <row r="147" ht="14.25" customHeight="1" s="410">
      <c r="A147" s="452" t="inlineStr">
        <is>
          <t xml:space="preserve">  LABOR METRICS</t>
        </is>
      </c>
    </row>
    <row r="148" ht="14.25" customHeight="1" s="410">
      <c r="A148" s="65" t="inlineStr">
        <is>
          <t>Total labor &amp; burden  (% EGI)</t>
        </is>
      </c>
      <c r="B148" s="66" t="n"/>
      <c r="C148" s="66" t="n"/>
      <c r="D148" s="66" t="n"/>
      <c r="E148" s="67">
        <f>IFERROR(E76/E52,"-")</f>
        <v/>
      </c>
      <c r="F148" s="67">
        <f>IFERROR(F76/F52,"-")</f>
        <v/>
      </c>
      <c r="G148" s="66" t="n"/>
      <c r="H148" s="379" t="inlineStr">
        <is>
          <t>Target: 55–65% of EGI; varies by acuity mix</t>
        </is>
      </c>
    </row>
    <row r="149" ht="14.25" customHeight="1" s="410">
      <c r="A149" s="65" t="inlineStr">
        <is>
          <t>Direct labor  (% EGI)</t>
        </is>
      </c>
      <c r="B149" s="66" t="n"/>
      <c r="C149" s="66" t="n"/>
      <c r="D149" s="66" t="n"/>
      <c r="E149" s="67">
        <f>IFERROR(E65/E52,"-")</f>
        <v/>
      </c>
      <c r="F149" s="67">
        <f>IFERROR(F65/F52,"-")</f>
        <v/>
      </c>
      <c r="G149" s="66" t="n"/>
      <c r="H149" s="379" t="inlineStr">
        <is>
          <t>Target: 45–55% of EGI</t>
        </is>
      </c>
    </row>
    <row r="150" ht="14.25" customHeight="1" s="410">
      <c r="A150" s="65" t="inlineStr">
        <is>
          <t>Overtime wages  (% of direct wages)</t>
        </is>
      </c>
      <c r="B150" s="66" t="n"/>
      <c r="C150" s="66" t="n"/>
      <c r="D150" s="66" t="n"/>
      <c r="E150" s="67">
        <f>IFERROR(E68/E65,"-")</f>
        <v/>
      </c>
      <c r="F150" s="67">
        <f>IFERROR(F68/F65,"-")</f>
        <v/>
      </c>
      <c r="G150" s="66" t="n"/>
      <c r="H150" s="379" t="inlineStr">
        <is>
          <t>Target: ≤5% of direct wages at stabilization</t>
        </is>
      </c>
    </row>
    <row r="151" ht="14.25" customHeight="1" s="410">
      <c r="A151" s="65" t="inlineStr">
        <is>
          <t>PTO wages  (% of direct wages)</t>
        </is>
      </c>
      <c r="B151" s="66" t="n"/>
      <c r="C151" s="66" t="n"/>
      <c r="D151" s="66" t="n"/>
      <c r="E151" s="67">
        <f>IFERROR(E69/E65,"-")</f>
        <v/>
      </c>
      <c r="F151" s="67">
        <f>IFERROR(F69/F65,"-")</f>
        <v/>
      </c>
      <c r="G151" s="66" t="n"/>
      <c r="H151" s="379" t="inlineStr">
        <is>
          <t>Steady-state: 4–6% of direct wages</t>
        </is>
      </c>
    </row>
    <row r="152" ht="14.25" customHeight="1" s="410">
      <c r="A152" s="65" t="inlineStr">
        <is>
          <t>Contract / agency labor  (% of direct labor)</t>
        </is>
      </c>
      <c r="B152" s="66" t="n"/>
      <c r="C152" s="66" t="n"/>
      <c r="D152" s="66" t="n"/>
      <c r="E152" s="67">
        <f>IFERROR(E59/E65,"-")</f>
        <v/>
      </c>
      <c r="F152" s="67">
        <f>IFERROR(F59/F65,"-")</f>
        <v/>
      </c>
      <c r="G152" s="66" t="n"/>
      <c r="H152" s="379" t="inlineStr">
        <is>
          <t>Target: ≤3% at stabilization; flag if elevated</t>
        </is>
      </c>
    </row>
    <row r="153" ht="14.25" customHeight="1" s="410">
      <c r="A153" s="452" t="inlineStr">
        <is>
          <t xml:space="preserve">  DINING METRICS</t>
        </is>
      </c>
    </row>
    <row r="154" ht="14.25" customHeight="1" s="410">
      <c r="A154" s="65" t="inlineStr">
        <is>
          <t>Food cost per patient day  (PPD)</t>
        </is>
      </c>
      <c r="B154" s="66" t="n"/>
      <c r="C154" s="66" t="n"/>
      <c r="D154" s="66" t="n"/>
      <c r="E154" s="69">
        <f>IFERROR(E79/(E7*365),"-")</f>
        <v/>
      </c>
      <c r="F154" s="69">
        <f>IFERROR(F79/(E11*365),"-")</f>
        <v/>
      </c>
      <c r="G154" s="66" t="n"/>
      <c r="H154" s="379" t="inlineStr">
        <is>
          <t>Benchmark: $8–12 PPD for AL; $10–14 for MC; $10–16 for IL</t>
        </is>
      </c>
    </row>
    <row r="155" ht="14.25" customHeight="1" s="410">
      <c r="A155" s="68" t="inlineStr">
        <is>
          <t>Food cost  (% EGI)</t>
        </is>
      </c>
      <c r="B155" s="13" t="n"/>
      <c r="C155" s="13" t="n"/>
      <c r="D155" s="13" t="n"/>
      <c r="E155" s="29">
        <f>IFERROR(E79/E52,"-")</f>
        <v/>
      </c>
      <c r="F155" s="29">
        <f>IFERROR(F79/F52,"-")</f>
        <v/>
      </c>
      <c r="G155" s="13" t="n"/>
      <c r="H155" s="78" t="inlineStr">
        <is>
          <t>Target: 6–9% of EGI</t>
        </is>
      </c>
    </row>
    <row r="156" ht="14.25" customHeight="1" s="410">
      <c r="A156" s="452" t="inlineStr">
        <is>
          <t xml:space="preserve">  FINANCIAL METRICS</t>
        </is>
      </c>
    </row>
    <row r="157" ht="14.25" customHeight="1" s="410">
      <c r="A157" s="65" t="inlineStr">
        <is>
          <t>Management fee  (% revenue)</t>
        </is>
      </c>
      <c r="B157" s="66" t="n"/>
      <c r="C157" s="66" t="n"/>
      <c r="D157" s="66" t="n"/>
      <c r="E157" s="67">
        <f>IFERROR(E106/E52,"-")</f>
        <v/>
      </c>
      <c r="F157" s="67">
        <f>IFERROR(F106/F52,"-")</f>
        <v/>
      </c>
      <c r="G157" s="66" t="n"/>
      <c r="H157" s="379" t="inlineStr">
        <is>
          <t>Industry range: 5–7% of revenue</t>
        </is>
      </c>
    </row>
    <row r="158" ht="14.25" customHeight="1" s="410">
      <c r="A158" s="65" t="inlineStr">
        <is>
          <t>Bad debt  (% gross revenue)</t>
        </is>
      </c>
      <c r="B158" s="66" t="n"/>
      <c r="C158" s="66" t="n"/>
      <c r="D158" s="66" t="n"/>
      <c r="E158" s="67">
        <f>IFERROR(E98/E52,"-")</f>
        <v/>
      </c>
      <c r="F158" s="67">
        <f>IFERROR(F98/F52,"-")</f>
        <v/>
      </c>
      <c r="G158" s="66" t="n"/>
      <c r="H158" s="379" t="inlineStr">
        <is>
          <t>Normalize to ≤2% at stabilization</t>
        </is>
      </c>
    </row>
    <row r="159" ht="14.25" customHeight="1" s="410">
      <c r="A159" s="65" t="inlineStr">
        <is>
          <t>P&amp;C insurance  (% EGI)</t>
        </is>
      </c>
      <c r="B159" s="66" t="n"/>
      <c r="C159" s="66" t="n"/>
      <c r="D159" s="66" t="n"/>
      <c r="E159" s="67">
        <f>IFERROR(E90/E52,"-")</f>
        <v/>
      </c>
      <c r="F159" s="67">
        <f>IFERROR(F90/F52,"-")</f>
        <v/>
      </c>
      <c r="G159" s="66" t="n"/>
      <c r="H159" s="379" t="inlineStr">
        <is>
          <t>Benchmark: 4–7% of EGI; confirm renewal pricing</t>
        </is>
      </c>
    </row>
    <row r="160" ht="14.25" customHeight="1" s="410">
      <c r="A160" s="65" t="inlineStr">
        <is>
          <t>OpEx per occupied bed / month  (excl. mgmt fee)</t>
        </is>
      </c>
      <c r="B160" s="66" t="n"/>
      <c r="C160" s="66" t="n"/>
      <c r="D160" s="66" t="n"/>
      <c r="E160" s="69">
        <f>IFERROR(E105/(E7*12),"-")</f>
        <v/>
      </c>
      <c r="F160" s="69">
        <f>IFERROR(F105/(E11*12),"-")</f>
        <v/>
      </c>
      <c r="G160" s="66" t="n"/>
      <c r="H160" s="379" t="inlineStr">
        <is>
          <t>All-in operating cost per occ. bed — track vs. market comps</t>
        </is>
      </c>
    </row>
    <row r="161" ht="14.25" customHeight="1" s="410">
      <c r="A161" s="65" t="inlineStr">
        <is>
          <t>EBITDARM  ($)</t>
        </is>
      </c>
      <c r="B161" s="66" t="n"/>
      <c r="C161" s="66" t="n"/>
      <c r="D161" s="66" t="n"/>
      <c r="E161" s="70">
        <f>E108</f>
        <v/>
      </c>
      <c r="F161" s="70">
        <f>F108</f>
        <v/>
      </c>
      <c r="G161" s="66" t="n"/>
      <c r="H161" s="379" t="inlineStr">
        <is>
          <t>Target: 20–30%+ for AL/MC; 25–35% for IL</t>
        </is>
      </c>
    </row>
    <row r="162" ht="14.25" customHeight="1" s="410">
      <c r="A162" s="65" t="inlineStr">
        <is>
          <t>EBITDARM margin  (%)</t>
        </is>
      </c>
      <c r="B162" s="66" t="n"/>
      <c r="C162" s="66" t="n"/>
      <c r="D162" s="66" t="n"/>
      <c r="E162" s="67">
        <f>IFERROR(E108/E52,"-")</f>
        <v/>
      </c>
      <c r="F162" s="67">
        <f>IFERROR(F108/F52,"-")</f>
        <v/>
      </c>
      <c r="G162" s="66" t="n"/>
      <c r="H162" s="379" t="inlineStr">
        <is>
          <t>Target: 20–30%+ for AL/MC; 25–35% for IL</t>
        </is>
      </c>
    </row>
    <row r="163" ht="14.25" customHeight="1" s="410">
      <c r="A163" s="65" t="inlineStr">
        <is>
          <t>EBITDAR  ($)  (after mgmt fee)</t>
        </is>
      </c>
      <c r="B163" s="66" t="n"/>
      <c r="C163" s="66" t="n"/>
      <c r="D163" s="66" t="n"/>
      <c r="E163" s="70">
        <f>E110</f>
        <v/>
      </c>
      <c r="F163" s="70">
        <f>F110</f>
        <v/>
      </c>
      <c r="G163" s="66" t="n"/>
      <c r="H163" s="379" t="inlineStr">
        <is>
          <t>Target: 15–25%+ (varies by mgmt fee structure)</t>
        </is>
      </c>
    </row>
    <row r="164" ht="14.25" customHeight="1" s="410">
      <c r="A164" s="65" t="inlineStr">
        <is>
          <t>EBITDAR margin  (%)</t>
        </is>
      </c>
      <c r="B164" s="66" t="n"/>
      <c r="C164" s="66" t="n"/>
      <c r="D164" s="66" t="n"/>
      <c r="E164" s="67">
        <f>IFERROR(E110/E52,"-")</f>
        <v/>
      </c>
      <c r="F164" s="67">
        <f>IFERROR(F110/F52,"-")</f>
        <v/>
      </c>
      <c r="G164" s="66" t="n"/>
      <c r="H164" s="379" t="inlineStr">
        <is>
          <t>Target: 15–25%+ (varies by mgmt fee structure)</t>
        </is>
      </c>
    </row>
    <row r="165" ht="14.25" customHeight="1" s="410"/>
    <row r="166" ht="14.25" customHeight="1" s="410">
      <c r="A166" s="470" t="inlineStr">
        <is>
          <t xml:space="preserve">  COLOR KEY:  Yellow = hardcoded input  |  Gray = formula  |  Amber = normalization flag / one-time  |  Blue/Green rows = totals &amp; NOI  |  Blue-gray = sub-totals</t>
        </is>
      </c>
    </row>
    <row r="168">
      <c r="A168" s="460" t="inlineStr">
        <is>
          <t>RR ↔ T12 — 2nd Person Revenue Reconciliation  (BL-0004)</t>
        </is>
      </c>
    </row>
    <row r="169" ht="25.5" customHeight="1" s="410">
      <c r="A169" s="459" t="inlineStr">
        <is>
          <t>Metric</t>
        </is>
      </c>
      <c r="B169" s="459" t="inlineStr">
        <is>
          <t>RR projection
(annual)</t>
        </is>
      </c>
      <c r="C169" s="459" t="inlineStr">
        <is>
          <t>T12 actual
(annual)</t>
        </is>
      </c>
      <c r="D169" s="459" t="inlineStr">
        <is>
          <t>Variance %</t>
        </is>
      </c>
      <c r="E169" s="459" t="inlineStr">
        <is>
          <t>Note</t>
        </is>
      </c>
      <c r="F169" s="454" t="n"/>
      <c r="G169" s="455" t="n"/>
    </row>
    <row r="170" ht="25.5" customHeight="1" s="410">
      <c r="A170" s="191" t="inlineStr">
        <is>
          <t>2P revenue
(Σ Rent Roll Input!V × 12  vs.  T12 Raw Data!R15)</t>
        </is>
      </c>
      <c r="B170" s="196">
        <f>SUM('Rent Roll Input'!$V$7:$V$606)*12</f>
        <v/>
      </c>
      <c r="C170" s="196">
        <f>IFERROR('T12 Raw Data'!$R$15,0)</f>
        <v/>
      </c>
      <c r="D170" s="200">
        <f>IFERROR((B170-C170)/C170,"")</f>
        <v/>
      </c>
      <c r="E170" s="456">
        <f>IF(NOT(ISNUMBER(D170)),"",IF(ABS(D170)&gt;0.1,"⚠ 2P revenue gap of "&amp;TEXT(D170,"0.0%")&amp;" — verify SP column matches operator's published 2P rate","✓ 2P revenue reconciles within "&amp;TEXT(0.1,"0%")&amp;" of T12"))</f>
        <v/>
      </c>
      <c r="F170" s="454" t="n"/>
      <c r="G170" s="455"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v0.2.14</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v0.2.14</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 width="11" customWidth="1" style="410" min="35" max="35"/>
    <col width="12" customWidth="1" style="410" min="36" max="36"/>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I4" s="497" t="inlineStr">
        <is>
          <t>Deposit</t>
        </is>
      </c>
      <c r="AJ4" s="487" t="inlineStr">
        <is>
          <t>Preleased
Date</t>
        </is>
      </c>
      <c r="AZ4" t="inlineStr">
        <is>
          <t>v0.2.14</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c r="AI7" s="498" t="n"/>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c r="AI8" s="498" t="n"/>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c r="AI9" s="498" t="n"/>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c r="AI10" s="498" t="n"/>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c r="AI11" s="498" t="n"/>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c r="AI12" s="498" t="n"/>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c r="AI13" s="498" t="n"/>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c r="AI14" s="498" t="n"/>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c r="AI15" s="498" t="n"/>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c r="AI16" s="498" t="n"/>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c r="AI17" s="498" t="n"/>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c r="AI18" s="498" t="n"/>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c r="AI19" s="498" t="n"/>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c r="AI20" s="498" t="n"/>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c r="AI21" s="498" t="n"/>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c r="AI22" s="498" t="n"/>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c r="AI23" s="498" t="n"/>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c r="AI24" s="498" t="n"/>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c r="AI25" s="498" t="n"/>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c r="AI26" s="498" t="n"/>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c r="AI27" s="498" t="n"/>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c r="AI28" s="498" t="n"/>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c r="AI29" s="498" t="n"/>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c r="AI30" s="498" t="n"/>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c r="AI31" s="498" t="n"/>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c r="AI32" s="498" t="n"/>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c r="AI33" s="498" t="n"/>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c r="AI34" s="498" t="n"/>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c r="AI35" s="498" t="n"/>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c r="AI36" s="498" t="n"/>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c r="AI37" s="498" t="n"/>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c r="AI38" s="498" t="n"/>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c r="AI39" s="498" t="n"/>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c r="AI40" s="498" t="n"/>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c r="AI41" s="498" t="n"/>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c r="AI42" s="498" t="n"/>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c r="AI43" s="498" t="n"/>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c r="AI44" s="498" t="n"/>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c r="AI45" s="498" t="n"/>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c r="AI46" s="498" t="n"/>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c r="AI47" s="498" t="n"/>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c r="AI48" s="498" t="n"/>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c r="AI49" s="498" t="n"/>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c r="AI50" s="498" t="n"/>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c r="AI51" s="498" t="n"/>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c r="AI52" s="498" t="n"/>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c r="AI53" s="498" t="n"/>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c r="AI54" s="498" t="n"/>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c r="AI55" s="498" t="n"/>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c r="AI56" s="498" t="n"/>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c r="AI57" s="498" t="n"/>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c r="AI58" s="498" t="n"/>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c r="AI59" s="498" t="n"/>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c r="AI60" s="498" t="n"/>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c r="AI61" s="498" t="n"/>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c r="AI62" s="498" t="n"/>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c r="AI63" s="498" t="n"/>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c r="AI64" s="498" t="n"/>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c r="AI65" s="498" t="n"/>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c r="AI66" s="498" t="n"/>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c r="AI67" s="498" t="n"/>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c r="AI68" s="498" t="n"/>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c r="AI69" s="498" t="n"/>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c r="AI70" s="498" t="n"/>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c r="AI71" s="498" t="n"/>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c r="AI72" s="498" t="n"/>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c r="AI73" s="498" t="n"/>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c r="AI74" s="498" t="n"/>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c r="AI75" s="498" t="n"/>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c r="AI76" s="498" t="n"/>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c r="AI77" s="498" t="n"/>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c r="AI78" s="498" t="n"/>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c r="AI79" s="498" t="n"/>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c r="AI80" s="498" t="n"/>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c r="AI81" s="498" t="n"/>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c r="AI82" s="498" t="n"/>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c r="AI83" s="498" t="n"/>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c r="AI84" s="498" t="n"/>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c r="AI85" s="498" t="n"/>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c r="AI86" s="498" t="n"/>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c r="AI87" s="498" t="n"/>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c r="AI88" s="498" t="n"/>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c r="AI89" s="498" t="n"/>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c r="AI90" s="498" t="n"/>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c r="AI91" s="498" t="n"/>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c r="AI92" s="498" t="n"/>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c r="AI93" s="498" t="n"/>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c r="AI94" s="498" t="n"/>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c r="AI95" s="498" t="n"/>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c r="AI96" s="498" t="n"/>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c r="AI97" s="498" t="n"/>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c r="AI98" s="498" t="n"/>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c r="AI99" s="498" t="n"/>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c r="AI100" s="498" t="n"/>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c r="AI101" s="498" t="n"/>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c r="AI102" s="498" t="n"/>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c r="AI103" s="498" t="n"/>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c r="AI104" s="498" t="n"/>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c r="AI105" s="498" t="n"/>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c r="AI106" s="498" t="n"/>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c r="AI107" s="498" t="n"/>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c r="AI108" s="498" t="n"/>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c r="AI109" s="498" t="n"/>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c r="AI110" s="498" t="n"/>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c r="AI111" s="498" t="n"/>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c r="AI112" s="498" t="n"/>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c r="AI113" s="498" t="n"/>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c r="AI114" s="498" t="n"/>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c r="AI115" s="498" t="n"/>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c r="AI116" s="498" t="n"/>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c r="AI117" s="498" t="n"/>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c r="AI118" s="498" t="n"/>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c r="AI119" s="498" t="n"/>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c r="AI120" s="498" t="n"/>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c r="AI121" s="498" t="n"/>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c r="AI122" s="498" t="n"/>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c r="AI123" s="498" t="n"/>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c r="AI124" s="498" t="n"/>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c r="AI125" s="498" t="n"/>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c r="AI126" s="498" t="n"/>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c r="AI127" s="498" t="n"/>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c r="AI128" s="498" t="n"/>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c r="AI129" s="498" t="n"/>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c r="AI130" s="498" t="n"/>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c r="AI131" s="498" t="n"/>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c r="AI132" s="498" t="n"/>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c r="AI133" s="498" t="n"/>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c r="AI134" s="498" t="n"/>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c r="AI135" s="498" t="n"/>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c r="AI136" s="498" t="n"/>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c r="AI137" s="498" t="n"/>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c r="AI138" s="498" t="n"/>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c r="AI139" s="498" t="n"/>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c r="AI140" s="498" t="n"/>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c r="AI141" s="498" t="n"/>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c r="AI142" s="498" t="n"/>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c r="AI143" s="498" t="n"/>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c r="AI144" s="498" t="n"/>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c r="AI145" s="498" t="n"/>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c r="AI146" s="498" t="n"/>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c r="AI147" s="498" t="n"/>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c r="AI148" s="498" t="n"/>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c r="AI149" s="498" t="n"/>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c r="AI150" s="498" t="n"/>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c r="AI151" s="498" t="n"/>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c r="AI152" s="498" t="n"/>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c r="AI153" s="498" t="n"/>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c r="AI154" s="498" t="n"/>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c r="AI155" s="498" t="n"/>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c r="AI156" s="498" t="n"/>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c r="AI157" s="498" t="n"/>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c r="AI158" s="498" t="n"/>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c r="AI159" s="498" t="n"/>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c r="AI160" s="498" t="n"/>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c r="AI161" s="498" t="n"/>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c r="AI162" s="498" t="n"/>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c r="AI163" s="498" t="n"/>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c r="AI164" s="498" t="n"/>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c r="AI165" s="498" t="n"/>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c r="AI166" s="498" t="n"/>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c r="AI167" s="498" t="n"/>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c r="AI168" s="498" t="n"/>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c r="AI169" s="498" t="n"/>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c r="AI170" s="498" t="n"/>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c r="AI171" s="498" t="n"/>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c r="AI172" s="498" t="n"/>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c r="AI173" s="498" t="n"/>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c r="AI174" s="498" t="n"/>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c r="AI175" s="498" t="n"/>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c r="AI176" s="498" t="n"/>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c r="AI177" s="498" t="n"/>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c r="AI178" s="498" t="n"/>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c r="AI179" s="498" t="n"/>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c r="AI180" s="498" t="n"/>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c r="AI181" s="498" t="n"/>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c r="AI182" s="498" t="n"/>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c r="AI183" s="498" t="n"/>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c r="AI184" s="498" t="n"/>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c r="AI185" s="498" t="n"/>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c r="AI186" s="498" t="n"/>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c r="AI187" s="498" t="n"/>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c r="AI188" s="498" t="n"/>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c r="AI189" s="498" t="n"/>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c r="AI190" s="498" t="n"/>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c r="AI191" s="498" t="n"/>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c r="AI192" s="498" t="n"/>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c r="AI193" s="498" t="n"/>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c r="AI194" s="498" t="n"/>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c r="AI195" s="498" t="n"/>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c r="AI196" s="498" t="n"/>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c r="AI197" s="498" t="n"/>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c r="AI198" s="498" t="n"/>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c r="AI199" s="498" t="n"/>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c r="AI200" s="498" t="n"/>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c r="AI201" s="498" t="n"/>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c r="AI202" s="498" t="n"/>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c r="AI203" s="498" t="n"/>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c r="AI204" s="498" t="n"/>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c r="AI205" s="498" t="n"/>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c r="AI206" s="498" t="n"/>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c r="AI207" s="498" t="n"/>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c r="AI208" s="498" t="n"/>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c r="AI209" s="498" t="n"/>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c r="AI210" s="498" t="n"/>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c r="AI211" s="498" t="n"/>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c r="AI212" s="498" t="n"/>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c r="AI213" s="498" t="n"/>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c r="AI214" s="498" t="n"/>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c r="AI215" s="498" t="n"/>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c r="AI216" s="498" t="n"/>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c r="AI217" s="498" t="n"/>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c r="AI218" s="498" t="n"/>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c r="AI219" s="498" t="n"/>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c r="AI220" s="498" t="n"/>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c r="AI221" s="498" t="n"/>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c r="AI222" s="498" t="n"/>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c r="AI223" s="498" t="n"/>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c r="AI224" s="498" t="n"/>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c r="AI225" s="498" t="n"/>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c r="AI226" s="498" t="n"/>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c r="AI227" s="498" t="n"/>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c r="AI228" s="498" t="n"/>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c r="AI229" s="498" t="n"/>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c r="AI230" s="498" t="n"/>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c r="AI231" s="498" t="n"/>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c r="AI232" s="498" t="n"/>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c r="AI233" s="498" t="n"/>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c r="AI234" s="498" t="n"/>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c r="AI235" s="498" t="n"/>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c r="AI236" s="498" t="n"/>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c r="AI237" s="498" t="n"/>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c r="AI238" s="498" t="n"/>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c r="AI239" s="498" t="n"/>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c r="AI240" s="498" t="n"/>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c r="AI241" s="498" t="n"/>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c r="AI242" s="498" t="n"/>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c r="AI243" s="498" t="n"/>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c r="AI244" s="498" t="n"/>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c r="AI245" s="498" t="n"/>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c r="AI246" s="498" t="n"/>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c r="AI247" s="498" t="n"/>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c r="AI248" s="498" t="n"/>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c r="AI249" s="498" t="n"/>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c r="AI250" s="498" t="n"/>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c r="AI251" s="498" t="n"/>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c r="AI252" s="498" t="n"/>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c r="AI253" s="498" t="n"/>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c r="AI254" s="498" t="n"/>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c r="AI255" s="498" t="n"/>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c r="AI256" s="498" t="n"/>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c r="AI257" s="498" t="n"/>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c r="AI258" s="498" t="n"/>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c r="AI259" s="498" t="n"/>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c r="AI260" s="498" t="n"/>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c r="AI261" s="498" t="n"/>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c r="AI262" s="498" t="n"/>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c r="AI263" s="498" t="n"/>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c r="AI264" s="498" t="n"/>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c r="AI265" s="498" t="n"/>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c r="AI266" s="498" t="n"/>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c r="AI267" s="498" t="n"/>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c r="AI268" s="498" t="n"/>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c r="AI269" s="498" t="n"/>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c r="AI270" s="498" t="n"/>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c r="AI271" s="498" t="n"/>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c r="AI272" s="498" t="n"/>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c r="AI273" s="498" t="n"/>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c r="AI274" s="498" t="n"/>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c r="AI275" s="498" t="n"/>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c r="AI276" s="498" t="n"/>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c r="AI277" s="498" t="n"/>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c r="AI278" s="498" t="n"/>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c r="AI279" s="498" t="n"/>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c r="AI280" s="498" t="n"/>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c r="AI281" s="498" t="n"/>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c r="AI282" s="498" t="n"/>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c r="AI283" s="498" t="n"/>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c r="AI284" s="498" t="n"/>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c r="AI285" s="498" t="n"/>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c r="AI286" s="498" t="n"/>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c r="AI287" s="498" t="n"/>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c r="AI288" s="498" t="n"/>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c r="AI289" s="498" t="n"/>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c r="AI290" s="498" t="n"/>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c r="AI291" s="498" t="n"/>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c r="AI292" s="498" t="n"/>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c r="AI293" s="498" t="n"/>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c r="AI294" s="498" t="n"/>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c r="AI295" s="498" t="n"/>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c r="AI296" s="498" t="n"/>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c r="AI297" s="498" t="n"/>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c r="AI298" s="498" t="n"/>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c r="AI299" s="498" t="n"/>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c r="AI300" s="498" t="n"/>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c r="AI301" s="498" t="n"/>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c r="AI302" s="498" t="n"/>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c r="AI303" s="498" t="n"/>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c r="AI304" s="498" t="n"/>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c r="AI305" s="498" t="n"/>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c r="AI306" s="498" t="n"/>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c r="AI307" s="498" t="n"/>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c r="AI308" s="498" t="n"/>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c r="AI309" s="498" t="n"/>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c r="AI310" s="498" t="n"/>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c r="AI311" s="498" t="n"/>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c r="AI312" s="498" t="n"/>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c r="AI313" s="498" t="n"/>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c r="AI314" s="498" t="n"/>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c r="AI315" s="498" t="n"/>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c r="AI316" s="498" t="n"/>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c r="AI317" s="498" t="n"/>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c r="AI318" s="498" t="n"/>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c r="AI319" s="498" t="n"/>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c r="AI320" s="498" t="n"/>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c r="AI321" s="498" t="n"/>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c r="AI322" s="498" t="n"/>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c r="AI323" s="498" t="n"/>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c r="AI324" s="498" t="n"/>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c r="AI325" s="498" t="n"/>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c r="AI326" s="498" t="n"/>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c r="AI327" s="498" t="n"/>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c r="AI328" s="498" t="n"/>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c r="AI329" s="498" t="n"/>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c r="AI330" s="498" t="n"/>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c r="AI331" s="498" t="n"/>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c r="AI332" s="498" t="n"/>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c r="AI333" s="498" t="n"/>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c r="AI334" s="498" t="n"/>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c r="AI335" s="498" t="n"/>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c r="AI336" s="498" t="n"/>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c r="AI337" s="498" t="n"/>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c r="AI338" s="498" t="n"/>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c r="AI339" s="498" t="n"/>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c r="AI340" s="498" t="n"/>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c r="AI341" s="498" t="n"/>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c r="AI342" s="498" t="n"/>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c r="AI343" s="498" t="n"/>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c r="AI344" s="498" t="n"/>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c r="AI345" s="498" t="n"/>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c r="AI346" s="498" t="n"/>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c r="AI347" s="498" t="n"/>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c r="AI348" s="498" t="n"/>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c r="AI349" s="498" t="n"/>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c r="AI350" s="498" t="n"/>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c r="AI351" s="498" t="n"/>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c r="AI352" s="498" t="n"/>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c r="AI353" s="498" t="n"/>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c r="AI354" s="498" t="n"/>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c r="AI355" s="498" t="n"/>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c r="AI356" s="498" t="n"/>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c r="AI357" s="498" t="n"/>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c r="AI358" s="498" t="n"/>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c r="AI359" s="498" t="n"/>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c r="AI360" s="498" t="n"/>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c r="AI361" s="498" t="n"/>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c r="AI362" s="498" t="n"/>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c r="AI363" s="498" t="n"/>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c r="AI364" s="498" t="n"/>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c r="AI365" s="498" t="n"/>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c r="AI366" s="498" t="n"/>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c r="AI367" s="498" t="n"/>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c r="AI368" s="498" t="n"/>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c r="AI369" s="498" t="n"/>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c r="AI370" s="498" t="n"/>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c r="AI371" s="498" t="n"/>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c r="AI372" s="498" t="n"/>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c r="AI373" s="498" t="n"/>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c r="AI374" s="498" t="n"/>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c r="AI375" s="498" t="n"/>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c r="AI376" s="498" t="n"/>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c r="AI377" s="498" t="n"/>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c r="AI378" s="498" t="n"/>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c r="AI379" s="498" t="n"/>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c r="AI380" s="498" t="n"/>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c r="AI381" s="498" t="n"/>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c r="AI382" s="498" t="n"/>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c r="AI383" s="498" t="n"/>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c r="AI384" s="498" t="n"/>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c r="AI385" s="498" t="n"/>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c r="AI386" s="498" t="n"/>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c r="AI387" s="498" t="n"/>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c r="AI388" s="498" t="n"/>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c r="AI389" s="498" t="n"/>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c r="AI390" s="498" t="n"/>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c r="AI391" s="498" t="n"/>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c r="AI392" s="498" t="n"/>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c r="AI393" s="498" t="n"/>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c r="AI394" s="498" t="n"/>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c r="AI395" s="498" t="n"/>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c r="AI396" s="498" t="n"/>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c r="AI397" s="498" t="n"/>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c r="AI398" s="498" t="n"/>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c r="AI399" s="498" t="n"/>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c r="AI400" s="498" t="n"/>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c r="AI401" s="498" t="n"/>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c r="AI402" s="498" t="n"/>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c r="AI403" s="498" t="n"/>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c r="AI404" s="498" t="n"/>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c r="AI405" s="498" t="n"/>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c r="AI406" s="498" t="n"/>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c r="AI407" s="498" t="n"/>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c r="AI408" s="498" t="n"/>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c r="AI409" s="498" t="n"/>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c r="AI410" s="498" t="n"/>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c r="AI411" s="498" t="n"/>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c r="AI412" s="498" t="n"/>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c r="AI413" s="498" t="n"/>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c r="AI414" s="498" t="n"/>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c r="AI415" s="498" t="n"/>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c r="AI416" s="498" t="n"/>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c r="AI417" s="498" t="n"/>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c r="AI418" s="498" t="n"/>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c r="AI419" s="498" t="n"/>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c r="AI420" s="498" t="n"/>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c r="AI421" s="498" t="n"/>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c r="AI422" s="498" t="n"/>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c r="AI423" s="498" t="n"/>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c r="AI424" s="498" t="n"/>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c r="AI425" s="498" t="n"/>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c r="AI426" s="498" t="n"/>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c r="AI427" s="498" t="n"/>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c r="AI428" s="498" t="n"/>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c r="AI429" s="498" t="n"/>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c r="AI430" s="498" t="n"/>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c r="AI431" s="498" t="n"/>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c r="AI432" s="498" t="n"/>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c r="AI433" s="498" t="n"/>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c r="AI434" s="498" t="n"/>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c r="AI435" s="498" t="n"/>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c r="AI436" s="498" t="n"/>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c r="AI437" s="498" t="n"/>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c r="AI438" s="498" t="n"/>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c r="AI439" s="498" t="n"/>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c r="AI440" s="498" t="n"/>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c r="AI441" s="498" t="n"/>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c r="AI442" s="498" t="n"/>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c r="AI443" s="498" t="n"/>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c r="AI444" s="498" t="n"/>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c r="AI445" s="498" t="n"/>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c r="AI446" s="498" t="n"/>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c r="AI447" s="498" t="n"/>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c r="AI448" s="498" t="n"/>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c r="AI449" s="498" t="n"/>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c r="AI450" s="498" t="n"/>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c r="AI451" s="498" t="n"/>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c r="AI452" s="498" t="n"/>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c r="AI453" s="498" t="n"/>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c r="AI454" s="498" t="n"/>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c r="AI455" s="498" t="n"/>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c r="AI456" s="498" t="n"/>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c r="AI457" s="498" t="n"/>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c r="AI458" s="498" t="n"/>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c r="AI459" s="498" t="n"/>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c r="AI460" s="498" t="n"/>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c r="AI461" s="498" t="n"/>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c r="AI462" s="498" t="n"/>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c r="AI463" s="498" t="n"/>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c r="AI464" s="498" t="n"/>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c r="AI465" s="498" t="n"/>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c r="AI466" s="498" t="n"/>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c r="AI467" s="498" t="n"/>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c r="AI468" s="498" t="n"/>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c r="AI469" s="498" t="n"/>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c r="AI470" s="498" t="n"/>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c r="AI471" s="498" t="n"/>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c r="AI472" s="498" t="n"/>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c r="AI473" s="498" t="n"/>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c r="AI474" s="498" t="n"/>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c r="AI475" s="498" t="n"/>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c r="AI476" s="498" t="n"/>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c r="AI477" s="498" t="n"/>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c r="AI478" s="498" t="n"/>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c r="AI479" s="498" t="n"/>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c r="AI480" s="498" t="n"/>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c r="AI481" s="498" t="n"/>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c r="AI482" s="498" t="n"/>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c r="AI483" s="498" t="n"/>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c r="AI484" s="498" t="n"/>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c r="AI485" s="498" t="n"/>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c r="AI486" s="498" t="n"/>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c r="AI487" s="498" t="n"/>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c r="AI488" s="498" t="n"/>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c r="AI489" s="498" t="n"/>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c r="AI490" s="498" t="n"/>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c r="AI491" s="498" t="n"/>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c r="AI492" s="498" t="n"/>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c r="AI493" s="498" t="n"/>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c r="AI494" s="498" t="n"/>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c r="AI495" s="498" t="n"/>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c r="AI496" s="498" t="n"/>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c r="AI497" s="498" t="n"/>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c r="AI498" s="498" t="n"/>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c r="AI499" s="498" t="n"/>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c r="AI500" s="498" t="n"/>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c r="AI501" s="498" t="n"/>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c r="AI502" s="498" t="n"/>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c r="AI503" s="498" t="n"/>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c r="AI504" s="498" t="n"/>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c r="AI505" s="498" t="n"/>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c r="AI506" s="498" t="n"/>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c r="AI507" s="498" t="n"/>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c r="AI508" s="498" t="n"/>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c r="AI509" s="498" t="n"/>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c r="AI510" s="498" t="n"/>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c r="AI511" s="498" t="n"/>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c r="AI512" s="498" t="n"/>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c r="AI513" s="498" t="n"/>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c r="AI514" s="498" t="n"/>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c r="AI515" s="498" t="n"/>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c r="AI516" s="498" t="n"/>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c r="AI517" s="498" t="n"/>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c r="AI518" s="498" t="n"/>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c r="AI519" s="498" t="n"/>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c r="AI520" s="498" t="n"/>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c r="AI521" s="498" t="n"/>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c r="AI522" s="498" t="n"/>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c r="AI523" s="498" t="n"/>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c r="AI524" s="498" t="n"/>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c r="AI525" s="498" t="n"/>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c r="AI526" s="498" t="n"/>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c r="AI527" s="498" t="n"/>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c r="AI528" s="498" t="n"/>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c r="AI529" s="498" t="n"/>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c r="AI530" s="498" t="n"/>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c r="AI531" s="498" t="n"/>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c r="AI532" s="498" t="n"/>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c r="AI533" s="498" t="n"/>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c r="AI534" s="498" t="n"/>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c r="AI535" s="498" t="n"/>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c r="AI536" s="498" t="n"/>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c r="AI537" s="498" t="n"/>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c r="AI538" s="498" t="n"/>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c r="AI539" s="498" t="n"/>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c r="AI540" s="498" t="n"/>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c r="AI541" s="498" t="n"/>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c r="AI542" s="498" t="n"/>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c r="AI543" s="498" t="n"/>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c r="AI544" s="498" t="n"/>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c r="AI545" s="498" t="n"/>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c r="AI546" s="498" t="n"/>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c r="AI547" s="498" t="n"/>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c r="AI548" s="498" t="n"/>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c r="AI549" s="498" t="n"/>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c r="AI550" s="498" t="n"/>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c r="AI551" s="498" t="n"/>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c r="AI552" s="498" t="n"/>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c r="AI553" s="498" t="n"/>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c r="AI554" s="498" t="n"/>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c r="AI555" s="498" t="n"/>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c r="AI556" s="498" t="n"/>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c r="AI557" s="498" t="n"/>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c r="AI558" s="498" t="n"/>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c r="AI559" s="498" t="n"/>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c r="AI560" s="498" t="n"/>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c r="AI561" s="498" t="n"/>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c r="AI562" s="498" t="n"/>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c r="AI563" s="498" t="n"/>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c r="AI564" s="498" t="n"/>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c r="AI565" s="498" t="n"/>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c r="AI566" s="498" t="n"/>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c r="AI567" s="498" t="n"/>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c r="AI568" s="498" t="n"/>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c r="AI569" s="498" t="n"/>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c r="AI570" s="498" t="n"/>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c r="AI571" s="498" t="n"/>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c r="AI572" s="498" t="n"/>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c r="AI573" s="498" t="n"/>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c r="AI574" s="498" t="n"/>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c r="AI575" s="498" t="n"/>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c r="AI576" s="498" t="n"/>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c r="AI577" s="498" t="n"/>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c r="AI578" s="498" t="n"/>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c r="AI579" s="498" t="n"/>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c r="AI580" s="498" t="n"/>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c r="AI581" s="498" t="n"/>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c r="AI582" s="498" t="n"/>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c r="AI583" s="498" t="n"/>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c r="AI584" s="498" t="n"/>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c r="AI585" s="498" t="n"/>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c r="AI586" s="498" t="n"/>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c r="AI587" s="498" t="n"/>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c r="AI588" s="498" t="n"/>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c r="AI589" s="498" t="n"/>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c r="AI590" s="498" t="n"/>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c r="AI591" s="498" t="n"/>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c r="AI592" s="498" t="n"/>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c r="AI593" s="498" t="n"/>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c r="AI594" s="498" t="n"/>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c r="AI595" s="498" t="n"/>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c r="AI596" s="498" t="n"/>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c r="AI597" s="498" t="n"/>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c r="AI598" s="498" t="n"/>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c r="AI599" s="498" t="n"/>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c r="AI600" s="498" t="n"/>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c r="AI601" s="498" t="n"/>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c r="AI602" s="498" t="n"/>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c r="AI603" s="498" t="n"/>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c r="AI604" s="498" t="n"/>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c r="AI605" s="498" t="n"/>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c r="AI606" s="498" t="n"/>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"Occupied,Vacant,Notice,Eviction,Preleased"</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98"/>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v0.2.14</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10">
      <c r="A119" s="479" t="inlineStr">
        <is>
          <t>M  ·  OPERATOR FEE SCHEDULE  &amp;  ANCILLARY RECONCILIATION</t>
        </is>
      </c>
    </row>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74">
        <f>IF(B174 &gt; 0.15, "⚠ Misc. income is " &amp; TEXT(B174, "0.0%") &amp; " of EGI — ancillary mix concentrated in shared bucket. " &amp; "Expand RR Input per-fee columns (see UW-BACKLOG BL-0003) to break out.", IF(B173 = 0, "", "✓ Misc. income share within band (≤ " &amp; TEXT(0.15, "0%") &amp; " of EGI)."))</f>
        <v/>
      </c>
    </row>
    <row r="178">
      <c r="A178" s="488" t="inlineStr">
        <is>
          <t>N  ·  EXPOSURE  (forward-looking move-out risk)</t>
        </is>
      </c>
    </row>
    <row r="180">
      <c r="A180" s="460" t="inlineStr">
        <is>
          <t>N1  —  Point-in-time exposure  (as of selected period)</t>
        </is>
      </c>
    </row>
    <row r="181">
      <c r="A181" s="489" t="inlineStr">
        <is>
          <t>Metric</t>
        </is>
      </c>
      <c r="B181" s="490" t="inlineStr">
        <is>
          <t>IL</t>
        </is>
      </c>
      <c r="C181" s="490" t="inlineStr">
        <is>
          <t>AL</t>
        </is>
      </c>
      <c r="D181" s="490" t="inlineStr">
        <is>
          <t>MC</t>
        </is>
      </c>
      <c r="E181" s="490" t="inlineStr">
        <is>
          <t>Total</t>
        </is>
      </c>
      <c r="H181" s="490" t="inlineStr">
        <is>
          <t>Flag / Note</t>
        </is>
      </c>
    </row>
    <row r="182">
      <c r="A182" s="491" t="inlineStr">
        <is>
          <t>Occupied</t>
        </is>
      </c>
      <c r="B182" s="492">
        <f>COUNTIFS('Rent Roll Input'!$S$7:$S$606,'Rent Roll Recon'!$B$2,'Rent Roll Input'!$D$7:$D$606,"IL",'Rent Roll Input'!$E$7:$E$606,"Occupied")</f>
        <v/>
      </c>
      <c r="C182" s="492">
        <f>COUNTIFS('Rent Roll Input'!$S$7:$S$606,'Rent Roll Recon'!$B$2,'Rent Roll Input'!$D$7:$D$606,"AL",'Rent Roll Input'!$E$7:$E$606,"Occupied")</f>
        <v/>
      </c>
      <c r="D182" s="492">
        <f>COUNTIFS('Rent Roll Input'!$S$7:$S$606,'Rent Roll Recon'!$B$2,'Rent Roll Input'!$D$7:$D$606,"MC",'Rent Roll Input'!$E$7:$E$606,"Occupied")</f>
        <v/>
      </c>
      <c r="E182" s="493">
        <f>SUM(B182:D182)</f>
        <v/>
      </c>
    </row>
    <row r="183">
      <c r="A183" s="491" t="inlineStr">
        <is>
          <t>On notice</t>
        </is>
      </c>
      <c r="B183" s="492">
        <f>COUNTIFS('Rent Roll Input'!$S$7:$S$606,'Rent Roll Recon'!$B$2,'Rent Roll Input'!$D$7:$D$606,"IL",'Rent Roll Input'!$E$7:$E$606,"Notice")</f>
        <v/>
      </c>
      <c r="C183" s="492">
        <f>COUNTIFS('Rent Roll Input'!$S$7:$S$606,'Rent Roll Recon'!$B$2,'Rent Roll Input'!$D$7:$D$606,"AL",'Rent Roll Input'!$E$7:$E$606,"Notice")</f>
        <v/>
      </c>
      <c r="D183" s="492">
        <f>COUNTIFS('Rent Roll Input'!$S$7:$S$606,'Rent Roll Recon'!$B$2,'Rent Roll Input'!$D$7:$D$606,"MC",'Rent Roll Input'!$E$7:$E$606,"Notice")</f>
        <v/>
      </c>
      <c r="E183" s="493">
        <f>SUM(B183:D183)</f>
        <v/>
      </c>
    </row>
    <row r="184">
      <c r="A184" s="491" t="inlineStr">
        <is>
          <t>Vacant</t>
        </is>
      </c>
      <c r="B184" s="492">
        <f>COUNTIFS('Rent Roll Input'!$S$7:$S$606,'Rent Roll Recon'!$B$2,'Rent Roll Input'!$D$7:$D$606,"IL",'Rent Roll Input'!$E$7:$E$606,"Vacant")</f>
        <v/>
      </c>
      <c r="C184" s="492">
        <f>COUNTIFS('Rent Roll Input'!$S$7:$S$606,'Rent Roll Recon'!$B$2,'Rent Roll Input'!$D$7:$D$606,"AL",'Rent Roll Input'!$E$7:$E$606,"Vacant")</f>
        <v/>
      </c>
      <c r="D184" s="492">
        <f>COUNTIFS('Rent Roll Input'!$S$7:$S$606,'Rent Roll Recon'!$B$2,'Rent Roll Input'!$D$7:$D$606,"MC",'Rent Roll Input'!$E$7:$E$606,"Vacant")</f>
        <v/>
      </c>
      <c r="E184" s="493">
        <f>SUM(B184:D184)</f>
        <v/>
      </c>
      <c r="H184" s="494" t="inlineStr">
        <is>
          <t>Excl. Vacant w/ Prelease (counted on row 185)</t>
        </is>
      </c>
    </row>
    <row r="185">
      <c r="A185" s="491" t="inlineStr">
        <is>
          <t>Preleased</t>
        </is>
      </c>
      <c r="B185" s="492">
        <f>COUNTIFS('Rent Roll Input'!$S$7:$S$606,'Rent Roll Recon'!$B$2,'Rent Roll Input'!$D$7:$D$606,"IL",'Rent Roll Input'!$E$7:$E$606,"Preleased")</f>
        <v/>
      </c>
      <c r="C185" s="492">
        <f>COUNTIFS('Rent Roll Input'!$S$7:$S$606,'Rent Roll Recon'!$B$2,'Rent Roll Input'!$D$7:$D$606,"AL",'Rent Roll Input'!$E$7:$E$606,"Preleased")</f>
        <v/>
      </c>
      <c r="D185" s="492">
        <f>COUNTIFS('Rent Roll Input'!$S$7:$S$606,'Rent Roll Recon'!$B$2,'Rent Roll Input'!$D$7:$D$606,"MC",'Rent Roll Input'!$E$7:$E$606,"Preleased")</f>
        <v/>
      </c>
      <c r="E185" s="493">
        <f>SUM(B185:D185)</f>
        <v/>
      </c>
      <c r="H185" s="494" t="inlineStr">
        <is>
          <t>Vacant w/ signed prelease — offsets gross exposure</t>
        </is>
      </c>
    </row>
    <row r="186">
      <c r="A186" s="491" t="inlineStr">
        <is>
          <t>Total beds</t>
        </is>
      </c>
      <c r="B186" s="492">
        <f>COUNTIFS('Rent Roll Input'!$S$7:$S$606,'Rent Roll Recon'!$B$2,'Rent Roll Input'!$A$7:$A$606,"&lt;&gt;",'Rent Roll Input'!$D$7:$D$606,"IL")</f>
        <v/>
      </c>
      <c r="C186" s="492">
        <f>COUNTIFS('Rent Roll Input'!$S$7:$S$606,'Rent Roll Recon'!$B$2,'Rent Roll Input'!$A$7:$A$606,"&lt;&gt;",'Rent Roll Input'!$D$7:$D$606,"AL")</f>
        <v/>
      </c>
      <c r="D186" s="492">
        <f>COUNTIFS('Rent Roll Input'!$S$7:$S$606,'Rent Roll Recon'!$B$2,'Rent Roll Input'!$A$7:$A$606,"&lt;&gt;",'Rent Roll Input'!$D$7:$D$606,"MC")</f>
        <v/>
      </c>
      <c r="E186" s="493">
        <f>SUM(B186:D186)</f>
        <v/>
      </c>
    </row>
    <row r="187">
      <c r="A187" s="491" t="inlineStr">
        <is>
          <t>Gross exposure (Notice + Vacant)</t>
        </is>
      </c>
      <c r="B187" s="492">
        <f>B183+B184</f>
        <v/>
      </c>
      <c r="C187" s="492">
        <f>C183+C184</f>
        <v/>
      </c>
      <c r="D187" s="492">
        <f>D183+D184</f>
        <v/>
      </c>
      <c r="E187" s="493">
        <f>SUM(B187:D187)</f>
        <v/>
      </c>
      <c r="H187" s="494" t="inlineStr">
        <is>
          <t>Includes only currently-empty + leaving units</t>
        </is>
      </c>
    </row>
    <row r="188">
      <c r="A188" s="491" t="inlineStr">
        <is>
          <t>Net exposure (Notice + Vacant − Preleased)</t>
        </is>
      </c>
      <c r="B188" s="492">
        <f>B187-B185</f>
        <v/>
      </c>
      <c r="C188" s="492">
        <f>C187-C185</f>
        <v/>
      </c>
      <c r="D188" s="492">
        <f>D187-D185</f>
        <v/>
      </c>
      <c r="E188" s="493">
        <f>SUM(B188:D188)</f>
        <v/>
      </c>
      <c r="H188" s="494" t="inlineStr">
        <is>
          <t>Subtracts preleased units already lined up to fill</t>
        </is>
      </c>
    </row>
    <row r="189">
      <c r="A189" s="491" t="inlineStr">
        <is>
          <t>Net exposure %</t>
        </is>
      </c>
      <c r="B189" s="495">
        <f>IFERROR(B188/B186,"-")</f>
        <v/>
      </c>
      <c r="C189" s="495">
        <f>IFERROR(C188/C186,"-")</f>
        <v/>
      </c>
      <c r="D189" s="495">
        <f>IFERROR(D188/D186,"-")</f>
        <v/>
      </c>
      <c r="E189" s="496">
        <f>IFERROR(E188/E186,"-")</f>
        <v/>
      </c>
      <c r="H189" s="494" t="inlineStr">
        <is>
          <t>Net exposure ÷ Total beds</t>
        </is>
      </c>
    </row>
    <row r="191">
      <c r="A191" s="460" t="inlineStr">
        <is>
          <t>N2  —  Forward NTV departures by move-out date  (Notice rows only, relative to period)</t>
        </is>
      </c>
    </row>
    <row r="192">
      <c r="A192" s="489" t="inlineStr">
        <is>
          <t>Window</t>
        </is>
      </c>
      <c r="B192" s="490" t="inlineStr">
        <is>
          <t>IL</t>
        </is>
      </c>
      <c r="C192" s="490" t="inlineStr">
        <is>
          <t>AL</t>
        </is>
      </c>
      <c r="D192" s="490" t="inlineStr">
        <is>
          <t>MC</t>
        </is>
      </c>
      <c r="E192" s="490" t="inlineStr">
        <is>
          <t>Total</t>
        </is>
      </c>
      <c r="H192" s="490" t="inlineStr">
        <is>
          <t>Flag / Note</t>
        </is>
      </c>
    </row>
    <row r="193">
      <c r="A193" s="491" t="inlineStr">
        <is>
          <t>≤ 30 days</t>
        </is>
      </c>
      <c r="B193" s="492">
        <f>COUNTIFS('Rent Roll Input'!$S$7:$S$606,'Rent Roll Recon'!$B$2,'Rent Roll Input'!$D$7:$D$606,"IL",'Rent Roll Input'!$E$7:$E$606,"Notice",'Rent Roll Input'!$W$7:$W$606,"&gt;="&amp;('Rent Roll Recon'!$B$2+0),'Rent Roll Input'!$W$7:$W$606,"&lt;="&amp;('Rent Roll Recon'!$B$2+30))</f>
        <v/>
      </c>
      <c r="C193" s="492">
        <f>COUNTIFS('Rent Roll Input'!$S$7:$S$606,'Rent Roll Recon'!$B$2,'Rent Roll Input'!$D$7:$D$606,"AL",'Rent Roll Input'!$E$7:$E$606,"Notice",'Rent Roll Input'!$W$7:$W$606,"&gt;="&amp;('Rent Roll Recon'!$B$2+0),'Rent Roll Input'!$W$7:$W$606,"&lt;="&amp;('Rent Roll Recon'!$B$2+30))</f>
        <v/>
      </c>
      <c r="D193" s="492">
        <f>COUNTIFS('Rent Roll Input'!$S$7:$S$606,'Rent Roll Recon'!$B$2,'Rent Roll Input'!$D$7:$D$606,"MC",'Rent Roll Input'!$E$7:$E$606,"Notice",'Rent Roll Input'!$W$7:$W$606,"&gt;="&amp;('Rent Roll Recon'!$B$2+0),'Rent Roll Input'!$W$7:$W$606,"&lt;="&amp;('Rent Roll Recon'!$B$2+30))</f>
        <v/>
      </c>
      <c r="E193" s="493">
        <f>SUM(B193:D193)</f>
        <v/>
      </c>
    </row>
    <row r="194">
      <c r="A194" s="491" t="inlineStr">
        <is>
          <t>31–60 days</t>
        </is>
      </c>
      <c r="B194" s="492">
        <f>COUNTIFS('Rent Roll Input'!$S$7:$S$606,'Rent Roll Recon'!$B$2,'Rent Roll Input'!$D$7:$D$606,"IL",'Rent Roll Input'!$E$7:$E$606,"Notice",'Rent Roll Input'!$W$7:$W$606,"&gt;"&amp;('Rent Roll Recon'!$B$2+30),'Rent Roll Input'!$W$7:$W$606,"&lt;="&amp;('Rent Roll Recon'!$B$2+60))</f>
        <v/>
      </c>
      <c r="C194" s="492">
        <f>COUNTIFS('Rent Roll Input'!$S$7:$S$606,'Rent Roll Recon'!$B$2,'Rent Roll Input'!$D$7:$D$606,"AL",'Rent Roll Input'!$E$7:$E$606,"Notice",'Rent Roll Input'!$W$7:$W$606,"&gt;"&amp;('Rent Roll Recon'!$B$2+30),'Rent Roll Input'!$W$7:$W$606,"&lt;="&amp;('Rent Roll Recon'!$B$2+60))</f>
        <v/>
      </c>
      <c r="D194" s="492">
        <f>COUNTIFS('Rent Roll Input'!$S$7:$S$606,'Rent Roll Recon'!$B$2,'Rent Roll Input'!$D$7:$D$606,"MC",'Rent Roll Input'!$E$7:$E$606,"Notice",'Rent Roll Input'!$W$7:$W$606,"&gt;"&amp;('Rent Roll Recon'!$B$2+30),'Rent Roll Input'!$W$7:$W$606,"&lt;="&amp;('Rent Roll Recon'!$B$2+60))</f>
        <v/>
      </c>
      <c r="E194" s="493">
        <f>SUM(B194:D194)</f>
        <v/>
      </c>
    </row>
    <row r="195">
      <c r="A195" s="491" t="inlineStr">
        <is>
          <t>61–90 days</t>
        </is>
      </c>
      <c r="B195" s="492">
        <f>COUNTIFS('Rent Roll Input'!$S$7:$S$606,'Rent Roll Recon'!$B$2,'Rent Roll Input'!$D$7:$D$606,"IL",'Rent Roll Input'!$E$7:$E$606,"Notice",'Rent Roll Input'!$W$7:$W$606,"&gt;"&amp;('Rent Roll Recon'!$B$2+60),'Rent Roll Input'!$W$7:$W$606,"&lt;="&amp;('Rent Roll Recon'!$B$2+90))</f>
        <v/>
      </c>
      <c r="C195" s="492">
        <f>COUNTIFS('Rent Roll Input'!$S$7:$S$606,'Rent Roll Recon'!$B$2,'Rent Roll Input'!$D$7:$D$606,"AL",'Rent Roll Input'!$E$7:$E$606,"Notice",'Rent Roll Input'!$W$7:$W$606,"&gt;"&amp;('Rent Roll Recon'!$B$2+60),'Rent Roll Input'!$W$7:$W$606,"&lt;="&amp;('Rent Roll Recon'!$B$2+90))</f>
        <v/>
      </c>
      <c r="D195" s="492">
        <f>COUNTIFS('Rent Roll Input'!$S$7:$S$606,'Rent Roll Recon'!$B$2,'Rent Roll Input'!$D$7:$D$606,"MC",'Rent Roll Input'!$E$7:$E$606,"Notice",'Rent Roll Input'!$W$7:$W$606,"&gt;"&amp;('Rent Roll Recon'!$B$2+60),'Rent Roll Input'!$W$7:$W$606,"&lt;="&amp;('Rent Roll Recon'!$B$2+90))</f>
        <v/>
      </c>
      <c r="E195" s="493">
        <f>SUM(B195:D195)</f>
        <v/>
      </c>
    </row>
    <row r="196">
      <c r="A196" s="491" t="inlineStr">
        <is>
          <t>91+ days</t>
        </is>
      </c>
      <c r="B196" s="492">
        <f>COUNTIFS('Rent Roll Input'!$S$7:$S$606,'Rent Roll Recon'!$B$2,'Rent Roll Input'!$D$7:$D$606,"IL",'Rent Roll Input'!$E$7:$E$606,"Notice",'Rent Roll Input'!$W$7:$W$606,"&gt;"&amp;('Rent Roll Recon'!$B$2+90))</f>
        <v/>
      </c>
      <c r="C196" s="492">
        <f>COUNTIFS('Rent Roll Input'!$S$7:$S$606,'Rent Roll Recon'!$B$2,'Rent Roll Input'!$D$7:$D$606,"AL",'Rent Roll Input'!$E$7:$E$606,"Notice",'Rent Roll Input'!$W$7:$W$606,"&gt;"&amp;('Rent Roll Recon'!$B$2+90))</f>
        <v/>
      </c>
      <c r="D196" s="492">
        <f>COUNTIFS('Rent Roll Input'!$S$7:$S$606,'Rent Roll Recon'!$B$2,'Rent Roll Input'!$D$7:$D$606,"MC",'Rent Roll Input'!$E$7:$E$606,"Notice",'Rent Roll Input'!$W$7:$W$606,"&gt;"&amp;('Rent Roll Recon'!$B$2+90))</f>
        <v/>
      </c>
      <c r="E196" s="493">
        <f>SUM(B196:D196)</f>
        <v/>
      </c>
      <c r="H196" s="494" t="inlineStr">
        <is>
          <t>Beyond 90-day window</t>
        </is>
      </c>
    </row>
    <row r="197">
      <c r="A197" s="491" t="inlineStr">
        <is>
          <t>No move-out date set / past</t>
        </is>
      </c>
      <c r="B197" s="492">
        <f>B183-(B193+B194+B195+B196)</f>
        <v/>
      </c>
      <c r="C197" s="492">
        <f>C183-(C193+C194+C195+C196)</f>
        <v/>
      </c>
      <c r="D197" s="492">
        <f>D183-(D193+D194+D195+D196)</f>
        <v/>
      </c>
      <c r="E197" s="493">
        <f>SUM(B197:D197)</f>
        <v/>
      </c>
      <c r="H197" s="494" t="inlineStr">
        <is>
          <t>NTV without a scheduled move-out date — unknown timing</t>
        </is>
      </c>
    </row>
    <row r="198">
      <c r="A198" s="491" t="inlineStr">
        <is>
          <t>Total Notice  (sanity = N1 On notice)</t>
        </is>
      </c>
      <c r="B198" s="492">
        <f>SUM(B193:B197)</f>
        <v/>
      </c>
      <c r="C198" s="492">
        <f>SUM(C193:C197)</f>
        <v/>
      </c>
      <c r="D198" s="492">
        <f>SUM(D193:D197)</f>
        <v/>
      </c>
      <c r="E198" s="493">
        <f>SUM(B198:D198)</f>
        <v/>
      </c>
    </row>
  </sheetData>
  <mergeCells count="30">
    <mergeCell ref="A15:H15"/>
    <mergeCell ref="A133:I133"/>
    <mergeCell ref="A84:I84"/>
    <mergeCell ref="A191:H191"/>
    <mergeCell ref="A27:I27"/>
    <mergeCell ref="A178:H178"/>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80:H18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v0.2.14</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v0.2.14</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5">
      <c r="B15" s="392" t="inlineStr">
        <is>
          <t>TOTAL AR</t>
        </is>
      </c>
      <c r="C15" s="393">
        <f>SUM(C9:C13)</f>
        <v/>
      </c>
      <c r="D15" s="394">
        <f>IF(C15=0,0,1)</f>
        <v/>
      </c>
    </row>
    <row r="17">
      <c r="B17" s="389" t="inlineStr">
        <is>
          <t>90+ subtotal</t>
        </is>
      </c>
      <c r="C17" s="390">
        <f>C12+C13</f>
        <v/>
      </c>
    </row>
    <row r="18">
      <c r="B18" s="389" t="inlineStr">
        <is>
          <t>% of total in 90+</t>
        </is>
      </c>
      <c r="C18" s="391">
        <f>IFERROR(C17/C15,0)</f>
        <v/>
      </c>
    </row>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Analytics'!$E$98,0)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v0.2.14</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410">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410">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410">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410">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410">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410">
      <c r="A57" s="167" t="inlineStr">
        <is>
          <t>Bad debt expense</t>
        </is>
      </c>
      <c r="B57" s="454" t="inlineStr">
        <is>
          <t>-</t>
        </is>
      </c>
      <c r="C57" s="454" t="inlineStr">
        <is>
          <t>-</t>
        </is>
      </c>
      <c r="D57" s="454" t="inlineStr">
        <is>
          <t>-</t>
        </is>
      </c>
      <c r="E57" s="454">
        <f>'T12 Analytics'!E98</f>
        <v/>
      </c>
      <c r="F57" s="455">
        <f>'T12 Analytics'!F98</f>
        <v/>
      </c>
      <c r="G57" s="22">
        <f>F57-E57</f>
        <v/>
      </c>
      <c r="H57" s="149" t="n"/>
    </row>
    <row r="58" ht="18" customHeight="1" s="410">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410">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410">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410">
      <c r="A61" s="174" t="inlineStr">
        <is>
          <t>Lease / ground lease</t>
        </is>
      </c>
      <c r="B61" s="454" t="inlineStr">
        <is>
          <t>-</t>
        </is>
      </c>
      <c r="C61" s="454" t="inlineStr">
        <is>
          <t>-</t>
        </is>
      </c>
      <c r="D61" s="454" t="inlineStr">
        <is>
          <t>-</t>
        </is>
      </c>
      <c r="E61" s="454">
        <f>'T12 Analytics'!E102</f>
        <v/>
      </c>
      <c r="F61" s="454">
        <f>'T12 Analytics'!F102</f>
        <v/>
      </c>
      <c r="G61" s="454">
        <f>F61-E61</f>
        <v/>
      </c>
      <c r="H61" s="455" t="n"/>
    </row>
    <row r="62" ht="15.75" customHeight="1" s="410">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410">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410">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410">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410">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v0.2.14</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v0.2.14</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v0.2.14</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Base rent — IL</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v0.2.14</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v0.2.14</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v0.2.14</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2026-05-25T20:35:09Z</dcterms:modified>
  <cp:lastModifiedBy>Erik J</cp:lastModifiedBy>
  <cp:revision>0</cp:revision>
</cp:coreProperties>
</file>