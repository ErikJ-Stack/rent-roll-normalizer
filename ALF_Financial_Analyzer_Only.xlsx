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Mapping Review" sheetId="9" state="visible" r:id="rId9"/>
    <sheet name="Description_Map" sheetId="10" state="visible" r:id="rId10"/>
    <sheet name="RR_Calc" sheetId="11" state="hidden" r:id="rId11"/>
    <sheet name="T12_Calc" sheetId="12" state="hidden" r:id="rId12"/>
    <sheet name="Workbook Health" sheetId="13" state="hidden" r:id="rId13"/>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13">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s>
  <fonts count="45">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s>
  <fills count="18">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24">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l"/>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l"/>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l"/>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v0.1.11</t>
        </is>
      </c>
    </row>
    <row r="5">
      <c r="A5" t="inlineStr">
        <is>
          <t>Property name</t>
        </is>
      </c>
    </row>
    <row r="7">
      <c r="A7" s="205" t="inlineStr">
        <is>
          <t>Versions</t>
        </is>
      </c>
    </row>
    <row r="8">
      <c r="A8" t="inlineStr">
        <is>
          <t>Substrate template</t>
        </is>
      </c>
      <c r="B8" t="inlineStr">
        <is>
          <t>v0.1.11</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66"/>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v0.1.11</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Data'!$R$56)&gt;0,ABS('T12 Raw Data'!$R$56),F38),F38)</f>
        <v/>
      </c>
      <c r="F38" s="25">
        <f>SUM(B38:D38)</f>
        <v/>
      </c>
      <c r="G38" s="24">
        <f>IFERROR(IF(E38="","",E38-F38),"")</f>
        <v/>
      </c>
      <c r="H38" s="15">
        <f>IF(AND(E37&lt;&gt;"",ABS('T12 Raw Data'!$R$56)&gt;0),"T12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Data'!$R$56)&gt;0),E38/E37,IFERROR((E6-E7)/E6,"-")),IFERROR((E6-E7)/E6,"-"))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Data'!$R$57)&gt;0,ABS('T12 Raw Data'!$R$57),F37-F38-E16),F37-F38-E16)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12">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sheetData>
  <mergeCells count="18">
    <mergeCell ref="A102:D102"/>
    <mergeCell ref="A67:H67"/>
    <mergeCell ref="A56:H56"/>
    <mergeCell ref="A94:D94"/>
    <mergeCell ref="A4:H4"/>
    <mergeCell ref="A1:H1"/>
    <mergeCell ref="A29:H29"/>
    <mergeCell ref="A97:D97"/>
    <mergeCell ref="A15:H15"/>
    <mergeCell ref="A43:H43"/>
    <mergeCell ref="A104:H104"/>
    <mergeCell ref="A65:D65"/>
    <mergeCell ref="A13:H13"/>
    <mergeCell ref="A45:H45"/>
    <mergeCell ref="A99:D99"/>
    <mergeCell ref="A126:H126"/>
    <mergeCell ref="A22:H22"/>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v0.1.11</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4"/>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v0.1.11</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SUMIF(T12_Calc!$N$1:$N$500,"Base rent — IL",T12_Calc!$B$1:$B$500)</f>
        <v/>
      </c>
      <c r="G6" s="24">
        <f>SUMIF(T12_Calc!$N$1:$N$500,"Base rent — IL",T12_Calc!$C$1:$C$500)</f>
        <v/>
      </c>
      <c r="H6" s="24">
        <f>SUMIF(T12_Calc!$N$1:$N$500,"Base rent — IL",T12_Calc!$D$1:$D$500)</f>
        <v/>
      </c>
      <c r="I6" s="24">
        <f>SUMIF(T12_Calc!$N$1:$N$500,"Base rent — IL",T12_Calc!$E$1:$E$500)</f>
        <v/>
      </c>
      <c r="J6" s="24">
        <f>SUMIF(T12_Calc!$N$1:$N$500,"Base rent — IL",T12_Calc!$F$1:$F$500)</f>
        <v/>
      </c>
      <c r="K6" s="24">
        <f>SUMIF(T12_Calc!$N$1:$N$500,"Base rent — IL",T12_Calc!$G$1:$G$500)</f>
        <v/>
      </c>
      <c r="L6" s="24">
        <f>SUMIF(T12_Calc!$N$1:$N$500,"Base rent — IL",T12_Calc!$H$1:$H$500)</f>
        <v/>
      </c>
      <c r="M6" s="24">
        <f>SUMIF(T12_Calc!$N$1:$N$500,"Base rent — IL",T12_Calc!$I$1:$I$500)</f>
        <v/>
      </c>
      <c r="N6" s="24">
        <f>SUMIF(T12_Calc!$N$1:$N$500,"Base rent — IL",T12_Calc!$J$1:$J$500)</f>
        <v/>
      </c>
      <c r="O6" s="24">
        <f>SUMIF(T12_Calc!$N$1:$N$500,"Base rent — IL",T12_Calc!$K$1:$K$500)</f>
        <v/>
      </c>
      <c r="P6" s="24">
        <f>SUMIF(T12_Calc!$N$1:$N$500,"Base rent — IL",T12_Calc!$L$1:$L$500)</f>
        <v/>
      </c>
      <c r="Q6" s="24">
        <f>SUMIF(T12_Calc!$N$1:$N$500,"Base rent — IL",T12_Calc!$M$1:$M$500)</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SUMIF(T12_Calc!$N$1:$N$500,"Base rent — AL",T12_Calc!$B$1:$B$500)</f>
        <v/>
      </c>
      <c r="G7" s="24">
        <f>SUMIF(T12_Calc!$N$1:$N$500,"Base rent — AL",T12_Calc!$C$1:$C$500)</f>
        <v/>
      </c>
      <c r="H7" s="24">
        <f>SUMIF(T12_Calc!$N$1:$N$500,"Base rent — AL",T12_Calc!$D$1:$D$500)</f>
        <v/>
      </c>
      <c r="I7" s="24">
        <f>SUMIF(T12_Calc!$N$1:$N$500,"Base rent — AL",T12_Calc!$E$1:$E$500)</f>
        <v/>
      </c>
      <c r="J7" s="24">
        <f>SUMIF(T12_Calc!$N$1:$N$500,"Base rent — AL",T12_Calc!$F$1:$F$500)</f>
        <v/>
      </c>
      <c r="K7" s="24">
        <f>SUMIF(T12_Calc!$N$1:$N$500,"Base rent — AL",T12_Calc!$G$1:$G$500)</f>
        <v/>
      </c>
      <c r="L7" s="24">
        <f>SUMIF(T12_Calc!$N$1:$N$500,"Base rent — AL",T12_Calc!$H$1:$H$500)</f>
        <v/>
      </c>
      <c r="M7" s="24">
        <f>SUMIF(T12_Calc!$N$1:$N$500,"Base rent — AL",T12_Calc!$I$1:$I$500)</f>
        <v/>
      </c>
      <c r="N7" s="24">
        <f>SUMIF(T12_Calc!$N$1:$N$500,"Base rent — AL",T12_Calc!$J$1:$J$500)</f>
        <v/>
      </c>
      <c r="O7" s="24">
        <f>SUMIF(T12_Calc!$N$1:$N$500,"Base rent — AL",T12_Calc!$K$1:$K$500)</f>
        <v/>
      </c>
      <c r="P7" s="24">
        <f>SUMIF(T12_Calc!$N$1:$N$500,"Base rent — AL",T12_Calc!$L$1:$L$500)</f>
        <v/>
      </c>
      <c r="Q7" s="24">
        <f>SUMIF(T12_Calc!$N$1:$N$500,"Base rent — AL",T12_Calc!$M$1:$M$500)</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SUMIF(T12_Calc!$N$1:$N$500,"Base rent — MC",T12_Calc!$B$1:$B$500)</f>
        <v/>
      </c>
      <c r="G8" s="24">
        <f>SUMIF(T12_Calc!$N$1:$N$500,"Base rent — MC",T12_Calc!$C$1:$C$500)</f>
        <v/>
      </c>
      <c r="H8" s="24">
        <f>SUMIF(T12_Calc!$N$1:$N$500,"Base rent — MC",T12_Calc!$D$1:$D$500)</f>
        <v/>
      </c>
      <c r="I8" s="24">
        <f>SUMIF(T12_Calc!$N$1:$N$500,"Base rent — MC",T12_Calc!$E$1:$E$500)</f>
        <v/>
      </c>
      <c r="J8" s="24">
        <f>SUMIF(T12_Calc!$N$1:$N$500,"Base rent — MC",T12_Calc!$F$1:$F$500)</f>
        <v/>
      </c>
      <c r="K8" s="24">
        <f>SUMIF(T12_Calc!$N$1:$N$500,"Base rent — MC",T12_Calc!$G$1:$G$500)</f>
        <v/>
      </c>
      <c r="L8" s="24">
        <f>SUMIF(T12_Calc!$N$1:$N$500,"Base rent — MC",T12_Calc!$H$1:$H$500)</f>
        <v/>
      </c>
      <c r="M8" s="24">
        <f>SUMIF(T12_Calc!$N$1:$N$500,"Base rent — MC",T12_Calc!$I$1:$I$500)</f>
        <v/>
      </c>
      <c r="N8" s="24">
        <f>SUMIF(T12_Calc!$N$1:$N$500,"Base rent — MC",T12_Calc!$J$1:$J$500)</f>
        <v/>
      </c>
      <c r="O8" s="24">
        <f>SUMIF(T12_Calc!$N$1:$N$500,"Base rent — MC",T12_Calc!$K$1:$K$500)</f>
        <v/>
      </c>
      <c r="P8" s="24">
        <f>SUMIF(T12_Calc!$N$1:$N$500,"Base rent — MC",T12_Calc!$L$1:$L$500)</f>
        <v/>
      </c>
      <c r="Q8" s="24">
        <f>SUMIF(T12_Calc!$N$1:$N$500,"Base rent — MC",T12_Calc!$M$1:$M$500)</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SUMIF(T12_Calc!$N$1:$N$500,"LOC revenue — IL",T12_Calc!$B$1:$B$500)</f>
        <v/>
      </c>
      <c r="G9" s="24">
        <f>SUMIF(T12_Calc!$N$1:$N$500,"LOC revenue — IL",T12_Calc!$C$1:$C$500)</f>
        <v/>
      </c>
      <c r="H9" s="24">
        <f>SUMIF(T12_Calc!$N$1:$N$500,"LOC revenue — IL",T12_Calc!$D$1:$D$500)</f>
        <v/>
      </c>
      <c r="I9" s="24">
        <f>SUMIF(T12_Calc!$N$1:$N$500,"LOC revenue — IL",T12_Calc!$E$1:$E$500)</f>
        <v/>
      </c>
      <c r="J9" s="24">
        <f>SUMIF(T12_Calc!$N$1:$N$500,"LOC revenue — IL",T12_Calc!$F$1:$F$500)</f>
        <v/>
      </c>
      <c r="K9" s="24">
        <f>SUMIF(T12_Calc!$N$1:$N$500,"LOC revenue — IL",T12_Calc!$G$1:$G$500)</f>
        <v/>
      </c>
      <c r="L9" s="24">
        <f>SUMIF(T12_Calc!$N$1:$N$500,"LOC revenue — IL",T12_Calc!$H$1:$H$500)</f>
        <v/>
      </c>
      <c r="M9" s="24">
        <f>SUMIF(T12_Calc!$N$1:$N$500,"LOC revenue — IL",T12_Calc!$I$1:$I$500)</f>
        <v/>
      </c>
      <c r="N9" s="24">
        <f>SUMIF(T12_Calc!$N$1:$N$500,"LOC revenue — IL",T12_Calc!$J$1:$J$500)</f>
        <v/>
      </c>
      <c r="O9" s="24">
        <f>SUMIF(T12_Calc!$N$1:$N$500,"LOC revenue — IL",T12_Calc!$K$1:$K$500)</f>
        <v/>
      </c>
      <c r="P9" s="24">
        <f>SUMIF(T12_Calc!$N$1:$N$500,"LOC revenue — IL",T12_Calc!$L$1:$L$500)</f>
        <v/>
      </c>
      <c r="Q9" s="24">
        <f>SUMIF(T12_Calc!$N$1:$N$500,"LOC revenue — IL",T12_Calc!$M$1:$M$500)</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SUMIF(T12_Calc!$N$1:$N$500,"LOC revenue — AL",T12_Calc!$B$1:$B$500)</f>
        <v/>
      </c>
      <c r="G10" s="24">
        <f>SUMIF(T12_Calc!$N$1:$N$500,"LOC revenue — AL",T12_Calc!$C$1:$C$500)</f>
        <v/>
      </c>
      <c r="H10" s="24">
        <f>SUMIF(T12_Calc!$N$1:$N$500,"LOC revenue — AL",T12_Calc!$D$1:$D$500)</f>
        <v/>
      </c>
      <c r="I10" s="24">
        <f>SUMIF(T12_Calc!$N$1:$N$500,"LOC revenue — AL",T12_Calc!$E$1:$E$500)</f>
        <v/>
      </c>
      <c r="J10" s="24">
        <f>SUMIF(T12_Calc!$N$1:$N$500,"LOC revenue — AL",T12_Calc!$F$1:$F$500)</f>
        <v/>
      </c>
      <c r="K10" s="24">
        <f>SUMIF(T12_Calc!$N$1:$N$500,"LOC revenue — AL",T12_Calc!$G$1:$G$500)</f>
        <v/>
      </c>
      <c r="L10" s="24">
        <f>SUMIF(T12_Calc!$N$1:$N$500,"LOC revenue — AL",T12_Calc!$H$1:$H$500)</f>
        <v/>
      </c>
      <c r="M10" s="24">
        <f>SUMIF(T12_Calc!$N$1:$N$500,"LOC revenue — AL",T12_Calc!$I$1:$I$500)</f>
        <v/>
      </c>
      <c r="N10" s="24">
        <f>SUMIF(T12_Calc!$N$1:$N$500,"LOC revenue — AL",T12_Calc!$J$1:$J$500)</f>
        <v/>
      </c>
      <c r="O10" s="24">
        <f>SUMIF(T12_Calc!$N$1:$N$500,"LOC revenue — AL",T12_Calc!$K$1:$K$500)</f>
        <v/>
      </c>
      <c r="P10" s="24">
        <f>SUMIF(T12_Calc!$N$1:$N$500,"LOC revenue — AL",T12_Calc!$L$1:$L$500)</f>
        <v/>
      </c>
      <c r="Q10" s="24">
        <f>SUMIF(T12_Calc!$N$1:$N$500,"LOC revenue — AL",T12_Calc!$M$1:$M$500)</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SUMIF(T12_Calc!$N$1:$N$500,"LOC revenue — MC",T12_Calc!$B$1:$B$500)</f>
        <v/>
      </c>
      <c r="G11" s="24">
        <f>SUMIF(T12_Calc!$N$1:$N$500,"LOC revenue — MC",T12_Calc!$C$1:$C$500)</f>
        <v/>
      </c>
      <c r="H11" s="24">
        <f>SUMIF(T12_Calc!$N$1:$N$500,"LOC revenue — MC",T12_Calc!$D$1:$D$500)</f>
        <v/>
      </c>
      <c r="I11" s="24">
        <f>SUMIF(T12_Calc!$N$1:$N$500,"LOC revenue — MC",T12_Calc!$E$1:$E$500)</f>
        <v/>
      </c>
      <c r="J11" s="24">
        <f>SUMIF(T12_Calc!$N$1:$N$500,"LOC revenue — MC",T12_Calc!$F$1:$F$500)</f>
        <v/>
      </c>
      <c r="K11" s="24">
        <f>SUMIF(T12_Calc!$N$1:$N$500,"LOC revenue — MC",T12_Calc!$G$1:$G$500)</f>
        <v/>
      </c>
      <c r="L11" s="24">
        <f>SUMIF(T12_Calc!$N$1:$N$500,"LOC revenue — MC",T12_Calc!$H$1:$H$500)</f>
        <v/>
      </c>
      <c r="M11" s="24">
        <f>SUMIF(T12_Calc!$N$1:$N$500,"LOC revenue — MC",T12_Calc!$I$1:$I$500)</f>
        <v/>
      </c>
      <c r="N11" s="24">
        <f>SUMIF(T12_Calc!$N$1:$N$500,"LOC revenue — MC",T12_Calc!$J$1:$J$500)</f>
        <v/>
      </c>
      <c r="O11" s="24">
        <f>SUMIF(T12_Calc!$N$1:$N$500,"LOC revenue — MC",T12_Calc!$K$1:$K$500)</f>
        <v/>
      </c>
      <c r="P11" s="24">
        <f>SUMIF(T12_Calc!$N$1:$N$500,"LOC revenue — MC",T12_Calc!$L$1:$L$500)</f>
        <v/>
      </c>
      <c r="Q11" s="24">
        <f>SUMIF(T12_Calc!$N$1:$N$500,"LOC revenue — MC",T12_Calc!$M$1:$M$500)</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SUMIF(T12_Calc!$N$1:$N$500,"Community / move-in fees",T12_Calc!$B$1:$B$500)</f>
        <v/>
      </c>
      <c r="G12" s="47">
        <f>SUMIF(T12_Calc!$N$1:$N$500,"Community / move-in fees",T12_Calc!$C$1:$C$500)</f>
        <v/>
      </c>
      <c r="H12" s="47">
        <f>SUMIF(T12_Calc!$N$1:$N$500,"Community / move-in fees",T12_Calc!$D$1:$D$500)</f>
        <v/>
      </c>
      <c r="I12" s="47">
        <f>SUMIF(T12_Calc!$N$1:$N$500,"Community / move-in fees",T12_Calc!$E$1:$E$500)</f>
        <v/>
      </c>
      <c r="J12" s="47">
        <f>SUMIF(T12_Calc!$N$1:$N$500,"Community / move-in fees",T12_Calc!$F$1:$F$500)</f>
        <v/>
      </c>
      <c r="K12" s="47">
        <f>SUMIF(T12_Calc!$N$1:$N$500,"Community / move-in fees",T12_Calc!$G$1:$G$500)</f>
        <v/>
      </c>
      <c r="L12" s="47">
        <f>SUMIF(T12_Calc!$N$1:$N$500,"Community / move-in fees",T12_Calc!$H$1:$H$500)</f>
        <v/>
      </c>
      <c r="M12" s="47">
        <f>SUMIF(T12_Calc!$N$1:$N$500,"Community / move-in fees",T12_Calc!$I$1:$I$500)</f>
        <v/>
      </c>
      <c r="N12" s="47">
        <f>SUMIF(T12_Calc!$N$1:$N$500,"Community / move-in fees",T12_Calc!$J$1:$J$500)</f>
        <v/>
      </c>
      <c r="O12" s="47">
        <f>SUMIF(T12_Calc!$N$1:$N$500,"Community / move-in fees",T12_Calc!$K$1:$K$500)</f>
        <v/>
      </c>
      <c r="P12" s="47">
        <f>SUMIF(T12_Calc!$N$1:$N$500,"Community / move-in fees",T12_Calc!$L$1:$L$500)</f>
        <v/>
      </c>
      <c r="Q12" s="47">
        <f>SUMIF(T12_Calc!$N$1:$N$500,"Community / move-in fees",T12_Calc!$M$1:$M$500)</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SUMIF(T12_Calc!$N$1:$N$500,"Concessions &amp; specials",T12_Calc!$B$1:$B$500)</f>
        <v/>
      </c>
      <c r="G13" s="47">
        <f>SUMIF(T12_Calc!$N$1:$N$500,"Concessions &amp; specials",T12_Calc!$C$1:$C$500)</f>
        <v/>
      </c>
      <c r="H13" s="47">
        <f>SUMIF(T12_Calc!$N$1:$N$500,"Concessions &amp; specials",T12_Calc!$D$1:$D$500)</f>
        <v/>
      </c>
      <c r="I13" s="47">
        <f>SUMIF(T12_Calc!$N$1:$N$500,"Concessions &amp; specials",T12_Calc!$E$1:$E$500)</f>
        <v/>
      </c>
      <c r="J13" s="47">
        <f>SUMIF(T12_Calc!$N$1:$N$500,"Concessions &amp; specials",T12_Calc!$F$1:$F$500)</f>
        <v/>
      </c>
      <c r="K13" s="47">
        <f>SUMIF(T12_Calc!$N$1:$N$500,"Concessions &amp; specials",T12_Calc!$G$1:$G$500)</f>
        <v/>
      </c>
      <c r="L13" s="47">
        <f>SUMIF(T12_Calc!$N$1:$N$500,"Concessions &amp; specials",T12_Calc!$H$1:$H$500)</f>
        <v/>
      </c>
      <c r="M13" s="47">
        <f>SUMIF(T12_Calc!$N$1:$N$500,"Concessions &amp; specials",T12_Calc!$I$1:$I$500)</f>
        <v/>
      </c>
      <c r="N13" s="47">
        <f>SUMIF(T12_Calc!$N$1:$N$500,"Concessions &amp; specials",T12_Calc!$J$1:$J$500)</f>
        <v/>
      </c>
      <c r="O13" s="47">
        <f>SUMIF(T12_Calc!$N$1:$N$500,"Concessions &amp; specials",T12_Calc!$K$1:$K$500)</f>
        <v/>
      </c>
      <c r="P13" s="47">
        <f>SUMIF(T12_Calc!$N$1:$N$500,"Concessions &amp; specials",T12_Calc!$L$1:$L$500)</f>
        <v/>
      </c>
      <c r="Q13" s="47">
        <f>SUMIF(T12_Calc!$N$1:$N$500,"Concessions &amp; specials",T12_Calc!$M$1:$M$500)</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SUMIF(T12_Calc!$N$1:$N$500,"Respite care",T12_Calc!$B$1:$B$500)</f>
        <v/>
      </c>
      <c r="G14" s="47">
        <f>SUMIF(T12_Calc!$N$1:$N$500,"Respite care",T12_Calc!$C$1:$C$500)</f>
        <v/>
      </c>
      <c r="H14" s="47">
        <f>SUMIF(T12_Calc!$N$1:$N$500,"Respite care",T12_Calc!$D$1:$D$500)</f>
        <v/>
      </c>
      <c r="I14" s="47">
        <f>SUMIF(T12_Calc!$N$1:$N$500,"Respite care",T12_Calc!$E$1:$E$500)</f>
        <v/>
      </c>
      <c r="J14" s="47">
        <f>SUMIF(T12_Calc!$N$1:$N$500,"Respite care",T12_Calc!$F$1:$F$500)</f>
        <v/>
      </c>
      <c r="K14" s="47">
        <f>SUMIF(T12_Calc!$N$1:$N$500,"Respite care",T12_Calc!$G$1:$G$500)</f>
        <v/>
      </c>
      <c r="L14" s="47">
        <f>SUMIF(T12_Calc!$N$1:$N$500,"Respite care",T12_Calc!$H$1:$H$500)</f>
        <v/>
      </c>
      <c r="M14" s="47">
        <f>SUMIF(T12_Calc!$N$1:$N$500,"Respite care",T12_Calc!$I$1:$I$500)</f>
        <v/>
      </c>
      <c r="N14" s="47">
        <f>SUMIF(T12_Calc!$N$1:$N$500,"Respite care",T12_Calc!$J$1:$J$500)</f>
        <v/>
      </c>
      <c r="O14" s="47">
        <f>SUMIF(T12_Calc!$N$1:$N$500,"Respite care",T12_Calc!$K$1:$K$500)</f>
        <v/>
      </c>
      <c r="P14" s="47">
        <f>SUMIF(T12_Calc!$N$1:$N$500,"Respite care",T12_Calc!$L$1:$L$500)</f>
        <v/>
      </c>
      <c r="Q14" s="47">
        <f>SUMIF(T12_Calc!$N$1:$N$500,"Respite care",T12_Calc!$M$1:$M$500)</f>
        <v/>
      </c>
      <c r="R14" s="93">
        <f>SUM(F14:Q14)</f>
        <v/>
      </c>
    </row>
    <row r="15" ht="15.75" customHeight="1" s="199">
      <c r="A15" s="82" t="inlineStr">
        <is>
          <t>Revenue</t>
        </is>
      </c>
      <c r="B15" s="83" t="inlineStr">
        <is>
          <t>2nd Person Revenue</t>
        </is>
      </c>
      <c r="C15" s="84" t="n"/>
      <c r="D15" s="85" t="n"/>
      <c r="E15" s="86" t="n"/>
      <c r="F15" s="24">
        <f>SUMIF(T12_Calc!$N$1:$N$500,"2nd Person Revenue",T12_Calc!$B$1:$B$500)</f>
        <v/>
      </c>
      <c r="G15" s="24">
        <f>SUMIF(T12_Calc!$N$1:$N$500,"2nd Person Revenue",T12_Calc!$C$1:$C$500)</f>
        <v/>
      </c>
      <c r="H15" s="24">
        <f>SUMIF(T12_Calc!$N$1:$N$500,"2nd Person Revenue",T12_Calc!$D$1:$D$500)</f>
        <v/>
      </c>
      <c r="I15" s="24">
        <f>SUMIF(T12_Calc!$N$1:$N$500,"2nd Person Revenue",T12_Calc!$E$1:$E$500)</f>
        <v/>
      </c>
      <c r="J15" s="24">
        <f>SUMIF(T12_Calc!$N$1:$N$500,"2nd Person Revenue",T12_Calc!$F$1:$F$500)</f>
        <v/>
      </c>
      <c r="K15" s="24">
        <f>SUMIF(T12_Calc!$N$1:$N$500,"2nd Person Revenue",T12_Calc!$G$1:$G$500)</f>
        <v/>
      </c>
      <c r="L15" s="24">
        <f>SUMIF(T12_Calc!$N$1:$N$500,"2nd Person Revenue",T12_Calc!$H$1:$H$500)</f>
        <v/>
      </c>
      <c r="M15" s="24">
        <f>SUMIF(T12_Calc!$N$1:$N$500,"2nd Person Revenue",T12_Calc!$I$1:$I$500)</f>
        <v/>
      </c>
      <c r="N15" s="24">
        <f>SUMIF(T12_Calc!$N$1:$N$500,"2nd Person Revenue",T12_Calc!$J$1:$J$500)</f>
        <v/>
      </c>
      <c r="O15" s="24">
        <f>SUMIF(T12_Calc!$N$1:$N$500,"2nd Person Revenue",T12_Calc!$K$1:$K$500)</f>
        <v/>
      </c>
      <c r="P15" s="24">
        <f>SUMIF(T12_Calc!$N$1:$N$500,"2nd Person Revenue",T12_Calc!$L$1:$L$500)</f>
        <v/>
      </c>
      <c r="Q15" s="24">
        <f>SUMIF(T12_Calc!$N$1:$N$500,"2nd Person Revenue",T12_Calc!$M$1:$M$500)</f>
        <v/>
      </c>
      <c r="R15" s="87">
        <f>SUM(F15:Q15)</f>
        <v/>
      </c>
    </row>
    <row r="16" ht="15.75" customHeight="1" s="199">
      <c r="A16" s="82" t="inlineStr">
        <is>
          <t>Revenue</t>
        </is>
      </c>
      <c r="B16" s="83" t="inlineStr">
        <is>
          <t>Other community revenue</t>
        </is>
      </c>
      <c r="C16" s="84" t="inlineStr">
        <is>
          <t>-</t>
        </is>
      </c>
      <c r="D16" s="85" t="n"/>
      <c r="E16" s="86" t="inlineStr">
        <is>
          <t>Guest Meals | Beautician Income | Utility Income | Incontinence Supplies Income | Personal Purchases | Administrative Fees | Finance Charges Revenue</t>
        </is>
      </c>
      <c r="F16" s="24">
        <f>SUMIF(T12_Calc!$N$1:$N$500,"Other community revenue",T12_Calc!$B$1:$B$500)</f>
        <v/>
      </c>
      <c r="G16" s="24">
        <f>SUMIF(T12_Calc!$N$1:$N$500,"Other community revenue",T12_Calc!$C$1:$C$500)</f>
        <v/>
      </c>
      <c r="H16" s="24">
        <f>SUMIF(T12_Calc!$N$1:$N$500,"Other community revenue",T12_Calc!$D$1:$D$500)</f>
        <v/>
      </c>
      <c r="I16" s="24">
        <f>SUMIF(T12_Calc!$N$1:$N$500,"Other community revenue",T12_Calc!$E$1:$E$500)</f>
        <v/>
      </c>
      <c r="J16" s="24">
        <f>SUMIF(T12_Calc!$N$1:$N$500,"Other community revenue",T12_Calc!$F$1:$F$500)</f>
        <v/>
      </c>
      <c r="K16" s="24">
        <f>SUMIF(T12_Calc!$N$1:$N$500,"Other community revenue",T12_Calc!$G$1:$G$500)</f>
        <v/>
      </c>
      <c r="L16" s="24">
        <f>SUMIF(T12_Calc!$N$1:$N$500,"Other community revenue",T12_Calc!$H$1:$H$500)</f>
        <v/>
      </c>
      <c r="M16" s="24">
        <f>SUMIF(T12_Calc!$N$1:$N$500,"Other community revenue",T12_Calc!$I$1:$I$500)</f>
        <v/>
      </c>
      <c r="N16" s="24">
        <f>SUMIF(T12_Calc!$N$1:$N$500,"Other community revenue",T12_Calc!$J$1:$J$500)</f>
        <v/>
      </c>
      <c r="O16" s="24">
        <f>SUMIF(T12_Calc!$N$1:$N$500,"Other community revenue",T12_Calc!$K$1:$K$500)</f>
        <v/>
      </c>
      <c r="P16" s="24">
        <f>SUMIF(T12_Calc!$N$1:$N$500,"Other community revenue",T12_Calc!$L$1:$L$500)</f>
        <v/>
      </c>
      <c r="Q16" s="24">
        <f>SUMIF(T12_Calc!$N$1:$N$500,"Other community revenue",T12_Calc!$M$1:$M$500)</f>
        <v/>
      </c>
      <c r="R16" s="87">
        <f>SUM(F16:Q16)</f>
        <v/>
      </c>
    </row>
    <row r="17" ht="15.75" customHeight="1" s="199">
      <c r="A17" s="82" t="inlineStr">
        <is>
          <t>Labor</t>
        </is>
      </c>
      <c r="B17" s="83" t="inlineStr">
        <is>
          <t>Care staff labor</t>
        </is>
      </c>
      <c r="C17" s="84" t="inlineStr">
        <is>
          <t>-</t>
        </is>
      </c>
      <c r="D17" s="85" t="n"/>
      <c r="E17" s="86" t="inlineStr">
        <is>
          <t>Care Staff Labor | Direct Care Labor | Other Labor</t>
        </is>
      </c>
      <c r="F17" s="24">
        <f>SUMIF(T12_Calc!$N$1:$N$500,"Care staff labor",T12_Calc!$B$1:$B$500)</f>
        <v/>
      </c>
      <c r="G17" s="24">
        <f>SUMIF(T12_Calc!$N$1:$N$500,"Care staff labor",T12_Calc!$C$1:$C$500)</f>
        <v/>
      </c>
      <c r="H17" s="24">
        <f>SUMIF(T12_Calc!$N$1:$N$500,"Care staff labor",T12_Calc!$D$1:$D$500)</f>
        <v/>
      </c>
      <c r="I17" s="24">
        <f>SUMIF(T12_Calc!$N$1:$N$500,"Care staff labor",T12_Calc!$E$1:$E$500)</f>
        <v/>
      </c>
      <c r="J17" s="24">
        <f>SUMIF(T12_Calc!$N$1:$N$500,"Care staff labor",T12_Calc!$F$1:$F$500)</f>
        <v/>
      </c>
      <c r="K17" s="24">
        <f>SUMIF(T12_Calc!$N$1:$N$500,"Care staff labor",T12_Calc!$G$1:$G$500)</f>
        <v/>
      </c>
      <c r="L17" s="24">
        <f>SUMIF(T12_Calc!$N$1:$N$500,"Care staff labor",T12_Calc!$H$1:$H$500)</f>
        <v/>
      </c>
      <c r="M17" s="24">
        <f>SUMIF(T12_Calc!$N$1:$N$500,"Care staff labor",T12_Calc!$I$1:$I$500)</f>
        <v/>
      </c>
      <c r="N17" s="24">
        <f>SUMIF(T12_Calc!$N$1:$N$500,"Care staff labor",T12_Calc!$J$1:$J$500)</f>
        <v/>
      </c>
      <c r="O17" s="24">
        <f>SUMIF(T12_Calc!$N$1:$N$500,"Care staff labor",T12_Calc!$K$1:$K$500)</f>
        <v/>
      </c>
      <c r="P17" s="24">
        <f>SUMIF(T12_Calc!$N$1:$N$500,"Care staff labor",T12_Calc!$L$1:$L$500)</f>
        <v/>
      </c>
      <c r="Q17" s="24">
        <f>SUMIF(T12_Calc!$N$1:$N$500,"Care staff labor",T12_Calc!$M$1:$M$500)</f>
        <v/>
      </c>
      <c r="R17" s="87">
        <f>SUM(F17:Q17)</f>
        <v/>
      </c>
    </row>
    <row r="18" ht="15.75" customHeight="1" s="199">
      <c r="A18" s="82" t="inlineStr">
        <is>
          <t>Labor</t>
        </is>
      </c>
      <c r="B18" s="83" t="inlineStr">
        <is>
          <t>Wellness / care coordinators</t>
        </is>
      </c>
      <c r="C18" s="84" t="inlineStr">
        <is>
          <t>-</t>
        </is>
      </c>
      <c r="D18" s="85" t="n"/>
      <c r="E18" s="86" t="inlineStr">
        <is>
          <t>Wellness/Care Coordinators Labor | Wellness/Care Coordinator Labor | Care Coordinator Labor</t>
        </is>
      </c>
      <c r="F18" s="24">
        <f>SUMIF(T12_Calc!$N$1:$N$500,"Wellness / care coordinators",T12_Calc!$B$1:$B$500)</f>
        <v/>
      </c>
      <c r="G18" s="24">
        <f>SUMIF(T12_Calc!$N$1:$N$500,"Wellness / care coordinators",T12_Calc!$C$1:$C$500)</f>
        <v/>
      </c>
      <c r="H18" s="24">
        <f>SUMIF(T12_Calc!$N$1:$N$500,"Wellness / care coordinators",T12_Calc!$D$1:$D$500)</f>
        <v/>
      </c>
      <c r="I18" s="24">
        <f>SUMIF(T12_Calc!$N$1:$N$500,"Wellness / care coordinators",T12_Calc!$E$1:$E$500)</f>
        <v/>
      </c>
      <c r="J18" s="24">
        <f>SUMIF(T12_Calc!$N$1:$N$500,"Wellness / care coordinators",T12_Calc!$F$1:$F$500)</f>
        <v/>
      </c>
      <c r="K18" s="24">
        <f>SUMIF(T12_Calc!$N$1:$N$500,"Wellness / care coordinators",T12_Calc!$G$1:$G$500)</f>
        <v/>
      </c>
      <c r="L18" s="24">
        <f>SUMIF(T12_Calc!$N$1:$N$500,"Wellness / care coordinators",T12_Calc!$H$1:$H$500)</f>
        <v/>
      </c>
      <c r="M18" s="24">
        <f>SUMIF(T12_Calc!$N$1:$N$500,"Wellness / care coordinators",T12_Calc!$I$1:$I$500)</f>
        <v/>
      </c>
      <c r="N18" s="24">
        <f>SUMIF(T12_Calc!$N$1:$N$500,"Wellness / care coordinators",T12_Calc!$J$1:$J$500)</f>
        <v/>
      </c>
      <c r="O18" s="24">
        <f>SUMIF(T12_Calc!$N$1:$N$500,"Wellness / care coordinators",T12_Calc!$K$1:$K$500)</f>
        <v/>
      </c>
      <c r="P18" s="24">
        <f>SUMIF(T12_Calc!$N$1:$N$500,"Wellness / care coordinators",T12_Calc!$L$1:$L$500)</f>
        <v/>
      </c>
      <c r="Q18" s="24">
        <f>SUMIF(T12_Calc!$N$1:$N$500,"Wellness / care coordinators",T12_Calc!$M$1:$M$500)</f>
        <v/>
      </c>
      <c r="R18" s="87">
        <f>SUM(F18:Q18)</f>
        <v/>
      </c>
    </row>
    <row r="19" ht="15.75" customHeight="1" s="199">
      <c r="A19" s="88" t="inlineStr">
        <is>
          <t>Labor</t>
        </is>
      </c>
      <c r="B19" s="89" t="inlineStr">
        <is>
          <t>Contract / agency labor</t>
        </is>
      </c>
      <c r="C19" s="90" t="inlineStr">
        <is>
          <t>-</t>
        </is>
      </c>
      <c r="D19" s="91" t="inlineStr">
        <is>
          <t>Normalize at stabilization</t>
        </is>
      </c>
      <c r="E19" s="92" t="inlineStr">
        <is>
          <t>Contract Labor - Care | Contract Labor | Agency Labor</t>
        </is>
      </c>
      <c r="F19" s="47">
        <f>SUMIF(T12_Calc!$N$1:$N$500,"Contract / agency labor",T12_Calc!$B$1:$B$500)</f>
        <v/>
      </c>
      <c r="G19" s="47">
        <f>SUMIF(T12_Calc!$N$1:$N$500,"Contract / agency labor",T12_Calc!$C$1:$C$500)</f>
        <v/>
      </c>
      <c r="H19" s="47">
        <f>SUMIF(T12_Calc!$N$1:$N$500,"Contract / agency labor",T12_Calc!$D$1:$D$500)</f>
        <v/>
      </c>
      <c r="I19" s="47">
        <f>SUMIF(T12_Calc!$N$1:$N$500,"Contract / agency labor",T12_Calc!$E$1:$E$500)</f>
        <v/>
      </c>
      <c r="J19" s="47">
        <f>SUMIF(T12_Calc!$N$1:$N$500,"Contract / agency labor",T12_Calc!$F$1:$F$500)</f>
        <v/>
      </c>
      <c r="K19" s="47">
        <f>SUMIF(T12_Calc!$N$1:$N$500,"Contract / agency labor",T12_Calc!$G$1:$G$500)</f>
        <v/>
      </c>
      <c r="L19" s="47">
        <f>SUMIF(T12_Calc!$N$1:$N$500,"Contract / agency labor",T12_Calc!$H$1:$H$500)</f>
        <v/>
      </c>
      <c r="M19" s="47">
        <f>SUMIF(T12_Calc!$N$1:$N$500,"Contract / agency labor",T12_Calc!$I$1:$I$500)</f>
        <v/>
      </c>
      <c r="N19" s="47">
        <f>SUMIF(T12_Calc!$N$1:$N$500,"Contract / agency labor",T12_Calc!$J$1:$J$500)</f>
        <v/>
      </c>
      <c r="O19" s="47">
        <f>SUMIF(T12_Calc!$N$1:$N$500,"Contract / agency labor",T12_Calc!$K$1:$K$500)</f>
        <v/>
      </c>
      <c r="P19" s="47">
        <f>SUMIF(T12_Calc!$N$1:$N$500,"Contract / agency labor",T12_Calc!$L$1:$L$500)</f>
        <v/>
      </c>
      <c r="Q19" s="47">
        <f>SUMIF(T12_Calc!$N$1:$N$500,"Contract / agency labor",T12_Calc!$M$1:$M$500)</f>
        <v/>
      </c>
      <c r="R19" s="93">
        <f>SUM(F19:Q19)</f>
        <v/>
      </c>
    </row>
    <row r="20" ht="15.75" customHeight="1" s="199">
      <c r="A20" s="82" t="inlineStr">
        <is>
          <t>Labor</t>
        </is>
      </c>
      <c r="B20" s="83" t="inlineStr">
        <is>
          <t>Activities labor</t>
        </is>
      </c>
      <c r="C20" s="84" t="inlineStr">
        <is>
          <t>-</t>
        </is>
      </c>
      <c r="D20" s="85" t="n"/>
      <c r="E20" s="86" t="inlineStr">
        <is>
          <t>Activities Labor</t>
        </is>
      </c>
      <c r="F20" s="24">
        <f>SUMIF(T12_Calc!$N$1:$N$500,"Activities labor",T12_Calc!$B$1:$B$500)</f>
        <v/>
      </c>
      <c r="G20" s="24">
        <f>SUMIF(T12_Calc!$N$1:$N$500,"Activities labor",T12_Calc!$C$1:$C$500)</f>
        <v/>
      </c>
      <c r="H20" s="24">
        <f>SUMIF(T12_Calc!$N$1:$N$500,"Activities labor",T12_Calc!$D$1:$D$500)</f>
        <v/>
      </c>
      <c r="I20" s="24">
        <f>SUMIF(T12_Calc!$N$1:$N$500,"Activities labor",T12_Calc!$E$1:$E$500)</f>
        <v/>
      </c>
      <c r="J20" s="24">
        <f>SUMIF(T12_Calc!$N$1:$N$500,"Activities labor",T12_Calc!$F$1:$F$500)</f>
        <v/>
      </c>
      <c r="K20" s="24">
        <f>SUMIF(T12_Calc!$N$1:$N$500,"Activities labor",T12_Calc!$G$1:$G$500)</f>
        <v/>
      </c>
      <c r="L20" s="24">
        <f>SUMIF(T12_Calc!$N$1:$N$500,"Activities labor",T12_Calc!$H$1:$H$500)</f>
        <v/>
      </c>
      <c r="M20" s="24">
        <f>SUMIF(T12_Calc!$N$1:$N$500,"Activities labor",T12_Calc!$I$1:$I$500)</f>
        <v/>
      </c>
      <c r="N20" s="24">
        <f>SUMIF(T12_Calc!$N$1:$N$500,"Activities labor",T12_Calc!$J$1:$J$500)</f>
        <v/>
      </c>
      <c r="O20" s="24">
        <f>SUMIF(T12_Calc!$N$1:$N$500,"Activities labor",T12_Calc!$K$1:$K$500)</f>
        <v/>
      </c>
      <c r="P20" s="24">
        <f>SUMIF(T12_Calc!$N$1:$N$500,"Activities labor",T12_Calc!$L$1:$L$500)</f>
        <v/>
      </c>
      <c r="Q20" s="24">
        <f>SUMIF(T12_Calc!$N$1:$N$500,"Activities labor",T12_Calc!$M$1:$M$500)</f>
        <v/>
      </c>
      <c r="R20" s="87">
        <f>SUM(F20:Q20)</f>
        <v/>
      </c>
    </row>
    <row r="21" ht="15.75" customHeight="1" s="199">
      <c r="A21" s="82" t="inlineStr">
        <is>
          <t>Labor</t>
        </is>
      </c>
      <c r="B21" s="83" t="inlineStr">
        <is>
          <t>Dining / food service labor</t>
        </is>
      </c>
      <c r="C21" s="84" t="inlineStr">
        <is>
          <t>-</t>
        </is>
      </c>
      <c r="D21" s="85" t="n"/>
      <c r="E21" s="86" t="inlineStr">
        <is>
          <t>Food Service Labor | Dietary Labor | Dining Labor</t>
        </is>
      </c>
      <c r="F21" s="24">
        <f>SUMIF(T12_Calc!$N$1:$N$500,"Dining / food service labor",T12_Calc!$B$1:$B$500)</f>
        <v/>
      </c>
      <c r="G21" s="24">
        <f>SUMIF(T12_Calc!$N$1:$N$500,"Dining / food service labor",T12_Calc!$C$1:$C$500)</f>
        <v/>
      </c>
      <c r="H21" s="24">
        <f>SUMIF(T12_Calc!$N$1:$N$500,"Dining / food service labor",T12_Calc!$D$1:$D$500)</f>
        <v/>
      </c>
      <c r="I21" s="24">
        <f>SUMIF(T12_Calc!$N$1:$N$500,"Dining / food service labor",T12_Calc!$E$1:$E$500)</f>
        <v/>
      </c>
      <c r="J21" s="24">
        <f>SUMIF(T12_Calc!$N$1:$N$500,"Dining / food service labor",T12_Calc!$F$1:$F$500)</f>
        <v/>
      </c>
      <c r="K21" s="24">
        <f>SUMIF(T12_Calc!$N$1:$N$500,"Dining / food service labor",T12_Calc!$G$1:$G$500)</f>
        <v/>
      </c>
      <c r="L21" s="24">
        <f>SUMIF(T12_Calc!$N$1:$N$500,"Dining / food service labor",T12_Calc!$H$1:$H$500)</f>
        <v/>
      </c>
      <c r="M21" s="24">
        <f>SUMIF(T12_Calc!$N$1:$N$500,"Dining / food service labor",T12_Calc!$I$1:$I$500)</f>
        <v/>
      </c>
      <c r="N21" s="24">
        <f>SUMIF(T12_Calc!$N$1:$N$500,"Dining / food service labor",T12_Calc!$J$1:$J$500)</f>
        <v/>
      </c>
      <c r="O21" s="24">
        <f>SUMIF(T12_Calc!$N$1:$N$500,"Dining / food service labor",T12_Calc!$K$1:$K$500)</f>
        <v/>
      </c>
      <c r="P21" s="24">
        <f>SUMIF(T12_Calc!$N$1:$N$500,"Dining / food service labor",T12_Calc!$L$1:$L$500)</f>
        <v/>
      </c>
      <c r="Q21" s="24">
        <f>SUMIF(T12_Calc!$N$1:$N$500,"Dining / food service labor",T12_Calc!$M$1:$M$500)</f>
        <v/>
      </c>
      <c r="R21" s="87">
        <f>SUM(F21:Q21)</f>
        <v/>
      </c>
    </row>
    <row r="22" ht="15.75" customHeight="1" s="199">
      <c r="A22" s="82" t="inlineStr">
        <is>
          <t>Labor</t>
        </is>
      </c>
      <c r="B22" s="83" t="inlineStr">
        <is>
          <t>Maint. &amp; housekeeping labor</t>
        </is>
      </c>
      <c r="C22" s="84" t="inlineStr">
        <is>
          <t>-</t>
        </is>
      </c>
      <c r="D22" s="85" t="n"/>
      <c r="E22" s="86" t="inlineStr">
        <is>
          <t>Maintenance/Housekeeping Labor | Maintenance Labor | Housekeeping Labor</t>
        </is>
      </c>
      <c r="F22" s="24">
        <f>SUMIF(T12_Calc!$N$1:$N$500,"Maint. &amp; housekeeping labor",T12_Calc!$B$1:$B$500)</f>
        <v/>
      </c>
      <c r="G22" s="24">
        <f>SUMIF(T12_Calc!$N$1:$N$500,"Maint. &amp; housekeeping labor",T12_Calc!$C$1:$C$500)</f>
        <v/>
      </c>
      <c r="H22" s="24">
        <f>SUMIF(T12_Calc!$N$1:$N$500,"Maint. &amp; housekeeping labor",T12_Calc!$D$1:$D$500)</f>
        <v/>
      </c>
      <c r="I22" s="24">
        <f>SUMIF(T12_Calc!$N$1:$N$500,"Maint. &amp; housekeeping labor",T12_Calc!$E$1:$E$500)</f>
        <v/>
      </c>
      <c r="J22" s="24">
        <f>SUMIF(T12_Calc!$N$1:$N$500,"Maint. &amp; housekeeping labor",T12_Calc!$F$1:$F$500)</f>
        <v/>
      </c>
      <c r="K22" s="24">
        <f>SUMIF(T12_Calc!$N$1:$N$500,"Maint. &amp; housekeeping labor",T12_Calc!$G$1:$G$500)</f>
        <v/>
      </c>
      <c r="L22" s="24">
        <f>SUMIF(T12_Calc!$N$1:$N$500,"Maint. &amp; housekeeping labor",T12_Calc!$H$1:$H$500)</f>
        <v/>
      </c>
      <c r="M22" s="24">
        <f>SUMIF(T12_Calc!$N$1:$N$500,"Maint. &amp; housekeeping labor",T12_Calc!$I$1:$I$500)</f>
        <v/>
      </c>
      <c r="N22" s="24">
        <f>SUMIF(T12_Calc!$N$1:$N$500,"Maint. &amp; housekeeping labor",T12_Calc!$J$1:$J$500)</f>
        <v/>
      </c>
      <c r="O22" s="24">
        <f>SUMIF(T12_Calc!$N$1:$N$500,"Maint. &amp; housekeeping labor",T12_Calc!$K$1:$K$500)</f>
        <v/>
      </c>
      <c r="P22" s="24">
        <f>SUMIF(T12_Calc!$N$1:$N$500,"Maint. &amp; housekeeping labor",T12_Calc!$L$1:$L$500)</f>
        <v/>
      </c>
      <c r="Q22" s="24">
        <f>SUMIF(T12_Calc!$N$1:$N$500,"Maint. &amp; housekeeping labor",T12_Calc!$M$1:$M$500)</f>
        <v/>
      </c>
      <c r="R22" s="87">
        <f>SUM(F22:Q22)</f>
        <v/>
      </c>
    </row>
    <row r="23" ht="15.75" customHeight="1" s="199">
      <c r="A23" s="82" t="inlineStr">
        <is>
          <t>Labor</t>
        </is>
      </c>
      <c r="B23" s="83" t="inlineStr">
        <is>
          <t>Administrative labor</t>
        </is>
      </c>
      <c r="C23" s="84" t="inlineStr">
        <is>
          <t>-</t>
        </is>
      </c>
      <c r="D23" s="85" t="n"/>
      <c r="E23" s="86" t="inlineStr">
        <is>
          <t>Administration Labor | Administrative Labor</t>
        </is>
      </c>
      <c r="F23" s="24">
        <f>SUMIF(T12_Calc!$N$1:$N$500,"Administrative labor",T12_Calc!$B$1:$B$500)</f>
        <v/>
      </c>
      <c r="G23" s="24">
        <f>SUMIF(T12_Calc!$N$1:$N$500,"Administrative labor",T12_Calc!$C$1:$C$500)</f>
        <v/>
      </c>
      <c r="H23" s="24">
        <f>SUMIF(T12_Calc!$N$1:$N$500,"Administrative labor",T12_Calc!$D$1:$D$500)</f>
        <v/>
      </c>
      <c r="I23" s="24">
        <f>SUMIF(T12_Calc!$N$1:$N$500,"Administrative labor",T12_Calc!$E$1:$E$500)</f>
        <v/>
      </c>
      <c r="J23" s="24">
        <f>SUMIF(T12_Calc!$N$1:$N$500,"Administrative labor",T12_Calc!$F$1:$F$500)</f>
        <v/>
      </c>
      <c r="K23" s="24">
        <f>SUMIF(T12_Calc!$N$1:$N$500,"Administrative labor",T12_Calc!$G$1:$G$500)</f>
        <v/>
      </c>
      <c r="L23" s="24">
        <f>SUMIF(T12_Calc!$N$1:$N$500,"Administrative labor",T12_Calc!$H$1:$H$500)</f>
        <v/>
      </c>
      <c r="M23" s="24">
        <f>SUMIF(T12_Calc!$N$1:$N$500,"Administrative labor",T12_Calc!$I$1:$I$500)</f>
        <v/>
      </c>
      <c r="N23" s="24">
        <f>SUMIF(T12_Calc!$N$1:$N$500,"Administrative labor",T12_Calc!$J$1:$J$500)</f>
        <v/>
      </c>
      <c r="O23" s="24">
        <f>SUMIF(T12_Calc!$N$1:$N$500,"Administrative labor",T12_Calc!$K$1:$K$500)</f>
        <v/>
      </c>
      <c r="P23" s="24">
        <f>SUMIF(T12_Calc!$N$1:$N$500,"Administrative labor",T12_Calc!$L$1:$L$500)</f>
        <v/>
      </c>
      <c r="Q23" s="24">
        <f>SUMIF(T12_Calc!$N$1:$N$500,"Administrative labor",T12_Calc!$M$1:$M$500)</f>
        <v/>
      </c>
      <c r="R23" s="87">
        <f>SUM(F23:Q23)</f>
        <v/>
      </c>
    </row>
    <row r="24" ht="15.75" customHeight="1" s="199">
      <c r="A24" s="88" t="inlineStr">
        <is>
          <t>Labor</t>
        </is>
      </c>
      <c r="B24" s="89" t="inlineStr">
        <is>
          <t>Bonus wages</t>
        </is>
      </c>
      <c r="C24" s="90" t="inlineStr">
        <is>
          <t>-</t>
        </is>
      </c>
      <c r="D24" s="91" t="inlineStr">
        <is>
          <t>Stabilize annually</t>
        </is>
      </c>
      <c r="E24" s="92" t="inlineStr">
        <is>
          <t>Bonus Wages</t>
        </is>
      </c>
      <c r="F24" s="47">
        <f>SUMIF(T12_Calc!$N$1:$N$500,"Bonus wages",T12_Calc!$B$1:$B$500)</f>
        <v/>
      </c>
      <c r="G24" s="47">
        <f>SUMIF(T12_Calc!$N$1:$N$500,"Bonus wages",T12_Calc!$C$1:$C$500)</f>
        <v/>
      </c>
      <c r="H24" s="47">
        <f>SUMIF(T12_Calc!$N$1:$N$500,"Bonus wages",T12_Calc!$D$1:$D$500)</f>
        <v/>
      </c>
      <c r="I24" s="47">
        <f>SUMIF(T12_Calc!$N$1:$N$500,"Bonus wages",T12_Calc!$E$1:$E$500)</f>
        <v/>
      </c>
      <c r="J24" s="47">
        <f>SUMIF(T12_Calc!$N$1:$N$500,"Bonus wages",T12_Calc!$F$1:$F$500)</f>
        <v/>
      </c>
      <c r="K24" s="47">
        <f>SUMIF(T12_Calc!$N$1:$N$500,"Bonus wages",T12_Calc!$G$1:$G$500)</f>
        <v/>
      </c>
      <c r="L24" s="47">
        <f>SUMIF(T12_Calc!$N$1:$N$500,"Bonus wages",T12_Calc!$H$1:$H$500)</f>
        <v/>
      </c>
      <c r="M24" s="47">
        <f>SUMIF(T12_Calc!$N$1:$N$500,"Bonus wages",T12_Calc!$I$1:$I$500)</f>
        <v/>
      </c>
      <c r="N24" s="47">
        <f>SUMIF(T12_Calc!$N$1:$N$500,"Bonus wages",T12_Calc!$J$1:$J$500)</f>
        <v/>
      </c>
      <c r="O24" s="47">
        <f>SUMIF(T12_Calc!$N$1:$N$500,"Bonus wages",T12_Calc!$K$1:$K$500)</f>
        <v/>
      </c>
      <c r="P24" s="47">
        <f>SUMIF(T12_Calc!$N$1:$N$500,"Bonus wages",T12_Calc!$L$1:$L$500)</f>
        <v/>
      </c>
      <c r="Q24" s="47">
        <f>SUMIF(T12_Calc!$N$1:$N$500,"Bonus wages",T12_Calc!$M$1:$M$500)</f>
        <v/>
      </c>
      <c r="R24" s="93">
        <f>SUM(F24:Q24)</f>
        <v/>
      </c>
    </row>
    <row r="25" ht="15.75" customHeight="1" s="199">
      <c r="A25" s="88" t="inlineStr">
        <is>
          <t>Labor</t>
        </is>
      </c>
      <c r="B25" s="89" t="inlineStr">
        <is>
          <t>Overtime wages</t>
        </is>
      </c>
      <c r="C25" s="90" t="inlineStr">
        <is>
          <t>-</t>
        </is>
      </c>
      <c r="D25" s="91" t="inlineStr">
        <is>
          <t>Flag if &gt;5% of wages</t>
        </is>
      </c>
      <c r="E25" s="92" t="inlineStr">
        <is>
          <t>Overtime | Overtime Wages | OT Wages</t>
        </is>
      </c>
      <c r="F25" s="47">
        <f>SUMIF(T12_Calc!$N$1:$N$500,"Overtime wages",T12_Calc!$B$1:$B$500)</f>
        <v/>
      </c>
      <c r="G25" s="47">
        <f>SUMIF(T12_Calc!$N$1:$N$500,"Overtime wages",T12_Calc!$C$1:$C$500)</f>
        <v/>
      </c>
      <c r="H25" s="47">
        <f>SUMIF(T12_Calc!$N$1:$N$500,"Overtime wages",T12_Calc!$D$1:$D$500)</f>
        <v/>
      </c>
      <c r="I25" s="47">
        <f>SUMIF(T12_Calc!$N$1:$N$500,"Overtime wages",T12_Calc!$E$1:$E$500)</f>
        <v/>
      </c>
      <c r="J25" s="47">
        <f>SUMIF(T12_Calc!$N$1:$N$500,"Overtime wages",T12_Calc!$F$1:$F$500)</f>
        <v/>
      </c>
      <c r="K25" s="47">
        <f>SUMIF(T12_Calc!$N$1:$N$500,"Overtime wages",T12_Calc!$G$1:$G$500)</f>
        <v/>
      </c>
      <c r="L25" s="47">
        <f>SUMIF(T12_Calc!$N$1:$N$500,"Overtime wages",T12_Calc!$H$1:$H$500)</f>
        <v/>
      </c>
      <c r="M25" s="47">
        <f>SUMIF(T12_Calc!$N$1:$N$500,"Overtime wages",T12_Calc!$I$1:$I$500)</f>
        <v/>
      </c>
      <c r="N25" s="47">
        <f>SUMIF(T12_Calc!$N$1:$N$500,"Overtime wages",T12_Calc!$J$1:$J$500)</f>
        <v/>
      </c>
      <c r="O25" s="47">
        <f>SUMIF(T12_Calc!$N$1:$N$500,"Overtime wages",T12_Calc!$K$1:$K$500)</f>
        <v/>
      </c>
      <c r="P25" s="47">
        <f>SUMIF(T12_Calc!$N$1:$N$500,"Overtime wages",T12_Calc!$L$1:$L$500)</f>
        <v/>
      </c>
      <c r="Q25" s="47">
        <f>SUMIF(T12_Calc!$N$1:$N$500,"Overtime wages",T12_Calc!$M$1:$M$500)</f>
        <v/>
      </c>
      <c r="R25" s="93">
        <f>SUM(F25:Q25)</f>
        <v/>
      </c>
    </row>
    <row r="26" ht="15.75" customHeight="1" s="199">
      <c r="A26" s="88" t="inlineStr">
        <is>
          <t>Labor</t>
        </is>
      </c>
      <c r="B26" s="89" t="inlineStr">
        <is>
          <t>PTO wages</t>
        </is>
      </c>
      <c r="C26" s="90" t="inlineStr">
        <is>
          <t>-</t>
        </is>
      </c>
      <c r="D26" s="91" t="inlineStr">
        <is>
          <t>Annualize</t>
        </is>
      </c>
      <c r="E26" s="92" t="inlineStr">
        <is>
          <t>PTO Wages | PTO</t>
        </is>
      </c>
      <c r="F26" s="47">
        <f>SUMIF(T12_Calc!$N$1:$N$500,"PTO wages",T12_Calc!$B$1:$B$500)</f>
        <v/>
      </c>
      <c r="G26" s="47">
        <f>SUMIF(T12_Calc!$N$1:$N$500,"PTO wages",T12_Calc!$C$1:$C$500)</f>
        <v/>
      </c>
      <c r="H26" s="47">
        <f>SUMIF(T12_Calc!$N$1:$N$500,"PTO wages",T12_Calc!$D$1:$D$500)</f>
        <v/>
      </c>
      <c r="I26" s="47">
        <f>SUMIF(T12_Calc!$N$1:$N$500,"PTO wages",T12_Calc!$E$1:$E$500)</f>
        <v/>
      </c>
      <c r="J26" s="47">
        <f>SUMIF(T12_Calc!$N$1:$N$500,"PTO wages",T12_Calc!$F$1:$F$500)</f>
        <v/>
      </c>
      <c r="K26" s="47">
        <f>SUMIF(T12_Calc!$N$1:$N$500,"PTO wages",T12_Calc!$G$1:$G$500)</f>
        <v/>
      </c>
      <c r="L26" s="47">
        <f>SUMIF(T12_Calc!$N$1:$N$500,"PTO wages",T12_Calc!$H$1:$H$500)</f>
        <v/>
      </c>
      <c r="M26" s="47">
        <f>SUMIF(T12_Calc!$N$1:$N$500,"PTO wages",T12_Calc!$I$1:$I$500)</f>
        <v/>
      </c>
      <c r="N26" s="47">
        <f>SUMIF(T12_Calc!$N$1:$N$500,"PTO wages",T12_Calc!$J$1:$J$500)</f>
        <v/>
      </c>
      <c r="O26" s="47">
        <f>SUMIF(T12_Calc!$N$1:$N$500,"PTO wages",T12_Calc!$K$1:$K$500)</f>
        <v/>
      </c>
      <c r="P26" s="47">
        <f>SUMIF(T12_Calc!$N$1:$N$500,"PTO wages",T12_Calc!$L$1:$L$500)</f>
        <v/>
      </c>
      <c r="Q26" s="47">
        <f>SUMIF(T12_Calc!$N$1:$N$500,"PTO wages",T12_Calc!$M$1:$M$500)</f>
        <v/>
      </c>
      <c r="R26" s="93">
        <f>SUM(F26:Q26)</f>
        <v/>
      </c>
    </row>
    <row r="27" ht="15.75" customHeight="1" s="199">
      <c r="A27" s="82" t="inlineStr">
        <is>
          <t>Labor</t>
        </is>
      </c>
      <c r="B27" s="83" t="inlineStr">
        <is>
          <t>Payroll taxes</t>
        </is>
      </c>
      <c r="C27" s="84" t="inlineStr">
        <is>
          <t>-</t>
        </is>
      </c>
      <c r="D27" s="85" t="n"/>
      <c r="E27" s="86" t="inlineStr">
        <is>
          <t>Payroll Taxes</t>
        </is>
      </c>
      <c r="F27" s="24">
        <f>SUMIF(T12_Calc!$N$1:$N$500,"Payroll taxes",T12_Calc!$B$1:$B$500)</f>
        <v/>
      </c>
      <c r="G27" s="24">
        <f>SUMIF(T12_Calc!$N$1:$N$500,"Payroll taxes",T12_Calc!$C$1:$C$500)</f>
        <v/>
      </c>
      <c r="H27" s="24">
        <f>SUMIF(T12_Calc!$N$1:$N$500,"Payroll taxes",T12_Calc!$D$1:$D$500)</f>
        <v/>
      </c>
      <c r="I27" s="24">
        <f>SUMIF(T12_Calc!$N$1:$N$500,"Payroll taxes",T12_Calc!$E$1:$E$500)</f>
        <v/>
      </c>
      <c r="J27" s="24">
        <f>SUMIF(T12_Calc!$N$1:$N$500,"Payroll taxes",T12_Calc!$F$1:$F$500)</f>
        <v/>
      </c>
      <c r="K27" s="24">
        <f>SUMIF(T12_Calc!$N$1:$N$500,"Payroll taxes",T12_Calc!$G$1:$G$500)</f>
        <v/>
      </c>
      <c r="L27" s="24">
        <f>SUMIF(T12_Calc!$N$1:$N$500,"Payroll taxes",T12_Calc!$H$1:$H$500)</f>
        <v/>
      </c>
      <c r="M27" s="24">
        <f>SUMIF(T12_Calc!$N$1:$N$500,"Payroll taxes",T12_Calc!$I$1:$I$500)</f>
        <v/>
      </c>
      <c r="N27" s="24">
        <f>SUMIF(T12_Calc!$N$1:$N$500,"Payroll taxes",T12_Calc!$J$1:$J$500)</f>
        <v/>
      </c>
      <c r="O27" s="24">
        <f>SUMIF(T12_Calc!$N$1:$N$500,"Payroll taxes",T12_Calc!$K$1:$K$500)</f>
        <v/>
      </c>
      <c r="P27" s="24">
        <f>SUMIF(T12_Calc!$N$1:$N$500,"Payroll taxes",T12_Calc!$L$1:$L$500)</f>
        <v/>
      </c>
      <c r="Q27" s="24">
        <f>SUMIF(T12_Calc!$N$1:$N$500,"Payroll taxes",T12_Calc!$M$1:$M$500)</f>
        <v/>
      </c>
      <c r="R27" s="87">
        <f>SUM(F27:Q27)</f>
        <v/>
      </c>
    </row>
    <row r="28" ht="15.75" customHeight="1" s="199">
      <c r="A28" s="82" t="inlineStr">
        <is>
          <t>Labor</t>
        </is>
      </c>
      <c r="B28" s="83" t="inlineStr">
        <is>
          <t>Employee benefits</t>
        </is>
      </c>
      <c r="C28" s="84" t="inlineStr">
        <is>
          <t>-</t>
        </is>
      </c>
      <c r="D28" s="85" t="n"/>
      <c r="E28" s="86" t="inlineStr">
        <is>
          <t>Employee Benefits - Insurance | Employee Benefits</t>
        </is>
      </c>
      <c r="F28" s="24">
        <f>SUMIF(T12_Calc!$N$1:$N$500,"Employee benefits",T12_Calc!$B$1:$B$500)</f>
        <v/>
      </c>
      <c r="G28" s="24">
        <f>SUMIF(T12_Calc!$N$1:$N$500,"Employee benefits",T12_Calc!$C$1:$C$500)</f>
        <v/>
      </c>
      <c r="H28" s="24">
        <f>SUMIF(T12_Calc!$N$1:$N$500,"Employee benefits",T12_Calc!$D$1:$D$500)</f>
        <v/>
      </c>
      <c r="I28" s="24">
        <f>SUMIF(T12_Calc!$N$1:$N$500,"Employee benefits",T12_Calc!$E$1:$E$500)</f>
        <v/>
      </c>
      <c r="J28" s="24">
        <f>SUMIF(T12_Calc!$N$1:$N$500,"Employee benefits",T12_Calc!$F$1:$F$500)</f>
        <v/>
      </c>
      <c r="K28" s="24">
        <f>SUMIF(T12_Calc!$N$1:$N$500,"Employee benefits",T12_Calc!$G$1:$G$500)</f>
        <v/>
      </c>
      <c r="L28" s="24">
        <f>SUMIF(T12_Calc!$N$1:$N$500,"Employee benefits",T12_Calc!$H$1:$H$500)</f>
        <v/>
      </c>
      <c r="M28" s="24">
        <f>SUMIF(T12_Calc!$N$1:$N$500,"Employee benefits",T12_Calc!$I$1:$I$500)</f>
        <v/>
      </c>
      <c r="N28" s="24">
        <f>SUMIF(T12_Calc!$N$1:$N$500,"Employee benefits",T12_Calc!$J$1:$J$500)</f>
        <v/>
      </c>
      <c r="O28" s="24">
        <f>SUMIF(T12_Calc!$N$1:$N$500,"Employee benefits",T12_Calc!$K$1:$K$500)</f>
        <v/>
      </c>
      <c r="P28" s="24">
        <f>SUMIF(T12_Calc!$N$1:$N$500,"Employee benefits",T12_Calc!$L$1:$L$500)</f>
        <v/>
      </c>
      <c r="Q28" s="24">
        <f>SUMIF(T12_Calc!$N$1:$N$500,"Employee benefits",T12_Calc!$M$1:$M$500)</f>
        <v/>
      </c>
      <c r="R28" s="87">
        <f>SUM(F28:Q28)</f>
        <v/>
      </c>
    </row>
    <row r="29" ht="15.75" customHeight="1" s="199">
      <c r="A29" s="82" t="inlineStr">
        <is>
          <t>Labor</t>
        </is>
      </c>
      <c r="B29" s="83" t="inlineStr">
        <is>
          <t>Workers' comp insurance</t>
        </is>
      </c>
      <c r="C29" s="84" t="inlineStr">
        <is>
          <t>-</t>
        </is>
      </c>
      <c r="D29" s="85" t="n"/>
      <c r="E29" s="86" t="inlineStr">
        <is>
          <t>Worker's Comp Insurance | Workers Comp Insurance | Workers' Compensation</t>
        </is>
      </c>
      <c r="F29" s="24">
        <f>SUMIF(T12_Calc!$N$1:$N$500,"Workers' comp insurance",T12_Calc!$B$1:$B$500)</f>
        <v/>
      </c>
      <c r="G29" s="24">
        <f>SUMIF(T12_Calc!$N$1:$N$500,"Workers' comp insurance",T12_Calc!$C$1:$C$500)</f>
        <v/>
      </c>
      <c r="H29" s="24">
        <f>SUMIF(T12_Calc!$N$1:$N$500,"Workers' comp insurance",T12_Calc!$D$1:$D$500)</f>
        <v/>
      </c>
      <c r="I29" s="24">
        <f>SUMIF(T12_Calc!$N$1:$N$500,"Workers' comp insurance",T12_Calc!$E$1:$E$500)</f>
        <v/>
      </c>
      <c r="J29" s="24">
        <f>SUMIF(T12_Calc!$N$1:$N$500,"Workers' comp insurance",T12_Calc!$F$1:$F$500)</f>
        <v/>
      </c>
      <c r="K29" s="24">
        <f>SUMIF(T12_Calc!$N$1:$N$500,"Workers' comp insurance",T12_Calc!$G$1:$G$500)</f>
        <v/>
      </c>
      <c r="L29" s="24">
        <f>SUMIF(T12_Calc!$N$1:$N$500,"Workers' comp insurance",T12_Calc!$H$1:$H$500)</f>
        <v/>
      </c>
      <c r="M29" s="24">
        <f>SUMIF(T12_Calc!$N$1:$N$500,"Workers' comp insurance",T12_Calc!$I$1:$I$500)</f>
        <v/>
      </c>
      <c r="N29" s="24">
        <f>SUMIF(T12_Calc!$N$1:$N$500,"Workers' comp insurance",T12_Calc!$J$1:$J$500)</f>
        <v/>
      </c>
      <c r="O29" s="24">
        <f>SUMIF(T12_Calc!$N$1:$N$500,"Workers' comp insurance",T12_Calc!$K$1:$K$500)</f>
        <v/>
      </c>
      <c r="P29" s="24">
        <f>SUMIF(T12_Calc!$N$1:$N$500,"Workers' comp insurance",T12_Calc!$L$1:$L$500)</f>
        <v/>
      </c>
      <c r="Q29" s="24">
        <f>SUMIF(T12_Calc!$N$1:$N$500,"Workers' comp insurance",T12_Calc!$M$1:$M$500)</f>
        <v/>
      </c>
      <c r="R29" s="87">
        <f>SUM(F29:Q29)</f>
        <v/>
      </c>
    </row>
    <row r="30" ht="15.75" customHeight="1" s="199">
      <c r="A30" s="82" t="inlineStr">
        <is>
          <t>Labor</t>
        </is>
      </c>
      <c r="B30" s="83" t="inlineStr">
        <is>
          <t>Employee 401(k)</t>
        </is>
      </c>
      <c r="C30" s="84" t="inlineStr">
        <is>
          <t>-</t>
        </is>
      </c>
      <c r="D30" s="85" t="n"/>
      <c r="E30" s="86" t="inlineStr">
        <is>
          <t>Employee 401(K) | Employee 401(k)</t>
        </is>
      </c>
      <c r="F30" s="24">
        <f>SUMIF(T12_Calc!$N$1:$N$500,"Employee 401(k)",T12_Calc!$B$1:$B$500)</f>
        <v/>
      </c>
      <c r="G30" s="24">
        <f>SUMIF(T12_Calc!$N$1:$N$500,"Employee 401(k)",T12_Calc!$C$1:$C$500)</f>
        <v/>
      </c>
      <c r="H30" s="24">
        <f>SUMIF(T12_Calc!$N$1:$N$500,"Employee 401(k)",T12_Calc!$D$1:$D$500)</f>
        <v/>
      </c>
      <c r="I30" s="24">
        <f>SUMIF(T12_Calc!$N$1:$N$500,"Employee 401(k)",T12_Calc!$E$1:$E$500)</f>
        <v/>
      </c>
      <c r="J30" s="24">
        <f>SUMIF(T12_Calc!$N$1:$N$500,"Employee 401(k)",T12_Calc!$F$1:$F$500)</f>
        <v/>
      </c>
      <c r="K30" s="24">
        <f>SUMIF(T12_Calc!$N$1:$N$500,"Employee 401(k)",T12_Calc!$G$1:$G$500)</f>
        <v/>
      </c>
      <c r="L30" s="24">
        <f>SUMIF(T12_Calc!$N$1:$N$500,"Employee 401(k)",T12_Calc!$H$1:$H$500)</f>
        <v/>
      </c>
      <c r="M30" s="24">
        <f>SUMIF(T12_Calc!$N$1:$N$500,"Employee 401(k)",T12_Calc!$I$1:$I$500)</f>
        <v/>
      </c>
      <c r="N30" s="24">
        <f>SUMIF(T12_Calc!$N$1:$N$500,"Employee 401(k)",T12_Calc!$J$1:$J$500)</f>
        <v/>
      </c>
      <c r="O30" s="24">
        <f>SUMIF(T12_Calc!$N$1:$N$500,"Employee 401(k)",T12_Calc!$K$1:$K$500)</f>
        <v/>
      </c>
      <c r="P30" s="24">
        <f>SUMIF(T12_Calc!$N$1:$N$500,"Employee 401(k)",T12_Calc!$L$1:$L$500)</f>
        <v/>
      </c>
      <c r="Q30" s="24">
        <f>SUMIF(T12_Calc!$N$1:$N$500,"Employee 401(k)",T12_Calc!$M$1:$M$500)</f>
        <v/>
      </c>
      <c r="R30" s="87">
        <f>SUM(F30:Q30)</f>
        <v/>
      </c>
    </row>
    <row r="31" ht="15.75" customHeight="1" s="199">
      <c r="A31" s="82" t="inlineStr">
        <is>
          <t>Non-Labor</t>
        </is>
      </c>
      <c r="B31" s="83" t="inlineStr">
        <is>
          <t>Food cost</t>
        </is>
      </c>
      <c r="C31" s="84" t="inlineStr">
        <is>
          <t>-</t>
        </is>
      </c>
      <c r="D31" s="85" t="n"/>
      <c r="E31" s="86" t="inlineStr">
        <is>
          <t>Food Cost</t>
        </is>
      </c>
      <c r="F31" s="24">
        <f>SUMIF(T12_Calc!$N$1:$N$500,"Food cost",T12_Calc!$B$1:$B$500)</f>
        <v/>
      </c>
      <c r="G31" s="24">
        <f>SUMIF(T12_Calc!$N$1:$N$500,"Food cost",T12_Calc!$C$1:$C$500)</f>
        <v/>
      </c>
      <c r="H31" s="24">
        <f>SUMIF(T12_Calc!$N$1:$N$500,"Food cost",T12_Calc!$D$1:$D$500)</f>
        <v/>
      </c>
      <c r="I31" s="24">
        <f>SUMIF(T12_Calc!$N$1:$N$500,"Food cost",T12_Calc!$E$1:$E$500)</f>
        <v/>
      </c>
      <c r="J31" s="24">
        <f>SUMIF(T12_Calc!$N$1:$N$500,"Food cost",T12_Calc!$F$1:$F$500)</f>
        <v/>
      </c>
      <c r="K31" s="24">
        <f>SUMIF(T12_Calc!$N$1:$N$500,"Food cost",T12_Calc!$G$1:$G$500)</f>
        <v/>
      </c>
      <c r="L31" s="24">
        <f>SUMIF(T12_Calc!$N$1:$N$500,"Food cost",T12_Calc!$H$1:$H$500)</f>
        <v/>
      </c>
      <c r="M31" s="24">
        <f>SUMIF(T12_Calc!$N$1:$N$500,"Food cost",T12_Calc!$I$1:$I$500)</f>
        <v/>
      </c>
      <c r="N31" s="24">
        <f>SUMIF(T12_Calc!$N$1:$N$500,"Food cost",T12_Calc!$J$1:$J$500)</f>
        <v/>
      </c>
      <c r="O31" s="24">
        <f>SUMIF(T12_Calc!$N$1:$N$500,"Food cost",T12_Calc!$K$1:$K$500)</f>
        <v/>
      </c>
      <c r="P31" s="24">
        <f>SUMIF(T12_Calc!$N$1:$N$500,"Food cost",T12_Calc!$L$1:$L$500)</f>
        <v/>
      </c>
      <c r="Q31" s="24">
        <f>SUMIF(T12_Calc!$N$1:$N$500,"Food cost",T12_Calc!$M$1:$M$500)</f>
        <v/>
      </c>
      <c r="R31" s="87">
        <f>SUM(F31:Q31)</f>
        <v/>
      </c>
    </row>
    <row r="32" ht="15.75" customHeight="1" s="199">
      <c r="A32" s="82" t="inlineStr">
        <is>
          <t>Non-Labor</t>
        </is>
      </c>
      <c r="B32" s="83" t="inlineStr">
        <is>
          <t>Dining &amp; kitchen supplies</t>
        </is>
      </c>
      <c r="C32" s="84" t="inlineStr">
        <is>
          <t>-</t>
        </is>
      </c>
      <c r="D32" s="85" t="n"/>
      <c r="E32" s="86" t="inlineStr">
        <is>
          <t>Dietary Supplies</t>
        </is>
      </c>
      <c r="F32" s="24">
        <f>SUMIF(T12_Calc!$N$1:$N$500,"Dining &amp; kitchen supplies",T12_Calc!$B$1:$B$500)</f>
        <v/>
      </c>
      <c r="G32" s="24">
        <f>SUMIF(T12_Calc!$N$1:$N$500,"Dining &amp; kitchen supplies",T12_Calc!$C$1:$C$500)</f>
        <v/>
      </c>
      <c r="H32" s="24">
        <f>SUMIF(T12_Calc!$N$1:$N$500,"Dining &amp; kitchen supplies",T12_Calc!$D$1:$D$500)</f>
        <v/>
      </c>
      <c r="I32" s="24">
        <f>SUMIF(T12_Calc!$N$1:$N$500,"Dining &amp; kitchen supplies",T12_Calc!$E$1:$E$500)</f>
        <v/>
      </c>
      <c r="J32" s="24">
        <f>SUMIF(T12_Calc!$N$1:$N$500,"Dining &amp; kitchen supplies",T12_Calc!$F$1:$F$500)</f>
        <v/>
      </c>
      <c r="K32" s="24">
        <f>SUMIF(T12_Calc!$N$1:$N$500,"Dining &amp; kitchen supplies",T12_Calc!$G$1:$G$500)</f>
        <v/>
      </c>
      <c r="L32" s="24">
        <f>SUMIF(T12_Calc!$N$1:$N$500,"Dining &amp; kitchen supplies",T12_Calc!$H$1:$H$500)</f>
        <v/>
      </c>
      <c r="M32" s="24">
        <f>SUMIF(T12_Calc!$N$1:$N$500,"Dining &amp; kitchen supplies",T12_Calc!$I$1:$I$500)</f>
        <v/>
      </c>
      <c r="N32" s="24">
        <f>SUMIF(T12_Calc!$N$1:$N$500,"Dining &amp; kitchen supplies",T12_Calc!$J$1:$J$500)</f>
        <v/>
      </c>
      <c r="O32" s="24">
        <f>SUMIF(T12_Calc!$N$1:$N$500,"Dining &amp; kitchen supplies",T12_Calc!$K$1:$K$500)</f>
        <v/>
      </c>
      <c r="P32" s="24">
        <f>SUMIF(T12_Calc!$N$1:$N$500,"Dining &amp; kitchen supplies",T12_Calc!$L$1:$L$500)</f>
        <v/>
      </c>
      <c r="Q32" s="24">
        <f>SUMIF(T12_Calc!$N$1:$N$500,"Dining &amp; kitchen supplies",T12_Calc!$M$1:$M$500)</f>
        <v/>
      </c>
      <c r="R32" s="87">
        <f>SUM(F32:Q32)</f>
        <v/>
      </c>
    </row>
    <row r="33" ht="15.75" customHeight="1" s="199">
      <c r="A33" s="82" t="inlineStr">
        <is>
          <t>Non-Labor</t>
        </is>
      </c>
      <c r="B33" s="83" t="inlineStr">
        <is>
          <t>Nursing &amp; care supplies</t>
        </is>
      </c>
      <c r="C33" s="84" t="inlineStr">
        <is>
          <t>-</t>
        </is>
      </c>
      <c r="D33" s="85" t="n"/>
      <c r="E33" s="86" t="inlineStr">
        <is>
          <t>Nursing Supplies</t>
        </is>
      </c>
      <c r="F33" s="24">
        <f>SUMIF(T12_Calc!$N$1:$N$500,"Nursing &amp; care supplies",T12_Calc!$B$1:$B$500)</f>
        <v/>
      </c>
      <c r="G33" s="24">
        <f>SUMIF(T12_Calc!$N$1:$N$500,"Nursing &amp; care supplies",T12_Calc!$C$1:$C$500)</f>
        <v/>
      </c>
      <c r="H33" s="24">
        <f>SUMIF(T12_Calc!$N$1:$N$500,"Nursing &amp; care supplies",T12_Calc!$D$1:$D$500)</f>
        <v/>
      </c>
      <c r="I33" s="24">
        <f>SUMIF(T12_Calc!$N$1:$N$500,"Nursing &amp; care supplies",T12_Calc!$E$1:$E$500)</f>
        <v/>
      </c>
      <c r="J33" s="24">
        <f>SUMIF(T12_Calc!$N$1:$N$500,"Nursing &amp; care supplies",T12_Calc!$F$1:$F$500)</f>
        <v/>
      </c>
      <c r="K33" s="24">
        <f>SUMIF(T12_Calc!$N$1:$N$500,"Nursing &amp; care supplies",T12_Calc!$G$1:$G$500)</f>
        <v/>
      </c>
      <c r="L33" s="24">
        <f>SUMIF(T12_Calc!$N$1:$N$500,"Nursing &amp; care supplies",T12_Calc!$H$1:$H$500)</f>
        <v/>
      </c>
      <c r="M33" s="24">
        <f>SUMIF(T12_Calc!$N$1:$N$500,"Nursing &amp; care supplies",T12_Calc!$I$1:$I$500)</f>
        <v/>
      </c>
      <c r="N33" s="24">
        <f>SUMIF(T12_Calc!$N$1:$N$500,"Nursing &amp; care supplies",T12_Calc!$J$1:$J$500)</f>
        <v/>
      </c>
      <c r="O33" s="24">
        <f>SUMIF(T12_Calc!$N$1:$N$500,"Nursing &amp; care supplies",T12_Calc!$K$1:$K$500)</f>
        <v/>
      </c>
      <c r="P33" s="24">
        <f>SUMIF(T12_Calc!$N$1:$N$500,"Nursing &amp; care supplies",T12_Calc!$L$1:$L$500)</f>
        <v/>
      </c>
      <c r="Q33" s="24">
        <f>SUMIF(T12_Calc!$N$1:$N$500,"Nursing &amp; care supplies",T12_Calc!$M$1:$M$500)</f>
        <v/>
      </c>
      <c r="R33" s="87">
        <f>SUM(F33:Q33)</f>
        <v/>
      </c>
    </row>
    <row r="34" ht="15.75" customHeight="1" s="199">
      <c r="A34" s="82" t="inlineStr">
        <is>
          <t>Non-Labor</t>
        </is>
      </c>
      <c r="B34" s="83" t="inlineStr">
        <is>
          <t>Recreation &amp; activity suppl.</t>
        </is>
      </c>
      <c r="C34" s="84" t="inlineStr">
        <is>
          <t>-</t>
        </is>
      </c>
      <c r="D34" s="85" t="n"/>
      <c r="E34" s="86" t="inlineStr">
        <is>
          <t>Recreation Supplies</t>
        </is>
      </c>
      <c r="F34" s="24">
        <f>SUMIF(T12_Calc!$N$1:$N$500,"Recreation &amp; activity suppl.",T12_Calc!$B$1:$B$500)</f>
        <v/>
      </c>
      <c r="G34" s="24">
        <f>SUMIF(T12_Calc!$N$1:$N$500,"Recreation &amp; activity suppl.",T12_Calc!$C$1:$C$500)</f>
        <v/>
      </c>
      <c r="H34" s="24">
        <f>SUMIF(T12_Calc!$N$1:$N$500,"Recreation &amp; activity suppl.",T12_Calc!$D$1:$D$500)</f>
        <v/>
      </c>
      <c r="I34" s="24">
        <f>SUMIF(T12_Calc!$N$1:$N$500,"Recreation &amp; activity suppl.",T12_Calc!$E$1:$E$500)</f>
        <v/>
      </c>
      <c r="J34" s="24">
        <f>SUMIF(T12_Calc!$N$1:$N$500,"Recreation &amp; activity suppl.",T12_Calc!$F$1:$F$500)</f>
        <v/>
      </c>
      <c r="K34" s="24">
        <f>SUMIF(T12_Calc!$N$1:$N$500,"Recreation &amp; activity suppl.",T12_Calc!$G$1:$G$500)</f>
        <v/>
      </c>
      <c r="L34" s="24">
        <f>SUMIF(T12_Calc!$N$1:$N$500,"Recreation &amp; activity suppl.",T12_Calc!$H$1:$H$500)</f>
        <v/>
      </c>
      <c r="M34" s="24">
        <f>SUMIF(T12_Calc!$N$1:$N$500,"Recreation &amp; activity suppl.",T12_Calc!$I$1:$I$500)</f>
        <v/>
      </c>
      <c r="N34" s="24">
        <f>SUMIF(T12_Calc!$N$1:$N$500,"Recreation &amp; activity suppl.",T12_Calc!$J$1:$J$500)</f>
        <v/>
      </c>
      <c r="O34" s="24">
        <f>SUMIF(T12_Calc!$N$1:$N$500,"Recreation &amp; activity suppl.",T12_Calc!$K$1:$K$500)</f>
        <v/>
      </c>
      <c r="P34" s="24">
        <f>SUMIF(T12_Calc!$N$1:$N$500,"Recreation &amp; activity suppl.",T12_Calc!$L$1:$L$500)</f>
        <v/>
      </c>
      <c r="Q34" s="24">
        <f>SUMIF(T12_Calc!$N$1:$N$500,"Recreation &amp; activity suppl.",T12_Calc!$M$1:$M$500)</f>
        <v/>
      </c>
      <c r="R34" s="87">
        <f>SUM(F34:Q34)</f>
        <v/>
      </c>
    </row>
    <row r="35" ht="15.75" customHeight="1" s="199">
      <c r="A35" s="82" t="inlineStr">
        <is>
          <t>Non-Labor</t>
        </is>
      </c>
      <c r="B35" s="83" t="inlineStr">
        <is>
          <t>R&amp;M fixed</t>
        </is>
      </c>
      <c r="C35" s="84" t="inlineStr">
        <is>
          <t>-</t>
        </is>
      </c>
      <c r="D35" s="85" t="n"/>
      <c r="E35" s="86" t="inlineStr">
        <is>
          <t>R &amp; M-Fixed | R&amp;M-Fixed | Maintenance Supplies</t>
        </is>
      </c>
      <c r="F35" s="24">
        <f>SUMIF(T12_Calc!$N$1:$N$500,"R&amp;M fixed",T12_Calc!$B$1:$B$500)</f>
        <v/>
      </c>
      <c r="G35" s="24">
        <f>SUMIF(T12_Calc!$N$1:$N$500,"R&amp;M fixed",T12_Calc!$C$1:$C$500)</f>
        <v/>
      </c>
      <c r="H35" s="24">
        <f>SUMIF(T12_Calc!$N$1:$N$500,"R&amp;M fixed",T12_Calc!$D$1:$D$500)</f>
        <v/>
      </c>
      <c r="I35" s="24">
        <f>SUMIF(T12_Calc!$N$1:$N$500,"R&amp;M fixed",T12_Calc!$E$1:$E$500)</f>
        <v/>
      </c>
      <c r="J35" s="24">
        <f>SUMIF(T12_Calc!$N$1:$N$500,"R&amp;M fixed",T12_Calc!$F$1:$F$500)</f>
        <v/>
      </c>
      <c r="K35" s="24">
        <f>SUMIF(T12_Calc!$N$1:$N$500,"R&amp;M fixed",T12_Calc!$G$1:$G$500)</f>
        <v/>
      </c>
      <c r="L35" s="24">
        <f>SUMIF(T12_Calc!$N$1:$N$500,"R&amp;M fixed",T12_Calc!$H$1:$H$500)</f>
        <v/>
      </c>
      <c r="M35" s="24">
        <f>SUMIF(T12_Calc!$N$1:$N$500,"R&amp;M fixed",T12_Calc!$I$1:$I$500)</f>
        <v/>
      </c>
      <c r="N35" s="24">
        <f>SUMIF(T12_Calc!$N$1:$N$500,"R&amp;M fixed",T12_Calc!$J$1:$J$500)</f>
        <v/>
      </c>
      <c r="O35" s="24">
        <f>SUMIF(T12_Calc!$N$1:$N$500,"R&amp;M fixed",T12_Calc!$K$1:$K$500)</f>
        <v/>
      </c>
      <c r="P35" s="24">
        <f>SUMIF(T12_Calc!$N$1:$N$500,"R&amp;M fixed",T12_Calc!$L$1:$L$500)</f>
        <v/>
      </c>
      <c r="Q35" s="24">
        <f>SUMIF(T12_Calc!$N$1:$N$500,"R&amp;M fixed",T12_Calc!$M$1:$M$500)</f>
        <v/>
      </c>
      <c r="R35" s="87">
        <f>SUM(F35:Q35)</f>
        <v/>
      </c>
    </row>
    <row r="36" ht="15.75" customHeight="1" s="199">
      <c r="A36" s="82" t="inlineStr">
        <is>
          <t>Non-Labor</t>
        </is>
      </c>
      <c r="B36" s="83" t="inlineStr">
        <is>
          <t>R&amp;M variable</t>
        </is>
      </c>
      <c r="C36" s="84" t="inlineStr">
        <is>
          <t>-</t>
        </is>
      </c>
      <c r="D36" s="85" t="n"/>
      <c r="E36" s="86" t="inlineStr">
        <is>
          <t>R &amp; M-Variable | R&amp;M-Variable</t>
        </is>
      </c>
      <c r="F36" s="24">
        <f>SUMIF(T12_Calc!$N$1:$N$500,"R&amp;M variable",T12_Calc!$B$1:$B$500)</f>
        <v/>
      </c>
      <c r="G36" s="24">
        <f>SUMIF(T12_Calc!$N$1:$N$500,"R&amp;M variable",T12_Calc!$C$1:$C$500)</f>
        <v/>
      </c>
      <c r="H36" s="24">
        <f>SUMIF(T12_Calc!$N$1:$N$500,"R&amp;M variable",T12_Calc!$D$1:$D$500)</f>
        <v/>
      </c>
      <c r="I36" s="24">
        <f>SUMIF(T12_Calc!$N$1:$N$500,"R&amp;M variable",T12_Calc!$E$1:$E$500)</f>
        <v/>
      </c>
      <c r="J36" s="24">
        <f>SUMIF(T12_Calc!$N$1:$N$500,"R&amp;M variable",T12_Calc!$F$1:$F$500)</f>
        <v/>
      </c>
      <c r="K36" s="24">
        <f>SUMIF(T12_Calc!$N$1:$N$500,"R&amp;M variable",T12_Calc!$G$1:$G$500)</f>
        <v/>
      </c>
      <c r="L36" s="24">
        <f>SUMIF(T12_Calc!$N$1:$N$500,"R&amp;M variable",T12_Calc!$H$1:$H$500)</f>
        <v/>
      </c>
      <c r="M36" s="24">
        <f>SUMIF(T12_Calc!$N$1:$N$500,"R&amp;M variable",T12_Calc!$I$1:$I$500)</f>
        <v/>
      </c>
      <c r="N36" s="24">
        <f>SUMIF(T12_Calc!$N$1:$N$500,"R&amp;M variable",T12_Calc!$J$1:$J$500)</f>
        <v/>
      </c>
      <c r="O36" s="24">
        <f>SUMIF(T12_Calc!$N$1:$N$500,"R&amp;M variable",T12_Calc!$K$1:$K$500)</f>
        <v/>
      </c>
      <c r="P36" s="24">
        <f>SUMIF(T12_Calc!$N$1:$N$500,"R&amp;M variable",T12_Calc!$L$1:$L$500)</f>
        <v/>
      </c>
      <c r="Q36" s="24">
        <f>SUMIF(T12_Calc!$N$1:$N$500,"R&amp;M variable",T12_Calc!$M$1:$M$500)</f>
        <v/>
      </c>
      <c r="R36" s="87">
        <f>SUM(F36:Q36)</f>
        <v/>
      </c>
    </row>
    <row r="37" ht="15.75" customHeight="1" s="199">
      <c r="A37" s="82" t="inlineStr">
        <is>
          <t>Non-Labor</t>
        </is>
      </c>
      <c r="B37" s="83" t="inlineStr">
        <is>
          <t>HK &amp; laundry supplies</t>
        </is>
      </c>
      <c r="C37" s="84" t="inlineStr">
        <is>
          <t>-</t>
        </is>
      </c>
      <c r="D37" s="85" t="n"/>
      <c r="E37" s="86" t="inlineStr">
        <is>
          <t>Housekeeping Supplies | Laundry Supplies</t>
        </is>
      </c>
      <c r="F37" s="24">
        <f>SUMIF(T12_Calc!$N$1:$N$500,"HK &amp; laundry supplies",T12_Calc!$B$1:$B$500)</f>
        <v/>
      </c>
      <c r="G37" s="24">
        <f>SUMIF(T12_Calc!$N$1:$N$500,"HK &amp; laundry supplies",T12_Calc!$C$1:$C$500)</f>
        <v/>
      </c>
      <c r="H37" s="24">
        <f>SUMIF(T12_Calc!$N$1:$N$500,"HK &amp; laundry supplies",T12_Calc!$D$1:$D$500)</f>
        <v/>
      </c>
      <c r="I37" s="24">
        <f>SUMIF(T12_Calc!$N$1:$N$500,"HK &amp; laundry supplies",T12_Calc!$E$1:$E$500)</f>
        <v/>
      </c>
      <c r="J37" s="24">
        <f>SUMIF(T12_Calc!$N$1:$N$500,"HK &amp; laundry supplies",T12_Calc!$F$1:$F$500)</f>
        <v/>
      </c>
      <c r="K37" s="24">
        <f>SUMIF(T12_Calc!$N$1:$N$500,"HK &amp; laundry supplies",T12_Calc!$G$1:$G$500)</f>
        <v/>
      </c>
      <c r="L37" s="24">
        <f>SUMIF(T12_Calc!$N$1:$N$500,"HK &amp; laundry supplies",T12_Calc!$H$1:$H$500)</f>
        <v/>
      </c>
      <c r="M37" s="24">
        <f>SUMIF(T12_Calc!$N$1:$N$500,"HK &amp; laundry supplies",T12_Calc!$I$1:$I$500)</f>
        <v/>
      </c>
      <c r="N37" s="24">
        <f>SUMIF(T12_Calc!$N$1:$N$500,"HK &amp; laundry supplies",T12_Calc!$J$1:$J$500)</f>
        <v/>
      </c>
      <c r="O37" s="24">
        <f>SUMIF(T12_Calc!$N$1:$N$500,"HK &amp; laundry supplies",T12_Calc!$K$1:$K$500)</f>
        <v/>
      </c>
      <c r="P37" s="24">
        <f>SUMIF(T12_Calc!$N$1:$N$500,"HK &amp; laundry supplies",T12_Calc!$L$1:$L$500)</f>
        <v/>
      </c>
      <c r="Q37" s="24">
        <f>SUMIF(T12_Calc!$N$1:$N$500,"HK &amp; laundry supplies",T12_Calc!$M$1:$M$500)</f>
        <v/>
      </c>
      <c r="R37" s="87">
        <f>SUM(F37:Q37)</f>
        <v/>
      </c>
    </row>
    <row r="38" ht="15.75" customHeight="1" s="199">
      <c r="A38" s="82" t="inlineStr">
        <is>
          <t>Non-Labor</t>
        </is>
      </c>
      <c r="B38" s="83" t="inlineStr">
        <is>
          <t>Sales, adv. &amp; marketing</t>
        </is>
      </c>
      <c r="C38" s="84" t="inlineStr">
        <is>
          <t>-</t>
        </is>
      </c>
      <c r="D38" s="85" t="n"/>
      <c r="E38" s="86" t="inlineStr">
        <is>
          <t>Advertising and Promotion | Advertising &amp; Promotion</t>
        </is>
      </c>
      <c r="F38" s="24">
        <f>SUMIF(T12_Calc!$N$1:$N$500,"Sales, adv. &amp; marketing",T12_Calc!$B$1:$B$500)</f>
        <v/>
      </c>
      <c r="G38" s="24">
        <f>SUMIF(T12_Calc!$N$1:$N$500,"Sales, adv. &amp; marketing",T12_Calc!$C$1:$C$500)</f>
        <v/>
      </c>
      <c r="H38" s="24">
        <f>SUMIF(T12_Calc!$N$1:$N$500,"Sales, adv. &amp; marketing",T12_Calc!$D$1:$D$500)</f>
        <v/>
      </c>
      <c r="I38" s="24">
        <f>SUMIF(T12_Calc!$N$1:$N$500,"Sales, adv. &amp; marketing",T12_Calc!$E$1:$E$500)</f>
        <v/>
      </c>
      <c r="J38" s="24">
        <f>SUMIF(T12_Calc!$N$1:$N$500,"Sales, adv. &amp; marketing",T12_Calc!$F$1:$F$500)</f>
        <v/>
      </c>
      <c r="K38" s="24">
        <f>SUMIF(T12_Calc!$N$1:$N$500,"Sales, adv. &amp; marketing",T12_Calc!$G$1:$G$500)</f>
        <v/>
      </c>
      <c r="L38" s="24">
        <f>SUMIF(T12_Calc!$N$1:$N$500,"Sales, adv. &amp; marketing",T12_Calc!$H$1:$H$500)</f>
        <v/>
      </c>
      <c r="M38" s="24">
        <f>SUMIF(T12_Calc!$N$1:$N$500,"Sales, adv. &amp; marketing",T12_Calc!$I$1:$I$500)</f>
        <v/>
      </c>
      <c r="N38" s="24">
        <f>SUMIF(T12_Calc!$N$1:$N$500,"Sales, adv. &amp; marketing",T12_Calc!$J$1:$J$500)</f>
        <v/>
      </c>
      <c r="O38" s="24">
        <f>SUMIF(T12_Calc!$N$1:$N$500,"Sales, adv. &amp; marketing",T12_Calc!$K$1:$K$500)</f>
        <v/>
      </c>
      <c r="P38" s="24">
        <f>SUMIF(T12_Calc!$N$1:$N$500,"Sales, adv. &amp; marketing",T12_Calc!$L$1:$L$500)</f>
        <v/>
      </c>
      <c r="Q38" s="24">
        <f>SUMIF(T12_Calc!$N$1:$N$500,"Sales, adv. &amp; marketing",T12_Calc!$M$1:$M$500)</f>
        <v/>
      </c>
      <c r="R38" s="87">
        <f>SUM(F38:Q38)</f>
        <v/>
      </c>
    </row>
    <row r="39" ht="15.75" customHeight="1" s="199">
      <c r="A39" s="88" t="inlineStr">
        <is>
          <t>Non-Labor</t>
        </is>
      </c>
      <c r="B39" s="89" t="inlineStr">
        <is>
          <t>Referral fees</t>
        </is>
      </c>
      <c r="C39" s="90" t="inlineStr">
        <is>
          <t>-</t>
        </is>
      </c>
      <c r="D39" s="91" t="inlineStr">
        <is>
          <t>Normalize at stabilization</t>
        </is>
      </c>
      <c r="E39" s="92" t="inlineStr">
        <is>
          <t>Referral Fees</t>
        </is>
      </c>
      <c r="F39" s="47">
        <f>SUMIF(T12_Calc!$N$1:$N$500,"Referral fees",T12_Calc!$B$1:$B$500)</f>
        <v/>
      </c>
      <c r="G39" s="47">
        <f>SUMIF(T12_Calc!$N$1:$N$500,"Referral fees",T12_Calc!$C$1:$C$500)</f>
        <v/>
      </c>
      <c r="H39" s="47">
        <f>SUMIF(T12_Calc!$N$1:$N$500,"Referral fees",T12_Calc!$D$1:$D$500)</f>
        <v/>
      </c>
      <c r="I39" s="47">
        <f>SUMIF(T12_Calc!$N$1:$N$500,"Referral fees",T12_Calc!$E$1:$E$500)</f>
        <v/>
      </c>
      <c r="J39" s="47">
        <f>SUMIF(T12_Calc!$N$1:$N$500,"Referral fees",T12_Calc!$F$1:$F$500)</f>
        <v/>
      </c>
      <c r="K39" s="47">
        <f>SUMIF(T12_Calc!$N$1:$N$500,"Referral fees",T12_Calc!$G$1:$G$500)</f>
        <v/>
      </c>
      <c r="L39" s="47">
        <f>SUMIF(T12_Calc!$N$1:$N$500,"Referral fees",T12_Calc!$H$1:$H$500)</f>
        <v/>
      </c>
      <c r="M39" s="47">
        <f>SUMIF(T12_Calc!$N$1:$N$500,"Referral fees",T12_Calc!$I$1:$I$500)</f>
        <v/>
      </c>
      <c r="N39" s="47">
        <f>SUMIF(T12_Calc!$N$1:$N$500,"Referral fees",T12_Calc!$J$1:$J$500)</f>
        <v/>
      </c>
      <c r="O39" s="47">
        <f>SUMIF(T12_Calc!$N$1:$N$500,"Referral fees",T12_Calc!$K$1:$K$500)</f>
        <v/>
      </c>
      <c r="P39" s="47">
        <f>SUMIF(T12_Calc!$N$1:$N$500,"Referral fees",T12_Calc!$L$1:$L$500)</f>
        <v/>
      </c>
      <c r="Q39" s="47">
        <f>SUMIF(T12_Calc!$N$1:$N$500,"Referral fees",T12_Calc!$M$1:$M$500)</f>
        <v/>
      </c>
      <c r="R39" s="93">
        <f>SUM(F39:Q39)</f>
        <v/>
      </c>
    </row>
    <row r="40" ht="15.75" customHeight="1" s="199">
      <c r="A40" s="82" t="inlineStr">
        <is>
          <t>Non-Labor</t>
        </is>
      </c>
      <c r="B40" s="83" t="inlineStr">
        <is>
          <t>Utilities</t>
        </is>
      </c>
      <c r="C40" s="84" t="inlineStr">
        <is>
          <t>-</t>
        </is>
      </c>
      <c r="D40" s="85" t="n"/>
      <c r="E40" s="86" t="inlineStr">
        <is>
          <t>Utilities</t>
        </is>
      </c>
      <c r="F40" s="24">
        <f>SUMIF(T12_Calc!$N$1:$N$500,"Utilities",T12_Calc!$B$1:$B$500)</f>
        <v/>
      </c>
      <c r="G40" s="24">
        <f>SUMIF(T12_Calc!$N$1:$N$500,"Utilities",T12_Calc!$C$1:$C$500)</f>
        <v/>
      </c>
      <c r="H40" s="24">
        <f>SUMIF(T12_Calc!$N$1:$N$500,"Utilities",T12_Calc!$D$1:$D$500)</f>
        <v/>
      </c>
      <c r="I40" s="24">
        <f>SUMIF(T12_Calc!$N$1:$N$500,"Utilities",T12_Calc!$E$1:$E$500)</f>
        <v/>
      </c>
      <c r="J40" s="24">
        <f>SUMIF(T12_Calc!$N$1:$N$500,"Utilities",T12_Calc!$F$1:$F$500)</f>
        <v/>
      </c>
      <c r="K40" s="24">
        <f>SUMIF(T12_Calc!$N$1:$N$500,"Utilities",T12_Calc!$G$1:$G$500)</f>
        <v/>
      </c>
      <c r="L40" s="24">
        <f>SUMIF(T12_Calc!$N$1:$N$500,"Utilities",T12_Calc!$H$1:$H$500)</f>
        <v/>
      </c>
      <c r="M40" s="24">
        <f>SUMIF(T12_Calc!$N$1:$N$500,"Utilities",T12_Calc!$I$1:$I$500)</f>
        <v/>
      </c>
      <c r="N40" s="24">
        <f>SUMIF(T12_Calc!$N$1:$N$500,"Utilities",T12_Calc!$J$1:$J$500)</f>
        <v/>
      </c>
      <c r="O40" s="24">
        <f>SUMIF(T12_Calc!$N$1:$N$500,"Utilities",T12_Calc!$K$1:$K$500)</f>
        <v/>
      </c>
      <c r="P40" s="24">
        <f>SUMIF(T12_Calc!$N$1:$N$500,"Utilities",T12_Calc!$L$1:$L$500)</f>
        <v/>
      </c>
      <c r="Q40" s="24">
        <f>SUMIF(T12_Calc!$N$1:$N$500,"Utilities",T12_Calc!$M$1:$M$500)</f>
        <v/>
      </c>
      <c r="R40" s="87">
        <f>SUM(F40:Q40)</f>
        <v/>
      </c>
    </row>
    <row r="41" ht="15.75" customHeight="1" s="199">
      <c r="A41" s="82" t="inlineStr">
        <is>
          <t>Non-Labor</t>
        </is>
      </c>
      <c r="B41" s="83" t="inlineStr">
        <is>
          <t>Telephone / IT</t>
        </is>
      </c>
      <c r="C41" s="84" t="inlineStr">
        <is>
          <t>-</t>
        </is>
      </c>
      <c r="D41" s="85" t="n"/>
      <c r="E41" s="86" t="inlineStr">
        <is>
          <t>Telephone/IT | Telephone Reimbursement</t>
        </is>
      </c>
      <c r="F41" s="24">
        <f>SUMIF(T12_Calc!$N$1:$N$500,"Telephone / IT",T12_Calc!$B$1:$B$500)</f>
        <v/>
      </c>
      <c r="G41" s="24">
        <f>SUMIF(T12_Calc!$N$1:$N$500,"Telephone / IT",T12_Calc!$C$1:$C$500)</f>
        <v/>
      </c>
      <c r="H41" s="24">
        <f>SUMIF(T12_Calc!$N$1:$N$500,"Telephone / IT",T12_Calc!$D$1:$D$500)</f>
        <v/>
      </c>
      <c r="I41" s="24">
        <f>SUMIF(T12_Calc!$N$1:$N$500,"Telephone / IT",T12_Calc!$E$1:$E$500)</f>
        <v/>
      </c>
      <c r="J41" s="24">
        <f>SUMIF(T12_Calc!$N$1:$N$500,"Telephone / IT",T12_Calc!$F$1:$F$500)</f>
        <v/>
      </c>
      <c r="K41" s="24">
        <f>SUMIF(T12_Calc!$N$1:$N$500,"Telephone / IT",T12_Calc!$G$1:$G$500)</f>
        <v/>
      </c>
      <c r="L41" s="24">
        <f>SUMIF(T12_Calc!$N$1:$N$500,"Telephone / IT",T12_Calc!$H$1:$H$500)</f>
        <v/>
      </c>
      <c r="M41" s="24">
        <f>SUMIF(T12_Calc!$N$1:$N$500,"Telephone / IT",T12_Calc!$I$1:$I$500)</f>
        <v/>
      </c>
      <c r="N41" s="24">
        <f>SUMIF(T12_Calc!$N$1:$N$500,"Telephone / IT",T12_Calc!$J$1:$J$500)</f>
        <v/>
      </c>
      <c r="O41" s="24">
        <f>SUMIF(T12_Calc!$N$1:$N$500,"Telephone / IT",T12_Calc!$K$1:$K$500)</f>
        <v/>
      </c>
      <c r="P41" s="24">
        <f>SUMIF(T12_Calc!$N$1:$N$500,"Telephone / IT",T12_Calc!$L$1:$L$500)</f>
        <v/>
      </c>
      <c r="Q41" s="24">
        <f>SUMIF(T12_Calc!$N$1:$N$500,"Telephone / IT",T12_Calc!$M$1:$M$500)</f>
        <v/>
      </c>
      <c r="R41" s="87">
        <f>SUM(F41:Q41)</f>
        <v/>
      </c>
    </row>
    <row r="42" ht="15.75" customHeight="1" s="199">
      <c r="A42" s="82" t="inlineStr">
        <is>
          <t>Non-Labor</t>
        </is>
      </c>
      <c r="B42" s="83" t="inlineStr">
        <is>
          <t>P&amp;C insurance (bundled)</t>
        </is>
      </c>
      <c r="C42" s="84" t="inlineStr">
        <is>
          <t>-</t>
        </is>
      </c>
      <c r="D42" s="85" t="n"/>
      <c r="E42" s="86" t="inlineStr">
        <is>
          <t>Bundled Insurance Poilicies | Bundled Insurance Policies | EPLI Insurance</t>
        </is>
      </c>
      <c r="F42" s="24">
        <f>SUMIF(T12_Calc!$N$1:$N$500,"P&amp;C insurance (bundled)",T12_Calc!$B$1:$B$500)</f>
        <v/>
      </c>
      <c r="G42" s="24">
        <f>SUMIF(T12_Calc!$N$1:$N$500,"P&amp;C insurance (bundled)",T12_Calc!$C$1:$C$500)</f>
        <v/>
      </c>
      <c r="H42" s="24">
        <f>SUMIF(T12_Calc!$N$1:$N$500,"P&amp;C insurance (bundled)",T12_Calc!$D$1:$D$500)</f>
        <v/>
      </c>
      <c r="I42" s="24">
        <f>SUMIF(T12_Calc!$N$1:$N$500,"P&amp;C insurance (bundled)",T12_Calc!$E$1:$E$500)</f>
        <v/>
      </c>
      <c r="J42" s="24">
        <f>SUMIF(T12_Calc!$N$1:$N$500,"P&amp;C insurance (bundled)",T12_Calc!$F$1:$F$500)</f>
        <v/>
      </c>
      <c r="K42" s="24">
        <f>SUMIF(T12_Calc!$N$1:$N$500,"P&amp;C insurance (bundled)",T12_Calc!$G$1:$G$500)</f>
        <v/>
      </c>
      <c r="L42" s="24">
        <f>SUMIF(T12_Calc!$N$1:$N$500,"P&amp;C insurance (bundled)",T12_Calc!$H$1:$H$500)</f>
        <v/>
      </c>
      <c r="M42" s="24">
        <f>SUMIF(T12_Calc!$N$1:$N$500,"P&amp;C insurance (bundled)",T12_Calc!$I$1:$I$500)</f>
        <v/>
      </c>
      <c r="N42" s="24">
        <f>SUMIF(T12_Calc!$N$1:$N$500,"P&amp;C insurance (bundled)",T12_Calc!$J$1:$J$500)</f>
        <v/>
      </c>
      <c r="O42" s="24">
        <f>SUMIF(T12_Calc!$N$1:$N$500,"P&amp;C insurance (bundled)",T12_Calc!$K$1:$K$500)</f>
        <v/>
      </c>
      <c r="P42" s="24">
        <f>SUMIF(T12_Calc!$N$1:$N$500,"P&amp;C insurance (bundled)",T12_Calc!$L$1:$L$500)</f>
        <v/>
      </c>
      <c r="Q42" s="24">
        <f>SUMIF(T12_Calc!$N$1:$N$500,"P&amp;C insurance (bundled)",T12_Calc!$M$1:$M$500)</f>
        <v/>
      </c>
      <c r="R42" s="87">
        <f>SUM(F42:Q42)</f>
        <v/>
      </c>
    </row>
    <row r="43" ht="15.75" customHeight="1" s="199">
      <c r="A43" s="82" t="inlineStr">
        <is>
          <t>Non-Labor</t>
        </is>
      </c>
      <c r="B43" s="83" t="inlineStr">
        <is>
          <t>Auto insurance</t>
        </is>
      </c>
      <c r="C43" s="84" t="inlineStr">
        <is>
          <t>-</t>
        </is>
      </c>
      <c r="D43" s="85" t="n"/>
      <c r="E43" s="86" t="inlineStr">
        <is>
          <t>Auto Insurance</t>
        </is>
      </c>
      <c r="F43" s="24">
        <f>SUMIF(T12_Calc!$N$1:$N$500,"Auto insurance",T12_Calc!$B$1:$B$500)</f>
        <v/>
      </c>
      <c r="G43" s="24">
        <f>SUMIF(T12_Calc!$N$1:$N$500,"Auto insurance",T12_Calc!$C$1:$C$500)</f>
        <v/>
      </c>
      <c r="H43" s="24">
        <f>SUMIF(T12_Calc!$N$1:$N$500,"Auto insurance",T12_Calc!$D$1:$D$500)</f>
        <v/>
      </c>
      <c r="I43" s="24">
        <f>SUMIF(T12_Calc!$N$1:$N$500,"Auto insurance",T12_Calc!$E$1:$E$500)</f>
        <v/>
      </c>
      <c r="J43" s="24">
        <f>SUMIF(T12_Calc!$N$1:$N$500,"Auto insurance",T12_Calc!$F$1:$F$500)</f>
        <v/>
      </c>
      <c r="K43" s="24">
        <f>SUMIF(T12_Calc!$N$1:$N$500,"Auto insurance",T12_Calc!$G$1:$G$500)</f>
        <v/>
      </c>
      <c r="L43" s="24">
        <f>SUMIF(T12_Calc!$N$1:$N$500,"Auto insurance",T12_Calc!$H$1:$H$500)</f>
        <v/>
      </c>
      <c r="M43" s="24">
        <f>SUMIF(T12_Calc!$N$1:$N$500,"Auto insurance",T12_Calc!$I$1:$I$500)</f>
        <v/>
      </c>
      <c r="N43" s="24">
        <f>SUMIF(T12_Calc!$N$1:$N$500,"Auto insurance",T12_Calc!$J$1:$J$500)</f>
        <v/>
      </c>
      <c r="O43" s="24">
        <f>SUMIF(T12_Calc!$N$1:$N$500,"Auto insurance",T12_Calc!$K$1:$K$500)</f>
        <v/>
      </c>
      <c r="P43" s="24">
        <f>SUMIF(T12_Calc!$N$1:$N$500,"Auto insurance",T12_Calc!$L$1:$L$500)</f>
        <v/>
      </c>
      <c r="Q43" s="24">
        <f>SUMIF(T12_Calc!$N$1:$N$500,"Auto insurance",T12_Calc!$M$1:$M$500)</f>
        <v/>
      </c>
      <c r="R43" s="87">
        <f>SUM(F43:Q43)</f>
        <v/>
      </c>
    </row>
    <row r="44" ht="15.75" customHeight="1" s="199">
      <c r="A44" s="82" t="inlineStr">
        <is>
          <t>Non-Labor</t>
        </is>
      </c>
      <c r="B44" s="83" t="inlineStr">
        <is>
          <t>Fire / security monitoring</t>
        </is>
      </c>
      <c r="C44" s="84" t="inlineStr">
        <is>
          <t>-</t>
        </is>
      </c>
      <c r="D44" s="85" t="n"/>
      <c r="E44" s="86" t="inlineStr">
        <is>
          <t>Fire/Security Monitoring</t>
        </is>
      </c>
      <c r="F44" s="24">
        <f>SUMIF(T12_Calc!$N$1:$N$500,"Fire / security monitoring",T12_Calc!$B$1:$B$500)</f>
        <v/>
      </c>
      <c r="G44" s="24">
        <f>SUMIF(T12_Calc!$N$1:$N$500,"Fire / security monitoring",T12_Calc!$C$1:$C$500)</f>
        <v/>
      </c>
      <c r="H44" s="24">
        <f>SUMIF(T12_Calc!$N$1:$N$500,"Fire / security monitoring",T12_Calc!$D$1:$D$500)</f>
        <v/>
      </c>
      <c r="I44" s="24">
        <f>SUMIF(T12_Calc!$N$1:$N$500,"Fire / security monitoring",T12_Calc!$E$1:$E$500)</f>
        <v/>
      </c>
      <c r="J44" s="24">
        <f>SUMIF(T12_Calc!$N$1:$N$500,"Fire / security monitoring",T12_Calc!$F$1:$F$500)</f>
        <v/>
      </c>
      <c r="K44" s="24">
        <f>SUMIF(T12_Calc!$N$1:$N$500,"Fire / security monitoring",T12_Calc!$G$1:$G$500)</f>
        <v/>
      </c>
      <c r="L44" s="24">
        <f>SUMIF(T12_Calc!$N$1:$N$500,"Fire / security monitoring",T12_Calc!$H$1:$H$500)</f>
        <v/>
      </c>
      <c r="M44" s="24">
        <f>SUMIF(T12_Calc!$N$1:$N$500,"Fire / security monitoring",T12_Calc!$I$1:$I$500)</f>
        <v/>
      </c>
      <c r="N44" s="24">
        <f>SUMIF(T12_Calc!$N$1:$N$500,"Fire / security monitoring",T12_Calc!$J$1:$J$500)</f>
        <v/>
      </c>
      <c r="O44" s="24">
        <f>SUMIF(T12_Calc!$N$1:$N$500,"Fire / security monitoring",T12_Calc!$K$1:$K$500)</f>
        <v/>
      </c>
      <c r="P44" s="24">
        <f>SUMIF(T12_Calc!$N$1:$N$500,"Fire / security monitoring",T12_Calc!$L$1:$L$500)</f>
        <v/>
      </c>
      <c r="Q44" s="24">
        <f>SUMIF(T12_Calc!$N$1:$N$500,"Fire / security monitoring",T12_Calc!$M$1:$M$500)</f>
        <v/>
      </c>
      <c r="R44" s="87">
        <f>SUM(F44:Q44)</f>
        <v/>
      </c>
    </row>
    <row r="45" ht="15.75" customHeight="1" s="199">
      <c r="A45" s="82" t="inlineStr">
        <is>
          <t>Non-Labor</t>
        </is>
      </c>
      <c r="B45" s="83" t="inlineStr">
        <is>
          <t>Pest elimination</t>
        </is>
      </c>
      <c r="C45" s="84" t="inlineStr">
        <is>
          <t>-</t>
        </is>
      </c>
      <c r="D45" s="85" t="n"/>
      <c r="E45" s="86" t="inlineStr">
        <is>
          <t>Pest Elimination</t>
        </is>
      </c>
      <c r="F45" s="24">
        <f>SUMIF(T12_Calc!$N$1:$N$500,"Pest elimination",T12_Calc!$B$1:$B$500)</f>
        <v/>
      </c>
      <c r="G45" s="24">
        <f>SUMIF(T12_Calc!$N$1:$N$500,"Pest elimination",T12_Calc!$C$1:$C$500)</f>
        <v/>
      </c>
      <c r="H45" s="24">
        <f>SUMIF(T12_Calc!$N$1:$N$500,"Pest elimination",T12_Calc!$D$1:$D$500)</f>
        <v/>
      </c>
      <c r="I45" s="24">
        <f>SUMIF(T12_Calc!$N$1:$N$500,"Pest elimination",T12_Calc!$E$1:$E$500)</f>
        <v/>
      </c>
      <c r="J45" s="24">
        <f>SUMIF(T12_Calc!$N$1:$N$500,"Pest elimination",T12_Calc!$F$1:$F$500)</f>
        <v/>
      </c>
      <c r="K45" s="24">
        <f>SUMIF(T12_Calc!$N$1:$N$500,"Pest elimination",T12_Calc!$G$1:$G$500)</f>
        <v/>
      </c>
      <c r="L45" s="24">
        <f>SUMIF(T12_Calc!$N$1:$N$500,"Pest elimination",T12_Calc!$H$1:$H$500)</f>
        <v/>
      </c>
      <c r="M45" s="24">
        <f>SUMIF(T12_Calc!$N$1:$N$500,"Pest elimination",T12_Calc!$I$1:$I$500)</f>
        <v/>
      </c>
      <c r="N45" s="24">
        <f>SUMIF(T12_Calc!$N$1:$N$500,"Pest elimination",T12_Calc!$J$1:$J$500)</f>
        <v/>
      </c>
      <c r="O45" s="24">
        <f>SUMIF(T12_Calc!$N$1:$N$500,"Pest elimination",T12_Calc!$K$1:$K$500)</f>
        <v/>
      </c>
      <c r="P45" s="24">
        <f>SUMIF(T12_Calc!$N$1:$N$500,"Pest elimination",T12_Calc!$L$1:$L$500)</f>
        <v/>
      </c>
      <c r="Q45" s="24">
        <f>SUMIF(T12_Calc!$N$1:$N$500,"Pest elimination",T12_Calc!$M$1:$M$500)</f>
        <v/>
      </c>
      <c r="R45" s="87">
        <f>SUM(F45:Q45)</f>
        <v/>
      </c>
    </row>
    <row r="46" ht="15.75" customHeight="1" s="199">
      <c r="A46" s="88" t="inlineStr">
        <is>
          <t>Non-Labor</t>
        </is>
      </c>
      <c r="B46" s="89" t="inlineStr">
        <is>
          <t>Real estate taxes</t>
        </is>
      </c>
      <c r="C46" s="90" t="inlineStr">
        <is>
          <t>-</t>
        </is>
      </c>
      <c r="D46" s="91" t="inlineStr">
        <is>
          <t>Verify assessed value</t>
        </is>
      </c>
      <c r="E46" s="92" t="inlineStr">
        <is>
          <t>Property Tax Expense | Real Estate Taxes</t>
        </is>
      </c>
      <c r="F46" s="47">
        <f>SUMIF(T12_Calc!$N$1:$N$500,"Real estate taxes",T12_Calc!$B$1:$B$500)</f>
        <v/>
      </c>
      <c r="G46" s="47">
        <f>SUMIF(T12_Calc!$N$1:$N$500,"Real estate taxes",T12_Calc!$C$1:$C$500)</f>
        <v/>
      </c>
      <c r="H46" s="47">
        <f>SUMIF(T12_Calc!$N$1:$N$500,"Real estate taxes",T12_Calc!$D$1:$D$500)</f>
        <v/>
      </c>
      <c r="I46" s="47">
        <f>SUMIF(T12_Calc!$N$1:$N$500,"Real estate taxes",T12_Calc!$E$1:$E$500)</f>
        <v/>
      </c>
      <c r="J46" s="47">
        <f>SUMIF(T12_Calc!$N$1:$N$500,"Real estate taxes",T12_Calc!$F$1:$F$500)</f>
        <v/>
      </c>
      <c r="K46" s="47">
        <f>SUMIF(T12_Calc!$N$1:$N$500,"Real estate taxes",T12_Calc!$G$1:$G$500)</f>
        <v/>
      </c>
      <c r="L46" s="47">
        <f>SUMIF(T12_Calc!$N$1:$N$500,"Real estate taxes",T12_Calc!$H$1:$H$500)</f>
        <v/>
      </c>
      <c r="M46" s="47">
        <f>SUMIF(T12_Calc!$N$1:$N$500,"Real estate taxes",T12_Calc!$I$1:$I$500)</f>
        <v/>
      </c>
      <c r="N46" s="47">
        <f>SUMIF(T12_Calc!$N$1:$N$500,"Real estate taxes",T12_Calc!$J$1:$J$500)</f>
        <v/>
      </c>
      <c r="O46" s="47">
        <f>SUMIF(T12_Calc!$N$1:$N$500,"Real estate taxes",T12_Calc!$K$1:$K$500)</f>
        <v/>
      </c>
      <c r="P46" s="47">
        <f>SUMIF(T12_Calc!$N$1:$N$500,"Real estate taxes",T12_Calc!$L$1:$L$500)</f>
        <v/>
      </c>
      <c r="Q46" s="47">
        <f>SUMIF(T12_Calc!$N$1:$N$500,"Real estate taxes",T12_Calc!$M$1:$M$500)</f>
        <v/>
      </c>
      <c r="R46" s="93">
        <f>SUM(F46:Q46)</f>
        <v/>
      </c>
    </row>
    <row r="47" ht="15.75" customHeight="1" s="199">
      <c r="A47" s="82" t="inlineStr">
        <is>
          <t>Non-Labor</t>
        </is>
      </c>
      <c r="B47" s="83" t="inlineStr">
        <is>
          <t>Personal property taxes</t>
        </is>
      </c>
      <c r="C47" s="84" t="inlineStr">
        <is>
          <t>-</t>
        </is>
      </c>
      <c r="D47" s="85" t="n"/>
      <c r="E47" s="86" t="inlineStr">
        <is>
          <t>Personal Property Tax Expense | Personal Property Taxes</t>
        </is>
      </c>
      <c r="F47" s="24">
        <f>SUMIF(T12_Calc!$N$1:$N$500,"Personal property taxes",T12_Calc!$B$1:$B$500)</f>
        <v/>
      </c>
      <c r="G47" s="24">
        <f>SUMIF(T12_Calc!$N$1:$N$500,"Personal property taxes",T12_Calc!$C$1:$C$500)</f>
        <v/>
      </c>
      <c r="H47" s="24">
        <f>SUMIF(T12_Calc!$N$1:$N$500,"Personal property taxes",T12_Calc!$D$1:$D$500)</f>
        <v/>
      </c>
      <c r="I47" s="24">
        <f>SUMIF(T12_Calc!$N$1:$N$500,"Personal property taxes",T12_Calc!$E$1:$E$500)</f>
        <v/>
      </c>
      <c r="J47" s="24">
        <f>SUMIF(T12_Calc!$N$1:$N$500,"Personal property taxes",T12_Calc!$F$1:$F$500)</f>
        <v/>
      </c>
      <c r="K47" s="24">
        <f>SUMIF(T12_Calc!$N$1:$N$500,"Personal property taxes",T12_Calc!$G$1:$G$500)</f>
        <v/>
      </c>
      <c r="L47" s="24">
        <f>SUMIF(T12_Calc!$N$1:$N$500,"Personal property taxes",T12_Calc!$H$1:$H$500)</f>
        <v/>
      </c>
      <c r="M47" s="24">
        <f>SUMIF(T12_Calc!$N$1:$N$500,"Personal property taxes",T12_Calc!$I$1:$I$500)</f>
        <v/>
      </c>
      <c r="N47" s="24">
        <f>SUMIF(T12_Calc!$N$1:$N$500,"Personal property taxes",T12_Calc!$J$1:$J$500)</f>
        <v/>
      </c>
      <c r="O47" s="24">
        <f>SUMIF(T12_Calc!$N$1:$N$500,"Personal property taxes",T12_Calc!$K$1:$K$500)</f>
        <v/>
      </c>
      <c r="P47" s="24">
        <f>SUMIF(T12_Calc!$N$1:$N$500,"Personal property taxes",T12_Calc!$L$1:$L$500)</f>
        <v/>
      </c>
      <c r="Q47" s="24">
        <f>SUMIF(T12_Calc!$N$1:$N$500,"Personal property taxes",T12_Calc!$M$1:$M$500)</f>
        <v/>
      </c>
      <c r="R47" s="87">
        <f>SUM(F47:Q47)</f>
        <v/>
      </c>
    </row>
    <row r="48" ht="15.75" customHeight="1" s="199">
      <c r="A48" s="82" t="inlineStr">
        <is>
          <t>Non-Labor</t>
        </is>
      </c>
      <c r="B48" s="83" t="inlineStr">
        <is>
          <t>Legal expenses</t>
        </is>
      </c>
      <c r="C48" s="84" t="inlineStr">
        <is>
          <t>-</t>
        </is>
      </c>
      <c r="D48" s="85" t="n"/>
      <c r="E48" s="86" t="inlineStr">
        <is>
          <t>Legal Expense | Legal Expenses</t>
        </is>
      </c>
      <c r="F48" s="24">
        <f>SUMIF(T12_Calc!$N$1:$N$500,"Legal expenses",T12_Calc!$B$1:$B$500)</f>
        <v/>
      </c>
      <c r="G48" s="24">
        <f>SUMIF(T12_Calc!$N$1:$N$500,"Legal expenses",T12_Calc!$C$1:$C$500)</f>
        <v/>
      </c>
      <c r="H48" s="24">
        <f>SUMIF(T12_Calc!$N$1:$N$500,"Legal expenses",T12_Calc!$D$1:$D$500)</f>
        <v/>
      </c>
      <c r="I48" s="24">
        <f>SUMIF(T12_Calc!$N$1:$N$500,"Legal expenses",T12_Calc!$E$1:$E$500)</f>
        <v/>
      </c>
      <c r="J48" s="24">
        <f>SUMIF(T12_Calc!$N$1:$N$500,"Legal expenses",T12_Calc!$F$1:$F$500)</f>
        <v/>
      </c>
      <c r="K48" s="24">
        <f>SUMIF(T12_Calc!$N$1:$N$500,"Legal expenses",T12_Calc!$G$1:$G$500)</f>
        <v/>
      </c>
      <c r="L48" s="24">
        <f>SUMIF(T12_Calc!$N$1:$N$500,"Legal expenses",T12_Calc!$H$1:$H$500)</f>
        <v/>
      </c>
      <c r="M48" s="24">
        <f>SUMIF(T12_Calc!$N$1:$N$500,"Legal expenses",T12_Calc!$I$1:$I$500)</f>
        <v/>
      </c>
      <c r="N48" s="24">
        <f>SUMIF(T12_Calc!$N$1:$N$500,"Legal expenses",T12_Calc!$J$1:$J$500)</f>
        <v/>
      </c>
      <c r="O48" s="24">
        <f>SUMIF(T12_Calc!$N$1:$N$500,"Legal expenses",T12_Calc!$K$1:$K$500)</f>
        <v/>
      </c>
      <c r="P48" s="24">
        <f>SUMIF(T12_Calc!$N$1:$N$500,"Legal expenses",T12_Calc!$L$1:$L$500)</f>
        <v/>
      </c>
      <c r="Q48" s="24">
        <f>SUMIF(T12_Calc!$N$1:$N$500,"Legal expenses",T12_Calc!$M$1:$M$500)</f>
        <v/>
      </c>
      <c r="R48" s="87">
        <f>SUM(F48:Q48)</f>
        <v/>
      </c>
    </row>
    <row r="49" ht="15.75" customHeight="1" s="199">
      <c r="A49" s="82" t="inlineStr">
        <is>
          <t>Non-Labor</t>
        </is>
      </c>
      <c r="B49" s="83" t="inlineStr">
        <is>
          <t>Professional services</t>
        </is>
      </c>
      <c r="C49" s="84" t="inlineStr">
        <is>
          <t>-</t>
        </is>
      </c>
      <c r="D49" s="85" t="n"/>
      <c r="E49" s="86" t="inlineStr">
        <is>
          <t>Professional Services</t>
        </is>
      </c>
      <c r="F49" s="24">
        <f>SUMIF(T12_Calc!$N$1:$N$500,"Professional services",T12_Calc!$B$1:$B$500)</f>
        <v/>
      </c>
      <c r="G49" s="24">
        <f>SUMIF(T12_Calc!$N$1:$N$500,"Professional services",T12_Calc!$C$1:$C$500)</f>
        <v/>
      </c>
      <c r="H49" s="24">
        <f>SUMIF(T12_Calc!$N$1:$N$500,"Professional services",T12_Calc!$D$1:$D$500)</f>
        <v/>
      </c>
      <c r="I49" s="24">
        <f>SUMIF(T12_Calc!$N$1:$N$500,"Professional services",T12_Calc!$E$1:$E$500)</f>
        <v/>
      </c>
      <c r="J49" s="24">
        <f>SUMIF(T12_Calc!$N$1:$N$500,"Professional services",T12_Calc!$F$1:$F$500)</f>
        <v/>
      </c>
      <c r="K49" s="24">
        <f>SUMIF(T12_Calc!$N$1:$N$500,"Professional services",T12_Calc!$G$1:$G$500)</f>
        <v/>
      </c>
      <c r="L49" s="24">
        <f>SUMIF(T12_Calc!$N$1:$N$500,"Professional services",T12_Calc!$H$1:$H$500)</f>
        <v/>
      </c>
      <c r="M49" s="24">
        <f>SUMIF(T12_Calc!$N$1:$N$500,"Professional services",T12_Calc!$I$1:$I$500)</f>
        <v/>
      </c>
      <c r="N49" s="24">
        <f>SUMIF(T12_Calc!$N$1:$N$500,"Professional services",T12_Calc!$J$1:$J$500)</f>
        <v/>
      </c>
      <c r="O49" s="24">
        <f>SUMIF(T12_Calc!$N$1:$N$500,"Professional services",T12_Calc!$K$1:$K$500)</f>
        <v/>
      </c>
      <c r="P49" s="24">
        <f>SUMIF(T12_Calc!$N$1:$N$500,"Professional services",T12_Calc!$L$1:$L$500)</f>
        <v/>
      </c>
      <c r="Q49" s="24">
        <f>SUMIF(T12_Calc!$N$1:$N$500,"Professional services",T12_Calc!$M$1:$M$500)</f>
        <v/>
      </c>
      <c r="R49" s="87">
        <f>SUM(F49:Q49)</f>
        <v/>
      </c>
    </row>
    <row r="50" ht="15.75" customHeight="1" s="199">
      <c r="A50" s="88" t="inlineStr">
        <is>
          <t>Non-Labor</t>
        </is>
      </c>
      <c r="B50" s="89" t="inlineStr">
        <is>
          <t>Bad debt expense</t>
        </is>
      </c>
      <c r="C50" s="90" t="inlineStr">
        <is>
          <t>-</t>
        </is>
      </c>
      <c r="D50" s="91" t="inlineStr">
        <is>
          <t>Normalize to 1-2%</t>
        </is>
      </c>
      <c r="E50" s="92" t="inlineStr">
        <is>
          <t>Bad Debt Expense</t>
        </is>
      </c>
      <c r="F50" s="47">
        <f>SUMIF(T12_Calc!$N$1:$N$500,"Bad debt expense",T12_Calc!$B$1:$B$500)</f>
        <v/>
      </c>
      <c r="G50" s="47">
        <f>SUMIF(T12_Calc!$N$1:$N$500,"Bad debt expense",T12_Calc!$C$1:$C$500)</f>
        <v/>
      </c>
      <c r="H50" s="47">
        <f>SUMIF(T12_Calc!$N$1:$N$500,"Bad debt expense",T12_Calc!$D$1:$D$500)</f>
        <v/>
      </c>
      <c r="I50" s="47">
        <f>SUMIF(T12_Calc!$N$1:$N$500,"Bad debt expense",T12_Calc!$E$1:$E$500)</f>
        <v/>
      </c>
      <c r="J50" s="47">
        <f>SUMIF(T12_Calc!$N$1:$N$500,"Bad debt expense",T12_Calc!$F$1:$F$500)</f>
        <v/>
      </c>
      <c r="K50" s="47">
        <f>SUMIF(T12_Calc!$N$1:$N$500,"Bad debt expense",T12_Calc!$G$1:$G$500)</f>
        <v/>
      </c>
      <c r="L50" s="47">
        <f>SUMIF(T12_Calc!$N$1:$N$500,"Bad debt expense",T12_Calc!$H$1:$H$500)</f>
        <v/>
      </c>
      <c r="M50" s="47">
        <f>SUMIF(T12_Calc!$N$1:$N$500,"Bad debt expense",T12_Calc!$I$1:$I$500)</f>
        <v/>
      </c>
      <c r="N50" s="47">
        <f>SUMIF(T12_Calc!$N$1:$N$500,"Bad debt expense",T12_Calc!$J$1:$J$500)</f>
        <v/>
      </c>
      <c r="O50" s="47">
        <f>SUMIF(T12_Calc!$N$1:$N$500,"Bad debt expense",T12_Calc!$K$1:$K$500)</f>
        <v/>
      </c>
      <c r="P50" s="47">
        <f>SUMIF(T12_Calc!$N$1:$N$500,"Bad debt expense",T12_Calc!$L$1:$L$500)</f>
        <v/>
      </c>
      <c r="Q50" s="47">
        <f>SUMIF(T12_Calc!$N$1:$N$500,"Bad debt expense",T12_Calc!$M$1:$M$500)</f>
        <v/>
      </c>
      <c r="R50" s="93">
        <f>SUM(F50:Q50)</f>
        <v/>
      </c>
    </row>
    <row r="51" ht="15.75" customHeight="1" s="199">
      <c r="A51" s="82" t="inlineStr">
        <is>
          <t>Non-Labor</t>
        </is>
      </c>
      <c r="B51" s="83" t="inlineStr">
        <is>
          <t>Permits, licenses &amp; dues</t>
        </is>
      </c>
      <c r="C51" s="84" t="inlineStr">
        <is>
          <t>-</t>
        </is>
      </c>
      <c r="D51" s="85" t="n"/>
      <c r="E51" s="86" t="inlineStr">
        <is>
          <t>Permits and Licenses | Dues and Subscriptions | Association Dues</t>
        </is>
      </c>
      <c r="F51" s="24">
        <f>SUMIF(T12_Calc!$N$1:$N$500,"Permits, licenses &amp; dues",T12_Calc!$B$1:$B$500)</f>
        <v/>
      </c>
      <c r="G51" s="24">
        <f>SUMIF(T12_Calc!$N$1:$N$500,"Permits, licenses &amp; dues",T12_Calc!$C$1:$C$500)</f>
        <v/>
      </c>
      <c r="H51" s="24">
        <f>SUMIF(T12_Calc!$N$1:$N$500,"Permits, licenses &amp; dues",T12_Calc!$D$1:$D$500)</f>
        <v/>
      </c>
      <c r="I51" s="24">
        <f>SUMIF(T12_Calc!$N$1:$N$500,"Permits, licenses &amp; dues",T12_Calc!$E$1:$E$500)</f>
        <v/>
      </c>
      <c r="J51" s="24">
        <f>SUMIF(T12_Calc!$N$1:$N$500,"Permits, licenses &amp; dues",T12_Calc!$F$1:$F$500)</f>
        <v/>
      </c>
      <c r="K51" s="24">
        <f>SUMIF(T12_Calc!$N$1:$N$500,"Permits, licenses &amp; dues",T12_Calc!$G$1:$G$500)</f>
        <v/>
      </c>
      <c r="L51" s="24">
        <f>SUMIF(T12_Calc!$N$1:$N$500,"Permits, licenses &amp; dues",T12_Calc!$H$1:$H$500)</f>
        <v/>
      </c>
      <c r="M51" s="24">
        <f>SUMIF(T12_Calc!$N$1:$N$500,"Permits, licenses &amp; dues",T12_Calc!$I$1:$I$500)</f>
        <v/>
      </c>
      <c r="N51" s="24">
        <f>SUMIF(T12_Calc!$N$1:$N$500,"Permits, licenses &amp; dues",T12_Calc!$J$1:$J$500)</f>
        <v/>
      </c>
      <c r="O51" s="24">
        <f>SUMIF(T12_Calc!$N$1:$N$500,"Permits, licenses &amp; dues",T12_Calc!$K$1:$K$500)</f>
        <v/>
      </c>
      <c r="P51" s="24">
        <f>SUMIF(T12_Calc!$N$1:$N$500,"Permits, licenses &amp; dues",T12_Calc!$L$1:$L$500)</f>
        <v/>
      </c>
      <c r="Q51" s="24">
        <f>SUMIF(T12_Calc!$N$1:$N$500,"Permits, licenses &amp; dues",T12_Calc!$M$1:$M$500)</f>
        <v/>
      </c>
      <c r="R51" s="87">
        <f>SUM(F51:Q51)</f>
        <v/>
      </c>
    </row>
    <row r="52" ht="15.75" customHeight="1" s="199">
      <c r="A52" s="82" t="inlineStr">
        <is>
          <t>Non-Labor</t>
        </is>
      </c>
      <c r="B52" s="83" t="inlineStr">
        <is>
          <t>Office, admin &amp; G&amp;A</t>
        </is>
      </c>
      <c r="C52" s="84" t="inlineStr">
        <is>
          <t>-</t>
        </is>
      </c>
      <c r="D52" s="85" t="n"/>
      <c r="E52"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2" s="24">
        <f>SUMIF(T12_Calc!$N$1:$N$500,"Office, admin &amp; G&amp;A",T12_Calc!$B$1:$B$500)</f>
        <v/>
      </c>
      <c r="G52" s="24">
        <f>SUMIF(T12_Calc!$N$1:$N$500,"Office, admin &amp; G&amp;A",T12_Calc!$C$1:$C$500)</f>
        <v/>
      </c>
      <c r="H52" s="24">
        <f>SUMIF(T12_Calc!$N$1:$N$500,"Office, admin &amp; G&amp;A",T12_Calc!$D$1:$D$500)</f>
        <v/>
      </c>
      <c r="I52" s="24">
        <f>SUMIF(T12_Calc!$N$1:$N$500,"Office, admin &amp; G&amp;A",T12_Calc!$E$1:$E$500)</f>
        <v/>
      </c>
      <c r="J52" s="24">
        <f>SUMIF(T12_Calc!$N$1:$N$500,"Office, admin &amp; G&amp;A",T12_Calc!$F$1:$F$500)</f>
        <v/>
      </c>
      <c r="K52" s="24">
        <f>SUMIF(T12_Calc!$N$1:$N$500,"Office, admin &amp; G&amp;A",T12_Calc!$G$1:$G$500)</f>
        <v/>
      </c>
      <c r="L52" s="24">
        <f>SUMIF(T12_Calc!$N$1:$N$500,"Office, admin &amp; G&amp;A",T12_Calc!$H$1:$H$500)</f>
        <v/>
      </c>
      <c r="M52" s="24">
        <f>SUMIF(T12_Calc!$N$1:$N$500,"Office, admin &amp; G&amp;A",T12_Calc!$I$1:$I$500)</f>
        <v/>
      </c>
      <c r="N52" s="24">
        <f>SUMIF(T12_Calc!$N$1:$N$500,"Office, admin &amp; G&amp;A",T12_Calc!$J$1:$J$500)</f>
        <v/>
      </c>
      <c r="O52" s="24">
        <f>SUMIF(T12_Calc!$N$1:$N$500,"Office, admin &amp; G&amp;A",T12_Calc!$K$1:$K$500)</f>
        <v/>
      </c>
      <c r="P52" s="24">
        <f>SUMIF(T12_Calc!$N$1:$N$500,"Office, admin &amp; G&amp;A",T12_Calc!$L$1:$L$500)</f>
        <v/>
      </c>
      <c r="Q52" s="24">
        <f>SUMIF(T12_Calc!$N$1:$N$500,"Office, admin &amp; G&amp;A",T12_Calc!$M$1:$M$500)</f>
        <v/>
      </c>
      <c r="R52" s="87">
        <f>SUM(F52:Q52)</f>
        <v/>
      </c>
    </row>
    <row r="53" ht="15.75" customHeight="1" s="199">
      <c r="A53" s="82" t="inlineStr">
        <is>
          <t>Non-Labor</t>
        </is>
      </c>
      <c r="B53" s="83" t="inlineStr">
        <is>
          <t>Other / miscellaneous</t>
        </is>
      </c>
      <c r="C53" s="84" t="inlineStr">
        <is>
          <t>-</t>
        </is>
      </c>
      <c r="D53" s="85" t="n"/>
      <c r="E53" s="86" t="inlineStr">
        <is>
          <t>Reimbursable Supplies | Building (Bird/Fish) Supplies | Evacuation Expense | Personal purchases for Residen | Resident Gifts/Benefits</t>
        </is>
      </c>
      <c r="F53" s="24">
        <f>SUMIF(T12_Calc!$N$1:$N$500,"Other / miscellaneous",T12_Calc!$B$1:$B$500)</f>
        <v/>
      </c>
      <c r="G53" s="24">
        <f>SUMIF(T12_Calc!$N$1:$N$500,"Other / miscellaneous",T12_Calc!$C$1:$C$500)</f>
        <v/>
      </c>
      <c r="H53" s="24">
        <f>SUMIF(T12_Calc!$N$1:$N$500,"Other / miscellaneous",T12_Calc!$D$1:$D$500)</f>
        <v/>
      </c>
      <c r="I53" s="24">
        <f>SUMIF(T12_Calc!$N$1:$N$500,"Other / miscellaneous",T12_Calc!$E$1:$E$500)</f>
        <v/>
      </c>
      <c r="J53" s="24">
        <f>SUMIF(T12_Calc!$N$1:$N$500,"Other / miscellaneous",T12_Calc!$F$1:$F$500)</f>
        <v/>
      </c>
      <c r="K53" s="24">
        <f>SUMIF(T12_Calc!$N$1:$N$500,"Other / miscellaneous",T12_Calc!$G$1:$G$500)</f>
        <v/>
      </c>
      <c r="L53" s="24">
        <f>SUMIF(T12_Calc!$N$1:$N$500,"Other / miscellaneous",T12_Calc!$H$1:$H$500)</f>
        <v/>
      </c>
      <c r="M53" s="24">
        <f>SUMIF(T12_Calc!$N$1:$N$500,"Other / miscellaneous",T12_Calc!$I$1:$I$500)</f>
        <v/>
      </c>
      <c r="N53" s="24">
        <f>SUMIF(T12_Calc!$N$1:$N$500,"Other / miscellaneous",T12_Calc!$J$1:$J$500)</f>
        <v/>
      </c>
      <c r="O53" s="24">
        <f>SUMIF(T12_Calc!$N$1:$N$500,"Other / miscellaneous",T12_Calc!$K$1:$K$500)</f>
        <v/>
      </c>
      <c r="P53" s="24">
        <f>SUMIF(T12_Calc!$N$1:$N$500,"Other / miscellaneous",T12_Calc!$L$1:$L$500)</f>
        <v/>
      </c>
      <c r="Q53" s="24">
        <f>SUMIF(T12_Calc!$N$1:$N$500,"Other / miscellaneous",T12_Calc!$M$1:$M$500)</f>
        <v/>
      </c>
      <c r="R53" s="87">
        <f>SUM(F53:Q53)</f>
        <v/>
      </c>
    </row>
    <row r="54" ht="15.75" customHeight="1" s="199">
      <c r="A54" s="82" t="inlineStr">
        <is>
          <t>Non-Labor</t>
        </is>
      </c>
      <c r="B54" s="83" t="inlineStr">
        <is>
          <t>Management fee</t>
        </is>
      </c>
      <c r="C54" s="84" t="inlineStr">
        <is>
          <t>-</t>
        </is>
      </c>
      <c r="D54" s="91" t="inlineStr">
        <is>
          <t>Enter manually if needed</t>
        </is>
      </c>
      <c r="E54" s="86" t="inlineStr">
        <is>
          <t>Management Fees | Management Fee</t>
        </is>
      </c>
      <c r="F54" s="24">
        <f>SUMIF(T12_Calc!$N$1:$N$500,"Management fee",T12_Calc!$B$1:$B$500)</f>
        <v/>
      </c>
      <c r="G54" s="24">
        <f>SUMIF(T12_Calc!$N$1:$N$500,"Management fee",T12_Calc!$C$1:$C$500)</f>
        <v/>
      </c>
      <c r="H54" s="24">
        <f>SUMIF(T12_Calc!$N$1:$N$500,"Management fee",T12_Calc!$D$1:$D$500)</f>
        <v/>
      </c>
      <c r="I54" s="24">
        <f>SUMIF(T12_Calc!$N$1:$N$500,"Management fee",T12_Calc!$E$1:$E$500)</f>
        <v/>
      </c>
      <c r="J54" s="24">
        <f>SUMIF(T12_Calc!$N$1:$N$500,"Management fee",T12_Calc!$F$1:$F$500)</f>
        <v/>
      </c>
      <c r="K54" s="24">
        <f>SUMIF(T12_Calc!$N$1:$N$500,"Management fee",T12_Calc!$G$1:$G$500)</f>
        <v/>
      </c>
      <c r="L54" s="24">
        <f>SUMIF(T12_Calc!$N$1:$N$500,"Management fee",T12_Calc!$H$1:$H$500)</f>
        <v/>
      </c>
      <c r="M54" s="24">
        <f>SUMIF(T12_Calc!$N$1:$N$500,"Management fee",T12_Calc!$I$1:$I$500)</f>
        <v/>
      </c>
      <c r="N54" s="24">
        <f>SUMIF(T12_Calc!$N$1:$N$500,"Management fee",T12_Calc!$J$1:$J$500)</f>
        <v/>
      </c>
      <c r="O54" s="24">
        <f>SUMIF(T12_Calc!$N$1:$N$500,"Management fee",T12_Calc!$K$1:$K$500)</f>
        <v/>
      </c>
      <c r="P54" s="24">
        <f>SUMIF(T12_Calc!$N$1:$N$500,"Management fee",T12_Calc!$L$1:$L$500)</f>
        <v/>
      </c>
      <c r="Q54" s="24">
        <f>SUMIF(T12_Calc!$N$1:$N$500,"Management fee",T12_Calc!$M$1:$M$500)</f>
        <v/>
      </c>
      <c r="R54" s="87">
        <f>SUM(F54:Q54)</f>
        <v/>
      </c>
    </row>
    <row r="55" ht="15.75" customHeight="1" s="199">
      <c r="A55" s="84" t="inlineStr">
        <is>
          <t>Revenue</t>
        </is>
      </c>
      <c r="B55" s="94" t="inlineStr">
        <is>
          <t>Gross Rent Revenue</t>
        </is>
      </c>
      <c r="C55" s="84" t="inlineStr">
        <is>
          <t>-</t>
        </is>
      </c>
      <c r="F55" s="24">
        <f>SUMIF(T12_Calc!$N$1:$N$500,"Gross Rent Revenue",T12_Calc!$B$1:$B$500)</f>
        <v/>
      </c>
      <c r="G55" s="24">
        <f>SUMIF(T12_Calc!$N$1:$N$500,"Gross Rent Revenue",T12_Calc!$C$1:$C$500)</f>
        <v/>
      </c>
      <c r="H55" s="24">
        <f>SUMIF(T12_Calc!$N$1:$N$500,"Gross Rent Revenue",T12_Calc!$D$1:$D$500)</f>
        <v/>
      </c>
      <c r="I55" s="24">
        <f>SUMIF(T12_Calc!$N$1:$N$500,"Gross Rent Revenue",T12_Calc!$E$1:$E$500)</f>
        <v/>
      </c>
      <c r="J55" s="24">
        <f>SUMIF(T12_Calc!$N$1:$N$500,"Gross Rent Revenue",T12_Calc!$F$1:$F$500)</f>
        <v/>
      </c>
      <c r="K55" s="24">
        <f>SUMIF(T12_Calc!$N$1:$N$500,"Gross Rent Revenue",T12_Calc!$G$1:$G$500)</f>
        <v/>
      </c>
      <c r="L55" s="24">
        <f>SUMIF(T12_Calc!$N$1:$N$500,"Gross Rent Revenue",T12_Calc!$H$1:$H$500)</f>
        <v/>
      </c>
      <c r="M55" s="24">
        <f>SUMIF(T12_Calc!$N$1:$N$500,"Gross Rent Revenue",T12_Calc!$I$1:$I$500)</f>
        <v/>
      </c>
      <c r="N55" s="24">
        <f>SUMIF(T12_Calc!$N$1:$N$500,"Gross Rent Revenue",T12_Calc!$J$1:$J$500)</f>
        <v/>
      </c>
      <c r="O55" s="24">
        <f>SUMIF(T12_Calc!$N$1:$N$500,"Gross Rent Revenue",T12_Calc!$K$1:$K$500)</f>
        <v/>
      </c>
      <c r="P55" s="24">
        <f>SUMIF(T12_Calc!$N$1:$N$500,"Gross Rent Revenue",T12_Calc!$L$1:$L$500)</f>
        <v/>
      </c>
      <c r="Q55" s="24">
        <f>SUMIF(T12_Calc!$N$1:$N$500,"Gross Rent Revenue",T12_Calc!$M$1:$M$500)</f>
        <v/>
      </c>
      <c r="R55" s="87">
        <f>SUM(F55:Q55)</f>
        <v/>
      </c>
    </row>
    <row r="56" ht="15.75" customHeight="1" s="199">
      <c r="A56" s="84" t="inlineStr">
        <is>
          <t>Revenue</t>
        </is>
      </c>
      <c r="B56" s="95" t="inlineStr">
        <is>
          <t>Physical Vacancy</t>
        </is>
      </c>
      <c r="C56" s="84" t="inlineStr">
        <is>
          <t>-</t>
        </is>
      </c>
      <c r="F56" s="24">
        <f>SUMIF(T12_Calc!$N$1:$N$500,"Physical Vacancy",T12_Calc!$B$1:$B$500)</f>
        <v/>
      </c>
      <c r="G56" s="24">
        <f>SUMIF(T12_Calc!$N$1:$N$500,"Physical Vacancy",T12_Calc!$C$1:$C$500)</f>
        <v/>
      </c>
      <c r="H56" s="24">
        <f>SUMIF(T12_Calc!$N$1:$N$500,"Physical Vacancy",T12_Calc!$D$1:$D$500)</f>
        <v/>
      </c>
      <c r="I56" s="24">
        <f>SUMIF(T12_Calc!$N$1:$N$500,"Physical Vacancy",T12_Calc!$E$1:$E$500)</f>
        <v/>
      </c>
      <c r="J56" s="24">
        <f>SUMIF(T12_Calc!$N$1:$N$500,"Physical Vacancy",T12_Calc!$F$1:$F$500)</f>
        <v/>
      </c>
      <c r="K56" s="24">
        <f>SUMIF(T12_Calc!$N$1:$N$500,"Physical Vacancy",T12_Calc!$G$1:$G$500)</f>
        <v/>
      </c>
      <c r="L56" s="24">
        <f>SUMIF(T12_Calc!$N$1:$N$500,"Physical Vacancy",T12_Calc!$H$1:$H$500)</f>
        <v/>
      </c>
      <c r="M56" s="24">
        <f>SUMIF(T12_Calc!$N$1:$N$500,"Physical Vacancy",T12_Calc!$I$1:$I$500)</f>
        <v/>
      </c>
      <c r="N56" s="24">
        <f>SUMIF(T12_Calc!$N$1:$N$500,"Physical Vacancy",T12_Calc!$J$1:$J$500)</f>
        <v/>
      </c>
      <c r="O56" s="24">
        <f>SUMIF(T12_Calc!$N$1:$N$500,"Physical Vacancy",T12_Calc!$K$1:$K$500)</f>
        <v/>
      </c>
      <c r="P56" s="24">
        <f>SUMIF(T12_Calc!$N$1:$N$500,"Physical Vacancy",T12_Calc!$L$1:$L$500)</f>
        <v/>
      </c>
      <c r="Q56" s="24">
        <f>SUMIF(T12_Calc!$N$1:$N$500,"Physical Vacancy",T12_Calc!$M$1:$M$500)</f>
        <v/>
      </c>
      <c r="R56" s="87">
        <f>SUM(F56:Q56)</f>
        <v/>
      </c>
    </row>
    <row r="57">
      <c r="A57" s="84" t="inlineStr">
        <is>
          <t>Revenue</t>
        </is>
      </c>
      <c r="B57" s="95" t="inlineStr">
        <is>
          <t>Loss to Lease</t>
        </is>
      </c>
      <c r="C57" s="84" t="inlineStr">
        <is>
          <t>-</t>
        </is>
      </c>
      <c r="F57" s="24">
        <f>SUMIF(T12_Calc!$N$1:$N$500,"Loss to Lease",T12_Calc!$B$1:$B$500)</f>
        <v/>
      </c>
      <c r="G57" s="24">
        <f>SUMIF(T12_Calc!$N$1:$N$500,"Loss to Lease",T12_Calc!$C$1:$C$500)</f>
        <v/>
      </c>
      <c r="H57" s="24">
        <f>SUMIF(T12_Calc!$N$1:$N$500,"Loss to Lease",T12_Calc!$D$1:$D$500)</f>
        <v/>
      </c>
      <c r="I57" s="24">
        <f>SUMIF(T12_Calc!$N$1:$N$500,"Loss to Lease",T12_Calc!$E$1:$E$500)</f>
        <v/>
      </c>
      <c r="J57" s="24">
        <f>SUMIF(T12_Calc!$N$1:$N$500,"Loss to Lease",T12_Calc!$F$1:$F$500)</f>
        <v/>
      </c>
      <c r="K57" s="24">
        <f>SUMIF(T12_Calc!$N$1:$N$500,"Loss to Lease",T12_Calc!$G$1:$G$500)</f>
        <v/>
      </c>
      <c r="L57" s="24">
        <f>SUMIF(T12_Calc!$N$1:$N$500,"Loss to Lease",T12_Calc!$H$1:$H$500)</f>
        <v/>
      </c>
      <c r="M57" s="24">
        <f>SUMIF(T12_Calc!$N$1:$N$500,"Loss to Lease",T12_Calc!$I$1:$I$500)</f>
        <v/>
      </c>
      <c r="N57" s="24">
        <f>SUMIF(T12_Calc!$N$1:$N$500,"Loss to Lease",T12_Calc!$J$1:$J$500)</f>
        <v/>
      </c>
      <c r="O57" s="24">
        <f>SUMIF(T12_Calc!$N$1:$N$500,"Loss to Lease",T12_Calc!$K$1:$K$500)</f>
        <v/>
      </c>
      <c r="P57" s="24">
        <f>SUMIF(T12_Calc!$N$1:$N$500,"Loss to Lease",T12_Calc!$L$1:$L$500)</f>
        <v/>
      </c>
      <c r="Q57" s="24">
        <f>SUMIF(T12_Calc!$N$1:$N$500,"Loss to Lease",T12_Calc!$M$1:$M$500)</f>
        <v/>
      </c>
      <c r="R57" s="87">
        <f>SUM(F57:Q57)</f>
        <v/>
      </c>
    </row>
    <row r="58">
      <c r="A58" s="82" t="inlineStr">
        <is>
          <t>Non-Labor</t>
        </is>
      </c>
      <c r="B58" s="83" t="inlineStr">
        <is>
          <t>Auto Expense</t>
        </is>
      </c>
      <c r="C58" s="84" t="inlineStr">
        <is>
          <t>-</t>
        </is>
      </c>
      <c r="D58" s="85" t="n"/>
      <c r="E58" s="86" t="inlineStr">
        <is>
          <t>Auto Expenses | Auto and Mileage Expense | Bus/Shuttle Service</t>
        </is>
      </c>
      <c r="F58" s="24">
        <f>SUMIF(T12_Calc!$N$1:$N$500,"Auto Expense",T12_Calc!$B$1:$B$500)</f>
        <v/>
      </c>
      <c r="G58" s="24">
        <f>SUMIF(T12_Calc!$N$1:$N$500,"Auto Expense",T12_Calc!$C$1:$C$500)</f>
        <v/>
      </c>
      <c r="H58" s="24">
        <f>SUMIF(T12_Calc!$N$1:$N$500,"Auto Expense",T12_Calc!$D$1:$D$500)</f>
        <v/>
      </c>
      <c r="I58" s="24">
        <f>SUMIF(T12_Calc!$N$1:$N$500,"Auto Expense",T12_Calc!$E$1:$E$500)</f>
        <v/>
      </c>
      <c r="J58" s="24">
        <f>SUMIF(T12_Calc!$N$1:$N$500,"Auto Expense",T12_Calc!$F$1:$F$500)</f>
        <v/>
      </c>
      <c r="K58" s="24">
        <f>SUMIF(T12_Calc!$N$1:$N$500,"Auto Expense",T12_Calc!$G$1:$G$500)</f>
        <v/>
      </c>
      <c r="L58" s="24">
        <f>SUMIF(T12_Calc!$N$1:$N$500,"Auto Expense",T12_Calc!$H$1:$H$500)</f>
        <v/>
      </c>
      <c r="M58" s="24">
        <f>SUMIF(T12_Calc!$N$1:$N$500,"Auto Expense",T12_Calc!$I$1:$I$500)</f>
        <v/>
      </c>
      <c r="N58" s="24">
        <f>SUMIF(T12_Calc!$N$1:$N$500,"Auto Expense",T12_Calc!$J$1:$J$500)</f>
        <v/>
      </c>
      <c r="O58" s="24">
        <f>SUMIF(T12_Calc!$N$1:$N$500,"Auto Expense",T12_Calc!$K$1:$K$500)</f>
        <v/>
      </c>
      <c r="P58" s="24">
        <f>SUMIF(T12_Calc!$N$1:$N$500,"Auto Expense",T12_Calc!$L$1:$L$500)</f>
        <v/>
      </c>
      <c r="Q58" s="24">
        <f>SUMIF(T12_Calc!$N$1:$N$500,"Auto Expense",T12_Calc!$M$1:$M$500)</f>
        <v/>
      </c>
      <c r="R58" s="87">
        <f>SUM(F58:Q58)</f>
        <v/>
      </c>
    </row>
    <row r="59">
      <c r="A59" s="82" t="inlineStr">
        <is>
          <t>Non-Labor</t>
        </is>
      </c>
      <c r="B59" s="83" t="inlineStr">
        <is>
          <t>Lease / ground lease</t>
        </is>
      </c>
      <c r="C59" s="84" t="inlineStr">
        <is>
          <t>-</t>
        </is>
      </c>
      <c r="D59" s="85" t="n"/>
      <c r="E59" s="86" t="inlineStr">
        <is>
          <t>Lease Expense | Ground Lease | Land Lease | Facility Lease | Building Lease | Rent Expense</t>
        </is>
      </c>
      <c r="F59" s="24">
        <f>SUMIF(T12_Calc!$N$1:$N$500,"Lease / ground lease",T12_Calc!$B$1:$B$500)</f>
        <v/>
      </c>
      <c r="G59" s="24">
        <f>SUMIF(T12_Calc!$N$1:$N$500,"Lease / ground lease",T12_Calc!$C$1:$C$500)</f>
        <v/>
      </c>
      <c r="H59" s="24">
        <f>SUMIF(T12_Calc!$N$1:$N$500,"Lease / ground lease",T12_Calc!$D$1:$D$500)</f>
        <v/>
      </c>
      <c r="I59" s="24">
        <f>SUMIF(T12_Calc!$N$1:$N$500,"Lease / ground lease",T12_Calc!$E$1:$E$500)</f>
        <v/>
      </c>
      <c r="J59" s="24">
        <f>SUMIF(T12_Calc!$N$1:$N$500,"Lease / ground lease",T12_Calc!$F$1:$F$500)</f>
        <v/>
      </c>
      <c r="K59" s="24">
        <f>SUMIF(T12_Calc!$N$1:$N$500,"Lease / ground lease",T12_Calc!$G$1:$G$500)</f>
        <v/>
      </c>
      <c r="L59" s="24">
        <f>SUMIF(T12_Calc!$N$1:$N$500,"Lease / ground lease",T12_Calc!$H$1:$H$500)</f>
        <v/>
      </c>
      <c r="M59" s="24">
        <f>SUMIF(T12_Calc!$N$1:$N$500,"Lease / ground lease",T12_Calc!$I$1:$I$500)</f>
        <v/>
      </c>
      <c r="N59" s="24">
        <f>SUMIF(T12_Calc!$N$1:$N$500,"Lease / ground lease",T12_Calc!$J$1:$J$500)</f>
        <v/>
      </c>
      <c r="O59" s="24">
        <f>SUMIF(T12_Calc!$N$1:$N$500,"Lease / ground lease",T12_Calc!$K$1:$K$500)</f>
        <v/>
      </c>
      <c r="P59" s="24">
        <f>SUMIF(T12_Calc!$N$1:$N$500,"Lease / ground lease",T12_Calc!$L$1:$L$500)</f>
        <v/>
      </c>
      <c r="Q59" s="24">
        <f>SUMIF(T12_Calc!$N$1:$N$500,"Lease / ground lease",T12_Calc!$M$1:$M$500)</f>
        <v/>
      </c>
      <c r="R59" s="87">
        <f>SUM(F59:Q59)</f>
        <v/>
      </c>
    </row>
    <row r="61" ht="15" customHeight="1" s="199"/>
    <row r="62" ht="15" customHeight="1" s="199">
      <c r="R62" s="96" t="n"/>
    </row>
    <row r="63" ht="15" customHeight="1" s="199">
      <c r="R63" s="97" t="n"/>
    </row>
    <row r="64">
      <c r="R64"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14" t="inlineStr">
        <is>
          <t>2nd Person
Rent $</t>
        </is>
      </c>
      <c r="W4" s="214" t="inlineStr">
        <is>
          <t>Move-out
Date</t>
        </is>
      </c>
      <c r="X4" s="214" t="inlineStr">
        <is>
          <t>Balance</t>
        </is>
      </c>
      <c r="Y4" s="214" t="inlineStr">
        <is>
          <t>Notes</t>
        </is>
      </c>
      <c r="Z4" s="214" t="inlineStr">
        <is>
          <t>Market
PSF</t>
        </is>
      </c>
      <c r="AA4" s="214" t="inlineStr">
        <is>
          <t>Actual
PSF</t>
        </is>
      </c>
      <c r="AB4" s="214" t="inlineStr">
        <is>
          <t>ACH</t>
        </is>
      </c>
      <c r="AZ4" t="inlineStr">
        <is>
          <t>v0.1.11</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IFERROR(H7+IFERROR(I7,0)+T7+IFERROR(V7,0),0)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IFERROR(H8+IFERROR(I8,0)+T8+IFERROR(V8,0),0)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IFERROR(H9+IFERROR(I9,0)+T9+IFERROR(V9,0),0)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IFERROR(H10+IFERROR(I10,0)+T10+IFERROR(V10,0),0)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IFERROR(H11+IFERROR(I11,0)+T11+IFERROR(V11,0),0)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IFERROR(H12+IFERROR(I12,0)+T12+IFERROR(V12,0),0)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IFERROR(H13+IFERROR(I13,0)+T13+IFERROR(V13,0),0)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IFERROR(H14+IFERROR(I14,0)+T14+IFERROR(V14,0),0)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IFERROR(H15+IFERROR(I15,0)+T15+IFERROR(V15,0),0)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IFERROR(H16+IFERROR(I16,0)+T16+IFERROR(V16,0),0)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IFERROR(H17+IFERROR(I17,0)+T17+IFERROR(V17,0),0)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IFERROR(H18+IFERROR(I18,0)+T18+IFERROR(V18,0),0)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IFERROR(H19+IFERROR(I19,0)+T19+IFERROR(V19,0),0)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IFERROR(H20+IFERROR(I20,0)+T20+IFERROR(V20,0),0)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IFERROR(H21+IFERROR(I21,0)+T21+IFERROR(V21,0),0)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IFERROR(H22+IFERROR(I22,0)+T22+IFERROR(V22,0),0)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IFERROR(H23+IFERROR(I23,0)+T23+IFERROR(V23,0),0)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IFERROR(H24+IFERROR(I24,0)+T24+IFERROR(V24,0),0)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IFERROR(H25+IFERROR(I25,0)+T25+IFERROR(V25,0),0)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IFERROR(H26+IFERROR(I26,0)+T26+IFERROR(V26,0),0)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IFERROR(H27+IFERROR(I27,0)+T27+IFERROR(V27,0),0)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IFERROR(H28+IFERROR(I28,0)+T28+IFERROR(V28,0),0)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IFERROR(H29+IFERROR(I29,0)+T29+IFERROR(V29,0),0)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IFERROR(H30+IFERROR(I30,0)+T30+IFERROR(V30,0),0)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IFERROR(H31+IFERROR(I31,0)+T31+IFERROR(V31,0),0)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IFERROR(H32+IFERROR(I32,0)+T32+IFERROR(V32,0),0)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IFERROR(H33+IFERROR(I33,0)+T33+IFERROR(V33,0),0)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IFERROR(H34+IFERROR(I34,0)+T34+IFERROR(V34,0),0)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IFERROR(H35+IFERROR(I35,0)+T35+IFERROR(V35,0),0)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IFERROR(H36+IFERROR(I36,0)+T36+IFERROR(V36,0),0)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IFERROR(H37+IFERROR(I37,0)+T37+IFERROR(V37,0),0)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IFERROR(H38+IFERROR(I38,0)+T38+IFERROR(V38,0),0)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IFERROR(H39+IFERROR(I39,0)+T39+IFERROR(V39,0),0)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IFERROR(H40+IFERROR(I40,0)+T40+IFERROR(V40,0),0)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IFERROR(H41+IFERROR(I41,0)+T41+IFERROR(V41,0),0)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IFERROR(H42+IFERROR(I42,0)+T42+IFERROR(V42,0),0)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IFERROR(H43+IFERROR(I43,0)+T43+IFERROR(V43,0),0)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IFERROR(H44+IFERROR(I44,0)+T44+IFERROR(V44,0),0)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IFERROR(H45+IFERROR(I45,0)+T45+IFERROR(V45,0),0)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IFERROR(H46+IFERROR(I46,0)+T46+IFERROR(V46,0),0)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IFERROR(H47+IFERROR(I47,0)+T47+IFERROR(V47,0),0)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IFERROR(H48+IFERROR(I48,0)+T48+IFERROR(V48,0),0)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IFERROR(H49+IFERROR(I49,0)+T49+IFERROR(V49,0),0)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IFERROR(H50+IFERROR(I50,0)+T50+IFERROR(V50,0),0)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IFERROR(H51+IFERROR(I51,0)+T51+IFERROR(V51,0),0)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IFERROR(H52+IFERROR(I52,0)+T52+IFERROR(V52,0),0)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IFERROR(H53+IFERROR(I53,0)+T53+IFERROR(V53,0),0)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IFERROR(H54+IFERROR(I54,0)+T54+IFERROR(V54,0),0)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IFERROR(H55+IFERROR(I55,0)+T55+IFERROR(V55,0),0)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IFERROR(H56+IFERROR(I56,0)+T56+IFERROR(V56,0),0)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IFERROR(H57+IFERROR(I57,0)+T57+IFERROR(V57,0),0)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IFERROR(H58+IFERROR(I58,0)+T58+IFERROR(V58,0),0)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IFERROR(H59+IFERROR(I59,0)+T59+IFERROR(V59,0),0)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IFERROR(H60+IFERROR(I60,0)+T60+IFERROR(V60,0),0)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IFERROR(H61+IFERROR(I61,0)+T61+IFERROR(V61,0),0)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IFERROR(H62+IFERROR(I62,0)+T62+IFERROR(V62,0),0)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IFERROR(H63+IFERROR(I63,0)+T63+IFERROR(V63,0),0)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IFERROR(H64+IFERROR(I64,0)+T64+IFERROR(V64,0),0)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IFERROR(H65+IFERROR(I65,0)+T65+IFERROR(V65,0),0)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IFERROR(H66+IFERROR(I66,0)+T66+IFERROR(V66,0),0)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IFERROR(H67+IFERROR(I67,0)+T67+IFERROR(V67,0),0)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IFERROR(H68+IFERROR(I68,0)+T68+IFERROR(V68,0),0)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IFERROR(H69+IFERROR(I69,0)+T69+IFERROR(V69,0),0)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IFERROR(H70+IFERROR(I70,0)+T70+IFERROR(V70,0),0)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IFERROR(H71+IFERROR(I71,0)+T71+IFERROR(V71,0),0)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IFERROR(H72+IFERROR(I72,0)+T72+IFERROR(V72,0),0)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IFERROR(H73+IFERROR(I73,0)+T73+IFERROR(V73,0),0)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IFERROR(H74+IFERROR(I74,0)+T74+IFERROR(V74,0),0)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IFERROR(H75+IFERROR(I75,0)+T75+IFERROR(V75,0),0)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IFERROR(H76+IFERROR(I76,0)+T76+IFERROR(V76,0),0)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IFERROR(H77+IFERROR(I77,0)+T77+IFERROR(V77,0),0)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IFERROR(H78+IFERROR(I78,0)+T78+IFERROR(V78,0),0)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IFERROR(H79+IFERROR(I79,0)+T79+IFERROR(V79,0),0)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IFERROR(H80+IFERROR(I80,0)+T80+IFERROR(V80,0),0)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IFERROR(H81+IFERROR(I81,0)+T81+IFERROR(V81,0),0)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IFERROR(H82+IFERROR(I82,0)+T82+IFERROR(V82,0),0)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IFERROR(H83+IFERROR(I83,0)+T83+IFERROR(V83,0),0)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IFERROR(H84+IFERROR(I84,0)+T84+IFERROR(V84,0),0)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IFERROR(H85+IFERROR(I85,0)+T85+IFERROR(V85,0),0)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IFERROR(H86+IFERROR(I86,0)+T86+IFERROR(V86,0),0)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IFERROR(H87+IFERROR(I87,0)+T87+IFERROR(V87,0),0)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IFERROR(H88+IFERROR(I88,0)+T88+IFERROR(V88,0),0)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IFERROR(H89+IFERROR(I89,0)+T89+IFERROR(V89,0),0)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IFERROR(H90+IFERROR(I90,0)+T90+IFERROR(V90,0),0)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IFERROR(H91+IFERROR(I91,0)+T91+IFERROR(V91,0),0)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IFERROR(H92+IFERROR(I92,0)+T92+IFERROR(V92,0),0)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IFERROR(H93+IFERROR(I93,0)+T93+IFERROR(V93,0),0)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IFERROR(H94+IFERROR(I94,0)+T94+IFERROR(V94,0),0)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IFERROR(H95+IFERROR(I95,0)+T95+IFERROR(V95,0),0)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IFERROR(H96+IFERROR(I96,0)+T96+IFERROR(V96,0),0)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IFERROR(H97+IFERROR(I97,0)+T97+IFERROR(V97,0),0)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IFERROR(H98+IFERROR(I98,0)+T98+IFERROR(V98,0),0)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IFERROR(H99+IFERROR(I99,0)+T99+IFERROR(V99,0),0)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IFERROR(H100+IFERROR(I100,0)+T100+IFERROR(V100,0),0)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IFERROR(H101+IFERROR(I101,0)+T101+IFERROR(V101,0),0)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IFERROR(H102+IFERROR(I102,0)+T102+IFERROR(V102,0),0)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IFERROR(H103+IFERROR(I103,0)+T103+IFERROR(V103,0),0)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IFERROR(H104+IFERROR(I104,0)+T104+IFERROR(V104,0),0)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IFERROR(H105+IFERROR(I105,0)+T105+IFERROR(V105,0),0)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IFERROR(H106+IFERROR(I106,0)+T106+IFERROR(V106,0),0)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IFERROR(H107+IFERROR(I107,0)+T107+IFERROR(V107,0),0)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IFERROR(H108+IFERROR(I108,0)+T108+IFERROR(V108,0),0)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IFERROR(H109+IFERROR(I109,0)+T109+IFERROR(V109,0),0)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IFERROR(H110+IFERROR(I110,0)+T110+IFERROR(V110,0),0)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IFERROR(H111+IFERROR(I111,0)+T111+IFERROR(V111,0),0)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IFERROR(H112+IFERROR(I112,0)+T112+IFERROR(V112,0),0)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IFERROR(H113+IFERROR(I113,0)+T113+IFERROR(V113,0),0)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IFERROR(H114+IFERROR(I114,0)+T114+IFERROR(V114,0),0)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IFERROR(H115+IFERROR(I115,0)+T115+IFERROR(V115,0),0)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IFERROR(H116+IFERROR(I116,0)+T116+IFERROR(V116,0),0)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IFERROR(H117+IFERROR(I117,0)+T117+IFERROR(V117,0),0)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IFERROR(H118+IFERROR(I118,0)+T118+IFERROR(V118,0),0)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IFERROR(H119+IFERROR(I119,0)+T119+IFERROR(V119,0),0)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IFERROR(H120+IFERROR(I120,0)+T120+IFERROR(V120,0),0)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IFERROR(H121+IFERROR(I121,0)+T121+IFERROR(V121,0),0)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IFERROR(H122+IFERROR(I122,0)+T122+IFERROR(V122,0),0)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IFERROR(H123+IFERROR(I123,0)+T123+IFERROR(V123,0),0)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IFERROR(H124+IFERROR(I124,0)+T124+IFERROR(V124,0),0)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IFERROR(H125+IFERROR(I125,0)+T125+IFERROR(V125,0),0)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IFERROR(H126+IFERROR(I126,0)+T126+IFERROR(V126,0),0)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IFERROR(H127+IFERROR(I127,0)+T127+IFERROR(V127,0),0)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IFERROR(H128+IFERROR(I128,0)+T128+IFERROR(V128,0),0)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IFERROR(H129+IFERROR(I129,0)+T129+IFERROR(V129,0),0)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IFERROR(H130+IFERROR(I130,0)+T130+IFERROR(V130,0),0)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IFERROR(H131+IFERROR(I131,0)+T131+IFERROR(V131,0),0)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IFERROR(H132+IFERROR(I132,0)+T132+IFERROR(V132,0),0)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IFERROR(H133+IFERROR(I133,0)+T133+IFERROR(V133,0),0)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IFERROR(H134+IFERROR(I134,0)+T134+IFERROR(V134,0),0)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IFERROR(H135+IFERROR(I135,0)+T135+IFERROR(V135,0),0)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IFERROR(H136+IFERROR(I136,0)+T136+IFERROR(V136,0),0)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IFERROR(H137+IFERROR(I137,0)+T137+IFERROR(V137,0),0)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IFERROR(H138+IFERROR(I138,0)+T138+IFERROR(V138,0),0)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IFERROR(H139+IFERROR(I139,0)+T139+IFERROR(V139,0),0)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IFERROR(H140+IFERROR(I140,0)+T140+IFERROR(V140,0),0)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IFERROR(H141+IFERROR(I141,0)+T141+IFERROR(V141,0),0)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IFERROR(H142+IFERROR(I142,0)+T142+IFERROR(V142,0),0)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IFERROR(H143+IFERROR(I143,0)+T143+IFERROR(V143,0),0)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IFERROR(H144+IFERROR(I144,0)+T144+IFERROR(V144,0),0)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IFERROR(H145+IFERROR(I145,0)+T145+IFERROR(V145,0),0)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IFERROR(H146+IFERROR(I146,0)+T146+IFERROR(V146,0),0)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IFERROR(H147+IFERROR(I147,0)+T147+IFERROR(V147,0),0)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IFERROR(H148+IFERROR(I148,0)+T148+IFERROR(V148,0),0)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IFERROR(H149+IFERROR(I149,0)+T149+IFERROR(V149,0),0)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IFERROR(H150+IFERROR(I150,0)+T150+IFERROR(V150,0),0)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IFERROR(H151+IFERROR(I151,0)+T151+IFERROR(V151,0),0)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IFERROR(H152+IFERROR(I152,0)+T152+IFERROR(V152,0),0)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IFERROR(H153+IFERROR(I153,0)+T153+IFERROR(V153,0),0)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IFERROR(H154+IFERROR(I154,0)+T154+IFERROR(V154,0),0)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IFERROR(H155+IFERROR(I155,0)+T155+IFERROR(V155,0),0)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IFERROR(H156+IFERROR(I156,0)+T156+IFERROR(V156,0),0)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IFERROR(H157+IFERROR(I157,0)+T157+IFERROR(V157,0),0)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IFERROR(H158+IFERROR(I158,0)+T158+IFERROR(V158,0),0)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IFERROR(H159+IFERROR(I159,0)+T159+IFERROR(V159,0),0)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IFERROR(H160+IFERROR(I160,0)+T160+IFERROR(V160,0),0)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IFERROR(H161+IFERROR(I161,0)+T161+IFERROR(V161,0),0)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IFERROR(H162+IFERROR(I162,0)+T162+IFERROR(V162,0),0)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IFERROR(H163+IFERROR(I163,0)+T163+IFERROR(V163,0),0)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IFERROR(H164+IFERROR(I164,0)+T164+IFERROR(V164,0),0)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IFERROR(H165+IFERROR(I165,0)+T165+IFERROR(V165,0),0)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IFERROR(H166+IFERROR(I166,0)+T166+IFERROR(V166,0),0)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IFERROR(H167+IFERROR(I167,0)+T167+IFERROR(V167,0),0)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IFERROR(H168+IFERROR(I168,0)+T168+IFERROR(V168,0),0)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IFERROR(H169+IFERROR(I169,0)+T169+IFERROR(V169,0),0)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IFERROR(H170+IFERROR(I170,0)+T170+IFERROR(V170,0),0)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IFERROR(H171+IFERROR(I171,0)+T171+IFERROR(V171,0),0)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IFERROR(H172+IFERROR(I172,0)+T172+IFERROR(V172,0),0)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IFERROR(H173+IFERROR(I173,0)+T173+IFERROR(V173,0),0)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IFERROR(H174+IFERROR(I174,0)+T174+IFERROR(V174,0),0)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IFERROR(H175+IFERROR(I175,0)+T175+IFERROR(V175,0),0)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IFERROR(H176+IFERROR(I176,0)+T176+IFERROR(V176,0),0)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IFERROR(H177+IFERROR(I177,0)+T177+IFERROR(V177,0),0)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IFERROR(H178+IFERROR(I178,0)+T178+IFERROR(V178,0),0)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IFERROR(H179+IFERROR(I179,0)+T179+IFERROR(V179,0),0)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IFERROR(H180+IFERROR(I180,0)+T180+IFERROR(V180,0),0)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IFERROR(H181+IFERROR(I181,0)+T181+IFERROR(V181,0),0)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IFERROR(H182+IFERROR(I182,0)+T182+IFERROR(V182,0),0)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IFERROR(H183+IFERROR(I183,0)+T183+IFERROR(V183,0),0)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IFERROR(H184+IFERROR(I184,0)+T184+IFERROR(V184,0),0)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IFERROR(H185+IFERROR(I185,0)+T185+IFERROR(V185,0),0)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IFERROR(H186+IFERROR(I186,0)+T186+IFERROR(V186,0),0)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IFERROR(H187+IFERROR(I187,0)+T187+IFERROR(V187,0),0)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IFERROR(H188+IFERROR(I188,0)+T188+IFERROR(V188,0),0)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IFERROR(H189+IFERROR(I189,0)+T189+IFERROR(V189,0),0)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IFERROR(H190+IFERROR(I190,0)+T190+IFERROR(V190,0),0)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IFERROR(H191+IFERROR(I191,0)+T191+IFERROR(V191,0),0)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IFERROR(H192+IFERROR(I192,0)+T192+IFERROR(V192,0),0)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IFERROR(H193+IFERROR(I193,0)+T193+IFERROR(V193,0),0)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IFERROR(H194+IFERROR(I194,0)+T194+IFERROR(V194,0),0)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IFERROR(H195+IFERROR(I195,0)+T195+IFERROR(V195,0),0)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IFERROR(H196+IFERROR(I196,0)+T196+IFERROR(V196,0),0)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IFERROR(H197+IFERROR(I197,0)+T197+IFERROR(V197,0),0)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IFERROR(H198+IFERROR(I198,0)+T198+IFERROR(V198,0),0)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IFERROR(H199+IFERROR(I199,0)+T199+IFERROR(V199,0),0)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IFERROR(H200+IFERROR(I200,0)+T200+IFERROR(V200,0),0)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IFERROR(H201+IFERROR(I201,0)+T201+IFERROR(V201,0),0)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IFERROR(H202+IFERROR(I202,0)+T202+IFERROR(V202,0),0)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IFERROR(H203+IFERROR(I203,0)+T203+IFERROR(V203,0),0)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IFERROR(H204+IFERROR(I204,0)+T204+IFERROR(V204,0),0)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IFERROR(H205+IFERROR(I205,0)+T205+IFERROR(V205,0),0)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IFERROR(H206+IFERROR(I206,0)+T206+IFERROR(V206,0),0)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IFERROR(H207+IFERROR(I207,0)+T207+IFERROR(V207,0),0)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IFERROR(H208+IFERROR(I208,0)+T208+IFERROR(V208,0),0)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IFERROR(H209+IFERROR(I209,0)+T209+IFERROR(V209,0),0)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IFERROR(H210+IFERROR(I210,0)+T210+IFERROR(V210,0),0)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IFERROR(H211+IFERROR(I211,0)+T211+IFERROR(V211,0),0)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IFERROR(H212+IFERROR(I212,0)+T212+IFERROR(V212,0),0)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IFERROR(H213+IFERROR(I213,0)+T213+IFERROR(V213,0),0)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IFERROR(H214+IFERROR(I214,0)+T214+IFERROR(V214,0),0)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IFERROR(H215+IFERROR(I215,0)+T215+IFERROR(V215,0),0)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IFERROR(H216+IFERROR(I216,0)+T216+IFERROR(V216,0),0)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IFERROR(H217+IFERROR(I217,0)+T217+IFERROR(V217,0),0)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IFERROR(H218+IFERROR(I218,0)+T218+IFERROR(V218,0),0)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IFERROR(H219+IFERROR(I219,0)+T219+IFERROR(V219,0),0)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IFERROR(H220+IFERROR(I220,0)+T220+IFERROR(V220,0),0)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IFERROR(H221+IFERROR(I221,0)+T221+IFERROR(V221,0),0)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IFERROR(H222+IFERROR(I222,0)+T222+IFERROR(V222,0),0)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IFERROR(H223+IFERROR(I223,0)+T223+IFERROR(V223,0),0)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IFERROR(H224+IFERROR(I224,0)+T224+IFERROR(V224,0),0)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IFERROR(H225+IFERROR(I225,0)+T225+IFERROR(V225,0),0)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IFERROR(H226+IFERROR(I226,0)+T226+IFERROR(V226,0),0)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IFERROR(H227+IFERROR(I227,0)+T227+IFERROR(V227,0),0)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IFERROR(H228+IFERROR(I228,0)+T228+IFERROR(V228,0),0)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IFERROR(H229+IFERROR(I229,0)+T229+IFERROR(V229,0),0)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IFERROR(H230+IFERROR(I230,0)+T230+IFERROR(V230,0),0)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IFERROR(H231+IFERROR(I231,0)+T231+IFERROR(V231,0),0)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IFERROR(H232+IFERROR(I232,0)+T232+IFERROR(V232,0),0)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IFERROR(H233+IFERROR(I233,0)+T233+IFERROR(V233,0),0)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IFERROR(H234+IFERROR(I234,0)+T234+IFERROR(V234,0),0)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IFERROR(H235+IFERROR(I235,0)+T235+IFERROR(V235,0),0)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IFERROR(H236+IFERROR(I236,0)+T236+IFERROR(V236,0),0)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IFERROR(H237+IFERROR(I237,0)+T237+IFERROR(V237,0),0)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IFERROR(H238+IFERROR(I238,0)+T238+IFERROR(V238,0),0)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IFERROR(H239+IFERROR(I239,0)+T239+IFERROR(V239,0),0)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IFERROR(H240+IFERROR(I240,0)+T240+IFERROR(V240,0),0)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IFERROR(H241+IFERROR(I241,0)+T241+IFERROR(V241,0),0)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IFERROR(H242+IFERROR(I242,0)+T242+IFERROR(V242,0),0)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IFERROR(H243+IFERROR(I243,0)+T243+IFERROR(V243,0),0)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IFERROR(H244+IFERROR(I244,0)+T244+IFERROR(V244,0),0)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IFERROR(H245+IFERROR(I245,0)+T245+IFERROR(V245,0),0)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IFERROR(H246+IFERROR(I246,0)+T246+IFERROR(V246,0),0)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IFERROR(H247+IFERROR(I247,0)+T247+IFERROR(V247,0),0)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IFERROR(H248+IFERROR(I248,0)+T248+IFERROR(V248,0),0)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IFERROR(H249+IFERROR(I249,0)+T249+IFERROR(V249,0),0)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IFERROR(H250+IFERROR(I250,0)+T250+IFERROR(V250,0),0)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IFERROR(H251+IFERROR(I251,0)+T251+IFERROR(V251,0),0)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IFERROR(H252+IFERROR(I252,0)+T252+IFERROR(V252,0),0)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IFERROR(H253+IFERROR(I253,0)+T253+IFERROR(V253,0),0)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IFERROR(H254+IFERROR(I254,0)+T254+IFERROR(V254,0),0)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IFERROR(H255+IFERROR(I255,0)+T255+IFERROR(V255,0),0)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IFERROR(H256+IFERROR(I256,0)+T256+IFERROR(V256,0),0)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IFERROR(H257+IFERROR(I257,0)+T257+IFERROR(V257,0),0)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IFERROR(H258+IFERROR(I258,0)+T258+IFERROR(V258,0),0)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IFERROR(H259+IFERROR(I259,0)+T259+IFERROR(V259,0),0)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IFERROR(H260+IFERROR(I260,0)+T260+IFERROR(V260,0),0)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IFERROR(H261+IFERROR(I261,0)+T261+IFERROR(V261,0),0)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IFERROR(H262+IFERROR(I262,0)+T262+IFERROR(V262,0),0)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IFERROR(H263+IFERROR(I263,0)+T263+IFERROR(V263,0),0)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IFERROR(H264+IFERROR(I264,0)+T264+IFERROR(V264,0),0)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IFERROR(H265+IFERROR(I265,0)+T265+IFERROR(V265,0),0)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IFERROR(H266+IFERROR(I266,0)+T266+IFERROR(V266,0),0)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IFERROR(H267+IFERROR(I267,0)+T267+IFERROR(V267,0),0)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IFERROR(H268+IFERROR(I268,0)+T268+IFERROR(V268,0),0)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IFERROR(H269+IFERROR(I269,0)+T269+IFERROR(V269,0),0)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IFERROR(H270+IFERROR(I270,0)+T270+IFERROR(V270,0),0)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IFERROR(H271+IFERROR(I271,0)+T271+IFERROR(V271,0),0)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IFERROR(H272+IFERROR(I272,0)+T272+IFERROR(V272,0),0)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IFERROR(H273+IFERROR(I273,0)+T273+IFERROR(V273,0),0)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IFERROR(H274+IFERROR(I274,0)+T274+IFERROR(V274,0),0)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IFERROR(H275+IFERROR(I275,0)+T275+IFERROR(V275,0),0)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IFERROR(H276+IFERROR(I276,0)+T276+IFERROR(V276,0),0)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IFERROR(H277+IFERROR(I277,0)+T277+IFERROR(V277,0),0)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IFERROR(H278+IFERROR(I278,0)+T278+IFERROR(V278,0),0)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IFERROR(H279+IFERROR(I279,0)+T279+IFERROR(V279,0),0)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IFERROR(H280+IFERROR(I280,0)+T280+IFERROR(V280,0),0)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IFERROR(H281+IFERROR(I281,0)+T281+IFERROR(V281,0),0)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IFERROR(H282+IFERROR(I282,0)+T282+IFERROR(V282,0),0)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IFERROR(H283+IFERROR(I283,0)+T283+IFERROR(V283,0),0)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IFERROR(H284+IFERROR(I284,0)+T284+IFERROR(V284,0),0)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IFERROR(H285+IFERROR(I285,0)+T285+IFERROR(V285,0),0)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IFERROR(H286+IFERROR(I286,0)+T286+IFERROR(V286,0),0)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IFERROR(H287+IFERROR(I287,0)+T287+IFERROR(V287,0),0)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IFERROR(H288+IFERROR(I288,0)+T288+IFERROR(V288,0),0)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IFERROR(H289+IFERROR(I289,0)+T289+IFERROR(V289,0),0)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IFERROR(H290+IFERROR(I290,0)+T290+IFERROR(V290,0),0)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IFERROR(H291+IFERROR(I291,0)+T291+IFERROR(V291,0),0)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IFERROR(H292+IFERROR(I292,0)+T292+IFERROR(V292,0),0)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IFERROR(H293+IFERROR(I293,0)+T293+IFERROR(V293,0),0)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IFERROR(H294+IFERROR(I294,0)+T294+IFERROR(V294,0),0)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IFERROR(H295+IFERROR(I295,0)+T295+IFERROR(V295,0),0)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IFERROR(H296+IFERROR(I296,0)+T296+IFERROR(V296,0),0)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IFERROR(H297+IFERROR(I297,0)+T297+IFERROR(V297,0),0)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IFERROR(H298+IFERROR(I298,0)+T298+IFERROR(V298,0),0)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IFERROR(H299+IFERROR(I299,0)+T299+IFERROR(V299,0),0)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IFERROR(H300+IFERROR(I300,0)+T300+IFERROR(V300,0),0)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IFERROR(H301+IFERROR(I301,0)+T301+IFERROR(V301,0),0)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IFERROR(H302+IFERROR(I302,0)+T302+IFERROR(V302,0),0)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IFERROR(H303+IFERROR(I303,0)+T303+IFERROR(V303,0),0)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IFERROR(H304+IFERROR(I304,0)+T304+IFERROR(V304,0),0)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IFERROR(H305+IFERROR(I305,0)+T305+IFERROR(V305,0),0)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IFERROR(H306+IFERROR(I306,0)+T306+IFERROR(V306,0),0)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IFERROR(H307+IFERROR(I307,0)+T307+IFERROR(V307,0),0)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IFERROR(H308+IFERROR(I308,0)+T308+IFERROR(V308,0),0)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IFERROR(H309+IFERROR(I309,0)+T309+IFERROR(V309,0),0)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IFERROR(H310+IFERROR(I310,0)+T310+IFERROR(V310,0),0)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IFERROR(H311+IFERROR(I311,0)+T311+IFERROR(V311,0),0)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IFERROR(H312+IFERROR(I312,0)+T312+IFERROR(V312,0),0)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IFERROR(H313+IFERROR(I313,0)+T313+IFERROR(V313,0),0)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IFERROR(H314+IFERROR(I314,0)+T314+IFERROR(V314,0),0)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IFERROR(H315+IFERROR(I315,0)+T315+IFERROR(V315,0),0)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IFERROR(H316+IFERROR(I316,0)+T316+IFERROR(V316,0),0)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IFERROR(H317+IFERROR(I317,0)+T317+IFERROR(V317,0),0)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IFERROR(H318+IFERROR(I318,0)+T318+IFERROR(V318,0),0)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IFERROR(H319+IFERROR(I319,0)+T319+IFERROR(V319,0),0)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IFERROR(H320+IFERROR(I320,0)+T320+IFERROR(V320,0),0)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IFERROR(H321+IFERROR(I321,0)+T321+IFERROR(V321,0),0)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IFERROR(H322+IFERROR(I322,0)+T322+IFERROR(V322,0),0)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IFERROR(H323+IFERROR(I323,0)+T323+IFERROR(V323,0),0)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IFERROR(H324+IFERROR(I324,0)+T324+IFERROR(V324,0),0)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IFERROR(H325+IFERROR(I325,0)+T325+IFERROR(V325,0),0)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IFERROR(H326+IFERROR(I326,0)+T326+IFERROR(V326,0),0)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IFERROR(H327+IFERROR(I327,0)+T327+IFERROR(V327,0),0)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IFERROR(H328+IFERROR(I328,0)+T328+IFERROR(V328,0),0)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IFERROR(H329+IFERROR(I329,0)+T329+IFERROR(V329,0),0)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IFERROR(H330+IFERROR(I330,0)+T330+IFERROR(V330,0),0)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IFERROR(H331+IFERROR(I331,0)+T331+IFERROR(V331,0),0)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IFERROR(H332+IFERROR(I332,0)+T332+IFERROR(V332,0),0)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IFERROR(H333+IFERROR(I333,0)+T333+IFERROR(V333,0),0)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IFERROR(H334+IFERROR(I334,0)+T334+IFERROR(V334,0),0)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IFERROR(H335+IFERROR(I335,0)+T335+IFERROR(V335,0),0)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IFERROR(H336+IFERROR(I336,0)+T336+IFERROR(V336,0),0)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IFERROR(H337+IFERROR(I337,0)+T337+IFERROR(V337,0),0)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IFERROR(H338+IFERROR(I338,0)+T338+IFERROR(V338,0),0)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IFERROR(H339+IFERROR(I339,0)+T339+IFERROR(V339,0),0)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IFERROR(H340+IFERROR(I340,0)+T340+IFERROR(V340,0),0)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IFERROR(H341+IFERROR(I341,0)+T341+IFERROR(V341,0),0)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IFERROR(H342+IFERROR(I342,0)+T342+IFERROR(V342,0),0)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IFERROR(H343+IFERROR(I343,0)+T343+IFERROR(V343,0),0)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IFERROR(H344+IFERROR(I344,0)+T344+IFERROR(V344,0),0)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IFERROR(H345+IFERROR(I345,0)+T345+IFERROR(V345,0),0)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IFERROR(H346+IFERROR(I346,0)+T346+IFERROR(V346,0),0)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IFERROR(H347+IFERROR(I347,0)+T347+IFERROR(V347,0),0)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IFERROR(H348+IFERROR(I348,0)+T348+IFERROR(V348,0),0)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IFERROR(H349+IFERROR(I349,0)+T349+IFERROR(V349,0),0)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IFERROR(H350+IFERROR(I350,0)+T350+IFERROR(V350,0),0)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IFERROR(H351+IFERROR(I351,0)+T351+IFERROR(V351,0),0)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IFERROR(H352+IFERROR(I352,0)+T352+IFERROR(V352,0),0)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IFERROR(H353+IFERROR(I353,0)+T353+IFERROR(V353,0),0)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IFERROR(H354+IFERROR(I354,0)+T354+IFERROR(V354,0),0)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IFERROR(H355+IFERROR(I355,0)+T355+IFERROR(V355,0),0)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IFERROR(H356+IFERROR(I356,0)+T356+IFERROR(V356,0),0)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IFERROR(H357+IFERROR(I357,0)+T357+IFERROR(V357,0),0)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IFERROR(H358+IFERROR(I358,0)+T358+IFERROR(V358,0),0)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IFERROR(H359+IFERROR(I359,0)+T359+IFERROR(V359,0),0)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IFERROR(H360+IFERROR(I360,0)+T360+IFERROR(V360,0),0)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IFERROR(H361+IFERROR(I361,0)+T361+IFERROR(V361,0),0)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IFERROR(H362+IFERROR(I362,0)+T362+IFERROR(V362,0),0)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IFERROR(H363+IFERROR(I363,0)+T363+IFERROR(V363,0),0)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IFERROR(H364+IFERROR(I364,0)+T364+IFERROR(V364,0),0)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IFERROR(H365+IFERROR(I365,0)+T365+IFERROR(V365,0),0)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IFERROR(H366+IFERROR(I366,0)+T366+IFERROR(V366,0),0)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IFERROR(H367+IFERROR(I367,0)+T367+IFERROR(V367,0),0)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IFERROR(H368+IFERROR(I368,0)+T368+IFERROR(V368,0),0)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IFERROR(H369+IFERROR(I369,0)+T369+IFERROR(V369,0),0)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IFERROR(H370+IFERROR(I370,0)+T370+IFERROR(V370,0),0)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IFERROR(H371+IFERROR(I371,0)+T371+IFERROR(V371,0),0)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IFERROR(H372+IFERROR(I372,0)+T372+IFERROR(V372,0),0)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IFERROR(H373+IFERROR(I373,0)+T373+IFERROR(V373,0),0)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IFERROR(H374+IFERROR(I374,0)+T374+IFERROR(V374,0),0)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IFERROR(H375+IFERROR(I375,0)+T375+IFERROR(V375,0),0)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IFERROR(H376+IFERROR(I376,0)+T376+IFERROR(V376,0),0)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IFERROR(H377+IFERROR(I377,0)+T377+IFERROR(V377,0),0)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IFERROR(H378+IFERROR(I378,0)+T378+IFERROR(V378,0),0)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IFERROR(H379+IFERROR(I379,0)+T379+IFERROR(V379,0),0)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IFERROR(H380+IFERROR(I380,0)+T380+IFERROR(V380,0),0)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IFERROR(H381+IFERROR(I381,0)+T381+IFERROR(V381,0),0)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IFERROR(H382+IFERROR(I382,0)+T382+IFERROR(V382,0),0)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IFERROR(H383+IFERROR(I383,0)+T383+IFERROR(V383,0),0)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IFERROR(H384+IFERROR(I384,0)+T384+IFERROR(V384,0),0)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IFERROR(H385+IFERROR(I385,0)+T385+IFERROR(V385,0),0)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IFERROR(H386+IFERROR(I386,0)+T386+IFERROR(V386,0),0)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IFERROR(H387+IFERROR(I387,0)+T387+IFERROR(V387,0),0)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IFERROR(H388+IFERROR(I388,0)+T388+IFERROR(V388,0),0)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IFERROR(H389+IFERROR(I389,0)+T389+IFERROR(V389,0),0)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IFERROR(H390+IFERROR(I390,0)+T390+IFERROR(V390,0),0)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IFERROR(H391+IFERROR(I391,0)+T391+IFERROR(V391,0),0)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IFERROR(H392+IFERROR(I392,0)+T392+IFERROR(V392,0),0)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IFERROR(H393+IFERROR(I393,0)+T393+IFERROR(V393,0),0)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IFERROR(H394+IFERROR(I394,0)+T394+IFERROR(V394,0),0)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IFERROR(H395+IFERROR(I395,0)+T395+IFERROR(V395,0),0)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IFERROR(H396+IFERROR(I396,0)+T396+IFERROR(V396,0),0)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IFERROR(H397+IFERROR(I397,0)+T397+IFERROR(V397,0),0)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IFERROR(H398+IFERROR(I398,0)+T398+IFERROR(V398,0),0)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IFERROR(H399+IFERROR(I399,0)+T399+IFERROR(V399,0),0)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IFERROR(H400+IFERROR(I400,0)+T400+IFERROR(V400,0),0)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IFERROR(H401+IFERROR(I401,0)+T401+IFERROR(V401,0),0)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IFERROR(H402+IFERROR(I402,0)+T402+IFERROR(V402,0),0)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IFERROR(H403+IFERROR(I403,0)+T403+IFERROR(V403,0),0)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IFERROR(H404+IFERROR(I404,0)+T404+IFERROR(V404,0),0)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IFERROR(H405+IFERROR(I405,0)+T405+IFERROR(V405,0),0)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IFERROR(H406+IFERROR(I406,0)+T406+IFERROR(V406,0),0)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IFERROR(H407+IFERROR(I407,0)+T407+IFERROR(V407,0),0)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IFERROR(H408+IFERROR(I408,0)+T408+IFERROR(V408,0),0)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IFERROR(H409+IFERROR(I409,0)+T409+IFERROR(V409,0),0)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IFERROR(H410+IFERROR(I410,0)+T410+IFERROR(V410,0),0)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IFERROR(H411+IFERROR(I411,0)+T411+IFERROR(V411,0),0)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IFERROR(H412+IFERROR(I412,0)+T412+IFERROR(V412,0),0)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IFERROR(H413+IFERROR(I413,0)+T413+IFERROR(V413,0),0)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IFERROR(H414+IFERROR(I414,0)+T414+IFERROR(V414,0),0)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IFERROR(H415+IFERROR(I415,0)+T415+IFERROR(V415,0),0)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IFERROR(H416+IFERROR(I416,0)+T416+IFERROR(V416,0),0)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IFERROR(H417+IFERROR(I417,0)+T417+IFERROR(V417,0),0)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IFERROR(H418+IFERROR(I418,0)+T418+IFERROR(V418,0),0)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IFERROR(H419+IFERROR(I419,0)+T419+IFERROR(V419,0),0)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IFERROR(H420+IFERROR(I420,0)+T420+IFERROR(V420,0),0)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IFERROR(H421+IFERROR(I421,0)+T421+IFERROR(V421,0),0)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IFERROR(H422+IFERROR(I422,0)+T422+IFERROR(V422,0),0)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IFERROR(H423+IFERROR(I423,0)+T423+IFERROR(V423,0),0)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IFERROR(H424+IFERROR(I424,0)+T424+IFERROR(V424,0),0)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IFERROR(H425+IFERROR(I425,0)+T425+IFERROR(V425,0),0)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IFERROR(H426+IFERROR(I426,0)+T426+IFERROR(V426,0),0)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IFERROR(H427+IFERROR(I427,0)+T427+IFERROR(V427,0),0)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IFERROR(H428+IFERROR(I428,0)+T428+IFERROR(V428,0),0)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IFERROR(H429+IFERROR(I429,0)+T429+IFERROR(V429,0),0)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IFERROR(H430+IFERROR(I430,0)+T430+IFERROR(V430,0),0)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IFERROR(H431+IFERROR(I431,0)+T431+IFERROR(V431,0),0)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IFERROR(H432+IFERROR(I432,0)+T432+IFERROR(V432,0),0)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IFERROR(H433+IFERROR(I433,0)+T433+IFERROR(V433,0),0)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IFERROR(H434+IFERROR(I434,0)+T434+IFERROR(V434,0),0)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IFERROR(H435+IFERROR(I435,0)+T435+IFERROR(V435,0),0)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IFERROR(H436+IFERROR(I436,0)+T436+IFERROR(V436,0),0)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IFERROR(H437+IFERROR(I437,0)+T437+IFERROR(V437,0),0)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IFERROR(H438+IFERROR(I438,0)+T438+IFERROR(V438,0),0)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IFERROR(H439+IFERROR(I439,0)+T439+IFERROR(V439,0),0)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IFERROR(H440+IFERROR(I440,0)+T440+IFERROR(V440,0),0)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IFERROR(H441+IFERROR(I441,0)+T441+IFERROR(V441,0),0)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IFERROR(H442+IFERROR(I442,0)+T442+IFERROR(V442,0),0)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IFERROR(H443+IFERROR(I443,0)+T443+IFERROR(V443,0),0)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IFERROR(H444+IFERROR(I444,0)+T444+IFERROR(V444,0),0)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IFERROR(H445+IFERROR(I445,0)+T445+IFERROR(V445,0),0)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IFERROR(H446+IFERROR(I446,0)+T446+IFERROR(V446,0),0)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IFERROR(H447+IFERROR(I447,0)+T447+IFERROR(V447,0),0)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IFERROR(H448+IFERROR(I448,0)+T448+IFERROR(V448,0),0)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IFERROR(H449+IFERROR(I449,0)+T449+IFERROR(V449,0),0)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IFERROR(H450+IFERROR(I450,0)+T450+IFERROR(V450,0),0)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IFERROR(H451+IFERROR(I451,0)+T451+IFERROR(V451,0),0)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IFERROR(H452+IFERROR(I452,0)+T452+IFERROR(V452,0),0)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IFERROR(H453+IFERROR(I453,0)+T453+IFERROR(V453,0),0)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IFERROR(H454+IFERROR(I454,0)+T454+IFERROR(V454,0),0)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IFERROR(H455+IFERROR(I455,0)+T455+IFERROR(V455,0),0)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IFERROR(H456+IFERROR(I456,0)+T456+IFERROR(V456,0),0)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IFERROR(H457+IFERROR(I457,0)+T457+IFERROR(V457,0),0)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IFERROR(H458+IFERROR(I458,0)+T458+IFERROR(V458,0),0)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IFERROR(H459+IFERROR(I459,0)+T459+IFERROR(V459,0),0)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IFERROR(H460+IFERROR(I460,0)+T460+IFERROR(V460,0),0)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IFERROR(H461+IFERROR(I461,0)+T461+IFERROR(V461,0),0)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IFERROR(H462+IFERROR(I462,0)+T462+IFERROR(V462,0),0)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IFERROR(H463+IFERROR(I463,0)+T463+IFERROR(V463,0),0)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IFERROR(H464+IFERROR(I464,0)+T464+IFERROR(V464,0),0)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IFERROR(H465+IFERROR(I465,0)+T465+IFERROR(V465,0),0)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IFERROR(H466+IFERROR(I466,0)+T466+IFERROR(V466,0),0)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IFERROR(H467+IFERROR(I467,0)+T467+IFERROR(V467,0),0)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IFERROR(H468+IFERROR(I468,0)+T468+IFERROR(V468,0),0)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IFERROR(H469+IFERROR(I469,0)+T469+IFERROR(V469,0),0)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IFERROR(H470+IFERROR(I470,0)+T470+IFERROR(V470,0),0)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IFERROR(H471+IFERROR(I471,0)+T471+IFERROR(V471,0),0)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IFERROR(H472+IFERROR(I472,0)+T472+IFERROR(V472,0),0)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IFERROR(H473+IFERROR(I473,0)+T473+IFERROR(V473,0),0)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IFERROR(H474+IFERROR(I474,0)+T474+IFERROR(V474,0),0)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IFERROR(H475+IFERROR(I475,0)+T475+IFERROR(V475,0),0)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IFERROR(H476+IFERROR(I476,0)+T476+IFERROR(V476,0),0)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IFERROR(H477+IFERROR(I477,0)+T477+IFERROR(V477,0),0)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IFERROR(H478+IFERROR(I478,0)+T478+IFERROR(V478,0),0)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IFERROR(H479+IFERROR(I479,0)+T479+IFERROR(V479,0),0)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IFERROR(H480+IFERROR(I480,0)+T480+IFERROR(V480,0),0)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IFERROR(H481+IFERROR(I481,0)+T481+IFERROR(V481,0),0)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IFERROR(H482+IFERROR(I482,0)+T482+IFERROR(V482,0),0)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IFERROR(H483+IFERROR(I483,0)+T483+IFERROR(V483,0),0)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IFERROR(H484+IFERROR(I484,0)+T484+IFERROR(V484,0),0)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IFERROR(H485+IFERROR(I485,0)+T485+IFERROR(V485,0),0)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IFERROR(H486+IFERROR(I486,0)+T486+IFERROR(V486,0),0)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IFERROR(H487+IFERROR(I487,0)+T487+IFERROR(V487,0),0)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IFERROR(H488+IFERROR(I488,0)+T488+IFERROR(V488,0),0)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IFERROR(H489+IFERROR(I489,0)+T489+IFERROR(V489,0),0)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IFERROR(H490+IFERROR(I490,0)+T490+IFERROR(V490,0),0)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IFERROR(H491+IFERROR(I491,0)+T491+IFERROR(V491,0),0)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IFERROR(H492+IFERROR(I492,0)+T492+IFERROR(V492,0),0)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IFERROR(H493+IFERROR(I493,0)+T493+IFERROR(V493,0),0)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IFERROR(H494+IFERROR(I494,0)+T494+IFERROR(V494,0),0)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IFERROR(H495+IFERROR(I495,0)+T495+IFERROR(V495,0),0)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IFERROR(H496+IFERROR(I496,0)+T496+IFERROR(V496,0),0)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IFERROR(H497+IFERROR(I497,0)+T497+IFERROR(V497,0),0)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IFERROR(H498+IFERROR(I498,0)+T498+IFERROR(V498,0),0)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IFERROR(H499+IFERROR(I499,0)+T499+IFERROR(V499,0),0)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IFERROR(H500+IFERROR(I500,0)+T500+IFERROR(V500,0),0)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IFERROR(H501+IFERROR(I501,0)+T501+IFERROR(V501,0),0)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IFERROR(H502+IFERROR(I502,0)+T502+IFERROR(V502,0),0)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IFERROR(H503+IFERROR(I503,0)+T503+IFERROR(V503,0),0)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IFERROR(H504+IFERROR(I504,0)+T504+IFERROR(V504,0),0)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IFERROR(H505+IFERROR(I505,0)+T505+IFERROR(V505,0),0)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IFERROR(H506+IFERROR(I506,0)+T506+IFERROR(V506,0),0)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IFERROR(H507+IFERROR(I507,0)+T507+IFERROR(V507,0),0)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IFERROR(H508+IFERROR(I508,0)+T508+IFERROR(V508,0),0)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IFERROR(H509+IFERROR(I509,0)+T509+IFERROR(V509,0),0)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IFERROR(H510+IFERROR(I510,0)+T510+IFERROR(V510,0),0)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IFERROR(H511+IFERROR(I511,0)+T511+IFERROR(V511,0),0)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IFERROR(H512+IFERROR(I512,0)+T512+IFERROR(V512,0),0)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IFERROR(H513+IFERROR(I513,0)+T513+IFERROR(V513,0),0)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IFERROR(H514+IFERROR(I514,0)+T514+IFERROR(V514,0),0)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IFERROR(H515+IFERROR(I515,0)+T515+IFERROR(V515,0),0)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IFERROR(H516+IFERROR(I516,0)+T516+IFERROR(V516,0),0)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IFERROR(H517+IFERROR(I517,0)+T517+IFERROR(V517,0),0)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IFERROR(H518+IFERROR(I518,0)+T518+IFERROR(V518,0),0)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IFERROR(H519+IFERROR(I519,0)+T519+IFERROR(V519,0),0)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IFERROR(H520+IFERROR(I520,0)+T520+IFERROR(V520,0),0)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IFERROR(H521+IFERROR(I521,0)+T521+IFERROR(V521,0),0)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IFERROR(H522+IFERROR(I522,0)+T522+IFERROR(V522,0),0)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IFERROR(H523+IFERROR(I523,0)+T523+IFERROR(V523,0),0)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IFERROR(H524+IFERROR(I524,0)+T524+IFERROR(V524,0),0)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IFERROR(H525+IFERROR(I525,0)+T525+IFERROR(V525,0),0)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IFERROR(H526+IFERROR(I526,0)+T526+IFERROR(V526,0),0)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IFERROR(H527+IFERROR(I527,0)+T527+IFERROR(V527,0),0)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IFERROR(H528+IFERROR(I528,0)+T528+IFERROR(V528,0),0)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IFERROR(H529+IFERROR(I529,0)+T529+IFERROR(V529,0),0)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IFERROR(H530+IFERROR(I530,0)+T530+IFERROR(V530,0),0)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IFERROR(H531+IFERROR(I531,0)+T531+IFERROR(V531,0),0)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IFERROR(H532+IFERROR(I532,0)+T532+IFERROR(V532,0),0)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IFERROR(H533+IFERROR(I533,0)+T533+IFERROR(V533,0),0)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IFERROR(H534+IFERROR(I534,0)+T534+IFERROR(V534,0),0)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IFERROR(H535+IFERROR(I535,0)+T535+IFERROR(V535,0),0)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IFERROR(H536+IFERROR(I536,0)+T536+IFERROR(V536,0),0)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IFERROR(H537+IFERROR(I537,0)+T537+IFERROR(V537,0),0)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IFERROR(H538+IFERROR(I538,0)+T538+IFERROR(V538,0),0)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IFERROR(H539+IFERROR(I539,0)+T539+IFERROR(V539,0),0)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IFERROR(H540+IFERROR(I540,0)+T540+IFERROR(V540,0),0)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IFERROR(H541+IFERROR(I541,0)+T541+IFERROR(V541,0),0)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IFERROR(H542+IFERROR(I542,0)+T542+IFERROR(V542,0),0)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IFERROR(H543+IFERROR(I543,0)+T543+IFERROR(V543,0),0)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IFERROR(H544+IFERROR(I544,0)+T544+IFERROR(V544,0),0)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IFERROR(H545+IFERROR(I545,0)+T545+IFERROR(V545,0),0)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IFERROR(H546+IFERROR(I546,0)+T546+IFERROR(V546,0),0)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IFERROR(H547+IFERROR(I547,0)+T547+IFERROR(V547,0),0)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IFERROR(H548+IFERROR(I548,0)+T548+IFERROR(V548,0),0)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IFERROR(H549+IFERROR(I549,0)+T549+IFERROR(V549,0),0)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IFERROR(H550+IFERROR(I550,0)+T550+IFERROR(V550,0),0)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IFERROR(H551+IFERROR(I551,0)+T551+IFERROR(V551,0),0)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IFERROR(H552+IFERROR(I552,0)+T552+IFERROR(V552,0),0)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IFERROR(H553+IFERROR(I553,0)+T553+IFERROR(V553,0),0)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IFERROR(H554+IFERROR(I554,0)+T554+IFERROR(V554,0),0)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IFERROR(H555+IFERROR(I555,0)+T555+IFERROR(V555,0),0)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IFERROR(H556+IFERROR(I556,0)+T556+IFERROR(V556,0),0)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IFERROR(H557+IFERROR(I557,0)+T557+IFERROR(V557,0),0)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IFERROR(H558+IFERROR(I558,0)+T558+IFERROR(V558,0),0)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IFERROR(H559+IFERROR(I559,0)+T559+IFERROR(V559,0),0)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IFERROR(H560+IFERROR(I560,0)+T560+IFERROR(V560,0),0)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IFERROR(H561+IFERROR(I561,0)+T561+IFERROR(V561,0),0)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IFERROR(H562+IFERROR(I562,0)+T562+IFERROR(V562,0),0)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IFERROR(H563+IFERROR(I563,0)+T563+IFERROR(V563,0),0)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IFERROR(H564+IFERROR(I564,0)+T564+IFERROR(V564,0),0)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IFERROR(H565+IFERROR(I565,0)+T565+IFERROR(V565,0),0)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IFERROR(H566+IFERROR(I566,0)+T566+IFERROR(V566,0),0)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IFERROR(H567+IFERROR(I567,0)+T567+IFERROR(V567,0),0)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IFERROR(H568+IFERROR(I568,0)+T568+IFERROR(V568,0),0)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IFERROR(H569+IFERROR(I569,0)+T569+IFERROR(V569,0),0)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IFERROR(H570+IFERROR(I570,0)+T570+IFERROR(V570,0),0)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IFERROR(H571+IFERROR(I571,0)+T571+IFERROR(V571,0),0)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IFERROR(H572+IFERROR(I572,0)+T572+IFERROR(V572,0),0)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IFERROR(H573+IFERROR(I573,0)+T573+IFERROR(V573,0),0)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IFERROR(H574+IFERROR(I574,0)+T574+IFERROR(V574,0),0)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IFERROR(H575+IFERROR(I575,0)+T575+IFERROR(V575,0),0)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IFERROR(H576+IFERROR(I576,0)+T576+IFERROR(V576,0),0)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IFERROR(H577+IFERROR(I577,0)+T577+IFERROR(V577,0),0)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IFERROR(H578+IFERROR(I578,0)+T578+IFERROR(V578,0),0)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IFERROR(H579+IFERROR(I579,0)+T579+IFERROR(V579,0),0)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IFERROR(H580+IFERROR(I580,0)+T580+IFERROR(V580,0),0)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IFERROR(H581+IFERROR(I581,0)+T581+IFERROR(V581,0),0)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IFERROR(H582+IFERROR(I582,0)+T582+IFERROR(V582,0),0)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IFERROR(H583+IFERROR(I583,0)+T583+IFERROR(V583,0),0)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IFERROR(H584+IFERROR(I584,0)+T584+IFERROR(V584,0),0)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IFERROR(H585+IFERROR(I585,0)+T585+IFERROR(V585,0),0)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IFERROR(H586+IFERROR(I586,0)+T586+IFERROR(V586,0),0)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IFERROR(H587+IFERROR(I587,0)+T587+IFERROR(V587,0),0)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IFERROR(H588+IFERROR(I588,0)+T588+IFERROR(V588,0),0)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IFERROR(H589+IFERROR(I589,0)+T589+IFERROR(V589,0),0)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IFERROR(H590+IFERROR(I590,0)+T590+IFERROR(V590,0),0)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IFERROR(H591+IFERROR(I591,0)+T591+IFERROR(V591,0),0)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IFERROR(H592+IFERROR(I592,0)+T592+IFERROR(V592,0),0)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IFERROR(H593+IFERROR(I593,0)+T593+IFERROR(V593,0),0)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IFERROR(H594+IFERROR(I594,0)+T594+IFERROR(V594,0),0)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IFERROR(H595+IFERROR(I595,0)+T595+IFERROR(V595,0),0)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IFERROR(H596+IFERROR(I596,0)+T596+IFERROR(V596,0),0)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IFERROR(H597+IFERROR(I597,0)+T597+IFERROR(V597,0),0)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IFERROR(H598+IFERROR(I598,0)+T598+IFERROR(V598,0),0)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IFERROR(H599+IFERROR(I599,0)+T599+IFERROR(V599,0),0)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IFERROR(H600+IFERROR(I600,0)+T600+IFERROR(V600,0),0)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IFERROR(H601+IFERROR(I601,0)+T601+IFERROR(V601,0),0)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IFERROR(H602+IFERROR(I602,0)+T602+IFERROR(V602,0),0)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IFERROR(H603+IFERROR(I603,0)+T603+IFERROR(V603,0),0)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IFERROR(H604+IFERROR(I604,0)+T604+IFERROR(V604,0),0)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IFERROR(H605+IFERROR(I605,0)+T605+IFERROR(V605,0),0)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IFERROR(H606+IFERROR(I606,0)+T606+IFERROR(V606,0),0)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117"/>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v0.1.11</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Potential Rent / mo  (Market × all units)</t>
        </is>
      </c>
      <c r="B16" s="120">
        <f>IFERROR(SUMIFS('Rent Roll Input'!$G$7:$G$606,'Rent Roll Input'!$S$7:$S$606,'Rent Roll Recon'!$B$2,'Rent Roll Input'!$D$7:$D$606,"IL"),0)</f>
        <v/>
      </c>
      <c r="C16" s="120">
        <f>IFERROR(SUMIFS('Rent Roll Input'!$G$7:$G$606,'Rent Roll Input'!$S$7:$S$606,'Rent Roll Recon'!$B$2,'Rent Roll Input'!$D$7:$D$606,"AL"),0)</f>
        <v/>
      </c>
      <c r="D16" s="120">
        <f>IFERROR(SUMIFS('Rent Roll Input'!$G$7:$G$606,'Rent Roll Input'!$S$7:$S$606,'Rent Roll Recon'!$B$2,'Rent Roll Input'!$D$7:$D$606,"MC"),0)</f>
        <v/>
      </c>
      <c r="E16" s="121">
        <f>SUM(B16:D16)</f>
        <v/>
      </c>
      <c r="F16" s="200" t="n"/>
      <c r="G16" s="200" t="n"/>
      <c r="H16" s="119" t="inlineStr">
        <is>
          <t>Gross Potential Rent — Market Rate × all units at 100% occupancy. Excludes concessions &amp; vacancy loss. Row 16 − Row 17 = vacancy + market-vs-actual gap.</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sheetData>
  <mergeCells count="20">
    <mergeCell ref="A15:H15"/>
    <mergeCell ref="A84:I84"/>
    <mergeCell ref="A27:I27"/>
    <mergeCell ref="A50:I50"/>
    <mergeCell ref="A86:I86"/>
    <mergeCell ref="A57:I57"/>
    <mergeCell ref="A33:I33"/>
    <mergeCell ref="A32:I32"/>
    <mergeCell ref="A38:I38"/>
    <mergeCell ref="A102:I102"/>
    <mergeCell ref="A77:I77"/>
    <mergeCell ref="A48:I48"/>
    <mergeCell ref="A22:H22"/>
    <mergeCell ref="A100:H100"/>
    <mergeCell ref="A1:I1"/>
    <mergeCell ref="C2:I2"/>
    <mergeCell ref="A117:H117"/>
    <mergeCell ref="A69:I69"/>
    <mergeCell ref="A6:I6"/>
    <mergeCell ref="B103:H103"/>
  </mergeCells>
  <dataValidations count="1">
    <dataValidation sqref="B2" showDropDown="0" showInputMessage="0" showErrorMessage="0" allowBlank="1" type="list">
      <formula1>='RR_Calc'!$A$2:$A$13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0"/>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v0.1.11</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Other community revenue</t>
        </is>
      </c>
      <c r="B20" s="144">
        <f>IFERROR(INDEX('T12 Raw Data'!F:F,MATCH("Other community revenue",'T12 Raw Data'!B:B,0)),0)</f>
        <v/>
      </c>
      <c r="C20" s="144">
        <f>IFERROR(INDEX('T12 Raw Data'!G:G,MATCH("Other community revenue",'T12 Raw Data'!B:B,0)),0)</f>
        <v/>
      </c>
      <c r="D20" s="144">
        <f>IFERROR(INDEX('T12 Raw Data'!H:H,MATCH("Other community revenue",'T12 Raw Data'!B:B,0)),0)</f>
        <v/>
      </c>
      <c r="E20" s="144">
        <f>IFERROR(INDEX('T12 Raw Data'!I:I,MATCH("Other community revenue",'T12 Raw Data'!B:B,0)),0)</f>
        <v/>
      </c>
      <c r="F20" s="144">
        <f>IFERROR(INDEX('T12 Raw Data'!J:J,MATCH("Other community revenue",'T12 Raw Data'!B:B,0)),0)</f>
        <v/>
      </c>
      <c r="G20" s="144">
        <f>IFERROR(INDEX('T12 Raw Data'!K:K,MATCH("Other community revenue",'T12 Raw Data'!B:B,0)),0)</f>
        <v/>
      </c>
      <c r="H20" s="144">
        <f>IFERROR(INDEX('T12 Raw Data'!L:L,MATCH("Other community revenue",'T12 Raw Data'!B:B,0)),0)</f>
        <v/>
      </c>
      <c r="I20" s="144">
        <f>IFERROR(INDEX('T12 Raw Data'!M:M,MATCH("Other community revenue",'T12 Raw Data'!B:B,0)),0)</f>
        <v/>
      </c>
      <c r="J20" s="144">
        <f>IFERROR(INDEX('T12 Raw Data'!N:N,MATCH("Other community revenue",'T12 Raw Data'!B:B,0)),0)</f>
        <v/>
      </c>
      <c r="K20" s="144">
        <f>IFERROR(INDEX('T12 Raw Data'!O:O,MATCH("Other community revenue",'T12 Raw Data'!B:B,0)),0)</f>
        <v/>
      </c>
      <c r="L20" s="144">
        <f>IFERROR(INDEX('T12 Raw Data'!P:P,MATCH("Other community revenue",'T12 Raw Data'!B:B,0)),0)</f>
        <v/>
      </c>
      <c r="M20" s="144">
        <f>IFERROR(INDEX('T12 Raw Data'!Q:Q,MATCH("Other community revenue",'T12 Raw Data'!B:B,0)),0)</f>
        <v/>
      </c>
      <c r="N20" s="145">
        <f>SUM(B20:M20)</f>
        <v/>
      </c>
    </row>
    <row r="21" ht="18" customHeight="1" s="199">
      <c r="A21" s="151" t="inlineStr">
        <is>
          <t>EFFECTIVE GROSS INCOME</t>
        </is>
      </c>
      <c r="B21" s="30">
        <f>B8+B10+B11+B15+B16+B17+B18+B19+B20</f>
        <v/>
      </c>
      <c r="C21" s="30">
        <f>C8+C10+C11+C15+C16+C17+C18+C19+C20</f>
        <v/>
      </c>
      <c r="D21" s="30">
        <f>D8+D10+D11+D15+D16+D17+D18+D19+D20</f>
        <v/>
      </c>
      <c r="E21" s="30">
        <f>E8+E10+E11+E15+E16+E17+E18+E19+E20</f>
        <v/>
      </c>
      <c r="F21" s="30">
        <f>F8+F10+F11+F15+F16+F17+F18+F19+F20</f>
        <v/>
      </c>
      <c r="G21" s="30">
        <f>G8+G10+G11+G15+G16+G17+G18+G19+G20</f>
        <v/>
      </c>
      <c r="H21" s="30">
        <f>H8+H10+H11+H15+H16+H17+H18+H19+H20</f>
        <v/>
      </c>
      <c r="I21" s="30">
        <f>I8+I10+I11+I15+I16+I17+I18+I19+I20</f>
        <v/>
      </c>
      <c r="J21" s="30">
        <f>J8+J10+J11+J15+J16+J17+J18+J19+J20</f>
        <v/>
      </c>
      <c r="K21" s="30">
        <f>K8+K10+K11+K15+K16+K17+K18+K19+K20</f>
        <v/>
      </c>
      <c r="L21" s="30">
        <f>L8+L10+L11+L15+L16+L17+L18+L19+L20</f>
        <v/>
      </c>
      <c r="M21" s="30">
        <f>M8+M10+M11+M15+M16+M17+M18+M19+M20</f>
        <v/>
      </c>
      <c r="N21" s="30">
        <f>N8+N10+N11+N15+N16+N17+N18+N19+N20</f>
        <v/>
      </c>
    </row>
    <row r="22" ht="15.75" customHeight="1" s="199">
      <c r="A22" s="174" t="inlineStr">
        <is>
          <t>LABOR</t>
        </is>
      </c>
    </row>
    <row r="23" ht="15.75" customHeight="1" s="199">
      <c r="A23" s="83" t="inlineStr">
        <is>
          <t>Care staff labor</t>
        </is>
      </c>
      <c r="B23" s="144">
        <f>IFERROR(INDEX('T12 Raw Data'!F:F,MATCH("Care staff labor",'T12 Raw Data'!B:B,0)),0)</f>
        <v/>
      </c>
      <c r="C23" s="144">
        <f>IFERROR(INDEX('T12 Raw Data'!G:G,MATCH("Care staff labor",'T12 Raw Data'!B:B,0)),0)</f>
        <v/>
      </c>
      <c r="D23" s="144">
        <f>IFERROR(INDEX('T12 Raw Data'!H:H,MATCH("Care staff labor",'T12 Raw Data'!B:B,0)),0)</f>
        <v/>
      </c>
      <c r="E23" s="144">
        <f>IFERROR(INDEX('T12 Raw Data'!I:I,MATCH("Care staff labor",'T12 Raw Data'!B:B,0)),0)</f>
        <v/>
      </c>
      <c r="F23" s="144">
        <f>IFERROR(INDEX('T12 Raw Data'!J:J,MATCH("Care staff labor",'T12 Raw Data'!B:B,0)),0)</f>
        <v/>
      </c>
      <c r="G23" s="144">
        <f>IFERROR(INDEX('T12 Raw Data'!K:K,MATCH("Care staff labor",'T12 Raw Data'!B:B,0)),0)</f>
        <v/>
      </c>
      <c r="H23" s="144">
        <f>IFERROR(INDEX('T12 Raw Data'!L:L,MATCH("Care staff labor",'T12 Raw Data'!B:B,0)),0)</f>
        <v/>
      </c>
      <c r="I23" s="144">
        <f>IFERROR(INDEX('T12 Raw Data'!M:M,MATCH("Care staff labor",'T12 Raw Data'!B:B,0)),0)</f>
        <v/>
      </c>
      <c r="J23" s="144">
        <f>IFERROR(INDEX('T12 Raw Data'!N:N,MATCH("Care staff labor",'T12 Raw Data'!B:B,0)),0)</f>
        <v/>
      </c>
      <c r="K23" s="144">
        <f>IFERROR(INDEX('T12 Raw Data'!O:O,MATCH("Care staff labor",'T12 Raw Data'!B:B,0)),0)</f>
        <v/>
      </c>
      <c r="L23" s="144">
        <f>IFERROR(INDEX('T12 Raw Data'!P:P,MATCH("Care staff labor",'T12 Raw Data'!B:B,0)),0)</f>
        <v/>
      </c>
      <c r="M23" s="144">
        <f>IFERROR(INDEX('T12 Raw Data'!Q:Q,MATCH("Care staff labor",'T12 Raw Data'!B:B,0)),0)</f>
        <v/>
      </c>
      <c r="N23" s="145">
        <f>SUM(B23:M23)</f>
        <v/>
      </c>
    </row>
    <row r="24" ht="15.75" customHeight="1" s="199">
      <c r="A24" s="83" t="inlineStr">
        <is>
          <t>Wellness / care coord.</t>
        </is>
      </c>
      <c r="B24" s="144">
        <f>IFERROR(INDEX('T12 Raw Data'!F:F,MATCH("Wellness / care coordinators",'T12 Raw Data'!B:B,0)),0)</f>
        <v/>
      </c>
      <c r="C24" s="144">
        <f>IFERROR(INDEX('T12 Raw Data'!G:G,MATCH("Wellness / care coordinators",'T12 Raw Data'!B:B,0)),0)</f>
        <v/>
      </c>
      <c r="D24" s="144">
        <f>IFERROR(INDEX('T12 Raw Data'!H:H,MATCH("Wellness / care coordinators",'T12 Raw Data'!B:B,0)),0)</f>
        <v/>
      </c>
      <c r="E24" s="144">
        <f>IFERROR(INDEX('T12 Raw Data'!I:I,MATCH("Wellness / care coordinators",'T12 Raw Data'!B:B,0)),0)</f>
        <v/>
      </c>
      <c r="F24" s="144">
        <f>IFERROR(INDEX('T12 Raw Data'!J:J,MATCH("Wellness / care coordinators",'T12 Raw Data'!B:B,0)),0)</f>
        <v/>
      </c>
      <c r="G24" s="144">
        <f>IFERROR(INDEX('T12 Raw Data'!K:K,MATCH("Wellness / care coordinators",'T12 Raw Data'!B:B,0)),0)</f>
        <v/>
      </c>
      <c r="H24" s="144">
        <f>IFERROR(INDEX('T12 Raw Data'!L:L,MATCH("Wellness / care coordinators",'T12 Raw Data'!B:B,0)),0)</f>
        <v/>
      </c>
      <c r="I24" s="144">
        <f>IFERROR(INDEX('T12 Raw Data'!M:M,MATCH("Wellness / care coordinators",'T12 Raw Data'!B:B,0)),0)</f>
        <v/>
      </c>
      <c r="J24" s="144">
        <f>IFERROR(INDEX('T12 Raw Data'!N:N,MATCH("Wellness / care coordinators",'T12 Raw Data'!B:B,0)),0)</f>
        <v/>
      </c>
      <c r="K24" s="144">
        <f>IFERROR(INDEX('T12 Raw Data'!O:O,MATCH("Wellness / care coordinators",'T12 Raw Data'!B:B,0)),0)</f>
        <v/>
      </c>
      <c r="L24" s="144">
        <f>IFERROR(INDEX('T12 Raw Data'!P:P,MATCH("Wellness / care coordinators",'T12 Raw Data'!B:B,0)),0)</f>
        <v/>
      </c>
      <c r="M24" s="144">
        <f>IFERROR(INDEX('T12 Raw Data'!Q:Q,MATCH("Wellness / care coordinators",'T12 Raw Data'!B:B,0)),0)</f>
        <v/>
      </c>
      <c r="N24" s="145">
        <f>SUM(B24:M24)</f>
        <v/>
      </c>
    </row>
    <row r="25" ht="15.75" customHeight="1" s="199">
      <c r="A25" s="83" t="inlineStr">
        <is>
          <t>Contract / agency labor</t>
        </is>
      </c>
      <c r="B25" s="144">
        <f>IFERROR(INDEX('T12 Raw Data'!F:F,MATCH("Contract / agency labor",'T12 Raw Data'!B:B,0)),0)</f>
        <v/>
      </c>
      <c r="C25" s="144">
        <f>IFERROR(INDEX('T12 Raw Data'!G:G,MATCH("Contract / agency labor",'T12 Raw Data'!B:B,0)),0)</f>
        <v/>
      </c>
      <c r="D25" s="144">
        <f>IFERROR(INDEX('T12 Raw Data'!H:H,MATCH("Contract / agency labor",'T12 Raw Data'!B:B,0)),0)</f>
        <v/>
      </c>
      <c r="E25" s="144">
        <f>IFERROR(INDEX('T12 Raw Data'!I:I,MATCH("Contract / agency labor",'T12 Raw Data'!B:B,0)),0)</f>
        <v/>
      </c>
      <c r="F25" s="144">
        <f>IFERROR(INDEX('T12 Raw Data'!J:J,MATCH("Contract / agency labor",'T12 Raw Data'!B:B,0)),0)</f>
        <v/>
      </c>
      <c r="G25" s="144">
        <f>IFERROR(INDEX('T12 Raw Data'!K:K,MATCH("Contract / agency labor",'T12 Raw Data'!B:B,0)),0)</f>
        <v/>
      </c>
      <c r="H25" s="144">
        <f>IFERROR(INDEX('T12 Raw Data'!L:L,MATCH("Contract / agency labor",'T12 Raw Data'!B:B,0)),0)</f>
        <v/>
      </c>
      <c r="I25" s="144">
        <f>IFERROR(INDEX('T12 Raw Data'!M:M,MATCH("Contract / agency labor",'T12 Raw Data'!B:B,0)),0)</f>
        <v/>
      </c>
      <c r="J25" s="144">
        <f>IFERROR(INDEX('T12 Raw Data'!N:N,MATCH("Contract / agency labor",'T12 Raw Data'!B:B,0)),0)</f>
        <v/>
      </c>
      <c r="K25" s="144">
        <f>IFERROR(INDEX('T12 Raw Data'!O:O,MATCH("Contract / agency labor",'T12 Raw Data'!B:B,0)),0)</f>
        <v/>
      </c>
      <c r="L25" s="144">
        <f>IFERROR(INDEX('T12 Raw Data'!P:P,MATCH("Contract / agency labor",'T12 Raw Data'!B:B,0)),0)</f>
        <v/>
      </c>
      <c r="M25" s="144">
        <f>IFERROR(INDEX('T12 Raw Data'!Q:Q,MATCH("Contract / agency labor",'T12 Raw Data'!B:B,0)),0)</f>
        <v/>
      </c>
      <c r="N25" s="145">
        <f>SUM(B25:M25)</f>
        <v/>
      </c>
    </row>
    <row r="26" ht="15.75" customHeight="1" s="199">
      <c r="A26" s="83" t="inlineStr">
        <is>
          <t>Activities labor</t>
        </is>
      </c>
      <c r="B26" s="144">
        <f>IFERROR(INDEX('T12 Raw Data'!F:F,MATCH("Activities labor",'T12 Raw Data'!B:B,0)),0)</f>
        <v/>
      </c>
      <c r="C26" s="144">
        <f>IFERROR(INDEX('T12 Raw Data'!G:G,MATCH("Activities labor",'T12 Raw Data'!B:B,0)),0)</f>
        <v/>
      </c>
      <c r="D26" s="144">
        <f>IFERROR(INDEX('T12 Raw Data'!H:H,MATCH("Activities labor",'T12 Raw Data'!B:B,0)),0)</f>
        <v/>
      </c>
      <c r="E26" s="144">
        <f>IFERROR(INDEX('T12 Raw Data'!I:I,MATCH("Activities labor",'T12 Raw Data'!B:B,0)),0)</f>
        <v/>
      </c>
      <c r="F26" s="144">
        <f>IFERROR(INDEX('T12 Raw Data'!J:J,MATCH("Activities labor",'T12 Raw Data'!B:B,0)),0)</f>
        <v/>
      </c>
      <c r="G26" s="144">
        <f>IFERROR(INDEX('T12 Raw Data'!K:K,MATCH("Activities labor",'T12 Raw Data'!B:B,0)),0)</f>
        <v/>
      </c>
      <c r="H26" s="144">
        <f>IFERROR(INDEX('T12 Raw Data'!L:L,MATCH("Activities labor",'T12 Raw Data'!B:B,0)),0)</f>
        <v/>
      </c>
      <c r="I26" s="144">
        <f>IFERROR(INDEX('T12 Raw Data'!M:M,MATCH("Activities labor",'T12 Raw Data'!B:B,0)),0)</f>
        <v/>
      </c>
      <c r="J26" s="144">
        <f>IFERROR(INDEX('T12 Raw Data'!N:N,MATCH("Activities labor",'T12 Raw Data'!B:B,0)),0)</f>
        <v/>
      </c>
      <c r="K26" s="144">
        <f>IFERROR(INDEX('T12 Raw Data'!O:O,MATCH("Activities labor",'T12 Raw Data'!B:B,0)),0)</f>
        <v/>
      </c>
      <c r="L26" s="144">
        <f>IFERROR(INDEX('T12 Raw Data'!P:P,MATCH("Activities labor",'T12 Raw Data'!B:B,0)),0)</f>
        <v/>
      </c>
      <c r="M26" s="144">
        <f>IFERROR(INDEX('T12 Raw Data'!Q:Q,MATCH("Activities labor",'T12 Raw Data'!B:B,0)),0)</f>
        <v/>
      </c>
      <c r="N26" s="145">
        <f>SUM(B26:M26)</f>
        <v/>
      </c>
    </row>
    <row r="27" ht="15.75" customHeight="1" s="199">
      <c r="A27" s="83" t="inlineStr">
        <is>
          <t>Dining / food svc labor</t>
        </is>
      </c>
      <c r="B27" s="144">
        <f>IFERROR(INDEX('T12 Raw Data'!F:F,MATCH("Dining / food service labor",'T12 Raw Data'!B:B,0)),0)</f>
        <v/>
      </c>
      <c r="C27" s="144">
        <f>IFERROR(INDEX('T12 Raw Data'!G:G,MATCH("Dining / food service labor",'T12 Raw Data'!B:B,0)),0)</f>
        <v/>
      </c>
      <c r="D27" s="144">
        <f>IFERROR(INDEX('T12 Raw Data'!H:H,MATCH("Dining / food service labor",'T12 Raw Data'!B:B,0)),0)</f>
        <v/>
      </c>
      <c r="E27" s="144">
        <f>IFERROR(INDEX('T12 Raw Data'!I:I,MATCH("Dining / food service labor",'T12 Raw Data'!B:B,0)),0)</f>
        <v/>
      </c>
      <c r="F27" s="144">
        <f>IFERROR(INDEX('T12 Raw Data'!J:J,MATCH("Dining / food service labor",'T12 Raw Data'!B:B,0)),0)</f>
        <v/>
      </c>
      <c r="G27" s="144">
        <f>IFERROR(INDEX('T12 Raw Data'!K:K,MATCH("Dining / food service labor",'T12 Raw Data'!B:B,0)),0)</f>
        <v/>
      </c>
      <c r="H27" s="144">
        <f>IFERROR(INDEX('T12 Raw Data'!L:L,MATCH("Dining / food service labor",'T12 Raw Data'!B:B,0)),0)</f>
        <v/>
      </c>
      <c r="I27" s="144">
        <f>IFERROR(INDEX('T12 Raw Data'!M:M,MATCH("Dining / food service labor",'T12 Raw Data'!B:B,0)),0)</f>
        <v/>
      </c>
      <c r="J27" s="144">
        <f>IFERROR(INDEX('T12 Raw Data'!N:N,MATCH("Dining / food service labor",'T12 Raw Data'!B:B,0)),0)</f>
        <v/>
      </c>
      <c r="K27" s="144">
        <f>IFERROR(INDEX('T12 Raw Data'!O:O,MATCH("Dining / food service labor",'T12 Raw Data'!B:B,0)),0)</f>
        <v/>
      </c>
      <c r="L27" s="144">
        <f>IFERROR(INDEX('T12 Raw Data'!P:P,MATCH("Dining / food service labor",'T12 Raw Data'!B:B,0)),0)</f>
        <v/>
      </c>
      <c r="M27" s="144">
        <f>IFERROR(INDEX('T12 Raw Data'!Q:Q,MATCH("Dining / food service labor",'T12 Raw Data'!B:B,0)),0)</f>
        <v/>
      </c>
      <c r="N27" s="145">
        <f>SUM(B27:M27)</f>
        <v/>
      </c>
    </row>
    <row r="28" ht="15.75" customHeight="1" s="199">
      <c r="A28" s="83" t="inlineStr">
        <is>
          <t>Maint. &amp; HK labor</t>
        </is>
      </c>
      <c r="B28" s="144">
        <f>IFERROR(INDEX('T12 Raw Data'!F:F,MATCH("Maint. &amp; housekeeping labor",'T12 Raw Data'!B:B,0)),0)</f>
        <v/>
      </c>
      <c r="C28" s="144">
        <f>IFERROR(INDEX('T12 Raw Data'!G:G,MATCH("Maint. &amp; housekeeping labor",'T12 Raw Data'!B:B,0)),0)</f>
        <v/>
      </c>
      <c r="D28" s="144">
        <f>IFERROR(INDEX('T12 Raw Data'!H:H,MATCH("Maint. &amp; housekeeping labor",'T12 Raw Data'!B:B,0)),0)</f>
        <v/>
      </c>
      <c r="E28" s="144">
        <f>IFERROR(INDEX('T12 Raw Data'!I:I,MATCH("Maint. &amp; housekeeping labor",'T12 Raw Data'!B:B,0)),0)</f>
        <v/>
      </c>
      <c r="F28" s="144">
        <f>IFERROR(INDEX('T12 Raw Data'!J:J,MATCH("Maint. &amp; housekeeping labor",'T12 Raw Data'!B:B,0)),0)</f>
        <v/>
      </c>
      <c r="G28" s="144">
        <f>IFERROR(INDEX('T12 Raw Data'!K:K,MATCH("Maint. &amp; housekeeping labor",'T12 Raw Data'!B:B,0)),0)</f>
        <v/>
      </c>
      <c r="H28" s="144">
        <f>IFERROR(INDEX('T12 Raw Data'!L:L,MATCH("Maint. &amp; housekeeping labor",'T12 Raw Data'!B:B,0)),0)</f>
        <v/>
      </c>
      <c r="I28" s="144">
        <f>IFERROR(INDEX('T12 Raw Data'!M:M,MATCH("Maint. &amp; housekeeping labor",'T12 Raw Data'!B:B,0)),0)</f>
        <v/>
      </c>
      <c r="J28" s="144">
        <f>IFERROR(INDEX('T12 Raw Data'!N:N,MATCH("Maint. &amp; housekeeping labor",'T12 Raw Data'!B:B,0)),0)</f>
        <v/>
      </c>
      <c r="K28" s="144">
        <f>IFERROR(INDEX('T12 Raw Data'!O:O,MATCH("Maint. &amp; housekeeping labor",'T12 Raw Data'!B:B,0)),0)</f>
        <v/>
      </c>
      <c r="L28" s="144">
        <f>IFERROR(INDEX('T12 Raw Data'!P:P,MATCH("Maint. &amp; housekeeping labor",'T12 Raw Data'!B:B,0)),0)</f>
        <v/>
      </c>
      <c r="M28" s="144">
        <f>IFERROR(INDEX('T12 Raw Data'!Q:Q,MATCH("Maint. &amp; housekeeping labor",'T12 Raw Data'!B:B,0)),0)</f>
        <v/>
      </c>
      <c r="N28" s="145">
        <f>SUM(B28:M28)</f>
        <v/>
      </c>
    </row>
    <row r="29" ht="15.75" customHeight="1" s="199">
      <c r="A29" s="83" t="inlineStr">
        <is>
          <t>Administrative labor</t>
        </is>
      </c>
      <c r="B29" s="144">
        <f>IFERROR(INDEX('T12 Raw Data'!F:F,MATCH("Administrative labor",'T12 Raw Data'!B:B,0)),0)</f>
        <v/>
      </c>
      <c r="C29" s="144">
        <f>IFERROR(INDEX('T12 Raw Data'!G:G,MATCH("Administrative labor",'T12 Raw Data'!B:B,0)),0)</f>
        <v/>
      </c>
      <c r="D29" s="144">
        <f>IFERROR(INDEX('T12 Raw Data'!H:H,MATCH("Administrative labor",'T12 Raw Data'!B:B,0)),0)</f>
        <v/>
      </c>
      <c r="E29" s="144">
        <f>IFERROR(INDEX('T12 Raw Data'!I:I,MATCH("Administrative labor",'T12 Raw Data'!B:B,0)),0)</f>
        <v/>
      </c>
      <c r="F29" s="144">
        <f>IFERROR(INDEX('T12 Raw Data'!J:J,MATCH("Administrative labor",'T12 Raw Data'!B:B,0)),0)</f>
        <v/>
      </c>
      <c r="G29" s="144">
        <f>IFERROR(INDEX('T12 Raw Data'!K:K,MATCH("Administrative labor",'T12 Raw Data'!B:B,0)),0)</f>
        <v/>
      </c>
      <c r="H29" s="144">
        <f>IFERROR(INDEX('T12 Raw Data'!L:L,MATCH("Administrative labor",'T12 Raw Data'!B:B,0)),0)</f>
        <v/>
      </c>
      <c r="I29" s="144">
        <f>IFERROR(INDEX('T12 Raw Data'!M:M,MATCH("Administrative labor",'T12 Raw Data'!B:B,0)),0)</f>
        <v/>
      </c>
      <c r="J29" s="144">
        <f>IFERROR(INDEX('T12 Raw Data'!N:N,MATCH("Administrative labor",'T12 Raw Data'!B:B,0)),0)</f>
        <v/>
      </c>
      <c r="K29" s="144">
        <f>IFERROR(INDEX('T12 Raw Data'!O:O,MATCH("Administrative labor",'T12 Raw Data'!B:B,0)),0)</f>
        <v/>
      </c>
      <c r="L29" s="144">
        <f>IFERROR(INDEX('T12 Raw Data'!P:P,MATCH("Administrative labor",'T12 Raw Data'!B:B,0)),0)</f>
        <v/>
      </c>
      <c r="M29" s="144">
        <f>IFERROR(INDEX('T12 Raw Data'!Q:Q,MATCH("Administrative labor",'T12 Raw Data'!B:B,0)),0)</f>
        <v/>
      </c>
      <c r="N29" s="145">
        <f>SUM(B29:M29)</f>
        <v/>
      </c>
    </row>
    <row r="30" ht="15.75" customHeight="1" s="199">
      <c r="A30" s="83" t="inlineStr">
        <is>
          <t>Bonus wages</t>
        </is>
      </c>
      <c r="B30" s="144">
        <f>IFERROR(INDEX('T12 Raw Data'!F:F,MATCH("Bonus wages",'T12 Raw Data'!B:B,0)),0)</f>
        <v/>
      </c>
      <c r="C30" s="144">
        <f>IFERROR(INDEX('T12 Raw Data'!G:G,MATCH("Bonus wages",'T12 Raw Data'!B:B,0)),0)</f>
        <v/>
      </c>
      <c r="D30" s="144">
        <f>IFERROR(INDEX('T12 Raw Data'!H:H,MATCH("Bonus wages",'T12 Raw Data'!B:B,0)),0)</f>
        <v/>
      </c>
      <c r="E30" s="144">
        <f>IFERROR(INDEX('T12 Raw Data'!I:I,MATCH("Bonus wages",'T12 Raw Data'!B:B,0)),0)</f>
        <v/>
      </c>
      <c r="F30" s="144">
        <f>IFERROR(INDEX('T12 Raw Data'!J:J,MATCH("Bonus wages",'T12 Raw Data'!B:B,0)),0)</f>
        <v/>
      </c>
      <c r="G30" s="144">
        <f>IFERROR(INDEX('T12 Raw Data'!K:K,MATCH("Bonus wages",'T12 Raw Data'!B:B,0)),0)</f>
        <v/>
      </c>
      <c r="H30" s="144">
        <f>IFERROR(INDEX('T12 Raw Data'!L:L,MATCH("Bonus wages",'T12 Raw Data'!B:B,0)),0)</f>
        <v/>
      </c>
      <c r="I30" s="144">
        <f>IFERROR(INDEX('T12 Raw Data'!M:M,MATCH("Bonus wages",'T12 Raw Data'!B:B,0)),0)</f>
        <v/>
      </c>
      <c r="J30" s="144">
        <f>IFERROR(INDEX('T12 Raw Data'!N:N,MATCH("Bonus wages",'T12 Raw Data'!B:B,0)),0)</f>
        <v/>
      </c>
      <c r="K30" s="144">
        <f>IFERROR(INDEX('T12 Raw Data'!O:O,MATCH("Bonus wages",'T12 Raw Data'!B:B,0)),0)</f>
        <v/>
      </c>
      <c r="L30" s="144">
        <f>IFERROR(INDEX('T12 Raw Data'!P:P,MATCH("Bonus wages",'T12 Raw Data'!B:B,0)),0)</f>
        <v/>
      </c>
      <c r="M30" s="144">
        <f>IFERROR(INDEX('T12 Raw Data'!Q:Q,MATCH("Bonus wages",'T12 Raw Data'!B:B,0)),0)</f>
        <v/>
      </c>
      <c r="N30" s="145">
        <f>SUM(B30:M30)</f>
        <v/>
      </c>
    </row>
    <row r="31" ht="15.75" customHeight="1" s="199">
      <c r="A31" s="146" t="inlineStr">
        <is>
          <t>Total direct labor</t>
        </is>
      </c>
      <c r="B31" s="147">
        <f>B23+B24+B25+B26+B27+B28+B29+B30</f>
        <v/>
      </c>
      <c r="C31" s="147">
        <f>C23+C24+C25+C26+C27+C28+C29+C30</f>
        <v/>
      </c>
      <c r="D31" s="147">
        <f>D23+D24+D25+D26+D27+D28+D29+D30</f>
        <v/>
      </c>
      <c r="E31" s="147">
        <f>E23+E24+E25+E26+E27+E28+E29+E30</f>
        <v/>
      </c>
      <c r="F31" s="147">
        <f>F23+F24+F25+F26+F27+F28+F29+F30</f>
        <v/>
      </c>
      <c r="G31" s="147">
        <f>G23+G24+G25+G26+G27+G28+G29+G30</f>
        <v/>
      </c>
      <c r="H31" s="147">
        <f>H23+H24+H25+H26+H27+H28+H29+H30</f>
        <v/>
      </c>
      <c r="I31" s="147">
        <f>I23+I24+I25+I26+I27+I28+I29+I30</f>
        <v/>
      </c>
      <c r="J31" s="147">
        <f>J23+J24+J25+J26+J27+J28+J29+J30</f>
        <v/>
      </c>
      <c r="K31" s="147">
        <f>K23+K24+K25+K26+K27+K28+K29+K30</f>
        <v/>
      </c>
      <c r="L31" s="147">
        <f>L23+L24+L25+L26+L27+L28+L29+L30</f>
        <v/>
      </c>
      <c r="M31" s="147">
        <f>M23+M24+M25+M26+M27+M28+M29+M30</f>
        <v/>
      </c>
      <c r="N31" s="147">
        <f>N23+N24+N25+N26+N27+N28+N29+N30</f>
        <v/>
      </c>
    </row>
    <row r="32" ht="15.75" customHeight="1" s="199">
      <c r="A32" s="83" t="inlineStr">
        <is>
          <t>Overtime wages</t>
        </is>
      </c>
      <c r="B32" s="144">
        <f>IFERROR(INDEX('T12 Raw Data'!F:F,MATCH("Overtime wages",'T12 Raw Data'!B:B,0)),0)</f>
        <v/>
      </c>
      <c r="C32" s="144">
        <f>IFERROR(INDEX('T12 Raw Data'!G:G,MATCH("Overtime wages",'T12 Raw Data'!B:B,0)),0)</f>
        <v/>
      </c>
      <c r="D32" s="144">
        <f>IFERROR(INDEX('T12 Raw Data'!H:H,MATCH("Overtime wages",'T12 Raw Data'!B:B,0)),0)</f>
        <v/>
      </c>
      <c r="E32" s="144">
        <f>IFERROR(INDEX('T12 Raw Data'!I:I,MATCH("Overtime wages",'T12 Raw Data'!B:B,0)),0)</f>
        <v/>
      </c>
      <c r="F32" s="144">
        <f>IFERROR(INDEX('T12 Raw Data'!J:J,MATCH("Overtime wages",'T12 Raw Data'!B:B,0)),0)</f>
        <v/>
      </c>
      <c r="G32" s="144">
        <f>IFERROR(INDEX('T12 Raw Data'!K:K,MATCH("Overtime wages",'T12 Raw Data'!B:B,0)),0)</f>
        <v/>
      </c>
      <c r="H32" s="144">
        <f>IFERROR(INDEX('T12 Raw Data'!L:L,MATCH("Overtime wages",'T12 Raw Data'!B:B,0)),0)</f>
        <v/>
      </c>
      <c r="I32" s="144">
        <f>IFERROR(INDEX('T12 Raw Data'!M:M,MATCH("Overtime wages",'T12 Raw Data'!B:B,0)),0)</f>
        <v/>
      </c>
      <c r="J32" s="144">
        <f>IFERROR(INDEX('T12 Raw Data'!N:N,MATCH("Overtime wages",'T12 Raw Data'!B:B,0)),0)</f>
        <v/>
      </c>
      <c r="K32" s="144">
        <f>IFERROR(INDEX('T12 Raw Data'!O:O,MATCH("Overtime wages",'T12 Raw Data'!B:B,0)),0)</f>
        <v/>
      </c>
      <c r="L32" s="144">
        <f>IFERROR(INDEX('T12 Raw Data'!P:P,MATCH("Overtime wages",'T12 Raw Data'!B:B,0)),0)</f>
        <v/>
      </c>
      <c r="M32" s="144">
        <f>IFERROR(INDEX('T12 Raw Data'!Q:Q,MATCH("Overtime wages",'T12 Raw Data'!B:B,0)),0)</f>
        <v/>
      </c>
      <c r="N32" s="145">
        <f>SUM(B32:M32)</f>
        <v/>
      </c>
    </row>
    <row r="33" ht="15.75" customHeight="1" s="199">
      <c r="A33" s="83" t="inlineStr">
        <is>
          <t>PTO wages</t>
        </is>
      </c>
      <c r="B33" s="144">
        <f>IFERROR(INDEX('T12 Raw Data'!F:F,MATCH("PTO wages",'T12 Raw Data'!B:B,0)),0)</f>
        <v/>
      </c>
      <c r="C33" s="144">
        <f>IFERROR(INDEX('T12 Raw Data'!G:G,MATCH("PTO wages",'T12 Raw Data'!B:B,0)),0)</f>
        <v/>
      </c>
      <c r="D33" s="144">
        <f>IFERROR(INDEX('T12 Raw Data'!H:H,MATCH("PTO wages",'T12 Raw Data'!B:B,0)),0)</f>
        <v/>
      </c>
      <c r="E33" s="144">
        <f>IFERROR(INDEX('T12 Raw Data'!I:I,MATCH("PTO wages",'T12 Raw Data'!B:B,0)),0)</f>
        <v/>
      </c>
      <c r="F33" s="144">
        <f>IFERROR(INDEX('T12 Raw Data'!J:J,MATCH("PTO wages",'T12 Raw Data'!B:B,0)),0)</f>
        <v/>
      </c>
      <c r="G33" s="144">
        <f>IFERROR(INDEX('T12 Raw Data'!K:K,MATCH("PTO wages",'T12 Raw Data'!B:B,0)),0)</f>
        <v/>
      </c>
      <c r="H33" s="144">
        <f>IFERROR(INDEX('T12 Raw Data'!L:L,MATCH("PTO wages",'T12 Raw Data'!B:B,0)),0)</f>
        <v/>
      </c>
      <c r="I33" s="144">
        <f>IFERROR(INDEX('T12 Raw Data'!M:M,MATCH("PTO wages",'T12 Raw Data'!B:B,0)),0)</f>
        <v/>
      </c>
      <c r="J33" s="144">
        <f>IFERROR(INDEX('T12 Raw Data'!N:N,MATCH("PTO wages",'T12 Raw Data'!B:B,0)),0)</f>
        <v/>
      </c>
      <c r="K33" s="144">
        <f>IFERROR(INDEX('T12 Raw Data'!O:O,MATCH("PTO wages",'T12 Raw Data'!B:B,0)),0)</f>
        <v/>
      </c>
      <c r="L33" s="144">
        <f>IFERROR(INDEX('T12 Raw Data'!P:P,MATCH("PTO wages",'T12 Raw Data'!B:B,0)),0)</f>
        <v/>
      </c>
      <c r="M33" s="144">
        <f>IFERROR(INDEX('T12 Raw Data'!Q:Q,MATCH("PTO wages",'T12 Raw Data'!B:B,0)),0)</f>
        <v/>
      </c>
      <c r="N33" s="145">
        <f>SUM(B33:M33)</f>
        <v/>
      </c>
    </row>
    <row r="34" ht="15.75" customHeight="1" s="199">
      <c r="A34" s="83" t="inlineStr">
        <is>
          <t>Payroll taxes</t>
        </is>
      </c>
      <c r="B34" s="144">
        <f>IFERROR(INDEX('T12 Raw Data'!F:F,MATCH("Payroll taxes",'T12 Raw Data'!B:B,0)),0)</f>
        <v/>
      </c>
      <c r="C34" s="144">
        <f>IFERROR(INDEX('T12 Raw Data'!G:G,MATCH("Payroll taxes",'T12 Raw Data'!B:B,0)),0)</f>
        <v/>
      </c>
      <c r="D34" s="144">
        <f>IFERROR(INDEX('T12 Raw Data'!H:H,MATCH("Payroll taxes",'T12 Raw Data'!B:B,0)),0)</f>
        <v/>
      </c>
      <c r="E34" s="144">
        <f>IFERROR(INDEX('T12 Raw Data'!I:I,MATCH("Payroll taxes",'T12 Raw Data'!B:B,0)),0)</f>
        <v/>
      </c>
      <c r="F34" s="144">
        <f>IFERROR(INDEX('T12 Raw Data'!J:J,MATCH("Payroll taxes",'T12 Raw Data'!B:B,0)),0)</f>
        <v/>
      </c>
      <c r="G34" s="144">
        <f>IFERROR(INDEX('T12 Raw Data'!K:K,MATCH("Payroll taxes",'T12 Raw Data'!B:B,0)),0)</f>
        <v/>
      </c>
      <c r="H34" s="144">
        <f>IFERROR(INDEX('T12 Raw Data'!L:L,MATCH("Payroll taxes",'T12 Raw Data'!B:B,0)),0)</f>
        <v/>
      </c>
      <c r="I34" s="144">
        <f>IFERROR(INDEX('T12 Raw Data'!M:M,MATCH("Payroll taxes",'T12 Raw Data'!B:B,0)),0)</f>
        <v/>
      </c>
      <c r="J34" s="144">
        <f>IFERROR(INDEX('T12 Raw Data'!N:N,MATCH("Payroll taxes",'T12 Raw Data'!B:B,0)),0)</f>
        <v/>
      </c>
      <c r="K34" s="144">
        <f>IFERROR(INDEX('T12 Raw Data'!O:O,MATCH("Payroll taxes",'T12 Raw Data'!B:B,0)),0)</f>
        <v/>
      </c>
      <c r="L34" s="144">
        <f>IFERROR(INDEX('T12 Raw Data'!P:P,MATCH("Payroll taxes",'T12 Raw Data'!B:B,0)),0)</f>
        <v/>
      </c>
      <c r="M34" s="144">
        <f>IFERROR(INDEX('T12 Raw Data'!Q:Q,MATCH("Payroll taxes",'T12 Raw Data'!B:B,0)),0)</f>
        <v/>
      </c>
      <c r="N34" s="145">
        <f>SUM(B34:M34)</f>
        <v/>
      </c>
    </row>
    <row r="35" ht="15.75" customHeight="1" s="199">
      <c r="A35" s="83" t="inlineStr">
        <is>
          <t>Employee benefits</t>
        </is>
      </c>
      <c r="B35" s="144">
        <f>IFERROR(INDEX('T12 Raw Data'!F:F,MATCH("Employee benefits",'T12 Raw Data'!B:B,0)),0)</f>
        <v/>
      </c>
      <c r="C35" s="144">
        <f>IFERROR(INDEX('T12 Raw Data'!G:G,MATCH("Employee benefits",'T12 Raw Data'!B:B,0)),0)</f>
        <v/>
      </c>
      <c r="D35" s="144">
        <f>IFERROR(INDEX('T12 Raw Data'!H:H,MATCH("Employee benefits",'T12 Raw Data'!B:B,0)),0)</f>
        <v/>
      </c>
      <c r="E35" s="144">
        <f>IFERROR(INDEX('T12 Raw Data'!I:I,MATCH("Employee benefits",'T12 Raw Data'!B:B,0)),0)</f>
        <v/>
      </c>
      <c r="F35" s="144">
        <f>IFERROR(INDEX('T12 Raw Data'!J:J,MATCH("Employee benefits",'T12 Raw Data'!B:B,0)),0)</f>
        <v/>
      </c>
      <c r="G35" s="144">
        <f>IFERROR(INDEX('T12 Raw Data'!K:K,MATCH("Employee benefits",'T12 Raw Data'!B:B,0)),0)</f>
        <v/>
      </c>
      <c r="H35" s="144">
        <f>IFERROR(INDEX('T12 Raw Data'!L:L,MATCH("Employee benefits",'T12 Raw Data'!B:B,0)),0)</f>
        <v/>
      </c>
      <c r="I35" s="144">
        <f>IFERROR(INDEX('T12 Raw Data'!M:M,MATCH("Employee benefits",'T12 Raw Data'!B:B,0)),0)</f>
        <v/>
      </c>
      <c r="J35" s="144">
        <f>IFERROR(INDEX('T12 Raw Data'!N:N,MATCH("Employee benefits",'T12 Raw Data'!B:B,0)),0)</f>
        <v/>
      </c>
      <c r="K35" s="144">
        <f>IFERROR(INDEX('T12 Raw Data'!O:O,MATCH("Employee benefits",'T12 Raw Data'!B:B,0)),0)</f>
        <v/>
      </c>
      <c r="L35" s="144">
        <f>IFERROR(INDEX('T12 Raw Data'!P:P,MATCH("Employee benefits",'T12 Raw Data'!B:B,0)),0)</f>
        <v/>
      </c>
      <c r="M35" s="144">
        <f>IFERROR(INDEX('T12 Raw Data'!Q:Q,MATCH("Employee benefits",'T12 Raw Data'!B:B,0)),0)</f>
        <v/>
      </c>
      <c r="N35" s="145">
        <f>SUM(B35:M35)</f>
        <v/>
      </c>
    </row>
    <row r="36" ht="15.75" customHeight="1" s="199">
      <c r="A36" s="83" t="inlineStr">
        <is>
          <t>Workers' comp insurance</t>
        </is>
      </c>
      <c r="B36" s="144">
        <f>IFERROR(INDEX('T12 Raw Data'!F:F,MATCH("Workers' comp insurance",'T12 Raw Data'!B:B,0)),0)</f>
        <v/>
      </c>
      <c r="C36" s="144">
        <f>IFERROR(INDEX('T12 Raw Data'!G:G,MATCH("Workers' comp insurance",'T12 Raw Data'!B:B,0)),0)</f>
        <v/>
      </c>
      <c r="D36" s="144">
        <f>IFERROR(INDEX('T12 Raw Data'!H:H,MATCH("Workers' comp insurance",'T12 Raw Data'!B:B,0)),0)</f>
        <v/>
      </c>
      <c r="E36" s="144">
        <f>IFERROR(INDEX('T12 Raw Data'!I:I,MATCH("Workers' comp insurance",'T12 Raw Data'!B:B,0)),0)</f>
        <v/>
      </c>
      <c r="F36" s="144">
        <f>IFERROR(INDEX('T12 Raw Data'!J:J,MATCH("Workers' comp insurance",'T12 Raw Data'!B:B,0)),0)</f>
        <v/>
      </c>
      <c r="G36" s="144">
        <f>IFERROR(INDEX('T12 Raw Data'!K:K,MATCH("Workers' comp insurance",'T12 Raw Data'!B:B,0)),0)</f>
        <v/>
      </c>
      <c r="H36" s="144">
        <f>IFERROR(INDEX('T12 Raw Data'!L:L,MATCH("Workers' comp insurance",'T12 Raw Data'!B:B,0)),0)</f>
        <v/>
      </c>
      <c r="I36" s="144">
        <f>IFERROR(INDEX('T12 Raw Data'!M:M,MATCH("Workers' comp insurance",'T12 Raw Data'!B:B,0)),0)</f>
        <v/>
      </c>
      <c r="J36" s="144">
        <f>IFERROR(INDEX('T12 Raw Data'!N:N,MATCH("Workers' comp insurance",'T12 Raw Data'!B:B,0)),0)</f>
        <v/>
      </c>
      <c r="K36" s="144">
        <f>IFERROR(INDEX('T12 Raw Data'!O:O,MATCH("Workers' comp insurance",'T12 Raw Data'!B:B,0)),0)</f>
        <v/>
      </c>
      <c r="L36" s="144">
        <f>IFERROR(INDEX('T12 Raw Data'!P:P,MATCH("Workers' comp insurance",'T12 Raw Data'!B:B,0)),0)</f>
        <v/>
      </c>
      <c r="M36" s="144">
        <f>IFERROR(INDEX('T12 Raw Data'!Q:Q,MATCH("Workers' comp insurance",'T12 Raw Data'!B:B,0)),0)</f>
        <v/>
      </c>
      <c r="N36" s="145">
        <f>SUM(B36:M36)</f>
        <v/>
      </c>
    </row>
    <row r="37" ht="15.75" customHeight="1" s="199">
      <c r="A37" s="83" t="inlineStr">
        <is>
          <t>Employee 401(k)</t>
        </is>
      </c>
      <c r="B37" s="144">
        <f>IFERROR(INDEX('T12 Raw Data'!F:F,MATCH("Employee 401(k)",'T12 Raw Data'!B:B,0)),0)</f>
        <v/>
      </c>
      <c r="C37" s="144">
        <f>IFERROR(INDEX('T12 Raw Data'!G:G,MATCH("Employee 401(k)",'T12 Raw Data'!B:B,0)),0)</f>
        <v/>
      </c>
      <c r="D37" s="144">
        <f>IFERROR(INDEX('T12 Raw Data'!H:H,MATCH("Employee 401(k)",'T12 Raw Data'!B:B,0)),0)</f>
        <v/>
      </c>
      <c r="E37" s="144">
        <f>IFERROR(INDEX('T12 Raw Data'!I:I,MATCH("Employee 401(k)",'T12 Raw Data'!B:B,0)),0)</f>
        <v/>
      </c>
      <c r="F37" s="144">
        <f>IFERROR(INDEX('T12 Raw Data'!J:J,MATCH("Employee 401(k)",'T12 Raw Data'!B:B,0)),0)</f>
        <v/>
      </c>
      <c r="G37" s="144">
        <f>IFERROR(INDEX('T12 Raw Data'!K:K,MATCH("Employee 401(k)",'T12 Raw Data'!B:B,0)),0)</f>
        <v/>
      </c>
      <c r="H37" s="144">
        <f>IFERROR(INDEX('T12 Raw Data'!L:L,MATCH("Employee 401(k)",'T12 Raw Data'!B:B,0)),0)</f>
        <v/>
      </c>
      <c r="I37" s="144">
        <f>IFERROR(INDEX('T12 Raw Data'!M:M,MATCH("Employee 401(k)",'T12 Raw Data'!B:B,0)),0)</f>
        <v/>
      </c>
      <c r="J37" s="144">
        <f>IFERROR(INDEX('T12 Raw Data'!N:N,MATCH("Employee 401(k)",'T12 Raw Data'!B:B,0)),0)</f>
        <v/>
      </c>
      <c r="K37" s="144">
        <f>IFERROR(INDEX('T12 Raw Data'!O:O,MATCH("Employee 401(k)",'T12 Raw Data'!B:B,0)),0)</f>
        <v/>
      </c>
      <c r="L37" s="144">
        <f>IFERROR(INDEX('T12 Raw Data'!P:P,MATCH("Employee 401(k)",'T12 Raw Data'!B:B,0)),0)</f>
        <v/>
      </c>
      <c r="M37" s="144">
        <f>IFERROR(INDEX('T12 Raw Data'!Q:Q,MATCH("Employee 401(k)",'T12 Raw Data'!B:B,0)),0)</f>
        <v/>
      </c>
      <c r="N37" s="145">
        <f>SUM(B37:M37)</f>
        <v/>
      </c>
    </row>
    <row r="38" ht="15.75" customHeight="1" s="199">
      <c r="A38" s="146" t="inlineStr">
        <is>
          <t>Total payroll burden</t>
        </is>
      </c>
      <c r="B38" s="147">
        <f>B32+B33+B34+B35+B36+B37</f>
        <v/>
      </c>
      <c r="C38" s="147">
        <f>C32+C33+C34+C35+C36+C37</f>
        <v/>
      </c>
      <c r="D38" s="147">
        <f>D32+D33+D34+D35+D36+D37</f>
        <v/>
      </c>
      <c r="E38" s="147">
        <f>E32+E33+E34+E35+E36+E37</f>
        <v/>
      </c>
      <c r="F38" s="147">
        <f>F32+F33+F34+F35+F36+F37</f>
        <v/>
      </c>
      <c r="G38" s="147">
        <f>G32+G33+G34+G35+G36+G37</f>
        <v/>
      </c>
      <c r="H38" s="147">
        <f>H32+H33+H34+H35+H36+H37</f>
        <v/>
      </c>
      <c r="I38" s="147">
        <f>I32+I33+I34+I35+I36+I37</f>
        <v/>
      </c>
      <c r="J38" s="147">
        <f>J32+J33+J34+J35+J36+J37</f>
        <v/>
      </c>
      <c r="K38" s="147">
        <f>K32+K33+K34+K35+K36+K37</f>
        <v/>
      </c>
      <c r="L38" s="147">
        <f>L32+L33+L34+L35+L36+L37</f>
        <v/>
      </c>
      <c r="M38" s="147">
        <f>M32+M33+M34+M35+M36+M37</f>
        <v/>
      </c>
      <c r="N38" s="147">
        <f>N32+N33+N34+N35+N36+N37</f>
        <v/>
      </c>
    </row>
    <row r="39" ht="18" customHeight="1" s="199">
      <c r="A39" s="151" t="inlineStr">
        <is>
          <t>TOTAL LABOR &amp; BURDEN</t>
        </is>
      </c>
      <c r="B39" s="30">
        <f>B31+B38</f>
        <v/>
      </c>
      <c r="C39" s="30">
        <f>C31+C38</f>
        <v/>
      </c>
      <c r="D39" s="30">
        <f>D31+D38</f>
        <v/>
      </c>
      <c r="E39" s="30">
        <f>E31+E38</f>
        <v/>
      </c>
      <c r="F39" s="30">
        <f>F31+F38</f>
        <v/>
      </c>
      <c r="G39" s="30">
        <f>G31+G38</f>
        <v/>
      </c>
      <c r="H39" s="30">
        <f>H31+H38</f>
        <v/>
      </c>
      <c r="I39" s="30">
        <f>I31+I38</f>
        <v/>
      </c>
      <c r="J39" s="30">
        <f>J31+J38</f>
        <v/>
      </c>
      <c r="K39" s="30">
        <f>K31+K38</f>
        <v/>
      </c>
      <c r="L39" s="30">
        <f>L31+L38</f>
        <v/>
      </c>
      <c r="M39" s="30">
        <f>M31+M38</f>
        <v/>
      </c>
      <c r="N39" s="30">
        <f>N31+N38</f>
        <v/>
      </c>
    </row>
    <row r="40" ht="15.75" customHeight="1" s="199">
      <c r="A40" s="174" t="inlineStr">
        <is>
          <t>NON-LABOR</t>
        </is>
      </c>
    </row>
    <row r="41" ht="15.75" customHeight="1" s="199">
      <c r="A41" s="83" t="inlineStr">
        <is>
          <t>Food cost</t>
        </is>
      </c>
      <c r="B41" s="144">
        <f>IFERROR(INDEX('T12 Raw Data'!F:F,MATCH("Food cost",'T12 Raw Data'!B:B,0)),0)</f>
        <v/>
      </c>
      <c r="C41" s="144">
        <f>IFERROR(INDEX('T12 Raw Data'!G:G,MATCH("Food cost",'T12 Raw Data'!B:B,0)),0)</f>
        <v/>
      </c>
      <c r="D41" s="144">
        <f>IFERROR(INDEX('T12 Raw Data'!H:H,MATCH("Food cost",'T12 Raw Data'!B:B,0)),0)</f>
        <v/>
      </c>
      <c r="E41" s="144">
        <f>IFERROR(INDEX('T12 Raw Data'!I:I,MATCH("Food cost",'T12 Raw Data'!B:B,0)),0)</f>
        <v/>
      </c>
      <c r="F41" s="144">
        <f>IFERROR(INDEX('T12 Raw Data'!J:J,MATCH("Food cost",'T12 Raw Data'!B:B,0)),0)</f>
        <v/>
      </c>
      <c r="G41" s="144">
        <f>IFERROR(INDEX('T12 Raw Data'!K:K,MATCH("Food cost",'T12 Raw Data'!B:B,0)),0)</f>
        <v/>
      </c>
      <c r="H41" s="144">
        <f>IFERROR(INDEX('T12 Raw Data'!L:L,MATCH("Food cost",'T12 Raw Data'!B:B,0)),0)</f>
        <v/>
      </c>
      <c r="I41" s="144">
        <f>IFERROR(INDEX('T12 Raw Data'!M:M,MATCH("Food cost",'T12 Raw Data'!B:B,0)),0)</f>
        <v/>
      </c>
      <c r="J41" s="144">
        <f>IFERROR(INDEX('T12 Raw Data'!N:N,MATCH("Food cost",'T12 Raw Data'!B:B,0)),0)</f>
        <v/>
      </c>
      <c r="K41" s="144">
        <f>IFERROR(INDEX('T12 Raw Data'!O:O,MATCH("Food cost",'T12 Raw Data'!B:B,0)),0)</f>
        <v/>
      </c>
      <c r="L41" s="144">
        <f>IFERROR(INDEX('T12 Raw Data'!P:P,MATCH("Food cost",'T12 Raw Data'!B:B,0)),0)</f>
        <v/>
      </c>
      <c r="M41" s="144">
        <f>IFERROR(INDEX('T12 Raw Data'!Q:Q,MATCH("Food cost",'T12 Raw Data'!B:B,0)),0)</f>
        <v/>
      </c>
      <c r="N41" s="145">
        <f>SUM(B41:M41)</f>
        <v/>
      </c>
    </row>
    <row r="42" ht="15.75" customHeight="1" s="199">
      <c r="A42" s="83" t="inlineStr">
        <is>
          <t>Dining &amp; kitchen supplies</t>
        </is>
      </c>
      <c r="B42" s="144">
        <f>IFERROR(INDEX('T12 Raw Data'!F:F,MATCH("Dining &amp; kitchen supplies",'T12 Raw Data'!B:B,0)),0)</f>
        <v/>
      </c>
      <c r="C42" s="144">
        <f>IFERROR(INDEX('T12 Raw Data'!G:G,MATCH("Dining &amp; kitchen supplies",'T12 Raw Data'!B:B,0)),0)</f>
        <v/>
      </c>
      <c r="D42" s="144">
        <f>IFERROR(INDEX('T12 Raw Data'!H:H,MATCH("Dining &amp; kitchen supplies",'T12 Raw Data'!B:B,0)),0)</f>
        <v/>
      </c>
      <c r="E42" s="144">
        <f>IFERROR(INDEX('T12 Raw Data'!I:I,MATCH("Dining &amp; kitchen supplies",'T12 Raw Data'!B:B,0)),0)</f>
        <v/>
      </c>
      <c r="F42" s="144">
        <f>IFERROR(INDEX('T12 Raw Data'!J:J,MATCH("Dining &amp; kitchen supplies",'T12 Raw Data'!B:B,0)),0)</f>
        <v/>
      </c>
      <c r="G42" s="144">
        <f>IFERROR(INDEX('T12 Raw Data'!K:K,MATCH("Dining &amp; kitchen supplies",'T12 Raw Data'!B:B,0)),0)</f>
        <v/>
      </c>
      <c r="H42" s="144">
        <f>IFERROR(INDEX('T12 Raw Data'!L:L,MATCH("Dining &amp; kitchen supplies",'T12 Raw Data'!B:B,0)),0)</f>
        <v/>
      </c>
      <c r="I42" s="144">
        <f>IFERROR(INDEX('T12 Raw Data'!M:M,MATCH("Dining &amp; kitchen supplies",'T12 Raw Data'!B:B,0)),0)</f>
        <v/>
      </c>
      <c r="J42" s="144">
        <f>IFERROR(INDEX('T12 Raw Data'!N:N,MATCH("Dining &amp; kitchen supplies",'T12 Raw Data'!B:B,0)),0)</f>
        <v/>
      </c>
      <c r="K42" s="144">
        <f>IFERROR(INDEX('T12 Raw Data'!O:O,MATCH("Dining &amp; kitchen supplies",'T12 Raw Data'!B:B,0)),0)</f>
        <v/>
      </c>
      <c r="L42" s="144">
        <f>IFERROR(INDEX('T12 Raw Data'!P:P,MATCH("Dining &amp; kitchen supplies",'T12 Raw Data'!B:B,0)),0)</f>
        <v/>
      </c>
      <c r="M42" s="144">
        <f>IFERROR(INDEX('T12 Raw Data'!Q:Q,MATCH("Dining &amp; kitchen supplies",'T12 Raw Data'!B:B,0)),0)</f>
        <v/>
      </c>
      <c r="N42" s="145">
        <f>SUM(B42:M42)</f>
        <v/>
      </c>
    </row>
    <row r="43" ht="15.75" customHeight="1" s="199">
      <c r="A43" s="83" t="inlineStr">
        <is>
          <t>Nursing &amp; care supplies</t>
        </is>
      </c>
      <c r="B43" s="144">
        <f>IFERROR(INDEX('T12 Raw Data'!F:F,MATCH("Nursing &amp; care supplies",'T12 Raw Data'!B:B,0)),0)</f>
        <v/>
      </c>
      <c r="C43" s="144">
        <f>IFERROR(INDEX('T12 Raw Data'!G:G,MATCH("Nursing &amp; care supplies",'T12 Raw Data'!B:B,0)),0)</f>
        <v/>
      </c>
      <c r="D43" s="144">
        <f>IFERROR(INDEX('T12 Raw Data'!H:H,MATCH("Nursing &amp; care supplies",'T12 Raw Data'!B:B,0)),0)</f>
        <v/>
      </c>
      <c r="E43" s="144">
        <f>IFERROR(INDEX('T12 Raw Data'!I:I,MATCH("Nursing &amp; care supplies",'T12 Raw Data'!B:B,0)),0)</f>
        <v/>
      </c>
      <c r="F43" s="144">
        <f>IFERROR(INDEX('T12 Raw Data'!J:J,MATCH("Nursing &amp; care supplies",'T12 Raw Data'!B:B,0)),0)</f>
        <v/>
      </c>
      <c r="G43" s="144">
        <f>IFERROR(INDEX('T12 Raw Data'!K:K,MATCH("Nursing &amp; care supplies",'T12 Raw Data'!B:B,0)),0)</f>
        <v/>
      </c>
      <c r="H43" s="144">
        <f>IFERROR(INDEX('T12 Raw Data'!L:L,MATCH("Nursing &amp; care supplies",'T12 Raw Data'!B:B,0)),0)</f>
        <v/>
      </c>
      <c r="I43" s="144">
        <f>IFERROR(INDEX('T12 Raw Data'!M:M,MATCH("Nursing &amp; care supplies",'T12 Raw Data'!B:B,0)),0)</f>
        <v/>
      </c>
      <c r="J43" s="144">
        <f>IFERROR(INDEX('T12 Raw Data'!N:N,MATCH("Nursing &amp; care supplies",'T12 Raw Data'!B:B,0)),0)</f>
        <v/>
      </c>
      <c r="K43" s="144">
        <f>IFERROR(INDEX('T12 Raw Data'!O:O,MATCH("Nursing &amp; care supplies",'T12 Raw Data'!B:B,0)),0)</f>
        <v/>
      </c>
      <c r="L43" s="144">
        <f>IFERROR(INDEX('T12 Raw Data'!P:P,MATCH("Nursing &amp; care supplies",'T12 Raw Data'!B:B,0)),0)</f>
        <v/>
      </c>
      <c r="M43" s="144">
        <f>IFERROR(INDEX('T12 Raw Data'!Q:Q,MATCH("Nursing &amp; care supplies",'T12 Raw Data'!B:B,0)),0)</f>
        <v/>
      </c>
      <c r="N43" s="145">
        <f>SUM(B43:M43)</f>
        <v/>
      </c>
    </row>
    <row r="44" ht="15.75" customHeight="1" s="199">
      <c r="A44" s="83" t="inlineStr">
        <is>
          <t>Recreation supplies</t>
        </is>
      </c>
      <c r="B44" s="144">
        <f>IFERROR(INDEX('T12 Raw Data'!F:F,MATCH("Recreation &amp; activity suppl.",'T12 Raw Data'!B:B,0)),0)</f>
        <v/>
      </c>
      <c r="C44" s="144">
        <f>IFERROR(INDEX('T12 Raw Data'!G:G,MATCH("Recreation &amp; activity suppl.",'T12 Raw Data'!B:B,0)),0)</f>
        <v/>
      </c>
      <c r="D44" s="144">
        <f>IFERROR(INDEX('T12 Raw Data'!H:H,MATCH("Recreation &amp; activity suppl.",'T12 Raw Data'!B:B,0)),0)</f>
        <v/>
      </c>
      <c r="E44" s="144">
        <f>IFERROR(INDEX('T12 Raw Data'!I:I,MATCH("Recreation &amp; activity suppl.",'T12 Raw Data'!B:B,0)),0)</f>
        <v/>
      </c>
      <c r="F44" s="144">
        <f>IFERROR(INDEX('T12 Raw Data'!J:J,MATCH("Recreation &amp; activity suppl.",'T12 Raw Data'!B:B,0)),0)</f>
        <v/>
      </c>
      <c r="G44" s="144">
        <f>IFERROR(INDEX('T12 Raw Data'!K:K,MATCH("Recreation &amp; activity suppl.",'T12 Raw Data'!B:B,0)),0)</f>
        <v/>
      </c>
      <c r="H44" s="144">
        <f>IFERROR(INDEX('T12 Raw Data'!L:L,MATCH("Recreation &amp; activity suppl.",'T12 Raw Data'!B:B,0)),0)</f>
        <v/>
      </c>
      <c r="I44" s="144">
        <f>IFERROR(INDEX('T12 Raw Data'!M:M,MATCH("Recreation &amp; activity suppl.",'T12 Raw Data'!B:B,0)),0)</f>
        <v/>
      </c>
      <c r="J44" s="144">
        <f>IFERROR(INDEX('T12 Raw Data'!N:N,MATCH("Recreation &amp; activity suppl.",'T12 Raw Data'!B:B,0)),0)</f>
        <v/>
      </c>
      <c r="K44" s="144">
        <f>IFERROR(INDEX('T12 Raw Data'!O:O,MATCH("Recreation &amp; activity suppl.",'T12 Raw Data'!B:B,0)),0)</f>
        <v/>
      </c>
      <c r="L44" s="144">
        <f>IFERROR(INDEX('T12 Raw Data'!P:P,MATCH("Recreation &amp; activity suppl.",'T12 Raw Data'!B:B,0)),0)</f>
        <v/>
      </c>
      <c r="M44" s="144">
        <f>IFERROR(INDEX('T12 Raw Data'!Q:Q,MATCH("Recreation &amp; activity suppl.",'T12 Raw Data'!B:B,0)),0)</f>
        <v/>
      </c>
      <c r="N44" s="145">
        <f>SUM(B44:M44)</f>
        <v/>
      </c>
    </row>
    <row r="45" ht="15.75" customHeight="1" s="199">
      <c r="A45" s="83" t="inlineStr">
        <is>
          <t>R&amp;M fixed</t>
        </is>
      </c>
      <c r="B45" s="144">
        <f>IFERROR(INDEX('T12 Raw Data'!F:F,MATCH("R&amp;M fixed",'T12 Raw Data'!B:B,0)),0)</f>
        <v/>
      </c>
      <c r="C45" s="144">
        <f>IFERROR(INDEX('T12 Raw Data'!G:G,MATCH("R&amp;M fixed",'T12 Raw Data'!B:B,0)),0)</f>
        <v/>
      </c>
      <c r="D45" s="144">
        <f>IFERROR(INDEX('T12 Raw Data'!H:H,MATCH("R&amp;M fixed",'T12 Raw Data'!B:B,0)),0)</f>
        <v/>
      </c>
      <c r="E45" s="144">
        <f>IFERROR(INDEX('T12 Raw Data'!I:I,MATCH("R&amp;M fixed",'T12 Raw Data'!B:B,0)),0)</f>
        <v/>
      </c>
      <c r="F45" s="144">
        <f>IFERROR(INDEX('T12 Raw Data'!J:J,MATCH("R&amp;M fixed",'T12 Raw Data'!B:B,0)),0)</f>
        <v/>
      </c>
      <c r="G45" s="144">
        <f>IFERROR(INDEX('T12 Raw Data'!K:K,MATCH("R&amp;M fixed",'T12 Raw Data'!B:B,0)),0)</f>
        <v/>
      </c>
      <c r="H45" s="144">
        <f>IFERROR(INDEX('T12 Raw Data'!L:L,MATCH("R&amp;M fixed",'T12 Raw Data'!B:B,0)),0)</f>
        <v/>
      </c>
      <c r="I45" s="144">
        <f>IFERROR(INDEX('T12 Raw Data'!M:M,MATCH("R&amp;M fixed",'T12 Raw Data'!B:B,0)),0)</f>
        <v/>
      </c>
      <c r="J45" s="144">
        <f>IFERROR(INDEX('T12 Raw Data'!N:N,MATCH("R&amp;M fixed",'T12 Raw Data'!B:B,0)),0)</f>
        <v/>
      </c>
      <c r="K45" s="144">
        <f>IFERROR(INDEX('T12 Raw Data'!O:O,MATCH("R&amp;M fixed",'T12 Raw Data'!B:B,0)),0)</f>
        <v/>
      </c>
      <c r="L45" s="144">
        <f>IFERROR(INDEX('T12 Raw Data'!P:P,MATCH("R&amp;M fixed",'T12 Raw Data'!B:B,0)),0)</f>
        <v/>
      </c>
      <c r="M45" s="144">
        <f>IFERROR(INDEX('T12 Raw Data'!Q:Q,MATCH("R&amp;M fixed",'T12 Raw Data'!B:B,0)),0)</f>
        <v/>
      </c>
      <c r="N45" s="145">
        <f>SUM(B45:M45)</f>
        <v/>
      </c>
    </row>
    <row r="46" ht="15.75" customHeight="1" s="199">
      <c r="A46" s="83" t="inlineStr">
        <is>
          <t>R&amp;M variable</t>
        </is>
      </c>
      <c r="B46" s="144">
        <f>IFERROR(INDEX('T12 Raw Data'!F:F,MATCH("R&amp;M variable",'T12 Raw Data'!B:B,0)),0)</f>
        <v/>
      </c>
      <c r="C46" s="144">
        <f>IFERROR(INDEX('T12 Raw Data'!G:G,MATCH("R&amp;M variable",'T12 Raw Data'!B:B,0)),0)</f>
        <v/>
      </c>
      <c r="D46" s="144">
        <f>IFERROR(INDEX('T12 Raw Data'!H:H,MATCH("R&amp;M variable",'T12 Raw Data'!B:B,0)),0)</f>
        <v/>
      </c>
      <c r="E46" s="144">
        <f>IFERROR(INDEX('T12 Raw Data'!I:I,MATCH("R&amp;M variable",'T12 Raw Data'!B:B,0)),0)</f>
        <v/>
      </c>
      <c r="F46" s="144">
        <f>IFERROR(INDEX('T12 Raw Data'!J:J,MATCH("R&amp;M variable",'T12 Raw Data'!B:B,0)),0)</f>
        <v/>
      </c>
      <c r="G46" s="144">
        <f>IFERROR(INDEX('T12 Raw Data'!K:K,MATCH("R&amp;M variable",'T12 Raw Data'!B:B,0)),0)</f>
        <v/>
      </c>
      <c r="H46" s="144">
        <f>IFERROR(INDEX('T12 Raw Data'!L:L,MATCH("R&amp;M variable",'T12 Raw Data'!B:B,0)),0)</f>
        <v/>
      </c>
      <c r="I46" s="144">
        <f>IFERROR(INDEX('T12 Raw Data'!M:M,MATCH("R&amp;M variable",'T12 Raw Data'!B:B,0)),0)</f>
        <v/>
      </c>
      <c r="J46" s="144">
        <f>IFERROR(INDEX('T12 Raw Data'!N:N,MATCH("R&amp;M variable",'T12 Raw Data'!B:B,0)),0)</f>
        <v/>
      </c>
      <c r="K46" s="144">
        <f>IFERROR(INDEX('T12 Raw Data'!O:O,MATCH("R&amp;M variable",'T12 Raw Data'!B:B,0)),0)</f>
        <v/>
      </c>
      <c r="L46" s="144">
        <f>IFERROR(INDEX('T12 Raw Data'!P:P,MATCH("R&amp;M variable",'T12 Raw Data'!B:B,0)),0)</f>
        <v/>
      </c>
      <c r="M46" s="144">
        <f>IFERROR(INDEX('T12 Raw Data'!Q:Q,MATCH("R&amp;M variable",'T12 Raw Data'!B:B,0)),0)</f>
        <v/>
      </c>
      <c r="N46" s="145">
        <f>SUM(B46:M46)</f>
        <v/>
      </c>
    </row>
    <row r="47" ht="15.75" customHeight="1" s="199">
      <c r="A47" s="83" t="inlineStr">
        <is>
          <t>HK &amp; laundry supplies</t>
        </is>
      </c>
      <c r="B47" s="144">
        <f>IFERROR(INDEX('T12 Raw Data'!F:F,MATCH("HK &amp; laundry supplies",'T12 Raw Data'!B:B,0)),0)</f>
        <v/>
      </c>
      <c r="C47" s="144">
        <f>IFERROR(INDEX('T12 Raw Data'!G:G,MATCH("HK &amp; laundry supplies",'T12 Raw Data'!B:B,0)),0)</f>
        <v/>
      </c>
      <c r="D47" s="144">
        <f>IFERROR(INDEX('T12 Raw Data'!H:H,MATCH("HK &amp; laundry supplies",'T12 Raw Data'!B:B,0)),0)</f>
        <v/>
      </c>
      <c r="E47" s="144">
        <f>IFERROR(INDEX('T12 Raw Data'!I:I,MATCH("HK &amp; laundry supplies",'T12 Raw Data'!B:B,0)),0)</f>
        <v/>
      </c>
      <c r="F47" s="144">
        <f>IFERROR(INDEX('T12 Raw Data'!J:J,MATCH("HK &amp; laundry supplies",'T12 Raw Data'!B:B,0)),0)</f>
        <v/>
      </c>
      <c r="G47" s="144">
        <f>IFERROR(INDEX('T12 Raw Data'!K:K,MATCH("HK &amp; laundry supplies",'T12 Raw Data'!B:B,0)),0)</f>
        <v/>
      </c>
      <c r="H47" s="144">
        <f>IFERROR(INDEX('T12 Raw Data'!L:L,MATCH("HK &amp; laundry supplies",'T12 Raw Data'!B:B,0)),0)</f>
        <v/>
      </c>
      <c r="I47" s="144">
        <f>IFERROR(INDEX('T12 Raw Data'!M:M,MATCH("HK &amp; laundry supplies",'T12 Raw Data'!B:B,0)),0)</f>
        <v/>
      </c>
      <c r="J47" s="144">
        <f>IFERROR(INDEX('T12 Raw Data'!N:N,MATCH("HK &amp; laundry supplies",'T12 Raw Data'!B:B,0)),0)</f>
        <v/>
      </c>
      <c r="K47" s="144">
        <f>IFERROR(INDEX('T12 Raw Data'!O:O,MATCH("HK &amp; laundry supplies",'T12 Raw Data'!B:B,0)),0)</f>
        <v/>
      </c>
      <c r="L47" s="144">
        <f>IFERROR(INDEX('T12 Raw Data'!P:P,MATCH("HK &amp; laundry supplies",'T12 Raw Data'!B:B,0)),0)</f>
        <v/>
      </c>
      <c r="M47" s="144">
        <f>IFERROR(INDEX('T12 Raw Data'!Q:Q,MATCH("HK &amp; laundry supplies",'T12 Raw Data'!B:B,0)),0)</f>
        <v/>
      </c>
      <c r="N47" s="145">
        <f>SUM(B47:M47)</f>
        <v/>
      </c>
    </row>
    <row r="48" ht="15.75" customHeight="1" s="199">
      <c r="A48" s="83" t="inlineStr">
        <is>
          <t>Sales, adv. &amp; marketing</t>
        </is>
      </c>
      <c r="B48" s="144">
        <f>IFERROR(INDEX('T12 Raw Data'!F:F,MATCH("Sales, adv. &amp; marketing",'T12 Raw Data'!B:B,0)),0)</f>
        <v/>
      </c>
      <c r="C48" s="144">
        <f>IFERROR(INDEX('T12 Raw Data'!G:G,MATCH("Sales, adv. &amp; marketing",'T12 Raw Data'!B:B,0)),0)</f>
        <v/>
      </c>
      <c r="D48" s="144">
        <f>IFERROR(INDEX('T12 Raw Data'!H:H,MATCH("Sales, adv. &amp; marketing",'T12 Raw Data'!B:B,0)),0)</f>
        <v/>
      </c>
      <c r="E48" s="144">
        <f>IFERROR(INDEX('T12 Raw Data'!I:I,MATCH("Sales, adv. &amp; marketing",'T12 Raw Data'!B:B,0)),0)</f>
        <v/>
      </c>
      <c r="F48" s="144">
        <f>IFERROR(INDEX('T12 Raw Data'!J:J,MATCH("Sales, adv. &amp; marketing",'T12 Raw Data'!B:B,0)),0)</f>
        <v/>
      </c>
      <c r="G48" s="144">
        <f>IFERROR(INDEX('T12 Raw Data'!K:K,MATCH("Sales, adv. &amp; marketing",'T12 Raw Data'!B:B,0)),0)</f>
        <v/>
      </c>
      <c r="H48" s="144">
        <f>IFERROR(INDEX('T12 Raw Data'!L:L,MATCH("Sales, adv. &amp; marketing",'T12 Raw Data'!B:B,0)),0)</f>
        <v/>
      </c>
      <c r="I48" s="144">
        <f>IFERROR(INDEX('T12 Raw Data'!M:M,MATCH("Sales, adv. &amp; marketing",'T12 Raw Data'!B:B,0)),0)</f>
        <v/>
      </c>
      <c r="J48" s="144">
        <f>IFERROR(INDEX('T12 Raw Data'!N:N,MATCH("Sales, adv. &amp; marketing",'T12 Raw Data'!B:B,0)),0)</f>
        <v/>
      </c>
      <c r="K48" s="144">
        <f>IFERROR(INDEX('T12 Raw Data'!O:O,MATCH("Sales, adv. &amp; marketing",'T12 Raw Data'!B:B,0)),0)</f>
        <v/>
      </c>
      <c r="L48" s="144">
        <f>IFERROR(INDEX('T12 Raw Data'!P:P,MATCH("Sales, adv. &amp; marketing",'T12 Raw Data'!B:B,0)),0)</f>
        <v/>
      </c>
      <c r="M48" s="144">
        <f>IFERROR(INDEX('T12 Raw Data'!Q:Q,MATCH("Sales, adv. &amp; marketing",'T12 Raw Data'!B:B,0)),0)</f>
        <v/>
      </c>
      <c r="N48" s="145">
        <f>SUM(B48:M48)</f>
        <v/>
      </c>
    </row>
    <row r="49" ht="15.75" customHeight="1" s="199">
      <c r="A49" s="83" t="inlineStr">
        <is>
          <t>Referral fees</t>
        </is>
      </c>
      <c r="B49" s="144">
        <f>IFERROR(INDEX('T12 Raw Data'!F:F,MATCH("Referral fees",'T12 Raw Data'!B:B,0)),0)</f>
        <v/>
      </c>
      <c r="C49" s="144">
        <f>IFERROR(INDEX('T12 Raw Data'!G:G,MATCH("Referral fees",'T12 Raw Data'!B:B,0)),0)</f>
        <v/>
      </c>
      <c r="D49" s="144">
        <f>IFERROR(INDEX('T12 Raw Data'!H:H,MATCH("Referral fees",'T12 Raw Data'!B:B,0)),0)</f>
        <v/>
      </c>
      <c r="E49" s="144">
        <f>IFERROR(INDEX('T12 Raw Data'!I:I,MATCH("Referral fees",'T12 Raw Data'!B:B,0)),0)</f>
        <v/>
      </c>
      <c r="F49" s="144">
        <f>IFERROR(INDEX('T12 Raw Data'!J:J,MATCH("Referral fees",'T12 Raw Data'!B:B,0)),0)</f>
        <v/>
      </c>
      <c r="G49" s="144">
        <f>IFERROR(INDEX('T12 Raw Data'!K:K,MATCH("Referral fees",'T12 Raw Data'!B:B,0)),0)</f>
        <v/>
      </c>
      <c r="H49" s="144">
        <f>IFERROR(INDEX('T12 Raw Data'!L:L,MATCH("Referral fees",'T12 Raw Data'!B:B,0)),0)</f>
        <v/>
      </c>
      <c r="I49" s="144">
        <f>IFERROR(INDEX('T12 Raw Data'!M:M,MATCH("Referral fees",'T12 Raw Data'!B:B,0)),0)</f>
        <v/>
      </c>
      <c r="J49" s="144">
        <f>IFERROR(INDEX('T12 Raw Data'!N:N,MATCH("Referral fees",'T12 Raw Data'!B:B,0)),0)</f>
        <v/>
      </c>
      <c r="K49" s="144">
        <f>IFERROR(INDEX('T12 Raw Data'!O:O,MATCH("Referral fees",'T12 Raw Data'!B:B,0)),0)</f>
        <v/>
      </c>
      <c r="L49" s="144">
        <f>IFERROR(INDEX('T12 Raw Data'!P:P,MATCH("Referral fees",'T12 Raw Data'!B:B,0)),0)</f>
        <v/>
      </c>
      <c r="M49" s="144">
        <f>IFERROR(INDEX('T12 Raw Data'!Q:Q,MATCH("Referral fees",'T12 Raw Data'!B:B,0)),0)</f>
        <v/>
      </c>
      <c r="N49" s="145">
        <f>SUM(B49:M49)</f>
        <v/>
      </c>
    </row>
    <row r="50" ht="15.75" customHeight="1" s="199">
      <c r="A50" s="83" t="inlineStr">
        <is>
          <t>Utilities</t>
        </is>
      </c>
      <c r="B50" s="144">
        <f>IFERROR(INDEX('T12 Raw Data'!F:F,MATCH("Utilities",'T12 Raw Data'!B:B,0)),0)</f>
        <v/>
      </c>
      <c r="C50" s="144">
        <f>IFERROR(INDEX('T12 Raw Data'!G:G,MATCH("Utilities",'T12 Raw Data'!B:B,0)),0)</f>
        <v/>
      </c>
      <c r="D50" s="144">
        <f>IFERROR(INDEX('T12 Raw Data'!H:H,MATCH("Utilities",'T12 Raw Data'!B:B,0)),0)</f>
        <v/>
      </c>
      <c r="E50" s="144">
        <f>IFERROR(INDEX('T12 Raw Data'!I:I,MATCH("Utilities",'T12 Raw Data'!B:B,0)),0)</f>
        <v/>
      </c>
      <c r="F50" s="144">
        <f>IFERROR(INDEX('T12 Raw Data'!J:J,MATCH("Utilities",'T12 Raw Data'!B:B,0)),0)</f>
        <v/>
      </c>
      <c r="G50" s="144">
        <f>IFERROR(INDEX('T12 Raw Data'!K:K,MATCH("Utilities",'T12 Raw Data'!B:B,0)),0)</f>
        <v/>
      </c>
      <c r="H50" s="144">
        <f>IFERROR(INDEX('T12 Raw Data'!L:L,MATCH("Utilities",'T12 Raw Data'!B:B,0)),0)</f>
        <v/>
      </c>
      <c r="I50" s="144">
        <f>IFERROR(INDEX('T12 Raw Data'!M:M,MATCH("Utilities",'T12 Raw Data'!B:B,0)),0)</f>
        <v/>
      </c>
      <c r="J50" s="144">
        <f>IFERROR(INDEX('T12 Raw Data'!N:N,MATCH("Utilities",'T12 Raw Data'!B:B,0)),0)</f>
        <v/>
      </c>
      <c r="K50" s="144">
        <f>IFERROR(INDEX('T12 Raw Data'!O:O,MATCH("Utilities",'T12 Raw Data'!B:B,0)),0)</f>
        <v/>
      </c>
      <c r="L50" s="144">
        <f>IFERROR(INDEX('T12 Raw Data'!P:P,MATCH("Utilities",'T12 Raw Data'!B:B,0)),0)</f>
        <v/>
      </c>
      <c r="M50" s="144">
        <f>IFERROR(INDEX('T12 Raw Data'!Q:Q,MATCH("Utilities",'T12 Raw Data'!B:B,0)),0)</f>
        <v/>
      </c>
      <c r="N50" s="145">
        <f>SUM(B50:M50)</f>
        <v/>
      </c>
    </row>
    <row r="51" ht="15.75" customHeight="1" s="199">
      <c r="A51" s="83" t="inlineStr">
        <is>
          <t>Telephone / IT</t>
        </is>
      </c>
      <c r="B51" s="144">
        <f>IFERROR(INDEX('T12 Raw Data'!F:F,MATCH("Telephone / IT",'T12 Raw Data'!B:B,0)),0)</f>
        <v/>
      </c>
      <c r="C51" s="144">
        <f>IFERROR(INDEX('T12 Raw Data'!G:G,MATCH("Telephone / IT",'T12 Raw Data'!B:B,0)),0)</f>
        <v/>
      </c>
      <c r="D51" s="144">
        <f>IFERROR(INDEX('T12 Raw Data'!H:H,MATCH("Telephone / IT",'T12 Raw Data'!B:B,0)),0)</f>
        <v/>
      </c>
      <c r="E51" s="144">
        <f>IFERROR(INDEX('T12 Raw Data'!I:I,MATCH("Telephone / IT",'T12 Raw Data'!B:B,0)),0)</f>
        <v/>
      </c>
      <c r="F51" s="144">
        <f>IFERROR(INDEX('T12 Raw Data'!J:J,MATCH("Telephone / IT",'T12 Raw Data'!B:B,0)),0)</f>
        <v/>
      </c>
      <c r="G51" s="144">
        <f>IFERROR(INDEX('T12 Raw Data'!K:K,MATCH("Telephone / IT",'T12 Raw Data'!B:B,0)),0)</f>
        <v/>
      </c>
      <c r="H51" s="144">
        <f>IFERROR(INDEX('T12 Raw Data'!L:L,MATCH("Telephone / IT",'T12 Raw Data'!B:B,0)),0)</f>
        <v/>
      </c>
      <c r="I51" s="144">
        <f>IFERROR(INDEX('T12 Raw Data'!M:M,MATCH("Telephone / IT",'T12 Raw Data'!B:B,0)),0)</f>
        <v/>
      </c>
      <c r="J51" s="144">
        <f>IFERROR(INDEX('T12 Raw Data'!N:N,MATCH("Telephone / IT",'T12 Raw Data'!B:B,0)),0)</f>
        <v/>
      </c>
      <c r="K51" s="144">
        <f>IFERROR(INDEX('T12 Raw Data'!O:O,MATCH("Telephone / IT",'T12 Raw Data'!B:B,0)),0)</f>
        <v/>
      </c>
      <c r="L51" s="144">
        <f>IFERROR(INDEX('T12 Raw Data'!P:P,MATCH("Telephone / IT",'T12 Raw Data'!B:B,0)),0)</f>
        <v/>
      </c>
      <c r="M51" s="144">
        <f>IFERROR(INDEX('T12 Raw Data'!Q:Q,MATCH("Telephone / IT",'T12 Raw Data'!B:B,0)),0)</f>
        <v/>
      </c>
      <c r="N51" s="145">
        <f>SUM(B51:M51)</f>
        <v/>
      </c>
    </row>
    <row r="52" ht="15.75" customHeight="1" s="199">
      <c r="A52" s="83" t="inlineStr">
        <is>
          <t>P&amp;C insurance</t>
        </is>
      </c>
      <c r="B52" s="144">
        <f>IFERROR(INDEX('T12 Raw Data'!F:F,MATCH("P&amp;C insurance (bundled)",'T12 Raw Data'!B:B,0)),0)</f>
        <v/>
      </c>
      <c r="C52" s="144">
        <f>IFERROR(INDEX('T12 Raw Data'!G:G,MATCH("P&amp;C insurance (bundled)",'T12 Raw Data'!B:B,0)),0)</f>
        <v/>
      </c>
      <c r="D52" s="144">
        <f>IFERROR(INDEX('T12 Raw Data'!H:H,MATCH("P&amp;C insurance (bundled)",'T12 Raw Data'!B:B,0)),0)</f>
        <v/>
      </c>
      <c r="E52" s="144">
        <f>IFERROR(INDEX('T12 Raw Data'!I:I,MATCH("P&amp;C insurance (bundled)",'T12 Raw Data'!B:B,0)),0)</f>
        <v/>
      </c>
      <c r="F52" s="144">
        <f>IFERROR(INDEX('T12 Raw Data'!J:J,MATCH("P&amp;C insurance (bundled)",'T12 Raw Data'!B:B,0)),0)</f>
        <v/>
      </c>
      <c r="G52" s="144">
        <f>IFERROR(INDEX('T12 Raw Data'!K:K,MATCH("P&amp;C insurance (bundled)",'T12 Raw Data'!B:B,0)),0)</f>
        <v/>
      </c>
      <c r="H52" s="144">
        <f>IFERROR(INDEX('T12 Raw Data'!L:L,MATCH("P&amp;C insurance (bundled)",'T12 Raw Data'!B:B,0)),0)</f>
        <v/>
      </c>
      <c r="I52" s="144">
        <f>IFERROR(INDEX('T12 Raw Data'!M:M,MATCH("P&amp;C insurance (bundled)",'T12 Raw Data'!B:B,0)),0)</f>
        <v/>
      </c>
      <c r="J52" s="144">
        <f>IFERROR(INDEX('T12 Raw Data'!N:N,MATCH("P&amp;C insurance (bundled)",'T12 Raw Data'!B:B,0)),0)</f>
        <v/>
      </c>
      <c r="K52" s="144">
        <f>IFERROR(INDEX('T12 Raw Data'!O:O,MATCH("P&amp;C insurance (bundled)",'T12 Raw Data'!B:B,0)),0)</f>
        <v/>
      </c>
      <c r="L52" s="144">
        <f>IFERROR(INDEX('T12 Raw Data'!P:P,MATCH("P&amp;C insurance (bundled)",'T12 Raw Data'!B:B,0)),0)</f>
        <v/>
      </c>
      <c r="M52" s="144">
        <f>IFERROR(INDEX('T12 Raw Data'!Q:Q,MATCH("P&amp;C insurance (bundled)",'T12 Raw Data'!B:B,0)),0)</f>
        <v/>
      </c>
      <c r="N52" s="145">
        <f>SUM(B52:M52)</f>
        <v/>
      </c>
    </row>
    <row r="53" ht="15.75" customHeight="1" s="199">
      <c r="A53" s="83" t="inlineStr">
        <is>
          <t>Auto insurance</t>
        </is>
      </c>
      <c r="B53" s="144">
        <f>IFERROR(INDEX('T12 Raw Data'!F:F,MATCH("Auto insurance",'T12 Raw Data'!B:B,0)),0)</f>
        <v/>
      </c>
      <c r="C53" s="144">
        <f>IFERROR(INDEX('T12 Raw Data'!G:G,MATCH("Auto insurance",'T12 Raw Data'!B:B,0)),0)</f>
        <v/>
      </c>
      <c r="D53" s="144">
        <f>IFERROR(INDEX('T12 Raw Data'!H:H,MATCH("Auto insurance",'T12 Raw Data'!B:B,0)),0)</f>
        <v/>
      </c>
      <c r="E53" s="144">
        <f>IFERROR(INDEX('T12 Raw Data'!I:I,MATCH("Auto insurance",'T12 Raw Data'!B:B,0)),0)</f>
        <v/>
      </c>
      <c r="F53" s="144">
        <f>IFERROR(INDEX('T12 Raw Data'!J:J,MATCH("Auto insurance",'T12 Raw Data'!B:B,0)),0)</f>
        <v/>
      </c>
      <c r="G53" s="144">
        <f>IFERROR(INDEX('T12 Raw Data'!K:K,MATCH("Auto insurance",'T12 Raw Data'!B:B,0)),0)</f>
        <v/>
      </c>
      <c r="H53" s="144">
        <f>IFERROR(INDEX('T12 Raw Data'!L:L,MATCH("Auto insurance",'T12 Raw Data'!B:B,0)),0)</f>
        <v/>
      </c>
      <c r="I53" s="144">
        <f>IFERROR(INDEX('T12 Raw Data'!M:M,MATCH("Auto insurance",'T12 Raw Data'!B:B,0)),0)</f>
        <v/>
      </c>
      <c r="J53" s="144">
        <f>IFERROR(INDEX('T12 Raw Data'!N:N,MATCH("Auto insurance",'T12 Raw Data'!B:B,0)),0)</f>
        <v/>
      </c>
      <c r="K53" s="144">
        <f>IFERROR(INDEX('T12 Raw Data'!O:O,MATCH("Auto insurance",'T12 Raw Data'!B:B,0)),0)</f>
        <v/>
      </c>
      <c r="L53" s="144">
        <f>IFERROR(INDEX('T12 Raw Data'!P:P,MATCH("Auto insurance",'T12 Raw Data'!B:B,0)),0)</f>
        <v/>
      </c>
      <c r="M53" s="144">
        <f>IFERROR(INDEX('T12 Raw Data'!Q:Q,MATCH("Auto insurance",'T12 Raw Data'!B:B,0)),0)</f>
        <v/>
      </c>
      <c r="N53" s="145">
        <f>SUM(B53:M53)</f>
        <v/>
      </c>
    </row>
    <row r="54" ht="15.75" customHeight="1" s="199">
      <c r="A54" s="83" t="inlineStr">
        <is>
          <t>Auto Expense</t>
        </is>
      </c>
      <c r="B54" s="144">
        <f>IFERROR(INDEX('T12 Raw Data'!F:F,MATCH("Auto Expense",'T12 Raw Data'!B:B,0)),0)</f>
        <v/>
      </c>
      <c r="C54" s="144">
        <f>IFERROR(INDEX('T12 Raw Data'!G:G,MATCH("Auto Expense",'T12 Raw Data'!B:B,0)),0)</f>
        <v/>
      </c>
      <c r="D54" s="144">
        <f>IFERROR(INDEX('T12 Raw Data'!H:H,MATCH("Auto Expense",'T12 Raw Data'!B:B,0)),0)</f>
        <v/>
      </c>
      <c r="E54" s="144">
        <f>IFERROR(INDEX('T12 Raw Data'!I:I,MATCH("Auto Expense",'T12 Raw Data'!B:B,0)),0)</f>
        <v/>
      </c>
      <c r="F54" s="144">
        <f>IFERROR(INDEX('T12 Raw Data'!J:J,MATCH("Auto Expense",'T12 Raw Data'!B:B,0)),0)</f>
        <v/>
      </c>
      <c r="G54" s="144">
        <f>IFERROR(INDEX('T12 Raw Data'!K:K,MATCH("Auto Expense",'T12 Raw Data'!B:B,0)),0)</f>
        <v/>
      </c>
      <c r="H54" s="144">
        <f>IFERROR(INDEX('T12 Raw Data'!L:L,MATCH("Auto Expense",'T12 Raw Data'!B:B,0)),0)</f>
        <v/>
      </c>
      <c r="I54" s="144">
        <f>IFERROR(INDEX('T12 Raw Data'!M:M,MATCH("Auto Expense",'T12 Raw Data'!B:B,0)),0)</f>
        <v/>
      </c>
      <c r="J54" s="144">
        <f>IFERROR(INDEX('T12 Raw Data'!N:N,MATCH("Auto Expense",'T12 Raw Data'!B:B,0)),0)</f>
        <v/>
      </c>
      <c r="K54" s="144">
        <f>IFERROR(INDEX('T12 Raw Data'!O:O,MATCH("Auto Expense",'T12 Raw Data'!B:B,0)),0)</f>
        <v/>
      </c>
      <c r="L54" s="144">
        <f>IFERROR(INDEX('T12 Raw Data'!P:P,MATCH("Auto Expense",'T12 Raw Data'!B:B,0)),0)</f>
        <v/>
      </c>
      <c r="M54" s="144">
        <f>IFERROR(INDEX('T12 Raw Data'!Q:Q,MATCH("Auto Expense",'T12 Raw Data'!B:B,0)),0)</f>
        <v/>
      </c>
      <c r="N54" s="145">
        <f>SUM(B54:M54)</f>
        <v/>
      </c>
    </row>
    <row r="55" ht="15.75" customHeight="1" s="199">
      <c r="A55" s="83" t="inlineStr">
        <is>
          <t>Fire / security monitor</t>
        </is>
      </c>
      <c r="B55" s="144">
        <f>IFERROR(INDEX('T12 Raw Data'!F:F,MATCH("Fire / security monitoring",'T12 Raw Data'!B:B,0)),0)</f>
        <v/>
      </c>
      <c r="C55" s="144">
        <f>IFERROR(INDEX('T12 Raw Data'!G:G,MATCH("Fire / security monitoring",'T12 Raw Data'!B:B,0)),0)</f>
        <v/>
      </c>
      <c r="D55" s="144">
        <f>IFERROR(INDEX('T12 Raw Data'!H:H,MATCH("Fire / security monitoring",'T12 Raw Data'!B:B,0)),0)</f>
        <v/>
      </c>
      <c r="E55" s="144">
        <f>IFERROR(INDEX('T12 Raw Data'!I:I,MATCH("Fire / security monitoring",'T12 Raw Data'!B:B,0)),0)</f>
        <v/>
      </c>
      <c r="F55" s="144">
        <f>IFERROR(INDEX('T12 Raw Data'!J:J,MATCH("Fire / security monitoring",'T12 Raw Data'!B:B,0)),0)</f>
        <v/>
      </c>
      <c r="G55" s="144">
        <f>IFERROR(INDEX('T12 Raw Data'!K:K,MATCH("Fire / security monitoring",'T12 Raw Data'!B:B,0)),0)</f>
        <v/>
      </c>
      <c r="H55" s="144">
        <f>IFERROR(INDEX('T12 Raw Data'!L:L,MATCH("Fire / security monitoring",'T12 Raw Data'!B:B,0)),0)</f>
        <v/>
      </c>
      <c r="I55" s="144">
        <f>IFERROR(INDEX('T12 Raw Data'!M:M,MATCH("Fire / security monitoring",'T12 Raw Data'!B:B,0)),0)</f>
        <v/>
      </c>
      <c r="J55" s="144">
        <f>IFERROR(INDEX('T12 Raw Data'!N:N,MATCH("Fire / security monitoring",'T12 Raw Data'!B:B,0)),0)</f>
        <v/>
      </c>
      <c r="K55" s="144">
        <f>IFERROR(INDEX('T12 Raw Data'!O:O,MATCH("Fire / security monitoring",'T12 Raw Data'!B:B,0)),0)</f>
        <v/>
      </c>
      <c r="L55" s="144">
        <f>IFERROR(INDEX('T12 Raw Data'!P:P,MATCH("Fire / security monitoring",'T12 Raw Data'!B:B,0)),0)</f>
        <v/>
      </c>
      <c r="M55" s="144">
        <f>IFERROR(INDEX('T12 Raw Data'!Q:Q,MATCH("Fire / security monitoring",'T12 Raw Data'!B:B,0)),0)</f>
        <v/>
      </c>
      <c r="N55" s="145">
        <f>SUM(B55:M55)</f>
        <v/>
      </c>
    </row>
    <row r="56" ht="15.75" customHeight="1" s="199">
      <c r="A56" s="83" t="inlineStr">
        <is>
          <t>Pest elimination</t>
        </is>
      </c>
      <c r="B56" s="144">
        <f>IFERROR(INDEX('T12 Raw Data'!F:F,MATCH("Pest elimination",'T12 Raw Data'!B:B,0)),0)</f>
        <v/>
      </c>
      <c r="C56" s="144">
        <f>IFERROR(INDEX('T12 Raw Data'!G:G,MATCH("Pest elimination",'T12 Raw Data'!B:B,0)),0)</f>
        <v/>
      </c>
      <c r="D56" s="144">
        <f>IFERROR(INDEX('T12 Raw Data'!H:H,MATCH("Pest elimination",'T12 Raw Data'!B:B,0)),0)</f>
        <v/>
      </c>
      <c r="E56" s="144">
        <f>IFERROR(INDEX('T12 Raw Data'!I:I,MATCH("Pest elimination",'T12 Raw Data'!B:B,0)),0)</f>
        <v/>
      </c>
      <c r="F56" s="144">
        <f>IFERROR(INDEX('T12 Raw Data'!J:J,MATCH("Pest elimination",'T12 Raw Data'!B:B,0)),0)</f>
        <v/>
      </c>
      <c r="G56" s="144">
        <f>IFERROR(INDEX('T12 Raw Data'!K:K,MATCH("Pest elimination",'T12 Raw Data'!B:B,0)),0)</f>
        <v/>
      </c>
      <c r="H56" s="144">
        <f>IFERROR(INDEX('T12 Raw Data'!L:L,MATCH("Pest elimination",'T12 Raw Data'!B:B,0)),0)</f>
        <v/>
      </c>
      <c r="I56" s="144">
        <f>IFERROR(INDEX('T12 Raw Data'!M:M,MATCH("Pest elimination",'T12 Raw Data'!B:B,0)),0)</f>
        <v/>
      </c>
      <c r="J56" s="144">
        <f>IFERROR(INDEX('T12 Raw Data'!N:N,MATCH("Pest elimination",'T12 Raw Data'!B:B,0)),0)</f>
        <v/>
      </c>
      <c r="K56" s="144">
        <f>IFERROR(INDEX('T12 Raw Data'!O:O,MATCH("Pest elimination",'T12 Raw Data'!B:B,0)),0)</f>
        <v/>
      </c>
      <c r="L56" s="144">
        <f>IFERROR(INDEX('T12 Raw Data'!P:P,MATCH("Pest elimination",'T12 Raw Data'!B:B,0)),0)</f>
        <v/>
      </c>
      <c r="M56" s="144">
        <f>IFERROR(INDEX('T12 Raw Data'!Q:Q,MATCH("Pest elimination",'T12 Raw Data'!B:B,0)),0)</f>
        <v/>
      </c>
      <c r="N56" s="145">
        <f>SUM(B56:M56)</f>
        <v/>
      </c>
    </row>
    <row r="57" ht="15.75" customHeight="1" s="199">
      <c r="A57" s="83" t="inlineStr">
        <is>
          <t>Real estate taxes</t>
        </is>
      </c>
      <c r="B57" s="144">
        <f>IFERROR(INDEX('T12 Raw Data'!F:F,MATCH("Real estate taxes",'T12 Raw Data'!B:B,0)),0)</f>
        <v/>
      </c>
      <c r="C57" s="144">
        <f>IFERROR(INDEX('T12 Raw Data'!G:G,MATCH("Real estate taxes",'T12 Raw Data'!B:B,0)),0)</f>
        <v/>
      </c>
      <c r="D57" s="144">
        <f>IFERROR(INDEX('T12 Raw Data'!H:H,MATCH("Real estate taxes",'T12 Raw Data'!B:B,0)),0)</f>
        <v/>
      </c>
      <c r="E57" s="144">
        <f>IFERROR(INDEX('T12 Raw Data'!I:I,MATCH("Real estate taxes",'T12 Raw Data'!B:B,0)),0)</f>
        <v/>
      </c>
      <c r="F57" s="144">
        <f>IFERROR(INDEX('T12 Raw Data'!J:J,MATCH("Real estate taxes",'T12 Raw Data'!B:B,0)),0)</f>
        <v/>
      </c>
      <c r="G57" s="144">
        <f>IFERROR(INDEX('T12 Raw Data'!K:K,MATCH("Real estate taxes",'T12 Raw Data'!B:B,0)),0)</f>
        <v/>
      </c>
      <c r="H57" s="144">
        <f>IFERROR(INDEX('T12 Raw Data'!L:L,MATCH("Real estate taxes",'T12 Raw Data'!B:B,0)),0)</f>
        <v/>
      </c>
      <c r="I57" s="144">
        <f>IFERROR(INDEX('T12 Raw Data'!M:M,MATCH("Real estate taxes",'T12 Raw Data'!B:B,0)),0)</f>
        <v/>
      </c>
      <c r="J57" s="144">
        <f>IFERROR(INDEX('T12 Raw Data'!N:N,MATCH("Real estate taxes",'T12 Raw Data'!B:B,0)),0)</f>
        <v/>
      </c>
      <c r="K57" s="144">
        <f>IFERROR(INDEX('T12 Raw Data'!O:O,MATCH("Real estate taxes",'T12 Raw Data'!B:B,0)),0)</f>
        <v/>
      </c>
      <c r="L57" s="144">
        <f>IFERROR(INDEX('T12 Raw Data'!P:P,MATCH("Real estate taxes",'T12 Raw Data'!B:B,0)),0)</f>
        <v/>
      </c>
      <c r="M57" s="144">
        <f>IFERROR(INDEX('T12 Raw Data'!Q:Q,MATCH("Real estate taxes",'T12 Raw Data'!B:B,0)),0)</f>
        <v/>
      </c>
      <c r="N57" s="145">
        <f>SUM(B57:M57)</f>
        <v/>
      </c>
    </row>
    <row r="58" ht="15.75" customHeight="1" s="199">
      <c r="A58" s="83" t="inlineStr">
        <is>
          <t>Personal property taxes</t>
        </is>
      </c>
      <c r="B58" s="144">
        <f>IFERROR(INDEX('T12 Raw Data'!F:F,MATCH("Personal property taxes",'T12 Raw Data'!B:B,0)),0)</f>
        <v/>
      </c>
      <c r="C58" s="144">
        <f>IFERROR(INDEX('T12 Raw Data'!G:G,MATCH("Personal property taxes",'T12 Raw Data'!B:B,0)),0)</f>
        <v/>
      </c>
      <c r="D58" s="144">
        <f>IFERROR(INDEX('T12 Raw Data'!H:H,MATCH("Personal property taxes",'T12 Raw Data'!B:B,0)),0)</f>
        <v/>
      </c>
      <c r="E58" s="144">
        <f>IFERROR(INDEX('T12 Raw Data'!I:I,MATCH("Personal property taxes",'T12 Raw Data'!B:B,0)),0)</f>
        <v/>
      </c>
      <c r="F58" s="144">
        <f>IFERROR(INDEX('T12 Raw Data'!J:J,MATCH("Personal property taxes",'T12 Raw Data'!B:B,0)),0)</f>
        <v/>
      </c>
      <c r="G58" s="144">
        <f>IFERROR(INDEX('T12 Raw Data'!K:K,MATCH("Personal property taxes",'T12 Raw Data'!B:B,0)),0)</f>
        <v/>
      </c>
      <c r="H58" s="144">
        <f>IFERROR(INDEX('T12 Raw Data'!L:L,MATCH("Personal property taxes",'T12 Raw Data'!B:B,0)),0)</f>
        <v/>
      </c>
      <c r="I58" s="144">
        <f>IFERROR(INDEX('T12 Raw Data'!M:M,MATCH("Personal property taxes",'T12 Raw Data'!B:B,0)),0)</f>
        <v/>
      </c>
      <c r="J58" s="144">
        <f>IFERROR(INDEX('T12 Raw Data'!N:N,MATCH("Personal property taxes",'T12 Raw Data'!B:B,0)),0)</f>
        <v/>
      </c>
      <c r="K58" s="144">
        <f>IFERROR(INDEX('T12 Raw Data'!O:O,MATCH("Personal property taxes",'T12 Raw Data'!B:B,0)),0)</f>
        <v/>
      </c>
      <c r="L58" s="144">
        <f>IFERROR(INDEX('T12 Raw Data'!P:P,MATCH("Personal property taxes",'T12 Raw Data'!B:B,0)),0)</f>
        <v/>
      </c>
      <c r="M58" s="144">
        <f>IFERROR(INDEX('T12 Raw Data'!Q:Q,MATCH("Personal property taxes",'T12 Raw Data'!B:B,0)),0)</f>
        <v/>
      </c>
      <c r="N58" s="145">
        <f>SUM(B58:M58)</f>
        <v/>
      </c>
    </row>
    <row r="59" ht="15.75" customHeight="1" s="199">
      <c r="A59" s="83" t="inlineStr">
        <is>
          <t>Legal expenses</t>
        </is>
      </c>
      <c r="B59" s="144">
        <f>IFERROR(INDEX('T12 Raw Data'!F:F,MATCH("Legal expenses",'T12 Raw Data'!B:B,0)),0)</f>
        <v/>
      </c>
      <c r="C59" s="144">
        <f>IFERROR(INDEX('T12 Raw Data'!G:G,MATCH("Legal expenses",'T12 Raw Data'!B:B,0)),0)</f>
        <v/>
      </c>
      <c r="D59" s="144">
        <f>IFERROR(INDEX('T12 Raw Data'!H:H,MATCH("Legal expenses",'T12 Raw Data'!B:B,0)),0)</f>
        <v/>
      </c>
      <c r="E59" s="144">
        <f>IFERROR(INDEX('T12 Raw Data'!I:I,MATCH("Legal expenses",'T12 Raw Data'!B:B,0)),0)</f>
        <v/>
      </c>
      <c r="F59" s="144">
        <f>IFERROR(INDEX('T12 Raw Data'!J:J,MATCH("Legal expenses",'T12 Raw Data'!B:B,0)),0)</f>
        <v/>
      </c>
      <c r="G59" s="144">
        <f>IFERROR(INDEX('T12 Raw Data'!K:K,MATCH("Legal expenses",'T12 Raw Data'!B:B,0)),0)</f>
        <v/>
      </c>
      <c r="H59" s="144">
        <f>IFERROR(INDEX('T12 Raw Data'!L:L,MATCH("Legal expenses",'T12 Raw Data'!B:B,0)),0)</f>
        <v/>
      </c>
      <c r="I59" s="144">
        <f>IFERROR(INDEX('T12 Raw Data'!M:M,MATCH("Legal expenses",'T12 Raw Data'!B:B,0)),0)</f>
        <v/>
      </c>
      <c r="J59" s="144">
        <f>IFERROR(INDEX('T12 Raw Data'!N:N,MATCH("Legal expenses",'T12 Raw Data'!B:B,0)),0)</f>
        <v/>
      </c>
      <c r="K59" s="144">
        <f>IFERROR(INDEX('T12 Raw Data'!O:O,MATCH("Legal expenses",'T12 Raw Data'!B:B,0)),0)</f>
        <v/>
      </c>
      <c r="L59" s="144">
        <f>IFERROR(INDEX('T12 Raw Data'!P:P,MATCH("Legal expenses",'T12 Raw Data'!B:B,0)),0)</f>
        <v/>
      </c>
      <c r="M59" s="144">
        <f>IFERROR(INDEX('T12 Raw Data'!Q:Q,MATCH("Legal expenses",'T12 Raw Data'!B:B,0)),0)</f>
        <v/>
      </c>
      <c r="N59" s="145">
        <f>SUM(B59:M59)</f>
        <v/>
      </c>
    </row>
    <row r="60" ht="15.75" customHeight="1" s="199">
      <c r="A60" s="83" t="inlineStr">
        <is>
          <t>Professional services</t>
        </is>
      </c>
      <c r="B60" s="144">
        <f>IFERROR(INDEX('T12 Raw Data'!F:F,MATCH("Professional services",'T12 Raw Data'!B:B,0)),0)</f>
        <v/>
      </c>
      <c r="C60" s="144">
        <f>IFERROR(INDEX('T12 Raw Data'!G:G,MATCH("Professional services",'T12 Raw Data'!B:B,0)),0)</f>
        <v/>
      </c>
      <c r="D60" s="144">
        <f>IFERROR(INDEX('T12 Raw Data'!H:H,MATCH("Professional services",'T12 Raw Data'!B:B,0)),0)</f>
        <v/>
      </c>
      <c r="E60" s="144">
        <f>IFERROR(INDEX('T12 Raw Data'!I:I,MATCH("Professional services",'T12 Raw Data'!B:B,0)),0)</f>
        <v/>
      </c>
      <c r="F60" s="144">
        <f>IFERROR(INDEX('T12 Raw Data'!J:J,MATCH("Professional services",'T12 Raw Data'!B:B,0)),0)</f>
        <v/>
      </c>
      <c r="G60" s="144">
        <f>IFERROR(INDEX('T12 Raw Data'!K:K,MATCH("Professional services",'T12 Raw Data'!B:B,0)),0)</f>
        <v/>
      </c>
      <c r="H60" s="144">
        <f>IFERROR(INDEX('T12 Raw Data'!L:L,MATCH("Professional services",'T12 Raw Data'!B:B,0)),0)</f>
        <v/>
      </c>
      <c r="I60" s="144">
        <f>IFERROR(INDEX('T12 Raw Data'!M:M,MATCH("Professional services",'T12 Raw Data'!B:B,0)),0)</f>
        <v/>
      </c>
      <c r="J60" s="144">
        <f>IFERROR(INDEX('T12 Raw Data'!N:N,MATCH("Professional services",'T12 Raw Data'!B:B,0)),0)</f>
        <v/>
      </c>
      <c r="K60" s="144">
        <f>IFERROR(INDEX('T12 Raw Data'!O:O,MATCH("Professional services",'T12 Raw Data'!B:B,0)),0)</f>
        <v/>
      </c>
      <c r="L60" s="144">
        <f>IFERROR(INDEX('T12 Raw Data'!P:P,MATCH("Professional services",'T12 Raw Data'!B:B,0)),0)</f>
        <v/>
      </c>
      <c r="M60" s="144">
        <f>IFERROR(INDEX('T12 Raw Data'!Q:Q,MATCH("Professional services",'T12 Raw Data'!B:B,0)),0)</f>
        <v/>
      </c>
      <c r="N60" s="145">
        <f>SUM(B60:M60)</f>
        <v/>
      </c>
    </row>
    <row r="61" ht="15.75" customHeight="1" s="199">
      <c r="A61" s="83" t="inlineStr">
        <is>
          <t>Bad debt expense</t>
        </is>
      </c>
      <c r="B61" s="144">
        <f>IFERROR(INDEX('T12 Raw Data'!F:F,MATCH("Bad debt expense",'T12 Raw Data'!B:B,0)),0)</f>
        <v/>
      </c>
      <c r="C61" s="144">
        <f>IFERROR(INDEX('T12 Raw Data'!G:G,MATCH("Bad debt expense",'T12 Raw Data'!B:B,0)),0)</f>
        <v/>
      </c>
      <c r="D61" s="144">
        <f>IFERROR(INDEX('T12 Raw Data'!H:H,MATCH("Bad debt expense",'T12 Raw Data'!B:B,0)),0)</f>
        <v/>
      </c>
      <c r="E61" s="144">
        <f>IFERROR(INDEX('T12 Raw Data'!I:I,MATCH("Bad debt expense",'T12 Raw Data'!B:B,0)),0)</f>
        <v/>
      </c>
      <c r="F61" s="144">
        <f>IFERROR(INDEX('T12 Raw Data'!J:J,MATCH("Bad debt expense",'T12 Raw Data'!B:B,0)),0)</f>
        <v/>
      </c>
      <c r="G61" s="144">
        <f>IFERROR(INDEX('T12 Raw Data'!K:K,MATCH("Bad debt expense",'T12 Raw Data'!B:B,0)),0)</f>
        <v/>
      </c>
      <c r="H61" s="144">
        <f>IFERROR(INDEX('T12 Raw Data'!L:L,MATCH("Bad debt expense",'T12 Raw Data'!B:B,0)),0)</f>
        <v/>
      </c>
      <c r="I61" s="144">
        <f>IFERROR(INDEX('T12 Raw Data'!M:M,MATCH("Bad debt expense",'T12 Raw Data'!B:B,0)),0)</f>
        <v/>
      </c>
      <c r="J61" s="144">
        <f>IFERROR(INDEX('T12 Raw Data'!N:N,MATCH("Bad debt expense",'T12 Raw Data'!B:B,0)),0)</f>
        <v/>
      </c>
      <c r="K61" s="144">
        <f>IFERROR(INDEX('T12 Raw Data'!O:O,MATCH("Bad debt expense",'T12 Raw Data'!B:B,0)),0)</f>
        <v/>
      </c>
      <c r="L61" s="144">
        <f>IFERROR(INDEX('T12 Raw Data'!P:P,MATCH("Bad debt expense",'T12 Raw Data'!B:B,0)),0)</f>
        <v/>
      </c>
      <c r="M61" s="144">
        <f>IFERROR(INDEX('T12 Raw Data'!Q:Q,MATCH("Bad debt expense",'T12 Raw Data'!B:B,0)),0)</f>
        <v/>
      </c>
      <c r="N61" s="145">
        <f>SUM(B61:M61)</f>
        <v/>
      </c>
    </row>
    <row r="62" ht="15.75" customHeight="1" s="199">
      <c r="A62" s="83" t="inlineStr">
        <is>
          <t>Permits, licenses &amp; dues</t>
        </is>
      </c>
      <c r="B62" s="144">
        <f>IFERROR(INDEX('T12 Raw Data'!F:F,MATCH("Permits, licenses &amp; dues",'T12 Raw Data'!B:B,0)),0)</f>
        <v/>
      </c>
      <c r="C62" s="144">
        <f>IFERROR(INDEX('T12 Raw Data'!G:G,MATCH("Permits, licenses &amp; dues",'T12 Raw Data'!B:B,0)),0)</f>
        <v/>
      </c>
      <c r="D62" s="144">
        <f>IFERROR(INDEX('T12 Raw Data'!H:H,MATCH("Permits, licenses &amp; dues",'T12 Raw Data'!B:B,0)),0)</f>
        <v/>
      </c>
      <c r="E62" s="144">
        <f>IFERROR(INDEX('T12 Raw Data'!I:I,MATCH("Permits, licenses &amp; dues",'T12 Raw Data'!B:B,0)),0)</f>
        <v/>
      </c>
      <c r="F62" s="144">
        <f>IFERROR(INDEX('T12 Raw Data'!J:J,MATCH("Permits, licenses &amp; dues",'T12 Raw Data'!B:B,0)),0)</f>
        <v/>
      </c>
      <c r="G62" s="144">
        <f>IFERROR(INDEX('T12 Raw Data'!K:K,MATCH("Permits, licenses &amp; dues",'T12 Raw Data'!B:B,0)),0)</f>
        <v/>
      </c>
      <c r="H62" s="144">
        <f>IFERROR(INDEX('T12 Raw Data'!L:L,MATCH("Permits, licenses &amp; dues",'T12 Raw Data'!B:B,0)),0)</f>
        <v/>
      </c>
      <c r="I62" s="144">
        <f>IFERROR(INDEX('T12 Raw Data'!M:M,MATCH("Permits, licenses &amp; dues",'T12 Raw Data'!B:B,0)),0)</f>
        <v/>
      </c>
      <c r="J62" s="144">
        <f>IFERROR(INDEX('T12 Raw Data'!N:N,MATCH("Permits, licenses &amp; dues",'T12 Raw Data'!B:B,0)),0)</f>
        <v/>
      </c>
      <c r="K62" s="144">
        <f>IFERROR(INDEX('T12 Raw Data'!O:O,MATCH("Permits, licenses &amp; dues",'T12 Raw Data'!B:B,0)),0)</f>
        <v/>
      </c>
      <c r="L62" s="144">
        <f>IFERROR(INDEX('T12 Raw Data'!P:P,MATCH("Permits, licenses &amp; dues",'T12 Raw Data'!B:B,0)),0)</f>
        <v/>
      </c>
      <c r="M62" s="144">
        <f>IFERROR(INDEX('T12 Raw Data'!Q:Q,MATCH("Permits, licenses &amp; dues",'T12 Raw Data'!B:B,0)),0)</f>
        <v/>
      </c>
      <c r="N62" s="145">
        <f>SUM(B62:M62)</f>
        <v/>
      </c>
    </row>
    <row r="63" ht="15.75" customHeight="1" s="199">
      <c r="A63" s="83" t="inlineStr">
        <is>
          <t>Office, admin &amp; G&amp;A</t>
        </is>
      </c>
      <c r="B63" s="144">
        <f>IFERROR(INDEX('T12 Raw Data'!F:F,MATCH("Office, admin &amp; G&amp;A",'T12 Raw Data'!B:B,0)),0)</f>
        <v/>
      </c>
      <c r="C63" s="144">
        <f>IFERROR(INDEX('T12 Raw Data'!G:G,MATCH("Office, admin &amp; G&amp;A",'T12 Raw Data'!B:B,0)),0)</f>
        <v/>
      </c>
      <c r="D63" s="144">
        <f>IFERROR(INDEX('T12 Raw Data'!H:H,MATCH("Office, admin &amp; G&amp;A",'T12 Raw Data'!B:B,0)),0)</f>
        <v/>
      </c>
      <c r="E63" s="144">
        <f>IFERROR(INDEX('T12 Raw Data'!I:I,MATCH("Office, admin &amp; G&amp;A",'T12 Raw Data'!B:B,0)),0)</f>
        <v/>
      </c>
      <c r="F63" s="144">
        <f>IFERROR(INDEX('T12 Raw Data'!J:J,MATCH("Office, admin &amp; G&amp;A",'T12 Raw Data'!B:B,0)),0)</f>
        <v/>
      </c>
      <c r="G63" s="144">
        <f>IFERROR(INDEX('T12 Raw Data'!K:K,MATCH("Office, admin &amp; G&amp;A",'T12 Raw Data'!B:B,0)),0)</f>
        <v/>
      </c>
      <c r="H63" s="144">
        <f>IFERROR(INDEX('T12 Raw Data'!L:L,MATCH("Office, admin &amp; G&amp;A",'T12 Raw Data'!B:B,0)),0)</f>
        <v/>
      </c>
      <c r="I63" s="144">
        <f>IFERROR(INDEX('T12 Raw Data'!M:M,MATCH("Office, admin &amp; G&amp;A",'T12 Raw Data'!B:B,0)),0)</f>
        <v/>
      </c>
      <c r="J63" s="144">
        <f>IFERROR(INDEX('T12 Raw Data'!N:N,MATCH("Office, admin &amp; G&amp;A",'T12 Raw Data'!B:B,0)),0)</f>
        <v/>
      </c>
      <c r="K63" s="144">
        <f>IFERROR(INDEX('T12 Raw Data'!O:O,MATCH("Office, admin &amp; G&amp;A",'T12 Raw Data'!B:B,0)),0)</f>
        <v/>
      </c>
      <c r="L63" s="144">
        <f>IFERROR(INDEX('T12 Raw Data'!P:P,MATCH("Office, admin &amp; G&amp;A",'T12 Raw Data'!B:B,0)),0)</f>
        <v/>
      </c>
      <c r="M63" s="144">
        <f>IFERROR(INDEX('T12 Raw Data'!Q:Q,MATCH("Office, admin &amp; G&amp;A",'T12 Raw Data'!B:B,0)),0)</f>
        <v/>
      </c>
      <c r="N63" s="145">
        <f>SUM(B63:M63)</f>
        <v/>
      </c>
    </row>
    <row r="64" ht="15.75" customHeight="1" s="199">
      <c r="A64" s="83" t="inlineStr">
        <is>
          <t>Other / miscellaneous</t>
        </is>
      </c>
      <c r="B64" s="144">
        <f>IFERROR(INDEX('T12 Raw Data'!F:F,MATCH("Other / miscellaneous",'T12 Raw Data'!B:B,0)),0)</f>
        <v/>
      </c>
      <c r="C64" s="144">
        <f>IFERROR(INDEX('T12 Raw Data'!G:G,MATCH("Other / miscellaneous",'T12 Raw Data'!B:B,0)),0)</f>
        <v/>
      </c>
      <c r="D64" s="144">
        <f>IFERROR(INDEX('T12 Raw Data'!H:H,MATCH("Other / miscellaneous",'T12 Raw Data'!B:B,0)),0)</f>
        <v/>
      </c>
      <c r="E64" s="144">
        <f>IFERROR(INDEX('T12 Raw Data'!I:I,MATCH("Other / miscellaneous",'T12 Raw Data'!B:B,0)),0)</f>
        <v/>
      </c>
      <c r="F64" s="144">
        <f>IFERROR(INDEX('T12 Raw Data'!J:J,MATCH("Other / miscellaneous",'T12 Raw Data'!B:B,0)),0)</f>
        <v/>
      </c>
      <c r="G64" s="144">
        <f>IFERROR(INDEX('T12 Raw Data'!K:K,MATCH("Other / miscellaneous",'T12 Raw Data'!B:B,0)),0)</f>
        <v/>
      </c>
      <c r="H64" s="144">
        <f>IFERROR(INDEX('T12 Raw Data'!L:L,MATCH("Other / miscellaneous",'T12 Raw Data'!B:B,0)),0)</f>
        <v/>
      </c>
      <c r="I64" s="144">
        <f>IFERROR(INDEX('T12 Raw Data'!M:M,MATCH("Other / miscellaneous",'T12 Raw Data'!B:B,0)),0)</f>
        <v/>
      </c>
      <c r="J64" s="144">
        <f>IFERROR(INDEX('T12 Raw Data'!N:N,MATCH("Other / miscellaneous",'T12 Raw Data'!B:B,0)),0)</f>
        <v/>
      </c>
      <c r="K64" s="144">
        <f>IFERROR(INDEX('T12 Raw Data'!O:O,MATCH("Other / miscellaneous",'T12 Raw Data'!B:B,0)),0)</f>
        <v/>
      </c>
      <c r="L64" s="144">
        <f>IFERROR(INDEX('T12 Raw Data'!P:P,MATCH("Other / miscellaneous",'T12 Raw Data'!B:B,0)),0)</f>
        <v/>
      </c>
      <c r="M64" s="144">
        <f>IFERROR(INDEX('T12 Raw Data'!Q:Q,MATCH("Other / miscellaneous",'T12 Raw Data'!B:B,0)),0)</f>
        <v/>
      </c>
      <c r="N64" s="145">
        <f>SUM(B64:M64)</f>
        <v/>
      </c>
    </row>
    <row r="65" ht="15.75" customHeight="1" s="199">
      <c r="A65" s="83" t="inlineStr">
        <is>
          <t>Lease / ground lease</t>
        </is>
      </c>
      <c r="B65" s="144">
        <f>IFERROR(INDEX('T12 Raw Data'!F:F,MATCH("Lease / ground lease",'T12 Raw Data'!B:B,0)),0)</f>
        <v/>
      </c>
      <c r="C65" s="144">
        <f>IFERROR(INDEX('T12 Raw Data'!G:G,MATCH("Lease / ground lease",'T12 Raw Data'!B:B,0)),0)</f>
        <v/>
      </c>
      <c r="D65" s="144">
        <f>IFERROR(INDEX('T12 Raw Data'!H:H,MATCH("Lease / ground lease",'T12 Raw Data'!B:B,0)),0)</f>
        <v/>
      </c>
      <c r="E65" s="144">
        <f>IFERROR(INDEX('T12 Raw Data'!I:I,MATCH("Lease / ground lease",'T12 Raw Data'!B:B,0)),0)</f>
        <v/>
      </c>
      <c r="F65" s="144">
        <f>IFERROR(INDEX('T12 Raw Data'!J:J,MATCH("Lease / ground lease",'T12 Raw Data'!B:B,0)),0)</f>
        <v/>
      </c>
      <c r="G65" s="144">
        <f>IFERROR(INDEX('T12 Raw Data'!K:K,MATCH("Lease / ground lease",'T12 Raw Data'!B:B,0)),0)</f>
        <v/>
      </c>
      <c r="H65" s="144">
        <f>IFERROR(INDEX('T12 Raw Data'!L:L,MATCH("Lease / ground lease",'T12 Raw Data'!B:B,0)),0)</f>
        <v/>
      </c>
      <c r="I65" s="144">
        <f>IFERROR(INDEX('T12 Raw Data'!M:M,MATCH("Lease / ground lease",'T12 Raw Data'!B:B,0)),0)</f>
        <v/>
      </c>
      <c r="J65" s="144">
        <f>IFERROR(INDEX('T12 Raw Data'!N:N,MATCH("Lease / ground lease",'T12 Raw Data'!B:B,0)),0)</f>
        <v/>
      </c>
      <c r="K65" s="144">
        <f>IFERROR(INDEX('T12 Raw Data'!O:O,MATCH("Lease / ground lease",'T12 Raw Data'!B:B,0)),0)</f>
        <v/>
      </c>
      <c r="L65" s="144">
        <f>IFERROR(INDEX('T12 Raw Data'!P:P,MATCH("Lease / ground lease",'T12 Raw Data'!B:B,0)),0)</f>
        <v/>
      </c>
      <c r="M65" s="144">
        <f>IFERROR(INDEX('T12 Raw Data'!Q:Q,MATCH("Lease / ground lease",'T12 Raw Data'!B:B,0)),0)</f>
        <v/>
      </c>
      <c r="N65" s="145">
        <f>SUM(B65:M65)</f>
        <v/>
      </c>
    </row>
    <row r="66" ht="15.75" customHeight="1" s="199">
      <c r="A66" s="146" t="inlineStr">
        <is>
          <t>Total non-labor opex</t>
        </is>
      </c>
      <c r="B66" s="147">
        <f>B41+B42+B43+B44+B45+B46+B47+B48+B49+B50+B51+B52+B53+B54+B55+B56+B57+B58+B59+B60+B61+B62+B63+B64+B65</f>
        <v/>
      </c>
      <c r="C66" s="147">
        <f>C41+C42+C43+C44+C45+C46+C47+C48+C49+C50+C51+C52+C53+C54+C55+C56+C57+C58+C59+C60+C61+C62+C63+C64+C65</f>
        <v/>
      </c>
      <c r="D66" s="147">
        <f>D41+D42+D43+D44+D45+D46+D47+D48+D49+D50+D51+D52+D53+D54+D55+D56+D57+D58+D59+D60+D61+D62+D63+D64+D65</f>
        <v/>
      </c>
      <c r="E66" s="147">
        <f>E41+E42+E43+E44+E45+E46+E47+E48+E49+E50+E51+E52+E53+E54+E55+E56+E57+E58+E59+E60+E61+E62+E63+E64+E65</f>
        <v/>
      </c>
      <c r="F66" s="147">
        <f>F41+F42+F43+F44+F45+F46+F47+F48+F49+F50+F51+F52+F53+F54+F55+F56+F57+F58+F59+F60+F61+F62+F63+F64+F65</f>
        <v/>
      </c>
      <c r="G66" s="147">
        <f>G41+G42+G43+G44+G45+G46+G47+G48+G49+G50+G51+G52+G53+G54+G55+G56+G57+G58+G59+G60+G61+G62+G63+G64+G65</f>
        <v/>
      </c>
      <c r="H66" s="147">
        <f>H41+H42+H43+H44+H45+H46+H47+H48+H49+H50+H51+H52+H53+H54+H55+H56+H57+H58+H59+H60+H61+H62+H63+H64+H65</f>
        <v/>
      </c>
      <c r="I66" s="147">
        <f>I41+I42+I43+I44+I45+I46+I47+I48+I49+I50+I51+I52+I53+I54+I55+I56+I57+I58+I59+I60+I61+I62+I63+I64+I65</f>
        <v/>
      </c>
      <c r="J66" s="147">
        <f>J41+J42+J43+J44+J45+J46+J47+J48+J49+J50+J51+J52+J53+J54+J55+J56+J57+J58+J59+J60+J61+J62+J63+J64+J65</f>
        <v/>
      </c>
      <c r="K66" s="147">
        <f>K41+K42+K43+K44+K45+K46+K47+K48+K49+K50+K51+K52+K53+K54+K55+K56+K57+K58+K59+K60+K61+K62+K63+K64+K65</f>
        <v/>
      </c>
      <c r="L66" s="147">
        <f>L41+L42+L43+L44+L45+L46+L47+L48+L49+L50+L51+L52+L53+L54+L55+L56+L57+L58+L59+L60+L61+L62+L63+L64+L65</f>
        <v/>
      </c>
      <c r="M66" s="147">
        <f>M41+M42+M43+M44+M45+M46+M47+M48+M49+M50+M51+M52+M53+M54+M55+M56+M57+M58+M59+M60+M61+M62+M63+M64+M65</f>
        <v/>
      </c>
      <c r="N66" s="147">
        <f>N41+N42+N43+N44+N45+N46+N47+N48+N49+N50+N51+N52+N53+N54+N55+N56+N57+N58+N59+N60+N61+N62+N63+N64+N65</f>
        <v/>
      </c>
    </row>
    <row r="67" ht="15.75" customHeight="1" s="199">
      <c r="A67" s="151" t="inlineStr">
        <is>
          <t>TOTAL OPEX  (excl. mgmt)</t>
        </is>
      </c>
      <c r="B67" s="30">
        <f>B39+B66</f>
        <v/>
      </c>
      <c r="C67" s="30">
        <f>C39+C66</f>
        <v/>
      </c>
      <c r="D67" s="30">
        <f>D39+D66</f>
        <v/>
      </c>
      <c r="E67" s="30">
        <f>E39+E66</f>
        <v/>
      </c>
      <c r="F67" s="30">
        <f>F39+F66</f>
        <v/>
      </c>
      <c r="G67" s="30">
        <f>G39+G66</f>
        <v/>
      </c>
      <c r="H67" s="30">
        <f>H39+H66</f>
        <v/>
      </c>
      <c r="I67" s="30">
        <f>I39+I66</f>
        <v/>
      </c>
      <c r="J67" s="30">
        <f>J39+J66</f>
        <v/>
      </c>
      <c r="K67" s="30">
        <f>K39+K66</f>
        <v/>
      </c>
      <c r="L67" s="30">
        <f>L39+L66</f>
        <v/>
      </c>
      <c r="M67" s="30">
        <f>M39+M66</f>
        <v/>
      </c>
      <c r="N67" s="30">
        <f>N39+N66</f>
        <v/>
      </c>
    </row>
    <row r="68" ht="15.75" customHeight="1" s="199">
      <c r="A68" s="83" t="inlineStr">
        <is>
          <t>Management fee</t>
        </is>
      </c>
      <c r="B68" s="144">
        <f>IFERROR(INDEX('T12 Raw Data'!F:F,MATCH("Management fee",'T12 Raw Data'!B:B,0)),0)</f>
        <v/>
      </c>
      <c r="C68" s="144">
        <f>IFERROR(INDEX('T12 Raw Data'!G:G,MATCH("Management fee",'T12 Raw Data'!B:B,0)),0)</f>
        <v/>
      </c>
      <c r="D68" s="144">
        <f>IFERROR(INDEX('T12 Raw Data'!H:H,MATCH("Management fee",'T12 Raw Data'!B:B,0)),0)</f>
        <v/>
      </c>
      <c r="E68" s="144">
        <f>IFERROR(INDEX('T12 Raw Data'!I:I,MATCH("Management fee",'T12 Raw Data'!B:B,0)),0)</f>
        <v/>
      </c>
      <c r="F68" s="144">
        <f>IFERROR(INDEX('T12 Raw Data'!J:J,MATCH("Management fee",'T12 Raw Data'!B:B,0)),0)</f>
        <v/>
      </c>
      <c r="G68" s="144">
        <f>IFERROR(INDEX('T12 Raw Data'!K:K,MATCH("Management fee",'T12 Raw Data'!B:B,0)),0)</f>
        <v/>
      </c>
      <c r="H68" s="144">
        <f>IFERROR(INDEX('T12 Raw Data'!L:L,MATCH("Management fee",'T12 Raw Data'!B:B,0)),0)</f>
        <v/>
      </c>
      <c r="I68" s="144">
        <f>IFERROR(INDEX('T12 Raw Data'!M:M,MATCH("Management fee",'T12 Raw Data'!B:B,0)),0)</f>
        <v/>
      </c>
      <c r="J68" s="144">
        <f>IFERROR(INDEX('T12 Raw Data'!N:N,MATCH("Management fee",'T12 Raw Data'!B:B,0)),0)</f>
        <v/>
      </c>
      <c r="K68" s="144">
        <f>IFERROR(INDEX('T12 Raw Data'!O:O,MATCH("Management fee",'T12 Raw Data'!B:B,0)),0)</f>
        <v/>
      </c>
      <c r="L68" s="144">
        <f>IFERROR(INDEX('T12 Raw Data'!P:P,MATCH("Management fee",'T12 Raw Data'!B:B,0)),0)</f>
        <v/>
      </c>
      <c r="M68" s="144">
        <f>IFERROR(INDEX('T12 Raw Data'!Q:Q,MATCH("Management fee",'T12 Raw Data'!B:B,0)),0)</f>
        <v/>
      </c>
      <c r="N68" s="145">
        <f>SUM(B68:M68)</f>
        <v/>
      </c>
    </row>
    <row r="69">
      <c r="A69" s="151" t="inlineStr">
        <is>
          <t>EBITDARM</t>
        </is>
      </c>
      <c r="B69" s="30">
        <f>B21-B67</f>
        <v/>
      </c>
      <c r="C69" s="30">
        <f>C21-C67</f>
        <v/>
      </c>
      <c r="D69" s="30">
        <f>D21-D67</f>
        <v/>
      </c>
      <c r="E69" s="30">
        <f>E21-E67</f>
        <v/>
      </c>
      <c r="F69" s="30">
        <f>F21-F67</f>
        <v/>
      </c>
      <c r="G69" s="30">
        <f>G21-G67</f>
        <v/>
      </c>
      <c r="H69" s="30">
        <f>H21-H67</f>
        <v/>
      </c>
      <c r="I69" s="30">
        <f>I21-I67</f>
        <v/>
      </c>
      <c r="J69" s="30">
        <f>J21-J67</f>
        <v/>
      </c>
      <c r="K69" s="30">
        <f>K21-K67</f>
        <v/>
      </c>
      <c r="L69" s="30">
        <f>L21-L67</f>
        <v/>
      </c>
      <c r="M69" s="30">
        <f>M21-M67</f>
        <v/>
      </c>
      <c r="N69" s="30">
        <f>N21-N67</f>
        <v/>
      </c>
    </row>
    <row r="70">
      <c r="A70" s="151" t="inlineStr">
        <is>
          <t>EBITDAR</t>
        </is>
      </c>
      <c r="B70" s="30">
        <f>B69-B68</f>
        <v/>
      </c>
      <c r="C70" s="30">
        <f>C69-C68</f>
        <v/>
      </c>
      <c r="D70" s="30">
        <f>D69-D68</f>
        <v/>
      </c>
      <c r="E70" s="30">
        <f>E69-E68</f>
        <v/>
      </c>
      <c r="F70" s="30">
        <f>F69-F68</f>
        <v/>
      </c>
      <c r="G70" s="30">
        <f>G69-G68</f>
        <v/>
      </c>
      <c r="H70" s="30">
        <f>H69-H68</f>
        <v/>
      </c>
      <c r="I70" s="30">
        <f>I69-I68</f>
        <v/>
      </c>
      <c r="J70" s="30">
        <f>J69-J68</f>
        <v/>
      </c>
      <c r="K70" s="30">
        <f>K69-K68</f>
        <v/>
      </c>
      <c r="L70" s="30">
        <f>L69-L68</f>
        <v/>
      </c>
      <c r="M70" s="30">
        <f>M69-M68</f>
        <v/>
      </c>
      <c r="N70" s="30">
        <f>N69-N68</f>
        <v/>
      </c>
    </row>
  </sheetData>
  <mergeCells count="4">
    <mergeCell ref="A40:N40"/>
    <mergeCell ref="A4:N4"/>
    <mergeCell ref="A22:N22"/>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v0.1.11</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v0.1.11</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414"/>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v0.1.11</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v0.1.11</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v0.1.11</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v0.1.11</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2026-05-12T21:36:12Z</dcterms:modified>
  <cp:lastModifiedBy>Erik J</cp:lastModifiedBy>
  <cp:revision>0</cp:revision>
</cp:coreProperties>
</file>