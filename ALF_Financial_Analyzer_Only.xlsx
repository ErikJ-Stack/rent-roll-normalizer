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75" windowWidth="25590" windowHeight="20970" tabRatio="570" firstSheet="1" activeTab="6" autoFilterDateGrouping="1"/>
  </bookViews>
  <sheets>
    <sheet name="Cover" sheetId="1" state="visible" r:id="rId1"/>
    <sheet name="T12 Analytics" sheetId="2" state="visible" r:id="rId2"/>
    <sheet name="T12 Input" sheetId="3" state="visible" r:id="rId3"/>
    <sheet name="T12 Raw Data" sheetId="4" state="visible" r:id="rId4"/>
    <sheet name="Rent Roll Input" sheetId="5" state="visible" r:id="rId5"/>
    <sheet name="Rent Roll Recon" sheetId="6" state="visible" r:id="rId6"/>
    <sheet name="Monthly Trending" sheetId="7" state="visible" r:id="rId7"/>
    <sheet name="UW Output" sheetId="8" state="visible" r:id="rId8"/>
    <sheet name="Mapping Review" sheetId="9" state="visible" r:id="rId9"/>
    <sheet name="Description_Map" sheetId="10" state="visible" r:id="rId10"/>
    <sheet name="RR_Calc" sheetId="11" state="hidden" r:id="rId11"/>
    <sheet name="T12_Calc" sheetId="12" state="hidden" r:id="rId12"/>
    <sheet name="Workbook Health" sheetId="13" state="hidden" r:id="rId13"/>
  </sheets>
  <definedNames>
    <definedName name="DescMap_Description">Description_Map!$A$5:INDEX(Description_Map!$A:$A, MAX(5, COUNTA(Description_Map!$A:$A)+4))</definedName>
    <definedName name="DescMap_Label">Description_Map!$B$5:INDEX(Description_Map!$B:$B, MAX(5, COUNTA(Description_Map!$A:$A)+4))</definedName>
    <definedName name="RR_Period_Date">'Rent Roll Recon'!$B$2</definedName>
    <definedName name="T12_Period_Date">'T12 Analytics'!$E$2</definedName>
    <definedName name="RR_Input_Data">'Rent Roll Input'!$A$7:$S$606</definedName>
    <definedName name="T12_Input_Data">'T12 Input'!$A$12:$O$511</definedName>
    <definedName name="Property_Name">Cover!$B$5</definedName>
  </definedNames>
  <calcPr calcId="191029" fullCalcOnLoad="1" iterateDelta="0.0001"/>
</workbook>
</file>

<file path=xl/styles.xml><?xml version="1.0" encoding="utf-8"?>
<styleSheet xmlns="http://schemas.openxmlformats.org/spreadsheetml/2006/main">
  <numFmts count="15">
    <numFmt numFmtId="164" formatCode="mm/dd/yyyy"/>
    <numFmt numFmtId="165" formatCode="#,##0.0"/>
    <numFmt numFmtId="166" formatCode="0.0%;\(0.0%\);\-"/>
    <numFmt numFmtId="167" formatCode="\$#,##0;&quot;($&quot;#,##0\);\-"/>
    <numFmt numFmtId="168" formatCode="\$#,##0.00;&quot;($&quot;#,##0.00\);\-"/>
    <numFmt numFmtId="169" formatCode="0.00\x"/>
    <numFmt numFmtId="170" formatCode="\$#,##0.00_);[Red]&quot;($&quot;#,##0.00\)"/>
    <numFmt numFmtId="171" formatCode="\$#,##0_);[Red]&quot;($&quot;#,##0\)"/>
    <numFmt numFmtId="172" formatCode="#,##0;\(#,##0\);\-"/>
    <numFmt numFmtId="173" formatCode="mmm yyyy"/>
    <numFmt numFmtId="174" formatCode="0.0%"/>
    <numFmt numFmtId="175" formatCode="$#,##0"/>
    <numFmt numFmtId="176" formatCode="$#,##0.00"/>
    <numFmt numFmtId="177" formatCode="$#,##0;($#,##0);&quot;&quot;"/>
    <numFmt numFmtId="178" formatCode="0.0%;(0.0%);&quot;&quot;"/>
  </numFmts>
  <fonts count="50">
    <font>
      <name val="Calibri"/>
      <charset val="1"/>
      <family val="2"/>
      <color theme="1"/>
      <sz val="11"/>
    </font>
    <font>
      <name val="Arial"/>
      <charset val="1"/>
      <b val="1"/>
      <color rgb="FFFFFFFF"/>
      <sz val="14"/>
    </font>
    <font>
      <name val="Arial"/>
      <charset val="1"/>
      <b val="1"/>
      <sz val="10"/>
    </font>
    <font>
      <name val="Arial"/>
      <charset val="1"/>
      <color rgb="FF0000FF"/>
      <sz val="10"/>
    </font>
    <font>
      <name val="Arial"/>
      <charset val="1"/>
      <b val="1"/>
      <color rgb="FFFFFFFF"/>
      <sz val="10"/>
    </font>
    <font>
      <name val="Arial"/>
      <charset val="1"/>
      <b val="1"/>
      <color rgb="FFFFFFFF"/>
      <sz val="9"/>
    </font>
    <font>
      <name val="Arial"/>
      <charset val="1"/>
      <color rgb="FF000000"/>
      <sz val="10"/>
    </font>
    <font>
      <name val="Arial"/>
      <charset val="1"/>
      <color rgb="FF595959"/>
      <sz val="10"/>
    </font>
    <font>
      <name val="Arial"/>
      <charset val="1"/>
      <i val="1"/>
      <color rgb="FF595959"/>
      <sz val="9"/>
    </font>
    <font>
      <name val="Arial"/>
      <charset val="1"/>
      <i val="1"/>
      <color rgb="FF7F6000"/>
      <sz val="9"/>
    </font>
    <font>
      <name val="Arial"/>
      <charset val="1"/>
      <b val="1"/>
      <color rgb="FF595959"/>
      <sz val="9"/>
    </font>
    <font>
      <name val="Arial"/>
      <charset val="1"/>
      <b val="1"/>
      <color rgb="FF1F3864"/>
      <sz val="10"/>
    </font>
    <font>
      <name val="Arial"/>
      <charset val="1"/>
      <color rgb="FF7F4F00"/>
      <sz val="10"/>
    </font>
    <font>
      <name val="Arial"/>
      <charset val="1"/>
      <i val="1"/>
      <color rgb="FF7F4F00"/>
      <sz val="9"/>
    </font>
    <font>
      <name val="Arial"/>
      <charset val="1"/>
      <b val="1"/>
      <color rgb="FFFFFFFF"/>
      <sz val="11"/>
    </font>
    <font>
      <name val="Arial"/>
      <charset val="1"/>
      <b val="1"/>
      <i val="1"/>
      <color rgb="FFFFFFFF"/>
      <sz val="9"/>
    </font>
    <font>
      <name val="Arial"/>
      <charset val="1"/>
      <b val="1"/>
      <color rgb="FF1B5E20"/>
      <sz val="11"/>
    </font>
    <font>
      <name val="Arial"/>
      <charset val="1"/>
      <b val="1"/>
      <color rgb="FF444441"/>
      <sz val="11"/>
    </font>
    <font>
      <name val="Arial"/>
      <charset val="1"/>
      <i val="1"/>
      <color rgb="FF595959"/>
      <sz val="10"/>
    </font>
    <font>
      <name val="Arial"/>
      <charset val="1"/>
      <b val="1"/>
      <color rgb="FF000000"/>
      <sz val="10"/>
    </font>
    <font>
      <name val="Arial"/>
      <charset val="1"/>
      <b val="1"/>
      <color rgb="FFFFFFFF"/>
      <sz val="13"/>
    </font>
    <font>
      <name val="Arial"/>
      <charset val="1"/>
      <color rgb="FF7F6000"/>
      <sz val="10"/>
    </font>
    <font>
      <name val="Arial"/>
      <charset val="1"/>
      <sz val="10"/>
    </font>
    <font>
      <name val="Arial"/>
      <charset val="1"/>
      <b val="1"/>
      <color rgb="FFFFFFFF"/>
      <sz val="12"/>
    </font>
    <font>
      <name val="Arial"/>
      <charset val="1"/>
      <color rgb="FF595959"/>
      <sz val="9"/>
    </font>
    <font>
      <name val="Arial"/>
      <charset val="1"/>
      <color rgb="FF595959"/>
      <sz val="8"/>
    </font>
    <font>
      <name val="Arial"/>
      <charset val="1"/>
      <b val="1"/>
      <color rgb="FF595959"/>
      <sz val="10"/>
    </font>
    <font>
      <name val="Arial"/>
      <charset val="1"/>
      <b val="1"/>
      <color rgb="FF7F4F00"/>
      <sz val="10"/>
    </font>
    <font>
      <name val="Arial"/>
      <charset val="1"/>
      <b val="1"/>
      <color rgb="FFFFFFFF"/>
      <sz val="8"/>
    </font>
    <font>
      <name val="Arial"/>
      <charset val="1"/>
      <i val="1"/>
      <color rgb="FF7F4F00"/>
      <sz val="8"/>
    </font>
    <font>
      <name val="Arial"/>
      <charset val="1"/>
      <color rgb="FF0000FF"/>
      <sz val="9"/>
    </font>
    <font>
      <name val="Arial"/>
      <charset val="1"/>
      <b val="1"/>
      <sz val="11"/>
    </font>
    <font>
      <name val="Arial"/>
      <charset val="1"/>
      <b val="1"/>
      <color rgb="FF0000FF"/>
      <sz val="11"/>
    </font>
    <font>
      <name val="Arial"/>
      <charset val="1"/>
      <b val="1"/>
      <color rgb="FF1B5E20"/>
      <sz val="10"/>
    </font>
    <font>
      <name val="Arial"/>
      <charset val="1"/>
      <color rgb="FF000000"/>
      <sz val="9"/>
    </font>
    <font>
      <name val="Arial"/>
      <charset val="1"/>
      <sz val="9"/>
    </font>
    <font>
      <name val="Arial"/>
      <b val="1"/>
      <color rgb="FFFFFFFF"/>
      <sz val="10"/>
    </font>
    <font>
      <name val="Arial"/>
      <b val="1"/>
      <sz val="18"/>
    </font>
    <font>
      <name val="Arial"/>
      <i val="1"/>
      <sz val="10"/>
    </font>
    <font>
      <name val="Arial"/>
      <b val="1"/>
      <sz val="14"/>
    </font>
    <font>
      <i val="1"/>
      <sz val="9"/>
    </font>
    <font>
      <b val="1"/>
    </font>
    <font>
      <name val="Arial"/>
      <b val="1"/>
      <sz val="10"/>
    </font>
    <font>
      <name val="Arial"/>
      <i val="1"/>
      <color rgb="FF808080"/>
      <sz val="9"/>
    </font>
    <font>
      <name val="Arial"/>
      <sz val="10"/>
    </font>
    <font>
      <name val="Calibri"/>
      <b val="1"/>
      <color rgb="FFFFFFFF"/>
      <sz val="11"/>
    </font>
    <font>
      <name val="Calibri"/>
      <b val="1"/>
      <color rgb="FFFFFFFF"/>
      <sz val="10"/>
    </font>
    <font>
      <name val="Calibri"/>
      <b val="1"/>
      <color rgb="FF1F1F1F"/>
      <sz val="10"/>
    </font>
    <font>
      <name val="Calibri"/>
      <color rgb="FF1F1F1F"/>
      <sz val="10"/>
    </font>
    <font>
      <name val="Calibri"/>
      <i val="1"/>
      <color rgb="FF7F7F7F"/>
      <sz val="9"/>
    </font>
  </fonts>
  <fills count="22">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
      <patternFill patternType="solid">
        <fgColor rgb="FF305496"/>
      </patternFill>
    </fill>
    <fill>
      <patternFill patternType="solid">
        <fgColor rgb="FFF2F2F2"/>
      </patternFill>
    </fill>
    <fill>
      <patternFill patternType="solid">
        <fgColor rgb="FFFFF2CC"/>
      </patternFill>
    </fill>
    <fill>
      <patternFill patternType="solid">
        <fgColor rgb="FFE2EFDA"/>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240">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164" fontId="3" fillId="3" borderId="1"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5" fontId="7" fillId="5" borderId="1" applyAlignment="1" pivotButton="0" quotePrefix="0" xfId="0">
      <alignment horizontal="center" vertical="center"/>
    </xf>
    <xf numFmtId="0" fontId="9" fillId="0" borderId="1" applyAlignment="1" pivotButton="0" quotePrefix="0" xfId="0">
      <alignment horizontal="left" vertical="center" wrapText="1" indent="1"/>
    </xf>
    <xf numFmtId="166" fontId="7" fillId="0" borderId="1" applyAlignment="1" pivotButton="0" quotePrefix="0" xfId="0">
      <alignment horizontal="center" vertical="center"/>
    </xf>
    <xf numFmtId="166" fontId="7" fillId="5" borderId="1" applyAlignment="1" pivotButton="0" quotePrefix="0" xfId="0">
      <alignment horizontal="center" vertical="center"/>
    </xf>
    <xf numFmtId="0" fontId="0" fillId="0" borderId="0" applyAlignment="1" pivotButton="0" quotePrefix="0" xfId="0">
      <alignment horizontal="center"/>
    </xf>
    <xf numFmtId="166" fontId="3" fillId="3" borderId="1" applyAlignment="1" pivotButton="0" quotePrefix="0" xfId="0">
      <alignment horizontal="center" vertical="center"/>
    </xf>
    <xf numFmtId="165" fontId="7" fillId="0" borderId="1" applyAlignment="1" pivotButton="0" quotePrefix="0" xfId="0">
      <alignment horizontal="center" vertical="center"/>
    </xf>
    <xf numFmtId="0" fontId="5" fillId="6" borderId="1" applyAlignment="1" pivotButton="0" quotePrefix="0" xfId="0">
      <alignment horizontal="center" vertical="center" wrapText="1"/>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168" fontId="3" fillId="3" borderId="1" applyAlignment="1" pivotButton="0" quotePrefix="0" xfId="0">
      <alignment horizontal="right" vertical="center"/>
    </xf>
    <xf numFmtId="0" fontId="11" fillId="8" borderId="1" applyAlignment="1" pivotButton="0" quotePrefix="0" xfId="0">
      <alignment horizontal="left" vertical="center" indent="2"/>
    </xf>
    <xf numFmtId="167" fontId="11" fillId="8" borderId="1" applyAlignment="1" pivotButton="0" quotePrefix="0" xfId="0">
      <alignment horizontal="right" vertical="center"/>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7"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6" fontId="12" fillId="10" borderId="1" applyAlignment="1" pivotButton="0" quotePrefix="0" xfId="0">
      <alignment horizontal="right" vertical="center"/>
    </xf>
    <xf numFmtId="167"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7" fontId="14" fillId="4" borderId="1" applyAlignment="1" pivotButton="0" quotePrefix="0" xfId="0">
      <alignment horizontal="right" vertical="center"/>
    </xf>
    <xf numFmtId="0" fontId="5" fillId="4" borderId="1" pivotButton="0" quotePrefix="0" xfId="0"/>
    <xf numFmtId="0" fontId="0" fillId="10" borderId="1" pivotButton="0" quotePrefix="0" xfId="0"/>
    <xf numFmtId="167"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7" fontId="4" fillId="9" borderId="1" applyAlignment="1" pivotButton="0" quotePrefix="0" xfId="0">
      <alignment horizontal="right" vertical="center"/>
    </xf>
    <xf numFmtId="49" fontId="15" fillId="9" borderId="1" applyAlignment="1" pivotButton="0" quotePrefix="0" xfId="0">
      <alignment horizontal="left" vertical="center" indent="1"/>
    </xf>
    <xf numFmtId="167" fontId="3" fillId="10" borderId="1" applyAlignment="1" pivotButton="0" quotePrefix="0" xfId="0">
      <alignment horizontal="right" vertical="center"/>
    </xf>
    <xf numFmtId="167"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7" fontId="16" fillId="11" borderId="1" applyAlignment="1" pivotButton="0" quotePrefix="0" xfId="0">
      <alignment horizontal="right" vertical="center"/>
    </xf>
    <xf numFmtId="167" fontId="16" fillId="11" borderId="1" applyAlignment="1" pivotButton="0" quotePrefix="0" xfId="0">
      <alignment horizontal="left" vertical="center" indent="1"/>
    </xf>
    <xf numFmtId="0" fontId="17" fillId="12" borderId="1" applyAlignment="1" pivotButton="0" quotePrefix="0" xfId="0">
      <alignment horizontal="left" vertical="center" indent="1"/>
    </xf>
    <xf numFmtId="167" fontId="17" fillId="12" borderId="1" applyAlignment="1" pivotButton="0" quotePrefix="0" xfId="0">
      <alignment horizontal="right" vertical="center"/>
    </xf>
    <xf numFmtId="167" fontId="17" fillId="12" borderId="1" applyAlignment="1" pivotButton="0" quotePrefix="0" xfId="0">
      <alignment horizontal="left" vertical="center" indent="1"/>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7" fontId="16" fillId="13" borderId="1" applyAlignment="1" pivotButton="0" quotePrefix="0" xfId="0">
      <alignment horizontal="right" vertical="center"/>
    </xf>
    <xf numFmtId="167"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6" fontId="3" fillId="3" borderId="1" applyAlignment="1" pivotButton="0" quotePrefix="0" xfId="0">
      <alignment horizontal="right" vertical="center"/>
    </xf>
    <xf numFmtId="169" fontId="7" fillId="0" borderId="1" applyAlignment="1" pivotButton="0" quotePrefix="0" xfId="0">
      <alignment horizontal="right" vertical="center"/>
    </xf>
    <xf numFmtId="169"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6" fontId="7" fillId="14" borderId="1" applyAlignment="1" pivotButton="0" quotePrefix="0" xfId="0">
      <alignment horizontal="right" vertical="center"/>
    </xf>
    <xf numFmtId="0" fontId="8" fillId="14" borderId="1" applyAlignment="1" pivotButton="0" quotePrefix="0" xfId="0">
      <alignment horizontal="left" vertical="center" wrapText="1" indent="1"/>
    </xf>
    <xf numFmtId="0" fontId="7" fillId="14" borderId="1" applyAlignment="1" pivotButton="0" quotePrefix="0" xfId="0">
      <alignment horizontal="left" vertical="center" indent="1"/>
    </xf>
    <xf numFmtId="168" fontId="7" fillId="14" borderId="1" applyAlignment="1" pivotButton="0" quotePrefix="0" xfId="0">
      <alignment horizontal="right" vertical="center"/>
    </xf>
    <xf numFmtId="167"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70"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7"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7"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1"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8" fontId="30" fillId="3" borderId="1" applyAlignment="1" pivotButton="0" quotePrefix="0" xfId="0">
      <alignment horizontal="right" vertical="center"/>
    </xf>
    <xf numFmtId="164" fontId="30" fillId="3" borderId="1" applyAlignment="1" pivotButton="0" quotePrefix="0" xfId="0">
      <alignment horizontal="left" vertical="center"/>
    </xf>
    <xf numFmtId="168" fontId="24" fillId="5" borderId="1" applyAlignment="1" pivotButton="0" quotePrefix="0" xfId="0">
      <alignment horizontal="right" vertical="center"/>
    </xf>
    <xf numFmtId="0" fontId="31" fillId="0" borderId="1" applyAlignment="1" pivotButton="0" quotePrefix="0" xfId="0">
      <alignment horizontal="left" vertical="center" indent="1"/>
    </xf>
    <xf numFmtId="164"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8" fillId="0" borderId="1" applyAlignment="1" pivotButton="0" quotePrefix="0" xfId="0">
      <alignment horizontal="left" vertical="center" indent="1"/>
    </xf>
    <xf numFmtId="167" fontId="22" fillId="0" borderId="1" applyAlignment="1" pivotButton="0" quotePrefix="0" xfId="0">
      <alignment horizontal="right" vertical="center"/>
    </xf>
    <xf numFmtId="167" fontId="2" fillId="5" borderId="1" applyAlignment="1" pivotButton="0" quotePrefix="0" xfId="0">
      <alignment horizontal="right" vertical="center"/>
    </xf>
    <xf numFmtId="0" fontId="13" fillId="10" borderId="1" applyAlignment="1" pivotButton="0" quotePrefix="0" xfId="0">
      <alignment horizontal="left" vertical="center" indent="1"/>
    </xf>
    <xf numFmtId="167" fontId="22" fillId="10" borderId="1" applyAlignment="1" pivotButton="0" quotePrefix="0" xfId="0">
      <alignment horizontal="right" vertical="center"/>
    </xf>
    <xf numFmtId="167" fontId="2" fillId="10" borderId="1" applyAlignment="1" pivotButton="0" quotePrefix="0" xfId="0">
      <alignment horizontal="right" vertical="center"/>
    </xf>
    <xf numFmtId="167" fontId="27" fillId="10" borderId="1" applyAlignment="1" pivotButton="0" quotePrefix="0" xfId="0">
      <alignment horizontal="right" vertical="center"/>
    </xf>
    <xf numFmtId="168" fontId="22" fillId="0" borderId="1" applyAlignment="1" pivotButton="0" quotePrefix="0" xfId="0">
      <alignment horizontal="right" vertical="center"/>
    </xf>
    <xf numFmtId="0" fontId="2" fillId="5" borderId="1" applyAlignment="1" pivotButton="0" quotePrefix="0" xfId="0">
      <alignment horizontal="right" vertical="center"/>
    </xf>
    <xf numFmtId="168"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6" fontId="22" fillId="5" borderId="1" applyAlignment="1" pivotButton="0" quotePrefix="0" xfId="0">
      <alignment horizontal="right" vertical="center"/>
    </xf>
    <xf numFmtId="167" fontId="22" fillId="5" borderId="1" applyAlignment="1" pivotButton="0" quotePrefix="0" xfId="0">
      <alignment horizontal="right" vertical="center"/>
    </xf>
    <xf numFmtId="172" fontId="11" fillId="8" borderId="1" applyAlignment="1" pivotButton="0" quotePrefix="0" xfId="0">
      <alignment horizontal="right" vertical="center"/>
    </xf>
    <xf numFmtId="166" fontId="11" fillId="8" borderId="1" applyAlignment="1" pivotButton="0" quotePrefix="0" xfId="0">
      <alignment horizontal="right" vertical="center"/>
    </xf>
    <xf numFmtId="168" fontId="22" fillId="5" borderId="1" applyAlignment="1" pivotButton="0" quotePrefix="0" xfId="0">
      <alignment horizontal="right" vertical="center"/>
    </xf>
    <xf numFmtId="168"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7"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7" fontId="6" fillId="0" borderId="1" applyAlignment="1" pivotButton="0" quotePrefix="0" xfId="0">
      <alignment horizontal="right" vertical="center"/>
    </xf>
    <xf numFmtId="167" fontId="6" fillId="5" borderId="1" applyAlignment="1" pivotButton="0" quotePrefix="0" xfId="0">
      <alignment horizontal="right" vertical="center"/>
    </xf>
    <xf numFmtId="0" fontId="19" fillId="5" borderId="1" applyAlignment="1" pivotButton="0" quotePrefix="0" xfId="0">
      <alignment horizontal="left" vertical="center"/>
    </xf>
    <xf numFmtId="167" fontId="19" fillId="5" borderId="1" applyAlignment="1" pivotButton="0" quotePrefix="0" xfId="0">
      <alignment horizontal="right" vertical="center"/>
    </xf>
    <xf numFmtId="0" fontId="18" fillId="0" borderId="1" applyAlignment="1" pivotButton="0" quotePrefix="0" xfId="0">
      <alignment horizontal="left" vertical="center"/>
    </xf>
    <xf numFmtId="167" fontId="18" fillId="0" borderId="1" applyAlignment="1" pivotButton="0" quotePrefix="0" xfId="0">
      <alignment horizontal="right" vertical="center"/>
    </xf>
    <xf numFmtId="167"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6"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7" fontId="33" fillId="11" borderId="1" applyAlignment="1" pivotButton="0" quotePrefix="0" xfId="0">
      <alignment horizontal="right" vertical="center"/>
    </xf>
    <xf numFmtId="0" fontId="8" fillId="11" borderId="1" pivotButton="0" quotePrefix="0" xfId="0"/>
    <xf numFmtId="165"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64"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4" fillId="4" borderId="0" applyAlignment="1" pivotButton="0" quotePrefix="0" xfId="0">
      <alignment horizontal="left" vertical="center" indent="1"/>
    </xf>
    <xf numFmtId="0" fontId="0" fillId="0" borderId="0" pivotButton="0" quotePrefix="0" xfId="0"/>
    <xf numFmtId="0" fontId="1" fillId="2" borderId="0" applyAlignment="1" pivotButton="0" quotePrefix="0" xfId="0">
      <alignment horizontal="left" vertical="center" indent="1"/>
    </xf>
    <xf numFmtId="0" fontId="6" fillId="0" borderId="1" applyAlignment="1" pivotButton="0" quotePrefix="0" xfId="0">
      <alignment horizontal="left" vertical="center" indent="2"/>
    </xf>
    <xf numFmtId="0" fontId="0" fillId="0" borderId="3" pivotButton="0" quotePrefix="0" xfId="0"/>
    <xf numFmtId="0" fontId="0" fillId="0" borderId="4" pivotButton="0" quotePrefix="0" xfId="0"/>
    <xf numFmtId="0" fontId="12" fillId="10" borderId="1" applyAlignment="1" pivotButton="0" quotePrefix="0" xfId="0">
      <alignment horizontal="left" vertical="center" indent="2"/>
    </xf>
    <xf numFmtId="0" fontId="10" fillId="7" borderId="0" applyAlignment="1" pivotButton="0" quotePrefix="0" xfId="0">
      <alignment horizontal="left" vertical="center" indent="1"/>
    </xf>
    <xf numFmtId="0" fontId="4" fillId="9" borderId="0" applyAlignment="1" pivotButton="0" quotePrefix="0" xfId="0">
      <alignment horizontal="left" vertical="center" indent="1"/>
    </xf>
    <xf numFmtId="0" fontId="11" fillId="8" borderId="1" applyAlignment="1" pivotButton="0" quotePrefix="0" xfId="0">
      <alignment horizontal="left" vertical="center" indent="1"/>
    </xf>
    <xf numFmtId="0" fontId="21" fillId="0" borderId="0" applyAlignment="1" pivotButton="0" quotePrefix="0" xfId="0">
      <alignment horizontal="left" vertical="center" indent="2"/>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20" fillId="2"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9" fillId="0" borderId="0" pivotButton="0" quotePrefix="0" xfId="0"/>
    <xf numFmtId="0" fontId="13" fillId="10" borderId="0" applyAlignment="1" pivotButton="0" quotePrefix="0" xfId="0">
      <alignment horizontal="left" vertical="center" wrapText="1"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22" fillId="0" borderId="1" applyAlignment="1" pivotButton="0" quotePrefix="0" xfId="0">
      <alignment vertical="center"/>
    </xf>
    <xf numFmtId="0" fontId="0" fillId="0" borderId="3" pivotButton="0" quotePrefix="0" xfId="0"/>
    <xf numFmtId="0" fontId="0" fillId="0" borderId="4" pivotButton="0" quotePrefix="0" xfId="0"/>
    <xf numFmtId="0" fontId="4" fillId="9" borderId="0" applyAlignment="1" pivotButton="0" quotePrefix="0" xfId="0">
      <alignment vertical="center"/>
    </xf>
    <xf numFmtId="0" fontId="0" fillId="0" borderId="0" pivotButton="0" quotePrefix="0" xfId="0"/>
    <xf numFmtId="0" fontId="0" fillId="0" borderId="1" pivotButton="0" quotePrefix="0" xfId="0"/>
    <xf numFmtId="0" fontId="4" fillId="4" borderId="5" applyAlignment="1" pivotButton="0" quotePrefix="0" xfId="0">
      <alignment vertical="center"/>
    </xf>
    <xf numFmtId="0" fontId="0" fillId="0" borderId="5" pivotButton="0" quotePrefix="0" xfId="0"/>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44" fillId="0" borderId="0" applyAlignment="1" pivotButton="0" quotePrefix="0" xfId="0">
      <alignment horizontal="left" vertical="top" wrapText="1"/>
    </xf>
    <xf numFmtId="0" fontId="43" fillId="0" borderId="0" pivotButton="0" quotePrefix="0" xfId="0"/>
    <xf numFmtId="0" fontId="36" fillId="16" borderId="0" applyAlignment="1" pivotButton="0" quotePrefix="0" xfId="0">
      <alignment horizontal="center" vertical="center" wrapText="1"/>
    </xf>
    <xf numFmtId="0" fontId="42" fillId="0" borderId="0" pivotButton="0" quotePrefix="0" xfId="0"/>
    <xf numFmtId="0" fontId="36" fillId="17" borderId="0" applyAlignment="1" pivotButton="0" quotePrefix="0" xfId="0">
      <alignment horizontal="left" vertical="center" indent="1"/>
    </xf>
    <xf numFmtId="0" fontId="44"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xf numFmtId="0" fontId="45" fillId="16" borderId="0" applyAlignment="1" pivotButton="0" quotePrefix="0" xfId="0">
      <alignment horizontal="left" vertical="center" wrapText="1"/>
    </xf>
    <xf numFmtId="0" fontId="46" fillId="18" borderId="0" applyAlignment="1" pivotButton="0" quotePrefix="0" xfId="0">
      <alignment horizontal="left" vertical="center" wrapText="1"/>
    </xf>
    <xf numFmtId="0" fontId="47" fillId="19" borderId="8" applyAlignment="1" pivotButton="0" quotePrefix="0" xfId="0">
      <alignment horizontal="center" vertical="center" wrapText="1"/>
    </xf>
    <xf numFmtId="0" fontId="48" fillId="20" borderId="8" applyAlignment="1" pivotButton="0" quotePrefix="0" xfId="0">
      <alignment horizontal="left" vertical="center" wrapText="1"/>
    </xf>
    <xf numFmtId="176" fontId="48" fillId="20" borderId="8" applyAlignment="1" pivotButton="0" quotePrefix="0" xfId="0">
      <alignment horizontal="left" vertical="center" wrapText="1"/>
    </xf>
    <xf numFmtId="0" fontId="48" fillId="21" borderId="8" applyAlignment="1" pivotButton="0" quotePrefix="0" xfId="0">
      <alignment horizontal="left" vertical="center" wrapText="1"/>
    </xf>
    <xf numFmtId="0" fontId="48" fillId="21" borderId="8" applyAlignment="1" pivotButton="0" quotePrefix="0" xfId="0">
      <alignment horizontal="center" vertical="center" wrapText="1"/>
    </xf>
    <xf numFmtId="1" fontId="48" fillId="21" borderId="8" applyAlignment="1" pivotButton="0" quotePrefix="0" xfId="0">
      <alignment horizontal="left" vertical="center" wrapText="1"/>
    </xf>
    <xf numFmtId="174" fontId="48" fillId="21" borderId="8" applyAlignment="1" pivotButton="0" quotePrefix="0" xfId="0">
      <alignment horizontal="left" vertical="center" wrapText="1"/>
    </xf>
    <xf numFmtId="177" fontId="48" fillId="21" borderId="8" applyAlignment="1" pivotButton="0" quotePrefix="0" xfId="0">
      <alignment horizontal="left" vertical="center" wrapText="1"/>
    </xf>
    <xf numFmtId="178" fontId="48" fillId="21" borderId="8" applyAlignment="1" pivotButton="0" quotePrefix="0" xfId="0">
      <alignment horizontal="left" vertical="center" wrapText="1"/>
    </xf>
    <xf numFmtId="177" fontId="48" fillId="21" borderId="8" applyAlignment="1" pivotButton="0" quotePrefix="0" xfId="0">
      <alignment horizontal="right" vertical="center" wrapText="1"/>
    </xf>
    <xf numFmtId="174" fontId="48" fillId="21" borderId="8" applyAlignment="1" pivotButton="0" quotePrefix="0" xfId="0">
      <alignment horizontal="right" vertical="center" wrapText="1"/>
    </xf>
    <xf numFmtId="0" fontId="49" fillId="0" borderId="0" applyAlignment="1" pivotButton="0" quotePrefix="0" xfId="0">
      <alignment horizontal="left" vertical="center" wrapText="1"/>
    </xf>
    <xf numFmtId="0" fontId="48" fillId="20" borderId="8" applyAlignment="1" pivotButton="0" quotePrefix="0" xfId="0">
      <alignment horizontal="center" vertical="center" wrapText="1"/>
    </xf>
    <xf numFmtId="0" fontId="0" fillId="20" borderId="8"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V1 — Occupancy by Care Type (selected period)</a:t>
            </a:r>
          </a:p>
        </rich>
      </tx>
    </title>
    <plotArea>
      <barChart>
        <barDir val="col"/>
        <grouping val="stacked"/>
        <ser>
          <idx val="0"/>
          <order val="0"/>
          <tx>
            <v>Occupied</v>
          </tx>
          <spPr>
            <a:ln>
              <a:prstDash val="solid"/>
            </a:ln>
          </spPr>
          <cat>
            <numRef>
              <f>'T12 Analytics'!$B$5:$D$5</f>
            </numRef>
          </cat>
          <val>
            <numRef>
              <f>'Rent Roll Recon'!$B$8:$D$8</f>
            </numRef>
          </val>
        </ser>
        <ser>
          <idx val="1"/>
          <order val="1"/>
          <tx>
            <v>Vacant</v>
          </tx>
          <spPr>
            <a:ln>
              <a:prstDash val="solid"/>
            </a:ln>
          </spPr>
          <cat>
            <numRef>
              <f>'T12 Analytics'!$B$5:$D$5</f>
            </numRef>
          </cat>
          <val>
            <numRef>
              <f>'Rent Roll Recon'!$B$9:$D$9</f>
            </numRef>
          </val>
        </ser>
        <ser>
          <idx val="2"/>
          <order val="2"/>
          <tx>
            <v>Notice</v>
          </tx>
          <spPr>
            <a:ln>
              <a:prstDash val="solid"/>
            </a:ln>
          </spPr>
          <cat>
            <numRef>
              <f>'T12 Analytics'!$B$5:$D$5</f>
            </numRef>
          </cat>
          <val>
            <numRef>
              <f>'Rent Roll Recon'!$B$10:$D$10</f>
            </numRef>
          </val>
        </ser>
        <ser>
          <idx val="3"/>
          <order val="3"/>
          <tx>
            <v>Eviction</v>
          </tx>
          <spPr>
            <a:ln>
              <a:prstDash val="solid"/>
            </a:ln>
          </spPr>
          <cat>
            <numRef>
              <f>'T12 Analytics'!$B$5:$D$5</f>
            </numRef>
          </cat>
          <val>
            <numRef>
              <f>'Rent Roll Recon'!$B$11:$D$11</f>
            </numRef>
          </val>
        </ser>
        <gapWidth val="150"/>
        <overlap val="100"/>
        <axId val="10"/>
        <axId val="100"/>
      </barChart>
      <catAx>
        <axId val="10"/>
        <scaling>
          <orientation val="minMax"/>
        </scaling>
        <axPos val="b"/>
        <title>
          <tx>
            <rich>
              <a:bodyPr/>
              <a:p>
                <a:pPr>
                  <a:defRPr/>
                </a:pPr>
                <a:r>
                  <a:t>Care Type</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V2 — Rate Dispersion by Care Type (occupied units)</a:t>
            </a:r>
          </a:p>
        </rich>
      </tx>
    </title>
    <plotArea>
      <barChart>
        <barDir val="col"/>
        <grouping val="clustered"/>
        <ser>
          <idx val="0"/>
          <order val="0"/>
          <tx>
            <v>IL</v>
          </tx>
          <spPr>
            <a:ln>
              <a:prstDash val="solid"/>
            </a:ln>
          </spPr>
          <cat>
            <numRef>
              <f>'T12 Analytics'!$K$48:$K$52</f>
            </numRef>
          </cat>
          <val>
            <numRef>
              <f>'T12 Analytics'!$L$48:$L$52</f>
            </numRef>
          </val>
        </ser>
        <ser>
          <idx val="1"/>
          <order val="1"/>
          <tx>
            <v>AL</v>
          </tx>
          <spPr>
            <a:ln>
              <a:prstDash val="solid"/>
            </a:ln>
          </spPr>
          <cat>
            <numRef>
              <f>'T12 Analytics'!$K$48:$K$52</f>
            </numRef>
          </cat>
          <val>
            <numRef>
              <f>'T12 Analytics'!$M$48:$M$52</f>
            </numRef>
          </val>
        </ser>
        <ser>
          <idx val="2"/>
          <order val="2"/>
          <tx>
            <v>MC</v>
          </tx>
          <spPr>
            <a:ln>
              <a:prstDash val="solid"/>
            </a:ln>
          </spPr>
          <cat>
            <numRef>
              <f>'T12 Analytics'!$K$48:$K$52</f>
            </numRef>
          </cat>
          <val>
            <numRef>
              <f>'T12 Analytics'!$N$48:$N$52</f>
            </numRef>
          </val>
        </ser>
        <gapWidth val="150"/>
        <axId val="10"/>
        <axId val="100"/>
      </barChart>
      <catAx>
        <axId val="10"/>
        <scaling>
          <orientation val="minMax"/>
        </scaling>
        <axPos val="b"/>
        <title>
          <tx>
            <rich>
              <a:bodyPr/>
              <a:p>
                <a:pPr>
                  <a:defRPr/>
                </a:pPr>
                <a:r>
                  <a:t>Rate band</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V3 — Payer Mix (% of total monthly revenue)</a:t>
            </a:r>
          </a:p>
        </rich>
      </tx>
    </title>
    <plotArea>
      <doughnutChart>
        <varyColors val="1"/>
        <ser>
          <idx val="0"/>
          <order val="0"/>
          <tx>
            <v>Payer mix</v>
          </tx>
          <spPr>
            <a:ln>
              <a:prstDash val="solid"/>
            </a:ln>
          </spPr>
          <cat>
            <numRef>
              <f>'Rent Roll Recon'!$A$40:$A$46</f>
            </numRef>
          </cat>
          <val>
            <numRef>
              <f>'Rent Roll Recon'!$H$40:$H$46</f>
            </numRef>
          </val>
        </ser>
        <dLbls>
          <showPercent val="1"/>
        </dLbls>
        <firstSliceAng val="0"/>
        <holeSize val="10"/>
      </doughnutChart>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V4 — T12 Revenue Trend (12 months)</a:t>
            </a:r>
          </a:p>
        </rich>
      </tx>
    </title>
    <plotArea>
      <lineChart>
        <grouping val="standard"/>
        <ser>
          <idx val="0"/>
          <order val="0"/>
          <tx>
            <v>Total revenue (monthly)</v>
          </tx>
          <spPr>
            <a:ln>
              <a:prstDash val="solid"/>
            </a:ln>
          </spPr>
          <marker>
            <symbol val="none"/>
            <spPr>
              <a:ln>
                <a:prstDash val="solid"/>
              </a:ln>
            </spPr>
          </marker>
          <cat>
            <numRef>
              <f>'T12 Input'!$C$11:$N$11</f>
            </numRef>
          </cat>
          <val>
            <numRef>
              <f>'T12 Analytics'!$K$54:$V$54</f>
            </numRef>
          </val>
        </ser>
        <axId val="10"/>
        <axId val="100"/>
      </lineChart>
      <catAx>
        <axId val="10"/>
        <scaling>
          <orientation val="minMax"/>
        </scaling>
        <axPos val="b"/>
        <title>
          <tx>
            <rich>
              <a:bodyPr/>
              <a:p>
                <a:pPr>
                  <a:defRPr/>
                </a:pPr>
                <a:r>
                  <a:t>Month</a:t>
                </a:r>
              </a:p>
            </rich>
          </tx>
        </title>
        <majorTickMark val="none"/>
        <minorTickMark val="none"/>
        <crossAx val="100"/>
        <lblOffset val="100"/>
      </catAx>
      <valAx>
        <axId val="100"/>
        <scaling>
          <orientation val="minMax"/>
        </scaling>
        <axPos val="l"/>
        <majorGridlines/>
        <title>
          <tx>
            <rich>
              <a:bodyPr/>
              <a:p>
                <a:pPr>
                  <a:defRPr/>
                </a:pPr>
                <a:r>
                  <a:t>Total operating rev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V5 — AL Acuity Mix (Basic / Level 2-7)</a:t>
            </a:r>
          </a:p>
        </rich>
      </tx>
    </title>
    <plotArea>
      <doughnutChart>
        <varyColors val="1"/>
        <ser>
          <idx val="0"/>
          <order val="0"/>
          <tx>
            <v>AL acuity mix</v>
          </tx>
          <spPr>
            <a:ln>
              <a:prstDash val="solid"/>
            </a:ln>
          </spPr>
          <cat>
            <numRef>
              <f>'Rent Roll Recon'!$A$59:$A$66</f>
            </numRef>
          </cat>
          <val>
            <numRef>
              <f>'Rent Roll Recon'!$D$59:$D$66</f>
            </numRef>
          </val>
        </ser>
        <dLbls>
          <showPercent val="1"/>
        </dLbls>
        <firstSliceAng val="0"/>
        <holeSize val="10"/>
      </doughnutChart>
    </plotArea>
    <legend>
      <legendPos val="r"/>
    </legend>
    <plotVisOnly val="1"/>
    <dispBlanksAs val="gap"/>
  </chart>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0</row>
      <rowOff>0</rowOff>
    </from>
    <ext cx="4320000" cy="270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15</row>
      <rowOff>0</rowOff>
    </from>
    <ext cx="4320000" cy="2700000"/>
    <graphicFrame>
      <nvGraphicFramePr>
        <cNvPr id="2" name="Chart 2"/>
        <cNvGraphicFramePr/>
      </nvGraphicFramePr>
      <xfrm/>
      <a:graphic>
        <a:graphicData uri="http://schemas.openxmlformats.org/drawingml/2006/chart">
          <c:chart r:id="rId2"/>
        </a:graphicData>
      </a:graphic>
    </graphicFrame>
    <clientData/>
  </oneCellAnchor>
  <oneCellAnchor>
    <from>
      <col>15</col>
      <colOff>0</colOff>
      <row>0</row>
      <rowOff>0</rowOff>
    </from>
    <ext cx="4320000" cy="2700000"/>
    <graphicFrame>
      <nvGraphicFramePr>
        <cNvPr id="3" name="Chart 3"/>
        <cNvGraphicFramePr/>
      </nvGraphicFramePr>
      <xfrm/>
      <a:graphic>
        <a:graphicData uri="http://schemas.openxmlformats.org/drawingml/2006/chart">
          <c:chart r:id="rId3"/>
        </a:graphicData>
      </a:graphic>
    </graphicFrame>
    <clientData/>
  </oneCellAnchor>
  <oneCellAnchor>
    <from>
      <col>15</col>
      <colOff>0</colOff>
      <row>15</row>
      <rowOff>0</rowOff>
    </from>
    <ext cx="4320000" cy="2700000"/>
    <graphicFrame>
      <nvGraphicFramePr>
        <cNvPr id="4" name="Chart 4"/>
        <cNvGraphicFramePr/>
      </nvGraphicFramePr>
      <xfrm/>
      <a:graphic>
        <a:graphicData uri="http://schemas.openxmlformats.org/drawingml/2006/chart">
          <c:chart r:id="rId4"/>
        </a:graphicData>
      </a:graphic>
    </graphicFrame>
    <clientData/>
  </oneCellAnchor>
  <oneCellAnchor>
    <from>
      <col>10</col>
      <colOff>0</colOff>
      <row>30</row>
      <rowOff>0</rowOff>
    </from>
    <ext cx="4320000" cy="27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8" defaultRowHeight="15"/>
  <cols>
    <col width="28" customWidth="1" style="199" min="1" max="1"/>
    <col width="60" customWidth="1" style="199" min="2" max="2"/>
  </cols>
  <sheetData>
    <row r="1">
      <c r="A1" s="203" t="inlineStr">
        <is>
          <t>ALF Financial Analyzer</t>
        </is>
      </c>
      <c r="AZ1" t="inlineStr">
        <is>
          <t>Workbook landing — versions, links, orientation</t>
        </is>
      </c>
    </row>
    <row r="2">
      <c r="A2" s="204" t="inlineStr">
        <is>
          <t>Senior-housing underwriting workbook — RR + T12 reconciliation, UW-ready output</t>
        </is>
      </c>
      <c r="AZ2" t="inlineStr">
        <is>
          <t>reference</t>
        </is>
      </c>
    </row>
    <row r="3">
      <c r="AZ3" t="inlineStr">
        <is>
          <t>visible</t>
        </is>
      </c>
    </row>
    <row r="4">
      <c r="A4" s="205" t="inlineStr">
        <is>
          <t>Property</t>
        </is>
      </c>
      <c r="AZ4" t="inlineStr">
        <is>
          <t>v0.1.13</t>
        </is>
      </c>
    </row>
    <row r="5">
      <c r="A5" t="inlineStr">
        <is>
          <t>Property name</t>
        </is>
      </c>
    </row>
    <row r="7">
      <c r="A7" s="205" t="inlineStr">
        <is>
          <t>Versions</t>
        </is>
      </c>
    </row>
    <row r="8">
      <c r="A8" t="inlineStr">
        <is>
          <t>Substrate template</t>
        </is>
      </c>
      <c r="B8" t="inlineStr">
        <is>
          <t>v0.1.13</t>
        </is>
      </c>
    </row>
    <row r="9">
      <c r="A9" t="inlineStr">
        <is>
          <t>Rent Roll Normalizer (app)</t>
        </is>
      </c>
      <c r="B9" t="inlineStr">
        <is>
          <t>v1.12.0</t>
        </is>
      </c>
    </row>
    <row r="10">
      <c r="A10" t="inlineStr">
        <is>
          <t>T12 Normalizer</t>
        </is>
      </c>
      <c r="B10" t="inlineStr">
        <is>
          <t>v0.1.0</t>
        </is>
      </c>
    </row>
    <row r="12">
      <c r="A12" s="205" t="inlineStr">
        <is>
          <t>Links</t>
        </is>
      </c>
    </row>
    <row r="13">
      <c r="A13" t="inlineStr">
        <is>
          <t>GitHub</t>
        </is>
      </c>
      <c r="B13" t="inlineStr">
        <is>
          <t>https://github.com/&lt;your-repo&gt;/rent-roll-normalizer</t>
        </is>
      </c>
    </row>
    <row r="14">
      <c r="A14" t="inlineStr">
        <is>
          <t>App URL</t>
        </is>
      </c>
      <c r="B14" t="inlineStr">
        <is>
          <t>https://rrnormalizer.streamlit.app/</t>
        </is>
      </c>
    </row>
    <row r="16">
      <c r="A16" s="205" t="inlineStr">
        <is>
          <t>About</t>
        </is>
      </c>
    </row>
    <row r="17">
      <c r="A17" s="206" t="inlineStr">
        <is>
          <t>This workbook is the underwriting destination for the Rent Roll Normalizer and T12 Normalizer pipeline. Paste normalized rent roll data into 'Rent Roll Input', T12 data into 'T12 Input', and the analytical sheets recalculate automatically.</t>
        </is>
      </c>
    </row>
    <row r="18">
      <c r="A18" s="206" t="inlineStr">
        <is>
          <t>Visible tabs flow left to right: T12 inputs → RR inputs → reconciliation → UW Output. The 'Workbook Health' sheet is hidden by default — right-click any tab and choose 'Unhide' to access it for diagnostics, validation checks, and version pills.</t>
        </is>
      </c>
    </row>
    <row r="19">
      <c r="A19" s="206"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66"/>
  <sheetViews>
    <sheetView zoomScaleNormal="100" workbookViewId="0">
      <pane xSplit="1" ySplit="4" topLeftCell="B5" activePane="bottomRight" state="frozen"/>
      <selection pane="topRight" activeCell="B1" sqref="B1"/>
      <selection pane="bottomLeft" activeCell="A7" sqref="A7"/>
      <selection pane="bottomRight" activeCell="B20" sqref="B20"/>
    </sheetView>
  </sheetViews>
  <sheetFormatPr baseColWidth="8" defaultColWidth="8.7109375" defaultRowHeight="15"/>
  <cols>
    <col width="67.140625" customWidth="1" style="199" min="1" max="1"/>
    <col width="14" customWidth="1" style="199" min="2" max="7"/>
    <col width="56.5703125" customWidth="1" style="199" min="8" max="8"/>
  </cols>
  <sheetData>
    <row r="1" ht="31.5" customHeight="1" s="199">
      <c r="A1" s="176" t="inlineStr">
        <is>
          <t>ALF T12 Analytics  —  Underwriting Supplement</t>
        </is>
      </c>
      <c r="AZ1" t="inlineStr">
        <is>
          <t>Per-Label T12 aggregation; main feed for UW Output</t>
        </is>
      </c>
    </row>
    <row r="2" ht="14.25" customHeight="1" s="199">
      <c r="A2" s="6" t="inlineStr">
        <is>
          <t>Property Name:</t>
        </is>
      </c>
      <c r="B2" s="7">
        <f>IFERROR(IF(LEN(TRIM('Rent Roll Input'!A3))&gt;0,'Rent Roll Input'!A3,IF(LEN(TRIM('T12 Input'!A10))&gt;0,'T12 Input'!A10,Property_Name)),Property_Name)</f>
        <v/>
      </c>
      <c r="D2" s="8" t="inlineStr">
        <is>
          <t>T12 Period Ending:</t>
        </is>
      </c>
      <c r="E2" s="211">
        <f>IFERROR(LOOKUP(2,1/('T12 Input'!$C$11:$N$11&lt;&gt;""),'T12 Input'!$C$11:$N$11),"")</f>
        <v/>
      </c>
      <c r="G2" s="8" t="inlineStr">
        <is>
          <t>Basis:</t>
        </is>
      </c>
      <c r="H2" s="171" t="inlineStr">
        <is>
          <t>ACCRUAL</t>
        </is>
      </c>
      <c r="AZ2" t="inlineStr">
        <is>
          <t>aggregator</t>
        </is>
      </c>
    </row>
    <row r="3" ht="14.25" customHeight="1" s="199">
      <c r="AZ3" t="inlineStr">
        <is>
          <t>visible</t>
        </is>
      </c>
    </row>
    <row r="4" ht="14.25" customHeight="1" s="199">
      <c r="A4" s="174" t="inlineStr">
        <is>
          <t>SECTION 1  ·  PROPERTY CAPACITY  —  IL / AL / MC</t>
        </is>
      </c>
      <c r="AZ4" t="inlineStr">
        <is>
          <t>v0.1.13</t>
        </is>
      </c>
    </row>
    <row r="5" ht="24" customHeight="1" s="199">
      <c r="A5" s="10" t="n"/>
      <c r="B5" s="10" t="inlineStr">
        <is>
          <t>Independent Living (IL)</t>
        </is>
      </c>
      <c r="C5" s="10" t="inlineStr">
        <is>
          <t>Assisted Living (AL)</t>
        </is>
      </c>
      <c r="D5" s="10" t="inlineStr">
        <is>
          <t>Memory Care (MC)</t>
        </is>
      </c>
      <c r="E5" s="10" t="inlineStr">
        <is>
          <t>Total</t>
        </is>
      </c>
      <c r="F5" s="10" t="n"/>
      <c r="G5" s="10" t="n"/>
      <c r="H5" s="10" t="inlineStr">
        <is>
          <t>Notes</t>
        </is>
      </c>
    </row>
    <row r="6" ht="14.25" customHeight="1" s="199">
      <c r="A6" s="11" t="inlineStr">
        <is>
          <t>Licensed beds  (total)</t>
        </is>
      </c>
      <c r="B6" s="12">
        <f>'Rent Roll Recon'!B7</f>
        <v/>
      </c>
      <c r="C6" s="12">
        <f>'Rent Roll Recon'!C7</f>
        <v/>
      </c>
      <c r="D6" s="12">
        <f>'Rent Roll Recon'!D7</f>
        <v/>
      </c>
      <c r="E6" s="13">
        <f>SUM(B6:D6)</f>
        <v/>
      </c>
      <c r="F6" s="200" t="n"/>
      <c r="G6" s="200" t="n"/>
      <c r="H6" s="15" t="inlineStr">
        <is>
          <t>Licensed / available beds per certificate</t>
        </is>
      </c>
    </row>
    <row r="7" ht="14.25" customHeight="1" s="199">
      <c r="A7" s="11" t="inlineStr">
        <is>
          <t>Avg occupied beds  (T12)</t>
        </is>
      </c>
      <c r="B7" s="16">
        <f>IFERROR(IF('Rent Roll Recon'!B34&gt;0,'Rent Roll Recon'!B34,0),0)</f>
        <v/>
      </c>
      <c r="C7" s="16">
        <f>IFERROR(IF('Rent Roll Recon'!C35&gt;0,'Rent Roll Recon'!C35,0),0)</f>
        <v/>
      </c>
      <c r="D7" s="16">
        <f>IFERROR(IF('Rent Roll Recon'!D36&gt;0,'Rent Roll Recon'!D36,0),0)</f>
        <v/>
      </c>
      <c r="E7" s="16">
        <f>SUM(B7:D7)</f>
        <v/>
      </c>
      <c r="F7" s="200" t="n"/>
      <c r="G7" s="200" t="n"/>
      <c r="H7" s="17" t="inlineStr">
        <is>
          <t>Auto-filled from Rent Roll Recon when period selected (Sections E). Override directly if needed.</t>
        </is>
      </c>
    </row>
    <row r="8" ht="14.25" customHeight="1" s="199">
      <c r="A8" s="11" t="inlineStr">
        <is>
          <t>Physical occupancy %  (T12)</t>
        </is>
      </c>
      <c r="B8" s="18">
        <f>IFERROR(B7/B6,"-")</f>
        <v/>
      </c>
      <c r="C8" s="18">
        <f>IFERROR(C7/C6,"-")</f>
        <v/>
      </c>
      <c r="D8" s="18">
        <f>IFERROR(D7/D6,"-")</f>
        <v/>
      </c>
      <c r="E8" s="19">
        <f>IFERROR(E7/E6,"-")</f>
        <v/>
      </c>
      <c r="F8" s="200" t="n"/>
      <c r="G8" s="200" t="n"/>
      <c r="H8" s="15" t="inlineStr">
        <is>
          <t>Avg occ. beds ÷ licensed beds</t>
        </is>
      </c>
    </row>
    <row r="9" ht="14.25" customHeight="1" s="199">
      <c r="B9" s="20" t="n"/>
      <c r="C9" s="20" t="n"/>
      <c r="D9" s="20" t="n"/>
      <c r="E9" s="20" t="n"/>
    </row>
    <row r="10" ht="14.25" customHeight="1" s="199">
      <c r="A10" s="11" t="inlineStr">
        <is>
          <t>Target occupancy %  (stabilized)</t>
        </is>
      </c>
      <c r="B10" s="21" t="n"/>
      <c r="C10" s="21" t="n">
        <v>0</v>
      </c>
      <c r="D10" s="21" t="n"/>
      <c r="E10" s="19">
        <f>IFERROR((B6*B10+C6*C10+D6*D10)/E6,"-")</f>
        <v/>
      </c>
      <c r="F10" s="200" t="n"/>
      <c r="G10" s="200" t="n"/>
      <c r="H10" s="15" t="inlineStr">
        <is>
          <t>Target: 87–92% stabilized for AL/MC; 90%+ for IL</t>
        </is>
      </c>
    </row>
    <row r="11" ht="14.25" customHeight="1" s="199">
      <c r="A11" s="11" t="inlineStr">
        <is>
          <t>Stabilized occupied beds</t>
        </is>
      </c>
      <c r="B11" s="22">
        <f>IFERROR(B6*B10,"-")</f>
        <v/>
      </c>
      <c r="C11" s="22">
        <f>IFERROR(C6*C10,"-")</f>
        <v/>
      </c>
      <c r="D11" s="22">
        <f>IFERROR(D6*D10,"-")</f>
        <v/>
      </c>
      <c r="E11" s="16">
        <f>IFERROR(SUM(B11:D11),"-")</f>
        <v/>
      </c>
      <c r="F11" s="200" t="n"/>
      <c r="G11" s="200" t="n"/>
      <c r="H11" s="15" t="inlineStr">
        <is>
          <t>Licensed beds × target occupancy %</t>
        </is>
      </c>
    </row>
    <row r="12" ht="14.25" customHeight="1" s="199"/>
    <row r="13" ht="14.25" customHeight="1" s="199">
      <c r="A13" s="174" t="inlineStr">
        <is>
          <t>SECTION 2  ·  REVENUE ANALYSIS  —  T12 ACTUAL  →  NORMALIZED</t>
        </is>
      </c>
    </row>
    <row r="14" ht="14.25" customHeight="1" s="199">
      <c r="A14" s="10" t="n"/>
      <c r="B14" s="10" t="inlineStr">
        <is>
          <t>IL</t>
        </is>
      </c>
      <c r="C14" s="10" t="inlineStr">
        <is>
          <t>AL</t>
        </is>
      </c>
      <c r="D14" s="10" t="inlineStr">
        <is>
          <t>MC</t>
        </is>
      </c>
      <c r="E14" s="10" t="inlineStr">
        <is>
          <t>T12 Total</t>
        </is>
      </c>
      <c r="F14" s="23" t="inlineStr">
        <is>
          <t>Normalized</t>
        </is>
      </c>
      <c r="G14" s="10" t="inlineStr">
        <is>
          <t>Delta</t>
        </is>
      </c>
      <c r="H14" s="10" t="inlineStr">
        <is>
          <t>Notes / Flag</t>
        </is>
      </c>
    </row>
    <row r="15" ht="14.25" customHeight="1" s="199">
      <c r="A15" s="181" t="inlineStr">
        <is>
          <t xml:space="preserve">  Base Rent</t>
        </is>
      </c>
      <c r="K15" s="212">
        <f>IF(OR('Rent Roll Recon'!B12&lt;0.85,'Rent Roll Recon'!C12&lt;0.85,'Rent Roll Recon'!D12&lt;0.85),"⚠ One or more care types below 85% physical occupancy — investigate stabilization assumptions.","✓ All care types ≥ 85% physical occupancy.")</f>
        <v/>
      </c>
      <c r="P15" s="212">
        <f>IF('Rent Roll Recon'!E41&gt;0.3,"⚠ Medicaid revenue share "&amp;TEXT('Rent Roll Recon'!E41,"0.0%")&amp;" — reimbursement rate risk; verify stabilized assumption.",IF('Rent Roll Recon'!E44&gt;0.25,"⚠ Managed Care revenue share "&amp;TEXT('Rent Roll Recon'!E44,"0.0%")&amp;" — verify per-diem rates vs. private pay.","✓ Payer mix dominated by private pay / low reimbursement risk."))</f>
        <v/>
      </c>
    </row>
    <row r="16" ht="14.25" customHeight="1" s="199">
      <c r="A16" s="177" t="inlineStr">
        <is>
          <t>T12 base rent  (actual)</t>
        </is>
      </c>
      <c r="B16" s="24">
        <f>IFERROR(INDEX('T12 Raw Data'!R:R,MATCH("Base rent — IL",'T12 Raw Data'!B:B,0)),0)</f>
        <v/>
      </c>
      <c r="C16" s="24">
        <f>IFERROR(INDEX('T12 Raw Data'!R:R,MATCH("Base rent — AL",'T12 Raw Data'!B:B,0)),0)</f>
        <v/>
      </c>
      <c r="D16" s="24">
        <f>IFERROR(INDEX('T12 Raw Data'!R:R,MATCH("Base rent — MC",'T12 Raw Data'!B:B,0)),0)</f>
        <v/>
      </c>
      <c r="E16" s="25">
        <f>SUM(B16:D16)</f>
        <v/>
      </c>
      <c r="F16" s="200" t="n"/>
      <c r="G16" s="200" t="n"/>
      <c r="H16" s="15" t="inlineStr">
        <is>
          <t>Gross base rent from T12 Raw Data</t>
        </is>
      </c>
    </row>
    <row r="17" ht="14.25" customHeight="1" s="199">
      <c r="A17" s="177" t="inlineStr">
        <is>
          <t>Avg daily rate  (T12 back-calc)</t>
        </is>
      </c>
      <c r="B17" s="26">
        <f>IFERROR(B16/(B7*12),"-")</f>
        <v/>
      </c>
      <c r="C17" s="26">
        <f>IFERROR(C16/(C7*12),"-")</f>
        <v/>
      </c>
      <c r="D17" s="26">
        <f>IFERROR(D16/(D7*12),"-")</f>
        <v/>
      </c>
      <c r="E17" s="27">
        <f>IFERROR(E16/(E7*12),"-")</f>
        <v/>
      </c>
      <c r="F17" s="200" t="n"/>
      <c r="G17" s="200" t="n"/>
      <c r="H17" s="15" t="inlineStr">
        <is>
          <t>T12 base rent ÷ avg occ. beds ÷ 12 months</t>
        </is>
      </c>
    </row>
    <row r="18" ht="14.25" customHeight="1" s="199"/>
    <row r="19" ht="14.25" customHeight="1" s="199">
      <c r="A19" s="177" t="inlineStr">
        <is>
          <t>Stabilized monthly rate / bed</t>
        </is>
      </c>
      <c r="B19" s="28">
        <f>B17</f>
        <v/>
      </c>
      <c r="C19" s="28">
        <f>C17</f>
        <v/>
      </c>
      <c r="D19" s="28">
        <f>D17</f>
        <v/>
      </c>
      <c r="E19" s="27">
        <f>IFERROR((B11*B19+C11*C19+D11*D19)/E11,"-")</f>
        <v/>
      </c>
      <c r="F19" s="200" t="n"/>
      <c r="G19" s="200" t="n"/>
      <c r="H19" s="15" t="inlineStr">
        <is>
          <t>Blended stabilized rate weighted by occupied beds</t>
        </is>
      </c>
    </row>
    <row r="20" ht="14.25" customHeight="1" s="199">
      <c r="A20" s="29" t="inlineStr">
        <is>
          <t>Stabilized annual base rent</t>
        </is>
      </c>
      <c r="B20" s="30">
        <f>IFERROR(B6*B10*B19*12,0)</f>
        <v/>
      </c>
      <c r="C20" s="30">
        <f>IFERROR(C6*C10*C19*12,0)</f>
        <v/>
      </c>
      <c r="D20" s="30">
        <f>IFERROR(D6*D10*D19*12,0)</f>
        <v/>
      </c>
      <c r="E20" s="30">
        <f>SUM(B20:D20)</f>
        <v/>
      </c>
      <c r="F20" s="25">
        <f>E20</f>
        <v/>
      </c>
      <c r="G20" s="24">
        <f>F20-E16</f>
        <v/>
      </c>
      <c r="H20" s="15" t="inlineStr">
        <is>
          <t>Beds × occ% × monthly rate × 12  (per care type)</t>
        </is>
      </c>
    </row>
    <row r="21" ht="14.25" customHeight="1" s="199"/>
    <row r="22" ht="14.25" customHeight="1" s="199">
      <c r="A22" s="181" t="inlineStr">
        <is>
          <t xml:space="preserve">  Level of Care  (LOC) Revenue</t>
        </is>
      </c>
    </row>
    <row r="23" ht="14.25" customHeight="1" s="199">
      <c r="A23" s="177" t="inlineStr">
        <is>
          <t>T12 LOC revenue  (actual)</t>
        </is>
      </c>
      <c r="B23" s="24">
        <f>IFERROR(INDEX('T12 Raw Data'!R:R,MATCH("LOC revenue — IL",'T12 Raw Data'!B:B,0)),0)</f>
        <v/>
      </c>
      <c r="C23" s="24">
        <f>IFERROR(INDEX('T12 Raw Data'!R:R,MATCH("LOC revenue — AL",'T12 Raw Data'!B:B,0)),0)</f>
        <v/>
      </c>
      <c r="D23" s="24">
        <f>IFERROR(INDEX('T12 Raw Data'!R:R,MATCH("LOC revenue — MC",'T12 Raw Data'!B:B,0)),0)</f>
        <v/>
      </c>
      <c r="E23" s="25">
        <f>SUM(B23:D23)</f>
        <v/>
      </c>
      <c r="F23" s="200" t="n"/>
      <c r="G23" s="200" t="n"/>
      <c r="H23" s="15" t="inlineStr">
        <is>
          <t>Care rate / level of care charges from T12</t>
        </is>
      </c>
    </row>
    <row r="24" ht="14.25" customHeight="1" s="199">
      <c r="A24" s="177" t="inlineStr">
        <is>
          <t>LOC per occ. bed / month  (T12)</t>
        </is>
      </c>
      <c r="B24" s="26">
        <f>IFERROR(B23/(B7*12),"-")</f>
        <v/>
      </c>
      <c r="C24" s="26">
        <f>IFERROR(C23/(C7*12),"-")</f>
        <v/>
      </c>
      <c r="D24" s="26">
        <f>IFERROR(D23/(D7*12),"-")</f>
        <v/>
      </c>
      <c r="E24" s="27">
        <f>IFERROR(E23/(E7*12),"-")</f>
        <v/>
      </c>
      <c r="F24" s="200" t="n"/>
      <c r="G24" s="200" t="n"/>
      <c r="H24" s="15" t="inlineStr">
        <is>
          <t>Validate vs. care level assessments; MC should be highest</t>
        </is>
      </c>
    </row>
    <row r="25" ht="14.25" customHeight="1" s="199"/>
    <row r="26" ht="14.25" customHeight="1" s="199">
      <c r="A26" s="177" t="inlineStr">
        <is>
          <t>Stabilized LOC / occ. bed / month</t>
        </is>
      </c>
      <c r="B26" s="28" t="n"/>
      <c r="C26" s="28">
        <f>C24</f>
        <v/>
      </c>
      <c r="D26" s="28" t="n"/>
      <c r="E26" s="27">
        <f>IFERROR((B11*B26+C11*C26+D11*D26)/E11,"-")</f>
        <v/>
      </c>
      <c r="F26" s="200" t="n"/>
      <c r="G26" s="200" t="n"/>
      <c r="H26" s="15">
        <f>IF(E24&lt;&gt;"-","T12 actual LOC/occ bed: "&amp;TEXT(E24,"$#,##0.00")&amp;"/mo blended (AL: "&amp;TEXT(C24,"$#,##0.00")&amp;"). Enter stabilized rate in B26/C26/D26. Default to T12 unless acuity mix change is justified.","Enter stabilized LOC/bed in B26/C26/D26.")</f>
        <v/>
      </c>
    </row>
    <row r="27" ht="14.25" customHeight="1" s="199">
      <c r="A27" s="29" t="inlineStr">
        <is>
          <t>Stabilized LOC revenue</t>
        </is>
      </c>
      <c r="B27" s="30">
        <f>IFERROR(B6*B10*B26*12,0)</f>
        <v/>
      </c>
      <c r="C27" s="30">
        <f>IFERROR(C6*C10*C26*12,0)</f>
        <v/>
      </c>
      <c r="D27" s="30">
        <f>IFERROR(D6*D10*D26*12,0)</f>
        <v/>
      </c>
      <c r="E27" s="30">
        <f>SUM(B27:D27)</f>
        <v/>
      </c>
      <c r="F27" s="25">
        <f>E27</f>
        <v/>
      </c>
      <c r="G27" s="24">
        <f>F27-E23</f>
        <v/>
      </c>
      <c r="H27" s="200" t="n"/>
    </row>
    <row r="28" ht="14.25" customHeight="1" s="199"/>
    <row r="29" ht="14.25" customHeight="1" s="199">
      <c r="A29" s="181" t="inlineStr">
        <is>
          <t xml:space="preserve">  Revenue Quality Ratios</t>
        </is>
      </c>
    </row>
    <row r="30" ht="14.25" customHeight="1" s="199">
      <c r="A30" s="177" t="inlineStr">
        <is>
          <t>LOC as % of base rent  (T12)</t>
        </is>
      </c>
      <c r="B30" s="31">
        <f>IFERROR(B23/B16,"-")</f>
        <v/>
      </c>
      <c r="C30" s="31">
        <f>IFERROR(C23/C16,"-")</f>
        <v/>
      </c>
      <c r="D30" s="31">
        <f>IFERROR(D23/D16,"-")</f>
        <v/>
      </c>
      <c r="E30" s="32">
        <f>IFERROR(E23/E16,"-")</f>
        <v/>
      </c>
      <c r="F30" s="200" t="n"/>
      <c r="G30" s="200" t="n"/>
      <c r="H30" s="15" t="inlineStr">
        <is>
          <t>Higher = higher acuity mix; validate vs. care assessments</t>
        </is>
      </c>
      <c r="K30" s="212">
        <f>IF(LEN('Rent Roll Recon'!B96)=0,"-",IF(IFERROR(VALUE(SUBSTITUTE('Rent Roll Recon'!B96,"%",""))/100,0)&gt;0.25,"⚠ IL rate dispersion CV "&amp;TEXT(IFERROR(VALUE(SUBSTITUTE('Rent Roll Recon'!B96,"%",""))/100,0),"0.0%")&amp;" — wide spread may indicate legacy in-place rates.","✓ IL rate dispersion within normal band."))</f>
        <v/>
      </c>
      <c r="P30" s="212">
        <f>IFERROR(IF(AVERAGE(T54:V54)&gt;AVERAGE(K54:M54)*1.05,"↑ Revenue trending up — latest 3-mo avg "&amp;TEXT(AVERAGE(T54:V54),"$#,##0")&amp;" vs prior 3-mo "&amp;TEXT(AVERAGE(K54:M54),"$#,##0"),IF(AVERAGE(T54:V54)&lt;AVERAGE(K54:M54)*0.95,"↓ Revenue trending down — latest 3-mo avg "&amp;TEXT(AVERAGE(T54:V54),"$#,##0")&amp;" vs prior 3-mo "&amp;TEXT(AVERAGE(K54:M54),"$#,##0"),"→ Revenue stable — within ±5% of prior 3-mo.")),"Insufficient T12 data for trend.")</f>
        <v/>
      </c>
    </row>
    <row r="31" ht="14.25" customHeight="1" s="199">
      <c r="A31" s="177" t="inlineStr">
        <is>
          <t>RevPOR  (T12 actual)  — base + LOC</t>
        </is>
      </c>
      <c r="B31" s="26">
        <f>IFERROR((B16+B23)/(B7*12),"-")</f>
        <v/>
      </c>
      <c r="C31" s="26">
        <f>IFERROR((C16+C23)/(C7*12),"-")</f>
        <v/>
      </c>
      <c r="D31" s="26">
        <f>IFERROR((D16+D23)/(D7*12),"-")</f>
        <v/>
      </c>
      <c r="E31" s="27">
        <f>IFERROR((E16+E23)/(E7*12),"-")</f>
        <v/>
      </c>
      <c r="F31" s="200" t="n"/>
      <c r="G31" s="200" t="n"/>
      <c r="H31" s="15" t="inlineStr">
        <is>
          <t>Revenue per occupied room per month (base + LOC)</t>
        </is>
      </c>
    </row>
    <row r="32" ht="14.25" customHeight="1" s="199">
      <c r="A32" s="177" t="inlineStr">
        <is>
          <t>RevPOR  (normalized)  — base + LOC</t>
        </is>
      </c>
      <c r="B32" s="27">
        <f>IFERROR((B20+B27)/(B11*12),"-")</f>
        <v/>
      </c>
      <c r="C32" s="27">
        <f>IFERROR((C20+C27)/(C11*12),"-")</f>
        <v/>
      </c>
      <c r="D32" s="27">
        <f>IFERROR((D20+D27)/(D11*12),"-")</f>
        <v/>
      </c>
      <c r="E32" s="27">
        <f>IFERROR((E20+E27)/(E11*12),"-")</f>
        <v/>
      </c>
      <c r="F32" s="200" t="n"/>
      <c r="G32" s="200" t="n"/>
      <c r="H32" s="15" t="inlineStr">
        <is>
          <t>Normalized RevPOR — stabilized beds and rates</t>
        </is>
      </c>
    </row>
    <row r="33" ht="14.25" customHeight="1" s="199"/>
    <row r="34" ht="14.25" customHeight="1" s="199">
      <c r="A34" s="182" t="inlineStr">
        <is>
          <t xml:space="preserve">  GPR Revenue Waterfall  —  Rent Roll projection vs. T12 reported</t>
        </is>
      </c>
    </row>
    <row r="35" ht="14.25" customHeight="1" s="199">
      <c r="A35" s="33" t="n"/>
      <c r="B35" s="34" t="inlineStr">
        <is>
          <t>IL</t>
        </is>
      </c>
      <c r="C35" s="34" t="inlineStr">
        <is>
          <t>AL</t>
        </is>
      </c>
      <c r="D35" s="34" t="inlineStr">
        <is>
          <t>MC</t>
        </is>
      </c>
      <c r="E35" s="34" t="inlineStr">
        <is>
          <t>T12 Reported</t>
        </is>
      </c>
      <c r="F35" s="35" t="inlineStr">
        <is>
          <t>RR Projection</t>
        </is>
      </c>
      <c r="G35" s="34" t="inlineStr">
        <is>
          <t>Delta</t>
        </is>
      </c>
      <c r="H35" s="34" t="inlineStr">
        <is>
          <t>Notes</t>
        </is>
      </c>
    </row>
    <row r="36" ht="14.25" customHeight="1" s="199">
      <c r="A36" s="177" t="inlineStr">
        <is>
          <t>Market rate / bed / month  (from rent roll col G, occupied beds)</t>
        </is>
      </c>
      <c r="B36" s="28">
        <f>IFERROR(AVERAGEIFS('Rent Roll Input'!$G$7:$G$606,'Rent Roll Input'!$S$7:$S$606,'Rent Roll Recon'!$B$2,'Rent Roll Input'!$E$7:$E$606,"Occupied",'Rent Roll Input'!$D$7:$D$606,"IL"),0)</f>
        <v/>
      </c>
      <c r="C36" s="28">
        <f>IFERROR(AVERAGEIFS('Rent Roll Input'!$G$7:$G$606,'Rent Roll Input'!$S$7:$S$606,'Rent Roll Recon'!$B$2,'Rent Roll Input'!$E$7:$E$606,"Occupied",'Rent Roll Input'!$D$7:$D$606,"AL"),0)</f>
        <v/>
      </c>
      <c r="D36" s="28">
        <f>IFERROR(AVERAGEIFS('Rent Roll Input'!$G$7:$G$606,'Rent Roll Input'!$S$7:$S$606,'Rent Roll Recon'!$B$2,'Rent Roll Input'!$E$7:$E$606,"Occupied",'Rent Roll Input'!$D$7:$D$606,"MC"),0)</f>
        <v/>
      </c>
      <c r="E36" s="36" t="inlineStr">
        <is>
          <t>"-"</t>
        </is>
      </c>
      <c r="F36" s="27">
        <f>IFERROR((B6*B36+C6*C36+D6*D36)/E6,"-")</f>
        <v/>
      </c>
      <c r="G36" s="36" t="inlineStr">
        <is>
          <t>"-"</t>
        </is>
      </c>
      <c r="H36" s="15" t="inlineStr">
        <is>
          <t>Avg market rate for occupied beds from Rent Roll col G, selected period. Override B–D directly. T12 does not report market rates — col E blank by design.</t>
        </is>
      </c>
    </row>
    <row r="37" ht="14.25" customHeight="1" s="199">
      <c r="A37" s="29" t="inlineStr">
        <is>
          <t>Gross Potential Rent  (GPR)  —  base rent, 100% occupied at market rate</t>
        </is>
      </c>
      <c r="B37" s="30">
        <f>IFERROR(B6*B36*12,0)</f>
        <v/>
      </c>
      <c r="C37" s="30">
        <f>IFERROR(C6*C36*12,0)</f>
        <v/>
      </c>
      <c r="D37" s="30">
        <f>IFERROR(D6*D36*12,0)</f>
        <v/>
      </c>
      <c r="E37" s="30">
        <f>IFERROR(IF(INDEX('T12 Raw Data'!R:R,MATCH("Gross Rent Revenue",'T12 Raw Data'!B:B,0))=0,"",INDEX('T12 Raw Data'!R:R,MATCH("Gross Rent Revenue",'T12 Raw Data'!B:B,0))),"")</f>
        <v/>
      </c>
      <c r="F37" s="30">
        <f>SUM(B37:D37)</f>
        <v/>
      </c>
      <c r="G37" s="30">
        <f>IFERROR(IF(E37="","",E37-F37),"")</f>
        <v/>
      </c>
      <c r="H37" s="15" t="inlineStr">
        <is>
          <t>T12 col: pulled from T12 Raw Data — blank if no GPR line reported. RR Projection: licensed beds × avg market rate (rent roll) × 12. Delta: T12 minus RR.</t>
        </is>
      </c>
    </row>
    <row r="38" ht="14.25" customHeight="1" s="199">
      <c r="A38" s="177" t="inlineStr">
        <is>
          <t>Less:  Physical vacancy loss</t>
        </is>
      </c>
      <c r="B38" s="24">
        <f>IFERROR((B6-B7)*B36*12,0)</f>
        <v/>
      </c>
      <c r="C38" s="24">
        <f>IFERROR((C6-C7)*C36*12,0)</f>
        <v/>
      </c>
      <c r="D38" s="24">
        <f>IFERROR((D6-D7)*D36*12,0)</f>
        <v/>
      </c>
      <c r="E38" s="24">
        <f>IFERROR(IF(ABS('T12 Raw Data'!$R$56)&gt;0,ABS('T12 Raw Data'!$R$56),F38),F38)</f>
        <v/>
      </c>
      <c r="F38" s="25">
        <f>SUM(B38:D38)</f>
        <v/>
      </c>
      <c r="G38" s="24">
        <f>IFERROR(IF(E38="","",E38-F38),"")</f>
        <v/>
      </c>
      <c r="H38" s="15">
        <f>IF(AND(E37&lt;&gt;"",ABS('T12 Raw Data'!$R$56)&gt;0),"T12 check: GPR−Vacancy−Collected = "&amp;TEXT(E37-E38-E16,"$#,##0")&amp;" (0=clean)","T12 vacancy not reported — using RR projection")</f>
        <v/>
      </c>
    </row>
    <row r="39" ht="14.25" customHeight="1" s="199">
      <c r="A39" s="177" t="inlineStr">
        <is>
          <t>Physical vacancy rate %</t>
        </is>
      </c>
      <c r="B39" s="31">
        <f>IFERROR((B6-B7)/B6,"-")</f>
        <v/>
      </c>
      <c r="C39" s="31">
        <f>IFERROR((C6-C7)/C6,"-")</f>
        <v/>
      </c>
      <c r="D39" s="31">
        <f>IFERROR((D6-D7)/D6,"-")</f>
        <v/>
      </c>
      <c r="E39" s="32">
        <f>IFERROR(IF(AND(E37&lt;&gt;"",ABS('T12 Raw Data'!$R$56)&gt;0),E38/E37,IFERROR((E6-E7)/E6,"-")),IFERROR((E6-E7)/E6,"-"))</f>
        <v/>
      </c>
      <c r="F39" s="32">
        <f>IFERROR((E6-E11)/E6,"-")</f>
        <v/>
      </c>
      <c r="G39" s="31">
        <f>IFERROR(IF(ISNUMBER(E39),F39-E39,"-"),"-")</f>
        <v/>
      </c>
      <c r="H39" s="15" t="inlineStr">
        <is>
          <t>T12: (licensed − avg occupied) / licensed. RR Projection: (licensed − stabilized target) / licensed. Flag if &gt;20%.</t>
        </is>
      </c>
    </row>
    <row r="40" ht="14.25" customHeight="1" s="199">
      <c r="A40" s="180" t="inlineStr">
        <is>
          <t>Less:  Loss to lease  (occupied beds priced below market rate)</t>
        </is>
      </c>
      <c r="B40" s="37">
        <f>IFERROR(B37-B38-B16,0)</f>
        <v/>
      </c>
      <c r="C40" s="37">
        <f>IFERROR(C37-C38-C16,0)</f>
        <v/>
      </c>
      <c r="D40" s="37">
        <f>IFERROR(D37-D38-D16,0)</f>
        <v/>
      </c>
      <c r="E40" s="37">
        <f>IFERROR(IF(ABS('T12 Raw Data'!$R$57)&gt;0,ABS('T12 Raw Data'!$R$57),F37-F38-E16),F37-F38-E16)</f>
        <v/>
      </c>
      <c r="F40" s="37">
        <f>SUM(B40:D40)</f>
        <v/>
      </c>
      <c r="G40" s="37">
        <f>IFERROR(IF(E40="","",E40-F40),"")</f>
        <v/>
      </c>
      <c r="H40" s="38" t="inlineStr">
        <is>
          <t>⚠ RR: occupied beds × market rate × 12 minus T12 collected base rent. Captures concessions, rate-lock, and below-market pricing. T12 col requires GPR line.</t>
        </is>
      </c>
    </row>
    <row r="41" ht="14.25" customHeight="1" s="199">
      <c r="A41" s="39" t="inlineStr">
        <is>
          <t>Loss to lease as % of GPR</t>
        </is>
      </c>
      <c r="B41" s="40">
        <f>IFERROR(B40/B37,"-")</f>
        <v/>
      </c>
      <c r="C41" s="40">
        <f>IFERROR(C40/C37,"-")</f>
        <v/>
      </c>
      <c r="D41" s="40">
        <f>IFERROR(D40/D37,"-")</f>
        <v/>
      </c>
      <c r="E41" s="40">
        <f>IFERROR(IF(E37&lt;&gt;"",E40/E37,IF(F37&gt;0,E40/F37,"-")),"-")</f>
        <v/>
      </c>
      <c r="F41" s="40">
        <f>IFERROR(F40/F37,"-")</f>
        <v/>
      </c>
      <c r="G41" s="40">
        <f>IFERROR(E41-F41,"")</f>
        <v/>
      </c>
      <c r="H41" s="38" t="inlineStr">
        <is>
          <t>⚠ Flag if RR projection &gt;5% — below-market pricing or heavy concessions. T12 col requires GPR line.</t>
        </is>
      </c>
    </row>
    <row r="42" ht="14.25" customHeight="1" s="199"/>
    <row r="43" ht="14.25" customHeight="1" s="199"/>
    <row r="44" ht="14.25" customHeight="1" s="199"/>
    <row r="45" ht="14.25" customHeight="1" s="199">
      <c r="A45" s="181" t="inlineStr">
        <is>
          <t xml:space="preserve">  Other Revenue  —  Normalization Bridge</t>
        </is>
      </c>
      <c r="K45" s="212">
        <f>IF('Rent Roll Recon'!D67=0,"Property has no AL acuity data — flat-rate AL or unpopulated.",IF(MAX('Rent Roll Recon'!D59:D66)/'Rent Roll Recon'!D67&gt;0.5,"⚠ Acuity skewed: top tier &gt; 50% of AL care charges — verify staffing model.","✓ Acuity distribution within normal range."))</f>
        <v/>
      </c>
    </row>
    <row r="46" ht="14.25" customHeight="1" s="199">
      <c r="A46" s="10" t="inlineStr">
        <is>
          <t>Revenue Item</t>
        </is>
      </c>
      <c r="B46" s="10" t="n"/>
      <c r="C46" s="10" t="n"/>
      <c r="D46" s="10" t="n"/>
      <c r="E46" s="10" t="inlineStr">
        <is>
          <t>T12 Actual</t>
        </is>
      </c>
      <c r="F46" s="23" t="inlineStr">
        <is>
          <t>Normalized</t>
        </is>
      </c>
      <c r="G46" s="10" t="inlineStr">
        <is>
          <t>Delta</t>
        </is>
      </c>
      <c r="H46" s="10" t="inlineStr">
        <is>
          <t>Flag / Note</t>
        </is>
      </c>
      <c r="K46" s="213" t="inlineStr">
        <is>
          <t>(hidden helper — rate buckets for V2 chart)</t>
        </is>
      </c>
    </row>
    <row r="47" ht="14.25" customHeight="1" s="199">
      <c r="A47" s="177" t="inlineStr">
        <is>
          <t>Community / move-in fees</t>
        </is>
      </c>
      <c r="B47" s="200" t="n"/>
      <c r="C47" s="200" t="n"/>
      <c r="D47" s="200" t="n"/>
      <c r="E47" s="24">
        <f>IFERROR(INDEX('T12 Raw Data'!R:R,MATCH("Community / move-in fees",'T12 Raw Data'!B:B,0)),0)</f>
        <v/>
      </c>
      <c r="F47" s="41" t="n">
        <v>0</v>
      </c>
      <c r="G47" s="24">
        <f>F47-E47</f>
        <v/>
      </c>
      <c r="H47" s="38" t="inlineStr">
        <is>
          <t>⚠ ONE-TIME — normalize to $0; model separately if absorption schedule exists</t>
        </is>
      </c>
      <c r="K47" s="214" t="inlineStr">
        <is>
          <t>Bucket</t>
        </is>
      </c>
      <c r="L47" s="214" t="inlineStr">
        <is>
          <t>IL</t>
        </is>
      </c>
      <c r="M47" s="214" t="inlineStr">
        <is>
          <t>AL</t>
        </is>
      </c>
      <c r="N47" s="214" t="inlineStr">
        <is>
          <t>MC</t>
        </is>
      </c>
    </row>
    <row r="48" ht="14.25" customHeight="1" s="199">
      <c r="A48" s="177" t="inlineStr">
        <is>
          <t>Concessions &amp; move-in specials</t>
        </is>
      </c>
      <c r="B48" s="200" t="n"/>
      <c r="C48" s="200" t="n"/>
      <c r="D48" s="200" t="n"/>
      <c r="E48" s="24">
        <f>IFERROR(INDEX('T12 Raw Data'!R:R,MATCH("Concessions &amp; specials",'T12 Raw Data'!B:B,0)),0)</f>
        <v/>
      </c>
      <c r="F48" s="41" t="n">
        <v>0</v>
      </c>
      <c r="G48" s="24">
        <f>F48-E48</f>
        <v/>
      </c>
      <c r="H48" s="38" t="inlineStr">
        <is>
          <t>⚠ BURN-OFF — normalize to $0 at stabilized occupancy</t>
        </is>
      </c>
      <c r="K48" t="inlineStr">
        <is>
          <t>$0 – $1,999</t>
        </is>
      </c>
      <c r="L48">
        <f>COUNTIFS('Rent Roll Input'!$S$7:$S$606,'Rent Roll Recon'!$B$2,'Rent Roll Input'!$E$7:$E$606,"&lt;&gt;Vacant",'Rent Roll Input'!$E$7:$E$606,"&lt;&gt;Eviction",'Rent Roll Input'!$H$7:$H$606,"&gt;="&amp;0,'Rent Roll Input'!$H$7:$H$606,"&lt;="&amp;1999.99,'Rent Roll Input'!$D$7:$D$606,"IL")</f>
        <v/>
      </c>
      <c r="M48">
        <f>COUNTIFS('Rent Roll Input'!$S$7:$S$606,'Rent Roll Recon'!$B$2,'Rent Roll Input'!$E$7:$E$606,"&lt;&gt;Vacant",'Rent Roll Input'!$E$7:$E$606,"&lt;&gt;Eviction",'Rent Roll Input'!$H$7:$H$606,"&gt;="&amp;0,'Rent Roll Input'!$H$7:$H$606,"&lt;="&amp;1999.99,'Rent Roll Input'!$D$7:$D$606,"AL")</f>
        <v/>
      </c>
      <c r="N48">
        <f>COUNTIFS('Rent Roll Input'!$S$7:$S$606,'Rent Roll Recon'!$B$2,'Rent Roll Input'!$E$7:$E$606,"&lt;&gt;Vacant",'Rent Roll Input'!$E$7:$E$606,"&lt;&gt;Eviction",'Rent Roll Input'!$H$7:$H$606,"&gt;="&amp;0,'Rent Roll Input'!$H$7:$H$606,"&lt;="&amp;1999.99,'Rent Roll Input'!$D$7:$D$606,"MC")</f>
        <v/>
      </c>
    </row>
    <row r="49" ht="14.25" customHeight="1" s="199">
      <c r="A49" s="177" t="inlineStr">
        <is>
          <t>Respite care</t>
        </is>
      </c>
      <c r="B49" s="200" t="n"/>
      <c r="C49" s="200" t="n"/>
      <c r="D49" s="200" t="n"/>
      <c r="E49" s="24">
        <f>IFERROR(INDEX('T12 Raw Data'!R:R,MATCH("Respite care",'T12 Raw Data'!B:B,0)),0)</f>
        <v/>
      </c>
      <c r="F49" s="41" t="n">
        <v>0</v>
      </c>
      <c r="G49" s="24">
        <f>F49-E49</f>
        <v/>
      </c>
      <c r="H49" s="38" t="inlineStr">
        <is>
          <t>⚠ VOLATILE — assess program; include only if documented &amp; consistent</t>
        </is>
      </c>
      <c r="K49" t="inlineStr">
        <is>
          <t>$2,000 – $3,999</t>
        </is>
      </c>
      <c r="L49">
        <f>COUNTIFS('Rent Roll Input'!$S$7:$S$606,'Rent Roll Recon'!$B$2,'Rent Roll Input'!$E$7:$E$606,"&lt;&gt;Vacant",'Rent Roll Input'!$E$7:$E$606,"&lt;&gt;Eviction",'Rent Roll Input'!$H$7:$H$606,"&gt;="&amp;2000,'Rent Roll Input'!$H$7:$H$606,"&lt;="&amp;3999.99,'Rent Roll Input'!$D$7:$D$606,"IL")</f>
        <v/>
      </c>
      <c r="M49">
        <f>COUNTIFS('Rent Roll Input'!$S$7:$S$606,'Rent Roll Recon'!$B$2,'Rent Roll Input'!$E$7:$E$606,"&lt;&gt;Vacant",'Rent Roll Input'!$E$7:$E$606,"&lt;&gt;Eviction",'Rent Roll Input'!$H$7:$H$606,"&gt;="&amp;2000,'Rent Roll Input'!$H$7:$H$606,"&lt;="&amp;3999.99,'Rent Roll Input'!$D$7:$D$606,"AL")</f>
        <v/>
      </c>
      <c r="N49">
        <f>COUNTIFS('Rent Roll Input'!$S$7:$S$606,'Rent Roll Recon'!$B$2,'Rent Roll Input'!$E$7:$E$606,"&lt;&gt;Vacant",'Rent Roll Input'!$E$7:$E$606,"&lt;&gt;Eviction",'Rent Roll Input'!$H$7:$H$606,"&gt;="&amp;2000,'Rent Roll Input'!$H$7:$H$606,"&lt;="&amp;3999.99,'Rent Roll Input'!$D$7:$D$606,"MC")</f>
        <v/>
      </c>
    </row>
    <row r="50" ht="14.25" customHeight="1" s="199">
      <c r="A50" s="177" t="inlineStr">
        <is>
          <t>Other community revenue</t>
        </is>
      </c>
      <c r="B50" s="200" t="n"/>
      <c r="C50" s="200" t="n"/>
      <c r="D50" s="200" t="n"/>
      <c r="E50" s="24">
        <f>IFERROR(INDEX('T12 Raw Data'!R:R,MATCH("Other community revenue",'T12 Raw Data'!B:B,0)),0)</f>
        <v/>
      </c>
      <c r="F50" s="41" t="n">
        <v>0</v>
      </c>
      <c r="G50" s="24">
        <f>F50-E50</f>
        <v/>
      </c>
      <c r="H50" s="38" t="inlineStr">
        <is>
          <t>Beautician, utility reimbursement, admin fees, finance charges</t>
        </is>
      </c>
      <c r="K50" t="inlineStr">
        <is>
          <t>$4,000 – $5,999</t>
        </is>
      </c>
      <c r="L50">
        <f>COUNTIFS('Rent Roll Input'!$S$7:$S$606,'Rent Roll Recon'!$B$2,'Rent Roll Input'!$E$7:$E$606,"&lt;&gt;Vacant",'Rent Roll Input'!$E$7:$E$606,"&lt;&gt;Eviction",'Rent Roll Input'!$H$7:$H$606,"&gt;="&amp;4000,'Rent Roll Input'!$H$7:$H$606,"&lt;="&amp;5999.99,'Rent Roll Input'!$D$7:$D$606,"IL")</f>
        <v/>
      </c>
      <c r="M50">
        <f>COUNTIFS('Rent Roll Input'!$S$7:$S$606,'Rent Roll Recon'!$B$2,'Rent Roll Input'!$E$7:$E$606,"&lt;&gt;Vacant",'Rent Roll Input'!$E$7:$E$606,"&lt;&gt;Eviction",'Rent Roll Input'!$H$7:$H$606,"&gt;="&amp;4000,'Rent Roll Input'!$H$7:$H$606,"&lt;="&amp;5999.99,'Rent Roll Input'!$D$7:$D$606,"AL")</f>
        <v/>
      </c>
      <c r="N50">
        <f>COUNTIFS('Rent Roll Input'!$S$7:$S$606,'Rent Roll Recon'!$B$2,'Rent Roll Input'!$E$7:$E$606,"&lt;&gt;Vacant",'Rent Roll Input'!$E$7:$E$606,"&lt;&gt;Eviction",'Rent Roll Input'!$H$7:$H$606,"&gt;="&amp;4000,'Rent Roll Input'!$H$7:$H$606,"&lt;="&amp;5999.99,'Rent Roll Input'!$D$7:$D$606,"MC")</f>
        <v/>
      </c>
    </row>
    <row r="51" ht="14.25" customHeight="1" s="199">
      <c r="K51" t="inlineStr">
        <is>
          <t>$6,000 – $7,999</t>
        </is>
      </c>
      <c r="L51">
        <f>COUNTIFS('Rent Roll Input'!$S$7:$S$606,'Rent Roll Recon'!$B$2,'Rent Roll Input'!$E$7:$E$606,"&lt;&gt;Vacant",'Rent Roll Input'!$E$7:$E$606,"&lt;&gt;Eviction",'Rent Roll Input'!$H$7:$H$606,"&gt;="&amp;6000,'Rent Roll Input'!$H$7:$H$606,"&lt;="&amp;7999.99,'Rent Roll Input'!$D$7:$D$606,"IL")</f>
        <v/>
      </c>
      <c r="M51">
        <f>COUNTIFS('Rent Roll Input'!$S$7:$S$606,'Rent Roll Recon'!$B$2,'Rent Roll Input'!$E$7:$E$606,"&lt;&gt;Vacant",'Rent Roll Input'!$E$7:$E$606,"&lt;&gt;Eviction",'Rent Roll Input'!$H$7:$H$606,"&gt;="&amp;6000,'Rent Roll Input'!$H$7:$H$606,"&lt;="&amp;7999.99,'Rent Roll Input'!$D$7:$D$606,"AL")</f>
        <v/>
      </c>
      <c r="N51">
        <f>COUNTIFS('Rent Roll Input'!$S$7:$S$606,'Rent Roll Recon'!$B$2,'Rent Roll Input'!$E$7:$E$606,"&lt;&gt;Vacant",'Rent Roll Input'!$E$7:$E$606,"&lt;&gt;Eviction",'Rent Roll Input'!$H$7:$H$606,"&gt;="&amp;6000,'Rent Roll Input'!$H$7:$H$606,"&lt;="&amp;7999.99,'Rent Roll Input'!$D$7:$D$606,"MC")</f>
        <v/>
      </c>
    </row>
    <row r="52" ht="14.25" customHeight="1" s="199">
      <c r="A52" s="42" t="inlineStr">
        <is>
          <t>EFFECTIVE GROSS INCOME  (EGI)</t>
        </is>
      </c>
      <c r="B52" s="196" t="n"/>
      <c r="C52" s="196" t="n"/>
      <c r="D52" s="196" t="n"/>
      <c r="E52" s="44">
        <f>E16+E23+E47+E48+E49+E50</f>
        <v/>
      </c>
      <c r="F52" s="44">
        <f>E20+E27+F47+F48+F49+F50</f>
        <v/>
      </c>
      <c r="G52" s="44">
        <f>F52-E52</f>
        <v/>
      </c>
      <c r="H52" s="45" t="inlineStr">
        <is>
          <t>100% of EGI</t>
        </is>
      </c>
      <c r="K52" t="inlineStr">
        <is>
          <t>$8,000+</t>
        </is>
      </c>
      <c r="L52">
        <f>COUNTIFS('Rent Roll Input'!$S$7:$S$606,'Rent Roll Recon'!$B$2,'Rent Roll Input'!$E$7:$E$606,"&lt;&gt;Vacant",'Rent Roll Input'!$E$7:$E$606,"&lt;&gt;Eviction",'Rent Roll Input'!$H$7:$H$606,"&gt;="&amp;8000,'Rent Roll Input'!$H$7:$H$606,"&lt;="&amp;99999999,'Rent Roll Input'!$D$7:$D$606,"IL")</f>
        <v/>
      </c>
      <c r="M52">
        <f>COUNTIFS('Rent Roll Input'!$S$7:$S$606,'Rent Roll Recon'!$B$2,'Rent Roll Input'!$E$7:$E$606,"&lt;&gt;Vacant",'Rent Roll Input'!$E$7:$E$606,"&lt;&gt;Eviction",'Rent Roll Input'!$H$7:$H$606,"&gt;="&amp;8000,'Rent Roll Input'!$H$7:$H$606,"&lt;="&amp;99999999,'Rent Roll Input'!$D$7:$D$606,"AL")</f>
        <v/>
      </c>
      <c r="N52">
        <f>COUNTIFS('Rent Roll Input'!$S$7:$S$606,'Rent Roll Recon'!$B$2,'Rent Roll Input'!$E$7:$E$606,"&lt;&gt;Vacant",'Rent Roll Input'!$E$7:$E$606,"&lt;&gt;Eviction",'Rent Roll Input'!$H$7:$H$606,"&gt;="&amp;8000,'Rent Roll Input'!$H$7:$H$606,"&lt;="&amp;99999999,'Rent Roll Input'!$D$7:$D$606,"MC")</f>
        <v/>
      </c>
    </row>
    <row r="53" ht="14.25" customHeight="1" s="199">
      <c r="K53" s="213" t="inlineStr">
        <is>
          <t>(hidden helper — T12 monthly revenue for V4)</t>
        </is>
      </c>
    </row>
    <row r="54" ht="14.25" customHeight="1" s="199">
      <c r="A54" s="182" t="inlineStr">
        <is>
          <t>SECTION 3  ·  EXPENSE ANALYSIS  —  T12 ACTUAL  →  NORMALIZED</t>
        </is>
      </c>
      <c r="K54">
        <f>SUMIFS('T12 Raw Data'!F:F,'T12 Raw Data'!$A:$A,"Revenue")</f>
        <v/>
      </c>
      <c r="L54">
        <f>SUMIFS('T12 Raw Data'!G:G,'T12 Raw Data'!$A:$A,"Revenue")</f>
        <v/>
      </c>
      <c r="M54">
        <f>SUMIFS('T12 Raw Data'!H:H,'T12 Raw Data'!$A:$A,"Revenue")</f>
        <v/>
      </c>
      <c r="N54">
        <f>SUMIFS('T12 Raw Data'!I:I,'T12 Raw Data'!$A:$A,"Revenue")</f>
        <v/>
      </c>
      <c r="O54">
        <f>SUMIFS('T12 Raw Data'!J:J,'T12 Raw Data'!$A:$A,"Revenue")</f>
        <v/>
      </c>
      <c r="P54">
        <f>SUMIFS('T12 Raw Data'!K:K,'T12 Raw Data'!$A:$A,"Revenue")</f>
        <v/>
      </c>
      <c r="Q54">
        <f>SUMIFS('T12 Raw Data'!L:L,'T12 Raw Data'!$A:$A,"Revenue")</f>
        <v/>
      </c>
      <c r="R54">
        <f>SUMIFS('T12 Raw Data'!M:M,'T12 Raw Data'!$A:$A,"Revenue")</f>
        <v/>
      </c>
      <c r="S54">
        <f>SUMIFS('T12 Raw Data'!N:N,'T12 Raw Data'!$A:$A,"Revenue")</f>
        <v/>
      </c>
      <c r="T54">
        <f>SUMIFS('T12 Raw Data'!O:O,'T12 Raw Data'!$A:$A,"Revenue")</f>
        <v/>
      </c>
      <c r="U54">
        <f>SUMIFS('T12 Raw Data'!P:P,'T12 Raw Data'!$A:$A,"Revenue")</f>
        <v/>
      </c>
      <c r="V54">
        <f>SUMIFS('T12 Raw Data'!Q:Q,'T12 Raw Data'!$A:$A,"Revenue")</f>
        <v/>
      </c>
    </row>
    <row r="55" ht="14.25" customHeight="1" s="199">
      <c r="A55" s="10" t="inlineStr">
        <is>
          <t>Expense Category</t>
        </is>
      </c>
      <c r="B55" s="10" t="n"/>
      <c r="C55" s="10" t="n"/>
      <c r="D55" s="10" t="n"/>
      <c r="E55" s="10" t="inlineStr">
        <is>
          <t>T12 Actual</t>
        </is>
      </c>
      <c r="F55" s="23" t="inlineStr">
        <is>
          <t>Normalized</t>
        </is>
      </c>
      <c r="G55" s="10" t="inlineStr">
        <is>
          <t>Delta</t>
        </is>
      </c>
      <c r="H55" s="10" t="inlineStr">
        <is>
          <t>Benchmark / Flag</t>
        </is>
      </c>
    </row>
    <row r="56" ht="14.25" customHeight="1" s="199">
      <c r="A56" s="181" t="inlineStr">
        <is>
          <t xml:space="preserve">  DIRECT LABOR</t>
        </is>
      </c>
    </row>
    <row r="57" ht="14.25" customHeight="1" s="199">
      <c r="A57" s="177" t="inlineStr">
        <is>
          <t>Care staff labor  (AL / MC / IL)</t>
        </is>
      </c>
      <c r="B57" s="200" t="n"/>
      <c r="C57" s="200" t="n"/>
      <c r="D57" s="200" t="n"/>
      <c r="E57" s="24">
        <f>IFERROR(INDEX('T12 Raw Data'!R:R,MATCH("Care staff labor",'T12 Raw Data'!B:B,0)),0)</f>
        <v/>
      </c>
      <c r="F57" s="41">
        <f>E57</f>
        <v/>
      </c>
      <c r="G57" s="24">
        <f>F57-E57</f>
        <v/>
      </c>
      <c r="H57" s="15" t="inlineStr">
        <is>
          <t>Direct care staff — CNAs, caregivers, med techs</t>
        </is>
      </c>
    </row>
    <row r="58" ht="14.25" customHeight="1" s="199">
      <c r="A58" s="177" t="inlineStr">
        <is>
          <t>Wellness / care coordinators</t>
        </is>
      </c>
      <c r="B58" s="200" t="n"/>
      <c r="C58" s="200" t="n"/>
      <c r="D58" s="200" t="n"/>
      <c r="E58" s="24">
        <f>IFERROR(INDEX('T12 Raw Data'!R:R,MATCH("Wellness / care coordinators",'T12 Raw Data'!B:B,0)),0)</f>
        <v/>
      </c>
      <c r="F58" s="41">
        <f>E58</f>
        <v/>
      </c>
      <c r="G58" s="24">
        <f>F58-E58</f>
        <v/>
      </c>
      <c r="H58" s="15" t="inlineStr">
        <is>
          <t>RN, LPN, DON — validate licensure requirements by state</t>
        </is>
      </c>
    </row>
    <row r="59" ht="14.25" customHeight="1" s="199">
      <c r="A59" s="180" t="inlineStr">
        <is>
          <t>Contract / agency labor</t>
        </is>
      </c>
      <c r="B59" s="46" t="n"/>
      <c r="C59" s="46" t="n"/>
      <c r="D59" s="46" t="n"/>
      <c r="E59" s="47">
        <f>IFERROR(INDEX('T12 Raw Data'!R:R,MATCH("Contract / agency labor",'T12 Raw Data'!B:B,0)),0)</f>
        <v/>
      </c>
      <c r="F59" s="41">
        <f>E59</f>
        <v/>
      </c>
      <c r="G59" s="47">
        <f>F59-E59</f>
        <v/>
      </c>
      <c r="H59" s="38" t="inlineStr">
        <is>
          <t>⚠ ELEVATED at distress  Normalize to $0 at stabilization; add back if planned</t>
        </is>
      </c>
    </row>
    <row r="60" ht="14.25" customHeight="1" s="199">
      <c r="A60" s="177" t="inlineStr">
        <is>
          <t>Activities labor</t>
        </is>
      </c>
      <c r="B60" s="200" t="n"/>
      <c r="C60" s="200" t="n"/>
      <c r="D60" s="200" t="n"/>
      <c r="E60" s="24">
        <f>IFERROR(INDEX('T12 Raw Data'!R:R,MATCH("Activities labor",'T12 Raw Data'!B:B,0)),0)</f>
        <v/>
      </c>
      <c r="F60" s="41">
        <f>E60</f>
        <v/>
      </c>
      <c r="G60" s="24">
        <f>F60-E60</f>
        <v/>
      </c>
      <c r="H60" s="15" t="n"/>
    </row>
    <row r="61" ht="14.25" customHeight="1" s="199">
      <c r="A61" s="177" t="inlineStr">
        <is>
          <t>Dining / food service labor</t>
        </is>
      </c>
      <c r="B61" s="200" t="n"/>
      <c r="C61" s="200" t="n"/>
      <c r="D61" s="200" t="n"/>
      <c r="E61" s="24">
        <f>IFERROR(INDEX('T12 Raw Data'!R:R,MATCH("Dining / food service labor",'T12 Raw Data'!B:B,0)),0)</f>
        <v/>
      </c>
      <c r="F61" s="41">
        <f>E61</f>
        <v/>
      </c>
      <c r="G61" s="24">
        <f>F61-E61</f>
        <v/>
      </c>
      <c r="H61" s="15" t="inlineStr">
        <is>
          <t>All kitchen and dining room staff</t>
        </is>
      </c>
    </row>
    <row r="62" ht="14.25" customHeight="1" s="199">
      <c r="A62" s="177" t="inlineStr">
        <is>
          <t>Maintenance &amp; housekeeping labor</t>
        </is>
      </c>
      <c r="B62" s="200" t="n"/>
      <c r="C62" s="200" t="n"/>
      <c r="D62" s="200" t="n"/>
      <c r="E62" s="24">
        <f>IFERROR(INDEX('T12 Raw Data'!R:R,MATCH("Maint. &amp; housekeeping labor",'T12 Raw Data'!B:B,0)),0)</f>
        <v/>
      </c>
      <c r="F62" s="41">
        <f>E62</f>
        <v/>
      </c>
      <c r="G62" s="24">
        <f>F62-E62</f>
        <v/>
      </c>
      <c r="H62" s="15" t="n"/>
    </row>
    <row r="63" ht="14.25" customHeight="1" s="199">
      <c r="A63" s="177" t="inlineStr">
        <is>
          <t>Administrative labor</t>
        </is>
      </c>
      <c r="B63" s="200" t="n"/>
      <c r="C63" s="200" t="n"/>
      <c r="D63" s="200" t="n"/>
      <c r="E63" s="24">
        <f>IFERROR(INDEX('T12 Raw Data'!R:R,MATCH("Administrative labor",'T12 Raw Data'!B:B,0)),0)</f>
        <v/>
      </c>
      <c r="F63" s="41">
        <f>E63</f>
        <v/>
      </c>
      <c r="G63" s="24">
        <f>F63-E63</f>
        <v/>
      </c>
      <c r="H63" s="15" t="inlineStr">
        <is>
          <t>ED, business office, marketing / sales FTEs</t>
        </is>
      </c>
    </row>
    <row r="64" ht="14.25" customHeight="1" s="199">
      <c r="A64" s="180" t="inlineStr">
        <is>
          <t>Bonus wages</t>
        </is>
      </c>
      <c r="B64" s="46" t="n"/>
      <c r="C64" s="46" t="n"/>
      <c r="D64" s="46" t="n"/>
      <c r="E64" s="47">
        <f>IFERROR(INDEX('T12 Raw Data'!R:R,MATCH("Bonus wages",'T12 Raw Data'!B:B,0)),0)</f>
        <v/>
      </c>
      <c r="F64" s="41">
        <f>E64</f>
        <v/>
      </c>
      <c r="G64" s="47">
        <f>F64-E64</f>
        <v/>
      </c>
      <c r="H64" s="38" t="inlineStr">
        <is>
          <t>⚠ VARIABLE  Normalize to stabilized annual bonus assumption</t>
        </is>
      </c>
    </row>
    <row r="65" ht="14.25" customHeight="1" s="199">
      <c r="A65" s="183" t="inlineStr">
        <is>
          <t xml:space="preserve">  Total direct labor</t>
        </is>
      </c>
      <c r="B65" s="196" t="n"/>
      <c r="C65" s="196" t="n"/>
      <c r="D65" s="197" t="n"/>
      <c r="E65" s="30">
        <f>SUM(E57:E64)</f>
        <v/>
      </c>
      <c r="F65" s="30">
        <f>SUM(F57:F64)</f>
        <v/>
      </c>
      <c r="G65" s="30">
        <f>F65-E65</f>
        <v/>
      </c>
      <c r="H65" s="48" t="n"/>
    </row>
    <row r="66" ht="14.25" customHeight="1" s="199"/>
    <row r="67" ht="14.25" customHeight="1" s="199">
      <c r="A67" s="181" t="inlineStr">
        <is>
          <t xml:space="preserve">  PAYROLL BURDEN</t>
        </is>
      </c>
    </row>
    <row r="68" ht="14.25" customHeight="1" s="199">
      <c r="A68" s="180" t="inlineStr">
        <is>
          <t>Overtime wages</t>
        </is>
      </c>
      <c r="B68" s="46" t="n"/>
      <c r="C68" s="46" t="n"/>
      <c r="D68" s="46" t="n"/>
      <c r="E68" s="47">
        <f>IFERROR(INDEX('T12 Raw Data'!R:R,MATCH("Overtime wages",'T12 Raw Data'!B:B,0)),0)</f>
        <v/>
      </c>
      <c r="F68" s="41">
        <f>E68</f>
        <v/>
      </c>
      <c r="G68" s="47">
        <f>F68-E68</f>
        <v/>
      </c>
      <c r="H68" s="38" t="inlineStr">
        <is>
          <t>⚠ EXCESS OT  Normalize to ≤5% of direct wages; flag gap vs. T12</t>
        </is>
      </c>
    </row>
    <row r="69" ht="14.25" customHeight="1" s="199">
      <c r="A69" s="180" t="inlineStr">
        <is>
          <t>PTO wages</t>
        </is>
      </c>
      <c r="B69" s="46" t="n"/>
      <c r="C69" s="46" t="n"/>
      <c r="D69" s="46" t="n"/>
      <c r="E69" s="47">
        <f>IFERROR(INDEX('T12 Raw Data'!R:R,MATCH("PTO wages",'T12 Raw Data'!B:B,0)),0)</f>
        <v/>
      </c>
      <c r="F69" s="41">
        <f>E69</f>
        <v/>
      </c>
      <c r="G69" s="47">
        <f>F69-E69</f>
        <v/>
      </c>
      <c r="H69" s="38" t="inlineStr">
        <is>
          <t>⚠ LUMPY  Annualize; normalize to steady-state accrual rate</t>
        </is>
      </c>
    </row>
    <row r="70" ht="14.25" customHeight="1" s="199">
      <c r="A70" s="177" t="inlineStr">
        <is>
          <t>Payroll taxes</t>
        </is>
      </c>
      <c r="B70" s="200" t="n"/>
      <c r="C70" s="200" t="n"/>
      <c r="D70" s="200" t="n"/>
      <c r="E70" s="24">
        <f>IFERROR(INDEX('T12 Raw Data'!R:R,MATCH("Payroll taxes",'T12 Raw Data'!B:B,0)),0)</f>
        <v/>
      </c>
      <c r="F70" s="41">
        <f>E70</f>
        <v/>
      </c>
      <c r="G70" s="24">
        <f>F70-E70</f>
        <v/>
      </c>
      <c r="H70" s="15" t="inlineStr">
        <is>
          <t>FICA, SUTA, FUTA, UI — track at ~8–10% of gross wages</t>
        </is>
      </c>
    </row>
    <row r="71" ht="14.25" customHeight="1" s="199">
      <c r="A71" s="177" t="inlineStr">
        <is>
          <t>Employee benefits  (health / dental / vision)</t>
        </is>
      </c>
      <c r="B71" s="200" t="n"/>
      <c r="C71" s="200" t="n"/>
      <c r="D71" s="200" t="n"/>
      <c r="E71" s="24">
        <f>IFERROR(INDEX('T12 Raw Data'!R:R,MATCH("Employee benefits",'T12 Raw Data'!B:B,0)),0)</f>
        <v/>
      </c>
      <c r="F71" s="41">
        <f>E71</f>
        <v/>
      </c>
      <c r="G71" s="24">
        <f>F71-E71</f>
        <v/>
      </c>
      <c r="H71" s="15" t="inlineStr">
        <is>
          <t>Validate per-FTE cost; check enrollment changes</t>
        </is>
      </c>
    </row>
    <row r="72" ht="14.25" customHeight="1" s="199">
      <c r="A72" s="177" t="inlineStr">
        <is>
          <t>Workers’ comp insurance</t>
        </is>
      </c>
      <c r="B72" s="200" t="n"/>
      <c r="C72" s="200" t="n"/>
      <c r="D72" s="200" t="n"/>
      <c r="E72" s="24">
        <f>IFERROR(INDEX('T12 Raw Data'!R:R,MATCH("Workers' comp insurance",'T12 Raw Data'!B:B,0)),0)</f>
        <v/>
      </c>
      <c r="F72" s="41">
        <f>E72</f>
        <v/>
      </c>
      <c r="G72" s="24">
        <f>F72-E72</f>
        <v/>
      </c>
      <c r="H72" s="15" t="inlineStr">
        <is>
          <t>Check experience mod; elevated at distressed facilities</t>
        </is>
      </c>
    </row>
    <row r="73" ht="14.25" customHeight="1" s="199">
      <c r="A73" s="177" t="inlineStr">
        <is>
          <t>Employee 401(k) / retirement</t>
        </is>
      </c>
      <c r="B73" s="200" t="n"/>
      <c r="C73" s="200" t="n"/>
      <c r="D73" s="200" t="n"/>
      <c r="E73" s="24">
        <f>IFERROR(INDEX('T12 Raw Data'!R:R,MATCH("Employee 401(k)",'T12 Raw Data'!B:B,0)),0)</f>
        <v/>
      </c>
      <c r="F73" s="41">
        <f>E73</f>
        <v/>
      </c>
      <c r="G73" s="24">
        <f>F73-E73</f>
        <v/>
      </c>
      <c r="H73" s="15" t="inlineStr">
        <is>
          <t>Typically 1–3% of eligible wages</t>
        </is>
      </c>
    </row>
    <row r="74" ht="14.25" customHeight="1" s="199">
      <c r="A74" s="183" t="inlineStr">
        <is>
          <t xml:space="preserve">  Total payroll burden</t>
        </is>
      </c>
      <c r="B74" s="48" t="n"/>
      <c r="C74" s="48" t="n"/>
      <c r="D74" s="48" t="n"/>
      <c r="E74" s="30">
        <f>SUM(E68:E73)</f>
        <v/>
      </c>
      <c r="F74" s="30">
        <f>SUM(F68:F73)</f>
        <v/>
      </c>
      <c r="G74" s="30">
        <f>F74-E74</f>
        <v/>
      </c>
      <c r="H74" s="48" t="n"/>
    </row>
    <row r="75" ht="14.25" customHeight="1" s="199"/>
    <row r="76" ht="14.25" customHeight="1" s="199">
      <c r="A76" s="49" t="inlineStr">
        <is>
          <t>TOTAL LABOR &amp; BURDEN</t>
        </is>
      </c>
      <c r="B76" s="196" t="n"/>
      <c r="C76" s="196" t="n"/>
      <c r="D76" s="196" t="n"/>
      <c r="E76" s="50">
        <f>E65+E74</f>
        <v/>
      </c>
      <c r="F76" s="50">
        <f>F65+F74</f>
        <v/>
      </c>
      <c r="G76" s="50">
        <f>F76-E76</f>
        <v/>
      </c>
      <c r="H76" s="51" t="inlineStr">
        <is>
          <t>Target: 55–65% of EGI</t>
        </is>
      </c>
    </row>
    <row r="77" ht="14.25" customHeight="1" s="199"/>
    <row r="78" ht="14.25" customHeight="1" s="199">
      <c r="A78" s="181" t="inlineStr">
        <is>
          <t xml:space="preserve">  NON-LABOR OPERATING EXPENSES</t>
        </is>
      </c>
    </row>
    <row r="79" ht="14.25" customHeight="1" s="199">
      <c r="A79" s="177" t="inlineStr">
        <is>
          <t>Food cost</t>
        </is>
      </c>
      <c r="B79" s="200" t="n"/>
      <c r="C79" s="200" t="n"/>
      <c r="D79" s="200" t="n"/>
      <c r="E79" s="24">
        <f>IFERROR(INDEX('T12 Raw Data'!R:R,MATCH("Food cost",'T12 Raw Data'!B:B,0)),0)</f>
        <v/>
      </c>
      <c r="F79" s="41">
        <f>E79</f>
        <v/>
      </c>
      <c r="G79" s="24">
        <f>F79-E79</f>
        <v/>
      </c>
      <c r="H79" s="15" t="inlineStr">
        <is>
          <t>Benchmark: $8–12 PPD for AL; $10–14 for MC; $10–16 for IL</t>
        </is>
      </c>
    </row>
    <row r="80" ht="14.25" customHeight="1" s="199">
      <c r="A80" s="177" t="inlineStr">
        <is>
          <t>Dining &amp; kitchen supplies</t>
        </is>
      </c>
      <c r="B80" s="200" t="n"/>
      <c r="C80" s="200" t="n"/>
      <c r="D80" s="200" t="n"/>
      <c r="E80" s="24">
        <f>IFERROR(INDEX('T12 Raw Data'!R:R,MATCH("Dining &amp; kitchen supplies",'T12 Raw Data'!B:B,0)),0)</f>
        <v/>
      </c>
      <c r="F80" s="41">
        <f>E80</f>
        <v/>
      </c>
      <c r="G80" s="24">
        <f>F80-E80</f>
        <v/>
      </c>
      <c r="H80" s="15" t="inlineStr">
        <is>
          <t>Dietary + kitchen supplies combined</t>
        </is>
      </c>
    </row>
    <row r="81" ht="14.25" customHeight="1" s="199">
      <c r="A81" s="177" t="inlineStr">
        <is>
          <t>Nursing &amp; care supplies</t>
        </is>
      </c>
      <c r="B81" s="200" t="n"/>
      <c r="C81" s="200" t="n"/>
      <c r="D81" s="200" t="n"/>
      <c r="E81" s="24">
        <f>IFERROR(INDEX('T12 Raw Data'!R:R,MATCH("Nursing &amp; care supplies",'T12 Raw Data'!B:B,0)),0)</f>
        <v/>
      </c>
      <c r="F81" s="41">
        <f>E81</f>
        <v/>
      </c>
      <c r="G81" s="24">
        <f>F81-E81</f>
        <v/>
      </c>
      <c r="H81" s="15" t="inlineStr">
        <is>
          <t>Incontinence, medications, PPE, clinical supplies</t>
        </is>
      </c>
    </row>
    <row r="82" ht="14.25" customHeight="1" s="199">
      <c r="A82" s="177" t="inlineStr">
        <is>
          <t>Recreation &amp; activity supplies</t>
        </is>
      </c>
      <c r="B82" s="200" t="n"/>
      <c r="C82" s="200" t="n"/>
      <c r="D82" s="200" t="n"/>
      <c r="E82" s="24">
        <f>IFERROR(INDEX('T12 Raw Data'!R:R,MATCH("Recreation &amp; activity suppl.",'T12 Raw Data'!B:B,0)),0)</f>
        <v/>
      </c>
      <c r="F82" s="41">
        <f>E82</f>
        <v/>
      </c>
      <c r="G82" s="24">
        <f>F82-E82</f>
        <v/>
      </c>
      <c r="H82" s="15" t="n"/>
    </row>
    <row r="83" ht="14.25" customHeight="1" s="199">
      <c r="A83" s="177" t="inlineStr">
        <is>
          <t>R&amp;M — fixed  (contracts)</t>
        </is>
      </c>
      <c r="B83" s="200" t="n"/>
      <c r="C83" s="200" t="n"/>
      <c r="D83" s="200" t="n"/>
      <c r="E83" s="24">
        <f>IFERROR(INDEX('T12 Raw Data'!R:R,MATCH("R&amp;M fixed",'T12 Raw Data'!B:B,0)),0)</f>
        <v/>
      </c>
      <c r="F83" s="41">
        <f>E83</f>
        <v/>
      </c>
      <c r="G83" s="24">
        <f>F83-E83</f>
        <v/>
      </c>
      <c r="H83" s="15" t="inlineStr">
        <is>
          <t>Elevator, HVAC, generator, fire suppression contracts</t>
        </is>
      </c>
    </row>
    <row r="84" ht="14.25" customHeight="1" s="199">
      <c r="A84" s="177" t="inlineStr">
        <is>
          <t>R&amp;M — variable  (repairs)</t>
        </is>
      </c>
      <c r="B84" s="200" t="n"/>
      <c r="C84" s="200" t="n"/>
      <c r="D84" s="200" t="n"/>
      <c r="E84" s="24">
        <f>IFERROR(INDEX('T12 Raw Data'!R:R,MATCH("R&amp;M variable",'T12 Raw Data'!B:B,0)),0)</f>
        <v/>
      </c>
      <c r="F84" s="41">
        <f>E84</f>
        <v/>
      </c>
      <c r="G84" s="24">
        <f>F84-E84</f>
        <v/>
      </c>
      <c r="H84" s="15" t="inlineStr">
        <is>
          <t>Variable repairs; flag spikes indicating deferred maintenance</t>
        </is>
      </c>
    </row>
    <row r="85" ht="14.25" customHeight="1" s="199">
      <c r="A85" s="177" t="inlineStr">
        <is>
          <t>Housekeeping &amp; laundry supplies</t>
        </is>
      </c>
      <c r="B85" s="200" t="n"/>
      <c r="C85" s="200" t="n"/>
      <c r="D85" s="200" t="n"/>
      <c r="E85" s="24">
        <f>IFERROR(INDEX('T12 Raw Data'!R:R,MATCH("HK &amp; laundry supplies",'T12 Raw Data'!B:B,0)),0)</f>
        <v/>
      </c>
      <c r="F85" s="41">
        <f>E85</f>
        <v/>
      </c>
      <c r="G85" s="24">
        <f>F85-E85</f>
        <v/>
      </c>
      <c r="H85" s="15" t="inlineStr">
        <is>
          <t>Includes external linen service if outsourced</t>
        </is>
      </c>
    </row>
    <row r="86" ht="14.25" customHeight="1" s="199">
      <c r="A86" s="177" t="inlineStr">
        <is>
          <t>Sales, advertising &amp; marketing</t>
        </is>
      </c>
      <c r="B86" s="200" t="n"/>
      <c r="C86" s="200" t="n"/>
      <c r="D86" s="200" t="n"/>
      <c r="E86" s="24">
        <f>IFERROR(INDEX('T12 Raw Data'!R:R,MATCH("Sales, adv. &amp; marketing",'T12 Raw Data'!B:B,0)),0)</f>
        <v/>
      </c>
      <c r="F86" s="41">
        <f>E86</f>
        <v/>
      </c>
      <c r="G86" s="24">
        <f>F86-E86</f>
        <v/>
      </c>
      <c r="H86" s="15" t="inlineStr">
        <is>
          <t>Benchmark: 2–5% of revenue; includes digital + events</t>
        </is>
      </c>
    </row>
    <row r="87" ht="14.25" customHeight="1" s="199">
      <c r="A87" s="180" t="inlineStr">
        <is>
          <t>Referral fees</t>
        </is>
      </c>
      <c r="B87" s="46" t="n"/>
      <c r="C87" s="46" t="n"/>
      <c r="D87" s="46" t="n"/>
      <c r="E87" s="47">
        <f>IFERROR(INDEX('T12 Raw Data'!R:R,MATCH("Referral fees",'T12 Raw Data'!B:B,0)),0)</f>
        <v/>
      </c>
      <c r="F87" s="41">
        <f>E87</f>
        <v/>
      </c>
      <c r="G87" s="47">
        <f>F87-E87</f>
        <v/>
      </c>
      <c r="H87" s="38" t="inlineStr">
        <is>
          <t>⚠ STABILIZE  Normalize to $0 at steady occupancy; include ramp-up schedule</t>
        </is>
      </c>
    </row>
    <row r="88" ht="14.25" customHeight="1" s="199">
      <c r="A88" s="177" t="inlineStr">
        <is>
          <t>Utilities  (electric, gas, water, trash)</t>
        </is>
      </c>
      <c r="B88" s="200" t="n"/>
      <c r="C88" s="200" t="n"/>
      <c r="D88" s="200" t="n"/>
      <c r="E88" s="24">
        <f>IFERROR(INDEX('T12 Raw Data'!R:R,MATCH("Utilities",'T12 Raw Data'!B:B,0)),0)</f>
        <v/>
      </c>
      <c r="F88" s="41">
        <f>E88</f>
        <v/>
      </c>
      <c r="G88" s="24">
        <f>F88-E88</f>
        <v/>
      </c>
      <c r="H88" s="15" t="n"/>
    </row>
    <row r="89" ht="14.25" customHeight="1" s="199">
      <c r="A89" s="177" t="inlineStr">
        <is>
          <t>Telephone / IT / technology</t>
        </is>
      </c>
      <c r="B89" s="200" t="n"/>
      <c r="C89" s="200" t="n"/>
      <c r="D89" s="200" t="n"/>
      <c r="E89" s="24">
        <f>IFERROR(INDEX('T12 Raw Data'!R:R,MATCH("Telephone / IT",'T12 Raw Data'!B:B,0)),0)</f>
        <v/>
      </c>
      <c r="F89" s="41">
        <f>E89</f>
        <v/>
      </c>
      <c r="G89" s="24">
        <f>F89-E89</f>
        <v/>
      </c>
      <c r="H89" s="15" t="inlineStr">
        <is>
          <t>Review for one-time credits or service changes; include EHR/EMR</t>
        </is>
      </c>
    </row>
    <row r="90" ht="14.25" customHeight="1" s="199">
      <c r="A90" s="177" t="inlineStr">
        <is>
          <t>P&amp;C insurance  (bundled)</t>
        </is>
      </c>
      <c r="B90" s="200" t="n"/>
      <c r="C90" s="200" t="n"/>
      <c r="D90" s="200" t="n"/>
      <c r="E90" s="24">
        <f>IFERROR(INDEX('T12 Raw Data'!R:R,MATCH("P&amp;C insurance (bundled)",'T12 Raw Data'!B:B,0)),0)</f>
        <v/>
      </c>
      <c r="F90" s="41">
        <f>E90</f>
        <v/>
      </c>
      <c r="G90" s="24">
        <f>F90-E90</f>
        <v/>
      </c>
      <c r="H90" s="15" t="inlineStr">
        <is>
          <t>Confirm policy year / renewal; check for mid-year adjustments</t>
        </is>
      </c>
    </row>
    <row r="91" ht="14.25" customHeight="1" s="199">
      <c r="A91" s="177" t="inlineStr">
        <is>
          <t>Auto insurance</t>
        </is>
      </c>
      <c r="B91" s="200" t="n"/>
      <c r="C91" s="200" t="n"/>
      <c r="D91" s="200" t="n"/>
      <c r="E91" s="24">
        <f>IFERROR(INDEX('T12 Raw Data'!R:R,MATCH("Auto insurance",'T12 Raw Data'!B:B,0)),0)</f>
        <v/>
      </c>
      <c r="F91" s="41">
        <f>E91</f>
        <v/>
      </c>
      <c r="G91" s="24">
        <f>F91-E91</f>
        <v/>
      </c>
      <c r="H91" s="15" t="n"/>
    </row>
    <row r="92" ht="14.25" customHeight="1" s="199">
      <c r="A92" s="177" t="inlineStr">
        <is>
          <t>Fire / security monitoring</t>
        </is>
      </c>
      <c r="B92" s="200" t="n"/>
      <c r="C92" s="200" t="n"/>
      <c r="D92" s="200" t="n"/>
      <c r="E92" s="24">
        <f>IFERROR(INDEX('T12 Raw Data'!R:R,MATCH("Fire / security monitoring",'T12 Raw Data'!B:B,0)),0)</f>
        <v/>
      </c>
      <c r="F92" s="41">
        <f>E92</f>
        <v/>
      </c>
      <c r="G92" s="24">
        <f>F92-E92</f>
        <v/>
      </c>
      <c r="H92" s="15" t="inlineStr">
        <is>
          <t>Contract-based; confirm annual cost</t>
        </is>
      </c>
    </row>
    <row r="93" ht="14.25" customHeight="1" s="199">
      <c r="A93" s="177" t="inlineStr">
        <is>
          <t>Pest elimination</t>
        </is>
      </c>
      <c r="B93" s="200" t="n"/>
      <c r="C93" s="200" t="n"/>
      <c r="D93" s="200" t="n"/>
      <c r="E93" s="24">
        <f>IFERROR(INDEX('T12 Raw Data'!R:R,MATCH("Pest elimination",'T12 Raw Data'!B:B,0)),0)</f>
        <v/>
      </c>
      <c r="F93" s="41">
        <f>E93</f>
        <v/>
      </c>
      <c r="G93" s="24">
        <f>F93-E93</f>
        <v/>
      </c>
      <c r="H93" s="15" t="n"/>
    </row>
    <row r="94" ht="14.25" customHeight="1" s="199">
      <c r="A94" s="180" t="inlineStr">
        <is>
          <t>Real estate taxes</t>
        </is>
      </c>
      <c r="B94" s="196" t="n"/>
      <c r="C94" s="196" t="n"/>
      <c r="D94" s="197" t="n"/>
      <c r="E94" s="47">
        <f>IFERROR(INDEX('T12 Raw Data'!R:R,MATCH("Real estate taxes",'T12 Raw Data'!B:B,0)),0)</f>
        <v/>
      </c>
      <c r="F94" s="41">
        <f>E94</f>
        <v/>
      </c>
      <c r="G94" s="47">
        <f>F94-E94</f>
        <v/>
      </c>
      <c r="H94" s="38" t="inlineStr">
        <is>
          <t>⚠ VERIFY  Confirm assessed value post-acquisition; exclude reversals</t>
        </is>
      </c>
    </row>
    <row r="95" ht="14.25" customHeight="1" s="199">
      <c r="A95" s="177" t="inlineStr">
        <is>
          <t>Personal property taxes</t>
        </is>
      </c>
      <c r="B95" s="200" t="n"/>
      <c r="C95" s="200" t="n"/>
      <c r="D95" s="200" t="n"/>
      <c r="E95" s="24">
        <f>IFERROR(INDEX('T12 Raw Data'!R:R,MATCH("Personal property taxes",'T12 Raw Data'!B:B,0)),0)</f>
        <v/>
      </c>
      <c r="F95" s="41">
        <f>E95</f>
        <v/>
      </c>
      <c r="G95" s="24">
        <f>F95-E95</f>
        <v/>
      </c>
      <c r="H95" s="15" t="n"/>
    </row>
    <row r="96" ht="14.25" customHeight="1" s="199">
      <c r="A96" s="177" t="inlineStr">
        <is>
          <t>Legal expenses</t>
        </is>
      </c>
      <c r="B96" s="200" t="n"/>
      <c r="C96" s="200" t="n"/>
      <c r="D96" s="200" t="n"/>
      <c r="E96" s="24">
        <f>IFERROR(INDEX('T12 Raw Data'!R:R,MATCH("Legal expenses",'T12 Raw Data'!B:B,0)),0)</f>
        <v/>
      </c>
      <c r="F96" s="41">
        <f>E96</f>
        <v/>
      </c>
      <c r="G96" s="24">
        <f>F96-E96</f>
        <v/>
      </c>
      <c r="H96" s="15" t="n"/>
    </row>
    <row r="97" ht="14.25" customHeight="1" s="199">
      <c r="A97" s="177" t="inlineStr">
        <is>
          <t>Professional services  (accounting / consulting)</t>
        </is>
      </c>
      <c r="B97" s="196" t="n"/>
      <c r="C97" s="196" t="n"/>
      <c r="D97" s="197" t="n"/>
      <c r="E97" s="24">
        <f>IFERROR(INDEX('T12 Raw Data'!R:R,MATCH("Professional services",'T12 Raw Data'!B:B,0)),0)</f>
        <v/>
      </c>
      <c r="F97" s="41">
        <f>E97</f>
        <v/>
      </c>
      <c r="G97" s="24">
        <f>F97-E97</f>
        <v/>
      </c>
      <c r="H97" s="15" t="inlineStr">
        <is>
          <t>Includes dietary consultant, audit, accounting</t>
        </is>
      </c>
    </row>
    <row r="98" ht="14.25" customHeight="1" s="199">
      <c r="A98" s="180" t="inlineStr">
        <is>
          <t>Bad debt expense</t>
        </is>
      </c>
      <c r="B98" s="46" t="n"/>
      <c r="C98" s="46" t="n"/>
      <c r="D98" s="46" t="n"/>
      <c r="E98" s="47">
        <f>IFERROR(INDEX('T12 Raw Data'!R:R,MATCH("Bad debt expense",'T12 Raw Data'!B:B,0)),0)</f>
        <v/>
      </c>
      <c r="F98" s="41">
        <f>E98</f>
        <v/>
      </c>
      <c r="G98" s="47">
        <f>F98-E98</f>
        <v/>
      </c>
      <c r="H98" s="38" t="inlineStr">
        <is>
          <t>⚠ ELEVATED  Normalize to 1–2% of gross revenue at stabilization</t>
        </is>
      </c>
    </row>
    <row r="99" ht="14.25" customHeight="1" s="199">
      <c r="A99" s="177" t="inlineStr">
        <is>
          <t>Permits, licenses &amp; dues</t>
        </is>
      </c>
      <c r="B99" s="196" t="n"/>
      <c r="C99" s="196" t="n"/>
      <c r="D99" s="197" t="n"/>
      <c r="E99" s="24">
        <f>IFERROR(INDEX('T12 Raw Data'!R:R,MATCH("Permits, licenses &amp; dues",'T12 Raw Data'!B:B,0)),0)</f>
        <v/>
      </c>
      <c r="F99" s="41">
        <f>E99</f>
        <v/>
      </c>
      <c r="G99" s="24">
        <f>F99-E99</f>
        <v/>
      </c>
      <c r="H99" s="15" t="inlineStr">
        <is>
          <t>State survey fees, DOH, association dues, clinical licenses</t>
        </is>
      </c>
    </row>
    <row r="100" ht="14.25" customHeight="1" s="199">
      <c r="A100" s="177" t="inlineStr">
        <is>
          <t>Office, admin &amp; G&amp;A</t>
        </is>
      </c>
      <c r="B100" s="200" t="n"/>
      <c r="C100" s="200" t="n"/>
      <c r="D100" s="200" t="n"/>
      <c r="E100" s="24">
        <f>IFERROR(INDEX('T12 Raw Data'!R:R,MATCH("Office, admin &amp; G&amp;A",'T12 Raw Data'!B:B,0)),0)</f>
        <v/>
      </c>
      <c r="F100" s="41">
        <f>E100</f>
        <v/>
      </c>
      <c r="G100" s="24">
        <f>F100-E100</f>
        <v/>
      </c>
      <c r="H100" s="15" t="inlineStr">
        <is>
          <t>Postage, printing, copier, bank charges, pre-employment, auto expenses</t>
        </is>
      </c>
    </row>
    <row r="101" ht="14.25" customHeight="1" s="199">
      <c r="A101" s="177" t="inlineStr">
        <is>
          <t>Other / miscellaneous</t>
        </is>
      </c>
      <c r="B101" s="200" t="n"/>
      <c r="C101" s="200" t="n"/>
      <c r="D101" s="200" t="n"/>
      <c r="E101" s="24">
        <f>IFERROR(INDEX('T12 Raw Data'!R:R,MATCH("Other / miscellaneous",'T12 Raw Data'!B:B,0)),0)</f>
        <v/>
      </c>
      <c r="F101" s="41">
        <f>E101</f>
        <v/>
      </c>
      <c r="G101" s="24">
        <f>F101-E101</f>
        <v/>
      </c>
      <c r="H101" s="15" t="n"/>
    </row>
    <row r="102" ht="14.25" customHeight="1" s="199">
      <c r="A102" s="180" t="inlineStr">
        <is>
          <t>Lease / ground lease  (if applicable)</t>
        </is>
      </c>
      <c r="B102" s="196" t="n"/>
      <c r="C102" s="196" t="n"/>
      <c r="D102" s="197" t="n"/>
      <c r="E102" s="47">
        <f>IFERROR(INDEX('T12 Raw Data'!R:R,MATCH("Lease / ground lease",'T12 Raw Data'!B:B,0)),0)</f>
        <v/>
      </c>
      <c r="F102" s="52">
        <f>E102</f>
        <v/>
      </c>
      <c r="G102" s="47">
        <f>F102-E102</f>
        <v/>
      </c>
      <c r="H102" s="38" t="inlineStr">
        <is>
          <t>⚠ MANUAL ENTRY — enter lease expense if facility is leased; excluded from Raw Data auto-mapping</t>
        </is>
      </c>
    </row>
    <row r="103" ht="14.25" customHeight="1" s="199">
      <c r="A103" s="183" t="inlineStr">
        <is>
          <t xml:space="preserve">  Total non-labor opex</t>
        </is>
      </c>
      <c r="B103" s="48" t="n"/>
      <c r="C103" s="48" t="n"/>
      <c r="D103" s="48" t="n"/>
      <c r="E103" s="30">
        <f>SUM(E79:E102)</f>
        <v/>
      </c>
      <c r="F103" s="30">
        <f>SUM(F79:F102)</f>
        <v/>
      </c>
      <c r="G103" s="30">
        <f>F103-E103</f>
        <v/>
      </c>
      <c r="H103" s="48" t="n"/>
    </row>
    <row r="104" ht="14.25" customHeight="1" s="199"/>
    <row r="105" ht="14.25" customHeight="1" s="199">
      <c r="A105" s="49" t="inlineStr">
        <is>
          <t>TOTAL OPERATING EXPENSES  (excl. mgmt fee)</t>
        </is>
      </c>
      <c r="B105" s="196" t="n"/>
      <c r="C105" s="196" t="n"/>
      <c r="D105" s="196" t="n"/>
      <c r="E105" s="50">
        <f>E76+E103</f>
        <v/>
      </c>
      <c r="F105" s="50">
        <f>F76+F103</f>
        <v/>
      </c>
      <c r="G105" s="50">
        <f>F105-E105</f>
        <v/>
      </c>
      <c r="H105" s="53" t="n"/>
    </row>
    <row r="106" ht="14.25" customHeight="1" s="199">
      <c r="A106" s="180" t="inlineStr">
        <is>
          <t>Management fee</t>
        </is>
      </c>
      <c r="B106" s="46" t="n"/>
      <c r="C106" s="46" t="n"/>
      <c r="D106" s="46" t="n"/>
      <c r="E106" s="47">
        <f>IFERROR(INDEX('T12 Raw Data'!R:R,MATCH("Management fee",'T12 Raw Data'!B:B,0)),0)</f>
        <v/>
      </c>
      <c r="F106" s="41">
        <f>E106</f>
        <v/>
      </c>
      <c r="G106" s="47">
        <f>F106-E106</f>
        <v/>
      </c>
      <c r="H106" s="38" t="inlineStr">
        <is>
          <t>EXCLUDED from EBITDARM  Evaluate operator separately from real estate; typically 5–7% of revenue</t>
        </is>
      </c>
    </row>
    <row r="107" ht="14.25" customHeight="1" s="199"/>
    <row r="108" ht="14.25" customHeight="1" s="199">
      <c r="A108" s="54" t="inlineStr">
        <is>
          <t>EBITDARM</t>
        </is>
      </c>
      <c r="B108" s="196" t="n"/>
      <c r="C108" s="196" t="n"/>
      <c r="D108" s="197" t="n"/>
      <c r="E108" s="56">
        <f>E52-E105</f>
        <v/>
      </c>
      <c r="F108" s="56">
        <f>F52-F105</f>
        <v/>
      </c>
      <c r="G108" s="56">
        <f>F108-E108</f>
        <v/>
      </c>
      <c r="H108" s="57">
        <f>IFERROR("DARM margin: "&amp;TEXT(F108/F52,"0.0%"),"")</f>
        <v/>
      </c>
    </row>
    <row r="109" ht="14.25" customHeight="1" s="199"/>
    <row r="110" ht="14.25" customHeight="1" s="199">
      <c r="A110" s="58" t="inlineStr">
        <is>
          <t>EBITDAR  (after mgmt fee)</t>
        </is>
      </c>
      <c r="B110" s="196" t="n"/>
      <c r="C110" s="196" t="n"/>
      <c r="D110" s="197" t="n"/>
      <c r="E110" s="59">
        <f>E108-E106</f>
        <v/>
      </c>
      <c r="F110" s="59">
        <f>F108-F106</f>
        <v/>
      </c>
      <c r="G110" s="59">
        <f>F110-E110</f>
        <v/>
      </c>
      <c r="H110" s="60">
        <f>IFERROR("DAR margin: "&amp;TEXT(F110/F52,"0.0%"),"")</f>
        <v/>
      </c>
    </row>
    <row r="111" ht="14.25" customHeight="1" s="199"/>
    <row r="112" ht="14.25" customHeight="1" s="199">
      <c r="A112" s="61" t="inlineStr">
        <is>
          <t>Depreciation  (non-cash, excluded from EBITDA calc)</t>
        </is>
      </c>
      <c r="B112" s="200" t="n"/>
      <c r="C112" s="200" t="n"/>
      <c r="D112" s="200" t="n"/>
      <c r="E112" s="24">
        <f>0</f>
        <v/>
      </c>
      <c r="F112" s="41" t="n">
        <v>0</v>
      </c>
      <c r="G112" s="24">
        <f>F112-E112</f>
        <v/>
      </c>
      <c r="H112" s="15" t="inlineStr">
        <is>
          <t>T12 depreciation from income statement (non-operating)</t>
        </is>
      </c>
    </row>
    <row r="113" ht="14.25" customHeight="1" s="199">
      <c r="A113" s="62" t="inlineStr">
        <is>
          <t>EBITDA</t>
        </is>
      </c>
      <c r="B113" s="196" t="n"/>
      <c r="C113" s="196" t="n"/>
      <c r="D113" s="197" t="n"/>
      <c r="E113" s="63">
        <f>E110-E112</f>
        <v/>
      </c>
      <c r="F113" s="63">
        <f>F110-F112</f>
        <v/>
      </c>
      <c r="G113" s="63">
        <f>F113-E113</f>
        <v/>
      </c>
      <c r="H113" s="64" t="n"/>
    </row>
    <row r="114" ht="14.25" customHeight="1" s="199"/>
    <row r="115" ht="14.25" customHeight="1" s="199">
      <c r="A115" s="194" t="inlineStr">
        <is>
          <t>SECTION 4  ·  NOI &amp; CAP RATE ANALYSIS  —  ACQUISITION METRICS</t>
        </is>
      </c>
    </row>
    <row r="116" ht="14.25" customHeight="1" s="199">
      <c r="A116" s="10" t="inlineStr">
        <is>
          <t>Metric</t>
        </is>
      </c>
      <c r="B116" s="10" t="n"/>
      <c r="C116" s="10" t="n"/>
      <c r="D116" s="10" t="n"/>
      <c r="E116" s="10" t="inlineStr">
        <is>
          <t>T12 Actual</t>
        </is>
      </c>
      <c r="F116" s="23" t="inlineStr">
        <is>
          <t>Normalized</t>
        </is>
      </c>
      <c r="G116" s="10" t="n"/>
      <c r="H116" s="10" t="inlineStr">
        <is>
          <t>Notes</t>
        </is>
      </c>
    </row>
    <row r="117" ht="14.25" customHeight="1" s="199">
      <c r="A117" s="66" t="inlineStr">
        <is>
          <t>Purchase price  (input)</t>
        </is>
      </c>
      <c r="B117" s="200" t="n"/>
      <c r="C117" s="200" t="n"/>
      <c r="D117" s="200" t="n"/>
      <c r="E117" s="41" t="n"/>
      <c r="F117" s="25">
        <f>E117</f>
        <v/>
      </c>
      <c r="G117" s="200" t="n"/>
      <c r="H117" s="15" t="inlineStr">
        <is>
          <t>Total acquisition price including closing costs</t>
        </is>
      </c>
    </row>
    <row r="118" ht="14.25" customHeight="1" s="199">
      <c r="A118" s="177" t="inlineStr">
        <is>
          <t>Going-in cap rate  (T12 EBITDARM / price)</t>
        </is>
      </c>
      <c r="B118" s="200" t="n"/>
      <c r="C118" s="200" t="n"/>
      <c r="D118" s="200" t="n"/>
      <c r="E118" s="31">
        <f>IFERROR(E108/E117,"-")</f>
        <v/>
      </c>
      <c r="F118" s="32">
        <f>IFERROR(F108/F117,"-")</f>
        <v/>
      </c>
      <c r="G118" s="200" t="n"/>
      <c r="H118" s="15" t="inlineStr">
        <is>
          <t>T12 EBITDARM ÷ purchase price</t>
        </is>
      </c>
    </row>
    <row r="119" ht="14.25" customHeight="1" s="199">
      <c r="A119" s="67" t="inlineStr">
        <is>
          <t>Target / hurdle cap rate  (input)</t>
        </is>
      </c>
      <c r="B119" s="200" t="n"/>
      <c r="C119" s="200" t="n"/>
      <c r="D119" s="200" t="n"/>
      <c r="E119" s="68" t="n"/>
      <c r="F119" s="31">
        <f>E119</f>
        <v/>
      </c>
      <c r="G119" s="40">
        <f>IFERROR(F118-E119,"-")</f>
        <v/>
      </c>
      <c r="H119" s="38" t="inlineStr">
        <is>
          <t>Enter hurdle rate. G = stabilized cap minus target.</t>
        </is>
      </c>
    </row>
    <row r="120" ht="14.25" customHeight="1" s="199">
      <c r="A120" s="177" t="inlineStr">
        <is>
          <t>Going-in cap rate  (T12 EBITDAR / price)</t>
        </is>
      </c>
      <c r="B120" s="200" t="n"/>
      <c r="C120" s="200" t="n"/>
      <c r="D120" s="200" t="n"/>
      <c r="E120" s="31">
        <f>IFERROR(E110/E117,"-")</f>
        <v/>
      </c>
      <c r="F120" s="32">
        <f>IFERROR(F110/F117,"-")</f>
        <v/>
      </c>
      <c r="G120" s="200" t="n"/>
      <c r="H120" s="15" t="inlineStr">
        <is>
          <t>T12 EBITDAR ÷ purchase price (after mgmt fee)</t>
        </is>
      </c>
    </row>
    <row r="121" ht="14.25" customHeight="1" s="199">
      <c r="A121" s="67" t="inlineStr">
        <is>
          <t>Cap rate expansion  (stabilized minus going-in)</t>
        </is>
      </c>
      <c r="B121" s="200" t="n"/>
      <c r="C121" s="200" t="n"/>
      <c r="D121" s="200" t="n"/>
      <c r="E121" s="31">
        <f>IFERROR(F118-E118,"-")</f>
        <v/>
      </c>
      <c r="F121" s="31">
        <f>IFERROR(F120-E120,"-")</f>
        <v/>
      </c>
      <c r="G121" s="31">
        <f>IFERROR(E121-F121,"-")</f>
        <v/>
      </c>
      <c r="H121" s="15" t="inlineStr">
        <is>
          <t>E=EBITDARM basis, F=EBITDAR basis. Positive=NOI improvement at stabilization.</t>
        </is>
      </c>
    </row>
    <row r="122" ht="14.25" customHeight="1" s="199"/>
    <row r="123" ht="14.25" customHeight="1" s="199">
      <c r="A123" s="177" t="inlineStr">
        <is>
          <t>Price per total licensed bed</t>
        </is>
      </c>
      <c r="B123" s="200" t="n"/>
      <c r="C123" s="200" t="n"/>
      <c r="D123" s="200" t="n"/>
      <c r="E123" s="24">
        <f>IFERROR(E117/E6,"-")</f>
        <v/>
      </c>
      <c r="F123" s="25">
        <f>IFERROR(F117/E6,"-")</f>
        <v/>
      </c>
      <c r="G123" s="200" t="n"/>
      <c r="H123" s="15" t="inlineStr">
        <is>
          <t>Purchase price ÷ total licensed beds</t>
        </is>
      </c>
    </row>
    <row r="124" ht="14.25" customHeight="1" s="199">
      <c r="A124" s="177" t="inlineStr">
        <is>
          <t>Price per AL bed</t>
        </is>
      </c>
      <c r="B124" s="200" t="n"/>
      <c r="C124" s="200" t="n"/>
      <c r="D124" s="200" t="n"/>
      <c r="E124" s="24">
        <f>IFERROR(E117/C6,"-")</f>
        <v/>
      </c>
      <c r="F124" s="25">
        <f>IFERROR(F117/C6,"-")</f>
        <v/>
      </c>
      <c r="G124" s="200" t="n"/>
      <c r="H124" s="15" t="inlineStr">
        <is>
          <t>Purchase price ÷ AL licensed beds</t>
        </is>
      </c>
    </row>
    <row r="125" ht="14.25" customHeight="1" s="199">
      <c r="A125" s="177" t="inlineStr">
        <is>
          <t>Price per MC bed</t>
        </is>
      </c>
      <c r="B125" s="200" t="n"/>
      <c r="C125" s="200" t="n"/>
      <c r="D125" s="200" t="n"/>
      <c r="E125" s="24">
        <f>IFERROR(E117/D6,"-")</f>
        <v/>
      </c>
      <c r="F125" s="25">
        <f>IFERROR(F117/D6,"-")</f>
        <v/>
      </c>
      <c r="G125" s="200" t="n"/>
      <c r="H125" s="15" t="inlineStr">
        <is>
          <t>Purchase price ÷ MC licensed beds</t>
        </is>
      </c>
    </row>
    <row r="126" ht="14.25" customHeight="1" s="199"/>
    <row r="127" ht="14.25" customHeight="1" s="199">
      <c r="A127" s="177" t="inlineStr">
        <is>
          <t>Gross revenue multiple  (GRM)</t>
        </is>
      </c>
      <c r="B127" s="200" t="n"/>
      <c r="C127" s="200" t="n"/>
      <c r="D127" s="200" t="n"/>
      <c r="E127" s="69">
        <f>IFERROR(E117/E52,"-")</f>
        <v/>
      </c>
      <c r="F127" s="70">
        <f>IFERROR(F117/F52,"-")</f>
        <v/>
      </c>
      <c r="G127" s="200" t="n"/>
      <c r="H127" s="15" t="inlineStr">
        <is>
          <t>Purchase price ÷ EGI</t>
        </is>
      </c>
    </row>
    <row r="128" ht="14.25" customHeight="1" s="199">
      <c r="A128" s="177" t="inlineStr">
        <is>
          <t>EBITDARM multiple</t>
        </is>
      </c>
      <c r="B128" s="200" t="n"/>
      <c r="C128" s="200" t="n"/>
      <c r="D128" s="200" t="n"/>
      <c r="E128" s="69">
        <f>IFERROR(E117/E108,"-")</f>
        <v/>
      </c>
      <c r="F128" s="70">
        <f>IFERROR(F117/F108,"-")</f>
        <v/>
      </c>
      <c r="G128" s="200" t="n"/>
      <c r="H128" s="15" t="inlineStr">
        <is>
          <t>Purchase price ÷ EBITDARM</t>
        </is>
      </c>
    </row>
    <row r="129" ht="14.25" customHeight="1" s="199"/>
    <row r="130" ht="14.25" customHeight="1" s="199">
      <c r="A130" s="194" t="inlineStr">
        <is>
          <t>SECTION 5  ·  KPI DASHBOARD  —  T12 ACTUAL vs. NORMALIZED</t>
        </is>
      </c>
    </row>
    <row r="131" ht="14.25" customHeight="1" s="199">
      <c r="A131" s="10" t="inlineStr">
        <is>
          <t>Key Performance Indicator</t>
        </is>
      </c>
      <c r="B131" s="10" t="n"/>
      <c r="C131" s="10" t="n"/>
      <c r="D131" s="10" t="n"/>
      <c r="E131" s="10" t="inlineStr">
        <is>
          <t>T12 Actual</t>
        </is>
      </c>
      <c r="F131" s="23" t="inlineStr">
        <is>
          <t>Normalized</t>
        </is>
      </c>
      <c r="G131" s="10" t="n"/>
      <c r="H131" s="10" t="inlineStr">
        <is>
          <t>Benchmark</t>
        </is>
      </c>
    </row>
    <row r="132" ht="14.25" customHeight="1" s="199">
      <c r="A132" s="181" t="inlineStr">
        <is>
          <t xml:space="preserve">  OCCUPANCY</t>
        </is>
      </c>
    </row>
    <row r="133" ht="14.25" customHeight="1" s="199">
      <c r="A133" s="71" t="inlineStr">
        <is>
          <t>Physical occupancy %  —  IL</t>
        </is>
      </c>
      <c r="B133" s="72" t="n"/>
      <c r="C133" s="72" t="n"/>
      <c r="D133" s="72" t="n"/>
      <c r="E133" s="73">
        <f>IFERROR(B7/B6,"-")</f>
        <v/>
      </c>
      <c r="F133" s="73">
        <f>IFERROR(B11/B6,"-")</f>
        <v/>
      </c>
      <c r="G133" s="72" t="n"/>
      <c r="H133" s="74" t="inlineStr">
        <is>
          <t>Target: 90%+ stabilized for IL</t>
        </is>
      </c>
    </row>
    <row r="134" ht="14.25" customHeight="1" s="199">
      <c r="A134" s="71" t="inlineStr">
        <is>
          <t>Physical occupancy %  —  AL</t>
        </is>
      </c>
      <c r="B134" s="72" t="n"/>
      <c r="C134" s="72" t="n"/>
      <c r="D134" s="72" t="n"/>
      <c r="E134" s="73">
        <f>IFERROR(C7/C6,"-")</f>
        <v/>
      </c>
      <c r="F134" s="73">
        <f>IFERROR(C11/C6,"-")</f>
        <v/>
      </c>
      <c r="G134" s="72" t="n"/>
      <c r="H134" s="74" t="inlineStr">
        <is>
          <t>Target: 87–92% stabilized for AL</t>
        </is>
      </c>
    </row>
    <row r="135" ht="14.25" customHeight="1" s="199">
      <c r="A135" s="71" t="inlineStr">
        <is>
          <t>Physical occupancy %  —  MC</t>
        </is>
      </c>
      <c r="B135" s="72" t="n"/>
      <c r="C135" s="72" t="n"/>
      <c r="D135" s="72" t="n"/>
      <c r="E135" s="73">
        <f>IFERROR(D7/D6,"-")</f>
        <v/>
      </c>
      <c r="F135" s="73">
        <f>IFERROR(D11/D6,"-")</f>
        <v/>
      </c>
      <c r="G135" s="72" t="n"/>
      <c r="H135" s="74" t="inlineStr">
        <is>
          <t>Target: 85–90% stabilized for MC</t>
        </is>
      </c>
    </row>
    <row r="136" ht="14.25" customHeight="1" s="199">
      <c r="A136" s="75" t="inlineStr">
        <is>
          <t>Blended physical occupancy %</t>
        </is>
      </c>
      <c r="B136" s="200" t="n"/>
      <c r="C136" s="200" t="n"/>
      <c r="D136" s="200" t="n"/>
      <c r="E136" s="31">
        <f>IFERROR(E7/E6,"-")</f>
        <v/>
      </c>
      <c r="F136" s="31">
        <f>IFERROR(E11/E6,"-")</f>
        <v/>
      </c>
      <c r="G136" s="200" t="n"/>
      <c r="H136" s="15" t="inlineStr">
        <is>
          <t>Blended across all care types</t>
        </is>
      </c>
    </row>
    <row r="137" ht="14.25" customHeight="1" s="199">
      <c r="A137" s="181" t="inlineStr">
        <is>
          <t xml:space="preserve">  REVENUE PER UNIT / BED</t>
        </is>
      </c>
    </row>
    <row r="138" ht="14.25" customHeight="1" s="199">
      <c r="A138" s="71" t="inlineStr">
        <is>
          <t>ADR — IL  (avg daily rate, monthly)</t>
        </is>
      </c>
      <c r="B138" s="72" t="n"/>
      <c r="C138" s="72" t="n"/>
      <c r="D138" s="72" t="n"/>
      <c r="E138" s="76">
        <f>IFERROR(B16/(B7*12),"-")</f>
        <v/>
      </c>
      <c r="F138" s="76">
        <f>IFERROR(B20/(B11*12),"-")</f>
        <v/>
      </c>
      <c r="G138" s="72" t="n"/>
      <c r="H138" s="74" t="inlineStr">
        <is>
          <t>Avg monthly base rate per occupied IL unit</t>
        </is>
      </c>
    </row>
    <row r="139" ht="14.25" customHeight="1" s="199">
      <c r="A139" s="71" t="inlineStr">
        <is>
          <t>ADR — AL  (avg daily rate, monthly)</t>
        </is>
      </c>
      <c r="B139" s="72" t="n"/>
      <c r="C139" s="72" t="n"/>
      <c r="D139" s="72" t="n"/>
      <c r="E139" s="76">
        <f>IFERROR(C16/(C7*12),"-")</f>
        <v/>
      </c>
      <c r="F139" s="76">
        <f>IFERROR(C20/(C11*12),"-")</f>
        <v/>
      </c>
      <c r="G139" s="72" t="n"/>
      <c r="H139" s="74" t="inlineStr">
        <is>
          <t>Avg monthly base rate per occupied AL bed</t>
        </is>
      </c>
    </row>
    <row r="140" ht="14.25" customHeight="1" s="199">
      <c r="A140" s="71" t="inlineStr">
        <is>
          <t>ADR — MC  (avg daily rate, monthly)</t>
        </is>
      </c>
      <c r="B140" s="72" t="n"/>
      <c r="C140" s="72" t="n"/>
      <c r="D140" s="72" t="n"/>
      <c r="E140" s="76">
        <f>IFERROR(D16/(D7*12),"-")</f>
        <v/>
      </c>
      <c r="F140" s="76">
        <f>IFERROR(D20/(D11*12),"-")</f>
        <v/>
      </c>
      <c r="G140" s="72" t="n"/>
      <c r="H140" s="74" t="inlineStr">
        <is>
          <t>Avg monthly base rate per occupied MC bed</t>
        </is>
      </c>
    </row>
    <row r="141" ht="14.25" customHeight="1" s="199">
      <c r="A141" s="71" t="inlineStr">
        <is>
          <t>RevPOR — IL  (base + LOC / occ. unit / month)</t>
        </is>
      </c>
      <c r="B141" s="72" t="n"/>
      <c r="C141" s="72" t="n"/>
      <c r="D141" s="72" t="n"/>
      <c r="E141" s="76">
        <f>IFERROR((B16+B23)/(B7*12),"-")</f>
        <v/>
      </c>
      <c r="F141" s="76">
        <f>IFERROR((B20+B27)/(B11*12),"-")</f>
        <v/>
      </c>
      <c r="G141" s="72" t="n"/>
      <c r="H141" s="74" t="inlineStr">
        <is>
          <t>Total IL revenue per occupied unit per month</t>
        </is>
      </c>
    </row>
    <row r="142" ht="14.25" customHeight="1" s="199">
      <c r="A142" s="75" t="inlineStr">
        <is>
          <t>RevPOR — AL  (base + LOC / occ. bed / month)</t>
        </is>
      </c>
      <c r="B142" s="200" t="n"/>
      <c r="C142" s="200" t="n"/>
      <c r="D142" s="200" t="n"/>
      <c r="E142" s="24">
        <f>IFERROR((C16+C23)/(C7*12),"-")</f>
        <v/>
      </c>
      <c r="F142" s="24">
        <f>IFERROR((C20+C27)/(C11*12),"-")</f>
        <v/>
      </c>
      <c r="G142" s="200" t="n"/>
      <c r="H142" s="15" t="inlineStr">
        <is>
          <t>Total AL revenue per occupied bed per month (base + LOC)</t>
        </is>
      </c>
    </row>
    <row r="143" ht="14.25" customHeight="1" s="199">
      <c r="A143" s="71" t="inlineStr">
        <is>
          <t>RevPOR — MC  (base + LOC / occ. bed / month)</t>
        </is>
      </c>
      <c r="B143" s="72" t="n"/>
      <c r="C143" s="72" t="n"/>
      <c r="D143" s="72" t="n"/>
      <c r="E143" s="76">
        <f>IFERROR((D16+D23)/(D7*12),"-")</f>
        <v/>
      </c>
      <c r="F143" s="76">
        <f>IFERROR((D20+D27)/(D11*12),"-")</f>
        <v/>
      </c>
      <c r="G143" s="72" t="n"/>
      <c r="H143" s="74" t="inlineStr">
        <is>
          <t>Total MC revenue per occupied bed per month; typically highest</t>
        </is>
      </c>
    </row>
    <row r="144" ht="14.25" customHeight="1" s="199">
      <c r="A144" s="71" t="inlineStr">
        <is>
          <t>EGI per occupied bed / month</t>
        </is>
      </c>
      <c r="B144" s="72" t="n"/>
      <c r="C144" s="72" t="n"/>
      <c r="D144" s="72" t="n"/>
      <c r="E144" s="76">
        <f>IFERROR(E52/(E7*12),"-")</f>
        <v/>
      </c>
      <c r="F144" s="76">
        <f>IFERROR(F52/(E11*12),"-")</f>
        <v/>
      </c>
      <c r="G144" s="72" t="n"/>
      <c r="H144" s="74" t="inlineStr">
        <is>
          <t>Total EGI ÷ total occupied beds ÷ 12</t>
        </is>
      </c>
    </row>
    <row r="145" ht="14.25" customHeight="1" s="199">
      <c r="A145" s="75" t="inlineStr">
        <is>
          <t>RevPAB — EGI per available bed / month</t>
        </is>
      </c>
      <c r="B145" s="200" t="n"/>
      <c r="C145" s="200" t="n"/>
      <c r="D145" s="200" t="n"/>
      <c r="E145" s="24">
        <f>IFERROR(E52/(E6*12),"-")</f>
        <v/>
      </c>
      <c r="F145" s="24">
        <f>IFERROR(F52/(E6*12),"-")</f>
        <v/>
      </c>
      <c r="G145" s="200" t="n"/>
      <c r="H145" s="15" t="inlineStr">
        <is>
          <t>Revenue per available (licensed) bed per month</t>
        </is>
      </c>
    </row>
    <row r="146" ht="14.25" customHeight="1" s="199">
      <c r="A146" s="71" t="inlineStr">
        <is>
          <t>LOC revenue as % of base rent  (acuity indicator)</t>
        </is>
      </c>
      <c r="B146" s="72" t="n"/>
      <c r="C146" s="72" t="n"/>
      <c r="D146" s="72" t="n"/>
      <c r="E146" s="73">
        <f>IFERROR(E23/E16,"-")</f>
        <v/>
      </c>
      <c r="F146" s="73">
        <f>IFERROR(F27/F20,"-")</f>
        <v/>
      </c>
      <c r="G146" s="72" t="n"/>
      <c r="H146" s="74" t="inlineStr">
        <is>
          <t>Higher = higher acuity mix; validate vs. care level assessments</t>
        </is>
      </c>
    </row>
    <row r="147" ht="14.25" customHeight="1" s="199">
      <c r="A147" s="181" t="inlineStr">
        <is>
          <t xml:space="preserve">  LABOR METRICS</t>
        </is>
      </c>
    </row>
    <row r="148" ht="14.25" customHeight="1" s="199">
      <c r="A148" s="71" t="inlineStr">
        <is>
          <t>Total labor &amp; burden  (% EGI)</t>
        </is>
      </c>
      <c r="B148" s="72" t="n"/>
      <c r="C148" s="72" t="n"/>
      <c r="D148" s="72" t="n"/>
      <c r="E148" s="73">
        <f>IFERROR(E76/E52,"-")</f>
        <v/>
      </c>
      <c r="F148" s="73">
        <f>IFERROR(F76/F52,"-")</f>
        <v/>
      </c>
      <c r="G148" s="72" t="n"/>
      <c r="H148" s="74" t="inlineStr">
        <is>
          <t>Target: 55–65% of EGI; varies by acuity mix</t>
        </is>
      </c>
    </row>
    <row r="149" ht="14.25" customHeight="1" s="199">
      <c r="A149" s="71" t="inlineStr">
        <is>
          <t>Direct labor  (% EGI)</t>
        </is>
      </c>
      <c r="B149" s="72" t="n"/>
      <c r="C149" s="72" t="n"/>
      <c r="D149" s="72" t="n"/>
      <c r="E149" s="73">
        <f>IFERROR(E65/E52,"-")</f>
        <v/>
      </c>
      <c r="F149" s="73">
        <f>IFERROR(F65/F52,"-")</f>
        <v/>
      </c>
      <c r="G149" s="72" t="n"/>
      <c r="H149" s="74" t="inlineStr">
        <is>
          <t>Target: 45–55% of EGI</t>
        </is>
      </c>
    </row>
    <row r="150" ht="14.25" customHeight="1" s="199">
      <c r="A150" s="71" t="inlineStr">
        <is>
          <t>Overtime wages  (% of direct wages)</t>
        </is>
      </c>
      <c r="B150" s="72" t="n"/>
      <c r="C150" s="72" t="n"/>
      <c r="D150" s="72" t="n"/>
      <c r="E150" s="73">
        <f>IFERROR(E68/E65,"-")</f>
        <v/>
      </c>
      <c r="F150" s="73">
        <f>IFERROR(F68/F65,"-")</f>
        <v/>
      </c>
      <c r="G150" s="72" t="n"/>
      <c r="H150" s="74" t="inlineStr">
        <is>
          <t>Target: ≤5% of direct wages at stabilization</t>
        </is>
      </c>
    </row>
    <row r="151" ht="14.25" customHeight="1" s="199">
      <c r="A151" s="71" t="inlineStr">
        <is>
          <t>PTO wages  (% of direct wages)</t>
        </is>
      </c>
      <c r="B151" s="72" t="n"/>
      <c r="C151" s="72" t="n"/>
      <c r="D151" s="72" t="n"/>
      <c r="E151" s="73">
        <f>IFERROR(E69/E65,"-")</f>
        <v/>
      </c>
      <c r="F151" s="73">
        <f>IFERROR(F69/F65,"-")</f>
        <v/>
      </c>
      <c r="G151" s="72" t="n"/>
      <c r="H151" s="74" t="inlineStr">
        <is>
          <t>Steady-state: 4–6% of direct wages</t>
        </is>
      </c>
    </row>
    <row r="152" ht="14.25" customHeight="1" s="199">
      <c r="A152" s="71" t="inlineStr">
        <is>
          <t>Contract / agency labor  (% of direct labor)</t>
        </is>
      </c>
      <c r="B152" s="72" t="n"/>
      <c r="C152" s="72" t="n"/>
      <c r="D152" s="72" t="n"/>
      <c r="E152" s="73">
        <f>IFERROR(E59/E65,"-")</f>
        <v/>
      </c>
      <c r="F152" s="73">
        <f>IFERROR(F59/F65,"-")</f>
        <v/>
      </c>
      <c r="G152" s="72" t="n"/>
      <c r="H152" s="74" t="inlineStr">
        <is>
          <t>Target: ≤3% at stabilization; flag if elevated</t>
        </is>
      </c>
    </row>
    <row r="153" ht="14.25" customHeight="1" s="199">
      <c r="A153" s="181" t="inlineStr">
        <is>
          <t xml:space="preserve">  DINING METRICS</t>
        </is>
      </c>
    </row>
    <row r="154" ht="14.25" customHeight="1" s="199">
      <c r="A154" s="71" t="inlineStr">
        <is>
          <t>Food cost per patient day  (PPD)</t>
        </is>
      </c>
      <c r="B154" s="72" t="n"/>
      <c r="C154" s="72" t="n"/>
      <c r="D154" s="72" t="n"/>
      <c r="E154" s="76">
        <f>IFERROR(E79/(E7*365),"-")</f>
        <v/>
      </c>
      <c r="F154" s="76">
        <f>IFERROR(F79/(E11*365),"-")</f>
        <v/>
      </c>
      <c r="G154" s="72" t="n"/>
      <c r="H154" s="74" t="inlineStr">
        <is>
          <t>Benchmark: $8–12 PPD for AL; $10–14 for MC; $10–16 for IL</t>
        </is>
      </c>
    </row>
    <row r="155" ht="14.25" customHeight="1" s="199">
      <c r="A155" s="75" t="inlineStr">
        <is>
          <t>Food cost  (% EGI)</t>
        </is>
      </c>
      <c r="B155" s="200" t="n"/>
      <c r="C155" s="200" t="n"/>
      <c r="D155" s="200" t="n"/>
      <c r="E155" s="31">
        <f>IFERROR(E79/E52,"-")</f>
        <v/>
      </c>
      <c r="F155" s="31">
        <f>IFERROR(F79/F52,"-")</f>
        <v/>
      </c>
      <c r="G155" s="200" t="n"/>
      <c r="H155" s="15" t="inlineStr">
        <is>
          <t>Target: 6–9% of EGI</t>
        </is>
      </c>
    </row>
    <row r="156" ht="14.25" customHeight="1" s="199">
      <c r="A156" s="181" t="inlineStr">
        <is>
          <t xml:space="preserve">  FINANCIAL METRICS</t>
        </is>
      </c>
    </row>
    <row r="157" ht="14.25" customHeight="1" s="199">
      <c r="A157" s="71" t="inlineStr">
        <is>
          <t>Management fee  (% revenue)</t>
        </is>
      </c>
      <c r="B157" s="72" t="n"/>
      <c r="C157" s="72" t="n"/>
      <c r="D157" s="72" t="n"/>
      <c r="E157" s="73">
        <f>IFERROR(E106/E52,"-")</f>
        <v/>
      </c>
      <c r="F157" s="73">
        <f>IFERROR(F106/F52,"-")</f>
        <v/>
      </c>
      <c r="G157" s="72" t="n"/>
      <c r="H157" s="74" t="inlineStr">
        <is>
          <t>Industry range: 5–7% of revenue</t>
        </is>
      </c>
    </row>
    <row r="158" ht="14.25" customHeight="1" s="199">
      <c r="A158" s="71" t="inlineStr">
        <is>
          <t>Bad debt  (% gross revenue)</t>
        </is>
      </c>
      <c r="B158" s="72" t="n"/>
      <c r="C158" s="72" t="n"/>
      <c r="D158" s="72" t="n"/>
      <c r="E158" s="73">
        <f>IFERROR(E98/E52,"-")</f>
        <v/>
      </c>
      <c r="F158" s="73">
        <f>IFERROR(F98/F52,"-")</f>
        <v/>
      </c>
      <c r="G158" s="72" t="n"/>
      <c r="H158" s="74" t="inlineStr">
        <is>
          <t>Normalize to ≤2% at stabilization</t>
        </is>
      </c>
    </row>
    <row r="159" ht="14.25" customHeight="1" s="199">
      <c r="A159" s="71" t="inlineStr">
        <is>
          <t>P&amp;C insurance  (% EGI)</t>
        </is>
      </c>
      <c r="B159" s="72" t="n"/>
      <c r="C159" s="72" t="n"/>
      <c r="D159" s="72" t="n"/>
      <c r="E159" s="73">
        <f>IFERROR(E90/E52,"-")</f>
        <v/>
      </c>
      <c r="F159" s="73">
        <f>IFERROR(F90/F52,"-")</f>
        <v/>
      </c>
      <c r="G159" s="72" t="n"/>
      <c r="H159" s="74" t="inlineStr">
        <is>
          <t>Benchmark: 4–7% of EGI; confirm renewal pricing</t>
        </is>
      </c>
    </row>
    <row r="160" ht="14.25" customHeight="1" s="199">
      <c r="A160" s="71" t="inlineStr">
        <is>
          <t>OpEx per occupied bed / month  (excl. mgmt fee)</t>
        </is>
      </c>
      <c r="B160" s="72" t="n"/>
      <c r="C160" s="72" t="n"/>
      <c r="D160" s="72" t="n"/>
      <c r="E160" s="76">
        <f>IFERROR(E105/(E7*12),"-")</f>
        <v/>
      </c>
      <c r="F160" s="76">
        <f>IFERROR(F105/(E11*12),"-")</f>
        <v/>
      </c>
      <c r="G160" s="72" t="n"/>
      <c r="H160" s="74" t="inlineStr">
        <is>
          <t>All-in operating cost per occ. bed — track vs. market comps</t>
        </is>
      </c>
    </row>
    <row r="161" ht="14.25" customHeight="1" s="199">
      <c r="A161" s="71" t="inlineStr">
        <is>
          <t>EBITDARM  ($)</t>
        </is>
      </c>
      <c r="B161" s="72" t="n"/>
      <c r="C161" s="72" t="n"/>
      <c r="D161" s="72" t="n"/>
      <c r="E161" s="77">
        <f>E108</f>
        <v/>
      </c>
      <c r="F161" s="77">
        <f>F108</f>
        <v/>
      </c>
      <c r="G161" s="72" t="n"/>
      <c r="H161" s="74" t="inlineStr">
        <is>
          <t>Target: 20–30%+ for AL/MC; 25–35% for IL</t>
        </is>
      </c>
    </row>
    <row r="162" ht="14.25" customHeight="1" s="199">
      <c r="A162" s="71" t="inlineStr">
        <is>
          <t>EBITDARM margin  (%)</t>
        </is>
      </c>
      <c r="B162" s="72" t="n"/>
      <c r="C162" s="72" t="n"/>
      <c r="D162" s="72" t="n"/>
      <c r="E162" s="73">
        <f>IFERROR(E108/E52,"-")</f>
        <v/>
      </c>
      <c r="F162" s="73">
        <f>IFERROR(F108/F52,"-")</f>
        <v/>
      </c>
      <c r="G162" s="72" t="n"/>
      <c r="H162" s="74" t="inlineStr">
        <is>
          <t>Target: 20–30%+ for AL/MC; 25–35% for IL</t>
        </is>
      </c>
    </row>
    <row r="163" ht="14.25" customHeight="1" s="199">
      <c r="A163" s="71" t="inlineStr">
        <is>
          <t>EBITDAR  ($)  (after mgmt fee)</t>
        </is>
      </c>
      <c r="B163" s="72" t="n"/>
      <c r="C163" s="72" t="n"/>
      <c r="D163" s="72" t="n"/>
      <c r="E163" s="77">
        <f>E110</f>
        <v/>
      </c>
      <c r="F163" s="77">
        <f>F110</f>
        <v/>
      </c>
      <c r="G163" s="72" t="n"/>
      <c r="H163" s="74" t="inlineStr">
        <is>
          <t>Target: 15–25%+ (varies by mgmt fee structure)</t>
        </is>
      </c>
    </row>
    <row r="164" ht="14.25" customHeight="1" s="199">
      <c r="A164" s="71" t="inlineStr">
        <is>
          <t>EBITDAR margin  (%)</t>
        </is>
      </c>
      <c r="B164" s="72" t="n"/>
      <c r="C164" s="72" t="n"/>
      <c r="D164" s="72" t="n"/>
      <c r="E164" s="73">
        <f>IFERROR(E110/E52,"-")</f>
        <v/>
      </c>
      <c r="F164" s="73">
        <f>IFERROR(F110/F52,"-")</f>
        <v/>
      </c>
      <c r="G164" s="72" t="n"/>
      <c r="H164" s="74" t="inlineStr">
        <is>
          <t>Target: 15–25%+ (varies by mgmt fee structure)</t>
        </is>
      </c>
    </row>
    <row r="165" ht="14.25" customHeight="1" s="199"/>
    <row r="166" ht="14.25" customHeight="1" s="199">
      <c r="A166" s="190" t="inlineStr">
        <is>
          <t xml:space="preserve">  COLOR KEY:  Yellow = hardcoded input  |  Gray = formula  |  Amber = normalization flag / one-time  |  Blue/Green rows = totals &amp; NOI  |  Blue-gray = sub-totals</t>
        </is>
      </c>
    </row>
  </sheetData>
  <mergeCells count="18">
    <mergeCell ref="A102:D102"/>
    <mergeCell ref="A67:H67"/>
    <mergeCell ref="A56:H56"/>
    <mergeCell ref="A94:D94"/>
    <mergeCell ref="A4:H4"/>
    <mergeCell ref="A1:H1"/>
    <mergeCell ref="A29:H29"/>
    <mergeCell ref="A97:D97"/>
    <mergeCell ref="A15:H15"/>
    <mergeCell ref="A43:H43"/>
    <mergeCell ref="A104:H104"/>
    <mergeCell ref="A65:D65"/>
    <mergeCell ref="A13:H13"/>
    <mergeCell ref="A45:H45"/>
    <mergeCell ref="A99:D99"/>
    <mergeCell ref="A126:H126"/>
    <mergeCell ref="A22:H22"/>
    <mergeCell ref="A34:H34"/>
  </mergeCells>
  <pageMargins left="0.75" right="0.75" top="1" bottom="1" header="0.511811023622047" footer="0.511811023622047"/>
  <pageSetup orientation="portrait" paperSize="9" horizontalDpi="300" verticalDpi="300"/>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8" defaultColWidth="8.7109375" defaultRowHeight="15"/>
  <cols>
    <col width="14" customWidth="1" style="199" min="1" max="1"/>
    <col width="36" customWidth="1" style="199" min="2" max="2"/>
    <col width="14.5703125" customWidth="1" style="199" min="3" max="3"/>
    <col width="11.85546875" customWidth="1" style="199" min="4" max="14"/>
    <col width="13" customWidth="1" style="199" min="15" max="15"/>
    <col width="25.140625" customWidth="1" style="199" min="16" max="16"/>
  </cols>
  <sheetData>
    <row r="1" ht="16.5" customHeight="1" s="199">
      <c r="A1" s="187" t="inlineStr">
        <is>
          <t>T12 Input  —  Paste T12 data here</t>
        </is>
      </c>
      <c r="AZ1" t="inlineStr">
        <is>
          <t>T12 raw paste area (MRI / Yardi / normalizer output)</t>
        </is>
      </c>
    </row>
    <row r="2">
      <c r="A2" s="215" t="n"/>
      <c r="AZ2" t="inlineStr">
        <is>
          <t>input</t>
        </is>
      </c>
    </row>
    <row r="3">
      <c r="A3" s="186" t="inlineStr">
        <is>
          <t>How to use — no setup, no refresh, instant results</t>
        </is>
      </c>
      <c r="AZ3" t="inlineStr">
        <is>
          <t>visible</t>
        </is>
      </c>
    </row>
    <row r="4">
      <c r="A4" s="185" t="inlineStr">
        <is>
          <t>1.  Upload this Analyzer + your raw T12 to the Streamlit app.</t>
        </is>
      </c>
      <c r="AZ4" t="inlineStr">
        <is>
          <t>v0.1.13</t>
        </is>
      </c>
    </row>
    <row r="5">
      <c r="A5" s="185" t="inlineStr">
        <is>
          <t>2.  Map any UNMATCHED descriptions in-app before downloading.</t>
        </is>
      </c>
    </row>
    <row r="6">
      <c r="A6" s="184" t="inlineStr">
        <is>
          <t>3.  Open the populated Analyzer — Coverage Check (col P) confirms all rows mapped.</t>
        </is>
      </c>
    </row>
    <row r="7">
      <c r="A7" s="184" t="inlineStr">
        <is>
          <t>4.  Mappings persist in Description_Map for next upload.</t>
        </is>
      </c>
    </row>
    <row r="8">
      <c r="A8" s="185" t="n"/>
    </row>
    <row r="9">
      <c r="A9" s="184" t="inlineStr">
        <is>
          <t>Layout: Account # (col A, optional, populated for Yardi-style T12s only), Description (col B, required), 12 months (cols C-N), T12 Total (col O). Headers in row 11 reflect the source T12 period.</t>
        </is>
      </c>
    </row>
    <row r="11">
      <c r="A11" s="172" t="inlineStr">
        <is>
          <t>Account #</t>
        </is>
      </c>
      <c r="B11" s="173" t="inlineStr">
        <is>
          <t>Description</t>
        </is>
      </c>
      <c r="O11" s="173" t="inlineStr">
        <is>
          <t>T12 Total</t>
        </is>
      </c>
      <c r="P11" s="79" t="inlineStr">
        <is>
          <t>Coverage Check</t>
        </is>
      </c>
    </row>
    <row r="12" ht="15" customHeight="1" s="199">
      <c r="C12" s="80" t="n"/>
      <c r="D12" s="80" t="n"/>
      <c r="E12" s="80" t="n"/>
      <c r="F12" s="80" t="n"/>
      <c r="G12" s="80" t="n"/>
      <c r="H12" s="80" t="n"/>
      <c r="I12" s="80" t="n"/>
      <c r="J12" s="80" t="n"/>
      <c r="K12" s="80" t="n"/>
      <c r="L12" s="80" t="n"/>
      <c r="M12" s="80" t="n"/>
      <c r="N12" s="80" t="n"/>
      <c r="P12" s="81">
        <f>IF(TRIM(B12)&lt;&gt;"",IFERROR(INDEX(DescMap_Label,MATCH(TRIM(B12),DescMap_Description,0)),"UNMATCHED"),"")</f>
        <v/>
      </c>
    </row>
    <row r="13" ht="15" customHeight="1" s="199">
      <c r="C13" s="80" t="n"/>
      <c r="D13" s="80" t="n"/>
      <c r="E13" s="80" t="n"/>
      <c r="F13" s="80" t="n"/>
      <c r="G13" s="80" t="n"/>
      <c r="H13" s="80" t="n"/>
      <c r="I13" s="80" t="n"/>
      <c r="J13" s="80" t="n"/>
      <c r="K13" s="80" t="n"/>
      <c r="L13" s="80" t="n"/>
      <c r="M13" s="80" t="n"/>
      <c r="N13" s="80" t="n"/>
      <c r="O13" s="80" t="n"/>
      <c r="P13" s="81">
        <f>IF(TRIM(B13)&lt;&gt;"",IFERROR(INDEX(DescMap_Label,MATCH(TRIM(B13),DescMap_Description,0)),"UNMATCHED"),"")</f>
        <v/>
      </c>
    </row>
    <row r="14" ht="15" customHeight="1" s="199">
      <c r="C14" s="80" t="n"/>
      <c r="D14" s="80" t="n"/>
      <c r="E14" s="80" t="n"/>
      <c r="F14" s="80" t="n"/>
      <c r="G14" s="80" t="n"/>
      <c r="H14" s="80" t="n"/>
      <c r="I14" s="80" t="n"/>
      <c r="J14" s="80" t="n"/>
      <c r="K14" s="80" t="n"/>
      <c r="L14" s="80" t="n"/>
      <c r="M14" s="80" t="n"/>
      <c r="N14" s="80" t="n"/>
      <c r="O14" s="80" t="n"/>
      <c r="P14" s="81">
        <f>IF(TRIM(B14)&lt;&gt;"",IFERROR(INDEX(DescMap_Label,MATCH(TRIM(B14),DescMap_Description,0)),"UNMATCHED"),"")</f>
        <v/>
      </c>
    </row>
    <row r="15" ht="15" customHeight="1" s="199">
      <c r="C15" s="80" t="n"/>
      <c r="D15" s="80" t="n"/>
      <c r="E15" s="80" t="n"/>
      <c r="F15" s="80" t="n"/>
      <c r="G15" s="80" t="n"/>
      <c r="H15" s="80" t="n"/>
      <c r="I15" s="80" t="n"/>
      <c r="J15" s="80" t="n"/>
      <c r="K15" s="80" t="n"/>
      <c r="L15" s="80" t="n"/>
      <c r="M15" s="80" t="n"/>
      <c r="N15" s="80" t="n"/>
      <c r="O15" s="80" t="n"/>
      <c r="P15" s="81">
        <f>IF(TRIM(B15)&lt;&gt;"",IFERROR(INDEX(DescMap_Label,MATCH(TRIM(B15),DescMap_Description,0)),"UNMATCHED"),"")</f>
        <v/>
      </c>
    </row>
    <row r="16" ht="15" customHeight="1" s="199">
      <c r="C16" s="80" t="n"/>
      <c r="D16" s="80" t="n"/>
      <c r="E16" s="80" t="n"/>
      <c r="F16" s="80" t="n"/>
      <c r="G16" s="80" t="n"/>
      <c r="H16" s="80" t="n"/>
      <c r="I16" s="80" t="n"/>
      <c r="J16" s="80" t="n"/>
      <c r="K16" s="80" t="n"/>
      <c r="L16" s="80" t="n"/>
      <c r="M16" s="80" t="n"/>
      <c r="N16" s="80" t="n"/>
      <c r="O16" s="80" t="n"/>
      <c r="P16" s="81">
        <f>IF(TRIM(B16)&lt;&gt;"",IFERROR(INDEX(DescMap_Label,MATCH(TRIM(B16),DescMap_Description,0)),"UNMATCHED"),"")</f>
        <v/>
      </c>
    </row>
    <row r="17" ht="15" customHeight="1" s="199">
      <c r="C17" s="80" t="n"/>
      <c r="D17" s="80" t="n"/>
      <c r="E17" s="80" t="n"/>
      <c r="F17" s="80" t="n"/>
      <c r="G17" s="80" t="n"/>
      <c r="H17" s="80" t="n"/>
      <c r="I17" s="80" t="n"/>
      <c r="J17" s="80" t="n"/>
      <c r="K17" s="80" t="n"/>
      <c r="L17" s="80" t="n"/>
      <c r="M17" s="80" t="n"/>
      <c r="N17" s="80" t="n"/>
      <c r="O17" s="80" t="n"/>
      <c r="P17" s="81">
        <f>IF(TRIM(B17)&lt;&gt;"",IFERROR(INDEX(DescMap_Label,MATCH(TRIM(B17),DescMap_Description,0)),"UNMATCHED"),"")</f>
        <v/>
      </c>
    </row>
    <row r="18" ht="15" customHeight="1" s="199">
      <c r="C18" s="80" t="n"/>
      <c r="D18" s="80" t="n"/>
      <c r="E18" s="80" t="n"/>
      <c r="F18" s="80" t="n"/>
      <c r="G18" s="80" t="n"/>
      <c r="H18" s="80" t="n"/>
      <c r="I18" s="80" t="n"/>
      <c r="J18" s="80" t="n"/>
      <c r="K18" s="80" t="n"/>
      <c r="L18" s="80" t="n"/>
      <c r="M18" s="80" t="n"/>
      <c r="N18" s="80" t="n"/>
      <c r="O18" s="80" t="n"/>
      <c r="P18" s="81">
        <f>IF(TRIM(B18)&lt;&gt;"",IFERROR(INDEX(DescMap_Label,MATCH(TRIM(B18),DescMap_Description,0)),"UNMATCHED"),"")</f>
        <v/>
      </c>
    </row>
    <row r="19" ht="15" customHeight="1" s="199">
      <c r="C19" s="80" t="n"/>
      <c r="D19" s="80" t="n"/>
      <c r="E19" s="80" t="n"/>
      <c r="F19" s="80" t="n"/>
      <c r="G19" s="80" t="n"/>
      <c r="H19" s="80" t="n"/>
      <c r="I19" s="80" t="n"/>
      <c r="J19" s="80" t="n"/>
      <c r="K19" s="80" t="n"/>
      <c r="L19" s="80" t="n"/>
      <c r="M19" s="80" t="n"/>
      <c r="N19" s="80" t="n"/>
      <c r="O19" s="80" t="n"/>
      <c r="P19" s="81">
        <f>IF(TRIM(B19)&lt;&gt;"",IFERROR(INDEX(DescMap_Label,MATCH(TRIM(B19),DescMap_Description,0)),"UNMATCHED"),"")</f>
        <v/>
      </c>
    </row>
    <row r="20" ht="15" customHeight="1" s="199">
      <c r="C20" s="80" t="n"/>
      <c r="D20" s="80" t="n"/>
      <c r="E20" s="80" t="n"/>
      <c r="F20" s="80" t="n"/>
      <c r="G20" s="80" t="n"/>
      <c r="H20" s="80" t="n"/>
      <c r="I20" s="80" t="n"/>
      <c r="J20" s="80" t="n"/>
      <c r="K20" s="80" t="n"/>
      <c r="L20" s="80" t="n"/>
      <c r="M20" s="80" t="n"/>
      <c r="N20" s="80" t="n"/>
      <c r="O20" s="80" t="n"/>
      <c r="P20" s="81">
        <f>IF(TRIM(B20)&lt;&gt;"",IFERROR(INDEX(DescMap_Label,MATCH(TRIM(B20),DescMap_Description,0)),"UNMATCHED"),"")</f>
        <v/>
      </c>
    </row>
    <row r="21" ht="15" customHeight="1" s="199">
      <c r="C21" s="80" t="n"/>
      <c r="D21" s="80" t="n"/>
      <c r="E21" s="80" t="n"/>
      <c r="F21" s="80" t="n"/>
      <c r="G21" s="80" t="n"/>
      <c r="H21" s="80" t="n"/>
      <c r="I21" s="80" t="n"/>
      <c r="J21" s="80" t="n"/>
      <c r="K21" s="80" t="n"/>
      <c r="L21" s="80" t="n"/>
      <c r="M21" s="80" t="n"/>
      <c r="N21" s="80" t="n"/>
      <c r="O21" s="80" t="n"/>
      <c r="P21" s="81">
        <f>IF(TRIM(B21)&lt;&gt;"",IFERROR(INDEX(DescMap_Label,MATCH(TRIM(B21),DescMap_Description,0)),"UNMATCHED"),"")</f>
        <v/>
      </c>
    </row>
    <row r="22" ht="15" customHeight="1" s="199">
      <c r="C22" s="80" t="n"/>
      <c r="D22" s="80" t="n"/>
      <c r="E22" s="80" t="n"/>
      <c r="F22" s="80" t="n"/>
      <c r="G22" s="80" t="n"/>
      <c r="H22" s="80" t="n"/>
      <c r="I22" s="80" t="n"/>
      <c r="J22" s="80" t="n"/>
      <c r="K22" s="80" t="n"/>
      <c r="L22" s="80" t="n"/>
      <c r="M22" s="80" t="n"/>
      <c r="N22" s="80" t="n"/>
      <c r="O22" s="80" t="n"/>
      <c r="P22" s="81">
        <f>IF(TRIM(B22)&lt;&gt;"",IFERROR(INDEX(DescMap_Label,MATCH(TRIM(B22),DescMap_Description,0)),"UNMATCHED"),"")</f>
        <v/>
      </c>
    </row>
    <row r="23" ht="15" customHeight="1" s="199">
      <c r="C23" s="80" t="n"/>
      <c r="D23" s="80" t="n"/>
      <c r="E23" s="80" t="n"/>
      <c r="F23" s="80" t="n"/>
      <c r="G23" s="80" t="n"/>
      <c r="H23" s="80" t="n"/>
      <c r="I23" s="80" t="n"/>
      <c r="J23" s="80" t="n"/>
      <c r="K23" s="80" t="n"/>
      <c r="L23" s="80" t="n"/>
      <c r="M23" s="80" t="n"/>
      <c r="N23" s="80" t="n"/>
      <c r="O23" s="80" t="n"/>
      <c r="P23" s="81">
        <f>IF(TRIM(B23)&lt;&gt;"",IFERROR(INDEX(DescMap_Label,MATCH(TRIM(B23),DescMap_Description,0)),"UNMATCHED"),"")</f>
        <v/>
      </c>
    </row>
    <row r="24" ht="15" customHeight="1" s="199">
      <c r="C24" s="80" t="n"/>
      <c r="D24" s="80" t="n"/>
      <c r="E24" s="80" t="n"/>
      <c r="F24" s="80" t="n"/>
      <c r="G24" s="80" t="n"/>
      <c r="H24" s="80" t="n"/>
      <c r="I24" s="80" t="n"/>
      <c r="J24" s="80" t="n"/>
      <c r="K24" s="80" t="n"/>
      <c r="L24" s="80" t="n"/>
      <c r="M24" s="80" t="n"/>
      <c r="N24" s="80" t="n"/>
      <c r="O24" s="80" t="n"/>
      <c r="P24" s="81">
        <f>IF(TRIM(B24)&lt;&gt;"",IFERROR(INDEX(DescMap_Label,MATCH(TRIM(B24),DescMap_Description,0)),"UNMATCHED"),"")</f>
        <v/>
      </c>
    </row>
    <row r="25" ht="15" customHeight="1" s="199">
      <c r="C25" s="80" t="n"/>
      <c r="D25" s="80" t="n"/>
      <c r="E25" s="80" t="n"/>
      <c r="F25" s="80" t="n"/>
      <c r="G25" s="80" t="n"/>
      <c r="H25" s="80" t="n"/>
      <c r="I25" s="80" t="n"/>
      <c r="J25" s="80" t="n"/>
      <c r="K25" s="80" t="n"/>
      <c r="L25" s="80" t="n"/>
      <c r="M25" s="80" t="n"/>
      <c r="N25" s="80" t="n"/>
      <c r="O25" s="80" t="n"/>
      <c r="P25" s="81">
        <f>IF(TRIM(B25)&lt;&gt;"",IFERROR(INDEX(DescMap_Label,MATCH(TRIM(B25),DescMap_Description,0)),"UNMATCHED"),"")</f>
        <v/>
      </c>
    </row>
    <row r="26" ht="15" customHeight="1" s="199">
      <c r="C26" s="80" t="n"/>
      <c r="D26" s="80" t="n"/>
      <c r="E26" s="80" t="n"/>
      <c r="F26" s="80" t="n"/>
      <c r="G26" s="80" t="n"/>
      <c r="H26" s="80" t="n"/>
      <c r="I26" s="80" t="n"/>
      <c r="J26" s="80" t="n"/>
      <c r="K26" s="80" t="n"/>
      <c r="L26" s="80" t="n"/>
      <c r="M26" s="80" t="n"/>
      <c r="N26" s="80" t="n"/>
      <c r="O26" s="80" t="n"/>
      <c r="P26" s="81">
        <f>IF(TRIM(B26)&lt;&gt;"",IFERROR(INDEX(DescMap_Label,MATCH(TRIM(B26),DescMap_Description,0)),"UNMATCHED"),"")</f>
        <v/>
      </c>
    </row>
    <row r="27" ht="15" customHeight="1" s="199">
      <c r="C27" s="80" t="n"/>
      <c r="D27" s="80" t="n"/>
      <c r="E27" s="80" t="n"/>
      <c r="F27" s="80" t="n"/>
      <c r="G27" s="80" t="n"/>
      <c r="H27" s="80" t="n"/>
      <c r="I27" s="80" t="n"/>
      <c r="J27" s="80" t="n"/>
      <c r="K27" s="80" t="n"/>
      <c r="L27" s="80" t="n"/>
      <c r="M27" s="80" t="n"/>
      <c r="N27" s="80" t="n"/>
      <c r="O27" s="80" t="n"/>
      <c r="P27" s="81">
        <f>IF(TRIM(B27)&lt;&gt;"",IFERROR(INDEX(DescMap_Label,MATCH(TRIM(B27),DescMap_Description,0)),"UNMATCHED"),"")</f>
        <v/>
      </c>
    </row>
    <row r="28" ht="15" customHeight="1" s="199">
      <c r="C28" s="80" t="n"/>
      <c r="D28" s="80" t="n"/>
      <c r="E28" s="80" t="n"/>
      <c r="F28" s="80" t="n"/>
      <c r="G28" s="80" t="n"/>
      <c r="H28" s="80" t="n"/>
      <c r="I28" s="80" t="n"/>
      <c r="J28" s="80" t="n"/>
      <c r="K28" s="80" t="n"/>
      <c r="L28" s="80" t="n"/>
      <c r="M28" s="80" t="n"/>
      <c r="N28" s="80" t="n"/>
      <c r="O28" s="80" t="n"/>
      <c r="P28" s="81">
        <f>IF(TRIM(B28)&lt;&gt;"",IFERROR(INDEX(DescMap_Label,MATCH(TRIM(B28),DescMap_Description,0)),"UNMATCHED"),"")</f>
        <v/>
      </c>
    </row>
    <row r="29" ht="15" customHeight="1" s="199">
      <c r="C29" s="80" t="n"/>
      <c r="D29" s="80" t="n"/>
      <c r="E29" s="80" t="n"/>
      <c r="F29" s="80" t="n"/>
      <c r="G29" s="80" t="n"/>
      <c r="H29" s="80" t="n"/>
      <c r="I29" s="80" t="n"/>
      <c r="J29" s="80" t="n"/>
      <c r="K29" s="80" t="n"/>
      <c r="L29" s="80" t="n"/>
      <c r="M29" s="80" t="n"/>
      <c r="N29" s="80" t="n"/>
      <c r="O29" s="80" t="n"/>
      <c r="P29" s="81">
        <f>IF(TRIM(B29)&lt;&gt;"",IFERROR(INDEX(DescMap_Label,MATCH(TRIM(B29),DescMap_Description,0)),"UNMATCHED"),"")</f>
        <v/>
      </c>
    </row>
    <row r="30" ht="15" customHeight="1" s="199">
      <c r="C30" s="80" t="n"/>
      <c r="D30" s="80" t="n"/>
      <c r="E30" s="80" t="n"/>
      <c r="F30" s="80" t="n"/>
      <c r="G30" s="80" t="n"/>
      <c r="H30" s="80" t="n"/>
      <c r="I30" s="80" t="n"/>
      <c r="J30" s="80" t="n"/>
      <c r="K30" s="80" t="n"/>
      <c r="L30" s="80" t="n"/>
      <c r="M30" s="80" t="n"/>
      <c r="N30" s="80" t="n"/>
      <c r="O30" s="80" t="n"/>
      <c r="P30" s="81">
        <f>IF(TRIM(B30)&lt;&gt;"",IFERROR(INDEX(DescMap_Label,MATCH(TRIM(B30),DescMap_Description,0)),"UNMATCHED"),"")</f>
        <v/>
      </c>
    </row>
    <row r="31" ht="15" customHeight="1" s="199">
      <c r="C31" s="80" t="n"/>
      <c r="D31" s="80" t="n"/>
      <c r="E31" s="80" t="n"/>
      <c r="F31" s="80" t="n"/>
      <c r="G31" s="80" t="n"/>
      <c r="H31" s="80" t="n"/>
      <c r="I31" s="80" t="n"/>
      <c r="J31" s="80" t="n"/>
      <c r="K31" s="80" t="n"/>
      <c r="L31" s="80" t="n"/>
      <c r="M31" s="80" t="n"/>
      <c r="N31" s="80" t="n"/>
      <c r="O31" s="80" t="n"/>
      <c r="P31" s="81">
        <f>IF(TRIM(B31)&lt;&gt;"",IFERROR(INDEX(DescMap_Label,MATCH(TRIM(B31),DescMap_Description,0)),"UNMATCHED"),"")</f>
        <v/>
      </c>
    </row>
    <row r="32" ht="15" customHeight="1" s="199">
      <c r="C32" s="80" t="n"/>
      <c r="D32" s="80" t="n"/>
      <c r="E32" s="80" t="n"/>
      <c r="F32" s="80" t="n"/>
      <c r="G32" s="80" t="n"/>
      <c r="H32" s="80" t="n"/>
      <c r="I32" s="80" t="n"/>
      <c r="J32" s="80" t="n"/>
      <c r="K32" s="80" t="n"/>
      <c r="L32" s="80" t="n"/>
      <c r="M32" s="80" t="n"/>
      <c r="N32" s="80" t="n"/>
      <c r="O32" s="80" t="n"/>
      <c r="P32" s="81">
        <f>IF(TRIM(B32)&lt;&gt;"",IFERROR(INDEX(DescMap_Label,MATCH(TRIM(B32),DescMap_Description,0)),"UNMATCHED"),"")</f>
        <v/>
      </c>
    </row>
    <row r="33" ht="15" customHeight="1" s="199">
      <c r="C33" s="80" t="n"/>
      <c r="D33" s="80" t="n"/>
      <c r="E33" s="80" t="n"/>
      <c r="F33" s="80" t="n"/>
      <c r="G33" s="80" t="n"/>
      <c r="H33" s="80" t="n"/>
      <c r="I33" s="80" t="n"/>
      <c r="J33" s="80" t="n"/>
      <c r="K33" s="80" t="n"/>
      <c r="L33" s="80" t="n"/>
      <c r="M33" s="80" t="n"/>
      <c r="N33" s="80" t="n"/>
      <c r="O33" s="80" t="n"/>
      <c r="P33" s="81">
        <f>IF(TRIM(B33)&lt;&gt;"",IFERROR(INDEX(DescMap_Label,MATCH(TRIM(B33),DescMap_Description,0)),"UNMATCHED"),"")</f>
        <v/>
      </c>
    </row>
    <row r="34" ht="15" customHeight="1" s="199">
      <c r="C34" s="80" t="n"/>
      <c r="D34" s="80" t="n"/>
      <c r="E34" s="80" t="n"/>
      <c r="F34" s="80" t="n"/>
      <c r="G34" s="80" t="n"/>
      <c r="H34" s="80" t="n"/>
      <c r="I34" s="80" t="n"/>
      <c r="J34" s="80" t="n"/>
      <c r="K34" s="80" t="n"/>
      <c r="L34" s="80" t="n"/>
      <c r="M34" s="80" t="n"/>
      <c r="N34" s="80" t="n"/>
      <c r="O34" s="80" t="n"/>
      <c r="P34" s="81">
        <f>IF(TRIM(B34)&lt;&gt;"",IFERROR(INDEX(DescMap_Label,MATCH(TRIM(B34),DescMap_Description,0)),"UNMATCHED"),"")</f>
        <v/>
      </c>
    </row>
    <row r="35" ht="15" customHeight="1" s="199">
      <c r="C35" s="80" t="n"/>
      <c r="D35" s="80" t="n"/>
      <c r="E35" s="80" t="n"/>
      <c r="F35" s="80" t="n"/>
      <c r="G35" s="80" t="n"/>
      <c r="H35" s="80" t="n"/>
      <c r="I35" s="80" t="n"/>
      <c r="J35" s="80" t="n"/>
      <c r="K35" s="80" t="n"/>
      <c r="L35" s="80" t="n"/>
      <c r="M35" s="80" t="n"/>
      <c r="N35" s="80" t="n"/>
      <c r="O35" s="80" t="n"/>
      <c r="P35" s="81">
        <f>IF(TRIM(B35)&lt;&gt;"",IFERROR(INDEX(DescMap_Label,MATCH(TRIM(B35),DescMap_Description,0)),"UNMATCHED"),"")</f>
        <v/>
      </c>
    </row>
    <row r="36" ht="15" customHeight="1" s="199">
      <c r="C36" s="80" t="n"/>
      <c r="D36" s="80" t="n"/>
      <c r="E36" s="80" t="n"/>
      <c r="F36" s="80" t="n"/>
      <c r="G36" s="80" t="n"/>
      <c r="H36" s="80" t="n"/>
      <c r="I36" s="80" t="n"/>
      <c r="J36" s="80" t="n"/>
      <c r="K36" s="80" t="n"/>
      <c r="L36" s="80" t="n"/>
      <c r="M36" s="80" t="n"/>
      <c r="N36" s="80" t="n"/>
      <c r="O36" s="80" t="n"/>
      <c r="P36" s="81">
        <f>IF(TRIM(B36)&lt;&gt;"",IFERROR(INDEX(DescMap_Label,MATCH(TRIM(B36),DescMap_Description,0)),"UNMATCHED"),"")</f>
        <v/>
      </c>
    </row>
    <row r="37" ht="15" customHeight="1" s="199">
      <c r="C37" s="80" t="n"/>
      <c r="D37" s="80" t="n"/>
      <c r="E37" s="80" t="n"/>
      <c r="F37" s="80" t="n"/>
      <c r="G37" s="80" t="n"/>
      <c r="H37" s="80" t="n"/>
      <c r="I37" s="80" t="n"/>
      <c r="J37" s="80" t="n"/>
      <c r="K37" s="80" t="n"/>
      <c r="L37" s="80" t="n"/>
      <c r="M37" s="80" t="n"/>
      <c r="N37" s="80" t="n"/>
      <c r="O37" s="80" t="n"/>
      <c r="P37" s="81">
        <f>IF(TRIM(B37)&lt;&gt;"",IFERROR(INDEX(DescMap_Label,MATCH(TRIM(B37),DescMap_Description,0)),"UNMATCHED"),"")</f>
        <v/>
      </c>
    </row>
    <row r="38" ht="15" customHeight="1" s="199">
      <c r="C38" s="80" t="n"/>
      <c r="D38" s="80" t="n"/>
      <c r="E38" s="80" t="n"/>
      <c r="F38" s="80" t="n"/>
      <c r="G38" s="80" t="n"/>
      <c r="H38" s="80" t="n"/>
      <c r="I38" s="80" t="n"/>
      <c r="J38" s="80" t="n"/>
      <c r="K38" s="80" t="n"/>
      <c r="L38" s="80" t="n"/>
      <c r="M38" s="80" t="n"/>
      <c r="N38" s="80" t="n"/>
      <c r="O38" s="80" t="n"/>
      <c r="P38" s="81">
        <f>IF(TRIM(B38)&lt;&gt;"",IFERROR(INDEX(DescMap_Label,MATCH(TRIM(B38),DescMap_Description,0)),"UNMATCHED"),"")</f>
        <v/>
      </c>
    </row>
    <row r="39" ht="15" customHeight="1" s="199">
      <c r="C39" s="80" t="n"/>
      <c r="D39" s="80" t="n"/>
      <c r="E39" s="80" t="n"/>
      <c r="F39" s="80" t="n"/>
      <c r="G39" s="80" t="n"/>
      <c r="H39" s="80" t="n"/>
      <c r="I39" s="80" t="n"/>
      <c r="J39" s="80" t="n"/>
      <c r="K39" s="80" t="n"/>
      <c r="L39" s="80" t="n"/>
      <c r="M39" s="80" t="n"/>
      <c r="N39" s="80" t="n"/>
      <c r="O39" s="80" t="n"/>
      <c r="P39" s="81">
        <f>IF(TRIM(B39)&lt;&gt;"",IFERROR(INDEX(DescMap_Label,MATCH(TRIM(B39),DescMap_Description,0)),"UNMATCHED"),"")</f>
        <v/>
      </c>
    </row>
    <row r="40" ht="15" customHeight="1" s="199">
      <c r="C40" s="80" t="n"/>
      <c r="D40" s="80" t="n"/>
      <c r="E40" s="80" t="n"/>
      <c r="F40" s="80" t="n"/>
      <c r="G40" s="80" t="n"/>
      <c r="H40" s="80" t="n"/>
      <c r="I40" s="80" t="n"/>
      <c r="J40" s="80" t="n"/>
      <c r="K40" s="80" t="n"/>
      <c r="L40" s="80" t="n"/>
      <c r="M40" s="80" t="n"/>
      <c r="N40" s="80" t="n"/>
      <c r="O40" s="80" t="n"/>
      <c r="P40" s="81">
        <f>IF(TRIM(B40)&lt;&gt;"",IFERROR(INDEX(DescMap_Label,MATCH(TRIM(B40),DescMap_Description,0)),"UNMATCHED"),"")</f>
        <v/>
      </c>
    </row>
    <row r="41" ht="15" customHeight="1" s="199">
      <c r="C41" s="80" t="n"/>
      <c r="D41" s="80" t="n"/>
      <c r="E41" s="80" t="n"/>
      <c r="F41" s="80" t="n"/>
      <c r="G41" s="80" t="n"/>
      <c r="H41" s="80" t="n"/>
      <c r="I41" s="80" t="n"/>
      <c r="J41" s="80" t="n"/>
      <c r="K41" s="80" t="n"/>
      <c r="L41" s="80" t="n"/>
      <c r="M41" s="80" t="n"/>
      <c r="N41" s="80" t="n"/>
      <c r="O41" s="80" t="n"/>
      <c r="P41" s="81">
        <f>IF(TRIM(B41)&lt;&gt;"",IFERROR(INDEX(DescMap_Label,MATCH(TRIM(B41),DescMap_Description,0)),"UNMATCHED"),"")</f>
        <v/>
      </c>
    </row>
    <row r="42" ht="15" customHeight="1" s="199">
      <c r="C42" s="80" t="n"/>
      <c r="D42" s="80" t="n"/>
      <c r="E42" s="80" t="n"/>
      <c r="F42" s="80" t="n"/>
      <c r="G42" s="80" t="n"/>
      <c r="H42" s="80" t="n"/>
      <c r="I42" s="80" t="n"/>
      <c r="J42" s="80" t="n"/>
      <c r="K42" s="80" t="n"/>
      <c r="L42" s="80" t="n"/>
      <c r="M42" s="80" t="n"/>
      <c r="N42" s="80" t="n"/>
      <c r="O42" s="80" t="n"/>
      <c r="P42" s="81">
        <f>IF(TRIM(B42)&lt;&gt;"",IFERROR(INDEX(DescMap_Label,MATCH(TRIM(B42),DescMap_Description,0)),"UNMATCHED"),"")</f>
        <v/>
      </c>
    </row>
    <row r="43" ht="15" customHeight="1" s="199">
      <c r="C43" s="80" t="n"/>
      <c r="D43" s="80" t="n"/>
      <c r="E43" s="80" t="n"/>
      <c r="F43" s="80" t="n"/>
      <c r="G43" s="80" t="n"/>
      <c r="H43" s="80" t="n"/>
      <c r="I43" s="80" t="n"/>
      <c r="J43" s="80" t="n"/>
      <c r="K43" s="80" t="n"/>
      <c r="L43" s="80" t="n"/>
      <c r="M43" s="80" t="n"/>
      <c r="N43" s="80" t="n"/>
      <c r="O43" s="80" t="n"/>
      <c r="P43" s="81">
        <f>IF(TRIM(B43)&lt;&gt;"",IFERROR(INDEX(DescMap_Label,MATCH(TRIM(B43),DescMap_Description,0)),"UNMATCHED"),"")</f>
        <v/>
      </c>
    </row>
    <row r="44" ht="15" customHeight="1" s="199">
      <c r="C44" s="80" t="n"/>
      <c r="D44" s="80" t="n"/>
      <c r="E44" s="80" t="n"/>
      <c r="F44" s="80" t="n"/>
      <c r="G44" s="80" t="n"/>
      <c r="H44" s="80" t="n"/>
      <c r="I44" s="80" t="n"/>
      <c r="J44" s="80" t="n"/>
      <c r="K44" s="80" t="n"/>
      <c r="L44" s="80" t="n"/>
      <c r="M44" s="80" t="n"/>
      <c r="N44" s="80" t="n"/>
      <c r="O44" s="80" t="n"/>
      <c r="P44" s="81">
        <f>IF(TRIM(B44)&lt;&gt;"",IFERROR(INDEX(DescMap_Label,MATCH(TRIM(B44),DescMap_Description,0)),"UNMATCHED"),"")</f>
        <v/>
      </c>
    </row>
    <row r="45" ht="15" customHeight="1" s="199">
      <c r="C45" s="80" t="n"/>
      <c r="D45" s="80" t="n"/>
      <c r="E45" s="80" t="n"/>
      <c r="F45" s="80" t="n"/>
      <c r="G45" s="80" t="n"/>
      <c r="H45" s="80" t="n"/>
      <c r="I45" s="80" t="n"/>
      <c r="J45" s="80" t="n"/>
      <c r="K45" s="80" t="n"/>
      <c r="L45" s="80" t="n"/>
      <c r="M45" s="80" t="n"/>
      <c r="N45" s="80" t="n"/>
      <c r="O45" s="80" t="n"/>
      <c r="P45" s="81">
        <f>IF(TRIM(B45)&lt;&gt;"",IFERROR(INDEX(DescMap_Label,MATCH(TRIM(B45),DescMap_Description,0)),"UNMATCHED"),"")</f>
        <v/>
      </c>
    </row>
    <row r="46" ht="15" customHeight="1" s="199">
      <c r="C46" s="80" t="n"/>
      <c r="D46" s="80" t="n"/>
      <c r="E46" s="80" t="n"/>
      <c r="F46" s="80" t="n"/>
      <c r="G46" s="80" t="n"/>
      <c r="H46" s="80" t="n"/>
      <c r="I46" s="80" t="n"/>
      <c r="J46" s="80" t="n"/>
      <c r="K46" s="80" t="n"/>
      <c r="L46" s="80" t="n"/>
      <c r="M46" s="80" t="n"/>
      <c r="N46" s="80" t="n"/>
      <c r="O46" s="80" t="n"/>
      <c r="P46" s="81">
        <f>IF(TRIM(B46)&lt;&gt;"",IFERROR(INDEX(DescMap_Label,MATCH(TRIM(B46),DescMap_Description,0)),"UNMATCHED"),"")</f>
        <v/>
      </c>
    </row>
    <row r="47" ht="15" customHeight="1" s="199">
      <c r="C47" s="80" t="n"/>
      <c r="D47" s="80" t="n"/>
      <c r="E47" s="80" t="n"/>
      <c r="F47" s="80" t="n"/>
      <c r="G47" s="80" t="n"/>
      <c r="H47" s="80" t="n"/>
      <c r="I47" s="80" t="n"/>
      <c r="J47" s="80" t="n"/>
      <c r="K47" s="80" t="n"/>
      <c r="L47" s="80" t="n"/>
      <c r="M47" s="80" t="n"/>
      <c r="N47" s="80" t="n"/>
      <c r="O47" s="80" t="n"/>
      <c r="P47" s="81">
        <f>IF(TRIM(B47)&lt;&gt;"",IFERROR(INDEX(DescMap_Label,MATCH(TRIM(B47),DescMap_Description,0)),"UNMATCHED"),"")</f>
        <v/>
      </c>
    </row>
    <row r="48" ht="15" customHeight="1" s="199">
      <c r="C48" s="80" t="n"/>
      <c r="D48" s="80" t="n"/>
      <c r="E48" s="80" t="n"/>
      <c r="F48" s="80" t="n"/>
      <c r="G48" s="80" t="n"/>
      <c r="H48" s="80" t="n"/>
      <c r="I48" s="80" t="n"/>
      <c r="J48" s="80" t="n"/>
      <c r="K48" s="80" t="n"/>
      <c r="L48" s="80" t="n"/>
      <c r="M48" s="80" t="n"/>
      <c r="N48" s="80" t="n"/>
      <c r="O48" s="80" t="n"/>
      <c r="P48" s="81">
        <f>IF(TRIM(B48)&lt;&gt;"",IFERROR(INDEX(DescMap_Label,MATCH(TRIM(B48),DescMap_Description,0)),"UNMATCHED"),"")</f>
        <v/>
      </c>
    </row>
    <row r="49" ht="15" customHeight="1" s="199">
      <c r="C49" s="80" t="n"/>
      <c r="D49" s="80" t="n"/>
      <c r="E49" s="80" t="n"/>
      <c r="F49" s="80" t="n"/>
      <c r="G49" s="80" t="n"/>
      <c r="H49" s="80" t="n"/>
      <c r="I49" s="80" t="n"/>
      <c r="J49" s="80" t="n"/>
      <c r="K49" s="80" t="n"/>
      <c r="L49" s="80" t="n"/>
      <c r="M49" s="80" t="n"/>
      <c r="N49" s="80" t="n"/>
      <c r="O49" s="80" t="n"/>
      <c r="P49" s="81">
        <f>IF(TRIM(B49)&lt;&gt;"",IFERROR(INDEX(DescMap_Label,MATCH(TRIM(B49),DescMap_Description,0)),"UNMATCHED"),"")</f>
        <v/>
      </c>
    </row>
    <row r="50" ht="15" customHeight="1" s="199">
      <c r="C50" s="80" t="n"/>
      <c r="D50" s="80" t="n"/>
      <c r="E50" s="80" t="n"/>
      <c r="F50" s="80" t="n"/>
      <c r="G50" s="80" t="n"/>
      <c r="H50" s="80" t="n"/>
      <c r="I50" s="80" t="n"/>
      <c r="J50" s="80" t="n"/>
      <c r="K50" s="80" t="n"/>
      <c r="L50" s="80" t="n"/>
      <c r="M50" s="80" t="n"/>
      <c r="N50" s="80" t="n"/>
      <c r="O50" s="80" t="n"/>
      <c r="P50" s="81">
        <f>IF(TRIM(B50)&lt;&gt;"",IFERROR(INDEX(DescMap_Label,MATCH(TRIM(B50),DescMap_Description,0)),"UNMATCHED"),"")</f>
        <v/>
      </c>
    </row>
    <row r="51" ht="15" customHeight="1" s="199">
      <c r="C51" s="80" t="n"/>
      <c r="D51" s="80" t="n"/>
      <c r="E51" s="80" t="n"/>
      <c r="F51" s="80" t="n"/>
      <c r="G51" s="80" t="n"/>
      <c r="H51" s="80" t="n"/>
      <c r="I51" s="80" t="n"/>
      <c r="J51" s="80" t="n"/>
      <c r="K51" s="80" t="n"/>
      <c r="L51" s="80" t="n"/>
      <c r="M51" s="80" t="n"/>
      <c r="N51" s="80" t="n"/>
      <c r="O51" s="80" t="n"/>
      <c r="P51" s="81">
        <f>IF(TRIM(B51)&lt;&gt;"",IFERROR(INDEX(DescMap_Label,MATCH(TRIM(B51),DescMap_Description,0)),"UNMATCHED"),"")</f>
        <v/>
      </c>
    </row>
    <row r="52" ht="15" customHeight="1" s="199">
      <c r="C52" s="80" t="n"/>
      <c r="D52" s="80" t="n"/>
      <c r="E52" s="80" t="n"/>
      <c r="F52" s="80" t="n"/>
      <c r="G52" s="80" t="n"/>
      <c r="H52" s="80" t="n"/>
      <c r="I52" s="80" t="n"/>
      <c r="J52" s="80" t="n"/>
      <c r="K52" s="80" t="n"/>
      <c r="L52" s="80" t="n"/>
      <c r="M52" s="80" t="n"/>
      <c r="N52" s="80" t="n"/>
      <c r="O52" s="80" t="n"/>
      <c r="P52" s="81">
        <f>IF(TRIM(B52)&lt;&gt;"",IFERROR(INDEX(DescMap_Label,MATCH(TRIM(B52),DescMap_Description,0)),"UNMATCHED"),"")</f>
        <v/>
      </c>
    </row>
    <row r="53" ht="15" customHeight="1" s="199">
      <c r="C53" s="80" t="n"/>
      <c r="D53" s="80" t="n"/>
      <c r="E53" s="80" t="n"/>
      <c r="F53" s="80" t="n"/>
      <c r="G53" s="80" t="n"/>
      <c r="H53" s="80" t="n"/>
      <c r="I53" s="80" t="n"/>
      <c r="J53" s="80" t="n"/>
      <c r="K53" s="80" t="n"/>
      <c r="L53" s="80" t="n"/>
      <c r="M53" s="80" t="n"/>
      <c r="N53" s="80" t="n"/>
      <c r="O53" s="80" t="n"/>
      <c r="P53" s="81">
        <f>IF(TRIM(B53)&lt;&gt;"",IFERROR(INDEX(DescMap_Label,MATCH(TRIM(B53),DescMap_Description,0)),"UNMATCHED"),"")</f>
        <v/>
      </c>
    </row>
    <row r="54" ht="15" customHeight="1" s="199">
      <c r="C54" s="80" t="n"/>
      <c r="D54" s="80" t="n"/>
      <c r="E54" s="80" t="n"/>
      <c r="F54" s="80" t="n"/>
      <c r="G54" s="80" t="n"/>
      <c r="H54" s="80" t="n"/>
      <c r="I54" s="80" t="n"/>
      <c r="J54" s="80" t="n"/>
      <c r="K54" s="80" t="n"/>
      <c r="L54" s="80" t="n"/>
      <c r="M54" s="80" t="n"/>
      <c r="N54" s="80" t="n"/>
      <c r="O54" s="80" t="n"/>
      <c r="P54" s="81">
        <f>IF(TRIM(B54)&lt;&gt;"",IFERROR(INDEX(DescMap_Label,MATCH(TRIM(B54),DescMap_Description,0)),"UNMATCHED"),"")</f>
        <v/>
      </c>
    </row>
    <row r="55" ht="15" customHeight="1" s="199">
      <c r="C55" s="80" t="n"/>
      <c r="D55" s="80" t="n"/>
      <c r="E55" s="80" t="n"/>
      <c r="F55" s="80" t="n"/>
      <c r="G55" s="80" t="n"/>
      <c r="H55" s="80" t="n"/>
      <c r="I55" s="80" t="n"/>
      <c r="J55" s="80" t="n"/>
      <c r="K55" s="80" t="n"/>
      <c r="L55" s="80" t="n"/>
      <c r="M55" s="80" t="n"/>
      <c r="N55" s="80" t="n"/>
      <c r="O55" s="80" t="n"/>
      <c r="P55" s="81">
        <f>IF(TRIM(B55)&lt;&gt;"",IFERROR(INDEX(DescMap_Label,MATCH(TRIM(B55),DescMap_Description,0)),"UNMATCHED"),"")</f>
        <v/>
      </c>
    </row>
    <row r="56" ht="15" customHeight="1" s="199">
      <c r="C56" s="80" t="n"/>
      <c r="D56" s="80" t="n"/>
      <c r="E56" s="80" t="n"/>
      <c r="F56" s="80" t="n"/>
      <c r="G56" s="80" t="n"/>
      <c r="H56" s="80" t="n"/>
      <c r="I56" s="80" t="n"/>
      <c r="J56" s="80" t="n"/>
      <c r="K56" s="80" t="n"/>
      <c r="L56" s="80" t="n"/>
      <c r="M56" s="80" t="n"/>
      <c r="N56" s="80" t="n"/>
      <c r="O56" s="80" t="n"/>
      <c r="P56" s="81">
        <f>IF(TRIM(B56)&lt;&gt;"",IFERROR(INDEX(DescMap_Label,MATCH(TRIM(B56),DescMap_Description,0)),"UNMATCHED"),"")</f>
        <v/>
      </c>
    </row>
    <row r="57" ht="15" customHeight="1" s="199">
      <c r="C57" s="80" t="n"/>
      <c r="D57" s="80" t="n"/>
      <c r="E57" s="80" t="n"/>
      <c r="F57" s="80" t="n"/>
      <c r="G57" s="80" t="n"/>
      <c r="H57" s="80" t="n"/>
      <c r="I57" s="80" t="n"/>
      <c r="J57" s="80" t="n"/>
      <c r="K57" s="80" t="n"/>
      <c r="L57" s="80" t="n"/>
      <c r="M57" s="80" t="n"/>
      <c r="N57" s="80" t="n"/>
      <c r="O57" s="80" t="n"/>
      <c r="P57" s="81">
        <f>IF(TRIM(B57)&lt;&gt;"",IFERROR(INDEX(DescMap_Label,MATCH(TRIM(B57),DescMap_Description,0)),"UNMATCHED"),"")</f>
        <v/>
      </c>
    </row>
    <row r="58" ht="15" customHeight="1" s="199">
      <c r="C58" s="80" t="n"/>
      <c r="D58" s="80" t="n"/>
      <c r="E58" s="80" t="n"/>
      <c r="F58" s="80" t="n"/>
      <c r="G58" s="80" t="n"/>
      <c r="H58" s="80" t="n"/>
      <c r="I58" s="80" t="n"/>
      <c r="J58" s="80" t="n"/>
      <c r="K58" s="80" t="n"/>
      <c r="L58" s="80" t="n"/>
      <c r="M58" s="80" t="n"/>
      <c r="N58" s="80" t="n"/>
      <c r="O58" s="80" t="n"/>
      <c r="P58" s="81">
        <f>IF(TRIM(B58)&lt;&gt;"",IFERROR(INDEX(DescMap_Label,MATCH(TRIM(B58),DescMap_Description,0)),"UNMATCHED"),"")</f>
        <v/>
      </c>
    </row>
    <row r="59" ht="15" customHeight="1" s="199">
      <c r="C59" s="80" t="n"/>
      <c r="D59" s="80" t="n"/>
      <c r="E59" s="80" t="n"/>
      <c r="F59" s="80" t="n"/>
      <c r="G59" s="80" t="n"/>
      <c r="H59" s="80" t="n"/>
      <c r="I59" s="80" t="n"/>
      <c r="J59" s="80" t="n"/>
      <c r="K59" s="80" t="n"/>
      <c r="L59" s="80" t="n"/>
      <c r="M59" s="80" t="n"/>
      <c r="N59" s="80" t="n"/>
      <c r="O59" s="80" t="n"/>
      <c r="P59" s="81">
        <f>IF(TRIM(B59)&lt;&gt;"",IFERROR(INDEX(DescMap_Label,MATCH(TRIM(B59),DescMap_Description,0)),"UNMATCHED"),"")</f>
        <v/>
      </c>
    </row>
    <row r="60" ht="15" customHeight="1" s="199">
      <c r="C60" s="80" t="n"/>
      <c r="D60" s="80" t="n"/>
      <c r="E60" s="80" t="n"/>
      <c r="F60" s="80" t="n"/>
      <c r="G60" s="80" t="n"/>
      <c r="H60" s="80" t="n"/>
      <c r="I60" s="80" t="n"/>
      <c r="J60" s="80" t="n"/>
      <c r="K60" s="80" t="n"/>
      <c r="L60" s="80" t="n"/>
      <c r="M60" s="80" t="n"/>
      <c r="N60" s="80" t="n"/>
      <c r="O60" s="80" t="n"/>
      <c r="P60" s="81">
        <f>IF(TRIM(B60)&lt;&gt;"",IFERROR(INDEX(DescMap_Label,MATCH(TRIM(B60),DescMap_Description,0)),"UNMATCHED"),"")</f>
        <v/>
      </c>
    </row>
    <row r="61" ht="15" customHeight="1" s="199">
      <c r="C61" s="80" t="n"/>
      <c r="D61" s="80" t="n"/>
      <c r="E61" s="80" t="n"/>
      <c r="F61" s="80" t="n"/>
      <c r="G61" s="80" t="n"/>
      <c r="H61" s="80" t="n"/>
      <c r="I61" s="80" t="n"/>
      <c r="J61" s="80" t="n"/>
      <c r="K61" s="80" t="n"/>
      <c r="L61" s="80" t="n"/>
      <c r="M61" s="80" t="n"/>
      <c r="N61" s="80" t="n"/>
      <c r="O61" s="80" t="n"/>
      <c r="P61" s="81">
        <f>IF(TRIM(B61)&lt;&gt;"",IFERROR(INDEX(DescMap_Label,MATCH(TRIM(B61),DescMap_Description,0)),"UNMATCHED"),"")</f>
        <v/>
      </c>
    </row>
    <row r="62" ht="15" customHeight="1" s="199">
      <c r="C62" s="80" t="n"/>
      <c r="D62" s="80" t="n"/>
      <c r="E62" s="80" t="n"/>
      <c r="F62" s="80" t="n"/>
      <c r="G62" s="80" t="n"/>
      <c r="H62" s="80" t="n"/>
      <c r="I62" s="80" t="n"/>
      <c r="J62" s="80" t="n"/>
      <c r="K62" s="80" t="n"/>
      <c r="L62" s="80" t="n"/>
      <c r="M62" s="80" t="n"/>
      <c r="N62" s="80" t="n"/>
      <c r="O62" s="80" t="n"/>
      <c r="P62" s="81">
        <f>IF(TRIM(B62)&lt;&gt;"",IFERROR(INDEX(DescMap_Label,MATCH(TRIM(B62),DescMap_Description,0)),"UNMATCHED"),"")</f>
        <v/>
      </c>
    </row>
    <row r="63" ht="15" customHeight="1" s="199">
      <c r="C63" s="80" t="n"/>
      <c r="D63" s="80" t="n"/>
      <c r="E63" s="80" t="n"/>
      <c r="F63" s="80" t="n"/>
      <c r="G63" s="80" t="n"/>
      <c r="H63" s="80" t="n"/>
      <c r="I63" s="80" t="n"/>
      <c r="J63" s="80" t="n"/>
      <c r="K63" s="80" t="n"/>
      <c r="L63" s="80" t="n"/>
      <c r="M63" s="80" t="n"/>
      <c r="N63" s="80" t="n"/>
      <c r="O63" s="80" t="n"/>
      <c r="P63" s="81">
        <f>IF(TRIM(B63)&lt;&gt;"",IFERROR(INDEX(DescMap_Label,MATCH(TRIM(B63),DescMap_Description,0)),"UNMATCHED"),"")</f>
        <v/>
      </c>
    </row>
    <row r="64" ht="15" customHeight="1" s="199">
      <c r="C64" s="80" t="n"/>
      <c r="D64" s="80" t="n"/>
      <c r="E64" s="80" t="n"/>
      <c r="F64" s="80" t="n"/>
      <c r="G64" s="80" t="n"/>
      <c r="H64" s="80" t="n"/>
      <c r="I64" s="80" t="n"/>
      <c r="J64" s="80" t="n"/>
      <c r="K64" s="80" t="n"/>
      <c r="L64" s="80" t="n"/>
      <c r="M64" s="80" t="n"/>
      <c r="N64" s="80" t="n"/>
      <c r="O64" s="80" t="n"/>
      <c r="P64" s="81">
        <f>IF(TRIM(B64)&lt;&gt;"",IFERROR(INDEX(DescMap_Label,MATCH(TRIM(B64),DescMap_Description,0)),"UNMATCHED"),"")</f>
        <v/>
      </c>
    </row>
    <row r="65" ht="15" customHeight="1" s="199">
      <c r="C65" s="80" t="n"/>
      <c r="D65" s="80" t="n"/>
      <c r="E65" s="80" t="n"/>
      <c r="F65" s="80" t="n"/>
      <c r="G65" s="80" t="n"/>
      <c r="H65" s="80" t="n"/>
      <c r="I65" s="80" t="n"/>
      <c r="J65" s="80" t="n"/>
      <c r="K65" s="80" t="n"/>
      <c r="L65" s="80" t="n"/>
      <c r="M65" s="80" t="n"/>
      <c r="N65" s="80" t="n"/>
      <c r="O65" s="80" t="n"/>
      <c r="P65" s="81">
        <f>IF(TRIM(B65)&lt;&gt;"",IFERROR(INDEX(DescMap_Label,MATCH(TRIM(B65),DescMap_Description,0)),"UNMATCHED"),"")</f>
        <v/>
      </c>
    </row>
    <row r="66" ht="15" customHeight="1" s="199">
      <c r="C66" s="80" t="n"/>
      <c r="D66" s="80" t="n"/>
      <c r="E66" s="80" t="n"/>
      <c r="F66" s="80" t="n"/>
      <c r="G66" s="80" t="n"/>
      <c r="H66" s="80" t="n"/>
      <c r="I66" s="80" t="n"/>
      <c r="J66" s="80" t="n"/>
      <c r="K66" s="80" t="n"/>
      <c r="L66" s="80" t="n"/>
      <c r="M66" s="80" t="n"/>
      <c r="N66" s="80" t="n"/>
      <c r="O66" s="80" t="n"/>
      <c r="P66" s="81">
        <f>IF(TRIM(B66)&lt;&gt;"",IFERROR(INDEX(DescMap_Label,MATCH(TRIM(B66),DescMap_Description,0)),"UNMATCHED"),"")</f>
        <v/>
      </c>
    </row>
    <row r="67" ht="15" customHeight="1" s="199">
      <c r="C67" s="80" t="n"/>
      <c r="D67" s="80" t="n"/>
      <c r="E67" s="80" t="n"/>
      <c r="F67" s="80" t="n"/>
      <c r="G67" s="80" t="n"/>
      <c r="H67" s="80" t="n"/>
      <c r="I67" s="80" t="n"/>
      <c r="J67" s="80" t="n"/>
      <c r="K67" s="80" t="n"/>
      <c r="L67" s="80" t="n"/>
      <c r="M67" s="80" t="n"/>
      <c r="N67" s="80" t="n"/>
      <c r="O67" s="80" t="n"/>
      <c r="P67" s="81">
        <f>IF(TRIM(B67)&lt;&gt;"",IFERROR(INDEX(DescMap_Label,MATCH(TRIM(B67),DescMap_Description,0)),"UNMATCHED"),"")</f>
        <v/>
      </c>
    </row>
    <row r="68" ht="15" customHeight="1" s="199">
      <c r="C68" s="80" t="n"/>
      <c r="D68" s="80" t="n"/>
      <c r="E68" s="80" t="n"/>
      <c r="F68" s="80" t="n"/>
      <c r="G68" s="80" t="n"/>
      <c r="H68" s="80" t="n"/>
      <c r="I68" s="80" t="n"/>
      <c r="J68" s="80" t="n"/>
      <c r="K68" s="80" t="n"/>
      <c r="L68" s="80" t="n"/>
      <c r="M68" s="80" t="n"/>
      <c r="N68" s="80" t="n"/>
      <c r="O68" s="80" t="n"/>
      <c r="P68" s="81">
        <f>IF(TRIM(B68)&lt;&gt;"",IFERROR(INDEX(DescMap_Label,MATCH(TRIM(B68),DescMap_Description,0)),"UNMATCHED"),"")</f>
        <v/>
      </c>
    </row>
    <row r="69" ht="15" customHeight="1" s="199">
      <c r="C69" s="80" t="n"/>
      <c r="D69" s="80" t="n"/>
      <c r="E69" s="80" t="n"/>
      <c r="F69" s="80" t="n"/>
      <c r="G69" s="80" t="n"/>
      <c r="H69" s="80" t="n"/>
      <c r="I69" s="80" t="n"/>
      <c r="J69" s="80" t="n"/>
      <c r="K69" s="80" t="n"/>
      <c r="L69" s="80" t="n"/>
      <c r="M69" s="80" t="n"/>
      <c r="N69" s="80" t="n"/>
      <c r="O69" s="80" t="n"/>
      <c r="P69" s="81">
        <f>IF(TRIM(B69)&lt;&gt;"",IFERROR(INDEX(DescMap_Label,MATCH(TRIM(B69),DescMap_Description,0)),"UNMATCHED"),"")</f>
        <v/>
      </c>
    </row>
    <row r="70" ht="15" customHeight="1" s="199">
      <c r="C70" s="80" t="n"/>
      <c r="D70" s="80" t="n"/>
      <c r="E70" s="80" t="n"/>
      <c r="F70" s="80" t="n"/>
      <c r="G70" s="80" t="n"/>
      <c r="H70" s="80" t="n"/>
      <c r="I70" s="80" t="n"/>
      <c r="J70" s="80" t="n"/>
      <c r="K70" s="80" t="n"/>
      <c r="L70" s="80" t="n"/>
      <c r="M70" s="80" t="n"/>
      <c r="N70" s="80" t="n"/>
      <c r="O70" s="80" t="n"/>
      <c r="P70" s="81">
        <f>IF(TRIM(B70)&lt;&gt;"",IFERROR(INDEX(DescMap_Label,MATCH(TRIM(B70),DescMap_Description,0)),"UNMATCHED"),"")</f>
        <v/>
      </c>
    </row>
    <row r="71" ht="15" customHeight="1" s="199">
      <c r="C71" s="80" t="n"/>
      <c r="D71" s="80" t="n"/>
      <c r="E71" s="80" t="n"/>
      <c r="F71" s="80" t="n"/>
      <c r="G71" s="80" t="n"/>
      <c r="H71" s="80" t="n"/>
      <c r="I71" s="80" t="n"/>
      <c r="J71" s="80" t="n"/>
      <c r="K71" s="80" t="n"/>
      <c r="L71" s="80" t="n"/>
      <c r="M71" s="80" t="n"/>
      <c r="N71" s="80" t="n"/>
      <c r="O71" s="80" t="n"/>
      <c r="P71" s="81">
        <f>IF(TRIM(B71)&lt;&gt;"",IFERROR(INDEX(DescMap_Label,MATCH(TRIM(B71),DescMap_Description,0)),"UNMATCHED"),"")</f>
        <v/>
      </c>
    </row>
    <row r="72" ht="15" customHeight="1" s="199">
      <c r="C72" s="80" t="n"/>
      <c r="D72" s="80" t="n"/>
      <c r="E72" s="80" t="n"/>
      <c r="F72" s="80" t="n"/>
      <c r="G72" s="80" t="n"/>
      <c r="H72" s="80" t="n"/>
      <c r="I72" s="80" t="n"/>
      <c r="J72" s="80" t="n"/>
      <c r="K72" s="80" t="n"/>
      <c r="L72" s="80" t="n"/>
      <c r="M72" s="80" t="n"/>
      <c r="N72" s="80" t="n"/>
      <c r="O72" s="80" t="n"/>
      <c r="P72" s="81">
        <f>IF(TRIM(B72)&lt;&gt;"",IFERROR(INDEX(DescMap_Label,MATCH(TRIM(B72),DescMap_Description,0)),"UNMATCHED"),"")</f>
        <v/>
      </c>
    </row>
    <row r="73" ht="15" customHeight="1" s="199">
      <c r="C73" s="80" t="n"/>
      <c r="D73" s="80" t="n"/>
      <c r="E73" s="80" t="n"/>
      <c r="F73" s="80" t="n"/>
      <c r="G73" s="80" t="n"/>
      <c r="H73" s="80" t="n"/>
      <c r="I73" s="80" t="n"/>
      <c r="J73" s="80" t="n"/>
      <c r="K73" s="80" t="n"/>
      <c r="L73" s="80" t="n"/>
      <c r="M73" s="80" t="n"/>
      <c r="N73" s="80" t="n"/>
      <c r="O73" s="80" t="n"/>
      <c r="P73" s="81">
        <f>IF(TRIM(B73)&lt;&gt;"",IFERROR(INDEX(DescMap_Label,MATCH(TRIM(B73),DescMap_Description,0)),"UNMATCHED"),"")</f>
        <v/>
      </c>
    </row>
    <row r="74" ht="15" customHeight="1" s="199">
      <c r="C74" s="80" t="n"/>
      <c r="D74" s="80" t="n"/>
      <c r="E74" s="80" t="n"/>
      <c r="F74" s="80" t="n"/>
      <c r="G74" s="80" t="n"/>
      <c r="H74" s="80" t="n"/>
      <c r="I74" s="80" t="n"/>
      <c r="J74" s="80" t="n"/>
      <c r="K74" s="80" t="n"/>
      <c r="L74" s="80" t="n"/>
      <c r="M74" s="80" t="n"/>
      <c r="N74" s="80" t="n"/>
      <c r="O74" s="80" t="n"/>
      <c r="P74" s="81">
        <f>IF(TRIM(B74)&lt;&gt;"",IFERROR(INDEX(DescMap_Label,MATCH(TRIM(B74),DescMap_Description,0)),"UNMATCHED"),"")</f>
        <v/>
      </c>
    </row>
    <row r="75" ht="15" customHeight="1" s="199">
      <c r="C75" s="80" t="n"/>
      <c r="D75" s="80" t="n"/>
      <c r="E75" s="80" t="n"/>
      <c r="F75" s="80" t="n"/>
      <c r="G75" s="80" t="n"/>
      <c r="H75" s="80" t="n"/>
      <c r="I75" s="80" t="n"/>
      <c r="J75" s="80" t="n"/>
      <c r="K75" s="80" t="n"/>
      <c r="L75" s="80" t="n"/>
      <c r="M75" s="80" t="n"/>
      <c r="N75" s="80" t="n"/>
      <c r="O75" s="80" t="n"/>
      <c r="P75" s="81">
        <f>IF(TRIM(B75)&lt;&gt;"",IFERROR(INDEX(DescMap_Label,MATCH(TRIM(B75),DescMap_Description,0)),"UNMATCHED"),"")</f>
        <v/>
      </c>
    </row>
    <row r="76" ht="15" customHeight="1" s="199">
      <c r="C76" s="80" t="n"/>
      <c r="D76" s="80" t="n"/>
      <c r="E76" s="80" t="n"/>
      <c r="F76" s="80" t="n"/>
      <c r="G76" s="80" t="n"/>
      <c r="H76" s="80" t="n"/>
      <c r="I76" s="80" t="n"/>
      <c r="J76" s="80" t="n"/>
      <c r="K76" s="80" t="n"/>
      <c r="L76" s="80" t="n"/>
      <c r="M76" s="80" t="n"/>
      <c r="N76" s="80" t="n"/>
      <c r="O76" s="80" t="n"/>
      <c r="P76" s="81">
        <f>IF(TRIM(B76)&lt;&gt;"",IFERROR(INDEX(DescMap_Label,MATCH(TRIM(B76),DescMap_Description,0)),"UNMATCHED"),"")</f>
        <v/>
      </c>
    </row>
    <row r="77" ht="15" customHeight="1" s="199">
      <c r="C77" s="80" t="n"/>
      <c r="D77" s="80" t="n"/>
      <c r="E77" s="80" t="n"/>
      <c r="F77" s="80" t="n"/>
      <c r="G77" s="80" t="n"/>
      <c r="H77" s="80" t="n"/>
      <c r="I77" s="80" t="n"/>
      <c r="J77" s="80" t="n"/>
      <c r="K77" s="80" t="n"/>
      <c r="L77" s="80" t="n"/>
      <c r="M77" s="80" t="n"/>
      <c r="N77" s="80" t="n"/>
      <c r="O77" s="80" t="n"/>
      <c r="P77" s="81">
        <f>IF(TRIM(B77)&lt;&gt;"",IFERROR(INDEX(DescMap_Label,MATCH(TRIM(B77),DescMap_Description,0)),"UNMATCHED"),"")</f>
        <v/>
      </c>
    </row>
    <row r="78" ht="15" customHeight="1" s="199">
      <c r="C78" s="80" t="n"/>
      <c r="D78" s="80" t="n"/>
      <c r="E78" s="80" t="n"/>
      <c r="F78" s="80" t="n"/>
      <c r="G78" s="80" t="n"/>
      <c r="H78" s="80" t="n"/>
      <c r="I78" s="80" t="n"/>
      <c r="J78" s="80" t="n"/>
      <c r="K78" s="80" t="n"/>
      <c r="L78" s="80" t="n"/>
      <c r="M78" s="80" t="n"/>
      <c r="N78" s="80" t="n"/>
      <c r="O78" s="80" t="n"/>
      <c r="P78" s="81">
        <f>IF(TRIM(B78)&lt;&gt;"",IFERROR(INDEX(DescMap_Label,MATCH(TRIM(B78),DescMap_Description,0)),"UNMATCHED"),"")</f>
        <v/>
      </c>
    </row>
    <row r="79" ht="15" customHeight="1" s="199">
      <c r="C79" s="80" t="n"/>
      <c r="D79" s="80" t="n"/>
      <c r="E79" s="80" t="n"/>
      <c r="F79" s="80" t="n"/>
      <c r="G79" s="80" t="n"/>
      <c r="H79" s="80" t="n"/>
      <c r="I79" s="80" t="n"/>
      <c r="J79" s="80" t="n"/>
      <c r="K79" s="80" t="n"/>
      <c r="L79" s="80" t="n"/>
      <c r="M79" s="80" t="n"/>
      <c r="N79" s="80" t="n"/>
      <c r="O79" s="80" t="n"/>
      <c r="P79" s="81">
        <f>IF(TRIM(B79)&lt;&gt;"",IFERROR(INDEX(DescMap_Label,MATCH(TRIM(B79),DescMap_Description,0)),"UNMATCHED"),"")</f>
        <v/>
      </c>
    </row>
    <row r="80" ht="15" customHeight="1" s="199">
      <c r="C80" s="80" t="n"/>
      <c r="D80" s="80" t="n"/>
      <c r="E80" s="80" t="n"/>
      <c r="F80" s="80" t="n"/>
      <c r="G80" s="80" t="n"/>
      <c r="H80" s="80" t="n"/>
      <c r="I80" s="80" t="n"/>
      <c r="J80" s="80" t="n"/>
      <c r="K80" s="80" t="n"/>
      <c r="L80" s="80" t="n"/>
      <c r="M80" s="80" t="n"/>
      <c r="N80" s="80" t="n"/>
      <c r="O80" s="80" t="n"/>
      <c r="P80" s="81">
        <f>IF(TRIM(B80)&lt;&gt;"",IFERROR(INDEX(DescMap_Label,MATCH(TRIM(B80),DescMap_Description,0)),"UNMATCHED"),"")</f>
        <v/>
      </c>
    </row>
    <row r="81" ht="15" customHeight="1" s="199">
      <c r="C81" s="80" t="n"/>
      <c r="D81" s="80" t="n"/>
      <c r="E81" s="80" t="n"/>
      <c r="F81" s="80" t="n"/>
      <c r="G81" s="80" t="n"/>
      <c r="H81" s="80" t="n"/>
      <c r="I81" s="80" t="n"/>
      <c r="J81" s="80" t="n"/>
      <c r="K81" s="80" t="n"/>
      <c r="L81" s="80" t="n"/>
      <c r="M81" s="80" t="n"/>
      <c r="N81" s="80" t="n"/>
      <c r="O81" s="80" t="n"/>
      <c r="P81" s="81">
        <f>IF(TRIM(B81)&lt;&gt;"",IFERROR(INDEX(DescMap_Label,MATCH(TRIM(B81),DescMap_Description,0)),"UNMATCHED"),"")</f>
        <v/>
      </c>
    </row>
    <row r="82" ht="15" customHeight="1" s="199">
      <c r="C82" s="80" t="n"/>
      <c r="D82" s="80" t="n"/>
      <c r="E82" s="80" t="n"/>
      <c r="F82" s="80" t="n"/>
      <c r="G82" s="80" t="n"/>
      <c r="H82" s="80" t="n"/>
      <c r="I82" s="80" t="n"/>
      <c r="J82" s="80" t="n"/>
      <c r="K82" s="80" t="n"/>
      <c r="L82" s="80" t="n"/>
      <c r="M82" s="80" t="n"/>
      <c r="N82" s="80" t="n"/>
      <c r="O82" s="80" t="n"/>
      <c r="P82" s="81">
        <f>IF(TRIM(B82)&lt;&gt;"",IFERROR(INDEX(DescMap_Label,MATCH(TRIM(B82),DescMap_Description,0)),"UNMATCHED"),"")</f>
        <v/>
      </c>
    </row>
    <row r="83" ht="15" customHeight="1" s="199">
      <c r="C83" s="80" t="n"/>
      <c r="D83" s="80" t="n"/>
      <c r="E83" s="80" t="n"/>
      <c r="F83" s="80" t="n"/>
      <c r="G83" s="80" t="n"/>
      <c r="H83" s="80" t="n"/>
      <c r="I83" s="80" t="n"/>
      <c r="J83" s="80" t="n"/>
      <c r="K83" s="80" t="n"/>
      <c r="L83" s="80" t="n"/>
      <c r="M83" s="80" t="n"/>
      <c r="N83" s="80" t="n"/>
      <c r="O83" s="80" t="n"/>
      <c r="P83" s="81">
        <f>IF(TRIM(B83)&lt;&gt;"",IFERROR(INDEX(DescMap_Label,MATCH(TRIM(B83),DescMap_Description,0)),"UNMATCHED"),"")</f>
        <v/>
      </c>
    </row>
    <row r="84" ht="15" customHeight="1" s="199">
      <c r="C84" s="80" t="n"/>
      <c r="D84" s="80" t="n"/>
      <c r="E84" s="80" t="n"/>
      <c r="F84" s="80" t="n"/>
      <c r="G84" s="80" t="n"/>
      <c r="H84" s="80" t="n"/>
      <c r="I84" s="80" t="n"/>
      <c r="J84" s="80" t="n"/>
      <c r="K84" s="80" t="n"/>
      <c r="L84" s="80" t="n"/>
      <c r="M84" s="80" t="n"/>
      <c r="N84" s="80" t="n"/>
      <c r="O84" s="80" t="n"/>
      <c r="P84" s="81">
        <f>IF(TRIM(B84)&lt;&gt;"",IFERROR(INDEX(DescMap_Label,MATCH(TRIM(B84),DescMap_Description,0)),"UNMATCHED"),"")</f>
        <v/>
      </c>
    </row>
    <row r="85" ht="15" customHeight="1" s="199">
      <c r="C85" s="80" t="n"/>
      <c r="D85" s="80" t="n"/>
      <c r="E85" s="80" t="n"/>
      <c r="F85" s="80" t="n"/>
      <c r="G85" s="80" t="n"/>
      <c r="H85" s="80" t="n"/>
      <c r="I85" s="80" t="n"/>
      <c r="J85" s="80" t="n"/>
      <c r="K85" s="80" t="n"/>
      <c r="L85" s="80" t="n"/>
      <c r="M85" s="80" t="n"/>
      <c r="N85" s="80" t="n"/>
      <c r="O85" s="80" t="n"/>
      <c r="P85" s="81">
        <f>IF(TRIM(B85)&lt;&gt;"",IFERROR(INDEX(DescMap_Label,MATCH(TRIM(B85),DescMap_Description,0)),"UNMATCHED"),"")</f>
        <v/>
      </c>
    </row>
    <row r="86" ht="15" customHeight="1" s="199">
      <c r="C86" s="80" t="n"/>
      <c r="D86" s="80" t="n"/>
      <c r="E86" s="80" t="n"/>
      <c r="F86" s="80" t="n"/>
      <c r="G86" s="80" t="n"/>
      <c r="H86" s="80" t="n"/>
      <c r="I86" s="80" t="n"/>
      <c r="J86" s="80" t="n"/>
      <c r="K86" s="80" t="n"/>
      <c r="L86" s="80" t="n"/>
      <c r="M86" s="80" t="n"/>
      <c r="N86" s="80" t="n"/>
      <c r="O86" s="80" t="n"/>
      <c r="P86" s="81">
        <f>IF(TRIM(B86)&lt;&gt;"",IFERROR(INDEX(DescMap_Label,MATCH(TRIM(B86),DescMap_Description,0)),"UNMATCHED"),"")</f>
        <v/>
      </c>
    </row>
    <row r="87" ht="15" customHeight="1" s="199">
      <c r="C87" s="80" t="n"/>
      <c r="D87" s="80" t="n"/>
      <c r="E87" s="80" t="n"/>
      <c r="F87" s="80" t="n"/>
      <c r="G87" s="80" t="n"/>
      <c r="H87" s="80" t="n"/>
      <c r="I87" s="80" t="n"/>
      <c r="J87" s="80" t="n"/>
      <c r="K87" s="80" t="n"/>
      <c r="L87" s="80" t="n"/>
      <c r="M87" s="80" t="n"/>
      <c r="N87" s="80" t="n"/>
      <c r="O87" s="80" t="n"/>
      <c r="P87" s="81">
        <f>IF(TRIM(B87)&lt;&gt;"",IFERROR(INDEX(DescMap_Label,MATCH(TRIM(B87),DescMap_Description,0)),"UNMATCHED"),"")</f>
        <v/>
      </c>
    </row>
    <row r="88" ht="15" customHeight="1" s="199">
      <c r="C88" s="80" t="n"/>
      <c r="D88" s="80" t="n"/>
      <c r="E88" s="80" t="n"/>
      <c r="F88" s="80" t="n"/>
      <c r="G88" s="80" t="n"/>
      <c r="H88" s="80" t="n"/>
      <c r="I88" s="80" t="n"/>
      <c r="J88" s="80" t="n"/>
      <c r="K88" s="80" t="n"/>
      <c r="L88" s="80" t="n"/>
      <c r="M88" s="80" t="n"/>
      <c r="N88" s="80" t="n"/>
      <c r="O88" s="80" t="n"/>
      <c r="P88" s="81">
        <f>IF(TRIM(B88)&lt;&gt;"",IFERROR(INDEX(DescMap_Label,MATCH(TRIM(B88),DescMap_Description,0)),"UNMATCHED"),"")</f>
        <v/>
      </c>
    </row>
    <row r="89" ht="15" customHeight="1" s="199">
      <c r="C89" s="80" t="n"/>
      <c r="D89" s="80" t="n"/>
      <c r="E89" s="80" t="n"/>
      <c r="F89" s="80" t="n"/>
      <c r="G89" s="80" t="n"/>
      <c r="H89" s="80" t="n"/>
      <c r="I89" s="80" t="n"/>
      <c r="J89" s="80" t="n"/>
      <c r="K89" s="80" t="n"/>
      <c r="L89" s="80" t="n"/>
      <c r="M89" s="80" t="n"/>
      <c r="N89" s="80" t="n"/>
      <c r="O89" s="80" t="n"/>
      <c r="P89" s="81">
        <f>IF(TRIM(B89)&lt;&gt;"",IFERROR(INDEX(DescMap_Label,MATCH(TRIM(B89),DescMap_Description,0)),"UNMATCHED"),"")</f>
        <v/>
      </c>
    </row>
    <row r="90" ht="15" customHeight="1" s="199">
      <c r="C90" s="80" t="n"/>
      <c r="D90" s="80" t="n"/>
      <c r="E90" s="80" t="n"/>
      <c r="F90" s="80" t="n"/>
      <c r="G90" s="80" t="n"/>
      <c r="H90" s="80" t="n"/>
      <c r="I90" s="80" t="n"/>
      <c r="J90" s="80" t="n"/>
      <c r="K90" s="80" t="n"/>
      <c r="L90" s="80" t="n"/>
      <c r="M90" s="80" t="n"/>
      <c r="N90" s="80" t="n"/>
      <c r="O90" s="80" t="n"/>
      <c r="P90" s="81">
        <f>IF(TRIM(B90)&lt;&gt;"",IFERROR(INDEX(DescMap_Label,MATCH(TRIM(B90),DescMap_Description,0)),"UNMATCHED"),"")</f>
        <v/>
      </c>
    </row>
    <row r="91" ht="15" customHeight="1" s="199">
      <c r="C91" s="80" t="n"/>
      <c r="D91" s="80" t="n"/>
      <c r="E91" s="80" t="n"/>
      <c r="F91" s="80" t="n"/>
      <c r="G91" s="80" t="n"/>
      <c r="H91" s="80" t="n"/>
      <c r="I91" s="80" t="n"/>
      <c r="J91" s="80" t="n"/>
      <c r="K91" s="80" t="n"/>
      <c r="L91" s="80" t="n"/>
      <c r="M91" s="80" t="n"/>
      <c r="N91" s="80" t="n"/>
      <c r="O91" s="80" t="n"/>
      <c r="P91" s="81">
        <f>IF(TRIM(B91)&lt;&gt;"",IFERROR(INDEX(DescMap_Label,MATCH(TRIM(B91),DescMap_Description,0)),"UNMATCHED"),"")</f>
        <v/>
      </c>
    </row>
    <row r="92" ht="15" customHeight="1" s="199">
      <c r="C92" s="80" t="n"/>
      <c r="D92" s="80" t="n"/>
      <c r="E92" s="80" t="n"/>
      <c r="F92" s="80" t="n"/>
      <c r="G92" s="80" t="n"/>
      <c r="H92" s="80" t="n"/>
      <c r="I92" s="80" t="n"/>
      <c r="J92" s="80" t="n"/>
      <c r="K92" s="80" t="n"/>
      <c r="L92" s="80" t="n"/>
      <c r="M92" s="80" t="n"/>
      <c r="N92" s="80" t="n"/>
      <c r="O92" s="80" t="n"/>
      <c r="P92" s="81">
        <f>IF(TRIM(B92)&lt;&gt;"",IFERROR(INDEX(DescMap_Label,MATCH(TRIM(B92),DescMap_Description,0)),"UNMATCHED"),"")</f>
        <v/>
      </c>
    </row>
    <row r="93" ht="15" customHeight="1" s="199">
      <c r="C93" s="80" t="n"/>
      <c r="D93" s="80" t="n"/>
      <c r="E93" s="80" t="n"/>
      <c r="F93" s="80" t="n"/>
      <c r="G93" s="80" t="n"/>
      <c r="H93" s="80" t="n"/>
      <c r="I93" s="80" t="n"/>
      <c r="J93" s="80" t="n"/>
      <c r="K93" s="80" t="n"/>
      <c r="L93" s="80" t="n"/>
      <c r="M93" s="80" t="n"/>
      <c r="N93" s="80" t="n"/>
      <c r="O93" s="80" t="n"/>
      <c r="P93" s="81">
        <f>IF(TRIM(B93)&lt;&gt;"",IFERROR(INDEX(DescMap_Label,MATCH(TRIM(B93),DescMap_Description,0)),"UNMATCHED"),"")</f>
        <v/>
      </c>
    </row>
    <row r="94" ht="15" customHeight="1" s="199">
      <c r="C94" s="80" t="n"/>
      <c r="D94" s="80" t="n"/>
      <c r="E94" s="80" t="n"/>
      <c r="F94" s="80" t="n"/>
      <c r="G94" s="80" t="n"/>
      <c r="H94" s="80" t="n"/>
      <c r="I94" s="80" t="n"/>
      <c r="J94" s="80" t="n"/>
      <c r="K94" s="80" t="n"/>
      <c r="L94" s="80" t="n"/>
      <c r="M94" s="80" t="n"/>
      <c r="N94" s="80" t="n"/>
      <c r="O94" s="80" t="n"/>
      <c r="P94" s="81">
        <f>IF(TRIM(B94)&lt;&gt;"",IFERROR(INDEX(DescMap_Label,MATCH(TRIM(B94),DescMap_Description,0)),"UNMATCHED"),"")</f>
        <v/>
      </c>
    </row>
    <row r="95" ht="15" customHeight="1" s="199">
      <c r="C95" s="80" t="n"/>
      <c r="D95" s="80" t="n"/>
      <c r="E95" s="80" t="n"/>
      <c r="F95" s="80" t="n"/>
      <c r="G95" s="80" t="n"/>
      <c r="H95" s="80" t="n"/>
      <c r="I95" s="80" t="n"/>
      <c r="J95" s="80" t="n"/>
      <c r="K95" s="80" t="n"/>
      <c r="L95" s="80" t="n"/>
      <c r="M95" s="80" t="n"/>
      <c r="N95" s="80" t="n"/>
      <c r="O95" s="80" t="n"/>
      <c r="P95" s="81">
        <f>IF(TRIM(B95)&lt;&gt;"",IFERROR(INDEX(DescMap_Label,MATCH(TRIM(B95),DescMap_Description,0)),"UNMATCHED"),"")</f>
        <v/>
      </c>
    </row>
    <row r="96" ht="15" customHeight="1" s="199">
      <c r="C96" s="80" t="n"/>
      <c r="D96" s="80" t="n"/>
      <c r="E96" s="80" t="n"/>
      <c r="F96" s="80" t="n"/>
      <c r="G96" s="80" t="n"/>
      <c r="H96" s="80" t="n"/>
      <c r="I96" s="80" t="n"/>
      <c r="J96" s="80" t="n"/>
      <c r="K96" s="80" t="n"/>
      <c r="L96" s="80" t="n"/>
      <c r="M96" s="80" t="n"/>
      <c r="N96" s="80" t="n"/>
      <c r="O96" s="80" t="n"/>
      <c r="P96" s="81">
        <f>IF(TRIM(B96)&lt;&gt;"",IFERROR(INDEX(DescMap_Label,MATCH(TRIM(B96),DescMap_Description,0)),"UNMATCHED"),"")</f>
        <v/>
      </c>
    </row>
    <row r="97" ht="15" customHeight="1" s="199">
      <c r="C97" s="80" t="n"/>
      <c r="D97" s="80" t="n"/>
      <c r="E97" s="80" t="n"/>
      <c r="F97" s="80" t="n"/>
      <c r="G97" s="80" t="n"/>
      <c r="H97" s="80" t="n"/>
      <c r="I97" s="80" t="n"/>
      <c r="J97" s="80" t="n"/>
      <c r="K97" s="80" t="n"/>
      <c r="L97" s="80" t="n"/>
      <c r="M97" s="80" t="n"/>
      <c r="N97" s="80" t="n"/>
      <c r="O97" s="80" t="n"/>
      <c r="P97" s="81">
        <f>IF(TRIM(B97)&lt;&gt;"",IFERROR(INDEX(DescMap_Label,MATCH(TRIM(B97),DescMap_Description,0)),"UNMATCHED"),"")</f>
        <v/>
      </c>
    </row>
    <row r="98" ht="15" customHeight="1" s="199">
      <c r="C98" s="80" t="n"/>
      <c r="D98" s="80" t="n"/>
      <c r="E98" s="80" t="n"/>
      <c r="F98" s="80" t="n"/>
      <c r="G98" s="80" t="n"/>
      <c r="H98" s="80" t="n"/>
      <c r="I98" s="80" t="n"/>
      <c r="J98" s="80" t="n"/>
      <c r="K98" s="80" t="n"/>
      <c r="L98" s="80" t="n"/>
      <c r="M98" s="80" t="n"/>
      <c r="N98" s="80" t="n"/>
      <c r="O98" s="80" t="n"/>
      <c r="P98" s="81">
        <f>IF(TRIM(B98)&lt;&gt;"",IFERROR(INDEX(DescMap_Label,MATCH(TRIM(B98),DescMap_Description,0)),"UNMATCHED"),"")</f>
        <v/>
      </c>
    </row>
    <row r="99" ht="15" customHeight="1" s="199">
      <c r="C99" s="80" t="n"/>
      <c r="D99" s="80" t="n"/>
      <c r="E99" s="80" t="n"/>
      <c r="F99" s="80" t="n"/>
      <c r="G99" s="80" t="n"/>
      <c r="H99" s="80" t="n"/>
      <c r="I99" s="80" t="n"/>
      <c r="J99" s="80" t="n"/>
      <c r="K99" s="80" t="n"/>
      <c r="L99" s="80" t="n"/>
      <c r="M99" s="80" t="n"/>
      <c r="N99" s="80" t="n"/>
      <c r="O99" s="80" t="n"/>
      <c r="P99" s="81">
        <f>IF(TRIM(B99)&lt;&gt;"",IFERROR(INDEX(DescMap_Label,MATCH(TRIM(B99),DescMap_Description,0)),"UNMATCHED"),"")</f>
        <v/>
      </c>
    </row>
    <row r="100" ht="15" customHeight="1" s="199">
      <c r="C100" s="80" t="n"/>
      <c r="D100" s="80" t="n"/>
      <c r="E100" s="80" t="n"/>
      <c r="F100" s="80" t="n"/>
      <c r="G100" s="80" t="n"/>
      <c r="H100" s="80" t="n"/>
      <c r="I100" s="80" t="n"/>
      <c r="J100" s="80" t="n"/>
      <c r="K100" s="80" t="n"/>
      <c r="L100" s="80" t="n"/>
      <c r="M100" s="80" t="n"/>
      <c r="N100" s="80" t="n"/>
      <c r="O100" s="80" t="n"/>
      <c r="P100" s="81">
        <f>IF(TRIM(B100)&lt;&gt;"",IFERROR(INDEX(DescMap_Label,MATCH(TRIM(B100),DescMap_Description,0)),"UNMATCHED"),"")</f>
        <v/>
      </c>
    </row>
    <row r="101" ht="15" customHeight="1" s="199">
      <c r="C101" s="80" t="n"/>
      <c r="D101" s="80" t="n"/>
      <c r="E101" s="80" t="n"/>
      <c r="F101" s="80" t="n"/>
      <c r="G101" s="80" t="n"/>
      <c r="H101" s="80" t="n"/>
      <c r="I101" s="80" t="n"/>
      <c r="J101" s="80" t="n"/>
      <c r="K101" s="80" t="n"/>
      <c r="L101" s="80" t="n"/>
      <c r="M101" s="80" t="n"/>
      <c r="N101" s="80" t="n"/>
      <c r="O101" s="80" t="n"/>
      <c r="P101" s="81">
        <f>IF(TRIM(B101)&lt;&gt;"",IFERROR(INDEX(DescMap_Label,MATCH(TRIM(B101),DescMap_Description,0)),"UNMATCHED"),"")</f>
        <v/>
      </c>
    </row>
    <row r="102" ht="15" customHeight="1" s="199">
      <c r="C102" s="80" t="n"/>
      <c r="D102" s="80" t="n"/>
      <c r="E102" s="80" t="n"/>
      <c r="F102" s="80" t="n"/>
      <c r="G102" s="80" t="n"/>
      <c r="H102" s="80" t="n"/>
      <c r="I102" s="80" t="n"/>
      <c r="J102" s="80" t="n"/>
      <c r="K102" s="80" t="n"/>
      <c r="L102" s="80" t="n"/>
      <c r="M102" s="80" t="n"/>
      <c r="N102" s="80" t="n"/>
      <c r="O102" s="80" t="n"/>
      <c r="P102" s="81">
        <f>IF(TRIM(B102)&lt;&gt;"",IFERROR(INDEX(DescMap_Label,MATCH(TRIM(B102),DescMap_Description,0)),"UNMATCHED"),"")</f>
        <v/>
      </c>
    </row>
    <row r="103" ht="15" customHeight="1" s="199">
      <c r="C103" s="80" t="n"/>
      <c r="D103" s="80" t="n"/>
      <c r="E103" s="80" t="n"/>
      <c r="F103" s="80" t="n"/>
      <c r="G103" s="80" t="n"/>
      <c r="H103" s="80" t="n"/>
      <c r="I103" s="80" t="n"/>
      <c r="J103" s="80" t="n"/>
      <c r="K103" s="80" t="n"/>
      <c r="L103" s="80" t="n"/>
      <c r="M103" s="80" t="n"/>
      <c r="N103" s="80" t="n"/>
      <c r="O103" s="80" t="n"/>
      <c r="P103" s="81">
        <f>IF(TRIM(B103)&lt;&gt;"",IFERROR(INDEX(DescMap_Label,MATCH(TRIM(B103),DescMap_Description,0)),"UNMATCHED"),"")</f>
        <v/>
      </c>
    </row>
    <row r="104" ht="15" customHeight="1" s="199">
      <c r="C104" s="80" t="n"/>
      <c r="D104" s="80" t="n"/>
      <c r="E104" s="80" t="n"/>
      <c r="F104" s="80" t="n"/>
      <c r="G104" s="80" t="n"/>
      <c r="H104" s="80" t="n"/>
      <c r="I104" s="80" t="n"/>
      <c r="J104" s="80" t="n"/>
      <c r="K104" s="80" t="n"/>
      <c r="L104" s="80" t="n"/>
      <c r="M104" s="80" t="n"/>
      <c r="N104" s="80" t="n"/>
      <c r="O104" s="80" t="n"/>
      <c r="P104" s="81">
        <f>IF(TRIM(B104)&lt;&gt;"",IFERROR(INDEX(DescMap_Label,MATCH(TRIM(B104),DescMap_Description,0)),"UNMATCHED"),"")</f>
        <v/>
      </c>
    </row>
    <row r="105" ht="15" customHeight="1" s="199">
      <c r="C105" s="80" t="n"/>
      <c r="D105" s="80" t="n"/>
      <c r="E105" s="80" t="n"/>
      <c r="F105" s="80" t="n"/>
      <c r="G105" s="80" t="n"/>
      <c r="H105" s="80" t="n"/>
      <c r="I105" s="80" t="n"/>
      <c r="J105" s="80" t="n"/>
      <c r="K105" s="80" t="n"/>
      <c r="L105" s="80" t="n"/>
      <c r="M105" s="80" t="n"/>
      <c r="N105" s="80" t="n"/>
      <c r="O105" s="80" t="n"/>
      <c r="P105" s="81">
        <f>IF(TRIM(B105)&lt;&gt;"",IFERROR(INDEX(DescMap_Label,MATCH(TRIM(B105),DescMap_Description,0)),"UNMATCHED"),"")</f>
        <v/>
      </c>
    </row>
    <row r="106" ht="15" customHeight="1" s="199">
      <c r="C106" s="80" t="n"/>
      <c r="D106" s="80" t="n"/>
      <c r="E106" s="80" t="n"/>
      <c r="F106" s="80" t="n"/>
      <c r="G106" s="80" t="n"/>
      <c r="H106" s="80" t="n"/>
      <c r="I106" s="80" t="n"/>
      <c r="J106" s="80" t="n"/>
      <c r="K106" s="80" t="n"/>
      <c r="L106" s="80" t="n"/>
      <c r="M106" s="80" t="n"/>
      <c r="N106" s="80" t="n"/>
      <c r="O106" s="80" t="n"/>
      <c r="P106" s="81">
        <f>IF(TRIM(B106)&lt;&gt;"",IFERROR(INDEX(DescMap_Label,MATCH(TRIM(B106),DescMap_Description,0)),"UNMATCHED"),"")</f>
        <v/>
      </c>
    </row>
    <row r="107" ht="15" customHeight="1" s="199">
      <c r="C107" s="80" t="n"/>
      <c r="D107" s="80" t="n"/>
      <c r="E107" s="80" t="n"/>
      <c r="F107" s="80" t="n"/>
      <c r="G107" s="80" t="n"/>
      <c r="H107" s="80" t="n"/>
      <c r="I107" s="80" t="n"/>
      <c r="J107" s="80" t="n"/>
      <c r="K107" s="80" t="n"/>
      <c r="L107" s="80" t="n"/>
      <c r="M107" s="80" t="n"/>
      <c r="N107" s="80" t="n"/>
      <c r="O107" s="80" t="n"/>
      <c r="P107" s="81">
        <f>IF(TRIM(B107)&lt;&gt;"",IFERROR(INDEX(DescMap_Label,MATCH(TRIM(B107),DescMap_Description,0)),"UNMATCHED"),"")</f>
        <v/>
      </c>
    </row>
    <row r="108" ht="15" customHeight="1" s="199">
      <c r="C108" s="80" t="n"/>
      <c r="D108" s="80" t="n"/>
      <c r="E108" s="80" t="n"/>
      <c r="F108" s="80" t="n"/>
      <c r="G108" s="80" t="n"/>
      <c r="H108" s="80" t="n"/>
      <c r="I108" s="80" t="n"/>
      <c r="J108" s="80" t="n"/>
      <c r="K108" s="80" t="n"/>
      <c r="L108" s="80" t="n"/>
      <c r="M108" s="80" t="n"/>
      <c r="N108" s="80" t="n"/>
      <c r="O108" s="80" t="n"/>
      <c r="P108" s="81">
        <f>IF(TRIM(B108)&lt;&gt;"",IFERROR(INDEX(DescMap_Label,MATCH(TRIM(B108),DescMap_Description,0)),"UNMATCHED"),"")</f>
        <v/>
      </c>
    </row>
    <row r="109" ht="15" customHeight="1" s="199">
      <c r="C109" s="80" t="n"/>
      <c r="D109" s="80" t="n"/>
      <c r="E109" s="80" t="n"/>
      <c r="F109" s="80" t="n"/>
      <c r="G109" s="80" t="n"/>
      <c r="H109" s="80" t="n"/>
      <c r="I109" s="80" t="n"/>
      <c r="J109" s="80" t="n"/>
      <c r="K109" s="80" t="n"/>
      <c r="L109" s="80" t="n"/>
      <c r="M109" s="80" t="n"/>
      <c r="N109" s="80" t="n"/>
      <c r="O109" s="80" t="n"/>
      <c r="P109" s="81">
        <f>IF(TRIM(B109)&lt;&gt;"",IFERROR(INDEX(DescMap_Label,MATCH(TRIM(B109),DescMap_Description,0)),"UNMATCHED"),"")</f>
        <v/>
      </c>
    </row>
    <row r="110" ht="15" customHeight="1" s="199">
      <c r="C110" s="80" t="n"/>
      <c r="D110" s="80" t="n"/>
      <c r="E110" s="80" t="n"/>
      <c r="F110" s="80" t="n"/>
      <c r="G110" s="80" t="n"/>
      <c r="H110" s="80" t="n"/>
      <c r="I110" s="80" t="n"/>
      <c r="J110" s="80" t="n"/>
      <c r="K110" s="80" t="n"/>
      <c r="L110" s="80" t="n"/>
      <c r="M110" s="80" t="n"/>
      <c r="N110" s="80" t="n"/>
      <c r="O110" s="80" t="n"/>
      <c r="P110" s="81">
        <f>IF(TRIM(B110)&lt;&gt;"",IFERROR(INDEX(DescMap_Label,MATCH(TRIM(B110),DescMap_Description,0)),"UNMATCHED"),"")</f>
        <v/>
      </c>
    </row>
    <row r="111" ht="15" customHeight="1" s="199">
      <c r="C111" s="80" t="n"/>
      <c r="D111" s="80" t="n"/>
      <c r="E111" s="80" t="n"/>
      <c r="F111" s="80" t="n"/>
      <c r="G111" s="80" t="n"/>
      <c r="H111" s="80" t="n"/>
      <c r="I111" s="80" t="n"/>
      <c r="J111" s="80" t="n"/>
      <c r="K111" s="80" t="n"/>
      <c r="L111" s="80" t="n"/>
      <c r="M111" s="80" t="n"/>
      <c r="N111" s="80" t="n"/>
      <c r="O111" s="80" t="n"/>
      <c r="P111" s="81">
        <f>IF(TRIM(B111)&lt;&gt;"",IFERROR(INDEX(DescMap_Label,MATCH(TRIM(B111),DescMap_Description,0)),"UNMATCHED"),"")</f>
        <v/>
      </c>
    </row>
    <row r="112" ht="15" customHeight="1" s="199">
      <c r="C112" s="80" t="n"/>
      <c r="D112" s="80" t="n"/>
      <c r="E112" s="80" t="n"/>
      <c r="F112" s="80" t="n"/>
      <c r="G112" s="80" t="n"/>
      <c r="H112" s="80" t="n"/>
      <c r="I112" s="80" t="n"/>
      <c r="J112" s="80" t="n"/>
      <c r="K112" s="80" t="n"/>
      <c r="L112" s="80" t="n"/>
      <c r="M112" s="80" t="n"/>
      <c r="N112" s="80" t="n"/>
      <c r="O112" s="80" t="n"/>
      <c r="P112" s="81">
        <f>IF(TRIM(B112)&lt;&gt;"",IFERROR(INDEX(DescMap_Label,MATCH(TRIM(B112),DescMap_Description,0)),"UNMATCHED"),"")</f>
        <v/>
      </c>
    </row>
    <row r="113" ht="15" customHeight="1" s="199">
      <c r="C113" s="80" t="n"/>
      <c r="D113" s="80" t="n"/>
      <c r="E113" s="80" t="n"/>
      <c r="F113" s="80" t="n"/>
      <c r="G113" s="80" t="n"/>
      <c r="H113" s="80" t="n"/>
      <c r="I113" s="80" t="n"/>
      <c r="J113" s="80" t="n"/>
      <c r="K113" s="80" t="n"/>
      <c r="L113" s="80" t="n"/>
      <c r="M113" s="80" t="n"/>
      <c r="N113" s="80" t="n"/>
      <c r="O113" s="80" t="n"/>
      <c r="P113" s="81">
        <f>IF(TRIM(B113)&lt;&gt;"",IFERROR(INDEX(DescMap_Label,MATCH(TRIM(B113),DescMap_Description,0)),"UNMATCHED"),"")</f>
        <v/>
      </c>
    </row>
    <row r="114" ht="15" customHeight="1" s="199">
      <c r="C114" s="80" t="n"/>
      <c r="D114" s="80" t="n"/>
      <c r="E114" s="80" t="n"/>
      <c r="F114" s="80" t="n"/>
      <c r="G114" s="80" t="n"/>
      <c r="H114" s="80" t="n"/>
      <c r="I114" s="80" t="n"/>
      <c r="J114" s="80" t="n"/>
      <c r="K114" s="80" t="n"/>
      <c r="L114" s="80" t="n"/>
      <c r="M114" s="80" t="n"/>
      <c r="N114" s="80" t="n"/>
      <c r="O114" s="80" t="n"/>
      <c r="P114" s="81">
        <f>IF(TRIM(B114)&lt;&gt;"",IFERROR(INDEX(DescMap_Label,MATCH(TRIM(B114),DescMap_Description,0)),"UNMATCHED"),"")</f>
        <v/>
      </c>
    </row>
    <row r="115" ht="15" customHeight="1" s="199">
      <c r="C115" s="80" t="n"/>
      <c r="D115" s="80" t="n"/>
      <c r="E115" s="80" t="n"/>
      <c r="F115" s="80" t="n"/>
      <c r="G115" s="80" t="n"/>
      <c r="H115" s="80" t="n"/>
      <c r="I115" s="80" t="n"/>
      <c r="J115" s="80" t="n"/>
      <c r="K115" s="80" t="n"/>
      <c r="L115" s="80" t="n"/>
      <c r="M115" s="80" t="n"/>
      <c r="N115" s="80" t="n"/>
      <c r="O115" s="80" t="n"/>
      <c r="P115" s="81">
        <f>IF(TRIM(B115)&lt;&gt;"",IFERROR(INDEX(DescMap_Label,MATCH(TRIM(B115),DescMap_Description,0)),"UNMATCHED"),"")</f>
        <v/>
      </c>
    </row>
    <row r="116" ht="15" customHeight="1" s="199">
      <c r="C116" s="80" t="n"/>
      <c r="D116" s="80" t="n"/>
      <c r="E116" s="80" t="n"/>
      <c r="F116" s="80" t="n"/>
      <c r="G116" s="80" t="n"/>
      <c r="H116" s="80" t="n"/>
      <c r="I116" s="80" t="n"/>
      <c r="J116" s="80" t="n"/>
      <c r="K116" s="80" t="n"/>
      <c r="L116" s="80" t="n"/>
      <c r="M116" s="80" t="n"/>
      <c r="N116" s="80" t="n"/>
      <c r="O116" s="80" t="n"/>
      <c r="P116" s="81">
        <f>IF(TRIM(B116)&lt;&gt;"",IFERROR(INDEX(DescMap_Label,MATCH(TRIM(B116),DescMap_Description,0)),"UNMATCHED"),"")</f>
        <v/>
      </c>
    </row>
    <row r="117" ht="15" customHeight="1" s="199">
      <c r="C117" s="80" t="n"/>
      <c r="D117" s="80" t="n"/>
      <c r="E117" s="80" t="n"/>
      <c r="F117" s="80" t="n"/>
      <c r="G117" s="80" t="n"/>
      <c r="H117" s="80" t="n"/>
      <c r="I117" s="80" t="n"/>
      <c r="J117" s="80" t="n"/>
      <c r="K117" s="80" t="n"/>
      <c r="L117" s="80" t="n"/>
      <c r="M117" s="80" t="n"/>
      <c r="N117" s="80" t="n"/>
      <c r="O117" s="80" t="n"/>
      <c r="P117" s="81">
        <f>IF(TRIM(B117)&lt;&gt;"",IFERROR(INDEX(DescMap_Label,MATCH(TRIM(B117),DescMap_Description,0)),"UNMATCHED"),"")</f>
        <v/>
      </c>
    </row>
    <row r="118" ht="15" customHeight="1" s="199">
      <c r="C118" s="80" t="n"/>
      <c r="D118" s="80" t="n"/>
      <c r="E118" s="80" t="n"/>
      <c r="F118" s="80" t="n"/>
      <c r="G118" s="80" t="n"/>
      <c r="H118" s="80" t="n"/>
      <c r="I118" s="80" t="n"/>
      <c r="J118" s="80" t="n"/>
      <c r="K118" s="80" t="n"/>
      <c r="L118" s="80" t="n"/>
      <c r="M118" s="80" t="n"/>
      <c r="N118" s="80" t="n"/>
      <c r="O118" s="80" t="n"/>
      <c r="P118" s="81">
        <f>IF(TRIM(B118)&lt;&gt;"",IFERROR(INDEX(DescMap_Label,MATCH(TRIM(B118),DescMap_Description,0)),"UNMATCHED"),"")</f>
        <v/>
      </c>
    </row>
    <row r="119" ht="15" customHeight="1" s="199">
      <c r="C119" s="80" t="n"/>
      <c r="D119" s="80" t="n"/>
      <c r="E119" s="80" t="n"/>
      <c r="F119" s="80" t="n"/>
      <c r="G119" s="80" t="n"/>
      <c r="H119" s="80" t="n"/>
      <c r="I119" s="80" t="n"/>
      <c r="J119" s="80" t="n"/>
      <c r="K119" s="80" t="n"/>
      <c r="L119" s="80" t="n"/>
      <c r="M119" s="80" t="n"/>
      <c r="N119" s="80" t="n"/>
      <c r="O119" s="80" t="n"/>
      <c r="P119" s="81">
        <f>IF(TRIM(B119)&lt;&gt;"",IFERROR(INDEX(DescMap_Label,MATCH(TRIM(B119),DescMap_Description,0)),"UNMATCHED"),"")</f>
        <v/>
      </c>
    </row>
    <row r="120" ht="15" customHeight="1" s="199">
      <c r="C120" s="80" t="n"/>
      <c r="D120" s="80" t="n"/>
      <c r="E120" s="80" t="n"/>
      <c r="F120" s="80" t="n"/>
      <c r="G120" s="80" t="n"/>
      <c r="H120" s="80" t="n"/>
      <c r="I120" s="80" t="n"/>
      <c r="J120" s="80" t="n"/>
      <c r="K120" s="80" t="n"/>
      <c r="L120" s="80" t="n"/>
      <c r="M120" s="80" t="n"/>
      <c r="N120" s="80" t="n"/>
      <c r="O120" s="80" t="n"/>
      <c r="P120" s="81">
        <f>IF(TRIM(B120)&lt;&gt;"",IFERROR(INDEX(DescMap_Label,MATCH(TRIM(B120),DescMap_Description,0)),"UNMATCHED"),"")</f>
        <v/>
      </c>
    </row>
    <row r="121" ht="15" customHeight="1" s="199">
      <c r="C121" s="80" t="n"/>
      <c r="D121" s="80" t="n"/>
      <c r="E121" s="80" t="n"/>
      <c r="F121" s="80" t="n"/>
      <c r="G121" s="80" t="n"/>
      <c r="H121" s="80" t="n"/>
      <c r="I121" s="80" t="n"/>
      <c r="J121" s="80" t="n"/>
      <c r="K121" s="80" t="n"/>
      <c r="L121" s="80" t="n"/>
      <c r="M121" s="80" t="n"/>
      <c r="N121" s="80" t="n"/>
      <c r="O121" s="80" t="n"/>
      <c r="P121" s="81">
        <f>IF(TRIM(B121)&lt;&gt;"",IFERROR(INDEX(DescMap_Label,MATCH(TRIM(B121),DescMap_Description,0)),"UNMATCHED"),"")</f>
        <v/>
      </c>
    </row>
    <row r="122" ht="15" customHeight="1" s="199">
      <c r="C122" s="80" t="n"/>
      <c r="D122" s="80" t="n"/>
      <c r="E122" s="80" t="n"/>
      <c r="F122" s="80" t="n"/>
      <c r="G122" s="80" t="n"/>
      <c r="H122" s="80" t="n"/>
      <c r="I122" s="80" t="n"/>
      <c r="J122" s="80" t="n"/>
      <c r="K122" s="80" t="n"/>
      <c r="L122" s="80" t="n"/>
      <c r="M122" s="80" t="n"/>
      <c r="N122" s="80" t="n"/>
      <c r="O122" s="80" t="n"/>
      <c r="P122" s="81">
        <f>IF(TRIM(B122)&lt;&gt;"",IFERROR(INDEX(DescMap_Label,MATCH(TRIM(B122),DescMap_Description,0)),"UNMATCHED"),"")</f>
        <v/>
      </c>
    </row>
    <row r="123" ht="15" customHeight="1" s="199">
      <c r="C123" s="80" t="n"/>
      <c r="D123" s="80" t="n"/>
      <c r="E123" s="80" t="n"/>
      <c r="F123" s="80" t="n"/>
      <c r="G123" s="80" t="n"/>
      <c r="H123" s="80" t="n"/>
      <c r="I123" s="80" t="n"/>
      <c r="J123" s="80" t="n"/>
      <c r="K123" s="80" t="n"/>
      <c r="L123" s="80" t="n"/>
      <c r="M123" s="80" t="n"/>
      <c r="N123" s="80" t="n"/>
      <c r="O123" s="80" t="n"/>
      <c r="P123" s="81">
        <f>IF(TRIM(B123)&lt;&gt;"",IFERROR(INDEX(DescMap_Label,MATCH(TRIM(B123),DescMap_Description,0)),"UNMATCHED"),"")</f>
        <v/>
      </c>
    </row>
    <row r="124" ht="15" customHeight="1" s="199">
      <c r="C124" s="80" t="n"/>
      <c r="D124" s="80" t="n"/>
      <c r="E124" s="80" t="n"/>
      <c r="F124" s="80" t="n"/>
      <c r="G124" s="80" t="n"/>
      <c r="H124" s="80" t="n"/>
      <c r="I124" s="80" t="n"/>
      <c r="J124" s="80" t="n"/>
      <c r="K124" s="80" t="n"/>
      <c r="L124" s="80" t="n"/>
      <c r="M124" s="80" t="n"/>
      <c r="N124" s="80" t="n"/>
      <c r="O124" s="80" t="n"/>
      <c r="P124" s="81">
        <f>IF(TRIM(B124)&lt;&gt;"",IFERROR(INDEX(DescMap_Label,MATCH(TRIM(B124),DescMap_Description,0)),"UNMATCHED"),"")</f>
        <v/>
      </c>
    </row>
    <row r="125" ht="15" customHeight="1" s="199">
      <c r="C125" s="80" t="n"/>
      <c r="D125" s="80" t="n"/>
      <c r="E125" s="80" t="n"/>
      <c r="F125" s="80" t="n"/>
      <c r="G125" s="80" t="n"/>
      <c r="H125" s="80" t="n"/>
      <c r="I125" s="80" t="n"/>
      <c r="J125" s="80" t="n"/>
      <c r="K125" s="80" t="n"/>
      <c r="L125" s="80" t="n"/>
      <c r="M125" s="80" t="n"/>
      <c r="N125" s="80" t="n"/>
      <c r="O125" s="80" t="n"/>
      <c r="P125" s="81">
        <f>IF(TRIM(B125)&lt;&gt;"",IFERROR(INDEX(DescMap_Label,MATCH(TRIM(B125),DescMap_Description,0)),"UNMATCHED"),"")</f>
        <v/>
      </c>
    </row>
    <row r="126" ht="15" customHeight="1" s="199">
      <c r="C126" s="80" t="n"/>
      <c r="D126" s="80" t="n"/>
      <c r="E126" s="80" t="n"/>
      <c r="F126" s="80" t="n"/>
      <c r="G126" s="80" t="n"/>
      <c r="H126" s="80" t="n"/>
      <c r="I126" s="80" t="n"/>
      <c r="J126" s="80" t="n"/>
      <c r="K126" s="80" t="n"/>
      <c r="L126" s="80" t="n"/>
      <c r="M126" s="80" t="n"/>
      <c r="N126" s="80" t="n"/>
      <c r="O126" s="80" t="n"/>
      <c r="P126" s="81">
        <f>IF(TRIM(B126)&lt;&gt;"",IFERROR(INDEX(DescMap_Label,MATCH(TRIM(B126),DescMap_Description,0)),"UNMATCHED"),"")</f>
        <v/>
      </c>
    </row>
    <row r="127" ht="15" customHeight="1" s="199">
      <c r="C127" s="80" t="n"/>
      <c r="D127" s="80" t="n"/>
      <c r="E127" s="80" t="n"/>
      <c r="F127" s="80" t="n"/>
      <c r="G127" s="80" t="n"/>
      <c r="H127" s="80" t="n"/>
      <c r="I127" s="80" t="n"/>
      <c r="J127" s="80" t="n"/>
      <c r="K127" s="80" t="n"/>
      <c r="L127" s="80" t="n"/>
      <c r="M127" s="80" t="n"/>
      <c r="N127" s="80" t="n"/>
      <c r="O127" s="80" t="n"/>
      <c r="P127" s="81">
        <f>IF(TRIM(B127)&lt;&gt;"",IFERROR(INDEX(DescMap_Label,MATCH(TRIM(B127),DescMap_Description,0)),"UNMATCHED"),"")</f>
        <v/>
      </c>
    </row>
    <row r="128" ht="15" customHeight="1" s="199">
      <c r="C128" s="80" t="n"/>
      <c r="D128" s="80" t="n"/>
      <c r="E128" s="80" t="n"/>
      <c r="F128" s="80" t="n"/>
      <c r="G128" s="80" t="n"/>
      <c r="H128" s="80" t="n"/>
      <c r="I128" s="80" t="n"/>
      <c r="J128" s="80" t="n"/>
      <c r="K128" s="80" t="n"/>
      <c r="L128" s="80" t="n"/>
      <c r="M128" s="80" t="n"/>
      <c r="N128" s="80" t="n"/>
      <c r="O128" s="80" t="n"/>
      <c r="P128" s="81">
        <f>IF(TRIM(B128)&lt;&gt;"",IFERROR(INDEX(DescMap_Label,MATCH(TRIM(B128),DescMap_Description,0)),"UNMATCHED"),"")</f>
        <v/>
      </c>
    </row>
    <row r="129" ht="15" customHeight="1" s="199">
      <c r="C129" s="80" t="n"/>
      <c r="D129" s="80" t="n"/>
      <c r="E129" s="80" t="n"/>
      <c r="F129" s="80" t="n"/>
      <c r="G129" s="80" t="n"/>
      <c r="H129" s="80" t="n"/>
      <c r="I129" s="80" t="n"/>
      <c r="J129" s="80" t="n"/>
      <c r="K129" s="80" t="n"/>
      <c r="L129" s="80" t="n"/>
      <c r="M129" s="80" t="n"/>
      <c r="N129" s="80" t="n"/>
      <c r="O129" s="80" t="n"/>
      <c r="P129" s="81">
        <f>IF(TRIM(B129)&lt;&gt;"",IFERROR(INDEX(DescMap_Label,MATCH(TRIM(B129),DescMap_Description,0)),"UNMATCHED"),"")</f>
        <v/>
      </c>
    </row>
    <row r="130" ht="15" customHeight="1" s="199">
      <c r="C130" s="80" t="n"/>
      <c r="D130" s="80" t="n"/>
      <c r="E130" s="80" t="n"/>
      <c r="F130" s="80" t="n"/>
      <c r="G130" s="80" t="n"/>
      <c r="H130" s="80" t="n"/>
      <c r="I130" s="80" t="n"/>
      <c r="J130" s="80" t="n"/>
      <c r="K130" s="80" t="n"/>
      <c r="L130" s="80" t="n"/>
      <c r="M130" s="80" t="n"/>
      <c r="N130" s="80" t="n"/>
      <c r="O130" s="80" t="n"/>
      <c r="P130" s="81">
        <f>IF(TRIM(B130)&lt;&gt;"",IFERROR(INDEX(DescMap_Label,MATCH(TRIM(B130),DescMap_Description,0)),"UNMATCHED"),"")</f>
        <v/>
      </c>
    </row>
    <row r="131" ht="15" customHeight="1" s="199">
      <c r="C131" s="80" t="n"/>
      <c r="D131" s="80" t="n"/>
      <c r="E131" s="80" t="n"/>
      <c r="F131" s="80" t="n"/>
      <c r="G131" s="80" t="n"/>
      <c r="H131" s="80" t="n"/>
      <c r="I131" s="80" t="n"/>
      <c r="J131" s="80" t="n"/>
      <c r="K131" s="80" t="n"/>
      <c r="L131" s="80" t="n"/>
      <c r="M131" s="80" t="n"/>
      <c r="N131" s="80" t="n"/>
      <c r="O131" s="80" t="n"/>
      <c r="P131" s="81">
        <f>IF(TRIM(B131)&lt;&gt;"",IFERROR(INDEX(DescMap_Label,MATCH(TRIM(B131),DescMap_Description,0)),"UNMATCHED"),"")</f>
        <v/>
      </c>
    </row>
    <row r="132" ht="15" customHeight="1" s="199">
      <c r="C132" s="80" t="n"/>
      <c r="D132" s="80" t="n"/>
      <c r="E132" s="80" t="n"/>
      <c r="F132" s="80" t="n"/>
      <c r="G132" s="80" t="n"/>
      <c r="H132" s="80" t="n"/>
      <c r="I132" s="80" t="n"/>
      <c r="J132" s="80" t="n"/>
      <c r="K132" s="80" t="n"/>
      <c r="L132" s="80" t="n"/>
      <c r="M132" s="80" t="n"/>
      <c r="N132" s="80" t="n"/>
      <c r="O132" s="80" t="n"/>
      <c r="P132" s="81">
        <f>IF(TRIM(B132)&lt;&gt;"",IFERROR(INDEX(DescMap_Label,MATCH(TRIM(B132),DescMap_Description,0)),"UNMATCHED"),"")</f>
        <v/>
      </c>
    </row>
    <row r="133" ht="15" customHeight="1" s="199">
      <c r="C133" s="80" t="n"/>
      <c r="D133" s="80" t="n"/>
      <c r="E133" s="80" t="n"/>
      <c r="F133" s="80" t="n"/>
      <c r="G133" s="80" t="n"/>
      <c r="H133" s="80" t="n"/>
      <c r="I133" s="80" t="n"/>
      <c r="J133" s="80" t="n"/>
      <c r="K133" s="80" t="n"/>
      <c r="L133" s="80" t="n"/>
      <c r="M133" s="80" t="n"/>
      <c r="N133" s="80" t="n"/>
      <c r="O133" s="80" t="n"/>
      <c r="P133" s="81">
        <f>IF(TRIM(B133)&lt;&gt;"",IFERROR(INDEX(DescMap_Label,MATCH(TRIM(B133),DescMap_Description,0)),"UNMATCHED"),"")</f>
        <v/>
      </c>
    </row>
    <row r="134" ht="15" customHeight="1" s="199">
      <c r="C134" s="80" t="n"/>
      <c r="D134" s="80" t="n"/>
      <c r="E134" s="80" t="n"/>
      <c r="F134" s="80" t="n"/>
      <c r="G134" s="80" t="n"/>
      <c r="H134" s="80" t="n"/>
      <c r="I134" s="80" t="n"/>
      <c r="J134" s="80" t="n"/>
      <c r="K134" s="80" t="n"/>
      <c r="L134" s="80" t="n"/>
      <c r="M134" s="80" t="n"/>
      <c r="N134" s="80" t="n"/>
      <c r="O134" s="80" t="n"/>
      <c r="P134" s="81">
        <f>IF(TRIM(B134)&lt;&gt;"",IFERROR(INDEX(DescMap_Label,MATCH(TRIM(B134),DescMap_Description,0)),"UNMATCHED"),"")</f>
        <v/>
      </c>
    </row>
    <row r="135" ht="15" customHeight="1" s="199">
      <c r="C135" s="80" t="n"/>
      <c r="D135" s="80" t="n"/>
      <c r="E135" s="80" t="n"/>
      <c r="F135" s="80" t="n"/>
      <c r="G135" s="80" t="n"/>
      <c r="H135" s="80" t="n"/>
      <c r="I135" s="80" t="n"/>
      <c r="J135" s="80" t="n"/>
      <c r="K135" s="80" t="n"/>
      <c r="L135" s="80" t="n"/>
      <c r="M135" s="80" t="n"/>
      <c r="N135" s="80" t="n"/>
      <c r="O135" s="80" t="n"/>
      <c r="P135" s="81">
        <f>IF(TRIM(B135)&lt;&gt;"",IFERROR(INDEX(DescMap_Label,MATCH(TRIM(B135),DescMap_Description,0)),"UNMATCHED"),"")</f>
        <v/>
      </c>
    </row>
    <row r="136" ht="15" customHeight="1" s="199">
      <c r="C136" s="80" t="n"/>
      <c r="D136" s="80" t="n"/>
      <c r="E136" s="80" t="n"/>
      <c r="F136" s="80" t="n"/>
      <c r="G136" s="80" t="n"/>
      <c r="H136" s="80" t="n"/>
      <c r="I136" s="80" t="n"/>
      <c r="J136" s="80" t="n"/>
      <c r="K136" s="80" t="n"/>
      <c r="L136" s="80" t="n"/>
      <c r="M136" s="80" t="n"/>
      <c r="N136" s="80" t="n"/>
      <c r="O136" s="80" t="n"/>
      <c r="P136" s="81">
        <f>IF(TRIM(B136)&lt;&gt;"",IFERROR(INDEX(DescMap_Label,MATCH(TRIM(B136),DescMap_Description,0)),"UNMATCHED"),"")</f>
        <v/>
      </c>
    </row>
    <row r="137" ht="15" customHeight="1" s="199">
      <c r="C137" s="80" t="n"/>
      <c r="D137" s="80" t="n"/>
      <c r="E137" s="80" t="n"/>
      <c r="F137" s="80" t="n"/>
      <c r="G137" s="80" t="n"/>
      <c r="H137" s="80" t="n"/>
      <c r="I137" s="80" t="n"/>
      <c r="J137" s="80" t="n"/>
      <c r="K137" s="80" t="n"/>
      <c r="L137" s="80" t="n"/>
      <c r="M137" s="80" t="n"/>
      <c r="N137" s="80" t="n"/>
      <c r="O137" s="80" t="n"/>
      <c r="P137" s="81">
        <f>IF(TRIM(B137)&lt;&gt;"",IFERROR(INDEX(DescMap_Label,MATCH(TRIM(B137),DescMap_Description,0)),"UNMATCHED"),"")</f>
        <v/>
      </c>
    </row>
    <row r="138" ht="15" customHeight="1" s="199">
      <c r="C138" s="80" t="n"/>
      <c r="D138" s="80" t="n"/>
      <c r="E138" s="80" t="n"/>
      <c r="F138" s="80" t="n"/>
      <c r="G138" s="80" t="n"/>
      <c r="H138" s="80" t="n"/>
      <c r="I138" s="80" t="n"/>
      <c r="J138" s="80" t="n"/>
      <c r="K138" s="80" t="n"/>
      <c r="L138" s="80" t="n"/>
      <c r="M138" s="80" t="n"/>
      <c r="N138" s="80" t="n"/>
      <c r="O138" s="80" t="n"/>
      <c r="P138" s="81">
        <f>IF(TRIM(B138)&lt;&gt;"",IFERROR(INDEX(DescMap_Label,MATCH(TRIM(B138),DescMap_Description,0)),"UNMATCHED"),"")</f>
        <v/>
      </c>
    </row>
    <row r="139" ht="15" customHeight="1" s="199">
      <c r="C139" s="80" t="n"/>
      <c r="D139" s="80" t="n"/>
      <c r="E139" s="80" t="n"/>
      <c r="F139" s="80" t="n"/>
      <c r="G139" s="80" t="n"/>
      <c r="H139" s="80" t="n"/>
      <c r="I139" s="80" t="n"/>
      <c r="J139" s="80" t="n"/>
      <c r="K139" s="80" t="n"/>
      <c r="L139" s="80" t="n"/>
      <c r="M139" s="80" t="n"/>
      <c r="N139" s="80" t="n"/>
      <c r="O139" s="80" t="n"/>
      <c r="P139" s="81">
        <f>IF(TRIM(B139)&lt;&gt;"",IFERROR(INDEX(DescMap_Label,MATCH(TRIM(B139),DescMap_Description,0)),"UNMATCHED"),"")</f>
        <v/>
      </c>
    </row>
    <row r="140" ht="15" customHeight="1" s="199">
      <c r="C140" s="80" t="n"/>
      <c r="D140" s="80" t="n"/>
      <c r="E140" s="80" t="n"/>
      <c r="F140" s="80" t="n"/>
      <c r="G140" s="80" t="n"/>
      <c r="H140" s="80" t="n"/>
      <c r="I140" s="80" t="n"/>
      <c r="J140" s="80" t="n"/>
      <c r="K140" s="80" t="n"/>
      <c r="L140" s="80" t="n"/>
      <c r="M140" s="80" t="n"/>
      <c r="N140" s="80" t="n"/>
      <c r="O140" s="80" t="n"/>
      <c r="P140" s="81">
        <f>IF(TRIM(B140)&lt;&gt;"",IFERROR(INDEX(DescMap_Label,MATCH(TRIM(B140),DescMap_Description,0)),"UNMATCHED"),"")</f>
        <v/>
      </c>
    </row>
    <row r="141" ht="15" customHeight="1" s="199">
      <c r="C141" s="80" t="n"/>
      <c r="D141" s="80" t="n"/>
      <c r="E141" s="80" t="n"/>
      <c r="F141" s="80" t="n"/>
      <c r="G141" s="80" t="n"/>
      <c r="H141" s="80" t="n"/>
      <c r="I141" s="80" t="n"/>
      <c r="J141" s="80" t="n"/>
      <c r="K141" s="80" t="n"/>
      <c r="L141" s="80" t="n"/>
      <c r="M141" s="80" t="n"/>
      <c r="N141" s="80" t="n"/>
      <c r="O141" s="80" t="n"/>
      <c r="P141" s="81">
        <f>IF(TRIM(B141)&lt;&gt;"",IFERROR(INDEX(DescMap_Label,MATCH(TRIM(B141),DescMap_Description,0)),"UNMATCHED"),"")</f>
        <v/>
      </c>
    </row>
    <row r="142" ht="15" customHeight="1" s="199">
      <c r="C142" s="80" t="n"/>
      <c r="D142" s="80" t="n"/>
      <c r="E142" s="80" t="n"/>
      <c r="F142" s="80" t="n"/>
      <c r="G142" s="80" t="n"/>
      <c r="H142" s="80" t="n"/>
      <c r="I142" s="80" t="n"/>
      <c r="J142" s="80" t="n"/>
      <c r="K142" s="80" t="n"/>
      <c r="L142" s="80" t="n"/>
      <c r="M142" s="80" t="n"/>
      <c r="N142" s="80" t="n"/>
      <c r="O142" s="80" t="n"/>
      <c r="P142" s="81">
        <f>IF(TRIM(B142)&lt;&gt;"",IFERROR(INDEX(DescMap_Label,MATCH(TRIM(B142),DescMap_Description,0)),"UNMATCHED"),"")</f>
        <v/>
      </c>
    </row>
    <row r="143" ht="15" customHeight="1" s="199">
      <c r="C143" s="80" t="n"/>
      <c r="D143" s="80" t="n"/>
      <c r="E143" s="80" t="n"/>
      <c r="F143" s="80" t="n"/>
      <c r="G143" s="80" t="n"/>
      <c r="H143" s="80" t="n"/>
      <c r="I143" s="80" t="n"/>
      <c r="J143" s="80" t="n"/>
      <c r="K143" s="80" t="n"/>
      <c r="L143" s="80" t="n"/>
      <c r="M143" s="80" t="n"/>
      <c r="N143" s="80" t="n"/>
      <c r="O143" s="80" t="n"/>
      <c r="P143" s="81">
        <f>IF(TRIM(B143)&lt;&gt;"",IFERROR(INDEX(DescMap_Label,MATCH(TRIM(B143),DescMap_Description,0)),"UNMATCHED"),"")</f>
        <v/>
      </c>
    </row>
    <row r="144" ht="15" customHeight="1" s="199">
      <c r="C144" s="80" t="n"/>
      <c r="D144" s="80" t="n"/>
      <c r="E144" s="80" t="n"/>
      <c r="F144" s="80" t="n"/>
      <c r="G144" s="80" t="n"/>
      <c r="H144" s="80" t="n"/>
      <c r="I144" s="80" t="n"/>
      <c r="J144" s="80" t="n"/>
      <c r="K144" s="80" t="n"/>
      <c r="L144" s="80" t="n"/>
      <c r="M144" s="80" t="n"/>
      <c r="N144" s="80" t="n"/>
      <c r="O144" s="80" t="n"/>
      <c r="P144" s="81">
        <f>IF(TRIM(B144)&lt;&gt;"",IFERROR(INDEX(DescMap_Label,MATCH(TRIM(B144),DescMap_Description,0)),"UNMATCHED"),"")</f>
        <v/>
      </c>
    </row>
    <row r="145" ht="15" customHeight="1" s="199">
      <c r="C145" s="80" t="n"/>
      <c r="D145" s="80" t="n"/>
      <c r="E145" s="80" t="n"/>
      <c r="F145" s="80" t="n"/>
      <c r="G145" s="80" t="n"/>
      <c r="H145" s="80" t="n"/>
      <c r="I145" s="80" t="n"/>
      <c r="J145" s="80" t="n"/>
      <c r="K145" s="80" t="n"/>
      <c r="L145" s="80" t="n"/>
      <c r="M145" s="80" t="n"/>
      <c r="N145" s="80" t="n"/>
      <c r="O145" s="80" t="n"/>
      <c r="P145" s="81">
        <f>IF(TRIM(B145)&lt;&gt;"",IFERROR(INDEX(DescMap_Label,MATCH(TRIM(B145),DescMap_Description,0)),"UNMATCHED"),"")</f>
        <v/>
      </c>
    </row>
    <row r="146" ht="15" customHeight="1" s="199">
      <c r="C146" s="80" t="n"/>
      <c r="D146" s="80" t="n"/>
      <c r="E146" s="80" t="n"/>
      <c r="F146" s="80" t="n"/>
      <c r="G146" s="80" t="n"/>
      <c r="H146" s="80" t="n"/>
      <c r="I146" s="80" t="n"/>
      <c r="J146" s="80" t="n"/>
      <c r="K146" s="80" t="n"/>
      <c r="L146" s="80" t="n"/>
      <c r="M146" s="80" t="n"/>
      <c r="N146" s="80" t="n"/>
      <c r="O146" s="80" t="n"/>
      <c r="P146" s="81">
        <f>IF(TRIM(B146)&lt;&gt;"",IFERROR(INDEX(DescMap_Label,MATCH(TRIM(B146),DescMap_Description,0)),"UNMATCHED"),"")</f>
        <v/>
      </c>
    </row>
    <row r="147" ht="15" customHeight="1" s="199">
      <c r="C147" s="80" t="n"/>
      <c r="D147" s="80" t="n"/>
      <c r="E147" s="80" t="n"/>
      <c r="F147" s="80" t="n"/>
      <c r="G147" s="80" t="n"/>
      <c r="H147" s="80" t="n"/>
      <c r="I147" s="80" t="n"/>
      <c r="J147" s="80" t="n"/>
      <c r="K147" s="80" t="n"/>
      <c r="L147" s="80" t="n"/>
      <c r="M147" s="80" t="n"/>
      <c r="N147" s="80" t="n"/>
      <c r="O147" s="80" t="n"/>
      <c r="P147" s="81">
        <f>IF(TRIM(B147)&lt;&gt;"",IFERROR(INDEX(DescMap_Label,MATCH(TRIM(B147),DescMap_Description,0)),"UNMATCHED"),"")</f>
        <v/>
      </c>
    </row>
    <row r="148" ht="15" customHeight="1" s="199">
      <c r="C148" s="80" t="n"/>
      <c r="D148" s="80" t="n"/>
      <c r="E148" s="80" t="n"/>
      <c r="F148" s="80" t="n"/>
      <c r="G148" s="80" t="n"/>
      <c r="H148" s="80" t="n"/>
      <c r="I148" s="80" t="n"/>
      <c r="J148" s="80" t="n"/>
      <c r="K148" s="80" t="n"/>
      <c r="L148" s="80" t="n"/>
      <c r="M148" s="80" t="n"/>
      <c r="N148" s="80" t="n"/>
      <c r="O148" s="80" t="n"/>
      <c r="P148" s="81">
        <f>IF(TRIM(B148)&lt;&gt;"",IFERROR(INDEX(DescMap_Label,MATCH(TRIM(B148),DescMap_Description,0)),"UNMATCHED"),"")</f>
        <v/>
      </c>
    </row>
    <row r="149" ht="15" customHeight="1" s="199">
      <c r="C149" s="80" t="n"/>
      <c r="D149" s="80" t="n"/>
      <c r="E149" s="80" t="n"/>
      <c r="F149" s="80" t="n"/>
      <c r="G149" s="80" t="n"/>
      <c r="H149" s="80" t="n"/>
      <c r="I149" s="80" t="n"/>
      <c r="J149" s="80" t="n"/>
      <c r="K149" s="80" t="n"/>
      <c r="L149" s="80" t="n"/>
      <c r="M149" s="80" t="n"/>
      <c r="N149" s="80" t="n"/>
      <c r="O149" s="80" t="n"/>
      <c r="P149" s="81">
        <f>IF(TRIM(B149)&lt;&gt;"",IFERROR(INDEX(DescMap_Label,MATCH(TRIM(B149),DescMap_Description,0)),"UNMATCHED"),"")</f>
        <v/>
      </c>
    </row>
    <row r="150" ht="15" customHeight="1" s="199">
      <c r="C150" s="80" t="n"/>
      <c r="D150" s="80" t="n"/>
      <c r="E150" s="80" t="n"/>
      <c r="F150" s="80" t="n"/>
      <c r="G150" s="80" t="n"/>
      <c r="H150" s="80" t="n"/>
      <c r="I150" s="80" t="n"/>
      <c r="J150" s="80" t="n"/>
      <c r="K150" s="80" t="n"/>
      <c r="L150" s="80" t="n"/>
      <c r="M150" s="80" t="n"/>
      <c r="N150" s="80" t="n"/>
      <c r="O150" s="80" t="n"/>
      <c r="P150" s="81">
        <f>IF(TRIM(B150)&lt;&gt;"",IFERROR(INDEX(DescMap_Label,MATCH(TRIM(B150),DescMap_Description,0)),"UNMATCHED"),"")</f>
        <v/>
      </c>
    </row>
    <row r="151" ht="15" customHeight="1" s="199">
      <c r="C151" s="80" t="n"/>
      <c r="D151" s="80" t="n"/>
      <c r="E151" s="80" t="n"/>
      <c r="F151" s="80" t="n"/>
      <c r="G151" s="80" t="n"/>
      <c r="H151" s="80" t="n"/>
      <c r="I151" s="80" t="n"/>
      <c r="J151" s="80" t="n"/>
      <c r="K151" s="80" t="n"/>
      <c r="L151" s="80" t="n"/>
      <c r="M151" s="80" t="n"/>
      <c r="N151" s="80" t="n"/>
      <c r="O151" s="80" t="n"/>
      <c r="P151" s="81">
        <f>IF(TRIM(B151)&lt;&gt;"",IFERROR(INDEX(DescMap_Label,MATCH(TRIM(B151),DescMap_Description,0)),"UNMATCHED"),"")</f>
        <v/>
      </c>
    </row>
    <row r="152" ht="15" customHeight="1" s="199">
      <c r="C152" s="80" t="n"/>
      <c r="D152" s="80" t="n"/>
      <c r="E152" s="80" t="n"/>
      <c r="F152" s="80" t="n"/>
      <c r="G152" s="80" t="n"/>
      <c r="H152" s="80" t="n"/>
      <c r="I152" s="80" t="n"/>
      <c r="J152" s="80" t="n"/>
      <c r="K152" s="80" t="n"/>
      <c r="L152" s="80" t="n"/>
      <c r="M152" s="80" t="n"/>
      <c r="N152" s="80" t="n"/>
      <c r="O152" s="80" t="n"/>
      <c r="P152" s="81">
        <f>IF(TRIM(B152)&lt;&gt;"",IFERROR(INDEX(DescMap_Label,MATCH(TRIM(B152),DescMap_Description,0)),"UNMATCHED"),"")</f>
        <v/>
      </c>
    </row>
    <row r="153" ht="15" customHeight="1" s="199">
      <c r="C153" s="80" t="n"/>
      <c r="D153" s="80" t="n"/>
      <c r="E153" s="80" t="n"/>
      <c r="F153" s="80" t="n"/>
      <c r="G153" s="80" t="n"/>
      <c r="H153" s="80" t="n"/>
      <c r="I153" s="80" t="n"/>
      <c r="J153" s="80" t="n"/>
      <c r="K153" s="80" t="n"/>
      <c r="L153" s="80" t="n"/>
      <c r="M153" s="80" t="n"/>
      <c r="N153" s="80" t="n"/>
      <c r="O153" s="80" t="n"/>
      <c r="P153" s="81">
        <f>IF(TRIM(B153)&lt;&gt;"",IFERROR(INDEX(DescMap_Label,MATCH(TRIM(B153),DescMap_Description,0)),"UNMATCHED"),"")</f>
        <v/>
      </c>
    </row>
    <row r="154" ht="15" customHeight="1" s="199">
      <c r="C154" s="80" t="n"/>
      <c r="D154" s="80" t="n"/>
      <c r="E154" s="80" t="n"/>
      <c r="F154" s="80" t="n"/>
      <c r="G154" s="80" t="n"/>
      <c r="H154" s="80" t="n"/>
      <c r="I154" s="80" t="n"/>
      <c r="J154" s="80" t="n"/>
      <c r="K154" s="80" t="n"/>
      <c r="L154" s="80" t="n"/>
      <c r="M154" s="80" t="n"/>
      <c r="N154" s="80" t="n"/>
      <c r="O154" s="80" t="n"/>
      <c r="P154" s="81">
        <f>IF(TRIM(B154)&lt;&gt;"",IFERROR(INDEX(DescMap_Label,MATCH(TRIM(B154),DescMap_Description,0)),"UNMATCHED"),"")</f>
        <v/>
      </c>
    </row>
    <row r="155" ht="15" customHeight="1" s="199">
      <c r="C155" s="80" t="n"/>
      <c r="D155" s="80" t="n"/>
      <c r="E155" s="80" t="n"/>
      <c r="F155" s="80" t="n"/>
      <c r="G155" s="80" t="n"/>
      <c r="H155" s="80" t="n"/>
      <c r="I155" s="80" t="n"/>
      <c r="J155" s="80" t="n"/>
      <c r="K155" s="80" t="n"/>
      <c r="L155" s="80" t="n"/>
      <c r="M155" s="80" t="n"/>
      <c r="N155" s="80" t="n"/>
      <c r="O155" s="80" t="n"/>
      <c r="P155" s="81">
        <f>IF(TRIM(B155)&lt;&gt;"",IFERROR(INDEX(DescMap_Label,MATCH(TRIM(B155),DescMap_Description,0)),"UNMATCHED"),"")</f>
        <v/>
      </c>
    </row>
    <row r="156" ht="15" customHeight="1" s="199">
      <c r="C156" s="80" t="n"/>
      <c r="D156" s="80" t="n"/>
      <c r="E156" s="80" t="n"/>
      <c r="F156" s="80" t="n"/>
      <c r="G156" s="80" t="n"/>
      <c r="H156" s="80" t="n"/>
      <c r="I156" s="80" t="n"/>
      <c r="J156" s="80" t="n"/>
      <c r="K156" s="80" t="n"/>
      <c r="L156" s="80" t="n"/>
      <c r="M156" s="80" t="n"/>
      <c r="N156" s="80" t="n"/>
      <c r="O156" s="80" t="n"/>
      <c r="P156" s="81">
        <f>IF(TRIM(B156)&lt;&gt;"",IFERROR(INDEX(DescMap_Label,MATCH(TRIM(B156),DescMap_Description,0)),"UNMATCHED"),"")</f>
        <v/>
      </c>
    </row>
    <row r="157" ht="15" customHeight="1" s="199">
      <c r="C157" s="80" t="n"/>
      <c r="D157" s="80" t="n"/>
      <c r="E157" s="80" t="n"/>
      <c r="F157" s="80" t="n"/>
      <c r="G157" s="80" t="n"/>
      <c r="H157" s="80" t="n"/>
      <c r="I157" s="80" t="n"/>
      <c r="J157" s="80" t="n"/>
      <c r="K157" s="80" t="n"/>
      <c r="L157" s="80" t="n"/>
      <c r="M157" s="80" t="n"/>
      <c r="N157" s="80" t="n"/>
      <c r="O157" s="80" t="n"/>
      <c r="P157" s="81">
        <f>IF(TRIM(B157)&lt;&gt;"",IFERROR(INDEX(DescMap_Label,MATCH(TRIM(B157),DescMap_Description,0)),"UNMATCHED"),"")</f>
        <v/>
      </c>
    </row>
    <row r="158" ht="15" customHeight="1" s="199">
      <c r="C158" s="80" t="n"/>
      <c r="D158" s="80" t="n"/>
      <c r="E158" s="80" t="n"/>
      <c r="F158" s="80" t="n"/>
      <c r="G158" s="80" t="n"/>
      <c r="H158" s="80" t="n"/>
      <c r="I158" s="80" t="n"/>
      <c r="J158" s="80" t="n"/>
      <c r="K158" s="80" t="n"/>
      <c r="L158" s="80" t="n"/>
      <c r="M158" s="80" t="n"/>
      <c r="N158" s="80" t="n"/>
      <c r="O158" s="80" t="n"/>
      <c r="P158" s="81">
        <f>IF(TRIM(B158)&lt;&gt;"",IFERROR(INDEX(DescMap_Label,MATCH(TRIM(B158),DescMap_Description,0)),"UNMATCHED"),"")</f>
        <v/>
      </c>
    </row>
    <row r="159" ht="15" customHeight="1" s="199">
      <c r="C159" s="80" t="n"/>
      <c r="D159" s="80" t="n"/>
      <c r="E159" s="80" t="n"/>
      <c r="F159" s="80" t="n"/>
      <c r="G159" s="80" t="n"/>
      <c r="H159" s="80" t="n"/>
      <c r="I159" s="80" t="n"/>
      <c r="J159" s="80" t="n"/>
      <c r="K159" s="80" t="n"/>
      <c r="L159" s="80" t="n"/>
      <c r="M159" s="80" t="n"/>
      <c r="N159" s="80" t="n"/>
      <c r="O159" s="80" t="n"/>
      <c r="P159" s="81">
        <f>IF(TRIM(B159)&lt;&gt;"",IFERROR(INDEX(DescMap_Label,MATCH(TRIM(B159),DescMap_Description,0)),"UNMATCHED"),"")</f>
        <v/>
      </c>
    </row>
    <row r="160" ht="15" customHeight="1" s="199">
      <c r="C160" s="80" t="n"/>
      <c r="D160" s="80" t="n"/>
      <c r="E160" s="80" t="n"/>
      <c r="F160" s="80" t="n"/>
      <c r="G160" s="80" t="n"/>
      <c r="H160" s="80" t="n"/>
      <c r="I160" s="80" t="n"/>
      <c r="J160" s="80" t="n"/>
      <c r="K160" s="80" t="n"/>
      <c r="L160" s="80" t="n"/>
      <c r="M160" s="80" t="n"/>
      <c r="N160" s="80" t="n"/>
      <c r="O160" s="80" t="n"/>
      <c r="P160" s="81">
        <f>IF(TRIM(B160)&lt;&gt;"",IFERROR(INDEX(DescMap_Label,MATCH(TRIM(B160),DescMap_Description,0)),"UNMATCHED"),"")</f>
        <v/>
      </c>
    </row>
    <row r="161" ht="15" customHeight="1" s="199">
      <c r="C161" s="80" t="n"/>
      <c r="D161" s="80" t="n"/>
      <c r="E161" s="80" t="n"/>
      <c r="F161" s="80" t="n"/>
      <c r="G161" s="80" t="n"/>
      <c r="H161" s="80" t="n"/>
      <c r="I161" s="80" t="n"/>
      <c r="J161" s="80" t="n"/>
      <c r="K161" s="80" t="n"/>
      <c r="L161" s="80" t="n"/>
      <c r="M161" s="80" t="n"/>
      <c r="N161" s="80" t="n"/>
      <c r="O161" s="80" t="n"/>
      <c r="P161" s="81">
        <f>IF(TRIM(B161)&lt;&gt;"",IFERROR(INDEX(DescMap_Label,MATCH(TRIM(B161),DescMap_Description,0)),"UNMATCHED"),"")</f>
        <v/>
      </c>
    </row>
    <row r="162" ht="15" customHeight="1" s="199">
      <c r="C162" s="80" t="n"/>
      <c r="D162" s="80" t="n"/>
      <c r="E162" s="80" t="n"/>
      <c r="F162" s="80" t="n"/>
      <c r="G162" s="80" t="n"/>
      <c r="H162" s="80" t="n"/>
      <c r="I162" s="80" t="n"/>
      <c r="J162" s="80" t="n"/>
      <c r="K162" s="80" t="n"/>
      <c r="L162" s="80" t="n"/>
      <c r="M162" s="80" t="n"/>
      <c r="N162" s="80" t="n"/>
      <c r="O162" s="80" t="n"/>
      <c r="P162" s="81">
        <f>IF(TRIM(B162)&lt;&gt;"",IFERROR(INDEX(DescMap_Label,MATCH(TRIM(B162),DescMap_Description,0)),"UNMATCHED"),"")</f>
        <v/>
      </c>
    </row>
    <row r="163" ht="15" customHeight="1" s="199">
      <c r="C163" s="80" t="n"/>
      <c r="D163" s="80" t="n"/>
      <c r="E163" s="80" t="n"/>
      <c r="F163" s="80" t="n"/>
      <c r="G163" s="80" t="n"/>
      <c r="H163" s="80" t="n"/>
      <c r="I163" s="80" t="n"/>
      <c r="J163" s="80" t="n"/>
      <c r="K163" s="80" t="n"/>
      <c r="L163" s="80" t="n"/>
      <c r="M163" s="80" t="n"/>
      <c r="N163" s="80" t="n"/>
      <c r="O163" s="80" t="n"/>
      <c r="P163" s="81">
        <f>IF(TRIM(B163)&lt;&gt;"",IFERROR(INDEX(DescMap_Label,MATCH(TRIM(B163),DescMap_Description,0)),"UNMATCHED"),"")</f>
        <v/>
      </c>
    </row>
    <row r="164" ht="15" customHeight="1" s="199">
      <c r="C164" s="80" t="n"/>
      <c r="D164" s="80" t="n"/>
      <c r="E164" s="80" t="n"/>
      <c r="F164" s="80" t="n"/>
      <c r="G164" s="80" t="n"/>
      <c r="H164" s="80" t="n"/>
      <c r="I164" s="80" t="n"/>
      <c r="J164" s="80" t="n"/>
      <c r="K164" s="80" t="n"/>
      <c r="L164" s="80" t="n"/>
      <c r="M164" s="80" t="n"/>
      <c r="N164" s="80" t="n"/>
      <c r="O164" s="80" t="n"/>
      <c r="P164" s="81">
        <f>IF(TRIM(B164)&lt;&gt;"",IFERROR(INDEX(DescMap_Label,MATCH(TRIM(B164),DescMap_Description,0)),"UNMATCHED"),"")</f>
        <v/>
      </c>
    </row>
    <row r="165" ht="15" customHeight="1" s="199">
      <c r="C165" s="80" t="n"/>
      <c r="D165" s="80" t="n"/>
      <c r="E165" s="80" t="n"/>
      <c r="F165" s="80" t="n"/>
      <c r="G165" s="80" t="n"/>
      <c r="H165" s="80" t="n"/>
      <c r="I165" s="80" t="n"/>
      <c r="J165" s="80" t="n"/>
      <c r="K165" s="80" t="n"/>
      <c r="L165" s="80" t="n"/>
      <c r="M165" s="80" t="n"/>
      <c r="N165" s="80" t="n"/>
      <c r="O165" s="80" t="n"/>
      <c r="P165" s="81">
        <f>IF(TRIM(B165)&lt;&gt;"",IFERROR(INDEX(DescMap_Label,MATCH(TRIM(B165),DescMap_Description,0)),"UNMATCHED"),"")</f>
        <v/>
      </c>
    </row>
    <row r="166" ht="15" customHeight="1" s="199">
      <c r="C166" s="80" t="n"/>
      <c r="D166" s="80" t="n"/>
      <c r="E166" s="80" t="n"/>
      <c r="F166" s="80" t="n"/>
      <c r="G166" s="80" t="n"/>
      <c r="H166" s="80" t="n"/>
      <c r="I166" s="80" t="n"/>
      <c r="J166" s="80" t="n"/>
      <c r="K166" s="80" t="n"/>
      <c r="L166" s="80" t="n"/>
      <c r="M166" s="80" t="n"/>
      <c r="N166" s="80" t="n"/>
      <c r="O166" s="80" t="n"/>
      <c r="P166" s="81">
        <f>IF(TRIM(B166)&lt;&gt;"",IFERROR(INDEX(DescMap_Label,MATCH(TRIM(B166),DescMap_Description,0)),"UNMATCHED"),"")</f>
        <v/>
      </c>
    </row>
    <row r="167" ht="15" customHeight="1" s="199">
      <c r="C167" s="80" t="n"/>
      <c r="D167" s="80" t="n"/>
      <c r="E167" s="80" t="n"/>
      <c r="F167" s="80" t="n"/>
      <c r="G167" s="80" t="n"/>
      <c r="H167" s="80" t="n"/>
      <c r="I167" s="80" t="n"/>
      <c r="J167" s="80" t="n"/>
      <c r="K167" s="80" t="n"/>
      <c r="L167" s="80" t="n"/>
      <c r="M167" s="80" t="n"/>
      <c r="N167" s="80" t="n"/>
      <c r="O167" s="80" t="n"/>
      <c r="P167" s="81">
        <f>IF(TRIM(B167)&lt;&gt;"",IFERROR(INDEX(DescMap_Label,MATCH(TRIM(B167),DescMap_Description,0)),"UNMATCHED"),"")</f>
        <v/>
      </c>
    </row>
    <row r="168" ht="15" customHeight="1" s="199">
      <c r="C168" s="80" t="n"/>
      <c r="D168" s="80" t="n"/>
      <c r="E168" s="80" t="n"/>
      <c r="F168" s="80" t="n"/>
      <c r="G168" s="80" t="n"/>
      <c r="H168" s="80" t="n"/>
      <c r="I168" s="80" t="n"/>
      <c r="J168" s="80" t="n"/>
      <c r="K168" s="80" t="n"/>
      <c r="L168" s="80" t="n"/>
      <c r="M168" s="80" t="n"/>
      <c r="N168" s="80" t="n"/>
      <c r="O168" s="80" t="n"/>
      <c r="P168" s="81">
        <f>IF(TRIM(B168)&lt;&gt;"",IFERROR(INDEX(DescMap_Label,MATCH(TRIM(B168),DescMap_Description,0)),"UNMATCHED"),"")</f>
        <v/>
      </c>
    </row>
    <row r="169" ht="15" customHeight="1" s="199">
      <c r="C169" s="80" t="n"/>
      <c r="D169" s="80" t="n"/>
      <c r="E169" s="80" t="n"/>
      <c r="F169" s="80" t="n"/>
      <c r="G169" s="80" t="n"/>
      <c r="H169" s="80" t="n"/>
      <c r="I169" s="80" t="n"/>
      <c r="J169" s="80" t="n"/>
      <c r="K169" s="80" t="n"/>
      <c r="L169" s="80" t="n"/>
      <c r="M169" s="80" t="n"/>
      <c r="N169" s="80" t="n"/>
      <c r="O169" s="80" t="n"/>
      <c r="P169" s="81">
        <f>IF(TRIM(B169)&lt;&gt;"",IFERROR(INDEX(DescMap_Label,MATCH(TRIM(B169),DescMap_Description,0)),"UNMATCHED"),"")</f>
        <v/>
      </c>
    </row>
    <row r="170" ht="15" customHeight="1" s="199">
      <c r="C170" s="80" t="n"/>
      <c r="D170" s="80" t="n"/>
      <c r="E170" s="80" t="n"/>
      <c r="F170" s="80" t="n"/>
      <c r="G170" s="80" t="n"/>
      <c r="H170" s="80" t="n"/>
      <c r="I170" s="80" t="n"/>
      <c r="J170" s="80" t="n"/>
      <c r="K170" s="80" t="n"/>
      <c r="L170" s="80" t="n"/>
      <c r="M170" s="80" t="n"/>
      <c r="N170" s="80" t="n"/>
      <c r="O170" s="80" t="n"/>
      <c r="P170" s="81">
        <f>IF(TRIM(B170)&lt;&gt;"",IFERROR(INDEX(DescMap_Label,MATCH(TRIM(B170),DescMap_Description,0)),"UNMATCHED"),"")</f>
        <v/>
      </c>
    </row>
    <row r="171" ht="15" customHeight="1" s="199">
      <c r="C171" s="80" t="n"/>
      <c r="D171" s="80" t="n"/>
      <c r="E171" s="80" t="n"/>
      <c r="F171" s="80" t="n"/>
      <c r="G171" s="80" t="n"/>
      <c r="H171" s="80" t="n"/>
      <c r="I171" s="80" t="n"/>
      <c r="J171" s="80" t="n"/>
      <c r="K171" s="80" t="n"/>
      <c r="L171" s="80" t="n"/>
      <c r="M171" s="80" t="n"/>
      <c r="N171" s="80" t="n"/>
      <c r="O171" s="80" t="n"/>
      <c r="P171" s="81">
        <f>IF(TRIM(B171)&lt;&gt;"",IFERROR(INDEX(DescMap_Label,MATCH(TRIM(B171),DescMap_Description,0)),"UNMATCHED"),"")</f>
        <v/>
      </c>
    </row>
    <row r="172" ht="15" customHeight="1" s="199">
      <c r="C172" s="80" t="n"/>
      <c r="D172" s="80" t="n"/>
      <c r="E172" s="80" t="n"/>
      <c r="F172" s="80" t="n"/>
      <c r="G172" s="80" t="n"/>
      <c r="H172" s="80" t="n"/>
      <c r="I172" s="80" t="n"/>
      <c r="J172" s="80" t="n"/>
      <c r="K172" s="80" t="n"/>
      <c r="L172" s="80" t="n"/>
      <c r="M172" s="80" t="n"/>
      <c r="N172" s="80" t="n"/>
      <c r="O172" s="80" t="n"/>
      <c r="P172" s="81">
        <f>IF(TRIM(B172)&lt;&gt;"",IFERROR(INDEX(DescMap_Label,MATCH(TRIM(B172),DescMap_Description,0)),"UNMATCHED"),"")</f>
        <v/>
      </c>
    </row>
    <row r="173" ht="15" customHeight="1" s="199">
      <c r="C173" s="80" t="n"/>
      <c r="D173" s="80" t="n"/>
      <c r="E173" s="80" t="n"/>
      <c r="F173" s="80" t="n"/>
      <c r="G173" s="80" t="n"/>
      <c r="H173" s="80" t="n"/>
      <c r="I173" s="80" t="n"/>
      <c r="J173" s="80" t="n"/>
      <c r="K173" s="80" t="n"/>
      <c r="L173" s="80" t="n"/>
      <c r="M173" s="80" t="n"/>
      <c r="N173" s="80" t="n"/>
      <c r="O173" s="80" t="n"/>
      <c r="P173" s="81">
        <f>IF(TRIM(B173)&lt;&gt;"",IFERROR(INDEX(DescMap_Label,MATCH(TRIM(B173),DescMap_Description,0)),"UNMATCHED"),"")</f>
        <v/>
      </c>
    </row>
    <row r="174" ht="15" customHeight="1" s="199">
      <c r="C174" s="80" t="n"/>
      <c r="D174" s="80" t="n"/>
      <c r="E174" s="80" t="n"/>
      <c r="F174" s="80" t="n"/>
      <c r="G174" s="80" t="n"/>
      <c r="H174" s="80" t="n"/>
      <c r="I174" s="80" t="n"/>
      <c r="J174" s="80" t="n"/>
      <c r="K174" s="80" t="n"/>
      <c r="L174" s="80" t="n"/>
      <c r="M174" s="80" t="n"/>
      <c r="N174" s="80" t="n"/>
      <c r="O174" s="80" t="n"/>
      <c r="P174" s="81">
        <f>IF(TRIM(B174)&lt;&gt;"",IFERROR(INDEX(DescMap_Label,MATCH(TRIM(B174),DescMap_Description,0)),"UNMATCHED"),"")</f>
        <v/>
      </c>
    </row>
    <row r="175" ht="15" customHeight="1" s="199">
      <c r="C175" s="80" t="n"/>
      <c r="D175" s="80" t="n"/>
      <c r="E175" s="80" t="n"/>
      <c r="F175" s="80" t="n"/>
      <c r="G175" s="80" t="n"/>
      <c r="H175" s="80" t="n"/>
      <c r="I175" s="80" t="n"/>
      <c r="J175" s="80" t="n"/>
      <c r="K175" s="80" t="n"/>
      <c r="L175" s="80" t="n"/>
      <c r="M175" s="80" t="n"/>
      <c r="N175" s="80" t="n"/>
      <c r="O175" s="80" t="n"/>
      <c r="P175" s="81">
        <f>IF(TRIM(B175)&lt;&gt;"",IFERROR(INDEX(DescMap_Label,MATCH(TRIM(B175),DescMap_Description,0)),"UNMATCHED"),"")</f>
        <v/>
      </c>
    </row>
    <row r="176" ht="15" customHeight="1" s="199">
      <c r="C176" s="80" t="n"/>
      <c r="D176" s="80" t="n"/>
      <c r="E176" s="80" t="n"/>
      <c r="F176" s="80" t="n"/>
      <c r="G176" s="80" t="n"/>
      <c r="H176" s="80" t="n"/>
      <c r="I176" s="80" t="n"/>
      <c r="J176" s="80" t="n"/>
      <c r="K176" s="80" t="n"/>
      <c r="L176" s="80" t="n"/>
      <c r="M176" s="80" t="n"/>
      <c r="N176" s="80" t="n"/>
      <c r="O176" s="80" t="n"/>
      <c r="P176" s="81">
        <f>IF(TRIM(B176)&lt;&gt;"",IFERROR(INDEX(DescMap_Label,MATCH(TRIM(B176),DescMap_Description,0)),"UNMATCHED"),"")</f>
        <v/>
      </c>
    </row>
    <row r="177" ht="15" customHeight="1" s="199">
      <c r="C177" s="80" t="n"/>
      <c r="D177" s="80" t="n"/>
      <c r="E177" s="80" t="n"/>
      <c r="F177" s="80" t="n"/>
      <c r="G177" s="80" t="n"/>
      <c r="H177" s="80" t="n"/>
      <c r="I177" s="80" t="n"/>
      <c r="J177" s="80" t="n"/>
      <c r="K177" s="80" t="n"/>
      <c r="L177" s="80" t="n"/>
      <c r="M177" s="80" t="n"/>
      <c r="N177" s="80" t="n"/>
      <c r="O177" s="80" t="n"/>
      <c r="P177" s="81">
        <f>IF(TRIM(B177)&lt;&gt;"",IFERROR(INDEX(DescMap_Label,MATCH(TRIM(B177),DescMap_Description,0)),"UNMATCHED"),"")</f>
        <v/>
      </c>
    </row>
    <row r="178" ht="15" customHeight="1" s="199">
      <c r="C178" s="80" t="n"/>
      <c r="D178" s="80" t="n"/>
      <c r="E178" s="80" t="n"/>
      <c r="F178" s="80" t="n"/>
      <c r="G178" s="80" t="n"/>
      <c r="H178" s="80" t="n"/>
      <c r="I178" s="80" t="n"/>
      <c r="J178" s="80" t="n"/>
      <c r="K178" s="80" t="n"/>
      <c r="L178" s="80" t="n"/>
      <c r="M178" s="80" t="n"/>
      <c r="N178" s="80" t="n"/>
      <c r="O178" s="80" t="n"/>
      <c r="P178" s="81">
        <f>IF(TRIM(B178)&lt;&gt;"",IFERROR(INDEX(DescMap_Label,MATCH(TRIM(B178),DescMap_Description,0)),"UNMATCHED"),"")</f>
        <v/>
      </c>
    </row>
    <row r="179" ht="15" customHeight="1" s="199">
      <c r="C179" s="80" t="n"/>
      <c r="D179" s="80" t="n"/>
      <c r="E179" s="80" t="n"/>
      <c r="F179" s="80" t="n"/>
      <c r="G179" s="80" t="n"/>
      <c r="H179" s="80" t="n"/>
      <c r="I179" s="80" t="n"/>
      <c r="J179" s="80" t="n"/>
      <c r="K179" s="80" t="n"/>
      <c r="L179" s="80" t="n"/>
      <c r="M179" s="80" t="n"/>
      <c r="N179" s="80" t="n"/>
      <c r="O179" s="80" t="n"/>
      <c r="P179" s="81">
        <f>IF(TRIM(B179)&lt;&gt;"",IFERROR(INDEX(DescMap_Label,MATCH(TRIM(B179),DescMap_Description,0)),"UNMATCHED"),"")</f>
        <v/>
      </c>
    </row>
    <row r="180" ht="15" customHeight="1" s="199">
      <c r="C180" s="80" t="n"/>
      <c r="D180" s="80" t="n"/>
      <c r="E180" s="80" t="n"/>
      <c r="F180" s="80" t="n"/>
      <c r="G180" s="80" t="n"/>
      <c r="H180" s="80" t="n"/>
      <c r="I180" s="80" t="n"/>
      <c r="J180" s="80" t="n"/>
      <c r="K180" s="80" t="n"/>
      <c r="L180" s="80" t="n"/>
      <c r="M180" s="80" t="n"/>
      <c r="N180" s="80" t="n"/>
      <c r="O180" s="80" t="n"/>
      <c r="P180" s="81">
        <f>IF(TRIM(B180)&lt;&gt;"",IFERROR(INDEX(DescMap_Label,MATCH(TRIM(B180),DescMap_Description,0)),"UNMATCHED"),"")</f>
        <v/>
      </c>
    </row>
    <row r="181" ht="15" customHeight="1" s="199">
      <c r="C181" s="80" t="n"/>
      <c r="D181" s="80" t="n"/>
      <c r="E181" s="80" t="n"/>
      <c r="F181" s="80" t="n"/>
      <c r="G181" s="80" t="n"/>
      <c r="H181" s="80" t="n"/>
      <c r="I181" s="80" t="n"/>
      <c r="J181" s="80" t="n"/>
      <c r="K181" s="80" t="n"/>
      <c r="L181" s="80" t="n"/>
      <c r="M181" s="80" t="n"/>
      <c r="N181" s="80" t="n"/>
      <c r="O181" s="80" t="n"/>
      <c r="P181" s="81">
        <f>IF(TRIM(B181)&lt;&gt;"",IFERROR(INDEX(DescMap_Label,MATCH(TRIM(B181),DescMap_Description,0)),"UNMATCHED"),"")</f>
        <v/>
      </c>
    </row>
    <row r="182" ht="15" customHeight="1" s="199">
      <c r="C182" s="80" t="n"/>
      <c r="D182" s="80" t="n"/>
      <c r="E182" s="80" t="n"/>
      <c r="F182" s="80" t="n"/>
      <c r="G182" s="80" t="n"/>
      <c r="H182" s="80" t="n"/>
      <c r="I182" s="80" t="n"/>
      <c r="J182" s="80" t="n"/>
      <c r="K182" s="80" t="n"/>
      <c r="L182" s="80" t="n"/>
      <c r="M182" s="80" t="n"/>
      <c r="N182" s="80" t="n"/>
      <c r="O182" s="80" t="n"/>
      <c r="P182" s="81">
        <f>IF(TRIM(B182)&lt;&gt;"",IFERROR(INDEX(DescMap_Label,MATCH(TRIM(B182),DescMap_Description,0)),"UNMATCHED"),"")</f>
        <v/>
      </c>
    </row>
    <row r="183" ht="15" customHeight="1" s="199">
      <c r="C183" s="80" t="n"/>
      <c r="D183" s="80" t="n"/>
      <c r="E183" s="80" t="n"/>
      <c r="F183" s="80" t="n"/>
      <c r="G183" s="80" t="n"/>
      <c r="H183" s="80" t="n"/>
      <c r="I183" s="80" t="n"/>
      <c r="J183" s="80" t="n"/>
      <c r="K183" s="80" t="n"/>
      <c r="L183" s="80" t="n"/>
      <c r="M183" s="80" t="n"/>
      <c r="N183" s="80" t="n"/>
      <c r="O183" s="80" t="n"/>
      <c r="P183" s="81">
        <f>IF(TRIM(B183)&lt;&gt;"",IFERROR(INDEX(DescMap_Label,MATCH(TRIM(B183),DescMap_Description,0)),"UNMATCHED"),"")</f>
        <v/>
      </c>
    </row>
    <row r="184" ht="15" customHeight="1" s="199">
      <c r="C184" s="80" t="n"/>
      <c r="D184" s="80" t="n"/>
      <c r="E184" s="80" t="n"/>
      <c r="F184" s="80" t="n"/>
      <c r="G184" s="80" t="n"/>
      <c r="H184" s="80" t="n"/>
      <c r="I184" s="80" t="n"/>
      <c r="J184" s="80" t="n"/>
      <c r="K184" s="80" t="n"/>
      <c r="L184" s="80" t="n"/>
      <c r="M184" s="80" t="n"/>
      <c r="N184" s="80" t="n"/>
      <c r="O184" s="80" t="n"/>
      <c r="P184" s="81">
        <f>IF(TRIM(B184)&lt;&gt;"",IFERROR(INDEX(DescMap_Label,MATCH(TRIM(B184),DescMap_Description,0)),"UNMATCHED"),"")</f>
        <v/>
      </c>
    </row>
    <row r="185" ht="15" customHeight="1" s="199">
      <c r="C185" s="80" t="n"/>
      <c r="D185" s="80" t="n"/>
      <c r="E185" s="80" t="n"/>
      <c r="F185" s="80" t="n"/>
      <c r="G185" s="80" t="n"/>
      <c r="H185" s="80" t="n"/>
      <c r="I185" s="80" t="n"/>
      <c r="J185" s="80" t="n"/>
      <c r="K185" s="80" t="n"/>
      <c r="L185" s="80" t="n"/>
      <c r="M185" s="80" t="n"/>
      <c r="N185" s="80" t="n"/>
      <c r="O185" s="80" t="n"/>
      <c r="P185" s="81">
        <f>IF(TRIM(B185)&lt;&gt;"",IFERROR(INDEX(DescMap_Label,MATCH(TRIM(B185),DescMap_Description,0)),"UNMATCHED"),"")</f>
        <v/>
      </c>
    </row>
    <row r="186" ht="15" customHeight="1" s="199">
      <c r="C186" s="80" t="n"/>
      <c r="D186" s="80" t="n"/>
      <c r="E186" s="80" t="n"/>
      <c r="F186" s="80" t="n"/>
      <c r="G186" s="80" t="n"/>
      <c r="H186" s="80" t="n"/>
      <c r="I186" s="80" t="n"/>
      <c r="J186" s="80" t="n"/>
      <c r="K186" s="80" t="n"/>
      <c r="L186" s="80" t="n"/>
      <c r="M186" s="80" t="n"/>
      <c r="N186" s="80" t="n"/>
      <c r="O186" s="80" t="n"/>
      <c r="P186" s="81">
        <f>IF(TRIM(B186)&lt;&gt;"",IFERROR(INDEX(DescMap_Label,MATCH(TRIM(B186),DescMap_Description,0)),"UNMATCHED"),"")</f>
        <v/>
      </c>
    </row>
    <row r="187" ht="15" customHeight="1" s="199">
      <c r="C187" s="80" t="n"/>
      <c r="D187" s="80" t="n"/>
      <c r="E187" s="80" t="n"/>
      <c r="F187" s="80" t="n"/>
      <c r="G187" s="80" t="n"/>
      <c r="H187" s="80" t="n"/>
      <c r="I187" s="80" t="n"/>
      <c r="J187" s="80" t="n"/>
      <c r="K187" s="80" t="n"/>
      <c r="L187" s="80" t="n"/>
      <c r="M187" s="80" t="n"/>
      <c r="N187" s="80" t="n"/>
      <c r="O187" s="80" t="n"/>
      <c r="P187" s="81">
        <f>IF(TRIM(B187)&lt;&gt;"",IFERROR(INDEX(DescMap_Label,MATCH(TRIM(B187),DescMap_Description,0)),"UNMATCHED"),"")</f>
        <v/>
      </c>
    </row>
    <row r="188" ht="15" customHeight="1" s="199">
      <c r="C188" s="80" t="n"/>
      <c r="D188" s="80" t="n"/>
      <c r="E188" s="80" t="n"/>
      <c r="F188" s="80" t="n"/>
      <c r="G188" s="80" t="n"/>
      <c r="H188" s="80" t="n"/>
      <c r="I188" s="80" t="n"/>
      <c r="J188" s="80" t="n"/>
      <c r="K188" s="80" t="n"/>
      <c r="L188" s="80" t="n"/>
      <c r="M188" s="80" t="n"/>
      <c r="N188" s="80" t="n"/>
      <c r="O188" s="80" t="n"/>
      <c r="P188" s="81">
        <f>IF(TRIM(B188)&lt;&gt;"",IFERROR(INDEX(DescMap_Label,MATCH(TRIM(B188),DescMap_Description,0)),"UNMATCHED"),"")</f>
        <v/>
      </c>
    </row>
    <row r="189" ht="15" customHeight="1" s="199">
      <c r="C189" s="80" t="n"/>
      <c r="D189" s="80" t="n"/>
      <c r="E189" s="80" t="n"/>
      <c r="F189" s="80" t="n"/>
      <c r="G189" s="80" t="n"/>
      <c r="H189" s="80" t="n"/>
      <c r="I189" s="80" t="n"/>
      <c r="J189" s="80" t="n"/>
      <c r="K189" s="80" t="n"/>
      <c r="L189" s="80" t="n"/>
      <c r="M189" s="80" t="n"/>
      <c r="N189" s="80" t="n"/>
      <c r="O189" s="80" t="n"/>
      <c r="P189" s="81">
        <f>IF(TRIM(B189)&lt;&gt;"",IFERROR(INDEX(DescMap_Label,MATCH(TRIM(B189),DescMap_Description,0)),"UNMATCHED"),"")</f>
        <v/>
      </c>
    </row>
    <row r="190" ht="15" customHeight="1" s="199">
      <c r="C190" s="80" t="n"/>
      <c r="D190" s="80" t="n"/>
      <c r="E190" s="80" t="n"/>
      <c r="F190" s="80" t="n"/>
      <c r="G190" s="80" t="n"/>
      <c r="H190" s="80" t="n"/>
      <c r="I190" s="80" t="n"/>
      <c r="J190" s="80" t="n"/>
      <c r="K190" s="80" t="n"/>
      <c r="L190" s="80" t="n"/>
      <c r="M190" s="80" t="n"/>
      <c r="N190" s="80" t="n"/>
      <c r="O190" s="80" t="n"/>
      <c r="P190" s="81">
        <f>IF(TRIM(B190)&lt;&gt;"",IFERROR(INDEX(DescMap_Label,MATCH(TRIM(B190),DescMap_Description,0)),"UNMATCHED"),"")</f>
        <v/>
      </c>
    </row>
    <row r="191" ht="15" customHeight="1" s="199">
      <c r="C191" s="80" t="n"/>
      <c r="D191" s="80" t="n"/>
      <c r="E191" s="80" t="n"/>
      <c r="F191" s="80" t="n"/>
      <c r="G191" s="80" t="n"/>
      <c r="H191" s="80" t="n"/>
      <c r="I191" s="80" t="n"/>
      <c r="J191" s="80" t="n"/>
      <c r="K191" s="80" t="n"/>
      <c r="L191" s="80" t="n"/>
      <c r="M191" s="80" t="n"/>
      <c r="N191" s="80" t="n"/>
      <c r="O191" s="80" t="n"/>
      <c r="P191" s="81">
        <f>IF(TRIM(B191)&lt;&gt;"",IFERROR(INDEX(DescMap_Label,MATCH(TRIM(B191),DescMap_Description,0)),"UNMATCHED"),"")</f>
        <v/>
      </c>
    </row>
    <row r="192" ht="15" customHeight="1" s="199">
      <c r="C192" s="80" t="n"/>
      <c r="D192" s="80" t="n"/>
      <c r="E192" s="80" t="n"/>
      <c r="F192" s="80" t="n"/>
      <c r="G192" s="80" t="n"/>
      <c r="H192" s="80" t="n"/>
      <c r="I192" s="80" t="n"/>
      <c r="J192" s="80" t="n"/>
      <c r="K192" s="80" t="n"/>
      <c r="L192" s="80" t="n"/>
      <c r="M192" s="80" t="n"/>
      <c r="N192" s="80" t="n"/>
      <c r="O192" s="80" t="n"/>
      <c r="P192" s="81">
        <f>IF(TRIM(B192)&lt;&gt;"",IFERROR(INDEX(DescMap_Label,MATCH(TRIM(B192),DescMap_Description,0)),"UNMATCHED"),"")</f>
        <v/>
      </c>
    </row>
    <row r="193" ht="15" customHeight="1" s="199">
      <c r="C193" s="80" t="n"/>
      <c r="D193" s="80" t="n"/>
      <c r="E193" s="80" t="n"/>
      <c r="F193" s="80" t="n"/>
      <c r="G193" s="80" t="n"/>
      <c r="H193" s="80" t="n"/>
      <c r="I193" s="80" t="n"/>
      <c r="J193" s="80" t="n"/>
      <c r="K193" s="80" t="n"/>
      <c r="L193" s="80" t="n"/>
      <c r="M193" s="80" t="n"/>
      <c r="N193" s="80" t="n"/>
      <c r="O193" s="80" t="n"/>
      <c r="P193" s="81">
        <f>IF(TRIM(B193)&lt;&gt;"",IFERROR(INDEX(DescMap_Label,MATCH(TRIM(B193),DescMap_Description,0)),"UNMATCHED"),"")</f>
        <v/>
      </c>
    </row>
    <row r="194" ht="15" customHeight="1" s="199">
      <c r="C194" s="80" t="n"/>
      <c r="D194" s="80" t="n"/>
      <c r="E194" s="80" t="n"/>
      <c r="F194" s="80" t="n"/>
      <c r="G194" s="80" t="n"/>
      <c r="H194" s="80" t="n"/>
      <c r="I194" s="80" t="n"/>
      <c r="J194" s="80" t="n"/>
      <c r="K194" s="80" t="n"/>
      <c r="L194" s="80" t="n"/>
      <c r="M194" s="80" t="n"/>
      <c r="N194" s="80" t="n"/>
      <c r="O194" s="80" t="n"/>
      <c r="P194" s="81">
        <f>IF(TRIM(B194)&lt;&gt;"",IFERROR(INDEX(DescMap_Label,MATCH(TRIM(B194),DescMap_Description,0)),"UNMATCHED"),"")</f>
        <v/>
      </c>
    </row>
    <row r="195" ht="15" customHeight="1" s="199">
      <c r="C195" s="80" t="n"/>
      <c r="D195" s="80" t="n"/>
      <c r="E195" s="80" t="n"/>
      <c r="F195" s="80" t="n"/>
      <c r="G195" s="80" t="n"/>
      <c r="H195" s="80" t="n"/>
      <c r="I195" s="80" t="n"/>
      <c r="J195" s="80" t="n"/>
      <c r="K195" s="80" t="n"/>
      <c r="L195" s="80" t="n"/>
      <c r="M195" s="80" t="n"/>
      <c r="N195" s="80" t="n"/>
      <c r="O195" s="80" t="n"/>
      <c r="P195" s="81">
        <f>IF(TRIM(B195)&lt;&gt;"",IFERROR(INDEX(DescMap_Label,MATCH(TRIM(B195),DescMap_Description,0)),"UNMATCHED"),"")</f>
        <v/>
      </c>
    </row>
    <row r="196" ht="15" customHeight="1" s="199">
      <c r="C196" s="80" t="n"/>
      <c r="D196" s="80" t="n"/>
      <c r="E196" s="80" t="n"/>
      <c r="F196" s="80" t="n"/>
      <c r="G196" s="80" t="n"/>
      <c r="H196" s="80" t="n"/>
      <c r="I196" s="80" t="n"/>
      <c r="J196" s="80" t="n"/>
      <c r="K196" s="80" t="n"/>
      <c r="L196" s="80" t="n"/>
      <c r="M196" s="80" t="n"/>
      <c r="N196" s="80" t="n"/>
      <c r="O196" s="80" t="n"/>
      <c r="P196" s="81">
        <f>IF(TRIM(B196)&lt;&gt;"",IFERROR(INDEX(DescMap_Label,MATCH(TRIM(B196),DescMap_Description,0)),"UNMATCHED"),"")</f>
        <v/>
      </c>
    </row>
    <row r="197" ht="15" customHeight="1" s="199">
      <c r="C197" s="80" t="n"/>
      <c r="D197" s="80" t="n"/>
      <c r="E197" s="80" t="n"/>
      <c r="F197" s="80" t="n"/>
      <c r="G197" s="80" t="n"/>
      <c r="H197" s="80" t="n"/>
      <c r="I197" s="80" t="n"/>
      <c r="J197" s="80" t="n"/>
      <c r="K197" s="80" t="n"/>
      <c r="L197" s="80" t="n"/>
      <c r="M197" s="80" t="n"/>
      <c r="N197" s="80" t="n"/>
      <c r="O197" s="80" t="n"/>
      <c r="P197" s="81">
        <f>IF(TRIM(B197)&lt;&gt;"",IFERROR(INDEX(DescMap_Label,MATCH(TRIM(B197),DescMap_Description,0)),"UNMATCHED"),"")</f>
        <v/>
      </c>
    </row>
    <row r="198" ht="15" customHeight="1" s="199">
      <c r="C198" s="80" t="n"/>
      <c r="D198" s="80" t="n"/>
      <c r="E198" s="80" t="n"/>
      <c r="F198" s="80" t="n"/>
      <c r="G198" s="80" t="n"/>
      <c r="H198" s="80" t="n"/>
      <c r="I198" s="80" t="n"/>
      <c r="J198" s="80" t="n"/>
      <c r="K198" s="80" t="n"/>
      <c r="L198" s="80" t="n"/>
      <c r="M198" s="80" t="n"/>
      <c r="N198" s="80" t="n"/>
      <c r="O198" s="80" t="n"/>
      <c r="P198" s="81">
        <f>IF(TRIM(B198)&lt;&gt;"",IFERROR(INDEX(DescMap_Label,MATCH(TRIM(B198),DescMap_Description,0)),"UNMATCHED"),"")</f>
        <v/>
      </c>
    </row>
    <row r="199" ht="15" customHeight="1" s="199">
      <c r="C199" s="80" t="n"/>
      <c r="D199" s="80" t="n"/>
      <c r="E199" s="80" t="n"/>
      <c r="F199" s="80" t="n"/>
      <c r="G199" s="80" t="n"/>
      <c r="H199" s="80" t="n"/>
      <c r="I199" s="80" t="n"/>
      <c r="J199" s="80" t="n"/>
      <c r="K199" s="80" t="n"/>
      <c r="L199" s="80" t="n"/>
      <c r="M199" s="80" t="n"/>
      <c r="N199" s="80" t="n"/>
      <c r="O199" s="80" t="n"/>
      <c r="P199" s="81">
        <f>IF(TRIM(B199)&lt;&gt;"",IFERROR(INDEX(DescMap_Label,MATCH(TRIM(B199),DescMap_Description,0)),"UNMATCHED"),"")</f>
        <v/>
      </c>
    </row>
    <row r="200" ht="15" customHeight="1" s="199">
      <c r="C200" s="80" t="n"/>
      <c r="D200" s="80" t="n"/>
      <c r="E200" s="80" t="n"/>
      <c r="F200" s="80" t="n"/>
      <c r="G200" s="80" t="n"/>
      <c r="H200" s="80" t="n"/>
      <c r="I200" s="80" t="n"/>
      <c r="J200" s="80" t="n"/>
      <c r="K200" s="80" t="n"/>
      <c r="L200" s="80" t="n"/>
      <c r="M200" s="80" t="n"/>
      <c r="N200" s="80" t="n"/>
      <c r="O200" s="80" t="n"/>
      <c r="P200" s="81">
        <f>IF(TRIM(B200)&lt;&gt;"",IFERROR(INDEX(DescMap_Label,MATCH(TRIM(B200),DescMap_Description,0)),"UNMATCHED"),"")</f>
        <v/>
      </c>
    </row>
    <row r="201" ht="15" customHeight="1" s="199">
      <c r="C201" s="80" t="n"/>
      <c r="D201" s="80" t="n"/>
      <c r="E201" s="80" t="n"/>
      <c r="F201" s="80" t="n"/>
      <c r="G201" s="80" t="n"/>
      <c r="H201" s="80" t="n"/>
      <c r="I201" s="80" t="n"/>
      <c r="J201" s="80" t="n"/>
      <c r="K201" s="80" t="n"/>
      <c r="L201" s="80" t="n"/>
      <c r="M201" s="80" t="n"/>
      <c r="N201" s="80" t="n"/>
      <c r="O201" s="80" t="n"/>
      <c r="P201" s="81">
        <f>IF(TRIM(B201)&lt;&gt;"",IFERROR(INDEX(DescMap_Label,MATCH(TRIM(B201),DescMap_Description,0)),"UNMATCHED"),"")</f>
        <v/>
      </c>
    </row>
    <row r="202" ht="15" customHeight="1" s="199">
      <c r="C202" s="80" t="n"/>
      <c r="D202" s="80" t="n"/>
      <c r="E202" s="80" t="n"/>
      <c r="F202" s="80" t="n"/>
      <c r="G202" s="80" t="n"/>
      <c r="H202" s="80" t="n"/>
      <c r="I202" s="80" t="n"/>
      <c r="J202" s="80" t="n"/>
      <c r="K202" s="80" t="n"/>
      <c r="L202" s="80" t="n"/>
      <c r="M202" s="80" t="n"/>
      <c r="N202" s="80" t="n"/>
      <c r="O202" s="80" t="n"/>
      <c r="P202" s="81">
        <f>IF(TRIM(B202)&lt;&gt;"",IFERROR(INDEX(DescMap_Label,MATCH(TRIM(B202),DescMap_Description,0)),"UNMATCHED"),"")</f>
        <v/>
      </c>
    </row>
    <row r="203" ht="15" customHeight="1" s="199">
      <c r="C203" s="80" t="n"/>
      <c r="D203" s="80" t="n"/>
      <c r="E203" s="80" t="n"/>
      <c r="F203" s="80" t="n"/>
      <c r="G203" s="80" t="n"/>
      <c r="H203" s="80" t="n"/>
      <c r="I203" s="80" t="n"/>
      <c r="J203" s="80" t="n"/>
      <c r="K203" s="80" t="n"/>
      <c r="L203" s="80" t="n"/>
      <c r="M203" s="80" t="n"/>
      <c r="N203" s="80" t="n"/>
      <c r="O203" s="80" t="n"/>
      <c r="P203" s="81">
        <f>IF(TRIM(B203)&lt;&gt;"",IFERROR(INDEX(DescMap_Label,MATCH(TRIM(B203),DescMap_Description,0)),"UNMATCHED"),"")</f>
        <v/>
      </c>
    </row>
    <row r="204" ht="15" customHeight="1" s="199">
      <c r="C204" s="80" t="n"/>
      <c r="D204" s="80" t="n"/>
      <c r="E204" s="80" t="n"/>
      <c r="F204" s="80" t="n"/>
      <c r="G204" s="80" t="n"/>
      <c r="H204" s="80" t="n"/>
      <c r="I204" s="80" t="n"/>
      <c r="J204" s="80" t="n"/>
      <c r="K204" s="80" t="n"/>
      <c r="L204" s="80" t="n"/>
      <c r="M204" s="80" t="n"/>
      <c r="N204" s="80" t="n"/>
      <c r="O204" s="80" t="n"/>
      <c r="P204" s="81">
        <f>IF(TRIM(B204)&lt;&gt;"",IFERROR(INDEX(DescMap_Label,MATCH(TRIM(B204),DescMap_Description,0)),"UNMATCHED"),"")</f>
        <v/>
      </c>
    </row>
    <row r="205" ht="15" customHeight="1" s="199">
      <c r="C205" s="80" t="n"/>
      <c r="D205" s="80" t="n"/>
      <c r="E205" s="80" t="n"/>
      <c r="F205" s="80" t="n"/>
      <c r="G205" s="80" t="n"/>
      <c r="H205" s="80" t="n"/>
      <c r="I205" s="80" t="n"/>
      <c r="J205" s="80" t="n"/>
      <c r="K205" s="80" t="n"/>
      <c r="L205" s="80" t="n"/>
      <c r="M205" s="80" t="n"/>
      <c r="N205" s="80" t="n"/>
      <c r="O205" s="80" t="n"/>
      <c r="P205" s="81">
        <f>IF(TRIM(B205)&lt;&gt;"",IFERROR(INDEX(DescMap_Label,MATCH(TRIM(B205),DescMap_Description,0)),"UNMATCHED"),"")</f>
        <v/>
      </c>
    </row>
    <row r="206" ht="15" customHeight="1" s="199">
      <c r="C206" s="80" t="n"/>
      <c r="D206" s="80" t="n"/>
      <c r="E206" s="80" t="n"/>
      <c r="F206" s="80" t="n"/>
      <c r="G206" s="80" t="n"/>
      <c r="H206" s="80" t="n"/>
      <c r="I206" s="80" t="n"/>
      <c r="J206" s="80" t="n"/>
      <c r="K206" s="80" t="n"/>
      <c r="L206" s="80" t="n"/>
      <c r="M206" s="80" t="n"/>
      <c r="N206" s="80" t="n"/>
      <c r="O206" s="80" t="n"/>
      <c r="P206" s="81">
        <f>IF(TRIM(B206)&lt;&gt;"",IFERROR(INDEX(DescMap_Label,MATCH(TRIM(B206),DescMap_Description,0)),"UNMATCHED"),"")</f>
        <v/>
      </c>
    </row>
    <row r="207" ht="15" customHeight="1" s="199">
      <c r="C207" s="80" t="n"/>
      <c r="D207" s="80" t="n"/>
      <c r="E207" s="80" t="n"/>
      <c r="F207" s="80" t="n"/>
      <c r="G207" s="80" t="n"/>
      <c r="H207" s="80" t="n"/>
      <c r="I207" s="80" t="n"/>
      <c r="J207" s="80" t="n"/>
      <c r="K207" s="80" t="n"/>
      <c r="L207" s="80" t="n"/>
      <c r="M207" s="80" t="n"/>
      <c r="N207" s="80" t="n"/>
      <c r="O207" s="80" t="n"/>
      <c r="P207" s="81">
        <f>IF(TRIM(B207)&lt;&gt;"",IFERROR(INDEX(DescMap_Label,MATCH(TRIM(B207),DescMap_Description,0)),"UNMATCHED"),"")</f>
        <v/>
      </c>
    </row>
    <row r="208" ht="15" customHeight="1" s="199">
      <c r="C208" s="80" t="n"/>
      <c r="D208" s="80" t="n"/>
      <c r="E208" s="80" t="n"/>
      <c r="F208" s="80" t="n"/>
      <c r="G208" s="80" t="n"/>
      <c r="H208" s="80" t="n"/>
      <c r="I208" s="80" t="n"/>
      <c r="J208" s="80" t="n"/>
      <c r="K208" s="80" t="n"/>
      <c r="L208" s="80" t="n"/>
      <c r="M208" s="80" t="n"/>
      <c r="N208" s="80" t="n"/>
      <c r="O208" s="80" t="n"/>
      <c r="P208" s="81">
        <f>IF(TRIM(B208)&lt;&gt;"",IFERROR(INDEX(DescMap_Label,MATCH(TRIM(B208),DescMap_Description,0)),"UNMATCHED"),"")</f>
        <v/>
      </c>
    </row>
    <row r="209" ht="15" customHeight="1" s="199">
      <c r="C209" s="80" t="n"/>
      <c r="D209" s="80" t="n"/>
      <c r="E209" s="80" t="n"/>
      <c r="F209" s="80" t="n"/>
      <c r="G209" s="80" t="n"/>
      <c r="H209" s="80" t="n"/>
      <c r="I209" s="80" t="n"/>
      <c r="J209" s="80" t="n"/>
      <c r="K209" s="80" t="n"/>
      <c r="L209" s="80" t="n"/>
      <c r="M209" s="80" t="n"/>
      <c r="N209" s="80" t="n"/>
      <c r="O209" s="80" t="n"/>
      <c r="P209" s="81">
        <f>IF(TRIM(B209)&lt;&gt;"",IFERROR(INDEX(DescMap_Label,MATCH(TRIM(B209),DescMap_Description,0)),"UNMATCHED"),"")</f>
        <v/>
      </c>
    </row>
    <row r="210" ht="15" customHeight="1" s="199">
      <c r="C210" s="80" t="n"/>
      <c r="D210" s="80" t="n"/>
      <c r="E210" s="80" t="n"/>
      <c r="F210" s="80" t="n"/>
      <c r="G210" s="80" t="n"/>
      <c r="H210" s="80" t="n"/>
      <c r="I210" s="80" t="n"/>
      <c r="J210" s="80" t="n"/>
      <c r="K210" s="80" t="n"/>
      <c r="L210" s="80" t="n"/>
      <c r="M210" s="80" t="n"/>
      <c r="N210" s="80" t="n"/>
      <c r="O210" s="80" t="n"/>
      <c r="P210" s="81">
        <f>IF(TRIM(B210)&lt;&gt;"",IFERROR(INDEX(DescMap_Label,MATCH(TRIM(B210),DescMap_Description,0)),"UNMATCHED"),"")</f>
        <v/>
      </c>
    </row>
    <row r="211" ht="15" customHeight="1" s="199">
      <c r="C211" s="80" t="n"/>
      <c r="D211" s="80" t="n"/>
      <c r="E211" s="80" t="n"/>
      <c r="F211" s="80" t="n"/>
      <c r="G211" s="80" t="n"/>
      <c r="H211" s="80" t="n"/>
      <c r="I211" s="80" t="n"/>
      <c r="J211" s="80" t="n"/>
      <c r="K211" s="80" t="n"/>
      <c r="L211" s="80" t="n"/>
      <c r="M211" s="80" t="n"/>
      <c r="N211" s="80" t="n"/>
      <c r="O211" s="80" t="n"/>
      <c r="P211" s="81">
        <f>IF(TRIM(B211)&lt;&gt;"",IFERROR(INDEX(DescMap_Label,MATCH(TRIM(B211),DescMap_Description,0)),"UNMATCHED"),"")</f>
        <v/>
      </c>
    </row>
    <row r="212" ht="15" customHeight="1" s="199">
      <c r="C212" s="80" t="n"/>
      <c r="D212" s="80" t="n"/>
      <c r="E212" s="80" t="n"/>
      <c r="F212" s="80" t="n"/>
      <c r="G212" s="80" t="n"/>
      <c r="H212" s="80" t="n"/>
      <c r="I212" s="80" t="n"/>
      <c r="J212" s="80" t="n"/>
      <c r="K212" s="80" t="n"/>
      <c r="L212" s="80" t="n"/>
      <c r="M212" s="80" t="n"/>
      <c r="N212" s="80" t="n"/>
      <c r="O212" s="80" t="n"/>
      <c r="P212" s="81">
        <f>IF(TRIM(B212)&lt;&gt;"",IFERROR(INDEX(DescMap_Label,MATCH(TRIM(B212),DescMap_Description,0)),"UNMATCHED"),"")</f>
        <v/>
      </c>
    </row>
    <row r="213" ht="15" customHeight="1" s="199">
      <c r="C213" s="80" t="n"/>
      <c r="D213" s="80" t="n"/>
      <c r="E213" s="80" t="n"/>
      <c r="F213" s="80" t="n"/>
      <c r="G213" s="80" t="n"/>
      <c r="H213" s="80" t="n"/>
      <c r="I213" s="80" t="n"/>
      <c r="J213" s="80" t="n"/>
      <c r="K213" s="80" t="n"/>
      <c r="L213" s="80" t="n"/>
      <c r="M213" s="80" t="n"/>
      <c r="N213" s="80" t="n"/>
      <c r="O213" s="80" t="n"/>
      <c r="P213" s="81">
        <f>IF(TRIM(B213)&lt;&gt;"",IFERROR(INDEX(DescMap_Label,MATCH(TRIM(B213),DescMap_Description,0)),"UNMATCHED"),"")</f>
        <v/>
      </c>
    </row>
    <row r="214" ht="15" customHeight="1" s="199">
      <c r="C214" s="80" t="n"/>
      <c r="D214" s="80" t="n"/>
      <c r="E214" s="80" t="n"/>
      <c r="F214" s="80" t="n"/>
      <c r="G214" s="80" t="n"/>
      <c r="H214" s="80" t="n"/>
      <c r="I214" s="80" t="n"/>
      <c r="J214" s="80" t="n"/>
      <c r="K214" s="80" t="n"/>
      <c r="L214" s="80" t="n"/>
      <c r="M214" s="80" t="n"/>
      <c r="N214" s="80" t="n"/>
      <c r="O214" s="80" t="n"/>
      <c r="P214" s="81">
        <f>IF(TRIM(B214)&lt;&gt;"",IFERROR(INDEX(DescMap_Label,MATCH(TRIM(B214),DescMap_Description,0)),"UNMATCHED"),"")</f>
        <v/>
      </c>
    </row>
    <row r="215" ht="15" customHeight="1" s="199">
      <c r="C215" s="80" t="n"/>
      <c r="D215" s="80" t="n"/>
      <c r="E215" s="80" t="n"/>
      <c r="F215" s="80" t="n"/>
      <c r="G215" s="80" t="n"/>
      <c r="H215" s="80" t="n"/>
      <c r="I215" s="80" t="n"/>
      <c r="J215" s="80" t="n"/>
      <c r="K215" s="80" t="n"/>
      <c r="L215" s="80" t="n"/>
      <c r="M215" s="80" t="n"/>
      <c r="N215" s="80" t="n"/>
      <c r="O215" s="80" t="n"/>
      <c r="P215" s="81">
        <f>IF(TRIM(B215)&lt;&gt;"",IFERROR(INDEX(DescMap_Label,MATCH(TRIM(B215),DescMap_Description,0)),"UNMATCHED"),"")</f>
        <v/>
      </c>
    </row>
    <row r="216" ht="15" customHeight="1" s="199">
      <c r="C216" s="80" t="n"/>
      <c r="D216" s="80" t="n"/>
      <c r="E216" s="80" t="n"/>
      <c r="F216" s="80" t="n"/>
      <c r="G216" s="80" t="n"/>
      <c r="H216" s="80" t="n"/>
      <c r="I216" s="80" t="n"/>
      <c r="J216" s="80" t="n"/>
      <c r="K216" s="80" t="n"/>
      <c r="L216" s="80" t="n"/>
      <c r="M216" s="80" t="n"/>
      <c r="N216" s="80" t="n"/>
      <c r="O216" s="80" t="n"/>
      <c r="P216" s="81">
        <f>IF(TRIM(B216)&lt;&gt;"",IFERROR(INDEX(DescMap_Label,MATCH(TRIM(B216),DescMap_Description,0)),"UNMATCHED"),"")</f>
        <v/>
      </c>
    </row>
    <row r="217" ht="15" customHeight="1" s="199">
      <c r="C217" s="80" t="n"/>
      <c r="D217" s="80" t="n"/>
      <c r="E217" s="80" t="n"/>
      <c r="F217" s="80" t="n"/>
      <c r="G217" s="80" t="n"/>
      <c r="H217" s="80" t="n"/>
      <c r="I217" s="80" t="n"/>
      <c r="J217" s="80" t="n"/>
      <c r="K217" s="80" t="n"/>
      <c r="L217" s="80" t="n"/>
      <c r="M217" s="80" t="n"/>
      <c r="N217" s="80" t="n"/>
      <c r="O217" s="80" t="n"/>
      <c r="P217" s="81">
        <f>IF(TRIM(B217)&lt;&gt;"",IFERROR(INDEX(DescMap_Label,MATCH(TRIM(B217),DescMap_Description,0)),"UNMATCHED"),"")</f>
        <v/>
      </c>
    </row>
    <row r="218" ht="15" customHeight="1" s="199">
      <c r="C218" s="80" t="n"/>
      <c r="D218" s="80" t="n"/>
      <c r="E218" s="80" t="n"/>
      <c r="F218" s="80" t="n"/>
      <c r="G218" s="80" t="n"/>
      <c r="H218" s="80" t="n"/>
      <c r="I218" s="80" t="n"/>
      <c r="J218" s="80" t="n"/>
      <c r="K218" s="80" t="n"/>
      <c r="L218" s="80" t="n"/>
      <c r="M218" s="80" t="n"/>
      <c r="N218" s="80" t="n"/>
      <c r="O218" s="80" t="n"/>
      <c r="P218" s="81">
        <f>IF(TRIM(B218)&lt;&gt;"",IFERROR(INDEX(DescMap_Label,MATCH(TRIM(B218),DescMap_Description,0)),"UNMATCHED"),"")</f>
        <v/>
      </c>
    </row>
    <row r="219" ht="15" customHeight="1" s="199">
      <c r="C219" s="80" t="n"/>
      <c r="D219" s="80" t="n"/>
      <c r="E219" s="80" t="n"/>
      <c r="F219" s="80" t="n"/>
      <c r="G219" s="80" t="n"/>
      <c r="H219" s="80" t="n"/>
      <c r="I219" s="80" t="n"/>
      <c r="J219" s="80" t="n"/>
      <c r="K219" s="80" t="n"/>
      <c r="L219" s="80" t="n"/>
      <c r="M219" s="80" t="n"/>
      <c r="N219" s="80" t="n"/>
      <c r="O219" s="80" t="n"/>
      <c r="P219" s="81">
        <f>IF(TRIM(B219)&lt;&gt;"",IFERROR(INDEX(DescMap_Label,MATCH(TRIM(B219),DescMap_Description,0)),"UNMATCHED"),"")</f>
        <v/>
      </c>
    </row>
    <row r="220" ht="15" customHeight="1" s="199">
      <c r="C220" s="80" t="n"/>
      <c r="D220" s="80" t="n"/>
      <c r="E220" s="80" t="n"/>
      <c r="F220" s="80" t="n"/>
      <c r="G220" s="80" t="n"/>
      <c r="H220" s="80" t="n"/>
      <c r="I220" s="80" t="n"/>
      <c r="J220" s="80" t="n"/>
      <c r="K220" s="80" t="n"/>
      <c r="L220" s="80" t="n"/>
      <c r="M220" s="80" t="n"/>
      <c r="N220" s="80" t="n"/>
      <c r="O220" s="80" t="n"/>
      <c r="P220" s="81">
        <f>IF(TRIM(B220)&lt;&gt;"",IFERROR(INDEX(DescMap_Label,MATCH(TRIM(B220),DescMap_Description,0)),"UNMATCHED"),"")</f>
        <v/>
      </c>
    </row>
    <row r="221" ht="15" customHeight="1" s="199">
      <c r="C221" s="80" t="n"/>
      <c r="D221" s="80" t="n"/>
      <c r="E221" s="80" t="n"/>
      <c r="F221" s="80" t="n"/>
      <c r="G221" s="80" t="n"/>
      <c r="H221" s="80" t="n"/>
      <c r="I221" s="80" t="n"/>
      <c r="J221" s="80" t="n"/>
      <c r="K221" s="80" t="n"/>
      <c r="L221" s="80" t="n"/>
      <c r="M221" s="80" t="n"/>
      <c r="N221" s="80" t="n"/>
      <c r="O221" s="80" t="n"/>
      <c r="P221" s="81">
        <f>IF(TRIM(B221)&lt;&gt;"",IFERROR(INDEX(DescMap_Label,MATCH(TRIM(B221),DescMap_Description,0)),"UNMATCHED"),"")</f>
        <v/>
      </c>
    </row>
    <row r="222" ht="15" customHeight="1" s="199">
      <c r="C222" s="80" t="n"/>
      <c r="D222" s="80" t="n"/>
      <c r="E222" s="80" t="n"/>
      <c r="F222" s="80" t="n"/>
      <c r="G222" s="80" t="n"/>
      <c r="H222" s="80" t="n"/>
      <c r="I222" s="80" t="n"/>
      <c r="J222" s="80" t="n"/>
      <c r="K222" s="80" t="n"/>
      <c r="L222" s="80" t="n"/>
      <c r="M222" s="80" t="n"/>
      <c r="N222" s="80" t="n"/>
      <c r="O222" s="80" t="n"/>
      <c r="P222" s="81">
        <f>IF(TRIM(B222)&lt;&gt;"",IFERROR(INDEX(DescMap_Label,MATCH(TRIM(B222),DescMap_Description,0)),"UNMATCHED"),"")</f>
        <v/>
      </c>
    </row>
    <row r="223" ht="15" customHeight="1" s="199">
      <c r="C223" s="80" t="n"/>
      <c r="D223" s="80" t="n"/>
      <c r="E223" s="80" t="n"/>
      <c r="F223" s="80" t="n"/>
      <c r="G223" s="80" t="n"/>
      <c r="H223" s="80" t="n"/>
      <c r="I223" s="80" t="n"/>
      <c r="J223" s="80" t="n"/>
      <c r="K223" s="80" t="n"/>
      <c r="L223" s="80" t="n"/>
      <c r="M223" s="80" t="n"/>
      <c r="N223" s="80" t="n"/>
      <c r="O223" s="80" t="n"/>
      <c r="P223" s="81">
        <f>IF(TRIM(B223)&lt;&gt;"",IFERROR(INDEX(DescMap_Label,MATCH(TRIM(B223),DescMap_Description,0)),"UNMATCHED"),"")</f>
        <v/>
      </c>
    </row>
    <row r="224" ht="15" customHeight="1" s="199">
      <c r="C224" s="80" t="n"/>
      <c r="D224" s="80" t="n"/>
      <c r="E224" s="80" t="n"/>
      <c r="F224" s="80" t="n"/>
      <c r="G224" s="80" t="n"/>
      <c r="H224" s="80" t="n"/>
      <c r="I224" s="80" t="n"/>
      <c r="J224" s="80" t="n"/>
      <c r="K224" s="80" t="n"/>
      <c r="L224" s="80" t="n"/>
      <c r="M224" s="80" t="n"/>
      <c r="N224" s="80" t="n"/>
      <c r="O224" s="80" t="n"/>
      <c r="P224" s="81">
        <f>IF(TRIM(B224)&lt;&gt;"",IFERROR(INDEX(DescMap_Label,MATCH(TRIM(B224),DescMap_Description,0)),"UNMATCHED"),"")</f>
        <v/>
      </c>
    </row>
    <row r="225" ht="15" customHeight="1" s="199">
      <c r="C225" s="80" t="n"/>
      <c r="D225" s="80" t="n"/>
      <c r="E225" s="80" t="n"/>
      <c r="F225" s="80" t="n"/>
      <c r="G225" s="80" t="n"/>
      <c r="H225" s="80" t="n"/>
      <c r="I225" s="80" t="n"/>
      <c r="J225" s="80" t="n"/>
      <c r="K225" s="80" t="n"/>
      <c r="L225" s="80" t="n"/>
      <c r="M225" s="80" t="n"/>
      <c r="N225" s="80" t="n"/>
      <c r="O225" s="80" t="n"/>
      <c r="P225" s="81">
        <f>IF(TRIM(B225)&lt;&gt;"",IFERROR(INDEX(DescMap_Label,MATCH(TRIM(B225),DescMap_Description,0)),"UNMATCHED"),"")</f>
        <v/>
      </c>
    </row>
    <row r="226" ht="15" customHeight="1" s="199">
      <c r="C226" s="80" t="n"/>
      <c r="D226" s="80" t="n"/>
      <c r="E226" s="80" t="n"/>
      <c r="F226" s="80" t="n"/>
      <c r="G226" s="80" t="n"/>
      <c r="H226" s="80" t="n"/>
      <c r="I226" s="80" t="n"/>
      <c r="J226" s="80" t="n"/>
      <c r="K226" s="80" t="n"/>
      <c r="L226" s="80" t="n"/>
      <c r="M226" s="80" t="n"/>
      <c r="N226" s="80" t="n"/>
      <c r="O226" s="80" t="n"/>
      <c r="P226" s="81">
        <f>IF(TRIM(B226)&lt;&gt;"",IFERROR(INDEX(DescMap_Label,MATCH(TRIM(B226),DescMap_Description,0)),"UNMATCHED"),"")</f>
        <v/>
      </c>
    </row>
    <row r="227" ht="15" customHeight="1" s="199">
      <c r="C227" s="80" t="n"/>
      <c r="D227" s="80" t="n"/>
      <c r="E227" s="80" t="n"/>
      <c r="F227" s="80" t="n"/>
      <c r="G227" s="80" t="n"/>
      <c r="H227" s="80" t="n"/>
      <c r="I227" s="80" t="n"/>
      <c r="J227" s="80" t="n"/>
      <c r="K227" s="80" t="n"/>
      <c r="L227" s="80" t="n"/>
      <c r="M227" s="80" t="n"/>
      <c r="N227" s="80" t="n"/>
      <c r="O227" s="80" t="n"/>
      <c r="P227" s="81">
        <f>IF(TRIM(B227)&lt;&gt;"",IFERROR(INDEX(DescMap_Label,MATCH(TRIM(B227),DescMap_Description,0)),"UNMATCHED"),"")</f>
        <v/>
      </c>
    </row>
    <row r="228" ht="15" customHeight="1" s="199">
      <c r="C228" s="80" t="n"/>
      <c r="D228" s="80" t="n"/>
      <c r="E228" s="80" t="n"/>
      <c r="F228" s="80" t="n"/>
      <c r="G228" s="80" t="n"/>
      <c r="H228" s="80" t="n"/>
      <c r="I228" s="80" t="n"/>
      <c r="J228" s="80" t="n"/>
      <c r="K228" s="80" t="n"/>
      <c r="L228" s="80" t="n"/>
      <c r="M228" s="80" t="n"/>
      <c r="N228" s="80" t="n"/>
      <c r="O228" s="80" t="n"/>
      <c r="P228" s="81">
        <f>IF(TRIM(B228)&lt;&gt;"",IFERROR(INDEX(DescMap_Label,MATCH(TRIM(B228),DescMap_Description,0)),"UNMATCHED"),"")</f>
        <v/>
      </c>
    </row>
    <row r="229" ht="15" customHeight="1" s="199">
      <c r="C229" s="80" t="n"/>
      <c r="D229" s="80" t="n"/>
      <c r="E229" s="80" t="n"/>
      <c r="F229" s="80" t="n"/>
      <c r="G229" s="80" t="n"/>
      <c r="H229" s="80" t="n"/>
      <c r="I229" s="80" t="n"/>
      <c r="J229" s="80" t="n"/>
      <c r="K229" s="80" t="n"/>
      <c r="L229" s="80" t="n"/>
      <c r="M229" s="80" t="n"/>
      <c r="N229" s="80" t="n"/>
      <c r="O229" s="80" t="n"/>
      <c r="P229" s="81">
        <f>IF(TRIM(B229)&lt;&gt;"",IFERROR(INDEX(DescMap_Label,MATCH(TRIM(B229),DescMap_Description,0)),"UNMATCHED"),"")</f>
        <v/>
      </c>
    </row>
    <row r="230" ht="15" customHeight="1" s="199">
      <c r="C230" s="80" t="n"/>
      <c r="D230" s="80" t="n"/>
      <c r="E230" s="80" t="n"/>
      <c r="F230" s="80" t="n"/>
      <c r="G230" s="80" t="n"/>
      <c r="H230" s="80" t="n"/>
      <c r="I230" s="80" t="n"/>
      <c r="J230" s="80" t="n"/>
      <c r="K230" s="80" t="n"/>
      <c r="L230" s="80" t="n"/>
      <c r="M230" s="80" t="n"/>
      <c r="N230" s="80" t="n"/>
      <c r="O230" s="80" t="n"/>
      <c r="P230" s="81">
        <f>IF(TRIM(B230)&lt;&gt;"",IFERROR(INDEX(DescMap_Label,MATCH(TRIM(B230),DescMap_Description,0)),"UNMATCHED"),"")</f>
        <v/>
      </c>
    </row>
    <row r="231" ht="15" customHeight="1" s="199">
      <c r="C231" s="80" t="n"/>
      <c r="D231" s="80" t="n"/>
      <c r="E231" s="80" t="n"/>
      <c r="F231" s="80" t="n"/>
      <c r="G231" s="80" t="n"/>
      <c r="H231" s="80" t="n"/>
      <c r="I231" s="80" t="n"/>
      <c r="J231" s="80" t="n"/>
      <c r="K231" s="80" t="n"/>
      <c r="L231" s="80" t="n"/>
      <c r="M231" s="80" t="n"/>
      <c r="N231" s="80" t="n"/>
      <c r="O231" s="80" t="n"/>
      <c r="P231" s="81">
        <f>IF(TRIM(B231)&lt;&gt;"",IFERROR(INDEX(DescMap_Label,MATCH(TRIM(B231),DescMap_Description,0)),"UNMATCHED"),"")</f>
        <v/>
      </c>
    </row>
    <row r="232" ht="15" customHeight="1" s="199">
      <c r="C232" s="80" t="n"/>
      <c r="D232" s="80" t="n"/>
      <c r="E232" s="80" t="n"/>
      <c r="F232" s="80" t="n"/>
      <c r="G232" s="80" t="n"/>
      <c r="H232" s="80" t="n"/>
      <c r="I232" s="80" t="n"/>
      <c r="J232" s="80" t="n"/>
      <c r="K232" s="80" t="n"/>
      <c r="L232" s="80" t="n"/>
      <c r="M232" s="80" t="n"/>
      <c r="N232" s="80" t="n"/>
      <c r="O232" s="80" t="n"/>
      <c r="P232" s="81">
        <f>IF(TRIM(B232)&lt;&gt;"",IFERROR(INDEX(DescMap_Label,MATCH(TRIM(B232),DescMap_Description,0)),"UNMATCHED"),"")</f>
        <v/>
      </c>
    </row>
    <row r="233" ht="15" customHeight="1" s="199">
      <c r="C233" s="80" t="n"/>
      <c r="D233" s="80" t="n"/>
      <c r="E233" s="80" t="n"/>
      <c r="F233" s="80" t="n"/>
      <c r="G233" s="80" t="n"/>
      <c r="H233" s="80" t="n"/>
      <c r="I233" s="80" t="n"/>
      <c r="J233" s="80" t="n"/>
      <c r="K233" s="80" t="n"/>
      <c r="L233" s="80" t="n"/>
      <c r="M233" s="80" t="n"/>
      <c r="N233" s="80" t="n"/>
      <c r="O233" s="80" t="n"/>
      <c r="P233" s="81">
        <f>IF(TRIM(B233)&lt;&gt;"",IFERROR(INDEX(DescMap_Label,MATCH(TRIM(B233),DescMap_Description,0)),"UNMATCHED"),"")</f>
        <v/>
      </c>
    </row>
    <row r="234" ht="15" customHeight="1" s="199">
      <c r="C234" s="80" t="n"/>
      <c r="D234" s="80" t="n"/>
      <c r="E234" s="80" t="n"/>
      <c r="F234" s="80" t="n"/>
      <c r="G234" s="80" t="n"/>
      <c r="H234" s="80" t="n"/>
      <c r="I234" s="80" t="n"/>
      <c r="J234" s="80" t="n"/>
      <c r="K234" s="80" t="n"/>
      <c r="L234" s="80" t="n"/>
      <c r="M234" s="80" t="n"/>
      <c r="N234" s="80" t="n"/>
      <c r="O234" s="80" t="n"/>
      <c r="P234" s="81">
        <f>IF(TRIM(B234)&lt;&gt;"",IFERROR(INDEX(DescMap_Label,MATCH(TRIM(B234),DescMap_Description,0)),"UNMATCHED"),"")</f>
        <v/>
      </c>
    </row>
    <row r="235" ht="15" customHeight="1" s="199">
      <c r="C235" s="80" t="n"/>
      <c r="D235" s="80" t="n"/>
      <c r="E235" s="80" t="n"/>
      <c r="F235" s="80" t="n"/>
      <c r="G235" s="80" t="n"/>
      <c r="H235" s="80" t="n"/>
      <c r="I235" s="80" t="n"/>
      <c r="J235" s="80" t="n"/>
      <c r="K235" s="80" t="n"/>
      <c r="L235" s="80" t="n"/>
      <c r="M235" s="80" t="n"/>
      <c r="N235" s="80" t="n"/>
      <c r="O235" s="80" t="n"/>
      <c r="P235" s="81">
        <f>IF(TRIM(B235)&lt;&gt;"",IFERROR(INDEX(DescMap_Label,MATCH(TRIM(B235),DescMap_Description,0)),"UNMATCHED"),"")</f>
        <v/>
      </c>
    </row>
    <row r="236" ht="15" customHeight="1" s="199">
      <c r="C236" s="80" t="n"/>
      <c r="D236" s="80" t="n"/>
      <c r="E236" s="80" t="n"/>
      <c r="F236" s="80" t="n"/>
      <c r="G236" s="80" t="n"/>
      <c r="H236" s="80" t="n"/>
      <c r="I236" s="80" t="n"/>
      <c r="J236" s="80" t="n"/>
      <c r="K236" s="80" t="n"/>
      <c r="L236" s="80" t="n"/>
      <c r="M236" s="80" t="n"/>
      <c r="N236" s="80" t="n"/>
      <c r="O236" s="80" t="n"/>
      <c r="P236" s="81">
        <f>IF(TRIM(B236)&lt;&gt;"",IFERROR(INDEX(DescMap_Label,MATCH(TRIM(B236),DescMap_Description,0)),"UNMATCHED"),"")</f>
        <v/>
      </c>
    </row>
    <row r="237" ht="15" customHeight="1" s="199">
      <c r="C237" s="80" t="n"/>
      <c r="D237" s="80" t="n"/>
      <c r="E237" s="80" t="n"/>
      <c r="F237" s="80" t="n"/>
      <c r="G237" s="80" t="n"/>
      <c r="H237" s="80" t="n"/>
      <c r="I237" s="80" t="n"/>
      <c r="J237" s="80" t="n"/>
      <c r="K237" s="80" t="n"/>
      <c r="L237" s="80" t="n"/>
      <c r="M237" s="80" t="n"/>
      <c r="N237" s="80" t="n"/>
      <c r="O237" s="80" t="n"/>
      <c r="P237" s="81">
        <f>IF(TRIM(B237)&lt;&gt;"",IFERROR(INDEX(DescMap_Label,MATCH(TRIM(B237),DescMap_Description,0)),"UNMATCHED"),"")</f>
        <v/>
      </c>
    </row>
    <row r="238" ht="15" customHeight="1" s="199">
      <c r="C238" s="80" t="n"/>
      <c r="D238" s="80" t="n"/>
      <c r="E238" s="80" t="n"/>
      <c r="F238" s="80" t="n"/>
      <c r="G238" s="80" t="n"/>
      <c r="H238" s="80" t="n"/>
      <c r="I238" s="80" t="n"/>
      <c r="J238" s="80" t="n"/>
      <c r="K238" s="80" t="n"/>
      <c r="L238" s="80" t="n"/>
      <c r="M238" s="80" t="n"/>
      <c r="N238" s="80" t="n"/>
      <c r="O238" s="80" t="n"/>
      <c r="P238" s="81">
        <f>IF(TRIM(B238)&lt;&gt;"",IFERROR(INDEX(DescMap_Label,MATCH(TRIM(B238),DescMap_Description,0)),"UNMATCHED"),"")</f>
        <v/>
      </c>
    </row>
    <row r="239" ht="15" customHeight="1" s="199">
      <c r="C239" s="80" t="n"/>
      <c r="D239" s="80" t="n"/>
      <c r="E239" s="80" t="n"/>
      <c r="F239" s="80" t="n"/>
      <c r="G239" s="80" t="n"/>
      <c r="H239" s="80" t="n"/>
      <c r="I239" s="80" t="n"/>
      <c r="J239" s="80" t="n"/>
      <c r="K239" s="80" t="n"/>
      <c r="L239" s="80" t="n"/>
      <c r="M239" s="80" t="n"/>
      <c r="N239" s="80" t="n"/>
      <c r="O239" s="80" t="n"/>
      <c r="P239" s="81">
        <f>IF(TRIM(B239)&lt;&gt;"",IFERROR(INDEX(DescMap_Label,MATCH(TRIM(B239),DescMap_Description,0)),"UNMATCHED"),"")</f>
        <v/>
      </c>
    </row>
    <row r="240" ht="15" customHeight="1" s="199">
      <c r="C240" s="80" t="n"/>
      <c r="D240" s="80" t="n"/>
      <c r="E240" s="80" t="n"/>
      <c r="F240" s="80" t="n"/>
      <c r="G240" s="80" t="n"/>
      <c r="H240" s="80" t="n"/>
      <c r="I240" s="80" t="n"/>
      <c r="J240" s="80" t="n"/>
      <c r="K240" s="80" t="n"/>
      <c r="L240" s="80" t="n"/>
      <c r="M240" s="80" t="n"/>
      <c r="N240" s="80" t="n"/>
      <c r="O240" s="80" t="n"/>
      <c r="P240" s="81">
        <f>IF(TRIM(B240)&lt;&gt;"",IFERROR(INDEX(DescMap_Label,MATCH(TRIM(B240),DescMap_Description,0)),"UNMATCHED"),"")</f>
        <v/>
      </c>
    </row>
    <row r="241" ht="15" customHeight="1" s="199">
      <c r="C241" s="80" t="n"/>
      <c r="D241" s="80" t="n"/>
      <c r="E241" s="80" t="n"/>
      <c r="F241" s="80" t="n"/>
      <c r="G241" s="80" t="n"/>
      <c r="H241" s="80" t="n"/>
      <c r="I241" s="80" t="n"/>
      <c r="J241" s="80" t="n"/>
      <c r="K241" s="80" t="n"/>
      <c r="L241" s="80" t="n"/>
      <c r="M241" s="80" t="n"/>
      <c r="N241" s="80" t="n"/>
      <c r="O241" s="80" t="n"/>
      <c r="P241" s="81">
        <f>IF(TRIM(B241)&lt;&gt;"",IFERROR(INDEX(DescMap_Label,MATCH(TRIM(B241),DescMap_Description,0)),"UNMATCHED"),"")</f>
        <v/>
      </c>
    </row>
    <row r="242" ht="15" customHeight="1" s="199">
      <c r="C242" s="80" t="n"/>
      <c r="D242" s="80" t="n"/>
      <c r="E242" s="80" t="n"/>
      <c r="F242" s="80" t="n"/>
      <c r="G242" s="80" t="n"/>
      <c r="H242" s="80" t="n"/>
      <c r="I242" s="80" t="n"/>
      <c r="J242" s="80" t="n"/>
      <c r="K242" s="80" t="n"/>
      <c r="L242" s="80" t="n"/>
      <c r="M242" s="80" t="n"/>
      <c r="N242" s="80" t="n"/>
      <c r="O242" s="80" t="n"/>
      <c r="P242" s="81">
        <f>IF(TRIM(B242)&lt;&gt;"",IFERROR(INDEX(DescMap_Label,MATCH(TRIM(B242),DescMap_Description,0)),"UNMATCHED"),"")</f>
        <v/>
      </c>
    </row>
    <row r="243" ht="15" customHeight="1" s="199">
      <c r="C243" s="80" t="n"/>
      <c r="D243" s="80" t="n"/>
      <c r="E243" s="80" t="n"/>
      <c r="F243" s="80" t="n"/>
      <c r="G243" s="80" t="n"/>
      <c r="H243" s="80" t="n"/>
      <c r="I243" s="80" t="n"/>
      <c r="J243" s="80" t="n"/>
      <c r="K243" s="80" t="n"/>
      <c r="L243" s="80" t="n"/>
      <c r="M243" s="80" t="n"/>
      <c r="N243" s="80" t="n"/>
      <c r="O243" s="80" t="n"/>
      <c r="P243" s="81">
        <f>IF(TRIM(B243)&lt;&gt;"",IFERROR(INDEX(DescMap_Label,MATCH(TRIM(B243),DescMap_Description,0)),"UNMATCHED"),"")</f>
        <v/>
      </c>
    </row>
    <row r="244" ht="15" customHeight="1" s="199">
      <c r="C244" s="80" t="n"/>
      <c r="D244" s="80" t="n"/>
      <c r="E244" s="80" t="n"/>
      <c r="F244" s="80" t="n"/>
      <c r="G244" s="80" t="n"/>
      <c r="H244" s="80" t="n"/>
      <c r="I244" s="80" t="n"/>
      <c r="J244" s="80" t="n"/>
      <c r="K244" s="80" t="n"/>
      <c r="L244" s="80" t="n"/>
      <c r="M244" s="80" t="n"/>
      <c r="N244" s="80" t="n"/>
      <c r="O244" s="80" t="n"/>
      <c r="P244" s="81">
        <f>IF(TRIM(B244)&lt;&gt;"",IFERROR(INDEX(DescMap_Label,MATCH(TRIM(B244),DescMap_Description,0)),"UNMATCHED"),"")</f>
        <v/>
      </c>
    </row>
    <row r="245" ht="15" customHeight="1" s="199">
      <c r="C245" s="80" t="n"/>
      <c r="D245" s="80" t="n"/>
      <c r="E245" s="80" t="n"/>
      <c r="F245" s="80" t="n"/>
      <c r="G245" s="80" t="n"/>
      <c r="H245" s="80" t="n"/>
      <c r="I245" s="80" t="n"/>
      <c r="J245" s="80" t="n"/>
      <c r="K245" s="80" t="n"/>
      <c r="L245" s="80" t="n"/>
      <c r="M245" s="80" t="n"/>
      <c r="N245" s="80" t="n"/>
      <c r="O245" s="80" t="n"/>
      <c r="P245" s="81">
        <f>IF(TRIM(B245)&lt;&gt;"",IFERROR(INDEX(DescMap_Label,MATCH(TRIM(B245),DescMap_Description,0)),"UNMATCHED"),"")</f>
        <v/>
      </c>
    </row>
    <row r="246" ht="15" customHeight="1" s="199">
      <c r="C246" s="80" t="n"/>
      <c r="D246" s="80" t="n"/>
      <c r="E246" s="80" t="n"/>
      <c r="F246" s="80" t="n"/>
      <c r="G246" s="80" t="n"/>
      <c r="H246" s="80" t="n"/>
      <c r="I246" s="80" t="n"/>
      <c r="J246" s="80" t="n"/>
      <c r="K246" s="80" t="n"/>
      <c r="L246" s="80" t="n"/>
      <c r="M246" s="80" t="n"/>
      <c r="N246" s="80" t="n"/>
      <c r="O246" s="80" t="n"/>
      <c r="P246" s="81">
        <f>IF(TRIM(B246)&lt;&gt;"",IFERROR(INDEX(DescMap_Label,MATCH(TRIM(B246),DescMap_Description,0)),"UNMATCHED"),"")</f>
        <v/>
      </c>
    </row>
    <row r="247" ht="15" customHeight="1" s="199">
      <c r="C247" s="80" t="n"/>
      <c r="D247" s="80" t="n"/>
      <c r="E247" s="80" t="n"/>
      <c r="F247" s="80" t="n"/>
      <c r="G247" s="80" t="n"/>
      <c r="H247" s="80" t="n"/>
      <c r="I247" s="80" t="n"/>
      <c r="J247" s="80" t="n"/>
      <c r="K247" s="80" t="n"/>
      <c r="L247" s="80" t="n"/>
      <c r="M247" s="80" t="n"/>
      <c r="N247" s="80" t="n"/>
      <c r="O247" s="80" t="n"/>
      <c r="P247" s="81">
        <f>IF(TRIM(B247)&lt;&gt;"",IFERROR(INDEX(DescMap_Label,MATCH(TRIM(B247),DescMap_Description,0)),"UNMATCHED"),"")</f>
        <v/>
      </c>
    </row>
    <row r="248" ht="15" customHeight="1" s="199">
      <c r="C248" s="80" t="n"/>
      <c r="D248" s="80" t="n"/>
      <c r="E248" s="80" t="n"/>
      <c r="F248" s="80" t="n"/>
      <c r="G248" s="80" t="n"/>
      <c r="H248" s="80" t="n"/>
      <c r="I248" s="80" t="n"/>
      <c r="J248" s="80" t="n"/>
      <c r="K248" s="80" t="n"/>
      <c r="L248" s="80" t="n"/>
      <c r="M248" s="80" t="n"/>
      <c r="N248" s="80" t="n"/>
      <c r="O248" s="80" t="n"/>
      <c r="P248" s="81">
        <f>IF(TRIM(B248)&lt;&gt;"",IFERROR(INDEX(DescMap_Label,MATCH(TRIM(B248),DescMap_Description,0)),"UNMATCHED"),"")</f>
        <v/>
      </c>
    </row>
    <row r="249" ht="15" customHeight="1" s="199">
      <c r="C249" s="80" t="n"/>
      <c r="D249" s="80" t="n"/>
      <c r="E249" s="80" t="n"/>
      <c r="F249" s="80" t="n"/>
      <c r="G249" s="80" t="n"/>
      <c r="H249" s="80" t="n"/>
      <c r="I249" s="80" t="n"/>
      <c r="J249" s="80" t="n"/>
      <c r="K249" s="80" t="n"/>
      <c r="L249" s="80" t="n"/>
      <c r="M249" s="80" t="n"/>
      <c r="N249" s="80" t="n"/>
      <c r="O249" s="80" t="n"/>
      <c r="P249" s="81">
        <f>IF(TRIM(B249)&lt;&gt;"",IFERROR(INDEX(DescMap_Label,MATCH(TRIM(B249),DescMap_Description,0)),"UNMATCHED"),"")</f>
        <v/>
      </c>
    </row>
    <row r="250" ht="15" customHeight="1" s="199">
      <c r="C250" s="80" t="n"/>
      <c r="D250" s="80" t="n"/>
      <c r="E250" s="80" t="n"/>
      <c r="F250" s="80" t="n"/>
      <c r="G250" s="80" t="n"/>
      <c r="H250" s="80" t="n"/>
      <c r="I250" s="80" t="n"/>
      <c r="J250" s="80" t="n"/>
      <c r="K250" s="80" t="n"/>
      <c r="L250" s="80" t="n"/>
      <c r="M250" s="80" t="n"/>
      <c r="N250" s="80" t="n"/>
      <c r="O250" s="80" t="n"/>
      <c r="P250" s="81">
        <f>IF(TRIM(B250)&lt;&gt;"",IFERROR(INDEX(DescMap_Label,MATCH(TRIM(B250),DescMap_Description,0)),"UNMATCHED"),"")</f>
        <v/>
      </c>
    </row>
    <row r="251" ht="15" customHeight="1" s="199">
      <c r="C251" s="80" t="n"/>
      <c r="D251" s="80" t="n"/>
      <c r="E251" s="80" t="n"/>
      <c r="F251" s="80" t="n"/>
      <c r="G251" s="80" t="n"/>
      <c r="H251" s="80" t="n"/>
      <c r="I251" s="80" t="n"/>
      <c r="J251" s="80" t="n"/>
      <c r="K251" s="80" t="n"/>
      <c r="L251" s="80" t="n"/>
      <c r="M251" s="80" t="n"/>
      <c r="N251" s="80" t="n"/>
      <c r="O251" s="80" t="n"/>
      <c r="P251" s="81">
        <f>IF(TRIM(B251)&lt;&gt;"",IFERROR(INDEX(DescMap_Label,MATCH(TRIM(B251),DescMap_Description,0)),"UNMATCHED"),"")</f>
        <v/>
      </c>
    </row>
    <row r="252" ht="15" customHeight="1" s="199">
      <c r="C252" s="80" t="n"/>
      <c r="D252" s="80" t="n"/>
      <c r="E252" s="80" t="n"/>
      <c r="F252" s="80" t="n"/>
      <c r="G252" s="80" t="n"/>
      <c r="H252" s="80" t="n"/>
      <c r="I252" s="80" t="n"/>
      <c r="J252" s="80" t="n"/>
      <c r="K252" s="80" t="n"/>
      <c r="L252" s="80" t="n"/>
      <c r="M252" s="80" t="n"/>
      <c r="N252" s="80" t="n"/>
      <c r="O252" s="80" t="n"/>
      <c r="P252" s="81">
        <f>IF(TRIM(B252)&lt;&gt;"",IFERROR(INDEX(DescMap_Label,MATCH(TRIM(B252),DescMap_Description,0)),"UNMATCHED"),"")</f>
        <v/>
      </c>
    </row>
    <row r="253" ht="15" customHeight="1" s="199">
      <c r="C253" s="80" t="n"/>
      <c r="D253" s="80" t="n"/>
      <c r="E253" s="80" t="n"/>
      <c r="F253" s="80" t="n"/>
      <c r="G253" s="80" t="n"/>
      <c r="H253" s="80" t="n"/>
      <c r="I253" s="80" t="n"/>
      <c r="J253" s="80" t="n"/>
      <c r="K253" s="80" t="n"/>
      <c r="L253" s="80" t="n"/>
      <c r="M253" s="80" t="n"/>
      <c r="N253" s="80" t="n"/>
      <c r="O253" s="80" t="n"/>
      <c r="P253" s="81">
        <f>IF(TRIM(B253)&lt;&gt;"",IFERROR(INDEX(DescMap_Label,MATCH(TRIM(B253),DescMap_Description,0)),"UNMATCHED"),"")</f>
        <v/>
      </c>
    </row>
    <row r="254" ht="15" customHeight="1" s="199">
      <c r="C254" s="80" t="n"/>
      <c r="D254" s="80" t="n"/>
      <c r="E254" s="80" t="n"/>
      <c r="F254" s="80" t="n"/>
      <c r="G254" s="80" t="n"/>
      <c r="H254" s="80" t="n"/>
      <c r="I254" s="80" t="n"/>
      <c r="J254" s="80" t="n"/>
      <c r="K254" s="80" t="n"/>
      <c r="L254" s="80" t="n"/>
      <c r="M254" s="80" t="n"/>
      <c r="N254" s="80" t="n"/>
      <c r="O254" s="80" t="n"/>
      <c r="P254" s="81">
        <f>IF(TRIM(B254)&lt;&gt;"",IFERROR(INDEX(DescMap_Label,MATCH(TRIM(B254),DescMap_Description,0)),"UNMATCHED"),"")</f>
        <v/>
      </c>
    </row>
    <row r="255" ht="15" customHeight="1" s="199">
      <c r="C255" s="80" t="n"/>
      <c r="D255" s="80" t="n"/>
      <c r="E255" s="80" t="n"/>
      <c r="F255" s="80" t="n"/>
      <c r="G255" s="80" t="n"/>
      <c r="H255" s="80" t="n"/>
      <c r="I255" s="80" t="n"/>
      <c r="J255" s="80" t="n"/>
      <c r="K255" s="80" t="n"/>
      <c r="L255" s="80" t="n"/>
      <c r="M255" s="80" t="n"/>
      <c r="N255" s="80" t="n"/>
      <c r="O255" s="80" t="n"/>
      <c r="P255" s="81">
        <f>IF(TRIM(B255)&lt;&gt;"",IFERROR(INDEX(DescMap_Label,MATCH(TRIM(B255),DescMap_Description,0)),"UNMATCHED"),"")</f>
        <v/>
      </c>
    </row>
    <row r="256" ht="15" customHeight="1" s="199">
      <c r="C256" s="80" t="n"/>
      <c r="D256" s="80" t="n"/>
      <c r="E256" s="80" t="n"/>
      <c r="F256" s="80" t="n"/>
      <c r="G256" s="80" t="n"/>
      <c r="H256" s="80" t="n"/>
      <c r="I256" s="80" t="n"/>
      <c r="J256" s="80" t="n"/>
      <c r="K256" s="80" t="n"/>
      <c r="L256" s="80" t="n"/>
      <c r="M256" s="80" t="n"/>
      <c r="N256" s="80" t="n"/>
      <c r="O256" s="80" t="n"/>
      <c r="P256" s="81">
        <f>IF(TRIM(B256)&lt;&gt;"",IFERROR(INDEX(DescMap_Label,MATCH(TRIM(B256),DescMap_Description,0)),"UNMATCHED"),"")</f>
        <v/>
      </c>
    </row>
    <row r="257" ht="15" customHeight="1" s="199">
      <c r="C257" s="80" t="n"/>
      <c r="D257" s="80" t="n"/>
      <c r="E257" s="80" t="n"/>
      <c r="F257" s="80" t="n"/>
      <c r="G257" s="80" t="n"/>
      <c r="H257" s="80" t="n"/>
      <c r="I257" s="80" t="n"/>
      <c r="J257" s="80" t="n"/>
      <c r="K257" s="80" t="n"/>
      <c r="L257" s="80" t="n"/>
      <c r="M257" s="80" t="n"/>
      <c r="N257" s="80" t="n"/>
      <c r="O257" s="80" t="n"/>
      <c r="P257" s="81">
        <f>IF(TRIM(B257)&lt;&gt;"",IFERROR(INDEX(DescMap_Label,MATCH(TRIM(B257),DescMap_Description,0)),"UNMATCHED"),"")</f>
        <v/>
      </c>
    </row>
    <row r="258" ht="15" customHeight="1" s="199">
      <c r="C258" s="80" t="n"/>
      <c r="D258" s="80" t="n"/>
      <c r="E258" s="80" t="n"/>
      <c r="F258" s="80" t="n"/>
      <c r="G258" s="80" t="n"/>
      <c r="H258" s="80" t="n"/>
      <c r="I258" s="80" t="n"/>
      <c r="J258" s="80" t="n"/>
      <c r="K258" s="80" t="n"/>
      <c r="L258" s="80" t="n"/>
      <c r="M258" s="80" t="n"/>
      <c r="N258" s="80" t="n"/>
      <c r="O258" s="80" t="n"/>
      <c r="P258" s="81">
        <f>IF(TRIM(B258)&lt;&gt;"",IFERROR(INDEX(DescMap_Label,MATCH(TRIM(B258),DescMap_Description,0)),"UNMATCHED"),"")</f>
        <v/>
      </c>
    </row>
    <row r="259" ht="15" customHeight="1" s="199">
      <c r="P259" s="81">
        <f>IF(TRIM(B259)&lt;&gt;"",IFERROR(INDEX(DescMap_Label,MATCH(TRIM(B259),DescMap_Description,0)),"UNMATCHED"),"")</f>
        <v/>
      </c>
    </row>
    <row r="260" ht="15" customHeight="1" s="199">
      <c r="P260" s="81">
        <f>IF(TRIM(B260)&lt;&gt;"",IFERROR(INDEX(DescMap_Label,MATCH(TRIM(B260),DescMap_Description,0)),"UNMATCHED"),"")</f>
        <v/>
      </c>
    </row>
    <row r="261" ht="15" customHeight="1" s="199">
      <c r="P261" s="81">
        <f>IF(TRIM(B261)&lt;&gt;"",IFERROR(INDEX(DescMap_Label,MATCH(TRIM(B261),DescMap_Description,0)),"UNMATCHED"),"")</f>
        <v/>
      </c>
    </row>
    <row r="262" ht="15" customHeight="1" s="199">
      <c r="P262" s="81">
        <f>IF(TRIM(B262)&lt;&gt;"",IFERROR(INDEX(DescMap_Label,MATCH(TRIM(B262),DescMap_Description,0)),"UNMATCHED"),"")</f>
        <v/>
      </c>
    </row>
    <row r="263" ht="15" customHeight="1" s="199">
      <c r="P263" s="81">
        <f>IF(TRIM(B263)&lt;&gt;"",IFERROR(INDEX(DescMap_Label,MATCH(TRIM(B263),DescMap_Description,0)),"UNMATCHED"),"")</f>
        <v/>
      </c>
    </row>
    <row r="264" ht="15" customHeight="1" s="199">
      <c r="P264" s="81">
        <f>IF(TRIM(B264)&lt;&gt;"",IFERROR(INDEX(DescMap_Label,MATCH(TRIM(B264),DescMap_Description,0)),"UNMATCHED"),"")</f>
        <v/>
      </c>
    </row>
    <row r="265" ht="15" customHeight="1" s="199">
      <c r="P265" s="81">
        <f>IF(TRIM(B265)&lt;&gt;"",IFERROR(INDEX(DescMap_Label,MATCH(TRIM(B265),DescMap_Description,0)),"UNMATCHED"),"")</f>
        <v/>
      </c>
    </row>
    <row r="266" ht="15" customHeight="1" s="199">
      <c r="P266" s="81">
        <f>IF(TRIM(B266)&lt;&gt;"",IFERROR(INDEX(DescMap_Label,MATCH(TRIM(B266),DescMap_Description,0)),"UNMATCHED"),"")</f>
        <v/>
      </c>
    </row>
    <row r="267" ht="15" customHeight="1" s="199">
      <c r="P267" s="81">
        <f>IF(TRIM(B267)&lt;&gt;"",IFERROR(INDEX(DescMap_Label,MATCH(TRIM(B267),DescMap_Description,0)),"UNMATCHED"),"")</f>
        <v/>
      </c>
    </row>
    <row r="268" ht="15" customHeight="1" s="199">
      <c r="P268" s="81">
        <f>IF(TRIM(B268)&lt;&gt;"",IFERROR(INDEX(DescMap_Label,MATCH(TRIM(B268),DescMap_Description,0)),"UNMATCHED"),"")</f>
        <v/>
      </c>
    </row>
    <row r="269" ht="15" customHeight="1" s="199">
      <c r="P269" s="81">
        <f>IF(TRIM(B269)&lt;&gt;"",IFERROR(INDEX(DescMap_Label,MATCH(TRIM(B269),DescMap_Description,0)),"UNMATCHED"),"")</f>
        <v/>
      </c>
    </row>
    <row r="270" ht="15" customHeight="1" s="199">
      <c r="P270" s="81">
        <f>IF(TRIM(B270)&lt;&gt;"",IFERROR(INDEX(DescMap_Label,MATCH(TRIM(B270),DescMap_Description,0)),"UNMATCHED"),"")</f>
        <v/>
      </c>
    </row>
    <row r="271" ht="15" customHeight="1" s="199">
      <c r="P271" s="81">
        <f>IF(TRIM(B271)&lt;&gt;"",IFERROR(INDEX(DescMap_Label,MATCH(TRIM(B271),DescMap_Description,0)),"UNMATCHED"),"")</f>
        <v/>
      </c>
    </row>
    <row r="272" ht="15" customHeight="1" s="199">
      <c r="P272" s="81">
        <f>IF(TRIM(B272)&lt;&gt;"",IFERROR(INDEX(DescMap_Label,MATCH(TRIM(B272),DescMap_Description,0)),"UNMATCHED"),"")</f>
        <v/>
      </c>
    </row>
    <row r="273" ht="15" customHeight="1" s="199">
      <c r="P273" s="81">
        <f>IF(TRIM(B273)&lt;&gt;"",IFERROR(INDEX(DescMap_Label,MATCH(TRIM(B273),DescMap_Description,0)),"UNMATCHED"),"")</f>
        <v/>
      </c>
    </row>
    <row r="274" ht="15" customHeight="1" s="199">
      <c r="P274" s="81">
        <f>IF(TRIM(B274)&lt;&gt;"",IFERROR(INDEX(DescMap_Label,MATCH(TRIM(B274),DescMap_Description,0)),"UNMATCHED"),"")</f>
        <v/>
      </c>
    </row>
    <row r="275" ht="15" customHeight="1" s="199">
      <c r="P275" s="81">
        <f>IF(TRIM(B275)&lt;&gt;"",IFERROR(INDEX(DescMap_Label,MATCH(TRIM(B275),DescMap_Description,0)),"UNMATCHED"),"")</f>
        <v/>
      </c>
    </row>
    <row r="276" ht="15" customHeight="1" s="199">
      <c r="P276" s="81">
        <f>IF(TRIM(B276)&lt;&gt;"",IFERROR(INDEX(DescMap_Label,MATCH(TRIM(B276),DescMap_Description,0)),"UNMATCHED"),"")</f>
        <v/>
      </c>
    </row>
    <row r="277" ht="15" customHeight="1" s="199">
      <c r="P277" s="81">
        <f>IF(TRIM(B277)&lt;&gt;"",IFERROR(INDEX(DescMap_Label,MATCH(TRIM(B277),DescMap_Description,0)),"UNMATCHED"),"")</f>
        <v/>
      </c>
    </row>
    <row r="278" ht="15" customHeight="1" s="199">
      <c r="P278" s="81">
        <f>IF(TRIM(B278)&lt;&gt;"",IFERROR(INDEX(DescMap_Label,MATCH(TRIM(B278),DescMap_Description,0)),"UNMATCHED"),"")</f>
        <v/>
      </c>
    </row>
    <row r="279" ht="15" customHeight="1" s="199">
      <c r="P279" s="81">
        <f>IF(TRIM(B279)&lt;&gt;"",IFERROR(INDEX(DescMap_Label,MATCH(TRIM(B279),DescMap_Description,0)),"UNMATCHED"),"")</f>
        <v/>
      </c>
    </row>
    <row r="280" ht="15" customHeight="1" s="199">
      <c r="P280" s="81">
        <f>IF(TRIM(B280)&lt;&gt;"",IFERROR(INDEX(DescMap_Label,MATCH(TRIM(B280),DescMap_Description,0)),"UNMATCHED"),"")</f>
        <v/>
      </c>
    </row>
    <row r="281" ht="15" customHeight="1" s="199">
      <c r="P281" s="81">
        <f>IF(TRIM(B281)&lt;&gt;"",IFERROR(INDEX(DescMap_Label,MATCH(TRIM(B281),DescMap_Description,0)),"UNMATCHED"),"")</f>
        <v/>
      </c>
    </row>
    <row r="282" ht="15" customHeight="1" s="199">
      <c r="P282" s="81">
        <f>IF(TRIM(B282)&lt;&gt;"",IFERROR(INDEX(DescMap_Label,MATCH(TRIM(B282),DescMap_Description,0)),"UNMATCHED"),"")</f>
        <v/>
      </c>
    </row>
    <row r="283" ht="15" customHeight="1" s="199">
      <c r="P283" s="81">
        <f>IF(TRIM(B283)&lt;&gt;"",IFERROR(INDEX(DescMap_Label,MATCH(TRIM(B283),DescMap_Description,0)),"UNMATCHED"),"")</f>
        <v/>
      </c>
    </row>
    <row r="284" ht="15" customHeight="1" s="199">
      <c r="P284" s="81">
        <f>IF(TRIM(B284)&lt;&gt;"",IFERROR(INDEX(DescMap_Label,MATCH(TRIM(B284),DescMap_Description,0)),"UNMATCHED"),"")</f>
        <v/>
      </c>
    </row>
    <row r="285" ht="15" customHeight="1" s="199">
      <c r="P285" s="81">
        <f>IF(TRIM(B285)&lt;&gt;"",IFERROR(INDEX(DescMap_Label,MATCH(TRIM(B285),DescMap_Description,0)),"UNMATCHED"),"")</f>
        <v/>
      </c>
    </row>
    <row r="286" ht="15" customHeight="1" s="199">
      <c r="P286" s="81">
        <f>IF(TRIM(B286)&lt;&gt;"",IFERROR(INDEX(DescMap_Label,MATCH(TRIM(B286),DescMap_Description,0)),"UNMATCHED"),"")</f>
        <v/>
      </c>
    </row>
    <row r="287" ht="15" customHeight="1" s="199">
      <c r="P287" s="81">
        <f>IF(TRIM(B287)&lt;&gt;"",IFERROR(INDEX(DescMap_Label,MATCH(TRIM(B287),DescMap_Description,0)),"UNMATCHED"),"")</f>
        <v/>
      </c>
    </row>
    <row r="288" ht="15" customHeight="1" s="199">
      <c r="P288" s="81">
        <f>IF(TRIM(B288)&lt;&gt;"",IFERROR(INDEX(DescMap_Label,MATCH(TRIM(B288),DescMap_Description,0)),"UNMATCHED"),"")</f>
        <v/>
      </c>
    </row>
    <row r="289" ht="15" customHeight="1" s="199">
      <c r="P289" s="81">
        <f>IF(TRIM(B289)&lt;&gt;"",IFERROR(INDEX(DescMap_Label,MATCH(TRIM(B289),DescMap_Description,0)),"UNMATCHED"),"")</f>
        <v/>
      </c>
    </row>
    <row r="290" ht="15" customHeight="1" s="199">
      <c r="P290" s="81">
        <f>IF(TRIM(B290)&lt;&gt;"",IFERROR(INDEX(DescMap_Label,MATCH(TRIM(B290),DescMap_Description,0)),"UNMATCHED"),"")</f>
        <v/>
      </c>
    </row>
    <row r="291" ht="15" customHeight="1" s="199">
      <c r="P291" s="81">
        <f>IF(TRIM(B291)&lt;&gt;"",IFERROR(INDEX(DescMap_Label,MATCH(TRIM(B291),DescMap_Description,0)),"UNMATCHED"),"")</f>
        <v/>
      </c>
    </row>
    <row r="292" ht="15" customHeight="1" s="199">
      <c r="P292" s="81">
        <f>IF(TRIM(B292)&lt;&gt;"",IFERROR(INDEX(DescMap_Label,MATCH(TRIM(B292),DescMap_Description,0)),"UNMATCHED"),"")</f>
        <v/>
      </c>
    </row>
    <row r="293" ht="15" customHeight="1" s="199">
      <c r="P293" s="81">
        <f>IF(TRIM(B293)&lt;&gt;"",IFERROR(INDEX(DescMap_Label,MATCH(TRIM(B293),DescMap_Description,0)),"UNMATCHED"),"")</f>
        <v/>
      </c>
    </row>
    <row r="294" ht="15" customHeight="1" s="199">
      <c r="P294" s="81">
        <f>IF(TRIM(B294)&lt;&gt;"",IFERROR(INDEX(DescMap_Label,MATCH(TRIM(B294),DescMap_Description,0)),"UNMATCHED"),"")</f>
        <v/>
      </c>
    </row>
    <row r="295" ht="15" customHeight="1" s="199">
      <c r="P295" s="81">
        <f>IF(TRIM(B295)&lt;&gt;"",IFERROR(INDEX(DescMap_Label,MATCH(TRIM(B295),DescMap_Description,0)),"UNMATCHED"),"")</f>
        <v/>
      </c>
    </row>
    <row r="296" ht="15" customHeight="1" s="199">
      <c r="P296" s="81">
        <f>IF(TRIM(B296)&lt;&gt;"",IFERROR(INDEX(DescMap_Label,MATCH(TRIM(B296),DescMap_Description,0)),"UNMATCHED"),"")</f>
        <v/>
      </c>
    </row>
    <row r="297" ht="15" customHeight="1" s="199">
      <c r="P297" s="81">
        <f>IF(TRIM(B297)&lt;&gt;"",IFERROR(INDEX(DescMap_Label,MATCH(TRIM(B297),DescMap_Description,0)),"UNMATCHED"),"")</f>
        <v/>
      </c>
    </row>
    <row r="298" ht="15" customHeight="1" s="199">
      <c r="P298" s="81">
        <f>IF(TRIM(B298)&lt;&gt;"",IFERROR(INDEX(DescMap_Label,MATCH(TRIM(B298),DescMap_Description,0)),"UNMATCHED"),"")</f>
        <v/>
      </c>
    </row>
    <row r="299" ht="15" customHeight="1" s="199">
      <c r="P299" s="81">
        <f>IF(TRIM(B299)&lt;&gt;"",IFERROR(INDEX(DescMap_Label,MATCH(TRIM(B299),DescMap_Description,0)),"UNMATCHED"),"")</f>
        <v/>
      </c>
    </row>
    <row r="300" ht="15" customHeight="1" s="199">
      <c r="P300" s="81">
        <f>IF(TRIM(B300)&lt;&gt;"",IFERROR(INDEX(DescMap_Label,MATCH(TRIM(B300),DescMap_Description,0)),"UNMATCHED"),"")</f>
        <v/>
      </c>
    </row>
    <row r="301" ht="15" customHeight="1" s="199">
      <c r="P301" s="81">
        <f>IF(TRIM(B301)&lt;&gt;"",IFERROR(INDEX(DescMap_Label,MATCH(TRIM(B301),DescMap_Description,0)),"UNMATCHED"),"")</f>
        <v/>
      </c>
    </row>
    <row r="302" ht="15" customHeight="1" s="199">
      <c r="P302" s="81">
        <f>IF(TRIM(B302)&lt;&gt;"",IFERROR(INDEX(DescMap_Label,MATCH(TRIM(B302),DescMap_Description,0)),"UNMATCHED"),"")</f>
        <v/>
      </c>
    </row>
    <row r="303" ht="15" customHeight="1" s="199">
      <c r="P303" s="81">
        <f>IF(TRIM(B303)&lt;&gt;"",IFERROR(INDEX(DescMap_Label,MATCH(TRIM(B303),DescMap_Description,0)),"UNMATCHED"),"")</f>
        <v/>
      </c>
    </row>
    <row r="304" ht="15" customHeight="1" s="199">
      <c r="P304" s="81">
        <f>IF(TRIM(B304)&lt;&gt;"",IFERROR(INDEX(DescMap_Label,MATCH(TRIM(B304),DescMap_Description,0)),"UNMATCHED"),"")</f>
        <v/>
      </c>
    </row>
    <row r="305" ht="15" customHeight="1" s="199">
      <c r="P305" s="81">
        <f>IF(TRIM(B305)&lt;&gt;"",IFERROR(INDEX(DescMap_Label,MATCH(TRIM(B305),DescMap_Description,0)),"UNMATCHED"),"")</f>
        <v/>
      </c>
    </row>
    <row r="306" ht="15" customHeight="1" s="199">
      <c r="P306" s="81">
        <f>IF(TRIM(B306)&lt;&gt;"",IFERROR(INDEX(DescMap_Label,MATCH(TRIM(B306),DescMap_Description,0)),"UNMATCHED"),"")</f>
        <v/>
      </c>
    </row>
    <row r="307" ht="15" customHeight="1" s="199">
      <c r="P307" s="81">
        <f>IF(TRIM(B307)&lt;&gt;"",IFERROR(INDEX(DescMap_Label,MATCH(TRIM(B307),DescMap_Description,0)),"UNMATCHED"),"")</f>
        <v/>
      </c>
    </row>
    <row r="308" ht="15" customHeight="1" s="199">
      <c r="P308" s="81">
        <f>IF(TRIM(B308)&lt;&gt;"",IFERROR(INDEX(DescMap_Label,MATCH(TRIM(B308),DescMap_Description,0)),"UNMATCHED"),"")</f>
        <v/>
      </c>
    </row>
    <row r="309" ht="15" customHeight="1" s="199">
      <c r="P309" s="81">
        <f>IF(TRIM(B309)&lt;&gt;"",IFERROR(INDEX(DescMap_Label,MATCH(TRIM(B309),DescMap_Description,0)),"UNMATCHED"),"")</f>
        <v/>
      </c>
    </row>
    <row r="310" ht="15" customHeight="1" s="199">
      <c r="P310" s="81">
        <f>IF(TRIM(B310)&lt;&gt;"",IFERROR(INDEX(DescMap_Label,MATCH(TRIM(B310),DescMap_Description,0)),"UNMATCHED"),"")</f>
        <v/>
      </c>
    </row>
    <row r="311" ht="15" customHeight="1" s="199">
      <c r="P311" s="81">
        <f>IF(TRIM(B311)&lt;&gt;"",IFERROR(INDEX(DescMap_Label,MATCH(TRIM(B311),DescMap_Description,0)),"UNMATCHED"),"")</f>
        <v/>
      </c>
    </row>
    <row r="312" ht="15" customHeight="1" s="199">
      <c r="P312" s="81">
        <f>IF(TRIM(B312)&lt;&gt;"",IFERROR(INDEX(DescMap_Label,MATCH(TRIM(B312),DescMap_Description,0)),"UNMATCHED"),"")</f>
        <v/>
      </c>
    </row>
    <row r="313" ht="15" customHeight="1" s="199">
      <c r="P313" s="81">
        <f>IF(TRIM(B313)&lt;&gt;"",IFERROR(INDEX(DescMap_Label,MATCH(TRIM(B313),DescMap_Description,0)),"UNMATCHED"),"")</f>
        <v/>
      </c>
    </row>
    <row r="314" ht="15" customHeight="1" s="199">
      <c r="P314" s="81">
        <f>IF(TRIM(B314)&lt;&gt;"",IFERROR(INDEX(DescMap_Label,MATCH(TRIM(B314),DescMap_Description,0)),"UNMATCHED"),"")</f>
        <v/>
      </c>
    </row>
    <row r="315" ht="15" customHeight="1" s="199">
      <c r="P315" s="81">
        <f>IF(TRIM(B315)&lt;&gt;"",IFERROR(INDEX(DescMap_Label,MATCH(TRIM(B315),DescMap_Description,0)),"UNMATCHED"),"")</f>
        <v/>
      </c>
    </row>
    <row r="316" ht="15" customHeight="1" s="199">
      <c r="P316" s="81">
        <f>IF(TRIM(B316)&lt;&gt;"",IFERROR(INDEX(DescMap_Label,MATCH(TRIM(B316),DescMap_Description,0)),"UNMATCHED"),"")</f>
        <v/>
      </c>
    </row>
    <row r="317" ht="15" customHeight="1" s="199">
      <c r="P317" s="81">
        <f>IF(TRIM(B317)&lt;&gt;"",IFERROR(INDEX(DescMap_Label,MATCH(TRIM(B317),DescMap_Description,0)),"UNMATCHED"),"")</f>
        <v/>
      </c>
    </row>
    <row r="318" ht="15" customHeight="1" s="199">
      <c r="P318" s="81">
        <f>IF(TRIM(B318)&lt;&gt;"",IFERROR(INDEX(DescMap_Label,MATCH(TRIM(B318),DescMap_Description,0)),"UNMATCHED"),"")</f>
        <v/>
      </c>
    </row>
    <row r="319" ht="15" customHeight="1" s="199">
      <c r="P319" s="81">
        <f>IF(TRIM(B319)&lt;&gt;"",IFERROR(INDEX(DescMap_Label,MATCH(TRIM(B319),DescMap_Description,0)),"UNMATCHED"),"")</f>
        <v/>
      </c>
    </row>
    <row r="320" ht="15" customHeight="1" s="199">
      <c r="P320" s="81">
        <f>IF(TRIM(B320)&lt;&gt;"",IFERROR(INDEX(DescMap_Label,MATCH(TRIM(B320),DescMap_Description,0)),"UNMATCHED"),"")</f>
        <v/>
      </c>
    </row>
    <row r="321" ht="15" customHeight="1" s="199">
      <c r="P321" s="81">
        <f>IF(TRIM(B321)&lt;&gt;"",IFERROR(INDEX(DescMap_Label,MATCH(TRIM(B321),DescMap_Description,0)),"UNMATCHED"),"")</f>
        <v/>
      </c>
    </row>
    <row r="322" ht="15" customHeight="1" s="199">
      <c r="P322" s="81">
        <f>IF(TRIM(B322)&lt;&gt;"",IFERROR(INDEX(DescMap_Label,MATCH(TRIM(B322),DescMap_Description,0)),"UNMATCHED"),"")</f>
        <v/>
      </c>
    </row>
    <row r="323" ht="15" customHeight="1" s="199">
      <c r="P323" s="81">
        <f>IF(TRIM(B323)&lt;&gt;"",IFERROR(INDEX(DescMap_Label,MATCH(TRIM(B323),DescMap_Description,0)),"UNMATCHED"),"")</f>
        <v/>
      </c>
    </row>
    <row r="324" ht="15" customHeight="1" s="199">
      <c r="P324" s="81">
        <f>IF(TRIM(B324)&lt;&gt;"",IFERROR(INDEX(DescMap_Label,MATCH(TRIM(B324),DescMap_Description,0)),"UNMATCHED"),"")</f>
        <v/>
      </c>
    </row>
    <row r="325" ht="15" customHeight="1" s="199">
      <c r="P325" s="81">
        <f>IF(TRIM(B325)&lt;&gt;"",IFERROR(INDEX(DescMap_Label,MATCH(TRIM(B325),DescMap_Description,0)),"UNMATCHED"),"")</f>
        <v/>
      </c>
    </row>
    <row r="326" ht="15" customHeight="1" s="199">
      <c r="P326" s="81">
        <f>IF(TRIM(B326)&lt;&gt;"",IFERROR(INDEX(DescMap_Label,MATCH(TRIM(B326),DescMap_Description,0)),"UNMATCHED"),"")</f>
        <v/>
      </c>
    </row>
    <row r="327" ht="15" customHeight="1" s="199">
      <c r="P327" s="81">
        <f>IF(TRIM(B327)&lt;&gt;"",IFERROR(INDEX(DescMap_Label,MATCH(TRIM(B327),DescMap_Description,0)),"UNMATCHED"),"")</f>
        <v/>
      </c>
    </row>
    <row r="328" ht="15" customHeight="1" s="199">
      <c r="P328" s="81">
        <f>IF(TRIM(B328)&lt;&gt;"",IFERROR(INDEX(DescMap_Label,MATCH(TRIM(B328),DescMap_Description,0)),"UNMATCHED"),"")</f>
        <v/>
      </c>
    </row>
    <row r="329" ht="15" customHeight="1" s="199">
      <c r="P329" s="81">
        <f>IF(TRIM(B329)&lt;&gt;"",IFERROR(INDEX(DescMap_Label,MATCH(TRIM(B329),DescMap_Description,0)),"UNMATCHED"),"")</f>
        <v/>
      </c>
    </row>
    <row r="330" ht="15" customHeight="1" s="199">
      <c r="P330" s="81">
        <f>IF(TRIM(B330)&lt;&gt;"",IFERROR(INDEX(DescMap_Label,MATCH(TRIM(B330),DescMap_Description,0)),"UNMATCHED"),"")</f>
        <v/>
      </c>
    </row>
    <row r="331" ht="15" customHeight="1" s="199">
      <c r="P331" s="81">
        <f>IF(TRIM(B331)&lt;&gt;"",IFERROR(INDEX(DescMap_Label,MATCH(TRIM(B331),DescMap_Description,0)),"UNMATCHED"),"")</f>
        <v/>
      </c>
    </row>
    <row r="332" ht="15" customHeight="1" s="199">
      <c r="P332" s="81">
        <f>IF(TRIM(B332)&lt;&gt;"",IFERROR(INDEX(DescMap_Label,MATCH(TRIM(B332),DescMap_Description,0)),"UNMATCHED"),"")</f>
        <v/>
      </c>
    </row>
    <row r="333" ht="15" customHeight="1" s="199">
      <c r="P333" s="81">
        <f>IF(TRIM(B333)&lt;&gt;"",IFERROR(INDEX(DescMap_Label,MATCH(TRIM(B333),DescMap_Description,0)),"UNMATCHED"),"")</f>
        <v/>
      </c>
    </row>
    <row r="334" ht="15" customHeight="1" s="199">
      <c r="P334" s="81">
        <f>IF(TRIM(B334)&lt;&gt;"",IFERROR(INDEX(DescMap_Label,MATCH(TRIM(B334),DescMap_Description,0)),"UNMATCHED"),"")</f>
        <v/>
      </c>
    </row>
    <row r="335" ht="15" customHeight="1" s="199">
      <c r="P335" s="81">
        <f>IF(TRIM(B335)&lt;&gt;"",IFERROR(INDEX(DescMap_Label,MATCH(TRIM(B335),DescMap_Description,0)),"UNMATCHED"),"")</f>
        <v/>
      </c>
    </row>
    <row r="336" ht="15" customHeight="1" s="199">
      <c r="P336" s="81">
        <f>IF(TRIM(B336)&lt;&gt;"",IFERROR(INDEX(DescMap_Label,MATCH(TRIM(B336),DescMap_Description,0)),"UNMATCHED"),"")</f>
        <v/>
      </c>
    </row>
    <row r="337" ht="15" customHeight="1" s="199">
      <c r="P337" s="81">
        <f>IF(TRIM(B337)&lt;&gt;"",IFERROR(INDEX(DescMap_Label,MATCH(TRIM(B337),DescMap_Description,0)),"UNMATCHED"),"")</f>
        <v/>
      </c>
    </row>
    <row r="338" ht="15" customHeight="1" s="199">
      <c r="P338" s="81">
        <f>IF(TRIM(B338)&lt;&gt;"",IFERROR(INDEX(DescMap_Label,MATCH(TRIM(B338),DescMap_Description,0)),"UNMATCHED"),"")</f>
        <v/>
      </c>
    </row>
    <row r="339" ht="15" customHeight="1" s="199">
      <c r="P339" s="81">
        <f>IF(TRIM(B339)&lt;&gt;"",IFERROR(INDEX(DescMap_Label,MATCH(TRIM(B339),DescMap_Description,0)),"UNMATCHED"),"")</f>
        <v/>
      </c>
    </row>
    <row r="340" ht="15" customHeight="1" s="199">
      <c r="P340" s="81">
        <f>IF(TRIM(B340)&lt;&gt;"",IFERROR(INDEX(DescMap_Label,MATCH(TRIM(B340),DescMap_Description,0)),"UNMATCHED"),"")</f>
        <v/>
      </c>
    </row>
    <row r="341" ht="15" customHeight="1" s="199">
      <c r="P341" s="81">
        <f>IF(TRIM(B341)&lt;&gt;"",IFERROR(INDEX(DescMap_Label,MATCH(TRIM(B341),DescMap_Description,0)),"UNMATCHED"),"")</f>
        <v/>
      </c>
    </row>
    <row r="342" ht="15" customHeight="1" s="199">
      <c r="P342" s="81">
        <f>IF(TRIM(B342)&lt;&gt;"",IFERROR(INDEX(DescMap_Label,MATCH(TRIM(B342),DescMap_Description,0)),"UNMATCHED"),"")</f>
        <v/>
      </c>
    </row>
    <row r="343" ht="15" customHeight="1" s="199">
      <c r="P343" s="81">
        <f>IF(TRIM(B343)&lt;&gt;"",IFERROR(INDEX(DescMap_Label,MATCH(TRIM(B343),DescMap_Description,0)),"UNMATCHED"),"")</f>
        <v/>
      </c>
    </row>
    <row r="344" ht="15" customHeight="1" s="199">
      <c r="P344" s="81">
        <f>IF(TRIM(B344)&lt;&gt;"",IFERROR(INDEX(DescMap_Label,MATCH(TRIM(B344),DescMap_Description,0)),"UNMATCHED"),"")</f>
        <v/>
      </c>
    </row>
    <row r="345" ht="15" customHeight="1" s="199">
      <c r="P345" s="81">
        <f>IF(TRIM(B345)&lt;&gt;"",IFERROR(INDEX(DescMap_Label,MATCH(TRIM(B345),DescMap_Description,0)),"UNMATCHED"),"")</f>
        <v/>
      </c>
    </row>
    <row r="346" ht="15" customHeight="1" s="199">
      <c r="P346" s="81">
        <f>IF(TRIM(B346)&lt;&gt;"",IFERROR(INDEX(DescMap_Label,MATCH(TRIM(B346),DescMap_Description,0)),"UNMATCHED"),"")</f>
        <v/>
      </c>
    </row>
    <row r="347" ht="15" customHeight="1" s="199">
      <c r="P347" s="81">
        <f>IF(TRIM(B347)&lt;&gt;"",IFERROR(INDEX(DescMap_Label,MATCH(TRIM(B347),DescMap_Description,0)),"UNMATCHED"),"")</f>
        <v/>
      </c>
    </row>
    <row r="348" ht="15" customHeight="1" s="199">
      <c r="P348" s="81">
        <f>IF(TRIM(B348)&lt;&gt;"",IFERROR(INDEX(DescMap_Label,MATCH(TRIM(B348),DescMap_Description,0)),"UNMATCHED"),"")</f>
        <v/>
      </c>
    </row>
    <row r="349" ht="15" customHeight="1" s="199">
      <c r="P349" s="81">
        <f>IF(TRIM(B349)&lt;&gt;"",IFERROR(INDEX(DescMap_Label,MATCH(TRIM(B349),DescMap_Description,0)),"UNMATCHED"),"")</f>
        <v/>
      </c>
    </row>
    <row r="350" ht="15" customHeight="1" s="199">
      <c r="P350" s="81">
        <f>IF(TRIM(B350)&lt;&gt;"",IFERROR(INDEX(DescMap_Label,MATCH(TRIM(B350),DescMap_Description,0)),"UNMATCHED"),"")</f>
        <v/>
      </c>
    </row>
    <row r="351" ht="15" customHeight="1" s="199">
      <c r="P351" s="81">
        <f>IF(TRIM(B351)&lt;&gt;"",IFERROR(INDEX(DescMap_Label,MATCH(TRIM(B351),DescMap_Description,0)),"UNMATCHED"),"")</f>
        <v/>
      </c>
    </row>
    <row r="352" ht="15" customHeight="1" s="199">
      <c r="P352" s="81">
        <f>IF(TRIM(B352)&lt;&gt;"",IFERROR(INDEX(DescMap_Label,MATCH(TRIM(B352),DescMap_Description,0)),"UNMATCHED"),"")</f>
        <v/>
      </c>
    </row>
    <row r="353" ht="15" customHeight="1" s="199">
      <c r="P353" s="81">
        <f>IF(TRIM(B353)&lt;&gt;"",IFERROR(INDEX(DescMap_Label,MATCH(TRIM(B353),DescMap_Description,0)),"UNMATCHED"),"")</f>
        <v/>
      </c>
    </row>
    <row r="354" ht="15" customHeight="1" s="199">
      <c r="P354" s="81">
        <f>IF(TRIM(B354)&lt;&gt;"",IFERROR(INDEX(DescMap_Label,MATCH(TRIM(B354),DescMap_Description,0)),"UNMATCHED"),"")</f>
        <v/>
      </c>
    </row>
    <row r="355" ht="15" customHeight="1" s="199">
      <c r="P355" s="81">
        <f>IF(TRIM(B355)&lt;&gt;"",IFERROR(INDEX(DescMap_Label,MATCH(TRIM(B355),DescMap_Description,0)),"UNMATCHED"),"")</f>
        <v/>
      </c>
    </row>
    <row r="356" ht="15" customHeight="1" s="199">
      <c r="P356" s="81">
        <f>IF(TRIM(B356)&lt;&gt;"",IFERROR(INDEX(DescMap_Label,MATCH(TRIM(B356),DescMap_Description,0)),"UNMATCHED"),"")</f>
        <v/>
      </c>
    </row>
    <row r="357" ht="15" customHeight="1" s="199">
      <c r="P357" s="81">
        <f>IF(TRIM(B357)&lt;&gt;"",IFERROR(INDEX(DescMap_Label,MATCH(TRIM(B357),DescMap_Description,0)),"UNMATCHED"),"")</f>
        <v/>
      </c>
    </row>
    <row r="358" ht="15" customHeight="1" s="199">
      <c r="P358" s="81">
        <f>IF(TRIM(B358)&lt;&gt;"",IFERROR(INDEX(DescMap_Label,MATCH(TRIM(B358),DescMap_Description,0)),"UNMATCHED"),"")</f>
        <v/>
      </c>
    </row>
    <row r="359" ht="15" customHeight="1" s="199">
      <c r="P359" s="81">
        <f>IF(TRIM(B359)&lt;&gt;"",IFERROR(INDEX(DescMap_Label,MATCH(TRIM(B359),DescMap_Description,0)),"UNMATCHED"),"")</f>
        <v/>
      </c>
    </row>
    <row r="360" ht="15" customHeight="1" s="199">
      <c r="P360" s="81">
        <f>IF(TRIM(B360)&lt;&gt;"",IFERROR(INDEX(DescMap_Label,MATCH(TRIM(B360),DescMap_Description,0)),"UNMATCHED"),"")</f>
        <v/>
      </c>
    </row>
    <row r="361" ht="15" customHeight="1" s="199">
      <c r="P361" s="81">
        <f>IF(TRIM(B361)&lt;&gt;"",IFERROR(INDEX(DescMap_Label,MATCH(TRIM(B361),DescMap_Description,0)),"UNMATCHED"),"")</f>
        <v/>
      </c>
    </row>
    <row r="362" ht="15" customHeight="1" s="199">
      <c r="P362" s="81">
        <f>IF(TRIM(B362)&lt;&gt;"",IFERROR(INDEX(DescMap_Label,MATCH(TRIM(B362),DescMap_Description,0)),"UNMATCHED"),"")</f>
        <v/>
      </c>
    </row>
    <row r="363" ht="15" customHeight="1" s="199">
      <c r="P363" s="81">
        <f>IF(TRIM(B363)&lt;&gt;"",IFERROR(INDEX(DescMap_Label,MATCH(TRIM(B363),DescMap_Description,0)),"UNMATCHED"),"")</f>
        <v/>
      </c>
    </row>
    <row r="364" ht="15" customHeight="1" s="199">
      <c r="P364" s="81">
        <f>IF(TRIM(B364)&lt;&gt;"",IFERROR(INDEX(DescMap_Label,MATCH(TRIM(B364),DescMap_Description,0)),"UNMATCHED"),"")</f>
        <v/>
      </c>
    </row>
    <row r="365" ht="15" customHeight="1" s="199">
      <c r="P365" s="81">
        <f>IF(TRIM(B365)&lt;&gt;"",IFERROR(INDEX(DescMap_Label,MATCH(TRIM(B365),DescMap_Description,0)),"UNMATCHED"),"")</f>
        <v/>
      </c>
    </row>
    <row r="366" ht="15" customHeight="1" s="199">
      <c r="P366" s="81">
        <f>IF(TRIM(B366)&lt;&gt;"",IFERROR(INDEX(DescMap_Label,MATCH(TRIM(B366),DescMap_Description,0)),"UNMATCHED"),"")</f>
        <v/>
      </c>
    </row>
    <row r="367" ht="15" customHeight="1" s="199">
      <c r="P367" s="81">
        <f>IF(TRIM(B367)&lt;&gt;"",IFERROR(INDEX(DescMap_Label,MATCH(TRIM(B367),DescMap_Description,0)),"UNMATCHED"),"")</f>
        <v/>
      </c>
    </row>
    <row r="368" ht="15" customHeight="1" s="199">
      <c r="P368" s="81">
        <f>IF(TRIM(B368)&lt;&gt;"",IFERROR(INDEX(DescMap_Label,MATCH(TRIM(B368),DescMap_Description,0)),"UNMATCHED"),"")</f>
        <v/>
      </c>
    </row>
    <row r="369" ht="15" customHeight="1" s="199">
      <c r="P369" s="81">
        <f>IF(TRIM(B369)&lt;&gt;"",IFERROR(INDEX(DescMap_Label,MATCH(TRIM(B369),DescMap_Description,0)),"UNMATCHED"),"")</f>
        <v/>
      </c>
    </row>
    <row r="370" ht="15" customHeight="1" s="199">
      <c r="P370" s="81">
        <f>IF(TRIM(B370)&lt;&gt;"",IFERROR(INDEX(DescMap_Label,MATCH(TRIM(B370),DescMap_Description,0)),"UNMATCHED"),"")</f>
        <v/>
      </c>
    </row>
    <row r="371" ht="15" customHeight="1" s="199">
      <c r="P371" s="81">
        <f>IF(TRIM(B371)&lt;&gt;"",IFERROR(INDEX(DescMap_Label,MATCH(TRIM(B371),DescMap_Description,0)),"UNMATCHED"),"")</f>
        <v/>
      </c>
    </row>
    <row r="372" ht="15" customHeight="1" s="199">
      <c r="P372" s="81">
        <f>IF(TRIM(B372)&lt;&gt;"",IFERROR(INDEX(DescMap_Label,MATCH(TRIM(B372),DescMap_Description,0)),"UNMATCHED"),"")</f>
        <v/>
      </c>
    </row>
    <row r="373" ht="15" customHeight="1" s="199">
      <c r="P373" s="81">
        <f>IF(TRIM(B373)&lt;&gt;"",IFERROR(INDEX(DescMap_Label,MATCH(TRIM(B373),DescMap_Description,0)),"UNMATCHED"),"")</f>
        <v/>
      </c>
    </row>
    <row r="374" ht="15" customHeight="1" s="199">
      <c r="P374" s="81">
        <f>IF(TRIM(B374)&lt;&gt;"",IFERROR(INDEX(DescMap_Label,MATCH(TRIM(B374),DescMap_Description,0)),"UNMATCHED"),"")</f>
        <v/>
      </c>
    </row>
    <row r="375" ht="15" customHeight="1" s="199">
      <c r="P375" s="81">
        <f>IF(TRIM(B375)&lt;&gt;"",IFERROR(INDEX(DescMap_Label,MATCH(TRIM(B375),DescMap_Description,0)),"UNMATCHED"),"")</f>
        <v/>
      </c>
    </row>
    <row r="376" ht="15" customHeight="1" s="199">
      <c r="P376" s="81">
        <f>IF(TRIM(B376)&lt;&gt;"",IFERROR(INDEX(DescMap_Label,MATCH(TRIM(B376),DescMap_Description,0)),"UNMATCHED"),"")</f>
        <v/>
      </c>
    </row>
    <row r="377" ht="15" customHeight="1" s="199">
      <c r="P377" s="81">
        <f>IF(TRIM(B377)&lt;&gt;"",IFERROR(INDEX(DescMap_Label,MATCH(TRIM(B377),DescMap_Description,0)),"UNMATCHED"),"")</f>
        <v/>
      </c>
    </row>
    <row r="378" ht="15" customHeight="1" s="199">
      <c r="P378" s="81">
        <f>IF(TRIM(B378)&lt;&gt;"",IFERROR(INDEX(DescMap_Label,MATCH(TRIM(B378),DescMap_Description,0)),"UNMATCHED"),"")</f>
        <v/>
      </c>
    </row>
    <row r="379" ht="15" customHeight="1" s="199">
      <c r="P379" s="81">
        <f>IF(TRIM(B379)&lt;&gt;"",IFERROR(INDEX(DescMap_Label,MATCH(TRIM(B379),DescMap_Description,0)),"UNMATCHED"),"")</f>
        <v/>
      </c>
    </row>
    <row r="380" ht="15" customHeight="1" s="199">
      <c r="P380" s="81">
        <f>IF(TRIM(B380)&lt;&gt;"",IFERROR(INDEX(DescMap_Label,MATCH(TRIM(B380),DescMap_Description,0)),"UNMATCHED"),"")</f>
        <v/>
      </c>
    </row>
    <row r="381" ht="15" customHeight="1" s="199">
      <c r="P381" s="81">
        <f>IF(TRIM(B381)&lt;&gt;"",IFERROR(INDEX(DescMap_Label,MATCH(TRIM(B381),DescMap_Description,0)),"UNMATCHED"),"")</f>
        <v/>
      </c>
    </row>
    <row r="382" ht="15" customHeight="1" s="199">
      <c r="P382" s="81">
        <f>IF(TRIM(B382)&lt;&gt;"",IFERROR(INDEX(DescMap_Label,MATCH(TRIM(B382),DescMap_Description,0)),"UNMATCHED"),"")</f>
        <v/>
      </c>
    </row>
    <row r="383" ht="15" customHeight="1" s="199">
      <c r="P383" s="81">
        <f>IF(TRIM(B383)&lt;&gt;"",IFERROR(INDEX(DescMap_Label,MATCH(TRIM(B383),DescMap_Description,0)),"UNMATCHED"),"")</f>
        <v/>
      </c>
    </row>
    <row r="384" ht="15" customHeight="1" s="199">
      <c r="P384" s="81">
        <f>IF(TRIM(B384)&lt;&gt;"",IFERROR(INDEX(DescMap_Label,MATCH(TRIM(B384),DescMap_Description,0)),"UNMATCHED"),"")</f>
        <v/>
      </c>
    </row>
    <row r="385" ht="15" customHeight="1" s="199">
      <c r="P385" s="81">
        <f>IF(TRIM(B385)&lt;&gt;"",IFERROR(INDEX(DescMap_Label,MATCH(TRIM(B385),DescMap_Description,0)),"UNMATCHED"),"")</f>
        <v/>
      </c>
    </row>
    <row r="386" ht="15" customHeight="1" s="199">
      <c r="P386" s="81">
        <f>IF(TRIM(B386)&lt;&gt;"",IFERROR(INDEX(DescMap_Label,MATCH(TRIM(B386),DescMap_Description,0)),"UNMATCHED"),"")</f>
        <v/>
      </c>
    </row>
    <row r="387" ht="15" customHeight="1" s="199">
      <c r="P387" s="81">
        <f>IF(TRIM(B387)&lt;&gt;"",IFERROR(INDEX(DescMap_Label,MATCH(TRIM(B387),DescMap_Description,0)),"UNMATCHED"),"")</f>
        <v/>
      </c>
    </row>
    <row r="388" ht="15" customHeight="1" s="199">
      <c r="P388" s="81">
        <f>IF(TRIM(B388)&lt;&gt;"",IFERROR(INDEX(DescMap_Label,MATCH(TRIM(B388),DescMap_Description,0)),"UNMATCHED"),"")</f>
        <v/>
      </c>
    </row>
    <row r="389" ht="15" customHeight="1" s="199">
      <c r="P389" s="81">
        <f>IF(TRIM(B389)&lt;&gt;"",IFERROR(INDEX(DescMap_Label,MATCH(TRIM(B389),DescMap_Description,0)),"UNMATCHED"),"")</f>
        <v/>
      </c>
    </row>
    <row r="390" ht="15" customHeight="1" s="199">
      <c r="P390" s="81">
        <f>IF(TRIM(B390)&lt;&gt;"",IFERROR(INDEX(DescMap_Label,MATCH(TRIM(B390),DescMap_Description,0)),"UNMATCHED"),"")</f>
        <v/>
      </c>
    </row>
    <row r="391" ht="15" customHeight="1" s="199">
      <c r="P391" s="81">
        <f>IF(TRIM(B391)&lt;&gt;"",IFERROR(INDEX(DescMap_Label,MATCH(TRIM(B391),DescMap_Description,0)),"UNMATCHED"),"")</f>
        <v/>
      </c>
    </row>
    <row r="392" ht="15" customHeight="1" s="199">
      <c r="P392" s="81">
        <f>IF(TRIM(B392)&lt;&gt;"",IFERROR(INDEX(DescMap_Label,MATCH(TRIM(B392),DescMap_Description,0)),"UNMATCHED"),"")</f>
        <v/>
      </c>
    </row>
    <row r="393" ht="15" customHeight="1" s="199">
      <c r="P393" s="81">
        <f>IF(TRIM(B393)&lt;&gt;"",IFERROR(INDEX(DescMap_Label,MATCH(TRIM(B393),DescMap_Description,0)),"UNMATCHED"),"")</f>
        <v/>
      </c>
    </row>
    <row r="394" ht="15" customHeight="1" s="199">
      <c r="P394" s="81">
        <f>IF(TRIM(B394)&lt;&gt;"",IFERROR(INDEX(DescMap_Label,MATCH(TRIM(B394),DescMap_Description,0)),"UNMATCHED"),"")</f>
        <v/>
      </c>
    </row>
    <row r="395" ht="15" customHeight="1" s="199">
      <c r="P395" s="81">
        <f>IF(TRIM(B395)&lt;&gt;"",IFERROR(INDEX(DescMap_Label,MATCH(TRIM(B395),DescMap_Description,0)),"UNMATCHED"),"")</f>
        <v/>
      </c>
    </row>
    <row r="396" ht="15" customHeight="1" s="199">
      <c r="P396" s="81">
        <f>IF(TRIM(B396)&lt;&gt;"",IFERROR(INDEX(DescMap_Label,MATCH(TRIM(B396),DescMap_Description,0)),"UNMATCHED"),"")</f>
        <v/>
      </c>
    </row>
    <row r="397" ht="15" customHeight="1" s="199">
      <c r="P397" s="81">
        <f>IF(TRIM(B397)&lt;&gt;"",IFERROR(INDEX(DescMap_Label,MATCH(TRIM(B397),DescMap_Description,0)),"UNMATCHED"),"")</f>
        <v/>
      </c>
    </row>
    <row r="398" ht="15" customHeight="1" s="199">
      <c r="P398" s="81">
        <f>IF(TRIM(B398)&lt;&gt;"",IFERROR(INDEX(DescMap_Label,MATCH(TRIM(B398),DescMap_Description,0)),"UNMATCHED"),"")</f>
        <v/>
      </c>
    </row>
    <row r="399" ht="15" customHeight="1" s="199">
      <c r="P399" s="81">
        <f>IF(TRIM(B399)&lt;&gt;"",IFERROR(INDEX(DescMap_Label,MATCH(TRIM(B399),DescMap_Description,0)),"UNMATCHED"),"")</f>
        <v/>
      </c>
    </row>
    <row r="400" ht="15" customHeight="1" s="199">
      <c r="P400" s="81">
        <f>IF(TRIM(B400)&lt;&gt;"",IFERROR(INDEX(DescMap_Label,MATCH(TRIM(B400),DescMap_Description,0)),"UNMATCHED"),"")</f>
        <v/>
      </c>
    </row>
    <row r="401" ht="15" customHeight="1" s="199">
      <c r="P401" s="81">
        <f>IF(TRIM(B401)&lt;&gt;"",IFERROR(INDEX(DescMap_Label,MATCH(TRIM(B401),DescMap_Description,0)),"UNMATCHED"),"")</f>
        <v/>
      </c>
    </row>
    <row r="402" ht="15" customHeight="1" s="199">
      <c r="P402" s="81">
        <f>IF(TRIM(B402)&lt;&gt;"",IFERROR(INDEX(DescMap_Label,MATCH(TRIM(B402),DescMap_Description,0)),"UNMATCHED"),"")</f>
        <v/>
      </c>
    </row>
    <row r="403" ht="15" customHeight="1" s="199">
      <c r="P403" s="81">
        <f>IF(TRIM(B403)&lt;&gt;"",IFERROR(INDEX(DescMap_Label,MATCH(TRIM(B403),DescMap_Description,0)),"UNMATCHED"),"")</f>
        <v/>
      </c>
    </row>
    <row r="404" ht="15" customHeight="1" s="199">
      <c r="P404" s="81">
        <f>IF(TRIM(B404)&lt;&gt;"",IFERROR(INDEX(DescMap_Label,MATCH(TRIM(B404),DescMap_Description,0)),"UNMATCHED"),"")</f>
        <v/>
      </c>
    </row>
    <row r="405" ht="15" customHeight="1" s="199">
      <c r="P405" s="81">
        <f>IF(TRIM(B405)&lt;&gt;"",IFERROR(INDEX(DescMap_Label,MATCH(TRIM(B405),DescMap_Description,0)),"UNMATCHED"),"")</f>
        <v/>
      </c>
    </row>
    <row r="406" ht="15" customHeight="1" s="199">
      <c r="P406" s="81">
        <f>IF(TRIM(B406)&lt;&gt;"",IFERROR(INDEX(DescMap_Label,MATCH(TRIM(B406),DescMap_Description,0)),"UNMATCHED"),"")</f>
        <v/>
      </c>
    </row>
    <row r="407" ht="15" customHeight="1" s="199">
      <c r="P407" s="81">
        <f>IF(TRIM(B407)&lt;&gt;"",IFERROR(INDEX(DescMap_Label,MATCH(TRIM(B407),DescMap_Description,0)),"UNMATCHED"),"")</f>
        <v/>
      </c>
    </row>
    <row r="408" ht="15" customHeight="1" s="199">
      <c r="P408" s="81">
        <f>IF(TRIM(B408)&lt;&gt;"",IFERROR(INDEX(DescMap_Label,MATCH(TRIM(B408),DescMap_Description,0)),"UNMATCHED"),"")</f>
        <v/>
      </c>
    </row>
    <row r="409" ht="15" customHeight="1" s="199">
      <c r="P409" s="81">
        <f>IF(TRIM(B409)&lt;&gt;"",IFERROR(INDEX(DescMap_Label,MATCH(TRIM(B409),DescMap_Description,0)),"UNMATCHED"),"")</f>
        <v/>
      </c>
    </row>
    <row r="410" ht="15" customHeight="1" s="199">
      <c r="P410" s="81">
        <f>IF(TRIM(B410)&lt;&gt;"",IFERROR(INDEX(DescMap_Label,MATCH(TRIM(B410),DescMap_Description,0)),"UNMATCHED"),"")</f>
        <v/>
      </c>
    </row>
    <row r="411" ht="15" customHeight="1" s="199">
      <c r="P411" s="81">
        <f>IF(TRIM(B411)&lt;&gt;"",IFERROR(INDEX(DescMap_Label,MATCH(TRIM(B411),DescMap_Description,0)),"UNMATCHED"),"")</f>
        <v/>
      </c>
    </row>
    <row r="412" ht="15" customHeight="1" s="199">
      <c r="P412" s="81">
        <f>IF(TRIM(B412)&lt;&gt;"",IFERROR(INDEX(DescMap_Label,MATCH(TRIM(B412),DescMap_Description,0)),"UNMATCHED"),"")</f>
        <v/>
      </c>
    </row>
    <row r="413" ht="15" customHeight="1" s="199">
      <c r="P413" s="81">
        <f>IF(TRIM(B413)&lt;&gt;"",IFERROR(INDEX(DescMap_Label,MATCH(TRIM(B413),DescMap_Description,0)),"UNMATCHED"),"")</f>
        <v/>
      </c>
    </row>
    <row r="414" ht="15" customHeight="1" s="199">
      <c r="P414" s="81">
        <f>IF(TRIM(B414)&lt;&gt;"",IFERROR(INDEX(DescMap_Label,MATCH(TRIM(B414),DescMap_Description,0)),"UNMATCHED"),"")</f>
        <v/>
      </c>
    </row>
    <row r="415" ht="15" customHeight="1" s="199">
      <c r="P415" s="81">
        <f>IF(TRIM(B415)&lt;&gt;"",IFERROR(INDEX(DescMap_Label,MATCH(TRIM(B415),DescMap_Description,0)),"UNMATCHED"),"")</f>
        <v/>
      </c>
    </row>
    <row r="416" ht="15" customHeight="1" s="199">
      <c r="P416" s="81">
        <f>IF(TRIM(B416)&lt;&gt;"",IFERROR(INDEX(DescMap_Label,MATCH(TRIM(B416),DescMap_Description,0)),"UNMATCHED"),"")</f>
        <v/>
      </c>
    </row>
    <row r="417" ht="15" customHeight="1" s="199">
      <c r="P417" s="81">
        <f>IF(TRIM(B417)&lt;&gt;"",IFERROR(INDEX(DescMap_Label,MATCH(TRIM(B417),DescMap_Description,0)),"UNMATCHED"),"")</f>
        <v/>
      </c>
    </row>
    <row r="418" ht="15" customHeight="1" s="199">
      <c r="P418" s="81">
        <f>IF(TRIM(B418)&lt;&gt;"",IFERROR(INDEX(DescMap_Label,MATCH(TRIM(B418),DescMap_Description,0)),"UNMATCHED"),"")</f>
        <v/>
      </c>
    </row>
    <row r="419" ht="15" customHeight="1" s="199">
      <c r="P419" s="81">
        <f>IF(TRIM(B419)&lt;&gt;"",IFERROR(INDEX(DescMap_Label,MATCH(TRIM(B419),DescMap_Description,0)),"UNMATCHED"),"")</f>
        <v/>
      </c>
    </row>
    <row r="420" ht="15" customHeight="1" s="199">
      <c r="P420" s="81">
        <f>IF(TRIM(B420)&lt;&gt;"",IFERROR(INDEX(DescMap_Label,MATCH(TRIM(B420),DescMap_Description,0)),"UNMATCHED"),"")</f>
        <v/>
      </c>
    </row>
    <row r="421" ht="15" customHeight="1" s="199">
      <c r="P421" s="81">
        <f>IF(TRIM(B421)&lt;&gt;"",IFERROR(INDEX(DescMap_Label,MATCH(TRIM(B421),DescMap_Description,0)),"UNMATCHED"),"")</f>
        <v/>
      </c>
    </row>
    <row r="422" ht="15" customHeight="1" s="199">
      <c r="P422" s="81">
        <f>IF(TRIM(B422)&lt;&gt;"",IFERROR(INDEX(DescMap_Label,MATCH(TRIM(B422),DescMap_Description,0)),"UNMATCHED"),"")</f>
        <v/>
      </c>
    </row>
    <row r="423" ht="15" customHeight="1" s="199">
      <c r="P423" s="81">
        <f>IF(TRIM(B423)&lt;&gt;"",IFERROR(INDEX(DescMap_Label,MATCH(TRIM(B423),DescMap_Description,0)),"UNMATCHED"),"")</f>
        <v/>
      </c>
    </row>
    <row r="424" ht="15" customHeight="1" s="199">
      <c r="P424" s="81">
        <f>IF(TRIM(B424)&lt;&gt;"",IFERROR(INDEX(DescMap_Label,MATCH(TRIM(B424),DescMap_Description,0)),"UNMATCHED"),"")</f>
        <v/>
      </c>
    </row>
    <row r="425" ht="15" customHeight="1" s="199">
      <c r="P425" s="81">
        <f>IF(TRIM(B425)&lt;&gt;"",IFERROR(INDEX(DescMap_Label,MATCH(TRIM(B425),DescMap_Description,0)),"UNMATCHED"),"")</f>
        <v/>
      </c>
    </row>
    <row r="426" ht="15" customHeight="1" s="199">
      <c r="P426" s="81">
        <f>IF(TRIM(B426)&lt;&gt;"",IFERROR(INDEX(DescMap_Label,MATCH(TRIM(B426),DescMap_Description,0)),"UNMATCHED"),"")</f>
        <v/>
      </c>
    </row>
    <row r="427" ht="15" customHeight="1" s="199">
      <c r="P427" s="81">
        <f>IF(TRIM(B427)&lt;&gt;"",IFERROR(INDEX(DescMap_Label,MATCH(TRIM(B427),DescMap_Description,0)),"UNMATCHED"),"")</f>
        <v/>
      </c>
    </row>
    <row r="428" ht="15" customHeight="1" s="199">
      <c r="P428" s="81">
        <f>IF(TRIM(B428)&lt;&gt;"",IFERROR(INDEX(DescMap_Label,MATCH(TRIM(B428),DescMap_Description,0)),"UNMATCHED"),"")</f>
        <v/>
      </c>
    </row>
    <row r="429" ht="15" customHeight="1" s="199">
      <c r="P429" s="81">
        <f>IF(TRIM(B429)&lt;&gt;"",IFERROR(INDEX(DescMap_Label,MATCH(TRIM(B429),DescMap_Description,0)),"UNMATCHED"),"")</f>
        <v/>
      </c>
    </row>
    <row r="430" ht="15" customHeight="1" s="199">
      <c r="P430" s="81">
        <f>IF(TRIM(B430)&lt;&gt;"",IFERROR(INDEX(DescMap_Label,MATCH(TRIM(B430),DescMap_Description,0)),"UNMATCHED"),"")</f>
        <v/>
      </c>
    </row>
    <row r="431" ht="15" customHeight="1" s="199">
      <c r="P431" s="81">
        <f>IF(TRIM(B431)&lt;&gt;"",IFERROR(INDEX(DescMap_Label,MATCH(TRIM(B431),DescMap_Description,0)),"UNMATCHED"),"")</f>
        <v/>
      </c>
    </row>
    <row r="432" ht="15" customHeight="1" s="199">
      <c r="P432" s="81">
        <f>IF(TRIM(B432)&lt;&gt;"",IFERROR(INDEX(DescMap_Label,MATCH(TRIM(B432),DescMap_Description,0)),"UNMATCHED"),"")</f>
        <v/>
      </c>
    </row>
    <row r="433" ht="15" customHeight="1" s="199">
      <c r="P433" s="81">
        <f>IF(TRIM(B433)&lt;&gt;"",IFERROR(INDEX(DescMap_Label,MATCH(TRIM(B433),DescMap_Description,0)),"UNMATCHED"),"")</f>
        <v/>
      </c>
    </row>
    <row r="434" ht="15" customHeight="1" s="199">
      <c r="P434" s="81">
        <f>IF(TRIM(B434)&lt;&gt;"",IFERROR(INDEX(DescMap_Label,MATCH(TRIM(B434),DescMap_Description,0)),"UNMATCHED"),"")</f>
        <v/>
      </c>
    </row>
    <row r="435" ht="15" customHeight="1" s="199">
      <c r="P435" s="81">
        <f>IF(TRIM(B435)&lt;&gt;"",IFERROR(INDEX(DescMap_Label,MATCH(TRIM(B435),DescMap_Description,0)),"UNMATCHED"),"")</f>
        <v/>
      </c>
    </row>
    <row r="436" ht="15" customHeight="1" s="199">
      <c r="P436" s="81">
        <f>IF(TRIM(B436)&lt;&gt;"",IFERROR(INDEX(DescMap_Label,MATCH(TRIM(B436),DescMap_Description,0)),"UNMATCHED"),"")</f>
        <v/>
      </c>
    </row>
    <row r="437" ht="15" customHeight="1" s="199">
      <c r="P437" s="81">
        <f>IF(TRIM(B437)&lt;&gt;"",IFERROR(INDEX(DescMap_Label,MATCH(TRIM(B437),DescMap_Description,0)),"UNMATCHED"),"")</f>
        <v/>
      </c>
    </row>
    <row r="438" ht="15" customHeight="1" s="199">
      <c r="P438" s="81">
        <f>IF(TRIM(B438)&lt;&gt;"",IFERROR(INDEX(DescMap_Label,MATCH(TRIM(B438),DescMap_Description,0)),"UNMATCHED"),"")</f>
        <v/>
      </c>
    </row>
    <row r="439" ht="15" customHeight="1" s="199">
      <c r="P439" s="81">
        <f>IF(TRIM(B439)&lt;&gt;"",IFERROR(INDEX(DescMap_Label,MATCH(TRIM(B439),DescMap_Description,0)),"UNMATCHED"),"")</f>
        <v/>
      </c>
    </row>
    <row r="440" ht="15" customHeight="1" s="199">
      <c r="P440" s="81">
        <f>IF(TRIM(B440)&lt;&gt;"",IFERROR(INDEX(DescMap_Label,MATCH(TRIM(B440),DescMap_Description,0)),"UNMATCHED"),"")</f>
        <v/>
      </c>
    </row>
    <row r="441" ht="15" customHeight="1" s="199">
      <c r="P441" s="81">
        <f>IF(TRIM(B441)&lt;&gt;"",IFERROR(INDEX(DescMap_Label,MATCH(TRIM(B441),DescMap_Description,0)),"UNMATCHED"),"")</f>
        <v/>
      </c>
    </row>
    <row r="442" ht="15" customHeight="1" s="199">
      <c r="P442" s="81">
        <f>IF(TRIM(B442)&lt;&gt;"",IFERROR(INDEX(DescMap_Label,MATCH(TRIM(B442),DescMap_Description,0)),"UNMATCHED"),"")</f>
        <v/>
      </c>
    </row>
    <row r="443" ht="15" customHeight="1" s="199">
      <c r="P443" s="81">
        <f>IF(TRIM(B443)&lt;&gt;"",IFERROR(INDEX(DescMap_Label,MATCH(TRIM(B443),DescMap_Description,0)),"UNMATCHED"),"")</f>
        <v/>
      </c>
    </row>
    <row r="444" ht="15" customHeight="1" s="199">
      <c r="P444" s="81">
        <f>IF(TRIM(B444)&lt;&gt;"",IFERROR(INDEX(DescMap_Label,MATCH(TRIM(B444),DescMap_Description,0)),"UNMATCHED"),"")</f>
        <v/>
      </c>
    </row>
    <row r="445" ht="15" customHeight="1" s="199">
      <c r="P445" s="81">
        <f>IF(TRIM(B445)&lt;&gt;"",IFERROR(INDEX(DescMap_Label,MATCH(TRIM(B445),DescMap_Description,0)),"UNMATCHED"),"")</f>
        <v/>
      </c>
    </row>
    <row r="446" ht="15" customHeight="1" s="199">
      <c r="P446" s="81">
        <f>IF(TRIM(B446)&lt;&gt;"",IFERROR(INDEX(DescMap_Label,MATCH(TRIM(B446),DescMap_Description,0)),"UNMATCHED"),"")</f>
        <v/>
      </c>
    </row>
    <row r="447" ht="15" customHeight="1" s="199">
      <c r="P447" s="81">
        <f>IF(TRIM(B447)&lt;&gt;"",IFERROR(INDEX(DescMap_Label,MATCH(TRIM(B447),DescMap_Description,0)),"UNMATCHED"),"")</f>
        <v/>
      </c>
    </row>
    <row r="448" ht="15" customHeight="1" s="199">
      <c r="P448" s="81">
        <f>IF(TRIM(B448)&lt;&gt;"",IFERROR(INDEX(DescMap_Label,MATCH(TRIM(B448),DescMap_Description,0)),"UNMATCHED"),"")</f>
        <v/>
      </c>
    </row>
    <row r="449" ht="15" customHeight="1" s="199">
      <c r="P449" s="81">
        <f>IF(TRIM(B449)&lt;&gt;"",IFERROR(INDEX(DescMap_Label,MATCH(TRIM(B449),DescMap_Description,0)),"UNMATCHED"),"")</f>
        <v/>
      </c>
    </row>
    <row r="450" ht="15" customHeight="1" s="199">
      <c r="P450" s="81">
        <f>IF(TRIM(B450)&lt;&gt;"",IFERROR(INDEX(DescMap_Label,MATCH(TRIM(B450),DescMap_Description,0)),"UNMATCHED"),"")</f>
        <v/>
      </c>
    </row>
    <row r="451" ht="15" customHeight="1" s="199">
      <c r="P451" s="81">
        <f>IF(TRIM(B451)&lt;&gt;"",IFERROR(INDEX(DescMap_Label,MATCH(TRIM(B451),DescMap_Description,0)),"UNMATCHED"),"")</f>
        <v/>
      </c>
    </row>
    <row r="452" ht="15" customHeight="1" s="199">
      <c r="P452" s="81">
        <f>IF(TRIM(B452)&lt;&gt;"",IFERROR(INDEX(DescMap_Label,MATCH(TRIM(B452),DescMap_Description,0)),"UNMATCHED"),"")</f>
        <v/>
      </c>
    </row>
    <row r="453" ht="15" customHeight="1" s="199">
      <c r="P453" s="81">
        <f>IF(TRIM(B453)&lt;&gt;"",IFERROR(INDEX(DescMap_Label,MATCH(TRIM(B453),DescMap_Description,0)),"UNMATCHED"),"")</f>
        <v/>
      </c>
    </row>
    <row r="454" ht="15" customHeight="1" s="199">
      <c r="P454" s="81">
        <f>IF(TRIM(B454)&lt;&gt;"",IFERROR(INDEX(DescMap_Label,MATCH(TRIM(B454),DescMap_Description,0)),"UNMATCHED"),"")</f>
        <v/>
      </c>
    </row>
    <row r="455" ht="15" customHeight="1" s="199">
      <c r="P455" s="81">
        <f>IF(TRIM(B455)&lt;&gt;"",IFERROR(INDEX(DescMap_Label,MATCH(TRIM(B455),DescMap_Description,0)),"UNMATCHED"),"")</f>
        <v/>
      </c>
    </row>
    <row r="456" ht="15" customHeight="1" s="199">
      <c r="P456" s="81">
        <f>IF(TRIM(B456)&lt;&gt;"",IFERROR(INDEX(DescMap_Label,MATCH(TRIM(B456),DescMap_Description,0)),"UNMATCHED"),"")</f>
        <v/>
      </c>
    </row>
    <row r="457" ht="15" customHeight="1" s="199">
      <c r="P457" s="81">
        <f>IF(TRIM(B457)&lt;&gt;"",IFERROR(INDEX(DescMap_Label,MATCH(TRIM(B457),DescMap_Description,0)),"UNMATCHED"),"")</f>
        <v/>
      </c>
    </row>
    <row r="458" ht="15" customHeight="1" s="199">
      <c r="P458" s="81">
        <f>IF(TRIM(B458)&lt;&gt;"",IFERROR(INDEX(DescMap_Label,MATCH(TRIM(B458),DescMap_Description,0)),"UNMATCHED"),"")</f>
        <v/>
      </c>
    </row>
    <row r="459" ht="15" customHeight="1" s="199">
      <c r="P459" s="81">
        <f>IF(TRIM(B459)&lt;&gt;"",IFERROR(INDEX(DescMap_Label,MATCH(TRIM(B459),DescMap_Description,0)),"UNMATCHED"),"")</f>
        <v/>
      </c>
    </row>
    <row r="460" ht="15" customHeight="1" s="199">
      <c r="P460" s="81">
        <f>IF(TRIM(B460)&lt;&gt;"",IFERROR(INDEX(DescMap_Label,MATCH(TRIM(B460),DescMap_Description,0)),"UNMATCHED"),"")</f>
        <v/>
      </c>
    </row>
    <row r="461" ht="15" customHeight="1" s="199">
      <c r="P461" s="81">
        <f>IF(TRIM(B461)&lt;&gt;"",IFERROR(INDEX(DescMap_Label,MATCH(TRIM(B461),DescMap_Description,0)),"UNMATCHED"),"")</f>
        <v/>
      </c>
    </row>
    <row r="462" ht="15" customHeight="1" s="199">
      <c r="P462" s="81">
        <f>IF(TRIM(B462)&lt;&gt;"",IFERROR(INDEX(DescMap_Label,MATCH(TRIM(B462),DescMap_Description,0)),"UNMATCHED"),"")</f>
        <v/>
      </c>
    </row>
    <row r="463" ht="15" customHeight="1" s="199">
      <c r="P463" s="81">
        <f>IF(TRIM(B463)&lt;&gt;"",IFERROR(INDEX(DescMap_Label,MATCH(TRIM(B463),DescMap_Description,0)),"UNMATCHED"),"")</f>
        <v/>
      </c>
    </row>
    <row r="464" ht="15" customHeight="1" s="199">
      <c r="P464" s="81">
        <f>IF(TRIM(B464)&lt;&gt;"",IFERROR(INDEX(DescMap_Label,MATCH(TRIM(B464),DescMap_Description,0)),"UNMATCHED"),"")</f>
        <v/>
      </c>
    </row>
    <row r="465" ht="15" customHeight="1" s="199">
      <c r="P465" s="81">
        <f>IF(TRIM(B465)&lt;&gt;"",IFERROR(INDEX(DescMap_Label,MATCH(TRIM(B465),DescMap_Description,0)),"UNMATCHED"),"")</f>
        <v/>
      </c>
    </row>
    <row r="466" ht="15" customHeight="1" s="199">
      <c r="P466" s="81">
        <f>IF(TRIM(B466)&lt;&gt;"",IFERROR(INDEX(DescMap_Label,MATCH(TRIM(B466),DescMap_Description,0)),"UNMATCHED"),"")</f>
        <v/>
      </c>
    </row>
    <row r="467" ht="15" customHeight="1" s="199">
      <c r="P467" s="81">
        <f>IF(TRIM(B467)&lt;&gt;"",IFERROR(INDEX(DescMap_Label,MATCH(TRIM(B467),DescMap_Description,0)),"UNMATCHED"),"")</f>
        <v/>
      </c>
    </row>
    <row r="468" ht="15" customHeight="1" s="199">
      <c r="P468" s="81">
        <f>IF(TRIM(B468)&lt;&gt;"",IFERROR(INDEX(DescMap_Label,MATCH(TRIM(B468),DescMap_Description,0)),"UNMATCHED"),"")</f>
        <v/>
      </c>
    </row>
    <row r="469" ht="15" customHeight="1" s="199">
      <c r="P469" s="81">
        <f>IF(TRIM(B469)&lt;&gt;"",IFERROR(INDEX(DescMap_Label,MATCH(TRIM(B469),DescMap_Description,0)),"UNMATCHED"),"")</f>
        <v/>
      </c>
    </row>
    <row r="470" ht="15" customHeight="1" s="199">
      <c r="P470" s="81">
        <f>IF(TRIM(B470)&lt;&gt;"",IFERROR(INDEX(DescMap_Label,MATCH(TRIM(B470),DescMap_Description,0)),"UNMATCHED"),"")</f>
        <v/>
      </c>
    </row>
    <row r="471" ht="15" customHeight="1" s="199">
      <c r="P471" s="81">
        <f>IF(TRIM(B471)&lt;&gt;"",IFERROR(INDEX(DescMap_Label,MATCH(TRIM(B471),DescMap_Description,0)),"UNMATCHED"),"")</f>
        <v/>
      </c>
    </row>
    <row r="472" ht="15" customHeight="1" s="199">
      <c r="P472" s="81">
        <f>IF(TRIM(B472)&lt;&gt;"",IFERROR(INDEX(DescMap_Label,MATCH(TRIM(B472),DescMap_Description,0)),"UNMATCHED"),"")</f>
        <v/>
      </c>
    </row>
    <row r="473" ht="15" customHeight="1" s="199">
      <c r="P473" s="81">
        <f>IF(TRIM(B473)&lt;&gt;"",IFERROR(INDEX(DescMap_Label,MATCH(TRIM(B473),DescMap_Description,0)),"UNMATCHED"),"")</f>
        <v/>
      </c>
    </row>
    <row r="474" ht="15" customHeight="1" s="199">
      <c r="P474" s="81">
        <f>IF(TRIM(B474)&lt;&gt;"",IFERROR(INDEX(DescMap_Label,MATCH(TRIM(B474),DescMap_Description,0)),"UNMATCHED"),"")</f>
        <v/>
      </c>
    </row>
    <row r="475" ht="15" customHeight="1" s="199">
      <c r="P475" s="81">
        <f>IF(TRIM(B475)&lt;&gt;"",IFERROR(INDEX(DescMap_Label,MATCH(TRIM(B475),DescMap_Description,0)),"UNMATCHED"),"")</f>
        <v/>
      </c>
    </row>
    <row r="476" ht="15" customHeight="1" s="199">
      <c r="P476" s="81">
        <f>IF(TRIM(B476)&lt;&gt;"",IFERROR(INDEX(DescMap_Label,MATCH(TRIM(B476),DescMap_Description,0)),"UNMATCHED"),"")</f>
        <v/>
      </c>
    </row>
    <row r="477" ht="15" customHeight="1" s="199">
      <c r="P477" s="81">
        <f>IF(TRIM(B477)&lt;&gt;"",IFERROR(INDEX(DescMap_Label,MATCH(TRIM(B477),DescMap_Description,0)),"UNMATCHED"),"")</f>
        <v/>
      </c>
    </row>
    <row r="478" ht="15" customHeight="1" s="199">
      <c r="P478" s="81">
        <f>IF(TRIM(B478)&lt;&gt;"",IFERROR(INDEX(DescMap_Label,MATCH(TRIM(B478),DescMap_Description,0)),"UNMATCHED"),"")</f>
        <v/>
      </c>
    </row>
    <row r="479" ht="15" customHeight="1" s="199">
      <c r="P479" s="81">
        <f>IF(TRIM(B479)&lt;&gt;"",IFERROR(INDEX(DescMap_Label,MATCH(TRIM(B479),DescMap_Description,0)),"UNMATCHED"),"")</f>
        <v/>
      </c>
    </row>
    <row r="480" ht="15" customHeight="1" s="199">
      <c r="P480" s="81">
        <f>IF(TRIM(B480)&lt;&gt;"",IFERROR(INDEX(DescMap_Label,MATCH(TRIM(B480),DescMap_Description,0)),"UNMATCHED"),"")</f>
        <v/>
      </c>
    </row>
    <row r="481" ht="15" customHeight="1" s="199">
      <c r="P481" s="81">
        <f>IF(TRIM(B481)&lt;&gt;"",IFERROR(INDEX(DescMap_Label,MATCH(TRIM(B481),DescMap_Description,0)),"UNMATCHED"),"")</f>
        <v/>
      </c>
    </row>
    <row r="482" ht="15" customHeight="1" s="199">
      <c r="P482" s="81">
        <f>IF(TRIM(B482)&lt;&gt;"",IFERROR(INDEX(DescMap_Label,MATCH(TRIM(B482),DescMap_Description,0)),"UNMATCHED"),"")</f>
        <v/>
      </c>
    </row>
    <row r="483" ht="15" customHeight="1" s="199">
      <c r="P483" s="81">
        <f>IF(TRIM(B483)&lt;&gt;"",IFERROR(INDEX(DescMap_Label,MATCH(TRIM(B483),DescMap_Description,0)),"UNMATCHED"),"")</f>
        <v/>
      </c>
    </row>
    <row r="484" ht="15" customHeight="1" s="199">
      <c r="P484" s="81">
        <f>IF(TRIM(B484)&lt;&gt;"",IFERROR(INDEX(DescMap_Label,MATCH(TRIM(B484),DescMap_Description,0)),"UNMATCHED"),"")</f>
        <v/>
      </c>
    </row>
    <row r="485" ht="15" customHeight="1" s="199">
      <c r="P485" s="81">
        <f>IF(TRIM(B485)&lt;&gt;"",IFERROR(INDEX(DescMap_Label,MATCH(TRIM(B485),DescMap_Description,0)),"UNMATCHED"),"")</f>
        <v/>
      </c>
    </row>
    <row r="486" ht="15" customHeight="1" s="199">
      <c r="P486" s="81">
        <f>IF(TRIM(B486)&lt;&gt;"",IFERROR(INDEX(DescMap_Label,MATCH(TRIM(B486),DescMap_Description,0)),"UNMATCHED"),"")</f>
        <v/>
      </c>
    </row>
    <row r="487" ht="15" customHeight="1" s="199">
      <c r="P487" s="81">
        <f>IF(TRIM(B487)&lt;&gt;"",IFERROR(INDEX(DescMap_Label,MATCH(TRIM(B487),DescMap_Description,0)),"UNMATCHED"),"")</f>
        <v/>
      </c>
    </row>
    <row r="488" ht="15" customHeight="1" s="199">
      <c r="P488" s="81">
        <f>IF(TRIM(B488)&lt;&gt;"",IFERROR(INDEX(DescMap_Label,MATCH(TRIM(B488),DescMap_Description,0)),"UNMATCHED"),"")</f>
        <v/>
      </c>
    </row>
    <row r="489" ht="15" customHeight="1" s="199">
      <c r="P489" s="81">
        <f>IF(TRIM(B489)&lt;&gt;"",IFERROR(INDEX(DescMap_Label,MATCH(TRIM(B489),DescMap_Description,0)),"UNMATCHED"),"")</f>
        <v/>
      </c>
    </row>
    <row r="490" ht="15" customHeight="1" s="199">
      <c r="P490" s="81">
        <f>IF(TRIM(B490)&lt;&gt;"",IFERROR(INDEX(DescMap_Label,MATCH(TRIM(B490),DescMap_Description,0)),"UNMATCHED"),"")</f>
        <v/>
      </c>
    </row>
    <row r="491" ht="15" customHeight="1" s="199">
      <c r="P491" s="81">
        <f>IF(TRIM(B491)&lt;&gt;"",IFERROR(INDEX(DescMap_Label,MATCH(TRIM(B491),DescMap_Description,0)),"UNMATCHED"),"")</f>
        <v/>
      </c>
    </row>
    <row r="492" ht="15" customHeight="1" s="199">
      <c r="P492" s="81">
        <f>IF(TRIM(B492)&lt;&gt;"",IFERROR(INDEX(DescMap_Label,MATCH(TRIM(B492),DescMap_Description,0)),"UNMATCHED"),"")</f>
        <v/>
      </c>
    </row>
    <row r="493" ht="15" customHeight="1" s="199">
      <c r="P493" s="81">
        <f>IF(TRIM(B493)&lt;&gt;"",IFERROR(INDEX(DescMap_Label,MATCH(TRIM(B493),DescMap_Description,0)),"UNMATCHED"),"")</f>
        <v/>
      </c>
    </row>
    <row r="494" ht="15" customHeight="1" s="199">
      <c r="P494" s="81">
        <f>IF(TRIM(B494)&lt;&gt;"",IFERROR(INDEX(DescMap_Label,MATCH(TRIM(B494),DescMap_Description,0)),"UNMATCHED"),"")</f>
        <v/>
      </c>
    </row>
    <row r="495" ht="15" customHeight="1" s="199">
      <c r="P495" s="81">
        <f>IF(TRIM(B495)&lt;&gt;"",IFERROR(INDEX(DescMap_Label,MATCH(TRIM(B495),DescMap_Description,0)),"UNMATCHED"),"")</f>
        <v/>
      </c>
    </row>
    <row r="496" ht="15" customHeight="1" s="199">
      <c r="P496" s="81">
        <f>IF(TRIM(B496)&lt;&gt;"",IFERROR(INDEX(DescMap_Label,MATCH(TRIM(B496),DescMap_Description,0)),"UNMATCHED"),"")</f>
        <v/>
      </c>
    </row>
    <row r="497" ht="15" customHeight="1" s="199">
      <c r="P497" s="81">
        <f>IF(TRIM(B497)&lt;&gt;"",IFERROR(INDEX(DescMap_Label,MATCH(TRIM(B497),DescMap_Description,0)),"UNMATCHED"),"")</f>
        <v/>
      </c>
    </row>
    <row r="498" ht="15" customHeight="1" s="199">
      <c r="P498" s="81">
        <f>IF(TRIM(B498)&lt;&gt;"",IFERROR(INDEX(DescMap_Label,MATCH(TRIM(B498),DescMap_Description,0)),"UNMATCHED"),"")</f>
        <v/>
      </c>
    </row>
    <row r="499" ht="15" customHeight="1" s="199">
      <c r="P499" s="81">
        <f>IF(TRIM(B499)&lt;&gt;"",IFERROR(INDEX(DescMap_Label,MATCH(TRIM(B499),DescMap_Description,0)),"UNMATCHED"),"")</f>
        <v/>
      </c>
    </row>
    <row r="500" ht="15" customHeight="1" s="199">
      <c r="P500" s="81">
        <f>IF(TRIM(B500)&lt;&gt;"",IFERROR(INDEX(DescMap_Label,MATCH(TRIM(B500),DescMap_Description,0)),"UNMATCHED"),"")</f>
        <v/>
      </c>
    </row>
    <row r="501" ht="15" customHeight="1" s="199">
      <c r="P501" s="81">
        <f>IF(TRIM(B501)&lt;&gt;"",IFERROR(INDEX(DescMap_Label,MATCH(TRIM(B501),DescMap_Description,0)),"UNMATCHED"),"")</f>
        <v/>
      </c>
    </row>
    <row r="502" ht="15" customHeight="1" s="199">
      <c r="P502" s="81">
        <f>IF(TRIM(B502)&lt;&gt;"",IFERROR(INDEX(DescMap_Label,MATCH(TRIM(B502),DescMap_Description,0)),"UNMATCHED"),"")</f>
        <v/>
      </c>
    </row>
    <row r="503" ht="15" customHeight="1" s="199">
      <c r="P503" s="81">
        <f>IF(TRIM(B503)&lt;&gt;"",IFERROR(INDEX(DescMap_Label,MATCH(TRIM(B503),DescMap_Description,0)),"UNMATCHED"),"")</f>
        <v/>
      </c>
    </row>
    <row r="504" ht="15" customHeight="1" s="199">
      <c r="P504" s="81">
        <f>IF(TRIM(B504)&lt;&gt;"",IFERROR(INDEX(DescMap_Label,MATCH(TRIM(B504),DescMap_Description,0)),"UNMATCHED"),"")</f>
        <v/>
      </c>
    </row>
    <row r="505" ht="15" customHeight="1" s="199">
      <c r="P505" s="81">
        <f>IF(TRIM(B505)&lt;&gt;"",IFERROR(INDEX(DescMap_Label,MATCH(TRIM(B505),DescMap_Description,0)),"UNMATCHED"),"")</f>
        <v/>
      </c>
    </row>
    <row r="506" ht="15" customHeight="1" s="199">
      <c r="P506" s="81">
        <f>IF(TRIM(B506)&lt;&gt;"",IFERROR(INDEX(DescMap_Label,MATCH(TRIM(B506),DescMap_Description,0)),"UNMATCHED"),"")</f>
        <v/>
      </c>
    </row>
    <row r="507" ht="15" customHeight="1" s="199">
      <c r="P507" s="81">
        <f>IF(TRIM(B507)&lt;&gt;"",IFERROR(INDEX(DescMap_Label,MATCH(TRIM(B507),DescMap_Description,0)),"UNMATCHED"),"")</f>
        <v/>
      </c>
    </row>
    <row r="508" ht="15" customHeight="1" s="199">
      <c r="P508" s="81">
        <f>IF(TRIM(B508)&lt;&gt;"",IFERROR(INDEX(DescMap_Label,MATCH(TRIM(B508),DescMap_Description,0)),"UNMATCHED"),"")</f>
        <v/>
      </c>
    </row>
    <row r="509" ht="15" customHeight="1" s="199">
      <c r="P509" s="81">
        <f>IF(TRIM(B509)&lt;&gt;"",IFERROR(INDEX(DescMap_Label,MATCH(TRIM(B509),DescMap_Description,0)),"UNMATCHED"),"")</f>
        <v/>
      </c>
    </row>
    <row r="510" ht="15" customHeight="1" s="199">
      <c r="P510" s="81">
        <f>IF(TRIM(B510)&lt;&gt;"",IFERROR(INDEX(DescMap_Label,MATCH(TRIM(B510),DescMap_Description,0)),"UNMATCHED"),"")</f>
        <v/>
      </c>
    </row>
    <row r="511" ht="15" customHeight="1" s="199">
      <c r="P511" s="81">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Z64"/>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8" defaultColWidth="8.7109375" defaultRowHeight="15"/>
  <cols>
    <col width="14" customWidth="1" style="199" min="1" max="1"/>
    <col width="36" customWidth="1" style="199" min="2" max="2"/>
    <col width="8" customWidth="1" style="199" min="3" max="3"/>
    <col width="28" customWidth="1" style="199" min="4" max="4"/>
    <col width="50" customWidth="1" style="199" min="5" max="5"/>
    <col width="11" customWidth="1" style="199" min="6" max="17"/>
    <col width="14" customWidth="1" style="199" min="18" max="18"/>
  </cols>
  <sheetData>
    <row r="1" ht="25.5" customHeight="1" s="199">
      <c r="A1" s="189" t="inlineStr">
        <is>
          <t>T12 Raw Data  —  auto-calculated from T12 Input descriptions</t>
        </is>
      </c>
      <c r="AZ1" t="inlineStr">
        <is>
          <t>Description→Label rollup with monthly trending</t>
        </is>
      </c>
    </row>
    <row r="2" ht="18" customHeight="1" s="199">
      <c r="A2" s="188" t="inlineStr">
        <is>
          <t>Matches T12 Input col B descriptions against Description_Map. UNMATCHED rows in T12 Input col P are not included here. Add missing descriptions to Description_Map tab to capture them.</t>
        </is>
      </c>
      <c r="AZ2" t="inlineStr">
        <is>
          <t>aggregator</t>
        </is>
      </c>
    </row>
    <row r="3" ht="6" customHeight="1" s="199">
      <c r="AZ3" t="inlineStr">
        <is>
          <t>visible</t>
        </is>
      </c>
    </row>
    <row r="4" ht="27.75" customHeight="1" s="199">
      <c r="A4" s="10" t="inlineStr">
        <is>
          <t>Section</t>
        </is>
      </c>
      <c r="B4" s="10" t="inlineStr">
        <is>
          <t>Label</t>
        </is>
      </c>
      <c r="C4" s="10" t="inlineStr">
        <is>
          <t>Care</t>
        </is>
      </c>
      <c r="D4" s="10" t="inlineStr">
        <is>
          <t>Flag</t>
        </is>
      </c>
      <c r="E4" s="10" t="inlineStr">
        <is>
          <t>Matched Descriptions</t>
        </is>
      </c>
      <c r="F4" s="10" t="inlineStr">
        <is>
          <t>M01</t>
        </is>
      </c>
      <c r="G4" s="10" t="inlineStr">
        <is>
          <t>M02</t>
        </is>
      </c>
      <c r="H4" s="10" t="inlineStr">
        <is>
          <t>M03</t>
        </is>
      </c>
      <c r="I4" s="10" t="inlineStr">
        <is>
          <t>M04</t>
        </is>
      </c>
      <c r="J4" s="10" t="inlineStr">
        <is>
          <t>M05</t>
        </is>
      </c>
      <c r="K4" s="10" t="inlineStr">
        <is>
          <t>M06</t>
        </is>
      </c>
      <c r="L4" s="10" t="inlineStr">
        <is>
          <t>M07</t>
        </is>
      </c>
      <c r="M4" s="10" t="inlineStr">
        <is>
          <t>M08</t>
        </is>
      </c>
      <c r="N4" s="10" t="inlineStr">
        <is>
          <t>M09</t>
        </is>
      </c>
      <c r="O4" s="10" t="inlineStr">
        <is>
          <t>M10</t>
        </is>
      </c>
      <c r="P4" s="10" t="inlineStr">
        <is>
          <t>M11</t>
        </is>
      </c>
      <c r="Q4" s="10" t="inlineStr">
        <is>
          <t>M12</t>
        </is>
      </c>
      <c r="R4" s="23" t="inlineStr">
        <is>
          <t>T12_Total</t>
        </is>
      </c>
      <c r="AZ4" t="inlineStr">
        <is>
          <t>v0.1.13</t>
        </is>
      </c>
    </row>
    <row r="5" ht="6" customHeight="1" s="199"/>
    <row r="6" ht="15.75" customHeight="1" s="199">
      <c r="A6" s="82" t="inlineStr">
        <is>
          <t>Revenue</t>
        </is>
      </c>
      <c r="B6" s="83" t="inlineStr">
        <is>
          <t>Base rent — IL</t>
        </is>
      </c>
      <c r="C6" s="84" t="inlineStr">
        <is>
          <t>IL</t>
        </is>
      </c>
      <c r="D6" s="85" t="n"/>
      <c r="E6" s="86" t="inlineStr">
        <is>
          <t>IL Base Rate Income | Independent Living Base Rate</t>
        </is>
      </c>
      <c r="F6" s="24">
        <f>SUMIF(T12_Calc!$N$1:$N$500,"Base rent — IL",T12_Calc!$B$1:$B$500)</f>
        <v/>
      </c>
      <c r="G6" s="24">
        <f>SUMIF(T12_Calc!$N$1:$N$500,"Base rent — IL",T12_Calc!$C$1:$C$500)</f>
        <v/>
      </c>
      <c r="H6" s="24">
        <f>SUMIF(T12_Calc!$N$1:$N$500,"Base rent — IL",T12_Calc!$D$1:$D$500)</f>
        <v/>
      </c>
      <c r="I6" s="24">
        <f>SUMIF(T12_Calc!$N$1:$N$500,"Base rent — IL",T12_Calc!$E$1:$E$500)</f>
        <v/>
      </c>
      <c r="J6" s="24">
        <f>SUMIF(T12_Calc!$N$1:$N$500,"Base rent — IL",T12_Calc!$F$1:$F$500)</f>
        <v/>
      </c>
      <c r="K6" s="24">
        <f>SUMIF(T12_Calc!$N$1:$N$500,"Base rent — IL",T12_Calc!$G$1:$G$500)</f>
        <v/>
      </c>
      <c r="L6" s="24">
        <f>SUMIF(T12_Calc!$N$1:$N$500,"Base rent — IL",T12_Calc!$H$1:$H$500)</f>
        <v/>
      </c>
      <c r="M6" s="24">
        <f>SUMIF(T12_Calc!$N$1:$N$500,"Base rent — IL",T12_Calc!$I$1:$I$500)</f>
        <v/>
      </c>
      <c r="N6" s="24">
        <f>SUMIF(T12_Calc!$N$1:$N$500,"Base rent — IL",T12_Calc!$J$1:$J$500)</f>
        <v/>
      </c>
      <c r="O6" s="24">
        <f>SUMIF(T12_Calc!$N$1:$N$500,"Base rent — IL",T12_Calc!$K$1:$K$500)</f>
        <v/>
      </c>
      <c r="P6" s="24">
        <f>SUMIF(T12_Calc!$N$1:$N$500,"Base rent — IL",T12_Calc!$L$1:$L$500)</f>
        <v/>
      </c>
      <c r="Q6" s="24">
        <f>SUMIF(T12_Calc!$N$1:$N$500,"Base rent — IL",T12_Calc!$M$1:$M$500)</f>
        <v/>
      </c>
      <c r="R6" s="87">
        <f>SUM(F6:Q6)</f>
        <v/>
      </c>
    </row>
    <row r="7" ht="15.75" customHeight="1" s="199">
      <c r="A7" s="82" t="inlineStr">
        <is>
          <t>Revenue</t>
        </is>
      </c>
      <c r="B7" s="83" t="inlineStr">
        <is>
          <t>Base rent — AL</t>
        </is>
      </c>
      <c r="C7" s="84" t="inlineStr">
        <is>
          <t>AL</t>
        </is>
      </c>
      <c r="D7" s="85" t="n"/>
      <c r="E7" s="86" t="inlineStr">
        <is>
          <t>AL Base Rate Income | AL Base Rate | Assisted Living Base Rate | Assisted Living Revenue</t>
        </is>
      </c>
      <c r="F7" s="24">
        <f>SUMIF(T12_Calc!$N$1:$N$500,"Base rent — AL",T12_Calc!$B$1:$B$500)</f>
        <v/>
      </c>
      <c r="G7" s="24">
        <f>SUMIF(T12_Calc!$N$1:$N$500,"Base rent — AL",T12_Calc!$C$1:$C$500)</f>
        <v/>
      </c>
      <c r="H7" s="24">
        <f>SUMIF(T12_Calc!$N$1:$N$500,"Base rent — AL",T12_Calc!$D$1:$D$500)</f>
        <v/>
      </c>
      <c r="I7" s="24">
        <f>SUMIF(T12_Calc!$N$1:$N$500,"Base rent — AL",T12_Calc!$E$1:$E$500)</f>
        <v/>
      </c>
      <c r="J7" s="24">
        <f>SUMIF(T12_Calc!$N$1:$N$500,"Base rent — AL",T12_Calc!$F$1:$F$500)</f>
        <v/>
      </c>
      <c r="K7" s="24">
        <f>SUMIF(T12_Calc!$N$1:$N$500,"Base rent — AL",T12_Calc!$G$1:$G$500)</f>
        <v/>
      </c>
      <c r="L7" s="24">
        <f>SUMIF(T12_Calc!$N$1:$N$500,"Base rent — AL",T12_Calc!$H$1:$H$500)</f>
        <v/>
      </c>
      <c r="M7" s="24">
        <f>SUMIF(T12_Calc!$N$1:$N$500,"Base rent — AL",T12_Calc!$I$1:$I$500)</f>
        <v/>
      </c>
      <c r="N7" s="24">
        <f>SUMIF(T12_Calc!$N$1:$N$500,"Base rent — AL",T12_Calc!$J$1:$J$500)</f>
        <v/>
      </c>
      <c r="O7" s="24">
        <f>SUMIF(T12_Calc!$N$1:$N$500,"Base rent — AL",T12_Calc!$K$1:$K$500)</f>
        <v/>
      </c>
      <c r="P7" s="24">
        <f>SUMIF(T12_Calc!$N$1:$N$500,"Base rent — AL",T12_Calc!$L$1:$L$500)</f>
        <v/>
      </c>
      <c r="Q7" s="24">
        <f>SUMIF(T12_Calc!$N$1:$N$500,"Base rent — AL",T12_Calc!$M$1:$M$500)</f>
        <v/>
      </c>
      <c r="R7" s="87">
        <f>SUM(F7:Q7)</f>
        <v/>
      </c>
    </row>
    <row r="8" ht="15.75" customHeight="1" s="199">
      <c r="A8" s="82" t="inlineStr">
        <is>
          <t>Revenue</t>
        </is>
      </c>
      <c r="B8" s="83" t="inlineStr">
        <is>
          <t>Base rent — MC</t>
        </is>
      </c>
      <c r="C8" s="84" t="inlineStr">
        <is>
          <t>MC</t>
        </is>
      </c>
      <c r="D8" s="85" t="n"/>
      <c r="E8" s="86" t="inlineStr">
        <is>
          <t>ALZ Base Rate Income | Memory Care Base Rate Income | MC Base Rate Income | Memory Care Revenue</t>
        </is>
      </c>
      <c r="F8" s="24">
        <f>SUMIF(T12_Calc!$N$1:$N$500,"Base rent — MC",T12_Calc!$B$1:$B$500)</f>
        <v/>
      </c>
      <c r="G8" s="24">
        <f>SUMIF(T12_Calc!$N$1:$N$500,"Base rent — MC",T12_Calc!$C$1:$C$500)</f>
        <v/>
      </c>
      <c r="H8" s="24">
        <f>SUMIF(T12_Calc!$N$1:$N$500,"Base rent — MC",T12_Calc!$D$1:$D$500)</f>
        <v/>
      </c>
      <c r="I8" s="24">
        <f>SUMIF(T12_Calc!$N$1:$N$500,"Base rent — MC",T12_Calc!$E$1:$E$500)</f>
        <v/>
      </c>
      <c r="J8" s="24">
        <f>SUMIF(T12_Calc!$N$1:$N$500,"Base rent — MC",T12_Calc!$F$1:$F$500)</f>
        <v/>
      </c>
      <c r="K8" s="24">
        <f>SUMIF(T12_Calc!$N$1:$N$500,"Base rent — MC",T12_Calc!$G$1:$G$500)</f>
        <v/>
      </c>
      <c r="L8" s="24">
        <f>SUMIF(T12_Calc!$N$1:$N$500,"Base rent — MC",T12_Calc!$H$1:$H$500)</f>
        <v/>
      </c>
      <c r="M8" s="24">
        <f>SUMIF(T12_Calc!$N$1:$N$500,"Base rent — MC",T12_Calc!$I$1:$I$500)</f>
        <v/>
      </c>
      <c r="N8" s="24">
        <f>SUMIF(T12_Calc!$N$1:$N$500,"Base rent — MC",T12_Calc!$J$1:$J$500)</f>
        <v/>
      </c>
      <c r="O8" s="24">
        <f>SUMIF(T12_Calc!$N$1:$N$500,"Base rent — MC",T12_Calc!$K$1:$K$500)</f>
        <v/>
      </c>
      <c r="P8" s="24">
        <f>SUMIF(T12_Calc!$N$1:$N$500,"Base rent — MC",T12_Calc!$L$1:$L$500)</f>
        <v/>
      </c>
      <c r="Q8" s="24">
        <f>SUMIF(T12_Calc!$N$1:$N$500,"Base rent — MC",T12_Calc!$M$1:$M$500)</f>
        <v/>
      </c>
      <c r="R8" s="87">
        <f>SUM(F8:Q8)</f>
        <v/>
      </c>
    </row>
    <row r="9" ht="15.75" customHeight="1" s="199">
      <c r="A9" s="82" t="inlineStr">
        <is>
          <t>Revenue</t>
        </is>
      </c>
      <c r="B9" s="83" t="inlineStr">
        <is>
          <t>LOC revenue — IL</t>
        </is>
      </c>
      <c r="C9" s="84" t="inlineStr">
        <is>
          <t>IL</t>
        </is>
      </c>
      <c r="D9" s="85" t="n"/>
      <c r="E9" s="86" t="inlineStr">
        <is>
          <t>IL Care Rate Income | IL Level of Care Income</t>
        </is>
      </c>
      <c r="F9" s="24">
        <f>SUMIF(T12_Calc!$N$1:$N$500,"LOC revenue — IL",T12_Calc!$B$1:$B$500)</f>
        <v/>
      </c>
      <c r="G9" s="24">
        <f>SUMIF(T12_Calc!$N$1:$N$500,"LOC revenue — IL",T12_Calc!$C$1:$C$500)</f>
        <v/>
      </c>
      <c r="H9" s="24">
        <f>SUMIF(T12_Calc!$N$1:$N$500,"LOC revenue — IL",T12_Calc!$D$1:$D$500)</f>
        <v/>
      </c>
      <c r="I9" s="24">
        <f>SUMIF(T12_Calc!$N$1:$N$500,"LOC revenue — IL",T12_Calc!$E$1:$E$500)</f>
        <v/>
      </c>
      <c r="J9" s="24">
        <f>SUMIF(T12_Calc!$N$1:$N$500,"LOC revenue — IL",T12_Calc!$F$1:$F$500)</f>
        <v/>
      </c>
      <c r="K9" s="24">
        <f>SUMIF(T12_Calc!$N$1:$N$500,"LOC revenue — IL",T12_Calc!$G$1:$G$500)</f>
        <v/>
      </c>
      <c r="L9" s="24">
        <f>SUMIF(T12_Calc!$N$1:$N$500,"LOC revenue — IL",T12_Calc!$H$1:$H$500)</f>
        <v/>
      </c>
      <c r="M9" s="24">
        <f>SUMIF(T12_Calc!$N$1:$N$500,"LOC revenue — IL",T12_Calc!$I$1:$I$500)</f>
        <v/>
      </c>
      <c r="N9" s="24">
        <f>SUMIF(T12_Calc!$N$1:$N$500,"LOC revenue — IL",T12_Calc!$J$1:$J$500)</f>
        <v/>
      </c>
      <c r="O9" s="24">
        <f>SUMIF(T12_Calc!$N$1:$N$500,"LOC revenue — IL",T12_Calc!$K$1:$K$500)</f>
        <v/>
      </c>
      <c r="P9" s="24">
        <f>SUMIF(T12_Calc!$N$1:$N$500,"LOC revenue — IL",T12_Calc!$L$1:$L$500)</f>
        <v/>
      </c>
      <c r="Q9" s="24">
        <f>SUMIF(T12_Calc!$N$1:$N$500,"LOC revenue — IL",T12_Calc!$M$1:$M$500)</f>
        <v/>
      </c>
      <c r="R9" s="87">
        <f>SUM(F9:Q9)</f>
        <v/>
      </c>
    </row>
    <row r="10" ht="15.75" customHeight="1" s="199">
      <c r="A10" s="82" t="inlineStr">
        <is>
          <t>Revenue</t>
        </is>
      </c>
      <c r="B10" s="83" t="inlineStr">
        <is>
          <t>LOC revenue — AL</t>
        </is>
      </c>
      <c r="C10" s="84" t="inlineStr">
        <is>
          <t>AL</t>
        </is>
      </c>
      <c r="D10" s="85" t="n"/>
      <c r="E10" s="86" t="inlineStr">
        <is>
          <t>AL Care Rate Income | AL Level of Care Income | AL Care Level Income</t>
        </is>
      </c>
      <c r="F10" s="24">
        <f>SUMIF(T12_Calc!$N$1:$N$500,"LOC revenue — AL",T12_Calc!$B$1:$B$500)</f>
        <v/>
      </c>
      <c r="G10" s="24">
        <f>SUMIF(T12_Calc!$N$1:$N$500,"LOC revenue — AL",T12_Calc!$C$1:$C$500)</f>
        <v/>
      </c>
      <c r="H10" s="24">
        <f>SUMIF(T12_Calc!$N$1:$N$500,"LOC revenue — AL",T12_Calc!$D$1:$D$500)</f>
        <v/>
      </c>
      <c r="I10" s="24">
        <f>SUMIF(T12_Calc!$N$1:$N$500,"LOC revenue — AL",T12_Calc!$E$1:$E$500)</f>
        <v/>
      </c>
      <c r="J10" s="24">
        <f>SUMIF(T12_Calc!$N$1:$N$500,"LOC revenue — AL",T12_Calc!$F$1:$F$500)</f>
        <v/>
      </c>
      <c r="K10" s="24">
        <f>SUMIF(T12_Calc!$N$1:$N$500,"LOC revenue — AL",T12_Calc!$G$1:$G$500)</f>
        <v/>
      </c>
      <c r="L10" s="24">
        <f>SUMIF(T12_Calc!$N$1:$N$500,"LOC revenue — AL",T12_Calc!$H$1:$H$500)</f>
        <v/>
      </c>
      <c r="M10" s="24">
        <f>SUMIF(T12_Calc!$N$1:$N$500,"LOC revenue — AL",T12_Calc!$I$1:$I$500)</f>
        <v/>
      </c>
      <c r="N10" s="24">
        <f>SUMIF(T12_Calc!$N$1:$N$500,"LOC revenue — AL",T12_Calc!$J$1:$J$500)</f>
        <v/>
      </c>
      <c r="O10" s="24">
        <f>SUMIF(T12_Calc!$N$1:$N$500,"LOC revenue — AL",T12_Calc!$K$1:$K$500)</f>
        <v/>
      </c>
      <c r="P10" s="24">
        <f>SUMIF(T12_Calc!$N$1:$N$500,"LOC revenue — AL",T12_Calc!$L$1:$L$500)</f>
        <v/>
      </c>
      <c r="Q10" s="24">
        <f>SUMIF(T12_Calc!$N$1:$N$500,"LOC revenue — AL",T12_Calc!$M$1:$M$500)</f>
        <v/>
      </c>
      <c r="R10" s="87">
        <f>SUM(F10:Q10)</f>
        <v/>
      </c>
    </row>
    <row r="11" ht="15.75" customHeight="1" s="199">
      <c r="A11" s="82" t="inlineStr">
        <is>
          <t>Revenue</t>
        </is>
      </c>
      <c r="B11" s="83" t="inlineStr">
        <is>
          <t>LOC revenue — MC</t>
        </is>
      </c>
      <c r="C11" s="84" t="inlineStr">
        <is>
          <t>MC</t>
        </is>
      </c>
      <c r="D11" s="85" t="n"/>
      <c r="E11" s="86" t="inlineStr">
        <is>
          <t>ALZ Care Rate Income | Memory Care Level of Care | MC Care Rate Income</t>
        </is>
      </c>
      <c r="F11" s="24">
        <f>SUMIF(T12_Calc!$N$1:$N$500,"LOC revenue — MC",T12_Calc!$B$1:$B$500)</f>
        <v/>
      </c>
      <c r="G11" s="24">
        <f>SUMIF(T12_Calc!$N$1:$N$500,"LOC revenue — MC",T12_Calc!$C$1:$C$500)</f>
        <v/>
      </c>
      <c r="H11" s="24">
        <f>SUMIF(T12_Calc!$N$1:$N$500,"LOC revenue — MC",T12_Calc!$D$1:$D$500)</f>
        <v/>
      </c>
      <c r="I11" s="24">
        <f>SUMIF(T12_Calc!$N$1:$N$500,"LOC revenue — MC",T12_Calc!$E$1:$E$500)</f>
        <v/>
      </c>
      <c r="J11" s="24">
        <f>SUMIF(T12_Calc!$N$1:$N$500,"LOC revenue — MC",T12_Calc!$F$1:$F$500)</f>
        <v/>
      </c>
      <c r="K11" s="24">
        <f>SUMIF(T12_Calc!$N$1:$N$500,"LOC revenue — MC",T12_Calc!$G$1:$G$500)</f>
        <v/>
      </c>
      <c r="L11" s="24">
        <f>SUMIF(T12_Calc!$N$1:$N$500,"LOC revenue — MC",T12_Calc!$H$1:$H$500)</f>
        <v/>
      </c>
      <c r="M11" s="24">
        <f>SUMIF(T12_Calc!$N$1:$N$500,"LOC revenue — MC",T12_Calc!$I$1:$I$500)</f>
        <v/>
      </c>
      <c r="N11" s="24">
        <f>SUMIF(T12_Calc!$N$1:$N$500,"LOC revenue — MC",T12_Calc!$J$1:$J$500)</f>
        <v/>
      </c>
      <c r="O11" s="24">
        <f>SUMIF(T12_Calc!$N$1:$N$500,"LOC revenue — MC",T12_Calc!$K$1:$K$500)</f>
        <v/>
      </c>
      <c r="P11" s="24">
        <f>SUMIF(T12_Calc!$N$1:$N$500,"LOC revenue — MC",T12_Calc!$L$1:$L$500)</f>
        <v/>
      </c>
      <c r="Q11" s="24">
        <f>SUMIF(T12_Calc!$N$1:$N$500,"LOC revenue — MC",T12_Calc!$M$1:$M$500)</f>
        <v/>
      </c>
      <c r="R11" s="87">
        <f>SUM(F11:Q11)</f>
        <v/>
      </c>
    </row>
    <row r="12" ht="15.75" customHeight="1" s="199">
      <c r="A12" s="88" t="inlineStr">
        <is>
          <t>Revenue</t>
        </is>
      </c>
      <c r="B12" s="89" t="inlineStr">
        <is>
          <t>Community / move-in fees</t>
        </is>
      </c>
      <c r="C12" s="90" t="inlineStr">
        <is>
          <t>-</t>
        </is>
      </c>
      <c r="D12" s="91" t="inlineStr">
        <is>
          <t>Normalize to $0</t>
        </is>
      </c>
      <c r="E12" s="92" t="inlineStr">
        <is>
          <t>Community Fees | Move-In Fees</t>
        </is>
      </c>
      <c r="F12" s="47">
        <f>SUMIF(T12_Calc!$N$1:$N$500,"Community / move-in fees",T12_Calc!$B$1:$B$500)</f>
        <v/>
      </c>
      <c r="G12" s="47">
        <f>SUMIF(T12_Calc!$N$1:$N$500,"Community / move-in fees",T12_Calc!$C$1:$C$500)</f>
        <v/>
      </c>
      <c r="H12" s="47">
        <f>SUMIF(T12_Calc!$N$1:$N$500,"Community / move-in fees",T12_Calc!$D$1:$D$500)</f>
        <v/>
      </c>
      <c r="I12" s="47">
        <f>SUMIF(T12_Calc!$N$1:$N$500,"Community / move-in fees",T12_Calc!$E$1:$E$500)</f>
        <v/>
      </c>
      <c r="J12" s="47">
        <f>SUMIF(T12_Calc!$N$1:$N$500,"Community / move-in fees",T12_Calc!$F$1:$F$500)</f>
        <v/>
      </c>
      <c r="K12" s="47">
        <f>SUMIF(T12_Calc!$N$1:$N$500,"Community / move-in fees",T12_Calc!$G$1:$G$500)</f>
        <v/>
      </c>
      <c r="L12" s="47">
        <f>SUMIF(T12_Calc!$N$1:$N$500,"Community / move-in fees",T12_Calc!$H$1:$H$500)</f>
        <v/>
      </c>
      <c r="M12" s="47">
        <f>SUMIF(T12_Calc!$N$1:$N$500,"Community / move-in fees",T12_Calc!$I$1:$I$500)</f>
        <v/>
      </c>
      <c r="N12" s="47">
        <f>SUMIF(T12_Calc!$N$1:$N$500,"Community / move-in fees",T12_Calc!$J$1:$J$500)</f>
        <v/>
      </c>
      <c r="O12" s="47">
        <f>SUMIF(T12_Calc!$N$1:$N$500,"Community / move-in fees",T12_Calc!$K$1:$K$500)</f>
        <v/>
      </c>
      <c r="P12" s="47">
        <f>SUMIF(T12_Calc!$N$1:$N$500,"Community / move-in fees",T12_Calc!$L$1:$L$500)</f>
        <v/>
      </c>
      <c r="Q12" s="47">
        <f>SUMIF(T12_Calc!$N$1:$N$500,"Community / move-in fees",T12_Calc!$M$1:$M$500)</f>
        <v/>
      </c>
      <c r="R12" s="93">
        <f>SUM(F12:Q12)</f>
        <v/>
      </c>
    </row>
    <row r="13" ht="15.75" customHeight="1" s="199">
      <c r="A13" s="88" t="inlineStr">
        <is>
          <t>Revenue</t>
        </is>
      </c>
      <c r="B13" s="89" t="inlineStr">
        <is>
          <t>Concessions &amp; specials</t>
        </is>
      </c>
      <c r="C13" s="90" t="inlineStr">
        <is>
          <t>-</t>
        </is>
      </c>
      <c r="D13" s="91" t="inlineStr">
        <is>
          <t>Normalize to $0</t>
        </is>
      </c>
      <c r="E13" s="92" t="inlineStr">
        <is>
          <t>Concessions | Move In Specials and Discounts | Move-In Specials</t>
        </is>
      </c>
      <c r="F13" s="47">
        <f>SUMIF(T12_Calc!$N$1:$N$500,"Concessions &amp; specials",T12_Calc!$B$1:$B$500)</f>
        <v/>
      </c>
      <c r="G13" s="47">
        <f>SUMIF(T12_Calc!$N$1:$N$500,"Concessions &amp; specials",T12_Calc!$C$1:$C$500)</f>
        <v/>
      </c>
      <c r="H13" s="47">
        <f>SUMIF(T12_Calc!$N$1:$N$500,"Concessions &amp; specials",T12_Calc!$D$1:$D$500)</f>
        <v/>
      </c>
      <c r="I13" s="47">
        <f>SUMIF(T12_Calc!$N$1:$N$500,"Concessions &amp; specials",T12_Calc!$E$1:$E$500)</f>
        <v/>
      </c>
      <c r="J13" s="47">
        <f>SUMIF(T12_Calc!$N$1:$N$500,"Concessions &amp; specials",T12_Calc!$F$1:$F$500)</f>
        <v/>
      </c>
      <c r="K13" s="47">
        <f>SUMIF(T12_Calc!$N$1:$N$500,"Concessions &amp; specials",T12_Calc!$G$1:$G$500)</f>
        <v/>
      </c>
      <c r="L13" s="47">
        <f>SUMIF(T12_Calc!$N$1:$N$500,"Concessions &amp; specials",T12_Calc!$H$1:$H$500)</f>
        <v/>
      </c>
      <c r="M13" s="47">
        <f>SUMIF(T12_Calc!$N$1:$N$500,"Concessions &amp; specials",T12_Calc!$I$1:$I$500)</f>
        <v/>
      </c>
      <c r="N13" s="47">
        <f>SUMIF(T12_Calc!$N$1:$N$500,"Concessions &amp; specials",T12_Calc!$J$1:$J$500)</f>
        <v/>
      </c>
      <c r="O13" s="47">
        <f>SUMIF(T12_Calc!$N$1:$N$500,"Concessions &amp; specials",T12_Calc!$K$1:$K$500)</f>
        <v/>
      </c>
      <c r="P13" s="47">
        <f>SUMIF(T12_Calc!$N$1:$N$500,"Concessions &amp; specials",T12_Calc!$L$1:$L$500)</f>
        <v/>
      </c>
      <c r="Q13" s="47">
        <f>SUMIF(T12_Calc!$N$1:$N$500,"Concessions &amp; specials",T12_Calc!$M$1:$M$500)</f>
        <v/>
      </c>
      <c r="R13" s="93">
        <f>SUM(F13:Q13)</f>
        <v/>
      </c>
    </row>
    <row r="14" ht="15.75" customHeight="1" s="199">
      <c r="A14" s="88" t="inlineStr">
        <is>
          <t>Revenue</t>
        </is>
      </c>
      <c r="B14" s="89" t="inlineStr">
        <is>
          <t>Respite care</t>
        </is>
      </c>
      <c r="C14" s="90" t="inlineStr">
        <is>
          <t>-</t>
        </is>
      </c>
      <c r="D14" s="91" t="inlineStr">
        <is>
          <t>Volatile</t>
        </is>
      </c>
      <c r="E14" s="92" t="inlineStr">
        <is>
          <t>Respite Care Income | Respite Care</t>
        </is>
      </c>
      <c r="F14" s="47">
        <f>SUMIF(T12_Calc!$N$1:$N$500,"Respite care",T12_Calc!$B$1:$B$500)</f>
        <v/>
      </c>
      <c r="G14" s="47">
        <f>SUMIF(T12_Calc!$N$1:$N$500,"Respite care",T12_Calc!$C$1:$C$500)</f>
        <v/>
      </c>
      <c r="H14" s="47">
        <f>SUMIF(T12_Calc!$N$1:$N$500,"Respite care",T12_Calc!$D$1:$D$500)</f>
        <v/>
      </c>
      <c r="I14" s="47">
        <f>SUMIF(T12_Calc!$N$1:$N$500,"Respite care",T12_Calc!$E$1:$E$500)</f>
        <v/>
      </c>
      <c r="J14" s="47">
        <f>SUMIF(T12_Calc!$N$1:$N$500,"Respite care",T12_Calc!$F$1:$F$500)</f>
        <v/>
      </c>
      <c r="K14" s="47">
        <f>SUMIF(T12_Calc!$N$1:$N$500,"Respite care",T12_Calc!$G$1:$G$500)</f>
        <v/>
      </c>
      <c r="L14" s="47">
        <f>SUMIF(T12_Calc!$N$1:$N$500,"Respite care",T12_Calc!$H$1:$H$500)</f>
        <v/>
      </c>
      <c r="M14" s="47">
        <f>SUMIF(T12_Calc!$N$1:$N$500,"Respite care",T12_Calc!$I$1:$I$500)</f>
        <v/>
      </c>
      <c r="N14" s="47">
        <f>SUMIF(T12_Calc!$N$1:$N$500,"Respite care",T12_Calc!$J$1:$J$500)</f>
        <v/>
      </c>
      <c r="O14" s="47">
        <f>SUMIF(T12_Calc!$N$1:$N$500,"Respite care",T12_Calc!$K$1:$K$500)</f>
        <v/>
      </c>
      <c r="P14" s="47">
        <f>SUMIF(T12_Calc!$N$1:$N$500,"Respite care",T12_Calc!$L$1:$L$500)</f>
        <v/>
      </c>
      <c r="Q14" s="47">
        <f>SUMIF(T12_Calc!$N$1:$N$500,"Respite care",T12_Calc!$M$1:$M$500)</f>
        <v/>
      </c>
      <c r="R14" s="93">
        <f>SUM(F14:Q14)</f>
        <v/>
      </c>
    </row>
    <row r="15" ht="15.75" customHeight="1" s="199">
      <c r="A15" s="82" t="inlineStr">
        <is>
          <t>Revenue</t>
        </is>
      </c>
      <c r="B15" s="83" t="inlineStr">
        <is>
          <t>2nd Person Revenue</t>
        </is>
      </c>
      <c r="C15" s="84" t="n"/>
      <c r="D15" s="85" t="n"/>
      <c r="E15" s="86" t="n"/>
      <c r="F15" s="24">
        <f>SUMIF(T12_Calc!$N$1:$N$500,"2nd Person Revenue",T12_Calc!$B$1:$B$500)</f>
        <v/>
      </c>
      <c r="G15" s="24">
        <f>SUMIF(T12_Calc!$N$1:$N$500,"2nd Person Revenue",T12_Calc!$C$1:$C$500)</f>
        <v/>
      </c>
      <c r="H15" s="24">
        <f>SUMIF(T12_Calc!$N$1:$N$500,"2nd Person Revenue",T12_Calc!$D$1:$D$500)</f>
        <v/>
      </c>
      <c r="I15" s="24">
        <f>SUMIF(T12_Calc!$N$1:$N$500,"2nd Person Revenue",T12_Calc!$E$1:$E$500)</f>
        <v/>
      </c>
      <c r="J15" s="24">
        <f>SUMIF(T12_Calc!$N$1:$N$500,"2nd Person Revenue",T12_Calc!$F$1:$F$500)</f>
        <v/>
      </c>
      <c r="K15" s="24">
        <f>SUMIF(T12_Calc!$N$1:$N$500,"2nd Person Revenue",T12_Calc!$G$1:$G$500)</f>
        <v/>
      </c>
      <c r="L15" s="24">
        <f>SUMIF(T12_Calc!$N$1:$N$500,"2nd Person Revenue",T12_Calc!$H$1:$H$500)</f>
        <v/>
      </c>
      <c r="M15" s="24">
        <f>SUMIF(T12_Calc!$N$1:$N$500,"2nd Person Revenue",T12_Calc!$I$1:$I$500)</f>
        <v/>
      </c>
      <c r="N15" s="24">
        <f>SUMIF(T12_Calc!$N$1:$N$500,"2nd Person Revenue",T12_Calc!$J$1:$J$500)</f>
        <v/>
      </c>
      <c r="O15" s="24">
        <f>SUMIF(T12_Calc!$N$1:$N$500,"2nd Person Revenue",T12_Calc!$K$1:$K$500)</f>
        <v/>
      </c>
      <c r="P15" s="24">
        <f>SUMIF(T12_Calc!$N$1:$N$500,"2nd Person Revenue",T12_Calc!$L$1:$L$500)</f>
        <v/>
      </c>
      <c r="Q15" s="24">
        <f>SUMIF(T12_Calc!$N$1:$N$500,"2nd Person Revenue",T12_Calc!$M$1:$M$500)</f>
        <v/>
      </c>
      <c r="R15" s="87">
        <f>SUM(F15:Q15)</f>
        <v/>
      </c>
    </row>
    <row r="16" ht="15.75" customHeight="1" s="199">
      <c r="A16" s="82" t="inlineStr">
        <is>
          <t>Revenue</t>
        </is>
      </c>
      <c r="B16" s="83" t="inlineStr">
        <is>
          <t>Other community revenue</t>
        </is>
      </c>
      <c r="C16" s="84" t="inlineStr">
        <is>
          <t>-</t>
        </is>
      </c>
      <c r="D16" s="85" t="n"/>
      <c r="E16" s="86" t="inlineStr">
        <is>
          <t>Guest Meals | Beautician Income | Utility Income | Incontinence Supplies Income | Personal Purchases | Administrative Fees | Finance Charges Revenue</t>
        </is>
      </c>
      <c r="F16" s="24">
        <f>SUMIF(T12_Calc!$N$1:$N$500,"Other community revenue",T12_Calc!$B$1:$B$500)</f>
        <v/>
      </c>
      <c r="G16" s="24">
        <f>SUMIF(T12_Calc!$N$1:$N$500,"Other community revenue",T12_Calc!$C$1:$C$500)</f>
        <v/>
      </c>
      <c r="H16" s="24">
        <f>SUMIF(T12_Calc!$N$1:$N$500,"Other community revenue",T12_Calc!$D$1:$D$500)</f>
        <v/>
      </c>
      <c r="I16" s="24">
        <f>SUMIF(T12_Calc!$N$1:$N$500,"Other community revenue",T12_Calc!$E$1:$E$500)</f>
        <v/>
      </c>
      <c r="J16" s="24">
        <f>SUMIF(T12_Calc!$N$1:$N$500,"Other community revenue",T12_Calc!$F$1:$F$500)</f>
        <v/>
      </c>
      <c r="K16" s="24">
        <f>SUMIF(T12_Calc!$N$1:$N$500,"Other community revenue",T12_Calc!$G$1:$G$500)</f>
        <v/>
      </c>
      <c r="L16" s="24">
        <f>SUMIF(T12_Calc!$N$1:$N$500,"Other community revenue",T12_Calc!$H$1:$H$500)</f>
        <v/>
      </c>
      <c r="M16" s="24">
        <f>SUMIF(T12_Calc!$N$1:$N$500,"Other community revenue",T12_Calc!$I$1:$I$500)</f>
        <v/>
      </c>
      <c r="N16" s="24">
        <f>SUMIF(T12_Calc!$N$1:$N$500,"Other community revenue",T12_Calc!$J$1:$J$500)</f>
        <v/>
      </c>
      <c r="O16" s="24">
        <f>SUMIF(T12_Calc!$N$1:$N$500,"Other community revenue",T12_Calc!$K$1:$K$500)</f>
        <v/>
      </c>
      <c r="P16" s="24">
        <f>SUMIF(T12_Calc!$N$1:$N$500,"Other community revenue",T12_Calc!$L$1:$L$500)</f>
        <v/>
      </c>
      <c r="Q16" s="24">
        <f>SUMIF(T12_Calc!$N$1:$N$500,"Other community revenue",T12_Calc!$M$1:$M$500)</f>
        <v/>
      </c>
      <c r="R16" s="87">
        <f>SUM(F16:Q16)</f>
        <v/>
      </c>
    </row>
    <row r="17" ht="15.75" customHeight="1" s="199">
      <c r="A17" s="82" t="inlineStr">
        <is>
          <t>Labor</t>
        </is>
      </c>
      <c r="B17" s="83" t="inlineStr">
        <is>
          <t>Care staff labor</t>
        </is>
      </c>
      <c r="C17" s="84" t="inlineStr">
        <is>
          <t>-</t>
        </is>
      </c>
      <c r="D17" s="85" t="n"/>
      <c r="E17" s="86" t="inlineStr">
        <is>
          <t>Care Staff Labor | Direct Care Labor | Other Labor</t>
        </is>
      </c>
      <c r="F17" s="24">
        <f>SUMIF(T12_Calc!$N$1:$N$500,"Care staff labor",T12_Calc!$B$1:$B$500)</f>
        <v/>
      </c>
      <c r="G17" s="24">
        <f>SUMIF(T12_Calc!$N$1:$N$500,"Care staff labor",T12_Calc!$C$1:$C$500)</f>
        <v/>
      </c>
      <c r="H17" s="24">
        <f>SUMIF(T12_Calc!$N$1:$N$500,"Care staff labor",T12_Calc!$D$1:$D$500)</f>
        <v/>
      </c>
      <c r="I17" s="24">
        <f>SUMIF(T12_Calc!$N$1:$N$500,"Care staff labor",T12_Calc!$E$1:$E$500)</f>
        <v/>
      </c>
      <c r="J17" s="24">
        <f>SUMIF(T12_Calc!$N$1:$N$500,"Care staff labor",T12_Calc!$F$1:$F$500)</f>
        <v/>
      </c>
      <c r="K17" s="24">
        <f>SUMIF(T12_Calc!$N$1:$N$500,"Care staff labor",T12_Calc!$G$1:$G$500)</f>
        <v/>
      </c>
      <c r="L17" s="24">
        <f>SUMIF(T12_Calc!$N$1:$N$500,"Care staff labor",T12_Calc!$H$1:$H$500)</f>
        <v/>
      </c>
      <c r="M17" s="24">
        <f>SUMIF(T12_Calc!$N$1:$N$500,"Care staff labor",T12_Calc!$I$1:$I$500)</f>
        <v/>
      </c>
      <c r="N17" s="24">
        <f>SUMIF(T12_Calc!$N$1:$N$500,"Care staff labor",T12_Calc!$J$1:$J$500)</f>
        <v/>
      </c>
      <c r="O17" s="24">
        <f>SUMIF(T12_Calc!$N$1:$N$500,"Care staff labor",T12_Calc!$K$1:$K$500)</f>
        <v/>
      </c>
      <c r="P17" s="24">
        <f>SUMIF(T12_Calc!$N$1:$N$500,"Care staff labor",T12_Calc!$L$1:$L$500)</f>
        <v/>
      </c>
      <c r="Q17" s="24">
        <f>SUMIF(T12_Calc!$N$1:$N$500,"Care staff labor",T12_Calc!$M$1:$M$500)</f>
        <v/>
      </c>
      <c r="R17" s="87">
        <f>SUM(F17:Q17)</f>
        <v/>
      </c>
    </row>
    <row r="18" ht="15.75" customHeight="1" s="199">
      <c r="A18" s="82" t="inlineStr">
        <is>
          <t>Labor</t>
        </is>
      </c>
      <c r="B18" s="83" t="inlineStr">
        <is>
          <t>Wellness / care coordinators</t>
        </is>
      </c>
      <c r="C18" s="84" t="inlineStr">
        <is>
          <t>-</t>
        </is>
      </c>
      <c r="D18" s="85" t="n"/>
      <c r="E18" s="86" t="inlineStr">
        <is>
          <t>Wellness/Care Coordinators Labor | Wellness/Care Coordinator Labor | Care Coordinator Labor</t>
        </is>
      </c>
      <c r="F18" s="24">
        <f>SUMIF(T12_Calc!$N$1:$N$500,"Wellness / care coordinators",T12_Calc!$B$1:$B$500)</f>
        <v/>
      </c>
      <c r="G18" s="24">
        <f>SUMIF(T12_Calc!$N$1:$N$500,"Wellness / care coordinators",T12_Calc!$C$1:$C$500)</f>
        <v/>
      </c>
      <c r="H18" s="24">
        <f>SUMIF(T12_Calc!$N$1:$N$500,"Wellness / care coordinators",T12_Calc!$D$1:$D$500)</f>
        <v/>
      </c>
      <c r="I18" s="24">
        <f>SUMIF(T12_Calc!$N$1:$N$500,"Wellness / care coordinators",T12_Calc!$E$1:$E$500)</f>
        <v/>
      </c>
      <c r="J18" s="24">
        <f>SUMIF(T12_Calc!$N$1:$N$500,"Wellness / care coordinators",T12_Calc!$F$1:$F$500)</f>
        <v/>
      </c>
      <c r="K18" s="24">
        <f>SUMIF(T12_Calc!$N$1:$N$500,"Wellness / care coordinators",T12_Calc!$G$1:$G$500)</f>
        <v/>
      </c>
      <c r="L18" s="24">
        <f>SUMIF(T12_Calc!$N$1:$N$500,"Wellness / care coordinators",T12_Calc!$H$1:$H$500)</f>
        <v/>
      </c>
      <c r="M18" s="24">
        <f>SUMIF(T12_Calc!$N$1:$N$500,"Wellness / care coordinators",T12_Calc!$I$1:$I$500)</f>
        <v/>
      </c>
      <c r="N18" s="24">
        <f>SUMIF(T12_Calc!$N$1:$N$500,"Wellness / care coordinators",T12_Calc!$J$1:$J$500)</f>
        <v/>
      </c>
      <c r="O18" s="24">
        <f>SUMIF(T12_Calc!$N$1:$N$500,"Wellness / care coordinators",T12_Calc!$K$1:$K$500)</f>
        <v/>
      </c>
      <c r="P18" s="24">
        <f>SUMIF(T12_Calc!$N$1:$N$500,"Wellness / care coordinators",T12_Calc!$L$1:$L$500)</f>
        <v/>
      </c>
      <c r="Q18" s="24">
        <f>SUMIF(T12_Calc!$N$1:$N$500,"Wellness / care coordinators",T12_Calc!$M$1:$M$500)</f>
        <v/>
      </c>
      <c r="R18" s="87">
        <f>SUM(F18:Q18)</f>
        <v/>
      </c>
    </row>
    <row r="19" ht="15.75" customHeight="1" s="199">
      <c r="A19" s="88" t="inlineStr">
        <is>
          <t>Labor</t>
        </is>
      </c>
      <c r="B19" s="89" t="inlineStr">
        <is>
          <t>Contract / agency labor</t>
        </is>
      </c>
      <c r="C19" s="90" t="inlineStr">
        <is>
          <t>-</t>
        </is>
      </c>
      <c r="D19" s="91" t="inlineStr">
        <is>
          <t>Normalize at stabilization</t>
        </is>
      </c>
      <c r="E19" s="92" t="inlineStr">
        <is>
          <t>Contract Labor - Care | Contract Labor | Agency Labor</t>
        </is>
      </c>
      <c r="F19" s="47">
        <f>SUMIF(T12_Calc!$N$1:$N$500,"Contract / agency labor",T12_Calc!$B$1:$B$500)</f>
        <v/>
      </c>
      <c r="G19" s="47">
        <f>SUMIF(T12_Calc!$N$1:$N$500,"Contract / agency labor",T12_Calc!$C$1:$C$500)</f>
        <v/>
      </c>
      <c r="H19" s="47">
        <f>SUMIF(T12_Calc!$N$1:$N$500,"Contract / agency labor",T12_Calc!$D$1:$D$500)</f>
        <v/>
      </c>
      <c r="I19" s="47">
        <f>SUMIF(T12_Calc!$N$1:$N$500,"Contract / agency labor",T12_Calc!$E$1:$E$500)</f>
        <v/>
      </c>
      <c r="J19" s="47">
        <f>SUMIF(T12_Calc!$N$1:$N$500,"Contract / agency labor",T12_Calc!$F$1:$F$500)</f>
        <v/>
      </c>
      <c r="K19" s="47">
        <f>SUMIF(T12_Calc!$N$1:$N$500,"Contract / agency labor",T12_Calc!$G$1:$G$500)</f>
        <v/>
      </c>
      <c r="L19" s="47">
        <f>SUMIF(T12_Calc!$N$1:$N$500,"Contract / agency labor",T12_Calc!$H$1:$H$500)</f>
        <v/>
      </c>
      <c r="M19" s="47">
        <f>SUMIF(T12_Calc!$N$1:$N$500,"Contract / agency labor",T12_Calc!$I$1:$I$500)</f>
        <v/>
      </c>
      <c r="N19" s="47">
        <f>SUMIF(T12_Calc!$N$1:$N$500,"Contract / agency labor",T12_Calc!$J$1:$J$500)</f>
        <v/>
      </c>
      <c r="O19" s="47">
        <f>SUMIF(T12_Calc!$N$1:$N$500,"Contract / agency labor",T12_Calc!$K$1:$K$500)</f>
        <v/>
      </c>
      <c r="P19" s="47">
        <f>SUMIF(T12_Calc!$N$1:$N$500,"Contract / agency labor",T12_Calc!$L$1:$L$500)</f>
        <v/>
      </c>
      <c r="Q19" s="47">
        <f>SUMIF(T12_Calc!$N$1:$N$500,"Contract / agency labor",T12_Calc!$M$1:$M$500)</f>
        <v/>
      </c>
      <c r="R19" s="93">
        <f>SUM(F19:Q19)</f>
        <v/>
      </c>
    </row>
    <row r="20" ht="15.75" customHeight="1" s="199">
      <c r="A20" s="82" t="inlineStr">
        <is>
          <t>Labor</t>
        </is>
      </c>
      <c r="B20" s="83" t="inlineStr">
        <is>
          <t>Activities labor</t>
        </is>
      </c>
      <c r="C20" s="84" t="inlineStr">
        <is>
          <t>-</t>
        </is>
      </c>
      <c r="D20" s="85" t="n"/>
      <c r="E20" s="86" t="inlineStr">
        <is>
          <t>Activities Labor</t>
        </is>
      </c>
      <c r="F20" s="24">
        <f>SUMIF(T12_Calc!$N$1:$N$500,"Activities labor",T12_Calc!$B$1:$B$500)</f>
        <v/>
      </c>
      <c r="G20" s="24">
        <f>SUMIF(T12_Calc!$N$1:$N$500,"Activities labor",T12_Calc!$C$1:$C$500)</f>
        <v/>
      </c>
      <c r="H20" s="24">
        <f>SUMIF(T12_Calc!$N$1:$N$500,"Activities labor",T12_Calc!$D$1:$D$500)</f>
        <v/>
      </c>
      <c r="I20" s="24">
        <f>SUMIF(T12_Calc!$N$1:$N$500,"Activities labor",T12_Calc!$E$1:$E$500)</f>
        <v/>
      </c>
      <c r="J20" s="24">
        <f>SUMIF(T12_Calc!$N$1:$N$500,"Activities labor",T12_Calc!$F$1:$F$500)</f>
        <v/>
      </c>
      <c r="K20" s="24">
        <f>SUMIF(T12_Calc!$N$1:$N$500,"Activities labor",T12_Calc!$G$1:$G$500)</f>
        <v/>
      </c>
      <c r="L20" s="24">
        <f>SUMIF(T12_Calc!$N$1:$N$500,"Activities labor",T12_Calc!$H$1:$H$500)</f>
        <v/>
      </c>
      <c r="M20" s="24">
        <f>SUMIF(T12_Calc!$N$1:$N$500,"Activities labor",T12_Calc!$I$1:$I$500)</f>
        <v/>
      </c>
      <c r="N20" s="24">
        <f>SUMIF(T12_Calc!$N$1:$N$500,"Activities labor",T12_Calc!$J$1:$J$500)</f>
        <v/>
      </c>
      <c r="O20" s="24">
        <f>SUMIF(T12_Calc!$N$1:$N$500,"Activities labor",T12_Calc!$K$1:$K$500)</f>
        <v/>
      </c>
      <c r="P20" s="24">
        <f>SUMIF(T12_Calc!$N$1:$N$500,"Activities labor",T12_Calc!$L$1:$L$500)</f>
        <v/>
      </c>
      <c r="Q20" s="24">
        <f>SUMIF(T12_Calc!$N$1:$N$500,"Activities labor",T12_Calc!$M$1:$M$500)</f>
        <v/>
      </c>
      <c r="R20" s="87">
        <f>SUM(F20:Q20)</f>
        <v/>
      </c>
    </row>
    <row r="21" ht="15.75" customHeight="1" s="199">
      <c r="A21" s="82" t="inlineStr">
        <is>
          <t>Labor</t>
        </is>
      </c>
      <c r="B21" s="83" t="inlineStr">
        <is>
          <t>Dining / food service labor</t>
        </is>
      </c>
      <c r="C21" s="84" t="inlineStr">
        <is>
          <t>-</t>
        </is>
      </c>
      <c r="D21" s="85" t="n"/>
      <c r="E21" s="86" t="inlineStr">
        <is>
          <t>Food Service Labor | Dietary Labor | Dining Labor</t>
        </is>
      </c>
      <c r="F21" s="24">
        <f>SUMIF(T12_Calc!$N$1:$N$500,"Dining / food service labor",T12_Calc!$B$1:$B$500)</f>
        <v/>
      </c>
      <c r="G21" s="24">
        <f>SUMIF(T12_Calc!$N$1:$N$500,"Dining / food service labor",T12_Calc!$C$1:$C$500)</f>
        <v/>
      </c>
      <c r="H21" s="24">
        <f>SUMIF(T12_Calc!$N$1:$N$500,"Dining / food service labor",T12_Calc!$D$1:$D$500)</f>
        <v/>
      </c>
      <c r="I21" s="24">
        <f>SUMIF(T12_Calc!$N$1:$N$500,"Dining / food service labor",T12_Calc!$E$1:$E$500)</f>
        <v/>
      </c>
      <c r="J21" s="24">
        <f>SUMIF(T12_Calc!$N$1:$N$500,"Dining / food service labor",T12_Calc!$F$1:$F$500)</f>
        <v/>
      </c>
      <c r="K21" s="24">
        <f>SUMIF(T12_Calc!$N$1:$N$500,"Dining / food service labor",T12_Calc!$G$1:$G$500)</f>
        <v/>
      </c>
      <c r="L21" s="24">
        <f>SUMIF(T12_Calc!$N$1:$N$500,"Dining / food service labor",T12_Calc!$H$1:$H$500)</f>
        <v/>
      </c>
      <c r="M21" s="24">
        <f>SUMIF(T12_Calc!$N$1:$N$500,"Dining / food service labor",T12_Calc!$I$1:$I$500)</f>
        <v/>
      </c>
      <c r="N21" s="24">
        <f>SUMIF(T12_Calc!$N$1:$N$500,"Dining / food service labor",T12_Calc!$J$1:$J$500)</f>
        <v/>
      </c>
      <c r="O21" s="24">
        <f>SUMIF(T12_Calc!$N$1:$N$500,"Dining / food service labor",T12_Calc!$K$1:$K$500)</f>
        <v/>
      </c>
      <c r="P21" s="24">
        <f>SUMIF(T12_Calc!$N$1:$N$500,"Dining / food service labor",T12_Calc!$L$1:$L$500)</f>
        <v/>
      </c>
      <c r="Q21" s="24">
        <f>SUMIF(T12_Calc!$N$1:$N$500,"Dining / food service labor",T12_Calc!$M$1:$M$500)</f>
        <v/>
      </c>
      <c r="R21" s="87">
        <f>SUM(F21:Q21)</f>
        <v/>
      </c>
    </row>
    <row r="22" ht="15.75" customHeight="1" s="199">
      <c r="A22" s="82" t="inlineStr">
        <is>
          <t>Labor</t>
        </is>
      </c>
      <c r="B22" s="83" t="inlineStr">
        <is>
          <t>Maint. &amp; housekeeping labor</t>
        </is>
      </c>
      <c r="C22" s="84" t="inlineStr">
        <is>
          <t>-</t>
        </is>
      </c>
      <c r="D22" s="85" t="n"/>
      <c r="E22" s="86" t="inlineStr">
        <is>
          <t>Maintenance/Housekeeping Labor | Maintenance Labor | Housekeeping Labor</t>
        </is>
      </c>
      <c r="F22" s="24">
        <f>SUMIF(T12_Calc!$N$1:$N$500,"Maint. &amp; housekeeping labor",T12_Calc!$B$1:$B$500)</f>
        <v/>
      </c>
      <c r="G22" s="24">
        <f>SUMIF(T12_Calc!$N$1:$N$500,"Maint. &amp; housekeeping labor",T12_Calc!$C$1:$C$500)</f>
        <v/>
      </c>
      <c r="H22" s="24">
        <f>SUMIF(T12_Calc!$N$1:$N$500,"Maint. &amp; housekeeping labor",T12_Calc!$D$1:$D$500)</f>
        <v/>
      </c>
      <c r="I22" s="24">
        <f>SUMIF(T12_Calc!$N$1:$N$500,"Maint. &amp; housekeeping labor",T12_Calc!$E$1:$E$500)</f>
        <v/>
      </c>
      <c r="J22" s="24">
        <f>SUMIF(T12_Calc!$N$1:$N$500,"Maint. &amp; housekeeping labor",T12_Calc!$F$1:$F$500)</f>
        <v/>
      </c>
      <c r="K22" s="24">
        <f>SUMIF(T12_Calc!$N$1:$N$500,"Maint. &amp; housekeeping labor",T12_Calc!$G$1:$G$500)</f>
        <v/>
      </c>
      <c r="L22" s="24">
        <f>SUMIF(T12_Calc!$N$1:$N$500,"Maint. &amp; housekeeping labor",T12_Calc!$H$1:$H$500)</f>
        <v/>
      </c>
      <c r="M22" s="24">
        <f>SUMIF(T12_Calc!$N$1:$N$500,"Maint. &amp; housekeeping labor",T12_Calc!$I$1:$I$500)</f>
        <v/>
      </c>
      <c r="N22" s="24">
        <f>SUMIF(T12_Calc!$N$1:$N$500,"Maint. &amp; housekeeping labor",T12_Calc!$J$1:$J$500)</f>
        <v/>
      </c>
      <c r="O22" s="24">
        <f>SUMIF(T12_Calc!$N$1:$N$500,"Maint. &amp; housekeeping labor",T12_Calc!$K$1:$K$500)</f>
        <v/>
      </c>
      <c r="P22" s="24">
        <f>SUMIF(T12_Calc!$N$1:$N$500,"Maint. &amp; housekeeping labor",T12_Calc!$L$1:$L$500)</f>
        <v/>
      </c>
      <c r="Q22" s="24">
        <f>SUMIF(T12_Calc!$N$1:$N$500,"Maint. &amp; housekeeping labor",T12_Calc!$M$1:$M$500)</f>
        <v/>
      </c>
      <c r="R22" s="87">
        <f>SUM(F22:Q22)</f>
        <v/>
      </c>
    </row>
    <row r="23" ht="15.75" customHeight="1" s="199">
      <c r="A23" s="82" t="inlineStr">
        <is>
          <t>Labor</t>
        </is>
      </c>
      <c r="B23" s="83" t="inlineStr">
        <is>
          <t>Administrative labor</t>
        </is>
      </c>
      <c r="C23" s="84" t="inlineStr">
        <is>
          <t>-</t>
        </is>
      </c>
      <c r="D23" s="85" t="n"/>
      <c r="E23" s="86" t="inlineStr">
        <is>
          <t>Administration Labor | Administrative Labor</t>
        </is>
      </c>
      <c r="F23" s="24">
        <f>SUMIF(T12_Calc!$N$1:$N$500,"Administrative labor",T12_Calc!$B$1:$B$500)</f>
        <v/>
      </c>
      <c r="G23" s="24">
        <f>SUMIF(T12_Calc!$N$1:$N$500,"Administrative labor",T12_Calc!$C$1:$C$500)</f>
        <v/>
      </c>
      <c r="H23" s="24">
        <f>SUMIF(T12_Calc!$N$1:$N$500,"Administrative labor",T12_Calc!$D$1:$D$500)</f>
        <v/>
      </c>
      <c r="I23" s="24">
        <f>SUMIF(T12_Calc!$N$1:$N$500,"Administrative labor",T12_Calc!$E$1:$E$500)</f>
        <v/>
      </c>
      <c r="J23" s="24">
        <f>SUMIF(T12_Calc!$N$1:$N$500,"Administrative labor",T12_Calc!$F$1:$F$500)</f>
        <v/>
      </c>
      <c r="K23" s="24">
        <f>SUMIF(T12_Calc!$N$1:$N$500,"Administrative labor",T12_Calc!$G$1:$G$500)</f>
        <v/>
      </c>
      <c r="L23" s="24">
        <f>SUMIF(T12_Calc!$N$1:$N$500,"Administrative labor",T12_Calc!$H$1:$H$500)</f>
        <v/>
      </c>
      <c r="M23" s="24">
        <f>SUMIF(T12_Calc!$N$1:$N$500,"Administrative labor",T12_Calc!$I$1:$I$500)</f>
        <v/>
      </c>
      <c r="N23" s="24">
        <f>SUMIF(T12_Calc!$N$1:$N$500,"Administrative labor",T12_Calc!$J$1:$J$500)</f>
        <v/>
      </c>
      <c r="O23" s="24">
        <f>SUMIF(T12_Calc!$N$1:$N$500,"Administrative labor",T12_Calc!$K$1:$K$500)</f>
        <v/>
      </c>
      <c r="P23" s="24">
        <f>SUMIF(T12_Calc!$N$1:$N$500,"Administrative labor",T12_Calc!$L$1:$L$500)</f>
        <v/>
      </c>
      <c r="Q23" s="24">
        <f>SUMIF(T12_Calc!$N$1:$N$500,"Administrative labor",T12_Calc!$M$1:$M$500)</f>
        <v/>
      </c>
      <c r="R23" s="87">
        <f>SUM(F23:Q23)</f>
        <v/>
      </c>
    </row>
    <row r="24" ht="15.75" customHeight="1" s="199">
      <c r="A24" s="88" t="inlineStr">
        <is>
          <t>Labor</t>
        </is>
      </c>
      <c r="B24" s="89" t="inlineStr">
        <is>
          <t>Bonus wages</t>
        </is>
      </c>
      <c r="C24" s="90" t="inlineStr">
        <is>
          <t>-</t>
        </is>
      </c>
      <c r="D24" s="91" t="inlineStr">
        <is>
          <t>Stabilize annually</t>
        </is>
      </c>
      <c r="E24" s="92" t="inlineStr">
        <is>
          <t>Bonus Wages</t>
        </is>
      </c>
      <c r="F24" s="47">
        <f>SUMIF(T12_Calc!$N$1:$N$500,"Bonus wages",T12_Calc!$B$1:$B$500)</f>
        <v/>
      </c>
      <c r="G24" s="47">
        <f>SUMIF(T12_Calc!$N$1:$N$500,"Bonus wages",T12_Calc!$C$1:$C$500)</f>
        <v/>
      </c>
      <c r="H24" s="47">
        <f>SUMIF(T12_Calc!$N$1:$N$500,"Bonus wages",T12_Calc!$D$1:$D$500)</f>
        <v/>
      </c>
      <c r="I24" s="47">
        <f>SUMIF(T12_Calc!$N$1:$N$500,"Bonus wages",T12_Calc!$E$1:$E$500)</f>
        <v/>
      </c>
      <c r="J24" s="47">
        <f>SUMIF(T12_Calc!$N$1:$N$500,"Bonus wages",T12_Calc!$F$1:$F$500)</f>
        <v/>
      </c>
      <c r="K24" s="47">
        <f>SUMIF(T12_Calc!$N$1:$N$500,"Bonus wages",T12_Calc!$G$1:$G$500)</f>
        <v/>
      </c>
      <c r="L24" s="47">
        <f>SUMIF(T12_Calc!$N$1:$N$500,"Bonus wages",T12_Calc!$H$1:$H$500)</f>
        <v/>
      </c>
      <c r="M24" s="47">
        <f>SUMIF(T12_Calc!$N$1:$N$500,"Bonus wages",T12_Calc!$I$1:$I$500)</f>
        <v/>
      </c>
      <c r="N24" s="47">
        <f>SUMIF(T12_Calc!$N$1:$N$500,"Bonus wages",T12_Calc!$J$1:$J$500)</f>
        <v/>
      </c>
      <c r="O24" s="47">
        <f>SUMIF(T12_Calc!$N$1:$N$500,"Bonus wages",T12_Calc!$K$1:$K$500)</f>
        <v/>
      </c>
      <c r="P24" s="47">
        <f>SUMIF(T12_Calc!$N$1:$N$500,"Bonus wages",T12_Calc!$L$1:$L$500)</f>
        <v/>
      </c>
      <c r="Q24" s="47">
        <f>SUMIF(T12_Calc!$N$1:$N$500,"Bonus wages",T12_Calc!$M$1:$M$500)</f>
        <v/>
      </c>
      <c r="R24" s="93">
        <f>SUM(F24:Q24)</f>
        <v/>
      </c>
    </row>
    <row r="25" ht="15.75" customHeight="1" s="199">
      <c r="A25" s="88" t="inlineStr">
        <is>
          <t>Labor</t>
        </is>
      </c>
      <c r="B25" s="89" t="inlineStr">
        <is>
          <t>Overtime wages</t>
        </is>
      </c>
      <c r="C25" s="90" t="inlineStr">
        <is>
          <t>-</t>
        </is>
      </c>
      <c r="D25" s="91" t="inlineStr">
        <is>
          <t>Flag if &gt;5% of wages</t>
        </is>
      </c>
      <c r="E25" s="92" t="inlineStr">
        <is>
          <t>Overtime | Overtime Wages | OT Wages</t>
        </is>
      </c>
      <c r="F25" s="47">
        <f>SUMIF(T12_Calc!$N$1:$N$500,"Overtime wages",T12_Calc!$B$1:$B$500)</f>
        <v/>
      </c>
      <c r="G25" s="47">
        <f>SUMIF(T12_Calc!$N$1:$N$500,"Overtime wages",T12_Calc!$C$1:$C$500)</f>
        <v/>
      </c>
      <c r="H25" s="47">
        <f>SUMIF(T12_Calc!$N$1:$N$500,"Overtime wages",T12_Calc!$D$1:$D$500)</f>
        <v/>
      </c>
      <c r="I25" s="47">
        <f>SUMIF(T12_Calc!$N$1:$N$500,"Overtime wages",T12_Calc!$E$1:$E$500)</f>
        <v/>
      </c>
      <c r="J25" s="47">
        <f>SUMIF(T12_Calc!$N$1:$N$500,"Overtime wages",T12_Calc!$F$1:$F$500)</f>
        <v/>
      </c>
      <c r="K25" s="47">
        <f>SUMIF(T12_Calc!$N$1:$N$500,"Overtime wages",T12_Calc!$G$1:$G$500)</f>
        <v/>
      </c>
      <c r="L25" s="47">
        <f>SUMIF(T12_Calc!$N$1:$N$500,"Overtime wages",T12_Calc!$H$1:$H$500)</f>
        <v/>
      </c>
      <c r="M25" s="47">
        <f>SUMIF(T12_Calc!$N$1:$N$500,"Overtime wages",T12_Calc!$I$1:$I$500)</f>
        <v/>
      </c>
      <c r="N25" s="47">
        <f>SUMIF(T12_Calc!$N$1:$N$500,"Overtime wages",T12_Calc!$J$1:$J$500)</f>
        <v/>
      </c>
      <c r="O25" s="47">
        <f>SUMIF(T12_Calc!$N$1:$N$500,"Overtime wages",T12_Calc!$K$1:$K$500)</f>
        <v/>
      </c>
      <c r="P25" s="47">
        <f>SUMIF(T12_Calc!$N$1:$N$500,"Overtime wages",T12_Calc!$L$1:$L$500)</f>
        <v/>
      </c>
      <c r="Q25" s="47">
        <f>SUMIF(T12_Calc!$N$1:$N$500,"Overtime wages",T12_Calc!$M$1:$M$500)</f>
        <v/>
      </c>
      <c r="R25" s="93">
        <f>SUM(F25:Q25)</f>
        <v/>
      </c>
    </row>
    <row r="26" ht="15.75" customHeight="1" s="199">
      <c r="A26" s="88" t="inlineStr">
        <is>
          <t>Labor</t>
        </is>
      </c>
      <c r="B26" s="89" t="inlineStr">
        <is>
          <t>PTO wages</t>
        </is>
      </c>
      <c r="C26" s="90" t="inlineStr">
        <is>
          <t>-</t>
        </is>
      </c>
      <c r="D26" s="91" t="inlineStr">
        <is>
          <t>Annualize</t>
        </is>
      </c>
      <c r="E26" s="92" t="inlineStr">
        <is>
          <t>PTO Wages | PTO</t>
        </is>
      </c>
      <c r="F26" s="47">
        <f>SUMIF(T12_Calc!$N$1:$N$500,"PTO wages",T12_Calc!$B$1:$B$500)</f>
        <v/>
      </c>
      <c r="G26" s="47">
        <f>SUMIF(T12_Calc!$N$1:$N$500,"PTO wages",T12_Calc!$C$1:$C$500)</f>
        <v/>
      </c>
      <c r="H26" s="47">
        <f>SUMIF(T12_Calc!$N$1:$N$500,"PTO wages",T12_Calc!$D$1:$D$500)</f>
        <v/>
      </c>
      <c r="I26" s="47">
        <f>SUMIF(T12_Calc!$N$1:$N$500,"PTO wages",T12_Calc!$E$1:$E$500)</f>
        <v/>
      </c>
      <c r="J26" s="47">
        <f>SUMIF(T12_Calc!$N$1:$N$500,"PTO wages",T12_Calc!$F$1:$F$500)</f>
        <v/>
      </c>
      <c r="K26" s="47">
        <f>SUMIF(T12_Calc!$N$1:$N$500,"PTO wages",T12_Calc!$G$1:$G$500)</f>
        <v/>
      </c>
      <c r="L26" s="47">
        <f>SUMIF(T12_Calc!$N$1:$N$500,"PTO wages",T12_Calc!$H$1:$H$500)</f>
        <v/>
      </c>
      <c r="M26" s="47">
        <f>SUMIF(T12_Calc!$N$1:$N$500,"PTO wages",T12_Calc!$I$1:$I$500)</f>
        <v/>
      </c>
      <c r="N26" s="47">
        <f>SUMIF(T12_Calc!$N$1:$N$500,"PTO wages",T12_Calc!$J$1:$J$500)</f>
        <v/>
      </c>
      <c r="O26" s="47">
        <f>SUMIF(T12_Calc!$N$1:$N$500,"PTO wages",T12_Calc!$K$1:$K$500)</f>
        <v/>
      </c>
      <c r="P26" s="47">
        <f>SUMIF(T12_Calc!$N$1:$N$500,"PTO wages",T12_Calc!$L$1:$L$500)</f>
        <v/>
      </c>
      <c r="Q26" s="47">
        <f>SUMIF(T12_Calc!$N$1:$N$500,"PTO wages",T12_Calc!$M$1:$M$500)</f>
        <v/>
      </c>
      <c r="R26" s="93">
        <f>SUM(F26:Q26)</f>
        <v/>
      </c>
    </row>
    <row r="27" ht="15.75" customHeight="1" s="199">
      <c r="A27" s="82" t="inlineStr">
        <is>
          <t>Labor</t>
        </is>
      </c>
      <c r="B27" s="83" t="inlineStr">
        <is>
          <t>Payroll taxes</t>
        </is>
      </c>
      <c r="C27" s="84" t="inlineStr">
        <is>
          <t>-</t>
        </is>
      </c>
      <c r="D27" s="85" t="n"/>
      <c r="E27" s="86" t="inlineStr">
        <is>
          <t>Payroll Taxes</t>
        </is>
      </c>
      <c r="F27" s="24">
        <f>SUMIF(T12_Calc!$N$1:$N$500,"Payroll taxes",T12_Calc!$B$1:$B$500)</f>
        <v/>
      </c>
      <c r="G27" s="24">
        <f>SUMIF(T12_Calc!$N$1:$N$500,"Payroll taxes",T12_Calc!$C$1:$C$500)</f>
        <v/>
      </c>
      <c r="H27" s="24">
        <f>SUMIF(T12_Calc!$N$1:$N$500,"Payroll taxes",T12_Calc!$D$1:$D$500)</f>
        <v/>
      </c>
      <c r="I27" s="24">
        <f>SUMIF(T12_Calc!$N$1:$N$500,"Payroll taxes",T12_Calc!$E$1:$E$500)</f>
        <v/>
      </c>
      <c r="J27" s="24">
        <f>SUMIF(T12_Calc!$N$1:$N$500,"Payroll taxes",T12_Calc!$F$1:$F$500)</f>
        <v/>
      </c>
      <c r="K27" s="24">
        <f>SUMIF(T12_Calc!$N$1:$N$500,"Payroll taxes",T12_Calc!$G$1:$G$500)</f>
        <v/>
      </c>
      <c r="L27" s="24">
        <f>SUMIF(T12_Calc!$N$1:$N$500,"Payroll taxes",T12_Calc!$H$1:$H$500)</f>
        <v/>
      </c>
      <c r="M27" s="24">
        <f>SUMIF(T12_Calc!$N$1:$N$500,"Payroll taxes",T12_Calc!$I$1:$I$500)</f>
        <v/>
      </c>
      <c r="N27" s="24">
        <f>SUMIF(T12_Calc!$N$1:$N$500,"Payroll taxes",T12_Calc!$J$1:$J$500)</f>
        <v/>
      </c>
      <c r="O27" s="24">
        <f>SUMIF(T12_Calc!$N$1:$N$500,"Payroll taxes",T12_Calc!$K$1:$K$500)</f>
        <v/>
      </c>
      <c r="P27" s="24">
        <f>SUMIF(T12_Calc!$N$1:$N$500,"Payroll taxes",T12_Calc!$L$1:$L$500)</f>
        <v/>
      </c>
      <c r="Q27" s="24">
        <f>SUMIF(T12_Calc!$N$1:$N$500,"Payroll taxes",T12_Calc!$M$1:$M$500)</f>
        <v/>
      </c>
      <c r="R27" s="87">
        <f>SUM(F27:Q27)</f>
        <v/>
      </c>
    </row>
    <row r="28" ht="15.75" customHeight="1" s="199">
      <c r="A28" s="82" t="inlineStr">
        <is>
          <t>Labor</t>
        </is>
      </c>
      <c r="B28" s="83" t="inlineStr">
        <is>
          <t>Employee benefits</t>
        </is>
      </c>
      <c r="C28" s="84" t="inlineStr">
        <is>
          <t>-</t>
        </is>
      </c>
      <c r="D28" s="85" t="n"/>
      <c r="E28" s="86" t="inlineStr">
        <is>
          <t>Employee Benefits - Insurance | Employee Benefits</t>
        </is>
      </c>
      <c r="F28" s="24">
        <f>SUMIF(T12_Calc!$N$1:$N$500,"Employee benefits",T12_Calc!$B$1:$B$500)</f>
        <v/>
      </c>
      <c r="G28" s="24">
        <f>SUMIF(T12_Calc!$N$1:$N$500,"Employee benefits",T12_Calc!$C$1:$C$500)</f>
        <v/>
      </c>
      <c r="H28" s="24">
        <f>SUMIF(T12_Calc!$N$1:$N$500,"Employee benefits",T12_Calc!$D$1:$D$500)</f>
        <v/>
      </c>
      <c r="I28" s="24">
        <f>SUMIF(T12_Calc!$N$1:$N$500,"Employee benefits",T12_Calc!$E$1:$E$500)</f>
        <v/>
      </c>
      <c r="J28" s="24">
        <f>SUMIF(T12_Calc!$N$1:$N$500,"Employee benefits",T12_Calc!$F$1:$F$500)</f>
        <v/>
      </c>
      <c r="K28" s="24">
        <f>SUMIF(T12_Calc!$N$1:$N$500,"Employee benefits",T12_Calc!$G$1:$G$500)</f>
        <v/>
      </c>
      <c r="L28" s="24">
        <f>SUMIF(T12_Calc!$N$1:$N$500,"Employee benefits",T12_Calc!$H$1:$H$500)</f>
        <v/>
      </c>
      <c r="M28" s="24">
        <f>SUMIF(T12_Calc!$N$1:$N$500,"Employee benefits",T12_Calc!$I$1:$I$500)</f>
        <v/>
      </c>
      <c r="N28" s="24">
        <f>SUMIF(T12_Calc!$N$1:$N$500,"Employee benefits",T12_Calc!$J$1:$J$500)</f>
        <v/>
      </c>
      <c r="O28" s="24">
        <f>SUMIF(T12_Calc!$N$1:$N$500,"Employee benefits",T12_Calc!$K$1:$K$500)</f>
        <v/>
      </c>
      <c r="P28" s="24">
        <f>SUMIF(T12_Calc!$N$1:$N$500,"Employee benefits",T12_Calc!$L$1:$L$500)</f>
        <v/>
      </c>
      <c r="Q28" s="24">
        <f>SUMIF(T12_Calc!$N$1:$N$500,"Employee benefits",T12_Calc!$M$1:$M$500)</f>
        <v/>
      </c>
      <c r="R28" s="87">
        <f>SUM(F28:Q28)</f>
        <v/>
      </c>
    </row>
    <row r="29" ht="15.75" customHeight="1" s="199">
      <c r="A29" s="82" t="inlineStr">
        <is>
          <t>Labor</t>
        </is>
      </c>
      <c r="B29" s="83" t="inlineStr">
        <is>
          <t>Workers' comp insurance</t>
        </is>
      </c>
      <c r="C29" s="84" t="inlineStr">
        <is>
          <t>-</t>
        </is>
      </c>
      <c r="D29" s="85" t="n"/>
      <c r="E29" s="86" t="inlineStr">
        <is>
          <t>Worker's Comp Insurance | Workers Comp Insurance | Workers' Compensation</t>
        </is>
      </c>
      <c r="F29" s="24">
        <f>SUMIF(T12_Calc!$N$1:$N$500,"Workers' comp insurance",T12_Calc!$B$1:$B$500)</f>
        <v/>
      </c>
      <c r="G29" s="24">
        <f>SUMIF(T12_Calc!$N$1:$N$500,"Workers' comp insurance",T12_Calc!$C$1:$C$500)</f>
        <v/>
      </c>
      <c r="H29" s="24">
        <f>SUMIF(T12_Calc!$N$1:$N$500,"Workers' comp insurance",T12_Calc!$D$1:$D$500)</f>
        <v/>
      </c>
      <c r="I29" s="24">
        <f>SUMIF(T12_Calc!$N$1:$N$500,"Workers' comp insurance",T12_Calc!$E$1:$E$500)</f>
        <v/>
      </c>
      <c r="J29" s="24">
        <f>SUMIF(T12_Calc!$N$1:$N$500,"Workers' comp insurance",T12_Calc!$F$1:$F$500)</f>
        <v/>
      </c>
      <c r="K29" s="24">
        <f>SUMIF(T12_Calc!$N$1:$N$500,"Workers' comp insurance",T12_Calc!$G$1:$G$500)</f>
        <v/>
      </c>
      <c r="L29" s="24">
        <f>SUMIF(T12_Calc!$N$1:$N$500,"Workers' comp insurance",T12_Calc!$H$1:$H$500)</f>
        <v/>
      </c>
      <c r="M29" s="24">
        <f>SUMIF(T12_Calc!$N$1:$N$500,"Workers' comp insurance",T12_Calc!$I$1:$I$500)</f>
        <v/>
      </c>
      <c r="N29" s="24">
        <f>SUMIF(T12_Calc!$N$1:$N$500,"Workers' comp insurance",T12_Calc!$J$1:$J$500)</f>
        <v/>
      </c>
      <c r="O29" s="24">
        <f>SUMIF(T12_Calc!$N$1:$N$500,"Workers' comp insurance",T12_Calc!$K$1:$K$500)</f>
        <v/>
      </c>
      <c r="P29" s="24">
        <f>SUMIF(T12_Calc!$N$1:$N$500,"Workers' comp insurance",T12_Calc!$L$1:$L$500)</f>
        <v/>
      </c>
      <c r="Q29" s="24">
        <f>SUMIF(T12_Calc!$N$1:$N$500,"Workers' comp insurance",T12_Calc!$M$1:$M$500)</f>
        <v/>
      </c>
      <c r="R29" s="87">
        <f>SUM(F29:Q29)</f>
        <v/>
      </c>
    </row>
    <row r="30" ht="15.75" customHeight="1" s="199">
      <c r="A30" s="82" t="inlineStr">
        <is>
          <t>Labor</t>
        </is>
      </c>
      <c r="B30" s="83" t="inlineStr">
        <is>
          <t>Employee 401(k)</t>
        </is>
      </c>
      <c r="C30" s="84" t="inlineStr">
        <is>
          <t>-</t>
        </is>
      </c>
      <c r="D30" s="85" t="n"/>
      <c r="E30" s="86" t="inlineStr">
        <is>
          <t>Employee 401(K) | Employee 401(k)</t>
        </is>
      </c>
      <c r="F30" s="24">
        <f>SUMIF(T12_Calc!$N$1:$N$500,"Employee 401(k)",T12_Calc!$B$1:$B$500)</f>
        <v/>
      </c>
      <c r="G30" s="24">
        <f>SUMIF(T12_Calc!$N$1:$N$500,"Employee 401(k)",T12_Calc!$C$1:$C$500)</f>
        <v/>
      </c>
      <c r="H30" s="24">
        <f>SUMIF(T12_Calc!$N$1:$N$500,"Employee 401(k)",T12_Calc!$D$1:$D$500)</f>
        <v/>
      </c>
      <c r="I30" s="24">
        <f>SUMIF(T12_Calc!$N$1:$N$500,"Employee 401(k)",T12_Calc!$E$1:$E$500)</f>
        <v/>
      </c>
      <c r="J30" s="24">
        <f>SUMIF(T12_Calc!$N$1:$N$500,"Employee 401(k)",T12_Calc!$F$1:$F$500)</f>
        <v/>
      </c>
      <c r="K30" s="24">
        <f>SUMIF(T12_Calc!$N$1:$N$500,"Employee 401(k)",T12_Calc!$G$1:$G$500)</f>
        <v/>
      </c>
      <c r="L30" s="24">
        <f>SUMIF(T12_Calc!$N$1:$N$500,"Employee 401(k)",T12_Calc!$H$1:$H$500)</f>
        <v/>
      </c>
      <c r="M30" s="24">
        <f>SUMIF(T12_Calc!$N$1:$N$500,"Employee 401(k)",T12_Calc!$I$1:$I$500)</f>
        <v/>
      </c>
      <c r="N30" s="24">
        <f>SUMIF(T12_Calc!$N$1:$N$500,"Employee 401(k)",T12_Calc!$J$1:$J$500)</f>
        <v/>
      </c>
      <c r="O30" s="24">
        <f>SUMIF(T12_Calc!$N$1:$N$500,"Employee 401(k)",T12_Calc!$K$1:$K$500)</f>
        <v/>
      </c>
      <c r="P30" s="24">
        <f>SUMIF(T12_Calc!$N$1:$N$500,"Employee 401(k)",T12_Calc!$L$1:$L$500)</f>
        <v/>
      </c>
      <c r="Q30" s="24">
        <f>SUMIF(T12_Calc!$N$1:$N$500,"Employee 401(k)",T12_Calc!$M$1:$M$500)</f>
        <v/>
      </c>
      <c r="R30" s="87">
        <f>SUM(F30:Q30)</f>
        <v/>
      </c>
    </row>
    <row r="31" ht="15.75" customHeight="1" s="199">
      <c r="A31" s="82" t="inlineStr">
        <is>
          <t>Non-Labor</t>
        </is>
      </c>
      <c r="B31" s="83" t="inlineStr">
        <is>
          <t>Food cost</t>
        </is>
      </c>
      <c r="C31" s="84" t="inlineStr">
        <is>
          <t>-</t>
        </is>
      </c>
      <c r="D31" s="85" t="n"/>
      <c r="E31" s="86" t="inlineStr">
        <is>
          <t>Food Cost</t>
        </is>
      </c>
      <c r="F31" s="24">
        <f>SUMIF(T12_Calc!$N$1:$N$500,"Food cost",T12_Calc!$B$1:$B$500)</f>
        <v/>
      </c>
      <c r="G31" s="24">
        <f>SUMIF(T12_Calc!$N$1:$N$500,"Food cost",T12_Calc!$C$1:$C$500)</f>
        <v/>
      </c>
      <c r="H31" s="24">
        <f>SUMIF(T12_Calc!$N$1:$N$500,"Food cost",T12_Calc!$D$1:$D$500)</f>
        <v/>
      </c>
      <c r="I31" s="24">
        <f>SUMIF(T12_Calc!$N$1:$N$500,"Food cost",T12_Calc!$E$1:$E$500)</f>
        <v/>
      </c>
      <c r="J31" s="24">
        <f>SUMIF(T12_Calc!$N$1:$N$500,"Food cost",T12_Calc!$F$1:$F$500)</f>
        <v/>
      </c>
      <c r="K31" s="24">
        <f>SUMIF(T12_Calc!$N$1:$N$500,"Food cost",T12_Calc!$G$1:$G$500)</f>
        <v/>
      </c>
      <c r="L31" s="24">
        <f>SUMIF(T12_Calc!$N$1:$N$500,"Food cost",T12_Calc!$H$1:$H$500)</f>
        <v/>
      </c>
      <c r="M31" s="24">
        <f>SUMIF(T12_Calc!$N$1:$N$500,"Food cost",T12_Calc!$I$1:$I$500)</f>
        <v/>
      </c>
      <c r="N31" s="24">
        <f>SUMIF(T12_Calc!$N$1:$N$500,"Food cost",T12_Calc!$J$1:$J$500)</f>
        <v/>
      </c>
      <c r="O31" s="24">
        <f>SUMIF(T12_Calc!$N$1:$N$500,"Food cost",T12_Calc!$K$1:$K$500)</f>
        <v/>
      </c>
      <c r="P31" s="24">
        <f>SUMIF(T12_Calc!$N$1:$N$500,"Food cost",T12_Calc!$L$1:$L$500)</f>
        <v/>
      </c>
      <c r="Q31" s="24">
        <f>SUMIF(T12_Calc!$N$1:$N$500,"Food cost",T12_Calc!$M$1:$M$500)</f>
        <v/>
      </c>
      <c r="R31" s="87">
        <f>SUM(F31:Q31)</f>
        <v/>
      </c>
    </row>
    <row r="32" ht="15.75" customHeight="1" s="199">
      <c r="A32" s="82" t="inlineStr">
        <is>
          <t>Non-Labor</t>
        </is>
      </c>
      <c r="B32" s="83" t="inlineStr">
        <is>
          <t>Dining &amp; kitchen supplies</t>
        </is>
      </c>
      <c r="C32" s="84" t="inlineStr">
        <is>
          <t>-</t>
        </is>
      </c>
      <c r="D32" s="85" t="n"/>
      <c r="E32" s="86" t="inlineStr">
        <is>
          <t>Dietary Supplies</t>
        </is>
      </c>
      <c r="F32" s="24">
        <f>SUMIF(T12_Calc!$N$1:$N$500,"Dining &amp; kitchen supplies",T12_Calc!$B$1:$B$500)</f>
        <v/>
      </c>
      <c r="G32" s="24">
        <f>SUMIF(T12_Calc!$N$1:$N$500,"Dining &amp; kitchen supplies",T12_Calc!$C$1:$C$500)</f>
        <v/>
      </c>
      <c r="H32" s="24">
        <f>SUMIF(T12_Calc!$N$1:$N$500,"Dining &amp; kitchen supplies",T12_Calc!$D$1:$D$500)</f>
        <v/>
      </c>
      <c r="I32" s="24">
        <f>SUMIF(T12_Calc!$N$1:$N$500,"Dining &amp; kitchen supplies",T12_Calc!$E$1:$E$500)</f>
        <v/>
      </c>
      <c r="J32" s="24">
        <f>SUMIF(T12_Calc!$N$1:$N$500,"Dining &amp; kitchen supplies",T12_Calc!$F$1:$F$500)</f>
        <v/>
      </c>
      <c r="K32" s="24">
        <f>SUMIF(T12_Calc!$N$1:$N$500,"Dining &amp; kitchen supplies",T12_Calc!$G$1:$G$500)</f>
        <v/>
      </c>
      <c r="L32" s="24">
        <f>SUMIF(T12_Calc!$N$1:$N$500,"Dining &amp; kitchen supplies",T12_Calc!$H$1:$H$500)</f>
        <v/>
      </c>
      <c r="M32" s="24">
        <f>SUMIF(T12_Calc!$N$1:$N$500,"Dining &amp; kitchen supplies",T12_Calc!$I$1:$I$500)</f>
        <v/>
      </c>
      <c r="N32" s="24">
        <f>SUMIF(T12_Calc!$N$1:$N$500,"Dining &amp; kitchen supplies",T12_Calc!$J$1:$J$500)</f>
        <v/>
      </c>
      <c r="O32" s="24">
        <f>SUMIF(T12_Calc!$N$1:$N$500,"Dining &amp; kitchen supplies",T12_Calc!$K$1:$K$500)</f>
        <v/>
      </c>
      <c r="P32" s="24">
        <f>SUMIF(T12_Calc!$N$1:$N$500,"Dining &amp; kitchen supplies",T12_Calc!$L$1:$L$500)</f>
        <v/>
      </c>
      <c r="Q32" s="24">
        <f>SUMIF(T12_Calc!$N$1:$N$500,"Dining &amp; kitchen supplies",T12_Calc!$M$1:$M$500)</f>
        <v/>
      </c>
      <c r="R32" s="87">
        <f>SUM(F32:Q32)</f>
        <v/>
      </c>
    </row>
    <row r="33" ht="15.75" customHeight="1" s="199">
      <c r="A33" s="82" t="inlineStr">
        <is>
          <t>Non-Labor</t>
        </is>
      </c>
      <c r="B33" s="83" t="inlineStr">
        <is>
          <t>Nursing &amp; care supplies</t>
        </is>
      </c>
      <c r="C33" s="84" t="inlineStr">
        <is>
          <t>-</t>
        </is>
      </c>
      <c r="D33" s="85" t="n"/>
      <c r="E33" s="86" t="inlineStr">
        <is>
          <t>Nursing Supplies</t>
        </is>
      </c>
      <c r="F33" s="24">
        <f>SUMIF(T12_Calc!$N$1:$N$500,"Nursing &amp; care supplies",T12_Calc!$B$1:$B$500)</f>
        <v/>
      </c>
      <c r="G33" s="24">
        <f>SUMIF(T12_Calc!$N$1:$N$500,"Nursing &amp; care supplies",T12_Calc!$C$1:$C$500)</f>
        <v/>
      </c>
      <c r="H33" s="24">
        <f>SUMIF(T12_Calc!$N$1:$N$500,"Nursing &amp; care supplies",T12_Calc!$D$1:$D$500)</f>
        <v/>
      </c>
      <c r="I33" s="24">
        <f>SUMIF(T12_Calc!$N$1:$N$500,"Nursing &amp; care supplies",T12_Calc!$E$1:$E$500)</f>
        <v/>
      </c>
      <c r="J33" s="24">
        <f>SUMIF(T12_Calc!$N$1:$N$500,"Nursing &amp; care supplies",T12_Calc!$F$1:$F$500)</f>
        <v/>
      </c>
      <c r="K33" s="24">
        <f>SUMIF(T12_Calc!$N$1:$N$500,"Nursing &amp; care supplies",T12_Calc!$G$1:$G$500)</f>
        <v/>
      </c>
      <c r="L33" s="24">
        <f>SUMIF(T12_Calc!$N$1:$N$500,"Nursing &amp; care supplies",T12_Calc!$H$1:$H$500)</f>
        <v/>
      </c>
      <c r="M33" s="24">
        <f>SUMIF(T12_Calc!$N$1:$N$500,"Nursing &amp; care supplies",T12_Calc!$I$1:$I$500)</f>
        <v/>
      </c>
      <c r="N33" s="24">
        <f>SUMIF(T12_Calc!$N$1:$N$500,"Nursing &amp; care supplies",T12_Calc!$J$1:$J$500)</f>
        <v/>
      </c>
      <c r="O33" s="24">
        <f>SUMIF(T12_Calc!$N$1:$N$500,"Nursing &amp; care supplies",T12_Calc!$K$1:$K$500)</f>
        <v/>
      </c>
      <c r="P33" s="24">
        <f>SUMIF(T12_Calc!$N$1:$N$500,"Nursing &amp; care supplies",T12_Calc!$L$1:$L$500)</f>
        <v/>
      </c>
      <c r="Q33" s="24">
        <f>SUMIF(T12_Calc!$N$1:$N$500,"Nursing &amp; care supplies",T12_Calc!$M$1:$M$500)</f>
        <v/>
      </c>
      <c r="R33" s="87">
        <f>SUM(F33:Q33)</f>
        <v/>
      </c>
    </row>
    <row r="34" ht="15.75" customHeight="1" s="199">
      <c r="A34" s="82" t="inlineStr">
        <is>
          <t>Non-Labor</t>
        </is>
      </c>
      <c r="B34" s="83" t="inlineStr">
        <is>
          <t>Recreation &amp; activity suppl.</t>
        </is>
      </c>
      <c r="C34" s="84" t="inlineStr">
        <is>
          <t>-</t>
        </is>
      </c>
      <c r="D34" s="85" t="n"/>
      <c r="E34" s="86" t="inlineStr">
        <is>
          <t>Recreation Supplies</t>
        </is>
      </c>
      <c r="F34" s="24">
        <f>SUMIF(T12_Calc!$N$1:$N$500,"Recreation &amp; activity suppl.",T12_Calc!$B$1:$B$500)</f>
        <v/>
      </c>
      <c r="G34" s="24">
        <f>SUMIF(T12_Calc!$N$1:$N$500,"Recreation &amp; activity suppl.",T12_Calc!$C$1:$C$500)</f>
        <v/>
      </c>
      <c r="H34" s="24">
        <f>SUMIF(T12_Calc!$N$1:$N$500,"Recreation &amp; activity suppl.",T12_Calc!$D$1:$D$500)</f>
        <v/>
      </c>
      <c r="I34" s="24">
        <f>SUMIF(T12_Calc!$N$1:$N$500,"Recreation &amp; activity suppl.",T12_Calc!$E$1:$E$500)</f>
        <v/>
      </c>
      <c r="J34" s="24">
        <f>SUMIF(T12_Calc!$N$1:$N$500,"Recreation &amp; activity suppl.",T12_Calc!$F$1:$F$500)</f>
        <v/>
      </c>
      <c r="K34" s="24">
        <f>SUMIF(T12_Calc!$N$1:$N$500,"Recreation &amp; activity suppl.",T12_Calc!$G$1:$G$500)</f>
        <v/>
      </c>
      <c r="L34" s="24">
        <f>SUMIF(T12_Calc!$N$1:$N$500,"Recreation &amp; activity suppl.",T12_Calc!$H$1:$H$500)</f>
        <v/>
      </c>
      <c r="M34" s="24">
        <f>SUMIF(T12_Calc!$N$1:$N$500,"Recreation &amp; activity suppl.",T12_Calc!$I$1:$I$500)</f>
        <v/>
      </c>
      <c r="N34" s="24">
        <f>SUMIF(T12_Calc!$N$1:$N$500,"Recreation &amp; activity suppl.",T12_Calc!$J$1:$J$500)</f>
        <v/>
      </c>
      <c r="O34" s="24">
        <f>SUMIF(T12_Calc!$N$1:$N$500,"Recreation &amp; activity suppl.",T12_Calc!$K$1:$K$500)</f>
        <v/>
      </c>
      <c r="P34" s="24">
        <f>SUMIF(T12_Calc!$N$1:$N$500,"Recreation &amp; activity suppl.",T12_Calc!$L$1:$L$500)</f>
        <v/>
      </c>
      <c r="Q34" s="24">
        <f>SUMIF(T12_Calc!$N$1:$N$500,"Recreation &amp; activity suppl.",T12_Calc!$M$1:$M$500)</f>
        <v/>
      </c>
      <c r="R34" s="87">
        <f>SUM(F34:Q34)</f>
        <v/>
      </c>
    </row>
    <row r="35" ht="15.75" customHeight="1" s="199">
      <c r="A35" s="82" t="inlineStr">
        <is>
          <t>Non-Labor</t>
        </is>
      </c>
      <c r="B35" s="83" t="inlineStr">
        <is>
          <t>R&amp;M fixed</t>
        </is>
      </c>
      <c r="C35" s="84" t="inlineStr">
        <is>
          <t>-</t>
        </is>
      </c>
      <c r="D35" s="85" t="n"/>
      <c r="E35" s="86" t="inlineStr">
        <is>
          <t>R &amp; M-Fixed | R&amp;M-Fixed | Maintenance Supplies</t>
        </is>
      </c>
      <c r="F35" s="24">
        <f>SUMIF(T12_Calc!$N$1:$N$500,"R&amp;M fixed",T12_Calc!$B$1:$B$500)</f>
        <v/>
      </c>
      <c r="G35" s="24">
        <f>SUMIF(T12_Calc!$N$1:$N$500,"R&amp;M fixed",T12_Calc!$C$1:$C$500)</f>
        <v/>
      </c>
      <c r="H35" s="24">
        <f>SUMIF(T12_Calc!$N$1:$N$500,"R&amp;M fixed",T12_Calc!$D$1:$D$500)</f>
        <v/>
      </c>
      <c r="I35" s="24">
        <f>SUMIF(T12_Calc!$N$1:$N$500,"R&amp;M fixed",T12_Calc!$E$1:$E$500)</f>
        <v/>
      </c>
      <c r="J35" s="24">
        <f>SUMIF(T12_Calc!$N$1:$N$500,"R&amp;M fixed",T12_Calc!$F$1:$F$500)</f>
        <v/>
      </c>
      <c r="K35" s="24">
        <f>SUMIF(T12_Calc!$N$1:$N$500,"R&amp;M fixed",T12_Calc!$G$1:$G$500)</f>
        <v/>
      </c>
      <c r="L35" s="24">
        <f>SUMIF(T12_Calc!$N$1:$N$500,"R&amp;M fixed",T12_Calc!$H$1:$H$500)</f>
        <v/>
      </c>
      <c r="M35" s="24">
        <f>SUMIF(T12_Calc!$N$1:$N$500,"R&amp;M fixed",T12_Calc!$I$1:$I$500)</f>
        <v/>
      </c>
      <c r="N35" s="24">
        <f>SUMIF(T12_Calc!$N$1:$N$500,"R&amp;M fixed",T12_Calc!$J$1:$J$500)</f>
        <v/>
      </c>
      <c r="O35" s="24">
        <f>SUMIF(T12_Calc!$N$1:$N$500,"R&amp;M fixed",T12_Calc!$K$1:$K$500)</f>
        <v/>
      </c>
      <c r="P35" s="24">
        <f>SUMIF(T12_Calc!$N$1:$N$500,"R&amp;M fixed",T12_Calc!$L$1:$L$500)</f>
        <v/>
      </c>
      <c r="Q35" s="24">
        <f>SUMIF(T12_Calc!$N$1:$N$500,"R&amp;M fixed",T12_Calc!$M$1:$M$500)</f>
        <v/>
      </c>
      <c r="R35" s="87">
        <f>SUM(F35:Q35)</f>
        <v/>
      </c>
    </row>
    <row r="36" ht="15.75" customHeight="1" s="199">
      <c r="A36" s="82" t="inlineStr">
        <is>
          <t>Non-Labor</t>
        </is>
      </c>
      <c r="B36" s="83" t="inlineStr">
        <is>
          <t>R&amp;M variable</t>
        </is>
      </c>
      <c r="C36" s="84" t="inlineStr">
        <is>
          <t>-</t>
        </is>
      </c>
      <c r="D36" s="85" t="n"/>
      <c r="E36" s="86" t="inlineStr">
        <is>
          <t>R &amp; M-Variable | R&amp;M-Variable</t>
        </is>
      </c>
      <c r="F36" s="24">
        <f>SUMIF(T12_Calc!$N$1:$N$500,"R&amp;M variable",T12_Calc!$B$1:$B$500)</f>
        <v/>
      </c>
      <c r="G36" s="24">
        <f>SUMIF(T12_Calc!$N$1:$N$500,"R&amp;M variable",T12_Calc!$C$1:$C$500)</f>
        <v/>
      </c>
      <c r="H36" s="24">
        <f>SUMIF(T12_Calc!$N$1:$N$500,"R&amp;M variable",T12_Calc!$D$1:$D$500)</f>
        <v/>
      </c>
      <c r="I36" s="24">
        <f>SUMIF(T12_Calc!$N$1:$N$500,"R&amp;M variable",T12_Calc!$E$1:$E$500)</f>
        <v/>
      </c>
      <c r="J36" s="24">
        <f>SUMIF(T12_Calc!$N$1:$N$500,"R&amp;M variable",T12_Calc!$F$1:$F$500)</f>
        <v/>
      </c>
      <c r="K36" s="24">
        <f>SUMIF(T12_Calc!$N$1:$N$500,"R&amp;M variable",T12_Calc!$G$1:$G$500)</f>
        <v/>
      </c>
      <c r="L36" s="24">
        <f>SUMIF(T12_Calc!$N$1:$N$500,"R&amp;M variable",T12_Calc!$H$1:$H$500)</f>
        <v/>
      </c>
      <c r="M36" s="24">
        <f>SUMIF(T12_Calc!$N$1:$N$500,"R&amp;M variable",T12_Calc!$I$1:$I$500)</f>
        <v/>
      </c>
      <c r="N36" s="24">
        <f>SUMIF(T12_Calc!$N$1:$N$500,"R&amp;M variable",T12_Calc!$J$1:$J$500)</f>
        <v/>
      </c>
      <c r="O36" s="24">
        <f>SUMIF(T12_Calc!$N$1:$N$500,"R&amp;M variable",T12_Calc!$K$1:$K$500)</f>
        <v/>
      </c>
      <c r="P36" s="24">
        <f>SUMIF(T12_Calc!$N$1:$N$500,"R&amp;M variable",T12_Calc!$L$1:$L$500)</f>
        <v/>
      </c>
      <c r="Q36" s="24">
        <f>SUMIF(T12_Calc!$N$1:$N$500,"R&amp;M variable",T12_Calc!$M$1:$M$500)</f>
        <v/>
      </c>
      <c r="R36" s="87">
        <f>SUM(F36:Q36)</f>
        <v/>
      </c>
    </row>
    <row r="37" ht="15.75" customHeight="1" s="199">
      <c r="A37" s="82" t="inlineStr">
        <is>
          <t>Non-Labor</t>
        </is>
      </c>
      <c r="B37" s="83" t="inlineStr">
        <is>
          <t>HK &amp; laundry supplies</t>
        </is>
      </c>
      <c r="C37" s="84" t="inlineStr">
        <is>
          <t>-</t>
        </is>
      </c>
      <c r="D37" s="85" t="n"/>
      <c r="E37" s="86" t="inlineStr">
        <is>
          <t>Housekeeping Supplies | Laundry Supplies</t>
        </is>
      </c>
      <c r="F37" s="24">
        <f>SUMIF(T12_Calc!$N$1:$N$500,"HK &amp; laundry supplies",T12_Calc!$B$1:$B$500)</f>
        <v/>
      </c>
      <c r="G37" s="24">
        <f>SUMIF(T12_Calc!$N$1:$N$500,"HK &amp; laundry supplies",T12_Calc!$C$1:$C$500)</f>
        <v/>
      </c>
      <c r="H37" s="24">
        <f>SUMIF(T12_Calc!$N$1:$N$500,"HK &amp; laundry supplies",T12_Calc!$D$1:$D$500)</f>
        <v/>
      </c>
      <c r="I37" s="24">
        <f>SUMIF(T12_Calc!$N$1:$N$500,"HK &amp; laundry supplies",T12_Calc!$E$1:$E$500)</f>
        <v/>
      </c>
      <c r="J37" s="24">
        <f>SUMIF(T12_Calc!$N$1:$N$500,"HK &amp; laundry supplies",T12_Calc!$F$1:$F$500)</f>
        <v/>
      </c>
      <c r="K37" s="24">
        <f>SUMIF(T12_Calc!$N$1:$N$500,"HK &amp; laundry supplies",T12_Calc!$G$1:$G$500)</f>
        <v/>
      </c>
      <c r="L37" s="24">
        <f>SUMIF(T12_Calc!$N$1:$N$500,"HK &amp; laundry supplies",T12_Calc!$H$1:$H$500)</f>
        <v/>
      </c>
      <c r="M37" s="24">
        <f>SUMIF(T12_Calc!$N$1:$N$500,"HK &amp; laundry supplies",T12_Calc!$I$1:$I$500)</f>
        <v/>
      </c>
      <c r="N37" s="24">
        <f>SUMIF(T12_Calc!$N$1:$N$500,"HK &amp; laundry supplies",T12_Calc!$J$1:$J$500)</f>
        <v/>
      </c>
      <c r="O37" s="24">
        <f>SUMIF(T12_Calc!$N$1:$N$500,"HK &amp; laundry supplies",T12_Calc!$K$1:$K$500)</f>
        <v/>
      </c>
      <c r="P37" s="24">
        <f>SUMIF(T12_Calc!$N$1:$N$500,"HK &amp; laundry supplies",T12_Calc!$L$1:$L$500)</f>
        <v/>
      </c>
      <c r="Q37" s="24">
        <f>SUMIF(T12_Calc!$N$1:$N$500,"HK &amp; laundry supplies",T12_Calc!$M$1:$M$500)</f>
        <v/>
      </c>
      <c r="R37" s="87">
        <f>SUM(F37:Q37)</f>
        <v/>
      </c>
    </row>
    <row r="38" ht="15.75" customHeight="1" s="199">
      <c r="A38" s="82" t="inlineStr">
        <is>
          <t>Non-Labor</t>
        </is>
      </c>
      <c r="B38" s="83" t="inlineStr">
        <is>
          <t>Sales, adv. &amp; marketing</t>
        </is>
      </c>
      <c r="C38" s="84" t="inlineStr">
        <is>
          <t>-</t>
        </is>
      </c>
      <c r="D38" s="85" t="n"/>
      <c r="E38" s="86" t="inlineStr">
        <is>
          <t>Advertising and Promotion | Advertising &amp; Promotion</t>
        </is>
      </c>
      <c r="F38" s="24">
        <f>SUMIF(T12_Calc!$N$1:$N$500,"Sales, adv. &amp; marketing",T12_Calc!$B$1:$B$500)</f>
        <v/>
      </c>
      <c r="G38" s="24">
        <f>SUMIF(T12_Calc!$N$1:$N$500,"Sales, adv. &amp; marketing",T12_Calc!$C$1:$C$500)</f>
        <v/>
      </c>
      <c r="H38" s="24">
        <f>SUMIF(T12_Calc!$N$1:$N$500,"Sales, adv. &amp; marketing",T12_Calc!$D$1:$D$500)</f>
        <v/>
      </c>
      <c r="I38" s="24">
        <f>SUMIF(T12_Calc!$N$1:$N$500,"Sales, adv. &amp; marketing",T12_Calc!$E$1:$E$500)</f>
        <v/>
      </c>
      <c r="J38" s="24">
        <f>SUMIF(T12_Calc!$N$1:$N$500,"Sales, adv. &amp; marketing",T12_Calc!$F$1:$F$500)</f>
        <v/>
      </c>
      <c r="K38" s="24">
        <f>SUMIF(T12_Calc!$N$1:$N$500,"Sales, adv. &amp; marketing",T12_Calc!$G$1:$G$500)</f>
        <v/>
      </c>
      <c r="L38" s="24">
        <f>SUMIF(T12_Calc!$N$1:$N$500,"Sales, adv. &amp; marketing",T12_Calc!$H$1:$H$500)</f>
        <v/>
      </c>
      <c r="M38" s="24">
        <f>SUMIF(T12_Calc!$N$1:$N$500,"Sales, adv. &amp; marketing",T12_Calc!$I$1:$I$500)</f>
        <v/>
      </c>
      <c r="N38" s="24">
        <f>SUMIF(T12_Calc!$N$1:$N$500,"Sales, adv. &amp; marketing",T12_Calc!$J$1:$J$500)</f>
        <v/>
      </c>
      <c r="O38" s="24">
        <f>SUMIF(T12_Calc!$N$1:$N$500,"Sales, adv. &amp; marketing",T12_Calc!$K$1:$K$500)</f>
        <v/>
      </c>
      <c r="P38" s="24">
        <f>SUMIF(T12_Calc!$N$1:$N$500,"Sales, adv. &amp; marketing",T12_Calc!$L$1:$L$500)</f>
        <v/>
      </c>
      <c r="Q38" s="24">
        <f>SUMIF(T12_Calc!$N$1:$N$500,"Sales, adv. &amp; marketing",T12_Calc!$M$1:$M$500)</f>
        <v/>
      </c>
      <c r="R38" s="87">
        <f>SUM(F38:Q38)</f>
        <v/>
      </c>
    </row>
    <row r="39" ht="15.75" customHeight="1" s="199">
      <c r="A39" s="88" t="inlineStr">
        <is>
          <t>Non-Labor</t>
        </is>
      </c>
      <c r="B39" s="89" t="inlineStr">
        <is>
          <t>Referral fees</t>
        </is>
      </c>
      <c r="C39" s="90" t="inlineStr">
        <is>
          <t>-</t>
        </is>
      </c>
      <c r="D39" s="91" t="inlineStr">
        <is>
          <t>Normalize at stabilization</t>
        </is>
      </c>
      <c r="E39" s="92" t="inlineStr">
        <is>
          <t>Referral Fees</t>
        </is>
      </c>
      <c r="F39" s="47">
        <f>SUMIF(T12_Calc!$N$1:$N$500,"Referral fees",T12_Calc!$B$1:$B$500)</f>
        <v/>
      </c>
      <c r="G39" s="47">
        <f>SUMIF(T12_Calc!$N$1:$N$500,"Referral fees",T12_Calc!$C$1:$C$500)</f>
        <v/>
      </c>
      <c r="H39" s="47">
        <f>SUMIF(T12_Calc!$N$1:$N$500,"Referral fees",T12_Calc!$D$1:$D$500)</f>
        <v/>
      </c>
      <c r="I39" s="47">
        <f>SUMIF(T12_Calc!$N$1:$N$500,"Referral fees",T12_Calc!$E$1:$E$500)</f>
        <v/>
      </c>
      <c r="J39" s="47">
        <f>SUMIF(T12_Calc!$N$1:$N$500,"Referral fees",T12_Calc!$F$1:$F$500)</f>
        <v/>
      </c>
      <c r="K39" s="47">
        <f>SUMIF(T12_Calc!$N$1:$N$500,"Referral fees",T12_Calc!$G$1:$G$500)</f>
        <v/>
      </c>
      <c r="L39" s="47">
        <f>SUMIF(T12_Calc!$N$1:$N$500,"Referral fees",T12_Calc!$H$1:$H$500)</f>
        <v/>
      </c>
      <c r="M39" s="47">
        <f>SUMIF(T12_Calc!$N$1:$N$500,"Referral fees",T12_Calc!$I$1:$I$500)</f>
        <v/>
      </c>
      <c r="N39" s="47">
        <f>SUMIF(T12_Calc!$N$1:$N$500,"Referral fees",T12_Calc!$J$1:$J$500)</f>
        <v/>
      </c>
      <c r="O39" s="47">
        <f>SUMIF(T12_Calc!$N$1:$N$500,"Referral fees",T12_Calc!$K$1:$K$500)</f>
        <v/>
      </c>
      <c r="P39" s="47">
        <f>SUMIF(T12_Calc!$N$1:$N$500,"Referral fees",T12_Calc!$L$1:$L$500)</f>
        <v/>
      </c>
      <c r="Q39" s="47">
        <f>SUMIF(T12_Calc!$N$1:$N$500,"Referral fees",T12_Calc!$M$1:$M$500)</f>
        <v/>
      </c>
      <c r="R39" s="93">
        <f>SUM(F39:Q39)</f>
        <v/>
      </c>
    </row>
    <row r="40" ht="15.75" customHeight="1" s="199">
      <c r="A40" s="82" t="inlineStr">
        <is>
          <t>Non-Labor</t>
        </is>
      </c>
      <c r="B40" s="83" t="inlineStr">
        <is>
          <t>Utilities</t>
        </is>
      </c>
      <c r="C40" s="84" t="inlineStr">
        <is>
          <t>-</t>
        </is>
      </c>
      <c r="D40" s="85" t="n"/>
      <c r="E40" s="86" t="inlineStr">
        <is>
          <t>Utilities</t>
        </is>
      </c>
      <c r="F40" s="24">
        <f>SUMIF(T12_Calc!$N$1:$N$500,"Utilities",T12_Calc!$B$1:$B$500)</f>
        <v/>
      </c>
      <c r="G40" s="24">
        <f>SUMIF(T12_Calc!$N$1:$N$500,"Utilities",T12_Calc!$C$1:$C$500)</f>
        <v/>
      </c>
      <c r="H40" s="24">
        <f>SUMIF(T12_Calc!$N$1:$N$500,"Utilities",T12_Calc!$D$1:$D$500)</f>
        <v/>
      </c>
      <c r="I40" s="24">
        <f>SUMIF(T12_Calc!$N$1:$N$500,"Utilities",T12_Calc!$E$1:$E$500)</f>
        <v/>
      </c>
      <c r="J40" s="24">
        <f>SUMIF(T12_Calc!$N$1:$N$500,"Utilities",T12_Calc!$F$1:$F$500)</f>
        <v/>
      </c>
      <c r="K40" s="24">
        <f>SUMIF(T12_Calc!$N$1:$N$500,"Utilities",T12_Calc!$G$1:$G$500)</f>
        <v/>
      </c>
      <c r="L40" s="24">
        <f>SUMIF(T12_Calc!$N$1:$N$500,"Utilities",T12_Calc!$H$1:$H$500)</f>
        <v/>
      </c>
      <c r="M40" s="24">
        <f>SUMIF(T12_Calc!$N$1:$N$500,"Utilities",T12_Calc!$I$1:$I$500)</f>
        <v/>
      </c>
      <c r="N40" s="24">
        <f>SUMIF(T12_Calc!$N$1:$N$500,"Utilities",T12_Calc!$J$1:$J$500)</f>
        <v/>
      </c>
      <c r="O40" s="24">
        <f>SUMIF(T12_Calc!$N$1:$N$500,"Utilities",T12_Calc!$K$1:$K$500)</f>
        <v/>
      </c>
      <c r="P40" s="24">
        <f>SUMIF(T12_Calc!$N$1:$N$500,"Utilities",T12_Calc!$L$1:$L$500)</f>
        <v/>
      </c>
      <c r="Q40" s="24">
        <f>SUMIF(T12_Calc!$N$1:$N$500,"Utilities",T12_Calc!$M$1:$M$500)</f>
        <v/>
      </c>
      <c r="R40" s="87">
        <f>SUM(F40:Q40)</f>
        <v/>
      </c>
    </row>
    <row r="41" ht="15.75" customHeight="1" s="199">
      <c r="A41" s="82" t="inlineStr">
        <is>
          <t>Non-Labor</t>
        </is>
      </c>
      <c r="B41" s="83" t="inlineStr">
        <is>
          <t>Telephone / IT</t>
        </is>
      </c>
      <c r="C41" s="84" t="inlineStr">
        <is>
          <t>-</t>
        </is>
      </c>
      <c r="D41" s="85" t="n"/>
      <c r="E41" s="86" t="inlineStr">
        <is>
          <t>Telephone/IT | Telephone Reimbursement</t>
        </is>
      </c>
      <c r="F41" s="24">
        <f>SUMIF(T12_Calc!$N$1:$N$500,"Telephone / IT",T12_Calc!$B$1:$B$500)</f>
        <v/>
      </c>
      <c r="G41" s="24">
        <f>SUMIF(T12_Calc!$N$1:$N$500,"Telephone / IT",T12_Calc!$C$1:$C$500)</f>
        <v/>
      </c>
      <c r="H41" s="24">
        <f>SUMIF(T12_Calc!$N$1:$N$500,"Telephone / IT",T12_Calc!$D$1:$D$500)</f>
        <v/>
      </c>
      <c r="I41" s="24">
        <f>SUMIF(T12_Calc!$N$1:$N$500,"Telephone / IT",T12_Calc!$E$1:$E$500)</f>
        <v/>
      </c>
      <c r="J41" s="24">
        <f>SUMIF(T12_Calc!$N$1:$N$500,"Telephone / IT",T12_Calc!$F$1:$F$500)</f>
        <v/>
      </c>
      <c r="K41" s="24">
        <f>SUMIF(T12_Calc!$N$1:$N$500,"Telephone / IT",T12_Calc!$G$1:$G$500)</f>
        <v/>
      </c>
      <c r="L41" s="24">
        <f>SUMIF(T12_Calc!$N$1:$N$500,"Telephone / IT",T12_Calc!$H$1:$H$500)</f>
        <v/>
      </c>
      <c r="M41" s="24">
        <f>SUMIF(T12_Calc!$N$1:$N$500,"Telephone / IT",T12_Calc!$I$1:$I$500)</f>
        <v/>
      </c>
      <c r="N41" s="24">
        <f>SUMIF(T12_Calc!$N$1:$N$500,"Telephone / IT",T12_Calc!$J$1:$J$500)</f>
        <v/>
      </c>
      <c r="O41" s="24">
        <f>SUMIF(T12_Calc!$N$1:$N$500,"Telephone / IT",T12_Calc!$K$1:$K$500)</f>
        <v/>
      </c>
      <c r="P41" s="24">
        <f>SUMIF(T12_Calc!$N$1:$N$500,"Telephone / IT",T12_Calc!$L$1:$L$500)</f>
        <v/>
      </c>
      <c r="Q41" s="24">
        <f>SUMIF(T12_Calc!$N$1:$N$500,"Telephone / IT",T12_Calc!$M$1:$M$500)</f>
        <v/>
      </c>
      <c r="R41" s="87">
        <f>SUM(F41:Q41)</f>
        <v/>
      </c>
    </row>
    <row r="42" ht="15.75" customHeight="1" s="199">
      <c r="A42" s="82" t="inlineStr">
        <is>
          <t>Non-Labor</t>
        </is>
      </c>
      <c r="B42" s="83" t="inlineStr">
        <is>
          <t>P&amp;C insurance (bundled)</t>
        </is>
      </c>
      <c r="C42" s="84" t="inlineStr">
        <is>
          <t>-</t>
        </is>
      </c>
      <c r="D42" s="85" t="n"/>
      <c r="E42" s="86" t="inlineStr">
        <is>
          <t>Bundled Insurance Poilicies | Bundled Insurance Policies | EPLI Insurance</t>
        </is>
      </c>
      <c r="F42" s="24">
        <f>SUMIF(T12_Calc!$N$1:$N$500,"P&amp;C insurance (bundled)",T12_Calc!$B$1:$B$500)</f>
        <v/>
      </c>
      <c r="G42" s="24">
        <f>SUMIF(T12_Calc!$N$1:$N$500,"P&amp;C insurance (bundled)",T12_Calc!$C$1:$C$500)</f>
        <v/>
      </c>
      <c r="H42" s="24">
        <f>SUMIF(T12_Calc!$N$1:$N$500,"P&amp;C insurance (bundled)",T12_Calc!$D$1:$D$500)</f>
        <v/>
      </c>
      <c r="I42" s="24">
        <f>SUMIF(T12_Calc!$N$1:$N$500,"P&amp;C insurance (bundled)",T12_Calc!$E$1:$E$500)</f>
        <v/>
      </c>
      <c r="J42" s="24">
        <f>SUMIF(T12_Calc!$N$1:$N$500,"P&amp;C insurance (bundled)",T12_Calc!$F$1:$F$500)</f>
        <v/>
      </c>
      <c r="K42" s="24">
        <f>SUMIF(T12_Calc!$N$1:$N$500,"P&amp;C insurance (bundled)",T12_Calc!$G$1:$G$500)</f>
        <v/>
      </c>
      <c r="L42" s="24">
        <f>SUMIF(T12_Calc!$N$1:$N$500,"P&amp;C insurance (bundled)",T12_Calc!$H$1:$H$500)</f>
        <v/>
      </c>
      <c r="M42" s="24">
        <f>SUMIF(T12_Calc!$N$1:$N$500,"P&amp;C insurance (bundled)",T12_Calc!$I$1:$I$500)</f>
        <v/>
      </c>
      <c r="N42" s="24">
        <f>SUMIF(T12_Calc!$N$1:$N$500,"P&amp;C insurance (bundled)",T12_Calc!$J$1:$J$500)</f>
        <v/>
      </c>
      <c r="O42" s="24">
        <f>SUMIF(T12_Calc!$N$1:$N$500,"P&amp;C insurance (bundled)",T12_Calc!$K$1:$K$500)</f>
        <v/>
      </c>
      <c r="P42" s="24">
        <f>SUMIF(T12_Calc!$N$1:$N$500,"P&amp;C insurance (bundled)",T12_Calc!$L$1:$L$500)</f>
        <v/>
      </c>
      <c r="Q42" s="24">
        <f>SUMIF(T12_Calc!$N$1:$N$500,"P&amp;C insurance (bundled)",T12_Calc!$M$1:$M$500)</f>
        <v/>
      </c>
      <c r="R42" s="87">
        <f>SUM(F42:Q42)</f>
        <v/>
      </c>
    </row>
    <row r="43" ht="15.75" customHeight="1" s="199">
      <c r="A43" s="82" t="inlineStr">
        <is>
          <t>Non-Labor</t>
        </is>
      </c>
      <c r="B43" s="83" t="inlineStr">
        <is>
          <t>Auto insurance</t>
        </is>
      </c>
      <c r="C43" s="84" t="inlineStr">
        <is>
          <t>-</t>
        </is>
      </c>
      <c r="D43" s="85" t="n"/>
      <c r="E43" s="86" t="inlineStr">
        <is>
          <t>Auto Insurance</t>
        </is>
      </c>
      <c r="F43" s="24">
        <f>SUMIF(T12_Calc!$N$1:$N$500,"Auto insurance",T12_Calc!$B$1:$B$500)</f>
        <v/>
      </c>
      <c r="G43" s="24">
        <f>SUMIF(T12_Calc!$N$1:$N$500,"Auto insurance",T12_Calc!$C$1:$C$500)</f>
        <v/>
      </c>
      <c r="H43" s="24">
        <f>SUMIF(T12_Calc!$N$1:$N$500,"Auto insurance",T12_Calc!$D$1:$D$500)</f>
        <v/>
      </c>
      <c r="I43" s="24">
        <f>SUMIF(T12_Calc!$N$1:$N$500,"Auto insurance",T12_Calc!$E$1:$E$500)</f>
        <v/>
      </c>
      <c r="J43" s="24">
        <f>SUMIF(T12_Calc!$N$1:$N$500,"Auto insurance",T12_Calc!$F$1:$F$500)</f>
        <v/>
      </c>
      <c r="K43" s="24">
        <f>SUMIF(T12_Calc!$N$1:$N$500,"Auto insurance",T12_Calc!$G$1:$G$500)</f>
        <v/>
      </c>
      <c r="L43" s="24">
        <f>SUMIF(T12_Calc!$N$1:$N$500,"Auto insurance",T12_Calc!$H$1:$H$500)</f>
        <v/>
      </c>
      <c r="M43" s="24">
        <f>SUMIF(T12_Calc!$N$1:$N$500,"Auto insurance",T12_Calc!$I$1:$I$500)</f>
        <v/>
      </c>
      <c r="N43" s="24">
        <f>SUMIF(T12_Calc!$N$1:$N$500,"Auto insurance",T12_Calc!$J$1:$J$500)</f>
        <v/>
      </c>
      <c r="O43" s="24">
        <f>SUMIF(T12_Calc!$N$1:$N$500,"Auto insurance",T12_Calc!$K$1:$K$500)</f>
        <v/>
      </c>
      <c r="P43" s="24">
        <f>SUMIF(T12_Calc!$N$1:$N$500,"Auto insurance",T12_Calc!$L$1:$L$500)</f>
        <v/>
      </c>
      <c r="Q43" s="24">
        <f>SUMIF(T12_Calc!$N$1:$N$500,"Auto insurance",T12_Calc!$M$1:$M$500)</f>
        <v/>
      </c>
      <c r="R43" s="87">
        <f>SUM(F43:Q43)</f>
        <v/>
      </c>
    </row>
    <row r="44" ht="15.75" customHeight="1" s="199">
      <c r="A44" s="82" t="inlineStr">
        <is>
          <t>Non-Labor</t>
        </is>
      </c>
      <c r="B44" s="83" t="inlineStr">
        <is>
          <t>Fire / security monitoring</t>
        </is>
      </c>
      <c r="C44" s="84" t="inlineStr">
        <is>
          <t>-</t>
        </is>
      </c>
      <c r="D44" s="85" t="n"/>
      <c r="E44" s="86" t="inlineStr">
        <is>
          <t>Fire/Security Monitoring</t>
        </is>
      </c>
      <c r="F44" s="24">
        <f>SUMIF(T12_Calc!$N$1:$N$500,"Fire / security monitoring",T12_Calc!$B$1:$B$500)</f>
        <v/>
      </c>
      <c r="G44" s="24">
        <f>SUMIF(T12_Calc!$N$1:$N$500,"Fire / security monitoring",T12_Calc!$C$1:$C$500)</f>
        <v/>
      </c>
      <c r="H44" s="24">
        <f>SUMIF(T12_Calc!$N$1:$N$500,"Fire / security monitoring",T12_Calc!$D$1:$D$500)</f>
        <v/>
      </c>
      <c r="I44" s="24">
        <f>SUMIF(T12_Calc!$N$1:$N$500,"Fire / security monitoring",T12_Calc!$E$1:$E$500)</f>
        <v/>
      </c>
      <c r="J44" s="24">
        <f>SUMIF(T12_Calc!$N$1:$N$500,"Fire / security monitoring",T12_Calc!$F$1:$F$500)</f>
        <v/>
      </c>
      <c r="K44" s="24">
        <f>SUMIF(T12_Calc!$N$1:$N$500,"Fire / security monitoring",T12_Calc!$G$1:$G$500)</f>
        <v/>
      </c>
      <c r="L44" s="24">
        <f>SUMIF(T12_Calc!$N$1:$N$500,"Fire / security monitoring",T12_Calc!$H$1:$H$500)</f>
        <v/>
      </c>
      <c r="M44" s="24">
        <f>SUMIF(T12_Calc!$N$1:$N$500,"Fire / security monitoring",T12_Calc!$I$1:$I$500)</f>
        <v/>
      </c>
      <c r="N44" s="24">
        <f>SUMIF(T12_Calc!$N$1:$N$500,"Fire / security monitoring",T12_Calc!$J$1:$J$500)</f>
        <v/>
      </c>
      <c r="O44" s="24">
        <f>SUMIF(T12_Calc!$N$1:$N$500,"Fire / security monitoring",T12_Calc!$K$1:$K$500)</f>
        <v/>
      </c>
      <c r="P44" s="24">
        <f>SUMIF(T12_Calc!$N$1:$N$500,"Fire / security monitoring",T12_Calc!$L$1:$L$500)</f>
        <v/>
      </c>
      <c r="Q44" s="24">
        <f>SUMIF(T12_Calc!$N$1:$N$500,"Fire / security monitoring",T12_Calc!$M$1:$M$500)</f>
        <v/>
      </c>
      <c r="R44" s="87">
        <f>SUM(F44:Q44)</f>
        <v/>
      </c>
    </row>
    <row r="45" ht="15.75" customHeight="1" s="199">
      <c r="A45" s="82" t="inlineStr">
        <is>
          <t>Non-Labor</t>
        </is>
      </c>
      <c r="B45" s="83" t="inlineStr">
        <is>
          <t>Pest elimination</t>
        </is>
      </c>
      <c r="C45" s="84" t="inlineStr">
        <is>
          <t>-</t>
        </is>
      </c>
      <c r="D45" s="85" t="n"/>
      <c r="E45" s="86" t="inlineStr">
        <is>
          <t>Pest Elimination</t>
        </is>
      </c>
      <c r="F45" s="24">
        <f>SUMIF(T12_Calc!$N$1:$N$500,"Pest elimination",T12_Calc!$B$1:$B$500)</f>
        <v/>
      </c>
      <c r="G45" s="24">
        <f>SUMIF(T12_Calc!$N$1:$N$500,"Pest elimination",T12_Calc!$C$1:$C$500)</f>
        <v/>
      </c>
      <c r="H45" s="24">
        <f>SUMIF(T12_Calc!$N$1:$N$500,"Pest elimination",T12_Calc!$D$1:$D$500)</f>
        <v/>
      </c>
      <c r="I45" s="24">
        <f>SUMIF(T12_Calc!$N$1:$N$500,"Pest elimination",T12_Calc!$E$1:$E$500)</f>
        <v/>
      </c>
      <c r="J45" s="24">
        <f>SUMIF(T12_Calc!$N$1:$N$500,"Pest elimination",T12_Calc!$F$1:$F$500)</f>
        <v/>
      </c>
      <c r="K45" s="24">
        <f>SUMIF(T12_Calc!$N$1:$N$500,"Pest elimination",T12_Calc!$G$1:$G$500)</f>
        <v/>
      </c>
      <c r="L45" s="24">
        <f>SUMIF(T12_Calc!$N$1:$N$500,"Pest elimination",T12_Calc!$H$1:$H$500)</f>
        <v/>
      </c>
      <c r="M45" s="24">
        <f>SUMIF(T12_Calc!$N$1:$N$500,"Pest elimination",T12_Calc!$I$1:$I$500)</f>
        <v/>
      </c>
      <c r="N45" s="24">
        <f>SUMIF(T12_Calc!$N$1:$N$500,"Pest elimination",T12_Calc!$J$1:$J$500)</f>
        <v/>
      </c>
      <c r="O45" s="24">
        <f>SUMIF(T12_Calc!$N$1:$N$500,"Pest elimination",T12_Calc!$K$1:$K$500)</f>
        <v/>
      </c>
      <c r="P45" s="24">
        <f>SUMIF(T12_Calc!$N$1:$N$500,"Pest elimination",T12_Calc!$L$1:$L$500)</f>
        <v/>
      </c>
      <c r="Q45" s="24">
        <f>SUMIF(T12_Calc!$N$1:$N$500,"Pest elimination",T12_Calc!$M$1:$M$500)</f>
        <v/>
      </c>
      <c r="R45" s="87">
        <f>SUM(F45:Q45)</f>
        <v/>
      </c>
    </row>
    <row r="46" ht="15.75" customHeight="1" s="199">
      <c r="A46" s="88" t="inlineStr">
        <is>
          <t>Non-Labor</t>
        </is>
      </c>
      <c r="B46" s="89" t="inlineStr">
        <is>
          <t>Real estate taxes</t>
        </is>
      </c>
      <c r="C46" s="90" t="inlineStr">
        <is>
          <t>-</t>
        </is>
      </c>
      <c r="D46" s="91" t="inlineStr">
        <is>
          <t>Verify assessed value</t>
        </is>
      </c>
      <c r="E46" s="92" t="inlineStr">
        <is>
          <t>Property Tax Expense | Real Estate Taxes</t>
        </is>
      </c>
      <c r="F46" s="47">
        <f>SUMIF(T12_Calc!$N$1:$N$500,"Real estate taxes",T12_Calc!$B$1:$B$500)</f>
        <v/>
      </c>
      <c r="G46" s="47">
        <f>SUMIF(T12_Calc!$N$1:$N$500,"Real estate taxes",T12_Calc!$C$1:$C$500)</f>
        <v/>
      </c>
      <c r="H46" s="47">
        <f>SUMIF(T12_Calc!$N$1:$N$500,"Real estate taxes",T12_Calc!$D$1:$D$500)</f>
        <v/>
      </c>
      <c r="I46" s="47">
        <f>SUMIF(T12_Calc!$N$1:$N$500,"Real estate taxes",T12_Calc!$E$1:$E$500)</f>
        <v/>
      </c>
      <c r="J46" s="47">
        <f>SUMIF(T12_Calc!$N$1:$N$500,"Real estate taxes",T12_Calc!$F$1:$F$500)</f>
        <v/>
      </c>
      <c r="K46" s="47">
        <f>SUMIF(T12_Calc!$N$1:$N$500,"Real estate taxes",T12_Calc!$G$1:$G$500)</f>
        <v/>
      </c>
      <c r="L46" s="47">
        <f>SUMIF(T12_Calc!$N$1:$N$500,"Real estate taxes",T12_Calc!$H$1:$H$500)</f>
        <v/>
      </c>
      <c r="M46" s="47">
        <f>SUMIF(T12_Calc!$N$1:$N$500,"Real estate taxes",T12_Calc!$I$1:$I$500)</f>
        <v/>
      </c>
      <c r="N46" s="47">
        <f>SUMIF(T12_Calc!$N$1:$N$500,"Real estate taxes",T12_Calc!$J$1:$J$500)</f>
        <v/>
      </c>
      <c r="O46" s="47">
        <f>SUMIF(T12_Calc!$N$1:$N$500,"Real estate taxes",T12_Calc!$K$1:$K$500)</f>
        <v/>
      </c>
      <c r="P46" s="47">
        <f>SUMIF(T12_Calc!$N$1:$N$500,"Real estate taxes",T12_Calc!$L$1:$L$500)</f>
        <v/>
      </c>
      <c r="Q46" s="47">
        <f>SUMIF(T12_Calc!$N$1:$N$500,"Real estate taxes",T12_Calc!$M$1:$M$500)</f>
        <v/>
      </c>
      <c r="R46" s="93">
        <f>SUM(F46:Q46)</f>
        <v/>
      </c>
    </row>
    <row r="47" ht="15.75" customHeight="1" s="199">
      <c r="A47" s="82" t="inlineStr">
        <is>
          <t>Non-Labor</t>
        </is>
      </c>
      <c r="B47" s="83" t="inlineStr">
        <is>
          <t>Personal property taxes</t>
        </is>
      </c>
      <c r="C47" s="84" t="inlineStr">
        <is>
          <t>-</t>
        </is>
      </c>
      <c r="D47" s="85" t="n"/>
      <c r="E47" s="86" t="inlineStr">
        <is>
          <t>Personal Property Tax Expense | Personal Property Taxes</t>
        </is>
      </c>
      <c r="F47" s="24">
        <f>SUMIF(T12_Calc!$N$1:$N$500,"Personal property taxes",T12_Calc!$B$1:$B$500)</f>
        <v/>
      </c>
      <c r="G47" s="24">
        <f>SUMIF(T12_Calc!$N$1:$N$500,"Personal property taxes",T12_Calc!$C$1:$C$500)</f>
        <v/>
      </c>
      <c r="H47" s="24">
        <f>SUMIF(T12_Calc!$N$1:$N$500,"Personal property taxes",T12_Calc!$D$1:$D$500)</f>
        <v/>
      </c>
      <c r="I47" s="24">
        <f>SUMIF(T12_Calc!$N$1:$N$500,"Personal property taxes",T12_Calc!$E$1:$E$500)</f>
        <v/>
      </c>
      <c r="J47" s="24">
        <f>SUMIF(T12_Calc!$N$1:$N$500,"Personal property taxes",T12_Calc!$F$1:$F$500)</f>
        <v/>
      </c>
      <c r="K47" s="24">
        <f>SUMIF(T12_Calc!$N$1:$N$500,"Personal property taxes",T12_Calc!$G$1:$G$500)</f>
        <v/>
      </c>
      <c r="L47" s="24">
        <f>SUMIF(T12_Calc!$N$1:$N$500,"Personal property taxes",T12_Calc!$H$1:$H$500)</f>
        <v/>
      </c>
      <c r="M47" s="24">
        <f>SUMIF(T12_Calc!$N$1:$N$500,"Personal property taxes",T12_Calc!$I$1:$I$500)</f>
        <v/>
      </c>
      <c r="N47" s="24">
        <f>SUMIF(T12_Calc!$N$1:$N$500,"Personal property taxes",T12_Calc!$J$1:$J$500)</f>
        <v/>
      </c>
      <c r="O47" s="24">
        <f>SUMIF(T12_Calc!$N$1:$N$500,"Personal property taxes",T12_Calc!$K$1:$K$500)</f>
        <v/>
      </c>
      <c r="P47" s="24">
        <f>SUMIF(T12_Calc!$N$1:$N$500,"Personal property taxes",T12_Calc!$L$1:$L$500)</f>
        <v/>
      </c>
      <c r="Q47" s="24">
        <f>SUMIF(T12_Calc!$N$1:$N$500,"Personal property taxes",T12_Calc!$M$1:$M$500)</f>
        <v/>
      </c>
      <c r="R47" s="87">
        <f>SUM(F47:Q47)</f>
        <v/>
      </c>
    </row>
    <row r="48" ht="15.75" customHeight="1" s="199">
      <c r="A48" s="82" t="inlineStr">
        <is>
          <t>Non-Labor</t>
        </is>
      </c>
      <c r="B48" s="83" t="inlineStr">
        <is>
          <t>Legal expenses</t>
        </is>
      </c>
      <c r="C48" s="84" t="inlineStr">
        <is>
          <t>-</t>
        </is>
      </c>
      <c r="D48" s="85" t="n"/>
      <c r="E48" s="86" t="inlineStr">
        <is>
          <t>Legal Expense | Legal Expenses</t>
        </is>
      </c>
      <c r="F48" s="24">
        <f>SUMIF(T12_Calc!$N$1:$N$500,"Legal expenses",T12_Calc!$B$1:$B$500)</f>
        <v/>
      </c>
      <c r="G48" s="24">
        <f>SUMIF(T12_Calc!$N$1:$N$500,"Legal expenses",T12_Calc!$C$1:$C$500)</f>
        <v/>
      </c>
      <c r="H48" s="24">
        <f>SUMIF(T12_Calc!$N$1:$N$500,"Legal expenses",T12_Calc!$D$1:$D$500)</f>
        <v/>
      </c>
      <c r="I48" s="24">
        <f>SUMIF(T12_Calc!$N$1:$N$500,"Legal expenses",T12_Calc!$E$1:$E$500)</f>
        <v/>
      </c>
      <c r="J48" s="24">
        <f>SUMIF(T12_Calc!$N$1:$N$500,"Legal expenses",T12_Calc!$F$1:$F$500)</f>
        <v/>
      </c>
      <c r="K48" s="24">
        <f>SUMIF(T12_Calc!$N$1:$N$500,"Legal expenses",T12_Calc!$G$1:$G$500)</f>
        <v/>
      </c>
      <c r="L48" s="24">
        <f>SUMIF(T12_Calc!$N$1:$N$500,"Legal expenses",T12_Calc!$H$1:$H$500)</f>
        <v/>
      </c>
      <c r="M48" s="24">
        <f>SUMIF(T12_Calc!$N$1:$N$500,"Legal expenses",T12_Calc!$I$1:$I$500)</f>
        <v/>
      </c>
      <c r="N48" s="24">
        <f>SUMIF(T12_Calc!$N$1:$N$500,"Legal expenses",T12_Calc!$J$1:$J$500)</f>
        <v/>
      </c>
      <c r="O48" s="24">
        <f>SUMIF(T12_Calc!$N$1:$N$500,"Legal expenses",T12_Calc!$K$1:$K$500)</f>
        <v/>
      </c>
      <c r="P48" s="24">
        <f>SUMIF(T12_Calc!$N$1:$N$500,"Legal expenses",T12_Calc!$L$1:$L$500)</f>
        <v/>
      </c>
      <c r="Q48" s="24">
        <f>SUMIF(T12_Calc!$N$1:$N$500,"Legal expenses",T12_Calc!$M$1:$M$500)</f>
        <v/>
      </c>
      <c r="R48" s="87">
        <f>SUM(F48:Q48)</f>
        <v/>
      </c>
    </row>
    <row r="49" ht="15.75" customHeight="1" s="199">
      <c r="A49" s="82" t="inlineStr">
        <is>
          <t>Non-Labor</t>
        </is>
      </c>
      <c r="B49" s="83" t="inlineStr">
        <is>
          <t>Professional services</t>
        </is>
      </c>
      <c r="C49" s="84" t="inlineStr">
        <is>
          <t>-</t>
        </is>
      </c>
      <c r="D49" s="85" t="n"/>
      <c r="E49" s="86" t="inlineStr">
        <is>
          <t>Professional Services</t>
        </is>
      </c>
      <c r="F49" s="24">
        <f>SUMIF(T12_Calc!$N$1:$N$500,"Professional services",T12_Calc!$B$1:$B$500)</f>
        <v/>
      </c>
      <c r="G49" s="24">
        <f>SUMIF(T12_Calc!$N$1:$N$500,"Professional services",T12_Calc!$C$1:$C$500)</f>
        <v/>
      </c>
      <c r="H49" s="24">
        <f>SUMIF(T12_Calc!$N$1:$N$500,"Professional services",T12_Calc!$D$1:$D$500)</f>
        <v/>
      </c>
      <c r="I49" s="24">
        <f>SUMIF(T12_Calc!$N$1:$N$500,"Professional services",T12_Calc!$E$1:$E$500)</f>
        <v/>
      </c>
      <c r="J49" s="24">
        <f>SUMIF(T12_Calc!$N$1:$N$500,"Professional services",T12_Calc!$F$1:$F$500)</f>
        <v/>
      </c>
      <c r="K49" s="24">
        <f>SUMIF(T12_Calc!$N$1:$N$500,"Professional services",T12_Calc!$G$1:$G$500)</f>
        <v/>
      </c>
      <c r="L49" s="24">
        <f>SUMIF(T12_Calc!$N$1:$N$500,"Professional services",T12_Calc!$H$1:$H$500)</f>
        <v/>
      </c>
      <c r="M49" s="24">
        <f>SUMIF(T12_Calc!$N$1:$N$500,"Professional services",T12_Calc!$I$1:$I$500)</f>
        <v/>
      </c>
      <c r="N49" s="24">
        <f>SUMIF(T12_Calc!$N$1:$N$500,"Professional services",T12_Calc!$J$1:$J$500)</f>
        <v/>
      </c>
      <c r="O49" s="24">
        <f>SUMIF(T12_Calc!$N$1:$N$500,"Professional services",T12_Calc!$K$1:$K$500)</f>
        <v/>
      </c>
      <c r="P49" s="24">
        <f>SUMIF(T12_Calc!$N$1:$N$500,"Professional services",T12_Calc!$L$1:$L$500)</f>
        <v/>
      </c>
      <c r="Q49" s="24">
        <f>SUMIF(T12_Calc!$N$1:$N$500,"Professional services",T12_Calc!$M$1:$M$500)</f>
        <v/>
      </c>
      <c r="R49" s="87">
        <f>SUM(F49:Q49)</f>
        <v/>
      </c>
    </row>
    <row r="50" ht="15.75" customHeight="1" s="199">
      <c r="A50" s="88" t="inlineStr">
        <is>
          <t>Non-Labor</t>
        </is>
      </c>
      <c r="B50" s="89" t="inlineStr">
        <is>
          <t>Bad debt expense</t>
        </is>
      </c>
      <c r="C50" s="90" t="inlineStr">
        <is>
          <t>-</t>
        </is>
      </c>
      <c r="D50" s="91" t="inlineStr">
        <is>
          <t>Normalize to 1-2%</t>
        </is>
      </c>
      <c r="E50" s="92" t="inlineStr">
        <is>
          <t>Bad Debt Expense</t>
        </is>
      </c>
      <c r="F50" s="47">
        <f>SUMIF(T12_Calc!$N$1:$N$500,"Bad debt expense",T12_Calc!$B$1:$B$500)</f>
        <v/>
      </c>
      <c r="G50" s="47">
        <f>SUMIF(T12_Calc!$N$1:$N$500,"Bad debt expense",T12_Calc!$C$1:$C$500)</f>
        <v/>
      </c>
      <c r="H50" s="47">
        <f>SUMIF(T12_Calc!$N$1:$N$500,"Bad debt expense",T12_Calc!$D$1:$D$500)</f>
        <v/>
      </c>
      <c r="I50" s="47">
        <f>SUMIF(T12_Calc!$N$1:$N$500,"Bad debt expense",T12_Calc!$E$1:$E$500)</f>
        <v/>
      </c>
      <c r="J50" s="47">
        <f>SUMIF(T12_Calc!$N$1:$N$500,"Bad debt expense",T12_Calc!$F$1:$F$500)</f>
        <v/>
      </c>
      <c r="K50" s="47">
        <f>SUMIF(T12_Calc!$N$1:$N$500,"Bad debt expense",T12_Calc!$G$1:$G$500)</f>
        <v/>
      </c>
      <c r="L50" s="47">
        <f>SUMIF(T12_Calc!$N$1:$N$500,"Bad debt expense",T12_Calc!$H$1:$H$500)</f>
        <v/>
      </c>
      <c r="M50" s="47">
        <f>SUMIF(T12_Calc!$N$1:$N$500,"Bad debt expense",T12_Calc!$I$1:$I$500)</f>
        <v/>
      </c>
      <c r="N50" s="47">
        <f>SUMIF(T12_Calc!$N$1:$N$500,"Bad debt expense",T12_Calc!$J$1:$J$500)</f>
        <v/>
      </c>
      <c r="O50" s="47">
        <f>SUMIF(T12_Calc!$N$1:$N$500,"Bad debt expense",T12_Calc!$K$1:$K$500)</f>
        <v/>
      </c>
      <c r="P50" s="47">
        <f>SUMIF(T12_Calc!$N$1:$N$500,"Bad debt expense",T12_Calc!$L$1:$L$500)</f>
        <v/>
      </c>
      <c r="Q50" s="47">
        <f>SUMIF(T12_Calc!$N$1:$N$500,"Bad debt expense",T12_Calc!$M$1:$M$500)</f>
        <v/>
      </c>
      <c r="R50" s="93">
        <f>SUM(F50:Q50)</f>
        <v/>
      </c>
    </row>
    <row r="51" ht="15.75" customHeight="1" s="199">
      <c r="A51" s="82" t="inlineStr">
        <is>
          <t>Non-Labor</t>
        </is>
      </c>
      <c r="B51" s="83" t="inlineStr">
        <is>
          <t>Permits, licenses &amp; dues</t>
        </is>
      </c>
      <c r="C51" s="84" t="inlineStr">
        <is>
          <t>-</t>
        </is>
      </c>
      <c r="D51" s="85" t="n"/>
      <c r="E51" s="86" t="inlineStr">
        <is>
          <t>Permits and Licenses | Dues and Subscriptions | Association Dues</t>
        </is>
      </c>
      <c r="F51" s="24">
        <f>SUMIF(T12_Calc!$N$1:$N$500,"Permits, licenses &amp; dues",T12_Calc!$B$1:$B$500)</f>
        <v/>
      </c>
      <c r="G51" s="24">
        <f>SUMIF(T12_Calc!$N$1:$N$500,"Permits, licenses &amp; dues",T12_Calc!$C$1:$C$500)</f>
        <v/>
      </c>
      <c r="H51" s="24">
        <f>SUMIF(T12_Calc!$N$1:$N$500,"Permits, licenses &amp; dues",T12_Calc!$D$1:$D$500)</f>
        <v/>
      </c>
      <c r="I51" s="24">
        <f>SUMIF(T12_Calc!$N$1:$N$500,"Permits, licenses &amp; dues",T12_Calc!$E$1:$E$500)</f>
        <v/>
      </c>
      <c r="J51" s="24">
        <f>SUMIF(T12_Calc!$N$1:$N$500,"Permits, licenses &amp; dues",T12_Calc!$F$1:$F$500)</f>
        <v/>
      </c>
      <c r="K51" s="24">
        <f>SUMIF(T12_Calc!$N$1:$N$500,"Permits, licenses &amp; dues",T12_Calc!$G$1:$G$500)</f>
        <v/>
      </c>
      <c r="L51" s="24">
        <f>SUMIF(T12_Calc!$N$1:$N$500,"Permits, licenses &amp; dues",T12_Calc!$H$1:$H$500)</f>
        <v/>
      </c>
      <c r="M51" s="24">
        <f>SUMIF(T12_Calc!$N$1:$N$500,"Permits, licenses &amp; dues",T12_Calc!$I$1:$I$500)</f>
        <v/>
      </c>
      <c r="N51" s="24">
        <f>SUMIF(T12_Calc!$N$1:$N$500,"Permits, licenses &amp; dues",T12_Calc!$J$1:$J$500)</f>
        <v/>
      </c>
      <c r="O51" s="24">
        <f>SUMIF(T12_Calc!$N$1:$N$500,"Permits, licenses &amp; dues",T12_Calc!$K$1:$K$500)</f>
        <v/>
      </c>
      <c r="P51" s="24">
        <f>SUMIF(T12_Calc!$N$1:$N$500,"Permits, licenses &amp; dues",T12_Calc!$L$1:$L$500)</f>
        <v/>
      </c>
      <c r="Q51" s="24">
        <f>SUMIF(T12_Calc!$N$1:$N$500,"Permits, licenses &amp; dues",T12_Calc!$M$1:$M$500)</f>
        <v/>
      </c>
      <c r="R51" s="87">
        <f>SUM(F51:Q51)</f>
        <v/>
      </c>
    </row>
    <row r="52" ht="15.75" customHeight="1" s="199">
      <c r="A52" s="82" t="inlineStr">
        <is>
          <t>Non-Labor</t>
        </is>
      </c>
      <c r="B52" s="83" t="inlineStr">
        <is>
          <t>Office, admin &amp; G&amp;A</t>
        </is>
      </c>
      <c r="C52" s="84" t="inlineStr">
        <is>
          <t>-</t>
        </is>
      </c>
      <c r="D52" s="85" t="n"/>
      <c r="E52" s="86"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2" s="24">
        <f>SUMIF(T12_Calc!$N$1:$N$500,"Office, admin &amp; G&amp;A",T12_Calc!$B$1:$B$500)</f>
        <v/>
      </c>
      <c r="G52" s="24">
        <f>SUMIF(T12_Calc!$N$1:$N$500,"Office, admin &amp; G&amp;A",T12_Calc!$C$1:$C$500)</f>
        <v/>
      </c>
      <c r="H52" s="24">
        <f>SUMIF(T12_Calc!$N$1:$N$500,"Office, admin &amp; G&amp;A",T12_Calc!$D$1:$D$500)</f>
        <v/>
      </c>
      <c r="I52" s="24">
        <f>SUMIF(T12_Calc!$N$1:$N$500,"Office, admin &amp; G&amp;A",T12_Calc!$E$1:$E$500)</f>
        <v/>
      </c>
      <c r="J52" s="24">
        <f>SUMIF(T12_Calc!$N$1:$N$500,"Office, admin &amp; G&amp;A",T12_Calc!$F$1:$F$500)</f>
        <v/>
      </c>
      <c r="K52" s="24">
        <f>SUMIF(T12_Calc!$N$1:$N$500,"Office, admin &amp; G&amp;A",T12_Calc!$G$1:$G$500)</f>
        <v/>
      </c>
      <c r="L52" s="24">
        <f>SUMIF(T12_Calc!$N$1:$N$500,"Office, admin &amp; G&amp;A",T12_Calc!$H$1:$H$500)</f>
        <v/>
      </c>
      <c r="M52" s="24">
        <f>SUMIF(T12_Calc!$N$1:$N$500,"Office, admin &amp; G&amp;A",T12_Calc!$I$1:$I$500)</f>
        <v/>
      </c>
      <c r="N52" s="24">
        <f>SUMIF(T12_Calc!$N$1:$N$500,"Office, admin &amp; G&amp;A",T12_Calc!$J$1:$J$500)</f>
        <v/>
      </c>
      <c r="O52" s="24">
        <f>SUMIF(T12_Calc!$N$1:$N$500,"Office, admin &amp; G&amp;A",T12_Calc!$K$1:$K$500)</f>
        <v/>
      </c>
      <c r="P52" s="24">
        <f>SUMIF(T12_Calc!$N$1:$N$500,"Office, admin &amp; G&amp;A",T12_Calc!$L$1:$L$500)</f>
        <v/>
      </c>
      <c r="Q52" s="24">
        <f>SUMIF(T12_Calc!$N$1:$N$500,"Office, admin &amp; G&amp;A",T12_Calc!$M$1:$M$500)</f>
        <v/>
      </c>
      <c r="R52" s="87">
        <f>SUM(F52:Q52)</f>
        <v/>
      </c>
    </row>
    <row r="53" ht="15.75" customHeight="1" s="199">
      <c r="A53" s="82" t="inlineStr">
        <is>
          <t>Non-Labor</t>
        </is>
      </c>
      <c r="B53" s="83" t="inlineStr">
        <is>
          <t>Other / miscellaneous</t>
        </is>
      </c>
      <c r="C53" s="84" t="inlineStr">
        <is>
          <t>-</t>
        </is>
      </c>
      <c r="D53" s="85" t="n"/>
      <c r="E53" s="86" t="inlineStr">
        <is>
          <t>Reimbursable Supplies | Building (Bird/Fish) Supplies | Evacuation Expense | Personal purchases for Residen | Resident Gifts/Benefits</t>
        </is>
      </c>
      <c r="F53" s="24">
        <f>SUMIF(T12_Calc!$N$1:$N$500,"Other / miscellaneous",T12_Calc!$B$1:$B$500)</f>
        <v/>
      </c>
      <c r="G53" s="24">
        <f>SUMIF(T12_Calc!$N$1:$N$500,"Other / miscellaneous",T12_Calc!$C$1:$C$500)</f>
        <v/>
      </c>
      <c r="H53" s="24">
        <f>SUMIF(T12_Calc!$N$1:$N$500,"Other / miscellaneous",T12_Calc!$D$1:$D$500)</f>
        <v/>
      </c>
      <c r="I53" s="24">
        <f>SUMIF(T12_Calc!$N$1:$N$500,"Other / miscellaneous",T12_Calc!$E$1:$E$500)</f>
        <v/>
      </c>
      <c r="J53" s="24">
        <f>SUMIF(T12_Calc!$N$1:$N$500,"Other / miscellaneous",T12_Calc!$F$1:$F$500)</f>
        <v/>
      </c>
      <c r="K53" s="24">
        <f>SUMIF(T12_Calc!$N$1:$N$500,"Other / miscellaneous",T12_Calc!$G$1:$G$500)</f>
        <v/>
      </c>
      <c r="L53" s="24">
        <f>SUMIF(T12_Calc!$N$1:$N$500,"Other / miscellaneous",T12_Calc!$H$1:$H$500)</f>
        <v/>
      </c>
      <c r="M53" s="24">
        <f>SUMIF(T12_Calc!$N$1:$N$500,"Other / miscellaneous",T12_Calc!$I$1:$I$500)</f>
        <v/>
      </c>
      <c r="N53" s="24">
        <f>SUMIF(T12_Calc!$N$1:$N$500,"Other / miscellaneous",T12_Calc!$J$1:$J$500)</f>
        <v/>
      </c>
      <c r="O53" s="24">
        <f>SUMIF(T12_Calc!$N$1:$N$500,"Other / miscellaneous",T12_Calc!$K$1:$K$500)</f>
        <v/>
      </c>
      <c r="P53" s="24">
        <f>SUMIF(T12_Calc!$N$1:$N$500,"Other / miscellaneous",T12_Calc!$L$1:$L$500)</f>
        <v/>
      </c>
      <c r="Q53" s="24">
        <f>SUMIF(T12_Calc!$N$1:$N$500,"Other / miscellaneous",T12_Calc!$M$1:$M$500)</f>
        <v/>
      </c>
      <c r="R53" s="87">
        <f>SUM(F53:Q53)</f>
        <v/>
      </c>
    </row>
    <row r="54" ht="15.75" customHeight="1" s="199">
      <c r="A54" s="82" t="inlineStr">
        <is>
          <t>Non-Labor</t>
        </is>
      </c>
      <c r="B54" s="83" t="inlineStr">
        <is>
          <t>Management fee</t>
        </is>
      </c>
      <c r="C54" s="84" t="inlineStr">
        <is>
          <t>-</t>
        </is>
      </c>
      <c r="D54" s="91" t="inlineStr">
        <is>
          <t>Enter manually if needed</t>
        </is>
      </c>
      <c r="E54" s="86" t="inlineStr">
        <is>
          <t>Management Fees | Management Fee</t>
        </is>
      </c>
      <c r="F54" s="24">
        <f>SUMIF(T12_Calc!$N$1:$N$500,"Management fee",T12_Calc!$B$1:$B$500)</f>
        <v/>
      </c>
      <c r="G54" s="24">
        <f>SUMIF(T12_Calc!$N$1:$N$500,"Management fee",T12_Calc!$C$1:$C$500)</f>
        <v/>
      </c>
      <c r="H54" s="24">
        <f>SUMIF(T12_Calc!$N$1:$N$500,"Management fee",T12_Calc!$D$1:$D$500)</f>
        <v/>
      </c>
      <c r="I54" s="24">
        <f>SUMIF(T12_Calc!$N$1:$N$500,"Management fee",T12_Calc!$E$1:$E$500)</f>
        <v/>
      </c>
      <c r="J54" s="24">
        <f>SUMIF(T12_Calc!$N$1:$N$500,"Management fee",T12_Calc!$F$1:$F$500)</f>
        <v/>
      </c>
      <c r="K54" s="24">
        <f>SUMIF(T12_Calc!$N$1:$N$500,"Management fee",T12_Calc!$G$1:$G$500)</f>
        <v/>
      </c>
      <c r="L54" s="24">
        <f>SUMIF(T12_Calc!$N$1:$N$500,"Management fee",T12_Calc!$H$1:$H$500)</f>
        <v/>
      </c>
      <c r="M54" s="24">
        <f>SUMIF(T12_Calc!$N$1:$N$500,"Management fee",T12_Calc!$I$1:$I$500)</f>
        <v/>
      </c>
      <c r="N54" s="24">
        <f>SUMIF(T12_Calc!$N$1:$N$500,"Management fee",T12_Calc!$J$1:$J$500)</f>
        <v/>
      </c>
      <c r="O54" s="24">
        <f>SUMIF(T12_Calc!$N$1:$N$500,"Management fee",T12_Calc!$K$1:$K$500)</f>
        <v/>
      </c>
      <c r="P54" s="24">
        <f>SUMIF(T12_Calc!$N$1:$N$500,"Management fee",T12_Calc!$L$1:$L$500)</f>
        <v/>
      </c>
      <c r="Q54" s="24">
        <f>SUMIF(T12_Calc!$N$1:$N$500,"Management fee",T12_Calc!$M$1:$M$500)</f>
        <v/>
      </c>
      <c r="R54" s="87">
        <f>SUM(F54:Q54)</f>
        <v/>
      </c>
    </row>
    <row r="55" ht="15.75" customHeight="1" s="199">
      <c r="A55" s="84" t="inlineStr">
        <is>
          <t>Revenue</t>
        </is>
      </c>
      <c r="B55" s="94" t="inlineStr">
        <is>
          <t>Gross Rent Revenue</t>
        </is>
      </c>
      <c r="C55" s="84" t="inlineStr">
        <is>
          <t>-</t>
        </is>
      </c>
      <c r="F55" s="24">
        <f>SUMIF(T12_Calc!$N$1:$N$500,"Gross Rent Revenue",T12_Calc!$B$1:$B$500)</f>
        <v/>
      </c>
      <c r="G55" s="24">
        <f>SUMIF(T12_Calc!$N$1:$N$500,"Gross Rent Revenue",T12_Calc!$C$1:$C$500)</f>
        <v/>
      </c>
      <c r="H55" s="24">
        <f>SUMIF(T12_Calc!$N$1:$N$500,"Gross Rent Revenue",T12_Calc!$D$1:$D$500)</f>
        <v/>
      </c>
      <c r="I55" s="24">
        <f>SUMIF(T12_Calc!$N$1:$N$500,"Gross Rent Revenue",T12_Calc!$E$1:$E$500)</f>
        <v/>
      </c>
      <c r="J55" s="24">
        <f>SUMIF(T12_Calc!$N$1:$N$500,"Gross Rent Revenue",T12_Calc!$F$1:$F$500)</f>
        <v/>
      </c>
      <c r="K55" s="24">
        <f>SUMIF(T12_Calc!$N$1:$N$500,"Gross Rent Revenue",T12_Calc!$G$1:$G$500)</f>
        <v/>
      </c>
      <c r="L55" s="24">
        <f>SUMIF(T12_Calc!$N$1:$N$500,"Gross Rent Revenue",T12_Calc!$H$1:$H$500)</f>
        <v/>
      </c>
      <c r="M55" s="24">
        <f>SUMIF(T12_Calc!$N$1:$N$500,"Gross Rent Revenue",T12_Calc!$I$1:$I$500)</f>
        <v/>
      </c>
      <c r="N55" s="24">
        <f>SUMIF(T12_Calc!$N$1:$N$500,"Gross Rent Revenue",T12_Calc!$J$1:$J$500)</f>
        <v/>
      </c>
      <c r="O55" s="24">
        <f>SUMIF(T12_Calc!$N$1:$N$500,"Gross Rent Revenue",T12_Calc!$K$1:$K$500)</f>
        <v/>
      </c>
      <c r="P55" s="24">
        <f>SUMIF(T12_Calc!$N$1:$N$500,"Gross Rent Revenue",T12_Calc!$L$1:$L$500)</f>
        <v/>
      </c>
      <c r="Q55" s="24">
        <f>SUMIF(T12_Calc!$N$1:$N$500,"Gross Rent Revenue",T12_Calc!$M$1:$M$500)</f>
        <v/>
      </c>
      <c r="R55" s="87">
        <f>SUM(F55:Q55)</f>
        <v/>
      </c>
    </row>
    <row r="56" ht="15.75" customHeight="1" s="199">
      <c r="A56" s="84" t="inlineStr">
        <is>
          <t>Revenue</t>
        </is>
      </c>
      <c r="B56" s="95" t="inlineStr">
        <is>
          <t>Physical Vacancy</t>
        </is>
      </c>
      <c r="C56" s="84" t="inlineStr">
        <is>
          <t>-</t>
        </is>
      </c>
      <c r="F56" s="24">
        <f>SUMIF(T12_Calc!$N$1:$N$500,"Physical Vacancy",T12_Calc!$B$1:$B$500)</f>
        <v/>
      </c>
      <c r="G56" s="24">
        <f>SUMIF(T12_Calc!$N$1:$N$500,"Physical Vacancy",T12_Calc!$C$1:$C$500)</f>
        <v/>
      </c>
      <c r="H56" s="24">
        <f>SUMIF(T12_Calc!$N$1:$N$500,"Physical Vacancy",T12_Calc!$D$1:$D$500)</f>
        <v/>
      </c>
      <c r="I56" s="24">
        <f>SUMIF(T12_Calc!$N$1:$N$500,"Physical Vacancy",T12_Calc!$E$1:$E$500)</f>
        <v/>
      </c>
      <c r="J56" s="24">
        <f>SUMIF(T12_Calc!$N$1:$N$500,"Physical Vacancy",T12_Calc!$F$1:$F$500)</f>
        <v/>
      </c>
      <c r="K56" s="24">
        <f>SUMIF(T12_Calc!$N$1:$N$500,"Physical Vacancy",T12_Calc!$G$1:$G$500)</f>
        <v/>
      </c>
      <c r="L56" s="24">
        <f>SUMIF(T12_Calc!$N$1:$N$500,"Physical Vacancy",T12_Calc!$H$1:$H$500)</f>
        <v/>
      </c>
      <c r="M56" s="24">
        <f>SUMIF(T12_Calc!$N$1:$N$500,"Physical Vacancy",T12_Calc!$I$1:$I$500)</f>
        <v/>
      </c>
      <c r="N56" s="24">
        <f>SUMIF(T12_Calc!$N$1:$N$500,"Physical Vacancy",T12_Calc!$J$1:$J$500)</f>
        <v/>
      </c>
      <c r="O56" s="24">
        <f>SUMIF(T12_Calc!$N$1:$N$500,"Physical Vacancy",T12_Calc!$K$1:$K$500)</f>
        <v/>
      </c>
      <c r="P56" s="24">
        <f>SUMIF(T12_Calc!$N$1:$N$500,"Physical Vacancy",T12_Calc!$L$1:$L$500)</f>
        <v/>
      </c>
      <c r="Q56" s="24">
        <f>SUMIF(T12_Calc!$N$1:$N$500,"Physical Vacancy",T12_Calc!$M$1:$M$500)</f>
        <v/>
      </c>
      <c r="R56" s="87">
        <f>SUM(F56:Q56)</f>
        <v/>
      </c>
    </row>
    <row r="57">
      <c r="A57" s="84" t="inlineStr">
        <is>
          <t>Revenue</t>
        </is>
      </c>
      <c r="B57" s="95" t="inlineStr">
        <is>
          <t>Loss to Lease</t>
        </is>
      </c>
      <c r="C57" s="84" t="inlineStr">
        <is>
          <t>-</t>
        </is>
      </c>
      <c r="F57" s="24">
        <f>SUMIF(T12_Calc!$N$1:$N$500,"Loss to Lease",T12_Calc!$B$1:$B$500)</f>
        <v/>
      </c>
      <c r="G57" s="24">
        <f>SUMIF(T12_Calc!$N$1:$N$500,"Loss to Lease",T12_Calc!$C$1:$C$500)</f>
        <v/>
      </c>
      <c r="H57" s="24">
        <f>SUMIF(T12_Calc!$N$1:$N$500,"Loss to Lease",T12_Calc!$D$1:$D$500)</f>
        <v/>
      </c>
      <c r="I57" s="24">
        <f>SUMIF(T12_Calc!$N$1:$N$500,"Loss to Lease",T12_Calc!$E$1:$E$500)</f>
        <v/>
      </c>
      <c r="J57" s="24">
        <f>SUMIF(T12_Calc!$N$1:$N$500,"Loss to Lease",T12_Calc!$F$1:$F$500)</f>
        <v/>
      </c>
      <c r="K57" s="24">
        <f>SUMIF(T12_Calc!$N$1:$N$500,"Loss to Lease",T12_Calc!$G$1:$G$500)</f>
        <v/>
      </c>
      <c r="L57" s="24">
        <f>SUMIF(T12_Calc!$N$1:$N$500,"Loss to Lease",T12_Calc!$H$1:$H$500)</f>
        <v/>
      </c>
      <c r="M57" s="24">
        <f>SUMIF(T12_Calc!$N$1:$N$500,"Loss to Lease",T12_Calc!$I$1:$I$500)</f>
        <v/>
      </c>
      <c r="N57" s="24">
        <f>SUMIF(T12_Calc!$N$1:$N$500,"Loss to Lease",T12_Calc!$J$1:$J$500)</f>
        <v/>
      </c>
      <c r="O57" s="24">
        <f>SUMIF(T12_Calc!$N$1:$N$500,"Loss to Lease",T12_Calc!$K$1:$K$500)</f>
        <v/>
      </c>
      <c r="P57" s="24">
        <f>SUMIF(T12_Calc!$N$1:$N$500,"Loss to Lease",T12_Calc!$L$1:$L$500)</f>
        <v/>
      </c>
      <c r="Q57" s="24">
        <f>SUMIF(T12_Calc!$N$1:$N$500,"Loss to Lease",T12_Calc!$M$1:$M$500)</f>
        <v/>
      </c>
      <c r="R57" s="87">
        <f>SUM(F57:Q57)</f>
        <v/>
      </c>
    </row>
    <row r="58">
      <c r="A58" s="82" t="inlineStr">
        <is>
          <t>Non-Labor</t>
        </is>
      </c>
      <c r="B58" s="83" t="inlineStr">
        <is>
          <t>Auto Expense</t>
        </is>
      </c>
      <c r="C58" s="84" t="inlineStr">
        <is>
          <t>-</t>
        </is>
      </c>
      <c r="D58" s="85" t="n"/>
      <c r="E58" s="86" t="inlineStr">
        <is>
          <t>Auto Expenses | Auto and Mileage Expense | Bus/Shuttle Service</t>
        </is>
      </c>
      <c r="F58" s="24">
        <f>SUMIF(T12_Calc!$N$1:$N$500,"Auto Expense",T12_Calc!$B$1:$B$500)</f>
        <v/>
      </c>
      <c r="G58" s="24">
        <f>SUMIF(T12_Calc!$N$1:$N$500,"Auto Expense",T12_Calc!$C$1:$C$500)</f>
        <v/>
      </c>
      <c r="H58" s="24">
        <f>SUMIF(T12_Calc!$N$1:$N$500,"Auto Expense",T12_Calc!$D$1:$D$500)</f>
        <v/>
      </c>
      <c r="I58" s="24">
        <f>SUMIF(T12_Calc!$N$1:$N$500,"Auto Expense",T12_Calc!$E$1:$E$500)</f>
        <v/>
      </c>
      <c r="J58" s="24">
        <f>SUMIF(T12_Calc!$N$1:$N$500,"Auto Expense",T12_Calc!$F$1:$F$500)</f>
        <v/>
      </c>
      <c r="K58" s="24">
        <f>SUMIF(T12_Calc!$N$1:$N$500,"Auto Expense",T12_Calc!$G$1:$G$500)</f>
        <v/>
      </c>
      <c r="L58" s="24">
        <f>SUMIF(T12_Calc!$N$1:$N$500,"Auto Expense",T12_Calc!$H$1:$H$500)</f>
        <v/>
      </c>
      <c r="M58" s="24">
        <f>SUMIF(T12_Calc!$N$1:$N$500,"Auto Expense",T12_Calc!$I$1:$I$500)</f>
        <v/>
      </c>
      <c r="N58" s="24">
        <f>SUMIF(T12_Calc!$N$1:$N$500,"Auto Expense",T12_Calc!$J$1:$J$500)</f>
        <v/>
      </c>
      <c r="O58" s="24">
        <f>SUMIF(T12_Calc!$N$1:$N$500,"Auto Expense",T12_Calc!$K$1:$K$500)</f>
        <v/>
      </c>
      <c r="P58" s="24">
        <f>SUMIF(T12_Calc!$N$1:$N$500,"Auto Expense",T12_Calc!$L$1:$L$500)</f>
        <v/>
      </c>
      <c r="Q58" s="24">
        <f>SUMIF(T12_Calc!$N$1:$N$500,"Auto Expense",T12_Calc!$M$1:$M$500)</f>
        <v/>
      </c>
      <c r="R58" s="87">
        <f>SUM(F58:Q58)</f>
        <v/>
      </c>
    </row>
    <row r="59">
      <c r="A59" s="82" t="inlineStr">
        <is>
          <t>Non-Labor</t>
        </is>
      </c>
      <c r="B59" s="83" t="inlineStr">
        <is>
          <t>Lease / ground lease</t>
        </is>
      </c>
      <c r="C59" s="84" t="inlineStr">
        <is>
          <t>-</t>
        </is>
      </c>
      <c r="D59" s="85" t="n"/>
      <c r="E59" s="86" t="inlineStr">
        <is>
          <t>Lease Expense | Ground Lease | Land Lease | Facility Lease | Building Lease | Rent Expense</t>
        </is>
      </c>
      <c r="F59" s="24">
        <f>SUMIF(T12_Calc!$N$1:$N$500,"Lease / ground lease",T12_Calc!$B$1:$B$500)</f>
        <v/>
      </c>
      <c r="G59" s="24">
        <f>SUMIF(T12_Calc!$N$1:$N$500,"Lease / ground lease",T12_Calc!$C$1:$C$500)</f>
        <v/>
      </c>
      <c r="H59" s="24">
        <f>SUMIF(T12_Calc!$N$1:$N$500,"Lease / ground lease",T12_Calc!$D$1:$D$500)</f>
        <v/>
      </c>
      <c r="I59" s="24">
        <f>SUMIF(T12_Calc!$N$1:$N$500,"Lease / ground lease",T12_Calc!$E$1:$E$500)</f>
        <v/>
      </c>
      <c r="J59" s="24">
        <f>SUMIF(T12_Calc!$N$1:$N$500,"Lease / ground lease",T12_Calc!$F$1:$F$500)</f>
        <v/>
      </c>
      <c r="K59" s="24">
        <f>SUMIF(T12_Calc!$N$1:$N$500,"Lease / ground lease",T12_Calc!$G$1:$G$500)</f>
        <v/>
      </c>
      <c r="L59" s="24">
        <f>SUMIF(T12_Calc!$N$1:$N$500,"Lease / ground lease",T12_Calc!$H$1:$H$500)</f>
        <v/>
      </c>
      <c r="M59" s="24">
        <f>SUMIF(T12_Calc!$N$1:$N$500,"Lease / ground lease",T12_Calc!$I$1:$I$500)</f>
        <v/>
      </c>
      <c r="N59" s="24">
        <f>SUMIF(T12_Calc!$N$1:$N$500,"Lease / ground lease",T12_Calc!$J$1:$J$500)</f>
        <v/>
      </c>
      <c r="O59" s="24">
        <f>SUMIF(T12_Calc!$N$1:$N$500,"Lease / ground lease",T12_Calc!$K$1:$K$500)</f>
        <v/>
      </c>
      <c r="P59" s="24">
        <f>SUMIF(T12_Calc!$N$1:$N$500,"Lease / ground lease",T12_Calc!$L$1:$L$500)</f>
        <v/>
      </c>
      <c r="Q59" s="24">
        <f>SUMIF(T12_Calc!$N$1:$N$500,"Lease / ground lease",T12_Calc!$M$1:$M$500)</f>
        <v/>
      </c>
      <c r="R59" s="87">
        <f>SUM(F59:Q59)</f>
        <v/>
      </c>
    </row>
    <row r="61" ht="15" customHeight="1" s="199"/>
    <row r="62" ht="15" customHeight="1" s="199">
      <c r="R62" s="96" t="n"/>
    </row>
    <row r="63" ht="15" customHeight="1" s="199">
      <c r="R63" s="97" t="n"/>
    </row>
    <row r="64">
      <c r="R64" s="80"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8" defaultColWidth="8.7109375" defaultRowHeight="15"/>
  <cols>
    <col width="8" customWidth="1" style="199" min="1" max="4"/>
    <col width="10" customWidth="1" style="199" min="5" max="5"/>
    <col width="12" customWidth="1" style="199" min="6" max="6"/>
    <col width="11" customWidth="1" style="199" min="7" max="9"/>
    <col width="15" customWidth="1" style="199" min="10" max="10"/>
    <col width="13" customWidth="1" style="199" min="11" max="11"/>
    <col width="11" customWidth="1" style="199" min="12" max="12"/>
    <col width="9" customWidth="1" style="199" min="13" max="13"/>
    <col width="10" customWidth="1" style="199" min="14" max="14"/>
    <col width="9" customWidth="1" style="199" min="15" max="15"/>
    <col width="13" customWidth="1" style="199" min="16" max="16"/>
    <col width="12" customWidth="1" style="199" min="17" max="17"/>
    <col width="18" customWidth="1" style="199" min="18" max="18"/>
    <col width="13" customWidth="1" style="199" min="19" max="19"/>
    <col width="11" customWidth="1" style="199" min="20" max="20"/>
    <col width="13" customWidth="1" style="199" min="21" max="21"/>
  </cols>
  <sheetData>
    <row r="1" ht="15.75" customHeight="1" s="199">
      <c r="A1" s="98" t="inlineStr">
        <is>
          <t>Rent Roll Input  —  flat table, one row per resident per period</t>
        </is>
      </c>
      <c r="B1" s="98" t="n"/>
      <c r="C1" s="98" t="n"/>
      <c r="D1" s="98" t="n"/>
      <c r="E1" s="98" t="n"/>
      <c r="F1" s="98" t="n"/>
      <c r="G1" s="98" t="n"/>
      <c r="H1" s="98" t="n"/>
      <c r="I1" s="98" t="n"/>
      <c r="J1" s="98" t="n"/>
      <c r="K1" s="98" t="n"/>
      <c r="L1" s="98" t="n"/>
      <c r="M1" s="98" t="n"/>
      <c r="N1" s="98" t="n"/>
      <c r="O1" s="98" t="n"/>
      <c r="P1" s="98" t="n"/>
      <c r="Q1" s="98" t="n"/>
      <c r="R1" s="98" t="n"/>
      <c r="S1" s="98" t="n"/>
      <c r="T1" s="98" t="n"/>
      <c r="U1" s="98" t="n"/>
      <c r="AZ1" t="inlineStr">
        <is>
          <t>RR normalized output paste area</t>
        </is>
      </c>
    </row>
    <row r="2" ht="15" customHeight="1" s="199">
      <c r="A2" s="99" t="inlineStr">
        <is>
          <t>One row per resident per period. Period Date (col S) is the filter key — enter as MM/DD/YYYY for each row. Add as many periods as needed by adding more rows. Cols N and O are auto-calculated. Select period in Rent Roll Recon tab cell B2.</t>
        </is>
      </c>
      <c r="B2" s="100" t="n"/>
      <c r="C2" s="100" t="n"/>
      <c r="D2" s="100" t="n"/>
      <c r="E2" s="100" t="n"/>
      <c r="F2" s="100" t="n"/>
      <c r="G2" s="100" t="n"/>
      <c r="H2" s="100" t="n"/>
      <c r="I2" s="100" t="n"/>
      <c r="J2" s="100" t="n"/>
      <c r="K2" s="100" t="n"/>
      <c r="L2" s="100" t="n"/>
      <c r="M2" s="100" t="n"/>
      <c r="N2" s="100" t="n"/>
      <c r="O2" s="100" t="n"/>
      <c r="P2" s="100" t="n"/>
      <c r="Q2" s="100" t="n"/>
      <c r="R2" s="100" t="n"/>
      <c r="S2" s="100" t="n"/>
      <c r="T2" s="100" t="n"/>
      <c r="U2" s="100" t="n"/>
      <c r="AZ2" t="inlineStr">
        <is>
          <t>input</t>
        </is>
      </c>
    </row>
    <row r="3">
      <c r="A3" s="215" t="n"/>
      <c r="AZ3" t="inlineStr">
        <is>
          <t>visible</t>
        </is>
      </c>
    </row>
    <row r="4" ht="22.5" customHeight="1" s="199">
      <c r="A4" s="101" t="inlineStr">
        <is>
          <t>Unit #</t>
        </is>
      </c>
      <c r="B4" s="101" t="inlineStr">
        <is>
          <t>Room #</t>
        </is>
      </c>
      <c r="C4" s="101" t="inlineStr">
        <is>
          <t>Sq Ft</t>
        </is>
      </c>
      <c r="D4" s="101" t="inlineStr">
        <is>
          <t>Care
Type</t>
        </is>
      </c>
      <c r="E4" s="101" t="inlineStr">
        <is>
          <t>Status</t>
        </is>
      </c>
      <c r="F4" s="101" t="inlineStr">
        <is>
          <t>Apt
Type</t>
        </is>
      </c>
      <c r="G4" s="101" t="inlineStr">
        <is>
          <t>Market
Rate</t>
        </is>
      </c>
      <c r="H4" s="101" t="inlineStr">
        <is>
          <t>Actual
Rate</t>
        </is>
      </c>
      <c r="I4" s="101" t="inlineStr">
        <is>
          <t>Concession
$</t>
        </is>
      </c>
      <c r="J4" s="101" t="inlineStr">
        <is>
          <t>Concession
End Date</t>
        </is>
      </c>
      <c r="K4" s="101" t="inlineStr">
        <is>
          <t>Care
Level</t>
        </is>
      </c>
      <c r="L4" s="101" t="inlineStr">
        <is>
          <t>Care
Level $</t>
        </is>
      </c>
      <c r="M4" s="101" t="inlineStr">
        <is>
          <t>Med
Mgmt $</t>
        </is>
      </c>
      <c r="N4" s="101" t="inlineStr">
        <is>
          <t>Pharmacy
$</t>
        </is>
      </c>
      <c r="O4" s="101" t="inlineStr">
        <is>
          <t>Other
LOC $</t>
        </is>
      </c>
      <c r="P4" s="101" t="inlineStr">
        <is>
          <t>Payer
Type</t>
        </is>
      </c>
      <c r="Q4" s="101" t="inlineStr">
        <is>
          <t>Move-in
Date</t>
        </is>
      </c>
      <c r="R4" s="101" t="inlineStr">
        <is>
          <t>Resident
Name</t>
        </is>
      </c>
      <c r="S4" s="101" t="inlineStr">
        <is>
          <t>Period
Date</t>
        </is>
      </c>
      <c r="T4" s="102" t="inlineStr">
        <is>
          <t>Total
LOC $</t>
        </is>
      </c>
      <c r="U4" s="102" t="inlineStr">
        <is>
          <t>Total
Monthly Rev</t>
        </is>
      </c>
      <c r="V4" s="214" t="inlineStr">
        <is>
          <t>2nd Person
Rent $</t>
        </is>
      </c>
      <c r="W4" s="214" t="inlineStr">
        <is>
          <t>Move-out
Date</t>
        </is>
      </c>
      <c r="X4" s="214" t="inlineStr">
        <is>
          <t>Balance</t>
        </is>
      </c>
      <c r="Y4" s="214" t="inlineStr">
        <is>
          <t>Notes</t>
        </is>
      </c>
      <c r="Z4" s="214" t="inlineStr">
        <is>
          <t>Market
PSF</t>
        </is>
      </c>
      <c r="AA4" s="214" t="inlineStr">
        <is>
          <t>Actual
PSF</t>
        </is>
      </c>
      <c r="AB4" s="214" t="inlineStr">
        <is>
          <t>ACH</t>
        </is>
      </c>
      <c r="AC4" s="214" t="inlineStr">
        <is>
          <t>Meal Plan
$</t>
        </is>
      </c>
      <c r="AD4" s="214" t="inlineStr">
        <is>
          <t>Scooter Fee
$</t>
        </is>
      </c>
      <c r="AE4" s="214" t="inlineStr">
        <is>
          <t>Housekeeping
$</t>
        </is>
      </c>
      <c r="AF4" s="214" t="inlineStr">
        <is>
          <t>Laundry
$</t>
        </is>
      </c>
      <c r="AG4" s="214" t="inlineStr">
        <is>
          <t>Pet
$</t>
        </is>
      </c>
      <c r="AZ4" t="inlineStr">
        <is>
          <t>v0.1.13</t>
        </is>
      </c>
    </row>
    <row r="5" ht="15" customHeight="1" s="199">
      <c r="A5" s="103" t="inlineStr">
        <is>
          <t>Unit=col A, Care Type=AL, Payer='Primary Resident'→Private Pay, AL Care Level=col I (Basic/Level 2…Level 7), Med Mgmt $=col K, Pharmacy $=col L, Concession $=col G (negative), Period Date=01/31/2026</t>
        </is>
      </c>
      <c r="B5" s="103" t="n"/>
      <c r="C5" s="103" t="n"/>
      <c r="D5" s="103" t="n"/>
      <c r="E5" s="103" t="n"/>
      <c r="F5" s="103" t="n"/>
      <c r="G5" s="103" t="n"/>
      <c r="H5" s="103" t="n"/>
      <c r="I5" s="103" t="n"/>
      <c r="J5" s="103" t="n"/>
      <c r="K5" s="103" t="n"/>
      <c r="L5" s="103" t="n"/>
      <c r="M5" s="103" t="n"/>
      <c r="N5" s="103" t="n"/>
      <c r="O5" s="103" t="n"/>
      <c r="P5" s="103" t="n"/>
      <c r="Q5" s="103" t="n"/>
      <c r="R5" s="103" t="n"/>
      <c r="S5" s="103" t="n"/>
      <c r="T5" s="103" t="n"/>
      <c r="U5" s="103" t="n"/>
    </row>
    <row r="6" ht="13.5" customHeight="1" s="199"/>
    <row r="7" ht="15" customHeight="1" s="199">
      <c r="A7" s="104" t="n"/>
      <c r="B7" s="104" t="n"/>
      <c r="C7" s="104" t="n"/>
      <c r="D7" s="105" t="n"/>
      <c r="E7" s="105" t="n"/>
      <c r="F7" s="105" t="n"/>
      <c r="G7" s="106" t="n"/>
      <c r="H7" s="106" t="n"/>
      <c r="I7" s="106" t="n"/>
      <c r="J7" s="107" t="n"/>
      <c r="K7" s="105" t="n"/>
      <c r="L7" s="106" t="n"/>
      <c r="M7" s="106" t="n"/>
      <c r="N7" s="106" t="n"/>
      <c r="O7" s="106" t="n"/>
      <c r="P7" s="105" t="n"/>
      <c r="Q7" s="107" t="n"/>
      <c r="R7" s="105" t="n"/>
      <c r="S7" s="107" t="n"/>
      <c r="T7" s="108">
        <f>IFERROR(L7+M7+N7+O7+IFERROR(AC7,0)+IFERROR(AD7,0)+IFERROR(AE7,0)+IFERROR(AF7,0)+IFERROR(AG7,0),0)</f>
        <v/>
      </c>
      <c r="U7" s="108">
        <f>IFERROR(H7+IFERROR(I7,0)+T7+IFERROR(V7,0),0)</f>
        <v/>
      </c>
    </row>
    <row r="8" ht="15" customHeight="1" s="199">
      <c r="A8" s="104" t="n"/>
      <c r="B8" s="104" t="n"/>
      <c r="C8" s="104" t="n"/>
      <c r="D8" s="105" t="n"/>
      <c r="E8" s="105" t="n"/>
      <c r="F8" s="105" t="n"/>
      <c r="G8" s="106" t="n"/>
      <c r="H8" s="106" t="n"/>
      <c r="I8" s="106" t="n"/>
      <c r="J8" s="107" t="n"/>
      <c r="K8" s="105" t="n"/>
      <c r="L8" s="106" t="n"/>
      <c r="M8" s="106" t="n"/>
      <c r="N8" s="106" t="n"/>
      <c r="O8" s="106" t="n"/>
      <c r="P8" s="105" t="n"/>
      <c r="Q8" s="107" t="n"/>
      <c r="R8" s="105" t="n"/>
      <c r="S8" s="107" t="n"/>
      <c r="T8" s="108">
        <f>IFERROR(L8+M8+N8+O8+IFERROR(AC8,0)+IFERROR(AD8,0)+IFERROR(AE8,0)+IFERROR(AF8,0)+IFERROR(AG8,0),0)</f>
        <v/>
      </c>
      <c r="U8" s="108">
        <f>IFERROR(H8+IFERROR(I8,0)+T8+IFERROR(V8,0),0)</f>
        <v/>
      </c>
    </row>
    <row r="9" ht="15" customHeight="1" s="199">
      <c r="A9" s="104" t="n"/>
      <c r="B9" s="104" t="n"/>
      <c r="C9" s="104" t="n"/>
      <c r="D9" s="105" t="n"/>
      <c r="E9" s="105" t="n"/>
      <c r="F9" s="105" t="n"/>
      <c r="G9" s="106" t="n"/>
      <c r="H9" s="106" t="n"/>
      <c r="I9" s="106" t="n"/>
      <c r="J9" s="107" t="n"/>
      <c r="K9" s="105" t="n"/>
      <c r="L9" s="106" t="n"/>
      <c r="M9" s="106" t="n"/>
      <c r="N9" s="106" t="n"/>
      <c r="O9" s="106" t="n"/>
      <c r="P9" s="105" t="n"/>
      <c r="Q9" s="107" t="n"/>
      <c r="R9" s="105" t="n"/>
      <c r="S9" s="107" t="n"/>
      <c r="T9" s="108">
        <f>IFERROR(L9+M9+N9+O9+IFERROR(AC9,0)+IFERROR(AD9,0)+IFERROR(AE9,0)+IFERROR(AF9,0)+IFERROR(AG9,0),0)</f>
        <v/>
      </c>
      <c r="U9" s="108">
        <f>IFERROR(H9+IFERROR(I9,0)+T9+IFERROR(V9,0),0)</f>
        <v/>
      </c>
    </row>
    <row r="10" ht="15" customHeight="1" s="199">
      <c r="A10" s="104" t="n"/>
      <c r="B10" s="104" t="n"/>
      <c r="C10" s="104" t="n"/>
      <c r="D10" s="105" t="n"/>
      <c r="E10" s="105" t="n"/>
      <c r="F10" s="105" t="n"/>
      <c r="G10" s="106" t="n"/>
      <c r="H10" s="106" t="n"/>
      <c r="I10" s="106" t="n"/>
      <c r="J10" s="107" t="n"/>
      <c r="K10" s="105" t="n"/>
      <c r="L10" s="106" t="n"/>
      <c r="M10" s="106" t="n"/>
      <c r="N10" s="106" t="n"/>
      <c r="O10" s="106" t="n"/>
      <c r="P10" s="105" t="n"/>
      <c r="Q10" s="107" t="n"/>
      <c r="R10" s="105" t="n"/>
      <c r="S10" s="107" t="n"/>
      <c r="T10" s="108">
        <f>IFERROR(L10+M10+N10+O10+IFERROR(AC10,0)+IFERROR(AD10,0)+IFERROR(AE10,0)+IFERROR(AF10,0)+IFERROR(AG10,0),0)</f>
        <v/>
      </c>
      <c r="U10" s="108">
        <f>IFERROR(H10+IFERROR(I10,0)+T10+IFERROR(V10,0),0)</f>
        <v/>
      </c>
    </row>
    <row r="11" ht="15" customHeight="1" s="199">
      <c r="A11" s="104" t="n"/>
      <c r="B11" s="104" t="n"/>
      <c r="C11" s="104" t="n"/>
      <c r="D11" s="105" t="n"/>
      <c r="E11" s="105" t="n"/>
      <c r="F11" s="105" t="n"/>
      <c r="G11" s="106" t="n"/>
      <c r="H11" s="106" t="n"/>
      <c r="I11" s="106" t="n"/>
      <c r="J11" s="107" t="n"/>
      <c r="K11" s="105" t="n"/>
      <c r="L11" s="106" t="n"/>
      <c r="M11" s="106" t="n"/>
      <c r="N11" s="106" t="n"/>
      <c r="O11" s="106" t="n"/>
      <c r="P11" s="105" t="n"/>
      <c r="Q11" s="107" t="n"/>
      <c r="R11" s="105" t="n"/>
      <c r="S11" s="107" t="n"/>
      <c r="T11" s="108">
        <f>IFERROR(L11+M11+N11+O11+IFERROR(AC11,0)+IFERROR(AD11,0)+IFERROR(AE11,0)+IFERROR(AF11,0)+IFERROR(AG11,0),0)</f>
        <v/>
      </c>
      <c r="U11" s="108">
        <f>IFERROR(H11+IFERROR(I11,0)+T11+IFERROR(V11,0),0)</f>
        <v/>
      </c>
    </row>
    <row r="12" ht="15" customHeight="1" s="199">
      <c r="A12" s="104" t="n"/>
      <c r="B12" s="104" t="n"/>
      <c r="C12" s="104" t="n"/>
      <c r="D12" s="105" t="n"/>
      <c r="E12" s="105" t="n"/>
      <c r="F12" s="105" t="n"/>
      <c r="G12" s="106" t="n"/>
      <c r="H12" s="106" t="n"/>
      <c r="I12" s="106" t="n"/>
      <c r="J12" s="107" t="n"/>
      <c r="K12" s="105" t="n"/>
      <c r="L12" s="106" t="n"/>
      <c r="M12" s="106" t="n"/>
      <c r="N12" s="106" t="n"/>
      <c r="O12" s="106" t="n"/>
      <c r="P12" s="105" t="n"/>
      <c r="Q12" s="107" t="n"/>
      <c r="R12" s="105" t="n"/>
      <c r="S12" s="107" t="n"/>
      <c r="T12" s="108">
        <f>IFERROR(L12+M12+N12+O12+IFERROR(AC12,0)+IFERROR(AD12,0)+IFERROR(AE12,0)+IFERROR(AF12,0)+IFERROR(AG12,0),0)</f>
        <v/>
      </c>
      <c r="U12" s="108">
        <f>IFERROR(H12+IFERROR(I12,0)+T12+IFERROR(V12,0),0)</f>
        <v/>
      </c>
    </row>
    <row r="13" ht="15" customHeight="1" s="199">
      <c r="A13" s="104" t="n"/>
      <c r="B13" s="104" t="n"/>
      <c r="C13" s="104" t="n"/>
      <c r="D13" s="105" t="n"/>
      <c r="E13" s="105" t="n"/>
      <c r="F13" s="105" t="n"/>
      <c r="G13" s="106" t="n"/>
      <c r="H13" s="106" t="n"/>
      <c r="I13" s="106" t="n"/>
      <c r="J13" s="107" t="n"/>
      <c r="K13" s="105" t="n"/>
      <c r="L13" s="106" t="n"/>
      <c r="M13" s="106" t="n"/>
      <c r="N13" s="106" t="n"/>
      <c r="O13" s="106" t="n"/>
      <c r="P13" s="105" t="n"/>
      <c r="Q13" s="107" t="n"/>
      <c r="R13" s="105" t="n"/>
      <c r="S13" s="107" t="n"/>
      <c r="T13" s="108">
        <f>IFERROR(L13+M13+N13+O13+IFERROR(AC13,0)+IFERROR(AD13,0)+IFERROR(AE13,0)+IFERROR(AF13,0)+IFERROR(AG13,0),0)</f>
        <v/>
      </c>
      <c r="U13" s="108">
        <f>IFERROR(H13+IFERROR(I13,0)+T13+IFERROR(V13,0),0)</f>
        <v/>
      </c>
    </row>
    <row r="14" ht="15" customHeight="1" s="199">
      <c r="A14" s="104" t="n"/>
      <c r="B14" s="104" t="n"/>
      <c r="C14" s="104" t="n"/>
      <c r="D14" s="105" t="n"/>
      <c r="E14" s="105" t="n"/>
      <c r="F14" s="105" t="n"/>
      <c r="G14" s="106" t="n"/>
      <c r="H14" s="106" t="n"/>
      <c r="I14" s="106" t="n"/>
      <c r="J14" s="107" t="n"/>
      <c r="K14" s="105" t="n"/>
      <c r="L14" s="106" t="n"/>
      <c r="M14" s="106" t="n"/>
      <c r="N14" s="106" t="n"/>
      <c r="O14" s="106" t="n"/>
      <c r="P14" s="105" t="n"/>
      <c r="Q14" s="107" t="n"/>
      <c r="R14" s="105" t="n"/>
      <c r="S14" s="107" t="n"/>
      <c r="T14" s="108">
        <f>IFERROR(L14+M14+N14+O14+IFERROR(AC14,0)+IFERROR(AD14,0)+IFERROR(AE14,0)+IFERROR(AF14,0)+IFERROR(AG14,0),0)</f>
        <v/>
      </c>
      <c r="U14" s="108">
        <f>IFERROR(H14+IFERROR(I14,0)+T14+IFERROR(V14,0),0)</f>
        <v/>
      </c>
    </row>
    <row r="15" ht="15" customHeight="1" s="199">
      <c r="A15" s="104" t="n"/>
      <c r="B15" s="104" t="n"/>
      <c r="C15" s="104" t="n"/>
      <c r="D15" s="105" t="n"/>
      <c r="E15" s="105" t="n"/>
      <c r="F15" s="105" t="n"/>
      <c r="G15" s="106" t="n"/>
      <c r="H15" s="106" t="n"/>
      <c r="I15" s="106" t="n"/>
      <c r="J15" s="107" t="n"/>
      <c r="K15" s="105" t="n"/>
      <c r="L15" s="106" t="n"/>
      <c r="M15" s="106" t="n"/>
      <c r="N15" s="106" t="n"/>
      <c r="O15" s="106" t="n"/>
      <c r="P15" s="105" t="n"/>
      <c r="Q15" s="107" t="n"/>
      <c r="R15" s="105" t="n"/>
      <c r="S15" s="107" t="n"/>
      <c r="T15" s="108">
        <f>IFERROR(L15+M15+N15+O15+IFERROR(AC15,0)+IFERROR(AD15,0)+IFERROR(AE15,0)+IFERROR(AF15,0)+IFERROR(AG15,0),0)</f>
        <v/>
      </c>
      <c r="U15" s="108">
        <f>IFERROR(H15+IFERROR(I15,0)+T15+IFERROR(V15,0),0)</f>
        <v/>
      </c>
    </row>
    <row r="16" ht="15" customHeight="1" s="199">
      <c r="A16" s="104" t="n"/>
      <c r="B16" s="104" t="n"/>
      <c r="C16" s="104" t="n"/>
      <c r="D16" s="105" t="n"/>
      <c r="E16" s="105" t="n"/>
      <c r="F16" s="105" t="n"/>
      <c r="G16" s="106" t="n"/>
      <c r="H16" s="106" t="n"/>
      <c r="I16" s="106" t="n"/>
      <c r="J16" s="107" t="n"/>
      <c r="K16" s="105" t="n"/>
      <c r="L16" s="106" t="n"/>
      <c r="M16" s="106" t="n"/>
      <c r="N16" s="106" t="n"/>
      <c r="O16" s="106" t="n"/>
      <c r="P16" s="105" t="n"/>
      <c r="Q16" s="107" t="n"/>
      <c r="R16" s="105" t="n"/>
      <c r="S16" s="107" t="n"/>
      <c r="T16" s="108">
        <f>IFERROR(L16+M16+N16+O16+IFERROR(AC16,0)+IFERROR(AD16,0)+IFERROR(AE16,0)+IFERROR(AF16,0)+IFERROR(AG16,0),0)</f>
        <v/>
      </c>
      <c r="U16" s="108">
        <f>IFERROR(H16+IFERROR(I16,0)+T16+IFERROR(V16,0),0)</f>
        <v/>
      </c>
    </row>
    <row r="17" ht="15" customHeight="1" s="199">
      <c r="A17" s="104" t="n"/>
      <c r="B17" s="104" t="n"/>
      <c r="C17" s="104" t="n"/>
      <c r="D17" s="105" t="n"/>
      <c r="E17" s="105" t="n"/>
      <c r="F17" s="105" t="n"/>
      <c r="G17" s="106" t="n"/>
      <c r="H17" s="106" t="n"/>
      <c r="I17" s="106" t="n"/>
      <c r="J17" s="107" t="n"/>
      <c r="K17" s="105" t="n"/>
      <c r="L17" s="106" t="n"/>
      <c r="M17" s="106" t="n"/>
      <c r="N17" s="106" t="n"/>
      <c r="O17" s="106" t="n"/>
      <c r="P17" s="105" t="n"/>
      <c r="Q17" s="107" t="n"/>
      <c r="R17" s="105" t="n"/>
      <c r="S17" s="107" t="n"/>
      <c r="T17" s="108">
        <f>IFERROR(L17+M17+N17+O17+IFERROR(AC17,0)+IFERROR(AD17,0)+IFERROR(AE17,0)+IFERROR(AF17,0)+IFERROR(AG17,0),0)</f>
        <v/>
      </c>
      <c r="U17" s="108">
        <f>IFERROR(H17+IFERROR(I17,0)+T17+IFERROR(V17,0),0)</f>
        <v/>
      </c>
    </row>
    <row r="18" ht="15" customHeight="1" s="199">
      <c r="A18" s="104" t="n"/>
      <c r="B18" s="104" t="n"/>
      <c r="C18" s="104" t="n"/>
      <c r="D18" s="105" t="n"/>
      <c r="E18" s="105" t="n"/>
      <c r="F18" s="105" t="n"/>
      <c r="G18" s="106" t="n"/>
      <c r="H18" s="106" t="n"/>
      <c r="I18" s="106" t="n"/>
      <c r="J18" s="107" t="n"/>
      <c r="K18" s="105" t="n"/>
      <c r="L18" s="106" t="n"/>
      <c r="M18" s="106" t="n"/>
      <c r="N18" s="106" t="n"/>
      <c r="O18" s="106" t="n"/>
      <c r="P18" s="105" t="n"/>
      <c r="Q18" s="107" t="n"/>
      <c r="R18" s="105" t="n"/>
      <c r="S18" s="107" t="n"/>
      <c r="T18" s="108">
        <f>IFERROR(L18+M18+N18+O18+IFERROR(AC18,0)+IFERROR(AD18,0)+IFERROR(AE18,0)+IFERROR(AF18,0)+IFERROR(AG18,0),0)</f>
        <v/>
      </c>
      <c r="U18" s="108">
        <f>IFERROR(H18+IFERROR(I18,0)+T18+IFERROR(V18,0),0)</f>
        <v/>
      </c>
    </row>
    <row r="19" ht="15" customHeight="1" s="199">
      <c r="A19" s="104" t="n"/>
      <c r="B19" s="104" t="n"/>
      <c r="C19" s="104" t="n"/>
      <c r="D19" s="105" t="n"/>
      <c r="E19" s="105" t="n"/>
      <c r="F19" s="105" t="n"/>
      <c r="G19" s="106" t="n"/>
      <c r="H19" s="106" t="n"/>
      <c r="I19" s="106" t="n"/>
      <c r="J19" s="107" t="n"/>
      <c r="K19" s="105" t="n"/>
      <c r="L19" s="106" t="n"/>
      <c r="M19" s="106" t="n"/>
      <c r="N19" s="106" t="n"/>
      <c r="O19" s="106" t="n"/>
      <c r="P19" s="105" t="n"/>
      <c r="Q19" s="107" t="n"/>
      <c r="R19" s="105" t="n"/>
      <c r="S19" s="107" t="n"/>
      <c r="T19" s="108">
        <f>IFERROR(L19+M19+N19+O19+IFERROR(AC19,0)+IFERROR(AD19,0)+IFERROR(AE19,0)+IFERROR(AF19,0)+IFERROR(AG19,0),0)</f>
        <v/>
      </c>
      <c r="U19" s="108">
        <f>IFERROR(H19+IFERROR(I19,0)+T19+IFERROR(V19,0),0)</f>
        <v/>
      </c>
    </row>
    <row r="20" ht="15" customHeight="1" s="199">
      <c r="A20" s="104" t="n"/>
      <c r="B20" s="104" t="n"/>
      <c r="C20" s="104" t="n"/>
      <c r="D20" s="105" t="n"/>
      <c r="E20" s="105" t="n"/>
      <c r="F20" s="105" t="n"/>
      <c r="G20" s="106" t="n"/>
      <c r="H20" s="106" t="n"/>
      <c r="I20" s="106" t="n"/>
      <c r="J20" s="107" t="n"/>
      <c r="K20" s="105" t="n"/>
      <c r="L20" s="106" t="n"/>
      <c r="M20" s="106" t="n"/>
      <c r="N20" s="106" t="n"/>
      <c r="O20" s="106" t="n"/>
      <c r="P20" s="105" t="n"/>
      <c r="Q20" s="107" t="n"/>
      <c r="R20" s="105" t="n"/>
      <c r="S20" s="107" t="n"/>
      <c r="T20" s="108">
        <f>IFERROR(L20+M20+N20+O20+IFERROR(AC20,0)+IFERROR(AD20,0)+IFERROR(AE20,0)+IFERROR(AF20,0)+IFERROR(AG20,0),0)</f>
        <v/>
      </c>
      <c r="U20" s="108">
        <f>IFERROR(H20+IFERROR(I20,0)+T20+IFERROR(V20,0),0)</f>
        <v/>
      </c>
    </row>
    <row r="21" ht="15" customHeight="1" s="199">
      <c r="A21" s="104" t="n"/>
      <c r="B21" s="104" t="n"/>
      <c r="C21" s="104" t="n"/>
      <c r="D21" s="105" t="n"/>
      <c r="E21" s="105" t="n"/>
      <c r="F21" s="105" t="n"/>
      <c r="G21" s="106" t="n"/>
      <c r="H21" s="106" t="n"/>
      <c r="I21" s="106" t="n"/>
      <c r="J21" s="107" t="n"/>
      <c r="K21" s="105" t="n"/>
      <c r="L21" s="106" t="n"/>
      <c r="M21" s="106" t="n"/>
      <c r="N21" s="106" t="n"/>
      <c r="O21" s="106" t="n"/>
      <c r="P21" s="105" t="n"/>
      <c r="Q21" s="107" t="n"/>
      <c r="R21" s="105" t="n"/>
      <c r="S21" s="107" t="n"/>
      <c r="T21" s="108">
        <f>IFERROR(L21+M21+N21+O21+IFERROR(AC21,0)+IFERROR(AD21,0)+IFERROR(AE21,0)+IFERROR(AF21,0)+IFERROR(AG21,0),0)</f>
        <v/>
      </c>
      <c r="U21" s="108">
        <f>IFERROR(H21+IFERROR(I21,0)+T21+IFERROR(V21,0),0)</f>
        <v/>
      </c>
    </row>
    <row r="22" ht="15" customHeight="1" s="199">
      <c r="A22" s="104" t="n"/>
      <c r="B22" s="104" t="n"/>
      <c r="C22" s="104" t="n"/>
      <c r="D22" s="105" t="n"/>
      <c r="E22" s="105" t="n"/>
      <c r="F22" s="105" t="n"/>
      <c r="G22" s="106" t="n"/>
      <c r="H22" s="106" t="n"/>
      <c r="I22" s="106" t="n"/>
      <c r="J22" s="107" t="n"/>
      <c r="K22" s="105" t="n"/>
      <c r="L22" s="106" t="n"/>
      <c r="M22" s="106" t="n"/>
      <c r="N22" s="106" t="n"/>
      <c r="O22" s="106" t="n"/>
      <c r="P22" s="105" t="n"/>
      <c r="Q22" s="107" t="n"/>
      <c r="R22" s="105" t="n"/>
      <c r="S22" s="107" t="n"/>
      <c r="T22" s="108">
        <f>IFERROR(L22+M22+N22+O22+IFERROR(AC22,0)+IFERROR(AD22,0)+IFERROR(AE22,0)+IFERROR(AF22,0)+IFERROR(AG22,0),0)</f>
        <v/>
      </c>
      <c r="U22" s="108">
        <f>IFERROR(H22+IFERROR(I22,0)+T22+IFERROR(V22,0),0)</f>
        <v/>
      </c>
    </row>
    <row r="23" ht="15" customHeight="1" s="199">
      <c r="A23" s="104" t="n"/>
      <c r="B23" s="104" t="n"/>
      <c r="C23" s="104" t="n"/>
      <c r="D23" s="105" t="n"/>
      <c r="E23" s="105" t="n"/>
      <c r="F23" s="105" t="n"/>
      <c r="G23" s="106" t="n"/>
      <c r="H23" s="106" t="n"/>
      <c r="I23" s="106" t="n"/>
      <c r="J23" s="107" t="n"/>
      <c r="K23" s="105" t="n"/>
      <c r="L23" s="106" t="n"/>
      <c r="M23" s="106" t="n"/>
      <c r="N23" s="106" t="n"/>
      <c r="O23" s="106" t="n"/>
      <c r="P23" s="105" t="n"/>
      <c r="Q23" s="107" t="n"/>
      <c r="R23" s="105" t="n"/>
      <c r="S23" s="107" t="n"/>
      <c r="T23" s="108">
        <f>IFERROR(L23+M23+N23+O23+IFERROR(AC23,0)+IFERROR(AD23,0)+IFERROR(AE23,0)+IFERROR(AF23,0)+IFERROR(AG23,0),0)</f>
        <v/>
      </c>
      <c r="U23" s="108">
        <f>IFERROR(H23+IFERROR(I23,0)+T23+IFERROR(V23,0),0)</f>
        <v/>
      </c>
    </row>
    <row r="24" ht="15" customHeight="1" s="199">
      <c r="A24" s="104" t="n"/>
      <c r="B24" s="104" t="n"/>
      <c r="C24" s="104" t="n"/>
      <c r="D24" s="105" t="n"/>
      <c r="E24" s="105" t="n"/>
      <c r="F24" s="105" t="n"/>
      <c r="G24" s="106" t="n"/>
      <c r="H24" s="106" t="n"/>
      <c r="I24" s="106" t="n"/>
      <c r="J24" s="107" t="n"/>
      <c r="K24" s="105" t="n"/>
      <c r="L24" s="106" t="n"/>
      <c r="M24" s="106" t="n"/>
      <c r="N24" s="106" t="n"/>
      <c r="O24" s="106" t="n"/>
      <c r="P24" s="105" t="n"/>
      <c r="Q24" s="107" t="n"/>
      <c r="R24" s="105" t="n"/>
      <c r="S24" s="107" t="n"/>
      <c r="T24" s="108">
        <f>IFERROR(L24+M24+N24+O24+IFERROR(AC24,0)+IFERROR(AD24,0)+IFERROR(AE24,0)+IFERROR(AF24,0)+IFERROR(AG24,0),0)</f>
        <v/>
      </c>
      <c r="U24" s="108">
        <f>IFERROR(H24+IFERROR(I24,0)+T24+IFERROR(V24,0),0)</f>
        <v/>
      </c>
    </row>
    <row r="25" ht="15" customHeight="1" s="199">
      <c r="A25" s="104" t="n"/>
      <c r="B25" s="104" t="n"/>
      <c r="C25" s="104" t="n"/>
      <c r="D25" s="105" t="n"/>
      <c r="E25" s="105" t="n"/>
      <c r="F25" s="105" t="n"/>
      <c r="G25" s="106" t="n"/>
      <c r="H25" s="106" t="n"/>
      <c r="I25" s="106" t="n"/>
      <c r="J25" s="107" t="n"/>
      <c r="K25" s="105" t="n"/>
      <c r="L25" s="106" t="n"/>
      <c r="M25" s="106" t="n"/>
      <c r="N25" s="106" t="n"/>
      <c r="O25" s="106" t="n"/>
      <c r="P25" s="105" t="n"/>
      <c r="Q25" s="107" t="n"/>
      <c r="R25" s="105" t="n"/>
      <c r="S25" s="107" t="n"/>
      <c r="T25" s="108">
        <f>IFERROR(L25+M25+N25+O25+IFERROR(AC25,0)+IFERROR(AD25,0)+IFERROR(AE25,0)+IFERROR(AF25,0)+IFERROR(AG25,0),0)</f>
        <v/>
      </c>
      <c r="U25" s="108">
        <f>IFERROR(H25+IFERROR(I25,0)+T25+IFERROR(V25,0),0)</f>
        <v/>
      </c>
    </row>
    <row r="26" ht="15" customHeight="1" s="199">
      <c r="A26" s="104" t="n"/>
      <c r="B26" s="104" t="n"/>
      <c r="C26" s="104" t="n"/>
      <c r="D26" s="105" t="n"/>
      <c r="E26" s="105" t="n"/>
      <c r="F26" s="105" t="n"/>
      <c r="G26" s="106" t="n"/>
      <c r="H26" s="106" t="n"/>
      <c r="I26" s="106" t="n"/>
      <c r="J26" s="107" t="n"/>
      <c r="K26" s="105" t="n"/>
      <c r="L26" s="106" t="n"/>
      <c r="M26" s="106" t="n"/>
      <c r="N26" s="106" t="n"/>
      <c r="O26" s="106" t="n"/>
      <c r="P26" s="105" t="n"/>
      <c r="Q26" s="107" t="n"/>
      <c r="R26" s="105" t="n"/>
      <c r="S26" s="107" t="n"/>
      <c r="T26" s="108">
        <f>IFERROR(L26+M26+N26+O26+IFERROR(AC26,0)+IFERROR(AD26,0)+IFERROR(AE26,0)+IFERROR(AF26,0)+IFERROR(AG26,0),0)</f>
        <v/>
      </c>
      <c r="U26" s="108">
        <f>IFERROR(H26+IFERROR(I26,0)+T26+IFERROR(V26,0),0)</f>
        <v/>
      </c>
    </row>
    <row r="27" ht="15" customHeight="1" s="199">
      <c r="A27" s="104" t="n"/>
      <c r="B27" s="104" t="n"/>
      <c r="C27" s="104" t="n"/>
      <c r="D27" s="105" t="n"/>
      <c r="E27" s="105" t="n"/>
      <c r="F27" s="105" t="n"/>
      <c r="G27" s="106" t="n"/>
      <c r="H27" s="106" t="n"/>
      <c r="I27" s="106" t="n"/>
      <c r="J27" s="107" t="n"/>
      <c r="K27" s="105" t="n"/>
      <c r="L27" s="106" t="n"/>
      <c r="M27" s="106" t="n"/>
      <c r="N27" s="106" t="n"/>
      <c r="O27" s="106" t="n"/>
      <c r="P27" s="105" t="n"/>
      <c r="Q27" s="107" t="n"/>
      <c r="R27" s="105" t="n"/>
      <c r="S27" s="107" t="n"/>
      <c r="T27" s="108">
        <f>IFERROR(L27+M27+N27+O27+IFERROR(AC27,0)+IFERROR(AD27,0)+IFERROR(AE27,0)+IFERROR(AF27,0)+IFERROR(AG27,0),0)</f>
        <v/>
      </c>
      <c r="U27" s="108">
        <f>IFERROR(H27+IFERROR(I27,0)+T27+IFERROR(V27,0),0)</f>
        <v/>
      </c>
    </row>
    <row r="28" ht="15" customHeight="1" s="199">
      <c r="A28" s="104" t="n"/>
      <c r="B28" s="104" t="n"/>
      <c r="C28" s="104" t="n"/>
      <c r="D28" s="105" t="n"/>
      <c r="E28" s="105" t="n"/>
      <c r="F28" s="105" t="n"/>
      <c r="G28" s="106" t="n"/>
      <c r="H28" s="106" t="n"/>
      <c r="I28" s="106" t="n"/>
      <c r="J28" s="107" t="n"/>
      <c r="K28" s="105" t="n"/>
      <c r="L28" s="106" t="n"/>
      <c r="M28" s="106" t="n"/>
      <c r="N28" s="106" t="n"/>
      <c r="O28" s="106" t="n"/>
      <c r="P28" s="105" t="n"/>
      <c r="Q28" s="107" t="n"/>
      <c r="R28" s="105" t="n"/>
      <c r="S28" s="107" t="n"/>
      <c r="T28" s="108">
        <f>IFERROR(L28+M28+N28+O28+IFERROR(AC28,0)+IFERROR(AD28,0)+IFERROR(AE28,0)+IFERROR(AF28,0)+IFERROR(AG28,0),0)</f>
        <v/>
      </c>
      <c r="U28" s="108">
        <f>IFERROR(H28+IFERROR(I28,0)+T28+IFERROR(V28,0),0)</f>
        <v/>
      </c>
    </row>
    <row r="29" ht="15" customHeight="1" s="199">
      <c r="A29" s="104" t="n"/>
      <c r="B29" s="104" t="n"/>
      <c r="C29" s="104" t="n"/>
      <c r="D29" s="105" t="n"/>
      <c r="E29" s="105" t="n"/>
      <c r="F29" s="105" t="n"/>
      <c r="G29" s="106" t="n"/>
      <c r="H29" s="106" t="n"/>
      <c r="I29" s="106" t="n"/>
      <c r="J29" s="107" t="n"/>
      <c r="K29" s="105" t="n"/>
      <c r="L29" s="106" t="n"/>
      <c r="M29" s="106" t="n"/>
      <c r="N29" s="106" t="n"/>
      <c r="O29" s="106" t="n"/>
      <c r="P29" s="105" t="n"/>
      <c r="Q29" s="107" t="n"/>
      <c r="R29" s="105" t="n"/>
      <c r="S29" s="107" t="n"/>
      <c r="T29" s="108">
        <f>IFERROR(L29+M29+N29+O29+IFERROR(AC29,0)+IFERROR(AD29,0)+IFERROR(AE29,0)+IFERROR(AF29,0)+IFERROR(AG29,0),0)</f>
        <v/>
      </c>
      <c r="U29" s="108">
        <f>IFERROR(H29+IFERROR(I29,0)+T29+IFERROR(V29,0),0)</f>
        <v/>
      </c>
    </row>
    <row r="30" ht="15" customHeight="1" s="199">
      <c r="A30" s="104" t="n"/>
      <c r="B30" s="104" t="n"/>
      <c r="C30" s="104" t="n"/>
      <c r="D30" s="105" t="n"/>
      <c r="E30" s="105" t="n"/>
      <c r="F30" s="105" t="n"/>
      <c r="G30" s="106" t="n"/>
      <c r="H30" s="106" t="n"/>
      <c r="I30" s="106" t="n"/>
      <c r="J30" s="107" t="n"/>
      <c r="K30" s="105" t="n"/>
      <c r="L30" s="106" t="n"/>
      <c r="M30" s="106" t="n"/>
      <c r="N30" s="106" t="n"/>
      <c r="O30" s="106" t="n"/>
      <c r="P30" s="105" t="n"/>
      <c r="Q30" s="107" t="n"/>
      <c r="R30" s="105" t="n"/>
      <c r="S30" s="107" t="n"/>
      <c r="T30" s="108">
        <f>IFERROR(L30+M30+N30+O30+IFERROR(AC30,0)+IFERROR(AD30,0)+IFERROR(AE30,0)+IFERROR(AF30,0)+IFERROR(AG30,0),0)</f>
        <v/>
      </c>
      <c r="U30" s="108">
        <f>IFERROR(H30+IFERROR(I30,0)+T30+IFERROR(V30,0),0)</f>
        <v/>
      </c>
    </row>
    <row r="31" ht="15" customHeight="1" s="199">
      <c r="A31" s="104" t="n"/>
      <c r="B31" s="104" t="n"/>
      <c r="C31" s="104" t="n"/>
      <c r="D31" s="105" t="n"/>
      <c r="E31" s="105" t="n"/>
      <c r="F31" s="105" t="n"/>
      <c r="G31" s="106" t="n"/>
      <c r="H31" s="106" t="n"/>
      <c r="I31" s="106" t="n"/>
      <c r="J31" s="107" t="n"/>
      <c r="K31" s="105" t="n"/>
      <c r="L31" s="106" t="n"/>
      <c r="M31" s="106" t="n"/>
      <c r="N31" s="106" t="n"/>
      <c r="O31" s="106" t="n"/>
      <c r="P31" s="105" t="n"/>
      <c r="Q31" s="107" t="n"/>
      <c r="R31" s="105" t="n"/>
      <c r="S31" s="107" t="n"/>
      <c r="T31" s="108">
        <f>IFERROR(L31+M31+N31+O31+IFERROR(AC31,0)+IFERROR(AD31,0)+IFERROR(AE31,0)+IFERROR(AF31,0)+IFERROR(AG31,0),0)</f>
        <v/>
      </c>
      <c r="U31" s="108">
        <f>IFERROR(H31+IFERROR(I31,0)+T31+IFERROR(V31,0),0)</f>
        <v/>
      </c>
    </row>
    <row r="32" ht="15" customHeight="1" s="199">
      <c r="A32" s="104" t="n"/>
      <c r="B32" s="104" t="n"/>
      <c r="C32" s="104" t="n"/>
      <c r="D32" s="105" t="n"/>
      <c r="E32" s="105" t="n"/>
      <c r="F32" s="105" t="n"/>
      <c r="G32" s="106" t="n"/>
      <c r="H32" s="106" t="n"/>
      <c r="I32" s="106" t="n"/>
      <c r="J32" s="107" t="n"/>
      <c r="K32" s="105" t="n"/>
      <c r="L32" s="106" t="n"/>
      <c r="M32" s="106" t="n"/>
      <c r="N32" s="106" t="n"/>
      <c r="O32" s="106" t="n"/>
      <c r="P32" s="105" t="n"/>
      <c r="Q32" s="107" t="n"/>
      <c r="R32" s="105" t="n"/>
      <c r="S32" s="107" t="n"/>
      <c r="T32" s="108">
        <f>IFERROR(L32+M32+N32+O32+IFERROR(AC32,0)+IFERROR(AD32,0)+IFERROR(AE32,0)+IFERROR(AF32,0)+IFERROR(AG32,0),0)</f>
        <v/>
      </c>
      <c r="U32" s="108">
        <f>IFERROR(H32+IFERROR(I32,0)+T32+IFERROR(V32,0),0)</f>
        <v/>
      </c>
    </row>
    <row r="33" ht="15" customHeight="1" s="199">
      <c r="A33" s="104" t="n"/>
      <c r="B33" s="104" t="n"/>
      <c r="C33" s="104" t="n"/>
      <c r="D33" s="105" t="n"/>
      <c r="E33" s="105" t="n"/>
      <c r="F33" s="105" t="n"/>
      <c r="G33" s="106" t="n"/>
      <c r="H33" s="106" t="n"/>
      <c r="I33" s="106" t="n"/>
      <c r="J33" s="107" t="n"/>
      <c r="K33" s="105" t="n"/>
      <c r="L33" s="106" t="n"/>
      <c r="M33" s="106" t="n"/>
      <c r="N33" s="106" t="n"/>
      <c r="O33" s="106" t="n"/>
      <c r="P33" s="105" t="n"/>
      <c r="Q33" s="107" t="n"/>
      <c r="R33" s="105" t="n"/>
      <c r="S33" s="107" t="n"/>
      <c r="T33" s="108">
        <f>IFERROR(L33+M33+N33+O33+IFERROR(AC33,0)+IFERROR(AD33,0)+IFERROR(AE33,0)+IFERROR(AF33,0)+IFERROR(AG33,0),0)</f>
        <v/>
      </c>
      <c r="U33" s="108">
        <f>IFERROR(H33+IFERROR(I33,0)+T33+IFERROR(V33,0),0)</f>
        <v/>
      </c>
    </row>
    <row r="34" ht="15" customHeight="1" s="199">
      <c r="A34" s="104" t="n"/>
      <c r="B34" s="104" t="n"/>
      <c r="C34" s="104" t="n"/>
      <c r="D34" s="105" t="n"/>
      <c r="E34" s="105" t="n"/>
      <c r="F34" s="105" t="n"/>
      <c r="G34" s="106" t="n"/>
      <c r="H34" s="106" t="n"/>
      <c r="I34" s="106" t="n"/>
      <c r="J34" s="107" t="n"/>
      <c r="K34" s="105" t="n"/>
      <c r="L34" s="106" t="n"/>
      <c r="M34" s="106" t="n"/>
      <c r="N34" s="106" t="n"/>
      <c r="O34" s="106" t="n"/>
      <c r="P34" s="105" t="n"/>
      <c r="Q34" s="107" t="n"/>
      <c r="R34" s="105" t="n"/>
      <c r="S34" s="107" t="n"/>
      <c r="T34" s="108">
        <f>IFERROR(L34+M34+N34+O34+IFERROR(AC34,0)+IFERROR(AD34,0)+IFERROR(AE34,0)+IFERROR(AF34,0)+IFERROR(AG34,0),0)</f>
        <v/>
      </c>
      <c r="U34" s="108">
        <f>IFERROR(H34+IFERROR(I34,0)+T34+IFERROR(V34,0),0)</f>
        <v/>
      </c>
    </row>
    <row r="35" ht="15" customHeight="1" s="199">
      <c r="A35" s="104" t="n"/>
      <c r="B35" s="104" t="n"/>
      <c r="C35" s="104" t="n"/>
      <c r="D35" s="105" t="n"/>
      <c r="E35" s="105" t="n"/>
      <c r="F35" s="105" t="n"/>
      <c r="G35" s="106" t="n"/>
      <c r="H35" s="106" t="n"/>
      <c r="I35" s="106" t="n"/>
      <c r="J35" s="107" t="n"/>
      <c r="K35" s="105" t="n"/>
      <c r="L35" s="106" t="n"/>
      <c r="M35" s="106" t="n"/>
      <c r="N35" s="106" t="n"/>
      <c r="O35" s="106" t="n"/>
      <c r="P35" s="105" t="n"/>
      <c r="Q35" s="107" t="n"/>
      <c r="R35" s="105" t="n"/>
      <c r="S35" s="107" t="n"/>
      <c r="T35" s="108">
        <f>IFERROR(L35+M35+N35+O35+IFERROR(AC35,0)+IFERROR(AD35,0)+IFERROR(AE35,0)+IFERROR(AF35,0)+IFERROR(AG35,0),0)</f>
        <v/>
      </c>
      <c r="U35" s="108">
        <f>IFERROR(H35+IFERROR(I35,0)+T35+IFERROR(V35,0),0)</f>
        <v/>
      </c>
    </row>
    <row r="36" ht="15" customHeight="1" s="199">
      <c r="A36" s="104" t="n"/>
      <c r="B36" s="104" t="n"/>
      <c r="C36" s="104" t="n"/>
      <c r="D36" s="105" t="n"/>
      <c r="E36" s="105" t="n"/>
      <c r="F36" s="105" t="n"/>
      <c r="G36" s="106" t="n"/>
      <c r="H36" s="106" t="n"/>
      <c r="I36" s="106" t="n"/>
      <c r="J36" s="107" t="n"/>
      <c r="K36" s="105" t="n"/>
      <c r="L36" s="106" t="n"/>
      <c r="M36" s="106" t="n"/>
      <c r="N36" s="106" t="n"/>
      <c r="O36" s="106" t="n"/>
      <c r="P36" s="105" t="n"/>
      <c r="Q36" s="107" t="n"/>
      <c r="R36" s="105" t="n"/>
      <c r="S36" s="107" t="n"/>
      <c r="T36" s="108">
        <f>IFERROR(L36+M36+N36+O36+IFERROR(AC36,0)+IFERROR(AD36,0)+IFERROR(AE36,0)+IFERROR(AF36,0)+IFERROR(AG36,0),0)</f>
        <v/>
      </c>
      <c r="U36" s="108">
        <f>IFERROR(H36+IFERROR(I36,0)+T36+IFERROR(V36,0),0)</f>
        <v/>
      </c>
    </row>
    <row r="37" ht="15" customHeight="1" s="199">
      <c r="A37" s="104" t="n"/>
      <c r="B37" s="104" t="n"/>
      <c r="C37" s="104" t="n"/>
      <c r="D37" s="105" t="n"/>
      <c r="E37" s="105" t="n"/>
      <c r="F37" s="105" t="n"/>
      <c r="G37" s="106" t="n"/>
      <c r="H37" s="106" t="n"/>
      <c r="I37" s="106" t="n"/>
      <c r="J37" s="107" t="n"/>
      <c r="K37" s="105" t="n"/>
      <c r="L37" s="106" t="n"/>
      <c r="M37" s="106" t="n"/>
      <c r="N37" s="106" t="n"/>
      <c r="O37" s="106" t="n"/>
      <c r="P37" s="105" t="n"/>
      <c r="Q37" s="107" t="n"/>
      <c r="R37" s="105" t="n"/>
      <c r="S37" s="107" t="n"/>
      <c r="T37" s="108">
        <f>IFERROR(L37+M37+N37+O37+IFERROR(AC37,0)+IFERROR(AD37,0)+IFERROR(AE37,0)+IFERROR(AF37,0)+IFERROR(AG37,0),0)</f>
        <v/>
      </c>
      <c r="U37" s="108">
        <f>IFERROR(H37+IFERROR(I37,0)+T37+IFERROR(V37,0),0)</f>
        <v/>
      </c>
    </row>
    <row r="38" ht="15" customHeight="1" s="199">
      <c r="A38" s="104" t="n"/>
      <c r="B38" s="104" t="n"/>
      <c r="C38" s="104" t="n"/>
      <c r="D38" s="105" t="n"/>
      <c r="E38" s="105" t="n"/>
      <c r="F38" s="105" t="n"/>
      <c r="G38" s="106" t="n"/>
      <c r="H38" s="106" t="n"/>
      <c r="I38" s="106" t="n"/>
      <c r="J38" s="107" t="n"/>
      <c r="K38" s="105" t="n"/>
      <c r="L38" s="106" t="n"/>
      <c r="M38" s="106" t="n"/>
      <c r="N38" s="106" t="n"/>
      <c r="O38" s="106" t="n"/>
      <c r="P38" s="105" t="n"/>
      <c r="Q38" s="107" t="n"/>
      <c r="R38" s="105" t="n"/>
      <c r="S38" s="107" t="n"/>
      <c r="T38" s="108">
        <f>IFERROR(L38+M38+N38+O38+IFERROR(AC38,0)+IFERROR(AD38,0)+IFERROR(AE38,0)+IFERROR(AF38,0)+IFERROR(AG38,0),0)</f>
        <v/>
      </c>
      <c r="U38" s="108">
        <f>IFERROR(H38+IFERROR(I38,0)+T38+IFERROR(V38,0),0)</f>
        <v/>
      </c>
    </row>
    <row r="39" ht="15" customHeight="1" s="199">
      <c r="A39" s="104" t="n"/>
      <c r="B39" s="104" t="n"/>
      <c r="C39" s="104" t="n"/>
      <c r="D39" s="105" t="n"/>
      <c r="E39" s="105" t="n"/>
      <c r="F39" s="105" t="n"/>
      <c r="G39" s="106" t="n"/>
      <c r="H39" s="106" t="n"/>
      <c r="I39" s="106" t="n"/>
      <c r="J39" s="107" t="n"/>
      <c r="K39" s="105" t="n"/>
      <c r="L39" s="106" t="n"/>
      <c r="M39" s="106" t="n"/>
      <c r="N39" s="106" t="n"/>
      <c r="O39" s="106" t="n"/>
      <c r="P39" s="105" t="n"/>
      <c r="Q39" s="107" t="n"/>
      <c r="R39" s="105" t="n"/>
      <c r="S39" s="107" t="n"/>
      <c r="T39" s="108">
        <f>IFERROR(L39+M39+N39+O39+IFERROR(AC39,0)+IFERROR(AD39,0)+IFERROR(AE39,0)+IFERROR(AF39,0)+IFERROR(AG39,0),0)</f>
        <v/>
      </c>
      <c r="U39" s="108">
        <f>IFERROR(H39+IFERROR(I39,0)+T39+IFERROR(V39,0),0)</f>
        <v/>
      </c>
    </row>
    <row r="40" ht="15" customHeight="1" s="199">
      <c r="A40" s="104" t="n"/>
      <c r="B40" s="104" t="n"/>
      <c r="C40" s="104" t="n"/>
      <c r="D40" s="105" t="n"/>
      <c r="E40" s="105" t="n"/>
      <c r="F40" s="105" t="n"/>
      <c r="G40" s="106" t="n"/>
      <c r="H40" s="106" t="n"/>
      <c r="I40" s="106" t="n"/>
      <c r="J40" s="107" t="n"/>
      <c r="K40" s="105" t="n"/>
      <c r="L40" s="106" t="n"/>
      <c r="M40" s="106" t="n"/>
      <c r="N40" s="106" t="n"/>
      <c r="O40" s="106" t="n"/>
      <c r="P40" s="105" t="n"/>
      <c r="Q40" s="107" t="n"/>
      <c r="R40" s="105" t="n"/>
      <c r="S40" s="107" t="n"/>
      <c r="T40" s="108">
        <f>IFERROR(L40+M40+N40+O40+IFERROR(AC40,0)+IFERROR(AD40,0)+IFERROR(AE40,0)+IFERROR(AF40,0)+IFERROR(AG40,0),0)</f>
        <v/>
      </c>
      <c r="U40" s="108">
        <f>IFERROR(H40+IFERROR(I40,0)+T40+IFERROR(V40,0),0)</f>
        <v/>
      </c>
    </row>
    <row r="41" ht="15" customHeight="1" s="199">
      <c r="A41" s="104" t="n"/>
      <c r="B41" s="104" t="n"/>
      <c r="C41" s="104" t="n"/>
      <c r="D41" s="105" t="n"/>
      <c r="E41" s="105" t="n"/>
      <c r="F41" s="105" t="n"/>
      <c r="G41" s="106" t="n"/>
      <c r="H41" s="106" t="n"/>
      <c r="I41" s="106" t="n"/>
      <c r="J41" s="107" t="n"/>
      <c r="K41" s="105" t="n"/>
      <c r="L41" s="106" t="n"/>
      <c r="M41" s="106" t="n"/>
      <c r="N41" s="106" t="n"/>
      <c r="O41" s="106" t="n"/>
      <c r="P41" s="105" t="n"/>
      <c r="Q41" s="107" t="n"/>
      <c r="R41" s="105" t="n"/>
      <c r="S41" s="107" t="n"/>
      <c r="T41" s="108">
        <f>IFERROR(L41+M41+N41+O41+IFERROR(AC41,0)+IFERROR(AD41,0)+IFERROR(AE41,0)+IFERROR(AF41,0)+IFERROR(AG41,0),0)</f>
        <v/>
      </c>
      <c r="U41" s="108">
        <f>IFERROR(H41+IFERROR(I41,0)+T41+IFERROR(V41,0),0)</f>
        <v/>
      </c>
    </row>
    <row r="42" ht="15" customHeight="1" s="199">
      <c r="A42" s="104" t="n"/>
      <c r="B42" s="104" t="n"/>
      <c r="C42" s="104" t="n"/>
      <c r="D42" s="105" t="n"/>
      <c r="E42" s="105" t="n"/>
      <c r="F42" s="105" t="n"/>
      <c r="G42" s="106" t="n"/>
      <c r="H42" s="106" t="n"/>
      <c r="I42" s="106" t="n"/>
      <c r="J42" s="107" t="n"/>
      <c r="K42" s="105" t="n"/>
      <c r="L42" s="106" t="n"/>
      <c r="M42" s="106" t="n"/>
      <c r="N42" s="106" t="n"/>
      <c r="O42" s="106" t="n"/>
      <c r="P42" s="105" t="n"/>
      <c r="Q42" s="107" t="n"/>
      <c r="R42" s="105" t="n"/>
      <c r="S42" s="107" t="n"/>
      <c r="T42" s="108">
        <f>IFERROR(L42+M42+N42+O42+IFERROR(AC42,0)+IFERROR(AD42,0)+IFERROR(AE42,0)+IFERROR(AF42,0)+IFERROR(AG42,0),0)</f>
        <v/>
      </c>
      <c r="U42" s="108">
        <f>IFERROR(H42+IFERROR(I42,0)+T42+IFERROR(V42,0),0)</f>
        <v/>
      </c>
    </row>
    <row r="43" ht="15" customHeight="1" s="199">
      <c r="A43" s="104" t="n"/>
      <c r="B43" s="104" t="n"/>
      <c r="C43" s="104" t="n"/>
      <c r="D43" s="105" t="n"/>
      <c r="E43" s="105" t="n"/>
      <c r="F43" s="105" t="n"/>
      <c r="G43" s="106" t="n"/>
      <c r="H43" s="106" t="n"/>
      <c r="I43" s="106" t="n"/>
      <c r="J43" s="107" t="n"/>
      <c r="K43" s="105" t="n"/>
      <c r="L43" s="106" t="n"/>
      <c r="M43" s="106" t="n"/>
      <c r="N43" s="106" t="n"/>
      <c r="O43" s="106" t="n"/>
      <c r="P43" s="105" t="n"/>
      <c r="Q43" s="107" t="n"/>
      <c r="R43" s="105" t="n"/>
      <c r="S43" s="107" t="n"/>
      <c r="T43" s="108">
        <f>IFERROR(L43+M43+N43+O43+IFERROR(AC43,0)+IFERROR(AD43,0)+IFERROR(AE43,0)+IFERROR(AF43,0)+IFERROR(AG43,0),0)</f>
        <v/>
      </c>
      <c r="U43" s="108">
        <f>IFERROR(H43+IFERROR(I43,0)+T43+IFERROR(V43,0),0)</f>
        <v/>
      </c>
    </row>
    <row r="44" ht="15" customHeight="1" s="199">
      <c r="A44" s="104" t="n"/>
      <c r="B44" s="104" t="n"/>
      <c r="C44" s="104" t="n"/>
      <c r="D44" s="105" t="n"/>
      <c r="E44" s="105" t="n"/>
      <c r="F44" s="105" t="n"/>
      <c r="G44" s="106" t="n"/>
      <c r="H44" s="106" t="n"/>
      <c r="I44" s="106" t="n"/>
      <c r="J44" s="107" t="n"/>
      <c r="K44" s="105" t="n"/>
      <c r="L44" s="106" t="n"/>
      <c r="M44" s="106" t="n"/>
      <c r="N44" s="106" t="n"/>
      <c r="O44" s="106" t="n"/>
      <c r="P44" s="105" t="n"/>
      <c r="Q44" s="107" t="n"/>
      <c r="R44" s="105" t="n"/>
      <c r="S44" s="107" t="n"/>
      <c r="T44" s="108">
        <f>IFERROR(L44+M44+N44+O44+IFERROR(AC44,0)+IFERROR(AD44,0)+IFERROR(AE44,0)+IFERROR(AF44,0)+IFERROR(AG44,0),0)</f>
        <v/>
      </c>
      <c r="U44" s="108">
        <f>IFERROR(H44+IFERROR(I44,0)+T44+IFERROR(V44,0),0)</f>
        <v/>
      </c>
    </row>
    <row r="45" ht="15" customHeight="1" s="199">
      <c r="A45" s="104" t="n"/>
      <c r="B45" s="104" t="n"/>
      <c r="C45" s="104" t="n"/>
      <c r="D45" s="105" t="n"/>
      <c r="E45" s="105" t="n"/>
      <c r="F45" s="105" t="n"/>
      <c r="G45" s="106" t="n"/>
      <c r="H45" s="106" t="n"/>
      <c r="I45" s="106" t="n"/>
      <c r="J45" s="107" t="n"/>
      <c r="K45" s="105" t="n"/>
      <c r="L45" s="106" t="n"/>
      <c r="M45" s="106" t="n"/>
      <c r="N45" s="106" t="n"/>
      <c r="O45" s="106" t="n"/>
      <c r="P45" s="105" t="n"/>
      <c r="Q45" s="107" t="n"/>
      <c r="R45" s="105" t="n"/>
      <c r="S45" s="107" t="n"/>
      <c r="T45" s="108">
        <f>IFERROR(L45+M45+N45+O45+IFERROR(AC45,0)+IFERROR(AD45,0)+IFERROR(AE45,0)+IFERROR(AF45,0)+IFERROR(AG45,0),0)</f>
        <v/>
      </c>
      <c r="U45" s="108">
        <f>IFERROR(H45+IFERROR(I45,0)+T45+IFERROR(V45,0),0)</f>
        <v/>
      </c>
    </row>
    <row r="46" ht="15" customHeight="1" s="199">
      <c r="A46" s="104" t="n"/>
      <c r="B46" s="104" t="n"/>
      <c r="C46" s="104" t="n"/>
      <c r="D46" s="105" t="n"/>
      <c r="E46" s="105" t="n"/>
      <c r="F46" s="105" t="n"/>
      <c r="G46" s="106" t="n"/>
      <c r="H46" s="106" t="n"/>
      <c r="I46" s="106" t="n"/>
      <c r="J46" s="107" t="n"/>
      <c r="K46" s="105" t="n"/>
      <c r="L46" s="106" t="n"/>
      <c r="M46" s="106" t="n"/>
      <c r="N46" s="106" t="n"/>
      <c r="O46" s="106" t="n"/>
      <c r="P46" s="105" t="n"/>
      <c r="Q46" s="107" t="n"/>
      <c r="R46" s="105" t="n"/>
      <c r="S46" s="107" t="n"/>
      <c r="T46" s="108">
        <f>IFERROR(L46+M46+N46+O46+IFERROR(AC46,0)+IFERROR(AD46,0)+IFERROR(AE46,0)+IFERROR(AF46,0)+IFERROR(AG46,0),0)</f>
        <v/>
      </c>
      <c r="U46" s="108">
        <f>IFERROR(H46+IFERROR(I46,0)+T46+IFERROR(V46,0),0)</f>
        <v/>
      </c>
    </row>
    <row r="47" ht="15" customHeight="1" s="199">
      <c r="A47" s="104" t="n"/>
      <c r="B47" s="104" t="n"/>
      <c r="C47" s="104" t="n"/>
      <c r="D47" s="105" t="n"/>
      <c r="E47" s="105" t="n"/>
      <c r="F47" s="105" t="n"/>
      <c r="G47" s="106" t="n"/>
      <c r="H47" s="106" t="n"/>
      <c r="I47" s="106" t="n"/>
      <c r="J47" s="107" t="n"/>
      <c r="K47" s="105" t="n"/>
      <c r="L47" s="106" t="n"/>
      <c r="M47" s="106" t="n"/>
      <c r="N47" s="106" t="n"/>
      <c r="O47" s="106" t="n"/>
      <c r="P47" s="105" t="n"/>
      <c r="Q47" s="107" t="n"/>
      <c r="R47" s="105" t="n"/>
      <c r="S47" s="107" t="n"/>
      <c r="T47" s="108">
        <f>IFERROR(L47+M47+N47+O47+IFERROR(AC47,0)+IFERROR(AD47,0)+IFERROR(AE47,0)+IFERROR(AF47,0)+IFERROR(AG47,0),0)</f>
        <v/>
      </c>
      <c r="U47" s="108">
        <f>IFERROR(H47+IFERROR(I47,0)+T47+IFERROR(V47,0),0)</f>
        <v/>
      </c>
    </row>
    <row r="48" ht="15" customHeight="1" s="199">
      <c r="A48" s="104" t="n"/>
      <c r="B48" s="104" t="n"/>
      <c r="C48" s="104" t="n"/>
      <c r="D48" s="105" t="n"/>
      <c r="E48" s="105" t="n"/>
      <c r="F48" s="105" t="n"/>
      <c r="G48" s="106" t="n"/>
      <c r="H48" s="106" t="n"/>
      <c r="I48" s="106" t="n"/>
      <c r="J48" s="107" t="n"/>
      <c r="K48" s="105" t="n"/>
      <c r="L48" s="106" t="n"/>
      <c r="M48" s="106" t="n"/>
      <c r="N48" s="106" t="n"/>
      <c r="O48" s="106" t="n"/>
      <c r="P48" s="105" t="n"/>
      <c r="Q48" s="107" t="n"/>
      <c r="R48" s="105" t="n"/>
      <c r="S48" s="107" t="n"/>
      <c r="T48" s="108">
        <f>IFERROR(L48+M48+N48+O48+IFERROR(AC48,0)+IFERROR(AD48,0)+IFERROR(AE48,0)+IFERROR(AF48,0)+IFERROR(AG48,0),0)</f>
        <v/>
      </c>
      <c r="U48" s="108">
        <f>IFERROR(H48+IFERROR(I48,0)+T48+IFERROR(V48,0),0)</f>
        <v/>
      </c>
    </row>
    <row r="49" ht="15" customHeight="1" s="199">
      <c r="A49" s="104" t="n"/>
      <c r="B49" s="104" t="n"/>
      <c r="C49" s="104" t="n"/>
      <c r="D49" s="105" t="n"/>
      <c r="E49" s="105" t="n"/>
      <c r="F49" s="105" t="n"/>
      <c r="G49" s="106" t="n"/>
      <c r="H49" s="106" t="n"/>
      <c r="I49" s="106" t="n"/>
      <c r="J49" s="107" t="n"/>
      <c r="K49" s="105" t="n"/>
      <c r="L49" s="106" t="n"/>
      <c r="M49" s="106" t="n"/>
      <c r="N49" s="106" t="n"/>
      <c r="O49" s="106" t="n"/>
      <c r="P49" s="105" t="n"/>
      <c r="Q49" s="107" t="n"/>
      <c r="R49" s="105" t="n"/>
      <c r="S49" s="107" t="n"/>
      <c r="T49" s="108">
        <f>IFERROR(L49+M49+N49+O49+IFERROR(AC49,0)+IFERROR(AD49,0)+IFERROR(AE49,0)+IFERROR(AF49,0)+IFERROR(AG49,0),0)</f>
        <v/>
      </c>
      <c r="U49" s="108">
        <f>IFERROR(H49+IFERROR(I49,0)+T49+IFERROR(V49,0),0)</f>
        <v/>
      </c>
    </row>
    <row r="50" ht="15" customHeight="1" s="199">
      <c r="A50" s="104" t="n"/>
      <c r="B50" s="104" t="n"/>
      <c r="C50" s="104" t="n"/>
      <c r="D50" s="105" t="n"/>
      <c r="E50" s="105" t="n"/>
      <c r="F50" s="105" t="n"/>
      <c r="G50" s="106" t="n"/>
      <c r="H50" s="106" t="n"/>
      <c r="I50" s="106" t="n"/>
      <c r="J50" s="107" t="n"/>
      <c r="K50" s="105" t="n"/>
      <c r="L50" s="106" t="n"/>
      <c r="M50" s="106" t="n"/>
      <c r="N50" s="106" t="n"/>
      <c r="O50" s="106" t="n"/>
      <c r="P50" s="105" t="n"/>
      <c r="Q50" s="107" t="n"/>
      <c r="R50" s="105" t="n"/>
      <c r="S50" s="107" t="n"/>
      <c r="T50" s="108">
        <f>IFERROR(L50+M50+N50+O50+IFERROR(AC50,0)+IFERROR(AD50,0)+IFERROR(AE50,0)+IFERROR(AF50,0)+IFERROR(AG50,0),0)</f>
        <v/>
      </c>
      <c r="U50" s="108">
        <f>IFERROR(H50+IFERROR(I50,0)+T50+IFERROR(V50,0),0)</f>
        <v/>
      </c>
    </row>
    <row r="51" ht="15" customHeight="1" s="199">
      <c r="A51" s="104" t="n"/>
      <c r="B51" s="104" t="n"/>
      <c r="C51" s="104" t="n"/>
      <c r="D51" s="105" t="n"/>
      <c r="E51" s="105" t="n"/>
      <c r="F51" s="105" t="n"/>
      <c r="G51" s="106" t="n"/>
      <c r="H51" s="106" t="n"/>
      <c r="I51" s="106" t="n"/>
      <c r="J51" s="107" t="n"/>
      <c r="K51" s="105" t="n"/>
      <c r="L51" s="106" t="n"/>
      <c r="M51" s="106" t="n"/>
      <c r="N51" s="106" t="n"/>
      <c r="O51" s="106" t="n"/>
      <c r="P51" s="105" t="n"/>
      <c r="Q51" s="107" t="n"/>
      <c r="R51" s="105" t="n"/>
      <c r="S51" s="107" t="n"/>
      <c r="T51" s="108">
        <f>IFERROR(L51+M51+N51+O51+IFERROR(AC51,0)+IFERROR(AD51,0)+IFERROR(AE51,0)+IFERROR(AF51,0)+IFERROR(AG51,0),0)</f>
        <v/>
      </c>
      <c r="U51" s="108">
        <f>IFERROR(H51+IFERROR(I51,0)+T51+IFERROR(V51,0),0)</f>
        <v/>
      </c>
    </row>
    <row r="52" ht="15" customHeight="1" s="199">
      <c r="A52" s="104" t="n"/>
      <c r="B52" s="104" t="n"/>
      <c r="C52" s="104" t="n"/>
      <c r="D52" s="105" t="n"/>
      <c r="E52" s="105" t="n"/>
      <c r="F52" s="105" t="n"/>
      <c r="G52" s="106" t="n"/>
      <c r="H52" s="106" t="n"/>
      <c r="I52" s="106" t="n"/>
      <c r="J52" s="107" t="n"/>
      <c r="K52" s="105" t="n"/>
      <c r="L52" s="106" t="n"/>
      <c r="M52" s="106" t="n"/>
      <c r="N52" s="106" t="n"/>
      <c r="O52" s="106" t="n"/>
      <c r="P52" s="105" t="n"/>
      <c r="Q52" s="107" t="n"/>
      <c r="R52" s="105" t="n"/>
      <c r="S52" s="107" t="n"/>
      <c r="T52" s="108">
        <f>IFERROR(L52+M52+N52+O52+IFERROR(AC52,0)+IFERROR(AD52,0)+IFERROR(AE52,0)+IFERROR(AF52,0)+IFERROR(AG52,0),0)</f>
        <v/>
      </c>
      <c r="U52" s="108">
        <f>IFERROR(H52+IFERROR(I52,0)+T52+IFERROR(V52,0),0)</f>
        <v/>
      </c>
    </row>
    <row r="53" ht="15" customHeight="1" s="199">
      <c r="A53" s="104" t="n"/>
      <c r="B53" s="104" t="n"/>
      <c r="C53" s="104" t="n"/>
      <c r="D53" s="105" t="n"/>
      <c r="E53" s="105" t="n"/>
      <c r="F53" s="105" t="n"/>
      <c r="G53" s="106" t="n"/>
      <c r="H53" s="106" t="n"/>
      <c r="I53" s="106" t="n"/>
      <c r="J53" s="107" t="n"/>
      <c r="K53" s="105" t="n"/>
      <c r="L53" s="106" t="n"/>
      <c r="M53" s="106" t="n"/>
      <c r="N53" s="106" t="n"/>
      <c r="O53" s="106" t="n"/>
      <c r="P53" s="105" t="n"/>
      <c r="Q53" s="107" t="n"/>
      <c r="R53" s="105" t="n"/>
      <c r="S53" s="107" t="n"/>
      <c r="T53" s="108">
        <f>IFERROR(L53+M53+N53+O53+IFERROR(AC53,0)+IFERROR(AD53,0)+IFERROR(AE53,0)+IFERROR(AF53,0)+IFERROR(AG53,0),0)</f>
        <v/>
      </c>
      <c r="U53" s="108">
        <f>IFERROR(H53+IFERROR(I53,0)+T53+IFERROR(V53,0),0)</f>
        <v/>
      </c>
    </row>
    <row r="54" ht="15" customHeight="1" s="199">
      <c r="A54" s="104" t="n"/>
      <c r="B54" s="104" t="n"/>
      <c r="C54" s="104" t="n"/>
      <c r="D54" s="105" t="n"/>
      <c r="E54" s="105" t="n"/>
      <c r="F54" s="105" t="n"/>
      <c r="G54" s="106" t="n"/>
      <c r="H54" s="106" t="n"/>
      <c r="I54" s="106" t="n"/>
      <c r="J54" s="107" t="n"/>
      <c r="K54" s="105" t="n"/>
      <c r="L54" s="106" t="n"/>
      <c r="M54" s="106" t="n"/>
      <c r="N54" s="106" t="n"/>
      <c r="O54" s="106" t="n"/>
      <c r="P54" s="105" t="n"/>
      <c r="Q54" s="107" t="n"/>
      <c r="R54" s="105" t="n"/>
      <c r="S54" s="107" t="n"/>
      <c r="T54" s="108">
        <f>IFERROR(L54+M54+N54+O54+IFERROR(AC54,0)+IFERROR(AD54,0)+IFERROR(AE54,0)+IFERROR(AF54,0)+IFERROR(AG54,0),0)</f>
        <v/>
      </c>
      <c r="U54" s="108">
        <f>IFERROR(H54+IFERROR(I54,0)+T54+IFERROR(V54,0),0)</f>
        <v/>
      </c>
    </row>
    <row r="55" ht="15" customHeight="1" s="199">
      <c r="A55" s="104" t="n"/>
      <c r="B55" s="104" t="n"/>
      <c r="C55" s="104" t="n"/>
      <c r="D55" s="105" t="n"/>
      <c r="E55" s="105" t="n"/>
      <c r="F55" s="105" t="n"/>
      <c r="G55" s="106" t="n"/>
      <c r="H55" s="106" t="n"/>
      <c r="I55" s="106" t="n"/>
      <c r="J55" s="107" t="n"/>
      <c r="K55" s="105" t="n"/>
      <c r="L55" s="106" t="n"/>
      <c r="M55" s="106" t="n"/>
      <c r="N55" s="106" t="n"/>
      <c r="O55" s="106" t="n"/>
      <c r="P55" s="105" t="n"/>
      <c r="Q55" s="107" t="n"/>
      <c r="R55" s="105" t="n"/>
      <c r="S55" s="107" t="n"/>
      <c r="T55" s="108">
        <f>IFERROR(L55+M55+N55+O55+IFERROR(AC55,0)+IFERROR(AD55,0)+IFERROR(AE55,0)+IFERROR(AF55,0)+IFERROR(AG55,0),0)</f>
        <v/>
      </c>
      <c r="U55" s="108">
        <f>IFERROR(H55+IFERROR(I55,0)+T55+IFERROR(V55,0),0)</f>
        <v/>
      </c>
    </row>
    <row r="56" ht="15" customHeight="1" s="199">
      <c r="A56" s="104" t="n"/>
      <c r="B56" s="104" t="n"/>
      <c r="C56" s="104" t="n"/>
      <c r="D56" s="105" t="n"/>
      <c r="E56" s="105" t="n"/>
      <c r="F56" s="105" t="n"/>
      <c r="G56" s="106" t="n"/>
      <c r="H56" s="106" t="n"/>
      <c r="I56" s="106" t="n"/>
      <c r="J56" s="107" t="n"/>
      <c r="K56" s="105" t="n"/>
      <c r="L56" s="106" t="n"/>
      <c r="M56" s="106" t="n"/>
      <c r="N56" s="106" t="n"/>
      <c r="O56" s="106" t="n"/>
      <c r="P56" s="105" t="n"/>
      <c r="Q56" s="107" t="n"/>
      <c r="R56" s="105" t="n"/>
      <c r="S56" s="107" t="n"/>
      <c r="T56" s="108">
        <f>IFERROR(L56+M56+N56+O56+IFERROR(AC56,0)+IFERROR(AD56,0)+IFERROR(AE56,0)+IFERROR(AF56,0)+IFERROR(AG56,0),0)</f>
        <v/>
      </c>
      <c r="U56" s="108">
        <f>IFERROR(H56+IFERROR(I56,0)+T56+IFERROR(V56,0),0)</f>
        <v/>
      </c>
    </row>
    <row r="57" ht="15" customHeight="1" s="199">
      <c r="A57" s="104" t="n"/>
      <c r="B57" s="104" t="n"/>
      <c r="C57" s="104" t="n"/>
      <c r="D57" s="105" t="n"/>
      <c r="E57" s="105" t="n"/>
      <c r="F57" s="105" t="n"/>
      <c r="G57" s="106" t="n"/>
      <c r="H57" s="106" t="n"/>
      <c r="I57" s="106" t="n"/>
      <c r="J57" s="107" t="n"/>
      <c r="K57" s="105" t="n"/>
      <c r="L57" s="106" t="n"/>
      <c r="M57" s="106" t="n"/>
      <c r="N57" s="106" t="n"/>
      <c r="O57" s="106" t="n"/>
      <c r="P57" s="105" t="n"/>
      <c r="Q57" s="107" t="n"/>
      <c r="R57" s="105" t="n"/>
      <c r="S57" s="107" t="n"/>
      <c r="T57" s="108">
        <f>IFERROR(L57+M57+N57+O57+IFERROR(AC57,0)+IFERROR(AD57,0)+IFERROR(AE57,0)+IFERROR(AF57,0)+IFERROR(AG57,0),0)</f>
        <v/>
      </c>
      <c r="U57" s="108">
        <f>IFERROR(H57+IFERROR(I57,0)+T57+IFERROR(V57,0),0)</f>
        <v/>
      </c>
    </row>
    <row r="58" ht="15" customHeight="1" s="199">
      <c r="A58" s="104" t="n"/>
      <c r="B58" s="104" t="n"/>
      <c r="C58" s="104" t="n"/>
      <c r="D58" s="105" t="n"/>
      <c r="E58" s="105" t="n"/>
      <c r="F58" s="105" t="n"/>
      <c r="G58" s="106" t="n"/>
      <c r="H58" s="106" t="n"/>
      <c r="I58" s="106" t="n"/>
      <c r="J58" s="107" t="n"/>
      <c r="K58" s="105" t="n"/>
      <c r="L58" s="106" t="n"/>
      <c r="M58" s="106" t="n"/>
      <c r="N58" s="106" t="n"/>
      <c r="O58" s="106" t="n"/>
      <c r="P58" s="105" t="n"/>
      <c r="Q58" s="107" t="n"/>
      <c r="R58" s="105" t="n"/>
      <c r="S58" s="107" t="n"/>
      <c r="T58" s="108">
        <f>IFERROR(L58+M58+N58+O58+IFERROR(AC58,0)+IFERROR(AD58,0)+IFERROR(AE58,0)+IFERROR(AF58,0)+IFERROR(AG58,0),0)</f>
        <v/>
      </c>
      <c r="U58" s="108">
        <f>IFERROR(H58+IFERROR(I58,0)+T58+IFERROR(V58,0),0)</f>
        <v/>
      </c>
    </row>
    <row r="59" ht="15" customHeight="1" s="199">
      <c r="A59" s="104" t="n"/>
      <c r="B59" s="104" t="n"/>
      <c r="C59" s="104" t="n"/>
      <c r="D59" s="105" t="n"/>
      <c r="E59" s="105" t="n"/>
      <c r="F59" s="105" t="n"/>
      <c r="G59" s="106" t="n"/>
      <c r="H59" s="106" t="n"/>
      <c r="I59" s="106" t="n"/>
      <c r="J59" s="107" t="n"/>
      <c r="K59" s="105" t="n"/>
      <c r="L59" s="106" t="n"/>
      <c r="M59" s="106" t="n"/>
      <c r="N59" s="106" t="n"/>
      <c r="O59" s="106" t="n"/>
      <c r="P59" s="105" t="n"/>
      <c r="Q59" s="107" t="n"/>
      <c r="R59" s="105" t="n"/>
      <c r="S59" s="107" t="n"/>
      <c r="T59" s="108">
        <f>IFERROR(L59+M59+N59+O59+IFERROR(AC59,0)+IFERROR(AD59,0)+IFERROR(AE59,0)+IFERROR(AF59,0)+IFERROR(AG59,0),0)</f>
        <v/>
      </c>
      <c r="U59" s="108">
        <f>IFERROR(H59+IFERROR(I59,0)+T59+IFERROR(V59,0),0)</f>
        <v/>
      </c>
    </row>
    <row r="60" ht="15" customHeight="1" s="199">
      <c r="A60" s="104" t="n"/>
      <c r="B60" s="104" t="n"/>
      <c r="C60" s="104" t="n"/>
      <c r="D60" s="105" t="n"/>
      <c r="E60" s="105" t="n"/>
      <c r="F60" s="105" t="n"/>
      <c r="G60" s="106" t="n"/>
      <c r="H60" s="106" t="n"/>
      <c r="I60" s="106" t="n"/>
      <c r="J60" s="107" t="n"/>
      <c r="K60" s="105" t="n"/>
      <c r="L60" s="106" t="n"/>
      <c r="M60" s="106" t="n"/>
      <c r="N60" s="106" t="n"/>
      <c r="O60" s="106" t="n"/>
      <c r="P60" s="105" t="n"/>
      <c r="Q60" s="107" t="n"/>
      <c r="R60" s="105" t="n"/>
      <c r="S60" s="107" t="n"/>
      <c r="T60" s="108">
        <f>IFERROR(L60+M60+N60+O60+IFERROR(AC60,0)+IFERROR(AD60,0)+IFERROR(AE60,0)+IFERROR(AF60,0)+IFERROR(AG60,0),0)</f>
        <v/>
      </c>
      <c r="U60" s="108">
        <f>IFERROR(H60+IFERROR(I60,0)+T60+IFERROR(V60,0),0)</f>
        <v/>
      </c>
    </row>
    <row r="61" ht="15" customHeight="1" s="199">
      <c r="A61" s="104" t="n"/>
      <c r="B61" s="104" t="n"/>
      <c r="C61" s="104" t="n"/>
      <c r="D61" s="105" t="n"/>
      <c r="E61" s="105" t="n"/>
      <c r="F61" s="105" t="n"/>
      <c r="G61" s="106" t="n"/>
      <c r="H61" s="106" t="n"/>
      <c r="I61" s="106" t="n"/>
      <c r="J61" s="107" t="n"/>
      <c r="K61" s="105" t="n"/>
      <c r="L61" s="106" t="n"/>
      <c r="M61" s="106" t="n"/>
      <c r="N61" s="106" t="n"/>
      <c r="O61" s="106" t="n"/>
      <c r="P61" s="105" t="n"/>
      <c r="Q61" s="107" t="n"/>
      <c r="R61" s="105" t="n"/>
      <c r="S61" s="107" t="n"/>
      <c r="T61" s="108">
        <f>IFERROR(L61+M61+N61+O61+IFERROR(AC61,0)+IFERROR(AD61,0)+IFERROR(AE61,0)+IFERROR(AF61,0)+IFERROR(AG61,0),0)</f>
        <v/>
      </c>
      <c r="U61" s="108">
        <f>IFERROR(H61+IFERROR(I61,0)+T61+IFERROR(V61,0),0)</f>
        <v/>
      </c>
    </row>
    <row r="62" ht="15" customHeight="1" s="199">
      <c r="A62" s="104" t="n"/>
      <c r="B62" s="104" t="n"/>
      <c r="C62" s="104" t="n"/>
      <c r="D62" s="105" t="n"/>
      <c r="E62" s="105" t="n"/>
      <c r="F62" s="105" t="n"/>
      <c r="G62" s="106" t="n"/>
      <c r="H62" s="106" t="n"/>
      <c r="I62" s="106" t="n"/>
      <c r="J62" s="107" t="n"/>
      <c r="K62" s="105" t="n"/>
      <c r="L62" s="106" t="n"/>
      <c r="M62" s="106" t="n"/>
      <c r="N62" s="106" t="n"/>
      <c r="O62" s="106" t="n"/>
      <c r="P62" s="105" t="n"/>
      <c r="Q62" s="107" t="n"/>
      <c r="R62" s="105" t="n"/>
      <c r="S62" s="107" t="n"/>
      <c r="T62" s="108">
        <f>IFERROR(L62+M62+N62+O62+IFERROR(AC62,0)+IFERROR(AD62,0)+IFERROR(AE62,0)+IFERROR(AF62,0)+IFERROR(AG62,0),0)</f>
        <v/>
      </c>
      <c r="U62" s="108">
        <f>IFERROR(H62+IFERROR(I62,0)+T62+IFERROR(V62,0),0)</f>
        <v/>
      </c>
    </row>
    <row r="63" ht="15" customHeight="1" s="199">
      <c r="A63" s="104" t="n"/>
      <c r="B63" s="104" t="n"/>
      <c r="C63" s="104" t="n"/>
      <c r="D63" s="105" t="n"/>
      <c r="E63" s="105" t="n"/>
      <c r="F63" s="105" t="n"/>
      <c r="G63" s="106" t="n"/>
      <c r="H63" s="106" t="n"/>
      <c r="I63" s="106" t="n"/>
      <c r="J63" s="107" t="n"/>
      <c r="K63" s="105" t="n"/>
      <c r="L63" s="106" t="n"/>
      <c r="M63" s="106" t="n"/>
      <c r="N63" s="106" t="n"/>
      <c r="O63" s="106" t="n"/>
      <c r="P63" s="105" t="n"/>
      <c r="Q63" s="107" t="n"/>
      <c r="R63" s="105" t="n"/>
      <c r="S63" s="107" t="n"/>
      <c r="T63" s="108">
        <f>IFERROR(L63+M63+N63+O63+IFERROR(AC63,0)+IFERROR(AD63,0)+IFERROR(AE63,0)+IFERROR(AF63,0)+IFERROR(AG63,0),0)</f>
        <v/>
      </c>
      <c r="U63" s="108">
        <f>IFERROR(H63+IFERROR(I63,0)+T63+IFERROR(V63,0),0)</f>
        <v/>
      </c>
    </row>
    <row r="64" ht="15" customHeight="1" s="199">
      <c r="A64" s="104" t="n"/>
      <c r="B64" s="104" t="n"/>
      <c r="C64" s="104" t="n"/>
      <c r="D64" s="105" t="n"/>
      <c r="E64" s="105" t="n"/>
      <c r="F64" s="105" t="n"/>
      <c r="G64" s="106" t="n"/>
      <c r="H64" s="106" t="n"/>
      <c r="I64" s="106" t="n"/>
      <c r="J64" s="107" t="n"/>
      <c r="K64" s="105" t="n"/>
      <c r="L64" s="106" t="n"/>
      <c r="M64" s="106" t="n"/>
      <c r="N64" s="106" t="n"/>
      <c r="O64" s="106" t="n"/>
      <c r="P64" s="105" t="n"/>
      <c r="Q64" s="107" t="n"/>
      <c r="R64" s="105" t="n"/>
      <c r="S64" s="107" t="n"/>
      <c r="T64" s="108">
        <f>IFERROR(L64+M64+N64+O64+IFERROR(AC64,0)+IFERROR(AD64,0)+IFERROR(AE64,0)+IFERROR(AF64,0)+IFERROR(AG64,0),0)</f>
        <v/>
      </c>
      <c r="U64" s="108">
        <f>IFERROR(H64+IFERROR(I64,0)+T64+IFERROR(V64,0),0)</f>
        <v/>
      </c>
    </row>
    <row r="65" ht="15" customHeight="1" s="199">
      <c r="A65" s="104" t="n"/>
      <c r="B65" s="104" t="n"/>
      <c r="C65" s="104" t="n"/>
      <c r="D65" s="105" t="n"/>
      <c r="E65" s="105" t="n"/>
      <c r="F65" s="105" t="n"/>
      <c r="G65" s="106" t="n"/>
      <c r="H65" s="106" t="n"/>
      <c r="I65" s="106" t="n"/>
      <c r="J65" s="107" t="n"/>
      <c r="K65" s="105" t="n"/>
      <c r="L65" s="106" t="n"/>
      <c r="M65" s="106" t="n"/>
      <c r="N65" s="106" t="n"/>
      <c r="O65" s="106" t="n"/>
      <c r="P65" s="105" t="n"/>
      <c r="Q65" s="107" t="n"/>
      <c r="R65" s="105" t="n"/>
      <c r="S65" s="107" t="n"/>
      <c r="T65" s="108">
        <f>IFERROR(L65+M65+N65+O65+IFERROR(AC65,0)+IFERROR(AD65,0)+IFERROR(AE65,0)+IFERROR(AF65,0)+IFERROR(AG65,0),0)</f>
        <v/>
      </c>
      <c r="U65" s="108">
        <f>IFERROR(H65+IFERROR(I65,0)+T65+IFERROR(V65,0),0)</f>
        <v/>
      </c>
    </row>
    <row r="66" ht="15" customHeight="1" s="199">
      <c r="A66" s="104" t="n"/>
      <c r="B66" s="104" t="n"/>
      <c r="C66" s="104" t="n"/>
      <c r="D66" s="105" t="n"/>
      <c r="E66" s="105" t="n"/>
      <c r="F66" s="105" t="n"/>
      <c r="G66" s="106" t="n"/>
      <c r="H66" s="106" t="n"/>
      <c r="I66" s="106" t="n"/>
      <c r="J66" s="107" t="n"/>
      <c r="K66" s="105" t="n"/>
      <c r="L66" s="106" t="n"/>
      <c r="M66" s="106" t="n"/>
      <c r="N66" s="106" t="n"/>
      <c r="O66" s="106" t="n"/>
      <c r="P66" s="105" t="n"/>
      <c r="Q66" s="107" t="n"/>
      <c r="R66" s="105" t="n"/>
      <c r="S66" s="107" t="n"/>
      <c r="T66" s="108">
        <f>IFERROR(L66+M66+N66+O66+IFERROR(AC66,0)+IFERROR(AD66,0)+IFERROR(AE66,0)+IFERROR(AF66,0)+IFERROR(AG66,0),0)</f>
        <v/>
      </c>
      <c r="U66" s="108">
        <f>IFERROR(H66+IFERROR(I66,0)+T66+IFERROR(V66,0),0)</f>
        <v/>
      </c>
    </row>
    <row r="67" ht="15" customHeight="1" s="199">
      <c r="A67" s="104" t="n"/>
      <c r="B67" s="104" t="n"/>
      <c r="C67" s="104" t="n"/>
      <c r="D67" s="105" t="n"/>
      <c r="E67" s="105" t="n"/>
      <c r="F67" s="105" t="n"/>
      <c r="G67" s="106" t="n"/>
      <c r="H67" s="106" t="n"/>
      <c r="I67" s="106" t="n"/>
      <c r="J67" s="107" t="n"/>
      <c r="K67" s="105" t="n"/>
      <c r="L67" s="106" t="n"/>
      <c r="M67" s="106" t="n"/>
      <c r="N67" s="106" t="n"/>
      <c r="O67" s="106" t="n"/>
      <c r="P67" s="105" t="n"/>
      <c r="Q67" s="107" t="n"/>
      <c r="R67" s="105" t="n"/>
      <c r="S67" s="107" t="n"/>
      <c r="T67" s="108">
        <f>IFERROR(L67+M67+N67+O67+IFERROR(AC67,0)+IFERROR(AD67,0)+IFERROR(AE67,0)+IFERROR(AF67,0)+IFERROR(AG67,0),0)</f>
        <v/>
      </c>
      <c r="U67" s="108">
        <f>IFERROR(H67+IFERROR(I67,0)+T67+IFERROR(V67,0),0)</f>
        <v/>
      </c>
    </row>
    <row r="68" ht="15" customHeight="1" s="199">
      <c r="A68" s="104" t="n"/>
      <c r="B68" s="104" t="n"/>
      <c r="C68" s="104" t="n"/>
      <c r="D68" s="105" t="n"/>
      <c r="E68" s="105" t="n"/>
      <c r="F68" s="105" t="n"/>
      <c r="G68" s="106" t="n"/>
      <c r="H68" s="106" t="n"/>
      <c r="I68" s="106" t="n"/>
      <c r="J68" s="107" t="n"/>
      <c r="K68" s="105" t="n"/>
      <c r="L68" s="106" t="n"/>
      <c r="M68" s="106" t="n"/>
      <c r="N68" s="106" t="n"/>
      <c r="O68" s="106" t="n"/>
      <c r="P68" s="105" t="n"/>
      <c r="Q68" s="107" t="n"/>
      <c r="R68" s="105" t="n"/>
      <c r="S68" s="107" t="n"/>
      <c r="T68" s="108">
        <f>IFERROR(L68+M68+N68+O68+IFERROR(AC68,0)+IFERROR(AD68,0)+IFERROR(AE68,0)+IFERROR(AF68,0)+IFERROR(AG68,0),0)</f>
        <v/>
      </c>
      <c r="U68" s="108">
        <f>IFERROR(H68+IFERROR(I68,0)+T68+IFERROR(V68,0),0)</f>
        <v/>
      </c>
    </row>
    <row r="69" ht="15" customHeight="1" s="199">
      <c r="A69" s="104" t="n"/>
      <c r="B69" s="104" t="n"/>
      <c r="C69" s="104" t="n"/>
      <c r="D69" s="105" t="n"/>
      <c r="E69" s="105" t="n"/>
      <c r="F69" s="105" t="n"/>
      <c r="G69" s="106" t="n"/>
      <c r="H69" s="106" t="n"/>
      <c r="I69" s="106" t="n"/>
      <c r="J69" s="107" t="n"/>
      <c r="K69" s="105" t="n"/>
      <c r="L69" s="106" t="n"/>
      <c r="M69" s="106" t="n"/>
      <c r="N69" s="106" t="n"/>
      <c r="O69" s="106" t="n"/>
      <c r="P69" s="105" t="n"/>
      <c r="Q69" s="107" t="n"/>
      <c r="R69" s="105" t="n"/>
      <c r="S69" s="107" t="n"/>
      <c r="T69" s="108">
        <f>IFERROR(L69+M69+N69+O69+IFERROR(AC69,0)+IFERROR(AD69,0)+IFERROR(AE69,0)+IFERROR(AF69,0)+IFERROR(AG69,0),0)</f>
        <v/>
      </c>
      <c r="U69" s="108">
        <f>IFERROR(H69+IFERROR(I69,0)+T69+IFERROR(V69,0),0)</f>
        <v/>
      </c>
    </row>
    <row r="70" ht="15" customHeight="1" s="199">
      <c r="A70" s="104" t="n"/>
      <c r="B70" s="104" t="n"/>
      <c r="C70" s="104" t="n"/>
      <c r="D70" s="105" t="n"/>
      <c r="E70" s="105" t="n"/>
      <c r="F70" s="105" t="n"/>
      <c r="G70" s="106" t="n"/>
      <c r="H70" s="106" t="n"/>
      <c r="I70" s="106" t="n"/>
      <c r="J70" s="107" t="n"/>
      <c r="K70" s="105" t="n"/>
      <c r="L70" s="106" t="n"/>
      <c r="M70" s="106" t="n"/>
      <c r="N70" s="106" t="n"/>
      <c r="O70" s="106" t="n"/>
      <c r="P70" s="105" t="n"/>
      <c r="Q70" s="107" t="n"/>
      <c r="R70" s="105" t="n"/>
      <c r="S70" s="107" t="n"/>
      <c r="T70" s="108">
        <f>IFERROR(L70+M70+N70+O70+IFERROR(AC70,0)+IFERROR(AD70,0)+IFERROR(AE70,0)+IFERROR(AF70,0)+IFERROR(AG70,0),0)</f>
        <v/>
      </c>
      <c r="U70" s="108">
        <f>IFERROR(H70+IFERROR(I70,0)+T70+IFERROR(V70,0),0)</f>
        <v/>
      </c>
    </row>
    <row r="71" ht="15" customHeight="1" s="199">
      <c r="A71" s="104" t="n"/>
      <c r="B71" s="104" t="n"/>
      <c r="C71" s="104" t="n"/>
      <c r="D71" s="105" t="n"/>
      <c r="E71" s="105" t="n"/>
      <c r="F71" s="105" t="n"/>
      <c r="G71" s="106" t="n"/>
      <c r="H71" s="106" t="n"/>
      <c r="I71" s="106" t="n"/>
      <c r="J71" s="107" t="n"/>
      <c r="K71" s="105" t="n"/>
      <c r="L71" s="106" t="n"/>
      <c r="M71" s="106" t="n"/>
      <c r="N71" s="106" t="n"/>
      <c r="O71" s="106" t="n"/>
      <c r="P71" s="105" t="n"/>
      <c r="Q71" s="107" t="n"/>
      <c r="R71" s="105" t="n"/>
      <c r="S71" s="107" t="n"/>
      <c r="T71" s="108">
        <f>IFERROR(L71+M71+N71+O71+IFERROR(AC71,0)+IFERROR(AD71,0)+IFERROR(AE71,0)+IFERROR(AF71,0)+IFERROR(AG71,0),0)</f>
        <v/>
      </c>
      <c r="U71" s="108">
        <f>IFERROR(H71+IFERROR(I71,0)+T71+IFERROR(V71,0),0)</f>
        <v/>
      </c>
    </row>
    <row r="72" ht="15" customHeight="1" s="199">
      <c r="A72" s="104" t="n"/>
      <c r="B72" s="104" t="n"/>
      <c r="C72" s="104" t="n"/>
      <c r="D72" s="105" t="n"/>
      <c r="E72" s="105" t="n"/>
      <c r="F72" s="105" t="n"/>
      <c r="G72" s="106" t="n"/>
      <c r="H72" s="106" t="n"/>
      <c r="I72" s="106" t="n"/>
      <c r="J72" s="107" t="n"/>
      <c r="K72" s="105" t="n"/>
      <c r="L72" s="106" t="n"/>
      <c r="M72" s="106" t="n"/>
      <c r="N72" s="106" t="n"/>
      <c r="O72" s="106" t="n"/>
      <c r="P72" s="105" t="n"/>
      <c r="Q72" s="107" t="n"/>
      <c r="R72" s="105" t="n"/>
      <c r="S72" s="107" t="n"/>
      <c r="T72" s="108">
        <f>IFERROR(L72+M72+N72+O72+IFERROR(AC72,0)+IFERROR(AD72,0)+IFERROR(AE72,0)+IFERROR(AF72,0)+IFERROR(AG72,0),0)</f>
        <v/>
      </c>
      <c r="U72" s="108">
        <f>IFERROR(H72+IFERROR(I72,0)+T72+IFERROR(V72,0),0)</f>
        <v/>
      </c>
    </row>
    <row r="73" ht="15" customHeight="1" s="199">
      <c r="A73" s="104" t="n"/>
      <c r="B73" s="104" t="n"/>
      <c r="C73" s="104" t="n"/>
      <c r="D73" s="105" t="n"/>
      <c r="E73" s="105" t="n"/>
      <c r="F73" s="105" t="n"/>
      <c r="G73" s="106" t="n"/>
      <c r="H73" s="106" t="n"/>
      <c r="I73" s="106" t="n"/>
      <c r="J73" s="107" t="n"/>
      <c r="K73" s="105" t="n"/>
      <c r="L73" s="106" t="n"/>
      <c r="M73" s="106" t="n"/>
      <c r="N73" s="106" t="n"/>
      <c r="O73" s="106" t="n"/>
      <c r="P73" s="105" t="n"/>
      <c r="Q73" s="107" t="n"/>
      <c r="R73" s="105" t="n"/>
      <c r="S73" s="107" t="n"/>
      <c r="T73" s="108">
        <f>IFERROR(L73+M73+N73+O73+IFERROR(AC73,0)+IFERROR(AD73,0)+IFERROR(AE73,0)+IFERROR(AF73,0)+IFERROR(AG73,0),0)</f>
        <v/>
      </c>
      <c r="U73" s="108">
        <f>IFERROR(H73+IFERROR(I73,0)+T73+IFERROR(V73,0),0)</f>
        <v/>
      </c>
    </row>
    <row r="74" ht="15" customHeight="1" s="199">
      <c r="A74" s="104" t="n"/>
      <c r="B74" s="104" t="n"/>
      <c r="C74" s="104" t="n"/>
      <c r="D74" s="105" t="n"/>
      <c r="E74" s="105" t="n"/>
      <c r="F74" s="105" t="n"/>
      <c r="G74" s="106" t="n"/>
      <c r="H74" s="106" t="n"/>
      <c r="I74" s="106" t="n"/>
      <c r="J74" s="107" t="n"/>
      <c r="K74" s="105" t="n"/>
      <c r="L74" s="106" t="n"/>
      <c r="M74" s="106" t="n"/>
      <c r="N74" s="106" t="n"/>
      <c r="O74" s="106" t="n"/>
      <c r="P74" s="105" t="n"/>
      <c r="Q74" s="107" t="n"/>
      <c r="R74" s="105" t="n"/>
      <c r="S74" s="107" t="n"/>
      <c r="T74" s="108">
        <f>IFERROR(L74+M74+N74+O74+IFERROR(AC74,0)+IFERROR(AD74,0)+IFERROR(AE74,0)+IFERROR(AF74,0)+IFERROR(AG74,0),0)</f>
        <v/>
      </c>
      <c r="U74" s="108">
        <f>IFERROR(H74+IFERROR(I74,0)+T74+IFERROR(V74,0),0)</f>
        <v/>
      </c>
    </row>
    <row r="75" ht="15" customHeight="1" s="199">
      <c r="A75" s="104" t="n"/>
      <c r="B75" s="104" t="n"/>
      <c r="C75" s="104" t="n"/>
      <c r="D75" s="105" t="n"/>
      <c r="E75" s="105" t="n"/>
      <c r="F75" s="105" t="n"/>
      <c r="G75" s="106" t="n"/>
      <c r="H75" s="106" t="n"/>
      <c r="I75" s="106" t="n"/>
      <c r="J75" s="107" t="n"/>
      <c r="K75" s="105" t="n"/>
      <c r="L75" s="106" t="n"/>
      <c r="M75" s="106" t="n"/>
      <c r="N75" s="106" t="n"/>
      <c r="O75" s="106" t="n"/>
      <c r="P75" s="105" t="n"/>
      <c r="Q75" s="107" t="n"/>
      <c r="R75" s="105" t="n"/>
      <c r="S75" s="107" t="n"/>
      <c r="T75" s="108">
        <f>IFERROR(L75+M75+N75+O75+IFERROR(AC75,0)+IFERROR(AD75,0)+IFERROR(AE75,0)+IFERROR(AF75,0)+IFERROR(AG75,0),0)</f>
        <v/>
      </c>
      <c r="U75" s="108">
        <f>IFERROR(H75+IFERROR(I75,0)+T75+IFERROR(V75,0),0)</f>
        <v/>
      </c>
    </row>
    <row r="76" ht="15" customHeight="1" s="199">
      <c r="A76" s="104" t="n"/>
      <c r="B76" s="104" t="n"/>
      <c r="C76" s="104" t="n"/>
      <c r="D76" s="105" t="n"/>
      <c r="E76" s="105" t="n"/>
      <c r="F76" s="105" t="n"/>
      <c r="G76" s="106" t="n"/>
      <c r="H76" s="106" t="n"/>
      <c r="I76" s="106" t="n"/>
      <c r="J76" s="107" t="n"/>
      <c r="K76" s="105" t="n"/>
      <c r="L76" s="106" t="n"/>
      <c r="M76" s="106" t="n"/>
      <c r="N76" s="106" t="n"/>
      <c r="O76" s="106" t="n"/>
      <c r="P76" s="105" t="n"/>
      <c r="Q76" s="107" t="n"/>
      <c r="R76" s="105" t="n"/>
      <c r="S76" s="107" t="n"/>
      <c r="T76" s="108">
        <f>IFERROR(L76+M76+N76+O76+IFERROR(AC76,0)+IFERROR(AD76,0)+IFERROR(AE76,0)+IFERROR(AF76,0)+IFERROR(AG76,0),0)</f>
        <v/>
      </c>
      <c r="U76" s="108">
        <f>IFERROR(H76+IFERROR(I76,0)+T76+IFERROR(V76,0),0)</f>
        <v/>
      </c>
    </row>
    <row r="77" ht="15" customHeight="1" s="199">
      <c r="A77" s="104" t="n"/>
      <c r="B77" s="104" t="n"/>
      <c r="C77" s="104" t="n"/>
      <c r="D77" s="105" t="n"/>
      <c r="E77" s="105" t="n"/>
      <c r="F77" s="105" t="n"/>
      <c r="G77" s="106" t="n"/>
      <c r="H77" s="106" t="n"/>
      <c r="I77" s="106" t="n"/>
      <c r="J77" s="107" t="n"/>
      <c r="K77" s="105" t="n"/>
      <c r="L77" s="106" t="n"/>
      <c r="M77" s="106" t="n"/>
      <c r="N77" s="106" t="n"/>
      <c r="O77" s="106" t="n"/>
      <c r="P77" s="105" t="n"/>
      <c r="Q77" s="107" t="n"/>
      <c r="R77" s="105" t="n"/>
      <c r="S77" s="107" t="n"/>
      <c r="T77" s="108">
        <f>IFERROR(L77+M77+N77+O77+IFERROR(AC77,0)+IFERROR(AD77,0)+IFERROR(AE77,0)+IFERROR(AF77,0)+IFERROR(AG77,0),0)</f>
        <v/>
      </c>
      <c r="U77" s="108">
        <f>IFERROR(H77+IFERROR(I77,0)+T77+IFERROR(V77,0),0)</f>
        <v/>
      </c>
    </row>
    <row r="78" ht="15" customHeight="1" s="199">
      <c r="A78" s="104" t="n"/>
      <c r="B78" s="104" t="n"/>
      <c r="C78" s="104" t="n"/>
      <c r="D78" s="105" t="n"/>
      <c r="E78" s="105" t="n"/>
      <c r="F78" s="105" t="n"/>
      <c r="G78" s="106" t="n"/>
      <c r="H78" s="106" t="n"/>
      <c r="I78" s="106" t="n"/>
      <c r="J78" s="107" t="n"/>
      <c r="K78" s="105" t="n"/>
      <c r="L78" s="106" t="n"/>
      <c r="M78" s="106" t="n"/>
      <c r="N78" s="106" t="n"/>
      <c r="O78" s="106" t="n"/>
      <c r="P78" s="105" t="n"/>
      <c r="Q78" s="107" t="n"/>
      <c r="R78" s="105" t="n"/>
      <c r="S78" s="107" t="n"/>
      <c r="T78" s="108">
        <f>IFERROR(L78+M78+N78+O78+IFERROR(AC78,0)+IFERROR(AD78,0)+IFERROR(AE78,0)+IFERROR(AF78,0)+IFERROR(AG78,0),0)</f>
        <v/>
      </c>
      <c r="U78" s="108">
        <f>IFERROR(H78+IFERROR(I78,0)+T78+IFERROR(V78,0),0)</f>
        <v/>
      </c>
    </row>
    <row r="79" ht="15" customHeight="1" s="199">
      <c r="A79" s="104" t="n"/>
      <c r="B79" s="104" t="n"/>
      <c r="C79" s="104" t="n"/>
      <c r="D79" s="105" t="n"/>
      <c r="E79" s="105" t="n"/>
      <c r="F79" s="105" t="n"/>
      <c r="G79" s="106" t="n"/>
      <c r="H79" s="106" t="n"/>
      <c r="I79" s="106" t="n"/>
      <c r="J79" s="107" t="n"/>
      <c r="K79" s="105" t="n"/>
      <c r="L79" s="106" t="n"/>
      <c r="M79" s="106" t="n"/>
      <c r="N79" s="106" t="n"/>
      <c r="O79" s="106" t="n"/>
      <c r="P79" s="105" t="n"/>
      <c r="Q79" s="107" t="n"/>
      <c r="R79" s="105" t="n"/>
      <c r="S79" s="107" t="n"/>
      <c r="T79" s="108">
        <f>IFERROR(L79+M79+N79+O79+IFERROR(AC79,0)+IFERROR(AD79,0)+IFERROR(AE79,0)+IFERROR(AF79,0)+IFERROR(AG79,0),0)</f>
        <v/>
      </c>
      <c r="U79" s="108">
        <f>IFERROR(H79+IFERROR(I79,0)+T79+IFERROR(V79,0),0)</f>
        <v/>
      </c>
    </row>
    <row r="80" ht="15" customHeight="1" s="199">
      <c r="A80" s="104" t="n"/>
      <c r="B80" s="104" t="n"/>
      <c r="C80" s="104" t="n"/>
      <c r="D80" s="105" t="n"/>
      <c r="E80" s="105" t="n"/>
      <c r="F80" s="105" t="n"/>
      <c r="G80" s="106" t="n"/>
      <c r="H80" s="106" t="n"/>
      <c r="I80" s="106" t="n"/>
      <c r="J80" s="107" t="n"/>
      <c r="K80" s="105" t="n"/>
      <c r="L80" s="106" t="n"/>
      <c r="M80" s="106" t="n"/>
      <c r="N80" s="106" t="n"/>
      <c r="O80" s="106" t="n"/>
      <c r="P80" s="105" t="n"/>
      <c r="Q80" s="107" t="n"/>
      <c r="R80" s="105" t="n"/>
      <c r="S80" s="107" t="n"/>
      <c r="T80" s="108">
        <f>IFERROR(L80+M80+N80+O80+IFERROR(AC80,0)+IFERROR(AD80,0)+IFERROR(AE80,0)+IFERROR(AF80,0)+IFERROR(AG80,0),0)</f>
        <v/>
      </c>
      <c r="U80" s="108">
        <f>IFERROR(H80+IFERROR(I80,0)+T80+IFERROR(V80,0),0)</f>
        <v/>
      </c>
    </row>
    <row r="81" ht="15" customHeight="1" s="199">
      <c r="A81" s="104" t="n"/>
      <c r="B81" s="104" t="n"/>
      <c r="C81" s="104" t="n"/>
      <c r="D81" s="105" t="n"/>
      <c r="E81" s="105" t="n"/>
      <c r="F81" s="105" t="n"/>
      <c r="G81" s="106" t="n"/>
      <c r="H81" s="106" t="n"/>
      <c r="I81" s="106" t="n"/>
      <c r="J81" s="107" t="n"/>
      <c r="K81" s="105" t="n"/>
      <c r="L81" s="106" t="n"/>
      <c r="M81" s="106" t="n"/>
      <c r="N81" s="106" t="n"/>
      <c r="O81" s="106" t="n"/>
      <c r="P81" s="105" t="n"/>
      <c r="Q81" s="107" t="n"/>
      <c r="R81" s="105" t="n"/>
      <c r="S81" s="107" t="n"/>
      <c r="T81" s="108">
        <f>IFERROR(L81+M81+N81+O81+IFERROR(AC81,0)+IFERROR(AD81,0)+IFERROR(AE81,0)+IFERROR(AF81,0)+IFERROR(AG81,0),0)</f>
        <v/>
      </c>
      <c r="U81" s="108">
        <f>IFERROR(H81+IFERROR(I81,0)+T81+IFERROR(V81,0),0)</f>
        <v/>
      </c>
    </row>
    <row r="82" ht="15" customHeight="1" s="199">
      <c r="A82" s="104" t="n"/>
      <c r="B82" s="104" t="n"/>
      <c r="C82" s="104" t="n"/>
      <c r="D82" s="105" t="n"/>
      <c r="E82" s="105" t="n"/>
      <c r="F82" s="105" t="n"/>
      <c r="G82" s="106" t="n"/>
      <c r="H82" s="106" t="n"/>
      <c r="I82" s="106" t="n"/>
      <c r="J82" s="107" t="n"/>
      <c r="K82" s="105" t="n"/>
      <c r="L82" s="106" t="n"/>
      <c r="M82" s="106" t="n"/>
      <c r="N82" s="106" t="n"/>
      <c r="O82" s="106" t="n"/>
      <c r="P82" s="105" t="n"/>
      <c r="Q82" s="107" t="n"/>
      <c r="R82" s="105" t="n"/>
      <c r="S82" s="107" t="n"/>
      <c r="T82" s="108">
        <f>IFERROR(L82+M82+N82+O82+IFERROR(AC82,0)+IFERROR(AD82,0)+IFERROR(AE82,0)+IFERROR(AF82,0)+IFERROR(AG82,0),0)</f>
        <v/>
      </c>
      <c r="U82" s="108">
        <f>IFERROR(H82+IFERROR(I82,0)+T82+IFERROR(V82,0),0)</f>
        <v/>
      </c>
    </row>
    <row r="83" ht="15" customHeight="1" s="199">
      <c r="A83" s="104" t="n"/>
      <c r="B83" s="104" t="n"/>
      <c r="C83" s="104" t="n"/>
      <c r="D83" s="105" t="n"/>
      <c r="E83" s="105" t="n"/>
      <c r="F83" s="105" t="n"/>
      <c r="G83" s="106" t="n"/>
      <c r="H83" s="106" t="n"/>
      <c r="I83" s="106" t="n"/>
      <c r="J83" s="107" t="n"/>
      <c r="K83" s="105" t="n"/>
      <c r="L83" s="106" t="n"/>
      <c r="M83" s="106" t="n"/>
      <c r="N83" s="106" t="n"/>
      <c r="O83" s="106" t="n"/>
      <c r="P83" s="105" t="n"/>
      <c r="Q83" s="107" t="n"/>
      <c r="R83" s="105" t="n"/>
      <c r="S83" s="107" t="n"/>
      <c r="T83" s="108">
        <f>IFERROR(L83+M83+N83+O83+IFERROR(AC83,0)+IFERROR(AD83,0)+IFERROR(AE83,0)+IFERROR(AF83,0)+IFERROR(AG83,0),0)</f>
        <v/>
      </c>
      <c r="U83" s="108">
        <f>IFERROR(H83+IFERROR(I83,0)+T83+IFERROR(V83,0),0)</f>
        <v/>
      </c>
    </row>
    <row r="84" ht="15" customHeight="1" s="199">
      <c r="A84" s="104" t="n"/>
      <c r="B84" s="104" t="n"/>
      <c r="C84" s="104" t="n"/>
      <c r="D84" s="105" t="n"/>
      <c r="E84" s="105" t="n"/>
      <c r="F84" s="105" t="n"/>
      <c r="G84" s="106" t="n"/>
      <c r="H84" s="106" t="n"/>
      <c r="I84" s="106" t="n"/>
      <c r="J84" s="107" t="n"/>
      <c r="K84" s="105" t="n"/>
      <c r="L84" s="106" t="n"/>
      <c r="M84" s="106" t="n"/>
      <c r="N84" s="106" t="n"/>
      <c r="O84" s="106" t="n"/>
      <c r="P84" s="105" t="n"/>
      <c r="Q84" s="107" t="n"/>
      <c r="R84" s="105" t="n"/>
      <c r="S84" s="107" t="n"/>
      <c r="T84" s="108">
        <f>IFERROR(L84+M84+N84+O84+IFERROR(AC84,0)+IFERROR(AD84,0)+IFERROR(AE84,0)+IFERROR(AF84,0)+IFERROR(AG84,0),0)</f>
        <v/>
      </c>
      <c r="U84" s="108">
        <f>IFERROR(H84+IFERROR(I84,0)+T84+IFERROR(V84,0),0)</f>
        <v/>
      </c>
    </row>
    <row r="85" ht="15" customHeight="1" s="199">
      <c r="A85" s="104" t="n"/>
      <c r="B85" s="104" t="n"/>
      <c r="C85" s="104" t="n"/>
      <c r="D85" s="105" t="n"/>
      <c r="E85" s="105" t="n"/>
      <c r="F85" s="105" t="n"/>
      <c r="G85" s="106" t="n"/>
      <c r="H85" s="106" t="n"/>
      <c r="I85" s="106" t="n"/>
      <c r="J85" s="107" t="n"/>
      <c r="K85" s="105" t="n"/>
      <c r="L85" s="106" t="n"/>
      <c r="M85" s="106" t="n"/>
      <c r="N85" s="106" t="n"/>
      <c r="O85" s="106" t="n"/>
      <c r="P85" s="105" t="n"/>
      <c r="Q85" s="107" t="n"/>
      <c r="R85" s="105" t="n"/>
      <c r="S85" s="107" t="n"/>
      <c r="T85" s="108">
        <f>IFERROR(L85+M85+N85+O85+IFERROR(AC85,0)+IFERROR(AD85,0)+IFERROR(AE85,0)+IFERROR(AF85,0)+IFERROR(AG85,0),0)</f>
        <v/>
      </c>
      <c r="U85" s="108">
        <f>IFERROR(H85+IFERROR(I85,0)+T85+IFERROR(V85,0),0)</f>
        <v/>
      </c>
    </row>
    <row r="86" ht="15" customHeight="1" s="199">
      <c r="A86" s="104" t="n"/>
      <c r="B86" s="104" t="n"/>
      <c r="C86" s="104" t="n"/>
      <c r="D86" s="105" t="n"/>
      <c r="E86" s="105" t="n"/>
      <c r="F86" s="105" t="n"/>
      <c r="G86" s="106" t="n"/>
      <c r="H86" s="106" t="n"/>
      <c r="I86" s="106" t="n"/>
      <c r="J86" s="107" t="n"/>
      <c r="K86" s="105" t="n"/>
      <c r="L86" s="106" t="n"/>
      <c r="M86" s="106" t="n"/>
      <c r="N86" s="106" t="n"/>
      <c r="O86" s="106" t="n"/>
      <c r="P86" s="105" t="n"/>
      <c r="Q86" s="107" t="n"/>
      <c r="R86" s="105" t="n"/>
      <c r="S86" s="107" t="n"/>
      <c r="T86" s="108">
        <f>IFERROR(L86+M86+N86+O86+IFERROR(AC86,0)+IFERROR(AD86,0)+IFERROR(AE86,0)+IFERROR(AF86,0)+IFERROR(AG86,0),0)</f>
        <v/>
      </c>
      <c r="U86" s="108">
        <f>IFERROR(H86+IFERROR(I86,0)+T86+IFERROR(V86,0),0)</f>
        <v/>
      </c>
    </row>
    <row r="87" ht="15" customHeight="1" s="199">
      <c r="A87" s="104" t="n"/>
      <c r="B87" s="104" t="n"/>
      <c r="C87" s="104" t="n"/>
      <c r="D87" s="105" t="n"/>
      <c r="E87" s="105" t="n"/>
      <c r="F87" s="105" t="n"/>
      <c r="G87" s="106" t="n"/>
      <c r="H87" s="106" t="n"/>
      <c r="I87" s="106" t="n"/>
      <c r="J87" s="107" t="n"/>
      <c r="K87" s="105" t="n"/>
      <c r="L87" s="106" t="n"/>
      <c r="M87" s="106" t="n"/>
      <c r="N87" s="106" t="n"/>
      <c r="O87" s="106" t="n"/>
      <c r="P87" s="105" t="n"/>
      <c r="Q87" s="107" t="n"/>
      <c r="R87" s="105" t="n"/>
      <c r="S87" s="107" t="n"/>
      <c r="T87" s="108">
        <f>IFERROR(L87+M87+N87+O87+IFERROR(AC87,0)+IFERROR(AD87,0)+IFERROR(AE87,0)+IFERROR(AF87,0)+IFERROR(AG87,0),0)</f>
        <v/>
      </c>
      <c r="U87" s="108">
        <f>IFERROR(H87+IFERROR(I87,0)+T87+IFERROR(V87,0),0)</f>
        <v/>
      </c>
    </row>
    <row r="88" ht="15" customHeight="1" s="199">
      <c r="A88" s="104" t="n"/>
      <c r="B88" s="104" t="n"/>
      <c r="C88" s="104" t="n"/>
      <c r="D88" s="105" t="n"/>
      <c r="E88" s="105" t="n"/>
      <c r="F88" s="105" t="n"/>
      <c r="G88" s="106" t="n"/>
      <c r="H88" s="106" t="n"/>
      <c r="I88" s="106" t="n"/>
      <c r="J88" s="107" t="n"/>
      <c r="K88" s="105" t="n"/>
      <c r="L88" s="106" t="n"/>
      <c r="M88" s="106" t="n"/>
      <c r="N88" s="106" t="n"/>
      <c r="O88" s="106" t="n"/>
      <c r="P88" s="105" t="n"/>
      <c r="Q88" s="107" t="n"/>
      <c r="R88" s="105" t="n"/>
      <c r="S88" s="107" t="n"/>
      <c r="T88" s="108">
        <f>IFERROR(L88+M88+N88+O88+IFERROR(AC88,0)+IFERROR(AD88,0)+IFERROR(AE88,0)+IFERROR(AF88,0)+IFERROR(AG88,0),0)</f>
        <v/>
      </c>
      <c r="U88" s="108">
        <f>IFERROR(H88+IFERROR(I88,0)+T88+IFERROR(V88,0),0)</f>
        <v/>
      </c>
    </row>
    <row r="89" ht="15" customHeight="1" s="199">
      <c r="A89" s="104" t="n"/>
      <c r="B89" s="104" t="n"/>
      <c r="C89" s="104" t="n"/>
      <c r="D89" s="105" t="n"/>
      <c r="E89" s="105" t="n"/>
      <c r="F89" s="105" t="n"/>
      <c r="G89" s="106" t="n"/>
      <c r="H89" s="106" t="n"/>
      <c r="I89" s="106" t="n"/>
      <c r="J89" s="107" t="n"/>
      <c r="K89" s="105" t="n"/>
      <c r="L89" s="106" t="n"/>
      <c r="M89" s="106" t="n"/>
      <c r="N89" s="106" t="n"/>
      <c r="O89" s="106" t="n"/>
      <c r="P89" s="105" t="n"/>
      <c r="Q89" s="107" t="n"/>
      <c r="R89" s="105" t="n"/>
      <c r="S89" s="107" t="n"/>
      <c r="T89" s="108">
        <f>IFERROR(L89+M89+N89+O89+IFERROR(AC89,0)+IFERROR(AD89,0)+IFERROR(AE89,0)+IFERROR(AF89,0)+IFERROR(AG89,0),0)</f>
        <v/>
      </c>
      <c r="U89" s="108">
        <f>IFERROR(H89+IFERROR(I89,0)+T89+IFERROR(V89,0),0)</f>
        <v/>
      </c>
    </row>
    <row r="90" ht="15" customHeight="1" s="199">
      <c r="A90" s="104" t="n"/>
      <c r="B90" s="104" t="n"/>
      <c r="C90" s="104" t="n"/>
      <c r="D90" s="105" t="n"/>
      <c r="E90" s="105" t="n"/>
      <c r="F90" s="105" t="n"/>
      <c r="G90" s="106" t="n"/>
      <c r="H90" s="106" t="n"/>
      <c r="I90" s="106" t="n"/>
      <c r="J90" s="107" t="n"/>
      <c r="K90" s="105" t="n"/>
      <c r="L90" s="106" t="n"/>
      <c r="M90" s="106" t="n"/>
      <c r="N90" s="106" t="n"/>
      <c r="O90" s="106" t="n"/>
      <c r="P90" s="105" t="n"/>
      <c r="Q90" s="107" t="n"/>
      <c r="R90" s="105" t="n"/>
      <c r="S90" s="107" t="n"/>
      <c r="T90" s="108">
        <f>IFERROR(L90+M90+N90+O90+IFERROR(AC90,0)+IFERROR(AD90,0)+IFERROR(AE90,0)+IFERROR(AF90,0)+IFERROR(AG90,0),0)</f>
        <v/>
      </c>
      <c r="U90" s="108">
        <f>IFERROR(H90+IFERROR(I90,0)+T90+IFERROR(V90,0),0)</f>
        <v/>
      </c>
    </row>
    <row r="91" ht="15" customHeight="1" s="199">
      <c r="A91" s="104" t="n"/>
      <c r="B91" s="104" t="n"/>
      <c r="C91" s="104" t="n"/>
      <c r="D91" s="105" t="n"/>
      <c r="E91" s="105" t="n"/>
      <c r="F91" s="105" t="n"/>
      <c r="G91" s="106" t="n"/>
      <c r="H91" s="106" t="n"/>
      <c r="I91" s="106" t="n"/>
      <c r="J91" s="107" t="n"/>
      <c r="K91" s="105" t="n"/>
      <c r="L91" s="106" t="n"/>
      <c r="M91" s="106" t="n"/>
      <c r="N91" s="106" t="n"/>
      <c r="O91" s="106" t="n"/>
      <c r="P91" s="105" t="n"/>
      <c r="Q91" s="107" t="n"/>
      <c r="R91" s="105" t="n"/>
      <c r="S91" s="107" t="n"/>
      <c r="T91" s="108">
        <f>IFERROR(L91+M91+N91+O91+IFERROR(AC91,0)+IFERROR(AD91,0)+IFERROR(AE91,0)+IFERROR(AF91,0)+IFERROR(AG91,0),0)</f>
        <v/>
      </c>
      <c r="U91" s="108">
        <f>IFERROR(H91+IFERROR(I91,0)+T91+IFERROR(V91,0),0)</f>
        <v/>
      </c>
    </row>
    <row r="92" ht="15" customHeight="1" s="199">
      <c r="A92" s="104" t="n"/>
      <c r="B92" s="104" t="n"/>
      <c r="C92" s="104" t="n"/>
      <c r="D92" s="105" t="n"/>
      <c r="E92" s="105" t="n"/>
      <c r="F92" s="105" t="n"/>
      <c r="G92" s="106" t="n"/>
      <c r="H92" s="106" t="n"/>
      <c r="I92" s="106" t="n"/>
      <c r="J92" s="107" t="n"/>
      <c r="K92" s="105" t="n"/>
      <c r="L92" s="106" t="n"/>
      <c r="M92" s="106" t="n"/>
      <c r="N92" s="106" t="n"/>
      <c r="O92" s="106" t="n"/>
      <c r="P92" s="105" t="n"/>
      <c r="Q92" s="107" t="n"/>
      <c r="R92" s="105" t="n"/>
      <c r="S92" s="107" t="n"/>
      <c r="T92" s="108">
        <f>IFERROR(L92+M92+N92+O92+IFERROR(AC92,0)+IFERROR(AD92,0)+IFERROR(AE92,0)+IFERROR(AF92,0)+IFERROR(AG92,0),0)</f>
        <v/>
      </c>
      <c r="U92" s="108">
        <f>IFERROR(H92+IFERROR(I92,0)+T92+IFERROR(V92,0),0)</f>
        <v/>
      </c>
    </row>
    <row r="93" ht="15" customHeight="1" s="199">
      <c r="A93" s="104" t="n"/>
      <c r="B93" s="104" t="n"/>
      <c r="C93" s="104" t="n"/>
      <c r="D93" s="105" t="n"/>
      <c r="E93" s="105" t="n"/>
      <c r="F93" s="105" t="n"/>
      <c r="G93" s="106" t="n"/>
      <c r="H93" s="106" t="n"/>
      <c r="I93" s="106" t="n"/>
      <c r="J93" s="107" t="n"/>
      <c r="K93" s="105" t="n"/>
      <c r="L93" s="106" t="n"/>
      <c r="M93" s="106" t="n"/>
      <c r="N93" s="106" t="n"/>
      <c r="O93" s="106" t="n"/>
      <c r="P93" s="105" t="n"/>
      <c r="Q93" s="107" t="n"/>
      <c r="R93" s="105" t="n"/>
      <c r="S93" s="107" t="n"/>
      <c r="T93" s="108">
        <f>IFERROR(L93+M93+N93+O93+IFERROR(AC93,0)+IFERROR(AD93,0)+IFERROR(AE93,0)+IFERROR(AF93,0)+IFERROR(AG93,0),0)</f>
        <v/>
      </c>
      <c r="U93" s="108">
        <f>IFERROR(H93+IFERROR(I93,0)+T93+IFERROR(V93,0),0)</f>
        <v/>
      </c>
    </row>
    <row r="94" ht="15" customHeight="1" s="199">
      <c r="A94" s="104" t="n"/>
      <c r="B94" s="104" t="n"/>
      <c r="C94" s="104" t="n"/>
      <c r="D94" s="105" t="n"/>
      <c r="E94" s="105" t="n"/>
      <c r="F94" s="105" t="n"/>
      <c r="G94" s="106" t="n"/>
      <c r="H94" s="106" t="n"/>
      <c r="I94" s="106" t="n"/>
      <c r="J94" s="107" t="n"/>
      <c r="K94" s="105" t="n"/>
      <c r="L94" s="106" t="n"/>
      <c r="M94" s="106" t="n"/>
      <c r="N94" s="106" t="n"/>
      <c r="O94" s="106" t="n"/>
      <c r="P94" s="105" t="n"/>
      <c r="Q94" s="107" t="n"/>
      <c r="R94" s="105" t="n"/>
      <c r="S94" s="107" t="n"/>
      <c r="T94" s="108">
        <f>IFERROR(L94+M94+N94+O94+IFERROR(AC94,0)+IFERROR(AD94,0)+IFERROR(AE94,0)+IFERROR(AF94,0)+IFERROR(AG94,0),0)</f>
        <v/>
      </c>
      <c r="U94" s="108">
        <f>IFERROR(H94+IFERROR(I94,0)+T94+IFERROR(V94,0),0)</f>
        <v/>
      </c>
    </row>
    <row r="95" ht="15" customHeight="1" s="199">
      <c r="A95" s="104" t="n"/>
      <c r="B95" s="104" t="n"/>
      <c r="C95" s="104" t="n"/>
      <c r="D95" s="105" t="n"/>
      <c r="E95" s="105" t="n"/>
      <c r="F95" s="105" t="n"/>
      <c r="G95" s="106" t="n"/>
      <c r="H95" s="106" t="n"/>
      <c r="I95" s="106" t="n"/>
      <c r="J95" s="107" t="n"/>
      <c r="K95" s="105" t="n"/>
      <c r="L95" s="106" t="n"/>
      <c r="M95" s="106" t="n"/>
      <c r="N95" s="106" t="n"/>
      <c r="O95" s="106" t="n"/>
      <c r="P95" s="105" t="n"/>
      <c r="Q95" s="107" t="n"/>
      <c r="R95" s="105" t="n"/>
      <c r="S95" s="107" t="n"/>
      <c r="T95" s="108">
        <f>IFERROR(L95+M95+N95+O95+IFERROR(AC95,0)+IFERROR(AD95,0)+IFERROR(AE95,0)+IFERROR(AF95,0)+IFERROR(AG95,0),0)</f>
        <v/>
      </c>
      <c r="U95" s="108">
        <f>IFERROR(H95+IFERROR(I95,0)+T95+IFERROR(V95,0),0)</f>
        <v/>
      </c>
    </row>
    <row r="96" ht="15" customHeight="1" s="199">
      <c r="A96" s="104" t="n"/>
      <c r="B96" s="104" t="n"/>
      <c r="C96" s="104" t="n"/>
      <c r="D96" s="105" t="n"/>
      <c r="E96" s="105" t="n"/>
      <c r="F96" s="105" t="n"/>
      <c r="G96" s="106" t="n"/>
      <c r="H96" s="106" t="n"/>
      <c r="I96" s="106" t="n"/>
      <c r="J96" s="107" t="n"/>
      <c r="K96" s="105" t="n"/>
      <c r="L96" s="106" t="n"/>
      <c r="M96" s="106" t="n"/>
      <c r="N96" s="106" t="n"/>
      <c r="O96" s="106" t="n"/>
      <c r="P96" s="105" t="n"/>
      <c r="Q96" s="107" t="n"/>
      <c r="R96" s="105" t="n"/>
      <c r="S96" s="107" t="n"/>
      <c r="T96" s="108">
        <f>IFERROR(L96+M96+N96+O96+IFERROR(AC96,0)+IFERROR(AD96,0)+IFERROR(AE96,0)+IFERROR(AF96,0)+IFERROR(AG96,0),0)</f>
        <v/>
      </c>
      <c r="U96" s="108">
        <f>IFERROR(H96+IFERROR(I96,0)+T96+IFERROR(V96,0),0)</f>
        <v/>
      </c>
    </row>
    <row r="97" ht="15" customHeight="1" s="199">
      <c r="A97" s="104" t="n"/>
      <c r="B97" s="104" t="n"/>
      <c r="C97" s="104" t="n"/>
      <c r="D97" s="105" t="n"/>
      <c r="E97" s="105" t="n"/>
      <c r="F97" s="105" t="n"/>
      <c r="G97" s="106" t="n"/>
      <c r="H97" s="106" t="n"/>
      <c r="I97" s="106" t="n"/>
      <c r="J97" s="107" t="n"/>
      <c r="K97" s="105" t="n"/>
      <c r="L97" s="106" t="n"/>
      <c r="M97" s="106" t="n"/>
      <c r="N97" s="106" t="n"/>
      <c r="O97" s="106" t="n"/>
      <c r="P97" s="105" t="n"/>
      <c r="Q97" s="107" t="n"/>
      <c r="R97" s="105" t="n"/>
      <c r="S97" s="107" t="n"/>
      <c r="T97" s="108">
        <f>IFERROR(L97+M97+N97+O97+IFERROR(AC97,0)+IFERROR(AD97,0)+IFERROR(AE97,0)+IFERROR(AF97,0)+IFERROR(AG97,0),0)</f>
        <v/>
      </c>
      <c r="U97" s="108">
        <f>IFERROR(H97+IFERROR(I97,0)+T97+IFERROR(V97,0),0)</f>
        <v/>
      </c>
    </row>
    <row r="98" ht="15" customHeight="1" s="199">
      <c r="A98" s="104" t="n"/>
      <c r="B98" s="104" t="n"/>
      <c r="C98" s="104" t="n"/>
      <c r="D98" s="105" t="n"/>
      <c r="E98" s="105" t="n"/>
      <c r="F98" s="105" t="n"/>
      <c r="G98" s="106" t="n"/>
      <c r="H98" s="106" t="n"/>
      <c r="I98" s="106" t="n"/>
      <c r="J98" s="107" t="n"/>
      <c r="K98" s="105" t="n"/>
      <c r="L98" s="106" t="n"/>
      <c r="M98" s="106" t="n"/>
      <c r="N98" s="106" t="n"/>
      <c r="O98" s="106" t="n"/>
      <c r="P98" s="105" t="n"/>
      <c r="Q98" s="107" t="n"/>
      <c r="R98" s="105" t="n"/>
      <c r="S98" s="107" t="n"/>
      <c r="T98" s="108">
        <f>IFERROR(L98+M98+N98+O98+IFERROR(AC98,0)+IFERROR(AD98,0)+IFERROR(AE98,0)+IFERROR(AF98,0)+IFERROR(AG98,0),0)</f>
        <v/>
      </c>
      <c r="U98" s="108">
        <f>IFERROR(H98+IFERROR(I98,0)+T98+IFERROR(V98,0),0)</f>
        <v/>
      </c>
    </row>
    <row r="99" ht="15" customHeight="1" s="199">
      <c r="A99" s="104" t="n"/>
      <c r="B99" s="104" t="n"/>
      <c r="C99" s="104" t="n"/>
      <c r="D99" s="105" t="n"/>
      <c r="E99" s="105" t="n"/>
      <c r="F99" s="105" t="n"/>
      <c r="G99" s="106" t="n"/>
      <c r="H99" s="106" t="n"/>
      <c r="I99" s="106" t="n"/>
      <c r="J99" s="107" t="n"/>
      <c r="K99" s="105" t="n"/>
      <c r="L99" s="106" t="n"/>
      <c r="M99" s="106" t="n"/>
      <c r="N99" s="106" t="n"/>
      <c r="O99" s="106" t="n"/>
      <c r="P99" s="105" t="n"/>
      <c r="Q99" s="107" t="n"/>
      <c r="R99" s="105" t="n"/>
      <c r="S99" s="107" t="n"/>
      <c r="T99" s="108">
        <f>IFERROR(L99+M99+N99+O99+IFERROR(AC99,0)+IFERROR(AD99,0)+IFERROR(AE99,0)+IFERROR(AF99,0)+IFERROR(AG99,0),0)</f>
        <v/>
      </c>
      <c r="U99" s="108">
        <f>IFERROR(H99+IFERROR(I99,0)+T99+IFERROR(V99,0),0)</f>
        <v/>
      </c>
    </row>
    <row r="100" ht="15" customHeight="1" s="199">
      <c r="A100" s="104" t="n"/>
      <c r="B100" s="104" t="n"/>
      <c r="C100" s="104" t="n"/>
      <c r="D100" s="105" t="n"/>
      <c r="E100" s="105" t="n"/>
      <c r="F100" s="105" t="n"/>
      <c r="G100" s="106" t="n"/>
      <c r="H100" s="106" t="n"/>
      <c r="I100" s="106" t="n"/>
      <c r="J100" s="107" t="n"/>
      <c r="K100" s="105" t="n"/>
      <c r="L100" s="106" t="n"/>
      <c r="M100" s="106" t="n"/>
      <c r="N100" s="106" t="n"/>
      <c r="O100" s="106" t="n"/>
      <c r="P100" s="105" t="n"/>
      <c r="Q100" s="107" t="n"/>
      <c r="R100" s="105" t="n"/>
      <c r="S100" s="107" t="n"/>
      <c r="T100" s="108">
        <f>IFERROR(L100+M100+N100+O100+IFERROR(AC100,0)+IFERROR(AD100,0)+IFERROR(AE100,0)+IFERROR(AF100,0)+IFERROR(AG100,0),0)</f>
        <v/>
      </c>
      <c r="U100" s="108">
        <f>IFERROR(H100+IFERROR(I100,0)+T100+IFERROR(V100,0),0)</f>
        <v/>
      </c>
    </row>
    <row r="101" ht="15" customHeight="1" s="199">
      <c r="A101" s="104" t="n"/>
      <c r="B101" s="104" t="n"/>
      <c r="C101" s="104" t="n"/>
      <c r="D101" s="105" t="n"/>
      <c r="E101" s="105" t="n"/>
      <c r="F101" s="105" t="n"/>
      <c r="G101" s="106" t="n"/>
      <c r="H101" s="106" t="n"/>
      <c r="I101" s="106" t="n"/>
      <c r="J101" s="107" t="n"/>
      <c r="K101" s="105" t="n"/>
      <c r="L101" s="106" t="n"/>
      <c r="M101" s="106" t="n"/>
      <c r="N101" s="106" t="n"/>
      <c r="O101" s="106" t="n"/>
      <c r="P101" s="105" t="n"/>
      <c r="Q101" s="107" t="n"/>
      <c r="R101" s="105" t="n"/>
      <c r="S101" s="107" t="n"/>
      <c r="T101" s="108">
        <f>IFERROR(L101+M101+N101+O101+IFERROR(AC101,0)+IFERROR(AD101,0)+IFERROR(AE101,0)+IFERROR(AF101,0)+IFERROR(AG101,0),0)</f>
        <v/>
      </c>
      <c r="U101" s="108">
        <f>IFERROR(H101+IFERROR(I101,0)+T101+IFERROR(V101,0),0)</f>
        <v/>
      </c>
    </row>
    <row r="102" ht="15" customHeight="1" s="199">
      <c r="A102" s="104" t="n"/>
      <c r="B102" s="104" t="n"/>
      <c r="C102" s="104" t="n"/>
      <c r="D102" s="105" t="n"/>
      <c r="E102" s="105" t="n"/>
      <c r="F102" s="105" t="n"/>
      <c r="G102" s="106" t="n"/>
      <c r="H102" s="106" t="n"/>
      <c r="I102" s="106" t="n"/>
      <c r="J102" s="107" t="n"/>
      <c r="K102" s="105" t="n"/>
      <c r="L102" s="106" t="n"/>
      <c r="M102" s="106" t="n"/>
      <c r="N102" s="106" t="n"/>
      <c r="O102" s="106" t="n"/>
      <c r="P102" s="105" t="n"/>
      <c r="Q102" s="107" t="n"/>
      <c r="R102" s="105" t="n"/>
      <c r="S102" s="107" t="n"/>
      <c r="T102" s="108">
        <f>IFERROR(L102+M102+N102+O102+IFERROR(AC102,0)+IFERROR(AD102,0)+IFERROR(AE102,0)+IFERROR(AF102,0)+IFERROR(AG102,0),0)</f>
        <v/>
      </c>
      <c r="U102" s="108">
        <f>IFERROR(H102+IFERROR(I102,0)+T102+IFERROR(V102,0),0)</f>
        <v/>
      </c>
    </row>
    <row r="103" ht="15" customHeight="1" s="199">
      <c r="A103" s="104" t="n"/>
      <c r="B103" s="104" t="n"/>
      <c r="C103" s="104" t="n"/>
      <c r="D103" s="105" t="n"/>
      <c r="E103" s="105" t="n"/>
      <c r="F103" s="105" t="n"/>
      <c r="G103" s="106" t="n"/>
      <c r="H103" s="106" t="n"/>
      <c r="I103" s="106" t="n"/>
      <c r="J103" s="107" t="n"/>
      <c r="K103" s="105" t="n"/>
      <c r="L103" s="106" t="n"/>
      <c r="M103" s="106" t="n"/>
      <c r="N103" s="106" t="n"/>
      <c r="O103" s="106" t="n"/>
      <c r="P103" s="105" t="n"/>
      <c r="Q103" s="107" t="n"/>
      <c r="R103" s="105" t="n"/>
      <c r="S103" s="107" t="n"/>
      <c r="T103" s="108">
        <f>IFERROR(L103+M103+N103+O103+IFERROR(AC103,0)+IFERROR(AD103,0)+IFERROR(AE103,0)+IFERROR(AF103,0)+IFERROR(AG103,0),0)</f>
        <v/>
      </c>
      <c r="U103" s="108">
        <f>IFERROR(H103+IFERROR(I103,0)+T103+IFERROR(V103,0),0)</f>
        <v/>
      </c>
    </row>
    <row r="104" ht="15" customHeight="1" s="199">
      <c r="A104" s="104" t="n"/>
      <c r="B104" s="104" t="n"/>
      <c r="C104" s="104" t="n"/>
      <c r="D104" s="105" t="n"/>
      <c r="E104" s="105" t="n"/>
      <c r="F104" s="105" t="n"/>
      <c r="G104" s="106" t="n"/>
      <c r="H104" s="106" t="n"/>
      <c r="I104" s="106" t="n"/>
      <c r="J104" s="107" t="n"/>
      <c r="K104" s="105" t="n"/>
      <c r="L104" s="106" t="n"/>
      <c r="M104" s="106" t="n"/>
      <c r="N104" s="106" t="n"/>
      <c r="O104" s="106" t="n"/>
      <c r="P104" s="105" t="n"/>
      <c r="Q104" s="107" t="n"/>
      <c r="R104" s="105" t="n"/>
      <c r="S104" s="107" t="n"/>
      <c r="T104" s="108">
        <f>IFERROR(L104+M104+N104+O104+IFERROR(AC104,0)+IFERROR(AD104,0)+IFERROR(AE104,0)+IFERROR(AF104,0)+IFERROR(AG104,0),0)</f>
        <v/>
      </c>
      <c r="U104" s="108">
        <f>IFERROR(H104+IFERROR(I104,0)+T104+IFERROR(V104,0),0)</f>
        <v/>
      </c>
    </row>
    <row r="105" ht="15" customHeight="1" s="199">
      <c r="A105" s="104" t="n"/>
      <c r="B105" s="104" t="n"/>
      <c r="C105" s="104" t="n"/>
      <c r="D105" s="105" t="n"/>
      <c r="E105" s="105" t="n"/>
      <c r="F105" s="105" t="n"/>
      <c r="G105" s="106" t="n"/>
      <c r="H105" s="106" t="n"/>
      <c r="I105" s="106" t="n"/>
      <c r="J105" s="107" t="n"/>
      <c r="K105" s="105" t="n"/>
      <c r="L105" s="106" t="n"/>
      <c r="M105" s="106" t="n"/>
      <c r="N105" s="106" t="n"/>
      <c r="O105" s="106" t="n"/>
      <c r="P105" s="105" t="n"/>
      <c r="Q105" s="107" t="n"/>
      <c r="R105" s="105" t="n"/>
      <c r="S105" s="107" t="n"/>
      <c r="T105" s="108">
        <f>IFERROR(L105+M105+N105+O105+IFERROR(AC105,0)+IFERROR(AD105,0)+IFERROR(AE105,0)+IFERROR(AF105,0)+IFERROR(AG105,0),0)</f>
        <v/>
      </c>
      <c r="U105" s="108">
        <f>IFERROR(H105+IFERROR(I105,0)+T105+IFERROR(V105,0),0)</f>
        <v/>
      </c>
    </row>
    <row r="106" ht="15" customHeight="1" s="199">
      <c r="A106" s="104" t="n"/>
      <c r="B106" s="104" t="n"/>
      <c r="C106" s="104" t="n"/>
      <c r="D106" s="105" t="n"/>
      <c r="E106" s="105" t="n"/>
      <c r="F106" s="105" t="n"/>
      <c r="G106" s="106" t="n"/>
      <c r="H106" s="106" t="n"/>
      <c r="I106" s="106" t="n"/>
      <c r="J106" s="107" t="n"/>
      <c r="K106" s="105" t="n"/>
      <c r="L106" s="106" t="n"/>
      <c r="M106" s="106" t="n"/>
      <c r="N106" s="106" t="n"/>
      <c r="O106" s="106" t="n"/>
      <c r="P106" s="105" t="n"/>
      <c r="Q106" s="107" t="n"/>
      <c r="R106" s="105" t="n"/>
      <c r="S106" s="107" t="n"/>
      <c r="T106" s="108">
        <f>IFERROR(L106+M106+N106+O106+IFERROR(AC106,0)+IFERROR(AD106,0)+IFERROR(AE106,0)+IFERROR(AF106,0)+IFERROR(AG106,0),0)</f>
        <v/>
      </c>
      <c r="U106" s="108">
        <f>IFERROR(H106+IFERROR(I106,0)+T106+IFERROR(V106,0),0)</f>
        <v/>
      </c>
    </row>
    <row r="107" ht="15" customHeight="1" s="199">
      <c r="A107" s="104" t="n"/>
      <c r="B107" s="104" t="n"/>
      <c r="C107" s="104" t="n"/>
      <c r="D107" s="105" t="n"/>
      <c r="E107" s="105" t="n"/>
      <c r="F107" s="105" t="n"/>
      <c r="G107" s="106" t="n"/>
      <c r="H107" s="106" t="n"/>
      <c r="I107" s="106" t="n"/>
      <c r="J107" s="107" t="n"/>
      <c r="K107" s="105" t="n"/>
      <c r="L107" s="106" t="n"/>
      <c r="M107" s="106" t="n"/>
      <c r="N107" s="106" t="n"/>
      <c r="O107" s="106" t="n"/>
      <c r="P107" s="105" t="n"/>
      <c r="Q107" s="107" t="n"/>
      <c r="R107" s="105" t="n"/>
      <c r="S107" s="107" t="n"/>
      <c r="T107" s="108">
        <f>IFERROR(L107+M107+N107+O107+IFERROR(AC107,0)+IFERROR(AD107,0)+IFERROR(AE107,0)+IFERROR(AF107,0)+IFERROR(AG107,0),0)</f>
        <v/>
      </c>
      <c r="U107" s="108">
        <f>IFERROR(H107+IFERROR(I107,0)+T107+IFERROR(V107,0),0)</f>
        <v/>
      </c>
    </row>
    <row r="108" ht="15" customHeight="1" s="199">
      <c r="A108" s="104" t="n"/>
      <c r="B108" s="104" t="n"/>
      <c r="C108" s="104" t="n"/>
      <c r="D108" s="105" t="n"/>
      <c r="E108" s="105" t="n"/>
      <c r="F108" s="105" t="n"/>
      <c r="G108" s="106" t="n"/>
      <c r="H108" s="106" t="n"/>
      <c r="I108" s="106" t="n"/>
      <c r="J108" s="107" t="n"/>
      <c r="K108" s="105" t="n"/>
      <c r="L108" s="106" t="n"/>
      <c r="M108" s="106" t="n"/>
      <c r="N108" s="106" t="n"/>
      <c r="O108" s="106" t="n"/>
      <c r="P108" s="105" t="n"/>
      <c r="Q108" s="107" t="n"/>
      <c r="R108" s="105" t="n"/>
      <c r="S108" s="107" t="n"/>
      <c r="T108" s="108">
        <f>IFERROR(L108+M108+N108+O108+IFERROR(AC108,0)+IFERROR(AD108,0)+IFERROR(AE108,0)+IFERROR(AF108,0)+IFERROR(AG108,0),0)</f>
        <v/>
      </c>
      <c r="U108" s="108">
        <f>IFERROR(H108+IFERROR(I108,0)+T108+IFERROR(V108,0),0)</f>
        <v/>
      </c>
    </row>
    <row r="109" ht="15" customHeight="1" s="199">
      <c r="A109" s="104" t="n"/>
      <c r="B109" s="104" t="n"/>
      <c r="C109" s="104" t="n"/>
      <c r="D109" s="105" t="n"/>
      <c r="E109" s="105" t="n"/>
      <c r="F109" s="105" t="n"/>
      <c r="G109" s="106" t="n"/>
      <c r="H109" s="106" t="n"/>
      <c r="I109" s="106" t="n"/>
      <c r="J109" s="107" t="n"/>
      <c r="K109" s="105" t="n"/>
      <c r="L109" s="106" t="n"/>
      <c r="M109" s="106" t="n"/>
      <c r="N109" s="106" t="n"/>
      <c r="O109" s="106" t="n"/>
      <c r="P109" s="105" t="n"/>
      <c r="Q109" s="107" t="n"/>
      <c r="R109" s="105" t="n"/>
      <c r="S109" s="107" t="n"/>
      <c r="T109" s="108">
        <f>IFERROR(L109+M109+N109+O109+IFERROR(AC109,0)+IFERROR(AD109,0)+IFERROR(AE109,0)+IFERROR(AF109,0)+IFERROR(AG109,0),0)</f>
        <v/>
      </c>
      <c r="U109" s="108">
        <f>IFERROR(H109+IFERROR(I109,0)+T109+IFERROR(V109,0),0)</f>
        <v/>
      </c>
    </row>
    <row r="110" ht="15" customHeight="1" s="199">
      <c r="A110" s="104" t="n"/>
      <c r="B110" s="104" t="n"/>
      <c r="C110" s="104" t="n"/>
      <c r="D110" s="105" t="n"/>
      <c r="E110" s="105" t="n"/>
      <c r="F110" s="105" t="n"/>
      <c r="G110" s="106" t="n"/>
      <c r="H110" s="106" t="n"/>
      <c r="I110" s="106" t="n"/>
      <c r="J110" s="107" t="n"/>
      <c r="K110" s="105" t="n"/>
      <c r="L110" s="106" t="n"/>
      <c r="M110" s="106" t="n"/>
      <c r="N110" s="106" t="n"/>
      <c r="O110" s="106" t="n"/>
      <c r="P110" s="105" t="n"/>
      <c r="Q110" s="107" t="n"/>
      <c r="R110" s="105" t="n"/>
      <c r="S110" s="107" t="n"/>
      <c r="T110" s="108">
        <f>IFERROR(L110+M110+N110+O110+IFERROR(AC110,0)+IFERROR(AD110,0)+IFERROR(AE110,0)+IFERROR(AF110,0)+IFERROR(AG110,0),0)</f>
        <v/>
      </c>
      <c r="U110" s="108">
        <f>IFERROR(H110+IFERROR(I110,0)+T110+IFERROR(V110,0),0)</f>
        <v/>
      </c>
    </row>
    <row r="111" ht="15" customHeight="1" s="199">
      <c r="A111" s="104" t="n"/>
      <c r="B111" s="104" t="n"/>
      <c r="C111" s="104" t="n"/>
      <c r="D111" s="105" t="n"/>
      <c r="E111" s="105" t="n"/>
      <c r="F111" s="105" t="n"/>
      <c r="G111" s="106" t="n"/>
      <c r="H111" s="106" t="n"/>
      <c r="I111" s="106" t="n"/>
      <c r="J111" s="107" t="n"/>
      <c r="K111" s="105" t="n"/>
      <c r="L111" s="106" t="n"/>
      <c r="M111" s="106" t="n"/>
      <c r="N111" s="106" t="n"/>
      <c r="O111" s="106" t="n"/>
      <c r="P111" s="105" t="n"/>
      <c r="Q111" s="107" t="n"/>
      <c r="R111" s="105" t="n"/>
      <c r="S111" s="107" t="n"/>
      <c r="T111" s="108">
        <f>IFERROR(L111+M111+N111+O111+IFERROR(AC111,0)+IFERROR(AD111,0)+IFERROR(AE111,0)+IFERROR(AF111,0)+IFERROR(AG111,0),0)</f>
        <v/>
      </c>
      <c r="U111" s="108">
        <f>IFERROR(H111+IFERROR(I111,0)+T111+IFERROR(V111,0),0)</f>
        <v/>
      </c>
    </row>
    <row r="112" ht="15" customHeight="1" s="199">
      <c r="A112" s="104" t="n"/>
      <c r="B112" s="104" t="n"/>
      <c r="C112" s="104" t="n"/>
      <c r="D112" s="105" t="n"/>
      <c r="E112" s="105" t="n"/>
      <c r="F112" s="105" t="n"/>
      <c r="G112" s="106" t="n"/>
      <c r="H112" s="106" t="n"/>
      <c r="I112" s="106" t="n"/>
      <c r="J112" s="107" t="n"/>
      <c r="K112" s="105" t="n"/>
      <c r="L112" s="106" t="n"/>
      <c r="M112" s="106" t="n"/>
      <c r="N112" s="106" t="n"/>
      <c r="O112" s="106" t="n"/>
      <c r="P112" s="105" t="n"/>
      <c r="Q112" s="107" t="n"/>
      <c r="R112" s="105" t="n"/>
      <c r="S112" s="107" t="n"/>
      <c r="T112" s="108">
        <f>IFERROR(L112+M112+N112+O112+IFERROR(AC112,0)+IFERROR(AD112,0)+IFERROR(AE112,0)+IFERROR(AF112,0)+IFERROR(AG112,0),0)</f>
        <v/>
      </c>
      <c r="U112" s="108">
        <f>IFERROR(H112+IFERROR(I112,0)+T112+IFERROR(V112,0),0)</f>
        <v/>
      </c>
    </row>
    <row r="113" ht="15" customHeight="1" s="199">
      <c r="A113" s="104" t="n"/>
      <c r="B113" s="104" t="n"/>
      <c r="C113" s="104" t="n"/>
      <c r="D113" s="105" t="n"/>
      <c r="E113" s="105" t="n"/>
      <c r="F113" s="105" t="n"/>
      <c r="G113" s="106" t="n"/>
      <c r="H113" s="106" t="n"/>
      <c r="I113" s="106" t="n"/>
      <c r="J113" s="107" t="n"/>
      <c r="K113" s="105" t="n"/>
      <c r="L113" s="106" t="n"/>
      <c r="M113" s="106" t="n"/>
      <c r="N113" s="106" t="n"/>
      <c r="O113" s="106" t="n"/>
      <c r="P113" s="105" t="n"/>
      <c r="Q113" s="107" t="n"/>
      <c r="R113" s="105" t="n"/>
      <c r="S113" s="107" t="n"/>
      <c r="T113" s="108">
        <f>IFERROR(L113+M113+N113+O113+IFERROR(AC113,0)+IFERROR(AD113,0)+IFERROR(AE113,0)+IFERROR(AF113,0)+IFERROR(AG113,0),0)</f>
        <v/>
      </c>
      <c r="U113" s="108">
        <f>IFERROR(H113+IFERROR(I113,0)+T113+IFERROR(V113,0),0)</f>
        <v/>
      </c>
    </row>
    <row r="114" ht="15" customHeight="1" s="199">
      <c r="A114" s="104" t="n"/>
      <c r="B114" s="104" t="n"/>
      <c r="C114" s="104" t="n"/>
      <c r="D114" s="105" t="n"/>
      <c r="E114" s="105" t="n"/>
      <c r="F114" s="105" t="n"/>
      <c r="G114" s="106" t="n"/>
      <c r="H114" s="106" t="n"/>
      <c r="I114" s="106" t="n"/>
      <c r="J114" s="107" t="n"/>
      <c r="K114" s="105" t="n"/>
      <c r="L114" s="106" t="n"/>
      <c r="M114" s="106" t="n"/>
      <c r="N114" s="106" t="n"/>
      <c r="O114" s="106" t="n"/>
      <c r="P114" s="105" t="n"/>
      <c r="Q114" s="107" t="n"/>
      <c r="R114" s="105" t="n"/>
      <c r="S114" s="107" t="n"/>
      <c r="T114" s="108">
        <f>IFERROR(L114+M114+N114+O114+IFERROR(AC114,0)+IFERROR(AD114,0)+IFERROR(AE114,0)+IFERROR(AF114,0)+IFERROR(AG114,0),0)</f>
        <v/>
      </c>
      <c r="U114" s="108">
        <f>IFERROR(H114+IFERROR(I114,0)+T114+IFERROR(V114,0),0)</f>
        <v/>
      </c>
    </row>
    <row r="115" ht="15" customHeight="1" s="199">
      <c r="A115" s="104" t="n"/>
      <c r="B115" s="104" t="n"/>
      <c r="C115" s="104" t="n"/>
      <c r="D115" s="105" t="n"/>
      <c r="E115" s="105" t="n"/>
      <c r="F115" s="105" t="n"/>
      <c r="G115" s="106" t="n"/>
      <c r="H115" s="106" t="n"/>
      <c r="I115" s="106" t="n"/>
      <c r="J115" s="107" t="n"/>
      <c r="K115" s="105" t="n"/>
      <c r="L115" s="106" t="n"/>
      <c r="M115" s="106" t="n"/>
      <c r="N115" s="106" t="n"/>
      <c r="O115" s="106" t="n"/>
      <c r="P115" s="105" t="n"/>
      <c r="Q115" s="107" t="n"/>
      <c r="R115" s="105" t="n"/>
      <c r="S115" s="107" t="n"/>
      <c r="T115" s="108">
        <f>IFERROR(L115+M115+N115+O115+IFERROR(AC115,0)+IFERROR(AD115,0)+IFERROR(AE115,0)+IFERROR(AF115,0)+IFERROR(AG115,0),0)</f>
        <v/>
      </c>
      <c r="U115" s="108">
        <f>IFERROR(H115+IFERROR(I115,0)+T115+IFERROR(V115,0),0)</f>
        <v/>
      </c>
    </row>
    <row r="116" ht="15" customHeight="1" s="199">
      <c r="A116" s="104" t="n"/>
      <c r="B116" s="104" t="n"/>
      <c r="C116" s="104" t="n"/>
      <c r="D116" s="105" t="n"/>
      <c r="E116" s="105" t="n"/>
      <c r="F116" s="105" t="n"/>
      <c r="G116" s="106" t="n"/>
      <c r="H116" s="106" t="n"/>
      <c r="I116" s="106" t="n"/>
      <c r="J116" s="107" t="n"/>
      <c r="K116" s="105" t="n"/>
      <c r="L116" s="106" t="n"/>
      <c r="M116" s="106" t="n"/>
      <c r="N116" s="106" t="n"/>
      <c r="O116" s="106" t="n"/>
      <c r="P116" s="105" t="n"/>
      <c r="Q116" s="107" t="n"/>
      <c r="R116" s="105" t="n"/>
      <c r="S116" s="107" t="n"/>
      <c r="T116" s="108">
        <f>IFERROR(L116+M116+N116+O116+IFERROR(AC116,0)+IFERROR(AD116,0)+IFERROR(AE116,0)+IFERROR(AF116,0)+IFERROR(AG116,0),0)</f>
        <v/>
      </c>
      <c r="U116" s="108">
        <f>IFERROR(H116+IFERROR(I116,0)+T116+IFERROR(V116,0),0)</f>
        <v/>
      </c>
    </row>
    <row r="117" ht="15" customHeight="1" s="199">
      <c r="A117" s="104" t="n"/>
      <c r="B117" s="104" t="n"/>
      <c r="C117" s="104" t="n"/>
      <c r="D117" s="105" t="n"/>
      <c r="E117" s="105" t="n"/>
      <c r="F117" s="105" t="n"/>
      <c r="G117" s="106" t="n"/>
      <c r="H117" s="106" t="n"/>
      <c r="I117" s="106" t="n"/>
      <c r="J117" s="107" t="n"/>
      <c r="K117" s="105" t="n"/>
      <c r="L117" s="106" t="n"/>
      <c r="M117" s="106" t="n"/>
      <c r="N117" s="106" t="n"/>
      <c r="O117" s="106" t="n"/>
      <c r="P117" s="105" t="n"/>
      <c r="Q117" s="107" t="n"/>
      <c r="R117" s="105" t="n"/>
      <c r="S117" s="107" t="n"/>
      <c r="T117" s="108">
        <f>IFERROR(L117+M117+N117+O117+IFERROR(AC117,0)+IFERROR(AD117,0)+IFERROR(AE117,0)+IFERROR(AF117,0)+IFERROR(AG117,0),0)</f>
        <v/>
      </c>
      <c r="U117" s="108">
        <f>IFERROR(H117+IFERROR(I117,0)+T117+IFERROR(V117,0),0)</f>
        <v/>
      </c>
    </row>
    <row r="118" ht="15" customHeight="1" s="199">
      <c r="A118" s="104" t="n"/>
      <c r="B118" s="104" t="n"/>
      <c r="C118" s="104" t="n"/>
      <c r="D118" s="105" t="n"/>
      <c r="E118" s="105" t="n"/>
      <c r="F118" s="105" t="n"/>
      <c r="G118" s="106" t="n"/>
      <c r="H118" s="106" t="n"/>
      <c r="I118" s="106" t="n"/>
      <c r="J118" s="107" t="n"/>
      <c r="K118" s="105" t="n"/>
      <c r="L118" s="106" t="n"/>
      <c r="M118" s="106" t="n"/>
      <c r="N118" s="106" t="n"/>
      <c r="O118" s="106" t="n"/>
      <c r="P118" s="105" t="n"/>
      <c r="Q118" s="107" t="n"/>
      <c r="R118" s="105" t="n"/>
      <c r="S118" s="107" t="n"/>
      <c r="T118" s="108">
        <f>IFERROR(L118+M118+N118+O118+IFERROR(AC118,0)+IFERROR(AD118,0)+IFERROR(AE118,0)+IFERROR(AF118,0)+IFERROR(AG118,0),0)</f>
        <v/>
      </c>
      <c r="U118" s="108">
        <f>IFERROR(H118+IFERROR(I118,0)+T118+IFERROR(V118,0),0)</f>
        <v/>
      </c>
    </row>
    <row r="119" ht="15" customHeight="1" s="199">
      <c r="A119" s="104" t="n"/>
      <c r="B119" s="104" t="n"/>
      <c r="C119" s="104" t="n"/>
      <c r="D119" s="105" t="n"/>
      <c r="E119" s="105" t="n"/>
      <c r="F119" s="105" t="n"/>
      <c r="G119" s="106" t="n"/>
      <c r="H119" s="106" t="n"/>
      <c r="I119" s="106" t="n"/>
      <c r="J119" s="107" t="n"/>
      <c r="K119" s="105" t="n"/>
      <c r="L119" s="106" t="n"/>
      <c r="M119" s="106" t="n"/>
      <c r="N119" s="106" t="n"/>
      <c r="O119" s="106" t="n"/>
      <c r="P119" s="105" t="n"/>
      <c r="Q119" s="107" t="n"/>
      <c r="R119" s="105" t="n"/>
      <c r="S119" s="107" t="n"/>
      <c r="T119" s="108">
        <f>IFERROR(L119+M119+N119+O119+IFERROR(AC119,0)+IFERROR(AD119,0)+IFERROR(AE119,0)+IFERROR(AF119,0)+IFERROR(AG119,0),0)</f>
        <v/>
      </c>
      <c r="U119" s="108">
        <f>IFERROR(H119+IFERROR(I119,0)+T119+IFERROR(V119,0),0)</f>
        <v/>
      </c>
    </row>
    <row r="120" ht="15" customHeight="1" s="199">
      <c r="A120" s="104" t="n"/>
      <c r="B120" s="104" t="n"/>
      <c r="C120" s="104" t="n"/>
      <c r="D120" s="105" t="n"/>
      <c r="E120" s="105" t="n"/>
      <c r="F120" s="105" t="n"/>
      <c r="G120" s="106" t="n"/>
      <c r="H120" s="106" t="n"/>
      <c r="I120" s="106" t="n"/>
      <c r="J120" s="107" t="n"/>
      <c r="K120" s="105" t="n"/>
      <c r="L120" s="106" t="n"/>
      <c r="M120" s="106" t="n"/>
      <c r="N120" s="106" t="n"/>
      <c r="O120" s="106" t="n"/>
      <c r="P120" s="105" t="n"/>
      <c r="Q120" s="107" t="n"/>
      <c r="R120" s="105" t="n"/>
      <c r="S120" s="107" t="n"/>
      <c r="T120" s="108">
        <f>IFERROR(L120+M120+N120+O120+IFERROR(AC120,0)+IFERROR(AD120,0)+IFERROR(AE120,0)+IFERROR(AF120,0)+IFERROR(AG120,0),0)</f>
        <v/>
      </c>
      <c r="U120" s="108">
        <f>IFERROR(H120+IFERROR(I120,0)+T120+IFERROR(V120,0),0)</f>
        <v/>
      </c>
    </row>
    <row r="121" ht="15" customHeight="1" s="199">
      <c r="A121" s="104" t="n"/>
      <c r="B121" s="104" t="n"/>
      <c r="C121" s="104" t="n"/>
      <c r="D121" s="105" t="n"/>
      <c r="E121" s="105" t="n"/>
      <c r="F121" s="105" t="n"/>
      <c r="G121" s="106" t="n"/>
      <c r="H121" s="106" t="n"/>
      <c r="I121" s="106" t="n"/>
      <c r="J121" s="107" t="n"/>
      <c r="K121" s="105" t="n"/>
      <c r="L121" s="106" t="n"/>
      <c r="M121" s="106" t="n"/>
      <c r="N121" s="106" t="n"/>
      <c r="O121" s="106" t="n"/>
      <c r="P121" s="105" t="n"/>
      <c r="Q121" s="107" t="n"/>
      <c r="R121" s="105" t="n"/>
      <c r="S121" s="107" t="n"/>
      <c r="T121" s="108">
        <f>IFERROR(L121+M121+N121+O121+IFERROR(AC121,0)+IFERROR(AD121,0)+IFERROR(AE121,0)+IFERROR(AF121,0)+IFERROR(AG121,0),0)</f>
        <v/>
      </c>
      <c r="U121" s="108">
        <f>IFERROR(H121+IFERROR(I121,0)+T121+IFERROR(V121,0),0)</f>
        <v/>
      </c>
    </row>
    <row r="122" ht="15" customHeight="1" s="199">
      <c r="A122" s="104" t="n"/>
      <c r="B122" s="104" t="n"/>
      <c r="C122" s="104" t="n"/>
      <c r="D122" s="105" t="n"/>
      <c r="E122" s="105" t="n"/>
      <c r="F122" s="105" t="n"/>
      <c r="G122" s="106" t="n"/>
      <c r="H122" s="106" t="n"/>
      <c r="I122" s="106" t="n"/>
      <c r="J122" s="107" t="n"/>
      <c r="K122" s="105" t="n"/>
      <c r="L122" s="106" t="n"/>
      <c r="M122" s="106" t="n"/>
      <c r="N122" s="106" t="n"/>
      <c r="O122" s="106" t="n"/>
      <c r="P122" s="105" t="n"/>
      <c r="Q122" s="107" t="n"/>
      <c r="R122" s="105" t="n"/>
      <c r="S122" s="107" t="n"/>
      <c r="T122" s="108">
        <f>IFERROR(L122+M122+N122+O122+IFERROR(AC122,0)+IFERROR(AD122,0)+IFERROR(AE122,0)+IFERROR(AF122,0)+IFERROR(AG122,0),0)</f>
        <v/>
      </c>
      <c r="U122" s="108">
        <f>IFERROR(H122+IFERROR(I122,0)+T122+IFERROR(V122,0),0)</f>
        <v/>
      </c>
    </row>
    <row r="123" ht="15" customHeight="1" s="199">
      <c r="A123" s="104" t="n"/>
      <c r="B123" s="104" t="n"/>
      <c r="C123" s="104" t="n"/>
      <c r="D123" s="105" t="n"/>
      <c r="E123" s="105" t="n"/>
      <c r="F123" s="105" t="n"/>
      <c r="G123" s="106" t="n"/>
      <c r="H123" s="106" t="n"/>
      <c r="I123" s="106" t="n"/>
      <c r="J123" s="107" t="n"/>
      <c r="K123" s="105" t="n"/>
      <c r="L123" s="106" t="n"/>
      <c r="M123" s="106" t="n"/>
      <c r="N123" s="106" t="n"/>
      <c r="O123" s="106" t="n"/>
      <c r="P123" s="105" t="n"/>
      <c r="Q123" s="107" t="n"/>
      <c r="R123" s="105" t="n"/>
      <c r="S123" s="107" t="n"/>
      <c r="T123" s="108">
        <f>IFERROR(L123+M123+N123+O123+IFERROR(AC123,0)+IFERROR(AD123,0)+IFERROR(AE123,0)+IFERROR(AF123,0)+IFERROR(AG123,0),0)</f>
        <v/>
      </c>
      <c r="U123" s="108">
        <f>IFERROR(H123+IFERROR(I123,0)+T123+IFERROR(V123,0),0)</f>
        <v/>
      </c>
    </row>
    <row r="124" ht="15" customHeight="1" s="199">
      <c r="A124" s="104" t="n"/>
      <c r="B124" s="104" t="n"/>
      <c r="C124" s="104" t="n"/>
      <c r="D124" s="105" t="n"/>
      <c r="E124" s="105" t="n"/>
      <c r="F124" s="105" t="n"/>
      <c r="G124" s="106" t="n"/>
      <c r="H124" s="106" t="n"/>
      <c r="I124" s="106" t="n"/>
      <c r="J124" s="107" t="n"/>
      <c r="K124" s="105" t="n"/>
      <c r="L124" s="106" t="n"/>
      <c r="M124" s="106" t="n"/>
      <c r="N124" s="106" t="n"/>
      <c r="O124" s="106" t="n"/>
      <c r="P124" s="105" t="n"/>
      <c r="Q124" s="107" t="n"/>
      <c r="R124" s="105" t="n"/>
      <c r="S124" s="107" t="n"/>
      <c r="T124" s="108">
        <f>IFERROR(L124+M124+N124+O124+IFERROR(AC124,0)+IFERROR(AD124,0)+IFERROR(AE124,0)+IFERROR(AF124,0)+IFERROR(AG124,0),0)</f>
        <v/>
      </c>
      <c r="U124" s="108">
        <f>IFERROR(H124+IFERROR(I124,0)+T124+IFERROR(V124,0),0)</f>
        <v/>
      </c>
    </row>
    <row r="125" ht="15" customHeight="1" s="199">
      <c r="A125" s="104" t="n"/>
      <c r="B125" s="104" t="n"/>
      <c r="C125" s="104" t="n"/>
      <c r="D125" s="105" t="n"/>
      <c r="E125" s="105" t="n"/>
      <c r="F125" s="105" t="n"/>
      <c r="G125" s="106" t="n"/>
      <c r="H125" s="106" t="n"/>
      <c r="I125" s="106" t="n"/>
      <c r="J125" s="107" t="n"/>
      <c r="K125" s="105" t="n"/>
      <c r="L125" s="106" t="n"/>
      <c r="M125" s="106" t="n"/>
      <c r="N125" s="106" t="n"/>
      <c r="O125" s="106" t="n"/>
      <c r="P125" s="105" t="n"/>
      <c r="Q125" s="107" t="n"/>
      <c r="R125" s="105" t="n"/>
      <c r="S125" s="107" t="n"/>
      <c r="T125" s="108">
        <f>IFERROR(L125+M125+N125+O125+IFERROR(AC125,0)+IFERROR(AD125,0)+IFERROR(AE125,0)+IFERROR(AF125,0)+IFERROR(AG125,0),0)</f>
        <v/>
      </c>
      <c r="U125" s="108">
        <f>IFERROR(H125+IFERROR(I125,0)+T125+IFERROR(V125,0),0)</f>
        <v/>
      </c>
    </row>
    <row r="126" ht="15" customHeight="1" s="199">
      <c r="A126" s="104" t="n"/>
      <c r="B126" s="104" t="n"/>
      <c r="C126" s="104" t="n"/>
      <c r="D126" s="105" t="n"/>
      <c r="E126" s="105" t="n"/>
      <c r="F126" s="105" t="n"/>
      <c r="G126" s="106" t="n"/>
      <c r="H126" s="106" t="n"/>
      <c r="I126" s="106" t="n"/>
      <c r="J126" s="107" t="n"/>
      <c r="K126" s="105" t="n"/>
      <c r="L126" s="106" t="n"/>
      <c r="M126" s="106" t="n"/>
      <c r="N126" s="106" t="n"/>
      <c r="O126" s="106" t="n"/>
      <c r="P126" s="105" t="n"/>
      <c r="Q126" s="107" t="n"/>
      <c r="R126" s="105" t="n"/>
      <c r="S126" s="107" t="n"/>
      <c r="T126" s="108">
        <f>IFERROR(L126+M126+N126+O126+IFERROR(AC126,0)+IFERROR(AD126,0)+IFERROR(AE126,0)+IFERROR(AF126,0)+IFERROR(AG126,0),0)</f>
        <v/>
      </c>
      <c r="U126" s="108">
        <f>IFERROR(H126+IFERROR(I126,0)+T126+IFERROR(V126,0),0)</f>
        <v/>
      </c>
    </row>
    <row r="127" ht="15" customHeight="1" s="199">
      <c r="A127" s="104" t="n"/>
      <c r="B127" s="104" t="n"/>
      <c r="C127" s="104" t="n"/>
      <c r="D127" s="105" t="n"/>
      <c r="E127" s="105" t="n"/>
      <c r="F127" s="105" t="n"/>
      <c r="G127" s="106" t="n"/>
      <c r="H127" s="106" t="n"/>
      <c r="I127" s="106" t="n"/>
      <c r="J127" s="107" t="n"/>
      <c r="K127" s="105" t="n"/>
      <c r="L127" s="106" t="n"/>
      <c r="M127" s="106" t="n"/>
      <c r="N127" s="106" t="n"/>
      <c r="O127" s="106" t="n"/>
      <c r="P127" s="105" t="n"/>
      <c r="Q127" s="107" t="n"/>
      <c r="R127" s="105" t="n"/>
      <c r="S127" s="107" t="n"/>
      <c r="T127" s="108">
        <f>IFERROR(L127+M127+N127+O127+IFERROR(AC127,0)+IFERROR(AD127,0)+IFERROR(AE127,0)+IFERROR(AF127,0)+IFERROR(AG127,0),0)</f>
        <v/>
      </c>
      <c r="U127" s="108">
        <f>IFERROR(H127+IFERROR(I127,0)+T127+IFERROR(V127,0),0)</f>
        <v/>
      </c>
    </row>
    <row r="128" ht="15" customHeight="1" s="199">
      <c r="A128" s="104" t="n"/>
      <c r="B128" s="104" t="n"/>
      <c r="C128" s="104" t="n"/>
      <c r="D128" s="105" t="n"/>
      <c r="E128" s="105" t="n"/>
      <c r="F128" s="105" t="n"/>
      <c r="G128" s="106" t="n"/>
      <c r="H128" s="106" t="n"/>
      <c r="I128" s="106" t="n"/>
      <c r="J128" s="107" t="n"/>
      <c r="K128" s="105" t="n"/>
      <c r="L128" s="106" t="n"/>
      <c r="M128" s="106" t="n"/>
      <c r="N128" s="106" t="n"/>
      <c r="O128" s="106" t="n"/>
      <c r="P128" s="105" t="n"/>
      <c r="Q128" s="107" t="n"/>
      <c r="R128" s="105" t="n"/>
      <c r="S128" s="107" t="n"/>
      <c r="T128" s="108">
        <f>IFERROR(L128+M128+N128+O128+IFERROR(AC128,0)+IFERROR(AD128,0)+IFERROR(AE128,0)+IFERROR(AF128,0)+IFERROR(AG128,0),0)</f>
        <v/>
      </c>
      <c r="U128" s="108">
        <f>IFERROR(H128+IFERROR(I128,0)+T128+IFERROR(V128,0),0)</f>
        <v/>
      </c>
    </row>
    <row r="129" ht="15" customHeight="1" s="199">
      <c r="A129" s="104" t="n"/>
      <c r="B129" s="104" t="n"/>
      <c r="C129" s="104" t="n"/>
      <c r="D129" s="105" t="n"/>
      <c r="E129" s="105" t="n"/>
      <c r="F129" s="105" t="n"/>
      <c r="G129" s="106" t="n"/>
      <c r="H129" s="106" t="n"/>
      <c r="I129" s="106" t="n"/>
      <c r="J129" s="107" t="n"/>
      <c r="K129" s="105" t="n"/>
      <c r="L129" s="106" t="n"/>
      <c r="M129" s="106" t="n"/>
      <c r="N129" s="106" t="n"/>
      <c r="O129" s="106" t="n"/>
      <c r="P129" s="105" t="n"/>
      <c r="Q129" s="107" t="n"/>
      <c r="R129" s="105" t="n"/>
      <c r="S129" s="107" t="n"/>
      <c r="T129" s="108">
        <f>IFERROR(L129+M129+N129+O129+IFERROR(AC129,0)+IFERROR(AD129,0)+IFERROR(AE129,0)+IFERROR(AF129,0)+IFERROR(AG129,0),0)</f>
        <v/>
      </c>
      <c r="U129" s="108">
        <f>IFERROR(H129+IFERROR(I129,0)+T129+IFERROR(V129,0),0)</f>
        <v/>
      </c>
    </row>
    <row r="130" ht="15" customHeight="1" s="199">
      <c r="A130" s="104" t="n"/>
      <c r="B130" s="104" t="n"/>
      <c r="C130" s="104" t="n"/>
      <c r="D130" s="105" t="n"/>
      <c r="E130" s="105" t="n"/>
      <c r="F130" s="105" t="n"/>
      <c r="G130" s="106" t="n"/>
      <c r="H130" s="106" t="n"/>
      <c r="I130" s="106" t="n"/>
      <c r="J130" s="107" t="n"/>
      <c r="K130" s="105" t="n"/>
      <c r="L130" s="106" t="n"/>
      <c r="M130" s="106" t="n"/>
      <c r="N130" s="106" t="n"/>
      <c r="O130" s="106" t="n"/>
      <c r="P130" s="105" t="n"/>
      <c r="Q130" s="107" t="n"/>
      <c r="R130" s="105" t="n"/>
      <c r="S130" s="107" t="n"/>
      <c r="T130" s="108">
        <f>IFERROR(L130+M130+N130+O130+IFERROR(AC130,0)+IFERROR(AD130,0)+IFERROR(AE130,0)+IFERROR(AF130,0)+IFERROR(AG130,0),0)</f>
        <v/>
      </c>
      <c r="U130" s="108">
        <f>IFERROR(H130+IFERROR(I130,0)+T130+IFERROR(V130,0),0)</f>
        <v/>
      </c>
    </row>
    <row r="131" ht="15" customHeight="1" s="199">
      <c r="A131" s="104" t="n"/>
      <c r="B131" s="104" t="n"/>
      <c r="C131" s="104" t="n"/>
      <c r="D131" s="105" t="n"/>
      <c r="E131" s="105" t="n"/>
      <c r="F131" s="105" t="n"/>
      <c r="G131" s="106" t="n"/>
      <c r="H131" s="106" t="n"/>
      <c r="I131" s="106" t="n"/>
      <c r="J131" s="107" t="n"/>
      <c r="K131" s="105" t="n"/>
      <c r="L131" s="106" t="n"/>
      <c r="M131" s="106" t="n"/>
      <c r="N131" s="106" t="n"/>
      <c r="O131" s="106" t="n"/>
      <c r="P131" s="105" t="n"/>
      <c r="Q131" s="107" t="n"/>
      <c r="R131" s="105" t="n"/>
      <c r="S131" s="107" t="n"/>
      <c r="T131" s="108">
        <f>IFERROR(L131+M131+N131+O131+IFERROR(AC131,0)+IFERROR(AD131,0)+IFERROR(AE131,0)+IFERROR(AF131,0)+IFERROR(AG131,0),0)</f>
        <v/>
      </c>
      <c r="U131" s="108">
        <f>IFERROR(H131+IFERROR(I131,0)+T131+IFERROR(V131,0),0)</f>
        <v/>
      </c>
    </row>
    <row r="132" ht="15" customHeight="1" s="199">
      <c r="A132" s="104" t="n"/>
      <c r="B132" s="104" t="n"/>
      <c r="C132" s="104" t="n"/>
      <c r="D132" s="105" t="n"/>
      <c r="E132" s="105" t="n"/>
      <c r="F132" s="105" t="n"/>
      <c r="G132" s="106" t="n"/>
      <c r="H132" s="106" t="n"/>
      <c r="I132" s="106" t="n"/>
      <c r="J132" s="107" t="n"/>
      <c r="K132" s="105" t="n"/>
      <c r="L132" s="106" t="n"/>
      <c r="M132" s="106" t="n"/>
      <c r="N132" s="106" t="n"/>
      <c r="O132" s="106" t="n"/>
      <c r="P132" s="105" t="n"/>
      <c r="Q132" s="107" t="n"/>
      <c r="R132" s="105" t="n"/>
      <c r="S132" s="107" t="n"/>
      <c r="T132" s="108">
        <f>IFERROR(L132+M132+N132+O132+IFERROR(AC132,0)+IFERROR(AD132,0)+IFERROR(AE132,0)+IFERROR(AF132,0)+IFERROR(AG132,0),0)</f>
        <v/>
      </c>
      <c r="U132" s="108">
        <f>IFERROR(H132+IFERROR(I132,0)+T132+IFERROR(V132,0),0)</f>
        <v/>
      </c>
    </row>
    <row r="133" ht="15" customHeight="1" s="199">
      <c r="A133" s="104" t="n"/>
      <c r="B133" s="104" t="n"/>
      <c r="C133" s="104" t="n"/>
      <c r="D133" s="105" t="n"/>
      <c r="E133" s="105" t="n"/>
      <c r="F133" s="105" t="n"/>
      <c r="G133" s="106" t="n"/>
      <c r="H133" s="106" t="n"/>
      <c r="I133" s="106" t="n"/>
      <c r="J133" s="107" t="n"/>
      <c r="K133" s="105" t="n"/>
      <c r="L133" s="106" t="n"/>
      <c r="M133" s="106" t="n"/>
      <c r="N133" s="106" t="n"/>
      <c r="O133" s="106" t="n"/>
      <c r="P133" s="105" t="n"/>
      <c r="Q133" s="107" t="n"/>
      <c r="R133" s="105" t="n"/>
      <c r="S133" s="107" t="n"/>
      <c r="T133" s="108">
        <f>IFERROR(L133+M133+N133+O133+IFERROR(AC133,0)+IFERROR(AD133,0)+IFERROR(AE133,0)+IFERROR(AF133,0)+IFERROR(AG133,0),0)</f>
        <v/>
      </c>
      <c r="U133" s="108">
        <f>IFERROR(H133+IFERROR(I133,0)+T133+IFERROR(V133,0),0)</f>
        <v/>
      </c>
    </row>
    <row r="134" ht="15" customHeight="1" s="199">
      <c r="A134" s="104" t="n"/>
      <c r="B134" s="104" t="n"/>
      <c r="C134" s="104" t="n"/>
      <c r="D134" s="105" t="n"/>
      <c r="E134" s="105" t="n"/>
      <c r="F134" s="105" t="n"/>
      <c r="G134" s="106" t="n"/>
      <c r="H134" s="106" t="n"/>
      <c r="I134" s="106" t="n"/>
      <c r="J134" s="107" t="n"/>
      <c r="K134" s="105" t="n"/>
      <c r="L134" s="106" t="n"/>
      <c r="M134" s="106" t="n"/>
      <c r="N134" s="106" t="n"/>
      <c r="O134" s="106" t="n"/>
      <c r="P134" s="105" t="n"/>
      <c r="Q134" s="107" t="n"/>
      <c r="R134" s="105" t="n"/>
      <c r="S134" s="107" t="n"/>
      <c r="T134" s="108">
        <f>IFERROR(L134+M134+N134+O134+IFERROR(AC134,0)+IFERROR(AD134,0)+IFERROR(AE134,0)+IFERROR(AF134,0)+IFERROR(AG134,0),0)</f>
        <v/>
      </c>
      <c r="U134" s="108">
        <f>IFERROR(H134+IFERROR(I134,0)+T134+IFERROR(V134,0),0)</f>
        <v/>
      </c>
    </row>
    <row r="135" ht="15" customHeight="1" s="199">
      <c r="A135" s="104" t="n"/>
      <c r="B135" s="104" t="n"/>
      <c r="C135" s="104" t="n"/>
      <c r="D135" s="105" t="n"/>
      <c r="E135" s="105" t="n"/>
      <c r="F135" s="105" t="n"/>
      <c r="G135" s="106" t="n"/>
      <c r="H135" s="106" t="n"/>
      <c r="I135" s="106" t="n"/>
      <c r="J135" s="107" t="n"/>
      <c r="K135" s="105" t="n"/>
      <c r="L135" s="106" t="n"/>
      <c r="M135" s="106" t="n"/>
      <c r="N135" s="106" t="n"/>
      <c r="O135" s="106" t="n"/>
      <c r="P135" s="105" t="n"/>
      <c r="Q135" s="107" t="n"/>
      <c r="R135" s="105" t="n"/>
      <c r="S135" s="107" t="n"/>
      <c r="T135" s="108">
        <f>IFERROR(L135+M135+N135+O135+IFERROR(AC135,0)+IFERROR(AD135,0)+IFERROR(AE135,0)+IFERROR(AF135,0)+IFERROR(AG135,0),0)</f>
        <v/>
      </c>
      <c r="U135" s="108">
        <f>IFERROR(H135+IFERROR(I135,0)+T135+IFERROR(V135,0),0)</f>
        <v/>
      </c>
    </row>
    <row r="136" ht="15" customHeight="1" s="199">
      <c r="A136" s="104" t="n"/>
      <c r="B136" s="104" t="n"/>
      <c r="C136" s="104" t="n"/>
      <c r="D136" s="105" t="n"/>
      <c r="E136" s="105" t="n"/>
      <c r="F136" s="105" t="n"/>
      <c r="G136" s="106" t="n"/>
      <c r="H136" s="106" t="n"/>
      <c r="I136" s="106" t="n"/>
      <c r="J136" s="107" t="n"/>
      <c r="K136" s="105" t="n"/>
      <c r="L136" s="106" t="n"/>
      <c r="M136" s="106" t="n"/>
      <c r="N136" s="106" t="n"/>
      <c r="O136" s="106" t="n"/>
      <c r="P136" s="105" t="n"/>
      <c r="Q136" s="107" t="n"/>
      <c r="R136" s="105" t="n"/>
      <c r="S136" s="107" t="n"/>
      <c r="T136" s="108">
        <f>IFERROR(L136+M136+N136+O136+IFERROR(AC136,0)+IFERROR(AD136,0)+IFERROR(AE136,0)+IFERROR(AF136,0)+IFERROR(AG136,0),0)</f>
        <v/>
      </c>
      <c r="U136" s="108">
        <f>IFERROR(H136+IFERROR(I136,0)+T136+IFERROR(V136,0),0)</f>
        <v/>
      </c>
    </row>
    <row r="137" ht="15" customHeight="1" s="199">
      <c r="A137" s="104" t="n"/>
      <c r="B137" s="104" t="n"/>
      <c r="C137" s="104" t="n"/>
      <c r="D137" s="105" t="n"/>
      <c r="E137" s="105" t="n"/>
      <c r="F137" s="105" t="n"/>
      <c r="G137" s="106" t="n"/>
      <c r="H137" s="106" t="n"/>
      <c r="I137" s="106" t="n"/>
      <c r="J137" s="107" t="n"/>
      <c r="K137" s="105" t="n"/>
      <c r="L137" s="106" t="n"/>
      <c r="M137" s="106" t="n"/>
      <c r="N137" s="106" t="n"/>
      <c r="O137" s="106" t="n"/>
      <c r="P137" s="105" t="n"/>
      <c r="Q137" s="107" t="n"/>
      <c r="R137" s="105" t="n"/>
      <c r="S137" s="107" t="n"/>
      <c r="T137" s="108">
        <f>IFERROR(L137+M137+N137+O137+IFERROR(AC137,0)+IFERROR(AD137,0)+IFERROR(AE137,0)+IFERROR(AF137,0)+IFERROR(AG137,0),0)</f>
        <v/>
      </c>
      <c r="U137" s="108">
        <f>IFERROR(H137+IFERROR(I137,0)+T137+IFERROR(V137,0),0)</f>
        <v/>
      </c>
    </row>
    <row r="138" ht="15" customHeight="1" s="199">
      <c r="A138" s="104" t="n"/>
      <c r="B138" s="104" t="n"/>
      <c r="C138" s="104" t="n"/>
      <c r="D138" s="105" t="n"/>
      <c r="E138" s="105" t="n"/>
      <c r="F138" s="105" t="n"/>
      <c r="G138" s="106" t="n"/>
      <c r="H138" s="106" t="n"/>
      <c r="I138" s="106" t="n"/>
      <c r="J138" s="107" t="n"/>
      <c r="K138" s="105" t="n"/>
      <c r="L138" s="106" t="n"/>
      <c r="M138" s="106" t="n"/>
      <c r="N138" s="106" t="n"/>
      <c r="O138" s="106" t="n"/>
      <c r="P138" s="105" t="n"/>
      <c r="Q138" s="107" t="n"/>
      <c r="R138" s="105" t="n"/>
      <c r="S138" s="107" t="n"/>
      <c r="T138" s="108">
        <f>IFERROR(L138+M138+N138+O138+IFERROR(AC138,0)+IFERROR(AD138,0)+IFERROR(AE138,0)+IFERROR(AF138,0)+IFERROR(AG138,0),0)</f>
        <v/>
      </c>
      <c r="U138" s="108">
        <f>IFERROR(H138+IFERROR(I138,0)+T138+IFERROR(V138,0),0)</f>
        <v/>
      </c>
    </row>
    <row r="139" ht="15" customHeight="1" s="199">
      <c r="A139" s="104" t="n"/>
      <c r="B139" s="104" t="n"/>
      <c r="C139" s="104" t="n"/>
      <c r="D139" s="105" t="n"/>
      <c r="E139" s="105" t="n"/>
      <c r="F139" s="105" t="n"/>
      <c r="G139" s="106" t="n"/>
      <c r="H139" s="106" t="n"/>
      <c r="I139" s="106" t="n"/>
      <c r="J139" s="107" t="n"/>
      <c r="K139" s="105" t="n"/>
      <c r="L139" s="106" t="n"/>
      <c r="M139" s="106" t="n"/>
      <c r="N139" s="106" t="n"/>
      <c r="O139" s="106" t="n"/>
      <c r="P139" s="105" t="n"/>
      <c r="Q139" s="107" t="n"/>
      <c r="R139" s="105" t="n"/>
      <c r="S139" s="107" t="n"/>
      <c r="T139" s="108">
        <f>IFERROR(L139+M139+N139+O139+IFERROR(AC139,0)+IFERROR(AD139,0)+IFERROR(AE139,0)+IFERROR(AF139,0)+IFERROR(AG139,0),0)</f>
        <v/>
      </c>
      <c r="U139" s="108">
        <f>IFERROR(H139+IFERROR(I139,0)+T139+IFERROR(V139,0),0)</f>
        <v/>
      </c>
    </row>
    <row r="140" ht="15" customHeight="1" s="199">
      <c r="A140" s="104" t="n"/>
      <c r="B140" s="104" t="n"/>
      <c r="C140" s="104" t="n"/>
      <c r="D140" s="105" t="n"/>
      <c r="E140" s="105" t="n"/>
      <c r="F140" s="105" t="n"/>
      <c r="G140" s="106" t="n"/>
      <c r="H140" s="106" t="n"/>
      <c r="I140" s="106" t="n"/>
      <c r="J140" s="107" t="n"/>
      <c r="K140" s="105" t="n"/>
      <c r="L140" s="106" t="n"/>
      <c r="M140" s="106" t="n"/>
      <c r="N140" s="106" t="n"/>
      <c r="O140" s="106" t="n"/>
      <c r="P140" s="105" t="n"/>
      <c r="Q140" s="107" t="n"/>
      <c r="R140" s="105" t="n"/>
      <c r="S140" s="107" t="n"/>
      <c r="T140" s="108">
        <f>IFERROR(L140+M140+N140+O140+IFERROR(AC140,0)+IFERROR(AD140,0)+IFERROR(AE140,0)+IFERROR(AF140,0)+IFERROR(AG140,0),0)</f>
        <v/>
      </c>
      <c r="U140" s="108">
        <f>IFERROR(H140+IFERROR(I140,0)+T140+IFERROR(V140,0),0)</f>
        <v/>
      </c>
    </row>
    <row r="141" ht="15" customHeight="1" s="199">
      <c r="A141" s="104" t="n"/>
      <c r="B141" s="104" t="n"/>
      <c r="C141" s="104" t="n"/>
      <c r="D141" s="105" t="n"/>
      <c r="E141" s="105" t="n"/>
      <c r="F141" s="105" t="n"/>
      <c r="G141" s="106" t="n"/>
      <c r="H141" s="106" t="n"/>
      <c r="I141" s="106" t="n"/>
      <c r="J141" s="107" t="n"/>
      <c r="K141" s="105" t="n"/>
      <c r="L141" s="106" t="n"/>
      <c r="M141" s="106" t="n"/>
      <c r="N141" s="106" t="n"/>
      <c r="O141" s="106" t="n"/>
      <c r="P141" s="105" t="n"/>
      <c r="Q141" s="107" t="n"/>
      <c r="R141" s="105" t="n"/>
      <c r="S141" s="107" t="n"/>
      <c r="T141" s="108">
        <f>IFERROR(L141+M141+N141+O141+IFERROR(AC141,0)+IFERROR(AD141,0)+IFERROR(AE141,0)+IFERROR(AF141,0)+IFERROR(AG141,0),0)</f>
        <v/>
      </c>
      <c r="U141" s="108">
        <f>IFERROR(H141+IFERROR(I141,0)+T141+IFERROR(V141,0),0)</f>
        <v/>
      </c>
    </row>
    <row r="142" ht="15" customHeight="1" s="199">
      <c r="A142" s="104" t="n"/>
      <c r="B142" s="104" t="n"/>
      <c r="C142" s="104" t="n"/>
      <c r="D142" s="105" t="n"/>
      <c r="E142" s="105" t="n"/>
      <c r="F142" s="105" t="n"/>
      <c r="G142" s="106" t="n"/>
      <c r="H142" s="106" t="n"/>
      <c r="I142" s="106" t="n"/>
      <c r="J142" s="107" t="n"/>
      <c r="K142" s="105" t="n"/>
      <c r="L142" s="106" t="n"/>
      <c r="M142" s="106" t="n"/>
      <c r="N142" s="106" t="n"/>
      <c r="O142" s="106" t="n"/>
      <c r="P142" s="105" t="n"/>
      <c r="Q142" s="107" t="n"/>
      <c r="R142" s="105" t="n"/>
      <c r="S142" s="107" t="n"/>
      <c r="T142" s="108">
        <f>IFERROR(L142+M142+N142+O142+IFERROR(AC142,0)+IFERROR(AD142,0)+IFERROR(AE142,0)+IFERROR(AF142,0)+IFERROR(AG142,0),0)</f>
        <v/>
      </c>
      <c r="U142" s="108">
        <f>IFERROR(H142+IFERROR(I142,0)+T142+IFERROR(V142,0),0)</f>
        <v/>
      </c>
    </row>
    <row r="143" ht="15" customHeight="1" s="199">
      <c r="A143" s="104" t="n"/>
      <c r="B143" s="104" t="n"/>
      <c r="C143" s="104" t="n"/>
      <c r="D143" s="105" t="n"/>
      <c r="E143" s="105" t="n"/>
      <c r="F143" s="105" t="n"/>
      <c r="G143" s="106" t="n"/>
      <c r="H143" s="106" t="n"/>
      <c r="I143" s="106" t="n"/>
      <c r="J143" s="107" t="n"/>
      <c r="K143" s="105" t="n"/>
      <c r="L143" s="106" t="n"/>
      <c r="M143" s="106" t="n"/>
      <c r="N143" s="106" t="n"/>
      <c r="O143" s="106" t="n"/>
      <c r="P143" s="105" t="n"/>
      <c r="Q143" s="107" t="n"/>
      <c r="R143" s="105" t="n"/>
      <c r="S143" s="107" t="n"/>
      <c r="T143" s="108">
        <f>IFERROR(L143+M143+N143+O143+IFERROR(AC143,0)+IFERROR(AD143,0)+IFERROR(AE143,0)+IFERROR(AF143,0)+IFERROR(AG143,0),0)</f>
        <v/>
      </c>
      <c r="U143" s="108">
        <f>IFERROR(H143+IFERROR(I143,0)+T143+IFERROR(V143,0),0)</f>
        <v/>
      </c>
    </row>
    <row r="144" ht="15" customHeight="1" s="199">
      <c r="A144" s="104" t="n"/>
      <c r="B144" s="104" t="n"/>
      <c r="C144" s="104" t="n"/>
      <c r="D144" s="105" t="n"/>
      <c r="E144" s="105" t="n"/>
      <c r="F144" s="105" t="n"/>
      <c r="G144" s="106" t="n"/>
      <c r="H144" s="106" t="n"/>
      <c r="I144" s="106" t="n"/>
      <c r="J144" s="107" t="n"/>
      <c r="K144" s="105" t="n"/>
      <c r="L144" s="106" t="n"/>
      <c r="M144" s="106" t="n"/>
      <c r="N144" s="106" t="n"/>
      <c r="O144" s="106" t="n"/>
      <c r="P144" s="105" t="n"/>
      <c r="Q144" s="107" t="n"/>
      <c r="R144" s="105" t="n"/>
      <c r="S144" s="107" t="n"/>
      <c r="T144" s="108">
        <f>IFERROR(L144+M144+N144+O144+IFERROR(AC144,0)+IFERROR(AD144,0)+IFERROR(AE144,0)+IFERROR(AF144,0)+IFERROR(AG144,0),0)</f>
        <v/>
      </c>
      <c r="U144" s="108">
        <f>IFERROR(H144+IFERROR(I144,0)+T144+IFERROR(V144,0),0)</f>
        <v/>
      </c>
    </row>
    <row r="145" ht="15" customHeight="1" s="199">
      <c r="A145" s="104" t="n"/>
      <c r="B145" s="104" t="n"/>
      <c r="C145" s="104" t="n"/>
      <c r="D145" s="105" t="n"/>
      <c r="E145" s="105" t="n"/>
      <c r="F145" s="105" t="n"/>
      <c r="G145" s="106" t="n"/>
      <c r="H145" s="106" t="n"/>
      <c r="I145" s="106" t="n"/>
      <c r="J145" s="107" t="n"/>
      <c r="K145" s="105" t="n"/>
      <c r="L145" s="106" t="n"/>
      <c r="M145" s="106" t="n"/>
      <c r="N145" s="106" t="n"/>
      <c r="O145" s="106" t="n"/>
      <c r="P145" s="105" t="n"/>
      <c r="Q145" s="107" t="n"/>
      <c r="R145" s="105" t="n"/>
      <c r="S145" s="107" t="n"/>
      <c r="T145" s="108">
        <f>IFERROR(L145+M145+N145+O145+IFERROR(AC145,0)+IFERROR(AD145,0)+IFERROR(AE145,0)+IFERROR(AF145,0)+IFERROR(AG145,0),0)</f>
        <v/>
      </c>
      <c r="U145" s="108">
        <f>IFERROR(H145+IFERROR(I145,0)+T145+IFERROR(V145,0),0)</f>
        <v/>
      </c>
    </row>
    <row r="146" ht="15" customHeight="1" s="199">
      <c r="A146" s="104" t="n"/>
      <c r="B146" s="104" t="n"/>
      <c r="C146" s="104" t="n"/>
      <c r="D146" s="105" t="n"/>
      <c r="E146" s="105" t="n"/>
      <c r="F146" s="105" t="n"/>
      <c r="G146" s="106" t="n"/>
      <c r="H146" s="106" t="n"/>
      <c r="I146" s="106" t="n"/>
      <c r="J146" s="107" t="n"/>
      <c r="K146" s="105" t="n"/>
      <c r="L146" s="106" t="n"/>
      <c r="M146" s="106" t="n"/>
      <c r="N146" s="106" t="n"/>
      <c r="O146" s="106" t="n"/>
      <c r="P146" s="105" t="n"/>
      <c r="Q146" s="107" t="n"/>
      <c r="R146" s="105" t="n"/>
      <c r="S146" s="107" t="n"/>
      <c r="T146" s="108">
        <f>IFERROR(L146+M146+N146+O146+IFERROR(AC146,0)+IFERROR(AD146,0)+IFERROR(AE146,0)+IFERROR(AF146,0)+IFERROR(AG146,0),0)</f>
        <v/>
      </c>
      <c r="U146" s="108">
        <f>IFERROR(H146+IFERROR(I146,0)+T146+IFERROR(V146,0),0)</f>
        <v/>
      </c>
    </row>
    <row r="147" ht="15" customHeight="1" s="199">
      <c r="A147" s="104" t="n"/>
      <c r="B147" s="104" t="n"/>
      <c r="C147" s="104" t="n"/>
      <c r="D147" s="105" t="n"/>
      <c r="E147" s="105" t="n"/>
      <c r="F147" s="105" t="n"/>
      <c r="G147" s="106" t="n"/>
      <c r="H147" s="106" t="n"/>
      <c r="I147" s="106" t="n"/>
      <c r="J147" s="107" t="n"/>
      <c r="K147" s="105" t="n"/>
      <c r="L147" s="106" t="n"/>
      <c r="M147" s="106" t="n"/>
      <c r="N147" s="106" t="n"/>
      <c r="O147" s="106" t="n"/>
      <c r="P147" s="105" t="n"/>
      <c r="Q147" s="107" t="n"/>
      <c r="R147" s="105" t="n"/>
      <c r="S147" s="107" t="n"/>
      <c r="T147" s="108">
        <f>IFERROR(L147+M147+N147+O147+IFERROR(AC147,0)+IFERROR(AD147,0)+IFERROR(AE147,0)+IFERROR(AF147,0)+IFERROR(AG147,0),0)</f>
        <v/>
      </c>
      <c r="U147" s="108">
        <f>IFERROR(H147+IFERROR(I147,0)+T147+IFERROR(V147,0),0)</f>
        <v/>
      </c>
    </row>
    <row r="148" ht="15" customHeight="1" s="199">
      <c r="A148" s="104" t="n"/>
      <c r="B148" s="104" t="n"/>
      <c r="C148" s="104" t="n"/>
      <c r="D148" s="105" t="n"/>
      <c r="E148" s="105" t="n"/>
      <c r="F148" s="105" t="n"/>
      <c r="G148" s="106" t="n"/>
      <c r="H148" s="106" t="n"/>
      <c r="I148" s="106" t="n"/>
      <c r="J148" s="107" t="n"/>
      <c r="K148" s="105" t="n"/>
      <c r="L148" s="106" t="n"/>
      <c r="M148" s="106" t="n"/>
      <c r="N148" s="106" t="n"/>
      <c r="O148" s="106" t="n"/>
      <c r="P148" s="105" t="n"/>
      <c r="Q148" s="107" t="n"/>
      <c r="R148" s="105" t="n"/>
      <c r="S148" s="107" t="n"/>
      <c r="T148" s="108">
        <f>IFERROR(L148+M148+N148+O148+IFERROR(AC148,0)+IFERROR(AD148,0)+IFERROR(AE148,0)+IFERROR(AF148,0)+IFERROR(AG148,0),0)</f>
        <v/>
      </c>
      <c r="U148" s="108">
        <f>IFERROR(H148+IFERROR(I148,0)+T148+IFERROR(V148,0),0)</f>
        <v/>
      </c>
    </row>
    <row r="149" ht="15" customHeight="1" s="199">
      <c r="A149" s="104" t="n"/>
      <c r="B149" s="104" t="n"/>
      <c r="C149" s="104" t="n"/>
      <c r="D149" s="105" t="n"/>
      <c r="E149" s="105" t="n"/>
      <c r="F149" s="105" t="n"/>
      <c r="G149" s="106" t="n"/>
      <c r="H149" s="106" t="n"/>
      <c r="I149" s="106" t="n"/>
      <c r="J149" s="107" t="n"/>
      <c r="K149" s="105" t="n"/>
      <c r="L149" s="106" t="n"/>
      <c r="M149" s="106" t="n"/>
      <c r="N149" s="106" t="n"/>
      <c r="O149" s="106" t="n"/>
      <c r="P149" s="105" t="n"/>
      <c r="Q149" s="107" t="n"/>
      <c r="R149" s="105" t="n"/>
      <c r="S149" s="107" t="n"/>
      <c r="T149" s="108">
        <f>IFERROR(L149+M149+N149+O149+IFERROR(AC149,0)+IFERROR(AD149,0)+IFERROR(AE149,0)+IFERROR(AF149,0)+IFERROR(AG149,0),0)</f>
        <v/>
      </c>
      <c r="U149" s="108">
        <f>IFERROR(H149+IFERROR(I149,0)+T149+IFERROR(V149,0),0)</f>
        <v/>
      </c>
    </row>
    <row r="150" ht="15" customHeight="1" s="199">
      <c r="A150" s="104" t="n"/>
      <c r="B150" s="104" t="n"/>
      <c r="C150" s="104" t="n"/>
      <c r="D150" s="105" t="n"/>
      <c r="E150" s="105" t="n"/>
      <c r="F150" s="105" t="n"/>
      <c r="G150" s="106" t="n"/>
      <c r="H150" s="106" t="n"/>
      <c r="I150" s="106" t="n"/>
      <c r="J150" s="107" t="n"/>
      <c r="K150" s="105" t="n"/>
      <c r="L150" s="106" t="n"/>
      <c r="M150" s="106" t="n"/>
      <c r="N150" s="106" t="n"/>
      <c r="O150" s="106" t="n"/>
      <c r="P150" s="105" t="n"/>
      <c r="Q150" s="107" t="n"/>
      <c r="R150" s="105" t="n"/>
      <c r="S150" s="107" t="n"/>
      <c r="T150" s="108">
        <f>IFERROR(L150+M150+N150+O150+IFERROR(AC150,0)+IFERROR(AD150,0)+IFERROR(AE150,0)+IFERROR(AF150,0)+IFERROR(AG150,0),0)</f>
        <v/>
      </c>
      <c r="U150" s="108">
        <f>IFERROR(H150+IFERROR(I150,0)+T150+IFERROR(V150,0),0)</f>
        <v/>
      </c>
    </row>
    <row r="151" ht="15" customHeight="1" s="199">
      <c r="A151" s="104" t="n"/>
      <c r="B151" s="104" t="n"/>
      <c r="C151" s="104" t="n"/>
      <c r="D151" s="105" t="n"/>
      <c r="E151" s="105" t="n"/>
      <c r="F151" s="105" t="n"/>
      <c r="G151" s="106" t="n"/>
      <c r="H151" s="106" t="n"/>
      <c r="I151" s="106" t="n"/>
      <c r="J151" s="107" t="n"/>
      <c r="K151" s="105" t="n"/>
      <c r="L151" s="106" t="n"/>
      <c r="M151" s="106" t="n"/>
      <c r="N151" s="106" t="n"/>
      <c r="O151" s="106" t="n"/>
      <c r="P151" s="105" t="n"/>
      <c r="Q151" s="107" t="n"/>
      <c r="R151" s="105" t="n"/>
      <c r="S151" s="107" t="n"/>
      <c r="T151" s="108">
        <f>IFERROR(L151+M151+N151+O151+IFERROR(AC151,0)+IFERROR(AD151,0)+IFERROR(AE151,0)+IFERROR(AF151,0)+IFERROR(AG151,0),0)</f>
        <v/>
      </c>
      <c r="U151" s="108">
        <f>IFERROR(H151+IFERROR(I151,0)+T151+IFERROR(V151,0),0)</f>
        <v/>
      </c>
    </row>
    <row r="152" ht="15" customHeight="1" s="199">
      <c r="A152" s="104" t="n"/>
      <c r="B152" s="104" t="n"/>
      <c r="C152" s="104" t="n"/>
      <c r="D152" s="105" t="n"/>
      <c r="E152" s="105" t="n"/>
      <c r="F152" s="105" t="n"/>
      <c r="G152" s="106" t="n"/>
      <c r="H152" s="106" t="n"/>
      <c r="I152" s="106" t="n"/>
      <c r="J152" s="107" t="n"/>
      <c r="K152" s="105" t="n"/>
      <c r="L152" s="106" t="n"/>
      <c r="M152" s="106" t="n"/>
      <c r="N152" s="106" t="n"/>
      <c r="O152" s="106" t="n"/>
      <c r="P152" s="105" t="n"/>
      <c r="Q152" s="107" t="n"/>
      <c r="R152" s="105" t="n"/>
      <c r="S152" s="107" t="n"/>
      <c r="T152" s="108">
        <f>IFERROR(L152+M152+N152+O152+IFERROR(AC152,0)+IFERROR(AD152,0)+IFERROR(AE152,0)+IFERROR(AF152,0)+IFERROR(AG152,0),0)</f>
        <v/>
      </c>
      <c r="U152" s="108">
        <f>IFERROR(H152+IFERROR(I152,0)+T152+IFERROR(V152,0),0)</f>
        <v/>
      </c>
    </row>
    <row r="153" ht="15" customHeight="1" s="199">
      <c r="A153" s="104" t="n"/>
      <c r="B153" s="104" t="n"/>
      <c r="C153" s="104" t="n"/>
      <c r="D153" s="105" t="n"/>
      <c r="E153" s="105" t="n"/>
      <c r="F153" s="105" t="n"/>
      <c r="G153" s="106" t="n"/>
      <c r="H153" s="106" t="n"/>
      <c r="I153" s="106" t="n"/>
      <c r="J153" s="107" t="n"/>
      <c r="K153" s="105" t="n"/>
      <c r="L153" s="106" t="n"/>
      <c r="M153" s="106" t="n"/>
      <c r="N153" s="106" t="n"/>
      <c r="O153" s="106" t="n"/>
      <c r="P153" s="105" t="n"/>
      <c r="Q153" s="107" t="n"/>
      <c r="R153" s="105" t="n"/>
      <c r="S153" s="107" t="n"/>
      <c r="T153" s="108">
        <f>IFERROR(L153+M153+N153+O153+IFERROR(AC153,0)+IFERROR(AD153,0)+IFERROR(AE153,0)+IFERROR(AF153,0)+IFERROR(AG153,0),0)</f>
        <v/>
      </c>
      <c r="U153" s="108">
        <f>IFERROR(H153+IFERROR(I153,0)+T153+IFERROR(V153,0),0)</f>
        <v/>
      </c>
    </row>
    <row r="154" ht="15" customHeight="1" s="199">
      <c r="A154" s="104" t="n"/>
      <c r="B154" s="104" t="n"/>
      <c r="C154" s="104" t="n"/>
      <c r="D154" s="105" t="n"/>
      <c r="E154" s="105" t="n"/>
      <c r="F154" s="105" t="n"/>
      <c r="G154" s="106" t="n"/>
      <c r="H154" s="106" t="n"/>
      <c r="I154" s="106" t="n"/>
      <c r="J154" s="107" t="n"/>
      <c r="K154" s="105" t="n"/>
      <c r="L154" s="106" t="n"/>
      <c r="M154" s="106" t="n"/>
      <c r="N154" s="106" t="n"/>
      <c r="O154" s="106" t="n"/>
      <c r="P154" s="105" t="n"/>
      <c r="Q154" s="107" t="n"/>
      <c r="R154" s="105" t="n"/>
      <c r="S154" s="107" t="n"/>
      <c r="T154" s="108">
        <f>IFERROR(L154+M154+N154+O154+IFERROR(AC154,0)+IFERROR(AD154,0)+IFERROR(AE154,0)+IFERROR(AF154,0)+IFERROR(AG154,0),0)</f>
        <v/>
      </c>
      <c r="U154" s="108">
        <f>IFERROR(H154+IFERROR(I154,0)+T154+IFERROR(V154,0),0)</f>
        <v/>
      </c>
    </row>
    <row r="155" ht="15" customHeight="1" s="199">
      <c r="A155" s="104" t="n"/>
      <c r="B155" s="104" t="n"/>
      <c r="C155" s="104" t="n"/>
      <c r="D155" s="105" t="n"/>
      <c r="E155" s="105" t="n"/>
      <c r="F155" s="105" t="n"/>
      <c r="G155" s="106" t="n"/>
      <c r="H155" s="106" t="n"/>
      <c r="I155" s="106" t="n"/>
      <c r="J155" s="107" t="n"/>
      <c r="K155" s="105" t="n"/>
      <c r="L155" s="106" t="n"/>
      <c r="M155" s="106" t="n"/>
      <c r="N155" s="106" t="n"/>
      <c r="O155" s="106" t="n"/>
      <c r="P155" s="105" t="n"/>
      <c r="Q155" s="107" t="n"/>
      <c r="R155" s="105" t="n"/>
      <c r="S155" s="107" t="n"/>
      <c r="T155" s="108">
        <f>IFERROR(L155+M155+N155+O155+IFERROR(AC155,0)+IFERROR(AD155,0)+IFERROR(AE155,0)+IFERROR(AF155,0)+IFERROR(AG155,0),0)</f>
        <v/>
      </c>
      <c r="U155" s="108">
        <f>IFERROR(H155+IFERROR(I155,0)+T155+IFERROR(V155,0),0)</f>
        <v/>
      </c>
    </row>
    <row r="156" ht="15" customHeight="1" s="199">
      <c r="A156" s="104" t="n"/>
      <c r="B156" s="104" t="n"/>
      <c r="C156" s="104" t="n"/>
      <c r="D156" s="105" t="n"/>
      <c r="E156" s="105" t="n"/>
      <c r="F156" s="105" t="n"/>
      <c r="G156" s="106" t="n"/>
      <c r="H156" s="106" t="n"/>
      <c r="I156" s="106" t="n"/>
      <c r="J156" s="107" t="n"/>
      <c r="K156" s="105" t="n"/>
      <c r="L156" s="106" t="n"/>
      <c r="M156" s="106" t="n"/>
      <c r="N156" s="106" t="n"/>
      <c r="O156" s="106" t="n"/>
      <c r="P156" s="105" t="n"/>
      <c r="Q156" s="107" t="n"/>
      <c r="R156" s="105" t="n"/>
      <c r="S156" s="107" t="n"/>
      <c r="T156" s="108">
        <f>IFERROR(L156+M156+N156+O156+IFERROR(AC156,0)+IFERROR(AD156,0)+IFERROR(AE156,0)+IFERROR(AF156,0)+IFERROR(AG156,0),0)</f>
        <v/>
      </c>
      <c r="U156" s="108">
        <f>IFERROR(H156+IFERROR(I156,0)+T156+IFERROR(V156,0),0)</f>
        <v/>
      </c>
    </row>
    <row r="157" ht="15" customHeight="1" s="199">
      <c r="A157" s="104" t="n"/>
      <c r="B157" s="104" t="n"/>
      <c r="C157" s="104" t="n"/>
      <c r="D157" s="105" t="n"/>
      <c r="E157" s="105" t="n"/>
      <c r="F157" s="105" t="n"/>
      <c r="G157" s="106" t="n"/>
      <c r="H157" s="106" t="n"/>
      <c r="I157" s="106" t="n"/>
      <c r="J157" s="107" t="n"/>
      <c r="K157" s="105" t="n"/>
      <c r="L157" s="106" t="n"/>
      <c r="M157" s="106" t="n"/>
      <c r="N157" s="106" t="n"/>
      <c r="O157" s="106" t="n"/>
      <c r="P157" s="105" t="n"/>
      <c r="Q157" s="107" t="n"/>
      <c r="R157" s="105" t="n"/>
      <c r="S157" s="107" t="n"/>
      <c r="T157" s="108">
        <f>IFERROR(L157+M157+N157+O157+IFERROR(AC157,0)+IFERROR(AD157,0)+IFERROR(AE157,0)+IFERROR(AF157,0)+IFERROR(AG157,0),0)</f>
        <v/>
      </c>
      <c r="U157" s="108">
        <f>IFERROR(H157+IFERROR(I157,0)+T157+IFERROR(V157,0),0)</f>
        <v/>
      </c>
    </row>
    <row r="158" ht="15" customHeight="1" s="199">
      <c r="A158" s="104" t="n"/>
      <c r="B158" s="104" t="n"/>
      <c r="C158" s="104" t="n"/>
      <c r="D158" s="105" t="n"/>
      <c r="E158" s="105" t="n"/>
      <c r="F158" s="105" t="n"/>
      <c r="G158" s="106" t="n"/>
      <c r="H158" s="106" t="n"/>
      <c r="I158" s="106" t="n"/>
      <c r="J158" s="107" t="n"/>
      <c r="K158" s="105" t="n"/>
      <c r="L158" s="106" t="n"/>
      <c r="M158" s="106" t="n"/>
      <c r="N158" s="106" t="n"/>
      <c r="O158" s="106" t="n"/>
      <c r="P158" s="105" t="n"/>
      <c r="Q158" s="107" t="n"/>
      <c r="R158" s="105" t="n"/>
      <c r="S158" s="107" t="n"/>
      <c r="T158" s="108">
        <f>IFERROR(L158+M158+N158+O158+IFERROR(AC158,0)+IFERROR(AD158,0)+IFERROR(AE158,0)+IFERROR(AF158,0)+IFERROR(AG158,0),0)</f>
        <v/>
      </c>
      <c r="U158" s="108">
        <f>IFERROR(H158+IFERROR(I158,0)+T158+IFERROR(V158,0),0)</f>
        <v/>
      </c>
    </row>
    <row r="159" ht="15" customHeight="1" s="199">
      <c r="A159" s="104" t="n"/>
      <c r="B159" s="104" t="n"/>
      <c r="C159" s="104" t="n"/>
      <c r="D159" s="105" t="n"/>
      <c r="E159" s="105" t="n"/>
      <c r="F159" s="105" t="n"/>
      <c r="G159" s="106" t="n"/>
      <c r="H159" s="106" t="n"/>
      <c r="I159" s="106" t="n"/>
      <c r="J159" s="107" t="n"/>
      <c r="K159" s="105" t="n"/>
      <c r="L159" s="106" t="n"/>
      <c r="M159" s="106" t="n"/>
      <c r="N159" s="106" t="n"/>
      <c r="O159" s="106" t="n"/>
      <c r="P159" s="105" t="n"/>
      <c r="Q159" s="107" t="n"/>
      <c r="R159" s="105" t="n"/>
      <c r="S159" s="107" t="n"/>
      <c r="T159" s="108">
        <f>IFERROR(L159+M159+N159+O159+IFERROR(AC159,0)+IFERROR(AD159,0)+IFERROR(AE159,0)+IFERROR(AF159,0)+IFERROR(AG159,0),0)</f>
        <v/>
      </c>
      <c r="U159" s="108">
        <f>IFERROR(H159+IFERROR(I159,0)+T159+IFERROR(V159,0),0)</f>
        <v/>
      </c>
    </row>
    <row r="160" ht="15" customHeight="1" s="199">
      <c r="A160" s="104" t="n"/>
      <c r="B160" s="104" t="n"/>
      <c r="C160" s="104" t="n"/>
      <c r="D160" s="105" t="n"/>
      <c r="E160" s="105" t="n"/>
      <c r="F160" s="105" t="n"/>
      <c r="G160" s="106" t="n"/>
      <c r="H160" s="106" t="n"/>
      <c r="I160" s="106" t="n"/>
      <c r="J160" s="107" t="n"/>
      <c r="K160" s="105" t="n"/>
      <c r="L160" s="106" t="n"/>
      <c r="M160" s="106" t="n"/>
      <c r="N160" s="106" t="n"/>
      <c r="O160" s="106" t="n"/>
      <c r="P160" s="105" t="n"/>
      <c r="Q160" s="107" t="n"/>
      <c r="R160" s="105" t="n"/>
      <c r="S160" s="107" t="n"/>
      <c r="T160" s="108">
        <f>IFERROR(L160+M160+N160+O160+IFERROR(AC160,0)+IFERROR(AD160,0)+IFERROR(AE160,0)+IFERROR(AF160,0)+IFERROR(AG160,0),0)</f>
        <v/>
      </c>
      <c r="U160" s="108">
        <f>IFERROR(H160+IFERROR(I160,0)+T160+IFERROR(V160,0),0)</f>
        <v/>
      </c>
    </row>
    <row r="161" ht="15" customHeight="1" s="199">
      <c r="A161" s="104" t="n"/>
      <c r="B161" s="104" t="n"/>
      <c r="C161" s="104" t="n"/>
      <c r="D161" s="105" t="n"/>
      <c r="E161" s="105" t="n"/>
      <c r="F161" s="105" t="n"/>
      <c r="G161" s="106" t="n"/>
      <c r="H161" s="106" t="n"/>
      <c r="I161" s="106" t="n"/>
      <c r="J161" s="107" t="n"/>
      <c r="K161" s="105" t="n"/>
      <c r="L161" s="106" t="n"/>
      <c r="M161" s="106" t="n"/>
      <c r="N161" s="106" t="n"/>
      <c r="O161" s="106" t="n"/>
      <c r="P161" s="105" t="n"/>
      <c r="Q161" s="107" t="n"/>
      <c r="R161" s="105" t="n"/>
      <c r="S161" s="107" t="n"/>
      <c r="T161" s="108">
        <f>IFERROR(L161+M161+N161+O161+IFERROR(AC161,0)+IFERROR(AD161,0)+IFERROR(AE161,0)+IFERROR(AF161,0)+IFERROR(AG161,0),0)</f>
        <v/>
      </c>
      <c r="U161" s="108">
        <f>IFERROR(H161+IFERROR(I161,0)+T161+IFERROR(V161,0),0)</f>
        <v/>
      </c>
    </row>
    <row r="162" ht="15" customHeight="1" s="199">
      <c r="A162" s="104" t="n"/>
      <c r="B162" s="104" t="n"/>
      <c r="C162" s="104" t="n"/>
      <c r="D162" s="105" t="n"/>
      <c r="E162" s="105" t="n"/>
      <c r="F162" s="105" t="n"/>
      <c r="G162" s="106" t="n"/>
      <c r="H162" s="106" t="n"/>
      <c r="I162" s="106" t="n"/>
      <c r="J162" s="107" t="n"/>
      <c r="K162" s="105" t="n"/>
      <c r="L162" s="106" t="n"/>
      <c r="M162" s="106" t="n"/>
      <c r="N162" s="106" t="n"/>
      <c r="O162" s="106" t="n"/>
      <c r="P162" s="105" t="n"/>
      <c r="Q162" s="107" t="n"/>
      <c r="R162" s="105" t="n"/>
      <c r="S162" s="107" t="n"/>
      <c r="T162" s="108">
        <f>IFERROR(L162+M162+N162+O162+IFERROR(AC162,0)+IFERROR(AD162,0)+IFERROR(AE162,0)+IFERROR(AF162,0)+IFERROR(AG162,0),0)</f>
        <v/>
      </c>
      <c r="U162" s="108">
        <f>IFERROR(H162+IFERROR(I162,0)+T162+IFERROR(V162,0),0)</f>
        <v/>
      </c>
    </row>
    <row r="163" ht="15" customHeight="1" s="199">
      <c r="A163" s="104" t="n"/>
      <c r="B163" s="104" t="n"/>
      <c r="C163" s="104" t="n"/>
      <c r="D163" s="105" t="n"/>
      <c r="E163" s="105" t="n"/>
      <c r="F163" s="105" t="n"/>
      <c r="G163" s="106" t="n"/>
      <c r="H163" s="106" t="n"/>
      <c r="I163" s="106" t="n"/>
      <c r="J163" s="107" t="n"/>
      <c r="K163" s="105" t="n"/>
      <c r="L163" s="106" t="n"/>
      <c r="M163" s="106" t="n"/>
      <c r="N163" s="106" t="n"/>
      <c r="O163" s="106" t="n"/>
      <c r="P163" s="105" t="n"/>
      <c r="Q163" s="107" t="n"/>
      <c r="R163" s="105" t="n"/>
      <c r="S163" s="107" t="n"/>
      <c r="T163" s="108">
        <f>IFERROR(L163+M163+N163+O163+IFERROR(AC163,0)+IFERROR(AD163,0)+IFERROR(AE163,0)+IFERROR(AF163,0)+IFERROR(AG163,0),0)</f>
        <v/>
      </c>
      <c r="U163" s="108">
        <f>IFERROR(H163+IFERROR(I163,0)+T163+IFERROR(V163,0),0)</f>
        <v/>
      </c>
    </row>
    <row r="164" ht="15" customHeight="1" s="199">
      <c r="A164" s="104" t="n"/>
      <c r="B164" s="104" t="n"/>
      <c r="C164" s="104" t="n"/>
      <c r="D164" s="105" t="n"/>
      <c r="E164" s="105" t="n"/>
      <c r="F164" s="105" t="n"/>
      <c r="G164" s="106" t="n"/>
      <c r="H164" s="106" t="n"/>
      <c r="I164" s="106" t="n"/>
      <c r="J164" s="107" t="n"/>
      <c r="K164" s="105" t="n"/>
      <c r="L164" s="106" t="n"/>
      <c r="M164" s="106" t="n"/>
      <c r="N164" s="106" t="n"/>
      <c r="O164" s="106" t="n"/>
      <c r="P164" s="105" t="n"/>
      <c r="Q164" s="107" t="n"/>
      <c r="R164" s="105" t="n"/>
      <c r="S164" s="107" t="n"/>
      <c r="T164" s="108">
        <f>IFERROR(L164+M164+N164+O164+IFERROR(AC164,0)+IFERROR(AD164,0)+IFERROR(AE164,0)+IFERROR(AF164,0)+IFERROR(AG164,0),0)</f>
        <v/>
      </c>
      <c r="U164" s="108">
        <f>IFERROR(H164+IFERROR(I164,0)+T164+IFERROR(V164,0),0)</f>
        <v/>
      </c>
    </row>
    <row r="165" ht="15" customHeight="1" s="199">
      <c r="A165" s="104" t="n"/>
      <c r="B165" s="104" t="n"/>
      <c r="C165" s="104" t="n"/>
      <c r="D165" s="105" t="n"/>
      <c r="E165" s="105" t="n"/>
      <c r="F165" s="105" t="n"/>
      <c r="G165" s="106" t="n"/>
      <c r="H165" s="106" t="n"/>
      <c r="I165" s="106" t="n"/>
      <c r="J165" s="107" t="n"/>
      <c r="K165" s="105" t="n"/>
      <c r="L165" s="106" t="n"/>
      <c r="M165" s="106" t="n"/>
      <c r="N165" s="106" t="n"/>
      <c r="O165" s="106" t="n"/>
      <c r="P165" s="105" t="n"/>
      <c r="Q165" s="107" t="n"/>
      <c r="R165" s="105" t="n"/>
      <c r="S165" s="107" t="n"/>
      <c r="T165" s="108">
        <f>IFERROR(L165+M165+N165+O165+IFERROR(AC165,0)+IFERROR(AD165,0)+IFERROR(AE165,0)+IFERROR(AF165,0)+IFERROR(AG165,0),0)</f>
        <v/>
      </c>
      <c r="U165" s="108">
        <f>IFERROR(H165+IFERROR(I165,0)+T165+IFERROR(V165,0),0)</f>
        <v/>
      </c>
    </row>
    <row r="166" ht="15" customHeight="1" s="199">
      <c r="A166" s="104" t="n"/>
      <c r="B166" s="104" t="n"/>
      <c r="C166" s="104" t="n"/>
      <c r="D166" s="105" t="n"/>
      <c r="E166" s="105" t="n"/>
      <c r="F166" s="105" t="n"/>
      <c r="G166" s="106" t="n"/>
      <c r="H166" s="106" t="n"/>
      <c r="I166" s="106" t="n"/>
      <c r="J166" s="107" t="n"/>
      <c r="K166" s="105" t="n"/>
      <c r="L166" s="106" t="n"/>
      <c r="M166" s="106" t="n"/>
      <c r="N166" s="106" t="n"/>
      <c r="O166" s="106" t="n"/>
      <c r="P166" s="105" t="n"/>
      <c r="Q166" s="107" t="n"/>
      <c r="R166" s="105" t="n"/>
      <c r="S166" s="107" t="n"/>
      <c r="T166" s="108">
        <f>IFERROR(L166+M166+N166+O166+IFERROR(AC166,0)+IFERROR(AD166,0)+IFERROR(AE166,0)+IFERROR(AF166,0)+IFERROR(AG166,0),0)</f>
        <v/>
      </c>
      <c r="U166" s="108">
        <f>IFERROR(H166+IFERROR(I166,0)+T166+IFERROR(V166,0),0)</f>
        <v/>
      </c>
    </row>
    <row r="167" ht="15" customHeight="1" s="199">
      <c r="A167" s="104" t="n"/>
      <c r="B167" s="104" t="n"/>
      <c r="C167" s="104" t="n"/>
      <c r="D167" s="105" t="n"/>
      <c r="E167" s="105" t="n"/>
      <c r="F167" s="105" t="n"/>
      <c r="G167" s="106" t="n"/>
      <c r="H167" s="106" t="n"/>
      <c r="I167" s="106" t="n"/>
      <c r="J167" s="107" t="n"/>
      <c r="K167" s="105" t="n"/>
      <c r="L167" s="106" t="n"/>
      <c r="M167" s="106" t="n"/>
      <c r="N167" s="106" t="n"/>
      <c r="O167" s="106" t="n"/>
      <c r="P167" s="105" t="n"/>
      <c r="Q167" s="107" t="n"/>
      <c r="R167" s="105" t="n"/>
      <c r="S167" s="107" t="n"/>
      <c r="T167" s="108">
        <f>IFERROR(L167+M167+N167+O167+IFERROR(AC167,0)+IFERROR(AD167,0)+IFERROR(AE167,0)+IFERROR(AF167,0)+IFERROR(AG167,0),0)</f>
        <v/>
      </c>
      <c r="U167" s="108">
        <f>IFERROR(H167+IFERROR(I167,0)+T167+IFERROR(V167,0),0)</f>
        <v/>
      </c>
    </row>
    <row r="168" ht="15" customHeight="1" s="199">
      <c r="A168" s="104" t="n"/>
      <c r="B168" s="104" t="n"/>
      <c r="C168" s="104" t="n"/>
      <c r="D168" s="105" t="n"/>
      <c r="E168" s="105" t="n"/>
      <c r="F168" s="105" t="n"/>
      <c r="G168" s="106" t="n"/>
      <c r="H168" s="106" t="n"/>
      <c r="I168" s="106" t="n"/>
      <c r="J168" s="107" t="n"/>
      <c r="K168" s="105" t="n"/>
      <c r="L168" s="106" t="n"/>
      <c r="M168" s="106" t="n"/>
      <c r="N168" s="106" t="n"/>
      <c r="O168" s="106" t="n"/>
      <c r="P168" s="105" t="n"/>
      <c r="Q168" s="107" t="n"/>
      <c r="R168" s="105" t="n"/>
      <c r="S168" s="107" t="n"/>
      <c r="T168" s="108">
        <f>IFERROR(L168+M168+N168+O168+IFERROR(AC168,0)+IFERROR(AD168,0)+IFERROR(AE168,0)+IFERROR(AF168,0)+IFERROR(AG168,0),0)</f>
        <v/>
      </c>
      <c r="U168" s="108">
        <f>IFERROR(H168+IFERROR(I168,0)+T168+IFERROR(V168,0),0)</f>
        <v/>
      </c>
    </row>
    <row r="169" ht="15" customHeight="1" s="199">
      <c r="A169" s="104" t="n"/>
      <c r="B169" s="104" t="n"/>
      <c r="C169" s="104" t="n"/>
      <c r="D169" s="105" t="n"/>
      <c r="E169" s="105" t="n"/>
      <c r="F169" s="105" t="n"/>
      <c r="G169" s="106" t="n"/>
      <c r="H169" s="106" t="n"/>
      <c r="I169" s="106" t="n"/>
      <c r="J169" s="107" t="n"/>
      <c r="K169" s="105" t="n"/>
      <c r="L169" s="106" t="n"/>
      <c r="M169" s="106" t="n"/>
      <c r="N169" s="106" t="n"/>
      <c r="O169" s="106" t="n"/>
      <c r="P169" s="105" t="n"/>
      <c r="Q169" s="107" t="n"/>
      <c r="R169" s="105" t="n"/>
      <c r="S169" s="107" t="n"/>
      <c r="T169" s="108">
        <f>IFERROR(L169+M169+N169+O169+IFERROR(AC169,0)+IFERROR(AD169,0)+IFERROR(AE169,0)+IFERROR(AF169,0)+IFERROR(AG169,0),0)</f>
        <v/>
      </c>
      <c r="U169" s="108">
        <f>IFERROR(H169+IFERROR(I169,0)+T169+IFERROR(V169,0),0)</f>
        <v/>
      </c>
    </row>
    <row r="170" ht="15" customHeight="1" s="199">
      <c r="A170" s="104" t="n"/>
      <c r="B170" s="104" t="n"/>
      <c r="C170" s="104" t="n"/>
      <c r="D170" s="105" t="n"/>
      <c r="E170" s="105" t="n"/>
      <c r="F170" s="105" t="n"/>
      <c r="G170" s="106" t="n"/>
      <c r="H170" s="106" t="n"/>
      <c r="I170" s="106" t="n"/>
      <c r="J170" s="107" t="n"/>
      <c r="K170" s="105" t="n"/>
      <c r="L170" s="106" t="n"/>
      <c r="M170" s="106" t="n"/>
      <c r="N170" s="106" t="n"/>
      <c r="O170" s="106" t="n"/>
      <c r="P170" s="105" t="n"/>
      <c r="Q170" s="107" t="n"/>
      <c r="R170" s="105" t="n"/>
      <c r="S170" s="107" t="n"/>
      <c r="T170" s="108">
        <f>IFERROR(L170+M170+N170+O170+IFERROR(AC170,0)+IFERROR(AD170,0)+IFERROR(AE170,0)+IFERROR(AF170,0)+IFERROR(AG170,0),0)</f>
        <v/>
      </c>
      <c r="U170" s="108">
        <f>IFERROR(H170+IFERROR(I170,0)+T170+IFERROR(V170,0),0)</f>
        <v/>
      </c>
    </row>
    <row r="171" ht="15" customHeight="1" s="199">
      <c r="A171" s="104" t="n"/>
      <c r="B171" s="104" t="n"/>
      <c r="C171" s="104" t="n"/>
      <c r="D171" s="105" t="n"/>
      <c r="E171" s="105" t="n"/>
      <c r="F171" s="105" t="n"/>
      <c r="G171" s="106" t="n"/>
      <c r="H171" s="106" t="n"/>
      <c r="I171" s="106" t="n"/>
      <c r="J171" s="107" t="n"/>
      <c r="K171" s="105" t="n"/>
      <c r="L171" s="106" t="n"/>
      <c r="M171" s="106" t="n"/>
      <c r="N171" s="106" t="n"/>
      <c r="O171" s="106" t="n"/>
      <c r="P171" s="105" t="n"/>
      <c r="Q171" s="107" t="n"/>
      <c r="R171" s="105" t="n"/>
      <c r="S171" s="107" t="n"/>
      <c r="T171" s="108">
        <f>IFERROR(L171+M171+N171+O171+IFERROR(AC171,0)+IFERROR(AD171,0)+IFERROR(AE171,0)+IFERROR(AF171,0)+IFERROR(AG171,0),0)</f>
        <v/>
      </c>
      <c r="U171" s="108">
        <f>IFERROR(H171+IFERROR(I171,0)+T171+IFERROR(V171,0),0)</f>
        <v/>
      </c>
    </row>
    <row r="172" ht="15" customHeight="1" s="199">
      <c r="A172" s="104" t="n"/>
      <c r="B172" s="104" t="n"/>
      <c r="C172" s="104" t="n"/>
      <c r="D172" s="105" t="n"/>
      <c r="E172" s="105" t="n"/>
      <c r="F172" s="105" t="n"/>
      <c r="G172" s="106" t="n"/>
      <c r="H172" s="106" t="n"/>
      <c r="I172" s="106" t="n"/>
      <c r="J172" s="107" t="n"/>
      <c r="K172" s="105" t="n"/>
      <c r="L172" s="106" t="n"/>
      <c r="M172" s="106" t="n"/>
      <c r="N172" s="106" t="n"/>
      <c r="O172" s="106" t="n"/>
      <c r="P172" s="105" t="n"/>
      <c r="Q172" s="107" t="n"/>
      <c r="R172" s="105" t="n"/>
      <c r="S172" s="107" t="n"/>
      <c r="T172" s="108">
        <f>IFERROR(L172+M172+N172+O172+IFERROR(AC172,0)+IFERROR(AD172,0)+IFERROR(AE172,0)+IFERROR(AF172,0)+IFERROR(AG172,0),0)</f>
        <v/>
      </c>
      <c r="U172" s="108">
        <f>IFERROR(H172+IFERROR(I172,0)+T172+IFERROR(V172,0),0)</f>
        <v/>
      </c>
    </row>
    <row r="173" ht="15" customHeight="1" s="199">
      <c r="A173" s="104" t="n"/>
      <c r="B173" s="104" t="n"/>
      <c r="C173" s="104" t="n"/>
      <c r="D173" s="105" t="n"/>
      <c r="E173" s="105" t="n"/>
      <c r="F173" s="105" t="n"/>
      <c r="G173" s="106" t="n"/>
      <c r="H173" s="106" t="n"/>
      <c r="I173" s="106" t="n"/>
      <c r="J173" s="107" t="n"/>
      <c r="K173" s="105" t="n"/>
      <c r="L173" s="106" t="n"/>
      <c r="M173" s="106" t="n"/>
      <c r="N173" s="106" t="n"/>
      <c r="O173" s="106" t="n"/>
      <c r="P173" s="105" t="n"/>
      <c r="Q173" s="107" t="n"/>
      <c r="R173" s="105" t="n"/>
      <c r="S173" s="107" t="n"/>
      <c r="T173" s="108">
        <f>IFERROR(L173+M173+N173+O173+IFERROR(AC173,0)+IFERROR(AD173,0)+IFERROR(AE173,0)+IFERROR(AF173,0)+IFERROR(AG173,0),0)</f>
        <v/>
      </c>
      <c r="U173" s="108">
        <f>IFERROR(H173+IFERROR(I173,0)+T173+IFERROR(V173,0),0)</f>
        <v/>
      </c>
    </row>
    <row r="174" ht="15" customHeight="1" s="199">
      <c r="A174" s="104" t="n"/>
      <c r="B174" s="104" t="n"/>
      <c r="C174" s="104" t="n"/>
      <c r="D174" s="105" t="n"/>
      <c r="E174" s="105" t="n"/>
      <c r="F174" s="105" t="n"/>
      <c r="G174" s="106" t="n"/>
      <c r="H174" s="106" t="n"/>
      <c r="I174" s="106" t="n"/>
      <c r="J174" s="107" t="n"/>
      <c r="K174" s="105" t="n"/>
      <c r="L174" s="106" t="n"/>
      <c r="M174" s="106" t="n"/>
      <c r="N174" s="106" t="n"/>
      <c r="O174" s="106" t="n"/>
      <c r="P174" s="105" t="n"/>
      <c r="Q174" s="107" t="n"/>
      <c r="R174" s="105" t="n"/>
      <c r="S174" s="107" t="n"/>
      <c r="T174" s="108">
        <f>IFERROR(L174+M174+N174+O174+IFERROR(AC174,0)+IFERROR(AD174,0)+IFERROR(AE174,0)+IFERROR(AF174,0)+IFERROR(AG174,0),0)</f>
        <v/>
      </c>
      <c r="U174" s="108">
        <f>IFERROR(H174+IFERROR(I174,0)+T174+IFERROR(V174,0),0)</f>
        <v/>
      </c>
    </row>
    <row r="175" ht="15" customHeight="1" s="199">
      <c r="A175" s="104" t="n"/>
      <c r="B175" s="104" t="n"/>
      <c r="C175" s="104" t="n"/>
      <c r="D175" s="105" t="n"/>
      <c r="E175" s="105" t="n"/>
      <c r="F175" s="105" t="n"/>
      <c r="G175" s="106" t="n"/>
      <c r="H175" s="106" t="n"/>
      <c r="I175" s="106" t="n"/>
      <c r="J175" s="107" t="n"/>
      <c r="K175" s="105" t="n"/>
      <c r="L175" s="106" t="n"/>
      <c r="M175" s="106" t="n"/>
      <c r="N175" s="106" t="n"/>
      <c r="O175" s="106" t="n"/>
      <c r="P175" s="105" t="n"/>
      <c r="Q175" s="107" t="n"/>
      <c r="R175" s="105" t="n"/>
      <c r="S175" s="107" t="n"/>
      <c r="T175" s="108">
        <f>IFERROR(L175+M175+N175+O175+IFERROR(AC175,0)+IFERROR(AD175,0)+IFERROR(AE175,0)+IFERROR(AF175,0)+IFERROR(AG175,0),0)</f>
        <v/>
      </c>
      <c r="U175" s="108">
        <f>IFERROR(H175+IFERROR(I175,0)+T175+IFERROR(V175,0),0)</f>
        <v/>
      </c>
    </row>
    <row r="176" ht="15" customHeight="1" s="199">
      <c r="A176" s="104" t="n"/>
      <c r="B176" s="104" t="n"/>
      <c r="C176" s="104" t="n"/>
      <c r="D176" s="105" t="n"/>
      <c r="E176" s="105" t="n"/>
      <c r="F176" s="105" t="n"/>
      <c r="G176" s="106" t="n"/>
      <c r="H176" s="106" t="n"/>
      <c r="I176" s="106" t="n"/>
      <c r="J176" s="107" t="n"/>
      <c r="K176" s="105" t="n"/>
      <c r="L176" s="106" t="n"/>
      <c r="M176" s="106" t="n"/>
      <c r="N176" s="106" t="n"/>
      <c r="O176" s="106" t="n"/>
      <c r="P176" s="105" t="n"/>
      <c r="Q176" s="107" t="n"/>
      <c r="R176" s="105" t="n"/>
      <c r="S176" s="107" t="n"/>
      <c r="T176" s="108">
        <f>IFERROR(L176+M176+N176+O176+IFERROR(AC176,0)+IFERROR(AD176,0)+IFERROR(AE176,0)+IFERROR(AF176,0)+IFERROR(AG176,0),0)</f>
        <v/>
      </c>
      <c r="U176" s="108">
        <f>IFERROR(H176+IFERROR(I176,0)+T176+IFERROR(V176,0),0)</f>
        <v/>
      </c>
    </row>
    <row r="177" ht="15" customHeight="1" s="199">
      <c r="A177" s="104" t="n"/>
      <c r="B177" s="104" t="n"/>
      <c r="C177" s="104" t="n"/>
      <c r="D177" s="105" t="n"/>
      <c r="E177" s="105" t="n"/>
      <c r="F177" s="105" t="n"/>
      <c r="G177" s="106" t="n"/>
      <c r="H177" s="106" t="n"/>
      <c r="I177" s="106" t="n"/>
      <c r="J177" s="107" t="n"/>
      <c r="K177" s="105" t="n"/>
      <c r="L177" s="106" t="n"/>
      <c r="M177" s="106" t="n"/>
      <c r="N177" s="106" t="n"/>
      <c r="O177" s="106" t="n"/>
      <c r="P177" s="105" t="n"/>
      <c r="Q177" s="107" t="n"/>
      <c r="R177" s="105" t="n"/>
      <c r="S177" s="107" t="n"/>
      <c r="T177" s="108">
        <f>IFERROR(L177+M177+N177+O177+IFERROR(AC177,0)+IFERROR(AD177,0)+IFERROR(AE177,0)+IFERROR(AF177,0)+IFERROR(AG177,0),0)</f>
        <v/>
      </c>
      <c r="U177" s="108">
        <f>IFERROR(H177+IFERROR(I177,0)+T177+IFERROR(V177,0),0)</f>
        <v/>
      </c>
    </row>
    <row r="178" ht="15" customHeight="1" s="199">
      <c r="A178" s="104" t="n"/>
      <c r="B178" s="104" t="n"/>
      <c r="C178" s="104" t="n"/>
      <c r="D178" s="105" t="n"/>
      <c r="E178" s="105" t="n"/>
      <c r="F178" s="105" t="n"/>
      <c r="G178" s="106" t="n"/>
      <c r="H178" s="106" t="n"/>
      <c r="I178" s="106" t="n"/>
      <c r="J178" s="107" t="n"/>
      <c r="K178" s="105" t="n"/>
      <c r="L178" s="106" t="n"/>
      <c r="M178" s="106" t="n"/>
      <c r="N178" s="106" t="n"/>
      <c r="O178" s="106" t="n"/>
      <c r="P178" s="105" t="n"/>
      <c r="Q178" s="107" t="n"/>
      <c r="R178" s="105" t="n"/>
      <c r="S178" s="107" t="n"/>
      <c r="T178" s="108">
        <f>IFERROR(L178+M178+N178+O178+IFERROR(AC178,0)+IFERROR(AD178,0)+IFERROR(AE178,0)+IFERROR(AF178,0)+IFERROR(AG178,0),0)</f>
        <v/>
      </c>
      <c r="U178" s="108">
        <f>IFERROR(H178+IFERROR(I178,0)+T178+IFERROR(V178,0),0)</f>
        <v/>
      </c>
    </row>
    <row r="179" ht="15" customHeight="1" s="199">
      <c r="A179" s="104" t="n"/>
      <c r="B179" s="104" t="n"/>
      <c r="C179" s="104" t="n"/>
      <c r="D179" s="105" t="n"/>
      <c r="E179" s="105" t="n"/>
      <c r="F179" s="105" t="n"/>
      <c r="G179" s="106" t="n"/>
      <c r="H179" s="106" t="n"/>
      <c r="I179" s="106" t="n"/>
      <c r="J179" s="107" t="n"/>
      <c r="K179" s="105" t="n"/>
      <c r="L179" s="106" t="n"/>
      <c r="M179" s="106" t="n"/>
      <c r="N179" s="106" t="n"/>
      <c r="O179" s="106" t="n"/>
      <c r="P179" s="105" t="n"/>
      <c r="Q179" s="107" t="n"/>
      <c r="R179" s="105" t="n"/>
      <c r="S179" s="107" t="n"/>
      <c r="T179" s="108">
        <f>IFERROR(L179+M179+N179+O179+IFERROR(AC179,0)+IFERROR(AD179,0)+IFERROR(AE179,0)+IFERROR(AF179,0)+IFERROR(AG179,0),0)</f>
        <v/>
      </c>
      <c r="U179" s="108">
        <f>IFERROR(H179+IFERROR(I179,0)+T179+IFERROR(V179,0),0)</f>
        <v/>
      </c>
    </row>
    <row r="180" ht="15" customHeight="1" s="199">
      <c r="A180" s="104" t="n"/>
      <c r="B180" s="104" t="n"/>
      <c r="C180" s="104" t="n"/>
      <c r="D180" s="105" t="n"/>
      <c r="E180" s="105" t="n"/>
      <c r="F180" s="105" t="n"/>
      <c r="G180" s="106" t="n"/>
      <c r="H180" s="106" t="n"/>
      <c r="I180" s="106" t="n"/>
      <c r="J180" s="107" t="n"/>
      <c r="K180" s="105" t="n"/>
      <c r="L180" s="106" t="n"/>
      <c r="M180" s="106" t="n"/>
      <c r="N180" s="106" t="n"/>
      <c r="O180" s="106" t="n"/>
      <c r="P180" s="105" t="n"/>
      <c r="Q180" s="107" t="n"/>
      <c r="R180" s="105" t="n"/>
      <c r="S180" s="107" t="n"/>
      <c r="T180" s="108">
        <f>IFERROR(L180+M180+N180+O180+IFERROR(AC180,0)+IFERROR(AD180,0)+IFERROR(AE180,0)+IFERROR(AF180,0)+IFERROR(AG180,0),0)</f>
        <v/>
      </c>
      <c r="U180" s="108">
        <f>IFERROR(H180+IFERROR(I180,0)+T180+IFERROR(V180,0),0)</f>
        <v/>
      </c>
    </row>
    <row r="181" ht="15" customHeight="1" s="199">
      <c r="A181" s="104" t="n"/>
      <c r="B181" s="104" t="n"/>
      <c r="C181" s="104" t="n"/>
      <c r="D181" s="105" t="n"/>
      <c r="E181" s="105" t="n"/>
      <c r="F181" s="105" t="n"/>
      <c r="G181" s="106" t="n"/>
      <c r="H181" s="106" t="n"/>
      <c r="I181" s="106" t="n"/>
      <c r="J181" s="107" t="n"/>
      <c r="K181" s="105" t="n"/>
      <c r="L181" s="106" t="n"/>
      <c r="M181" s="106" t="n"/>
      <c r="N181" s="106" t="n"/>
      <c r="O181" s="106" t="n"/>
      <c r="P181" s="105" t="n"/>
      <c r="Q181" s="107" t="n"/>
      <c r="R181" s="105" t="n"/>
      <c r="S181" s="107" t="n"/>
      <c r="T181" s="108">
        <f>IFERROR(L181+M181+N181+O181+IFERROR(AC181,0)+IFERROR(AD181,0)+IFERROR(AE181,0)+IFERROR(AF181,0)+IFERROR(AG181,0),0)</f>
        <v/>
      </c>
      <c r="U181" s="108">
        <f>IFERROR(H181+IFERROR(I181,0)+T181+IFERROR(V181,0),0)</f>
        <v/>
      </c>
    </row>
    <row r="182" ht="15" customHeight="1" s="199">
      <c r="A182" s="104" t="n"/>
      <c r="B182" s="104" t="n"/>
      <c r="C182" s="104" t="n"/>
      <c r="D182" s="105" t="n"/>
      <c r="E182" s="105" t="n"/>
      <c r="F182" s="105" t="n"/>
      <c r="G182" s="106" t="n"/>
      <c r="H182" s="106" t="n"/>
      <c r="I182" s="106" t="n"/>
      <c r="J182" s="107" t="n"/>
      <c r="K182" s="105" t="n"/>
      <c r="L182" s="106" t="n"/>
      <c r="M182" s="106" t="n"/>
      <c r="N182" s="106" t="n"/>
      <c r="O182" s="106" t="n"/>
      <c r="P182" s="105" t="n"/>
      <c r="Q182" s="107" t="n"/>
      <c r="R182" s="105" t="n"/>
      <c r="S182" s="107" t="n"/>
      <c r="T182" s="108">
        <f>IFERROR(L182+M182+N182+O182+IFERROR(AC182,0)+IFERROR(AD182,0)+IFERROR(AE182,0)+IFERROR(AF182,0)+IFERROR(AG182,0),0)</f>
        <v/>
      </c>
      <c r="U182" s="108">
        <f>IFERROR(H182+IFERROR(I182,0)+T182+IFERROR(V182,0),0)</f>
        <v/>
      </c>
    </row>
    <row r="183" ht="15" customHeight="1" s="199">
      <c r="A183" s="104" t="n"/>
      <c r="B183" s="104" t="n"/>
      <c r="C183" s="104" t="n"/>
      <c r="D183" s="105" t="n"/>
      <c r="E183" s="105" t="n"/>
      <c r="F183" s="105" t="n"/>
      <c r="G183" s="106" t="n"/>
      <c r="H183" s="106" t="n"/>
      <c r="I183" s="106" t="n"/>
      <c r="J183" s="107" t="n"/>
      <c r="K183" s="105" t="n"/>
      <c r="L183" s="106" t="n"/>
      <c r="M183" s="106" t="n"/>
      <c r="N183" s="106" t="n"/>
      <c r="O183" s="106" t="n"/>
      <c r="P183" s="105" t="n"/>
      <c r="Q183" s="107" t="n"/>
      <c r="R183" s="105" t="n"/>
      <c r="S183" s="107" t="n"/>
      <c r="T183" s="108">
        <f>IFERROR(L183+M183+N183+O183+IFERROR(AC183,0)+IFERROR(AD183,0)+IFERROR(AE183,0)+IFERROR(AF183,0)+IFERROR(AG183,0),0)</f>
        <v/>
      </c>
      <c r="U183" s="108">
        <f>IFERROR(H183+IFERROR(I183,0)+T183+IFERROR(V183,0),0)</f>
        <v/>
      </c>
    </row>
    <row r="184" ht="15" customHeight="1" s="199">
      <c r="A184" s="104" t="n"/>
      <c r="B184" s="104" t="n"/>
      <c r="C184" s="104" t="n"/>
      <c r="D184" s="105" t="n"/>
      <c r="E184" s="105" t="n"/>
      <c r="F184" s="105" t="n"/>
      <c r="G184" s="106" t="n"/>
      <c r="H184" s="106" t="n"/>
      <c r="I184" s="106" t="n"/>
      <c r="J184" s="107" t="n"/>
      <c r="K184" s="105" t="n"/>
      <c r="L184" s="106" t="n"/>
      <c r="M184" s="106" t="n"/>
      <c r="N184" s="106" t="n"/>
      <c r="O184" s="106" t="n"/>
      <c r="P184" s="105" t="n"/>
      <c r="Q184" s="107" t="n"/>
      <c r="R184" s="105" t="n"/>
      <c r="S184" s="107" t="n"/>
      <c r="T184" s="108">
        <f>IFERROR(L184+M184+N184+O184+IFERROR(AC184,0)+IFERROR(AD184,0)+IFERROR(AE184,0)+IFERROR(AF184,0)+IFERROR(AG184,0),0)</f>
        <v/>
      </c>
      <c r="U184" s="108">
        <f>IFERROR(H184+IFERROR(I184,0)+T184+IFERROR(V184,0),0)</f>
        <v/>
      </c>
    </row>
    <row r="185" ht="15" customHeight="1" s="199">
      <c r="A185" s="104" t="n"/>
      <c r="B185" s="104" t="n"/>
      <c r="C185" s="104" t="n"/>
      <c r="D185" s="105" t="n"/>
      <c r="E185" s="105" t="n"/>
      <c r="F185" s="105" t="n"/>
      <c r="G185" s="106" t="n"/>
      <c r="H185" s="106" t="n"/>
      <c r="I185" s="106" t="n"/>
      <c r="J185" s="107" t="n"/>
      <c r="K185" s="105" t="n"/>
      <c r="L185" s="106" t="n"/>
      <c r="M185" s="106" t="n"/>
      <c r="N185" s="106" t="n"/>
      <c r="O185" s="106" t="n"/>
      <c r="P185" s="105" t="n"/>
      <c r="Q185" s="107" t="n"/>
      <c r="R185" s="105" t="n"/>
      <c r="S185" s="107" t="n"/>
      <c r="T185" s="108">
        <f>IFERROR(L185+M185+N185+O185+IFERROR(AC185,0)+IFERROR(AD185,0)+IFERROR(AE185,0)+IFERROR(AF185,0)+IFERROR(AG185,0),0)</f>
        <v/>
      </c>
      <c r="U185" s="108">
        <f>IFERROR(H185+IFERROR(I185,0)+T185+IFERROR(V185,0),0)</f>
        <v/>
      </c>
    </row>
    <row r="186" ht="15" customHeight="1" s="199">
      <c r="A186" s="104" t="n"/>
      <c r="B186" s="104" t="n"/>
      <c r="C186" s="104" t="n"/>
      <c r="D186" s="105" t="n"/>
      <c r="E186" s="105" t="n"/>
      <c r="F186" s="105" t="n"/>
      <c r="G186" s="106" t="n"/>
      <c r="H186" s="106" t="n"/>
      <c r="I186" s="106" t="n"/>
      <c r="J186" s="107" t="n"/>
      <c r="K186" s="105" t="n"/>
      <c r="L186" s="106" t="n"/>
      <c r="M186" s="106" t="n"/>
      <c r="N186" s="106" t="n"/>
      <c r="O186" s="106" t="n"/>
      <c r="P186" s="105" t="n"/>
      <c r="Q186" s="107" t="n"/>
      <c r="R186" s="105" t="n"/>
      <c r="S186" s="107" t="n"/>
      <c r="T186" s="108">
        <f>IFERROR(L186+M186+N186+O186+IFERROR(AC186,0)+IFERROR(AD186,0)+IFERROR(AE186,0)+IFERROR(AF186,0)+IFERROR(AG186,0),0)</f>
        <v/>
      </c>
      <c r="U186" s="108">
        <f>IFERROR(H186+IFERROR(I186,0)+T186+IFERROR(V186,0),0)</f>
        <v/>
      </c>
    </row>
    <row r="187" ht="15" customHeight="1" s="199">
      <c r="A187" s="104" t="n"/>
      <c r="B187" s="104" t="n"/>
      <c r="C187" s="104" t="n"/>
      <c r="D187" s="105" t="n"/>
      <c r="E187" s="105" t="n"/>
      <c r="F187" s="105" t="n"/>
      <c r="G187" s="106" t="n"/>
      <c r="H187" s="106" t="n"/>
      <c r="I187" s="106" t="n"/>
      <c r="J187" s="107" t="n"/>
      <c r="K187" s="105" t="n"/>
      <c r="L187" s="106" t="n"/>
      <c r="M187" s="106" t="n"/>
      <c r="N187" s="106" t="n"/>
      <c r="O187" s="106" t="n"/>
      <c r="P187" s="105" t="n"/>
      <c r="Q187" s="107" t="n"/>
      <c r="R187" s="105" t="n"/>
      <c r="S187" s="107" t="n"/>
      <c r="T187" s="108">
        <f>IFERROR(L187+M187+N187+O187+IFERROR(AC187,0)+IFERROR(AD187,0)+IFERROR(AE187,0)+IFERROR(AF187,0)+IFERROR(AG187,0),0)</f>
        <v/>
      </c>
      <c r="U187" s="108">
        <f>IFERROR(H187+IFERROR(I187,0)+T187+IFERROR(V187,0),0)</f>
        <v/>
      </c>
    </row>
    <row r="188" ht="15" customHeight="1" s="199">
      <c r="A188" s="104" t="n"/>
      <c r="B188" s="104" t="n"/>
      <c r="C188" s="104" t="n"/>
      <c r="D188" s="105" t="n"/>
      <c r="E188" s="105" t="n"/>
      <c r="F188" s="105" t="n"/>
      <c r="G188" s="106" t="n"/>
      <c r="H188" s="106" t="n"/>
      <c r="I188" s="106" t="n"/>
      <c r="J188" s="107" t="n"/>
      <c r="K188" s="105" t="n"/>
      <c r="L188" s="106" t="n"/>
      <c r="M188" s="106" t="n"/>
      <c r="N188" s="106" t="n"/>
      <c r="O188" s="106" t="n"/>
      <c r="P188" s="105" t="n"/>
      <c r="Q188" s="107" t="n"/>
      <c r="R188" s="105" t="n"/>
      <c r="S188" s="107" t="n"/>
      <c r="T188" s="108">
        <f>IFERROR(L188+M188+N188+O188+IFERROR(AC188,0)+IFERROR(AD188,0)+IFERROR(AE188,0)+IFERROR(AF188,0)+IFERROR(AG188,0),0)</f>
        <v/>
      </c>
      <c r="U188" s="108">
        <f>IFERROR(H188+IFERROR(I188,0)+T188+IFERROR(V188,0),0)</f>
        <v/>
      </c>
    </row>
    <row r="189" ht="15" customHeight="1" s="199">
      <c r="A189" s="104" t="n"/>
      <c r="B189" s="104" t="n"/>
      <c r="C189" s="104" t="n"/>
      <c r="D189" s="105" t="n"/>
      <c r="E189" s="105" t="n"/>
      <c r="F189" s="105" t="n"/>
      <c r="G189" s="106" t="n"/>
      <c r="H189" s="106" t="n"/>
      <c r="I189" s="106" t="n"/>
      <c r="J189" s="107" t="n"/>
      <c r="K189" s="105" t="n"/>
      <c r="L189" s="106" t="n"/>
      <c r="M189" s="106" t="n"/>
      <c r="N189" s="106" t="n"/>
      <c r="O189" s="106" t="n"/>
      <c r="P189" s="105" t="n"/>
      <c r="Q189" s="107" t="n"/>
      <c r="R189" s="105" t="n"/>
      <c r="S189" s="107" t="n"/>
      <c r="T189" s="108">
        <f>IFERROR(L189+M189+N189+O189+IFERROR(AC189,0)+IFERROR(AD189,0)+IFERROR(AE189,0)+IFERROR(AF189,0)+IFERROR(AG189,0),0)</f>
        <v/>
      </c>
      <c r="U189" s="108">
        <f>IFERROR(H189+IFERROR(I189,0)+T189+IFERROR(V189,0),0)</f>
        <v/>
      </c>
    </row>
    <row r="190" ht="15" customHeight="1" s="199">
      <c r="A190" s="104" t="n"/>
      <c r="B190" s="104" t="n"/>
      <c r="C190" s="104" t="n"/>
      <c r="D190" s="105" t="n"/>
      <c r="E190" s="105" t="n"/>
      <c r="F190" s="105" t="n"/>
      <c r="G190" s="106" t="n"/>
      <c r="H190" s="106" t="n"/>
      <c r="I190" s="106" t="n"/>
      <c r="J190" s="107" t="n"/>
      <c r="K190" s="105" t="n"/>
      <c r="L190" s="106" t="n"/>
      <c r="M190" s="106" t="n"/>
      <c r="N190" s="106" t="n"/>
      <c r="O190" s="106" t="n"/>
      <c r="P190" s="105" t="n"/>
      <c r="Q190" s="107" t="n"/>
      <c r="R190" s="105" t="n"/>
      <c r="S190" s="107" t="n"/>
      <c r="T190" s="108">
        <f>IFERROR(L190+M190+N190+O190+IFERROR(AC190,0)+IFERROR(AD190,0)+IFERROR(AE190,0)+IFERROR(AF190,0)+IFERROR(AG190,0),0)</f>
        <v/>
      </c>
      <c r="U190" s="108">
        <f>IFERROR(H190+IFERROR(I190,0)+T190+IFERROR(V190,0),0)</f>
        <v/>
      </c>
    </row>
    <row r="191" ht="15" customHeight="1" s="199">
      <c r="A191" s="104" t="n"/>
      <c r="B191" s="104" t="n"/>
      <c r="C191" s="104" t="n"/>
      <c r="D191" s="105" t="n"/>
      <c r="E191" s="105" t="n"/>
      <c r="F191" s="105" t="n"/>
      <c r="G191" s="106" t="n"/>
      <c r="H191" s="106" t="n"/>
      <c r="I191" s="106" t="n"/>
      <c r="J191" s="107" t="n"/>
      <c r="K191" s="105" t="n"/>
      <c r="L191" s="106" t="n"/>
      <c r="M191" s="106" t="n"/>
      <c r="N191" s="106" t="n"/>
      <c r="O191" s="106" t="n"/>
      <c r="P191" s="105" t="n"/>
      <c r="Q191" s="107" t="n"/>
      <c r="R191" s="105" t="n"/>
      <c r="S191" s="107" t="n"/>
      <c r="T191" s="108">
        <f>IFERROR(L191+M191+N191+O191+IFERROR(AC191,0)+IFERROR(AD191,0)+IFERROR(AE191,0)+IFERROR(AF191,0)+IFERROR(AG191,0),0)</f>
        <v/>
      </c>
      <c r="U191" s="108">
        <f>IFERROR(H191+IFERROR(I191,0)+T191+IFERROR(V191,0),0)</f>
        <v/>
      </c>
    </row>
    <row r="192" ht="15" customHeight="1" s="199">
      <c r="A192" s="104" t="n"/>
      <c r="B192" s="104" t="n"/>
      <c r="C192" s="104" t="n"/>
      <c r="D192" s="105" t="n"/>
      <c r="E192" s="105" t="n"/>
      <c r="F192" s="105" t="n"/>
      <c r="G192" s="106" t="n"/>
      <c r="H192" s="106" t="n"/>
      <c r="I192" s="106" t="n"/>
      <c r="J192" s="107" t="n"/>
      <c r="K192" s="105" t="n"/>
      <c r="L192" s="106" t="n"/>
      <c r="M192" s="106" t="n"/>
      <c r="N192" s="106" t="n"/>
      <c r="O192" s="106" t="n"/>
      <c r="P192" s="105" t="n"/>
      <c r="Q192" s="107" t="n"/>
      <c r="R192" s="105" t="n"/>
      <c r="S192" s="107" t="n"/>
      <c r="T192" s="108">
        <f>IFERROR(L192+M192+N192+O192+IFERROR(AC192,0)+IFERROR(AD192,0)+IFERROR(AE192,0)+IFERROR(AF192,0)+IFERROR(AG192,0),0)</f>
        <v/>
      </c>
      <c r="U192" s="108">
        <f>IFERROR(H192+IFERROR(I192,0)+T192+IFERROR(V192,0),0)</f>
        <v/>
      </c>
    </row>
    <row r="193" ht="15" customHeight="1" s="199">
      <c r="A193" s="104" t="n"/>
      <c r="B193" s="104" t="n"/>
      <c r="C193" s="104" t="n"/>
      <c r="D193" s="105" t="n"/>
      <c r="E193" s="105" t="n"/>
      <c r="F193" s="105" t="n"/>
      <c r="G193" s="106" t="n"/>
      <c r="H193" s="106" t="n"/>
      <c r="I193" s="106" t="n"/>
      <c r="J193" s="107" t="n"/>
      <c r="K193" s="105" t="n"/>
      <c r="L193" s="106" t="n"/>
      <c r="M193" s="106" t="n"/>
      <c r="N193" s="106" t="n"/>
      <c r="O193" s="106" t="n"/>
      <c r="P193" s="105" t="n"/>
      <c r="Q193" s="107" t="n"/>
      <c r="R193" s="105" t="n"/>
      <c r="S193" s="107" t="n"/>
      <c r="T193" s="108">
        <f>IFERROR(L193+M193+N193+O193+IFERROR(AC193,0)+IFERROR(AD193,0)+IFERROR(AE193,0)+IFERROR(AF193,0)+IFERROR(AG193,0),0)</f>
        <v/>
      </c>
      <c r="U193" s="108">
        <f>IFERROR(H193+IFERROR(I193,0)+T193+IFERROR(V193,0),0)</f>
        <v/>
      </c>
    </row>
    <row r="194" ht="15" customHeight="1" s="199">
      <c r="A194" s="104" t="n"/>
      <c r="B194" s="104" t="n"/>
      <c r="C194" s="104" t="n"/>
      <c r="D194" s="105" t="n"/>
      <c r="E194" s="105" t="n"/>
      <c r="F194" s="105" t="n"/>
      <c r="G194" s="106" t="n"/>
      <c r="H194" s="106" t="n"/>
      <c r="I194" s="106" t="n"/>
      <c r="J194" s="107" t="n"/>
      <c r="K194" s="105" t="n"/>
      <c r="L194" s="106" t="n"/>
      <c r="M194" s="106" t="n"/>
      <c r="N194" s="106" t="n"/>
      <c r="O194" s="106" t="n"/>
      <c r="P194" s="105" t="n"/>
      <c r="Q194" s="107" t="n"/>
      <c r="R194" s="105" t="n"/>
      <c r="S194" s="107" t="n"/>
      <c r="T194" s="108">
        <f>IFERROR(L194+M194+N194+O194+IFERROR(AC194,0)+IFERROR(AD194,0)+IFERROR(AE194,0)+IFERROR(AF194,0)+IFERROR(AG194,0),0)</f>
        <v/>
      </c>
      <c r="U194" s="108">
        <f>IFERROR(H194+IFERROR(I194,0)+T194+IFERROR(V194,0),0)</f>
        <v/>
      </c>
    </row>
    <row r="195" ht="15" customHeight="1" s="199">
      <c r="A195" s="104" t="n"/>
      <c r="B195" s="104" t="n"/>
      <c r="C195" s="104" t="n"/>
      <c r="D195" s="105" t="n"/>
      <c r="E195" s="105" t="n"/>
      <c r="F195" s="105" t="n"/>
      <c r="G195" s="106" t="n"/>
      <c r="H195" s="106" t="n"/>
      <c r="I195" s="106" t="n"/>
      <c r="J195" s="107" t="n"/>
      <c r="K195" s="105" t="n"/>
      <c r="L195" s="106" t="n"/>
      <c r="M195" s="106" t="n"/>
      <c r="N195" s="106" t="n"/>
      <c r="O195" s="106" t="n"/>
      <c r="P195" s="105" t="n"/>
      <c r="Q195" s="107" t="n"/>
      <c r="R195" s="105" t="n"/>
      <c r="S195" s="107" t="n"/>
      <c r="T195" s="108">
        <f>IFERROR(L195+M195+N195+O195+IFERROR(AC195,0)+IFERROR(AD195,0)+IFERROR(AE195,0)+IFERROR(AF195,0)+IFERROR(AG195,0),0)</f>
        <v/>
      </c>
      <c r="U195" s="108">
        <f>IFERROR(H195+IFERROR(I195,0)+T195+IFERROR(V195,0),0)</f>
        <v/>
      </c>
    </row>
    <row r="196" ht="15" customHeight="1" s="199">
      <c r="A196" s="104" t="n"/>
      <c r="B196" s="104" t="n"/>
      <c r="C196" s="104" t="n"/>
      <c r="D196" s="105" t="n"/>
      <c r="E196" s="105" t="n"/>
      <c r="F196" s="105" t="n"/>
      <c r="G196" s="106" t="n"/>
      <c r="H196" s="106" t="n"/>
      <c r="I196" s="106" t="n"/>
      <c r="J196" s="107" t="n"/>
      <c r="K196" s="105" t="n"/>
      <c r="L196" s="106" t="n"/>
      <c r="M196" s="106" t="n"/>
      <c r="N196" s="106" t="n"/>
      <c r="O196" s="106" t="n"/>
      <c r="P196" s="105" t="n"/>
      <c r="Q196" s="107" t="n"/>
      <c r="R196" s="105" t="n"/>
      <c r="S196" s="107" t="n"/>
      <c r="T196" s="108">
        <f>IFERROR(L196+M196+N196+O196+IFERROR(AC196,0)+IFERROR(AD196,0)+IFERROR(AE196,0)+IFERROR(AF196,0)+IFERROR(AG196,0),0)</f>
        <v/>
      </c>
      <c r="U196" s="108">
        <f>IFERROR(H196+IFERROR(I196,0)+T196+IFERROR(V196,0),0)</f>
        <v/>
      </c>
    </row>
    <row r="197" ht="15" customHeight="1" s="199">
      <c r="A197" s="104" t="n"/>
      <c r="B197" s="104" t="n"/>
      <c r="C197" s="104" t="n"/>
      <c r="D197" s="105" t="n"/>
      <c r="E197" s="105" t="n"/>
      <c r="F197" s="105" t="n"/>
      <c r="G197" s="106" t="n"/>
      <c r="H197" s="106" t="n"/>
      <c r="I197" s="106" t="n"/>
      <c r="J197" s="107" t="n"/>
      <c r="K197" s="105" t="n"/>
      <c r="L197" s="106" t="n"/>
      <c r="M197" s="106" t="n"/>
      <c r="N197" s="106" t="n"/>
      <c r="O197" s="106" t="n"/>
      <c r="P197" s="105" t="n"/>
      <c r="Q197" s="107" t="n"/>
      <c r="R197" s="105" t="n"/>
      <c r="S197" s="107" t="n"/>
      <c r="T197" s="108">
        <f>IFERROR(L197+M197+N197+O197+IFERROR(AC197,0)+IFERROR(AD197,0)+IFERROR(AE197,0)+IFERROR(AF197,0)+IFERROR(AG197,0),0)</f>
        <v/>
      </c>
      <c r="U197" s="108">
        <f>IFERROR(H197+IFERROR(I197,0)+T197+IFERROR(V197,0),0)</f>
        <v/>
      </c>
    </row>
    <row r="198" ht="15" customHeight="1" s="199">
      <c r="A198" s="104" t="n"/>
      <c r="B198" s="104" t="n"/>
      <c r="C198" s="104" t="n"/>
      <c r="D198" s="105" t="n"/>
      <c r="E198" s="105" t="n"/>
      <c r="F198" s="105" t="n"/>
      <c r="G198" s="106" t="n"/>
      <c r="H198" s="106" t="n"/>
      <c r="I198" s="106" t="n"/>
      <c r="J198" s="107" t="n"/>
      <c r="K198" s="105" t="n"/>
      <c r="L198" s="106" t="n"/>
      <c r="M198" s="106" t="n"/>
      <c r="N198" s="106" t="n"/>
      <c r="O198" s="106" t="n"/>
      <c r="P198" s="105" t="n"/>
      <c r="Q198" s="107" t="n"/>
      <c r="R198" s="105" t="n"/>
      <c r="S198" s="107" t="n"/>
      <c r="T198" s="108">
        <f>IFERROR(L198+M198+N198+O198+IFERROR(AC198,0)+IFERROR(AD198,0)+IFERROR(AE198,0)+IFERROR(AF198,0)+IFERROR(AG198,0),0)</f>
        <v/>
      </c>
      <c r="U198" s="108">
        <f>IFERROR(H198+IFERROR(I198,0)+T198+IFERROR(V198,0),0)</f>
        <v/>
      </c>
    </row>
    <row r="199" ht="15" customHeight="1" s="199">
      <c r="A199" s="104" t="n"/>
      <c r="B199" s="104" t="n"/>
      <c r="C199" s="104" t="n"/>
      <c r="D199" s="105" t="n"/>
      <c r="E199" s="105" t="n"/>
      <c r="F199" s="105" t="n"/>
      <c r="G199" s="106" t="n"/>
      <c r="H199" s="106" t="n"/>
      <c r="I199" s="106" t="n"/>
      <c r="J199" s="107" t="n"/>
      <c r="K199" s="105" t="n"/>
      <c r="L199" s="106" t="n"/>
      <c r="M199" s="106" t="n"/>
      <c r="N199" s="106" t="n"/>
      <c r="O199" s="106" t="n"/>
      <c r="P199" s="105" t="n"/>
      <c r="Q199" s="107" t="n"/>
      <c r="R199" s="105" t="n"/>
      <c r="S199" s="107" t="n"/>
      <c r="T199" s="108">
        <f>IFERROR(L199+M199+N199+O199+IFERROR(AC199,0)+IFERROR(AD199,0)+IFERROR(AE199,0)+IFERROR(AF199,0)+IFERROR(AG199,0),0)</f>
        <v/>
      </c>
      <c r="U199" s="108">
        <f>IFERROR(H199+IFERROR(I199,0)+T199+IFERROR(V199,0),0)</f>
        <v/>
      </c>
    </row>
    <row r="200" ht="15" customHeight="1" s="199">
      <c r="A200" s="104" t="n"/>
      <c r="B200" s="104" t="n"/>
      <c r="C200" s="104" t="n"/>
      <c r="D200" s="105" t="n"/>
      <c r="E200" s="105" t="n"/>
      <c r="F200" s="105" t="n"/>
      <c r="G200" s="106" t="n"/>
      <c r="H200" s="106" t="n"/>
      <c r="I200" s="106" t="n"/>
      <c r="J200" s="107" t="n"/>
      <c r="K200" s="105" t="n"/>
      <c r="L200" s="106" t="n"/>
      <c r="M200" s="106" t="n"/>
      <c r="N200" s="106" t="n"/>
      <c r="O200" s="106" t="n"/>
      <c r="P200" s="105" t="n"/>
      <c r="Q200" s="107" t="n"/>
      <c r="R200" s="105" t="n"/>
      <c r="S200" s="107" t="n"/>
      <c r="T200" s="108">
        <f>IFERROR(L200+M200+N200+O200+IFERROR(AC200,0)+IFERROR(AD200,0)+IFERROR(AE200,0)+IFERROR(AF200,0)+IFERROR(AG200,0),0)</f>
        <v/>
      </c>
      <c r="U200" s="108">
        <f>IFERROR(H200+IFERROR(I200,0)+T200+IFERROR(V200,0),0)</f>
        <v/>
      </c>
    </row>
    <row r="201" ht="15" customHeight="1" s="199">
      <c r="A201" s="104" t="n"/>
      <c r="B201" s="104" t="n"/>
      <c r="C201" s="104" t="n"/>
      <c r="D201" s="105" t="n"/>
      <c r="E201" s="105" t="n"/>
      <c r="F201" s="105" t="n"/>
      <c r="G201" s="106" t="n"/>
      <c r="H201" s="106" t="n"/>
      <c r="I201" s="106" t="n"/>
      <c r="J201" s="107" t="n"/>
      <c r="K201" s="105" t="n"/>
      <c r="L201" s="106" t="n"/>
      <c r="M201" s="106" t="n"/>
      <c r="N201" s="106" t="n"/>
      <c r="O201" s="106" t="n"/>
      <c r="P201" s="105" t="n"/>
      <c r="Q201" s="107" t="n"/>
      <c r="R201" s="105" t="n"/>
      <c r="S201" s="107" t="n"/>
      <c r="T201" s="108">
        <f>IFERROR(L201+M201+N201+O201+IFERROR(AC201,0)+IFERROR(AD201,0)+IFERROR(AE201,0)+IFERROR(AF201,0)+IFERROR(AG201,0),0)</f>
        <v/>
      </c>
      <c r="U201" s="108">
        <f>IFERROR(H201+IFERROR(I201,0)+T201+IFERROR(V201,0),0)</f>
        <v/>
      </c>
    </row>
    <row r="202" ht="15" customHeight="1" s="199">
      <c r="A202" s="104" t="n"/>
      <c r="B202" s="104" t="n"/>
      <c r="C202" s="104" t="n"/>
      <c r="D202" s="105" t="n"/>
      <c r="E202" s="105" t="n"/>
      <c r="F202" s="105" t="n"/>
      <c r="G202" s="106" t="n"/>
      <c r="H202" s="106" t="n"/>
      <c r="I202" s="106" t="n"/>
      <c r="J202" s="107" t="n"/>
      <c r="K202" s="105" t="n"/>
      <c r="L202" s="106" t="n"/>
      <c r="M202" s="106" t="n"/>
      <c r="N202" s="106" t="n"/>
      <c r="O202" s="106" t="n"/>
      <c r="P202" s="105" t="n"/>
      <c r="Q202" s="107" t="n"/>
      <c r="R202" s="105" t="n"/>
      <c r="S202" s="107" t="n"/>
      <c r="T202" s="108">
        <f>IFERROR(L202+M202+N202+O202+IFERROR(AC202,0)+IFERROR(AD202,0)+IFERROR(AE202,0)+IFERROR(AF202,0)+IFERROR(AG202,0),0)</f>
        <v/>
      </c>
      <c r="U202" s="108">
        <f>IFERROR(H202+IFERROR(I202,0)+T202+IFERROR(V202,0),0)</f>
        <v/>
      </c>
    </row>
    <row r="203" ht="15" customHeight="1" s="199">
      <c r="A203" s="104" t="n"/>
      <c r="B203" s="104" t="n"/>
      <c r="C203" s="104" t="n"/>
      <c r="D203" s="105" t="n"/>
      <c r="E203" s="105" t="n"/>
      <c r="F203" s="105" t="n"/>
      <c r="G203" s="106" t="n"/>
      <c r="H203" s="106" t="n"/>
      <c r="I203" s="106" t="n"/>
      <c r="J203" s="107" t="n"/>
      <c r="K203" s="105" t="n"/>
      <c r="L203" s="106" t="n"/>
      <c r="M203" s="106" t="n"/>
      <c r="N203" s="106" t="n"/>
      <c r="O203" s="106" t="n"/>
      <c r="P203" s="105" t="n"/>
      <c r="Q203" s="107" t="n"/>
      <c r="R203" s="105" t="n"/>
      <c r="S203" s="107" t="n"/>
      <c r="T203" s="108">
        <f>IFERROR(L203+M203+N203+O203+IFERROR(AC203,0)+IFERROR(AD203,0)+IFERROR(AE203,0)+IFERROR(AF203,0)+IFERROR(AG203,0),0)</f>
        <v/>
      </c>
      <c r="U203" s="108">
        <f>IFERROR(H203+IFERROR(I203,0)+T203+IFERROR(V203,0),0)</f>
        <v/>
      </c>
    </row>
    <row r="204" ht="15" customHeight="1" s="199">
      <c r="A204" s="104" t="n"/>
      <c r="B204" s="104" t="n"/>
      <c r="C204" s="104" t="n"/>
      <c r="D204" s="105" t="n"/>
      <c r="E204" s="105" t="n"/>
      <c r="F204" s="105" t="n"/>
      <c r="G204" s="106" t="n"/>
      <c r="H204" s="106" t="n"/>
      <c r="I204" s="106" t="n"/>
      <c r="J204" s="107" t="n"/>
      <c r="K204" s="105" t="n"/>
      <c r="L204" s="106" t="n"/>
      <c r="M204" s="106" t="n"/>
      <c r="N204" s="106" t="n"/>
      <c r="O204" s="106" t="n"/>
      <c r="P204" s="105" t="n"/>
      <c r="Q204" s="107" t="n"/>
      <c r="R204" s="105" t="n"/>
      <c r="S204" s="107" t="n"/>
      <c r="T204" s="108">
        <f>IFERROR(L204+M204+N204+O204+IFERROR(AC204,0)+IFERROR(AD204,0)+IFERROR(AE204,0)+IFERROR(AF204,0)+IFERROR(AG204,0),0)</f>
        <v/>
      </c>
      <c r="U204" s="108">
        <f>IFERROR(H204+IFERROR(I204,0)+T204+IFERROR(V204,0),0)</f>
        <v/>
      </c>
    </row>
    <row r="205" ht="15" customHeight="1" s="199">
      <c r="A205" s="104" t="n"/>
      <c r="B205" s="104" t="n"/>
      <c r="C205" s="104" t="n"/>
      <c r="D205" s="105" t="n"/>
      <c r="E205" s="105" t="n"/>
      <c r="F205" s="105" t="n"/>
      <c r="G205" s="106" t="n"/>
      <c r="H205" s="106" t="n"/>
      <c r="I205" s="106" t="n"/>
      <c r="J205" s="107" t="n"/>
      <c r="K205" s="105" t="n"/>
      <c r="L205" s="106" t="n"/>
      <c r="M205" s="106" t="n"/>
      <c r="N205" s="106" t="n"/>
      <c r="O205" s="106" t="n"/>
      <c r="P205" s="105" t="n"/>
      <c r="Q205" s="107" t="n"/>
      <c r="R205" s="105" t="n"/>
      <c r="S205" s="107" t="n"/>
      <c r="T205" s="108">
        <f>IFERROR(L205+M205+N205+O205+IFERROR(AC205,0)+IFERROR(AD205,0)+IFERROR(AE205,0)+IFERROR(AF205,0)+IFERROR(AG205,0),0)</f>
        <v/>
      </c>
      <c r="U205" s="108">
        <f>IFERROR(H205+IFERROR(I205,0)+T205+IFERROR(V205,0),0)</f>
        <v/>
      </c>
    </row>
    <row r="206" ht="15" customHeight="1" s="199">
      <c r="A206" s="104" t="n"/>
      <c r="B206" s="104" t="n"/>
      <c r="C206" s="104" t="n"/>
      <c r="D206" s="105" t="n"/>
      <c r="E206" s="105" t="n"/>
      <c r="F206" s="105" t="n"/>
      <c r="G206" s="106" t="n"/>
      <c r="H206" s="106" t="n"/>
      <c r="I206" s="106" t="n"/>
      <c r="J206" s="107" t="n"/>
      <c r="K206" s="105" t="n"/>
      <c r="L206" s="106" t="n"/>
      <c r="M206" s="106" t="n"/>
      <c r="N206" s="106" t="n"/>
      <c r="O206" s="106" t="n"/>
      <c r="P206" s="105" t="n"/>
      <c r="Q206" s="107" t="n"/>
      <c r="R206" s="105" t="n"/>
      <c r="S206" s="107" t="n"/>
      <c r="T206" s="108">
        <f>IFERROR(L206+M206+N206+O206+IFERROR(AC206,0)+IFERROR(AD206,0)+IFERROR(AE206,0)+IFERROR(AF206,0)+IFERROR(AG206,0),0)</f>
        <v/>
      </c>
      <c r="U206" s="108">
        <f>IFERROR(H206+IFERROR(I206,0)+T206+IFERROR(V206,0),0)</f>
        <v/>
      </c>
    </row>
    <row r="207" ht="15" customHeight="1" s="199">
      <c r="A207" s="104" t="n"/>
      <c r="B207" s="104" t="n"/>
      <c r="C207" s="104" t="n"/>
      <c r="D207" s="105" t="n"/>
      <c r="E207" s="105" t="n"/>
      <c r="F207" s="105" t="n"/>
      <c r="G207" s="106" t="n"/>
      <c r="H207" s="106" t="n"/>
      <c r="I207" s="106" t="n"/>
      <c r="J207" s="107" t="n"/>
      <c r="K207" s="105" t="n"/>
      <c r="L207" s="106" t="n"/>
      <c r="M207" s="106" t="n"/>
      <c r="N207" s="106" t="n"/>
      <c r="O207" s="106" t="n"/>
      <c r="P207" s="105" t="n"/>
      <c r="Q207" s="107" t="n"/>
      <c r="R207" s="105" t="n"/>
      <c r="S207" s="107" t="n"/>
      <c r="T207" s="108">
        <f>IFERROR(L207+M207+N207+O207+IFERROR(AC207,0)+IFERROR(AD207,0)+IFERROR(AE207,0)+IFERROR(AF207,0)+IFERROR(AG207,0),0)</f>
        <v/>
      </c>
      <c r="U207" s="108">
        <f>IFERROR(H207+IFERROR(I207,0)+T207+IFERROR(V207,0),0)</f>
        <v/>
      </c>
    </row>
    <row r="208" ht="15" customHeight="1" s="199">
      <c r="A208" s="104" t="n"/>
      <c r="B208" s="104" t="n"/>
      <c r="C208" s="104" t="n"/>
      <c r="D208" s="105" t="n"/>
      <c r="E208" s="105" t="n"/>
      <c r="F208" s="105" t="n"/>
      <c r="G208" s="106" t="n"/>
      <c r="H208" s="106" t="n"/>
      <c r="I208" s="106" t="n"/>
      <c r="J208" s="107" t="n"/>
      <c r="K208" s="105" t="n"/>
      <c r="L208" s="106" t="n"/>
      <c r="M208" s="106" t="n"/>
      <c r="N208" s="106" t="n"/>
      <c r="O208" s="106" t="n"/>
      <c r="P208" s="105" t="n"/>
      <c r="Q208" s="107" t="n"/>
      <c r="R208" s="105" t="n"/>
      <c r="S208" s="107" t="n"/>
      <c r="T208" s="108">
        <f>IFERROR(L208+M208+N208+O208+IFERROR(AC208,0)+IFERROR(AD208,0)+IFERROR(AE208,0)+IFERROR(AF208,0)+IFERROR(AG208,0),0)</f>
        <v/>
      </c>
      <c r="U208" s="108">
        <f>IFERROR(H208+IFERROR(I208,0)+T208+IFERROR(V208,0),0)</f>
        <v/>
      </c>
    </row>
    <row r="209" ht="15" customHeight="1" s="199">
      <c r="A209" s="104" t="n"/>
      <c r="B209" s="104" t="n"/>
      <c r="C209" s="104" t="n"/>
      <c r="D209" s="105" t="n"/>
      <c r="E209" s="105" t="n"/>
      <c r="F209" s="105" t="n"/>
      <c r="G209" s="106" t="n"/>
      <c r="H209" s="106" t="n"/>
      <c r="I209" s="106" t="n"/>
      <c r="J209" s="107" t="n"/>
      <c r="K209" s="105" t="n"/>
      <c r="L209" s="106" t="n"/>
      <c r="M209" s="106" t="n"/>
      <c r="N209" s="106" t="n"/>
      <c r="O209" s="106" t="n"/>
      <c r="P209" s="105" t="n"/>
      <c r="Q209" s="107" t="n"/>
      <c r="R209" s="105" t="n"/>
      <c r="S209" s="107" t="n"/>
      <c r="T209" s="108">
        <f>IFERROR(L209+M209+N209+O209+IFERROR(AC209,0)+IFERROR(AD209,0)+IFERROR(AE209,0)+IFERROR(AF209,0)+IFERROR(AG209,0),0)</f>
        <v/>
      </c>
      <c r="U209" s="108">
        <f>IFERROR(H209+IFERROR(I209,0)+T209+IFERROR(V209,0),0)</f>
        <v/>
      </c>
    </row>
    <row r="210" ht="15" customHeight="1" s="199">
      <c r="A210" s="104" t="n"/>
      <c r="B210" s="104" t="n"/>
      <c r="C210" s="104" t="n"/>
      <c r="D210" s="105" t="n"/>
      <c r="E210" s="105" t="n"/>
      <c r="F210" s="105" t="n"/>
      <c r="G210" s="106" t="n"/>
      <c r="H210" s="106" t="n"/>
      <c r="I210" s="106" t="n"/>
      <c r="J210" s="107" t="n"/>
      <c r="K210" s="105" t="n"/>
      <c r="L210" s="106" t="n"/>
      <c r="M210" s="106" t="n"/>
      <c r="N210" s="106" t="n"/>
      <c r="O210" s="106" t="n"/>
      <c r="P210" s="105" t="n"/>
      <c r="Q210" s="107" t="n"/>
      <c r="R210" s="105" t="n"/>
      <c r="S210" s="107" t="n"/>
      <c r="T210" s="108">
        <f>IFERROR(L210+M210+N210+O210+IFERROR(AC210,0)+IFERROR(AD210,0)+IFERROR(AE210,0)+IFERROR(AF210,0)+IFERROR(AG210,0),0)</f>
        <v/>
      </c>
      <c r="U210" s="108">
        <f>IFERROR(H210+IFERROR(I210,0)+T210+IFERROR(V210,0),0)</f>
        <v/>
      </c>
    </row>
    <row r="211" ht="15" customHeight="1" s="199">
      <c r="A211" s="104" t="n"/>
      <c r="B211" s="104" t="n"/>
      <c r="C211" s="104" t="n"/>
      <c r="D211" s="105" t="n"/>
      <c r="E211" s="105" t="n"/>
      <c r="F211" s="105" t="n"/>
      <c r="G211" s="106" t="n"/>
      <c r="H211" s="106" t="n"/>
      <c r="I211" s="106" t="n"/>
      <c r="J211" s="107" t="n"/>
      <c r="K211" s="105" t="n"/>
      <c r="L211" s="106" t="n"/>
      <c r="M211" s="106" t="n"/>
      <c r="N211" s="106" t="n"/>
      <c r="O211" s="106" t="n"/>
      <c r="P211" s="105" t="n"/>
      <c r="Q211" s="107" t="n"/>
      <c r="R211" s="105" t="n"/>
      <c r="S211" s="107" t="n"/>
      <c r="T211" s="108">
        <f>IFERROR(L211+M211+N211+O211+IFERROR(AC211,0)+IFERROR(AD211,0)+IFERROR(AE211,0)+IFERROR(AF211,0)+IFERROR(AG211,0),0)</f>
        <v/>
      </c>
      <c r="U211" s="108">
        <f>IFERROR(H211+IFERROR(I211,0)+T211+IFERROR(V211,0),0)</f>
        <v/>
      </c>
    </row>
    <row r="212" ht="15" customHeight="1" s="199">
      <c r="A212" s="104" t="n"/>
      <c r="B212" s="104" t="n"/>
      <c r="C212" s="104" t="n"/>
      <c r="D212" s="105" t="n"/>
      <c r="E212" s="105" t="n"/>
      <c r="F212" s="105" t="n"/>
      <c r="G212" s="106" t="n"/>
      <c r="H212" s="106" t="n"/>
      <c r="I212" s="106" t="n"/>
      <c r="J212" s="107" t="n"/>
      <c r="K212" s="105" t="n"/>
      <c r="L212" s="106" t="n"/>
      <c r="M212" s="106" t="n"/>
      <c r="N212" s="106" t="n"/>
      <c r="O212" s="106" t="n"/>
      <c r="P212" s="105" t="n"/>
      <c r="Q212" s="107" t="n"/>
      <c r="R212" s="105" t="n"/>
      <c r="S212" s="107" t="n"/>
      <c r="T212" s="108">
        <f>IFERROR(L212+M212+N212+O212+IFERROR(AC212,0)+IFERROR(AD212,0)+IFERROR(AE212,0)+IFERROR(AF212,0)+IFERROR(AG212,0),0)</f>
        <v/>
      </c>
      <c r="U212" s="108">
        <f>IFERROR(H212+IFERROR(I212,0)+T212+IFERROR(V212,0),0)</f>
        <v/>
      </c>
    </row>
    <row r="213" ht="15" customHeight="1" s="199">
      <c r="A213" s="104" t="n"/>
      <c r="B213" s="104" t="n"/>
      <c r="C213" s="104" t="n"/>
      <c r="D213" s="105" t="n"/>
      <c r="E213" s="105" t="n"/>
      <c r="F213" s="105" t="n"/>
      <c r="G213" s="106" t="n"/>
      <c r="H213" s="106" t="n"/>
      <c r="I213" s="106" t="n"/>
      <c r="J213" s="107" t="n"/>
      <c r="K213" s="105" t="n"/>
      <c r="L213" s="106" t="n"/>
      <c r="M213" s="106" t="n"/>
      <c r="N213" s="106" t="n"/>
      <c r="O213" s="106" t="n"/>
      <c r="P213" s="105" t="n"/>
      <c r="Q213" s="107" t="n"/>
      <c r="R213" s="105" t="n"/>
      <c r="S213" s="107" t="n"/>
      <c r="T213" s="108">
        <f>IFERROR(L213+M213+N213+O213+IFERROR(AC213,0)+IFERROR(AD213,0)+IFERROR(AE213,0)+IFERROR(AF213,0)+IFERROR(AG213,0),0)</f>
        <v/>
      </c>
      <c r="U213" s="108">
        <f>IFERROR(H213+IFERROR(I213,0)+T213+IFERROR(V213,0),0)</f>
        <v/>
      </c>
    </row>
    <row r="214" ht="15" customHeight="1" s="199">
      <c r="A214" s="104" t="n"/>
      <c r="B214" s="104" t="n"/>
      <c r="C214" s="104" t="n"/>
      <c r="D214" s="105" t="n"/>
      <c r="E214" s="105" t="n"/>
      <c r="F214" s="105" t="n"/>
      <c r="G214" s="106" t="n"/>
      <c r="H214" s="106" t="n"/>
      <c r="I214" s="106" t="n"/>
      <c r="J214" s="107" t="n"/>
      <c r="K214" s="105" t="n"/>
      <c r="L214" s="106" t="n"/>
      <c r="M214" s="106" t="n"/>
      <c r="N214" s="106" t="n"/>
      <c r="O214" s="106" t="n"/>
      <c r="P214" s="105" t="n"/>
      <c r="Q214" s="107" t="n"/>
      <c r="R214" s="105" t="n"/>
      <c r="S214" s="107" t="n"/>
      <c r="T214" s="108">
        <f>IFERROR(L214+M214+N214+O214+IFERROR(AC214,0)+IFERROR(AD214,0)+IFERROR(AE214,0)+IFERROR(AF214,0)+IFERROR(AG214,0),0)</f>
        <v/>
      </c>
      <c r="U214" s="108">
        <f>IFERROR(H214+IFERROR(I214,0)+T214+IFERROR(V214,0),0)</f>
        <v/>
      </c>
    </row>
    <row r="215" ht="15" customHeight="1" s="199">
      <c r="A215" s="104" t="n"/>
      <c r="B215" s="104" t="n"/>
      <c r="C215" s="104" t="n"/>
      <c r="D215" s="105" t="n"/>
      <c r="E215" s="105" t="n"/>
      <c r="F215" s="105" t="n"/>
      <c r="G215" s="106" t="n"/>
      <c r="H215" s="106" t="n"/>
      <c r="I215" s="106" t="n"/>
      <c r="J215" s="107" t="n"/>
      <c r="K215" s="105" t="n"/>
      <c r="L215" s="106" t="n"/>
      <c r="M215" s="106" t="n"/>
      <c r="N215" s="106" t="n"/>
      <c r="O215" s="106" t="n"/>
      <c r="P215" s="105" t="n"/>
      <c r="Q215" s="107" t="n"/>
      <c r="R215" s="105" t="n"/>
      <c r="S215" s="107" t="n"/>
      <c r="T215" s="108">
        <f>IFERROR(L215+M215+N215+O215+IFERROR(AC215,0)+IFERROR(AD215,0)+IFERROR(AE215,0)+IFERROR(AF215,0)+IFERROR(AG215,0),0)</f>
        <v/>
      </c>
      <c r="U215" s="108">
        <f>IFERROR(H215+IFERROR(I215,0)+T215+IFERROR(V215,0),0)</f>
        <v/>
      </c>
    </row>
    <row r="216" ht="15" customHeight="1" s="199">
      <c r="A216" s="104" t="n"/>
      <c r="B216" s="104" t="n"/>
      <c r="C216" s="104" t="n"/>
      <c r="D216" s="105" t="n"/>
      <c r="E216" s="105" t="n"/>
      <c r="F216" s="105" t="n"/>
      <c r="G216" s="106" t="n"/>
      <c r="H216" s="106" t="n"/>
      <c r="I216" s="106" t="n"/>
      <c r="J216" s="107" t="n"/>
      <c r="K216" s="105" t="n"/>
      <c r="L216" s="106" t="n"/>
      <c r="M216" s="106" t="n"/>
      <c r="N216" s="106" t="n"/>
      <c r="O216" s="106" t="n"/>
      <c r="P216" s="105" t="n"/>
      <c r="Q216" s="107" t="n"/>
      <c r="R216" s="105" t="n"/>
      <c r="S216" s="107" t="n"/>
      <c r="T216" s="108">
        <f>IFERROR(L216+M216+N216+O216+IFERROR(AC216,0)+IFERROR(AD216,0)+IFERROR(AE216,0)+IFERROR(AF216,0)+IFERROR(AG216,0),0)</f>
        <v/>
      </c>
      <c r="U216" s="108">
        <f>IFERROR(H216+IFERROR(I216,0)+T216+IFERROR(V216,0),0)</f>
        <v/>
      </c>
    </row>
    <row r="217" ht="15" customHeight="1" s="199">
      <c r="A217" s="104" t="n"/>
      <c r="B217" s="104" t="n"/>
      <c r="C217" s="104" t="n"/>
      <c r="D217" s="105" t="n"/>
      <c r="E217" s="105" t="n"/>
      <c r="F217" s="105" t="n"/>
      <c r="G217" s="106" t="n"/>
      <c r="H217" s="106" t="n"/>
      <c r="I217" s="106" t="n"/>
      <c r="J217" s="107" t="n"/>
      <c r="K217" s="105" t="n"/>
      <c r="L217" s="106" t="n"/>
      <c r="M217" s="106" t="n"/>
      <c r="N217" s="106" t="n"/>
      <c r="O217" s="106" t="n"/>
      <c r="P217" s="105" t="n"/>
      <c r="Q217" s="107" t="n"/>
      <c r="R217" s="105" t="n"/>
      <c r="S217" s="107" t="n"/>
      <c r="T217" s="108">
        <f>IFERROR(L217+M217+N217+O217+IFERROR(AC217,0)+IFERROR(AD217,0)+IFERROR(AE217,0)+IFERROR(AF217,0)+IFERROR(AG217,0),0)</f>
        <v/>
      </c>
      <c r="U217" s="108">
        <f>IFERROR(H217+IFERROR(I217,0)+T217+IFERROR(V217,0),0)</f>
        <v/>
      </c>
    </row>
    <row r="218" ht="15" customHeight="1" s="199">
      <c r="A218" s="104" t="n"/>
      <c r="B218" s="104" t="n"/>
      <c r="C218" s="104" t="n"/>
      <c r="D218" s="105" t="n"/>
      <c r="E218" s="105" t="n"/>
      <c r="F218" s="105" t="n"/>
      <c r="G218" s="106" t="n"/>
      <c r="H218" s="106" t="n"/>
      <c r="I218" s="106" t="n"/>
      <c r="J218" s="107" t="n"/>
      <c r="K218" s="105" t="n"/>
      <c r="L218" s="106" t="n"/>
      <c r="M218" s="106" t="n"/>
      <c r="N218" s="106" t="n"/>
      <c r="O218" s="106" t="n"/>
      <c r="P218" s="105" t="n"/>
      <c r="Q218" s="107" t="n"/>
      <c r="R218" s="105" t="n"/>
      <c r="S218" s="107" t="n"/>
      <c r="T218" s="108">
        <f>IFERROR(L218+M218+N218+O218+IFERROR(AC218,0)+IFERROR(AD218,0)+IFERROR(AE218,0)+IFERROR(AF218,0)+IFERROR(AG218,0),0)</f>
        <v/>
      </c>
      <c r="U218" s="108">
        <f>IFERROR(H218+IFERROR(I218,0)+T218+IFERROR(V218,0),0)</f>
        <v/>
      </c>
    </row>
    <row r="219" ht="15" customHeight="1" s="199">
      <c r="A219" s="104" t="n"/>
      <c r="B219" s="104" t="n"/>
      <c r="C219" s="104" t="n"/>
      <c r="D219" s="105" t="n"/>
      <c r="E219" s="105" t="n"/>
      <c r="F219" s="105" t="n"/>
      <c r="G219" s="106" t="n"/>
      <c r="H219" s="106" t="n"/>
      <c r="I219" s="106" t="n"/>
      <c r="J219" s="107" t="n"/>
      <c r="K219" s="105" t="n"/>
      <c r="L219" s="106" t="n"/>
      <c r="M219" s="106" t="n"/>
      <c r="N219" s="106" t="n"/>
      <c r="O219" s="106" t="n"/>
      <c r="P219" s="105" t="n"/>
      <c r="Q219" s="107" t="n"/>
      <c r="R219" s="105" t="n"/>
      <c r="S219" s="107" t="n"/>
      <c r="T219" s="108">
        <f>IFERROR(L219+M219+N219+O219+IFERROR(AC219,0)+IFERROR(AD219,0)+IFERROR(AE219,0)+IFERROR(AF219,0)+IFERROR(AG219,0),0)</f>
        <v/>
      </c>
      <c r="U219" s="108">
        <f>IFERROR(H219+IFERROR(I219,0)+T219+IFERROR(V219,0),0)</f>
        <v/>
      </c>
    </row>
    <row r="220" ht="15" customHeight="1" s="199">
      <c r="A220" s="104" t="n"/>
      <c r="B220" s="104" t="n"/>
      <c r="C220" s="104" t="n"/>
      <c r="D220" s="105" t="n"/>
      <c r="E220" s="105" t="n"/>
      <c r="F220" s="105" t="n"/>
      <c r="G220" s="106" t="n"/>
      <c r="H220" s="106" t="n"/>
      <c r="I220" s="106" t="n"/>
      <c r="J220" s="107" t="n"/>
      <c r="K220" s="105" t="n"/>
      <c r="L220" s="106" t="n"/>
      <c r="M220" s="106" t="n"/>
      <c r="N220" s="106" t="n"/>
      <c r="O220" s="106" t="n"/>
      <c r="P220" s="105" t="n"/>
      <c r="Q220" s="107" t="n"/>
      <c r="R220" s="105" t="n"/>
      <c r="S220" s="107" t="n"/>
      <c r="T220" s="108">
        <f>IFERROR(L220+M220+N220+O220+IFERROR(AC220,0)+IFERROR(AD220,0)+IFERROR(AE220,0)+IFERROR(AF220,0)+IFERROR(AG220,0),0)</f>
        <v/>
      </c>
      <c r="U220" s="108">
        <f>IFERROR(H220+IFERROR(I220,0)+T220+IFERROR(V220,0),0)</f>
        <v/>
      </c>
    </row>
    <row r="221" ht="15" customHeight="1" s="199">
      <c r="A221" s="104" t="n"/>
      <c r="B221" s="104" t="n"/>
      <c r="C221" s="104" t="n"/>
      <c r="D221" s="105" t="n"/>
      <c r="E221" s="105" t="n"/>
      <c r="F221" s="105" t="n"/>
      <c r="G221" s="106" t="n"/>
      <c r="H221" s="106" t="n"/>
      <c r="I221" s="106" t="n"/>
      <c r="J221" s="107" t="n"/>
      <c r="K221" s="105" t="n"/>
      <c r="L221" s="106" t="n"/>
      <c r="M221" s="106" t="n"/>
      <c r="N221" s="106" t="n"/>
      <c r="O221" s="106" t="n"/>
      <c r="P221" s="105" t="n"/>
      <c r="Q221" s="107" t="n"/>
      <c r="R221" s="105" t="n"/>
      <c r="S221" s="107" t="n"/>
      <c r="T221" s="108">
        <f>IFERROR(L221+M221+N221+O221+IFERROR(AC221,0)+IFERROR(AD221,0)+IFERROR(AE221,0)+IFERROR(AF221,0)+IFERROR(AG221,0),0)</f>
        <v/>
      </c>
      <c r="U221" s="108">
        <f>IFERROR(H221+IFERROR(I221,0)+T221+IFERROR(V221,0),0)</f>
        <v/>
      </c>
    </row>
    <row r="222" ht="15" customHeight="1" s="199">
      <c r="A222" s="104" t="n"/>
      <c r="B222" s="104" t="n"/>
      <c r="C222" s="104" t="n"/>
      <c r="D222" s="105" t="n"/>
      <c r="E222" s="105" t="n"/>
      <c r="F222" s="105" t="n"/>
      <c r="G222" s="106" t="n"/>
      <c r="H222" s="106" t="n"/>
      <c r="I222" s="106" t="n"/>
      <c r="J222" s="107" t="n"/>
      <c r="K222" s="105" t="n"/>
      <c r="L222" s="106" t="n"/>
      <c r="M222" s="106" t="n"/>
      <c r="N222" s="106" t="n"/>
      <c r="O222" s="106" t="n"/>
      <c r="P222" s="105" t="n"/>
      <c r="Q222" s="107" t="n"/>
      <c r="R222" s="105" t="n"/>
      <c r="S222" s="107" t="n"/>
      <c r="T222" s="108">
        <f>IFERROR(L222+M222+N222+O222+IFERROR(AC222,0)+IFERROR(AD222,0)+IFERROR(AE222,0)+IFERROR(AF222,0)+IFERROR(AG222,0),0)</f>
        <v/>
      </c>
      <c r="U222" s="108">
        <f>IFERROR(H222+IFERROR(I222,0)+T222+IFERROR(V222,0),0)</f>
        <v/>
      </c>
    </row>
    <row r="223" ht="15" customHeight="1" s="199">
      <c r="A223" s="104" t="n"/>
      <c r="B223" s="104" t="n"/>
      <c r="C223" s="104" t="n"/>
      <c r="D223" s="105" t="n"/>
      <c r="E223" s="105" t="n"/>
      <c r="F223" s="105" t="n"/>
      <c r="G223" s="106" t="n"/>
      <c r="H223" s="106" t="n"/>
      <c r="I223" s="106" t="n"/>
      <c r="J223" s="107" t="n"/>
      <c r="K223" s="105" t="n"/>
      <c r="L223" s="106" t="n"/>
      <c r="M223" s="106" t="n"/>
      <c r="N223" s="106" t="n"/>
      <c r="O223" s="106" t="n"/>
      <c r="P223" s="105" t="n"/>
      <c r="Q223" s="107" t="n"/>
      <c r="R223" s="105" t="n"/>
      <c r="S223" s="107" t="n"/>
      <c r="T223" s="108">
        <f>IFERROR(L223+M223+N223+O223+IFERROR(AC223,0)+IFERROR(AD223,0)+IFERROR(AE223,0)+IFERROR(AF223,0)+IFERROR(AG223,0),0)</f>
        <v/>
      </c>
      <c r="U223" s="108">
        <f>IFERROR(H223+IFERROR(I223,0)+T223+IFERROR(V223,0),0)</f>
        <v/>
      </c>
    </row>
    <row r="224" ht="15" customHeight="1" s="199">
      <c r="A224" s="104" t="n"/>
      <c r="B224" s="104" t="n"/>
      <c r="C224" s="104" t="n"/>
      <c r="D224" s="105" t="n"/>
      <c r="E224" s="105" t="n"/>
      <c r="F224" s="105" t="n"/>
      <c r="G224" s="106" t="n"/>
      <c r="H224" s="106" t="n"/>
      <c r="I224" s="106" t="n"/>
      <c r="J224" s="107" t="n"/>
      <c r="K224" s="105" t="n"/>
      <c r="L224" s="106" t="n"/>
      <c r="M224" s="106" t="n"/>
      <c r="N224" s="106" t="n"/>
      <c r="O224" s="106" t="n"/>
      <c r="P224" s="105" t="n"/>
      <c r="Q224" s="107" t="n"/>
      <c r="R224" s="105" t="n"/>
      <c r="S224" s="107" t="n"/>
      <c r="T224" s="108">
        <f>IFERROR(L224+M224+N224+O224+IFERROR(AC224,0)+IFERROR(AD224,0)+IFERROR(AE224,0)+IFERROR(AF224,0)+IFERROR(AG224,0),0)</f>
        <v/>
      </c>
      <c r="U224" s="108">
        <f>IFERROR(H224+IFERROR(I224,0)+T224+IFERROR(V224,0),0)</f>
        <v/>
      </c>
    </row>
    <row r="225" ht="15" customHeight="1" s="199">
      <c r="A225" s="104" t="n"/>
      <c r="B225" s="104" t="n"/>
      <c r="C225" s="104" t="n"/>
      <c r="D225" s="105" t="n"/>
      <c r="E225" s="105" t="n"/>
      <c r="F225" s="105" t="n"/>
      <c r="G225" s="106" t="n"/>
      <c r="H225" s="106" t="n"/>
      <c r="I225" s="106" t="n"/>
      <c r="J225" s="107" t="n"/>
      <c r="K225" s="105" t="n"/>
      <c r="L225" s="106" t="n"/>
      <c r="M225" s="106" t="n"/>
      <c r="N225" s="106" t="n"/>
      <c r="O225" s="106" t="n"/>
      <c r="P225" s="105" t="n"/>
      <c r="Q225" s="107" t="n"/>
      <c r="R225" s="105" t="n"/>
      <c r="S225" s="107" t="n"/>
      <c r="T225" s="108">
        <f>IFERROR(L225+M225+N225+O225+IFERROR(AC225,0)+IFERROR(AD225,0)+IFERROR(AE225,0)+IFERROR(AF225,0)+IFERROR(AG225,0),0)</f>
        <v/>
      </c>
      <c r="U225" s="108">
        <f>IFERROR(H225+IFERROR(I225,0)+T225+IFERROR(V225,0),0)</f>
        <v/>
      </c>
    </row>
    <row r="226" ht="15" customHeight="1" s="199">
      <c r="A226" s="104" t="n"/>
      <c r="B226" s="104" t="n"/>
      <c r="C226" s="104" t="n"/>
      <c r="D226" s="105" t="n"/>
      <c r="E226" s="105" t="n"/>
      <c r="F226" s="105" t="n"/>
      <c r="G226" s="106" t="n"/>
      <c r="H226" s="106" t="n"/>
      <c r="I226" s="106" t="n"/>
      <c r="J226" s="107" t="n"/>
      <c r="K226" s="105" t="n"/>
      <c r="L226" s="106" t="n"/>
      <c r="M226" s="106" t="n"/>
      <c r="N226" s="106" t="n"/>
      <c r="O226" s="106" t="n"/>
      <c r="P226" s="105" t="n"/>
      <c r="Q226" s="107" t="n"/>
      <c r="R226" s="105" t="n"/>
      <c r="S226" s="107" t="n"/>
      <c r="T226" s="108">
        <f>IFERROR(L226+M226+N226+O226+IFERROR(AC226,0)+IFERROR(AD226,0)+IFERROR(AE226,0)+IFERROR(AF226,0)+IFERROR(AG226,0),0)</f>
        <v/>
      </c>
      <c r="U226" s="108">
        <f>IFERROR(H226+IFERROR(I226,0)+T226+IFERROR(V226,0),0)</f>
        <v/>
      </c>
    </row>
    <row r="227" ht="15" customHeight="1" s="199">
      <c r="A227" s="104" t="n"/>
      <c r="B227" s="104" t="n"/>
      <c r="C227" s="104" t="n"/>
      <c r="D227" s="105" t="n"/>
      <c r="E227" s="105" t="n"/>
      <c r="F227" s="105" t="n"/>
      <c r="G227" s="106" t="n"/>
      <c r="H227" s="106" t="n"/>
      <c r="I227" s="106" t="n"/>
      <c r="J227" s="107" t="n"/>
      <c r="K227" s="105" t="n"/>
      <c r="L227" s="106" t="n"/>
      <c r="M227" s="106" t="n"/>
      <c r="N227" s="106" t="n"/>
      <c r="O227" s="106" t="n"/>
      <c r="P227" s="105" t="n"/>
      <c r="Q227" s="107" t="n"/>
      <c r="R227" s="105" t="n"/>
      <c r="S227" s="107" t="n"/>
      <c r="T227" s="108">
        <f>IFERROR(L227+M227+N227+O227+IFERROR(AC227,0)+IFERROR(AD227,0)+IFERROR(AE227,0)+IFERROR(AF227,0)+IFERROR(AG227,0),0)</f>
        <v/>
      </c>
      <c r="U227" s="108">
        <f>IFERROR(H227+IFERROR(I227,0)+T227+IFERROR(V227,0),0)</f>
        <v/>
      </c>
    </row>
    <row r="228" ht="15" customHeight="1" s="199">
      <c r="A228" s="104" t="n"/>
      <c r="B228" s="104" t="n"/>
      <c r="C228" s="104" t="n"/>
      <c r="D228" s="105" t="n"/>
      <c r="E228" s="105" t="n"/>
      <c r="F228" s="105" t="n"/>
      <c r="G228" s="106" t="n"/>
      <c r="H228" s="106" t="n"/>
      <c r="I228" s="106" t="n"/>
      <c r="J228" s="107" t="n"/>
      <c r="K228" s="105" t="n"/>
      <c r="L228" s="106" t="n"/>
      <c r="M228" s="106" t="n"/>
      <c r="N228" s="106" t="n"/>
      <c r="O228" s="106" t="n"/>
      <c r="P228" s="105" t="n"/>
      <c r="Q228" s="107" t="n"/>
      <c r="R228" s="105" t="n"/>
      <c r="S228" s="107" t="n"/>
      <c r="T228" s="108">
        <f>IFERROR(L228+M228+N228+O228+IFERROR(AC228,0)+IFERROR(AD228,0)+IFERROR(AE228,0)+IFERROR(AF228,0)+IFERROR(AG228,0),0)</f>
        <v/>
      </c>
      <c r="U228" s="108">
        <f>IFERROR(H228+IFERROR(I228,0)+T228+IFERROR(V228,0),0)</f>
        <v/>
      </c>
    </row>
    <row r="229" ht="15" customHeight="1" s="199">
      <c r="A229" s="104" t="n"/>
      <c r="B229" s="104" t="n"/>
      <c r="C229" s="104" t="n"/>
      <c r="D229" s="105" t="n"/>
      <c r="E229" s="105" t="n"/>
      <c r="F229" s="105" t="n"/>
      <c r="G229" s="106" t="n"/>
      <c r="H229" s="106" t="n"/>
      <c r="I229" s="106" t="n"/>
      <c r="J229" s="107" t="n"/>
      <c r="K229" s="105" t="n"/>
      <c r="L229" s="106" t="n"/>
      <c r="M229" s="106" t="n"/>
      <c r="N229" s="106" t="n"/>
      <c r="O229" s="106" t="n"/>
      <c r="P229" s="105" t="n"/>
      <c r="Q229" s="107" t="n"/>
      <c r="R229" s="105" t="n"/>
      <c r="S229" s="107" t="n"/>
      <c r="T229" s="108">
        <f>IFERROR(L229+M229+N229+O229+IFERROR(AC229,0)+IFERROR(AD229,0)+IFERROR(AE229,0)+IFERROR(AF229,0)+IFERROR(AG229,0),0)</f>
        <v/>
      </c>
      <c r="U229" s="108">
        <f>IFERROR(H229+IFERROR(I229,0)+T229+IFERROR(V229,0),0)</f>
        <v/>
      </c>
    </row>
    <row r="230" ht="15" customHeight="1" s="199">
      <c r="A230" s="104" t="n"/>
      <c r="B230" s="104" t="n"/>
      <c r="C230" s="104" t="n"/>
      <c r="D230" s="105" t="n"/>
      <c r="E230" s="105" t="n"/>
      <c r="F230" s="105" t="n"/>
      <c r="G230" s="106" t="n"/>
      <c r="H230" s="106" t="n"/>
      <c r="I230" s="106" t="n"/>
      <c r="J230" s="107" t="n"/>
      <c r="K230" s="105" t="n"/>
      <c r="L230" s="106" t="n"/>
      <c r="M230" s="106" t="n"/>
      <c r="N230" s="106" t="n"/>
      <c r="O230" s="106" t="n"/>
      <c r="P230" s="105" t="n"/>
      <c r="Q230" s="107" t="n"/>
      <c r="R230" s="105" t="n"/>
      <c r="S230" s="107" t="n"/>
      <c r="T230" s="108">
        <f>IFERROR(L230+M230+N230+O230+IFERROR(AC230,0)+IFERROR(AD230,0)+IFERROR(AE230,0)+IFERROR(AF230,0)+IFERROR(AG230,0),0)</f>
        <v/>
      </c>
      <c r="U230" s="108">
        <f>IFERROR(H230+IFERROR(I230,0)+T230+IFERROR(V230,0),0)</f>
        <v/>
      </c>
    </row>
    <row r="231" ht="15" customHeight="1" s="199">
      <c r="A231" s="104" t="n"/>
      <c r="B231" s="104" t="n"/>
      <c r="C231" s="104" t="n"/>
      <c r="D231" s="105" t="n"/>
      <c r="E231" s="105" t="n"/>
      <c r="F231" s="105" t="n"/>
      <c r="G231" s="106" t="n"/>
      <c r="H231" s="106" t="n"/>
      <c r="I231" s="106" t="n"/>
      <c r="J231" s="107" t="n"/>
      <c r="K231" s="105" t="n"/>
      <c r="L231" s="106" t="n"/>
      <c r="M231" s="106" t="n"/>
      <c r="N231" s="106" t="n"/>
      <c r="O231" s="106" t="n"/>
      <c r="P231" s="105" t="n"/>
      <c r="Q231" s="107" t="n"/>
      <c r="R231" s="105" t="n"/>
      <c r="S231" s="107" t="n"/>
      <c r="T231" s="108">
        <f>IFERROR(L231+M231+N231+O231+IFERROR(AC231,0)+IFERROR(AD231,0)+IFERROR(AE231,0)+IFERROR(AF231,0)+IFERROR(AG231,0),0)</f>
        <v/>
      </c>
      <c r="U231" s="108">
        <f>IFERROR(H231+IFERROR(I231,0)+T231+IFERROR(V231,0),0)</f>
        <v/>
      </c>
    </row>
    <row r="232" ht="15" customHeight="1" s="199">
      <c r="A232" s="104" t="n"/>
      <c r="B232" s="104" t="n"/>
      <c r="C232" s="104" t="n"/>
      <c r="D232" s="105" t="n"/>
      <c r="E232" s="105" t="n"/>
      <c r="F232" s="105" t="n"/>
      <c r="G232" s="106" t="n"/>
      <c r="H232" s="106" t="n"/>
      <c r="I232" s="106" t="n"/>
      <c r="J232" s="107" t="n"/>
      <c r="K232" s="105" t="n"/>
      <c r="L232" s="106" t="n"/>
      <c r="M232" s="106" t="n"/>
      <c r="N232" s="106" t="n"/>
      <c r="O232" s="106" t="n"/>
      <c r="P232" s="105" t="n"/>
      <c r="Q232" s="107" t="n"/>
      <c r="R232" s="105" t="n"/>
      <c r="S232" s="107" t="n"/>
      <c r="T232" s="108">
        <f>IFERROR(L232+M232+N232+O232+IFERROR(AC232,0)+IFERROR(AD232,0)+IFERROR(AE232,0)+IFERROR(AF232,0)+IFERROR(AG232,0),0)</f>
        <v/>
      </c>
      <c r="U232" s="108">
        <f>IFERROR(H232+IFERROR(I232,0)+T232+IFERROR(V232,0),0)</f>
        <v/>
      </c>
    </row>
    <row r="233" ht="15" customHeight="1" s="199">
      <c r="A233" s="104" t="n"/>
      <c r="B233" s="104" t="n"/>
      <c r="C233" s="104" t="n"/>
      <c r="D233" s="105" t="n"/>
      <c r="E233" s="105" t="n"/>
      <c r="F233" s="105" t="n"/>
      <c r="G233" s="106" t="n"/>
      <c r="H233" s="106" t="n"/>
      <c r="I233" s="106" t="n"/>
      <c r="J233" s="107" t="n"/>
      <c r="K233" s="105" t="n"/>
      <c r="L233" s="106" t="n"/>
      <c r="M233" s="106" t="n"/>
      <c r="N233" s="106" t="n"/>
      <c r="O233" s="106" t="n"/>
      <c r="P233" s="105" t="n"/>
      <c r="Q233" s="107" t="n"/>
      <c r="R233" s="105" t="n"/>
      <c r="S233" s="107" t="n"/>
      <c r="T233" s="108">
        <f>IFERROR(L233+M233+N233+O233+IFERROR(AC233,0)+IFERROR(AD233,0)+IFERROR(AE233,0)+IFERROR(AF233,0)+IFERROR(AG233,0),0)</f>
        <v/>
      </c>
      <c r="U233" s="108">
        <f>IFERROR(H233+IFERROR(I233,0)+T233+IFERROR(V233,0),0)</f>
        <v/>
      </c>
    </row>
    <row r="234" ht="15" customHeight="1" s="199">
      <c r="A234" s="104" t="n"/>
      <c r="B234" s="104" t="n"/>
      <c r="C234" s="104" t="n"/>
      <c r="D234" s="105" t="n"/>
      <c r="E234" s="105" t="n"/>
      <c r="F234" s="105" t="n"/>
      <c r="G234" s="106" t="n"/>
      <c r="H234" s="106" t="n"/>
      <c r="I234" s="106" t="n"/>
      <c r="J234" s="107" t="n"/>
      <c r="K234" s="105" t="n"/>
      <c r="L234" s="106" t="n"/>
      <c r="M234" s="106" t="n"/>
      <c r="N234" s="106" t="n"/>
      <c r="O234" s="106" t="n"/>
      <c r="P234" s="105" t="n"/>
      <c r="Q234" s="107" t="n"/>
      <c r="R234" s="105" t="n"/>
      <c r="S234" s="107" t="n"/>
      <c r="T234" s="108">
        <f>IFERROR(L234+M234+N234+O234+IFERROR(AC234,0)+IFERROR(AD234,0)+IFERROR(AE234,0)+IFERROR(AF234,0)+IFERROR(AG234,0),0)</f>
        <v/>
      </c>
      <c r="U234" s="108">
        <f>IFERROR(H234+IFERROR(I234,0)+T234+IFERROR(V234,0),0)</f>
        <v/>
      </c>
    </row>
    <row r="235" ht="15" customHeight="1" s="199">
      <c r="A235" s="104" t="n"/>
      <c r="B235" s="104" t="n"/>
      <c r="C235" s="104" t="n"/>
      <c r="D235" s="105" t="n"/>
      <c r="E235" s="105" t="n"/>
      <c r="F235" s="105" t="n"/>
      <c r="G235" s="106" t="n"/>
      <c r="H235" s="106" t="n"/>
      <c r="I235" s="106" t="n"/>
      <c r="J235" s="107" t="n"/>
      <c r="K235" s="105" t="n"/>
      <c r="L235" s="106" t="n"/>
      <c r="M235" s="106" t="n"/>
      <c r="N235" s="106" t="n"/>
      <c r="O235" s="106" t="n"/>
      <c r="P235" s="105" t="n"/>
      <c r="Q235" s="107" t="n"/>
      <c r="R235" s="105" t="n"/>
      <c r="S235" s="107" t="n"/>
      <c r="T235" s="108">
        <f>IFERROR(L235+M235+N235+O235+IFERROR(AC235,0)+IFERROR(AD235,0)+IFERROR(AE235,0)+IFERROR(AF235,0)+IFERROR(AG235,0),0)</f>
        <v/>
      </c>
      <c r="U235" s="108">
        <f>IFERROR(H235+IFERROR(I235,0)+T235+IFERROR(V235,0),0)</f>
        <v/>
      </c>
    </row>
    <row r="236" ht="15" customHeight="1" s="199">
      <c r="A236" s="104" t="n"/>
      <c r="B236" s="104" t="n"/>
      <c r="C236" s="104" t="n"/>
      <c r="D236" s="105" t="n"/>
      <c r="E236" s="105" t="n"/>
      <c r="F236" s="105" t="n"/>
      <c r="G236" s="106" t="n"/>
      <c r="H236" s="106" t="n"/>
      <c r="I236" s="106" t="n"/>
      <c r="J236" s="107" t="n"/>
      <c r="K236" s="105" t="n"/>
      <c r="L236" s="106" t="n"/>
      <c r="M236" s="106" t="n"/>
      <c r="N236" s="106" t="n"/>
      <c r="O236" s="106" t="n"/>
      <c r="P236" s="105" t="n"/>
      <c r="Q236" s="107" t="n"/>
      <c r="R236" s="105" t="n"/>
      <c r="S236" s="107" t="n"/>
      <c r="T236" s="108">
        <f>IFERROR(L236+M236+N236+O236+IFERROR(AC236,0)+IFERROR(AD236,0)+IFERROR(AE236,0)+IFERROR(AF236,0)+IFERROR(AG236,0),0)</f>
        <v/>
      </c>
      <c r="U236" s="108">
        <f>IFERROR(H236+IFERROR(I236,0)+T236+IFERROR(V236,0),0)</f>
        <v/>
      </c>
    </row>
    <row r="237" ht="15" customHeight="1" s="199">
      <c r="A237" s="104" t="n"/>
      <c r="B237" s="104" t="n"/>
      <c r="C237" s="104" t="n"/>
      <c r="D237" s="105" t="n"/>
      <c r="E237" s="105" t="n"/>
      <c r="F237" s="105" t="n"/>
      <c r="G237" s="106" t="n"/>
      <c r="H237" s="106" t="n"/>
      <c r="I237" s="106" t="n"/>
      <c r="J237" s="107" t="n"/>
      <c r="K237" s="105" t="n"/>
      <c r="L237" s="106" t="n"/>
      <c r="M237" s="106" t="n"/>
      <c r="N237" s="106" t="n"/>
      <c r="O237" s="106" t="n"/>
      <c r="P237" s="105" t="n"/>
      <c r="Q237" s="107" t="n"/>
      <c r="R237" s="105" t="n"/>
      <c r="S237" s="107" t="n"/>
      <c r="T237" s="108">
        <f>IFERROR(L237+M237+N237+O237+IFERROR(AC237,0)+IFERROR(AD237,0)+IFERROR(AE237,0)+IFERROR(AF237,0)+IFERROR(AG237,0),0)</f>
        <v/>
      </c>
      <c r="U237" s="108">
        <f>IFERROR(H237+IFERROR(I237,0)+T237+IFERROR(V237,0),0)</f>
        <v/>
      </c>
    </row>
    <row r="238" ht="15" customHeight="1" s="199">
      <c r="A238" s="104" t="n"/>
      <c r="B238" s="104" t="n"/>
      <c r="C238" s="104" t="n"/>
      <c r="D238" s="105" t="n"/>
      <c r="E238" s="105" t="n"/>
      <c r="F238" s="105" t="n"/>
      <c r="G238" s="106" t="n"/>
      <c r="H238" s="106" t="n"/>
      <c r="I238" s="106" t="n"/>
      <c r="J238" s="107" t="n"/>
      <c r="K238" s="105" t="n"/>
      <c r="L238" s="106" t="n"/>
      <c r="M238" s="106" t="n"/>
      <c r="N238" s="106" t="n"/>
      <c r="O238" s="106" t="n"/>
      <c r="P238" s="105" t="n"/>
      <c r="Q238" s="107" t="n"/>
      <c r="R238" s="105" t="n"/>
      <c r="S238" s="107" t="n"/>
      <c r="T238" s="108">
        <f>IFERROR(L238+M238+N238+O238+IFERROR(AC238,0)+IFERROR(AD238,0)+IFERROR(AE238,0)+IFERROR(AF238,0)+IFERROR(AG238,0),0)</f>
        <v/>
      </c>
      <c r="U238" s="108">
        <f>IFERROR(H238+IFERROR(I238,0)+T238+IFERROR(V238,0),0)</f>
        <v/>
      </c>
    </row>
    <row r="239" ht="15" customHeight="1" s="199">
      <c r="A239" s="104" t="n"/>
      <c r="B239" s="104" t="n"/>
      <c r="C239" s="104" t="n"/>
      <c r="D239" s="105" t="n"/>
      <c r="E239" s="105" t="n"/>
      <c r="F239" s="105" t="n"/>
      <c r="G239" s="106" t="n"/>
      <c r="H239" s="106" t="n"/>
      <c r="I239" s="106" t="n"/>
      <c r="J239" s="107" t="n"/>
      <c r="K239" s="105" t="n"/>
      <c r="L239" s="106" t="n"/>
      <c r="M239" s="106" t="n"/>
      <c r="N239" s="106" t="n"/>
      <c r="O239" s="106" t="n"/>
      <c r="P239" s="105" t="n"/>
      <c r="Q239" s="107" t="n"/>
      <c r="R239" s="105" t="n"/>
      <c r="S239" s="107" t="n"/>
      <c r="T239" s="108">
        <f>IFERROR(L239+M239+N239+O239+IFERROR(AC239,0)+IFERROR(AD239,0)+IFERROR(AE239,0)+IFERROR(AF239,0)+IFERROR(AG239,0),0)</f>
        <v/>
      </c>
      <c r="U239" s="108">
        <f>IFERROR(H239+IFERROR(I239,0)+T239+IFERROR(V239,0),0)</f>
        <v/>
      </c>
    </row>
    <row r="240" ht="15" customHeight="1" s="199">
      <c r="A240" s="104" t="n"/>
      <c r="B240" s="104" t="n"/>
      <c r="C240" s="104" t="n"/>
      <c r="D240" s="105" t="n"/>
      <c r="E240" s="105" t="n"/>
      <c r="F240" s="105" t="n"/>
      <c r="G240" s="106" t="n"/>
      <c r="H240" s="106" t="n"/>
      <c r="I240" s="106" t="n"/>
      <c r="J240" s="107" t="n"/>
      <c r="K240" s="105" t="n"/>
      <c r="L240" s="106" t="n"/>
      <c r="M240" s="106" t="n"/>
      <c r="N240" s="106" t="n"/>
      <c r="O240" s="106" t="n"/>
      <c r="P240" s="105" t="n"/>
      <c r="Q240" s="107" t="n"/>
      <c r="R240" s="105" t="n"/>
      <c r="S240" s="107" t="n"/>
      <c r="T240" s="108">
        <f>IFERROR(L240+M240+N240+O240+IFERROR(AC240,0)+IFERROR(AD240,0)+IFERROR(AE240,0)+IFERROR(AF240,0)+IFERROR(AG240,0),0)</f>
        <v/>
      </c>
      <c r="U240" s="108">
        <f>IFERROR(H240+IFERROR(I240,0)+T240+IFERROR(V240,0),0)</f>
        <v/>
      </c>
    </row>
    <row r="241" ht="15" customHeight="1" s="199">
      <c r="A241" s="104" t="n"/>
      <c r="B241" s="104" t="n"/>
      <c r="C241" s="104" t="n"/>
      <c r="D241" s="105" t="n"/>
      <c r="E241" s="105" t="n"/>
      <c r="F241" s="105" t="n"/>
      <c r="G241" s="106" t="n"/>
      <c r="H241" s="106" t="n"/>
      <c r="I241" s="106" t="n"/>
      <c r="J241" s="107" t="n"/>
      <c r="K241" s="105" t="n"/>
      <c r="L241" s="106" t="n"/>
      <c r="M241" s="106" t="n"/>
      <c r="N241" s="106" t="n"/>
      <c r="O241" s="106" t="n"/>
      <c r="P241" s="105" t="n"/>
      <c r="Q241" s="107" t="n"/>
      <c r="R241" s="105" t="n"/>
      <c r="S241" s="107" t="n"/>
      <c r="T241" s="108">
        <f>IFERROR(L241+M241+N241+O241+IFERROR(AC241,0)+IFERROR(AD241,0)+IFERROR(AE241,0)+IFERROR(AF241,0)+IFERROR(AG241,0),0)</f>
        <v/>
      </c>
      <c r="U241" s="108">
        <f>IFERROR(H241+IFERROR(I241,0)+T241+IFERROR(V241,0),0)</f>
        <v/>
      </c>
    </row>
    <row r="242" ht="15" customHeight="1" s="199">
      <c r="A242" s="104" t="n"/>
      <c r="B242" s="104" t="n"/>
      <c r="C242" s="104" t="n"/>
      <c r="D242" s="105" t="n"/>
      <c r="E242" s="105" t="n"/>
      <c r="F242" s="105" t="n"/>
      <c r="G242" s="106" t="n"/>
      <c r="H242" s="106" t="n"/>
      <c r="I242" s="106" t="n"/>
      <c r="J242" s="107" t="n"/>
      <c r="K242" s="105" t="n"/>
      <c r="L242" s="106" t="n"/>
      <c r="M242" s="106" t="n"/>
      <c r="N242" s="106" t="n"/>
      <c r="O242" s="106" t="n"/>
      <c r="P242" s="105" t="n"/>
      <c r="Q242" s="107" t="n"/>
      <c r="R242" s="105" t="n"/>
      <c r="S242" s="107" t="n"/>
      <c r="T242" s="108">
        <f>IFERROR(L242+M242+N242+O242+IFERROR(AC242,0)+IFERROR(AD242,0)+IFERROR(AE242,0)+IFERROR(AF242,0)+IFERROR(AG242,0),0)</f>
        <v/>
      </c>
      <c r="U242" s="108">
        <f>IFERROR(H242+IFERROR(I242,0)+T242+IFERROR(V242,0),0)</f>
        <v/>
      </c>
    </row>
    <row r="243" ht="15" customHeight="1" s="199">
      <c r="A243" s="104" t="n"/>
      <c r="B243" s="104" t="n"/>
      <c r="C243" s="104" t="n"/>
      <c r="D243" s="105" t="n"/>
      <c r="E243" s="105" t="n"/>
      <c r="F243" s="105" t="n"/>
      <c r="G243" s="106" t="n"/>
      <c r="H243" s="106" t="n"/>
      <c r="I243" s="106" t="n"/>
      <c r="J243" s="107" t="n"/>
      <c r="K243" s="105" t="n"/>
      <c r="L243" s="106" t="n"/>
      <c r="M243" s="106" t="n"/>
      <c r="N243" s="106" t="n"/>
      <c r="O243" s="106" t="n"/>
      <c r="P243" s="105" t="n"/>
      <c r="Q243" s="107" t="n"/>
      <c r="R243" s="105" t="n"/>
      <c r="S243" s="107" t="n"/>
      <c r="T243" s="108">
        <f>IFERROR(L243+M243+N243+O243+IFERROR(AC243,0)+IFERROR(AD243,0)+IFERROR(AE243,0)+IFERROR(AF243,0)+IFERROR(AG243,0),0)</f>
        <v/>
      </c>
      <c r="U243" s="108">
        <f>IFERROR(H243+IFERROR(I243,0)+T243+IFERROR(V243,0),0)</f>
        <v/>
      </c>
    </row>
    <row r="244" ht="15" customHeight="1" s="199">
      <c r="A244" s="104" t="n"/>
      <c r="B244" s="104" t="n"/>
      <c r="C244" s="104" t="n"/>
      <c r="D244" s="105" t="n"/>
      <c r="E244" s="105" t="n"/>
      <c r="F244" s="105" t="n"/>
      <c r="G244" s="106" t="n"/>
      <c r="H244" s="106" t="n"/>
      <c r="I244" s="106" t="n"/>
      <c r="J244" s="107" t="n"/>
      <c r="K244" s="105" t="n"/>
      <c r="L244" s="106" t="n"/>
      <c r="M244" s="106" t="n"/>
      <c r="N244" s="106" t="n"/>
      <c r="O244" s="106" t="n"/>
      <c r="P244" s="105" t="n"/>
      <c r="Q244" s="107" t="n"/>
      <c r="R244" s="105" t="n"/>
      <c r="S244" s="107" t="n"/>
      <c r="T244" s="108">
        <f>IFERROR(L244+M244+N244+O244+IFERROR(AC244,0)+IFERROR(AD244,0)+IFERROR(AE244,0)+IFERROR(AF244,0)+IFERROR(AG244,0),0)</f>
        <v/>
      </c>
      <c r="U244" s="108">
        <f>IFERROR(H244+IFERROR(I244,0)+T244+IFERROR(V244,0),0)</f>
        <v/>
      </c>
    </row>
    <row r="245" ht="15" customHeight="1" s="199">
      <c r="A245" s="104" t="n"/>
      <c r="B245" s="104" t="n"/>
      <c r="C245" s="104" t="n"/>
      <c r="D245" s="105" t="n"/>
      <c r="E245" s="105" t="n"/>
      <c r="F245" s="105" t="n"/>
      <c r="G245" s="106" t="n"/>
      <c r="H245" s="106" t="n"/>
      <c r="I245" s="106" t="n"/>
      <c r="J245" s="107" t="n"/>
      <c r="K245" s="105" t="n"/>
      <c r="L245" s="106" t="n"/>
      <c r="M245" s="106" t="n"/>
      <c r="N245" s="106" t="n"/>
      <c r="O245" s="106" t="n"/>
      <c r="P245" s="105" t="n"/>
      <c r="Q245" s="107" t="n"/>
      <c r="R245" s="105" t="n"/>
      <c r="S245" s="107" t="n"/>
      <c r="T245" s="108">
        <f>IFERROR(L245+M245+N245+O245+IFERROR(AC245,0)+IFERROR(AD245,0)+IFERROR(AE245,0)+IFERROR(AF245,0)+IFERROR(AG245,0),0)</f>
        <v/>
      </c>
      <c r="U245" s="108">
        <f>IFERROR(H245+IFERROR(I245,0)+T245+IFERROR(V245,0),0)</f>
        <v/>
      </c>
    </row>
    <row r="246" ht="15" customHeight="1" s="199">
      <c r="A246" s="104" t="n"/>
      <c r="B246" s="104" t="n"/>
      <c r="C246" s="104" t="n"/>
      <c r="D246" s="105" t="n"/>
      <c r="E246" s="105" t="n"/>
      <c r="F246" s="105" t="n"/>
      <c r="G246" s="106" t="n"/>
      <c r="H246" s="106" t="n"/>
      <c r="I246" s="106" t="n"/>
      <c r="J246" s="107" t="n"/>
      <c r="K246" s="105" t="n"/>
      <c r="L246" s="106" t="n"/>
      <c r="M246" s="106" t="n"/>
      <c r="N246" s="106" t="n"/>
      <c r="O246" s="106" t="n"/>
      <c r="P246" s="105" t="n"/>
      <c r="Q246" s="107" t="n"/>
      <c r="R246" s="105" t="n"/>
      <c r="S246" s="107" t="n"/>
      <c r="T246" s="108">
        <f>IFERROR(L246+M246+N246+O246+IFERROR(AC246,0)+IFERROR(AD246,0)+IFERROR(AE246,0)+IFERROR(AF246,0)+IFERROR(AG246,0),0)</f>
        <v/>
      </c>
      <c r="U246" s="108">
        <f>IFERROR(H246+IFERROR(I246,0)+T246+IFERROR(V246,0),0)</f>
        <v/>
      </c>
    </row>
    <row r="247" ht="15" customHeight="1" s="199">
      <c r="A247" s="104" t="n"/>
      <c r="B247" s="104" t="n"/>
      <c r="C247" s="104" t="n"/>
      <c r="D247" s="105" t="n"/>
      <c r="E247" s="105" t="n"/>
      <c r="F247" s="105" t="n"/>
      <c r="G247" s="106" t="n"/>
      <c r="H247" s="106" t="n"/>
      <c r="I247" s="106" t="n"/>
      <c r="J247" s="107" t="n"/>
      <c r="K247" s="105" t="n"/>
      <c r="L247" s="106" t="n"/>
      <c r="M247" s="106" t="n"/>
      <c r="N247" s="106" t="n"/>
      <c r="O247" s="106" t="n"/>
      <c r="P247" s="105" t="n"/>
      <c r="Q247" s="107" t="n"/>
      <c r="R247" s="105" t="n"/>
      <c r="S247" s="107" t="n"/>
      <c r="T247" s="108">
        <f>IFERROR(L247+M247+N247+O247+IFERROR(AC247,0)+IFERROR(AD247,0)+IFERROR(AE247,0)+IFERROR(AF247,0)+IFERROR(AG247,0),0)</f>
        <v/>
      </c>
      <c r="U247" s="108">
        <f>IFERROR(H247+IFERROR(I247,0)+T247+IFERROR(V247,0),0)</f>
        <v/>
      </c>
    </row>
    <row r="248" ht="15" customHeight="1" s="199">
      <c r="A248" s="104" t="n"/>
      <c r="B248" s="104" t="n"/>
      <c r="C248" s="104" t="n"/>
      <c r="D248" s="105" t="n"/>
      <c r="E248" s="105" t="n"/>
      <c r="F248" s="105" t="n"/>
      <c r="G248" s="106" t="n"/>
      <c r="H248" s="106" t="n"/>
      <c r="I248" s="106" t="n"/>
      <c r="J248" s="107" t="n"/>
      <c r="K248" s="105" t="n"/>
      <c r="L248" s="106" t="n"/>
      <c r="M248" s="106" t="n"/>
      <c r="N248" s="106" t="n"/>
      <c r="O248" s="106" t="n"/>
      <c r="P248" s="105" t="n"/>
      <c r="Q248" s="107" t="n"/>
      <c r="R248" s="105" t="n"/>
      <c r="S248" s="107" t="n"/>
      <c r="T248" s="108">
        <f>IFERROR(L248+M248+N248+O248+IFERROR(AC248,0)+IFERROR(AD248,0)+IFERROR(AE248,0)+IFERROR(AF248,0)+IFERROR(AG248,0),0)</f>
        <v/>
      </c>
      <c r="U248" s="108">
        <f>IFERROR(H248+IFERROR(I248,0)+T248+IFERROR(V248,0),0)</f>
        <v/>
      </c>
    </row>
    <row r="249" ht="15" customHeight="1" s="199">
      <c r="A249" s="104" t="n"/>
      <c r="B249" s="104" t="n"/>
      <c r="C249" s="104" t="n"/>
      <c r="D249" s="105" t="n"/>
      <c r="E249" s="105" t="n"/>
      <c r="F249" s="105" t="n"/>
      <c r="G249" s="106" t="n"/>
      <c r="H249" s="106" t="n"/>
      <c r="I249" s="106" t="n"/>
      <c r="J249" s="107" t="n"/>
      <c r="K249" s="105" t="n"/>
      <c r="L249" s="106" t="n"/>
      <c r="M249" s="106" t="n"/>
      <c r="N249" s="106" t="n"/>
      <c r="O249" s="106" t="n"/>
      <c r="P249" s="105" t="n"/>
      <c r="Q249" s="107" t="n"/>
      <c r="R249" s="105" t="n"/>
      <c r="S249" s="107" t="n"/>
      <c r="T249" s="108">
        <f>IFERROR(L249+M249+N249+O249+IFERROR(AC249,0)+IFERROR(AD249,0)+IFERROR(AE249,0)+IFERROR(AF249,0)+IFERROR(AG249,0),0)</f>
        <v/>
      </c>
      <c r="U249" s="108">
        <f>IFERROR(H249+IFERROR(I249,0)+T249+IFERROR(V249,0),0)</f>
        <v/>
      </c>
    </row>
    <row r="250" ht="15" customHeight="1" s="199">
      <c r="A250" s="104" t="n"/>
      <c r="B250" s="104" t="n"/>
      <c r="C250" s="104" t="n"/>
      <c r="D250" s="105" t="n"/>
      <c r="E250" s="105" t="n"/>
      <c r="F250" s="105" t="n"/>
      <c r="G250" s="106" t="n"/>
      <c r="H250" s="106" t="n"/>
      <c r="I250" s="106" t="n"/>
      <c r="J250" s="107" t="n"/>
      <c r="K250" s="105" t="n"/>
      <c r="L250" s="106" t="n"/>
      <c r="M250" s="106" t="n"/>
      <c r="N250" s="106" t="n"/>
      <c r="O250" s="106" t="n"/>
      <c r="P250" s="105" t="n"/>
      <c r="Q250" s="107" t="n"/>
      <c r="R250" s="105" t="n"/>
      <c r="S250" s="107" t="n"/>
      <c r="T250" s="108">
        <f>IFERROR(L250+M250+N250+O250+IFERROR(AC250,0)+IFERROR(AD250,0)+IFERROR(AE250,0)+IFERROR(AF250,0)+IFERROR(AG250,0),0)</f>
        <v/>
      </c>
      <c r="U250" s="108">
        <f>IFERROR(H250+IFERROR(I250,0)+T250+IFERROR(V250,0),0)</f>
        <v/>
      </c>
    </row>
    <row r="251" ht="15" customHeight="1" s="199">
      <c r="A251" s="104" t="n"/>
      <c r="B251" s="104" t="n"/>
      <c r="C251" s="104" t="n"/>
      <c r="D251" s="105" t="n"/>
      <c r="E251" s="105" t="n"/>
      <c r="F251" s="105" t="n"/>
      <c r="G251" s="106" t="n"/>
      <c r="H251" s="106" t="n"/>
      <c r="I251" s="106" t="n"/>
      <c r="J251" s="107" t="n"/>
      <c r="K251" s="105" t="n"/>
      <c r="L251" s="106" t="n"/>
      <c r="M251" s="106" t="n"/>
      <c r="N251" s="106" t="n"/>
      <c r="O251" s="106" t="n"/>
      <c r="P251" s="105" t="n"/>
      <c r="Q251" s="107" t="n"/>
      <c r="R251" s="105" t="n"/>
      <c r="S251" s="107" t="n"/>
      <c r="T251" s="108">
        <f>IFERROR(L251+M251+N251+O251+IFERROR(AC251,0)+IFERROR(AD251,0)+IFERROR(AE251,0)+IFERROR(AF251,0)+IFERROR(AG251,0),0)</f>
        <v/>
      </c>
      <c r="U251" s="108">
        <f>IFERROR(H251+IFERROR(I251,0)+T251+IFERROR(V251,0),0)</f>
        <v/>
      </c>
    </row>
    <row r="252" ht="15" customHeight="1" s="199">
      <c r="A252" s="104" t="n"/>
      <c r="B252" s="104" t="n"/>
      <c r="C252" s="104" t="n"/>
      <c r="D252" s="105" t="n"/>
      <c r="E252" s="105" t="n"/>
      <c r="F252" s="105" t="n"/>
      <c r="G252" s="106" t="n"/>
      <c r="H252" s="106" t="n"/>
      <c r="I252" s="106" t="n"/>
      <c r="J252" s="107" t="n"/>
      <c r="K252" s="105" t="n"/>
      <c r="L252" s="106" t="n"/>
      <c r="M252" s="106" t="n"/>
      <c r="N252" s="106" t="n"/>
      <c r="O252" s="106" t="n"/>
      <c r="P252" s="105" t="n"/>
      <c r="Q252" s="107" t="n"/>
      <c r="R252" s="105" t="n"/>
      <c r="S252" s="107" t="n"/>
      <c r="T252" s="108">
        <f>IFERROR(L252+M252+N252+O252+IFERROR(AC252,0)+IFERROR(AD252,0)+IFERROR(AE252,0)+IFERROR(AF252,0)+IFERROR(AG252,0),0)</f>
        <v/>
      </c>
      <c r="U252" s="108">
        <f>IFERROR(H252+IFERROR(I252,0)+T252+IFERROR(V252,0),0)</f>
        <v/>
      </c>
    </row>
    <row r="253" ht="15" customHeight="1" s="199">
      <c r="A253" s="104" t="n"/>
      <c r="B253" s="104" t="n"/>
      <c r="C253" s="104" t="n"/>
      <c r="D253" s="105" t="n"/>
      <c r="E253" s="105" t="n"/>
      <c r="F253" s="105" t="n"/>
      <c r="G253" s="106" t="n"/>
      <c r="H253" s="106" t="n"/>
      <c r="I253" s="106" t="n"/>
      <c r="J253" s="107" t="n"/>
      <c r="K253" s="105" t="n"/>
      <c r="L253" s="106" t="n"/>
      <c r="M253" s="106" t="n"/>
      <c r="N253" s="106" t="n"/>
      <c r="O253" s="106" t="n"/>
      <c r="P253" s="105" t="n"/>
      <c r="Q253" s="107" t="n"/>
      <c r="R253" s="105" t="n"/>
      <c r="S253" s="107" t="n"/>
      <c r="T253" s="108">
        <f>IFERROR(L253+M253+N253+O253+IFERROR(AC253,0)+IFERROR(AD253,0)+IFERROR(AE253,0)+IFERROR(AF253,0)+IFERROR(AG253,0),0)</f>
        <v/>
      </c>
      <c r="U253" s="108">
        <f>IFERROR(H253+IFERROR(I253,0)+T253+IFERROR(V253,0),0)</f>
        <v/>
      </c>
    </row>
    <row r="254" ht="15" customHeight="1" s="199">
      <c r="A254" s="104" t="n"/>
      <c r="B254" s="104" t="n"/>
      <c r="C254" s="104" t="n"/>
      <c r="D254" s="105" t="n"/>
      <c r="E254" s="105" t="n"/>
      <c r="F254" s="105" t="n"/>
      <c r="G254" s="106" t="n"/>
      <c r="H254" s="106" t="n"/>
      <c r="I254" s="106" t="n"/>
      <c r="J254" s="107" t="n"/>
      <c r="K254" s="105" t="n"/>
      <c r="L254" s="106" t="n"/>
      <c r="M254" s="106" t="n"/>
      <c r="N254" s="106" t="n"/>
      <c r="O254" s="106" t="n"/>
      <c r="P254" s="105" t="n"/>
      <c r="Q254" s="107" t="n"/>
      <c r="R254" s="105" t="n"/>
      <c r="S254" s="107" t="n"/>
      <c r="T254" s="108">
        <f>IFERROR(L254+M254+N254+O254+IFERROR(AC254,0)+IFERROR(AD254,0)+IFERROR(AE254,0)+IFERROR(AF254,0)+IFERROR(AG254,0),0)</f>
        <v/>
      </c>
      <c r="U254" s="108">
        <f>IFERROR(H254+IFERROR(I254,0)+T254+IFERROR(V254,0),0)</f>
        <v/>
      </c>
    </row>
    <row r="255" ht="15" customHeight="1" s="199">
      <c r="A255" s="104" t="n"/>
      <c r="B255" s="104" t="n"/>
      <c r="C255" s="104" t="n"/>
      <c r="D255" s="105" t="n"/>
      <c r="E255" s="105" t="n"/>
      <c r="F255" s="105" t="n"/>
      <c r="G255" s="106" t="n"/>
      <c r="H255" s="106" t="n"/>
      <c r="I255" s="106" t="n"/>
      <c r="J255" s="107" t="n"/>
      <c r="K255" s="105" t="n"/>
      <c r="L255" s="106" t="n"/>
      <c r="M255" s="106" t="n"/>
      <c r="N255" s="106" t="n"/>
      <c r="O255" s="106" t="n"/>
      <c r="P255" s="105" t="n"/>
      <c r="Q255" s="107" t="n"/>
      <c r="R255" s="105" t="n"/>
      <c r="S255" s="107" t="n"/>
      <c r="T255" s="108">
        <f>IFERROR(L255+M255+N255+O255+IFERROR(AC255,0)+IFERROR(AD255,0)+IFERROR(AE255,0)+IFERROR(AF255,0)+IFERROR(AG255,0),0)</f>
        <v/>
      </c>
      <c r="U255" s="108">
        <f>IFERROR(H255+IFERROR(I255,0)+T255+IFERROR(V255,0),0)</f>
        <v/>
      </c>
    </row>
    <row r="256" ht="15" customHeight="1" s="199">
      <c r="A256" s="104" t="n"/>
      <c r="B256" s="104" t="n"/>
      <c r="C256" s="104" t="n"/>
      <c r="D256" s="105" t="n"/>
      <c r="E256" s="105" t="n"/>
      <c r="F256" s="105" t="n"/>
      <c r="G256" s="106" t="n"/>
      <c r="H256" s="106" t="n"/>
      <c r="I256" s="106" t="n"/>
      <c r="J256" s="107" t="n"/>
      <c r="K256" s="105" t="n"/>
      <c r="L256" s="106" t="n"/>
      <c r="M256" s="106" t="n"/>
      <c r="N256" s="106" t="n"/>
      <c r="O256" s="106" t="n"/>
      <c r="P256" s="105" t="n"/>
      <c r="Q256" s="107" t="n"/>
      <c r="R256" s="105" t="n"/>
      <c r="S256" s="107" t="n"/>
      <c r="T256" s="108">
        <f>IFERROR(L256+M256+N256+O256+IFERROR(AC256,0)+IFERROR(AD256,0)+IFERROR(AE256,0)+IFERROR(AF256,0)+IFERROR(AG256,0),0)</f>
        <v/>
      </c>
      <c r="U256" s="108">
        <f>IFERROR(H256+IFERROR(I256,0)+T256+IFERROR(V256,0),0)</f>
        <v/>
      </c>
    </row>
    <row r="257" ht="15" customHeight="1" s="199">
      <c r="A257" s="104" t="n"/>
      <c r="B257" s="104" t="n"/>
      <c r="C257" s="104" t="n"/>
      <c r="D257" s="105" t="n"/>
      <c r="E257" s="105" t="n"/>
      <c r="F257" s="105" t="n"/>
      <c r="G257" s="106" t="n"/>
      <c r="H257" s="106" t="n"/>
      <c r="I257" s="106" t="n"/>
      <c r="J257" s="107" t="n"/>
      <c r="K257" s="105" t="n"/>
      <c r="L257" s="106" t="n"/>
      <c r="M257" s="106" t="n"/>
      <c r="N257" s="106" t="n"/>
      <c r="O257" s="106" t="n"/>
      <c r="P257" s="105" t="n"/>
      <c r="Q257" s="107" t="n"/>
      <c r="R257" s="105" t="n"/>
      <c r="S257" s="107" t="n"/>
      <c r="T257" s="108">
        <f>IFERROR(L257+M257+N257+O257+IFERROR(AC257,0)+IFERROR(AD257,0)+IFERROR(AE257,0)+IFERROR(AF257,0)+IFERROR(AG257,0),0)</f>
        <v/>
      </c>
      <c r="U257" s="108">
        <f>IFERROR(H257+IFERROR(I257,0)+T257+IFERROR(V257,0),0)</f>
        <v/>
      </c>
    </row>
    <row r="258" ht="15" customHeight="1" s="199">
      <c r="A258" s="104" t="n"/>
      <c r="B258" s="104" t="n"/>
      <c r="C258" s="104" t="n"/>
      <c r="D258" s="105" t="n"/>
      <c r="E258" s="105" t="n"/>
      <c r="F258" s="105" t="n"/>
      <c r="G258" s="106" t="n"/>
      <c r="H258" s="106" t="n"/>
      <c r="I258" s="106" t="n"/>
      <c r="J258" s="107" t="n"/>
      <c r="K258" s="105" t="n"/>
      <c r="L258" s="106" t="n"/>
      <c r="M258" s="106" t="n"/>
      <c r="N258" s="106" t="n"/>
      <c r="O258" s="106" t="n"/>
      <c r="P258" s="105" t="n"/>
      <c r="Q258" s="107" t="n"/>
      <c r="R258" s="105" t="n"/>
      <c r="S258" s="107" t="n"/>
      <c r="T258" s="108">
        <f>IFERROR(L258+M258+N258+O258+IFERROR(AC258,0)+IFERROR(AD258,0)+IFERROR(AE258,0)+IFERROR(AF258,0)+IFERROR(AG258,0),0)</f>
        <v/>
      </c>
      <c r="U258" s="108">
        <f>IFERROR(H258+IFERROR(I258,0)+T258+IFERROR(V258,0),0)</f>
        <v/>
      </c>
    </row>
    <row r="259" ht="15" customHeight="1" s="199">
      <c r="A259" s="104" t="n"/>
      <c r="B259" s="104" t="n"/>
      <c r="C259" s="104" t="n"/>
      <c r="D259" s="105" t="n"/>
      <c r="E259" s="105" t="n"/>
      <c r="F259" s="105" t="n"/>
      <c r="G259" s="106" t="n"/>
      <c r="H259" s="106" t="n"/>
      <c r="I259" s="106" t="n"/>
      <c r="J259" s="107" t="n"/>
      <c r="K259" s="105" t="n"/>
      <c r="L259" s="106" t="n"/>
      <c r="M259" s="106" t="n"/>
      <c r="N259" s="106" t="n"/>
      <c r="O259" s="106" t="n"/>
      <c r="P259" s="105" t="n"/>
      <c r="Q259" s="107" t="n"/>
      <c r="R259" s="105" t="n"/>
      <c r="S259" s="107" t="n"/>
      <c r="T259" s="108">
        <f>IFERROR(L259+M259+N259+O259+IFERROR(AC259,0)+IFERROR(AD259,0)+IFERROR(AE259,0)+IFERROR(AF259,0)+IFERROR(AG259,0),0)</f>
        <v/>
      </c>
      <c r="U259" s="108">
        <f>IFERROR(H259+IFERROR(I259,0)+T259+IFERROR(V259,0),0)</f>
        <v/>
      </c>
    </row>
    <row r="260" ht="15" customHeight="1" s="199">
      <c r="A260" s="104" t="n"/>
      <c r="B260" s="104" t="n"/>
      <c r="C260" s="104" t="n"/>
      <c r="D260" s="105" t="n"/>
      <c r="E260" s="105" t="n"/>
      <c r="F260" s="105" t="n"/>
      <c r="G260" s="106" t="n"/>
      <c r="H260" s="106" t="n"/>
      <c r="I260" s="106" t="n"/>
      <c r="J260" s="107" t="n"/>
      <c r="K260" s="105" t="n"/>
      <c r="L260" s="106" t="n"/>
      <c r="M260" s="106" t="n"/>
      <c r="N260" s="106" t="n"/>
      <c r="O260" s="106" t="n"/>
      <c r="P260" s="105" t="n"/>
      <c r="Q260" s="107" t="n"/>
      <c r="R260" s="105" t="n"/>
      <c r="S260" s="107" t="n"/>
      <c r="T260" s="108">
        <f>IFERROR(L260+M260+N260+O260+IFERROR(AC260,0)+IFERROR(AD260,0)+IFERROR(AE260,0)+IFERROR(AF260,0)+IFERROR(AG260,0),0)</f>
        <v/>
      </c>
      <c r="U260" s="108">
        <f>IFERROR(H260+IFERROR(I260,0)+T260+IFERROR(V260,0),0)</f>
        <v/>
      </c>
    </row>
    <row r="261" ht="15" customHeight="1" s="199">
      <c r="A261" s="104" t="n"/>
      <c r="B261" s="104" t="n"/>
      <c r="C261" s="104" t="n"/>
      <c r="D261" s="105" t="n"/>
      <c r="E261" s="105" t="n"/>
      <c r="F261" s="105" t="n"/>
      <c r="G261" s="106" t="n"/>
      <c r="H261" s="106" t="n"/>
      <c r="I261" s="106" t="n"/>
      <c r="J261" s="107" t="n"/>
      <c r="K261" s="105" t="n"/>
      <c r="L261" s="106" t="n"/>
      <c r="M261" s="106" t="n"/>
      <c r="N261" s="106" t="n"/>
      <c r="O261" s="106" t="n"/>
      <c r="P261" s="105" t="n"/>
      <c r="Q261" s="107" t="n"/>
      <c r="R261" s="105" t="n"/>
      <c r="S261" s="107" t="n"/>
      <c r="T261" s="108">
        <f>IFERROR(L261+M261+N261+O261+IFERROR(AC261,0)+IFERROR(AD261,0)+IFERROR(AE261,0)+IFERROR(AF261,0)+IFERROR(AG261,0),0)</f>
        <v/>
      </c>
      <c r="U261" s="108">
        <f>IFERROR(H261+IFERROR(I261,0)+T261+IFERROR(V261,0),0)</f>
        <v/>
      </c>
    </row>
    <row r="262" ht="15" customHeight="1" s="199">
      <c r="A262" s="104" t="n"/>
      <c r="B262" s="104" t="n"/>
      <c r="C262" s="104" t="n"/>
      <c r="D262" s="105" t="n"/>
      <c r="E262" s="105" t="n"/>
      <c r="F262" s="105" t="n"/>
      <c r="G262" s="106" t="n"/>
      <c r="H262" s="106" t="n"/>
      <c r="I262" s="106" t="n"/>
      <c r="J262" s="107" t="n"/>
      <c r="K262" s="105" t="n"/>
      <c r="L262" s="106" t="n"/>
      <c r="M262" s="106" t="n"/>
      <c r="N262" s="106" t="n"/>
      <c r="O262" s="106" t="n"/>
      <c r="P262" s="105" t="n"/>
      <c r="Q262" s="107" t="n"/>
      <c r="R262" s="105" t="n"/>
      <c r="S262" s="107" t="n"/>
      <c r="T262" s="108">
        <f>IFERROR(L262+M262+N262+O262+IFERROR(AC262,0)+IFERROR(AD262,0)+IFERROR(AE262,0)+IFERROR(AF262,0)+IFERROR(AG262,0),0)</f>
        <v/>
      </c>
      <c r="U262" s="108">
        <f>IFERROR(H262+IFERROR(I262,0)+T262+IFERROR(V262,0),0)</f>
        <v/>
      </c>
    </row>
    <row r="263" ht="15" customHeight="1" s="199">
      <c r="A263" s="104" t="n"/>
      <c r="B263" s="104" t="n"/>
      <c r="C263" s="104" t="n"/>
      <c r="D263" s="105" t="n"/>
      <c r="E263" s="105" t="n"/>
      <c r="F263" s="105" t="n"/>
      <c r="G263" s="106" t="n"/>
      <c r="H263" s="106" t="n"/>
      <c r="I263" s="106" t="n"/>
      <c r="J263" s="107" t="n"/>
      <c r="K263" s="105" t="n"/>
      <c r="L263" s="106" t="n"/>
      <c r="M263" s="106" t="n"/>
      <c r="N263" s="106" t="n"/>
      <c r="O263" s="106" t="n"/>
      <c r="P263" s="105" t="n"/>
      <c r="Q263" s="107" t="n"/>
      <c r="R263" s="105" t="n"/>
      <c r="S263" s="107" t="n"/>
      <c r="T263" s="108">
        <f>IFERROR(L263+M263+N263+O263+IFERROR(AC263,0)+IFERROR(AD263,0)+IFERROR(AE263,0)+IFERROR(AF263,0)+IFERROR(AG263,0),0)</f>
        <v/>
      </c>
      <c r="U263" s="108">
        <f>IFERROR(H263+IFERROR(I263,0)+T263+IFERROR(V263,0),0)</f>
        <v/>
      </c>
    </row>
    <row r="264" ht="15" customHeight="1" s="199">
      <c r="A264" s="104" t="n"/>
      <c r="B264" s="104" t="n"/>
      <c r="C264" s="104" t="n"/>
      <c r="D264" s="105" t="n"/>
      <c r="E264" s="105" t="n"/>
      <c r="F264" s="105" t="n"/>
      <c r="G264" s="106" t="n"/>
      <c r="H264" s="106" t="n"/>
      <c r="I264" s="106" t="n"/>
      <c r="J264" s="107" t="n"/>
      <c r="K264" s="105" t="n"/>
      <c r="L264" s="106" t="n"/>
      <c r="M264" s="106" t="n"/>
      <c r="N264" s="106" t="n"/>
      <c r="O264" s="106" t="n"/>
      <c r="P264" s="105" t="n"/>
      <c r="Q264" s="107" t="n"/>
      <c r="R264" s="105" t="n"/>
      <c r="S264" s="107" t="n"/>
      <c r="T264" s="108">
        <f>IFERROR(L264+M264+N264+O264+IFERROR(AC264,0)+IFERROR(AD264,0)+IFERROR(AE264,0)+IFERROR(AF264,0)+IFERROR(AG264,0),0)</f>
        <v/>
      </c>
      <c r="U264" s="108">
        <f>IFERROR(H264+IFERROR(I264,0)+T264+IFERROR(V264,0),0)</f>
        <v/>
      </c>
    </row>
    <row r="265" ht="15" customHeight="1" s="199">
      <c r="A265" s="104" t="n"/>
      <c r="B265" s="104" t="n"/>
      <c r="C265" s="104" t="n"/>
      <c r="D265" s="105" t="n"/>
      <c r="E265" s="105" t="n"/>
      <c r="F265" s="105" t="n"/>
      <c r="G265" s="106" t="n"/>
      <c r="H265" s="106" t="n"/>
      <c r="I265" s="106" t="n"/>
      <c r="J265" s="107" t="n"/>
      <c r="K265" s="105" t="n"/>
      <c r="L265" s="106" t="n"/>
      <c r="M265" s="106" t="n"/>
      <c r="N265" s="106" t="n"/>
      <c r="O265" s="106" t="n"/>
      <c r="P265" s="105" t="n"/>
      <c r="Q265" s="107" t="n"/>
      <c r="R265" s="105" t="n"/>
      <c r="S265" s="107" t="n"/>
      <c r="T265" s="108">
        <f>IFERROR(L265+M265+N265+O265+IFERROR(AC265,0)+IFERROR(AD265,0)+IFERROR(AE265,0)+IFERROR(AF265,0)+IFERROR(AG265,0),0)</f>
        <v/>
      </c>
      <c r="U265" s="108">
        <f>IFERROR(H265+IFERROR(I265,0)+T265+IFERROR(V265,0),0)</f>
        <v/>
      </c>
    </row>
    <row r="266" ht="15" customHeight="1" s="199">
      <c r="A266" s="104" t="n"/>
      <c r="B266" s="104" t="n"/>
      <c r="C266" s="104" t="n"/>
      <c r="D266" s="105" t="n"/>
      <c r="E266" s="105" t="n"/>
      <c r="F266" s="105" t="n"/>
      <c r="G266" s="106" t="n"/>
      <c r="H266" s="106" t="n"/>
      <c r="I266" s="106" t="n"/>
      <c r="J266" s="107" t="n"/>
      <c r="K266" s="105" t="n"/>
      <c r="L266" s="106" t="n"/>
      <c r="M266" s="106" t="n"/>
      <c r="N266" s="106" t="n"/>
      <c r="O266" s="106" t="n"/>
      <c r="P266" s="105" t="n"/>
      <c r="Q266" s="107" t="n"/>
      <c r="R266" s="105" t="n"/>
      <c r="S266" s="107" t="n"/>
      <c r="T266" s="108">
        <f>IFERROR(L266+M266+N266+O266+IFERROR(AC266,0)+IFERROR(AD266,0)+IFERROR(AE266,0)+IFERROR(AF266,0)+IFERROR(AG266,0),0)</f>
        <v/>
      </c>
      <c r="U266" s="108">
        <f>IFERROR(H266+IFERROR(I266,0)+T266+IFERROR(V266,0),0)</f>
        <v/>
      </c>
    </row>
    <row r="267" ht="15" customHeight="1" s="199">
      <c r="A267" s="104" t="n"/>
      <c r="B267" s="104" t="n"/>
      <c r="C267" s="104" t="n"/>
      <c r="D267" s="105" t="n"/>
      <c r="E267" s="105" t="n"/>
      <c r="F267" s="105" t="n"/>
      <c r="G267" s="106" t="n"/>
      <c r="H267" s="106" t="n"/>
      <c r="I267" s="106" t="n"/>
      <c r="J267" s="107" t="n"/>
      <c r="K267" s="105" t="n"/>
      <c r="L267" s="106" t="n"/>
      <c r="M267" s="106" t="n"/>
      <c r="N267" s="106" t="n"/>
      <c r="O267" s="106" t="n"/>
      <c r="P267" s="105" t="n"/>
      <c r="Q267" s="107" t="n"/>
      <c r="R267" s="105" t="n"/>
      <c r="S267" s="107" t="n"/>
      <c r="T267" s="108">
        <f>IFERROR(L267+M267+N267+O267+IFERROR(AC267,0)+IFERROR(AD267,0)+IFERROR(AE267,0)+IFERROR(AF267,0)+IFERROR(AG267,0),0)</f>
        <v/>
      </c>
      <c r="U267" s="108">
        <f>IFERROR(H267+IFERROR(I267,0)+T267+IFERROR(V267,0),0)</f>
        <v/>
      </c>
    </row>
    <row r="268" ht="15" customHeight="1" s="199">
      <c r="A268" s="104" t="n"/>
      <c r="B268" s="104" t="n"/>
      <c r="C268" s="104" t="n"/>
      <c r="D268" s="105" t="n"/>
      <c r="E268" s="105" t="n"/>
      <c r="F268" s="105" t="n"/>
      <c r="G268" s="106" t="n"/>
      <c r="H268" s="106" t="n"/>
      <c r="I268" s="106" t="n"/>
      <c r="J268" s="107" t="n"/>
      <c r="K268" s="105" t="n"/>
      <c r="L268" s="106" t="n"/>
      <c r="M268" s="106" t="n"/>
      <c r="N268" s="106" t="n"/>
      <c r="O268" s="106" t="n"/>
      <c r="P268" s="105" t="n"/>
      <c r="Q268" s="107" t="n"/>
      <c r="R268" s="105" t="n"/>
      <c r="S268" s="107" t="n"/>
      <c r="T268" s="108">
        <f>IFERROR(L268+M268+N268+O268+IFERROR(AC268,0)+IFERROR(AD268,0)+IFERROR(AE268,0)+IFERROR(AF268,0)+IFERROR(AG268,0),0)</f>
        <v/>
      </c>
      <c r="U268" s="108">
        <f>IFERROR(H268+IFERROR(I268,0)+T268+IFERROR(V268,0),0)</f>
        <v/>
      </c>
    </row>
    <row r="269" ht="15" customHeight="1" s="199">
      <c r="A269" s="104" t="n"/>
      <c r="B269" s="104" t="n"/>
      <c r="C269" s="104" t="n"/>
      <c r="D269" s="105" t="n"/>
      <c r="E269" s="105" t="n"/>
      <c r="F269" s="105" t="n"/>
      <c r="G269" s="106" t="n"/>
      <c r="H269" s="106" t="n"/>
      <c r="I269" s="106" t="n"/>
      <c r="J269" s="107" t="n"/>
      <c r="K269" s="105" t="n"/>
      <c r="L269" s="106" t="n"/>
      <c r="M269" s="106" t="n"/>
      <c r="N269" s="106" t="n"/>
      <c r="O269" s="106" t="n"/>
      <c r="P269" s="105" t="n"/>
      <c r="Q269" s="107" t="n"/>
      <c r="R269" s="105" t="n"/>
      <c r="S269" s="107" t="n"/>
      <c r="T269" s="108">
        <f>IFERROR(L269+M269+N269+O269+IFERROR(AC269,0)+IFERROR(AD269,0)+IFERROR(AE269,0)+IFERROR(AF269,0)+IFERROR(AG269,0),0)</f>
        <v/>
      </c>
      <c r="U269" s="108">
        <f>IFERROR(H269+IFERROR(I269,0)+T269+IFERROR(V269,0),0)</f>
        <v/>
      </c>
    </row>
    <row r="270" ht="15" customHeight="1" s="199">
      <c r="A270" s="104" t="n"/>
      <c r="B270" s="104" t="n"/>
      <c r="C270" s="104" t="n"/>
      <c r="D270" s="105" t="n"/>
      <c r="E270" s="105" t="n"/>
      <c r="F270" s="105" t="n"/>
      <c r="G270" s="106" t="n"/>
      <c r="H270" s="106" t="n"/>
      <c r="I270" s="106" t="n"/>
      <c r="J270" s="107" t="n"/>
      <c r="K270" s="105" t="n"/>
      <c r="L270" s="106" t="n"/>
      <c r="M270" s="106" t="n"/>
      <c r="N270" s="106" t="n"/>
      <c r="O270" s="106" t="n"/>
      <c r="P270" s="105" t="n"/>
      <c r="Q270" s="107" t="n"/>
      <c r="R270" s="105" t="n"/>
      <c r="S270" s="107" t="n"/>
      <c r="T270" s="108">
        <f>IFERROR(L270+M270+N270+O270+IFERROR(AC270,0)+IFERROR(AD270,0)+IFERROR(AE270,0)+IFERROR(AF270,0)+IFERROR(AG270,0),0)</f>
        <v/>
      </c>
      <c r="U270" s="108">
        <f>IFERROR(H270+IFERROR(I270,0)+T270+IFERROR(V270,0),0)</f>
        <v/>
      </c>
    </row>
    <row r="271" ht="15" customHeight="1" s="199">
      <c r="A271" s="104" t="n"/>
      <c r="B271" s="104" t="n"/>
      <c r="C271" s="104" t="n"/>
      <c r="D271" s="105" t="n"/>
      <c r="E271" s="105" t="n"/>
      <c r="F271" s="105" t="n"/>
      <c r="G271" s="106" t="n"/>
      <c r="H271" s="106" t="n"/>
      <c r="I271" s="106" t="n"/>
      <c r="J271" s="107" t="n"/>
      <c r="K271" s="105" t="n"/>
      <c r="L271" s="106" t="n"/>
      <c r="M271" s="106" t="n"/>
      <c r="N271" s="106" t="n"/>
      <c r="O271" s="106" t="n"/>
      <c r="P271" s="105" t="n"/>
      <c r="Q271" s="107" t="n"/>
      <c r="R271" s="105" t="n"/>
      <c r="S271" s="107" t="n"/>
      <c r="T271" s="108">
        <f>IFERROR(L271+M271+N271+O271+IFERROR(AC271,0)+IFERROR(AD271,0)+IFERROR(AE271,0)+IFERROR(AF271,0)+IFERROR(AG271,0),0)</f>
        <v/>
      </c>
      <c r="U271" s="108">
        <f>IFERROR(H271+IFERROR(I271,0)+T271+IFERROR(V271,0),0)</f>
        <v/>
      </c>
    </row>
    <row r="272" ht="15" customHeight="1" s="199">
      <c r="A272" s="104" t="n"/>
      <c r="B272" s="104" t="n"/>
      <c r="C272" s="104" t="n"/>
      <c r="D272" s="105" t="n"/>
      <c r="E272" s="105" t="n"/>
      <c r="F272" s="105" t="n"/>
      <c r="G272" s="106" t="n"/>
      <c r="H272" s="106" t="n"/>
      <c r="I272" s="106" t="n"/>
      <c r="J272" s="107" t="n"/>
      <c r="K272" s="105" t="n"/>
      <c r="L272" s="106" t="n"/>
      <c r="M272" s="106" t="n"/>
      <c r="N272" s="106" t="n"/>
      <c r="O272" s="106" t="n"/>
      <c r="P272" s="105" t="n"/>
      <c r="Q272" s="107" t="n"/>
      <c r="R272" s="105" t="n"/>
      <c r="S272" s="107" t="n"/>
      <c r="T272" s="108">
        <f>IFERROR(L272+M272+N272+O272+IFERROR(AC272,0)+IFERROR(AD272,0)+IFERROR(AE272,0)+IFERROR(AF272,0)+IFERROR(AG272,0),0)</f>
        <v/>
      </c>
      <c r="U272" s="108">
        <f>IFERROR(H272+IFERROR(I272,0)+T272+IFERROR(V272,0),0)</f>
        <v/>
      </c>
    </row>
    <row r="273" ht="15" customHeight="1" s="199">
      <c r="A273" s="104" t="n"/>
      <c r="B273" s="104" t="n"/>
      <c r="C273" s="104" t="n"/>
      <c r="D273" s="105" t="n"/>
      <c r="E273" s="105" t="n"/>
      <c r="F273" s="105" t="n"/>
      <c r="G273" s="106" t="n"/>
      <c r="H273" s="106" t="n"/>
      <c r="I273" s="106" t="n"/>
      <c r="J273" s="107" t="n"/>
      <c r="K273" s="105" t="n"/>
      <c r="L273" s="106" t="n"/>
      <c r="M273" s="106" t="n"/>
      <c r="N273" s="106" t="n"/>
      <c r="O273" s="106" t="n"/>
      <c r="P273" s="105" t="n"/>
      <c r="Q273" s="107" t="n"/>
      <c r="R273" s="105" t="n"/>
      <c r="S273" s="107" t="n"/>
      <c r="T273" s="108">
        <f>IFERROR(L273+M273+N273+O273+IFERROR(AC273,0)+IFERROR(AD273,0)+IFERROR(AE273,0)+IFERROR(AF273,0)+IFERROR(AG273,0),0)</f>
        <v/>
      </c>
      <c r="U273" s="108">
        <f>IFERROR(H273+IFERROR(I273,0)+T273+IFERROR(V273,0),0)</f>
        <v/>
      </c>
    </row>
    <row r="274" ht="15" customHeight="1" s="199">
      <c r="A274" s="104" t="n"/>
      <c r="B274" s="104" t="n"/>
      <c r="C274" s="104" t="n"/>
      <c r="D274" s="105" t="n"/>
      <c r="E274" s="105" t="n"/>
      <c r="F274" s="105" t="n"/>
      <c r="G274" s="106" t="n"/>
      <c r="H274" s="106" t="n"/>
      <c r="I274" s="106" t="n"/>
      <c r="J274" s="107" t="n"/>
      <c r="K274" s="105" t="n"/>
      <c r="L274" s="106" t="n"/>
      <c r="M274" s="106" t="n"/>
      <c r="N274" s="106" t="n"/>
      <c r="O274" s="106" t="n"/>
      <c r="P274" s="105" t="n"/>
      <c r="Q274" s="107" t="n"/>
      <c r="R274" s="105" t="n"/>
      <c r="S274" s="107" t="n"/>
      <c r="T274" s="108">
        <f>IFERROR(L274+M274+N274+O274+IFERROR(AC274,0)+IFERROR(AD274,0)+IFERROR(AE274,0)+IFERROR(AF274,0)+IFERROR(AG274,0),0)</f>
        <v/>
      </c>
      <c r="U274" s="108">
        <f>IFERROR(H274+IFERROR(I274,0)+T274+IFERROR(V274,0),0)</f>
        <v/>
      </c>
    </row>
    <row r="275" ht="15" customHeight="1" s="199">
      <c r="A275" s="104" t="n"/>
      <c r="B275" s="104" t="n"/>
      <c r="C275" s="104" t="n"/>
      <c r="D275" s="105" t="n"/>
      <c r="E275" s="105" t="n"/>
      <c r="F275" s="105" t="n"/>
      <c r="G275" s="106" t="n"/>
      <c r="H275" s="106" t="n"/>
      <c r="I275" s="106" t="n"/>
      <c r="J275" s="107" t="n"/>
      <c r="K275" s="105" t="n"/>
      <c r="L275" s="106" t="n"/>
      <c r="M275" s="106" t="n"/>
      <c r="N275" s="106" t="n"/>
      <c r="O275" s="106" t="n"/>
      <c r="P275" s="105" t="n"/>
      <c r="Q275" s="107" t="n"/>
      <c r="R275" s="105" t="n"/>
      <c r="S275" s="107" t="n"/>
      <c r="T275" s="108">
        <f>IFERROR(L275+M275+N275+O275+IFERROR(AC275,0)+IFERROR(AD275,0)+IFERROR(AE275,0)+IFERROR(AF275,0)+IFERROR(AG275,0),0)</f>
        <v/>
      </c>
      <c r="U275" s="108">
        <f>IFERROR(H275+IFERROR(I275,0)+T275+IFERROR(V275,0),0)</f>
        <v/>
      </c>
    </row>
    <row r="276" ht="15" customHeight="1" s="199">
      <c r="A276" s="104" t="n"/>
      <c r="B276" s="104" t="n"/>
      <c r="C276" s="104" t="n"/>
      <c r="D276" s="105" t="n"/>
      <c r="E276" s="105" t="n"/>
      <c r="F276" s="105" t="n"/>
      <c r="G276" s="106" t="n"/>
      <c r="H276" s="106" t="n"/>
      <c r="I276" s="106" t="n"/>
      <c r="J276" s="107" t="n"/>
      <c r="K276" s="105" t="n"/>
      <c r="L276" s="106" t="n"/>
      <c r="M276" s="106" t="n"/>
      <c r="N276" s="106" t="n"/>
      <c r="O276" s="106" t="n"/>
      <c r="P276" s="105" t="n"/>
      <c r="Q276" s="107" t="n"/>
      <c r="R276" s="105" t="n"/>
      <c r="S276" s="107" t="n"/>
      <c r="T276" s="108">
        <f>IFERROR(L276+M276+N276+O276+IFERROR(AC276,0)+IFERROR(AD276,0)+IFERROR(AE276,0)+IFERROR(AF276,0)+IFERROR(AG276,0),0)</f>
        <v/>
      </c>
      <c r="U276" s="108">
        <f>IFERROR(H276+IFERROR(I276,0)+T276+IFERROR(V276,0),0)</f>
        <v/>
      </c>
    </row>
    <row r="277" ht="15" customHeight="1" s="199">
      <c r="A277" s="104" t="n"/>
      <c r="B277" s="104" t="n"/>
      <c r="C277" s="104" t="n"/>
      <c r="D277" s="105" t="n"/>
      <c r="E277" s="105" t="n"/>
      <c r="F277" s="105" t="n"/>
      <c r="G277" s="106" t="n"/>
      <c r="H277" s="106" t="n"/>
      <c r="I277" s="106" t="n"/>
      <c r="J277" s="107" t="n"/>
      <c r="K277" s="105" t="n"/>
      <c r="L277" s="106" t="n"/>
      <c r="M277" s="106" t="n"/>
      <c r="N277" s="106" t="n"/>
      <c r="O277" s="106" t="n"/>
      <c r="P277" s="105" t="n"/>
      <c r="Q277" s="107" t="n"/>
      <c r="R277" s="105" t="n"/>
      <c r="S277" s="107" t="n"/>
      <c r="T277" s="108">
        <f>IFERROR(L277+M277+N277+O277+IFERROR(AC277,0)+IFERROR(AD277,0)+IFERROR(AE277,0)+IFERROR(AF277,0)+IFERROR(AG277,0),0)</f>
        <v/>
      </c>
      <c r="U277" s="108">
        <f>IFERROR(H277+IFERROR(I277,0)+T277+IFERROR(V277,0),0)</f>
        <v/>
      </c>
    </row>
    <row r="278" ht="15" customHeight="1" s="199">
      <c r="A278" s="104" t="n"/>
      <c r="B278" s="104" t="n"/>
      <c r="C278" s="104" t="n"/>
      <c r="D278" s="105" t="n"/>
      <c r="E278" s="105" t="n"/>
      <c r="F278" s="105" t="n"/>
      <c r="G278" s="106" t="n"/>
      <c r="H278" s="106" t="n"/>
      <c r="I278" s="106" t="n"/>
      <c r="J278" s="107" t="n"/>
      <c r="K278" s="105" t="n"/>
      <c r="L278" s="106" t="n"/>
      <c r="M278" s="106" t="n"/>
      <c r="N278" s="106" t="n"/>
      <c r="O278" s="106" t="n"/>
      <c r="P278" s="105" t="n"/>
      <c r="Q278" s="107" t="n"/>
      <c r="R278" s="105" t="n"/>
      <c r="S278" s="107" t="n"/>
      <c r="T278" s="108">
        <f>IFERROR(L278+M278+N278+O278+IFERROR(AC278,0)+IFERROR(AD278,0)+IFERROR(AE278,0)+IFERROR(AF278,0)+IFERROR(AG278,0),0)</f>
        <v/>
      </c>
      <c r="U278" s="108">
        <f>IFERROR(H278+IFERROR(I278,0)+T278+IFERROR(V278,0),0)</f>
        <v/>
      </c>
    </row>
    <row r="279" ht="15" customHeight="1" s="199">
      <c r="A279" s="104" t="n"/>
      <c r="B279" s="104" t="n"/>
      <c r="C279" s="104" t="n"/>
      <c r="D279" s="105" t="n"/>
      <c r="E279" s="105" t="n"/>
      <c r="F279" s="105" t="n"/>
      <c r="G279" s="106" t="n"/>
      <c r="H279" s="106" t="n"/>
      <c r="I279" s="106" t="n"/>
      <c r="J279" s="107" t="n"/>
      <c r="K279" s="105" t="n"/>
      <c r="L279" s="106" t="n"/>
      <c r="M279" s="106" t="n"/>
      <c r="N279" s="106" t="n"/>
      <c r="O279" s="106" t="n"/>
      <c r="P279" s="105" t="n"/>
      <c r="Q279" s="107" t="n"/>
      <c r="R279" s="105" t="n"/>
      <c r="S279" s="107" t="n"/>
      <c r="T279" s="108">
        <f>IFERROR(L279+M279+N279+O279+IFERROR(AC279,0)+IFERROR(AD279,0)+IFERROR(AE279,0)+IFERROR(AF279,0)+IFERROR(AG279,0),0)</f>
        <v/>
      </c>
      <c r="U279" s="108">
        <f>IFERROR(H279+IFERROR(I279,0)+T279+IFERROR(V279,0),0)</f>
        <v/>
      </c>
    </row>
    <row r="280" ht="15" customHeight="1" s="199">
      <c r="A280" s="104" t="n"/>
      <c r="B280" s="104" t="n"/>
      <c r="C280" s="104" t="n"/>
      <c r="D280" s="105" t="n"/>
      <c r="E280" s="105" t="n"/>
      <c r="F280" s="105" t="n"/>
      <c r="G280" s="106" t="n"/>
      <c r="H280" s="106" t="n"/>
      <c r="I280" s="106" t="n"/>
      <c r="J280" s="107" t="n"/>
      <c r="K280" s="105" t="n"/>
      <c r="L280" s="106" t="n"/>
      <c r="M280" s="106" t="n"/>
      <c r="N280" s="106" t="n"/>
      <c r="O280" s="106" t="n"/>
      <c r="P280" s="105" t="n"/>
      <c r="Q280" s="107" t="n"/>
      <c r="R280" s="105" t="n"/>
      <c r="S280" s="107" t="n"/>
      <c r="T280" s="108">
        <f>IFERROR(L280+M280+N280+O280+IFERROR(AC280,0)+IFERROR(AD280,0)+IFERROR(AE280,0)+IFERROR(AF280,0)+IFERROR(AG280,0),0)</f>
        <v/>
      </c>
      <c r="U280" s="108">
        <f>IFERROR(H280+IFERROR(I280,0)+T280+IFERROR(V280,0),0)</f>
        <v/>
      </c>
    </row>
    <row r="281" ht="15" customHeight="1" s="199">
      <c r="A281" s="104" t="n"/>
      <c r="B281" s="104" t="n"/>
      <c r="C281" s="104" t="n"/>
      <c r="D281" s="105" t="n"/>
      <c r="E281" s="105" t="n"/>
      <c r="F281" s="105" t="n"/>
      <c r="G281" s="106" t="n"/>
      <c r="H281" s="106" t="n"/>
      <c r="I281" s="106" t="n"/>
      <c r="J281" s="107" t="n"/>
      <c r="K281" s="105" t="n"/>
      <c r="L281" s="106" t="n"/>
      <c r="M281" s="106" t="n"/>
      <c r="N281" s="106" t="n"/>
      <c r="O281" s="106" t="n"/>
      <c r="P281" s="105" t="n"/>
      <c r="Q281" s="107" t="n"/>
      <c r="R281" s="105" t="n"/>
      <c r="S281" s="107" t="n"/>
      <c r="T281" s="108">
        <f>IFERROR(L281+M281+N281+O281+IFERROR(AC281,0)+IFERROR(AD281,0)+IFERROR(AE281,0)+IFERROR(AF281,0)+IFERROR(AG281,0),0)</f>
        <v/>
      </c>
      <c r="U281" s="108">
        <f>IFERROR(H281+IFERROR(I281,0)+T281+IFERROR(V281,0),0)</f>
        <v/>
      </c>
    </row>
    <row r="282" ht="15" customHeight="1" s="199">
      <c r="A282" s="104" t="n"/>
      <c r="B282" s="104" t="n"/>
      <c r="C282" s="104" t="n"/>
      <c r="D282" s="105" t="n"/>
      <c r="E282" s="105" t="n"/>
      <c r="F282" s="105" t="n"/>
      <c r="G282" s="106" t="n"/>
      <c r="H282" s="106" t="n"/>
      <c r="I282" s="106" t="n"/>
      <c r="J282" s="107" t="n"/>
      <c r="K282" s="105" t="n"/>
      <c r="L282" s="106" t="n"/>
      <c r="M282" s="106" t="n"/>
      <c r="N282" s="106" t="n"/>
      <c r="O282" s="106" t="n"/>
      <c r="P282" s="105" t="n"/>
      <c r="Q282" s="107" t="n"/>
      <c r="R282" s="105" t="n"/>
      <c r="S282" s="107" t="n"/>
      <c r="T282" s="108">
        <f>IFERROR(L282+M282+N282+O282+IFERROR(AC282,0)+IFERROR(AD282,0)+IFERROR(AE282,0)+IFERROR(AF282,0)+IFERROR(AG282,0),0)</f>
        <v/>
      </c>
      <c r="U282" s="108">
        <f>IFERROR(H282+IFERROR(I282,0)+T282+IFERROR(V282,0),0)</f>
        <v/>
      </c>
    </row>
    <row r="283" ht="15" customHeight="1" s="199">
      <c r="A283" s="104" t="n"/>
      <c r="B283" s="104" t="n"/>
      <c r="C283" s="104" t="n"/>
      <c r="D283" s="105" t="n"/>
      <c r="E283" s="105" t="n"/>
      <c r="F283" s="105" t="n"/>
      <c r="G283" s="106" t="n"/>
      <c r="H283" s="106" t="n"/>
      <c r="I283" s="106" t="n"/>
      <c r="J283" s="107" t="n"/>
      <c r="K283" s="105" t="n"/>
      <c r="L283" s="106" t="n"/>
      <c r="M283" s="106" t="n"/>
      <c r="N283" s="106" t="n"/>
      <c r="O283" s="106" t="n"/>
      <c r="P283" s="105" t="n"/>
      <c r="Q283" s="107" t="n"/>
      <c r="R283" s="105" t="n"/>
      <c r="S283" s="107" t="n"/>
      <c r="T283" s="108">
        <f>IFERROR(L283+M283+N283+O283+IFERROR(AC283,0)+IFERROR(AD283,0)+IFERROR(AE283,0)+IFERROR(AF283,0)+IFERROR(AG283,0),0)</f>
        <v/>
      </c>
      <c r="U283" s="108">
        <f>IFERROR(H283+IFERROR(I283,0)+T283+IFERROR(V283,0),0)</f>
        <v/>
      </c>
    </row>
    <row r="284" ht="15" customHeight="1" s="199">
      <c r="A284" s="104" t="n"/>
      <c r="B284" s="104" t="n"/>
      <c r="C284" s="104" t="n"/>
      <c r="D284" s="105" t="n"/>
      <c r="E284" s="105" t="n"/>
      <c r="F284" s="105" t="n"/>
      <c r="G284" s="106" t="n"/>
      <c r="H284" s="106" t="n"/>
      <c r="I284" s="106" t="n"/>
      <c r="J284" s="107" t="n"/>
      <c r="K284" s="105" t="n"/>
      <c r="L284" s="106" t="n"/>
      <c r="M284" s="106" t="n"/>
      <c r="N284" s="106" t="n"/>
      <c r="O284" s="106" t="n"/>
      <c r="P284" s="105" t="n"/>
      <c r="Q284" s="107" t="n"/>
      <c r="R284" s="105" t="n"/>
      <c r="S284" s="107" t="n"/>
      <c r="T284" s="108">
        <f>IFERROR(L284+M284+N284+O284+IFERROR(AC284,0)+IFERROR(AD284,0)+IFERROR(AE284,0)+IFERROR(AF284,0)+IFERROR(AG284,0),0)</f>
        <v/>
      </c>
      <c r="U284" s="108">
        <f>IFERROR(H284+IFERROR(I284,0)+T284+IFERROR(V284,0),0)</f>
        <v/>
      </c>
    </row>
    <row r="285" ht="15" customHeight="1" s="199">
      <c r="A285" s="104" t="n"/>
      <c r="B285" s="104" t="n"/>
      <c r="C285" s="104" t="n"/>
      <c r="D285" s="105" t="n"/>
      <c r="E285" s="105" t="n"/>
      <c r="F285" s="105" t="n"/>
      <c r="G285" s="106" t="n"/>
      <c r="H285" s="106" t="n"/>
      <c r="I285" s="106" t="n"/>
      <c r="J285" s="107" t="n"/>
      <c r="K285" s="105" t="n"/>
      <c r="L285" s="106" t="n"/>
      <c r="M285" s="106" t="n"/>
      <c r="N285" s="106" t="n"/>
      <c r="O285" s="106" t="n"/>
      <c r="P285" s="105" t="n"/>
      <c r="Q285" s="107" t="n"/>
      <c r="R285" s="105" t="n"/>
      <c r="S285" s="107" t="n"/>
      <c r="T285" s="108">
        <f>IFERROR(L285+M285+N285+O285+IFERROR(AC285,0)+IFERROR(AD285,0)+IFERROR(AE285,0)+IFERROR(AF285,0)+IFERROR(AG285,0),0)</f>
        <v/>
      </c>
      <c r="U285" s="108">
        <f>IFERROR(H285+IFERROR(I285,0)+T285+IFERROR(V285,0),0)</f>
        <v/>
      </c>
    </row>
    <row r="286" ht="15" customHeight="1" s="199">
      <c r="A286" s="104" t="n"/>
      <c r="B286" s="104" t="n"/>
      <c r="C286" s="104" t="n"/>
      <c r="D286" s="105" t="n"/>
      <c r="E286" s="105" t="n"/>
      <c r="F286" s="105" t="n"/>
      <c r="G286" s="106" t="n"/>
      <c r="H286" s="106" t="n"/>
      <c r="I286" s="106" t="n"/>
      <c r="J286" s="107" t="n"/>
      <c r="K286" s="105" t="n"/>
      <c r="L286" s="106" t="n"/>
      <c r="M286" s="106" t="n"/>
      <c r="N286" s="106" t="n"/>
      <c r="O286" s="106" t="n"/>
      <c r="P286" s="105" t="n"/>
      <c r="Q286" s="107" t="n"/>
      <c r="R286" s="105" t="n"/>
      <c r="S286" s="107" t="n"/>
      <c r="T286" s="108">
        <f>IFERROR(L286+M286+N286+O286+IFERROR(AC286,0)+IFERROR(AD286,0)+IFERROR(AE286,0)+IFERROR(AF286,0)+IFERROR(AG286,0),0)</f>
        <v/>
      </c>
      <c r="U286" s="108">
        <f>IFERROR(H286+IFERROR(I286,0)+T286+IFERROR(V286,0),0)</f>
        <v/>
      </c>
    </row>
    <row r="287" ht="15" customHeight="1" s="199">
      <c r="A287" s="104" t="n"/>
      <c r="B287" s="104" t="n"/>
      <c r="C287" s="104" t="n"/>
      <c r="D287" s="105" t="n"/>
      <c r="E287" s="105" t="n"/>
      <c r="F287" s="105" t="n"/>
      <c r="G287" s="106" t="n"/>
      <c r="H287" s="106" t="n"/>
      <c r="I287" s="106" t="n"/>
      <c r="J287" s="107" t="n"/>
      <c r="K287" s="105" t="n"/>
      <c r="L287" s="106" t="n"/>
      <c r="M287" s="106" t="n"/>
      <c r="N287" s="106" t="n"/>
      <c r="O287" s="106" t="n"/>
      <c r="P287" s="105" t="n"/>
      <c r="Q287" s="107" t="n"/>
      <c r="R287" s="105" t="n"/>
      <c r="S287" s="107" t="n"/>
      <c r="T287" s="108">
        <f>IFERROR(L287+M287+N287+O287+IFERROR(AC287,0)+IFERROR(AD287,0)+IFERROR(AE287,0)+IFERROR(AF287,0)+IFERROR(AG287,0),0)</f>
        <v/>
      </c>
      <c r="U287" s="108">
        <f>IFERROR(H287+IFERROR(I287,0)+T287+IFERROR(V287,0),0)</f>
        <v/>
      </c>
    </row>
    <row r="288" ht="15" customHeight="1" s="199">
      <c r="A288" s="104" t="n"/>
      <c r="B288" s="104" t="n"/>
      <c r="C288" s="104" t="n"/>
      <c r="D288" s="105" t="n"/>
      <c r="E288" s="105" t="n"/>
      <c r="F288" s="105" t="n"/>
      <c r="G288" s="106" t="n"/>
      <c r="H288" s="106" t="n"/>
      <c r="I288" s="106" t="n"/>
      <c r="J288" s="107" t="n"/>
      <c r="K288" s="105" t="n"/>
      <c r="L288" s="106" t="n"/>
      <c r="M288" s="106" t="n"/>
      <c r="N288" s="106" t="n"/>
      <c r="O288" s="106" t="n"/>
      <c r="P288" s="105" t="n"/>
      <c r="Q288" s="107" t="n"/>
      <c r="R288" s="105" t="n"/>
      <c r="S288" s="107" t="n"/>
      <c r="T288" s="108">
        <f>IFERROR(L288+M288+N288+O288+IFERROR(AC288,0)+IFERROR(AD288,0)+IFERROR(AE288,0)+IFERROR(AF288,0)+IFERROR(AG288,0),0)</f>
        <v/>
      </c>
      <c r="U288" s="108">
        <f>IFERROR(H288+IFERROR(I288,0)+T288+IFERROR(V288,0),0)</f>
        <v/>
      </c>
    </row>
    <row r="289" ht="15" customHeight="1" s="199">
      <c r="A289" s="104" t="n"/>
      <c r="B289" s="104" t="n"/>
      <c r="C289" s="104" t="n"/>
      <c r="D289" s="105" t="n"/>
      <c r="E289" s="105" t="n"/>
      <c r="F289" s="105" t="n"/>
      <c r="G289" s="106" t="n"/>
      <c r="H289" s="106" t="n"/>
      <c r="I289" s="106" t="n"/>
      <c r="J289" s="107" t="n"/>
      <c r="K289" s="105" t="n"/>
      <c r="L289" s="106" t="n"/>
      <c r="M289" s="106" t="n"/>
      <c r="N289" s="106" t="n"/>
      <c r="O289" s="106" t="n"/>
      <c r="P289" s="105" t="n"/>
      <c r="Q289" s="107" t="n"/>
      <c r="R289" s="105" t="n"/>
      <c r="S289" s="107" t="n"/>
      <c r="T289" s="108">
        <f>IFERROR(L289+M289+N289+O289+IFERROR(AC289,0)+IFERROR(AD289,0)+IFERROR(AE289,0)+IFERROR(AF289,0)+IFERROR(AG289,0),0)</f>
        <v/>
      </c>
      <c r="U289" s="108">
        <f>IFERROR(H289+IFERROR(I289,0)+T289+IFERROR(V289,0),0)</f>
        <v/>
      </c>
    </row>
    <row r="290" ht="15" customHeight="1" s="199">
      <c r="A290" s="104" t="n"/>
      <c r="B290" s="104" t="n"/>
      <c r="C290" s="104" t="n"/>
      <c r="D290" s="105" t="n"/>
      <c r="E290" s="105" t="n"/>
      <c r="F290" s="105" t="n"/>
      <c r="G290" s="106" t="n"/>
      <c r="H290" s="106" t="n"/>
      <c r="I290" s="106" t="n"/>
      <c r="J290" s="107" t="n"/>
      <c r="K290" s="105" t="n"/>
      <c r="L290" s="106" t="n"/>
      <c r="M290" s="106" t="n"/>
      <c r="N290" s="106" t="n"/>
      <c r="O290" s="106" t="n"/>
      <c r="P290" s="105" t="n"/>
      <c r="Q290" s="107" t="n"/>
      <c r="R290" s="105" t="n"/>
      <c r="S290" s="107" t="n"/>
      <c r="T290" s="108">
        <f>IFERROR(L290+M290+N290+O290+IFERROR(AC290,0)+IFERROR(AD290,0)+IFERROR(AE290,0)+IFERROR(AF290,0)+IFERROR(AG290,0),0)</f>
        <v/>
      </c>
      <c r="U290" s="108">
        <f>IFERROR(H290+IFERROR(I290,0)+T290+IFERROR(V290,0),0)</f>
        <v/>
      </c>
    </row>
    <row r="291" ht="15" customHeight="1" s="199">
      <c r="A291" s="104" t="n"/>
      <c r="B291" s="104" t="n"/>
      <c r="C291" s="104" t="n"/>
      <c r="D291" s="105" t="n"/>
      <c r="E291" s="105" t="n"/>
      <c r="F291" s="105" t="n"/>
      <c r="G291" s="106" t="n"/>
      <c r="H291" s="106" t="n"/>
      <c r="I291" s="106" t="n"/>
      <c r="J291" s="107" t="n"/>
      <c r="K291" s="105" t="n"/>
      <c r="L291" s="106" t="n"/>
      <c r="M291" s="106" t="n"/>
      <c r="N291" s="106" t="n"/>
      <c r="O291" s="106" t="n"/>
      <c r="P291" s="105" t="n"/>
      <c r="Q291" s="107" t="n"/>
      <c r="R291" s="105" t="n"/>
      <c r="S291" s="107" t="n"/>
      <c r="T291" s="108">
        <f>IFERROR(L291+M291+N291+O291+IFERROR(AC291,0)+IFERROR(AD291,0)+IFERROR(AE291,0)+IFERROR(AF291,0)+IFERROR(AG291,0),0)</f>
        <v/>
      </c>
      <c r="U291" s="108">
        <f>IFERROR(H291+IFERROR(I291,0)+T291+IFERROR(V291,0),0)</f>
        <v/>
      </c>
    </row>
    <row r="292" ht="15" customHeight="1" s="199">
      <c r="A292" s="104" t="n"/>
      <c r="B292" s="104" t="n"/>
      <c r="C292" s="104" t="n"/>
      <c r="D292" s="105" t="n"/>
      <c r="E292" s="105" t="n"/>
      <c r="F292" s="105" t="n"/>
      <c r="G292" s="106" t="n"/>
      <c r="H292" s="106" t="n"/>
      <c r="I292" s="106" t="n"/>
      <c r="J292" s="107" t="n"/>
      <c r="K292" s="105" t="n"/>
      <c r="L292" s="106" t="n"/>
      <c r="M292" s="106" t="n"/>
      <c r="N292" s="106" t="n"/>
      <c r="O292" s="106" t="n"/>
      <c r="P292" s="105" t="n"/>
      <c r="Q292" s="107" t="n"/>
      <c r="R292" s="105" t="n"/>
      <c r="S292" s="107" t="n"/>
      <c r="T292" s="108">
        <f>IFERROR(L292+M292+N292+O292+IFERROR(AC292,0)+IFERROR(AD292,0)+IFERROR(AE292,0)+IFERROR(AF292,0)+IFERROR(AG292,0),0)</f>
        <v/>
      </c>
      <c r="U292" s="108">
        <f>IFERROR(H292+IFERROR(I292,0)+T292+IFERROR(V292,0),0)</f>
        <v/>
      </c>
    </row>
    <row r="293" ht="15" customHeight="1" s="199">
      <c r="A293" s="104" t="n"/>
      <c r="B293" s="104" t="n"/>
      <c r="C293" s="104" t="n"/>
      <c r="D293" s="105" t="n"/>
      <c r="E293" s="105" t="n"/>
      <c r="F293" s="105" t="n"/>
      <c r="G293" s="106" t="n"/>
      <c r="H293" s="106" t="n"/>
      <c r="I293" s="106" t="n"/>
      <c r="J293" s="107" t="n"/>
      <c r="K293" s="105" t="n"/>
      <c r="L293" s="106" t="n"/>
      <c r="M293" s="106" t="n"/>
      <c r="N293" s="106" t="n"/>
      <c r="O293" s="106" t="n"/>
      <c r="P293" s="105" t="n"/>
      <c r="Q293" s="107" t="n"/>
      <c r="R293" s="105" t="n"/>
      <c r="S293" s="107" t="n"/>
      <c r="T293" s="108">
        <f>IFERROR(L293+M293+N293+O293+IFERROR(AC293,0)+IFERROR(AD293,0)+IFERROR(AE293,0)+IFERROR(AF293,0)+IFERROR(AG293,0),0)</f>
        <v/>
      </c>
      <c r="U293" s="108">
        <f>IFERROR(H293+IFERROR(I293,0)+T293+IFERROR(V293,0),0)</f>
        <v/>
      </c>
    </row>
    <row r="294" ht="15" customHeight="1" s="199">
      <c r="A294" s="104" t="n"/>
      <c r="B294" s="104" t="n"/>
      <c r="C294" s="104" t="n"/>
      <c r="D294" s="105" t="n"/>
      <c r="E294" s="105" t="n"/>
      <c r="F294" s="105" t="n"/>
      <c r="G294" s="106" t="n"/>
      <c r="H294" s="106" t="n"/>
      <c r="I294" s="106" t="n"/>
      <c r="J294" s="107" t="n"/>
      <c r="K294" s="105" t="n"/>
      <c r="L294" s="106" t="n"/>
      <c r="M294" s="106" t="n"/>
      <c r="N294" s="106" t="n"/>
      <c r="O294" s="106" t="n"/>
      <c r="P294" s="105" t="n"/>
      <c r="Q294" s="107" t="n"/>
      <c r="R294" s="105" t="n"/>
      <c r="S294" s="107" t="n"/>
      <c r="T294" s="108">
        <f>IFERROR(L294+M294+N294+O294+IFERROR(AC294,0)+IFERROR(AD294,0)+IFERROR(AE294,0)+IFERROR(AF294,0)+IFERROR(AG294,0),0)</f>
        <v/>
      </c>
      <c r="U294" s="108">
        <f>IFERROR(H294+IFERROR(I294,0)+T294+IFERROR(V294,0),0)</f>
        <v/>
      </c>
    </row>
    <row r="295" ht="15" customHeight="1" s="199">
      <c r="A295" s="104" t="n"/>
      <c r="B295" s="104" t="n"/>
      <c r="C295" s="104" t="n"/>
      <c r="D295" s="105" t="n"/>
      <c r="E295" s="105" t="n"/>
      <c r="F295" s="105" t="n"/>
      <c r="G295" s="106" t="n"/>
      <c r="H295" s="106" t="n"/>
      <c r="I295" s="106" t="n"/>
      <c r="J295" s="107" t="n"/>
      <c r="K295" s="105" t="n"/>
      <c r="L295" s="106" t="n"/>
      <c r="M295" s="106" t="n"/>
      <c r="N295" s="106" t="n"/>
      <c r="O295" s="106" t="n"/>
      <c r="P295" s="105" t="n"/>
      <c r="Q295" s="107" t="n"/>
      <c r="R295" s="105" t="n"/>
      <c r="S295" s="107" t="n"/>
      <c r="T295" s="108">
        <f>IFERROR(L295+M295+N295+O295+IFERROR(AC295,0)+IFERROR(AD295,0)+IFERROR(AE295,0)+IFERROR(AF295,0)+IFERROR(AG295,0),0)</f>
        <v/>
      </c>
      <c r="U295" s="108">
        <f>IFERROR(H295+IFERROR(I295,0)+T295+IFERROR(V295,0),0)</f>
        <v/>
      </c>
    </row>
    <row r="296" ht="15" customHeight="1" s="199">
      <c r="A296" s="104" t="n"/>
      <c r="B296" s="104" t="n"/>
      <c r="C296" s="104" t="n"/>
      <c r="D296" s="105" t="n"/>
      <c r="E296" s="105" t="n"/>
      <c r="F296" s="105" t="n"/>
      <c r="G296" s="106" t="n"/>
      <c r="H296" s="106" t="n"/>
      <c r="I296" s="106" t="n"/>
      <c r="J296" s="107" t="n"/>
      <c r="K296" s="105" t="n"/>
      <c r="L296" s="106" t="n"/>
      <c r="M296" s="106" t="n"/>
      <c r="N296" s="106" t="n"/>
      <c r="O296" s="106" t="n"/>
      <c r="P296" s="105" t="n"/>
      <c r="Q296" s="107" t="n"/>
      <c r="R296" s="105" t="n"/>
      <c r="S296" s="107" t="n"/>
      <c r="T296" s="108">
        <f>IFERROR(L296+M296+N296+O296+IFERROR(AC296,0)+IFERROR(AD296,0)+IFERROR(AE296,0)+IFERROR(AF296,0)+IFERROR(AG296,0),0)</f>
        <v/>
      </c>
      <c r="U296" s="108">
        <f>IFERROR(H296+IFERROR(I296,0)+T296+IFERROR(V296,0),0)</f>
        <v/>
      </c>
    </row>
    <row r="297" ht="15" customHeight="1" s="199">
      <c r="A297" s="104" t="n"/>
      <c r="B297" s="104" t="n"/>
      <c r="C297" s="104" t="n"/>
      <c r="D297" s="105" t="n"/>
      <c r="E297" s="105" t="n"/>
      <c r="F297" s="105" t="n"/>
      <c r="G297" s="106" t="n"/>
      <c r="H297" s="106" t="n"/>
      <c r="I297" s="106" t="n"/>
      <c r="J297" s="107" t="n"/>
      <c r="K297" s="105" t="n"/>
      <c r="L297" s="106" t="n"/>
      <c r="M297" s="106" t="n"/>
      <c r="N297" s="106" t="n"/>
      <c r="O297" s="106" t="n"/>
      <c r="P297" s="105" t="n"/>
      <c r="Q297" s="107" t="n"/>
      <c r="R297" s="105" t="n"/>
      <c r="S297" s="107" t="n"/>
      <c r="T297" s="108">
        <f>IFERROR(L297+M297+N297+O297+IFERROR(AC297,0)+IFERROR(AD297,0)+IFERROR(AE297,0)+IFERROR(AF297,0)+IFERROR(AG297,0),0)</f>
        <v/>
      </c>
      <c r="U297" s="108">
        <f>IFERROR(H297+IFERROR(I297,0)+T297+IFERROR(V297,0),0)</f>
        <v/>
      </c>
    </row>
    <row r="298" ht="15" customHeight="1" s="199">
      <c r="A298" s="104" t="n"/>
      <c r="B298" s="104" t="n"/>
      <c r="C298" s="104" t="n"/>
      <c r="D298" s="105" t="n"/>
      <c r="E298" s="105" t="n"/>
      <c r="F298" s="105" t="n"/>
      <c r="G298" s="106" t="n"/>
      <c r="H298" s="106" t="n"/>
      <c r="I298" s="106" t="n"/>
      <c r="J298" s="107" t="n"/>
      <c r="K298" s="105" t="n"/>
      <c r="L298" s="106" t="n"/>
      <c r="M298" s="106" t="n"/>
      <c r="N298" s="106" t="n"/>
      <c r="O298" s="106" t="n"/>
      <c r="P298" s="105" t="n"/>
      <c r="Q298" s="107" t="n"/>
      <c r="R298" s="105" t="n"/>
      <c r="S298" s="107" t="n"/>
      <c r="T298" s="108">
        <f>IFERROR(L298+M298+N298+O298+IFERROR(AC298,0)+IFERROR(AD298,0)+IFERROR(AE298,0)+IFERROR(AF298,0)+IFERROR(AG298,0),0)</f>
        <v/>
      </c>
      <c r="U298" s="108">
        <f>IFERROR(H298+IFERROR(I298,0)+T298+IFERROR(V298,0),0)</f>
        <v/>
      </c>
    </row>
    <row r="299" ht="15" customHeight="1" s="199">
      <c r="A299" s="104" t="n"/>
      <c r="B299" s="104" t="n"/>
      <c r="C299" s="104" t="n"/>
      <c r="D299" s="105" t="n"/>
      <c r="E299" s="105" t="n"/>
      <c r="F299" s="105" t="n"/>
      <c r="G299" s="106" t="n"/>
      <c r="H299" s="106" t="n"/>
      <c r="I299" s="106" t="n"/>
      <c r="J299" s="107" t="n"/>
      <c r="K299" s="105" t="n"/>
      <c r="L299" s="106" t="n"/>
      <c r="M299" s="106" t="n"/>
      <c r="N299" s="106" t="n"/>
      <c r="O299" s="106" t="n"/>
      <c r="P299" s="105" t="n"/>
      <c r="Q299" s="107" t="n"/>
      <c r="R299" s="105" t="n"/>
      <c r="S299" s="107" t="n"/>
      <c r="T299" s="108">
        <f>IFERROR(L299+M299+N299+O299+IFERROR(AC299,0)+IFERROR(AD299,0)+IFERROR(AE299,0)+IFERROR(AF299,0)+IFERROR(AG299,0),0)</f>
        <v/>
      </c>
      <c r="U299" s="108">
        <f>IFERROR(H299+IFERROR(I299,0)+T299+IFERROR(V299,0),0)</f>
        <v/>
      </c>
    </row>
    <row r="300" ht="15" customHeight="1" s="199">
      <c r="A300" s="104" t="n"/>
      <c r="B300" s="104" t="n"/>
      <c r="C300" s="104" t="n"/>
      <c r="D300" s="105" t="n"/>
      <c r="E300" s="105" t="n"/>
      <c r="F300" s="105" t="n"/>
      <c r="G300" s="106" t="n"/>
      <c r="H300" s="106" t="n"/>
      <c r="I300" s="106" t="n"/>
      <c r="J300" s="107" t="n"/>
      <c r="K300" s="105" t="n"/>
      <c r="L300" s="106" t="n"/>
      <c r="M300" s="106" t="n"/>
      <c r="N300" s="106" t="n"/>
      <c r="O300" s="106" t="n"/>
      <c r="P300" s="105" t="n"/>
      <c r="Q300" s="107" t="n"/>
      <c r="R300" s="105" t="n"/>
      <c r="S300" s="107" t="n"/>
      <c r="T300" s="108">
        <f>IFERROR(L300+M300+N300+O300+IFERROR(AC300,0)+IFERROR(AD300,0)+IFERROR(AE300,0)+IFERROR(AF300,0)+IFERROR(AG300,0),0)</f>
        <v/>
      </c>
      <c r="U300" s="108">
        <f>IFERROR(H300+IFERROR(I300,0)+T300+IFERROR(V300,0),0)</f>
        <v/>
      </c>
    </row>
    <row r="301" ht="15" customHeight="1" s="199">
      <c r="A301" s="104" t="n"/>
      <c r="B301" s="104" t="n"/>
      <c r="C301" s="104" t="n"/>
      <c r="D301" s="105" t="n"/>
      <c r="E301" s="105" t="n"/>
      <c r="F301" s="105" t="n"/>
      <c r="G301" s="106" t="n"/>
      <c r="H301" s="106" t="n"/>
      <c r="I301" s="106" t="n"/>
      <c r="J301" s="107" t="n"/>
      <c r="K301" s="105" t="n"/>
      <c r="L301" s="106" t="n"/>
      <c r="M301" s="106" t="n"/>
      <c r="N301" s="106" t="n"/>
      <c r="O301" s="106" t="n"/>
      <c r="P301" s="105" t="n"/>
      <c r="Q301" s="107" t="n"/>
      <c r="R301" s="105" t="n"/>
      <c r="S301" s="107" t="n"/>
      <c r="T301" s="108">
        <f>IFERROR(L301+M301+N301+O301+IFERROR(AC301,0)+IFERROR(AD301,0)+IFERROR(AE301,0)+IFERROR(AF301,0)+IFERROR(AG301,0),0)</f>
        <v/>
      </c>
      <c r="U301" s="108">
        <f>IFERROR(H301+IFERROR(I301,0)+T301+IFERROR(V301,0),0)</f>
        <v/>
      </c>
    </row>
    <row r="302" ht="15" customHeight="1" s="199">
      <c r="A302" s="104" t="n"/>
      <c r="B302" s="104" t="n"/>
      <c r="C302" s="104" t="n"/>
      <c r="D302" s="105" t="n"/>
      <c r="E302" s="105" t="n"/>
      <c r="F302" s="105" t="n"/>
      <c r="G302" s="106" t="n"/>
      <c r="H302" s="106" t="n"/>
      <c r="I302" s="106" t="n"/>
      <c r="J302" s="107" t="n"/>
      <c r="K302" s="105" t="n"/>
      <c r="L302" s="106" t="n"/>
      <c r="M302" s="106" t="n"/>
      <c r="N302" s="106" t="n"/>
      <c r="O302" s="106" t="n"/>
      <c r="P302" s="105" t="n"/>
      <c r="Q302" s="107" t="n"/>
      <c r="R302" s="105" t="n"/>
      <c r="S302" s="107" t="n"/>
      <c r="T302" s="108">
        <f>IFERROR(L302+M302+N302+O302+IFERROR(AC302,0)+IFERROR(AD302,0)+IFERROR(AE302,0)+IFERROR(AF302,0)+IFERROR(AG302,0),0)</f>
        <v/>
      </c>
      <c r="U302" s="108">
        <f>IFERROR(H302+IFERROR(I302,0)+T302+IFERROR(V302,0),0)</f>
        <v/>
      </c>
    </row>
    <row r="303" ht="15" customHeight="1" s="199">
      <c r="A303" s="104" t="n"/>
      <c r="B303" s="104" t="n"/>
      <c r="C303" s="104" t="n"/>
      <c r="D303" s="105" t="n"/>
      <c r="E303" s="105" t="n"/>
      <c r="F303" s="105" t="n"/>
      <c r="G303" s="106" t="n"/>
      <c r="H303" s="106" t="n"/>
      <c r="I303" s="106" t="n"/>
      <c r="J303" s="107" t="n"/>
      <c r="K303" s="105" t="n"/>
      <c r="L303" s="106" t="n"/>
      <c r="M303" s="106" t="n"/>
      <c r="N303" s="106" t="n"/>
      <c r="O303" s="106" t="n"/>
      <c r="P303" s="105" t="n"/>
      <c r="Q303" s="107" t="n"/>
      <c r="R303" s="105" t="n"/>
      <c r="S303" s="107" t="n"/>
      <c r="T303" s="108">
        <f>IFERROR(L303+M303+N303+O303+IFERROR(AC303,0)+IFERROR(AD303,0)+IFERROR(AE303,0)+IFERROR(AF303,0)+IFERROR(AG303,0),0)</f>
        <v/>
      </c>
      <c r="U303" s="108">
        <f>IFERROR(H303+IFERROR(I303,0)+T303+IFERROR(V303,0),0)</f>
        <v/>
      </c>
    </row>
    <row r="304" ht="15" customHeight="1" s="199">
      <c r="A304" s="104" t="n"/>
      <c r="B304" s="104" t="n"/>
      <c r="C304" s="104" t="n"/>
      <c r="D304" s="105" t="n"/>
      <c r="E304" s="105" t="n"/>
      <c r="F304" s="105" t="n"/>
      <c r="G304" s="106" t="n"/>
      <c r="H304" s="106" t="n"/>
      <c r="I304" s="106" t="n"/>
      <c r="J304" s="107" t="n"/>
      <c r="K304" s="105" t="n"/>
      <c r="L304" s="106" t="n"/>
      <c r="M304" s="106" t="n"/>
      <c r="N304" s="106" t="n"/>
      <c r="O304" s="106" t="n"/>
      <c r="P304" s="105" t="n"/>
      <c r="Q304" s="107" t="n"/>
      <c r="R304" s="105" t="n"/>
      <c r="S304" s="107" t="n"/>
      <c r="T304" s="108">
        <f>IFERROR(L304+M304+N304+O304+IFERROR(AC304,0)+IFERROR(AD304,0)+IFERROR(AE304,0)+IFERROR(AF304,0)+IFERROR(AG304,0),0)</f>
        <v/>
      </c>
      <c r="U304" s="108">
        <f>IFERROR(H304+IFERROR(I304,0)+T304+IFERROR(V304,0),0)</f>
        <v/>
      </c>
    </row>
    <row r="305" ht="15" customHeight="1" s="199">
      <c r="A305" s="104" t="n"/>
      <c r="B305" s="104" t="n"/>
      <c r="C305" s="104" t="n"/>
      <c r="D305" s="105" t="n"/>
      <c r="E305" s="105" t="n"/>
      <c r="F305" s="105" t="n"/>
      <c r="G305" s="106" t="n"/>
      <c r="H305" s="106" t="n"/>
      <c r="I305" s="106" t="n"/>
      <c r="J305" s="107" t="n"/>
      <c r="K305" s="105" t="n"/>
      <c r="L305" s="106" t="n"/>
      <c r="M305" s="106" t="n"/>
      <c r="N305" s="106" t="n"/>
      <c r="O305" s="106" t="n"/>
      <c r="P305" s="105" t="n"/>
      <c r="Q305" s="107" t="n"/>
      <c r="R305" s="105" t="n"/>
      <c r="S305" s="107" t="n"/>
      <c r="T305" s="108">
        <f>IFERROR(L305+M305+N305+O305+IFERROR(AC305,0)+IFERROR(AD305,0)+IFERROR(AE305,0)+IFERROR(AF305,0)+IFERROR(AG305,0),0)</f>
        <v/>
      </c>
      <c r="U305" s="108">
        <f>IFERROR(H305+IFERROR(I305,0)+T305+IFERROR(V305,0),0)</f>
        <v/>
      </c>
    </row>
    <row r="306" ht="15" customHeight="1" s="199">
      <c r="A306" s="104" t="n"/>
      <c r="B306" s="104" t="n"/>
      <c r="C306" s="104" t="n"/>
      <c r="D306" s="105" t="n"/>
      <c r="E306" s="105" t="n"/>
      <c r="F306" s="105" t="n"/>
      <c r="G306" s="106" t="n"/>
      <c r="H306" s="106" t="n"/>
      <c r="I306" s="106" t="n"/>
      <c r="J306" s="107" t="n"/>
      <c r="K306" s="105" t="n"/>
      <c r="L306" s="106" t="n"/>
      <c r="M306" s="106" t="n"/>
      <c r="N306" s="106" t="n"/>
      <c r="O306" s="106" t="n"/>
      <c r="P306" s="105" t="n"/>
      <c r="Q306" s="107" t="n"/>
      <c r="R306" s="105" t="n"/>
      <c r="S306" s="107" t="n"/>
      <c r="T306" s="108">
        <f>IFERROR(L306+M306+N306+O306+IFERROR(AC306,0)+IFERROR(AD306,0)+IFERROR(AE306,0)+IFERROR(AF306,0)+IFERROR(AG306,0),0)</f>
        <v/>
      </c>
      <c r="U306" s="108">
        <f>IFERROR(H306+IFERROR(I306,0)+T306+IFERROR(V306,0),0)</f>
        <v/>
      </c>
    </row>
    <row r="307" ht="15" customHeight="1" s="199">
      <c r="A307" s="104" t="n"/>
      <c r="B307" s="104" t="n"/>
      <c r="C307" s="104" t="n"/>
      <c r="D307" s="105" t="n"/>
      <c r="E307" s="105" t="n"/>
      <c r="F307" s="105" t="n"/>
      <c r="G307" s="106" t="n"/>
      <c r="H307" s="106" t="n"/>
      <c r="I307" s="106" t="n"/>
      <c r="J307" s="107" t="n"/>
      <c r="K307" s="105" t="n"/>
      <c r="L307" s="106" t="n"/>
      <c r="M307" s="106" t="n"/>
      <c r="N307" s="106" t="n"/>
      <c r="O307" s="106" t="n"/>
      <c r="P307" s="105" t="n"/>
      <c r="Q307" s="107" t="n"/>
      <c r="R307" s="105" t="n"/>
      <c r="S307" s="107" t="n"/>
      <c r="T307" s="108">
        <f>IFERROR(L307+M307+N307+O307+IFERROR(AC307,0)+IFERROR(AD307,0)+IFERROR(AE307,0)+IFERROR(AF307,0)+IFERROR(AG307,0),0)</f>
        <v/>
      </c>
      <c r="U307" s="108">
        <f>IFERROR(H307+IFERROR(I307,0)+T307+IFERROR(V307,0),0)</f>
        <v/>
      </c>
    </row>
    <row r="308" ht="15" customHeight="1" s="199">
      <c r="A308" s="104" t="n"/>
      <c r="B308" s="104" t="n"/>
      <c r="C308" s="104" t="n"/>
      <c r="D308" s="105" t="n"/>
      <c r="E308" s="105" t="n"/>
      <c r="F308" s="105" t="n"/>
      <c r="G308" s="106" t="n"/>
      <c r="H308" s="106" t="n"/>
      <c r="I308" s="106" t="n"/>
      <c r="J308" s="107" t="n"/>
      <c r="K308" s="105" t="n"/>
      <c r="L308" s="106" t="n"/>
      <c r="M308" s="106" t="n"/>
      <c r="N308" s="106" t="n"/>
      <c r="O308" s="106" t="n"/>
      <c r="P308" s="105" t="n"/>
      <c r="Q308" s="107" t="n"/>
      <c r="R308" s="105" t="n"/>
      <c r="S308" s="107" t="n"/>
      <c r="T308" s="108">
        <f>IFERROR(L308+M308+N308+O308+IFERROR(AC308,0)+IFERROR(AD308,0)+IFERROR(AE308,0)+IFERROR(AF308,0)+IFERROR(AG308,0),0)</f>
        <v/>
      </c>
      <c r="U308" s="108">
        <f>IFERROR(H308+IFERROR(I308,0)+T308+IFERROR(V308,0),0)</f>
        <v/>
      </c>
    </row>
    <row r="309" ht="15" customHeight="1" s="199">
      <c r="A309" s="104" t="n"/>
      <c r="B309" s="104" t="n"/>
      <c r="C309" s="104" t="n"/>
      <c r="D309" s="105" t="n"/>
      <c r="E309" s="105" t="n"/>
      <c r="F309" s="105" t="n"/>
      <c r="G309" s="106" t="n"/>
      <c r="H309" s="106" t="n"/>
      <c r="I309" s="106" t="n"/>
      <c r="J309" s="107" t="n"/>
      <c r="K309" s="105" t="n"/>
      <c r="L309" s="106" t="n"/>
      <c r="M309" s="106" t="n"/>
      <c r="N309" s="106" t="n"/>
      <c r="O309" s="106" t="n"/>
      <c r="P309" s="105" t="n"/>
      <c r="Q309" s="107" t="n"/>
      <c r="R309" s="105" t="n"/>
      <c r="S309" s="107" t="n"/>
      <c r="T309" s="108">
        <f>IFERROR(L309+M309+N309+O309+IFERROR(AC309,0)+IFERROR(AD309,0)+IFERROR(AE309,0)+IFERROR(AF309,0)+IFERROR(AG309,0),0)</f>
        <v/>
      </c>
      <c r="U309" s="108">
        <f>IFERROR(H309+IFERROR(I309,0)+T309+IFERROR(V309,0),0)</f>
        <v/>
      </c>
    </row>
    <row r="310" ht="15" customHeight="1" s="199">
      <c r="A310" s="104" t="n"/>
      <c r="B310" s="104" t="n"/>
      <c r="C310" s="104" t="n"/>
      <c r="D310" s="105" t="n"/>
      <c r="E310" s="105" t="n"/>
      <c r="F310" s="105" t="n"/>
      <c r="G310" s="106" t="n"/>
      <c r="H310" s="106" t="n"/>
      <c r="I310" s="106" t="n"/>
      <c r="J310" s="107" t="n"/>
      <c r="K310" s="105" t="n"/>
      <c r="L310" s="106" t="n"/>
      <c r="M310" s="106" t="n"/>
      <c r="N310" s="106" t="n"/>
      <c r="O310" s="106" t="n"/>
      <c r="P310" s="105" t="n"/>
      <c r="Q310" s="107" t="n"/>
      <c r="R310" s="105" t="n"/>
      <c r="S310" s="107" t="n"/>
      <c r="T310" s="108">
        <f>IFERROR(L310+M310+N310+O310+IFERROR(AC310,0)+IFERROR(AD310,0)+IFERROR(AE310,0)+IFERROR(AF310,0)+IFERROR(AG310,0),0)</f>
        <v/>
      </c>
      <c r="U310" s="108">
        <f>IFERROR(H310+IFERROR(I310,0)+T310+IFERROR(V310,0),0)</f>
        <v/>
      </c>
    </row>
    <row r="311" ht="15" customHeight="1" s="199">
      <c r="A311" s="104" t="n"/>
      <c r="B311" s="104" t="n"/>
      <c r="C311" s="104" t="n"/>
      <c r="D311" s="105" t="n"/>
      <c r="E311" s="105" t="n"/>
      <c r="F311" s="105" t="n"/>
      <c r="G311" s="106" t="n"/>
      <c r="H311" s="106" t="n"/>
      <c r="I311" s="106" t="n"/>
      <c r="J311" s="107" t="n"/>
      <c r="K311" s="105" t="n"/>
      <c r="L311" s="106" t="n"/>
      <c r="M311" s="106" t="n"/>
      <c r="N311" s="106" t="n"/>
      <c r="O311" s="106" t="n"/>
      <c r="P311" s="105" t="n"/>
      <c r="Q311" s="107" t="n"/>
      <c r="R311" s="105" t="n"/>
      <c r="S311" s="107" t="n"/>
      <c r="T311" s="108">
        <f>IFERROR(L311+M311+N311+O311+IFERROR(AC311,0)+IFERROR(AD311,0)+IFERROR(AE311,0)+IFERROR(AF311,0)+IFERROR(AG311,0),0)</f>
        <v/>
      </c>
      <c r="U311" s="108">
        <f>IFERROR(H311+IFERROR(I311,0)+T311+IFERROR(V311,0),0)</f>
        <v/>
      </c>
    </row>
    <row r="312" ht="15" customHeight="1" s="199">
      <c r="A312" s="104" t="n"/>
      <c r="B312" s="104" t="n"/>
      <c r="C312" s="104" t="n"/>
      <c r="D312" s="105" t="n"/>
      <c r="E312" s="105" t="n"/>
      <c r="F312" s="105" t="n"/>
      <c r="G312" s="106" t="n"/>
      <c r="H312" s="106" t="n"/>
      <c r="I312" s="106" t="n"/>
      <c r="J312" s="107" t="n"/>
      <c r="K312" s="105" t="n"/>
      <c r="L312" s="106" t="n"/>
      <c r="M312" s="106" t="n"/>
      <c r="N312" s="106" t="n"/>
      <c r="O312" s="106" t="n"/>
      <c r="P312" s="105" t="n"/>
      <c r="Q312" s="107" t="n"/>
      <c r="R312" s="105" t="n"/>
      <c r="S312" s="107" t="n"/>
      <c r="T312" s="108">
        <f>IFERROR(L312+M312+N312+O312+IFERROR(AC312,0)+IFERROR(AD312,0)+IFERROR(AE312,0)+IFERROR(AF312,0)+IFERROR(AG312,0),0)</f>
        <v/>
      </c>
      <c r="U312" s="108">
        <f>IFERROR(H312+IFERROR(I312,0)+T312+IFERROR(V312,0),0)</f>
        <v/>
      </c>
    </row>
    <row r="313" ht="15" customHeight="1" s="199">
      <c r="A313" s="104" t="n"/>
      <c r="B313" s="104" t="n"/>
      <c r="C313" s="104" t="n"/>
      <c r="D313" s="105" t="n"/>
      <c r="E313" s="105" t="n"/>
      <c r="F313" s="105" t="n"/>
      <c r="G313" s="106" t="n"/>
      <c r="H313" s="106" t="n"/>
      <c r="I313" s="106" t="n"/>
      <c r="J313" s="107" t="n"/>
      <c r="K313" s="105" t="n"/>
      <c r="L313" s="106" t="n"/>
      <c r="M313" s="106" t="n"/>
      <c r="N313" s="106" t="n"/>
      <c r="O313" s="106" t="n"/>
      <c r="P313" s="105" t="n"/>
      <c r="Q313" s="107" t="n"/>
      <c r="R313" s="105" t="n"/>
      <c r="S313" s="107" t="n"/>
      <c r="T313" s="108">
        <f>IFERROR(L313+M313+N313+O313+IFERROR(AC313,0)+IFERROR(AD313,0)+IFERROR(AE313,0)+IFERROR(AF313,0)+IFERROR(AG313,0),0)</f>
        <v/>
      </c>
      <c r="U313" s="108">
        <f>IFERROR(H313+IFERROR(I313,0)+T313+IFERROR(V313,0),0)</f>
        <v/>
      </c>
    </row>
    <row r="314" ht="15" customHeight="1" s="199">
      <c r="A314" s="104" t="n"/>
      <c r="B314" s="104" t="n"/>
      <c r="C314" s="104" t="n"/>
      <c r="D314" s="105" t="n"/>
      <c r="E314" s="105" t="n"/>
      <c r="F314" s="105" t="n"/>
      <c r="G314" s="106" t="n"/>
      <c r="H314" s="106" t="n"/>
      <c r="I314" s="106" t="n"/>
      <c r="J314" s="107" t="n"/>
      <c r="K314" s="105" t="n"/>
      <c r="L314" s="106" t="n"/>
      <c r="M314" s="106" t="n"/>
      <c r="N314" s="106" t="n"/>
      <c r="O314" s="106" t="n"/>
      <c r="P314" s="105" t="n"/>
      <c r="Q314" s="107" t="n"/>
      <c r="R314" s="105" t="n"/>
      <c r="S314" s="107" t="n"/>
      <c r="T314" s="108">
        <f>IFERROR(L314+M314+N314+O314+IFERROR(AC314,0)+IFERROR(AD314,0)+IFERROR(AE314,0)+IFERROR(AF314,0)+IFERROR(AG314,0),0)</f>
        <v/>
      </c>
      <c r="U314" s="108">
        <f>IFERROR(H314+IFERROR(I314,0)+T314+IFERROR(V314,0),0)</f>
        <v/>
      </c>
    </row>
    <row r="315" ht="15" customHeight="1" s="199">
      <c r="A315" s="104" t="n"/>
      <c r="B315" s="104" t="n"/>
      <c r="C315" s="104" t="n"/>
      <c r="D315" s="105" t="n"/>
      <c r="E315" s="105" t="n"/>
      <c r="F315" s="105" t="n"/>
      <c r="G315" s="106" t="n"/>
      <c r="H315" s="106" t="n"/>
      <c r="I315" s="106" t="n"/>
      <c r="J315" s="107" t="n"/>
      <c r="K315" s="105" t="n"/>
      <c r="L315" s="106" t="n"/>
      <c r="M315" s="106" t="n"/>
      <c r="N315" s="106" t="n"/>
      <c r="O315" s="106" t="n"/>
      <c r="P315" s="105" t="n"/>
      <c r="Q315" s="107" t="n"/>
      <c r="R315" s="105" t="n"/>
      <c r="S315" s="107" t="n"/>
      <c r="T315" s="108">
        <f>IFERROR(L315+M315+N315+O315+IFERROR(AC315,0)+IFERROR(AD315,0)+IFERROR(AE315,0)+IFERROR(AF315,0)+IFERROR(AG315,0),0)</f>
        <v/>
      </c>
      <c r="U315" s="108">
        <f>IFERROR(H315+IFERROR(I315,0)+T315+IFERROR(V315,0),0)</f>
        <v/>
      </c>
    </row>
    <row r="316" ht="15" customHeight="1" s="199">
      <c r="A316" s="104" t="n"/>
      <c r="B316" s="104" t="n"/>
      <c r="C316" s="104" t="n"/>
      <c r="D316" s="105" t="n"/>
      <c r="E316" s="105" t="n"/>
      <c r="F316" s="105" t="n"/>
      <c r="G316" s="106" t="n"/>
      <c r="H316" s="106" t="n"/>
      <c r="I316" s="106" t="n"/>
      <c r="J316" s="107" t="n"/>
      <c r="K316" s="105" t="n"/>
      <c r="L316" s="106" t="n"/>
      <c r="M316" s="106" t="n"/>
      <c r="N316" s="106" t="n"/>
      <c r="O316" s="106" t="n"/>
      <c r="P316" s="105" t="n"/>
      <c r="Q316" s="107" t="n"/>
      <c r="R316" s="105" t="n"/>
      <c r="S316" s="107" t="n"/>
      <c r="T316" s="108">
        <f>IFERROR(L316+M316+N316+O316+IFERROR(AC316,0)+IFERROR(AD316,0)+IFERROR(AE316,0)+IFERROR(AF316,0)+IFERROR(AG316,0),0)</f>
        <v/>
      </c>
      <c r="U316" s="108">
        <f>IFERROR(H316+IFERROR(I316,0)+T316+IFERROR(V316,0),0)</f>
        <v/>
      </c>
    </row>
    <row r="317" ht="15" customHeight="1" s="199">
      <c r="A317" s="104" t="n"/>
      <c r="B317" s="104" t="n"/>
      <c r="C317" s="104" t="n"/>
      <c r="D317" s="105" t="n"/>
      <c r="E317" s="105" t="n"/>
      <c r="F317" s="105" t="n"/>
      <c r="G317" s="106" t="n"/>
      <c r="H317" s="106" t="n"/>
      <c r="I317" s="106" t="n"/>
      <c r="J317" s="107" t="n"/>
      <c r="K317" s="105" t="n"/>
      <c r="L317" s="106" t="n"/>
      <c r="M317" s="106" t="n"/>
      <c r="N317" s="106" t="n"/>
      <c r="O317" s="106" t="n"/>
      <c r="P317" s="105" t="n"/>
      <c r="Q317" s="107" t="n"/>
      <c r="R317" s="105" t="n"/>
      <c r="S317" s="107" t="n"/>
      <c r="T317" s="108">
        <f>IFERROR(L317+M317+N317+O317+IFERROR(AC317,0)+IFERROR(AD317,0)+IFERROR(AE317,0)+IFERROR(AF317,0)+IFERROR(AG317,0),0)</f>
        <v/>
      </c>
      <c r="U317" s="108">
        <f>IFERROR(H317+IFERROR(I317,0)+T317+IFERROR(V317,0),0)</f>
        <v/>
      </c>
    </row>
    <row r="318" ht="15" customHeight="1" s="199">
      <c r="A318" s="104" t="n"/>
      <c r="B318" s="104" t="n"/>
      <c r="C318" s="104" t="n"/>
      <c r="D318" s="105" t="n"/>
      <c r="E318" s="105" t="n"/>
      <c r="F318" s="105" t="n"/>
      <c r="G318" s="106" t="n"/>
      <c r="H318" s="106" t="n"/>
      <c r="I318" s="106" t="n"/>
      <c r="J318" s="107" t="n"/>
      <c r="K318" s="105" t="n"/>
      <c r="L318" s="106" t="n"/>
      <c r="M318" s="106" t="n"/>
      <c r="N318" s="106" t="n"/>
      <c r="O318" s="106" t="n"/>
      <c r="P318" s="105" t="n"/>
      <c r="Q318" s="107" t="n"/>
      <c r="R318" s="105" t="n"/>
      <c r="S318" s="107" t="n"/>
      <c r="T318" s="108">
        <f>IFERROR(L318+M318+N318+O318+IFERROR(AC318,0)+IFERROR(AD318,0)+IFERROR(AE318,0)+IFERROR(AF318,0)+IFERROR(AG318,0),0)</f>
        <v/>
      </c>
      <c r="U318" s="108">
        <f>IFERROR(H318+IFERROR(I318,0)+T318+IFERROR(V318,0),0)</f>
        <v/>
      </c>
    </row>
    <row r="319" ht="15" customHeight="1" s="199">
      <c r="A319" s="104" t="n"/>
      <c r="B319" s="104" t="n"/>
      <c r="C319" s="104" t="n"/>
      <c r="D319" s="105" t="n"/>
      <c r="E319" s="105" t="n"/>
      <c r="F319" s="105" t="n"/>
      <c r="G319" s="106" t="n"/>
      <c r="H319" s="106" t="n"/>
      <c r="I319" s="106" t="n"/>
      <c r="J319" s="107" t="n"/>
      <c r="K319" s="105" t="n"/>
      <c r="L319" s="106" t="n"/>
      <c r="M319" s="106" t="n"/>
      <c r="N319" s="106" t="n"/>
      <c r="O319" s="106" t="n"/>
      <c r="P319" s="105" t="n"/>
      <c r="Q319" s="107" t="n"/>
      <c r="R319" s="105" t="n"/>
      <c r="S319" s="107" t="n"/>
      <c r="T319" s="108">
        <f>IFERROR(L319+M319+N319+O319+IFERROR(AC319,0)+IFERROR(AD319,0)+IFERROR(AE319,0)+IFERROR(AF319,0)+IFERROR(AG319,0),0)</f>
        <v/>
      </c>
      <c r="U319" s="108">
        <f>IFERROR(H319+IFERROR(I319,0)+T319+IFERROR(V319,0),0)</f>
        <v/>
      </c>
    </row>
    <row r="320" ht="15" customHeight="1" s="199">
      <c r="A320" s="104" t="n"/>
      <c r="B320" s="104" t="n"/>
      <c r="C320" s="104" t="n"/>
      <c r="D320" s="105" t="n"/>
      <c r="E320" s="105" t="n"/>
      <c r="F320" s="105" t="n"/>
      <c r="G320" s="106" t="n"/>
      <c r="H320" s="106" t="n"/>
      <c r="I320" s="106" t="n"/>
      <c r="J320" s="107" t="n"/>
      <c r="K320" s="105" t="n"/>
      <c r="L320" s="106" t="n"/>
      <c r="M320" s="106" t="n"/>
      <c r="N320" s="106" t="n"/>
      <c r="O320" s="106" t="n"/>
      <c r="P320" s="105" t="n"/>
      <c r="Q320" s="107" t="n"/>
      <c r="R320" s="105" t="n"/>
      <c r="S320" s="107" t="n"/>
      <c r="T320" s="108">
        <f>IFERROR(L320+M320+N320+O320+IFERROR(AC320,0)+IFERROR(AD320,0)+IFERROR(AE320,0)+IFERROR(AF320,0)+IFERROR(AG320,0),0)</f>
        <v/>
      </c>
      <c r="U320" s="108">
        <f>IFERROR(H320+IFERROR(I320,0)+T320+IFERROR(V320,0),0)</f>
        <v/>
      </c>
    </row>
    <row r="321" ht="15" customHeight="1" s="199">
      <c r="A321" s="104" t="n"/>
      <c r="B321" s="104" t="n"/>
      <c r="C321" s="104" t="n"/>
      <c r="D321" s="105" t="n"/>
      <c r="E321" s="105" t="n"/>
      <c r="F321" s="105" t="n"/>
      <c r="G321" s="106" t="n"/>
      <c r="H321" s="106" t="n"/>
      <c r="I321" s="106" t="n"/>
      <c r="J321" s="107" t="n"/>
      <c r="K321" s="105" t="n"/>
      <c r="L321" s="106" t="n"/>
      <c r="M321" s="106" t="n"/>
      <c r="N321" s="106" t="n"/>
      <c r="O321" s="106" t="n"/>
      <c r="P321" s="105" t="n"/>
      <c r="Q321" s="107" t="n"/>
      <c r="R321" s="105" t="n"/>
      <c r="S321" s="107" t="n"/>
      <c r="T321" s="108">
        <f>IFERROR(L321+M321+N321+O321+IFERROR(AC321,0)+IFERROR(AD321,0)+IFERROR(AE321,0)+IFERROR(AF321,0)+IFERROR(AG321,0),0)</f>
        <v/>
      </c>
      <c r="U321" s="108">
        <f>IFERROR(H321+IFERROR(I321,0)+T321+IFERROR(V321,0),0)</f>
        <v/>
      </c>
    </row>
    <row r="322" ht="15" customHeight="1" s="199">
      <c r="A322" s="104" t="n"/>
      <c r="B322" s="104" t="n"/>
      <c r="C322" s="104" t="n"/>
      <c r="D322" s="105" t="n"/>
      <c r="E322" s="105" t="n"/>
      <c r="F322" s="105" t="n"/>
      <c r="G322" s="106" t="n"/>
      <c r="H322" s="106" t="n"/>
      <c r="I322" s="106" t="n"/>
      <c r="J322" s="107" t="n"/>
      <c r="K322" s="105" t="n"/>
      <c r="L322" s="106" t="n"/>
      <c r="M322" s="106" t="n"/>
      <c r="N322" s="106" t="n"/>
      <c r="O322" s="106" t="n"/>
      <c r="P322" s="105" t="n"/>
      <c r="Q322" s="107" t="n"/>
      <c r="R322" s="105" t="n"/>
      <c r="S322" s="107" t="n"/>
      <c r="T322" s="108">
        <f>IFERROR(L322+M322+N322+O322+IFERROR(AC322,0)+IFERROR(AD322,0)+IFERROR(AE322,0)+IFERROR(AF322,0)+IFERROR(AG322,0),0)</f>
        <v/>
      </c>
      <c r="U322" s="108">
        <f>IFERROR(H322+IFERROR(I322,0)+T322+IFERROR(V322,0),0)</f>
        <v/>
      </c>
    </row>
    <row r="323" ht="15" customHeight="1" s="199">
      <c r="A323" s="104" t="n"/>
      <c r="B323" s="104" t="n"/>
      <c r="C323" s="104" t="n"/>
      <c r="D323" s="105" t="n"/>
      <c r="E323" s="105" t="n"/>
      <c r="F323" s="105" t="n"/>
      <c r="G323" s="106" t="n"/>
      <c r="H323" s="106" t="n"/>
      <c r="I323" s="106" t="n"/>
      <c r="J323" s="107" t="n"/>
      <c r="K323" s="105" t="n"/>
      <c r="L323" s="106" t="n"/>
      <c r="M323" s="106" t="n"/>
      <c r="N323" s="106" t="n"/>
      <c r="O323" s="106" t="n"/>
      <c r="P323" s="105" t="n"/>
      <c r="Q323" s="107" t="n"/>
      <c r="R323" s="105" t="n"/>
      <c r="S323" s="107" t="n"/>
      <c r="T323" s="108">
        <f>IFERROR(L323+M323+N323+O323+IFERROR(AC323,0)+IFERROR(AD323,0)+IFERROR(AE323,0)+IFERROR(AF323,0)+IFERROR(AG323,0),0)</f>
        <v/>
      </c>
      <c r="U323" s="108">
        <f>IFERROR(H323+IFERROR(I323,0)+T323+IFERROR(V323,0),0)</f>
        <v/>
      </c>
    </row>
    <row r="324" ht="15" customHeight="1" s="199">
      <c r="A324" s="104" t="n"/>
      <c r="B324" s="104" t="n"/>
      <c r="C324" s="104" t="n"/>
      <c r="D324" s="105" t="n"/>
      <c r="E324" s="105" t="n"/>
      <c r="F324" s="105" t="n"/>
      <c r="G324" s="106" t="n"/>
      <c r="H324" s="106" t="n"/>
      <c r="I324" s="106" t="n"/>
      <c r="J324" s="107" t="n"/>
      <c r="K324" s="105" t="n"/>
      <c r="L324" s="106" t="n"/>
      <c r="M324" s="106" t="n"/>
      <c r="N324" s="106" t="n"/>
      <c r="O324" s="106" t="n"/>
      <c r="P324" s="105" t="n"/>
      <c r="Q324" s="107" t="n"/>
      <c r="R324" s="105" t="n"/>
      <c r="S324" s="107" t="n"/>
      <c r="T324" s="108">
        <f>IFERROR(L324+M324+N324+O324+IFERROR(AC324,0)+IFERROR(AD324,0)+IFERROR(AE324,0)+IFERROR(AF324,0)+IFERROR(AG324,0),0)</f>
        <v/>
      </c>
      <c r="U324" s="108">
        <f>IFERROR(H324+IFERROR(I324,0)+T324+IFERROR(V324,0),0)</f>
        <v/>
      </c>
    </row>
    <row r="325" ht="15" customHeight="1" s="199">
      <c r="A325" s="104" t="n"/>
      <c r="B325" s="104" t="n"/>
      <c r="C325" s="104" t="n"/>
      <c r="D325" s="105" t="n"/>
      <c r="E325" s="105" t="n"/>
      <c r="F325" s="105" t="n"/>
      <c r="G325" s="106" t="n"/>
      <c r="H325" s="106" t="n"/>
      <c r="I325" s="106" t="n"/>
      <c r="J325" s="107" t="n"/>
      <c r="K325" s="105" t="n"/>
      <c r="L325" s="106" t="n"/>
      <c r="M325" s="106" t="n"/>
      <c r="N325" s="106" t="n"/>
      <c r="O325" s="106" t="n"/>
      <c r="P325" s="105" t="n"/>
      <c r="Q325" s="107" t="n"/>
      <c r="R325" s="105" t="n"/>
      <c r="S325" s="107" t="n"/>
      <c r="T325" s="108">
        <f>IFERROR(L325+M325+N325+O325+IFERROR(AC325,0)+IFERROR(AD325,0)+IFERROR(AE325,0)+IFERROR(AF325,0)+IFERROR(AG325,0),0)</f>
        <v/>
      </c>
      <c r="U325" s="108">
        <f>IFERROR(H325+IFERROR(I325,0)+T325+IFERROR(V325,0),0)</f>
        <v/>
      </c>
    </row>
    <row r="326" ht="15" customHeight="1" s="199">
      <c r="A326" s="104" t="n"/>
      <c r="B326" s="104" t="n"/>
      <c r="C326" s="104" t="n"/>
      <c r="D326" s="105" t="n"/>
      <c r="E326" s="105" t="n"/>
      <c r="F326" s="105" t="n"/>
      <c r="G326" s="106" t="n"/>
      <c r="H326" s="106" t="n"/>
      <c r="I326" s="106" t="n"/>
      <c r="J326" s="107" t="n"/>
      <c r="K326" s="105" t="n"/>
      <c r="L326" s="106" t="n"/>
      <c r="M326" s="106" t="n"/>
      <c r="N326" s="106" t="n"/>
      <c r="O326" s="106" t="n"/>
      <c r="P326" s="105" t="n"/>
      <c r="Q326" s="107" t="n"/>
      <c r="R326" s="105" t="n"/>
      <c r="S326" s="107" t="n"/>
      <c r="T326" s="108">
        <f>IFERROR(L326+M326+N326+O326+IFERROR(AC326,0)+IFERROR(AD326,0)+IFERROR(AE326,0)+IFERROR(AF326,0)+IFERROR(AG326,0),0)</f>
        <v/>
      </c>
      <c r="U326" s="108">
        <f>IFERROR(H326+IFERROR(I326,0)+T326+IFERROR(V326,0),0)</f>
        <v/>
      </c>
    </row>
    <row r="327" ht="15" customHeight="1" s="199">
      <c r="A327" s="104" t="n"/>
      <c r="B327" s="104" t="n"/>
      <c r="C327" s="104" t="n"/>
      <c r="D327" s="105" t="n"/>
      <c r="E327" s="105" t="n"/>
      <c r="F327" s="105" t="n"/>
      <c r="G327" s="106" t="n"/>
      <c r="H327" s="106" t="n"/>
      <c r="I327" s="106" t="n"/>
      <c r="J327" s="107" t="n"/>
      <c r="K327" s="105" t="n"/>
      <c r="L327" s="106" t="n"/>
      <c r="M327" s="106" t="n"/>
      <c r="N327" s="106" t="n"/>
      <c r="O327" s="106" t="n"/>
      <c r="P327" s="105" t="n"/>
      <c r="Q327" s="107" t="n"/>
      <c r="R327" s="105" t="n"/>
      <c r="S327" s="107" t="n"/>
      <c r="T327" s="108">
        <f>IFERROR(L327+M327+N327+O327+IFERROR(AC327,0)+IFERROR(AD327,0)+IFERROR(AE327,0)+IFERROR(AF327,0)+IFERROR(AG327,0),0)</f>
        <v/>
      </c>
      <c r="U327" s="108">
        <f>IFERROR(H327+IFERROR(I327,0)+T327+IFERROR(V327,0),0)</f>
        <v/>
      </c>
    </row>
    <row r="328" ht="15" customHeight="1" s="199">
      <c r="A328" s="104" t="n"/>
      <c r="B328" s="104" t="n"/>
      <c r="C328" s="104" t="n"/>
      <c r="D328" s="105" t="n"/>
      <c r="E328" s="105" t="n"/>
      <c r="F328" s="105" t="n"/>
      <c r="G328" s="106" t="n"/>
      <c r="H328" s="106" t="n"/>
      <c r="I328" s="106" t="n"/>
      <c r="J328" s="107" t="n"/>
      <c r="K328" s="105" t="n"/>
      <c r="L328" s="106" t="n"/>
      <c r="M328" s="106" t="n"/>
      <c r="N328" s="106" t="n"/>
      <c r="O328" s="106" t="n"/>
      <c r="P328" s="105" t="n"/>
      <c r="Q328" s="107" t="n"/>
      <c r="R328" s="105" t="n"/>
      <c r="S328" s="107" t="n"/>
      <c r="T328" s="108">
        <f>IFERROR(L328+M328+N328+O328+IFERROR(AC328,0)+IFERROR(AD328,0)+IFERROR(AE328,0)+IFERROR(AF328,0)+IFERROR(AG328,0),0)</f>
        <v/>
      </c>
      <c r="U328" s="108">
        <f>IFERROR(H328+IFERROR(I328,0)+T328+IFERROR(V328,0),0)</f>
        <v/>
      </c>
    </row>
    <row r="329" ht="15" customHeight="1" s="199">
      <c r="A329" s="104" t="n"/>
      <c r="B329" s="104" t="n"/>
      <c r="C329" s="104" t="n"/>
      <c r="D329" s="105" t="n"/>
      <c r="E329" s="105" t="n"/>
      <c r="F329" s="105" t="n"/>
      <c r="G329" s="106" t="n"/>
      <c r="H329" s="106" t="n"/>
      <c r="I329" s="106" t="n"/>
      <c r="J329" s="107" t="n"/>
      <c r="K329" s="105" t="n"/>
      <c r="L329" s="106" t="n"/>
      <c r="M329" s="106" t="n"/>
      <c r="N329" s="106" t="n"/>
      <c r="O329" s="106" t="n"/>
      <c r="P329" s="105" t="n"/>
      <c r="Q329" s="107" t="n"/>
      <c r="R329" s="105" t="n"/>
      <c r="S329" s="107" t="n"/>
      <c r="T329" s="108">
        <f>IFERROR(L329+M329+N329+O329+IFERROR(AC329,0)+IFERROR(AD329,0)+IFERROR(AE329,0)+IFERROR(AF329,0)+IFERROR(AG329,0),0)</f>
        <v/>
      </c>
      <c r="U329" s="108">
        <f>IFERROR(H329+IFERROR(I329,0)+T329+IFERROR(V329,0),0)</f>
        <v/>
      </c>
    </row>
    <row r="330" ht="15" customHeight="1" s="199">
      <c r="A330" s="104" t="n"/>
      <c r="B330" s="104" t="n"/>
      <c r="C330" s="104" t="n"/>
      <c r="D330" s="105" t="n"/>
      <c r="E330" s="105" t="n"/>
      <c r="F330" s="105" t="n"/>
      <c r="G330" s="106" t="n"/>
      <c r="H330" s="106" t="n"/>
      <c r="I330" s="106" t="n"/>
      <c r="J330" s="107" t="n"/>
      <c r="K330" s="105" t="n"/>
      <c r="L330" s="106" t="n"/>
      <c r="M330" s="106" t="n"/>
      <c r="N330" s="106" t="n"/>
      <c r="O330" s="106" t="n"/>
      <c r="P330" s="105" t="n"/>
      <c r="Q330" s="107" t="n"/>
      <c r="R330" s="105" t="n"/>
      <c r="S330" s="107" t="n"/>
      <c r="T330" s="108">
        <f>IFERROR(L330+M330+N330+O330+IFERROR(AC330,0)+IFERROR(AD330,0)+IFERROR(AE330,0)+IFERROR(AF330,0)+IFERROR(AG330,0),0)</f>
        <v/>
      </c>
      <c r="U330" s="108">
        <f>IFERROR(H330+IFERROR(I330,0)+T330+IFERROR(V330,0),0)</f>
        <v/>
      </c>
    </row>
    <row r="331" ht="15" customHeight="1" s="199">
      <c r="A331" s="104" t="n"/>
      <c r="B331" s="104" t="n"/>
      <c r="C331" s="104" t="n"/>
      <c r="D331" s="105" t="n"/>
      <c r="E331" s="105" t="n"/>
      <c r="F331" s="105" t="n"/>
      <c r="G331" s="106" t="n"/>
      <c r="H331" s="106" t="n"/>
      <c r="I331" s="106" t="n"/>
      <c r="J331" s="107" t="n"/>
      <c r="K331" s="105" t="n"/>
      <c r="L331" s="106" t="n"/>
      <c r="M331" s="106" t="n"/>
      <c r="N331" s="106" t="n"/>
      <c r="O331" s="106" t="n"/>
      <c r="P331" s="105" t="n"/>
      <c r="Q331" s="107" t="n"/>
      <c r="R331" s="105" t="n"/>
      <c r="S331" s="107" t="n"/>
      <c r="T331" s="108">
        <f>IFERROR(L331+M331+N331+O331+IFERROR(AC331,0)+IFERROR(AD331,0)+IFERROR(AE331,0)+IFERROR(AF331,0)+IFERROR(AG331,0),0)</f>
        <v/>
      </c>
      <c r="U331" s="108">
        <f>IFERROR(H331+IFERROR(I331,0)+T331+IFERROR(V331,0),0)</f>
        <v/>
      </c>
    </row>
    <row r="332" ht="15" customHeight="1" s="199">
      <c r="A332" s="104" t="n"/>
      <c r="B332" s="104" t="n"/>
      <c r="C332" s="104" t="n"/>
      <c r="D332" s="105" t="n"/>
      <c r="E332" s="105" t="n"/>
      <c r="F332" s="105" t="n"/>
      <c r="G332" s="106" t="n"/>
      <c r="H332" s="106" t="n"/>
      <c r="I332" s="106" t="n"/>
      <c r="J332" s="107" t="n"/>
      <c r="K332" s="105" t="n"/>
      <c r="L332" s="106" t="n"/>
      <c r="M332" s="106" t="n"/>
      <c r="N332" s="106" t="n"/>
      <c r="O332" s="106" t="n"/>
      <c r="P332" s="105" t="n"/>
      <c r="Q332" s="107" t="n"/>
      <c r="R332" s="105" t="n"/>
      <c r="S332" s="107" t="n"/>
      <c r="T332" s="108">
        <f>IFERROR(L332+M332+N332+O332+IFERROR(AC332,0)+IFERROR(AD332,0)+IFERROR(AE332,0)+IFERROR(AF332,0)+IFERROR(AG332,0),0)</f>
        <v/>
      </c>
      <c r="U332" s="108">
        <f>IFERROR(H332+IFERROR(I332,0)+T332+IFERROR(V332,0),0)</f>
        <v/>
      </c>
    </row>
    <row r="333" ht="15" customHeight="1" s="199">
      <c r="A333" s="104" t="n"/>
      <c r="B333" s="104" t="n"/>
      <c r="C333" s="104" t="n"/>
      <c r="D333" s="105" t="n"/>
      <c r="E333" s="105" t="n"/>
      <c r="F333" s="105" t="n"/>
      <c r="G333" s="106" t="n"/>
      <c r="H333" s="106" t="n"/>
      <c r="I333" s="106" t="n"/>
      <c r="J333" s="107" t="n"/>
      <c r="K333" s="105" t="n"/>
      <c r="L333" s="106" t="n"/>
      <c r="M333" s="106" t="n"/>
      <c r="N333" s="106" t="n"/>
      <c r="O333" s="106" t="n"/>
      <c r="P333" s="105" t="n"/>
      <c r="Q333" s="107" t="n"/>
      <c r="R333" s="105" t="n"/>
      <c r="S333" s="107" t="n"/>
      <c r="T333" s="108">
        <f>IFERROR(L333+M333+N333+O333+IFERROR(AC333,0)+IFERROR(AD333,0)+IFERROR(AE333,0)+IFERROR(AF333,0)+IFERROR(AG333,0),0)</f>
        <v/>
      </c>
      <c r="U333" s="108">
        <f>IFERROR(H333+IFERROR(I333,0)+T333+IFERROR(V333,0),0)</f>
        <v/>
      </c>
    </row>
    <row r="334" ht="15" customHeight="1" s="199">
      <c r="A334" s="104" t="n"/>
      <c r="B334" s="104" t="n"/>
      <c r="C334" s="104" t="n"/>
      <c r="D334" s="105" t="n"/>
      <c r="E334" s="105" t="n"/>
      <c r="F334" s="105" t="n"/>
      <c r="G334" s="106" t="n"/>
      <c r="H334" s="106" t="n"/>
      <c r="I334" s="106" t="n"/>
      <c r="J334" s="107" t="n"/>
      <c r="K334" s="105" t="n"/>
      <c r="L334" s="106" t="n"/>
      <c r="M334" s="106" t="n"/>
      <c r="N334" s="106" t="n"/>
      <c r="O334" s="106" t="n"/>
      <c r="P334" s="105" t="n"/>
      <c r="Q334" s="107" t="n"/>
      <c r="R334" s="105" t="n"/>
      <c r="S334" s="107" t="n"/>
      <c r="T334" s="108">
        <f>IFERROR(L334+M334+N334+O334+IFERROR(AC334,0)+IFERROR(AD334,0)+IFERROR(AE334,0)+IFERROR(AF334,0)+IFERROR(AG334,0),0)</f>
        <v/>
      </c>
      <c r="U334" s="108">
        <f>IFERROR(H334+IFERROR(I334,0)+T334+IFERROR(V334,0),0)</f>
        <v/>
      </c>
    </row>
    <row r="335" ht="15" customHeight="1" s="199">
      <c r="A335" s="104" t="n"/>
      <c r="B335" s="104" t="n"/>
      <c r="C335" s="104" t="n"/>
      <c r="D335" s="105" t="n"/>
      <c r="E335" s="105" t="n"/>
      <c r="F335" s="105" t="n"/>
      <c r="G335" s="106" t="n"/>
      <c r="H335" s="106" t="n"/>
      <c r="I335" s="106" t="n"/>
      <c r="J335" s="107" t="n"/>
      <c r="K335" s="105" t="n"/>
      <c r="L335" s="106" t="n"/>
      <c r="M335" s="106" t="n"/>
      <c r="N335" s="106" t="n"/>
      <c r="O335" s="106" t="n"/>
      <c r="P335" s="105" t="n"/>
      <c r="Q335" s="107" t="n"/>
      <c r="R335" s="105" t="n"/>
      <c r="S335" s="107" t="n"/>
      <c r="T335" s="108">
        <f>IFERROR(L335+M335+N335+O335+IFERROR(AC335,0)+IFERROR(AD335,0)+IFERROR(AE335,0)+IFERROR(AF335,0)+IFERROR(AG335,0),0)</f>
        <v/>
      </c>
      <c r="U335" s="108">
        <f>IFERROR(H335+IFERROR(I335,0)+T335+IFERROR(V335,0),0)</f>
        <v/>
      </c>
    </row>
    <row r="336" ht="15" customHeight="1" s="199">
      <c r="A336" s="104" t="n"/>
      <c r="B336" s="104" t="n"/>
      <c r="C336" s="104" t="n"/>
      <c r="D336" s="105" t="n"/>
      <c r="E336" s="105" t="n"/>
      <c r="F336" s="105" t="n"/>
      <c r="G336" s="106" t="n"/>
      <c r="H336" s="106" t="n"/>
      <c r="I336" s="106" t="n"/>
      <c r="J336" s="107" t="n"/>
      <c r="K336" s="105" t="n"/>
      <c r="L336" s="106" t="n"/>
      <c r="M336" s="106" t="n"/>
      <c r="N336" s="106" t="n"/>
      <c r="O336" s="106" t="n"/>
      <c r="P336" s="105" t="n"/>
      <c r="Q336" s="107" t="n"/>
      <c r="R336" s="105" t="n"/>
      <c r="S336" s="107" t="n"/>
      <c r="T336" s="108">
        <f>IFERROR(L336+M336+N336+O336+IFERROR(AC336,0)+IFERROR(AD336,0)+IFERROR(AE336,0)+IFERROR(AF336,0)+IFERROR(AG336,0),0)</f>
        <v/>
      </c>
      <c r="U336" s="108">
        <f>IFERROR(H336+IFERROR(I336,0)+T336+IFERROR(V336,0),0)</f>
        <v/>
      </c>
    </row>
    <row r="337" ht="15" customHeight="1" s="199">
      <c r="A337" s="104" t="n"/>
      <c r="B337" s="104" t="n"/>
      <c r="C337" s="104" t="n"/>
      <c r="D337" s="105" t="n"/>
      <c r="E337" s="105" t="n"/>
      <c r="F337" s="105" t="n"/>
      <c r="G337" s="106" t="n"/>
      <c r="H337" s="106" t="n"/>
      <c r="I337" s="106" t="n"/>
      <c r="J337" s="107" t="n"/>
      <c r="K337" s="105" t="n"/>
      <c r="L337" s="106" t="n"/>
      <c r="M337" s="106" t="n"/>
      <c r="N337" s="106" t="n"/>
      <c r="O337" s="106" t="n"/>
      <c r="P337" s="105" t="n"/>
      <c r="Q337" s="107" t="n"/>
      <c r="R337" s="105" t="n"/>
      <c r="S337" s="107" t="n"/>
      <c r="T337" s="108">
        <f>IFERROR(L337+M337+N337+O337+IFERROR(AC337,0)+IFERROR(AD337,0)+IFERROR(AE337,0)+IFERROR(AF337,0)+IFERROR(AG337,0),0)</f>
        <v/>
      </c>
      <c r="U337" s="108">
        <f>IFERROR(H337+IFERROR(I337,0)+T337+IFERROR(V337,0),0)</f>
        <v/>
      </c>
    </row>
    <row r="338" ht="15" customHeight="1" s="199">
      <c r="A338" s="104" t="n"/>
      <c r="B338" s="104" t="n"/>
      <c r="C338" s="104" t="n"/>
      <c r="D338" s="105" t="n"/>
      <c r="E338" s="105" t="n"/>
      <c r="F338" s="105" t="n"/>
      <c r="G338" s="106" t="n"/>
      <c r="H338" s="106" t="n"/>
      <c r="I338" s="106" t="n"/>
      <c r="J338" s="107" t="n"/>
      <c r="K338" s="105" t="n"/>
      <c r="L338" s="106" t="n"/>
      <c r="M338" s="106" t="n"/>
      <c r="N338" s="106" t="n"/>
      <c r="O338" s="106" t="n"/>
      <c r="P338" s="105" t="n"/>
      <c r="Q338" s="107" t="n"/>
      <c r="R338" s="105" t="n"/>
      <c r="S338" s="107" t="n"/>
      <c r="T338" s="108">
        <f>IFERROR(L338+M338+N338+O338+IFERROR(AC338,0)+IFERROR(AD338,0)+IFERROR(AE338,0)+IFERROR(AF338,0)+IFERROR(AG338,0),0)</f>
        <v/>
      </c>
      <c r="U338" s="108">
        <f>IFERROR(H338+IFERROR(I338,0)+T338+IFERROR(V338,0),0)</f>
        <v/>
      </c>
    </row>
    <row r="339" ht="15" customHeight="1" s="199">
      <c r="A339" s="104" t="n"/>
      <c r="B339" s="104" t="n"/>
      <c r="C339" s="104" t="n"/>
      <c r="D339" s="105" t="n"/>
      <c r="E339" s="105" t="n"/>
      <c r="F339" s="105" t="n"/>
      <c r="G339" s="106" t="n"/>
      <c r="H339" s="106" t="n"/>
      <c r="I339" s="106" t="n"/>
      <c r="J339" s="107" t="n"/>
      <c r="K339" s="105" t="n"/>
      <c r="L339" s="106" t="n"/>
      <c r="M339" s="106" t="n"/>
      <c r="N339" s="106" t="n"/>
      <c r="O339" s="106" t="n"/>
      <c r="P339" s="105" t="n"/>
      <c r="Q339" s="107" t="n"/>
      <c r="R339" s="105" t="n"/>
      <c r="S339" s="107" t="n"/>
      <c r="T339" s="108">
        <f>IFERROR(L339+M339+N339+O339+IFERROR(AC339,0)+IFERROR(AD339,0)+IFERROR(AE339,0)+IFERROR(AF339,0)+IFERROR(AG339,0),0)</f>
        <v/>
      </c>
      <c r="U339" s="108">
        <f>IFERROR(H339+IFERROR(I339,0)+T339+IFERROR(V339,0),0)</f>
        <v/>
      </c>
    </row>
    <row r="340" ht="15" customHeight="1" s="199">
      <c r="A340" s="104" t="n"/>
      <c r="B340" s="104" t="n"/>
      <c r="C340" s="104" t="n"/>
      <c r="D340" s="105" t="n"/>
      <c r="E340" s="105" t="n"/>
      <c r="F340" s="105" t="n"/>
      <c r="G340" s="106" t="n"/>
      <c r="H340" s="106" t="n"/>
      <c r="I340" s="106" t="n"/>
      <c r="J340" s="107" t="n"/>
      <c r="K340" s="105" t="n"/>
      <c r="L340" s="106" t="n"/>
      <c r="M340" s="106" t="n"/>
      <c r="N340" s="106" t="n"/>
      <c r="O340" s="106" t="n"/>
      <c r="P340" s="105" t="n"/>
      <c r="Q340" s="107" t="n"/>
      <c r="R340" s="105" t="n"/>
      <c r="S340" s="107" t="n"/>
      <c r="T340" s="108">
        <f>IFERROR(L340+M340+N340+O340+IFERROR(AC340,0)+IFERROR(AD340,0)+IFERROR(AE340,0)+IFERROR(AF340,0)+IFERROR(AG340,0),0)</f>
        <v/>
      </c>
      <c r="U340" s="108">
        <f>IFERROR(H340+IFERROR(I340,0)+T340+IFERROR(V340,0),0)</f>
        <v/>
      </c>
    </row>
    <row r="341" ht="15" customHeight="1" s="199">
      <c r="A341" s="104" t="n"/>
      <c r="B341" s="104" t="n"/>
      <c r="C341" s="104" t="n"/>
      <c r="D341" s="105" t="n"/>
      <c r="E341" s="105" t="n"/>
      <c r="F341" s="105" t="n"/>
      <c r="G341" s="106" t="n"/>
      <c r="H341" s="106" t="n"/>
      <c r="I341" s="106" t="n"/>
      <c r="J341" s="107" t="n"/>
      <c r="K341" s="105" t="n"/>
      <c r="L341" s="106" t="n"/>
      <c r="M341" s="106" t="n"/>
      <c r="N341" s="106" t="n"/>
      <c r="O341" s="106" t="n"/>
      <c r="P341" s="105" t="n"/>
      <c r="Q341" s="107" t="n"/>
      <c r="R341" s="105" t="n"/>
      <c r="S341" s="107" t="n"/>
      <c r="T341" s="108">
        <f>IFERROR(L341+M341+N341+O341+IFERROR(AC341,0)+IFERROR(AD341,0)+IFERROR(AE341,0)+IFERROR(AF341,0)+IFERROR(AG341,0),0)</f>
        <v/>
      </c>
      <c r="U341" s="108">
        <f>IFERROR(H341+IFERROR(I341,0)+T341+IFERROR(V341,0),0)</f>
        <v/>
      </c>
    </row>
    <row r="342" ht="15" customHeight="1" s="199">
      <c r="A342" s="104" t="n"/>
      <c r="B342" s="104" t="n"/>
      <c r="C342" s="104" t="n"/>
      <c r="D342" s="105" t="n"/>
      <c r="E342" s="105" t="n"/>
      <c r="F342" s="105" t="n"/>
      <c r="G342" s="106" t="n"/>
      <c r="H342" s="106" t="n"/>
      <c r="I342" s="106" t="n"/>
      <c r="J342" s="107" t="n"/>
      <c r="K342" s="105" t="n"/>
      <c r="L342" s="106" t="n"/>
      <c r="M342" s="106" t="n"/>
      <c r="N342" s="106" t="n"/>
      <c r="O342" s="106" t="n"/>
      <c r="P342" s="105" t="n"/>
      <c r="Q342" s="107" t="n"/>
      <c r="R342" s="105" t="n"/>
      <c r="S342" s="107" t="n"/>
      <c r="T342" s="108">
        <f>IFERROR(L342+M342+N342+O342+IFERROR(AC342,0)+IFERROR(AD342,0)+IFERROR(AE342,0)+IFERROR(AF342,0)+IFERROR(AG342,0),0)</f>
        <v/>
      </c>
      <c r="U342" s="108">
        <f>IFERROR(H342+IFERROR(I342,0)+T342+IFERROR(V342,0),0)</f>
        <v/>
      </c>
    </row>
    <row r="343" ht="15" customHeight="1" s="199">
      <c r="A343" s="104" t="n"/>
      <c r="B343" s="104" t="n"/>
      <c r="C343" s="104" t="n"/>
      <c r="D343" s="105" t="n"/>
      <c r="E343" s="105" t="n"/>
      <c r="F343" s="105" t="n"/>
      <c r="G343" s="106" t="n"/>
      <c r="H343" s="106" t="n"/>
      <c r="I343" s="106" t="n"/>
      <c r="J343" s="107" t="n"/>
      <c r="K343" s="105" t="n"/>
      <c r="L343" s="106" t="n"/>
      <c r="M343" s="106" t="n"/>
      <c r="N343" s="106" t="n"/>
      <c r="O343" s="106" t="n"/>
      <c r="P343" s="105" t="n"/>
      <c r="Q343" s="107" t="n"/>
      <c r="R343" s="105" t="n"/>
      <c r="S343" s="107" t="n"/>
      <c r="T343" s="108">
        <f>IFERROR(L343+M343+N343+O343+IFERROR(AC343,0)+IFERROR(AD343,0)+IFERROR(AE343,0)+IFERROR(AF343,0)+IFERROR(AG343,0),0)</f>
        <v/>
      </c>
      <c r="U343" s="108">
        <f>IFERROR(H343+IFERROR(I343,0)+T343+IFERROR(V343,0),0)</f>
        <v/>
      </c>
    </row>
    <row r="344" ht="15" customHeight="1" s="199">
      <c r="A344" s="104" t="n"/>
      <c r="B344" s="104" t="n"/>
      <c r="C344" s="104" t="n"/>
      <c r="D344" s="105" t="n"/>
      <c r="E344" s="105" t="n"/>
      <c r="F344" s="105" t="n"/>
      <c r="G344" s="106" t="n"/>
      <c r="H344" s="106" t="n"/>
      <c r="I344" s="106" t="n"/>
      <c r="J344" s="107" t="n"/>
      <c r="K344" s="105" t="n"/>
      <c r="L344" s="106" t="n"/>
      <c r="M344" s="106" t="n"/>
      <c r="N344" s="106" t="n"/>
      <c r="O344" s="106" t="n"/>
      <c r="P344" s="105" t="n"/>
      <c r="Q344" s="107" t="n"/>
      <c r="R344" s="105" t="n"/>
      <c r="S344" s="107" t="n"/>
      <c r="T344" s="108">
        <f>IFERROR(L344+M344+N344+O344+IFERROR(AC344,0)+IFERROR(AD344,0)+IFERROR(AE344,0)+IFERROR(AF344,0)+IFERROR(AG344,0),0)</f>
        <v/>
      </c>
      <c r="U344" s="108">
        <f>IFERROR(H344+IFERROR(I344,0)+T344+IFERROR(V344,0),0)</f>
        <v/>
      </c>
    </row>
    <row r="345" ht="15" customHeight="1" s="199">
      <c r="A345" s="104" t="n"/>
      <c r="B345" s="104" t="n"/>
      <c r="C345" s="104" t="n"/>
      <c r="D345" s="105" t="n"/>
      <c r="E345" s="105" t="n"/>
      <c r="F345" s="105" t="n"/>
      <c r="G345" s="106" t="n"/>
      <c r="H345" s="106" t="n"/>
      <c r="I345" s="106" t="n"/>
      <c r="J345" s="107" t="n"/>
      <c r="K345" s="105" t="n"/>
      <c r="L345" s="106" t="n"/>
      <c r="M345" s="106" t="n"/>
      <c r="N345" s="106" t="n"/>
      <c r="O345" s="106" t="n"/>
      <c r="P345" s="105" t="n"/>
      <c r="Q345" s="107" t="n"/>
      <c r="R345" s="105" t="n"/>
      <c r="S345" s="107" t="n"/>
      <c r="T345" s="108">
        <f>IFERROR(L345+M345+N345+O345+IFERROR(AC345,0)+IFERROR(AD345,0)+IFERROR(AE345,0)+IFERROR(AF345,0)+IFERROR(AG345,0),0)</f>
        <v/>
      </c>
      <c r="U345" s="108">
        <f>IFERROR(H345+IFERROR(I345,0)+T345+IFERROR(V345,0),0)</f>
        <v/>
      </c>
    </row>
    <row r="346" ht="15" customHeight="1" s="199">
      <c r="A346" s="104" t="n"/>
      <c r="B346" s="104" t="n"/>
      <c r="C346" s="104" t="n"/>
      <c r="D346" s="105" t="n"/>
      <c r="E346" s="105" t="n"/>
      <c r="F346" s="105" t="n"/>
      <c r="G346" s="106" t="n"/>
      <c r="H346" s="106" t="n"/>
      <c r="I346" s="106" t="n"/>
      <c r="J346" s="107" t="n"/>
      <c r="K346" s="105" t="n"/>
      <c r="L346" s="106" t="n"/>
      <c r="M346" s="106" t="n"/>
      <c r="N346" s="106" t="n"/>
      <c r="O346" s="106" t="n"/>
      <c r="P346" s="105" t="n"/>
      <c r="Q346" s="107" t="n"/>
      <c r="R346" s="105" t="n"/>
      <c r="S346" s="107" t="n"/>
      <c r="T346" s="108">
        <f>IFERROR(L346+M346+N346+O346+IFERROR(AC346,0)+IFERROR(AD346,0)+IFERROR(AE346,0)+IFERROR(AF346,0)+IFERROR(AG346,0),0)</f>
        <v/>
      </c>
      <c r="U346" s="108">
        <f>IFERROR(H346+IFERROR(I346,0)+T346+IFERROR(V346,0),0)</f>
        <v/>
      </c>
    </row>
    <row r="347" ht="15" customHeight="1" s="199">
      <c r="A347" s="104" t="n"/>
      <c r="B347" s="104" t="n"/>
      <c r="C347" s="104" t="n"/>
      <c r="D347" s="105" t="n"/>
      <c r="E347" s="105" t="n"/>
      <c r="F347" s="105" t="n"/>
      <c r="G347" s="106" t="n"/>
      <c r="H347" s="106" t="n"/>
      <c r="I347" s="106" t="n"/>
      <c r="J347" s="107" t="n"/>
      <c r="K347" s="105" t="n"/>
      <c r="L347" s="106" t="n"/>
      <c r="M347" s="106" t="n"/>
      <c r="N347" s="106" t="n"/>
      <c r="O347" s="106" t="n"/>
      <c r="P347" s="105" t="n"/>
      <c r="Q347" s="107" t="n"/>
      <c r="R347" s="105" t="n"/>
      <c r="S347" s="107" t="n"/>
      <c r="T347" s="108">
        <f>IFERROR(L347+M347+N347+O347+IFERROR(AC347,0)+IFERROR(AD347,0)+IFERROR(AE347,0)+IFERROR(AF347,0)+IFERROR(AG347,0),0)</f>
        <v/>
      </c>
      <c r="U347" s="108">
        <f>IFERROR(H347+IFERROR(I347,0)+T347+IFERROR(V347,0),0)</f>
        <v/>
      </c>
    </row>
    <row r="348" ht="15" customHeight="1" s="199">
      <c r="A348" s="104" t="n"/>
      <c r="B348" s="104" t="n"/>
      <c r="C348" s="104" t="n"/>
      <c r="D348" s="105" t="n"/>
      <c r="E348" s="105" t="n"/>
      <c r="F348" s="105" t="n"/>
      <c r="G348" s="106" t="n"/>
      <c r="H348" s="106" t="n"/>
      <c r="I348" s="106" t="n"/>
      <c r="J348" s="107" t="n"/>
      <c r="K348" s="105" t="n"/>
      <c r="L348" s="106" t="n"/>
      <c r="M348" s="106" t="n"/>
      <c r="N348" s="106" t="n"/>
      <c r="O348" s="106" t="n"/>
      <c r="P348" s="105" t="n"/>
      <c r="Q348" s="107" t="n"/>
      <c r="R348" s="105" t="n"/>
      <c r="S348" s="107" t="n"/>
      <c r="T348" s="108">
        <f>IFERROR(L348+M348+N348+O348+IFERROR(AC348,0)+IFERROR(AD348,0)+IFERROR(AE348,0)+IFERROR(AF348,0)+IFERROR(AG348,0),0)</f>
        <v/>
      </c>
      <c r="U348" s="108">
        <f>IFERROR(H348+IFERROR(I348,0)+T348+IFERROR(V348,0),0)</f>
        <v/>
      </c>
    </row>
    <row r="349" ht="15" customHeight="1" s="199">
      <c r="A349" s="104" t="n"/>
      <c r="B349" s="104" t="n"/>
      <c r="C349" s="104" t="n"/>
      <c r="D349" s="105" t="n"/>
      <c r="E349" s="105" t="n"/>
      <c r="F349" s="105" t="n"/>
      <c r="G349" s="106" t="n"/>
      <c r="H349" s="106" t="n"/>
      <c r="I349" s="106" t="n"/>
      <c r="J349" s="107" t="n"/>
      <c r="K349" s="105" t="n"/>
      <c r="L349" s="106" t="n"/>
      <c r="M349" s="106" t="n"/>
      <c r="N349" s="106" t="n"/>
      <c r="O349" s="106" t="n"/>
      <c r="P349" s="105" t="n"/>
      <c r="Q349" s="107" t="n"/>
      <c r="R349" s="105" t="n"/>
      <c r="S349" s="107" t="n"/>
      <c r="T349" s="108">
        <f>IFERROR(L349+M349+N349+O349+IFERROR(AC349,0)+IFERROR(AD349,0)+IFERROR(AE349,0)+IFERROR(AF349,0)+IFERROR(AG349,0),0)</f>
        <v/>
      </c>
      <c r="U349" s="108">
        <f>IFERROR(H349+IFERROR(I349,0)+T349+IFERROR(V349,0),0)</f>
        <v/>
      </c>
    </row>
    <row r="350" ht="15" customHeight="1" s="199">
      <c r="A350" s="104" t="n"/>
      <c r="B350" s="104" t="n"/>
      <c r="C350" s="104" t="n"/>
      <c r="D350" s="105" t="n"/>
      <c r="E350" s="105" t="n"/>
      <c r="F350" s="105" t="n"/>
      <c r="G350" s="106" t="n"/>
      <c r="H350" s="106" t="n"/>
      <c r="I350" s="106" t="n"/>
      <c r="J350" s="107" t="n"/>
      <c r="K350" s="105" t="n"/>
      <c r="L350" s="106" t="n"/>
      <c r="M350" s="106" t="n"/>
      <c r="N350" s="106" t="n"/>
      <c r="O350" s="106" t="n"/>
      <c r="P350" s="105" t="n"/>
      <c r="Q350" s="107" t="n"/>
      <c r="R350" s="105" t="n"/>
      <c r="S350" s="107" t="n"/>
      <c r="T350" s="108">
        <f>IFERROR(L350+M350+N350+O350+IFERROR(AC350,0)+IFERROR(AD350,0)+IFERROR(AE350,0)+IFERROR(AF350,0)+IFERROR(AG350,0),0)</f>
        <v/>
      </c>
      <c r="U350" s="108">
        <f>IFERROR(H350+IFERROR(I350,0)+T350+IFERROR(V350,0),0)</f>
        <v/>
      </c>
    </row>
    <row r="351" ht="15" customHeight="1" s="199">
      <c r="A351" s="104" t="n"/>
      <c r="B351" s="104" t="n"/>
      <c r="C351" s="104" t="n"/>
      <c r="D351" s="105" t="n"/>
      <c r="E351" s="105" t="n"/>
      <c r="F351" s="105" t="n"/>
      <c r="G351" s="106" t="n"/>
      <c r="H351" s="106" t="n"/>
      <c r="I351" s="106" t="n"/>
      <c r="J351" s="107" t="n"/>
      <c r="K351" s="105" t="n"/>
      <c r="L351" s="106" t="n"/>
      <c r="M351" s="106" t="n"/>
      <c r="N351" s="106" t="n"/>
      <c r="O351" s="106" t="n"/>
      <c r="P351" s="105" t="n"/>
      <c r="Q351" s="107" t="n"/>
      <c r="R351" s="105" t="n"/>
      <c r="S351" s="107" t="n"/>
      <c r="T351" s="108">
        <f>IFERROR(L351+M351+N351+O351+IFERROR(AC351,0)+IFERROR(AD351,0)+IFERROR(AE351,0)+IFERROR(AF351,0)+IFERROR(AG351,0),0)</f>
        <v/>
      </c>
      <c r="U351" s="108">
        <f>IFERROR(H351+IFERROR(I351,0)+T351+IFERROR(V351,0),0)</f>
        <v/>
      </c>
    </row>
    <row r="352" ht="15" customHeight="1" s="199">
      <c r="A352" s="104" t="n"/>
      <c r="B352" s="104" t="n"/>
      <c r="C352" s="104" t="n"/>
      <c r="D352" s="105" t="n"/>
      <c r="E352" s="105" t="n"/>
      <c r="F352" s="105" t="n"/>
      <c r="G352" s="106" t="n"/>
      <c r="H352" s="106" t="n"/>
      <c r="I352" s="106" t="n"/>
      <c r="J352" s="107" t="n"/>
      <c r="K352" s="105" t="n"/>
      <c r="L352" s="106" t="n"/>
      <c r="M352" s="106" t="n"/>
      <c r="N352" s="106" t="n"/>
      <c r="O352" s="106" t="n"/>
      <c r="P352" s="105" t="n"/>
      <c r="Q352" s="107" t="n"/>
      <c r="R352" s="105" t="n"/>
      <c r="S352" s="107" t="n"/>
      <c r="T352" s="108">
        <f>IFERROR(L352+M352+N352+O352+IFERROR(AC352,0)+IFERROR(AD352,0)+IFERROR(AE352,0)+IFERROR(AF352,0)+IFERROR(AG352,0),0)</f>
        <v/>
      </c>
      <c r="U352" s="108">
        <f>IFERROR(H352+IFERROR(I352,0)+T352+IFERROR(V352,0),0)</f>
        <v/>
      </c>
    </row>
    <row r="353" ht="15" customHeight="1" s="199">
      <c r="A353" s="104" t="n"/>
      <c r="B353" s="104" t="n"/>
      <c r="C353" s="104" t="n"/>
      <c r="D353" s="105" t="n"/>
      <c r="E353" s="105" t="n"/>
      <c r="F353" s="105" t="n"/>
      <c r="G353" s="106" t="n"/>
      <c r="H353" s="106" t="n"/>
      <c r="I353" s="106" t="n"/>
      <c r="J353" s="107" t="n"/>
      <c r="K353" s="105" t="n"/>
      <c r="L353" s="106" t="n"/>
      <c r="M353" s="106" t="n"/>
      <c r="N353" s="106" t="n"/>
      <c r="O353" s="106" t="n"/>
      <c r="P353" s="105" t="n"/>
      <c r="Q353" s="107" t="n"/>
      <c r="R353" s="105" t="n"/>
      <c r="S353" s="107" t="n"/>
      <c r="T353" s="108">
        <f>IFERROR(L353+M353+N353+O353+IFERROR(AC353,0)+IFERROR(AD353,0)+IFERROR(AE353,0)+IFERROR(AF353,0)+IFERROR(AG353,0),0)</f>
        <v/>
      </c>
      <c r="U353" s="108">
        <f>IFERROR(H353+IFERROR(I353,0)+T353+IFERROR(V353,0),0)</f>
        <v/>
      </c>
    </row>
    <row r="354" ht="15" customHeight="1" s="199">
      <c r="A354" s="104" t="n"/>
      <c r="B354" s="104" t="n"/>
      <c r="C354" s="104" t="n"/>
      <c r="D354" s="105" t="n"/>
      <c r="E354" s="105" t="n"/>
      <c r="F354" s="105" t="n"/>
      <c r="G354" s="106" t="n"/>
      <c r="H354" s="106" t="n"/>
      <c r="I354" s="106" t="n"/>
      <c r="J354" s="107" t="n"/>
      <c r="K354" s="105" t="n"/>
      <c r="L354" s="106" t="n"/>
      <c r="M354" s="106" t="n"/>
      <c r="N354" s="106" t="n"/>
      <c r="O354" s="106" t="n"/>
      <c r="P354" s="105" t="n"/>
      <c r="Q354" s="107" t="n"/>
      <c r="R354" s="105" t="n"/>
      <c r="S354" s="107" t="n"/>
      <c r="T354" s="108">
        <f>IFERROR(L354+M354+N354+O354+IFERROR(AC354,0)+IFERROR(AD354,0)+IFERROR(AE354,0)+IFERROR(AF354,0)+IFERROR(AG354,0),0)</f>
        <v/>
      </c>
      <c r="U354" s="108">
        <f>IFERROR(H354+IFERROR(I354,0)+T354+IFERROR(V354,0),0)</f>
        <v/>
      </c>
    </row>
    <row r="355" ht="15" customHeight="1" s="199">
      <c r="A355" s="104" t="n"/>
      <c r="B355" s="104" t="n"/>
      <c r="C355" s="104" t="n"/>
      <c r="D355" s="105" t="n"/>
      <c r="E355" s="105" t="n"/>
      <c r="F355" s="105" t="n"/>
      <c r="G355" s="106" t="n"/>
      <c r="H355" s="106" t="n"/>
      <c r="I355" s="106" t="n"/>
      <c r="J355" s="107" t="n"/>
      <c r="K355" s="105" t="n"/>
      <c r="L355" s="106" t="n"/>
      <c r="M355" s="106" t="n"/>
      <c r="N355" s="106" t="n"/>
      <c r="O355" s="106" t="n"/>
      <c r="P355" s="105" t="n"/>
      <c r="Q355" s="107" t="n"/>
      <c r="R355" s="105" t="n"/>
      <c r="S355" s="107" t="n"/>
      <c r="T355" s="108">
        <f>IFERROR(L355+M355+N355+O355+IFERROR(AC355,0)+IFERROR(AD355,0)+IFERROR(AE355,0)+IFERROR(AF355,0)+IFERROR(AG355,0),0)</f>
        <v/>
      </c>
      <c r="U355" s="108">
        <f>IFERROR(H355+IFERROR(I355,0)+T355+IFERROR(V355,0),0)</f>
        <v/>
      </c>
    </row>
    <row r="356" ht="15" customHeight="1" s="199">
      <c r="A356" s="104" t="n"/>
      <c r="B356" s="104" t="n"/>
      <c r="C356" s="104" t="n"/>
      <c r="D356" s="105" t="n"/>
      <c r="E356" s="105" t="n"/>
      <c r="F356" s="105" t="n"/>
      <c r="G356" s="106" t="n"/>
      <c r="H356" s="106" t="n"/>
      <c r="I356" s="106" t="n"/>
      <c r="J356" s="107" t="n"/>
      <c r="K356" s="105" t="n"/>
      <c r="L356" s="106" t="n"/>
      <c r="M356" s="106" t="n"/>
      <c r="N356" s="106" t="n"/>
      <c r="O356" s="106" t="n"/>
      <c r="P356" s="105" t="n"/>
      <c r="Q356" s="107" t="n"/>
      <c r="R356" s="105" t="n"/>
      <c r="S356" s="107" t="n"/>
      <c r="T356" s="108">
        <f>IFERROR(L356+M356+N356+O356+IFERROR(AC356,0)+IFERROR(AD356,0)+IFERROR(AE356,0)+IFERROR(AF356,0)+IFERROR(AG356,0),0)</f>
        <v/>
      </c>
      <c r="U356" s="108">
        <f>IFERROR(H356+IFERROR(I356,0)+T356+IFERROR(V356,0),0)</f>
        <v/>
      </c>
    </row>
    <row r="357" ht="15" customHeight="1" s="199">
      <c r="A357" s="104" t="n"/>
      <c r="B357" s="104" t="n"/>
      <c r="C357" s="104" t="n"/>
      <c r="D357" s="105" t="n"/>
      <c r="E357" s="105" t="n"/>
      <c r="F357" s="105" t="n"/>
      <c r="G357" s="106" t="n"/>
      <c r="H357" s="106" t="n"/>
      <c r="I357" s="106" t="n"/>
      <c r="J357" s="107" t="n"/>
      <c r="K357" s="105" t="n"/>
      <c r="L357" s="106" t="n"/>
      <c r="M357" s="106" t="n"/>
      <c r="N357" s="106" t="n"/>
      <c r="O357" s="106" t="n"/>
      <c r="P357" s="105" t="n"/>
      <c r="Q357" s="107" t="n"/>
      <c r="R357" s="105" t="n"/>
      <c r="S357" s="107" t="n"/>
      <c r="T357" s="108">
        <f>IFERROR(L357+M357+N357+O357+IFERROR(AC357,0)+IFERROR(AD357,0)+IFERROR(AE357,0)+IFERROR(AF357,0)+IFERROR(AG357,0),0)</f>
        <v/>
      </c>
      <c r="U357" s="108">
        <f>IFERROR(H357+IFERROR(I357,0)+T357+IFERROR(V357,0),0)</f>
        <v/>
      </c>
    </row>
    <row r="358" ht="15" customHeight="1" s="199">
      <c r="A358" s="104" t="n"/>
      <c r="B358" s="104" t="n"/>
      <c r="C358" s="104" t="n"/>
      <c r="D358" s="105" t="n"/>
      <c r="E358" s="105" t="n"/>
      <c r="F358" s="105" t="n"/>
      <c r="G358" s="106" t="n"/>
      <c r="H358" s="106" t="n"/>
      <c r="I358" s="106" t="n"/>
      <c r="J358" s="107" t="n"/>
      <c r="K358" s="105" t="n"/>
      <c r="L358" s="106" t="n"/>
      <c r="M358" s="106" t="n"/>
      <c r="N358" s="106" t="n"/>
      <c r="O358" s="106" t="n"/>
      <c r="P358" s="105" t="n"/>
      <c r="Q358" s="107" t="n"/>
      <c r="R358" s="105" t="n"/>
      <c r="S358" s="107" t="n"/>
      <c r="T358" s="108">
        <f>IFERROR(L358+M358+N358+O358+IFERROR(AC358,0)+IFERROR(AD358,0)+IFERROR(AE358,0)+IFERROR(AF358,0)+IFERROR(AG358,0),0)</f>
        <v/>
      </c>
      <c r="U358" s="108">
        <f>IFERROR(H358+IFERROR(I358,0)+T358+IFERROR(V358,0),0)</f>
        <v/>
      </c>
    </row>
    <row r="359" ht="15" customHeight="1" s="199">
      <c r="A359" s="104" t="n"/>
      <c r="B359" s="104" t="n"/>
      <c r="C359" s="104" t="n"/>
      <c r="D359" s="105" t="n"/>
      <c r="E359" s="105" t="n"/>
      <c r="F359" s="105" t="n"/>
      <c r="G359" s="106" t="n"/>
      <c r="H359" s="106" t="n"/>
      <c r="I359" s="106" t="n"/>
      <c r="J359" s="107" t="n"/>
      <c r="K359" s="105" t="n"/>
      <c r="L359" s="106" t="n"/>
      <c r="M359" s="106" t="n"/>
      <c r="N359" s="106" t="n"/>
      <c r="O359" s="106" t="n"/>
      <c r="P359" s="105" t="n"/>
      <c r="Q359" s="107" t="n"/>
      <c r="R359" s="105" t="n"/>
      <c r="S359" s="107" t="n"/>
      <c r="T359" s="108">
        <f>IFERROR(L359+M359+N359+O359+IFERROR(AC359,0)+IFERROR(AD359,0)+IFERROR(AE359,0)+IFERROR(AF359,0)+IFERROR(AG359,0),0)</f>
        <v/>
      </c>
      <c r="U359" s="108">
        <f>IFERROR(H359+IFERROR(I359,0)+T359+IFERROR(V359,0),0)</f>
        <v/>
      </c>
    </row>
    <row r="360" ht="15" customHeight="1" s="199">
      <c r="A360" s="104" t="n"/>
      <c r="B360" s="104" t="n"/>
      <c r="C360" s="104" t="n"/>
      <c r="D360" s="105" t="n"/>
      <c r="E360" s="105" t="n"/>
      <c r="F360" s="105" t="n"/>
      <c r="G360" s="106" t="n"/>
      <c r="H360" s="106" t="n"/>
      <c r="I360" s="106" t="n"/>
      <c r="J360" s="107" t="n"/>
      <c r="K360" s="105" t="n"/>
      <c r="L360" s="106" t="n"/>
      <c r="M360" s="106" t="n"/>
      <c r="N360" s="106" t="n"/>
      <c r="O360" s="106" t="n"/>
      <c r="P360" s="105" t="n"/>
      <c r="Q360" s="107" t="n"/>
      <c r="R360" s="105" t="n"/>
      <c r="S360" s="107" t="n"/>
      <c r="T360" s="108">
        <f>IFERROR(L360+M360+N360+O360+IFERROR(AC360,0)+IFERROR(AD360,0)+IFERROR(AE360,0)+IFERROR(AF360,0)+IFERROR(AG360,0),0)</f>
        <v/>
      </c>
      <c r="U360" s="108">
        <f>IFERROR(H360+IFERROR(I360,0)+T360+IFERROR(V360,0),0)</f>
        <v/>
      </c>
    </row>
    <row r="361" ht="15" customHeight="1" s="199">
      <c r="A361" s="104" t="n"/>
      <c r="B361" s="104" t="n"/>
      <c r="C361" s="104" t="n"/>
      <c r="D361" s="105" t="n"/>
      <c r="E361" s="105" t="n"/>
      <c r="F361" s="105" t="n"/>
      <c r="G361" s="106" t="n"/>
      <c r="H361" s="106" t="n"/>
      <c r="I361" s="106" t="n"/>
      <c r="J361" s="107" t="n"/>
      <c r="K361" s="105" t="n"/>
      <c r="L361" s="106" t="n"/>
      <c r="M361" s="106" t="n"/>
      <c r="N361" s="106" t="n"/>
      <c r="O361" s="106" t="n"/>
      <c r="P361" s="105" t="n"/>
      <c r="Q361" s="107" t="n"/>
      <c r="R361" s="105" t="n"/>
      <c r="S361" s="107" t="n"/>
      <c r="T361" s="108">
        <f>IFERROR(L361+M361+N361+O361+IFERROR(AC361,0)+IFERROR(AD361,0)+IFERROR(AE361,0)+IFERROR(AF361,0)+IFERROR(AG361,0),0)</f>
        <v/>
      </c>
      <c r="U361" s="108">
        <f>IFERROR(H361+IFERROR(I361,0)+T361+IFERROR(V361,0),0)</f>
        <v/>
      </c>
    </row>
    <row r="362" ht="15" customHeight="1" s="199">
      <c r="A362" s="104" t="n"/>
      <c r="B362" s="104" t="n"/>
      <c r="C362" s="104" t="n"/>
      <c r="D362" s="105" t="n"/>
      <c r="E362" s="105" t="n"/>
      <c r="F362" s="105" t="n"/>
      <c r="G362" s="106" t="n"/>
      <c r="H362" s="106" t="n"/>
      <c r="I362" s="106" t="n"/>
      <c r="J362" s="107" t="n"/>
      <c r="K362" s="105" t="n"/>
      <c r="L362" s="106" t="n"/>
      <c r="M362" s="106" t="n"/>
      <c r="N362" s="106" t="n"/>
      <c r="O362" s="106" t="n"/>
      <c r="P362" s="105" t="n"/>
      <c r="Q362" s="107" t="n"/>
      <c r="R362" s="105" t="n"/>
      <c r="S362" s="107" t="n"/>
      <c r="T362" s="108">
        <f>IFERROR(L362+M362+N362+O362+IFERROR(AC362,0)+IFERROR(AD362,0)+IFERROR(AE362,0)+IFERROR(AF362,0)+IFERROR(AG362,0),0)</f>
        <v/>
      </c>
      <c r="U362" s="108">
        <f>IFERROR(H362+IFERROR(I362,0)+T362+IFERROR(V362,0),0)</f>
        <v/>
      </c>
    </row>
    <row r="363" ht="15" customHeight="1" s="199">
      <c r="A363" s="104" t="n"/>
      <c r="B363" s="104" t="n"/>
      <c r="C363" s="104" t="n"/>
      <c r="D363" s="105" t="n"/>
      <c r="E363" s="105" t="n"/>
      <c r="F363" s="105" t="n"/>
      <c r="G363" s="106" t="n"/>
      <c r="H363" s="106" t="n"/>
      <c r="I363" s="106" t="n"/>
      <c r="J363" s="107" t="n"/>
      <c r="K363" s="105" t="n"/>
      <c r="L363" s="106" t="n"/>
      <c r="M363" s="106" t="n"/>
      <c r="N363" s="106" t="n"/>
      <c r="O363" s="106" t="n"/>
      <c r="P363" s="105" t="n"/>
      <c r="Q363" s="107" t="n"/>
      <c r="R363" s="105" t="n"/>
      <c r="S363" s="107" t="n"/>
      <c r="T363" s="108">
        <f>IFERROR(L363+M363+N363+O363+IFERROR(AC363,0)+IFERROR(AD363,0)+IFERROR(AE363,0)+IFERROR(AF363,0)+IFERROR(AG363,0),0)</f>
        <v/>
      </c>
      <c r="U363" s="108">
        <f>IFERROR(H363+IFERROR(I363,0)+T363+IFERROR(V363,0),0)</f>
        <v/>
      </c>
    </row>
    <row r="364" ht="15" customHeight="1" s="199">
      <c r="A364" s="104" t="n"/>
      <c r="B364" s="104" t="n"/>
      <c r="C364" s="104" t="n"/>
      <c r="D364" s="105" t="n"/>
      <c r="E364" s="105" t="n"/>
      <c r="F364" s="105" t="n"/>
      <c r="G364" s="106" t="n"/>
      <c r="H364" s="106" t="n"/>
      <c r="I364" s="106" t="n"/>
      <c r="J364" s="107" t="n"/>
      <c r="K364" s="105" t="n"/>
      <c r="L364" s="106" t="n"/>
      <c r="M364" s="106" t="n"/>
      <c r="N364" s="106" t="n"/>
      <c r="O364" s="106" t="n"/>
      <c r="P364" s="105" t="n"/>
      <c r="Q364" s="107" t="n"/>
      <c r="R364" s="105" t="n"/>
      <c r="S364" s="107" t="n"/>
      <c r="T364" s="108">
        <f>IFERROR(L364+M364+N364+O364+IFERROR(AC364,0)+IFERROR(AD364,0)+IFERROR(AE364,0)+IFERROR(AF364,0)+IFERROR(AG364,0),0)</f>
        <v/>
      </c>
      <c r="U364" s="108">
        <f>IFERROR(H364+IFERROR(I364,0)+T364+IFERROR(V364,0),0)</f>
        <v/>
      </c>
    </row>
    <row r="365" ht="15" customHeight="1" s="199">
      <c r="A365" s="104" t="n"/>
      <c r="B365" s="104" t="n"/>
      <c r="C365" s="104" t="n"/>
      <c r="D365" s="105" t="n"/>
      <c r="E365" s="105" t="n"/>
      <c r="F365" s="105" t="n"/>
      <c r="G365" s="106" t="n"/>
      <c r="H365" s="106" t="n"/>
      <c r="I365" s="106" t="n"/>
      <c r="J365" s="107" t="n"/>
      <c r="K365" s="105" t="n"/>
      <c r="L365" s="106" t="n"/>
      <c r="M365" s="106" t="n"/>
      <c r="N365" s="106" t="n"/>
      <c r="O365" s="106" t="n"/>
      <c r="P365" s="105" t="n"/>
      <c r="Q365" s="107" t="n"/>
      <c r="R365" s="105" t="n"/>
      <c r="S365" s="107" t="n"/>
      <c r="T365" s="108">
        <f>IFERROR(L365+M365+N365+O365+IFERROR(AC365,0)+IFERROR(AD365,0)+IFERROR(AE365,0)+IFERROR(AF365,0)+IFERROR(AG365,0),0)</f>
        <v/>
      </c>
      <c r="U365" s="108">
        <f>IFERROR(H365+IFERROR(I365,0)+T365+IFERROR(V365,0),0)</f>
        <v/>
      </c>
    </row>
    <row r="366" ht="15" customHeight="1" s="199">
      <c r="A366" s="104" t="n"/>
      <c r="B366" s="104" t="n"/>
      <c r="C366" s="104" t="n"/>
      <c r="D366" s="105" t="n"/>
      <c r="E366" s="105" t="n"/>
      <c r="F366" s="105" t="n"/>
      <c r="G366" s="106" t="n"/>
      <c r="H366" s="106" t="n"/>
      <c r="I366" s="106" t="n"/>
      <c r="J366" s="107" t="n"/>
      <c r="K366" s="105" t="n"/>
      <c r="L366" s="106" t="n"/>
      <c r="M366" s="106" t="n"/>
      <c r="N366" s="106" t="n"/>
      <c r="O366" s="106" t="n"/>
      <c r="P366" s="105" t="n"/>
      <c r="Q366" s="107" t="n"/>
      <c r="R366" s="105" t="n"/>
      <c r="S366" s="107" t="n"/>
      <c r="T366" s="108">
        <f>IFERROR(L366+M366+N366+O366+IFERROR(AC366,0)+IFERROR(AD366,0)+IFERROR(AE366,0)+IFERROR(AF366,0)+IFERROR(AG366,0),0)</f>
        <v/>
      </c>
      <c r="U366" s="108">
        <f>IFERROR(H366+IFERROR(I366,0)+T366+IFERROR(V366,0),0)</f>
        <v/>
      </c>
    </row>
    <row r="367" ht="15" customHeight="1" s="199">
      <c r="A367" s="104" t="n"/>
      <c r="B367" s="104" t="n"/>
      <c r="C367" s="104" t="n"/>
      <c r="D367" s="105" t="n"/>
      <c r="E367" s="105" t="n"/>
      <c r="F367" s="105" t="n"/>
      <c r="G367" s="106" t="n"/>
      <c r="H367" s="106" t="n"/>
      <c r="I367" s="106" t="n"/>
      <c r="J367" s="107" t="n"/>
      <c r="K367" s="105" t="n"/>
      <c r="L367" s="106" t="n"/>
      <c r="M367" s="106" t="n"/>
      <c r="N367" s="106" t="n"/>
      <c r="O367" s="106" t="n"/>
      <c r="P367" s="105" t="n"/>
      <c r="Q367" s="107" t="n"/>
      <c r="R367" s="105" t="n"/>
      <c r="S367" s="107" t="n"/>
      <c r="T367" s="108">
        <f>IFERROR(L367+M367+N367+O367+IFERROR(AC367,0)+IFERROR(AD367,0)+IFERROR(AE367,0)+IFERROR(AF367,0)+IFERROR(AG367,0),0)</f>
        <v/>
      </c>
      <c r="U367" s="108">
        <f>IFERROR(H367+IFERROR(I367,0)+T367+IFERROR(V367,0),0)</f>
        <v/>
      </c>
    </row>
    <row r="368" ht="15" customHeight="1" s="199">
      <c r="A368" s="104" t="n"/>
      <c r="B368" s="104" t="n"/>
      <c r="C368" s="104" t="n"/>
      <c r="D368" s="105" t="n"/>
      <c r="E368" s="105" t="n"/>
      <c r="F368" s="105" t="n"/>
      <c r="G368" s="106" t="n"/>
      <c r="H368" s="106" t="n"/>
      <c r="I368" s="106" t="n"/>
      <c r="J368" s="107" t="n"/>
      <c r="K368" s="105" t="n"/>
      <c r="L368" s="106" t="n"/>
      <c r="M368" s="106" t="n"/>
      <c r="N368" s="106" t="n"/>
      <c r="O368" s="106" t="n"/>
      <c r="P368" s="105" t="n"/>
      <c r="Q368" s="107" t="n"/>
      <c r="R368" s="105" t="n"/>
      <c r="S368" s="107" t="n"/>
      <c r="T368" s="108">
        <f>IFERROR(L368+M368+N368+O368+IFERROR(AC368,0)+IFERROR(AD368,0)+IFERROR(AE368,0)+IFERROR(AF368,0)+IFERROR(AG368,0),0)</f>
        <v/>
      </c>
      <c r="U368" s="108">
        <f>IFERROR(H368+IFERROR(I368,0)+T368+IFERROR(V368,0),0)</f>
        <v/>
      </c>
    </row>
    <row r="369" ht="15" customHeight="1" s="199">
      <c r="A369" s="104" t="n"/>
      <c r="B369" s="104" t="n"/>
      <c r="C369" s="104" t="n"/>
      <c r="D369" s="105" t="n"/>
      <c r="E369" s="105" t="n"/>
      <c r="F369" s="105" t="n"/>
      <c r="G369" s="106" t="n"/>
      <c r="H369" s="106" t="n"/>
      <c r="I369" s="106" t="n"/>
      <c r="J369" s="107" t="n"/>
      <c r="K369" s="105" t="n"/>
      <c r="L369" s="106" t="n"/>
      <c r="M369" s="106" t="n"/>
      <c r="N369" s="106" t="n"/>
      <c r="O369" s="106" t="n"/>
      <c r="P369" s="105" t="n"/>
      <c r="Q369" s="107" t="n"/>
      <c r="R369" s="105" t="n"/>
      <c r="S369" s="107" t="n"/>
      <c r="T369" s="108">
        <f>IFERROR(L369+M369+N369+O369+IFERROR(AC369,0)+IFERROR(AD369,0)+IFERROR(AE369,0)+IFERROR(AF369,0)+IFERROR(AG369,0),0)</f>
        <v/>
      </c>
      <c r="U369" s="108">
        <f>IFERROR(H369+IFERROR(I369,0)+T369+IFERROR(V369,0),0)</f>
        <v/>
      </c>
    </row>
    <row r="370" ht="15" customHeight="1" s="199">
      <c r="A370" s="104" t="n"/>
      <c r="B370" s="104" t="n"/>
      <c r="C370" s="104" t="n"/>
      <c r="D370" s="105" t="n"/>
      <c r="E370" s="105" t="n"/>
      <c r="F370" s="105" t="n"/>
      <c r="G370" s="106" t="n"/>
      <c r="H370" s="106" t="n"/>
      <c r="I370" s="106" t="n"/>
      <c r="J370" s="107" t="n"/>
      <c r="K370" s="105" t="n"/>
      <c r="L370" s="106" t="n"/>
      <c r="M370" s="106" t="n"/>
      <c r="N370" s="106" t="n"/>
      <c r="O370" s="106" t="n"/>
      <c r="P370" s="105" t="n"/>
      <c r="Q370" s="107" t="n"/>
      <c r="R370" s="105" t="n"/>
      <c r="S370" s="107" t="n"/>
      <c r="T370" s="108">
        <f>IFERROR(L370+M370+N370+O370+IFERROR(AC370,0)+IFERROR(AD370,0)+IFERROR(AE370,0)+IFERROR(AF370,0)+IFERROR(AG370,0),0)</f>
        <v/>
      </c>
      <c r="U370" s="108">
        <f>IFERROR(H370+IFERROR(I370,0)+T370+IFERROR(V370,0),0)</f>
        <v/>
      </c>
    </row>
    <row r="371" ht="15" customHeight="1" s="199">
      <c r="A371" s="104" t="n"/>
      <c r="B371" s="104" t="n"/>
      <c r="C371" s="104" t="n"/>
      <c r="D371" s="105" t="n"/>
      <c r="E371" s="105" t="n"/>
      <c r="F371" s="105" t="n"/>
      <c r="G371" s="106" t="n"/>
      <c r="H371" s="106" t="n"/>
      <c r="I371" s="106" t="n"/>
      <c r="J371" s="107" t="n"/>
      <c r="K371" s="105" t="n"/>
      <c r="L371" s="106" t="n"/>
      <c r="M371" s="106" t="n"/>
      <c r="N371" s="106" t="n"/>
      <c r="O371" s="106" t="n"/>
      <c r="P371" s="105" t="n"/>
      <c r="Q371" s="107" t="n"/>
      <c r="R371" s="105" t="n"/>
      <c r="S371" s="107" t="n"/>
      <c r="T371" s="108">
        <f>IFERROR(L371+M371+N371+O371+IFERROR(AC371,0)+IFERROR(AD371,0)+IFERROR(AE371,0)+IFERROR(AF371,0)+IFERROR(AG371,0),0)</f>
        <v/>
      </c>
      <c r="U371" s="108">
        <f>IFERROR(H371+IFERROR(I371,0)+T371+IFERROR(V371,0),0)</f>
        <v/>
      </c>
    </row>
    <row r="372" ht="15" customHeight="1" s="199">
      <c r="A372" s="104" t="n"/>
      <c r="B372" s="104" t="n"/>
      <c r="C372" s="104" t="n"/>
      <c r="D372" s="105" t="n"/>
      <c r="E372" s="105" t="n"/>
      <c r="F372" s="105" t="n"/>
      <c r="G372" s="106" t="n"/>
      <c r="H372" s="106" t="n"/>
      <c r="I372" s="106" t="n"/>
      <c r="J372" s="107" t="n"/>
      <c r="K372" s="105" t="n"/>
      <c r="L372" s="106" t="n"/>
      <c r="M372" s="106" t="n"/>
      <c r="N372" s="106" t="n"/>
      <c r="O372" s="106" t="n"/>
      <c r="P372" s="105" t="n"/>
      <c r="Q372" s="107" t="n"/>
      <c r="R372" s="105" t="n"/>
      <c r="S372" s="107" t="n"/>
      <c r="T372" s="108">
        <f>IFERROR(L372+M372+N372+O372+IFERROR(AC372,0)+IFERROR(AD372,0)+IFERROR(AE372,0)+IFERROR(AF372,0)+IFERROR(AG372,0),0)</f>
        <v/>
      </c>
      <c r="U372" s="108">
        <f>IFERROR(H372+IFERROR(I372,0)+T372+IFERROR(V372,0),0)</f>
        <v/>
      </c>
    </row>
    <row r="373" ht="15" customHeight="1" s="199">
      <c r="A373" s="104" t="n"/>
      <c r="B373" s="104" t="n"/>
      <c r="C373" s="104" t="n"/>
      <c r="D373" s="105" t="n"/>
      <c r="E373" s="105" t="n"/>
      <c r="F373" s="105" t="n"/>
      <c r="G373" s="106" t="n"/>
      <c r="H373" s="106" t="n"/>
      <c r="I373" s="106" t="n"/>
      <c r="J373" s="107" t="n"/>
      <c r="K373" s="105" t="n"/>
      <c r="L373" s="106" t="n"/>
      <c r="M373" s="106" t="n"/>
      <c r="N373" s="106" t="n"/>
      <c r="O373" s="106" t="n"/>
      <c r="P373" s="105" t="n"/>
      <c r="Q373" s="107" t="n"/>
      <c r="R373" s="105" t="n"/>
      <c r="S373" s="107" t="n"/>
      <c r="T373" s="108">
        <f>IFERROR(L373+M373+N373+O373+IFERROR(AC373,0)+IFERROR(AD373,0)+IFERROR(AE373,0)+IFERROR(AF373,0)+IFERROR(AG373,0),0)</f>
        <v/>
      </c>
      <c r="U373" s="108">
        <f>IFERROR(H373+IFERROR(I373,0)+T373+IFERROR(V373,0),0)</f>
        <v/>
      </c>
    </row>
    <row r="374" ht="15" customHeight="1" s="199">
      <c r="A374" s="104" t="n"/>
      <c r="B374" s="104" t="n"/>
      <c r="C374" s="104" t="n"/>
      <c r="D374" s="105" t="n"/>
      <c r="E374" s="105" t="n"/>
      <c r="F374" s="105" t="n"/>
      <c r="G374" s="106" t="n"/>
      <c r="H374" s="106" t="n"/>
      <c r="I374" s="106" t="n"/>
      <c r="J374" s="107" t="n"/>
      <c r="K374" s="105" t="n"/>
      <c r="L374" s="106" t="n"/>
      <c r="M374" s="106" t="n"/>
      <c r="N374" s="106" t="n"/>
      <c r="O374" s="106" t="n"/>
      <c r="P374" s="105" t="n"/>
      <c r="Q374" s="107" t="n"/>
      <c r="R374" s="105" t="n"/>
      <c r="S374" s="107" t="n"/>
      <c r="T374" s="108">
        <f>IFERROR(L374+M374+N374+O374+IFERROR(AC374,0)+IFERROR(AD374,0)+IFERROR(AE374,0)+IFERROR(AF374,0)+IFERROR(AG374,0),0)</f>
        <v/>
      </c>
      <c r="U374" s="108">
        <f>IFERROR(H374+IFERROR(I374,0)+T374+IFERROR(V374,0),0)</f>
        <v/>
      </c>
    </row>
    <row r="375" ht="15" customHeight="1" s="199">
      <c r="A375" s="104" t="n"/>
      <c r="B375" s="104" t="n"/>
      <c r="C375" s="104" t="n"/>
      <c r="D375" s="105" t="n"/>
      <c r="E375" s="105" t="n"/>
      <c r="F375" s="105" t="n"/>
      <c r="G375" s="106" t="n"/>
      <c r="H375" s="106" t="n"/>
      <c r="I375" s="106" t="n"/>
      <c r="J375" s="107" t="n"/>
      <c r="K375" s="105" t="n"/>
      <c r="L375" s="106" t="n"/>
      <c r="M375" s="106" t="n"/>
      <c r="N375" s="106" t="n"/>
      <c r="O375" s="106" t="n"/>
      <c r="P375" s="105" t="n"/>
      <c r="Q375" s="107" t="n"/>
      <c r="R375" s="105" t="n"/>
      <c r="S375" s="107" t="n"/>
      <c r="T375" s="108">
        <f>IFERROR(L375+M375+N375+O375+IFERROR(AC375,0)+IFERROR(AD375,0)+IFERROR(AE375,0)+IFERROR(AF375,0)+IFERROR(AG375,0),0)</f>
        <v/>
      </c>
      <c r="U375" s="108">
        <f>IFERROR(H375+IFERROR(I375,0)+T375+IFERROR(V375,0),0)</f>
        <v/>
      </c>
    </row>
    <row r="376" ht="15" customHeight="1" s="199">
      <c r="A376" s="104" t="n"/>
      <c r="B376" s="104" t="n"/>
      <c r="C376" s="104" t="n"/>
      <c r="D376" s="105" t="n"/>
      <c r="E376" s="105" t="n"/>
      <c r="F376" s="105" t="n"/>
      <c r="G376" s="106" t="n"/>
      <c r="H376" s="106" t="n"/>
      <c r="I376" s="106" t="n"/>
      <c r="J376" s="107" t="n"/>
      <c r="K376" s="105" t="n"/>
      <c r="L376" s="106" t="n"/>
      <c r="M376" s="106" t="n"/>
      <c r="N376" s="106" t="n"/>
      <c r="O376" s="106" t="n"/>
      <c r="P376" s="105" t="n"/>
      <c r="Q376" s="107" t="n"/>
      <c r="R376" s="105" t="n"/>
      <c r="S376" s="107" t="n"/>
      <c r="T376" s="108">
        <f>IFERROR(L376+M376+N376+O376+IFERROR(AC376,0)+IFERROR(AD376,0)+IFERROR(AE376,0)+IFERROR(AF376,0)+IFERROR(AG376,0),0)</f>
        <v/>
      </c>
      <c r="U376" s="108">
        <f>IFERROR(H376+IFERROR(I376,0)+T376+IFERROR(V376,0),0)</f>
        <v/>
      </c>
    </row>
    <row r="377" ht="15" customHeight="1" s="199">
      <c r="A377" s="104" t="n"/>
      <c r="B377" s="104" t="n"/>
      <c r="C377" s="104" t="n"/>
      <c r="D377" s="105" t="n"/>
      <c r="E377" s="105" t="n"/>
      <c r="F377" s="105" t="n"/>
      <c r="G377" s="106" t="n"/>
      <c r="H377" s="106" t="n"/>
      <c r="I377" s="106" t="n"/>
      <c r="J377" s="107" t="n"/>
      <c r="K377" s="105" t="n"/>
      <c r="L377" s="106" t="n"/>
      <c r="M377" s="106" t="n"/>
      <c r="N377" s="106" t="n"/>
      <c r="O377" s="106" t="n"/>
      <c r="P377" s="105" t="n"/>
      <c r="Q377" s="107" t="n"/>
      <c r="R377" s="105" t="n"/>
      <c r="S377" s="107" t="n"/>
      <c r="T377" s="108">
        <f>IFERROR(L377+M377+N377+O377+IFERROR(AC377,0)+IFERROR(AD377,0)+IFERROR(AE377,0)+IFERROR(AF377,0)+IFERROR(AG377,0),0)</f>
        <v/>
      </c>
      <c r="U377" s="108">
        <f>IFERROR(H377+IFERROR(I377,0)+T377+IFERROR(V377,0),0)</f>
        <v/>
      </c>
    </row>
    <row r="378" ht="15" customHeight="1" s="199">
      <c r="A378" s="104" t="n"/>
      <c r="B378" s="104" t="n"/>
      <c r="C378" s="104" t="n"/>
      <c r="D378" s="105" t="n"/>
      <c r="E378" s="105" t="n"/>
      <c r="F378" s="105" t="n"/>
      <c r="G378" s="106" t="n"/>
      <c r="H378" s="106" t="n"/>
      <c r="I378" s="106" t="n"/>
      <c r="J378" s="107" t="n"/>
      <c r="K378" s="105" t="n"/>
      <c r="L378" s="106" t="n"/>
      <c r="M378" s="106" t="n"/>
      <c r="N378" s="106" t="n"/>
      <c r="O378" s="106" t="n"/>
      <c r="P378" s="105" t="n"/>
      <c r="Q378" s="107" t="n"/>
      <c r="R378" s="105" t="n"/>
      <c r="S378" s="107" t="n"/>
      <c r="T378" s="108">
        <f>IFERROR(L378+M378+N378+O378+IFERROR(AC378,0)+IFERROR(AD378,0)+IFERROR(AE378,0)+IFERROR(AF378,0)+IFERROR(AG378,0),0)</f>
        <v/>
      </c>
      <c r="U378" s="108">
        <f>IFERROR(H378+IFERROR(I378,0)+T378+IFERROR(V378,0),0)</f>
        <v/>
      </c>
    </row>
    <row r="379" ht="15" customHeight="1" s="199">
      <c r="A379" s="104" t="n"/>
      <c r="B379" s="104" t="n"/>
      <c r="C379" s="104" t="n"/>
      <c r="D379" s="105" t="n"/>
      <c r="E379" s="105" t="n"/>
      <c r="F379" s="105" t="n"/>
      <c r="G379" s="106" t="n"/>
      <c r="H379" s="106" t="n"/>
      <c r="I379" s="106" t="n"/>
      <c r="J379" s="107" t="n"/>
      <c r="K379" s="105" t="n"/>
      <c r="L379" s="106" t="n"/>
      <c r="M379" s="106" t="n"/>
      <c r="N379" s="106" t="n"/>
      <c r="O379" s="106" t="n"/>
      <c r="P379" s="105" t="n"/>
      <c r="Q379" s="107" t="n"/>
      <c r="R379" s="105" t="n"/>
      <c r="S379" s="107" t="n"/>
      <c r="T379" s="108">
        <f>IFERROR(L379+M379+N379+O379+IFERROR(AC379,0)+IFERROR(AD379,0)+IFERROR(AE379,0)+IFERROR(AF379,0)+IFERROR(AG379,0),0)</f>
        <v/>
      </c>
      <c r="U379" s="108">
        <f>IFERROR(H379+IFERROR(I379,0)+T379+IFERROR(V379,0),0)</f>
        <v/>
      </c>
    </row>
    <row r="380" ht="15" customHeight="1" s="199">
      <c r="A380" s="104" t="n"/>
      <c r="B380" s="104" t="n"/>
      <c r="C380" s="104" t="n"/>
      <c r="D380" s="105" t="n"/>
      <c r="E380" s="105" t="n"/>
      <c r="F380" s="105" t="n"/>
      <c r="G380" s="106" t="n"/>
      <c r="H380" s="106" t="n"/>
      <c r="I380" s="106" t="n"/>
      <c r="J380" s="107" t="n"/>
      <c r="K380" s="105" t="n"/>
      <c r="L380" s="106" t="n"/>
      <c r="M380" s="106" t="n"/>
      <c r="N380" s="106" t="n"/>
      <c r="O380" s="106" t="n"/>
      <c r="P380" s="105" t="n"/>
      <c r="Q380" s="107" t="n"/>
      <c r="R380" s="105" t="n"/>
      <c r="S380" s="107" t="n"/>
      <c r="T380" s="108">
        <f>IFERROR(L380+M380+N380+O380+IFERROR(AC380,0)+IFERROR(AD380,0)+IFERROR(AE380,0)+IFERROR(AF380,0)+IFERROR(AG380,0),0)</f>
        <v/>
      </c>
      <c r="U380" s="108">
        <f>IFERROR(H380+IFERROR(I380,0)+T380+IFERROR(V380,0),0)</f>
        <v/>
      </c>
    </row>
    <row r="381" ht="15" customHeight="1" s="199">
      <c r="A381" s="104" t="n"/>
      <c r="B381" s="104" t="n"/>
      <c r="C381" s="104" t="n"/>
      <c r="D381" s="105" t="n"/>
      <c r="E381" s="105" t="n"/>
      <c r="F381" s="105" t="n"/>
      <c r="G381" s="106" t="n"/>
      <c r="H381" s="106" t="n"/>
      <c r="I381" s="106" t="n"/>
      <c r="J381" s="107" t="n"/>
      <c r="K381" s="105" t="n"/>
      <c r="L381" s="106" t="n"/>
      <c r="M381" s="106" t="n"/>
      <c r="N381" s="106" t="n"/>
      <c r="O381" s="106" t="n"/>
      <c r="P381" s="105" t="n"/>
      <c r="Q381" s="107" t="n"/>
      <c r="R381" s="105" t="n"/>
      <c r="S381" s="107" t="n"/>
      <c r="T381" s="108">
        <f>IFERROR(L381+M381+N381+O381+IFERROR(AC381,0)+IFERROR(AD381,0)+IFERROR(AE381,0)+IFERROR(AF381,0)+IFERROR(AG381,0),0)</f>
        <v/>
      </c>
      <c r="U381" s="108">
        <f>IFERROR(H381+IFERROR(I381,0)+T381+IFERROR(V381,0),0)</f>
        <v/>
      </c>
    </row>
    <row r="382" ht="15" customHeight="1" s="199">
      <c r="A382" s="104" t="n"/>
      <c r="B382" s="104" t="n"/>
      <c r="C382" s="104" t="n"/>
      <c r="D382" s="105" t="n"/>
      <c r="E382" s="105" t="n"/>
      <c r="F382" s="105" t="n"/>
      <c r="G382" s="106" t="n"/>
      <c r="H382" s="106" t="n"/>
      <c r="I382" s="106" t="n"/>
      <c r="J382" s="107" t="n"/>
      <c r="K382" s="105" t="n"/>
      <c r="L382" s="106" t="n"/>
      <c r="M382" s="106" t="n"/>
      <c r="N382" s="106" t="n"/>
      <c r="O382" s="106" t="n"/>
      <c r="P382" s="105" t="n"/>
      <c r="Q382" s="107" t="n"/>
      <c r="R382" s="105" t="n"/>
      <c r="S382" s="107" t="n"/>
      <c r="T382" s="108">
        <f>IFERROR(L382+M382+N382+O382+IFERROR(AC382,0)+IFERROR(AD382,0)+IFERROR(AE382,0)+IFERROR(AF382,0)+IFERROR(AG382,0),0)</f>
        <v/>
      </c>
      <c r="U382" s="108">
        <f>IFERROR(H382+IFERROR(I382,0)+T382+IFERROR(V382,0),0)</f>
        <v/>
      </c>
    </row>
    <row r="383" ht="15" customHeight="1" s="199">
      <c r="A383" s="104" t="n"/>
      <c r="B383" s="104" t="n"/>
      <c r="C383" s="104" t="n"/>
      <c r="D383" s="105" t="n"/>
      <c r="E383" s="105" t="n"/>
      <c r="F383" s="105" t="n"/>
      <c r="G383" s="106" t="n"/>
      <c r="H383" s="106" t="n"/>
      <c r="I383" s="106" t="n"/>
      <c r="J383" s="107" t="n"/>
      <c r="K383" s="105" t="n"/>
      <c r="L383" s="106" t="n"/>
      <c r="M383" s="106" t="n"/>
      <c r="N383" s="106" t="n"/>
      <c r="O383" s="106" t="n"/>
      <c r="P383" s="105" t="n"/>
      <c r="Q383" s="107" t="n"/>
      <c r="R383" s="105" t="n"/>
      <c r="S383" s="107" t="n"/>
      <c r="T383" s="108">
        <f>IFERROR(L383+M383+N383+O383+IFERROR(AC383,0)+IFERROR(AD383,0)+IFERROR(AE383,0)+IFERROR(AF383,0)+IFERROR(AG383,0),0)</f>
        <v/>
      </c>
      <c r="U383" s="108">
        <f>IFERROR(H383+IFERROR(I383,0)+T383+IFERROR(V383,0),0)</f>
        <v/>
      </c>
    </row>
    <row r="384" ht="15" customHeight="1" s="199">
      <c r="A384" s="104" t="n"/>
      <c r="B384" s="104" t="n"/>
      <c r="C384" s="104" t="n"/>
      <c r="D384" s="105" t="n"/>
      <c r="E384" s="105" t="n"/>
      <c r="F384" s="105" t="n"/>
      <c r="G384" s="106" t="n"/>
      <c r="H384" s="106" t="n"/>
      <c r="I384" s="106" t="n"/>
      <c r="J384" s="107" t="n"/>
      <c r="K384" s="105" t="n"/>
      <c r="L384" s="106" t="n"/>
      <c r="M384" s="106" t="n"/>
      <c r="N384" s="106" t="n"/>
      <c r="O384" s="106" t="n"/>
      <c r="P384" s="105" t="n"/>
      <c r="Q384" s="107" t="n"/>
      <c r="R384" s="105" t="n"/>
      <c r="S384" s="107" t="n"/>
      <c r="T384" s="108">
        <f>IFERROR(L384+M384+N384+O384+IFERROR(AC384,0)+IFERROR(AD384,0)+IFERROR(AE384,0)+IFERROR(AF384,0)+IFERROR(AG384,0),0)</f>
        <v/>
      </c>
      <c r="U384" s="108">
        <f>IFERROR(H384+IFERROR(I384,0)+T384+IFERROR(V384,0),0)</f>
        <v/>
      </c>
    </row>
    <row r="385" ht="15" customHeight="1" s="199">
      <c r="A385" s="104" t="n"/>
      <c r="B385" s="104" t="n"/>
      <c r="C385" s="104" t="n"/>
      <c r="D385" s="105" t="n"/>
      <c r="E385" s="105" t="n"/>
      <c r="F385" s="105" t="n"/>
      <c r="G385" s="106" t="n"/>
      <c r="H385" s="106" t="n"/>
      <c r="I385" s="106" t="n"/>
      <c r="J385" s="107" t="n"/>
      <c r="K385" s="105" t="n"/>
      <c r="L385" s="106" t="n"/>
      <c r="M385" s="106" t="n"/>
      <c r="N385" s="106" t="n"/>
      <c r="O385" s="106" t="n"/>
      <c r="P385" s="105" t="n"/>
      <c r="Q385" s="107" t="n"/>
      <c r="R385" s="105" t="n"/>
      <c r="S385" s="107" t="n"/>
      <c r="T385" s="108">
        <f>IFERROR(L385+M385+N385+O385+IFERROR(AC385,0)+IFERROR(AD385,0)+IFERROR(AE385,0)+IFERROR(AF385,0)+IFERROR(AG385,0),0)</f>
        <v/>
      </c>
      <c r="U385" s="108">
        <f>IFERROR(H385+IFERROR(I385,0)+T385+IFERROR(V385,0),0)</f>
        <v/>
      </c>
    </row>
    <row r="386" ht="15" customHeight="1" s="199">
      <c r="A386" s="104" t="n"/>
      <c r="B386" s="104" t="n"/>
      <c r="C386" s="104" t="n"/>
      <c r="D386" s="105" t="n"/>
      <c r="E386" s="105" t="n"/>
      <c r="F386" s="105" t="n"/>
      <c r="G386" s="106" t="n"/>
      <c r="H386" s="106" t="n"/>
      <c r="I386" s="106" t="n"/>
      <c r="J386" s="107" t="n"/>
      <c r="K386" s="105" t="n"/>
      <c r="L386" s="106" t="n"/>
      <c r="M386" s="106" t="n"/>
      <c r="N386" s="106" t="n"/>
      <c r="O386" s="106" t="n"/>
      <c r="P386" s="105" t="n"/>
      <c r="Q386" s="107" t="n"/>
      <c r="R386" s="105" t="n"/>
      <c r="S386" s="107" t="n"/>
      <c r="T386" s="108">
        <f>IFERROR(L386+M386+N386+O386+IFERROR(AC386,0)+IFERROR(AD386,0)+IFERROR(AE386,0)+IFERROR(AF386,0)+IFERROR(AG386,0),0)</f>
        <v/>
      </c>
      <c r="U386" s="108">
        <f>IFERROR(H386+IFERROR(I386,0)+T386+IFERROR(V386,0),0)</f>
        <v/>
      </c>
    </row>
    <row r="387" ht="15" customHeight="1" s="199">
      <c r="A387" s="104" t="n"/>
      <c r="B387" s="104" t="n"/>
      <c r="C387" s="104" t="n"/>
      <c r="D387" s="105" t="n"/>
      <c r="E387" s="105" t="n"/>
      <c r="F387" s="105" t="n"/>
      <c r="G387" s="106" t="n"/>
      <c r="H387" s="106" t="n"/>
      <c r="I387" s="106" t="n"/>
      <c r="J387" s="107" t="n"/>
      <c r="K387" s="105" t="n"/>
      <c r="L387" s="106" t="n"/>
      <c r="M387" s="106" t="n"/>
      <c r="N387" s="106" t="n"/>
      <c r="O387" s="106" t="n"/>
      <c r="P387" s="105" t="n"/>
      <c r="Q387" s="107" t="n"/>
      <c r="R387" s="105" t="n"/>
      <c r="S387" s="107" t="n"/>
      <c r="T387" s="108">
        <f>IFERROR(L387+M387+N387+O387+IFERROR(AC387,0)+IFERROR(AD387,0)+IFERROR(AE387,0)+IFERROR(AF387,0)+IFERROR(AG387,0),0)</f>
        <v/>
      </c>
      <c r="U387" s="108">
        <f>IFERROR(H387+IFERROR(I387,0)+T387+IFERROR(V387,0),0)</f>
        <v/>
      </c>
    </row>
    <row r="388" ht="15" customHeight="1" s="199">
      <c r="A388" s="104" t="n"/>
      <c r="B388" s="104" t="n"/>
      <c r="C388" s="104" t="n"/>
      <c r="D388" s="105" t="n"/>
      <c r="E388" s="105" t="n"/>
      <c r="F388" s="105" t="n"/>
      <c r="G388" s="106" t="n"/>
      <c r="H388" s="106" t="n"/>
      <c r="I388" s="106" t="n"/>
      <c r="J388" s="107" t="n"/>
      <c r="K388" s="105" t="n"/>
      <c r="L388" s="106" t="n"/>
      <c r="M388" s="106" t="n"/>
      <c r="N388" s="106" t="n"/>
      <c r="O388" s="106" t="n"/>
      <c r="P388" s="105" t="n"/>
      <c r="Q388" s="107" t="n"/>
      <c r="R388" s="105" t="n"/>
      <c r="S388" s="107" t="n"/>
      <c r="T388" s="108">
        <f>IFERROR(L388+M388+N388+O388+IFERROR(AC388,0)+IFERROR(AD388,0)+IFERROR(AE388,0)+IFERROR(AF388,0)+IFERROR(AG388,0),0)</f>
        <v/>
      </c>
      <c r="U388" s="108">
        <f>IFERROR(H388+IFERROR(I388,0)+T388+IFERROR(V388,0),0)</f>
        <v/>
      </c>
    </row>
    <row r="389" ht="15" customHeight="1" s="199">
      <c r="A389" s="104" t="n"/>
      <c r="B389" s="104" t="n"/>
      <c r="C389" s="104" t="n"/>
      <c r="D389" s="105" t="n"/>
      <c r="E389" s="105" t="n"/>
      <c r="F389" s="105" t="n"/>
      <c r="G389" s="106" t="n"/>
      <c r="H389" s="106" t="n"/>
      <c r="I389" s="106" t="n"/>
      <c r="J389" s="107" t="n"/>
      <c r="K389" s="105" t="n"/>
      <c r="L389" s="106" t="n"/>
      <c r="M389" s="106" t="n"/>
      <c r="N389" s="106" t="n"/>
      <c r="O389" s="106" t="n"/>
      <c r="P389" s="105" t="n"/>
      <c r="Q389" s="107" t="n"/>
      <c r="R389" s="105" t="n"/>
      <c r="S389" s="107" t="n"/>
      <c r="T389" s="108">
        <f>IFERROR(L389+M389+N389+O389+IFERROR(AC389,0)+IFERROR(AD389,0)+IFERROR(AE389,0)+IFERROR(AF389,0)+IFERROR(AG389,0),0)</f>
        <v/>
      </c>
      <c r="U389" s="108">
        <f>IFERROR(H389+IFERROR(I389,0)+T389+IFERROR(V389,0),0)</f>
        <v/>
      </c>
    </row>
    <row r="390" ht="15" customHeight="1" s="199">
      <c r="A390" s="104" t="n"/>
      <c r="B390" s="104" t="n"/>
      <c r="C390" s="104" t="n"/>
      <c r="D390" s="105" t="n"/>
      <c r="E390" s="105" t="n"/>
      <c r="F390" s="105" t="n"/>
      <c r="G390" s="106" t="n"/>
      <c r="H390" s="106" t="n"/>
      <c r="I390" s="106" t="n"/>
      <c r="J390" s="107" t="n"/>
      <c r="K390" s="105" t="n"/>
      <c r="L390" s="106" t="n"/>
      <c r="M390" s="106" t="n"/>
      <c r="N390" s="106" t="n"/>
      <c r="O390" s="106" t="n"/>
      <c r="P390" s="105" t="n"/>
      <c r="Q390" s="107" t="n"/>
      <c r="R390" s="105" t="n"/>
      <c r="S390" s="107" t="n"/>
      <c r="T390" s="108">
        <f>IFERROR(L390+M390+N390+O390+IFERROR(AC390,0)+IFERROR(AD390,0)+IFERROR(AE390,0)+IFERROR(AF390,0)+IFERROR(AG390,0),0)</f>
        <v/>
      </c>
      <c r="U390" s="108">
        <f>IFERROR(H390+IFERROR(I390,0)+T390+IFERROR(V390,0),0)</f>
        <v/>
      </c>
    </row>
    <row r="391" ht="15" customHeight="1" s="199">
      <c r="A391" s="104" t="n"/>
      <c r="B391" s="104" t="n"/>
      <c r="C391" s="104" t="n"/>
      <c r="D391" s="105" t="n"/>
      <c r="E391" s="105" t="n"/>
      <c r="F391" s="105" t="n"/>
      <c r="G391" s="106" t="n"/>
      <c r="H391" s="106" t="n"/>
      <c r="I391" s="106" t="n"/>
      <c r="J391" s="107" t="n"/>
      <c r="K391" s="105" t="n"/>
      <c r="L391" s="106" t="n"/>
      <c r="M391" s="106" t="n"/>
      <c r="N391" s="106" t="n"/>
      <c r="O391" s="106" t="n"/>
      <c r="P391" s="105" t="n"/>
      <c r="Q391" s="107" t="n"/>
      <c r="R391" s="105" t="n"/>
      <c r="S391" s="107" t="n"/>
      <c r="T391" s="108">
        <f>IFERROR(L391+M391+N391+O391+IFERROR(AC391,0)+IFERROR(AD391,0)+IFERROR(AE391,0)+IFERROR(AF391,0)+IFERROR(AG391,0),0)</f>
        <v/>
      </c>
      <c r="U391" s="108">
        <f>IFERROR(H391+IFERROR(I391,0)+T391+IFERROR(V391,0),0)</f>
        <v/>
      </c>
    </row>
    <row r="392" ht="15" customHeight="1" s="199">
      <c r="A392" s="104" t="n"/>
      <c r="B392" s="104" t="n"/>
      <c r="C392" s="104" t="n"/>
      <c r="D392" s="105" t="n"/>
      <c r="E392" s="105" t="n"/>
      <c r="F392" s="105" t="n"/>
      <c r="G392" s="106" t="n"/>
      <c r="H392" s="106" t="n"/>
      <c r="I392" s="106" t="n"/>
      <c r="J392" s="107" t="n"/>
      <c r="K392" s="105" t="n"/>
      <c r="L392" s="106" t="n"/>
      <c r="M392" s="106" t="n"/>
      <c r="N392" s="106" t="n"/>
      <c r="O392" s="106" t="n"/>
      <c r="P392" s="105" t="n"/>
      <c r="Q392" s="107" t="n"/>
      <c r="R392" s="105" t="n"/>
      <c r="S392" s="107" t="n"/>
      <c r="T392" s="108">
        <f>IFERROR(L392+M392+N392+O392+IFERROR(AC392,0)+IFERROR(AD392,0)+IFERROR(AE392,0)+IFERROR(AF392,0)+IFERROR(AG392,0),0)</f>
        <v/>
      </c>
      <c r="U392" s="108">
        <f>IFERROR(H392+IFERROR(I392,0)+T392+IFERROR(V392,0),0)</f>
        <v/>
      </c>
    </row>
    <row r="393" ht="15" customHeight="1" s="199">
      <c r="A393" s="104" t="n"/>
      <c r="B393" s="104" t="n"/>
      <c r="C393" s="104" t="n"/>
      <c r="D393" s="105" t="n"/>
      <c r="E393" s="105" t="n"/>
      <c r="F393" s="105" t="n"/>
      <c r="G393" s="106" t="n"/>
      <c r="H393" s="106" t="n"/>
      <c r="I393" s="106" t="n"/>
      <c r="J393" s="107" t="n"/>
      <c r="K393" s="105" t="n"/>
      <c r="L393" s="106" t="n"/>
      <c r="M393" s="106" t="n"/>
      <c r="N393" s="106" t="n"/>
      <c r="O393" s="106" t="n"/>
      <c r="P393" s="105" t="n"/>
      <c r="Q393" s="107" t="n"/>
      <c r="R393" s="105" t="n"/>
      <c r="S393" s="107" t="n"/>
      <c r="T393" s="108">
        <f>IFERROR(L393+M393+N393+O393+IFERROR(AC393,0)+IFERROR(AD393,0)+IFERROR(AE393,0)+IFERROR(AF393,0)+IFERROR(AG393,0),0)</f>
        <v/>
      </c>
      <c r="U393" s="108">
        <f>IFERROR(H393+IFERROR(I393,0)+T393+IFERROR(V393,0),0)</f>
        <v/>
      </c>
    </row>
    <row r="394" ht="15" customHeight="1" s="199">
      <c r="A394" s="104" t="n"/>
      <c r="B394" s="104" t="n"/>
      <c r="C394" s="104" t="n"/>
      <c r="D394" s="105" t="n"/>
      <c r="E394" s="105" t="n"/>
      <c r="F394" s="105" t="n"/>
      <c r="G394" s="106" t="n"/>
      <c r="H394" s="106" t="n"/>
      <c r="I394" s="106" t="n"/>
      <c r="J394" s="107" t="n"/>
      <c r="K394" s="105" t="n"/>
      <c r="L394" s="106" t="n"/>
      <c r="M394" s="106" t="n"/>
      <c r="N394" s="106" t="n"/>
      <c r="O394" s="106" t="n"/>
      <c r="P394" s="105" t="n"/>
      <c r="Q394" s="107" t="n"/>
      <c r="R394" s="105" t="n"/>
      <c r="S394" s="107" t="n"/>
      <c r="T394" s="108">
        <f>IFERROR(L394+M394+N394+O394+IFERROR(AC394,0)+IFERROR(AD394,0)+IFERROR(AE394,0)+IFERROR(AF394,0)+IFERROR(AG394,0),0)</f>
        <v/>
      </c>
      <c r="U394" s="108">
        <f>IFERROR(H394+IFERROR(I394,0)+T394+IFERROR(V394,0),0)</f>
        <v/>
      </c>
    </row>
    <row r="395" ht="15" customHeight="1" s="199">
      <c r="A395" s="104" t="n"/>
      <c r="B395" s="104" t="n"/>
      <c r="C395" s="104" t="n"/>
      <c r="D395" s="105" t="n"/>
      <c r="E395" s="105" t="n"/>
      <c r="F395" s="105" t="n"/>
      <c r="G395" s="106" t="n"/>
      <c r="H395" s="106" t="n"/>
      <c r="I395" s="106" t="n"/>
      <c r="J395" s="107" t="n"/>
      <c r="K395" s="105" t="n"/>
      <c r="L395" s="106" t="n"/>
      <c r="M395" s="106" t="n"/>
      <c r="N395" s="106" t="n"/>
      <c r="O395" s="106" t="n"/>
      <c r="P395" s="105" t="n"/>
      <c r="Q395" s="107" t="n"/>
      <c r="R395" s="105" t="n"/>
      <c r="S395" s="107" t="n"/>
      <c r="T395" s="108">
        <f>IFERROR(L395+M395+N395+O395+IFERROR(AC395,0)+IFERROR(AD395,0)+IFERROR(AE395,0)+IFERROR(AF395,0)+IFERROR(AG395,0),0)</f>
        <v/>
      </c>
      <c r="U395" s="108">
        <f>IFERROR(H395+IFERROR(I395,0)+T395+IFERROR(V395,0),0)</f>
        <v/>
      </c>
    </row>
    <row r="396" ht="15" customHeight="1" s="199">
      <c r="A396" s="104" t="n"/>
      <c r="B396" s="104" t="n"/>
      <c r="C396" s="104" t="n"/>
      <c r="D396" s="105" t="n"/>
      <c r="E396" s="105" t="n"/>
      <c r="F396" s="105" t="n"/>
      <c r="G396" s="106" t="n"/>
      <c r="H396" s="106" t="n"/>
      <c r="I396" s="106" t="n"/>
      <c r="J396" s="107" t="n"/>
      <c r="K396" s="105" t="n"/>
      <c r="L396" s="106" t="n"/>
      <c r="M396" s="106" t="n"/>
      <c r="N396" s="106" t="n"/>
      <c r="O396" s="106" t="n"/>
      <c r="P396" s="105" t="n"/>
      <c r="Q396" s="107" t="n"/>
      <c r="R396" s="105" t="n"/>
      <c r="S396" s="107" t="n"/>
      <c r="T396" s="108">
        <f>IFERROR(L396+M396+N396+O396+IFERROR(AC396,0)+IFERROR(AD396,0)+IFERROR(AE396,0)+IFERROR(AF396,0)+IFERROR(AG396,0),0)</f>
        <v/>
      </c>
      <c r="U396" s="108">
        <f>IFERROR(H396+IFERROR(I396,0)+T396+IFERROR(V396,0),0)</f>
        <v/>
      </c>
    </row>
    <row r="397" ht="15" customHeight="1" s="199">
      <c r="A397" s="104" t="n"/>
      <c r="B397" s="104" t="n"/>
      <c r="C397" s="104" t="n"/>
      <c r="D397" s="105" t="n"/>
      <c r="E397" s="105" t="n"/>
      <c r="F397" s="105" t="n"/>
      <c r="G397" s="106" t="n"/>
      <c r="H397" s="106" t="n"/>
      <c r="I397" s="106" t="n"/>
      <c r="J397" s="107" t="n"/>
      <c r="K397" s="105" t="n"/>
      <c r="L397" s="106" t="n"/>
      <c r="M397" s="106" t="n"/>
      <c r="N397" s="106" t="n"/>
      <c r="O397" s="106" t="n"/>
      <c r="P397" s="105" t="n"/>
      <c r="Q397" s="107" t="n"/>
      <c r="R397" s="105" t="n"/>
      <c r="S397" s="107" t="n"/>
      <c r="T397" s="108">
        <f>IFERROR(L397+M397+N397+O397+IFERROR(AC397,0)+IFERROR(AD397,0)+IFERROR(AE397,0)+IFERROR(AF397,0)+IFERROR(AG397,0),0)</f>
        <v/>
      </c>
      <c r="U397" s="108">
        <f>IFERROR(H397+IFERROR(I397,0)+T397+IFERROR(V397,0),0)</f>
        <v/>
      </c>
    </row>
    <row r="398" ht="15" customHeight="1" s="199">
      <c r="A398" s="104" t="n"/>
      <c r="B398" s="104" t="n"/>
      <c r="C398" s="104" t="n"/>
      <c r="D398" s="105" t="n"/>
      <c r="E398" s="105" t="n"/>
      <c r="F398" s="105" t="n"/>
      <c r="G398" s="106" t="n"/>
      <c r="H398" s="106" t="n"/>
      <c r="I398" s="106" t="n"/>
      <c r="J398" s="107" t="n"/>
      <c r="K398" s="105" t="n"/>
      <c r="L398" s="106" t="n"/>
      <c r="M398" s="106" t="n"/>
      <c r="N398" s="106" t="n"/>
      <c r="O398" s="106" t="n"/>
      <c r="P398" s="105" t="n"/>
      <c r="Q398" s="107" t="n"/>
      <c r="R398" s="105" t="n"/>
      <c r="S398" s="107" t="n"/>
      <c r="T398" s="108">
        <f>IFERROR(L398+M398+N398+O398+IFERROR(AC398,0)+IFERROR(AD398,0)+IFERROR(AE398,0)+IFERROR(AF398,0)+IFERROR(AG398,0),0)</f>
        <v/>
      </c>
      <c r="U398" s="108">
        <f>IFERROR(H398+IFERROR(I398,0)+T398+IFERROR(V398,0),0)</f>
        <v/>
      </c>
    </row>
    <row r="399" ht="15" customHeight="1" s="199">
      <c r="A399" s="104" t="n"/>
      <c r="B399" s="104" t="n"/>
      <c r="C399" s="104" t="n"/>
      <c r="D399" s="105" t="n"/>
      <c r="E399" s="105" t="n"/>
      <c r="F399" s="105" t="n"/>
      <c r="G399" s="106" t="n"/>
      <c r="H399" s="106" t="n"/>
      <c r="I399" s="106" t="n"/>
      <c r="J399" s="107" t="n"/>
      <c r="K399" s="105" t="n"/>
      <c r="L399" s="106" t="n"/>
      <c r="M399" s="106" t="n"/>
      <c r="N399" s="106" t="n"/>
      <c r="O399" s="106" t="n"/>
      <c r="P399" s="105" t="n"/>
      <c r="Q399" s="107" t="n"/>
      <c r="R399" s="105" t="n"/>
      <c r="S399" s="107" t="n"/>
      <c r="T399" s="108">
        <f>IFERROR(L399+M399+N399+O399+IFERROR(AC399,0)+IFERROR(AD399,0)+IFERROR(AE399,0)+IFERROR(AF399,0)+IFERROR(AG399,0),0)</f>
        <v/>
      </c>
      <c r="U399" s="108">
        <f>IFERROR(H399+IFERROR(I399,0)+T399+IFERROR(V399,0),0)</f>
        <v/>
      </c>
    </row>
    <row r="400" ht="15" customHeight="1" s="199">
      <c r="A400" s="104" t="n"/>
      <c r="B400" s="104" t="n"/>
      <c r="C400" s="104" t="n"/>
      <c r="D400" s="105" t="n"/>
      <c r="E400" s="105" t="n"/>
      <c r="F400" s="105" t="n"/>
      <c r="G400" s="106" t="n"/>
      <c r="H400" s="106" t="n"/>
      <c r="I400" s="106" t="n"/>
      <c r="J400" s="107" t="n"/>
      <c r="K400" s="105" t="n"/>
      <c r="L400" s="106" t="n"/>
      <c r="M400" s="106" t="n"/>
      <c r="N400" s="106" t="n"/>
      <c r="O400" s="106" t="n"/>
      <c r="P400" s="105" t="n"/>
      <c r="Q400" s="107" t="n"/>
      <c r="R400" s="105" t="n"/>
      <c r="S400" s="107" t="n"/>
      <c r="T400" s="108">
        <f>IFERROR(L400+M400+N400+O400+IFERROR(AC400,0)+IFERROR(AD400,0)+IFERROR(AE400,0)+IFERROR(AF400,0)+IFERROR(AG400,0),0)</f>
        <v/>
      </c>
      <c r="U400" s="108">
        <f>IFERROR(H400+IFERROR(I400,0)+T400+IFERROR(V400,0),0)</f>
        <v/>
      </c>
    </row>
    <row r="401" ht="15" customHeight="1" s="199">
      <c r="A401" s="104" t="n"/>
      <c r="B401" s="104" t="n"/>
      <c r="C401" s="104" t="n"/>
      <c r="D401" s="105" t="n"/>
      <c r="E401" s="105" t="n"/>
      <c r="F401" s="105" t="n"/>
      <c r="G401" s="106" t="n"/>
      <c r="H401" s="106" t="n"/>
      <c r="I401" s="106" t="n"/>
      <c r="J401" s="107" t="n"/>
      <c r="K401" s="105" t="n"/>
      <c r="L401" s="106" t="n"/>
      <c r="M401" s="106" t="n"/>
      <c r="N401" s="106" t="n"/>
      <c r="O401" s="106" t="n"/>
      <c r="P401" s="105" t="n"/>
      <c r="Q401" s="107" t="n"/>
      <c r="R401" s="105" t="n"/>
      <c r="S401" s="107" t="n"/>
      <c r="T401" s="108">
        <f>IFERROR(L401+M401+N401+O401+IFERROR(AC401,0)+IFERROR(AD401,0)+IFERROR(AE401,0)+IFERROR(AF401,0)+IFERROR(AG401,0),0)</f>
        <v/>
      </c>
      <c r="U401" s="108">
        <f>IFERROR(H401+IFERROR(I401,0)+T401+IFERROR(V401,0),0)</f>
        <v/>
      </c>
    </row>
    <row r="402" ht="15" customHeight="1" s="199">
      <c r="A402" s="104" t="n"/>
      <c r="B402" s="104" t="n"/>
      <c r="C402" s="104" t="n"/>
      <c r="D402" s="105" t="n"/>
      <c r="E402" s="105" t="n"/>
      <c r="F402" s="105" t="n"/>
      <c r="G402" s="106" t="n"/>
      <c r="H402" s="106" t="n"/>
      <c r="I402" s="106" t="n"/>
      <c r="J402" s="107" t="n"/>
      <c r="K402" s="105" t="n"/>
      <c r="L402" s="106" t="n"/>
      <c r="M402" s="106" t="n"/>
      <c r="N402" s="106" t="n"/>
      <c r="O402" s="106" t="n"/>
      <c r="P402" s="105" t="n"/>
      <c r="Q402" s="107" t="n"/>
      <c r="R402" s="105" t="n"/>
      <c r="S402" s="107" t="n"/>
      <c r="T402" s="108">
        <f>IFERROR(L402+M402+N402+O402+IFERROR(AC402,0)+IFERROR(AD402,0)+IFERROR(AE402,0)+IFERROR(AF402,0)+IFERROR(AG402,0),0)</f>
        <v/>
      </c>
      <c r="U402" s="108">
        <f>IFERROR(H402+IFERROR(I402,0)+T402+IFERROR(V402,0),0)</f>
        <v/>
      </c>
    </row>
    <row r="403" ht="15" customHeight="1" s="199">
      <c r="A403" s="104" t="n"/>
      <c r="B403" s="104" t="n"/>
      <c r="C403" s="104" t="n"/>
      <c r="D403" s="105" t="n"/>
      <c r="E403" s="105" t="n"/>
      <c r="F403" s="105" t="n"/>
      <c r="G403" s="106" t="n"/>
      <c r="H403" s="106" t="n"/>
      <c r="I403" s="106" t="n"/>
      <c r="J403" s="107" t="n"/>
      <c r="K403" s="105" t="n"/>
      <c r="L403" s="106" t="n"/>
      <c r="M403" s="106" t="n"/>
      <c r="N403" s="106" t="n"/>
      <c r="O403" s="106" t="n"/>
      <c r="P403" s="105" t="n"/>
      <c r="Q403" s="107" t="n"/>
      <c r="R403" s="105" t="n"/>
      <c r="S403" s="107" t="n"/>
      <c r="T403" s="108">
        <f>IFERROR(L403+M403+N403+O403+IFERROR(AC403,0)+IFERROR(AD403,0)+IFERROR(AE403,0)+IFERROR(AF403,0)+IFERROR(AG403,0),0)</f>
        <v/>
      </c>
      <c r="U403" s="108">
        <f>IFERROR(H403+IFERROR(I403,0)+T403+IFERROR(V403,0),0)</f>
        <v/>
      </c>
    </row>
    <row r="404" ht="15" customHeight="1" s="199">
      <c r="A404" s="104" t="n"/>
      <c r="B404" s="104" t="n"/>
      <c r="C404" s="104" t="n"/>
      <c r="D404" s="105" t="n"/>
      <c r="E404" s="105" t="n"/>
      <c r="F404" s="105" t="n"/>
      <c r="G404" s="106" t="n"/>
      <c r="H404" s="106" t="n"/>
      <c r="I404" s="106" t="n"/>
      <c r="J404" s="107" t="n"/>
      <c r="K404" s="105" t="n"/>
      <c r="L404" s="106" t="n"/>
      <c r="M404" s="106" t="n"/>
      <c r="N404" s="106" t="n"/>
      <c r="O404" s="106" t="n"/>
      <c r="P404" s="105" t="n"/>
      <c r="Q404" s="107" t="n"/>
      <c r="R404" s="105" t="n"/>
      <c r="S404" s="107" t="n"/>
      <c r="T404" s="108">
        <f>IFERROR(L404+M404+N404+O404+IFERROR(AC404,0)+IFERROR(AD404,0)+IFERROR(AE404,0)+IFERROR(AF404,0)+IFERROR(AG404,0),0)</f>
        <v/>
      </c>
      <c r="U404" s="108">
        <f>IFERROR(H404+IFERROR(I404,0)+T404+IFERROR(V404,0),0)</f>
        <v/>
      </c>
    </row>
    <row r="405" ht="15" customHeight="1" s="199">
      <c r="A405" s="104" t="n"/>
      <c r="B405" s="104" t="n"/>
      <c r="C405" s="104" t="n"/>
      <c r="D405" s="105" t="n"/>
      <c r="E405" s="105" t="n"/>
      <c r="F405" s="105" t="n"/>
      <c r="G405" s="106" t="n"/>
      <c r="H405" s="106" t="n"/>
      <c r="I405" s="106" t="n"/>
      <c r="J405" s="107" t="n"/>
      <c r="K405" s="105" t="n"/>
      <c r="L405" s="106" t="n"/>
      <c r="M405" s="106" t="n"/>
      <c r="N405" s="106" t="n"/>
      <c r="O405" s="106" t="n"/>
      <c r="P405" s="105" t="n"/>
      <c r="Q405" s="107" t="n"/>
      <c r="R405" s="105" t="n"/>
      <c r="S405" s="107" t="n"/>
      <c r="T405" s="108">
        <f>IFERROR(L405+M405+N405+O405+IFERROR(AC405,0)+IFERROR(AD405,0)+IFERROR(AE405,0)+IFERROR(AF405,0)+IFERROR(AG405,0),0)</f>
        <v/>
      </c>
      <c r="U405" s="108">
        <f>IFERROR(H405+IFERROR(I405,0)+T405+IFERROR(V405,0),0)</f>
        <v/>
      </c>
    </row>
    <row r="406" ht="15" customHeight="1" s="199">
      <c r="A406" s="104" t="n"/>
      <c r="B406" s="104" t="n"/>
      <c r="C406" s="104" t="n"/>
      <c r="D406" s="105" t="n"/>
      <c r="E406" s="105" t="n"/>
      <c r="F406" s="105" t="n"/>
      <c r="G406" s="106" t="n"/>
      <c r="H406" s="106" t="n"/>
      <c r="I406" s="106" t="n"/>
      <c r="J406" s="107" t="n"/>
      <c r="K406" s="105" t="n"/>
      <c r="L406" s="106" t="n"/>
      <c r="M406" s="106" t="n"/>
      <c r="N406" s="106" t="n"/>
      <c r="O406" s="106" t="n"/>
      <c r="P406" s="105" t="n"/>
      <c r="Q406" s="107" t="n"/>
      <c r="R406" s="105" t="n"/>
      <c r="S406" s="107" t="n"/>
      <c r="T406" s="108">
        <f>IFERROR(L406+M406+N406+O406+IFERROR(AC406,0)+IFERROR(AD406,0)+IFERROR(AE406,0)+IFERROR(AF406,0)+IFERROR(AG406,0),0)</f>
        <v/>
      </c>
      <c r="U406" s="108">
        <f>IFERROR(H406+IFERROR(I406,0)+T406+IFERROR(V406,0),0)</f>
        <v/>
      </c>
    </row>
    <row r="407" ht="15" customHeight="1" s="199">
      <c r="A407" s="104" t="n"/>
      <c r="B407" s="104" t="n"/>
      <c r="C407" s="104" t="n"/>
      <c r="D407" s="105" t="n"/>
      <c r="E407" s="105" t="n"/>
      <c r="F407" s="105" t="n"/>
      <c r="G407" s="106" t="n"/>
      <c r="H407" s="106" t="n"/>
      <c r="I407" s="106" t="n"/>
      <c r="J407" s="107" t="n"/>
      <c r="K407" s="105" t="n"/>
      <c r="L407" s="106" t="n"/>
      <c r="M407" s="106" t="n"/>
      <c r="N407" s="106" t="n"/>
      <c r="O407" s="106" t="n"/>
      <c r="P407" s="105" t="n"/>
      <c r="Q407" s="107" t="n"/>
      <c r="R407" s="105" t="n"/>
      <c r="S407" s="107" t="n"/>
      <c r="T407" s="108">
        <f>IFERROR(L407+M407+N407+O407+IFERROR(AC407,0)+IFERROR(AD407,0)+IFERROR(AE407,0)+IFERROR(AF407,0)+IFERROR(AG407,0),0)</f>
        <v/>
      </c>
      <c r="U407" s="108">
        <f>IFERROR(H407+IFERROR(I407,0)+T407+IFERROR(V407,0),0)</f>
        <v/>
      </c>
    </row>
    <row r="408" ht="15" customHeight="1" s="199">
      <c r="A408" s="104" t="n"/>
      <c r="B408" s="104" t="n"/>
      <c r="C408" s="104" t="n"/>
      <c r="D408" s="105" t="n"/>
      <c r="E408" s="105" t="n"/>
      <c r="F408" s="105" t="n"/>
      <c r="G408" s="106" t="n"/>
      <c r="H408" s="106" t="n"/>
      <c r="I408" s="106" t="n"/>
      <c r="J408" s="107" t="n"/>
      <c r="K408" s="105" t="n"/>
      <c r="L408" s="106" t="n"/>
      <c r="M408" s="106" t="n"/>
      <c r="N408" s="106" t="n"/>
      <c r="O408" s="106" t="n"/>
      <c r="P408" s="105" t="n"/>
      <c r="Q408" s="107" t="n"/>
      <c r="R408" s="105" t="n"/>
      <c r="S408" s="107" t="n"/>
      <c r="T408" s="108">
        <f>IFERROR(L408+M408+N408+O408+IFERROR(AC408,0)+IFERROR(AD408,0)+IFERROR(AE408,0)+IFERROR(AF408,0)+IFERROR(AG408,0),0)</f>
        <v/>
      </c>
      <c r="U408" s="108">
        <f>IFERROR(H408+IFERROR(I408,0)+T408+IFERROR(V408,0),0)</f>
        <v/>
      </c>
    </row>
    <row r="409" ht="15" customHeight="1" s="199">
      <c r="A409" s="104" t="n"/>
      <c r="B409" s="104" t="n"/>
      <c r="C409" s="104" t="n"/>
      <c r="D409" s="105" t="n"/>
      <c r="E409" s="105" t="n"/>
      <c r="F409" s="105" t="n"/>
      <c r="G409" s="106" t="n"/>
      <c r="H409" s="106" t="n"/>
      <c r="I409" s="106" t="n"/>
      <c r="J409" s="107" t="n"/>
      <c r="K409" s="105" t="n"/>
      <c r="L409" s="106" t="n"/>
      <c r="M409" s="106" t="n"/>
      <c r="N409" s="106" t="n"/>
      <c r="O409" s="106" t="n"/>
      <c r="P409" s="105" t="n"/>
      <c r="Q409" s="107" t="n"/>
      <c r="R409" s="105" t="n"/>
      <c r="S409" s="107" t="n"/>
      <c r="T409" s="108">
        <f>IFERROR(L409+M409+N409+O409+IFERROR(AC409,0)+IFERROR(AD409,0)+IFERROR(AE409,0)+IFERROR(AF409,0)+IFERROR(AG409,0),0)</f>
        <v/>
      </c>
      <c r="U409" s="108">
        <f>IFERROR(H409+IFERROR(I409,0)+T409+IFERROR(V409,0),0)</f>
        <v/>
      </c>
    </row>
    <row r="410" ht="15" customHeight="1" s="199">
      <c r="A410" s="104" t="n"/>
      <c r="B410" s="104" t="n"/>
      <c r="C410" s="104" t="n"/>
      <c r="D410" s="105" t="n"/>
      <c r="E410" s="105" t="n"/>
      <c r="F410" s="105" t="n"/>
      <c r="G410" s="106" t="n"/>
      <c r="H410" s="106" t="n"/>
      <c r="I410" s="106" t="n"/>
      <c r="J410" s="107" t="n"/>
      <c r="K410" s="105" t="n"/>
      <c r="L410" s="106" t="n"/>
      <c r="M410" s="106" t="n"/>
      <c r="N410" s="106" t="n"/>
      <c r="O410" s="106" t="n"/>
      <c r="P410" s="105" t="n"/>
      <c r="Q410" s="107" t="n"/>
      <c r="R410" s="105" t="n"/>
      <c r="S410" s="107" t="n"/>
      <c r="T410" s="108">
        <f>IFERROR(L410+M410+N410+O410+IFERROR(AC410,0)+IFERROR(AD410,0)+IFERROR(AE410,0)+IFERROR(AF410,0)+IFERROR(AG410,0),0)</f>
        <v/>
      </c>
      <c r="U410" s="108">
        <f>IFERROR(H410+IFERROR(I410,0)+T410+IFERROR(V410,0),0)</f>
        <v/>
      </c>
    </row>
    <row r="411" ht="15" customHeight="1" s="199">
      <c r="A411" s="104" t="n"/>
      <c r="B411" s="104" t="n"/>
      <c r="C411" s="104" t="n"/>
      <c r="D411" s="105" t="n"/>
      <c r="E411" s="105" t="n"/>
      <c r="F411" s="105" t="n"/>
      <c r="G411" s="106" t="n"/>
      <c r="H411" s="106" t="n"/>
      <c r="I411" s="106" t="n"/>
      <c r="J411" s="107" t="n"/>
      <c r="K411" s="105" t="n"/>
      <c r="L411" s="106" t="n"/>
      <c r="M411" s="106" t="n"/>
      <c r="N411" s="106" t="n"/>
      <c r="O411" s="106" t="n"/>
      <c r="P411" s="105" t="n"/>
      <c r="Q411" s="107" t="n"/>
      <c r="R411" s="105" t="n"/>
      <c r="S411" s="107" t="n"/>
      <c r="T411" s="108">
        <f>IFERROR(L411+M411+N411+O411+IFERROR(AC411,0)+IFERROR(AD411,0)+IFERROR(AE411,0)+IFERROR(AF411,0)+IFERROR(AG411,0),0)</f>
        <v/>
      </c>
      <c r="U411" s="108">
        <f>IFERROR(H411+IFERROR(I411,0)+T411+IFERROR(V411,0),0)</f>
        <v/>
      </c>
    </row>
    <row r="412" ht="15" customHeight="1" s="199">
      <c r="A412" s="104" t="n"/>
      <c r="B412" s="104" t="n"/>
      <c r="C412" s="104" t="n"/>
      <c r="D412" s="105" t="n"/>
      <c r="E412" s="105" t="n"/>
      <c r="F412" s="105" t="n"/>
      <c r="G412" s="106" t="n"/>
      <c r="H412" s="106" t="n"/>
      <c r="I412" s="106" t="n"/>
      <c r="J412" s="107" t="n"/>
      <c r="K412" s="105" t="n"/>
      <c r="L412" s="106" t="n"/>
      <c r="M412" s="106" t="n"/>
      <c r="N412" s="106" t="n"/>
      <c r="O412" s="106" t="n"/>
      <c r="P412" s="105" t="n"/>
      <c r="Q412" s="107" t="n"/>
      <c r="R412" s="105" t="n"/>
      <c r="S412" s="107" t="n"/>
      <c r="T412" s="108">
        <f>IFERROR(L412+M412+N412+O412+IFERROR(AC412,0)+IFERROR(AD412,0)+IFERROR(AE412,0)+IFERROR(AF412,0)+IFERROR(AG412,0),0)</f>
        <v/>
      </c>
      <c r="U412" s="108">
        <f>IFERROR(H412+IFERROR(I412,0)+T412+IFERROR(V412,0),0)</f>
        <v/>
      </c>
    </row>
    <row r="413" ht="15" customHeight="1" s="199">
      <c r="A413" s="104" t="n"/>
      <c r="B413" s="104" t="n"/>
      <c r="C413" s="104" t="n"/>
      <c r="D413" s="105" t="n"/>
      <c r="E413" s="105" t="n"/>
      <c r="F413" s="105" t="n"/>
      <c r="G413" s="106" t="n"/>
      <c r="H413" s="106" t="n"/>
      <c r="I413" s="106" t="n"/>
      <c r="J413" s="107" t="n"/>
      <c r="K413" s="105" t="n"/>
      <c r="L413" s="106" t="n"/>
      <c r="M413" s="106" t="n"/>
      <c r="N413" s="106" t="n"/>
      <c r="O413" s="106" t="n"/>
      <c r="P413" s="105" t="n"/>
      <c r="Q413" s="107" t="n"/>
      <c r="R413" s="105" t="n"/>
      <c r="S413" s="107" t="n"/>
      <c r="T413" s="108">
        <f>IFERROR(L413+M413+N413+O413+IFERROR(AC413,0)+IFERROR(AD413,0)+IFERROR(AE413,0)+IFERROR(AF413,0)+IFERROR(AG413,0),0)</f>
        <v/>
      </c>
      <c r="U413" s="108">
        <f>IFERROR(H413+IFERROR(I413,0)+T413+IFERROR(V413,0),0)</f>
        <v/>
      </c>
    </row>
    <row r="414" ht="15" customHeight="1" s="199">
      <c r="A414" s="104" t="n"/>
      <c r="B414" s="104" t="n"/>
      <c r="C414" s="104" t="n"/>
      <c r="D414" s="105" t="n"/>
      <c r="E414" s="105" t="n"/>
      <c r="F414" s="105" t="n"/>
      <c r="G414" s="106" t="n"/>
      <c r="H414" s="106" t="n"/>
      <c r="I414" s="106" t="n"/>
      <c r="J414" s="107" t="n"/>
      <c r="K414" s="105" t="n"/>
      <c r="L414" s="106" t="n"/>
      <c r="M414" s="106" t="n"/>
      <c r="N414" s="106" t="n"/>
      <c r="O414" s="106" t="n"/>
      <c r="P414" s="105" t="n"/>
      <c r="Q414" s="107" t="n"/>
      <c r="R414" s="105" t="n"/>
      <c r="S414" s="107" t="n"/>
      <c r="T414" s="108">
        <f>IFERROR(L414+M414+N414+O414+IFERROR(AC414,0)+IFERROR(AD414,0)+IFERROR(AE414,0)+IFERROR(AF414,0)+IFERROR(AG414,0),0)</f>
        <v/>
      </c>
      <c r="U414" s="108">
        <f>IFERROR(H414+IFERROR(I414,0)+T414+IFERROR(V414,0),0)</f>
        <v/>
      </c>
    </row>
    <row r="415" ht="15" customHeight="1" s="199">
      <c r="A415" s="104" t="n"/>
      <c r="B415" s="104" t="n"/>
      <c r="C415" s="104" t="n"/>
      <c r="D415" s="105" t="n"/>
      <c r="E415" s="105" t="n"/>
      <c r="F415" s="105" t="n"/>
      <c r="G415" s="106" t="n"/>
      <c r="H415" s="106" t="n"/>
      <c r="I415" s="106" t="n"/>
      <c r="J415" s="107" t="n"/>
      <c r="K415" s="105" t="n"/>
      <c r="L415" s="106" t="n"/>
      <c r="M415" s="106" t="n"/>
      <c r="N415" s="106" t="n"/>
      <c r="O415" s="106" t="n"/>
      <c r="P415" s="105" t="n"/>
      <c r="Q415" s="107" t="n"/>
      <c r="R415" s="105" t="n"/>
      <c r="S415" s="107" t="n"/>
      <c r="T415" s="108">
        <f>IFERROR(L415+M415+N415+O415+IFERROR(AC415,0)+IFERROR(AD415,0)+IFERROR(AE415,0)+IFERROR(AF415,0)+IFERROR(AG415,0),0)</f>
        <v/>
      </c>
      <c r="U415" s="108">
        <f>IFERROR(H415+IFERROR(I415,0)+T415+IFERROR(V415,0),0)</f>
        <v/>
      </c>
    </row>
    <row r="416" ht="15" customHeight="1" s="199">
      <c r="A416" s="104" t="n"/>
      <c r="B416" s="104" t="n"/>
      <c r="C416" s="104" t="n"/>
      <c r="D416" s="105" t="n"/>
      <c r="E416" s="105" t="n"/>
      <c r="F416" s="105" t="n"/>
      <c r="G416" s="106" t="n"/>
      <c r="H416" s="106" t="n"/>
      <c r="I416" s="106" t="n"/>
      <c r="J416" s="107" t="n"/>
      <c r="K416" s="105" t="n"/>
      <c r="L416" s="106" t="n"/>
      <c r="M416" s="106" t="n"/>
      <c r="N416" s="106" t="n"/>
      <c r="O416" s="106" t="n"/>
      <c r="P416" s="105" t="n"/>
      <c r="Q416" s="107" t="n"/>
      <c r="R416" s="105" t="n"/>
      <c r="S416" s="107" t="n"/>
      <c r="T416" s="108">
        <f>IFERROR(L416+M416+N416+O416+IFERROR(AC416,0)+IFERROR(AD416,0)+IFERROR(AE416,0)+IFERROR(AF416,0)+IFERROR(AG416,0),0)</f>
        <v/>
      </c>
      <c r="U416" s="108">
        <f>IFERROR(H416+IFERROR(I416,0)+T416+IFERROR(V416,0),0)</f>
        <v/>
      </c>
    </row>
    <row r="417" ht="15" customHeight="1" s="199">
      <c r="A417" s="104" t="n"/>
      <c r="B417" s="104" t="n"/>
      <c r="C417" s="104" t="n"/>
      <c r="D417" s="105" t="n"/>
      <c r="E417" s="105" t="n"/>
      <c r="F417" s="105" t="n"/>
      <c r="G417" s="106" t="n"/>
      <c r="H417" s="106" t="n"/>
      <c r="I417" s="106" t="n"/>
      <c r="J417" s="107" t="n"/>
      <c r="K417" s="105" t="n"/>
      <c r="L417" s="106" t="n"/>
      <c r="M417" s="106" t="n"/>
      <c r="N417" s="106" t="n"/>
      <c r="O417" s="106" t="n"/>
      <c r="P417" s="105" t="n"/>
      <c r="Q417" s="107" t="n"/>
      <c r="R417" s="105" t="n"/>
      <c r="S417" s="107" t="n"/>
      <c r="T417" s="108">
        <f>IFERROR(L417+M417+N417+O417+IFERROR(AC417,0)+IFERROR(AD417,0)+IFERROR(AE417,0)+IFERROR(AF417,0)+IFERROR(AG417,0),0)</f>
        <v/>
      </c>
      <c r="U417" s="108">
        <f>IFERROR(H417+IFERROR(I417,0)+T417+IFERROR(V417,0),0)</f>
        <v/>
      </c>
    </row>
    <row r="418" ht="15" customHeight="1" s="199">
      <c r="A418" s="104" t="n"/>
      <c r="B418" s="104" t="n"/>
      <c r="C418" s="104" t="n"/>
      <c r="D418" s="105" t="n"/>
      <c r="E418" s="105" t="n"/>
      <c r="F418" s="105" t="n"/>
      <c r="G418" s="106" t="n"/>
      <c r="H418" s="106" t="n"/>
      <c r="I418" s="106" t="n"/>
      <c r="J418" s="107" t="n"/>
      <c r="K418" s="105" t="n"/>
      <c r="L418" s="106" t="n"/>
      <c r="M418" s="106" t="n"/>
      <c r="N418" s="106" t="n"/>
      <c r="O418" s="106" t="n"/>
      <c r="P418" s="105" t="n"/>
      <c r="Q418" s="107" t="n"/>
      <c r="R418" s="105" t="n"/>
      <c r="S418" s="107" t="n"/>
      <c r="T418" s="108">
        <f>IFERROR(L418+M418+N418+O418+IFERROR(AC418,0)+IFERROR(AD418,0)+IFERROR(AE418,0)+IFERROR(AF418,0)+IFERROR(AG418,0),0)</f>
        <v/>
      </c>
      <c r="U418" s="108">
        <f>IFERROR(H418+IFERROR(I418,0)+T418+IFERROR(V418,0),0)</f>
        <v/>
      </c>
    </row>
    <row r="419" ht="15" customHeight="1" s="199">
      <c r="A419" s="104" t="n"/>
      <c r="B419" s="104" t="n"/>
      <c r="C419" s="104" t="n"/>
      <c r="D419" s="105" t="n"/>
      <c r="E419" s="105" t="n"/>
      <c r="F419" s="105" t="n"/>
      <c r="G419" s="106" t="n"/>
      <c r="H419" s="106" t="n"/>
      <c r="I419" s="106" t="n"/>
      <c r="J419" s="107" t="n"/>
      <c r="K419" s="105" t="n"/>
      <c r="L419" s="106" t="n"/>
      <c r="M419" s="106" t="n"/>
      <c r="N419" s="106" t="n"/>
      <c r="O419" s="106" t="n"/>
      <c r="P419" s="105" t="n"/>
      <c r="Q419" s="107" t="n"/>
      <c r="R419" s="105" t="n"/>
      <c r="S419" s="107" t="n"/>
      <c r="T419" s="108">
        <f>IFERROR(L419+M419+N419+O419+IFERROR(AC419,0)+IFERROR(AD419,0)+IFERROR(AE419,0)+IFERROR(AF419,0)+IFERROR(AG419,0),0)</f>
        <v/>
      </c>
      <c r="U419" s="108">
        <f>IFERROR(H419+IFERROR(I419,0)+T419+IFERROR(V419,0),0)</f>
        <v/>
      </c>
    </row>
    <row r="420" ht="15" customHeight="1" s="199">
      <c r="A420" s="104" t="n"/>
      <c r="B420" s="104" t="n"/>
      <c r="C420" s="104" t="n"/>
      <c r="D420" s="105" t="n"/>
      <c r="E420" s="105" t="n"/>
      <c r="F420" s="105" t="n"/>
      <c r="G420" s="106" t="n"/>
      <c r="H420" s="106" t="n"/>
      <c r="I420" s="106" t="n"/>
      <c r="J420" s="107" t="n"/>
      <c r="K420" s="105" t="n"/>
      <c r="L420" s="106" t="n"/>
      <c r="M420" s="106" t="n"/>
      <c r="N420" s="106" t="n"/>
      <c r="O420" s="106" t="n"/>
      <c r="P420" s="105" t="n"/>
      <c r="Q420" s="107" t="n"/>
      <c r="R420" s="105" t="n"/>
      <c r="S420" s="107" t="n"/>
      <c r="T420" s="108">
        <f>IFERROR(L420+M420+N420+O420+IFERROR(AC420,0)+IFERROR(AD420,0)+IFERROR(AE420,0)+IFERROR(AF420,0)+IFERROR(AG420,0),0)</f>
        <v/>
      </c>
      <c r="U420" s="108">
        <f>IFERROR(H420+IFERROR(I420,0)+T420+IFERROR(V420,0),0)</f>
        <v/>
      </c>
    </row>
    <row r="421" ht="15" customHeight="1" s="199">
      <c r="A421" s="104" t="n"/>
      <c r="B421" s="104" t="n"/>
      <c r="C421" s="104" t="n"/>
      <c r="D421" s="105" t="n"/>
      <c r="E421" s="105" t="n"/>
      <c r="F421" s="105" t="n"/>
      <c r="G421" s="106" t="n"/>
      <c r="H421" s="106" t="n"/>
      <c r="I421" s="106" t="n"/>
      <c r="J421" s="107" t="n"/>
      <c r="K421" s="105" t="n"/>
      <c r="L421" s="106" t="n"/>
      <c r="M421" s="106" t="n"/>
      <c r="N421" s="106" t="n"/>
      <c r="O421" s="106" t="n"/>
      <c r="P421" s="105" t="n"/>
      <c r="Q421" s="107" t="n"/>
      <c r="R421" s="105" t="n"/>
      <c r="S421" s="107" t="n"/>
      <c r="T421" s="108">
        <f>IFERROR(L421+M421+N421+O421+IFERROR(AC421,0)+IFERROR(AD421,0)+IFERROR(AE421,0)+IFERROR(AF421,0)+IFERROR(AG421,0),0)</f>
        <v/>
      </c>
      <c r="U421" s="108">
        <f>IFERROR(H421+IFERROR(I421,0)+T421+IFERROR(V421,0),0)</f>
        <v/>
      </c>
    </row>
    <row r="422" ht="15" customHeight="1" s="199">
      <c r="A422" s="104" t="n"/>
      <c r="B422" s="104" t="n"/>
      <c r="C422" s="104" t="n"/>
      <c r="D422" s="105" t="n"/>
      <c r="E422" s="105" t="n"/>
      <c r="F422" s="105" t="n"/>
      <c r="G422" s="106" t="n"/>
      <c r="H422" s="106" t="n"/>
      <c r="I422" s="106" t="n"/>
      <c r="J422" s="107" t="n"/>
      <c r="K422" s="105" t="n"/>
      <c r="L422" s="106" t="n"/>
      <c r="M422" s="106" t="n"/>
      <c r="N422" s="106" t="n"/>
      <c r="O422" s="106" t="n"/>
      <c r="P422" s="105" t="n"/>
      <c r="Q422" s="107" t="n"/>
      <c r="R422" s="105" t="n"/>
      <c r="S422" s="107" t="n"/>
      <c r="T422" s="108">
        <f>IFERROR(L422+M422+N422+O422+IFERROR(AC422,0)+IFERROR(AD422,0)+IFERROR(AE422,0)+IFERROR(AF422,0)+IFERROR(AG422,0),0)</f>
        <v/>
      </c>
      <c r="U422" s="108">
        <f>IFERROR(H422+IFERROR(I422,0)+T422+IFERROR(V422,0),0)</f>
        <v/>
      </c>
    </row>
    <row r="423" ht="15" customHeight="1" s="199">
      <c r="A423" s="104" t="n"/>
      <c r="B423" s="104" t="n"/>
      <c r="C423" s="104" t="n"/>
      <c r="D423" s="105" t="n"/>
      <c r="E423" s="105" t="n"/>
      <c r="F423" s="105" t="n"/>
      <c r="G423" s="106" t="n"/>
      <c r="H423" s="106" t="n"/>
      <c r="I423" s="106" t="n"/>
      <c r="J423" s="107" t="n"/>
      <c r="K423" s="105" t="n"/>
      <c r="L423" s="106" t="n"/>
      <c r="M423" s="106" t="n"/>
      <c r="N423" s="106" t="n"/>
      <c r="O423" s="106" t="n"/>
      <c r="P423" s="105" t="n"/>
      <c r="Q423" s="107" t="n"/>
      <c r="R423" s="105" t="n"/>
      <c r="S423" s="107" t="n"/>
      <c r="T423" s="108">
        <f>IFERROR(L423+M423+N423+O423+IFERROR(AC423,0)+IFERROR(AD423,0)+IFERROR(AE423,0)+IFERROR(AF423,0)+IFERROR(AG423,0),0)</f>
        <v/>
      </c>
      <c r="U423" s="108">
        <f>IFERROR(H423+IFERROR(I423,0)+T423+IFERROR(V423,0),0)</f>
        <v/>
      </c>
    </row>
    <row r="424" ht="15" customHeight="1" s="199">
      <c r="A424" s="104" t="n"/>
      <c r="B424" s="104" t="n"/>
      <c r="C424" s="104" t="n"/>
      <c r="D424" s="105" t="n"/>
      <c r="E424" s="105" t="n"/>
      <c r="F424" s="105" t="n"/>
      <c r="G424" s="106" t="n"/>
      <c r="H424" s="106" t="n"/>
      <c r="I424" s="106" t="n"/>
      <c r="J424" s="107" t="n"/>
      <c r="K424" s="105" t="n"/>
      <c r="L424" s="106" t="n"/>
      <c r="M424" s="106" t="n"/>
      <c r="N424" s="106" t="n"/>
      <c r="O424" s="106" t="n"/>
      <c r="P424" s="105" t="n"/>
      <c r="Q424" s="107" t="n"/>
      <c r="R424" s="105" t="n"/>
      <c r="S424" s="107" t="n"/>
      <c r="T424" s="108">
        <f>IFERROR(L424+M424+N424+O424+IFERROR(AC424,0)+IFERROR(AD424,0)+IFERROR(AE424,0)+IFERROR(AF424,0)+IFERROR(AG424,0),0)</f>
        <v/>
      </c>
      <c r="U424" s="108">
        <f>IFERROR(H424+IFERROR(I424,0)+T424+IFERROR(V424,0),0)</f>
        <v/>
      </c>
    </row>
    <row r="425" ht="15" customHeight="1" s="199">
      <c r="A425" s="104" t="n"/>
      <c r="B425" s="104" t="n"/>
      <c r="C425" s="104" t="n"/>
      <c r="D425" s="105" t="n"/>
      <c r="E425" s="105" t="n"/>
      <c r="F425" s="105" t="n"/>
      <c r="G425" s="106" t="n"/>
      <c r="H425" s="106" t="n"/>
      <c r="I425" s="106" t="n"/>
      <c r="J425" s="107" t="n"/>
      <c r="K425" s="105" t="n"/>
      <c r="L425" s="106" t="n"/>
      <c r="M425" s="106" t="n"/>
      <c r="N425" s="106" t="n"/>
      <c r="O425" s="106" t="n"/>
      <c r="P425" s="105" t="n"/>
      <c r="Q425" s="107" t="n"/>
      <c r="R425" s="105" t="n"/>
      <c r="S425" s="107" t="n"/>
      <c r="T425" s="108">
        <f>IFERROR(L425+M425+N425+O425+IFERROR(AC425,0)+IFERROR(AD425,0)+IFERROR(AE425,0)+IFERROR(AF425,0)+IFERROR(AG425,0),0)</f>
        <v/>
      </c>
      <c r="U425" s="108">
        <f>IFERROR(H425+IFERROR(I425,0)+T425+IFERROR(V425,0),0)</f>
        <v/>
      </c>
    </row>
    <row r="426" ht="15" customHeight="1" s="199">
      <c r="A426" s="104" t="n"/>
      <c r="B426" s="104" t="n"/>
      <c r="C426" s="104" t="n"/>
      <c r="D426" s="105" t="n"/>
      <c r="E426" s="105" t="n"/>
      <c r="F426" s="105" t="n"/>
      <c r="G426" s="106" t="n"/>
      <c r="H426" s="106" t="n"/>
      <c r="I426" s="106" t="n"/>
      <c r="J426" s="107" t="n"/>
      <c r="K426" s="105" t="n"/>
      <c r="L426" s="106" t="n"/>
      <c r="M426" s="106" t="n"/>
      <c r="N426" s="106" t="n"/>
      <c r="O426" s="106" t="n"/>
      <c r="P426" s="105" t="n"/>
      <c r="Q426" s="107" t="n"/>
      <c r="R426" s="105" t="n"/>
      <c r="S426" s="107" t="n"/>
      <c r="T426" s="108">
        <f>IFERROR(L426+M426+N426+O426+IFERROR(AC426,0)+IFERROR(AD426,0)+IFERROR(AE426,0)+IFERROR(AF426,0)+IFERROR(AG426,0),0)</f>
        <v/>
      </c>
      <c r="U426" s="108">
        <f>IFERROR(H426+IFERROR(I426,0)+T426+IFERROR(V426,0),0)</f>
        <v/>
      </c>
    </row>
    <row r="427" ht="15" customHeight="1" s="199">
      <c r="A427" s="104" t="n"/>
      <c r="B427" s="104" t="n"/>
      <c r="C427" s="104" t="n"/>
      <c r="D427" s="105" t="n"/>
      <c r="E427" s="105" t="n"/>
      <c r="F427" s="105" t="n"/>
      <c r="G427" s="106" t="n"/>
      <c r="H427" s="106" t="n"/>
      <c r="I427" s="106" t="n"/>
      <c r="J427" s="107" t="n"/>
      <c r="K427" s="105" t="n"/>
      <c r="L427" s="106" t="n"/>
      <c r="M427" s="106" t="n"/>
      <c r="N427" s="106" t="n"/>
      <c r="O427" s="106" t="n"/>
      <c r="P427" s="105" t="n"/>
      <c r="Q427" s="107" t="n"/>
      <c r="R427" s="105" t="n"/>
      <c r="S427" s="107" t="n"/>
      <c r="T427" s="108">
        <f>IFERROR(L427+M427+N427+O427+IFERROR(AC427,0)+IFERROR(AD427,0)+IFERROR(AE427,0)+IFERROR(AF427,0)+IFERROR(AG427,0),0)</f>
        <v/>
      </c>
      <c r="U427" s="108">
        <f>IFERROR(H427+IFERROR(I427,0)+T427+IFERROR(V427,0),0)</f>
        <v/>
      </c>
    </row>
    <row r="428" ht="15" customHeight="1" s="199">
      <c r="A428" s="104" t="n"/>
      <c r="B428" s="104" t="n"/>
      <c r="C428" s="104" t="n"/>
      <c r="D428" s="105" t="n"/>
      <c r="E428" s="105" t="n"/>
      <c r="F428" s="105" t="n"/>
      <c r="G428" s="106" t="n"/>
      <c r="H428" s="106" t="n"/>
      <c r="I428" s="106" t="n"/>
      <c r="J428" s="107" t="n"/>
      <c r="K428" s="105" t="n"/>
      <c r="L428" s="106" t="n"/>
      <c r="M428" s="106" t="n"/>
      <c r="N428" s="106" t="n"/>
      <c r="O428" s="106" t="n"/>
      <c r="P428" s="105" t="n"/>
      <c r="Q428" s="107" t="n"/>
      <c r="R428" s="105" t="n"/>
      <c r="S428" s="107" t="n"/>
      <c r="T428" s="108">
        <f>IFERROR(L428+M428+N428+O428+IFERROR(AC428,0)+IFERROR(AD428,0)+IFERROR(AE428,0)+IFERROR(AF428,0)+IFERROR(AG428,0),0)</f>
        <v/>
      </c>
      <c r="U428" s="108">
        <f>IFERROR(H428+IFERROR(I428,0)+T428+IFERROR(V428,0),0)</f>
        <v/>
      </c>
    </row>
    <row r="429" ht="15" customHeight="1" s="199">
      <c r="A429" s="104" t="n"/>
      <c r="B429" s="104" t="n"/>
      <c r="C429" s="104" t="n"/>
      <c r="D429" s="105" t="n"/>
      <c r="E429" s="105" t="n"/>
      <c r="F429" s="105" t="n"/>
      <c r="G429" s="106" t="n"/>
      <c r="H429" s="106" t="n"/>
      <c r="I429" s="106" t="n"/>
      <c r="J429" s="107" t="n"/>
      <c r="K429" s="105" t="n"/>
      <c r="L429" s="106" t="n"/>
      <c r="M429" s="106" t="n"/>
      <c r="N429" s="106" t="n"/>
      <c r="O429" s="106" t="n"/>
      <c r="P429" s="105" t="n"/>
      <c r="Q429" s="107" t="n"/>
      <c r="R429" s="105" t="n"/>
      <c r="S429" s="107" t="n"/>
      <c r="T429" s="108">
        <f>IFERROR(L429+M429+N429+O429+IFERROR(AC429,0)+IFERROR(AD429,0)+IFERROR(AE429,0)+IFERROR(AF429,0)+IFERROR(AG429,0),0)</f>
        <v/>
      </c>
      <c r="U429" s="108">
        <f>IFERROR(H429+IFERROR(I429,0)+T429+IFERROR(V429,0),0)</f>
        <v/>
      </c>
    </row>
    <row r="430" ht="15" customHeight="1" s="199">
      <c r="A430" s="104" t="n"/>
      <c r="B430" s="104" t="n"/>
      <c r="C430" s="104" t="n"/>
      <c r="D430" s="105" t="n"/>
      <c r="E430" s="105" t="n"/>
      <c r="F430" s="105" t="n"/>
      <c r="G430" s="106" t="n"/>
      <c r="H430" s="106" t="n"/>
      <c r="I430" s="106" t="n"/>
      <c r="J430" s="107" t="n"/>
      <c r="K430" s="105" t="n"/>
      <c r="L430" s="106" t="n"/>
      <c r="M430" s="106" t="n"/>
      <c r="N430" s="106" t="n"/>
      <c r="O430" s="106" t="n"/>
      <c r="P430" s="105" t="n"/>
      <c r="Q430" s="107" t="n"/>
      <c r="R430" s="105" t="n"/>
      <c r="S430" s="107" t="n"/>
      <c r="T430" s="108">
        <f>IFERROR(L430+M430+N430+O430+IFERROR(AC430,0)+IFERROR(AD430,0)+IFERROR(AE430,0)+IFERROR(AF430,0)+IFERROR(AG430,0),0)</f>
        <v/>
      </c>
      <c r="U430" s="108">
        <f>IFERROR(H430+IFERROR(I430,0)+T430+IFERROR(V430,0),0)</f>
        <v/>
      </c>
    </row>
    <row r="431" ht="15" customHeight="1" s="199">
      <c r="A431" s="104" t="n"/>
      <c r="B431" s="104" t="n"/>
      <c r="C431" s="104" t="n"/>
      <c r="D431" s="105" t="n"/>
      <c r="E431" s="105" t="n"/>
      <c r="F431" s="105" t="n"/>
      <c r="G431" s="106" t="n"/>
      <c r="H431" s="106" t="n"/>
      <c r="I431" s="106" t="n"/>
      <c r="J431" s="107" t="n"/>
      <c r="K431" s="105" t="n"/>
      <c r="L431" s="106" t="n"/>
      <c r="M431" s="106" t="n"/>
      <c r="N431" s="106" t="n"/>
      <c r="O431" s="106" t="n"/>
      <c r="P431" s="105" t="n"/>
      <c r="Q431" s="107" t="n"/>
      <c r="R431" s="105" t="n"/>
      <c r="S431" s="107" t="n"/>
      <c r="T431" s="108">
        <f>IFERROR(L431+M431+N431+O431+IFERROR(AC431,0)+IFERROR(AD431,0)+IFERROR(AE431,0)+IFERROR(AF431,0)+IFERROR(AG431,0),0)</f>
        <v/>
      </c>
      <c r="U431" s="108">
        <f>IFERROR(H431+IFERROR(I431,0)+T431+IFERROR(V431,0),0)</f>
        <v/>
      </c>
    </row>
    <row r="432" ht="15" customHeight="1" s="199">
      <c r="A432" s="104" t="n"/>
      <c r="B432" s="104" t="n"/>
      <c r="C432" s="104" t="n"/>
      <c r="D432" s="105" t="n"/>
      <c r="E432" s="105" t="n"/>
      <c r="F432" s="105" t="n"/>
      <c r="G432" s="106" t="n"/>
      <c r="H432" s="106" t="n"/>
      <c r="I432" s="106" t="n"/>
      <c r="J432" s="107" t="n"/>
      <c r="K432" s="105" t="n"/>
      <c r="L432" s="106" t="n"/>
      <c r="M432" s="106" t="n"/>
      <c r="N432" s="106" t="n"/>
      <c r="O432" s="106" t="n"/>
      <c r="P432" s="105" t="n"/>
      <c r="Q432" s="107" t="n"/>
      <c r="R432" s="105" t="n"/>
      <c r="S432" s="107" t="n"/>
      <c r="T432" s="108">
        <f>IFERROR(L432+M432+N432+O432+IFERROR(AC432,0)+IFERROR(AD432,0)+IFERROR(AE432,0)+IFERROR(AF432,0)+IFERROR(AG432,0),0)</f>
        <v/>
      </c>
      <c r="U432" s="108">
        <f>IFERROR(H432+IFERROR(I432,0)+T432+IFERROR(V432,0),0)</f>
        <v/>
      </c>
    </row>
    <row r="433" ht="15" customHeight="1" s="199">
      <c r="A433" s="104" t="n"/>
      <c r="B433" s="104" t="n"/>
      <c r="C433" s="104" t="n"/>
      <c r="D433" s="105" t="n"/>
      <c r="E433" s="105" t="n"/>
      <c r="F433" s="105" t="n"/>
      <c r="G433" s="106" t="n"/>
      <c r="H433" s="106" t="n"/>
      <c r="I433" s="106" t="n"/>
      <c r="J433" s="107" t="n"/>
      <c r="K433" s="105" t="n"/>
      <c r="L433" s="106" t="n"/>
      <c r="M433" s="106" t="n"/>
      <c r="N433" s="106" t="n"/>
      <c r="O433" s="106" t="n"/>
      <c r="P433" s="105" t="n"/>
      <c r="Q433" s="107" t="n"/>
      <c r="R433" s="105" t="n"/>
      <c r="S433" s="107" t="n"/>
      <c r="T433" s="108">
        <f>IFERROR(L433+M433+N433+O433+IFERROR(AC433,0)+IFERROR(AD433,0)+IFERROR(AE433,0)+IFERROR(AF433,0)+IFERROR(AG433,0),0)</f>
        <v/>
      </c>
      <c r="U433" s="108">
        <f>IFERROR(H433+IFERROR(I433,0)+T433+IFERROR(V433,0),0)</f>
        <v/>
      </c>
    </row>
    <row r="434" ht="15" customHeight="1" s="199">
      <c r="A434" s="104" t="n"/>
      <c r="B434" s="104" t="n"/>
      <c r="C434" s="104" t="n"/>
      <c r="D434" s="105" t="n"/>
      <c r="E434" s="105" t="n"/>
      <c r="F434" s="105" t="n"/>
      <c r="G434" s="106" t="n"/>
      <c r="H434" s="106" t="n"/>
      <c r="I434" s="106" t="n"/>
      <c r="J434" s="107" t="n"/>
      <c r="K434" s="105" t="n"/>
      <c r="L434" s="106" t="n"/>
      <c r="M434" s="106" t="n"/>
      <c r="N434" s="106" t="n"/>
      <c r="O434" s="106" t="n"/>
      <c r="P434" s="105" t="n"/>
      <c r="Q434" s="107" t="n"/>
      <c r="R434" s="105" t="n"/>
      <c r="S434" s="107" t="n"/>
      <c r="T434" s="108">
        <f>IFERROR(L434+M434+N434+O434+IFERROR(AC434,0)+IFERROR(AD434,0)+IFERROR(AE434,0)+IFERROR(AF434,0)+IFERROR(AG434,0),0)</f>
        <v/>
      </c>
      <c r="U434" s="108">
        <f>IFERROR(H434+IFERROR(I434,0)+T434+IFERROR(V434,0),0)</f>
        <v/>
      </c>
    </row>
    <row r="435" ht="15" customHeight="1" s="199">
      <c r="A435" s="104" t="n"/>
      <c r="B435" s="104" t="n"/>
      <c r="C435" s="104" t="n"/>
      <c r="D435" s="105" t="n"/>
      <c r="E435" s="105" t="n"/>
      <c r="F435" s="105" t="n"/>
      <c r="G435" s="106" t="n"/>
      <c r="H435" s="106" t="n"/>
      <c r="I435" s="106" t="n"/>
      <c r="J435" s="107" t="n"/>
      <c r="K435" s="105" t="n"/>
      <c r="L435" s="106" t="n"/>
      <c r="M435" s="106" t="n"/>
      <c r="N435" s="106" t="n"/>
      <c r="O435" s="106" t="n"/>
      <c r="P435" s="105" t="n"/>
      <c r="Q435" s="107" t="n"/>
      <c r="R435" s="105" t="n"/>
      <c r="S435" s="107" t="n"/>
      <c r="T435" s="108">
        <f>IFERROR(L435+M435+N435+O435+IFERROR(AC435,0)+IFERROR(AD435,0)+IFERROR(AE435,0)+IFERROR(AF435,0)+IFERROR(AG435,0),0)</f>
        <v/>
      </c>
      <c r="U435" s="108">
        <f>IFERROR(H435+IFERROR(I435,0)+T435+IFERROR(V435,0),0)</f>
        <v/>
      </c>
    </row>
    <row r="436" ht="15" customHeight="1" s="199">
      <c r="A436" s="104" t="n"/>
      <c r="B436" s="104" t="n"/>
      <c r="C436" s="104" t="n"/>
      <c r="D436" s="105" t="n"/>
      <c r="E436" s="105" t="n"/>
      <c r="F436" s="105" t="n"/>
      <c r="G436" s="106" t="n"/>
      <c r="H436" s="106" t="n"/>
      <c r="I436" s="106" t="n"/>
      <c r="J436" s="107" t="n"/>
      <c r="K436" s="105" t="n"/>
      <c r="L436" s="106" t="n"/>
      <c r="M436" s="106" t="n"/>
      <c r="N436" s="106" t="n"/>
      <c r="O436" s="106" t="n"/>
      <c r="P436" s="105" t="n"/>
      <c r="Q436" s="107" t="n"/>
      <c r="R436" s="105" t="n"/>
      <c r="S436" s="107" t="n"/>
      <c r="T436" s="108">
        <f>IFERROR(L436+M436+N436+O436+IFERROR(AC436,0)+IFERROR(AD436,0)+IFERROR(AE436,0)+IFERROR(AF436,0)+IFERROR(AG436,0),0)</f>
        <v/>
      </c>
      <c r="U436" s="108">
        <f>IFERROR(H436+IFERROR(I436,0)+T436+IFERROR(V436,0),0)</f>
        <v/>
      </c>
    </row>
    <row r="437" ht="15" customHeight="1" s="199">
      <c r="A437" s="104" t="n"/>
      <c r="B437" s="104" t="n"/>
      <c r="C437" s="104" t="n"/>
      <c r="D437" s="105" t="n"/>
      <c r="E437" s="105" t="n"/>
      <c r="F437" s="105" t="n"/>
      <c r="G437" s="106" t="n"/>
      <c r="H437" s="106" t="n"/>
      <c r="I437" s="106" t="n"/>
      <c r="J437" s="107" t="n"/>
      <c r="K437" s="105" t="n"/>
      <c r="L437" s="106" t="n"/>
      <c r="M437" s="106" t="n"/>
      <c r="N437" s="106" t="n"/>
      <c r="O437" s="106" t="n"/>
      <c r="P437" s="105" t="n"/>
      <c r="Q437" s="107" t="n"/>
      <c r="R437" s="105" t="n"/>
      <c r="S437" s="107" t="n"/>
      <c r="T437" s="108">
        <f>IFERROR(L437+M437+N437+O437+IFERROR(AC437,0)+IFERROR(AD437,0)+IFERROR(AE437,0)+IFERROR(AF437,0)+IFERROR(AG437,0),0)</f>
        <v/>
      </c>
      <c r="U437" s="108">
        <f>IFERROR(H437+IFERROR(I437,0)+T437+IFERROR(V437,0),0)</f>
        <v/>
      </c>
    </row>
    <row r="438" ht="15" customHeight="1" s="199">
      <c r="A438" s="104" t="n"/>
      <c r="B438" s="104" t="n"/>
      <c r="C438" s="104" t="n"/>
      <c r="D438" s="105" t="n"/>
      <c r="E438" s="105" t="n"/>
      <c r="F438" s="105" t="n"/>
      <c r="G438" s="106" t="n"/>
      <c r="H438" s="106" t="n"/>
      <c r="I438" s="106" t="n"/>
      <c r="J438" s="107" t="n"/>
      <c r="K438" s="105" t="n"/>
      <c r="L438" s="106" t="n"/>
      <c r="M438" s="106" t="n"/>
      <c r="N438" s="106" t="n"/>
      <c r="O438" s="106" t="n"/>
      <c r="P438" s="105" t="n"/>
      <c r="Q438" s="107" t="n"/>
      <c r="R438" s="105" t="n"/>
      <c r="S438" s="107" t="n"/>
      <c r="T438" s="108">
        <f>IFERROR(L438+M438+N438+O438+IFERROR(AC438,0)+IFERROR(AD438,0)+IFERROR(AE438,0)+IFERROR(AF438,0)+IFERROR(AG438,0),0)</f>
        <v/>
      </c>
      <c r="U438" s="108">
        <f>IFERROR(H438+IFERROR(I438,0)+T438+IFERROR(V438,0),0)</f>
        <v/>
      </c>
    </row>
    <row r="439" ht="15" customHeight="1" s="199">
      <c r="A439" s="104" t="n"/>
      <c r="B439" s="104" t="n"/>
      <c r="C439" s="104" t="n"/>
      <c r="D439" s="105" t="n"/>
      <c r="E439" s="105" t="n"/>
      <c r="F439" s="105" t="n"/>
      <c r="G439" s="106" t="n"/>
      <c r="H439" s="106" t="n"/>
      <c r="I439" s="106" t="n"/>
      <c r="J439" s="107" t="n"/>
      <c r="K439" s="105" t="n"/>
      <c r="L439" s="106" t="n"/>
      <c r="M439" s="106" t="n"/>
      <c r="N439" s="106" t="n"/>
      <c r="O439" s="106" t="n"/>
      <c r="P439" s="105" t="n"/>
      <c r="Q439" s="107" t="n"/>
      <c r="R439" s="105" t="n"/>
      <c r="S439" s="107" t="n"/>
      <c r="T439" s="108">
        <f>IFERROR(L439+M439+N439+O439+IFERROR(AC439,0)+IFERROR(AD439,0)+IFERROR(AE439,0)+IFERROR(AF439,0)+IFERROR(AG439,0),0)</f>
        <v/>
      </c>
      <c r="U439" s="108">
        <f>IFERROR(H439+IFERROR(I439,0)+T439+IFERROR(V439,0),0)</f>
        <v/>
      </c>
    </row>
    <row r="440" ht="15" customHeight="1" s="199">
      <c r="A440" s="104" t="n"/>
      <c r="B440" s="104" t="n"/>
      <c r="C440" s="104" t="n"/>
      <c r="D440" s="105" t="n"/>
      <c r="E440" s="105" t="n"/>
      <c r="F440" s="105" t="n"/>
      <c r="G440" s="106" t="n"/>
      <c r="H440" s="106" t="n"/>
      <c r="I440" s="106" t="n"/>
      <c r="J440" s="107" t="n"/>
      <c r="K440" s="105" t="n"/>
      <c r="L440" s="106" t="n"/>
      <c r="M440" s="106" t="n"/>
      <c r="N440" s="106" t="n"/>
      <c r="O440" s="106" t="n"/>
      <c r="P440" s="105" t="n"/>
      <c r="Q440" s="107" t="n"/>
      <c r="R440" s="105" t="n"/>
      <c r="S440" s="107" t="n"/>
      <c r="T440" s="108">
        <f>IFERROR(L440+M440+N440+O440+IFERROR(AC440,0)+IFERROR(AD440,0)+IFERROR(AE440,0)+IFERROR(AF440,0)+IFERROR(AG440,0),0)</f>
        <v/>
      </c>
      <c r="U440" s="108">
        <f>IFERROR(H440+IFERROR(I440,0)+T440+IFERROR(V440,0),0)</f>
        <v/>
      </c>
    </row>
    <row r="441" ht="15" customHeight="1" s="199">
      <c r="A441" s="104" t="n"/>
      <c r="B441" s="104" t="n"/>
      <c r="C441" s="104" t="n"/>
      <c r="D441" s="105" t="n"/>
      <c r="E441" s="105" t="n"/>
      <c r="F441" s="105" t="n"/>
      <c r="G441" s="106" t="n"/>
      <c r="H441" s="106" t="n"/>
      <c r="I441" s="106" t="n"/>
      <c r="J441" s="107" t="n"/>
      <c r="K441" s="105" t="n"/>
      <c r="L441" s="106" t="n"/>
      <c r="M441" s="106" t="n"/>
      <c r="N441" s="106" t="n"/>
      <c r="O441" s="106" t="n"/>
      <c r="P441" s="105" t="n"/>
      <c r="Q441" s="107" t="n"/>
      <c r="R441" s="105" t="n"/>
      <c r="S441" s="107" t="n"/>
      <c r="T441" s="108">
        <f>IFERROR(L441+M441+N441+O441+IFERROR(AC441,0)+IFERROR(AD441,0)+IFERROR(AE441,0)+IFERROR(AF441,0)+IFERROR(AG441,0),0)</f>
        <v/>
      </c>
      <c r="U441" s="108">
        <f>IFERROR(H441+IFERROR(I441,0)+T441+IFERROR(V441,0),0)</f>
        <v/>
      </c>
    </row>
    <row r="442" ht="15" customHeight="1" s="199">
      <c r="A442" s="104" t="n"/>
      <c r="B442" s="104" t="n"/>
      <c r="C442" s="104" t="n"/>
      <c r="D442" s="105" t="n"/>
      <c r="E442" s="105" t="n"/>
      <c r="F442" s="105" t="n"/>
      <c r="G442" s="106" t="n"/>
      <c r="H442" s="106" t="n"/>
      <c r="I442" s="106" t="n"/>
      <c r="J442" s="107" t="n"/>
      <c r="K442" s="105" t="n"/>
      <c r="L442" s="106" t="n"/>
      <c r="M442" s="106" t="n"/>
      <c r="N442" s="106" t="n"/>
      <c r="O442" s="106" t="n"/>
      <c r="P442" s="105" t="n"/>
      <c r="Q442" s="107" t="n"/>
      <c r="R442" s="105" t="n"/>
      <c r="S442" s="107" t="n"/>
      <c r="T442" s="108">
        <f>IFERROR(L442+M442+N442+O442+IFERROR(AC442,0)+IFERROR(AD442,0)+IFERROR(AE442,0)+IFERROR(AF442,0)+IFERROR(AG442,0),0)</f>
        <v/>
      </c>
      <c r="U442" s="108">
        <f>IFERROR(H442+IFERROR(I442,0)+T442+IFERROR(V442,0),0)</f>
        <v/>
      </c>
    </row>
    <row r="443" ht="15" customHeight="1" s="199">
      <c r="A443" s="104" t="n"/>
      <c r="B443" s="104" t="n"/>
      <c r="C443" s="104" t="n"/>
      <c r="D443" s="105" t="n"/>
      <c r="E443" s="105" t="n"/>
      <c r="F443" s="105" t="n"/>
      <c r="G443" s="106" t="n"/>
      <c r="H443" s="106" t="n"/>
      <c r="I443" s="106" t="n"/>
      <c r="J443" s="107" t="n"/>
      <c r="K443" s="105" t="n"/>
      <c r="L443" s="106" t="n"/>
      <c r="M443" s="106" t="n"/>
      <c r="N443" s="106" t="n"/>
      <c r="O443" s="106" t="n"/>
      <c r="P443" s="105" t="n"/>
      <c r="Q443" s="107" t="n"/>
      <c r="R443" s="105" t="n"/>
      <c r="S443" s="107" t="n"/>
      <c r="T443" s="108">
        <f>IFERROR(L443+M443+N443+O443+IFERROR(AC443,0)+IFERROR(AD443,0)+IFERROR(AE443,0)+IFERROR(AF443,0)+IFERROR(AG443,0),0)</f>
        <v/>
      </c>
      <c r="U443" s="108">
        <f>IFERROR(H443+IFERROR(I443,0)+T443+IFERROR(V443,0),0)</f>
        <v/>
      </c>
    </row>
    <row r="444" ht="15" customHeight="1" s="199">
      <c r="A444" s="104" t="n"/>
      <c r="B444" s="104" t="n"/>
      <c r="C444" s="104" t="n"/>
      <c r="D444" s="105" t="n"/>
      <c r="E444" s="105" t="n"/>
      <c r="F444" s="105" t="n"/>
      <c r="G444" s="106" t="n"/>
      <c r="H444" s="106" t="n"/>
      <c r="I444" s="106" t="n"/>
      <c r="J444" s="107" t="n"/>
      <c r="K444" s="105" t="n"/>
      <c r="L444" s="106" t="n"/>
      <c r="M444" s="106" t="n"/>
      <c r="N444" s="106" t="n"/>
      <c r="O444" s="106" t="n"/>
      <c r="P444" s="105" t="n"/>
      <c r="Q444" s="107" t="n"/>
      <c r="R444" s="105" t="n"/>
      <c r="S444" s="107" t="n"/>
      <c r="T444" s="108">
        <f>IFERROR(L444+M444+N444+O444+IFERROR(AC444,0)+IFERROR(AD444,0)+IFERROR(AE444,0)+IFERROR(AF444,0)+IFERROR(AG444,0),0)</f>
        <v/>
      </c>
      <c r="U444" s="108">
        <f>IFERROR(H444+IFERROR(I444,0)+T444+IFERROR(V444,0),0)</f>
        <v/>
      </c>
    </row>
    <row r="445" ht="15" customHeight="1" s="199">
      <c r="A445" s="104" t="n"/>
      <c r="B445" s="104" t="n"/>
      <c r="C445" s="104" t="n"/>
      <c r="D445" s="105" t="n"/>
      <c r="E445" s="105" t="n"/>
      <c r="F445" s="105" t="n"/>
      <c r="G445" s="106" t="n"/>
      <c r="H445" s="106" t="n"/>
      <c r="I445" s="106" t="n"/>
      <c r="J445" s="107" t="n"/>
      <c r="K445" s="105" t="n"/>
      <c r="L445" s="106" t="n"/>
      <c r="M445" s="106" t="n"/>
      <c r="N445" s="106" t="n"/>
      <c r="O445" s="106" t="n"/>
      <c r="P445" s="105" t="n"/>
      <c r="Q445" s="107" t="n"/>
      <c r="R445" s="105" t="n"/>
      <c r="S445" s="107" t="n"/>
      <c r="T445" s="108">
        <f>IFERROR(L445+M445+N445+O445+IFERROR(AC445,0)+IFERROR(AD445,0)+IFERROR(AE445,0)+IFERROR(AF445,0)+IFERROR(AG445,0),0)</f>
        <v/>
      </c>
      <c r="U445" s="108">
        <f>IFERROR(H445+IFERROR(I445,0)+T445+IFERROR(V445,0),0)</f>
        <v/>
      </c>
    </row>
    <row r="446" ht="15" customHeight="1" s="199">
      <c r="A446" s="104" t="n"/>
      <c r="B446" s="104" t="n"/>
      <c r="C446" s="104" t="n"/>
      <c r="D446" s="105" t="n"/>
      <c r="E446" s="105" t="n"/>
      <c r="F446" s="105" t="n"/>
      <c r="G446" s="106" t="n"/>
      <c r="H446" s="106" t="n"/>
      <c r="I446" s="106" t="n"/>
      <c r="J446" s="107" t="n"/>
      <c r="K446" s="105" t="n"/>
      <c r="L446" s="106" t="n"/>
      <c r="M446" s="106" t="n"/>
      <c r="N446" s="106" t="n"/>
      <c r="O446" s="106" t="n"/>
      <c r="P446" s="105" t="n"/>
      <c r="Q446" s="107" t="n"/>
      <c r="R446" s="105" t="n"/>
      <c r="S446" s="107" t="n"/>
      <c r="T446" s="108">
        <f>IFERROR(L446+M446+N446+O446+IFERROR(AC446,0)+IFERROR(AD446,0)+IFERROR(AE446,0)+IFERROR(AF446,0)+IFERROR(AG446,0),0)</f>
        <v/>
      </c>
      <c r="U446" s="108">
        <f>IFERROR(H446+IFERROR(I446,0)+T446+IFERROR(V446,0),0)</f>
        <v/>
      </c>
    </row>
    <row r="447" ht="15" customHeight="1" s="199">
      <c r="A447" s="104" t="n"/>
      <c r="B447" s="104" t="n"/>
      <c r="C447" s="104" t="n"/>
      <c r="D447" s="105" t="n"/>
      <c r="E447" s="105" t="n"/>
      <c r="F447" s="105" t="n"/>
      <c r="G447" s="106" t="n"/>
      <c r="H447" s="106" t="n"/>
      <c r="I447" s="106" t="n"/>
      <c r="J447" s="107" t="n"/>
      <c r="K447" s="105" t="n"/>
      <c r="L447" s="106" t="n"/>
      <c r="M447" s="106" t="n"/>
      <c r="N447" s="106" t="n"/>
      <c r="O447" s="106" t="n"/>
      <c r="P447" s="105" t="n"/>
      <c r="Q447" s="107" t="n"/>
      <c r="R447" s="105" t="n"/>
      <c r="S447" s="107" t="n"/>
      <c r="T447" s="108">
        <f>IFERROR(L447+M447+N447+O447+IFERROR(AC447,0)+IFERROR(AD447,0)+IFERROR(AE447,0)+IFERROR(AF447,0)+IFERROR(AG447,0),0)</f>
        <v/>
      </c>
      <c r="U447" s="108">
        <f>IFERROR(H447+IFERROR(I447,0)+T447+IFERROR(V447,0),0)</f>
        <v/>
      </c>
    </row>
    <row r="448" ht="15" customHeight="1" s="199">
      <c r="A448" s="104" t="n"/>
      <c r="B448" s="104" t="n"/>
      <c r="C448" s="104" t="n"/>
      <c r="D448" s="105" t="n"/>
      <c r="E448" s="105" t="n"/>
      <c r="F448" s="105" t="n"/>
      <c r="G448" s="106" t="n"/>
      <c r="H448" s="106" t="n"/>
      <c r="I448" s="106" t="n"/>
      <c r="J448" s="107" t="n"/>
      <c r="K448" s="105" t="n"/>
      <c r="L448" s="106" t="n"/>
      <c r="M448" s="106" t="n"/>
      <c r="N448" s="106" t="n"/>
      <c r="O448" s="106" t="n"/>
      <c r="P448" s="105" t="n"/>
      <c r="Q448" s="107" t="n"/>
      <c r="R448" s="105" t="n"/>
      <c r="S448" s="107" t="n"/>
      <c r="T448" s="108">
        <f>IFERROR(L448+M448+N448+O448+IFERROR(AC448,0)+IFERROR(AD448,0)+IFERROR(AE448,0)+IFERROR(AF448,0)+IFERROR(AG448,0),0)</f>
        <v/>
      </c>
      <c r="U448" s="108">
        <f>IFERROR(H448+IFERROR(I448,0)+T448+IFERROR(V448,0),0)</f>
        <v/>
      </c>
    </row>
    <row r="449" ht="15" customHeight="1" s="199">
      <c r="A449" s="104" t="n"/>
      <c r="B449" s="104" t="n"/>
      <c r="C449" s="104" t="n"/>
      <c r="D449" s="105" t="n"/>
      <c r="E449" s="105" t="n"/>
      <c r="F449" s="105" t="n"/>
      <c r="G449" s="106" t="n"/>
      <c r="H449" s="106" t="n"/>
      <c r="I449" s="106" t="n"/>
      <c r="J449" s="107" t="n"/>
      <c r="K449" s="105" t="n"/>
      <c r="L449" s="106" t="n"/>
      <c r="M449" s="106" t="n"/>
      <c r="N449" s="106" t="n"/>
      <c r="O449" s="106" t="n"/>
      <c r="P449" s="105" t="n"/>
      <c r="Q449" s="107" t="n"/>
      <c r="R449" s="105" t="n"/>
      <c r="S449" s="107" t="n"/>
      <c r="T449" s="108">
        <f>IFERROR(L449+M449+N449+O449+IFERROR(AC449,0)+IFERROR(AD449,0)+IFERROR(AE449,0)+IFERROR(AF449,0)+IFERROR(AG449,0),0)</f>
        <v/>
      </c>
      <c r="U449" s="108">
        <f>IFERROR(H449+IFERROR(I449,0)+T449+IFERROR(V449,0),0)</f>
        <v/>
      </c>
    </row>
    <row r="450" ht="15" customHeight="1" s="199">
      <c r="A450" s="104" t="n"/>
      <c r="B450" s="104" t="n"/>
      <c r="C450" s="104" t="n"/>
      <c r="D450" s="105" t="n"/>
      <c r="E450" s="105" t="n"/>
      <c r="F450" s="105" t="n"/>
      <c r="G450" s="106" t="n"/>
      <c r="H450" s="106" t="n"/>
      <c r="I450" s="106" t="n"/>
      <c r="J450" s="107" t="n"/>
      <c r="K450" s="105" t="n"/>
      <c r="L450" s="106" t="n"/>
      <c r="M450" s="106" t="n"/>
      <c r="N450" s="106" t="n"/>
      <c r="O450" s="106" t="n"/>
      <c r="P450" s="105" t="n"/>
      <c r="Q450" s="107" t="n"/>
      <c r="R450" s="105" t="n"/>
      <c r="S450" s="107" t="n"/>
      <c r="T450" s="108">
        <f>IFERROR(L450+M450+N450+O450+IFERROR(AC450,0)+IFERROR(AD450,0)+IFERROR(AE450,0)+IFERROR(AF450,0)+IFERROR(AG450,0),0)</f>
        <v/>
      </c>
      <c r="U450" s="108">
        <f>IFERROR(H450+IFERROR(I450,0)+T450+IFERROR(V450,0),0)</f>
        <v/>
      </c>
    </row>
    <row r="451" ht="15" customHeight="1" s="199">
      <c r="A451" s="104" t="n"/>
      <c r="B451" s="104" t="n"/>
      <c r="C451" s="104" t="n"/>
      <c r="D451" s="105" t="n"/>
      <c r="E451" s="105" t="n"/>
      <c r="F451" s="105" t="n"/>
      <c r="G451" s="106" t="n"/>
      <c r="H451" s="106" t="n"/>
      <c r="I451" s="106" t="n"/>
      <c r="J451" s="107" t="n"/>
      <c r="K451" s="105" t="n"/>
      <c r="L451" s="106" t="n"/>
      <c r="M451" s="106" t="n"/>
      <c r="N451" s="106" t="n"/>
      <c r="O451" s="106" t="n"/>
      <c r="P451" s="105" t="n"/>
      <c r="Q451" s="107" t="n"/>
      <c r="R451" s="105" t="n"/>
      <c r="S451" s="107" t="n"/>
      <c r="T451" s="108">
        <f>IFERROR(L451+M451+N451+O451+IFERROR(AC451,0)+IFERROR(AD451,0)+IFERROR(AE451,0)+IFERROR(AF451,0)+IFERROR(AG451,0),0)</f>
        <v/>
      </c>
      <c r="U451" s="108">
        <f>IFERROR(H451+IFERROR(I451,0)+T451+IFERROR(V451,0),0)</f>
        <v/>
      </c>
    </row>
    <row r="452" ht="15" customHeight="1" s="199">
      <c r="A452" s="104" t="n"/>
      <c r="B452" s="104" t="n"/>
      <c r="C452" s="104" t="n"/>
      <c r="D452" s="105" t="n"/>
      <c r="E452" s="105" t="n"/>
      <c r="F452" s="105" t="n"/>
      <c r="G452" s="106" t="n"/>
      <c r="H452" s="106" t="n"/>
      <c r="I452" s="106" t="n"/>
      <c r="J452" s="107" t="n"/>
      <c r="K452" s="105" t="n"/>
      <c r="L452" s="106" t="n"/>
      <c r="M452" s="106" t="n"/>
      <c r="N452" s="106" t="n"/>
      <c r="O452" s="106" t="n"/>
      <c r="P452" s="105" t="n"/>
      <c r="Q452" s="107" t="n"/>
      <c r="R452" s="105" t="n"/>
      <c r="S452" s="107" t="n"/>
      <c r="T452" s="108">
        <f>IFERROR(L452+M452+N452+O452+IFERROR(AC452,0)+IFERROR(AD452,0)+IFERROR(AE452,0)+IFERROR(AF452,0)+IFERROR(AG452,0),0)</f>
        <v/>
      </c>
      <c r="U452" s="108">
        <f>IFERROR(H452+IFERROR(I452,0)+T452+IFERROR(V452,0),0)</f>
        <v/>
      </c>
    </row>
    <row r="453" ht="15" customHeight="1" s="199">
      <c r="A453" s="104" t="n"/>
      <c r="B453" s="104" t="n"/>
      <c r="C453" s="104" t="n"/>
      <c r="D453" s="105" t="n"/>
      <c r="E453" s="105" t="n"/>
      <c r="F453" s="105" t="n"/>
      <c r="G453" s="106" t="n"/>
      <c r="H453" s="106" t="n"/>
      <c r="I453" s="106" t="n"/>
      <c r="J453" s="107" t="n"/>
      <c r="K453" s="105" t="n"/>
      <c r="L453" s="106" t="n"/>
      <c r="M453" s="106" t="n"/>
      <c r="N453" s="106" t="n"/>
      <c r="O453" s="106" t="n"/>
      <c r="P453" s="105" t="n"/>
      <c r="Q453" s="107" t="n"/>
      <c r="R453" s="105" t="n"/>
      <c r="S453" s="107" t="n"/>
      <c r="T453" s="108">
        <f>IFERROR(L453+M453+N453+O453+IFERROR(AC453,0)+IFERROR(AD453,0)+IFERROR(AE453,0)+IFERROR(AF453,0)+IFERROR(AG453,0),0)</f>
        <v/>
      </c>
      <c r="U453" s="108">
        <f>IFERROR(H453+IFERROR(I453,0)+T453+IFERROR(V453,0),0)</f>
        <v/>
      </c>
    </row>
    <row r="454" ht="15" customHeight="1" s="199">
      <c r="A454" s="104" t="n"/>
      <c r="B454" s="104" t="n"/>
      <c r="C454" s="104" t="n"/>
      <c r="D454" s="105" t="n"/>
      <c r="E454" s="105" t="n"/>
      <c r="F454" s="105" t="n"/>
      <c r="G454" s="106" t="n"/>
      <c r="H454" s="106" t="n"/>
      <c r="I454" s="106" t="n"/>
      <c r="J454" s="107" t="n"/>
      <c r="K454" s="105" t="n"/>
      <c r="L454" s="106" t="n"/>
      <c r="M454" s="106" t="n"/>
      <c r="N454" s="106" t="n"/>
      <c r="O454" s="106" t="n"/>
      <c r="P454" s="105" t="n"/>
      <c r="Q454" s="107" t="n"/>
      <c r="R454" s="105" t="n"/>
      <c r="S454" s="107" t="n"/>
      <c r="T454" s="108">
        <f>IFERROR(L454+M454+N454+O454+IFERROR(AC454,0)+IFERROR(AD454,0)+IFERROR(AE454,0)+IFERROR(AF454,0)+IFERROR(AG454,0),0)</f>
        <v/>
      </c>
      <c r="U454" s="108">
        <f>IFERROR(H454+IFERROR(I454,0)+T454+IFERROR(V454,0),0)</f>
        <v/>
      </c>
    </row>
    <row r="455" ht="15" customHeight="1" s="199">
      <c r="A455" s="104" t="n"/>
      <c r="B455" s="104" t="n"/>
      <c r="C455" s="104" t="n"/>
      <c r="D455" s="105" t="n"/>
      <c r="E455" s="105" t="n"/>
      <c r="F455" s="105" t="n"/>
      <c r="G455" s="106" t="n"/>
      <c r="H455" s="106" t="n"/>
      <c r="I455" s="106" t="n"/>
      <c r="J455" s="107" t="n"/>
      <c r="K455" s="105" t="n"/>
      <c r="L455" s="106" t="n"/>
      <c r="M455" s="106" t="n"/>
      <c r="N455" s="106" t="n"/>
      <c r="O455" s="106" t="n"/>
      <c r="P455" s="105" t="n"/>
      <c r="Q455" s="107" t="n"/>
      <c r="R455" s="105" t="n"/>
      <c r="S455" s="107" t="n"/>
      <c r="T455" s="108">
        <f>IFERROR(L455+M455+N455+O455+IFERROR(AC455,0)+IFERROR(AD455,0)+IFERROR(AE455,0)+IFERROR(AF455,0)+IFERROR(AG455,0),0)</f>
        <v/>
      </c>
      <c r="U455" s="108">
        <f>IFERROR(H455+IFERROR(I455,0)+T455+IFERROR(V455,0),0)</f>
        <v/>
      </c>
    </row>
    <row r="456" ht="15" customHeight="1" s="199">
      <c r="A456" s="104" t="n"/>
      <c r="B456" s="104" t="n"/>
      <c r="C456" s="104" t="n"/>
      <c r="D456" s="105" t="n"/>
      <c r="E456" s="105" t="n"/>
      <c r="F456" s="105" t="n"/>
      <c r="G456" s="106" t="n"/>
      <c r="H456" s="106" t="n"/>
      <c r="I456" s="106" t="n"/>
      <c r="J456" s="107" t="n"/>
      <c r="K456" s="105" t="n"/>
      <c r="L456" s="106" t="n"/>
      <c r="M456" s="106" t="n"/>
      <c r="N456" s="106" t="n"/>
      <c r="O456" s="106" t="n"/>
      <c r="P456" s="105" t="n"/>
      <c r="Q456" s="107" t="n"/>
      <c r="R456" s="105" t="n"/>
      <c r="S456" s="107" t="n"/>
      <c r="T456" s="108">
        <f>IFERROR(L456+M456+N456+O456+IFERROR(AC456,0)+IFERROR(AD456,0)+IFERROR(AE456,0)+IFERROR(AF456,0)+IFERROR(AG456,0),0)</f>
        <v/>
      </c>
      <c r="U456" s="108">
        <f>IFERROR(H456+IFERROR(I456,0)+T456+IFERROR(V456,0),0)</f>
        <v/>
      </c>
    </row>
    <row r="457" ht="15" customHeight="1" s="199">
      <c r="A457" s="104" t="n"/>
      <c r="B457" s="104" t="n"/>
      <c r="C457" s="104" t="n"/>
      <c r="D457" s="105" t="n"/>
      <c r="E457" s="105" t="n"/>
      <c r="F457" s="105" t="n"/>
      <c r="G457" s="106" t="n"/>
      <c r="H457" s="106" t="n"/>
      <c r="I457" s="106" t="n"/>
      <c r="J457" s="107" t="n"/>
      <c r="K457" s="105" t="n"/>
      <c r="L457" s="106" t="n"/>
      <c r="M457" s="106" t="n"/>
      <c r="N457" s="106" t="n"/>
      <c r="O457" s="106" t="n"/>
      <c r="P457" s="105" t="n"/>
      <c r="Q457" s="107" t="n"/>
      <c r="R457" s="105" t="n"/>
      <c r="S457" s="107" t="n"/>
      <c r="T457" s="108">
        <f>IFERROR(L457+M457+N457+O457+IFERROR(AC457,0)+IFERROR(AD457,0)+IFERROR(AE457,0)+IFERROR(AF457,0)+IFERROR(AG457,0),0)</f>
        <v/>
      </c>
      <c r="U457" s="108">
        <f>IFERROR(H457+IFERROR(I457,0)+T457+IFERROR(V457,0),0)</f>
        <v/>
      </c>
    </row>
    <row r="458" ht="15" customHeight="1" s="199">
      <c r="A458" s="104" t="n"/>
      <c r="B458" s="104" t="n"/>
      <c r="C458" s="104" t="n"/>
      <c r="D458" s="105" t="n"/>
      <c r="E458" s="105" t="n"/>
      <c r="F458" s="105" t="n"/>
      <c r="G458" s="106" t="n"/>
      <c r="H458" s="106" t="n"/>
      <c r="I458" s="106" t="n"/>
      <c r="J458" s="107" t="n"/>
      <c r="K458" s="105" t="n"/>
      <c r="L458" s="106" t="n"/>
      <c r="M458" s="106" t="n"/>
      <c r="N458" s="106" t="n"/>
      <c r="O458" s="106" t="n"/>
      <c r="P458" s="105" t="n"/>
      <c r="Q458" s="107" t="n"/>
      <c r="R458" s="105" t="n"/>
      <c r="S458" s="107" t="n"/>
      <c r="T458" s="108">
        <f>IFERROR(L458+M458+N458+O458+IFERROR(AC458,0)+IFERROR(AD458,0)+IFERROR(AE458,0)+IFERROR(AF458,0)+IFERROR(AG458,0),0)</f>
        <v/>
      </c>
      <c r="U458" s="108">
        <f>IFERROR(H458+IFERROR(I458,0)+T458+IFERROR(V458,0),0)</f>
        <v/>
      </c>
    </row>
    <row r="459" ht="15" customHeight="1" s="199">
      <c r="A459" s="104" t="n"/>
      <c r="B459" s="104" t="n"/>
      <c r="C459" s="104" t="n"/>
      <c r="D459" s="105" t="n"/>
      <c r="E459" s="105" t="n"/>
      <c r="F459" s="105" t="n"/>
      <c r="G459" s="106" t="n"/>
      <c r="H459" s="106" t="n"/>
      <c r="I459" s="106" t="n"/>
      <c r="J459" s="107" t="n"/>
      <c r="K459" s="105" t="n"/>
      <c r="L459" s="106" t="n"/>
      <c r="M459" s="106" t="n"/>
      <c r="N459" s="106" t="n"/>
      <c r="O459" s="106" t="n"/>
      <c r="P459" s="105" t="n"/>
      <c r="Q459" s="107" t="n"/>
      <c r="R459" s="105" t="n"/>
      <c r="S459" s="107" t="n"/>
      <c r="T459" s="108">
        <f>IFERROR(L459+M459+N459+O459+IFERROR(AC459,0)+IFERROR(AD459,0)+IFERROR(AE459,0)+IFERROR(AF459,0)+IFERROR(AG459,0),0)</f>
        <v/>
      </c>
      <c r="U459" s="108">
        <f>IFERROR(H459+IFERROR(I459,0)+T459+IFERROR(V459,0),0)</f>
        <v/>
      </c>
    </row>
    <row r="460" ht="15" customHeight="1" s="199">
      <c r="A460" s="104" t="n"/>
      <c r="B460" s="104" t="n"/>
      <c r="C460" s="104" t="n"/>
      <c r="D460" s="105" t="n"/>
      <c r="E460" s="105" t="n"/>
      <c r="F460" s="105" t="n"/>
      <c r="G460" s="106" t="n"/>
      <c r="H460" s="106" t="n"/>
      <c r="I460" s="106" t="n"/>
      <c r="J460" s="107" t="n"/>
      <c r="K460" s="105" t="n"/>
      <c r="L460" s="106" t="n"/>
      <c r="M460" s="106" t="n"/>
      <c r="N460" s="106" t="n"/>
      <c r="O460" s="106" t="n"/>
      <c r="P460" s="105" t="n"/>
      <c r="Q460" s="107" t="n"/>
      <c r="R460" s="105" t="n"/>
      <c r="S460" s="107" t="n"/>
      <c r="T460" s="108">
        <f>IFERROR(L460+M460+N460+O460+IFERROR(AC460,0)+IFERROR(AD460,0)+IFERROR(AE460,0)+IFERROR(AF460,0)+IFERROR(AG460,0),0)</f>
        <v/>
      </c>
      <c r="U460" s="108">
        <f>IFERROR(H460+IFERROR(I460,0)+T460+IFERROR(V460,0),0)</f>
        <v/>
      </c>
    </row>
    <row r="461" ht="15" customHeight="1" s="199">
      <c r="A461" s="104" t="n"/>
      <c r="B461" s="104" t="n"/>
      <c r="C461" s="104" t="n"/>
      <c r="D461" s="105" t="n"/>
      <c r="E461" s="105" t="n"/>
      <c r="F461" s="105" t="n"/>
      <c r="G461" s="106" t="n"/>
      <c r="H461" s="106" t="n"/>
      <c r="I461" s="106" t="n"/>
      <c r="J461" s="107" t="n"/>
      <c r="K461" s="105" t="n"/>
      <c r="L461" s="106" t="n"/>
      <c r="M461" s="106" t="n"/>
      <c r="N461" s="106" t="n"/>
      <c r="O461" s="106" t="n"/>
      <c r="P461" s="105" t="n"/>
      <c r="Q461" s="107" t="n"/>
      <c r="R461" s="105" t="n"/>
      <c r="S461" s="107" t="n"/>
      <c r="T461" s="108">
        <f>IFERROR(L461+M461+N461+O461+IFERROR(AC461,0)+IFERROR(AD461,0)+IFERROR(AE461,0)+IFERROR(AF461,0)+IFERROR(AG461,0),0)</f>
        <v/>
      </c>
      <c r="U461" s="108">
        <f>IFERROR(H461+IFERROR(I461,0)+T461+IFERROR(V461,0),0)</f>
        <v/>
      </c>
    </row>
    <row r="462" ht="15" customHeight="1" s="199">
      <c r="A462" s="104" t="n"/>
      <c r="B462" s="104" t="n"/>
      <c r="C462" s="104" t="n"/>
      <c r="D462" s="105" t="n"/>
      <c r="E462" s="105" t="n"/>
      <c r="F462" s="105" t="n"/>
      <c r="G462" s="106" t="n"/>
      <c r="H462" s="106" t="n"/>
      <c r="I462" s="106" t="n"/>
      <c r="J462" s="107" t="n"/>
      <c r="K462" s="105" t="n"/>
      <c r="L462" s="106" t="n"/>
      <c r="M462" s="106" t="n"/>
      <c r="N462" s="106" t="n"/>
      <c r="O462" s="106" t="n"/>
      <c r="P462" s="105" t="n"/>
      <c r="Q462" s="107" t="n"/>
      <c r="R462" s="105" t="n"/>
      <c r="S462" s="107" t="n"/>
      <c r="T462" s="108">
        <f>IFERROR(L462+M462+N462+O462+IFERROR(AC462,0)+IFERROR(AD462,0)+IFERROR(AE462,0)+IFERROR(AF462,0)+IFERROR(AG462,0),0)</f>
        <v/>
      </c>
      <c r="U462" s="108">
        <f>IFERROR(H462+IFERROR(I462,0)+T462+IFERROR(V462,0),0)</f>
        <v/>
      </c>
    </row>
    <row r="463" ht="15" customHeight="1" s="199">
      <c r="A463" s="104" t="n"/>
      <c r="B463" s="104" t="n"/>
      <c r="C463" s="104" t="n"/>
      <c r="D463" s="105" t="n"/>
      <c r="E463" s="105" t="n"/>
      <c r="F463" s="105" t="n"/>
      <c r="G463" s="106" t="n"/>
      <c r="H463" s="106" t="n"/>
      <c r="I463" s="106" t="n"/>
      <c r="J463" s="107" t="n"/>
      <c r="K463" s="105" t="n"/>
      <c r="L463" s="106" t="n"/>
      <c r="M463" s="106" t="n"/>
      <c r="N463" s="106" t="n"/>
      <c r="O463" s="106" t="n"/>
      <c r="P463" s="105" t="n"/>
      <c r="Q463" s="107" t="n"/>
      <c r="R463" s="105" t="n"/>
      <c r="S463" s="107" t="n"/>
      <c r="T463" s="108">
        <f>IFERROR(L463+M463+N463+O463+IFERROR(AC463,0)+IFERROR(AD463,0)+IFERROR(AE463,0)+IFERROR(AF463,0)+IFERROR(AG463,0),0)</f>
        <v/>
      </c>
      <c r="U463" s="108">
        <f>IFERROR(H463+IFERROR(I463,0)+T463+IFERROR(V463,0),0)</f>
        <v/>
      </c>
    </row>
    <row r="464" ht="15" customHeight="1" s="199">
      <c r="A464" s="104" t="n"/>
      <c r="B464" s="104" t="n"/>
      <c r="C464" s="104" t="n"/>
      <c r="D464" s="105" t="n"/>
      <c r="E464" s="105" t="n"/>
      <c r="F464" s="105" t="n"/>
      <c r="G464" s="106" t="n"/>
      <c r="H464" s="106" t="n"/>
      <c r="I464" s="106" t="n"/>
      <c r="J464" s="107" t="n"/>
      <c r="K464" s="105" t="n"/>
      <c r="L464" s="106" t="n"/>
      <c r="M464" s="106" t="n"/>
      <c r="N464" s="106" t="n"/>
      <c r="O464" s="106" t="n"/>
      <c r="P464" s="105" t="n"/>
      <c r="Q464" s="107" t="n"/>
      <c r="R464" s="105" t="n"/>
      <c r="S464" s="107" t="n"/>
      <c r="T464" s="108">
        <f>IFERROR(L464+M464+N464+O464+IFERROR(AC464,0)+IFERROR(AD464,0)+IFERROR(AE464,0)+IFERROR(AF464,0)+IFERROR(AG464,0),0)</f>
        <v/>
      </c>
      <c r="U464" s="108">
        <f>IFERROR(H464+IFERROR(I464,0)+T464+IFERROR(V464,0),0)</f>
        <v/>
      </c>
    </row>
    <row r="465" ht="15" customHeight="1" s="199">
      <c r="A465" s="104" t="n"/>
      <c r="B465" s="104" t="n"/>
      <c r="C465" s="104" t="n"/>
      <c r="D465" s="105" t="n"/>
      <c r="E465" s="105" t="n"/>
      <c r="F465" s="105" t="n"/>
      <c r="G465" s="106" t="n"/>
      <c r="H465" s="106" t="n"/>
      <c r="I465" s="106" t="n"/>
      <c r="J465" s="107" t="n"/>
      <c r="K465" s="105" t="n"/>
      <c r="L465" s="106" t="n"/>
      <c r="M465" s="106" t="n"/>
      <c r="N465" s="106" t="n"/>
      <c r="O465" s="106" t="n"/>
      <c r="P465" s="105" t="n"/>
      <c r="Q465" s="107" t="n"/>
      <c r="R465" s="105" t="n"/>
      <c r="S465" s="107" t="n"/>
      <c r="T465" s="108">
        <f>IFERROR(L465+M465+N465+O465+IFERROR(AC465,0)+IFERROR(AD465,0)+IFERROR(AE465,0)+IFERROR(AF465,0)+IFERROR(AG465,0),0)</f>
        <v/>
      </c>
      <c r="U465" s="108">
        <f>IFERROR(H465+IFERROR(I465,0)+T465+IFERROR(V465,0),0)</f>
        <v/>
      </c>
    </row>
    <row r="466" ht="15" customHeight="1" s="199">
      <c r="A466" s="104" t="n"/>
      <c r="B466" s="104" t="n"/>
      <c r="C466" s="104" t="n"/>
      <c r="D466" s="105" t="n"/>
      <c r="E466" s="105" t="n"/>
      <c r="F466" s="105" t="n"/>
      <c r="G466" s="106" t="n"/>
      <c r="H466" s="106" t="n"/>
      <c r="I466" s="106" t="n"/>
      <c r="J466" s="107" t="n"/>
      <c r="K466" s="105" t="n"/>
      <c r="L466" s="106" t="n"/>
      <c r="M466" s="106" t="n"/>
      <c r="N466" s="106" t="n"/>
      <c r="O466" s="106" t="n"/>
      <c r="P466" s="105" t="n"/>
      <c r="Q466" s="107" t="n"/>
      <c r="R466" s="105" t="n"/>
      <c r="S466" s="107" t="n"/>
      <c r="T466" s="108">
        <f>IFERROR(L466+M466+N466+O466+IFERROR(AC466,0)+IFERROR(AD466,0)+IFERROR(AE466,0)+IFERROR(AF466,0)+IFERROR(AG466,0),0)</f>
        <v/>
      </c>
      <c r="U466" s="108">
        <f>IFERROR(H466+IFERROR(I466,0)+T466+IFERROR(V466,0),0)</f>
        <v/>
      </c>
    </row>
    <row r="467" ht="15" customHeight="1" s="199">
      <c r="A467" s="104" t="n"/>
      <c r="B467" s="104" t="n"/>
      <c r="C467" s="104" t="n"/>
      <c r="D467" s="105" t="n"/>
      <c r="E467" s="105" t="n"/>
      <c r="F467" s="105" t="n"/>
      <c r="G467" s="106" t="n"/>
      <c r="H467" s="106" t="n"/>
      <c r="I467" s="106" t="n"/>
      <c r="J467" s="107" t="n"/>
      <c r="K467" s="105" t="n"/>
      <c r="L467" s="106" t="n"/>
      <c r="M467" s="106" t="n"/>
      <c r="N467" s="106" t="n"/>
      <c r="O467" s="106" t="n"/>
      <c r="P467" s="105" t="n"/>
      <c r="Q467" s="107" t="n"/>
      <c r="R467" s="105" t="n"/>
      <c r="S467" s="107" t="n"/>
      <c r="T467" s="108">
        <f>IFERROR(L467+M467+N467+O467+IFERROR(AC467,0)+IFERROR(AD467,0)+IFERROR(AE467,0)+IFERROR(AF467,0)+IFERROR(AG467,0),0)</f>
        <v/>
      </c>
      <c r="U467" s="108">
        <f>IFERROR(H467+IFERROR(I467,0)+T467+IFERROR(V467,0),0)</f>
        <v/>
      </c>
    </row>
    <row r="468" ht="15" customHeight="1" s="199">
      <c r="A468" s="104" t="n"/>
      <c r="B468" s="104" t="n"/>
      <c r="C468" s="104" t="n"/>
      <c r="D468" s="105" t="n"/>
      <c r="E468" s="105" t="n"/>
      <c r="F468" s="105" t="n"/>
      <c r="G468" s="106" t="n"/>
      <c r="H468" s="106" t="n"/>
      <c r="I468" s="106" t="n"/>
      <c r="J468" s="107" t="n"/>
      <c r="K468" s="105" t="n"/>
      <c r="L468" s="106" t="n"/>
      <c r="M468" s="106" t="n"/>
      <c r="N468" s="106" t="n"/>
      <c r="O468" s="106" t="n"/>
      <c r="P468" s="105" t="n"/>
      <c r="Q468" s="107" t="n"/>
      <c r="R468" s="105" t="n"/>
      <c r="S468" s="107" t="n"/>
      <c r="T468" s="108">
        <f>IFERROR(L468+M468+N468+O468+IFERROR(AC468,0)+IFERROR(AD468,0)+IFERROR(AE468,0)+IFERROR(AF468,0)+IFERROR(AG468,0),0)</f>
        <v/>
      </c>
      <c r="U468" s="108">
        <f>IFERROR(H468+IFERROR(I468,0)+T468+IFERROR(V468,0),0)</f>
        <v/>
      </c>
    </row>
    <row r="469" ht="15" customHeight="1" s="199">
      <c r="A469" s="104" t="n"/>
      <c r="B469" s="104" t="n"/>
      <c r="C469" s="104" t="n"/>
      <c r="D469" s="105" t="n"/>
      <c r="E469" s="105" t="n"/>
      <c r="F469" s="105" t="n"/>
      <c r="G469" s="106" t="n"/>
      <c r="H469" s="106" t="n"/>
      <c r="I469" s="106" t="n"/>
      <c r="J469" s="107" t="n"/>
      <c r="K469" s="105" t="n"/>
      <c r="L469" s="106" t="n"/>
      <c r="M469" s="106" t="n"/>
      <c r="N469" s="106" t="n"/>
      <c r="O469" s="106" t="n"/>
      <c r="P469" s="105" t="n"/>
      <c r="Q469" s="107" t="n"/>
      <c r="R469" s="105" t="n"/>
      <c r="S469" s="107" t="n"/>
      <c r="T469" s="108">
        <f>IFERROR(L469+M469+N469+O469+IFERROR(AC469,0)+IFERROR(AD469,0)+IFERROR(AE469,0)+IFERROR(AF469,0)+IFERROR(AG469,0),0)</f>
        <v/>
      </c>
      <c r="U469" s="108">
        <f>IFERROR(H469+IFERROR(I469,0)+T469+IFERROR(V469,0),0)</f>
        <v/>
      </c>
    </row>
    <row r="470" ht="15" customHeight="1" s="199">
      <c r="A470" s="104" t="n"/>
      <c r="B470" s="104" t="n"/>
      <c r="C470" s="104" t="n"/>
      <c r="D470" s="105" t="n"/>
      <c r="E470" s="105" t="n"/>
      <c r="F470" s="105" t="n"/>
      <c r="G470" s="106" t="n"/>
      <c r="H470" s="106" t="n"/>
      <c r="I470" s="106" t="n"/>
      <c r="J470" s="107" t="n"/>
      <c r="K470" s="105" t="n"/>
      <c r="L470" s="106" t="n"/>
      <c r="M470" s="106" t="n"/>
      <c r="N470" s="106" t="n"/>
      <c r="O470" s="106" t="n"/>
      <c r="P470" s="105" t="n"/>
      <c r="Q470" s="107" t="n"/>
      <c r="R470" s="105" t="n"/>
      <c r="S470" s="107" t="n"/>
      <c r="T470" s="108">
        <f>IFERROR(L470+M470+N470+O470+IFERROR(AC470,0)+IFERROR(AD470,0)+IFERROR(AE470,0)+IFERROR(AF470,0)+IFERROR(AG470,0),0)</f>
        <v/>
      </c>
      <c r="U470" s="108">
        <f>IFERROR(H470+IFERROR(I470,0)+T470+IFERROR(V470,0),0)</f>
        <v/>
      </c>
    </row>
    <row r="471" ht="15" customHeight="1" s="199">
      <c r="A471" s="104" t="n"/>
      <c r="B471" s="104" t="n"/>
      <c r="C471" s="104" t="n"/>
      <c r="D471" s="105" t="n"/>
      <c r="E471" s="105" t="n"/>
      <c r="F471" s="105" t="n"/>
      <c r="G471" s="106" t="n"/>
      <c r="H471" s="106" t="n"/>
      <c r="I471" s="106" t="n"/>
      <c r="J471" s="107" t="n"/>
      <c r="K471" s="105" t="n"/>
      <c r="L471" s="106" t="n"/>
      <c r="M471" s="106" t="n"/>
      <c r="N471" s="106" t="n"/>
      <c r="O471" s="106" t="n"/>
      <c r="P471" s="105" t="n"/>
      <c r="Q471" s="107" t="n"/>
      <c r="R471" s="105" t="n"/>
      <c r="S471" s="107" t="n"/>
      <c r="T471" s="108">
        <f>IFERROR(L471+M471+N471+O471+IFERROR(AC471,0)+IFERROR(AD471,0)+IFERROR(AE471,0)+IFERROR(AF471,0)+IFERROR(AG471,0),0)</f>
        <v/>
      </c>
      <c r="U471" s="108">
        <f>IFERROR(H471+IFERROR(I471,0)+T471+IFERROR(V471,0),0)</f>
        <v/>
      </c>
    </row>
    <row r="472" ht="15" customHeight="1" s="199">
      <c r="A472" s="104" t="n"/>
      <c r="B472" s="104" t="n"/>
      <c r="C472" s="104" t="n"/>
      <c r="D472" s="105" t="n"/>
      <c r="E472" s="105" t="n"/>
      <c r="F472" s="105" t="n"/>
      <c r="G472" s="106" t="n"/>
      <c r="H472" s="106" t="n"/>
      <c r="I472" s="106" t="n"/>
      <c r="J472" s="107" t="n"/>
      <c r="K472" s="105" t="n"/>
      <c r="L472" s="106" t="n"/>
      <c r="M472" s="106" t="n"/>
      <c r="N472" s="106" t="n"/>
      <c r="O472" s="106" t="n"/>
      <c r="P472" s="105" t="n"/>
      <c r="Q472" s="107" t="n"/>
      <c r="R472" s="105" t="n"/>
      <c r="S472" s="107" t="n"/>
      <c r="T472" s="108">
        <f>IFERROR(L472+M472+N472+O472+IFERROR(AC472,0)+IFERROR(AD472,0)+IFERROR(AE472,0)+IFERROR(AF472,0)+IFERROR(AG472,0),0)</f>
        <v/>
      </c>
      <c r="U472" s="108">
        <f>IFERROR(H472+IFERROR(I472,0)+T472+IFERROR(V472,0),0)</f>
        <v/>
      </c>
    </row>
    <row r="473" ht="15" customHeight="1" s="199">
      <c r="A473" s="104" t="n"/>
      <c r="B473" s="104" t="n"/>
      <c r="C473" s="104" t="n"/>
      <c r="D473" s="105" t="n"/>
      <c r="E473" s="105" t="n"/>
      <c r="F473" s="105" t="n"/>
      <c r="G473" s="106" t="n"/>
      <c r="H473" s="106" t="n"/>
      <c r="I473" s="106" t="n"/>
      <c r="J473" s="107" t="n"/>
      <c r="K473" s="105" t="n"/>
      <c r="L473" s="106" t="n"/>
      <c r="M473" s="106" t="n"/>
      <c r="N473" s="106" t="n"/>
      <c r="O473" s="106" t="n"/>
      <c r="P473" s="105" t="n"/>
      <c r="Q473" s="107" t="n"/>
      <c r="R473" s="105" t="n"/>
      <c r="S473" s="107" t="n"/>
      <c r="T473" s="108">
        <f>IFERROR(L473+M473+N473+O473+IFERROR(AC473,0)+IFERROR(AD473,0)+IFERROR(AE473,0)+IFERROR(AF473,0)+IFERROR(AG473,0),0)</f>
        <v/>
      </c>
      <c r="U473" s="108">
        <f>IFERROR(H473+IFERROR(I473,0)+T473+IFERROR(V473,0),0)</f>
        <v/>
      </c>
    </row>
    <row r="474" ht="15" customHeight="1" s="199">
      <c r="A474" s="104" t="n"/>
      <c r="B474" s="104" t="n"/>
      <c r="C474" s="104" t="n"/>
      <c r="D474" s="105" t="n"/>
      <c r="E474" s="105" t="n"/>
      <c r="F474" s="105" t="n"/>
      <c r="G474" s="106" t="n"/>
      <c r="H474" s="106" t="n"/>
      <c r="I474" s="106" t="n"/>
      <c r="J474" s="107" t="n"/>
      <c r="K474" s="105" t="n"/>
      <c r="L474" s="106" t="n"/>
      <c r="M474" s="106" t="n"/>
      <c r="N474" s="106" t="n"/>
      <c r="O474" s="106" t="n"/>
      <c r="P474" s="105" t="n"/>
      <c r="Q474" s="107" t="n"/>
      <c r="R474" s="105" t="n"/>
      <c r="S474" s="107" t="n"/>
      <c r="T474" s="108">
        <f>IFERROR(L474+M474+N474+O474+IFERROR(AC474,0)+IFERROR(AD474,0)+IFERROR(AE474,0)+IFERROR(AF474,0)+IFERROR(AG474,0),0)</f>
        <v/>
      </c>
      <c r="U474" s="108">
        <f>IFERROR(H474+IFERROR(I474,0)+T474+IFERROR(V474,0),0)</f>
        <v/>
      </c>
    </row>
    <row r="475" ht="15" customHeight="1" s="199">
      <c r="A475" s="104" t="n"/>
      <c r="B475" s="104" t="n"/>
      <c r="C475" s="104" t="n"/>
      <c r="D475" s="105" t="n"/>
      <c r="E475" s="105" t="n"/>
      <c r="F475" s="105" t="n"/>
      <c r="G475" s="106" t="n"/>
      <c r="H475" s="106" t="n"/>
      <c r="I475" s="106" t="n"/>
      <c r="J475" s="107" t="n"/>
      <c r="K475" s="105" t="n"/>
      <c r="L475" s="106" t="n"/>
      <c r="M475" s="106" t="n"/>
      <c r="N475" s="106" t="n"/>
      <c r="O475" s="106" t="n"/>
      <c r="P475" s="105" t="n"/>
      <c r="Q475" s="107" t="n"/>
      <c r="R475" s="105" t="n"/>
      <c r="S475" s="107" t="n"/>
      <c r="T475" s="108">
        <f>IFERROR(L475+M475+N475+O475+IFERROR(AC475,0)+IFERROR(AD475,0)+IFERROR(AE475,0)+IFERROR(AF475,0)+IFERROR(AG475,0),0)</f>
        <v/>
      </c>
      <c r="U475" s="108">
        <f>IFERROR(H475+IFERROR(I475,0)+T475+IFERROR(V475,0),0)</f>
        <v/>
      </c>
    </row>
    <row r="476" ht="15" customHeight="1" s="199">
      <c r="A476" s="104" t="n"/>
      <c r="B476" s="104" t="n"/>
      <c r="C476" s="104" t="n"/>
      <c r="D476" s="105" t="n"/>
      <c r="E476" s="105" t="n"/>
      <c r="F476" s="105" t="n"/>
      <c r="G476" s="106" t="n"/>
      <c r="H476" s="106" t="n"/>
      <c r="I476" s="106" t="n"/>
      <c r="J476" s="107" t="n"/>
      <c r="K476" s="105" t="n"/>
      <c r="L476" s="106" t="n"/>
      <c r="M476" s="106" t="n"/>
      <c r="N476" s="106" t="n"/>
      <c r="O476" s="106" t="n"/>
      <c r="P476" s="105" t="n"/>
      <c r="Q476" s="107" t="n"/>
      <c r="R476" s="105" t="n"/>
      <c r="S476" s="107" t="n"/>
      <c r="T476" s="108">
        <f>IFERROR(L476+M476+N476+O476+IFERROR(AC476,0)+IFERROR(AD476,0)+IFERROR(AE476,0)+IFERROR(AF476,0)+IFERROR(AG476,0),0)</f>
        <v/>
      </c>
      <c r="U476" s="108">
        <f>IFERROR(H476+IFERROR(I476,0)+T476+IFERROR(V476,0),0)</f>
        <v/>
      </c>
    </row>
    <row r="477" ht="15" customHeight="1" s="199">
      <c r="A477" s="104" t="n"/>
      <c r="B477" s="104" t="n"/>
      <c r="C477" s="104" t="n"/>
      <c r="D477" s="105" t="n"/>
      <c r="E477" s="105" t="n"/>
      <c r="F477" s="105" t="n"/>
      <c r="G477" s="106" t="n"/>
      <c r="H477" s="106" t="n"/>
      <c r="I477" s="106" t="n"/>
      <c r="J477" s="107" t="n"/>
      <c r="K477" s="105" t="n"/>
      <c r="L477" s="106" t="n"/>
      <c r="M477" s="106" t="n"/>
      <c r="N477" s="106" t="n"/>
      <c r="O477" s="106" t="n"/>
      <c r="P477" s="105" t="n"/>
      <c r="Q477" s="107" t="n"/>
      <c r="R477" s="105" t="n"/>
      <c r="S477" s="107" t="n"/>
      <c r="T477" s="108">
        <f>IFERROR(L477+M477+N477+O477+IFERROR(AC477,0)+IFERROR(AD477,0)+IFERROR(AE477,0)+IFERROR(AF477,0)+IFERROR(AG477,0),0)</f>
        <v/>
      </c>
      <c r="U477" s="108">
        <f>IFERROR(H477+IFERROR(I477,0)+T477+IFERROR(V477,0),0)</f>
        <v/>
      </c>
    </row>
    <row r="478" ht="15" customHeight="1" s="199">
      <c r="A478" s="104" t="n"/>
      <c r="B478" s="104" t="n"/>
      <c r="C478" s="104" t="n"/>
      <c r="D478" s="105" t="n"/>
      <c r="E478" s="105" t="n"/>
      <c r="F478" s="105" t="n"/>
      <c r="G478" s="106" t="n"/>
      <c r="H478" s="106" t="n"/>
      <c r="I478" s="106" t="n"/>
      <c r="J478" s="107" t="n"/>
      <c r="K478" s="105" t="n"/>
      <c r="L478" s="106" t="n"/>
      <c r="M478" s="106" t="n"/>
      <c r="N478" s="106" t="n"/>
      <c r="O478" s="106" t="n"/>
      <c r="P478" s="105" t="n"/>
      <c r="Q478" s="107" t="n"/>
      <c r="R478" s="105" t="n"/>
      <c r="S478" s="107" t="n"/>
      <c r="T478" s="108">
        <f>IFERROR(L478+M478+N478+O478+IFERROR(AC478,0)+IFERROR(AD478,0)+IFERROR(AE478,0)+IFERROR(AF478,0)+IFERROR(AG478,0),0)</f>
        <v/>
      </c>
      <c r="U478" s="108">
        <f>IFERROR(H478+IFERROR(I478,0)+T478+IFERROR(V478,0),0)</f>
        <v/>
      </c>
    </row>
    <row r="479" ht="15" customHeight="1" s="199">
      <c r="A479" s="104" t="n"/>
      <c r="B479" s="104" t="n"/>
      <c r="C479" s="104" t="n"/>
      <c r="D479" s="105" t="n"/>
      <c r="E479" s="105" t="n"/>
      <c r="F479" s="105" t="n"/>
      <c r="G479" s="106" t="n"/>
      <c r="H479" s="106" t="n"/>
      <c r="I479" s="106" t="n"/>
      <c r="J479" s="107" t="n"/>
      <c r="K479" s="105" t="n"/>
      <c r="L479" s="106" t="n"/>
      <c r="M479" s="106" t="n"/>
      <c r="N479" s="106" t="n"/>
      <c r="O479" s="106" t="n"/>
      <c r="P479" s="105" t="n"/>
      <c r="Q479" s="107" t="n"/>
      <c r="R479" s="105" t="n"/>
      <c r="S479" s="107" t="n"/>
      <c r="T479" s="108">
        <f>IFERROR(L479+M479+N479+O479+IFERROR(AC479,0)+IFERROR(AD479,0)+IFERROR(AE479,0)+IFERROR(AF479,0)+IFERROR(AG479,0),0)</f>
        <v/>
      </c>
      <c r="U479" s="108">
        <f>IFERROR(H479+IFERROR(I479,0)+T479+IFERROR(V479,0),0)</f>
        <v/>
      </c>
    </row>
    <row r="480" ht="15" customHeight="1" s="199">
      <c r="A480" s="104" t="n"/>
      <c r="B480" s="104" t="n"/>
      <c r="C480" s="104" t="n"/>
      <c r="D480" s="105" t="n"/>
      <c r="E480" s="105" t="n"/>
      <c r="F480" s="105" t="n"/>
      <c r="G480" s="106" t="n"/>
      <c r="H480" s="106" t="n"/>
      <c r="I480" s="106" t="n"/>
      <c r="J480" s="107" t="n"/>
      <c r="K480" s="105" t="n"/>
      <c r="L480" s="106" t="n"/>
      <c r="M480" s="106" t="n"/>
      <c r="N480" s="106" t="n"/>
      <c r="O480" s="106" t="n"/>
      <c r="P480" s="105" t="n"/>
      <c r="Q480" s="107" t="n"/>
      <c r="R480" s="105" t="n"/>
      <c r="S480" s="107" t="n"/>
      <c r="T480" s="108">
        <f>IFERROR(L480+M480+N480+O480+IFERROR(AC480,0)+IFERROR(AD480,0)+IFERROR(AE480,0)+IFERROR(AF480,0)+IFERROR(AG480,0),0)</f>
        <v/>
      </c>
      <c r="U480" s="108">
        <f>IFERROR(H480+IFERROR(I480,0)+T480+IFERROR(V480,0),0)</f>
        <v/>
      </c>
    </row>
    <row r="481" ht="15" customHeight="1" s="199">
      <c r="A481" s="104" t="n"/>
      <c r="B481" s="104" t="n"/>
      <c r="C481" s="104" t="n"/>
      <c r="D481" s="105" t="n"/>
      <c r="E481" s="105" t="n"/>
      <c r="F481" s="105" t="n"/>
      <c r="G481" s="106" t="n"/>
      <c r="H481" s="106" t="n"/>
      <c r="I481" s="106" t="n"/>
      <c r="J481" s="107" t="n"/>
      <c r="K481" s="105" t="n"/>
      <c r="L481" s="106" t="n"/>
      <c r="M481" s="106" t="n"/>
      <c r="N481" s="106" t="n"/>
      <c r="O481" s="106" t="n"/>
      <c r="P481" s="105" t="n"/>
      <c r="Q481" s="107" t="n"/>
      <c r="R481" s="105" t="n"/>
      <c r="S481" s="107" t="n"/>
      <c r="T481" s="108">
        <f>IFERROR(L481+M481+N481+O481+IFERROR(AC481,0)+IFERROR(AD481,0)+IFERROR(AE481,0)+IFERROR(AF481,0)+IFERROR(AG481,0),0)</f>
        <v/>
      </c>
      <c r="U481" s="108">
        <f>IFERROR(H481+IFERROR(I481,0)+T481+IFERROR(V481,0),0)</f>
        <v/>
      </c>
    </row>
    <row r="482" ht="15" customHeight="1" s="199">
      <c r="A482" s="104" t="n"/>
      <c r="B482" s="104" t="n"/>
      <c r="C482" s="104" t="n"/>
      <c r="D482" s="105" t="n"/>
      <c r="E482" s="105" t="n"/>
      <c r="F482" s="105" t="n"/>
      <c r="G482" s="106" t="n"/>
      <c r="H482" s="106" t="n"/>
      <c r="I482" s="106" t="n"/>
      <c r="J482" s="107" t="n"/>
      <c r="K482" s="105" t="n"/>
      <c r="L482" s="106" t="n"/>
      <c r="M482" s="106" t="n"/>
      <c r="N482" s="106" t="n"/>
      <c r="O482" s="106" t="n"/>
      <c r="P482" s="105" t="n"/>
      <c r="Q482" s="107" t="n"/>
      <c r="R482" s="105" t="n"/>
      <c r="S482" s="107" t="n"/>
      <c r="T482" s="108">
        <f>IFERROR(L482+M482+N482+O482+IFERROR(AC482,0)+IFERROR(AD482,0)+IFERROR(AE482,0)+IFERROR(AF482,0)+IFERROR(AG482,0),0)</f>
        <v/>
      </c>
      <c r="U482" s="108">
        <f>IFERROR(H482+IFERROR(I482,0)+T482+IFERROR(V482,0),0)</f>
        <v/>
      </c>
    </row>
    <row r="483" ht="15" customHeight="1" s="199">
      <c r="A483" s="104" t="n"/>
      <c r="B483" s="104" t="n"/>
      <c r="C483" s="104" t="n"/>
      <c r="D483" s="105" t="n"/>
      <c r="E483" s="105" t="n"/>
      <c r="F483" s="105" t="n"/>
      <c r="G483" s="106" t="n"/>
      <c r="H483" s="106" t="n"/>
      <c r="I483" s="106" t="n"/>
      <c r="J483" s="107" t="n"/>
      <c r="K483" s="105" t="n"/>
      <c r="L483" s="106" t="n"/>
      <c r="M483" s="106" t="n"/>
      <c r="N483" s="106" t="n"/>
      <c r="O483" s="106" t="n"/>
      <c r="P483" s="105" t="n"/>
      <c r="Q483" s="107" t="n"/>
      <c r="R483" s="105" t="n"/>
      <c r="S483" s="107" t="n"/>
      <c r="T483" s="108">
        <f>IFERROR(L483+M483+N483+O483+IFERROR(AC483,0)+IFERROR(AD483,0)+IFERROR(AE483,0)+IFERROR(AF483,0)+IFERROR(AG483,0),0)</f>
        <v/>
      </c>
      <c r="U483" s="108">
        <f>IFERROR(H483+IFERROR(I483,0)+T483+IFERROR(V483,0),0)</f>
        <v/>
      </c>
    </row>
    <row r="484" ht="15" customHeight="1" s="199">
      <c r="A484" s="104" t="n"/>
      <c r="B484" s="104" t="n"/>
      <c r="C484" s="104" t="n"/>
      <c r="D484" s="105" t="n"/>
      <c r="E484" s="105" t="n"/>
      <c r="F484" s="105" t="n"/>
      <c r="G484" s="106" t="n"/>
      <c r="H484" s="106" t="n"/>
      <c r="I484" s="106" t="n"/>
      <c r="J484" s="107" t="n"/>
      <c r="K484" s="105" t="n"/>
      <c r="L484" s="106" t="n"/>
      <c r="M484" s="106" t="n"/>
      <c r="N484" s="106" t="n"/>
      <c r="O484" s="106" t="n"/>
      <c r="P484" s="105" t="n"/>
      <c r="Q484" s="107" t="n"/>
      <c r="R484" s="105" t="n"/>
      <c r="S484" s="107" t="n"/>
      <c r="T484" s="108">
        <f>IFERROR(L484+M484+N484+O484+IFERROR(AC484,0)+IFERROR(AD484,0)+IFERROR(AE484,0)+IFERROR(AF484,0)+IFERROR(AG484,0),0)</f>
        <v/>
      </c>
      <c r="U484" s="108">
        <f>IFERROR(H484+IFERROR(I484,0)+T484+IFERROR(V484,0),0)</f>
        <v/>
      </c>
    </row>
    <row r="485" ht="15" customHeight="1" s="199">
      <c r="A485" s="104" t="n"/>
      <c r="B485" s="104" t="n"/>
      <c r="C485" s="104" t="n"/>
      <c r="D485" s="105" t="n"/>
      <c r="E485" s="105" t="n"/>
      <c r="F485" s="105" t="n"/>
      <c r="G485" s="106" t="n"/>
      <c r="H485" s="106" t="n"/>
      <c r="I485" s="106" t="n"/>
      <c r="J485" s="107" t="n"/>
      <c r="K485" s="105" t="n"/>
      <c r="L485" s="106" t="n"/>
      <c r="M485" s="106" t="n"/>
      <c r="N485" s="106" t="n"/>
      <c r="O485" s="106" t="n"/>
      <c r="P485" s="105" t="n"/>
      <c r="Q485" s="107" t="n"/>
      <c r="R485" s="105" t="n"/>
      <c r="S485" s="107" t="n"/>
      <c r="T485" s="108">
        <f>IFERROR(L485+M485+N485+O485+IFERROR(AC485,0)+IFERROR(AD485,0)+IFERROR(AE485,0)+IFERROR(AF485,0)+IFERROR(AG485,0),0)</f>
        <v/>
      </c>
      <c r="U485" s="108">
        <f>IFERROR(H485+IFERROR(I485,0)+T485+IFERROR(V485,0),0)</f>
        <v/>
      </c>
    </row>
    <row r="486" ht="15" customHeight="1" s="199">
      <c r="A486" s="104" t="n"/>
      <c r="B486" s="104" t="n"/>
      <c r="C486" s="104" t="n"/>
      <c r="D486" s="105" t="n"/>
      <c r="E486" s="105" t="n"/>
      <c r="F486" s="105" t="n"/>
      <c r="G486" s="106" t="n"/>
      <c r="H486" s="106" t="n"/>
      <c r="I486" s="106" t="n"/>
      <c r="J486" s="107" t="n"/>
      <c r="K486" s="105" t="n"/>
      <c r="L486" s="106" t="n"/>
      <c r="M486" s="106" t="n"/>
      <c r="N486" s="106" t="n"/>
      <c r="O486" s="106" t="n"/>
      <c r="P486" s="105" t="n"/>
      <c r="Q486" s="107" t="n"/>
      <c r="R486" s="105" t="n"/>
      <c r="S486" s="107" t="n"/>
      <c r="T486" s="108">
        <f>IFERROR(L486+M486+N486+O486+IFERROR(AC486,0)+IFERROR(AD486,0)+IFERROR(AE486,0)+IFERROR(AF486,0)+IFERROR(AG486,0),0)</f>
        <v/>
      </c>
      <c r="U486" s="108">
        <f>IFERROR(H486+IFERROR(I486,0)+T486+IFERROR(V486,0),0)</f>
        <v/>
      </c>
    </row>
    <row r="487" ht="15" customHeight="1" s="199">
      <c r="A487" s="104" t="n"/>
      <c r="B487" s="104" t="n"/>
      <c r="C487" s="104" t="n"/>
      <c r="D487" s="105" t="n"/>
      <c r="E487" s="105" t="n"/>
      <c r="F487" s="105" t="n"/>
      <c r="G487" s="106" t="n"/>
      <c r="H487" s="106" t="n"/>
      <c r="I487" s="106" t="n"/>
      <c r="J487" s="107" t="n"/>
      <c r="K487" s="105" t="n"/>
      <c r="L487" s="106" t="n"/>
      <c r="M487" s="106" t="n"/>
      <c r="N487" s="106" t="n"/>
      <c r="O487" s="106" t="n"/>
      <c r="P487" s="105" t="n"/>
      <c r="Q487" s="107" t="n"/>
      <c r="R487" s="105" t="n"/>
      <c r="S487" s="107" t="n"/>
      <c r="T487" s="108">
        <f>IFERROR(L487+M487+N487+O487+IFERROR(AC487,0)+IFERROR(AD487,0)+IFERROR(AE487,0)+IFERROR(AF487,0)+IFERROR(AG487,0),0)</f>
        <v/>
      </c>
      <c r="U487" s="108">
        <f>IFERROR(H487+IFERROR(I487,0)+T487+IFERROR(V487,0),0)</f>
        <v/>
      </c>
    </row>
    <row r="488" ht="15" customHeight="1" s="199">
      <c r="A488" s="104" t="n"/>
      <c r="B488" s="104" t="n"/>
      <c r="C488" s="104" t="n"/>
      <c r="D488" s="105" t="n"/>
      <c r="E488" s="105" t="n"/>
      <c r="F488" s="105" t="n"/>
      <c r="G488" s="106" t="n"/>
      <c r="H488" s="106" t="n"/>
      <c r="I488" s="106" t="n"/>
      <c r="J488" s="107" t="n"/>
      <c r="K488" s="105" t="n"/>
      <c r="L488" s="106" t="n"/>
      <c r="M488" s="106" t="n"/>
      <c r="N488" s="106" t="n"/>
      <c r="O488" s="106" t="n"/>
      <c r="P488" s="105" t="n"/>
      <c r="Q488" s="107" t="n"/>
      <c r="R488" s="105" t="n"/>
      <c r="S488" s="107" t="n"/>
      <c r="T488" s="108">
        <f>IFERROR(L488+M488+N488+O488+IFERROR(AC488,0)+IFERROR(AD488,0)+IFERROR(AE488,0)+IFERROR(AF488,0)+IFERROR(AG488,0),0)</f>
        <v/>
      </c>
      <c r="U488" s="108">
        <f>IFERROR(H488+IFERROR(I488,0)+T488+IFERROR(V488,0),0)</f>
        <v/>
      </c>
    </row>
    <row r="489" ht="15" customHeight="1" s="199">
      <c r="A489" s="104" t="n"/>
      <c r="B489" s="104" t="n"/>
      <c r="C489" s="104" t="n"/>
      <c r="D489" s="105" t="n"/>
      <c r="E489" s="105" t="n"/>
      <c r="F489" s="105" t="n"/>
      <c r="G489" s="106" t="n"/>
      <c r="H489" s="106" t="n"/>
      <c r="I489" s="106" t="n"/>
      <c r="J489" s="107" t="n"/>
      <c r="K489" s="105" t="n"/>
      <c r="L489" s="106" t="n"/>
      <c r="M489" s="106" t="n"/>
      <c r="N489" s="106" t="n"/>
      <c r="O489" s="106" t="n"/>
      <c r="P489" s="105" t="n"/>
      <c r="Q489" s="107" t="n"/>
      <c r="R489" s="105" t="n"/>
      <c r="S489" s="107" t="n"/>
      <c r="T489" s="108">
        <f>IFERROR(L489+M489+N489+O489+IFERROR(AC489,0)+IFERROR(AD489,0)+IFERROR(AE489,0)+IFERROR(AF489,0)+IFERROR(AG489,0),0)</f>
        <v/>
      </c>
      <c r="U489" s="108">
        <f>IFERROR(H489+IFERROR(I489,0)+T489+IFERROR(V489,0),0)</f>
        <v/>
      </c>
    </row>
    <row r="490" ht="15" customHeight="1" s="199">
      <c r="A490" s="104" t="n"/>
      <c r="B490" s="104" t="n"/>
      <c r="C490" s="104" t="n"/>
      <c r="D490" s="105" t="n"/>
      <c r="E490" s="105" t="n"/>
      <c r="F490" s="105" t="n"/>
      <c r="G490" s="106" t="n"/>
      <c r="H490" s="106" t="n"/>
      <c r="I490" s="106" t="n"/>
      <c r="J490" s="107" t="n"/>
      <c r="K490" s="105" t="n"/>
      <c r="L490" s="106" t="n"/>
      <c r="M490" s="106" t="n"/>
      <c r="N490" s="106" t="n"/>
      <c r="O490" s="106" t="n"/>
      <c r="P490" s="105" t="n"/>
      <c r="Q490" s="107" t="n"/>
      <c r="R490" s="105" t="n"/>
      <c r="S490" s="107" t="n"/>
      <c r="T490" s="108">
        <f>IFERROR(L490+M490+N490+O490+IFERROR(AC490,0)+IFERROR(AD490,0)+IFERROR(AE490,0)+IFERROR(AF490,0)+IFERROR(AG490,0),0)</f>
        <v/>
      </c>
      <c r="U490" s="108">
        <f>IFERROR(H490+IFERROR(I490,0)+T490+IFERROR(V490,0),0)</f>
        <v/>
      </c>
    </row>
    <row r="491" ht="15" customHeight="1" s="199">
      <c r="A491" s="104" t="n"/>
      <c r="B491" s="104" t="n"/>
      <c r="C491" s="104" t="n"/>
      <c r="D491" s="105" t="n"/>
      <c r="E491" s="105" t="n"/>
      <c r="F491" s="105" t="n"/>
      <c r="G491" s="106" t="n"/>
      <c r="H491" s="106" t="n"/>
      <c r="I491" s="106" t="n"/>
      <c r="J491" s="107" t="n"/>
      <c r="K491" s="105" t="n"/>
      <c r="L491" s="106" t="n"/>
      <c r="M491" s="106" t="n"/>
      <c r="N491" s="106" t="n"/>
      <c r="O491" s="106" t="n"/>
      <c r="P491" s="105" t="n"/>
      <c r="Q491" s="107" t="n"/>
      <c r="R491" s="105" t="n"/>
      <c r="S491" s="107" t="n"/>
      <c r="T491" s="108">
        <f>IFERROR(L491+M491+N491+O491+IFERROR(AC491,0)+IFERROR(AD491,0)+IFERROR(AE491,0)+IFERROR(AF491,0)+IFERROR(AG491,0),0)</f>
        <v/>
      </c>
      <c r="U491" s="108">
        <f>IFERROR(H491+IFERROR(I491,0)+T491+IFERROR(V491,0),0)</f>
        <v/>
      </c>
    </row>
    <row r="492" ht="15" customHeight="1" s="199">
      <c r="A492" s="104" t="n"/>
      <c r="B492" s="104" t="n"/>
      <c r="C492" s="104" t="n"/>
      <c r="D492" s="105" t="n"/>
      <c r="E492" s="105" t="n"/>
      <c r="F492" s="105" t="n"/>
      <c r="G492" s="106" t="n"/>
      <c r="H492" s="106" t="n"/>
      <c r="I492" s="106" t="n"/>
      <c r="J492" s="107" t="n"/>
      <c r="K492" s="105" t="n"/>
      <c r="L492" s="106" t="n"/>
      <c r="M492" s="106" t="n"/>
      <c r="N492" s="106" t="n"/>
      <c r="O492" s="106" t="n"/>
      <c r="P492" s="105" t="n"/>
      <c r="Q492" s="107" t="n"/>
      <c r="R492" s="105" t="n"/>
      <c r="S492" s="107" t="n"/>
      <c r="T492" s="108">
        <f>IFERROR(L492+M492+N492+O492+IFERROR(AC492,0)+IFERROR(AD492,0)+IFERROR(AE492,0)+IFERROR(AF492,0)+IFERROR(AG492,0),0)</f>
        <v/>
      </c>
      <c r="U492" s="108">
        <f>IFERROR(H492+IFERROR(I492,0)+T492+IFERROR(V492,0),0)</f>
        <v/>
      </c>
    </row>
    <row r="493" ht="15" customHeight="1" s="199">
      <c r="A493" s="104" t="n"/>
      <c r="B493" s="104" t="n"/>
      <c r="C493" s="104" t="n"/>
      <c r="D493" s="105" t="n"/>
      <c r="E493" s="105" t="n"/>
      <c r="F493" s="105" t="n"/>
      <c r="G493" s="106" t="n"/>
      <c r="H493" s="106" t="n"/>
      <c r="I493" s="106" t="n"/>
      <c r="J493" s="107" t="n"/>
      <c r="K493" s="105" t="n"/>
      <c r="L493" s="106" t="n"/>
      <c r="M493" s="106" t="n"/>
      <c r="N493" s="106" t="n"/>
      <c r="O493" s="106" t="n"/>
      <c r="P493" s="105" t="n"/>
      <c r="Q493" s="107" t="n"/>
      <c r="R493" s="105" t="n"/>
      <c r="S493" s="107" t="n"/>
      <c r="T493" s="108">
        <f>IFERROR(L493+M493+N493+O493+IFERROR(AC493,0)+IFERROR(AD493,0)+IFERROR(AE493,0)+IFERROR(AF493,0)+IFERROR(AG493,0),0)</f>
        <v/>
      </c>
      <c r="U493" s="108">
        <f>IFERROR(H493+IFERROR(I493,0)+T493+IFERROR(V493,0),0)</f>
        <v/>
      </c>
    </row>
    <row r="494" ht="15" customHeight="1" s="199">
      <c r="A494" s="104" t="n"/>
      <c r="B494" s="104" t="n"/>
      <c r="C494" s="104" t="n"/>
      <c r="D494" s="105" t="n"/>
      <c r="E494" s="105" t="n"/>
      <c r="F494" s="105" t="n"/>
      <c r="G494" s="106" t="n"/>
      <c r="H494" s="106" t="n"/>
      <c r="I494" s="106" t="n"/>
      <c r="J494" s="107" t="n"/>
      <c r="K494" s="105" t="n"/>
      <c r="L494" s="106" t="n"/>
      <c r="M494" s="106" t="n"/>
      <c r="N494" s="106" t="n"/>
      <c r="O494" s="106" t="n"/>
      <c r="P494" s="105" t="n"/>
      <c r="Q494" s="107" t="n"/>
      <c r="R494" s="105" t="n"/>
      <c r="S494" s="107" t="n"/>
      <c r="T494" s="108">
        <f>IFERROR(L494+M494+N494+O494+IFERROR(AC494,0)+IFERROR(AD494,0)+IFERROR(AE494,0)+IFERROR(AF494,0)+IFERROR(AG494,0),0)</f>
        <v/>
      </c>
      <c r="U494" s="108">
        <f>IFERROR(H494+IFERROR(I494,0)+T494+IFERROR(V494,0),0)</f>
        <v/>
      </c>
    </row>
    <row r="495" ht="15" customHeight="1" s="199">
      <c r="A495" s="104" t="n"/>
      <c r="B495" s="104" t="n"/>
      <c r="C495" s="104" t="n"/>
      <c r="D495" s="105" t="n"/>
      <c r="E495" s="105" t="n"/>
      <c r="F495" s="105" t="n"/>
      <c r="G495" s="106" t="n"/>
      <c r="H495" s="106" t="n"/>
      <c r="I495" s="106" t="n"/>
      <c r="J495" s="107" t="n"/>
      <c r="K495" s="105" t="n"/>
      <c r="L495" s="106" t="n"/>
      <c r="M495" s="106" t="n"/>
      <c r="N495" s="106" t="n"/>
      <c r="O495" s="106" t="n"/>
      <c r="P495" s="105" t="n"/>
      <c r="Q495" s="107" t="n"/>
      <c r="R495" s="105" t="n"/>
      <c r="S495" s="107" t="n"/>
      <c r="T495" s="108">
        <f>IFERROR(L495+M495+N495+O495+IFERROR(AC495,0)+IFERROR(AD495,0)+IFERROR(AE495,0)+IFERROR(AF495,0)+IFERROR(AG495,0),0)</f>
        <v/>
      </c>
      <c r="U495" s="108">
        <f>IFERROR(H495+IFERROR(I495,0)+T495+IFERROR(V495,0),0)</f>
        <v/>
      </c>
    </row>
    <row r="496" ht="15" customHeight="1" s="199">
      <c r="A496" s="104" t="n"/>
      <c r="B496" s="104" t="n"/>
      <c r="C496" s="104" t="n"/>
      <c r="D496" s="105" t="n"/>
      <c r="E496" s="105" t="n"/>
      <c r="F496" s="105" t="n"/>
      <c r="G496" s="106" t="n"/>
      <c r="H496" s="106" t="n"/>
      <c r="I496" s="106" t="n"/>
      <c r="J496" s="107" t="n"/>
      <c r="K496" s="105" t="n"/>
      <c r="L496" s="106" t="n"/>
      <c r="M496" s="106" t="n"/>
      <c r="N496" s="106" t="n"/>
      <c r="O496" s="106" t="n"/>
      <c r="P496" s="105" t="n"/>
      <c r="Q496" s="107" t="n"/>
      <c r="R496" s="105" t="n"/>
      <c r="S496" s="107" t="n"/>
      <c r="T496" s="108">
        <f>IFERROR(L496+M496+N496+O496+IFERROR(AC496,0)+IFERROR(AD496,0)+IFERROR(AE496,0)+IFERROR(AF496,0)+IFERROR(AG496,0),0)</f>
        <v/>
      </c>
      <c r="U496" s="108">
        <f>IFERROR(H496+IFERROR(I496,0)+T496+IFERROR(V496,0),0)</f>
        <v/>
      </c>
    </row>
    <row r="497" ht="15" customHeight="1" s="199">
      <c r="A497" s="104" t="n"/>
      <c r="B497" s="104" t="n"/>
      <c r="C497" s="104" t="n"/>
      <c r="D497" s="105" t="n"/>
      <c r="E497" s="105" t="n"/>
      <c r="F497" s="105" t="n"/>
      <c r="G497" s="106" t="n"/>
      <c r="H497" s="106" t="n"/>
      <c r="I497" s="106" t="n"/>
      <c r="J497" s="107" t="n"/>
      <c r="K497" s="105" t="n"/>
      <c r="L497" s="106" t="n"/>
      <c r="M497" s="106" t="n"/>
      <c r="N497" s="106" t="n"/>
      <c r="O497" s="106" t="n"/>
      <c r="P497" s="105" t="n"/>
      <c r="Q497" s="107" t="n"/>
      <c r="R497" s="105" t="n"/>
      <c r="S497" s="107" t="n"/>
      <c r="T497" s="108">
        <f>IFERROR(L497+M497+N497+O497+IFERROR(AC497,0)+IFERROR(AD497,0)+IFERROR(AE497,0)+IFERROR(AF497,0)+IFERROR(AG497,0),0)</f>
        <v/>
      </c>
      <c r="U497" s="108">
        <f>IFERROR(H497+IFERROR(I497,0)+T497+IFERROR(V497,0),0)</f>
        <v/>
      </c>
    </row>
    <row r="498" ht="15" customHeight="1" s="199">
      <c r="A498" s="104" t="n"/>
      <c r="B498" s="104" t="n"/>
      <c r="C498" s="104" t="n"/>
      <c r="D498" s="105" t="n"/>
      <c r="E498" s="105" t="n"/>
      <c r="F498" s="105" t="n"/>
      <c r="G498" s="106" t="n"/>
      <c r="H498" s="106" t="n"/>
      <c r="I498" s="106" t="n"/>
      <c r="J498" s="107" t="n"/>
      <c r="K498" s="105" t="n"/>
      <c r="L498" s="106" t="n"/>
      <c r="M498" s="106" t="n"/>
      <c r="N498" s="106" t="n"/>
      <c r="O498" s="106" t="n"/>
      <c r="P498" s="105" t="n"/>
      <c r="Q498" s="107" t="n"/>
      <c r="R498" s="105" t="n"/>
      <c r="S498" s="107" t="n"/>
      <c r="T498" s="108">
        <f>IFERROR(L498+M498+N498+O498+IFERROR(AC498,0)+IFERROR(AD498,0)+IFERROR(AE498,0)+IFERROR(AF498,0)+IFERROR(AG498,0),0)</f>
        <v/>
      </c>
      <c r="U498" s="108">
        <f>IFERROR(H498+IFERROR(I498,0)+T498+IFERROR(V498,0),0)</f>
        <v/>
      </c>
    </row>
    <row r="499" ht="15" customHeight="1" s="199">
      <c r="A499" s="104" t="n"/>
      <c r="B499" s="104" t="n"/>
      <c r="C499" s="104" t="n"/>
      <c r="D499" s="105" t="n"/>
      <c r="E499" s="105" t="n"/>
      <c r="F499" s="105" t="n"/>
      <c r="G499" s="106" t="n"/>
      <c r="H499" s="106" t="n"/>
      <c r="I499" s="106" t="n"/>
      <c r="J499" s="107" t="n"/>
      <c r="K499" s="105" t="n"/>
      <c r="L499" s="106" t="n"/>
      <c r="M499" s="106" t="n"/>
      <c r="N499" s="106" t="n"/>
      <c r="O499" s="106" t="n"/>
      <c r="P499" s="105" t="n"/>
      <c r="Q499" s="107" t="n"/>
      <c r="R499" s="105" t="n"/>
      <c r="S499" s="107" t="n"/>
      <c r="T499" s="108">
        <f>IFERROR(L499+M499+N499+O499+IFERROR(AC499,0)+IFERROR(AD499,0)+IFERROR(AE499,0)+IFERROR(AF499,0)+IFERROR(AG499,0),0)</f>
        <v/>
      </c>
      <c r="U499" s="108">
        <f>IFERROR(H499+IFERROR(I499,0)+T499+IFERROR(V499,0),0)</f>
        <v/>
      </c>
    </row>
    <row r="500" ht="15" customHeight="1" s="199">
      <c r="A500" s="104" t="n"/>
      <c r="B500" s="104" t="n"/>
      <c r="C500" s="104" t="n"/>
      <c r="D500" s="105" t="n"/>
      <c r="E500" s="105" t="n"/>
      <c r="F500" s="105" t="n"/>
      <c r="G500" s="106" t="n"/>
      <c r="H500" s="106" t="n"/>
      <c r="I500" s="106" t="n"/>
      <c r="J500" s="107" t="n"/>
      <c r="K500" s="105" t="n"/>
      <c r="L500" s="106" t="n"/>
      <c r="M500" s="106" t="n"/>
      <c r="N500" s="106" t="n"/>
      <c r="O500" s="106" t="n"/>
      <c r="P500" s="105" t="n"/>
      <c r="Q500" s="107" t="n"/>
      <c r="R500" s="105" t="n"/>
      <c r="S500" s="107" t="n"/>
      <c r="T500" s="108">
        <f>IFERROR(L500+M500+N500+O500+IFERROR(AC500,0)+IFERROR(AD500,0)+IFERROR(AE500,0)+IFERROR(AF500,0)+IFERROR(AG500,0),0)</f>
        <v/>
      </c>
      <c r="U500" s="108">
        <f>IFERROR(H500+IFERROR(I500,0)+T500+IFERROR(V500,0),0)</f>
        <v/>
      </c>
    </row>
    <row r="501" ht="15" customHeight="1" s="199">
      <c r="A501" s="104" t="n"/>
      <c r="B501" s="104" t="n"/>
      <c r="C501" s="104" t="n"/>
      <c r="D501" s="105" t="n"/>
      <c r="E501" s="105" t="n"/>
      <c r="F501" s="105" t="n"/>
      <c r="G501" s="106" t="n"/>
      <c r="H501" s="106" t="n"/>
      <c r="I501" s="106" t="n"/>
      <c r="J501" s="107" t="n"/>
      <c r="K501" s="105" t="n"/>
      <c r="L501" s="106" t="n"/>
      <c r="M501" s="106" t="n"/>
      <c r="N501" s="106" t="n"/>
      <c r="O501" s="106" t="n"/>
      <c r="P501" s="105" t="n"/>
      <c r="Q501" s="107" t="n"/>
      <c r="R501" s="105" t="n"/>
      <c r="S501" s="107" t="n"/>
      <c r="T501" s="108">
        <f>IFERROR(L501+M501+N501+O501+IFERROR(AC501,0)+IFERROR(AD501,0)+IFERROR(AE501,0)+IFERROR(AF501,0)+IFERROR(AG501,0),0)</f>
        <v/>
      </c>
      <c r="U501" s="108">
        <f>IFERROR(H501+IFERROR(I501,0)+T501+IFERROR(V501,0),0)</f>
        <v/>
      </c>
    </row>
    <row r="502" ht="15" customHeight="1" s="199">
      <c r="A502" s="104" t="n"/>
      <c r="B502" s="104" t="n"/>
      <c r="C502" s="104" t="n"/>
      <c r="D502" s="105" t="n"/>
      <c r="E502" s="105" t="n"/>
      <c r="F502" s="105" t="n"/>
      <c r="G502" s="106" t="n"/>
      <c r="H502" s="106" t="n"/>
      <c r="I502" s="106" t="n"/>
      <c r="J502" s="107" t="n"/>
      <c r="K502" s="105" t="n"/>
      <c r="L502" s="106" t="n"/>
      <c r="M502" s="106" t="n"/>
      <c r="N502" s="106" t="n"/>
      <c r="O502" s="106" t="n"/>
      <c r="P502" s="105" t="n"/>
      <c r="Q502" s="107" t="n"/>
      <c r="R502" s="105" t="n"/>
      <c r="S502" s="107" t="n"/>
      <c r="T502" s="108">
        <f>IFERROR(L502+M502+N502+O502+IFERROR(AC502,0)+IFERROR(AD502,0)+IFERROR(AE502,0)+IFERROR(AF502,0)+IFERROR(AG502,0),0)</f>
        <v/>
      </c>
      <c r="U502" s="108">
        <f>IFERROR(H502+IFERROR(I502,0)+T502+IFERROR(V502,0),0)</f>
        <v/>
      </c>
    </row>
    <row r="503" ht="15" customHeight="1" s="199">
      <c r="A503" s="104" t="n"/>
      <c r="B503" s="104" t="n"/>
      <c r="C503" s="104" t="n"/>
      <c r="D503" s="105" t="n"/>
      <c r="E503" s="105" t="n"/>
      <c r="F503" s="105" t="n"/>
      <c r="G503" s="106" t="n"/>
      <c r="H503" s="106" t="n"/>
      <c r="I503" s="106" t="n"/>
      <c r="J503" s="107" t="n"/>
      <c r="K503" s="105" t="n"/>
      <c r="L503" s="106" t="n"/>
      <c r="M503" s="106" t="n"/>
      <c r="N503" s="106" t="n"/>
      <c r="O503" s="106" t="n"/>
      <c r="P503" s="105" t="n"/>
      <c r="Q503" s="107" t="n"/>
      <c r="R503" s="105" t="n"/>
      <c r="S503" s="107" t="n"/>
      <c r="T503" s="108">
        <f>IFERROR(L503+M503+N503+O503+IFERROR(AC503,0)+IFERROR(AD503,0)+IFERROR(AE503,0)+IFERROR(AF503,0)+IFERROR(AG503,0),0)</f>
        <v/>
      </c>
      <c r="U503" s="108">
        <f>IFERROR(H503+IFERROR(I503,0)+T503+IFERROR(V503,0),0)</f>
        <v/>
      </c>
    </row>
    <row r="504" ht="15" customHeight="1" s="199">
      <c r="A504" s="104" t="n"/>
      <c r="B504" s="104" t="n"/>
      <c r="C504" s="104" t="n"/>
      <c r="D504" s="105" t="n"/>
      <c r="E504" s="105" t="n"/>
      <c r="F504" s="105" t="n"/>
      <c r="G504" s="106" t="n"/>
      <c r="H504" s="106" t="n"/>
      <c r="I504" s="106" t="n"/>
      <c r="J504" s="107" t="n"/>
      <c r="K504" s="105" t="n"/>
      <c r="L504" s="106" t="n"/>
      <c r="M504" s="106" t="n"/>
      <c r="N504" s="106" t="n"/>
      <c r="O504" s="106" t="n"/>
      <c r="P504" s="105" t="n"/>
      <c r="Q504" s="107" t="n"/>
      <c r="R504" s="105" t="n"/>
      <c r="S504" s="107" t="n"/>
      <c r="T504" s="108">
        <f>IFERROR(L504+M504+N504+O504+IFERROR(AC504,0)+IFERROR(AD504,0)+IFERROR(AE504,0)+IFERROR(AF504,0)+IFERROR(AG504,0),0)</f>
        <v/>
      </c>
      <c r="U504" s="108">
        <f>IFERROR(H504+IFERROR(I504,0)+T504+IFERROR(V504,0),0)</f>
        <v/>
      </c>
    </row>
    <row r="505" ht="15" customHeight="1" s="199">
      <c r="A505" s="104" t="n"/>
      <c r="B505" s="104" t="n"/>
      <c r="C505" s="104" t="n"/>
      <c r="D505" s="105" t="n"/>
      <c r="E505" s="105" t="n"/>
      <c r="F505" s="105" t="n"/>
      <c r="G505" s="106" t="n"/>
      <c r="H505" s="106" t="n"/>
      <c r="I505" s="106" t="n"/>
      <c r="J505" s="107" t="n"/>
      <c r="K505" s="105" t="n"/>
      <c r="L505" s="106" t="n"/>
      <c r="M505" s="106" t="n"/>
      <c r="N505" s="106" t="n"/>
      <c r="O505" s="106" t="n"/>
      <c r="P505" s="105" t="n"/>
      <c r="Q505" s="107" t="n"/>
      <c r="R505" s="105" t="n"/>
      <c r="S505" s="107" t="n"/>
      <c r="T505" s="108">
        <f>IFERROR(L505+M505+N505+O505+IFERROR(AC505,0)+IFERROR(AD505,0)+IFERROR(AE505,0)+IFERROR(AF505,0)+IFERROR(AG505,0),0)</f>
        <v/>
      </c>
      <c r="U505" s="108">
        <f>IFERROR(H505+IFERROR(I505,0)+T505+IFERROR(V505,0),0)</f>
        <v/>
      </c>
    </row>
    <row r="506" ht="15" customHeight="1" s="199">
      <c r="A506" s="104" t="n"/>
      <c r="B506" s="104" t="n"/>
      <c r="C506" s="104" t="n"/>
      <c r="D506" s="105" t="n"/>
      <c r="E506" s="105" t="n"/>
      <c r="F506" s="105" t="n"/>
      <c r="G506" s="106" t="n"/>
      <c r="H506" s="106" t="n"/>
      <c r="I506" s="106" t="n"/>
      <c r="J506" s="107" t="n"/>
      <c r="K506" s="105" t="n"/>
      <c r="L506" s="106" t="n"/>
      <c r="M506" s="106" t="n"/>
      <c r="N506" s="106" t="n"/>
      <c r="O506" s="106" t="n"/>
      <c r="P506" s="105" t="n"/>
      <c r="Q506" s="107" t="n"/>
      <c r="R506" s="105" t="n"/>
      <c r="S506" s="107" t="n"/>
      <c r="T506" s="108">
        <f>IFERROR(L506+M506+N506+O506+IFERROR(AC506,0)+IFERROR(AD506,0)+IFERROR(AE506,0)+IFERROR(AF506,0)+IFERROR(AG506,0),0)</f>
        <v/>
      </c>
      <c r="U506" s="108">
        <f>IFERROR(H506+IFERROR(I506,0)+T506+IFERROR(V506,0),0)</f>
        <v/>
      </c>
    </row>
    <row r="507" ht="15" customHeight="1" s="199">
      <c r="A507" s="104" t="n"/>
      <c r="B507" s="104" t="n"/>
      <c r="C507" s="104" t="n"/>
      <c r="D507" s="105" t="n"/>
      <c r="E507" s="105" t="n"/>
      <c r="F507" s="105" t="n"/>
      <c r="G507" s="106" t="n"/>
      <c r="H507" s="106" t="n"/>
      <c r="I507" s="106" t="n"/>
      <c r="J507" s="107" t="n"/>
      <c r="K507" s="105" t="n"/>
      <c r="L507" s="106" t="n"/>
      <c r="M507" s="106" t="n"/>
      <c r="N507" s="106" t="n"/>
      <c r="O507" s="106" t="n"/>
      <c r="P507" s="105" t="n"/>
      <c r="Q507" s="107" t="n"/>
      <c r="R507" s="105" t="n"/>
      <c r="S507" s="107" t="n"/>
      <c r="T507" s="108">
        <f>IFERROR(L507+M507+N507+O507+IFERROR(AC507,0)+IFERROR(AD507,0)+IFERROR(AE507,0)+IFERROR(AF507,0)+IFERROR(AG507,0),0)</f>
        <v/>
      </c>
      <c r="U507" s="108">
        <f>IFERROR(H507+IFERROR(I507,0)+T507+IFERROR(V507,0),0)</f>
        <v/>
      </c>
    </row>
    <row r="508" ht="15" customHeight="1" s="199">
      <c r="A508" s="104" t="n"/>
      <c r="B508" s="104" t="n"/>
      <c r="C508" s="104" t="n"/>
      <c r="D508" s="105" t="n"/>
      <c r="E508" s="105" t="n"/>
      <c r="F508" s="105" t="n"/>
      <c r="G508" s="106" t="n"/>
      <c r="H508" s="106" t="n"/>
      <c r="I508" s="106" t="n"/>
      <c r="J508" s="107" t="n"/>
      <c r="K508" s="105" t="n"/>
      <c r="L508" s="106" t="n"/>
      <c r="M508" s="106" t="n"/>
      <c r="N508" s="106" t="n"/>
      <c r="O508" s="106" t="n"/>
      <c r="P508" s="105" t="n"/>
      <c r="Q508" s="107" t="n"/>
      <c r="R508" s="105" t="n"/>
      <c r="S508" s="107" t="n"/>
      <c r="T508" s="108">
        <f>IFERROR(L508+M508+N508+O508+IFERROR(AC508,0)+IFERROR(AD508,0)+IFERROR(AE508,0)+IFERROR(AF508,0)+IFERROR(AG508,0),0)</f>
        <v/>
      </c>
      <c r="U508" s="108">
        <f>IFERROR(H508+IFERROR(I508,0)+T508+IFERROR(V508,0),0)</f>
        <v/>
      </c>
    </row>
    <row r="509" ht="15" customHeight="1" s="199">
      <c r="A509" s="104" t="n"/>
      <c r="B509" s="104" t="n"/>
      <c r="C509" s="104" t="n"/>
      <c r="D509" s="105" t="n"/>
      <c r="E509" s="105" t="n"/>
      <c r="F509" s="105" t="n"/>
      <c r="G509" s="106" t="n"/>
      <c r="H509" s="106" t="n"/>
      <c r="I509" s="106" t="n"/>
      <c r="J509" s="107" t="n"/>
      <c r="K509" s="105" t="n"/>
      <c r="L509" s="106" t="n"/>
      <c r="M509" s="106" t="n"/>
      <c r="N509" s="106" t="n"/>
      <c r="O509" s="106" t="n"/>
      <c r="P509" s="105" t="n"/>
      <c r="Q509" s="107" t="n"/>
      <c r="R509" s="105" t="n"/>
      <c r="S509" s="107" t="n"/>
      <c r="T509" s="108">
        <f>IFERROR(L509+M509+N509+O509+IFERROR(AC509,0)+IFERROR(AD509,0)+IFERROR(AE509,0)+IFERROR(AF509,0)+IFERROR(AG509,0),0)</f>
        <v/>
      </c>
      <c r="U509" s="108">
        <f>IFERROR(H509+IFERROR(I509,0)+T509+IFERROR(V509,0),0)</f>
        <v/>
      </c>
    </row>
    <row r="510" ht="15" customHeight="1" s="199">
      <c r="A510" s="104" t="n"/>
      <c r="B510" s="104" t="n"/>
      <c r="C510" s="104" t="n"/>
      <c r="D510" s="105" t="n"/>
      <c r="E510" s="105" t="n"/>
      <c r="F510" s="105" t="n"/>
      <c r="G510" s="106" t="n"/>
      <c r="H510" s="106" t="n"/>
      <c r="I510" s="106" t="n"/>
      <c r="J510" s="107" t="n"/>
      <c r="K510" s="105" t="n"/>
      <c r="L510" s="106" t="n"/>
      <c r="M510" s="106" t="n"/>
      <c r="N510" s="106" t="n"/>
      <c r="O510" s="106" t="n"/>
      <c r="P510" s="105" t="n"/>
      <c r="Q510" s="107" t="n"/>
      <c r="R510" s="105" t="n"/>
      <c r="S510" s="107" t="n"/>
      <c r="T510" s="108">
        <f>IFERROR(L510+M510+N510+O510+IFERROR(AC510,0)+IFERROR(AD510,0)+IFERROR(AE510,0)+IFERROR(AF510,0)+IFERROR(AG510,0),0)</f>
        <v/>
      </c>
      <c r="U510" s="108">
        <f>IFERROR(H510+IFERROR(I510,0)+T510+IFERROR(V510,0),0)</f>
        <v/>
      </c>
    </row>
    <row r="511" ht="15" customHeight="1" s="199">
      <c r="A511" s="104" t="n"/>
      <c r="B511" s="104" t="n"/>
      <c r="C511" s="104" t="n"/>
      <c r="D511" s="105" t="n"/>
      <c r="E511" s="105" t="n"/>
      <c r="F511" s="105" t="n"/>
      <c r="G511" s="106" t="n"/>
      <c r="H511" s="106" t="n"/>
      <c r="I511" s="106" t="n"/>
      <c r="J511" s="107" t="n"/>
      <c r="K511" s="105" t="n"/>
      <c r="L511" s="106" t="n"/>
      <c r="M511" s="106" t="n"/>
      <c r="N511" s="106" t="n"/>
      <c r="O511" s="106" t="n"/>
      <c r="P511" s="105" t="n"/>
      <c r="Q511" s="107" t="n"/>
      <c r="R511" s="105" t="n"/>
      <c r="S511" s="107" t="n"/>
      <c r="T511" s="108">
        <f>IFERROR(L511+M511+N511+O511+IFERROR(AC511,0)+IFERROR(AD511,0)+IFERROR(AE511,0)+IFERROR(AF511,0)+IFERROR(AG511,0),0)</f>
        <v/>
      </c>
      <c r="U511" s="108">
        <f>IFERROR(H511+IFERROR(I511,0)+T511+IFERROR(V511,0),0)</f>
        <v/>
      </c>
    </row>
    <row r="512" ht="15" customHeight="1" s="199">
      <c r="A512" s="104" t="n"/>
      <c r="B512" s="104" t="n"/>
      <c r="C512" s="104" t="n"/>
      <c r="D512" s="105" t="n"/>
      <c r="E512" s="105" t="n"/>
      <c r="F512" s="105" t="n"/>
      <c r="G512" s="106" t="n"/>
      <c r="H512" s="106" t="n"/>
      <c r="I512" s="106" t="n"/>
      <c r="J512" s="107" t="n"/>
      <c r="K512" s="105" t="n"/>
      <c r="L512" s="106" t="n"/>
      <c r="M512" s="106" t="n"/>
      <c r="N512" s="106" t="n"/>
      <c r="O512" s="106" t="n"/>
      <c r="P512" s="105" t="n"/>
      <c r="Q512" s="107" t="n"/>
      <c r="R512" s="105" t="n"/>
      <c r="S512" s="107" t="n"/>
      <c r="T512" s="108">
        <f>IFERROR(L512+M512+N512+O512+IFERROR(AC512,0)+IFERROR(AD512,0)+IFERROR(AE512,0)+IFERROR(AF512,0)+IFERROR(AG512,0),0)</f>
        <v/>
      </c>
      <c r="U512" s="108">
        <f>IFERROR(H512+IFERROR(I512,0)+T512+IFERROR(V512,0),0)</f>
        <v/>
      </c>
    </row>
    <row r="513" ht="15" customHeight="1" s="199">
      <c r="A513" s="104" t="n"/>
      <c r="B513" s="104" t="n"/>
      <c r="C513" s="104" t="n"/>
      <c r="D513" s="105" t="n"/>
      <c r="E513" s="105" t="n"/>
      <c r="F513" s="105" t="n"/>
      <c r="G513" s="106" t="n"/>
      <c r="H513" s="106" t="n"/>
      <c r="I513" s="106" t="n"/>
      <c r="J513" s="107" t="n"/>
      <c r="K513" s="105" t="n"/>
      <c r="L513" s="106" t="n"/>
      <c r="M513" s="106" t="n"/>
      <c r="N513" s="106" t="n"/>
      <c r="O513" s="106" t="n"/>
      <c r="P513" s="105" t="n"/>
      <c r="Q513" s="107" t="n"/>
      <c r="R513" s="105" t="n"/>
      <c r="S513" s="107" t="n"/>
      <c r="T513" s="108">
        <f>IFERROR(L513+M513+N513+O513+IFERROR(AC513,0)+IFERROR(AD513,0)+IFERROR(AE513,0)+IFERROR(AF513,0)+IFERROR(AG513,0),0)</f>
        <v/>
      </c>
      <c r="U513" s="108">
        <f>IFERROR(H513+IFERROR(I513,0)+T513+IFERROR(V513,0),0)</f>
        <v/>
      </c>
    </row>
    <row r="514" ht="15" customHeight="1" s="199">
      <c r="A514" s="104" t="n"/>
      <c r="B514" s="104" t="n"/>
      <c r="C514" s="104" t="n"/>
      <c r="D514" s="105" t="n"/>
      <c r="E514" s="105" t="n"/>
      <c r="F514" s="105" t="n"/>
      <c r="G514" s="106" t="n"/>
      <c r="H514" s="106" t="n"/>
      <c r="I514" s="106" t="n"/>
      <c r="J514" s="107" t="n"/>
      <c r="K514" s="105" t="n"/>
      <c r="L514" s="106" t="n"/>
      <c r="M514" s="106" t="n"/>
      <c r="N514" s="106" t="n"/>
      <c r="O514" s="106" t="n"/>
      <c r="P514" s="105" t="n"/>
      <c r="Q514" s="107" t="n"/>
      <c r="R514" s="105" t="n"/>
      <c r="S514" s="107" t="n"/>
      <c r="T514" s="108">
        <f>IFERROR(L514+M514+N514+O514+IFERROR(AC514,0)+IFERROR(AD514,0)+IFERROR(AE514,0)+IFERROR(AF514,0)+IFERROR(AG514,0),0)</f>
        <v/>
      </c>
      <c r="U514" s="108">
        <f>IFERROR(H514+IFERROR(I514,0)+T514+IFERROR(V514,0),0)</f>
        <v/>
      </c>
    </row>
    <row r="515" ht="15" customHeight="1" s="199">
      <c r="A515" s="104" t="n"/>
      <c r="B515" s="104" t="n"/>
      <c r="C515" s="104" t="n"/>
      <c r="D515" s="105" t="n"/>
      <c r="E515" s="105" t="n"/>
      <c r="F515" s="105" t="n"/>
      <c r="G515" s="106" t="n"/>
      <c r="H515" s="106" t="n"/>
      <c r="I515" s="106" t="n"/>
      <c r="J515" s="107" t="n"/>
      <c r="K515" s="105" t="n"/>
      <c r="L515" s="106" t="n"/>
      <c r="M515" s="106" t="n"/>
      <c r="N515" s="106" t="n"/>
      <c r="O515" s="106" t="n"/>
      <c r="P515" s="105" t="n"/>
      <c r="Q515" s="107" t="n"/>
      <c r="R515" s="105" t="n"/>
      <c r="S515" s="107" t="n"/>
      <c r="T515" s="108">
        <f>IFERROR(L515+M515+N515+O515+IFERROR(AC515,0)+IFERROR(AD515,0)+IFERROR(AE515,0)+IFERROR(AF515,0)+IFERROR(AG515,0),0)</f>
        <v/>
      </c>
      <c r="U515" s="108">
        <f>IFERROR(H515+IFERROR(I515,0)+T515+IFERROR(V515,0),0)</f>
        <v/>
      </c>
    </row>
    <row r="516" ht="15" customHeight="1" s="199">
      <c r="A516" s="104" t="n"/>
      <c r="B516" s="104" t="n"/>
      <c r="C516" s="104" t="n"/>
      <c r="D516" s="105" t="n"/>
      <c r="E516" s="105" t="n"/>
      <c r="F516" s="105" t="n"/>
      <c r="G516" s="106" t="n"/>
      <c r="H516" s="106" t="n"/>
      <c r="I516" s="106" t="n"/>
      <c r="J516" s="107" t="n"/>
      <c r="K516" s="105" t="n"/>
      <c r="L516" s="106" t="n"/>
      <c r="M516" s="106" t="n"/>
      <c r="N516" s="106" t="n"/>
      <c r="O516" s="106" t="n"/>
      <c r="P516" s="105" t="n"/>
      <c r="Q516" s="107" t="n"/>
      <c r="R516" s="105" t="n"/>
      <c r="S516" s="107" t="n"/>
      <c r="T516" s="108">
        <f>IFERROR(L516+M516+N516+O516+IFERROR(AC516,0)+IFERROR(AD516,0)+IFERROR(AE516,0)+IFERROR(AF516,0)+IFERROR(AG516,0),0)</f>
        <v/>
      </c>
      <c r="U516" s="108">
        <f>IFERROR(H516+IFERROR(I516,0)+T516+IFERROR(V516,0),0)</f>
        <v/>
      </c>
    </row>
    <row r="517" ht="15" customHeight="1" s="199">
      <c r="A517" s="104" t="n"/>
      <c r="B517" s="104" t="n"/>
      <c r="C517" s="104" t="n"/>
      <c r="D517" s="105" t="n"/>
      <c r="E517" s="105" t="n"/>
      <c r="F517" s="105" t="n"/>
      <c r="G517" s="106" t="n"/>
      <c r="H517" s="106" t="n"/>
      <c r="I517" s="106" t="n"/>
      <c r="J517" s="107" t="n"/>
      <c r="K517" s="105" t="n"/>
      <c r="L517" s="106" t="n"/>
      <c r="M517" s="106" t="n"/>
      <c r="N517" s="106" t="n"/>
      <c r="O517" s="106" t="n"/>
      <c r="P517" s="105" t="n"/>
      <c r="Q517" s="107" t="n"/>
      <c r="R517" s="105" t="n"/>
      <c r="S517" s="107" t="n"/>
      <c r="T517" s="108">
        <f>IFERROR(L517+M517+N517+O517+IFERROR(AC517,0)+IFERROR(AD517,0)+IFERROR(AE517,0)+IFERROR(AF517,0)+IFERROR(AG517,0),0)</f>
        <v/>
      </c>
      <c r="U517" s="108">
        <f>IFERROR(H517+IFERROR(I517,0)+T517+IFERROR(V517,0),0)</f>
        <v/>
      </c>
    </row>
    <row r="518" ht="15" customHeight="1" s="199">
      <c r="A518" s="104" t="n"/>
      <c r="B518" s="104" t="n"/>
      <c r="C518" s="104" t="n"/>
      <c r="D518" s="105" t="n"/>
      <c r="E518" s="105" t="n"/>
      <c r="F518" s="105" t="n"/>
      <c r="G518" s="106" t="n"/>
      <c r="H518" s="106" t="n"/>
      <c r="I518" s="106" t="n"/>
      <c r="J518" s="107" t="n"/>
      <c r="K518" s="105" t="n"/>
      <c r="L518" s="106" t="n"/>
      <c r="M518" s="106" t="n"/>
      <c r="N518" s="106" t="n"/>
      <c r="O518" s="106" t="n"/>
      <c r="P518" s="105" t="n"/>
      <c r="Q518" s="107" t="n"/>
      <c r="R518" s="105" t="n"/>
      <c r="S518" s="107" t="n"/>
      <c r="T518" s="108">
        <f>IFERROR(L518+M518+N518+O518+IFERROR(AC518,0)+IFERROR(AD518,0)+IFERROR(AE518,0)+IFERROR(AF518,0)+IFERROR(AG518,0),0)</f>
        <v/>
      </c>
      <c r="U518" s="108">
        <f>IFERROR(H518+IFERROR(I518,0)+T518+IFERROR(V518,0),0)</f>
        <v/>
      </c>
    </row>
    <row r="519" ht="15" customHeight="1" s="199">
      <c r="A519" s="104" t="n"/>
      <c r="B519" s="104" t="n"/>
      <c r="C519" s="104" t="n"/>
      <c r="D519" s="105" t="n"/>
      <c r="E519" s="105" t="n"/>
      <c r="F519" s="105" t="n"/>
      <c r="G519" s="106" t="n"/>
      <c r="H519" s="106" t="n"/>
      <c r="I519" s="106" t="n"/>
      <c r="J519" s="107" t="n"/>
      <c r="K519" s="105" t="n"/>
      <c r="L519" s="106" t="n"/>
      <c r="M519" s="106" t="n"/>
      <c r="N519" s="106" t="n"/>
      <c r="O519" s="106" t="n"/>
      <c r="P519" s="105" t="n"/>
      <c r="Q519" s="107" t="n"/>
      <c r="R519" s="105" t="n"/>
      <c r="S519" s="107" t="n"/>
      <c r="T519" s="108">
        <f>IFERROR(L519+M519+N519+O519+IFERROR(AC519,0)+IFERROR(AD519,0)+IFERROR(AE519,0)+IFERROR(AF519,0)+IFERROR(AG519,0),0)</f>
        <v/>
      </c>
      <c r="U519" s="108">
        <f>IFERROR(H519+IFERROR(I519,0)+T519+IFERROR(V519,0),0)</f>
        <v/>
      </c>
    </row>
    <row r="520" ht="15" customHeight="1" s="199">
      <c r="A520" s="104" t="n"/>
      <c r="B520" s="104" t="n"/>
      <c r="C520" s="104" t="n"/>
      <c r="D520" s="105" t="n"/>
      <c r="E520" s="105" t="n"/>
      <c r="F520" s="105" t="n"/>
      <c r="G520" s="106" t="n"/>
      <c r="H520" s="106" t="n"/>
      <c r="I520" s="106" t="n"/>
      <c r="J520" s="107" t="n"/>
      <c r="K520" s="105" t="n"/>
      <c r="L520" s="106" t="n"/>
      <c r="M520" s="106" t="n"/>
      <c r="N520" s="106" t="n"/>
      <c r="O520" s="106" t="n"/>
      <c r="P520" s="105" t="n"/>
      <c r="Q520" s="107" t="n"/>
      <c r="R520" s="105" t="n"/>
      <c r="S520" s="107" t="n"/>
      <c r="T520" s="108">
        <f>IFERROR(L520+M520+N520+O520+IFERROR(AC520,0)+IFERROR(AD520,0)+IFERROR(AE520,0)+IFERROR(AF520,0)+IFERROR(AG520,0),0)</f>
        <v/>
      </c>
      <c r="U520" s="108">
        <f>IFERROR(H520+IFERROR(I520,0)+T520+IFERROR(V520,0),0)</f>
        <v/>
      </c>
    </row>
    <row r="521" ht="15" customHeight="1" s="199">
      <c r="A521" s="104" t="n"/>
      <c r="B521" s="104" t="n"/>
      <c r="C521" s="104" t="n"/>
      <c r="D521" s="105" t="n"/>
      <c r="E521" s="105" t="n"/>
      <c r="F521" s="105" t="n"/>
      <c r="G521" s="106" t="n"/>
      <c r="H521" s="106" t="n"/>
      <c r="I521" s="106" t="n"/>
      <c r="J521" s="107" t="n"/>
      <c r="K521" s="105" t="n"/>
      <c r="L521" s="106" t="n"/>
      <c r="M521" s="106" t="n"/>
      <c r="N521" s="106" t="n"/>
      <c r="O521" s="106" t="n"/>
      <c r="P521" s="105" t="n"/>
      <c r="Q521" s="107" t="n"/>
      <c r="R521" s="105" t="n"/>
      <c r="S521" s="107" t="n"/>
      <c r="T521" s="108">
        <f>IFERROR(L521+M521+N521+O521+IFERROR(AC521,0)+IFERROR(AD521,0)+IFERROR(AE521,0)+IFERROR(AF521,0)+IFERROR(AG521,0),0)</f>
        <v/>
      </c>
      <c r="U521" s="108">
        <f>IFERROR(H521+IFERROR(I521,0)+T521+IFERROR(V521,0),0)</f>
        <v/>
      </c>
    </row>
    <row r="522" ht="15" customHeight="1" s="199">
      <c r="A522" s="104" t="n"/>
      <c r="B522" s="104" t="n"/>
      <c r="C522" s="104" t="n"/>
      <c r="D522" s="105" t="n"/>
      <c r="E522" s="105" t="n"/>
      <c r="F522" s="105" t="n"/>
      <c r="G522" s="106" t="n"/>
      <c r="H522" s="106" t="n"/>
      <c r="I522" s="106" t="n"/>
      <c r="J522" s="107" t="n"/>
      <c r="K522" s="105" t="n"/>
      <c r="L522" s="106" t="n"/>
      <c r="M522" s="106" t="n"/>
      <c r="N522" s="106" t="n"/>
      <c r="O522" s="106" t="n"/>
      <c r="P522" s="105" t="n"/>
      <c r="Q522" s="107" t="n"/>
      <c r="R522" s="105" t="n"/>
      <c r="S522" s="107" t="n"/>
      <c r="T522" s="108">
        <f>IFERROR(L522+M522+N522+O522+IFERROR(AC522,0)+IFERROR(AD522,0)+IFERROR(AE522,0)+IFERROR(AF522,0)+IFERROR(AG522,0),0)</f>
        <v/>
      </c>
      <c r="U522" s="108">
        <f>IFERROR(H522+IFERROR(I522,0)+T522+IFERROR(V522,0),0)</f>
        <v/>
      </c>
    </row>
    <row r="523" ht="15" customHeight="1" s="199">
      <c r="A523" s="104" t="n"/>
      <c r="B523" s="104" t="n"/>
      <c r="C523" s="104" t="n"/>
      <c r="D523" s="105" t="n"/>
      <c r="E523" s="105" t="n"/>
      <c r="F523" s="105" t="n"/>
      <c r="G523" s="106" t="n"/>
      <c r="H523" s="106" t="n"/>
      <c r="I523" s="106" t="n"/>
      <c r="J523" s="107" t="n"/>
      <c r="K523" s="105" t="n"/>
      <c r="L523" s="106" t="n"/>
      <c r="M523" s="106" t="n"/>
      <c r="N523" s="106" t="n"/>
      <c r="O523" s="106" t="n"/>
      <c r="P523" s="105" t="n"/>
      <c r="Q523" s="107" t="n"/>
      <c r="R523" s="105" t="n"/>
      <c r="S523" s="107" t="n"/>
      <c r="T523" s="108">
        <f>IFERROR(L523+M523+N523+O523+IFERROR(AC523,0)+IFERROR(AD523,0)+IFERROR(AE523,0)+IFERROR(AF523,0)+IFERROR(AG523,0),0)</f>
        <v/>
      </c>
      <c r="U523" s="108">
        <f>IFERROR(H523+IFERROR(I523,0)+T523+IFERROR(V523,0),0)</f>
        <v/>
      </c>
    </row>
    <row r="524" ht="15" customHeight="1" s="199">
      <c r="A524" s="104" t="n"/>
      <c r="B524" s="104" t="n"/>
      <c r="C524" s="104" t="n"/>
      <c r="D524" s="105" t="n"/>
      <c r="E524" s="105" t="n"/>
      <c r="F524" s="105" t="n"/>
      <c r="G524" s="106" t="n"/>
      <c r="H524" s="106" t="n"/>
      <c r="I524" s="106" t="n"/>
      <c r="J524" s="107" t="n"/>
      <c r="K524" s="105" t="n"/>
      <c r="L524" s="106" t="n"/>
      <c r="M524" s="106" t="n"/>
      <c r="N524" s="106" t="n"/>
      <c r="O524" s="106" t="n"/>
      <c r="P524" s="105" t="n"/>
      <c r="Q524" s="107" t="n"/>
      <c r="R524" s="105" t="n"/>
      <c r="S524" s="107" t="n"/>
      <c r="T524" s="108">
        <f>IFERROR(L524+M524+N524+O524+IFERROR(AC524,0)+IFERROR(AD524,0)+IFERROR(AE524,0)+IFERROR(AF524,0)+IFERROR(AG524,0),0)</f>
        <v/>
      </c>
      <c r="U524" s="108">
        <f>IFERROR(H524+IFERROR(I524,0)+T524+IFERROR(V524,0),0)</f>
        <v/>
      </c>
    </row>
    <row r="525" ht="15" customHeight="1" s="199">
      <c r="A525" s="104" t="n"/>
      <c r="B525" s="104" t="n"/>
      <c r="C525" s="104" t="n"/>
      <c r="D525" s="105" t="n"/>
      <c r="E525" s="105" t="n"/>
      <c r="F525" s="105" t="n"/>
      <c r="G525" s="106" t="n"/>
      <c r="H525" s="106" t="n"/>
      <c r="I525" s="106" t="n"/>
      <c r="J525" s="107" t="n"/>
      <c r="K525" s="105" t="n"/>
      <c r="L525" s="106" t="n"/>
      <c r="M525" s="106" t="n"/>
      <c r="N525" s="106" t="n"/>
      <c r="O525" s="106" t="n"/>
      <c r="P525" s="105" t="n"/>
      <c r="Q525" s="107" t="n"/>
      <c r="R525" s="105" t="n"/>
      <c r="S525" s="107" t="n"/>
      <c r="T525" s="108">
        <f>IFERROR(L525+M525+N525+O525+IFERROR(AC525,0)+IFERROR(AD525,0)+IFERROR(AE525,0)+IFERROR(AF525,0)+IFERROR(AG525,0),0)</f>
        <v/>
      </c>
      <c r="U525" s="108">
        <f>IFERROR(H525+IFERROR(I525,0)+T525+IFERROR(V525,0),0)</f>
        <v/>
      </c>
    </row>
    <row r="526" ht="15" customHeight="1" s="199">
      <c r="A526" s="104" t="n"/>
      <c r="B526" s="104" t="n"/>
      <c r="C526" s="104" t="n"/>
      <c r="D526" s="105" t="n"/>
      <c r="E526" s="105" t="n"/>
      <c r="F526" s="105" t="n"/>
      <c r="G526" s="106" t="n"/>
      <c r="H526" s="106" t="n"/>
      <c r="I526" s="106" t="n"/>
      <c r="J526" s="107" t="n"/>
      <c r="K526" s="105" t="n"/>
      <c r="L526" s="106" t="n"/>
      <c r="M526" s="106" t="n"/>
      <c r="N526" s="106" t="n"/>
      <c r="O526" s="106" t="n"/>
      <c r="P526" s="105" t="n"/>
      <c r="Q526" s="107" t="n"/>
      <c r="R526" s="105" t="n"/>
      <c r="S526" s="107" t="n"/>
      <c r="T526" s="108">
        <f>IFERROR(L526+M526+N526+O526+IFERROR(AC526,0)+IFERROR(AD526,0)+IFERROR(AE526,0)+IFERROR(AF526,0)+IFERROR(AG526,0),0)</f>
        <v/>
      </c>
      <c r="U526" s="108">
        <f>IFERROR(H526+IFERROR(I526,0)+T526+IFERROR(V526,0),0)</f>
        <v/>
      </c>
    </row>
    <row r="527" ht="15" customHeight="1" s="199">
      <c r="A527" s="104" t="n"/>
      <c r="B527" s="104" t="n"/>
      <c r="C527" s="104" t="n"/>
      <c r="D527" s="105" t="n"/>
      <c r="E527" s="105" t="n"/>
      <c r="F527" s="105" t="n"/>
      <c r="G527" s="106" t="n"/>
      <c r="H527" s="106" t="n"/>
      <c r="I527" s="106" t="n"/>
      <c r="J527" s="107" t="n"/>
      <c r="K527" s="105" t="n"/>
      <c r="L527" s="106" t="n"/>
      <c r="M527" s="106" t="n"/>
      <c r="N527" s="106" t="n"/>
      <c r="O527" s="106" t="n"/>
      <c r="P527" s="105" t="n"/>
      <c r="Q527" s="107" t="n"/>
      <c r="R527" s="105" t="n"/>
      <c r="S527" s="107" t="n"/>
      <c r="T527" s="108">
        <f>IFERROR(L527+M527+N527+O527+IFERROR(AC527,0)+IFERROR(AD527,0)+IFERROR(AE527,0)+IFERROR(AF527,0)+IFERROR(AG527,0),0)</f>
        <v/>
      </c>
      <c r="U527" s="108">
        <f>IFERROR(H527+IFERROR(I527,0)+T527+IFERROR(V527,0),0)</f>
        <v/>
      </c>
    </row>
    <row r="528" ht="15" customHeight="1" s="199">
      <c r="A528" s="104" t="n"/>
      <c r="B528" s="104" t="n"/>
      <c r="C528" s="104" t="n"/>
      <c r="D528" s="105" t="n"/>
      <c r="E528" s="105" t="n"/>
      <c r="F528" s="105" t="n"/>
      <c r="G528" s="106" t="n"/>
      <c r="H528" s="106" t="n"/>
      <c r="I528" s="106" t="n"/>
      <c r="J528" s="107" t="n"/>
      <c r="K528" s="105" t="n"/>
      <c r="L528" s="106" t="n"/>
      <c r="M528" s="106" t="n"/>
      <c r="N528" s="106" t="n"/>
      <c r="O528" s="106" t="n"/>
      <c r="P528" s="105" t="n"/>
      <c r="Q528" s="107" t="n"/>
      <c r="R528" s="105" t="n"/>
      <c r="S528" s="107" t="n"/>
      <c r="T528" s="108">
        <f>IFERROR(L528+M528+N528+O528+IFERROR(AC528,0)+IFERROR(AD528,0)+IFERROR(AE528,0)+IFERROR(AF528,0)+IFERROR(AG528,0),0)</f>
        <v/>
      </c>
      <c r="U528" s="108">
        <f>IFERROR(H528+IFERROR(I528,0)+T528+IFERROR(V528,0),0)</f>
        <v/>
      </c>
    </row>
    <row r="529" ht="15" customHeight="1" s="199">
      <c r="A529" s="104" t="n"/>
      <c r="B529" s="104" t="n"/>
      <c r="C529" s="104" t="n"/>
      <c r="D529" s="105" t="n"/>
      <c r="E529" s="105" t="n"/>
      <c r="F529" s="105" t="n"/>
      <c r="G529" s="106" t="n"/>
      <c r="H529" s="106" t="n"/>
      <c r="I529" s="106" t="n"/>
      <c r="J529" s="107" t="n"/>
      <c r="K529" s="105" t="n"/>
      <c r="L529" s="106" t="n"/>
      <c r="M529" s="106" t="n"/>
      <c r="N529" s="106" t="n"/>
      <c r="O529" s="106" t="n"/>
      <c r="P529" s="105" t="n"/>
      <c r="Q529" s="107" t="n"/>
      <c r="R529" s="105" t="n"/>
      <c r="S529" s="107" t="n"/>
      <c r="T529" s="108">
        <f>IFERROR(L529+M529+N529+O529+IFERROR(AC529,0)+IFERROR(AD529,0)+IFERROR(AE529,0)+IFERROR(AF529,0)+IFERROR(AG529,0),0)</f>
        <v/>
      </c>
      <c r="U529" s="108">
        <f>IFERROR(H529+IFERROR(I529,0)+T529+IFERROR(V529,0),0)</f>
        <v/>
      </c>
    </row>
    <row r="530" ht="15" customHeight="1" s="199">
      <c r="A530" s="104" t="n"/>
      <c r="B530" s="104" t="n"/>
      <c r="C530" s="104" t="n"/>
      <c r="D530" s="105" t="n"/>
      <c r="E530" s="105" t="n"/>
      <c r="F530" s="105" t="n"/>
      <c r="G530" s="106" t="n"/>
      <c r="H530" s="106" t="n"/>
      <c r="I530" s="106" t="n"/>
      <c r="J530" s="107" t="n"/>
      <c r="K530" s="105" t="n"/>
      <c r="L530" s="106" t="n"/>
      <c r="M530" s="106" t="n"/>
      <c r="N530" s="106" t="n"/>
      <c r="O530" s="106" t="n"/>
      <c r="P530" s="105" t="n"/>
      <c r="Q530" s="107" t="n"/>
      <c r="R530" s="105" t="n"/>
      <c r="S530" s="107" t="n"/>
      <c r="T530" s="108">
        <f>IFERROR(L530+M530+N530+O530+IFERROR(AC530,0)+IFERROR(AD530,0)+IFERROR(AE530,0)+IFERROR(AF530,0)+IFERROR(AG530,0),0)</f>
        <v/>
      </c>
      <c r="U530" s="108">
        <f>IFERROR(H530+IFERROR(I530,0)+T530+IFERROR(V530,0),0)</f>
        <v/>
      </c>
    </row>
    <row r="531" ht="15" customHeight="1" s="199">
      <c r="A531" s="104" t="n"/>
      <c r="B531" s="104" t="n"/>
      <c r="C531" s="104" t="n"/>
      <c r="D531" s="105" t="n"/>
      <c r="E531" s="105" t="n"/>
      <c r="F531" s="105" t="n"/>
      <c r="G531" s="106" t="n"/>
      <c r="H531" s="106" t="n"/>
      <c r="I531" s="106" t="n"/>
      <c r="J531" s="107" t="n"/>
      <c r="K531" s="105" t="n"/>
      <c r="L531" s="106" t="n"/>
      <c r="M531" s="106" t="n"/>
      <c r="N531" s="106" t="n"/>
      <c r="O531" s="106" t="n"/>
      <c r="P531" s="105" t="n"/>
      <c r="Q531" s="107" t="n"/>
      <c r="R531" s="105" t="n"/>
      <c r="S531" s="107" t="n"/>
      <c r="T531" s="108">
        <f>IFERROR(L531+M531+N531+O531+IFERROR(AC531,0)+IFERROR(AD531,0)+IFERROR(AE531,0)+IFERROR(AF531,0)+IFERROR(AG531,0),0)</f>
        <v/>
      </c>
      <c r="U531" s="108">
        <f>IFERROR(H531+IFERROR(I531,0)+T531+IFERROR(V531,0),0)</f>
        <v/>
      </c>
    </row>
    <row r="532" ht="15" customHeight="1" s="199">
      <c r="A532" s="104" t="n"/>
      <c r="B532" s="104" t="n"/>
      <c r="C532" s="104" t="n"/>
      <c r="D532" s="105" t="n"/>
      <c r="E532" s="105" t="n"/>
      <c r="F532" s="105" t="n"/>
      <c r="G532" s="106" t="n"/>
      <c r="H532" s="106" t="n"/>
      <c r="I532" s="106" t="n"/>
      <c r="J532" s="107" t="n"/>
      <c r="K532" s="105" t="n"/>
      <c r="L532" s="106" t="n"/>
      <c r="M532" s="106" t="n"/>
      <c r="N532" s="106" t="n"/>
      <c r="O532" s="106" t="n"/>
      <c r="P532" s="105" t="n"/>
      <c r="Q532" s="107" t="n"/>
      <c r="R532" s="105" t="n"/>
      <c r="S532" s="107" t="n"/>
      <c r="T532" s="108">
        <f>IFERROR(L532+M532+N532+O532+IFERROR(AC532,0)+IFERROR(AD532,0)+IFERROR(AE532,0)+IFERROR(AF532,0)+IFERROR(AG532,0),0)</f>
        <v/>
      </c>
      <c r="U532" s="108">
        <f>IFERROR(H532+IFERROR(I532,0)+T532+IFERROR(V532,0),0)</f>
        <v/>
      </c>
    </row>
    <row r="533" ht="15" customHeight="1" s="199">
      <c r="A533" s="104" t="n"/>
      <c r="B533" s="104" t="n"/>
      <c r="C533" s="104" t="n"/>
      <c r="D533" s="105" t="n"/>
      <c r="E533" s="105" t="n"/>
      <c r="F533" s="105" t="n"/>
      <c r="G533" s="106" t="n"/>
      <c r="H533" s="106" t="n"/>
      <c r="I533" s="106" t="n"/>
      <c r="J533" s="107" t="n"/>
      <c r="K533" s="105" t="n"/>
      <c r="L533" s="106" t="n"/>
      <c r="M533" s="106" t="n"/>
      <c r="N533" s="106" t="n"/>
      <c r="O533" s="106" t="n"/>
      <c r="P533" s="105" t="n"/>
      <c r="Q533" s="107" t="n"/>
      <c r="R533" s="105" t="n"/>
      <c r="S533" s="107" t="n"/>
      <c r="T533" s="108">
        <f>IFERROR(L533+M533+N533+O533+IFERROR(AC533,0)+IFERROR(AD533,0)+IFERROR(AE533,0)+IFERROR(AF533,0)+IFERROR(AG533,0),0)</f>
        <v/>
      </c>
      <c r="U533" s="108">
        <f>IFERROR(H533+IFERROR(I533,0)+T533+IFERROR(V533,0),0)</f>
        <v/>
      </c>
    </row>
    <row r="534" ht="15" customHeight="1" s="199">
      <c r="A534" s="104" t="n"/>
      <c r="B534" s="104" t="n"/>
      <c r="C534" s="104" t="n"/>
      <c r="D534" s="105" t="n"/>
      <c r="E534" s="105" t="n"/>
      <c r="F534" s="105" t="n"/>
      <c r="G534" s="106" t="n"/>
      <c r="H534" s="106" t="n"/>
      <c r="I534" s="106" t="n"/>
      <c r="J534" s="107" t="n"/>
      <c r="K534" s="105" t="n"/>
      <c r="L534" s="106" t="n"/>
      <c r="M534" s="106" t="n"/>
      <c r="N534" s="106" t="n"/>
      <c r="O534" s="106" t="n"/>
      <c r="P534" s="105" t="n"/>
      <c r="Q534" s="107" t="n"/>
      <c r="R534" s="105" t="n"/>
      <c r="S534" s="107" t="n"/>
      <c r="T534" s="108">
        <f>IFERROR(L534+M534+N534+O534+IFERROR(AC534,0)+IFERROR(AD534,0)+IFERROR(AE534,0)+IFERROR(AF534,0)+IFERROR(AG534,0),0)</f>
        <v/>
      </c>
      <c r="U534" s="108">
        <f>IFERROR(H534+IFERROR(I534,0)+T534+IFERROR(V534,0),0)</f>
        <v/>
      </c>
    </row>
    <row r="535" ht="15" customHeight="1" s="199">
      <c r="A535" s="104" t="n"/>
      <c r="B535" s="104" t="n"/>
      <c r="C535" s="104" t="n"/>
      <c r="D535" s="105" t="n"/>
      <c r="E535" s="105" t="n"/>
      <c r="F535" s="105" t="n"/>
      <c r="G535" s="106" t="n"/>
      <c r="H535" s="106" t="n"/>
      <c r="I535" s="106" t="n"/>
      <c r="J535" s="107" t="n"/>
      <c r="K535" s="105" t="n"/>
      <c r="L535" s="106" t="n"/>
      <c r="M535" s="106" t="n"/>
      <c r="N535" s="106" t="n"/>
      <c r="O535" s="106" t="n"/>
      <c r="P535" s="105" t="n"/>
      <c r="Q535" s="107" t="n"/>
      <c r="R535" s="105" t="n"/>
      <c r="S535" s="107" t="n"/>
      <c r="T535" s="108">
        <f>IFERROR(L535+M535+N535+O535+IFERROR(AC535,0)+IFERROR(AD535,0)+IFERROR(AE535,0)+IFERROR(AF535,0)+IFERROR(AG535,0),0)</f>
        <v/>
      </c>
      <c r="U535" s="108">
        <f>IFERROR(H535+IFERROR(I535,0)+T535+IFERROR(V535,0),0)</f>
        <v/>
      </c>
    </row>
    <row r="536" ht="15" customHeight="1" s="199">
      <c r="A536" s="104" t="n"/>
      <c r="B536" s="104" t="n"/>
      <c r="C536" s="104" t="n"/>
      <c r="D536" s="105" t="n"/>
      <c r="E536" s="105" t="n"/>
      <c r="F536" s="105" t="n"/>
      <c r="G536" s="106" t="n"/>
      <c r="H536" s="106" t="n"/>
      <c r="I536" s="106" t="n"/>
      <c r="J536" s="107" t="n"/>
      <c r="K536" s="105" t="n"/>
      <c r="L536" s="106" t="n"/>
      <c r="M536" s="106" t="n"/>
      <c r="N536" s="106" t="n"/>
      <c r="O536" s="106" t="n"/>
      <c r="P536" s="105" t="n"/>
      <c r="Q536" s="107" t="n"/>
      <c r="R536" s="105" t="n"/>
      <c r="S536" s="107" t="n"/>
      <c r="T536" s="108">
        <f>IFERROR(L536+M536+N536+O536+IFERROR(AC536,0)+IFERROR(AD536,0)+IFERROR(AE536,0)+IFERROR(AF536,0)+IFERROR(AG536,0),0)</f>
        <v/>
      </c>
      <c r="U536" s="108">
        <f>IFERROR(H536+IFERROR(I536,0)+T536+IFERROR(V536,0),0)</f>
        <v/>
      </c>
    </row>
    <row r="537" ht="15" customHeight="1" s="199">
      <c r="A537" s="104" t="n"/>
      <c r="B537" s="104" t="n"/>
      <c r="C537" s="104" t="n"/>
      <c r="D537" s="105" t="n"/>
      <c r="E537" s="105" t="n"/>
      <c r="F537" s="105" t="n"/>
      <c r="G537" s="106" t="n"/>
      <c r="H537" s="106" t="n"/>
      <c r="I537" s="106" t="n"/>
      <c r="J537" s="107" t="n"/>
      <c r="K537" s="105" t="n"/>
      <c r="L537" s="106" t="n"/>
      <c r="M537" s="106" t="n"/>
      <c r="N537" s="106" t="n"/>
      <c r="O537" s="106" t="n"/>
      <c r="P537" s="105" t="n"/>
      <c r="Q537" s="107" t="n"/>
      <c r="R537" s="105" t="n"/>
      <c r="S537" s="107" t="n"/>
      <c r="T537" s="108">
        <f>IFERROR(L537+M537+N537+O537+IFERROR(AC537,0)+IFERROR(AD537,0)+IFERROR(AE537,0)+IFERROR(AF537,0)+IFERROR(AG537,0),0)</f>
        <v/>
      </c>
      <c r="U537" s="108">
        <f>IFERROR(H537+IFERROR(I537,0)+T537+IFERROR(V537,0),0)</f>
        <v/>
      </c>
    </row>
    <row r="538" ht="15" customHeight="1" s="199">
      <c r="A538" s="104" t="n"/>
      <c r="B538" s="104" t="n"/>
      <c r="C538" s="104" t="n"/>
      <c r="D538" s="105" t="n"/>
      <c r="E538" s="105" t="n"/>
      <c r="F538" s="105" t="n"/>
      <c r="G538" s="106" t="n"/>
      <c r="H538" s="106" t="n"/>
      <c r="I538" s="106" t="n"/>
      <c r="J538" s="107" t="n"/>
      <c r="K538" s="105" t="n"/>
      <c r="L538" s="106" t="n"/>
      <c r="M538" s="106" t="n"/>
      <c r="N538" s="106" t="n"/>
      <c r="O538" s="106" t="n"/>
      <c r="P538" s="105" t="n"/>
      <c r="Q538" s="107" t="n"/>
      <c r="R538" s="105" t="n"/>
      <c r="S538" s="107" t="n"/>
      <c r="T538" s="108">
        <f>IFERROR(L538+M538+N538+O538+IFERROR(AC538,0)+IFERROR(AD538,0)+IFERROR(AE538,0)+IFERROR(AF538,0)+IFERROR(AG538,0),0)</f>
        <v/>
      </c>
      <c r="U538" s="108">
        <f>IFERROR(H538+IFERROR(I538,0)+T538+IFERROR(V538,0),0)</f>
        <v/>
      </c>
    </row>
    <row r="539" ht="15" customHeight="1" s="199">
      <c r="A539" s="104" t="n"/>
      <c r="B539" s="104" t="n"/>
      <c r="C539" s="104" t="n"/>
      <c r="D539" s="105" t="n"/>
      <c r="E539" s="105" t="n"/>
      <c r="F539" s="105" t="n"/>
      <c r="G539" s="106" t="n"/>
      <c r="H539" s="106" t="n"/>
      <c r="I539" s="106" t="n"/>
      <c r="J539" s="107" t="n"/>
      <c r="K539" s="105" t="n"/>
      <c r="L539" s="106" t="n"/>
      <c r="M539" s="106" t="n"/>
      <c r="N539" s="106" t="n"/>
      <c r="O539" s="106" t="n"/>
      <c r="P539" s="105" t="n"/>
      <c r="Q539" s="107" t="n"/>
      <c r="R539" s="105" t="n"/>
      <c r="S539" s="107" t="n"/>
      <c r="T539" s="108">
        <f>IFERROR(L539+M539+N539+O539+IFERROR(AC539,0)+IFERROR(AD539,0)+IFERROR(AE539,0)+IFERROR(AF539,0)+IFERROR(AG539,0),0)</f>
        <v/>
      </c>
      <c r="U539" s="108">
        <f>IFERROR(H539+IFERROR(I539,0)+T539+IFERROR(V539,0),0)</f>
        <v/>
      </c>
    </row>
    <row r="540" ht="15" customHeight="1" s="199">
      <c r="A540" s="104" t="n"/>
      <c r="B540" s="104" t="n"/>
      <c r="C540" s="104" t="n"/>
      <c r="D540" s="105" t="n"/>
      <c r="E540" s="105" t="n"/>
      <c r="F540" s="105" t="n"/>
      <c r="G540" s="106" t="n"/>
      <c r="H540" s="106" t="n"/>
      <c r="I540" s="106" t="n"/>
      <c r="J540" s="107" t="n"/>
      <c r="K540" s="105" t="n"/>
      <c r="L540" s="106" t="n"/>
      <c r="M540" s="106" t="n"/>
      <c r="N540" s="106" t="n"/>
      <c r="O540" s="106" t="n"/>
      <c r="P540" s="105" t="n"/>
      <c r="Q540" s="107" t="n"/>
      <c r="R540" s="105" t="n"/>
      <c r="S540" s="107" t="n"/>
      <c r="T540" s="108">
        <f>IFERROR(L540+M540+N540+O540+IFERROR(AC540,0)+IFERROR(AD540,0)+IFERROR(AE540,0)+IFERROR(AF540,0)+IFERROR(AG540,0),0)</f>
        <v/>
      </c>
      <c r="U540" s="108">
        <f>IFERROR(H540+IFERROR(I540,0)+T540+IFERROR(V540,0),0)</f>
        <v/>
      </c>
    </row>
    <row r="541" ht="15" customHeight="1" s="199">
      <c r="A541" s="104" t="n"/>
      <c r="B541" s="104" t="n"/>
      <c r="C541" s="104" t="n"/>
      <c r="D541" s="105" t="n"/>
      <c r="E541" s="105" t="n"/>
      <c r="F541" s="105" t="n"/>
      <c r="G541" s="106" t="n"/>
      <c r="H541" s="106" t="n"/>
      <c r="I541" s="106" t="n"/>
      <c r="J541" s="107" t="n"/>
      <c r="K541" s="105" t="n"/>
      <c r="L541" s="106" t="n"/>
      <c r="M541" s="106" t="n"/>
      <c r="N541" s="106" t="n"/>
      <c r="O541" s="106" t="n"/>
      <c r="P541" s="105" t="n"/>
      <c r="Q541" s="107" t="n"/>
      <c r="R541" s="105" t="n"/>
      <c r="S541" s="107" t="n"/>
      <c r="T541" s="108">
        <f>IFERROR(L541+M541+N541+O541+IFERROR(AC541,0)+IFERROR(AD541,0)+IFERROR(AE541,0)+IFERROR(AF541,0)+IFERROR(AG541,0),0)</f>
        <v/>
      </c>
      <c r="U541" s="108">
        <f>IFERROR(H541+IFERROR(I541,0)+T541+IFERROR(V541,0),0)</f>
        <v/>
      </c>
    </row>
    <row r="542" ht="15" customHeight="1" s="199">
      <c r="A542" s="104" t="n"/>
      <c r="B542" s="104" t="n"/>
      <c r="C542" s="104" t="n"/>
      <c r="D542" s="105" t="n"/>
      <c r="E542" s="105" t="n"/>
      <c r="F542" s="105" t="n"/>
      <c r="G542" s="106" t="n"/>
      <c r="H542" s="106" t="n"/>
      <c r="I542" s="106" t="n"/>
      <c r="J542" s="107" t="n"/>
      <c r="K542" s="105" t="n"/>
      <c r="L542" s="106" t="n"/>
      <c r="M542" s="106" t="n"/>
      <c r="N542" s="106" t="n"/>
      <c r="O542" s="106" t="n"/>
      <c r="P542" s="105" t="n"/>
      <c r="Q542" s="107" t="n"/>
      <c r="R542" s="105" t="n"/>
      <c r="S542" s="107" t="n"/>
      <c r="T542" s="108">
        <f>IFERROR(L542+M542+N542+O542+IFERROR(AC542,0)+IFERROR(AD542,0)+IFERROR(AE542,0)+IFERROR(AF542,0)+IFERROR(AG542,0),0)</f>
        <v/>
      </c>
      <c r="U542" s="108">
        <f>IFERROR(H542+IFERROR(I542,0)+T542+IFERROR(V542,0),0)</f>
        <v/>
      </c>
    </row>
    <row r="543" ht="15" customHeight="1" s="199">
      <c r="A543" s="104" t="n"/>
      <c r="B543" s="104" t="n"/>
      <c r="C543" s="104" t="n"/>
      <c r="D543" s="105" t="n"/>
      <c r="E543" s="105" t="n"/>
      <c r="F543" s="105" t="n"/>
      <c r="G543" s="106" t="n"/>
      <c r="H543" s="106" t="n"/>
      <c r="I543" s="106" t="n"/>
      <c r="J543" s="107" t="n"/>
      <c r="K543" s="105" t="n"/>
      <c r="L543" s="106" t="n"/>
      <c r="M543" s="106" t="n"/>
      <c r="N543" s="106" t="n"/>
      <c r="O543" s="106" t="n"/>
      <c r="P543" s="105" t="n"/>
      <c r="Q543" s="107" t="n"/>
      <c r="R543" s="105" t="n"/>
      <c r="S543" s="107" t="n"/>
      <c r="T543" s="108">
        <f>IFERROR(L543+M543+N543+O543+IFERROR(AC543,0)+IFERROR(AD543,0)+IFERROR(AE543,0)+IFERROR(AF543,0)+IFERROR(AG543,0),0)</f>
        <v/>
      </c>
      <c r="U543" s="108">
        <f>IFERROR(H543+IFERROR(I543,0)+T543+IFERROR(V543,0),0)</f>
        <v/>
      </c>
    </row>
    <row r="544" ht="15" customHeight="1" s="199">
      <c r="A544" s="104" t="n"/>
      <c r="B544" s="104" t="n"/>
      <c r="C544" s="104" t="n"/>
      <c r="D544" s="105" t="n"/>
      <c r="E544" s="105" t="n"/>
      <c r="F544" s="105" t="n"/>
      <c r="G544" s="106" t="n"/>
      <c r="H544" s="106" t="n"/>
      <c r="I544" s="106" t="n"/>
      <c r="J544" s="107" t="n"/>
      <c r="K544" s="105" t="n"/>
      <c r="L544" s="106" t="n"/>
      <c r="M544" s="106" t="n"/>
      <c r="N544" s="106" t="n"/>
      <c r="O544" s="106" t="n"/>
      <c r="P544" s="105" t="n"/>
      <c r="Q544" s="107" t="n"/>
      <c r="R544" s="105" t="n"/>
      <c r="S544" s="107" t="n"/>
      <c r="T544" s="108">
        <f>IFERROR(L544+M544+N544+O544+IFERROR(AC544,0)+IFERROR(AD544,0)+IFERROR(AE544,0)+IFERROR(AF544,0)+IFERROR(AG544,0),0)</f>
        <v/>
      </c>
      <c r="U544" s="108">
        <f>IFERROR(H544+IFERROR(I544,0)+T544+IFERROR(V544,0),0)</f>
        <v/>
      </c>
    </row>
    <row r="545" ht="15" customHeight="1" s="199">
      <c r="A545" s="104" t="n"/>
      <c r="B545" s="104" t="n"/>
      <c r="C545" s="104" t="n"/>
      <c r="D545" s="105" t="n"/>
      <c r="E545" s="105" t="n"/>
      <c r="F545" s="105" t="n"/>
      <c r="G545" s="106" t="n"/>
      <c r="H545" s="106" t="n"/>
      <c r="I545" s="106" t="n"/>
      <c r="J545" s="107" t="n"/>
      <c r="K545" s="105" t="n"/>
      <c r="L545" s="106" t="n"/>
      <c r="M545" s="106" t="n"/>
      <c r="N545" s="106" t="n"/>
      <c r="O545" s="106" t="n"/>
      <c r="P545" s="105" t="n"/>
      <c r="Q545" s="107" t="n"/>
      <c r="R545" s="105" t="n"/>
      <c r="S545" s="107" t="n"/>
      <c r="T545" s="108">
        <f>IFERROR(L545+M545+N545+O545+IFERROR(AC545,0)+IFERROR(AD545,0)+IFERROR(AE545,0)+IFERROR(AF545,0)+IFERROR(AG545,0),0)</f>
        <v/>
      </c>
      <c r="U545" s="108">
        <f>IFERROR(H545+IFERROR(I545,0)+T545+IFERROR(V545,0),0)</f>
        <v/>
      </c>
    </row>
    <row r="546" ht="15" customHeight="1" s="199">
      <c r="A546" s="104" t="n"/>
      <c r="B546" s="104" t="n"/>
      <c r="C546" s="104" t="n"/>
      <c r="D546" s="105" t="n"/>
      <c r="E546" s="105" t="n"/>
      <c r="F546" s="105" t="n"/>
      <c r="G546" s="106" t="n"/>
      <c r="H546" s="106" t="n"/>
      <c r="I546" s="106" t="n"/>
      <c r="J546" s="107" t="n"/>
      <c r="K546" s="105" t="n"/>
      <c r="L546" s="106" t="n"/>
      <c r="M546" s="106" t="n"/>
      <c r="N546" s="106" t="n"/>
      <c r="O546" s="106" t="n"/>
      <c r="P546" s="105" t="n"/>
      <c r="Q546" s="107" t="n"/>
      <c r="R546" s="105" t="n"/>
      <c r="S546" s="107" t="n"/>
      <c r="T546" s="108">
        <f>IFERROR(L546+M546+N546+O546+IFERROR(AC546,0)+IFERROR(AD546,0)+IFERROR(AE546,0)+IFERROR(AF546,0)+IFERROR(AG546,0),0)</f>
        <v/>
      </c>
      <c r="U546" s="108">
        <f>IFERROR(H546+IFERROR(I546,0)+T546+IFERROR(V546,0),0)</f>
        <v/>
      </c>
    </row>
    <row r="547" ht="15" customHeight="1" s="199">
      <c r="A547" s="104" t="n"/>
      <c r="B547" s="104" t="n"/>
      <c r="C547" s="104" t="n"/>
      <c r="D547" s="105" t="n"/>
      <c r="E547" s="105" t="n"/>
      <c r="F547" s="105" t="n"/>
      <c r="G547" s="106" t="n"/>
      <c r="H547" s="106" t="n"/>
      <c r="I547" s="106" t="n"/>
      <c r="J547" s="107" t="n"/>
      <c r="K547" s="105" t="n"/>
      <c r="L547" s="106" t="n"/>
      <c r="M547" s="106" t="n"/>
      <c r="N547" s="106" t="n"/>
      <c r="O547" s="106" t="n"/>
      <c r="P547" s="105" t="n"/>
      <c r="Q547" s="107" t="n"/>
      <c r="R547" s="105" t="n"/>
      <c r="S547" s="107" t="n"/>
      <c r="T547" s="108">
        <f>IFERROR(L547+M547+N547+O547+IFERROR(AC547,0)+IFERROR(AD547,0)+IFERROR(AE547,0)+IFERROR(AF547,0)+IFERROR(AG547,0),0)</f>
        <v/>
      </c>
      <c r="U547" s="108">
        <f>IFERROR(H547+IFERROR(I547,0)+T547+IFERROR(V547,0),0)</f>
        <v/>
      </c>
    </row>
    <row r="548" ht="15" customHeight="1" s="199">
      <c r="A548" s="104" t="n"/>
      <c r="B548" s="104" t="n"/>
      <c r="C548" s="104" t="n"/>
      <c r="D548" s="105" t="n"/>
      <c r="E548" s="105" t="n"/>
      <c r="F548" s="105" t="n"/>
      <c r="G548" s="106" t="n"/>
      <c r="H548" s="106" t="n"/>
      <c r="I548" s="106" t="n"/>
      <c r="J548" s="107" t="n"/>
      <c r="K548" s="105" t="n"/>
      <c r="L548" s="106" t="n"/>
      <c r="M548" s="106" t="n"/>
      <c r="N548" s="106" t="n"/>
      <c r="O548" s="106" t="n"/>
      <c r="P548" s="105" t="n"/>
      <c r="Q548" s="107" t="n"/>
      <c r="R548" s="105" t="n"/>
      <c r="S548" s="107" t="n"/>
      <c r="T548" s="108">
        <f>IFERROR(L548+M548+N548+O548+IFERROR(AC548,0)+IFERROR(AD548,0)+IFERROR(AE548,0)+IFERROR(AF548,0)+IFERROR(AG548,0),0)</f>
        <v/>
      </c>
      <c r="U548" s="108">
        <f>IFERROR(H548+IFERROR(I548,0)+T548+IFERROR(V548,0),0)</f>
        <v/>
      </c>
    </row>
    <row r="549" ht="15" customHeight="1" s="199">
      <c r="A549" s="104" t="n"/>
      <c r="B549" s="104" t="n"/>
      <c r="C549" s="104" t="n"/>
      <c r="D549" s="105" t="n"/>
      <c r="E549" s="105" t="n"/>
      <c r="F549" s="105" t="n"/>
      <c r="G549" s="106" t="n"/>
      <c r="H549" s="106" t="n"/>
      <c r="I549" s="106" t="n"/>
      <c r="J549" s="107" t="n"/>
      <c r="K549" s="105" t="n"/>
      <c r="L549" s="106" t="n"/>
      <c r="M549" s="106" t="n"/>
      <c r="N549" s="106" t="n"/>
      <c r="O549" s="106" t="n"/>
      <c r="P549" s="105" t="n"/>
      <c r="Q549" s="107" t="n"/>
      <c r="R549" s="105" t="n"/>
      <c r="S549" s="107" t="n"/>
      <c r="T549" s="108">
        <f>IFERROR(L549+M549+N549+O549+IFERROR(AC549,0)+IFERROR(AD549,0)+IFERROR(AE549,0)+IFERROR(AF549,0)+IFERROR(AG549,0),0)</f>
        <v/>
      </c>
      <c r="U549" s="108">
        <f>IFERROR(H549+IFERROR(I549,0)+T549+IFERROR(V549,0),0)</f>
        <v/>
      </c>
    </row>
    <row r="550" ht="15" customHeight="1" s="199">
      <c r="A550" s="104" t="n"/>
      <c r="B550" s="104" t="n"/>
      <c r="C550" s="104" t="n"/>
      <c r="D550" s="105" t="n"/>
      <c r="E550" s="105" t="n"/>
      <c r="F550" s="105" t="n"/>
      <c r="G550" s="106" t="n"/>
      <c r="H550" s="106" t="n"/>
      <c r="I550" s="106" t="n"/>
      <c r="J550" s="107" t="n"/>
      <c r="K550" s="105" t="n"/>
      <c r="L550" s="106" t="n"/>
      <c r="M550" s="106" t="n"/>
      <c r="N550" s="106" t="n"/>
      <c r="O550" s="106" t="n"/>
      <c r="P550" s="105" t="n"/>
      <c r="Q550" s="107" t="n"/>
      <c r="R550" s="105" t="n"/>
      <c r="S550" s="107" t="n"/>
      <c r="T550" s="108">
        <f>IFERROR(L550+M550+N550+O550+IFERROR(AC550,0)+IFERROR(AD550,0)+IFERROR(AE550,0)+IFERROR(AF550,0)+IFERROR(AG550,0),0)</f>
        <v/>
      </c>
      <c r="U550" s="108">
        <f>IFERROR(H550+IFERROR(I550,0)+T550+IFERROR(V550,0),0)</f>
        <v/>
      </c>
    </row>
    <row r="551" ht="15" customHeight="1" s="199">
      <c r="A551" s="104" t="n"/>
      <c r="B551" s="104" t="n"/>
      <c r="C551" s="104" t="n"/>
      <c r="D551" s="105" t="n"/>
      <c r="E551" s="105" t="n"/>
      <c r="F551" s="105" t="n"/>
      <c r="G551" s="106" t="n"/>
      <c r="H551" s="106" t="n"/>
      <c r="I551" s="106" t="n"/>
      <c r="J551" s="107" t="n"/>
      <c r="K551" s="105" t="n"/>
      <c r="L551" s="106" t="n"/>
      <c r="M551" s="106" t="n"/>
      <c r="N551" s="106" t="n"/>
      <c r="O551" s="106" t="n"/>
      <c r="P551" s="105" t="n"/>
      <c r="Q551" s="107" t="n"/>
      <c r="R551" s="105" t="n"/>
      <c r="S551" s="107" t="n"/>
      <c r="T551" s="108">
        <f>IFERROR(L551+M551+N551+O551+IFERROR(AC551,0)+IFERROR(AD551,0)+IFERROR(AE551,0)+IFERROR(AF551,0)+IFERROR(AG551,0),0)</f>
        <v/>
      </c>
      <c r="U551" s="108">
        <f>IFERROR(H551+IFERROR(I551,0)+T551+IFERROR(V551,0),0)</f>
        <v/>
      </c>
    </row>
    <row r="552" ht="15" customHeight="1" s="199">
      <c r="A552" s="104" t="n"/>
      <c r="B552" s="104" t="n"/>
      <c r="C552" s="104" t="n"/>
      <c r="D552" s="105" t="n"/>
      <c r="E552" s="105" t="n"/>
      <c r="F552" s="105" t="n"/>
      <c r="G552" s="106" t="n"/>
      <c r="H552" s="106" t="n"/>
      <c r="I552" s="106" t="n"/>
      <c r="J552" s="107" t="n"/>
      <c r="K552" s="105" t="n"/>
      <c r="L552" s="106" t="n"/>
      <c r="M552" s="106" t="n"/>
      <c r="N552" s="106" t="n"/>
      <c r="O552" s="106" t="n"/>
      <c r="P552" s="105" t="n"/>
      <c r="Q552" s="107" t="n"/>
      <c r="R552" s="105" t="n"/>
      <c r="S552" s="107" t="n"/>
      <c r="T552" s="108">
        <f>IFERROR(L552+M552+N552+O552+IFERROR(AC552,0)+IFERROR(AD552,0)+IFERROR(AE552,0)+IFERROR(AF552,0)+IFERROR(AG552,0),0)</f>
        <v/>
      </c>
      <c r="U552" s="108">
        <f>IFERROR(H552+IFERROR(I552,0)+T552+IFERROR(V552,0),0)</f>
        <v/>
      </c>
    </row>
    <row r="553" ht="15" customHeight="1" s="199">
      <c r="A553" s="104" t="n"/>
      <c r="B553" s="104" t="n"/>
      <c r="C553" s="104" t="n"/>
      <c r="D553" s="105" t="n"/>
      <c r="E553" s="105" t="n"/>
      <c r="F553" s="105" t="n"/>
      <c r="G553" s="106" t="n"/>
      <c r="H553" s="106" t="n"/>
      <c r="I553" s="106" t="n"/>
      <c r="J553" s="107" t="n"/>
      <c r="K553" s="105" t="n"/>
      <c r="L553" s="106" t="n"/>
      <c r="M553" s="106" t="n"/>
      <c r="N553" s="106" t="n"/>
      <c r="O553" s="106" t="n"/>
      <c r="P553" s="105" t="n"/>
      <c r="Q553" s="107" t="n"/>
      <c r="R553" s="105" t="n"/>
      <c r="S553" s="107" t="n"/>
      <c r="T553" s="108">
        <f>IFERROR(L553+M553+N553+O553+IFERROR(AC553,0)+IFERROR(AD553,0)+IFERROR(AE553,0)+IFERROR(AF553,0)+IFERROR(AG553,0),0)</f>
        <v/>
      </c>
      <c r="U553" s="108">
        <f>IFERROR(H553+IFERROR(I553,0)+T553+IFERROR(V553,0),0)</f>
        <v/>
      </c>
    </row>
    <row r="554" ht="15" customHeight="1" s="199">
      <c r="A554" s="104" t="n"/>
      <c r="B554" s="104" t="n"/>
      <c r="C554" s="104" t="n"/>
      <c r="D554" s="105" t="n"/>
      <c r="E554" s="105" t="n"/>
      <c r="F554" s="105" t="n"/>
      <c r="G554" s="106" t="n"/>
      <c r="H554" s="106" t="n"/>
      <c r="I554" s="106" t="n"/>
      <c r="J554" s="107" t="n"/>
      <c r="K554" s="105" t="n"/>
      <c r="L554" s="106" t="n"/>
      <c r="M554" s="106" t="n"/>
      <c r="N554" s="106" t="n"/>
      <c r="O554" s="106" t="n"/>
      <c r="P554" s="105" t="n"/>
      <c r="Q554" s="107" t="n"/>
      <c r="R554" s="105" t="n"/>
      <c r="S554" s="107" t="n"/>
      <c r="T554" s="108">
        <f>IFERROR(L554+M554+N554+O554+IFERROR(AC554,0)+IFERROR(AD554,0)+IFERROR(AE554,0)+IFERROR(AF554,0)+IFERROR(AG554,0),0)</f>
        <v/>
      </c>
      <c r="U554" s="108">
        <f>IFERROR(H554+IFERROR(I554,0)+T554+IFERROR(V554,0),0)</f>
        <v/>
      </c>
    </row>
    <row r="555" ht="15" customHeight="1" s="199">
      <c r="A555" s="104" t="n"/>
      <c r="B555" s="104" t="n"/>
      <c r="C555" s="104" t="n"/>
      <c r="D555" s="105" t="n"/>
      <c r="E555" s="105" t="n"/>
      <c r="F555" s="105" t="n"/>
      <c r="G555" s="106" t="n"/>
      <c r="H555" s="106" t="n"/>
      <c r="I555" s="106" t="n"/>
      <c r="J555" s="107" t="n"/>
      <c r="K555" s="105" t="n"/>
      <c r="L555" s="106" t="n"/>
      <c r="M555" s="106" t="n"/>
      <c r="N555" s="106" t="n"/>
      <c r="O555" s="106" t="n"/>
      <c r="P555" s="105" t="n"/>
      <c r="Q555" s="107" t="n"/>
      <c r="R555" s="105" t="n"/>
      <c r="S555" s="107" t="n"/>
      <c r="T555" s="108">
        <f>IFERROR(L555+M555+N555+O555+IFERROR(AC555,0)+IFERROR(AD555,0)+IFERROR(AE555,0)+IFERROR(AF555,0)+IFERROR(AG555,0),0)</f>
        <v/>
      </c>
      <c r="U555" s="108">
        <f>IFERROR(H555+IFERROR(I555,0)+T555+IFERROR(V555,0),0)</f>
        <v/>
      </c>
    </row>
    <row r="556" ht="15" customHeight="1" s="199">
      <c r="A556" s="104" t="n"/>
      <c r="B556" s="104" t="n"/>
      <c r="C556" s="104" t="n"/>
      <c r="D556" s="105" t="n"/>
      <c r="E556" s="105" t="n"/>
      <c r="F556" s="105" t="n"/>
      <c r="G556" s="106" t="n"/>
      <c r="H556" s="106" t="n"/>
      <c r="I556" s="106" t="n"/>
      <c r="J556" s="107" t="n"/>
      <c r="K556" s="105" t="n"/>
      <c r="L556" s="106" t="n"/>
      <c r="M556" s="106" t="n"/>
      <c r="N556" s="106" t="n"/>
      <c r="O556" s="106" t="n"/>
      <c r="P556" s="105" t="n"/>
      <c r="Q556" s="107" t="n"/>
      <c r="R556" s="105" t="n"/>
      <c r="S556" s="107" t="n"/>
      <c r="T556" s="108">
        <f>IFERROR(L556+M556+N556+O556+IFERROR(AC556,0)+IFERROR(AD556,0)+IFERROR(AE556,0)+IFERROR(AF556,0)+IFERROR(AG556,0),0)</f>
        <v/>
      </c>
      <c r="U556" s="108">
        <f>IFERROR(H556+IFERROR(I556,0)+T556+IFERROR(V556,0),0)</f>
        <v/>
      </c>
    </row>
    <row r="557" ht="15" customHeight="1" s="199">
      <c r="A557" s="104" t="n"/>
      <c r="B557" s="104" t="n"/>
      <c r="C557" s="104" t="n"/>
      <c r="D557" s="105" t="n"/>
      <c r="E557" s="105" t="n"/>
      <c r="F557" s="105" t="n"/>
      <c r="G557" s="106" t="n"/>
      <c r="H557" s="106" t="n"/>
      <c r="I557" s="106" t="n"/>
      <c r="J557" s="107" t="n"/>
      <c r="K557" s="105" t="n"/>
      <c r="L557" s="106" t="n"/>
      <c r="M557" s="106" t="n"/>
      <c r="N557" s="106" t="n"/>
      <c r="O557" s="106" t="n"/>
      <c r="P557" s="105" t="n"/>
      <c r="Q557" s="107" t="n"/>
      <c r="R557" s="105" t="n"/>
      <c r="S557" s="107" t="n"/>
      <c r="T557" s="108">
        <f>IFERROR(L557+M557+N557+O557+IFERROR(AC557,0)+IFERROR(AD557,0)+IFERROR(AE557,0)+IFERROR(AF557,0)+IFERROR(AG557,0),0)</f>
        <v/>
      </c>
      <c r="U557" s="108">
        <f>IFERROR(H557+IFERROR(I557,0)+T557+IFERROR(V557,0),0)</f>
        <v/>
      </c>
    </row>
    <row r="558" ht="15" customHeight="1" s="199">
      <c r="A558" s="104" t="n"/>
      <c r="B558" s="104" t="n"/>
      <c r="C558" s="104" t="n"/>
      <c r="D558" s="105" t="n"/>
      <c r="E558" s="105" t="n"/>
      <c r="F558" s="105" t="n"/>
      <c r="G558" s="106" t="n"/>
      <c r="H558" s="106" t="n"/>
      <c r="I558" s="106" t="n"/>
      <c r="J558" s="107" t="n"/>
      <c r="K558" s="105" t="n"/>
      <c r="L558" s="106" t="n"/>
      <c r="M558" s="106" t="n"/>
      <c r="N558" s="106" t="n"/>
      <c r="O558" s="106" t="n"/>
      <c r="P558" s="105" t="n"/>
      <c r="Q558" s="107" t="n"/>
      <c r="R558" s="105" t="n"/>
      <c r="S558" s="107" t="n"/>
      <c r="T558" s="108">
        <f>IFERROR(L558+M558+N558+O558+IFERROR(AC558,0)+IFERROR(AD558,0)+IFERROR(AE558,0)+IFERROR(AF558,0)+IFERROR(AG558,0),0)</f>
        <v/>
      </c>
      <c r="U558" s="108">
        <f>IFERROR(H558+IFERROR(I558,0)+T558+IFERROR(V558,0),0)</f>
        <v/>
      </c>
    </row>
    <row r="559" ht="15" customHeight="1" s="199">
      <c r="A559" s="104" t="n"/>
      <c r="B559" s="104" t="n"/>
      <c r="C559" s="104" t="n"/>
      <c r="D559" s="105" t="n"/>
      <c r="E559" s="105" t="n"/>
      <c r="F559" s="105" t="n"/>
      <c r="G559" s="106" t="n"/>
      <c r="H559" s="106" t="n"/>
      <c r="I559" s="106" t="n"/>
      <c r="J559" s="107" t="n"/>
      <c r="K559" s="105" t="n"/>
      <c r="L559" s="106" t="n"/>
      <c r="M559" s="106" t="n"/>
      <c r="N559" s="106" t="n"/>
      <c r="O559" s="106" t="n"/>
      <c r="P559" s="105" t="n"/>
      <c r="Q559" s="107" t="n"/>
      <c r="R559" s="105" t="n"/>
      <c r="S559" s="107" t="n"/>
      <c r="T559" s="108">
        <f>IFERROR(L559+M559+N559+O559+IFERROR(AC559,0)+IFERROR(AD559,0)+IFERROR(AE559,0)+IFERROR(AF559,0)+IFERROR(AG559,0),0)</f>
        <v/>
      </c>
      <c r="U559" s="108">
        <f>IFERROR(H559+IFERROR(I559,0)+T559+IFERROR(V559,0),0)</f>
        <v/>
      </c>
    </row>
    <row r="560" ht="15" customHeight="1" s="199">
      <c r="A560" s="104" t="n"/>
      <c r="B560" s="104" t="n"/>
      <c r="C560" s="104" t="n"/>
      <c r="D560" s="105" t="n"/>
      <c r="E560" s="105" t="n"/>
      <c r="F560" s="105" t="n"/>
      <c r="G560" s="106" t="n"/>
      <c r="H560" s="106" t="n"/>
      <c r="I560" s="106" t="n"/>
      <c r="J560" s="107" t="n"/>
      <c r="K560" s="105" t="n"/>
      <c r="L560" s="106" t="n"/>
      <c r="M560" s="106" t="n"/>
      <c r="N560" s="106" t="n"/>
      <c r="O560" s="106" t="n"/>
      <c r="P560" s="105" t="n"/>
      <c r="Q560" s="107" t="n"/>
      <c r="R560" s="105" t="n"/>
      <c r="S560" s="107" t="n"/>
      <c r="T560" s="108">
        <f>IFERROR(L560+M560+N560+O560+IFERROR(AC560,0)+IFERROR(AD560,0)+IFERROR(AE560,0)+IFERROR(AF560,0)+IFERROR(AG560,0),0)</f>
        <v/>
      </c>
      <c r="U560" s="108">
        <f>IFERROR(H560+IFERROR(I560,0)+T560+IFERROR(V560,0),0)</f>
        <v/>
      </c>
    </row>
    <row r="561" ht="15" customHeight="1" s="199">
      <c r="A561" s="104" t="n"/>
      <c r="B561" s="104" t="n"/>
      <c r="C561" s="104" t="n"/>
      <c r="D561" s="105" t="n"/>
      <c r="E561" s="105" t="n"/>
      <c r="F561" s="105" t="n"/>
      <c r="G561" s="106" t="n"/>
      <c r="H561" s="106" t="n"/>
      <c r="I561" s="106" t="n"/>
      <c r="J561" s="107" t="n"/>
      <c r="K561" s="105" t="n"/>
      <c r="L561" s="106" t="n"/>
      <c r="M561" s="106" t="n"/>
      <c r="N561" s="106" t="n"/>
      <c r="O561" s="106" t="n"/>
      <c r="P561" s="105" t="n"/>
      <c r="Q561" s="107" t="n"/>
      <c r="R561" s="105" t="n"/>
      <c r="S561" s="107" t="n"/>
      <c r="T561" s="108">
        <f>IFERROR(L561+M561+N561+O561+IFERROR(AC561,0)+IFERROR(AD561,0)+IFERROR(AE561,0)+IFERROR(AF561,0)+IFERROR(AG561,0),0)</f>
        <v/>
      </c>
      <c r="U561" s="108">
        <f>IFERROR(H561+IFERROR(I561,0)+T561+IFERROR(V561,0),0)</f>
        <v/>
      </c>
    </row>
    <row r="562" ht="15" customHeight="1" s="199">
      <c r="A562" s="104" t="n"/>
      <c r="B562" s="104" t="n"/>
      <c r="C562" s="104" t="n"/>
      <c r="D562" s="105" t="n"/>
      <c r="E562" s="105" t="n"/>
      <c r="F562" s="105" t="n"/>
      <c r="G562" s="106" t="n"/>
      <c r="H562" s="106" t="n"/>
      <c r="I562" s="106" t="n"/>
      <c r="J562" s="107" t="n"/>
      <c r="K562" s="105" t="n"/>
      <c r="L562" s="106" t="n"/>
      <c r="M562" s="106" t="n"/>
      <c r="N562" s="106" t="n"/>
      <c r="O562" s="106" t="n"/>
      <c r="P562" s="105" t="n"/>
      <c r="Q562" s="107" t="n"/>
      <c r="R562" s="105" t="n"/>
      <c r="S562" s="107" t="n"/>
      <c r="T562" s="108">
        <f>IFERROR(L562+M562+N562+O562+IFERROR(AC562,0)+IFERROR(AD562,0)+IFERROR(AE562,0)+IFERROR(AF562,0)+IFERROR(AG562,0),0)</f>
        <v/>
      </c>
      <c r="U562" s="108">
        <f>IFERROR(H562+IFERROR(I562,0)+T562+IFERROR(V562,0),0)</f>
        <v/>
      </c>
    </row>
    <row r="563" ht="15" customHeight="1" s="199">
      <c r="A563" s="104" t="n"/>
      <c r="B563" s="104" t="n"/>
      <c r="C563" s="104" t="n"/>
      <c r="D563" s="105" t="n"/>
      <c r="E563" s="105" t="n"/>
      <c r="F563" s="105" t="n"/>
      <c r="G563" s="106" t="n"/>
      <c r="H563" s="106" t="n"/>
      <c r="I563" s="106" t="n"/>
      <c r="J563" s="107" t="n"/>
      <c r="K563" s="105" t="n"/>
      <c r="L563" s="106" t="n"/>
      <c r="M563" s="106" t="n"/>
      <c r="N563" s="106" t="n"/>
      <c r="O563" s="106" t="n"/>
      <c r="P563" s="105" t="n"/>
      <c r="Q563" s="107" t="n"/>
      <c r="R563" s="105" t="n"/>
      <c r="S563" s="107" t="n"/>
      <c r="T563" s="108">
        <f>IFERROR(L563+M563+N563+O563+IFERROR(AC563,0)+IFERROR(AD563,0)+IFERROR(AE563,0)+IFERROR(AF563,0)+IFERROR(AG563,0),0)</f>
        <v/>
      </c>
      <c r="U563" s="108">
        <f>IFERROR(H563+IFERROR(I563,0)+T563+IFERROR(V563,0),0)</f>
        <v/>
      </c>
    </row>
    <row r="564" ht="15" customHeight="1" s="199">
      <c r="A564" s="104" t="n"/>
      <c r="B564" s="104" t="n"/>
      <c r="C564" s="104" t="n"/>
      <c r="D564" s="105" t="n"/>
      <c r="E564" s="105" t="n"/>
      <c r="F564" s="105" t="n"/>
      <c r="G564" s="106" t="n"/>
      <c r="H564" s="106" t="n"/>
      <c r="I564" s="106" t="n"/>
      <c r="J564" s="107" t="n"/>
      <c r="K564" s="105" t="n"/>
      <c r="L564" s="106" t="n"/>
      <c r="M564" s="106" t="n"/>
      <c r="N564" s="106" t="n"/>
      <c r="O564" s="106" t="n"/>
      <c r="P564" s="105" t="n"/>
      <c r="Q564" s="107" t="n"/>
      <c r="R564" s="105" t="n"/>
      <c r="S564" s="107" t="n"/>
      <c r="T564" s="108">
        <f>IFERROR(L564+M564+N564+O564+IFERROR(AC564,0)+IFERROR(AD564,0)+IFERROR(AE564,0)+IFERROR(AF564,0)+IFERROR(AG564,0),0)</f>
        <v/>
      </c>
      <c r="U564" s="108">
        <f>IFERROR(H564+IFERROR(I564,0)+T564+IFERROR(V564,0),0)</f>
        <v/>
      </c>
    </row>
    <row r="565" ht="15" customHeight="1" s="199">
      <c r="A565" s="104" t="n"/>
      <c r="B565" s="104" t="n"/>
      <c r="C565" s="104" t="n"/>
      <c r="D565" s="105" t="n"/>
      <c r="E565" s="105" t="n"/>
      <c r="F565" s="105" t="n"/>
      <c r="G565" s="106" t="n"/>
      <c r="H565" s="106" t="n"/>
      <c r="I565" s="106" t="n"/>
      <c r="J565" s="107" t="n"/>
      <c r="K565" s="105" t="n"/>
      <c r="L565" s="106" t="n"/>
      <c r="M565" s="106" t="n"/>
      <c r="N565" s="106" t="n"/>
      <c r="O565" s="106" t="n"/>
      <c r="P565" s="105" t="n"/>
      <c r="Q565" s="107" t="n"/>
      <c r="R565" s="105" t="n"/>
      <c r="S565" s="107" t="n"/>
      <c r="T565" s="108">
        <f>IFERROR(L565+M565+N565+O565+IFERROR(AC565,0)+IFERROR(AD565,0)+IFERROR(AE565,0)+IFERROR(AF565,0)+IFERROR(AG565,0),0)</f>
        <v/>
      </c>
      <c r="U565" s="108">
        <f>IFERROR(H565+IFERROR(I565,0)+T565+IFERROR(V565,0),0)</f>
        <v/>
      </c>
    </row>
    <row r="566" ht="15" customHeight="1" s="199">
      <c r="A566" s="104" t="n"/>
      <c r="B566" s="104" t="n"/>
      <c r="C566" s="104" t="n"/>
      <c r="D566" s="105" t="n"/>
      <c r="E566" s="105" t="n"/>
      <c r="F566" s="105" t="n"/>
      <c r="G566" s="106" t="n"/>
      <c r="H566" s="106" t="n"/>
      <c r="I566" s="106" t="n"/>
      <c r="J566" s="107" t="n"/>
      <c r="K566" s="105" t="n"/>
      <c r="L566" s="106" t="n"/>
      <c r="M566" s="106" t="n"/>
      <c r="N566" s="106" t="n"/>
      <c r="O566" s="106" t="n"/>
      <c r="P566" s="105" t="n"/>
      <c r="Q566" s="107" t="n"/>
      <c r="R566" s="105" t="n"/>
      <c r="S566" s="107" t="n"/>
      <c r="T566" s="108">
        <f>IFERROR(L566+M566+N566+O566+IFERROR(AC566,0)+IFERROR(AD566,0)+IFERROR(AE566,0)+IFERROR(AF566,0)+IFERROR(AG566,0),0)</f>
        <v/>
      </c>
      <c r="U566" s="108">
        <f>IFERROR(H566+IFERROR(I566,0)+T566+IFERROR(V566,0),0)</f>
        <v/>
      </c>
    </row>
    <row r="567" ht="15" customHeight="1" s="199">
      <c r="A567" s="104" t="n"/>
      <c r="B567" s="104" t="n"/>
      <c r="C567" s="104" t="n"/>
      <c r="D567" s="105" t="n"/>
      <c r="E567" s="105" t="n"/>
      <c r="F567" s="105" t="n"/>
      <c r="G567" s="106" t="n"/>
      <c r="H567" s="106" t="n"/>
      <c r="I567" s="106" t="n"/>
      <c r="J567" s="107" t="n"/>
      <c r="K567" s="105" t="n"/>
      <c r="L567" s="106" t="n"/>
      <c r="M567" s="106" t="n"/>
      <c r="N567" s="106" t="n"/>
      <c r="O567" s="106" t="n"/>
      <c r="P567" s="105" t="n"/>
      <c r="Q567" s="107" t="n"/>
      <c r="R567" s="105" t="n"/>
      <c r="S567" s="107" t="n"/>
      <c r="T567" s="108">
        <f>IFERROR(L567+M567+N567+O567+IFERROR(AC567,0)+IFERROR(AD567,0)+IFERROR(AE567,0)+IFERROR(AF567,0)+IFERROR(AG567,0),0)</f>
        <v/>
      </c>
      <c r="U567" s="108">
        <f>IFERROR(H567+IFERROR(I567,0)+T567+IFERROR(V567,0),0)</f>
        <v/>
      </c>
    </row>
    <row r="568" ht="15" customHeight="1" s="199">
      <c r="A568" s="104" t="n"/>
      <c r="B568" s="104" t="n"/>
      <c r="C568" s="104" t="n"/>
      <c r="D568" s="105" t="n"/>
      <c r="E568" s="105" t="n"/>
      <c r="F568" s="105" t="n"/>
      <c r="G568" s="106" t="n"/>
      <c r="H568" s="106" t="n"/>
      <c r="I568" s="106" t="n"/>
      <c r="J568" s="107" t="n"/>
      <c r="K568" s="105" t="n"/>
      <c r="L568" s="106" t="n"/>
      <c r="M568" s="106" t="n"/>
      <c r="N568" s="106" t="n"/>
      <c r="O568" s="106" t="n"/>
      <c r="P568" s="105" t="n"/>
      <c r="Q568" s="107" t="n"/>
      <c r="R568" s="105" t="n"/>
      <c r="S568" s="107" t="n"/>
      <c r="T568" s="108">
        <f>IFERROR(L568+M568+N568+O568+IFERROR(AC568,0)+IFERROR(AD568,0)+IFERROR(AE568,0)+IFERROR(AF568,0)+IFERROR(AG568,0),0)</f>
        <v/>
      </c>
      <c r="U568" s="108">
        <f>IFERROR(H568+IFERROR(I568,0)+T568+IFERROR(V568,0),0)</f>
        <v/>
      </c>
    </row>
    <row r="569" ht="15" customHeight="1" s="199">
      <c r="A569" s="104" t="n"/>
      <c r="B569" s="104" t="n"/>
      <c r="C569" s="104" t="n"/>
      <c r="D569" s="105" t="n"/>
      <c r="E569" s="105" t="n"/>
      <c r="F569" s="105" t="n"/>
      <c r="G569" s="106" t="n"/>
      <c r="H569" s="106" t="n"/>
      <c r="I569" s="106" t="n"/>
      <c r="J569" s="107" t="n"/>
      <c r="K569" s="105" t="n"/>
      <c r="L569" s="106" t="n"/>
      <c r="M569" s="106" t="n"/>
      <c r="N569" s="106" t="n"/>
      <c r="O569" s="106" t="n"/>
      <c r="P569" s="105" t="n"/>
      <c r="Q569" s="107" t="n"/>
      <c r="R569" s="105" t="n"/>
      <c r="S569" s="107" t="n"/>
      <c r="T569" s="108">
        <f>IFERROR(L569+M569+N569+O569+IFERROR(AC569,0)+IFERROR(AD569,0)+IFERROR(AE569,0)+IFERROR(AF569,0)+IFERROR(AG569,0),0)</f>
        <v/>
      </c>
      <c r="U569" s="108">
        <f>IFERROR(H569+IFERROR(I569,0)+T569+IFERROR(V569,0),0)</f>
        <v/>
      </c>
    </row>
    <row r="570" ht="15" customHeight="1" s="199">
      <c r="A570" s="104" t="n"/>
      <c r="B570" s="104" t="n"/>
      <c r="C570" s="104" t="n"/>
      <c r="D570" s="105" t="n"/>
      <c r="E570" s="105" t="n"/>
      <c r="F570" s="105" t="n"/>
      <c r="G570" s="106" t="n"/>
      <c r="H570" s="106" t="n"/>
      <c r="I570" s="106" t="n"/>
      <c r="J570" s="107" t="n"/>
      <c r="K570" s="105" t="n"/>
      <c r="L570" s="106" t="n"/>
      <c r="M570" s="106" t="n"/>
      <c r="N570" s="106" t="n"/>
      <c r="O570" s="106" t="n"/>
      <c r="P570" s="105" t="n"/>
      <c r="Q570" s="107" t="n"/>
      <c r="R570" s="105" t="n"/>
      <c r="S570" s="107" t="n"/>
      <c r="T570" s="108">
        <f>IFERROR(L570+M570+N570+O570+IFERROR(AC570,0)+IFERROR(AD570,0)+IFERROR(AE570,0)+IFERROR(AF570,0)+IFERROR(AG570,0),0)</f>
        <v/>
      </c>
      <c r="U570" s="108">
        <f>IFERROR(H570+IFERROR(I570,0)+T570+IFERROR(V570,0),0)</f>
        <v/>
      </c>
    </row>
    <row r="571" ht="15" customHeight="1" s="199">
      <c r="A571" s="104" t="n"/>
      <c r="B571" s="104" t="n"/>
      <c r="C571" s="104" t="n"/>
      <c r="D571" s="105" t="n"/>
      <c r="E571" s="105" t="n"/>
      <c r="F571" s="105" t="n"/>
      <c r="G571" s="106" t="n"/>
      <c r="H571" s="106" t="n"/>
      <c r="I571" s="106" t="n"/>
      <c r="J571" s="107" t="n"/>
      <c r="K571" s="105" t="n"/>
      <c r="L571" s="106" t="n"/>
      <c r="M571" s="106" t="n"/>
      <c r="N571" s="106" t="n"/>
      <c r="O571" s="106" t="n"/>
      <c r="P571" s="105" t="n"/>
      <c r="Q571" s="107" t="n"/>
      <c r="R571" s="105" t="n"/>
      <c r="S571" s="107" t="n"/>
      <c r="T571" s="108">
        <f>IFERROR(L571+M571+N571+O571+IFERROR(AC571,0)+IFERROR(AD571,0)+IFERROR(AE571,0)+IFERROR(AF571,0)+IFERROR(AG571,0),0)</f>
        <v/>
      </c>
      <c r="U571" s="108">
        <f>IFERROR(H571+IFERROR(I571,0)+T571+IFERROR(V571,0),0)</f>
        <v/>
      </c>
    </row>
    <row r="572" ht="15" customHeight="1" s="199">
      <c r="A572" s="104" t="n"/>
      <c r="B572" s="104" t="n"/>
      <c r="C572" s="104" t="n"/>
      <c r="D572" s="105" t="n"/>
      <c r="E572" s="105" t="n"/>
      <c r="F572" s="105" t="n"/>
      <c r="G572" s="106" t="n"/>
      <c r="H572" s="106" t="n"/>
      <c r="I572" s="106" t="n"/>
      <c r="J572" s="107" t="n"/>
      <c r="K572" s="105" t="n"/>
      <c r="L572" s="106" t="n"/>
      <c r="M572" s="106" t="n"/>
      <c r="N572" s="106" t="n"/>
      <c r="O572" s="106" t="n"/>
      <c r="P572" s="105" t="n"/>
      <c r="Q572" s="107" t="n"/>
      <c r="R572" s="105" t="n"/>
      <c r="S572" s="107" t="n"/>
      <c r="T572" s="108">
        <f>IFERROR(L572+M572+N572+O572+IFERROR(AC572,0)+IFERROR(AD572,0)+IFERROR(AE572,0)+IFERROR(AF572,0)+IFERROR(AG572,0),0)</f>
        <v/>
      </c>
      <c r="U572" s="108">
        <f>IFERROR(H572+IFERROR(I572,0)+T572+IFERROR(V572,0),0)</f>
        <v/>
      </c>
    </row>
    <row r="573" ht="15" customHeight="1" s="199">
      <c r="A573" s="104" t="n"/>
      <c r="B573" s="104" t="n"/>
      <c r="C573" s="104" t="n"/>
      <c r="D573" s="105" t="n"/>
      <c r="E573" s="105" t="n"/>
      <c r="F573" s="105" t="n"/>
      <c r="G573" s="106" t="n"/>
      <c r="H573" s="106" t="n"/>
      <c r="I573" s="106" t="n"/>
      <c r="J573" s="107" t="n"/>
      <c r="K573" s="105" t="n"/>
      <c r="L573" s="106" t="n"/>
      <c r="M573" s="106" t="n"/>
      <c r="N573" s="106" t="n"/>
      <c r="O573" s="106" t="n"/>
      <c r="P573" s="105" t="n"/>
      <c r="Q573" s="107" t="n"/>
      <c r="R573" s="105" t="n"/>
      <c r="S573" s="107" t="n"/>
      <c r="T573" s="108">
        <f>IFERROR(L573+M573+N573+O573+IFERROR(AC573,0)+IFERROR(AD573,0)+IFERROR(AE573,0)+IFERROR(AF573,0)+IFERROR(AG573,0),0)</f>
        <v/>
      </c>
      <c r="U573" s="108">
        <f>IFERROR(H573+IFERROR(I573,0)+T573+IFERROR(V573,0),0)</f>
        <v/>
      </c>
    </row>
    <row r="574" ht="15" customHeight="1" s="199">
      <c r="A574" s="104" t="n"/>
      <c r="B574" s="104" t="n"/>
      <c r="C574" s="104" t="n"/>
      <c r="D574" s="105" t="n"/>
      <c r="E574" s="105" t="n"/>
      <c r="F574" s="105" t="n"/>
      <c r="G574" s="106" t="n"/>
      <c r="H574" s="106" t="n"/>
      <c r="I574" s="106" t="n"/>
      <c r="J574" s="107" t="n"/>
      <c r="K574" s="105" t="n"/>
      <c r="L574" s="106" t="n"/>
      <c r="M574" s="106" t="n"/>
      <c r="N574" s="106" t="n"/>
      <c r="O574" s="106" t="n"/>
      <c r="P574" s="105" t="n"/>
      <c r="Q574" s="107" t="n"/>
      <c r="R574" s="105" t="n"/>
      <c r="S574" s="107" t="n"/>
      <c r="T574" s="108">
        <f>IFERROR(L574+M574+N574+O574+IFERROR(AC574,0)+IFERROR(AD574,0)+IFERROR(AE574,0)+IFERROR(AF574,0)+IFERROR(AG574,0),0)</f>
        <v/>
      </c>
      <c r="U574" s="108">
        <f>IFERROR(H574+IFERROR(I574,0)+T574+IFERROR(V574,0),0)</f>
        <v/>
      </c>
    </row>
    <row r="575" ht="15" customHeight="1" s="199">
      <c r="A575" s="104" t="n"/>
      <c r="B575" s="104" t="n"/>
      <c r="C575" s="104" t="n"/>
      <c r="D575" s="105" t="n"/>
      <c r="E575" s="105" t="n"/>
      <c r="F575" s="105" t="n"/>
      <c r="G575" s="106" t="n"/>
      <c r="H575" s="106" t="n"/>
      <c r="I575" s="106" t="n"/>
      <c r="J575" s="107" t="n"/>
      <c r="K575" s="105" t="n"/>
      <c r="L575" s="106" t="n"/>
      <c r="M575" s="106" t="n"/>
      <c r="N575" s="106" t="n"/>
      <c r="O575" s="106" t="n"/>
      <c r="P575" s="105" t="n"/>
      <c r="Q575" s="107" t="n"/>
      <c r="R575" s="105" t="n"/>
      <c r="S575" s="107" t="n"/>
      <c r="T575" s="108">
        <f>IFERROR(L575+M575+N575+O575+IFERROR(AC575,0)+IFERROR(AD575,0)+IFERROR(AE575,0)+IFERROR(AF575,0)+IFERROR(AG575,0),0)</f>
        <v/>
      </c>
      <c r="U575" s="108">
        <f>IFERROR(H575+IFERROR(I575,0)+T575+IFERROR(V575,0),0)</f>
        <v/>
      </c>
    </row>
    <row r="576" ht="15" customHeight="1" s="199">
      <c r="A576" s="104" t="n"/>
      <c r="B576" s="104" t="n"/>
      <c r="C576" s="104" t="n"/>
      <c r="D576" s="105" t="n"/>
      <c r="E576" s="105" t="n"/>
      <c r="F576" s="105" t="n"/>
      <c r="G576" s="106" t="n"/>
      <c r="H576" s="106" t="n"/>
      <c r="I576" s="106" t="n"/>
      <c r="J576" s="107" t="n"/>
      <c r="K576" s="105" t="n"/>
      <c r="L576" s="106" t="n"/>
      <c r="M576" s="106" t="n"/>
      <c r="N576" s="106" t="n"/>
      <c r="O576" s="106" t="n"/>
      <c r="P576" s="105" t="n"/>
      <c r="Q576" s="107" t="n"/>
      <c r="R576" s="105" t="n"/>
      <c r="S576" s="107" t="n"/>
      <c r="T576" s="108">
        <f>IFERROR(L576+M576+N576+O576+IFERROR(AC576,0)+IFERROR(AD576,0)+IFERROR(AE576,0)+IFERROR(AF576,0)+IFERROR(AG576,0),0)</f>
        <v/>
      </c>
      <c r="U576" s="108">
        <f>IFERROR(H576+IFERROR(I576,0)+T576+IFERROR(V576,0),0)</f>
        <v/>
      </c>
    </row>
    <row r="577" ht="15" customHeight="1" s="199">
      <c r="A577" s="104" t="n"/>
      <c r="B577" s="104" t="n"/>
      <c r="C577" s="104" t="n"/>
      <c r="D577" s="105" t="n"/>
      <c r="E577" s="105" t="n"/>
      <c r="F577" s="105" t="n"/>
      <c r="G577" s="106" t="n"/>
      <c r="H577" s="106" t="n"/>
      <c r="I577" s="106" t="n"/>
      <c r="J577" s="107" t="n"/>
      <c r="K577" s="105" t="n"/>
      <c r="L577" s="106" t="n"/>
      <c r="M577" s="106" t="n"/>
      <c r="N577" s="106" t="n"/>
      <c r="O577" s="106" t="n"/>
      <c r="P577" s="105" t="n"/>
      <c r="Q577" s="107" t="n"/>
      <c r="R577" s="105" t="n"/>
      <c r="S577" s="107" t="n"/>
      <c r="T577" s="108">
        <f>IFERROR(L577+M577+N577+O577+IFERROR(AC577,0)+IFERROR(AD577,0)+IFERROR(AE577,0)+IFERROR(AF577,0)+IFERROR(AG577,0),0)</f>
        <v/>
      </c>
      <c r="U577" s="108">
        <f>IFERROR(H577+IFERROR(I577,0)+T577+IFERROR(V577,0),0)</f>
        <v/>
      </c>
    </row>
    <row r="578" ht="15" customHeight="1" s="199">
      <c r="A578" s="104" t="n"/>
      <c r="B578" s="104" t="n"/>
      <c r="C578" s="104" t="n"/>
      <c r="D578" s="105" t="n"/>
      <c r="E578" s="105" t="n"/>
      <c r="F578" s="105" t="n"/>
      <c r="G578" s="106" t="n"/>
      <c r="H578" s="106" t="n"/>
      <c r="I578" s="106" t="n"/>
      <c r="J578" s="107" t="n"/>
      <c r="K578" s="105" t="n"/>
      <c r="L578" s="106" t="n"/>
      <c r="M578" s="106" t="n"/>
      <c r="N578" s="106" t="n"/>
      <c r="O578" s="106" t="n"/>
      <c r="P578" s="105" t="n"/>
      <c r="Q578" s="107" t="n"/>
      <c r="R578" s="105" t="n"/>
      <c r="S578" s="107" t="n"/>
      <c r="T578" s="108">
        <f>IFERROR(L578+M578+N578+O578+IFERROR(AC578,0)+IFERROR(AD578,0)+IFERROR(AE578,0)+IFERROR(AF578,0)+IFERROR(AG578,0),0)</f>
        <v/>
      </c>
      <c r="U578" s="108">
        <f>IFERROR(H578+IFERROR(I578,0)+T578+IFERROR(V578,0),0)</f>
        <v/>
      </c>
    </row>
    <row r="579" ht="15" customHeight="1" s="199">
      <c r="A579" s="104" t="n"/>
      <c r="B579" s="104" t="n"/>
      <c r="C579" s="104" t="n"/>
      <c r="D579" s="105" t="n"/>
      <c r="E579" s="105" t="n"/>
      <c r="F579" s="105" t="n"/>
      <c r="G579" s="106" t="n"/>
      <c r="H579" s="106" t="n"/>
      <c r="I579" s="106" t="n"/>
      <c r="J579" s="107" t="n"/>
      <c r="K579" s="105" t="n"/>
      <c r="L579" s="106" t="n"/>
      <c r="M579" s="106" t="n"/>
      <c r="N579" s="106" t="n"/>
      <c r="O579" s="106" t="n"/>
      <c r="P579" s="105" t="n"/>
      <c r="Q579" s="107" t="n"/>
      <c r="R579" s="105" t="n"/>
      <c r="S579" s="107" t="n"/>
      <c r="T579" s="108">
        <f>IFERROR(L579+M579+N579+O579+IFERROR(AC579,0)+IFERROR(AD579,0)+IFERROR(AE579,0)+IFERROR(AF579,0)+IFERROR(AG579,0),0)</f>
        <v/>
      </c>
      <c r="U579" s="108">
        <f>IFERROR(H579+IFERROR(I579,0)+T579+IFERROR(V579,0),0)</f>
        <v/>
      </c>
    </row>
    <row r="580" ht="15" customHeight="1" s="199">
      <c r="A580" s="104" t="n"/>
      <c r="B580" s="104" t="n"/>
      <c r="C580" s="104" t="n"/>
      <c r="D580" s="105" t="n"/>
      <c r="E580" s="105" t="n"/>
      <c r="F580" s="105" t="n"/>
      <c r="G580" s="106" t="n"/>
      <c r="H580" s="106" t="n"/>
      <c r="I580" s="106" t="n"/>
      <c r="J580" s="107" t="n"/>
      <c r="K580" s="105" t="n"/>
      <c r="L580" s="106" t="n"/>
      <c r="M580" s="106" t="n"/>
      <c r="N580" s="106" t="n"/>
      <c r="O580" s="106" t="n"/>
      <c r="P580" s="105" t="n"/>
      <c r="Q580" s="107" t="n"/>
      <c r="R580" s="105" t="n"/>
      <c r="S580" s="107" t="n"/>
      <c r="T580" s="108">
        <f>IFERROR(L580+M580+N580+O580+IFERROR(AC580,0)+IFERROR(AD580,0)+IFERROR(AE580,0)+IFERROR(AF580,0)+IFERROR(AG580,0),0)</f>
        <v/>
      </c>
      <c r="U580" s="108">
        <f>IFERROR(H580+IFERROR(I580,0)+T580+IFERROR(V580,0),0)</f>
        <v/>
      </c>
    </row>
    <row r="581" ht="15" customHeight="1" s="199">
      <c r="A581" s="104" t="n"/>
      <c r="B581" s="104" t="n"/>
      <c r="C581" s="104" t="n"/>
      <c r="D581" s="105" t="n"/>
      <c r="E581" s="105" t="n"/>
      <c r="F581" s="105" t="n"/>
      <c r="G581" s="106" t="n"/>
      <c r="H581" s="106" t="n"/>
      <c r="I581" s="106" t="n"/>
      <c r="J581" s="107" t="n"/>
      <c r="K581" s="105" t="n"/>
      <c r="L581" s="106" t="n"/>
      <c r="M581" s="106" t="n"/>
      <c r="N581" s="106" t="n"/>
      <c r="O581" s="106" t="n"/>
      <c r="P581" s="105" t="n"/>
      <c r="Q581" s="107" t="n"/>
      <c r="R581" s="105" t="n"/>
      <c r="S581" s="107" t="n"/>
      <c r="T581" s="108">
        <f>IFERROR(L581+M581+N581+O581+IFERROR(AC581,0)+IFERROR(AD581,0)+IFERROR(AE581,0)+IFERROR(AF581,0)+IFERROR(AG581,0),0)</f>
        <v/>
      </c>
      <c r="U581" s="108">
        <f>IFERROR(H581+IFERROR(I581,0)+T581+IFERROR(V581,0),0)</f>
        <v/>
      </c>
    </row>
    <row r="582" ht="15" customHeight="1" s="199">
      <c r="A582" s="104" t="n"/>
      <c r="B582" s="104" t="n"/>
      <c r="C582" s="104" t="n"/>
      <c r="D582" s="105" t="n"/>
      <c r="E582" s="105" t="n"/>
      <c r="F582" s="105" t="n"/>
      <c r="G582" s="106" t="n"/>
      <c r="H582" s="106" t="n"/>
      <c r="I582" s="106" t="n"/>
      <c r="J582" s="107" t="n"/>
      <c r="K582" s="105" t="n"/>
      <c r="L582" s="106" t="n"/>
      <c r="M582" s="106" t="n"/>
      <c r="N582" s="106" t="n"/>
      <c r="O582" s="106" t="n"/>
      <c r="P582" s="105" t="n"/>
      <c r="Q582" s="107" t="n"/>
      <c r="R582" s="105" t="n"/>
      <c r="S582" s="107" t="n"/>
      <c r="T582" s="108">
        <f>IFERROR(L582+M582+N582+O582+IFERROR(AC582,0)+IFERROR(AD582,0)+IFERROR(AE582,0)+IFERROR(AF582,0)+IFERROR(AG582,0),0)</f>
        <v/>
      </c>
      <c r="U582" s="108">
        <f>IFERROR(H582+IFERROR(I582,0)+T582+IFERROR(V582,0),0)</f>
        <v/>
      </c>
    </row>
    <row r="583" ht="15" customHeight="1" s="199">
      <c r="A583" s="104" t="n"/>
      <c r="B583" s="104" t="n"/>
      <c r="C583" s="104" t="n"/>
      <c r="D583" s="105" t="n"/>
      <c r="E583" s="105" t="n"/>
      <c r="F583" s="105" t="n"/>
      <c r="G583" s="106" t="n"/>
      <c r="H583" s="106" t="n"/>
      <c r="I583" s="106" t="n"/>
      <c r="J583" s="107" t="n"/>
      <c r="K583" s="105" t="n"/>
      <c r="L583" s="106" t="n"/>
      <c r="M583" s="106" t="n"/>
      <c r="N583" s="106" t="n"/>
      <c r="O583" s="106" t="n"/>
      <c r="P583" s="105" t="n"/>
      <c r="Q583" s="107" t="n"/>
      <c r="R583" s="105" t="n"/>
      <c r="S583" s="107" t="n"/>
      <c r="T583" s="108">
        <f>IFERROR(L583+M583+N583+O583+IFERROR(AC583,0)+IFERROR(AD583,0)+IFERROR(AE583,0)+IFERROR(AF583,0)+IFERROR(AG583,0),0)</f>
        <v/>
      </c>
      <c r="U583" s="108">
        <f>IFERROR(H583+IFERROR(I583,0)+T583+IFERROR(V583,0),0)</f>
        <v/>
      </c>
    </row>
    <row r="584" ht="15" customHeight="1" s="199">
      <c r="A584" s="104" t="n"/>
      <c r="B584" s="104" t="n"/>
      <c r="C584" s="104" t="n"/>
      <c r="D584" s="105" t="n"/>
      <c r="E584" s="105" t="n"/>
      <c r="F584" s="105" t="n"/>
      <c r="G584" s="106" t="n"/>
      <c r="H584" s="106" t="n"/>
      <c r="I584" s="106" t="n"/>
      <c r="J584" s="107" t="n"/>
      <c r="K584" s="105" t="n"/>
      <c r="L584" s="106" t="n"/>
      <c r="M584" s="106" t="n"/>
      <c r="N584" s="106" t="n"/>
      <c r="O584" s="106" t="n"/>
      <c r="P584" s="105" t="n"/>
      <c r="Q584" s="107" t="n"/>
      <c r="R584" s="105" t="n"/>
      <c r="S584" s="107" t="n"/>
      <c r="T584" s="108">
        <f>IFERROR(L584+M584+N584+O584+IFERROR(AC584,0)+IFERROR(AD584,0)+IFERROR(AE584,0)+IFERROR(AF584,0)+IFERROR(AG584,0),0)</f>
        <v/>
      </c>
      <c r="U584" s="108">
        <f>IFERROR(H584+IFERROR(I584,0)+T584+IFERROR(V584,0),0)</f>
        <v/>
      </c>
    </row>
    <row r="585" ht="15" customHeight="1" s="199">
      <c r="A585" s="104" t="n"/>
      <c r="B585" s="104" t="n"/>
      <c r="C585" s="104" t="n"/>
      <c r="D585" s="105" t="n"/>
      <c r="E585" s="105" t="n"/>
      <c r="F585" s="105" t="n"/>
      <c r="G585" s="106" t="n"/>
      <c r="H585" s="106" t="n"/>
      <c r="I585" s="106" t="n"/>
      <c r="J585" s="107" t="n"/>
      <c r="K585" s="105" t="n"/>
      <c r="L585" s="106" t="n"/>
      <c r="M585" s="106" t="n"/>
      <c r="N585" s="106" t="n"/>
      <c r="O585" s="106" t="n"/>
      <c r="P585" s="105" t="n"/>
      <c r="Q585" s="107" t="n"/>
      <c r="R585" s="105" t="n"/>
      <c r="S585" s="107" t="n"/>
      <c r="T585" s="108">
        <f>IFERROR(L585+M585+N585+O585+IFERROR(AC585,0)+IFERROR(AD585,0)+IFERROR(AE585,0)+IFERROR(AF585,0)+IFERROR(AG585,0),0)</f>
        <v/>
      </c>
      <c r="U585" s="108">
        <f>IFERROR(H585+IFERROR(I585,0)+T585+IFERROR(V585,0),0)</f>
        <v/>
      </c>
    </row>
    <row r="586" ht="15" customHeight="1" s="199">
      <c r="A586" s="104" t="n"/>
      <c r="B586" s="104" t="n"/>
      <c r="C586" s="104" t="n"/>
      <c r="D586" s="105" t="n"/>
      <c r="E586" s="105" t="n"/>
      <c r="F586" s="105" t="n"/>
      <c r="G586" s="106" t="n"/>
      <c r="H586" s="106" t="n"/>
      <c r="I586" s="106" t="n"/>
      <c r="J586" s="107" t="n"/>
      <c r="K586" s="105" t="n"/>
      <c r="L586" s="106" t="n"/>
      <c r="M586" s="106" t="n"/>
      <c r="N586" s="106" t="n"/>
      <c r="O586" s="106" t="n"/>
      <c r="P586" s="105" t="n"/>
      <c r="Q586" s="107" t="n"/>
      <c r="R586" s="105" t="n"/>
      <c r="S586" s="107" t="n"/>
      <c r="T586" s="108">
        <f>IFERROR(L586+M586+N586+O586+IFERROR(AC586,0)+IFERROR(AD586,0)+IFERROR(AE586,0)+IFERROR(AF586,0)+IFERROR(AG586,0),0)</f>
        <v/>
      </c>
      <c r="U586" s="108">
        <f>IFERROR(H586+IFERROR(I586,0)+T586+IFERROR(V586,0),0)</f>
        <v/>
      </c>
    </row>
    <row r="587" ht="15" customHeight="1" s="199">
      <c r="A587" s="104" t="n"/>
      <c r="B587" s="104" t="n"/>
      <c r="C587" s="104" t="n"/>
      <c r="D587" s="105" t="n"/>
      <c r="E587" s="105" t="n"/>
      <c r="F587" s="105" t="n"/>
      <c r="G587" s="106" t="n"/>
      <c r="H587" s="106" t="n"/>
      <c r="I587" s="106" t="n"/>
      <c r="J587" s="107" t="n"/>
      <c r="K587" s="105" t="n"/>
      <c r="L587" s="106" t="n"/>
      <c r="M587" s="106" t="n"/>
      <c r="N587" s="106" t="n"/>
      <c r="O587" s="106" t="n"/>
      <c r="P587" s="105" t="n"/>
      <c r="Q587" s="107" t="n"/>
      <c r="R587" s="105" t="n"/>
      <c r="S587" s="107" t="n"/>
      <c r="T587" s="108">
        <f>IFERROR(L587+M587+N587+O587+IFERROR(AC587,0)+IFERROR(AD587,0)+IFERROR(AE587,0)+IFERROR(AF587,0)+IFERROR(AG587,0),0)</f>
        <v/>
      </c>
      <c r="U587" s="108">
        <f>IFERROR(H587+IFERROR(I587,0)+T587+IFERROR(V587,0),0)</f>
        <v/>
      </c>
    </row>
    <row r="588" ht="15" customHeight="1" s="199">
      <c r="A588" s="104" t="n"/>
      <c r="B588" s="104" t="n"/>
      <c r="C588" s="104" t="n"/>
      <c r="D588" s="105" t="n"/>
      <c r="E588" s="105" t="n"/>
      <c r="F588" s="105" t="n"/>
      <c r="G588" s="106" t="n"/>
      <c r="H588" s="106" t="n"/>
      <c r="I588" s="106" t="n"/>
      <c r="J588" s="107" t="n"/>
      <c r="K588" s="105" t="n"/>
      <c r="L588" s="106" t="n"/>
      <c r="M588" s="106" t="n"/>
      <c r="N588" s="106" t="n"/>
      <c r="O588" s="106" t="n"/>
      <c r="P588" s="105" t="n"/>
      <c r="Q588" s="107" t="n"/>
      <c r="R588" s="105" t="n"/>
      <c r="S588" s="107" t="n"/>
      <c r="T588" s="108">
        <f>IFERROR(L588+M588+N588+O588+IFERROR(AC588,0)+IFERROR(AD588,0)+IFERROR(AE588,0)+IFERROR(AF588,0)+IFERROR(AG588,0),0)</f>
        <v/>
      </c>
      <c r="U588" s="108">
        <f>IFERROR(H588+IFERROR(I588,0)+T588+IFERROR(V588,0),0)</f>
        <v/>
      </c>
    </row>
    <row r="589" ht="15" customHeight="1" s="199">
      <c r="A589" s="104" t="n"/>
      <c r="B589" s="104" t="n"/>
      <c r="C589" s="104" t="n"/>
      <c r="D589" s="105" t="n"/>
      <c r="E589" s="105" t="n"/>
      <c r="F589" s="105" t="n"/>
      <c r="G589" s="106" t="n"/>
      <c r="H589" s="106" t="n"/>
      <c r="I589" s="106" t="n"/>
      <c r="J589" s="107" t="n"/>
      <c r="K589" s="105" t="n"/>
      <c r="L589" s="106" t="n"/>
      <c r="M589" s="106" t="n"/>
      <c r="N589" s="106" t="n"/>
      <c r="O589" s="106" t="n"/>
      <c r="P589" s="105" t="n"/>
      <c r="Q589" s="107" t="n"/>
      <c r="R589" s="105" t="n"/>
      <c r="S589" s="107" t="n"/>
      <c r="T589" s="108">
        <f>IFERROR(L589+M589+N589+O589+IFERROR(AC589,0)+IFERROR(AD589,0)+IFERROR(AE589,0)+IFERROR(AF589,0)+IFERROR(AG589,0),0)</f>
        <v/>
      </c>
      <c r="U589" s="108">
        <f>IFERROR(H589+IFERROR(I589,0)+T589+IFERROR(V589,0),0)</f>
        <v/>
      </c>
    </row>
    <row r="590" ht="15" customHeight="1" s="199">
      <c r="A590" s="104" t="n"/>
      <c r="B590" s="104" t="n"/>
      <c r="C590" s="104" t="n"/>
      <c r="D590" s="105" t="n"/>
      <c r="E590" s="105" t="n"/>
      <c r="F590" s="105" t="n"/>
      <c r="G590" s="106" t="n"/>
      <c r="H590" s="106" t="n"/>
      <c r="I590" s="106" t="n"/>
      <c r="J590" s="107" t="n"/>
      <c r="K590" s="105" t="n"/>
      <c r="L590" s="106" t="n"/>
      <c r="M590" s="106" t="n"/>
      <c r="N590" s="106" t="n"/>
      <c r="O590" s="106" t="n"/>
      <c r="P590" s="105" t="n"/>
      <c r="Q590" s="107" t="n"/>
      <c r="R590" s="105" t="n"/>
      <c r="S590" s="107" t="n"/>
      <c r="T590" s="108">
        <f>IFERROR(L590+M590+N590+O590+IFERROR(AC590,0)+IFERROR(AD590,0)+IFERROR(AE590,0)+IFERROR(AF590,0)+IFERROR(AG590,0),0)</f>
        <v/>
      </c>
      <c r="U590" s="108">
        <f>IFERROR(H590+IFERROR(I590,0)+T590+IFERROR(V590,0),0)</f>
        <v/>
      </c>
    </row>
    <row r="591" ht="15" customHeight="1" s="199">
      <c r="A591" s="104" t="n"/>
      <c r="B591" s="104" t="n"/>
      <c r="C591" s="104" t="n"/>
      <c r="D591" s="105" t="n"/>
      <c r="E591" s="105" t="n"/>
      <c r="F591" s="105" t="n"/>
      <c r="G591" s="106" t="n"/>
      <c r="H591" s="106" t="n"/>
      <c r="I591" s="106" t="n"/>
      <c r="J591" s="107" t="n"/>
      <c r="K591" s="105" t="n"/>
      <c r="L591" s="106" t="n"/>
      <c r="M591" s="106" t="n"/>
      <c r="N591" s="106" t="n"/>
      <c r="O591" s="106" t="n"/>
      <c r="P591" s="105" t="n"/>
      <c r="Q591" s="107" t="n"/>
      <c r="R591" s="105" t="n"/>
      <c r="S591" s="107" t="n"/>
      <c r="T591" s="108">
        <f>IFERROR(L591+M591+N591+O591+IFERROR(AC591,0)+IFERROR(AD591,0)+IFERROR(AE591,0)+IFERROR(AF591,0)+IFERROR(AG591,0),0)</f>
        <v/>
      </c>
      <c r="U591" s="108">
        <f>IFERROR(H591+IFERROR(I591,0)+T591+IFERROR(V591,0),0)</f>
        <v/>
      </c>
    </row>
    <row r="592" ht="15" customHeight="1" s="199">
      <c r="A592" s="104" t="n"/>
      <c r="B592" s="104" t="n"/>
      <c r="C592" s="104" t="n"/>
      <c r="D592" s="105" t="n"/>
      <c r="E592" s="105" t="n"/>
      <c r="F592" s="105" t="n"/>
      <c r="G592" s="106" t="n"/>
      <c r="H592" s="106" t="n"/>
      <c r="I592" s="106" t="n"/>
      <c r="J592" s="107" t="n"/>
      <c r="K592" s="105" t="n"/>
      <c r="L592" s="106" t="n"/>
      <c r="M592" s="106" t="n"/>
      <c r="N592" s="106" t="n"/>
      <c r="O592" s="106" t="n"/>
      <c r="P592" s="105" t="n"/>
      <c r="Q592" s="107" t="n"/>
      <c r="R592" s="105" t="n"/>
      <c r="S592" s="107" t="n"/>
      <c r="T592" s="108">
        <f>IFERROR(L592+M592+N592+O592+IFERROR(AC592,0)+IFERROR(AD592,0)+IFERROR(AE592,0)+IFERROR(AF592,0)+IFERROR(AG592,0),0)</f>
        <v/>
      </c>
      <c r="U592" s="108">
        <f>IFERROR(H592+IFERROR(I592,0)+T592+IFERROR(V592,0),0)</f>
        <v/>
      </c>
    </row>
    <row r="593" ht="15" customHeight="1" s="199">
      <c r="A593" s="104" t="n"/>
      <c r="B593" s="104" t="n"/>
      <c r="C593" s="104" t="n"/>
      <c r="D593" s="105" t="n"/>
      <c r="E593" s="105" t="n"/>
      <c r="F593" s="105" t="n"/>
      <c r="G593" s="106" t="n"/>
      <c r="H593" s="106" t="n"/>
      <c r="I593" s="106" t="n"/>
      <c r="J593" s="107" t="n"/>
      <c r="K593" s="105" t="n"/>
      <c r="L593" s="106" t="n"/>
      <c r="M593" s="106" t="n"/>
      <c r="N593" s="106" t="n"/>
      <c r="O593" s="106" t="n"/>
      <c r="P593" s="105" t="n"/>
      <c r="Q593" s="107" t="n"/>
      <c r="R593" s="105" t="n"/>
      <c r="S593" s="107" t="n"/>
      <c r="T593" s="108">
        <f>IFERROR(L593+M593+N593+O593+IFERROR(AC593,0)+IFERROR(AD593,0)+IFERROR(AE593,0)+IFERROR(AF593,0)+IFERROR(AG593,0),0)</f>
        <v/>
      </c>
      <c r="U593" s="108">
        <f>IFERROR(H593+IFERROR(I593,0)+T593+IFERROR(V593,0),0)</f>
        <v/>
      </c>
    </row>
    <row r="594" ht="15" customHeight="1" s="199">
      <c r="A594" s="104" t="n"/>
      <c r="B594" s="104" t="n"/>
      <c r="C594" s="104" t="n"/>
      <c r="D594" s="105" t="n"/>
      <c r="E594" s="105" t="n"/>
      <c r="F594" s="105" t="n"/>
      <c r="G594" s="106" t="n"/>
      <c r="H594" s="106" t="n"/>
      <c r="I594" s="106" t="n"/>
      <c r="J594" s="107" t="n"/>
      <c r="K594" s="105" t="n"/>
      <c r="L594" s="106" t="n"/>
      <c r="M594" s="106" t="n"/>
      <c r="N594" s="106" t="n"/>
      <c r="O594" s="106" t="n"/>
      <c r="P594" s="105" t="n"/>
      <c r="Q594" s="107" t="n"/>
      <c r="R594" s="105" t="n"/>
      <c r="S594" s="107" t="n"/>
      <c r="T594" s="108">
        <f>IFERROR(L594+M594+N594+O594+IFERROR(AC594,0)+IFERROR(AD594,0)+IFERROR(AE594,0)+IFERROR(AF594,0)+IFERROR(AG594,0),0)</f>
        <v/>
      </c>
      <c r="U594" s="108">
        <f>IFERROR(H594+IFERROR(I594,0)+T594+IFERROR(V594,0),0)</f>
        <v/>
      </c>
    </row>
    <row r="595" ht="15" customHeight="1" s="199">
      <c r="A595" s="104" t="n"/>
      <c r="B595" s="104" t="n"/>
      <c r="C595" s="104" t="n"/>
      <c r="D595" s="105" t="n"/>
      <c r="E595" s="105" t="n"/>
      <c r="F595" s="105" t="n"/>
      <c r="G595" s="106" t="n"/>
      <c r="H595" s="106" t="n"/>
      <c r="I595" s="106" t="n"/>
      <c r="J595" s="107" t="n"/>
      <c r="K595" s="105" t="n"/>
      <c r="L595" s="106" t="n"/>
      <c r="M595" s="106" t="n"/>
      <c r="N595" s="106" t="n"/>
      <c r="O595" s="106" t="n"/>
      <c r="P595" s="105" t="n"/>
      <c r="Q595" s="107" t="n"/>
      <c r="R595" s="105" t="n"/>
      <c r="S595" s="107" t="n"/>
      <c r="T595" s="108">
        <f>IFERROR(L595+M595+N595+O595+IFERROR(AC595,0)+IFERROR(AD595,0)+IFERROR(AE595,0)+IFERROR(AF595,0)+IFERROR(AG595,0),0)</f>
        <v/>
      </c>
      <c r="U595" s="108">
        <f>IFERROR(H595+IFERROR(I595,0)+T595+IFERROR(V595,0),0)</f>
        <v/>
      </c>
    </row>
    <row r="596" ht="15" customHeight="1" s="199">
      <c r="A596" s="104" t="n"/>
      <c r="B596" s="104" t="n"/>
      <c r="C596" s="104" t="n"/>
      <c r="D596" s="105" t="n"/>
      <c r="E596" s="105" t="n"/>
      <c r="F596" s="105" t="n"/>
      <c r="G596" s="106" t="n"/>
      <c r="H596" s="106" t="n"/>
      <c r="I596" s="106" t="n"/>
      <c r="J596" s="107" t="n"/>
      <c r="K596" s="105" t="n"/>
      <c r="L596" s="106" t="n"/>
      <c r="M596" s="106" t="n"/>
      <c r="N596" s="106" t="n"/>
      <c r="O596" s="106" t="n"/>
      <c r="P596" s="105" t="n"/>
      <c r="Q596" s="107" t="n"/>
      <c r="R596" s="105" t="n"/>
      <c r="S596" s="107" t="n"/>
      <c r="T596" s="108">
        <f>IFERROR(L596+M596+N596+O596+IFERROR(AC596,0)+IFERROR(AD596,0)+IFERROR(AE596,0)+IFERROR(AF596,0)+IFERROR(AG596,0),0)</f>
        <v/>
      </c>
      <c r="U596" s="108">
        <f>IFERROR(H596+IFERROR(I596,0)+T596+IFERROR(V596,0),0)</f>
        <v/>
      </c>
    </row>
    <row r="597" ht="15" customHeight="1" s="199">
      <c r="A597" s="104" t="n"/>
      <c r="B597" s="104" t="n"/>
      <c r="C597" s="104" t="n"/>
      <c r="D597" s="105" t="n"/>
      <c r="E597" s="105" t="n"/>
      <c r="F597" s="105" t="n"/>
      <c r="G597" s="106" t="n"/>
      <c r="H597" s="106" t="n"/>
      <c r="I597" s="106" t="n"/>
      <c r="J597" s="107" t="n"/>
      <c r="K597" s="105" t="n"/>
      <c r="L597" s="106" t="n"/>
      <c r="M597" s="106" t="n"/>
      <c r="N597" s="106" t="n"/>
      <c r="O597" s="106" t="n"/>
      <c r="P597" s="105" t="n"/>
      <c r="Q597" s="107" t="n"/>
      <c r="R597" s="105" t="n"/>
      <c r="S597" s="107" t="n"/>
      <c r="T597" s="108">
        <f>IFERROR(L597+M597+N597+O597+IFERROR(AC597,0)+IFERROR(AD597,0)+IFERROR(AE597,0)+IFERROR(AF597,0)+IFERROR(AG597,0),0)</f>
        <v/>
      </c>
      <c r="U597" s="108">
        <f>IFERROR(H597+IFERROR(I597,0)+T597+IFERROR(V597,0),0)</f>
        <v/>
      </c>
    </row>
    <row r="598" ht="15" customHeight="1" s="199">
      <c r="A598" s="104" t="n"/>
      <c r="B598" s="104" t="n"/>
      <c r="C598" s="104" t="n"/>
      <c r="D598" s="105" t="n"/>
      <c r="E598" s="105" t="n"/>
      <c r="F598" s="105" t="n"/>
      <c r="G598" s="106" t="n"/>
      <c r="H598" s="106" t="n"/>
      <c r="I598" s="106" t="n"/>
      <c r="J598" s="107" t="n"/>
      <c r="K598" s="105" t="n"/>
      <c r="L598" s="106" t="n"/>
      <c r="M598" s="106" t="n"/>
      <c r="N598" s="106" t="n"/>
      <c r="O598" s="106" t="n"/>
      <c r="P598" s="105" t="n"/>
      <c r="Q598" s="107" t="n"/>
      <c r="R598" s="105" t="n"/>
      <c r="S598" s="107" t="n"/>
      <c r="T598" s="108">
        <f>IFERROR(L598+M598+N598+O598+IFERROR(AC598,0)+IFERROR(AD598,0)+IFERROR(AE598,0)+IFERROR(AF598,0)+IFERROR(AG598,0),0)</f>
        <v/>
      </c>
      <c r="U598" s="108">
        <f>IFERROR(H598+IFERROR(I598,0)+T598+IFERROR(V598,0),0)</f>
        <v/>
      </c>
    </row>
    <row r="599" ht="15" customHeight="1" s="199">
      <c r="A599" s="104" t="n"/>
      <c r="B599" s="104" t="n"/>
      <c r="C599" s="104" t="n"/>
      <c r="D599" s="105" t="n"/>
      <c r="E599" s="105" t="n"/>
      <c r="F599" s="105" t="n"/>
      <c r="G599" s="106" t="n"/>
      <c r="H599" s="106" t="n"/>
      <c r="I599" s="106" t="n"/>
      <c r="J599" s="107" t="n"/>
      <c r="K599" s="105" t="n"/>
      <c r="L599" s="106" t="n"/>
      <c r="M599" s="106" t="n"/>
      <c r="N599" s="106" t="n"/>
      <c r="O599" s="106" t="n"/>
      <c r="P599" s="105" t="n"/>
      <c r="Q599" s="107" t="n"/>
      <c r="R599" s="105" t="n"/>
      <c r="S599" s="107" t="n"/>
      <c r="T599" s="108">
        <f>IFERROR(L599+M599+N599+O599+IFERROR(AC599,0)+IFERROR(AD599,0)+IFERROR(AE599,0)+IFERROR(AF599,0)+IFERROR(AG599,0),0)</f>
        <v/>
      </c>
      <c r="U599" s="108">
        <f>IFERROR(H599+IFERROR(I599,0)+T599+IFERROR(V599,0),0)</f>
        <v/>
      </c>
    </row>
    <row r="600" ht="15" customHeight="1" s="199">
      <c r="A600" s="104" t="n"/>
      <c r="B600" s="104" t="n"/>
      <c r="C600" s="104" t="n"/>
      <c r="D600" s="105" t="n"/>
      <c r="E600" s="105" t="n"/>
      <c r="F600" s="105" t="n"/>
      <c r="G600" s="106" t="n"/>
      <c r="H600" s="106" t="n"/>
      <c r="I600" s="106" t="n"/>
      <c r="J600" s="107" t="n"/>
      <c r="K600" s="105" t="n"/>
      <c r="L600" s="106" t="n"/>
      <c r="M600" s="106" t="n"/>
      <c r="N600" s="106" t="n"/>
      <c r="O600" s="106" t="n"/>
      <c r="P600" s="105" t="n"/>
      <c r="Q600" s="107" t="n"/>
      <c r="R600" s="105" t="n"/>
      <c r="S600" s="107" t="n"/>
      <c r="T600" s="108">
        <f>IFERROR(L600+M600+N600+O600+IFERROR(AC600,0)+IFERROR(AD600,0)+IFERROR(AE600,0)+IFERROR(AF600,0)+IFERROR(AG600,0),0)</f>
        <v/>
      </c>
      <c r="U600" s="108">
        <f>IFERROR(H600+IFERROR(I600,0)+T600+IFERROR(V600,0),0)</f>
        <v/>
      </c>
    </row>
    <row r="601" ht="15" customHeight="1" s="199">
      <c r="A601" s="104" t="n"/>
      <c r="B601" s="104" t="n"/>
      <c r="C601" s="104" t="n"/>
      <c r="D601" s="105" t="n"/>
      <c r="E601" s="105" t="n"/>
      <c r="F601" s="105" t="n"/>
      <c r="G601" s="106" t="n"/>
      <c r="H601" s="106" t="n"/>
      <c r="I601" s="106" t="n"/>
      <c r="J601" s="107" t="n"/>
      <c r="K601" s="105" t="n"/>
      <c r="L601" s="106" t="n"/>
      <c r="M601" s="106" t="n"/>
      <c r="N601" s="106" t="n"/>
      <c r="O601" s="106" t="n"/>
      <c r="P601" s="105" t="n"/>
      <c r="Q601" s="107" t="n"/>
      <c r="R601" s="105" t="n"/>
      <c r="S601" s="107" t="n"/>
      <c r="T601" s="108">
        <f>IFERROR(L601+M601+N601+O601+IFERROR(AC601,0)+IFERROR(AD601,0)+IFERROR(AE601,0)+IFERROR(AF601,0)+IFERROR(AG601,0),0)</f>
        <v/>
      </c>
      <c r="U601" s="108">
        <f>IFERROR(H601+IFERROR(I601,0)+T601+IFERROR(V601,0),0)</f>
        <v/>
      </c>
    </row>
    <row r="602" ht="15" customHeight="1" s="199">
      <c r="A602" s="104" t="n"/>
      <c r="B602" s="104" t="n"/>
      <c r="C602" s="104" t="n"/>
      <c r="D602" s="105" t="n"/>
      <c r="E602" s="105" t="n"/>
      <c r="F602" s="105" t="n"/>
      <c r="G602" s="106" t="n"/>
      <c r="H602" s="106" t="n"/>
      <c r="I602" s="106" t="n"/>
      <c r="J602" s="107" t="n"/>
      <c r="K602" s="105" t="n"/>
      <c r="L602" s="106" t="n"/>
      <c r="M602" s="106" t="n"/>
      <c r="N602" s="106" t="n"/>
      <c r="O602" s="106" t="n"/>
      <c r="P602" s="105" t="n"/>
      <c r="Q602" s="107" t="n"/>
      <c r="R602" s="105" t="n"/>
      <c r="S602" s="107" t="n"/>
      <c r="T602" s="108">
        <f>IFERROR(L602+M602+N602+O602+IFERROR(AC602,0)+IFERROR(AD602,0)+IFERROR(AE602,0)+IFERROR(AF602,0)+IFERROR(AG602,0),0)</f>
        <v/>
      </c>
      <c r="U602" s="108">
        <f>IFERROR(H602+IFERROR(I602,0)+T602+IFERROR(V602,0),0)</f>
        <v/>
      </c>
    </row>
    <row r="603" ht="15" customHeight="1" s="199">
      <c r="A603" s="104" t="n"/>
      <c r="B603" s="104" t="n"/>
      <c r="C603" s="104" t="n"/>
      <c r="D603" s="105" t="n"/>
      <c r="E603" s="105" t="n"/>
      <c r="F603" s="105" t="n"/>
      <c r="G603" s="106" t="n"/>
      <c r="H603" s="106" t="n"/>
      <c r="I603" s="106" t="n"/>
      <c r="J603" s="107" t="n"/>
      <c r="K603" s="105" t="n"/>
      <c r="L603" s="106" t="n"/>
      <c r="M603" s="106" t="n"/>
      <c r="N603" s="106" t="n"/>
      <c r="O603" s="106" t="n"/>
      <c r="P603" s="105" t="n"/>
      <c r="Q603" s="107" t="n"/>
      <c r="R603" s="105" t="n"/>
      <c r="S603" s="107" t="n"/>
      <c r="T603" s="108">
        <f>IFERROR(L603+M603+N603+O603+IFERROR(AC603,0)+IFERROR(AD603,0)+IFERROR(AE603,0)+IFERROR(AF603,0)+IFERROR(AG603,0),0)</f>
        <v/>
      </c>
      <c r="U603" s="108">
        <f>IFERROR(H603+IFERROR(I603,0)+T603+IFERROR(V603,0),0)</f>
        <v/>
      </c>
    </row>
    <row r="604" ht="15" customHeight="1" s="199">
      <c r="A604" s="104" t="n"/>
      <c r="B604" s="104" t="n"/>
      <c r="C604" s="104" t="n"/>
      <c r="D604" s="105" t="n"/>
      <c r="E604" s="105" t="n"/>
      <c r="F604" s="105" t="n"/>
      <c r="G604" s="106" t="n"/>
      <c r="H604" s="106" t="n"/>
      <c r="I604" s="106" t="n"/>
      <c r="J604" s="107" t="n"/>
      <c r="K604" s="105" t="n"/>
      <c r="L604" s="106" t="n"/>
      <c r="M604" s="106" t="n"/>
      <c r="N604" s="106" t="n"/>
      <c r="O604" s="106" t="n"/>
      <c r="P604" s="105" t="n"/>
      <c r="Q604" s="107" t="n"/>
      <c r="R604" s="105" t="n"/>
      <c r="S604" s="107" t="n"/>
      <c r="T604" s="108">
        <f>IFERROR(L604+M604+N604+O604+IFERROR(AC604,0)+IFERROR(AD604,0)+IFERROR(AE604,0)+IFERROR(AF604,0)+IFERROR(AG604,0),0)</f>
        <v/>
      </c>
      <c r="U604" s="108">
        <f>IFERROR(H604+IFERROR(I604,0)+T604+IFERROR(V604,0),0)</f>
        <v/>
      </c>
    </row>
    <row r="605" ht="15" customHeight="1" s="199">
      <c r="A605" s="104" t="n"/>
      <c r="B605" s="104" t="n"/>
      <c r="C605" s="104" t="n"/>
      <c r="D605" s="105" t="n"/>
      <c r="E605" s="105" t="n"/>
      <c r="F605" s="105" t="n"/>
      <c r="G605" s="106" t="n"/>
      <c r="H605" s="106" t="n"/>
      <c r="I605" s="106" t="n"/>
      <c r="J605" s="107" t="n"/>
      <c r="K605" s="105" t="n"/>
      <c r="L605" s="106" t="n"/>
      <c r="M605" s="106" t="n"/>
      <c r="N605" s="106" t="n"/>
      <c r="O605" s="106" t="n"/>
      <c r="P605" s="105" t="n"/>
      <c r="Q605" s="107" t="n"/>
      <c r="R605" s="105" t="n"/>
      <c r="S605" s="107" t="n"/>
      <c r="T605" s="108">
        <f>IFERROR(L605+M605+N605+O605+IFERROR(AC605,0)+IFERROR(AD605,0)+IFERROR(AE605,0)+IFERROR(AF605,0)+IFERROR(AG605,0),0)</f>
        <v/>
      </c>
      <c r="U605" s="108">
        <f>IFERROR(H605+IFERROR(I605,0)+T605+IFERROR(V605,0),0)</f>
        <v/>
      </c>
    </row>
    <row r="606" ht="15" customHeight="1" s="199">
      <c r="A606" s="104" t="n"/>
      <c r="B606" s="104" t="n"/>
      <c r="C606" s="104" t="n"/>
      <c r="D606" s="105" t="n"/>
      <c r="E606" s="105" t="n"/>
      <c r="F606" s="105" t="n"/>
      <c r="G606" s="106" t="n"/>
      <c r="H606" s="106" t="n"/>
      <c r="I606" s="106" t="n"/>
      <c r="J606" s="107" t="n"/>
      <c r="K606" s="105" t="n"/>
      <c r="L606" s="106" t="n"/>
      <c r="M606" s="106" t="n"/>
      <c r="N606" s="106" t="n"/>
      <c r="O606" s="106" t="n"/>
      <c r="P606" s="105" t="n"/>
      <c r="Q606" s="107" t="n"/>
      <c r="R606" s="105" t="n"/>
      <c r="S606" s="107" t="n"/>
      <c r="T606" s="108">
        <f>IFERROR(L606+M606+N606+O606+IFERROR(AC606,0)+IFERROR(AD606,0)+IFERROR(AE606,0)+IFERROR(AF606,0)+IFERROR(AG606,0),0)</f>
        <v/>
      </c>
      <c r="U606" s="108">
        <f>IFERROR(H606+IFERROR(I606,0)+T606+IFERROR(V606,0),0)</f>
        <v/>
      </c>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176"/>
  <sheetViews>
    <sheetView zoomScaleNormal="100" workbookViewId="0">
      <pane ySplit="4" topLeftCell="A5" activePane="bottomLeft" state="frozen"/>
      <selection pane="bottomLeft" activeCell="D7" sqref="D7"/>
    </sheetView>
  </sheetViews>
  <sheetFormatPr baseColWidth="8" defaultColWidth="8.7109375" defaultRowHeight="15"/>
  <cols>
    <col width="38" customWidth="1" style="199" min="1" max="1"/>
    <col width="13" customWidth="1" style="199" min="2" max="7"/>
    <col width="63.140625" customWidth="1" style="199" min="8" max="8"/>
    <col width="24.85546875" customWidth="1" style="199" min="9" max="9"/>
  </cols>
  <sheetData>
    <row r="1" ht="27.75" customHeight="1" s="199">
      <c r="A1" s="189" t="inlineStr">
        <is>
          <t>Rent Roll Reconciliation  —  RR vs. T12 Gap Analysis</t>
        </is>
      </c>
      <c r="AZ1" t="inlineStr">
        <is>
          <t>RR ↔ T12 reconciliation diagnostic</t>
        </is>
      </c>
    </row>
    <row r="2" ht="30" customHeight="1" s="199">
      <c r="A2" s="109" t="inlineStr">
        <is>
          <t>Select period:</t>
        </is>
      </c>
      <c r="B2" s="110">
        <f>IF(MAX('Rent Roll Input'!$S$7:$S$606)&gt;0,MAX('Rent Roll Input'!$S$7:$S$606),"")</f>
        <v/>
      </c>
      <c r="C2" s="191" t="inlineStr">
        <is>
          <t>← date from Rent Roll Input col S. All tables auto-update.</t>
        </is>
      </c>
      <c r="AZ2" t="inlineStr">
        <is>
          <t>aggregator</t>
        </is>
      </c>
    </row>
    <row r="3" ht="6" customHeight="1" s="199">
      <c r="AZ3" t="inlineStr">
        <is>
          <t>visible</t>
        </is>
      </c>
    </row>
    <row r="4" ht="24" customHeight="1" s="199">
      <c r="A4" s="111" t="inlineStr">
        <is>
          <t>Metric</t>
        </is>
      </c>
      <c r="B4" s="10" t="inlineStr">
        <is>
          <t>IL</t>
        </is>
      </c>
      <c r="C4" s="10" t="inlineStr">
        <is>
          <t>AL</t>
        </is>
      </c>
      <c r="D4" s="10" t="inlineStr">
        <is>
          <t>MC</t>
        </is>
      </c>
      <c r="E4" s="10" t="inlineStr">
        <is>
          <t>Total</t>
        </is>
      </c>
      <c r="F4" s="10" t="n"/>
      <c r="G4" s="10" t="n"/>
      <c r="H4" s="10" t="inlineStr">
        <is>
          <t>Flag / Note</t>
        </is>
      </c>
      <c r="I4" s="200" t="n"/>
      <c r="AZ4" t="inlineStr">
        <is>
          <t>v0.1.13</t>
        </is>
      </c>
    </row>
    <row r="5" ht="6" customHeight="1" s="199"/>
    <row r="6" ht="18" customHeight="1" s="199">
      <c r="A6" s="174" t="inlineStr">
        <is>
          <t>A  ·  UNIT COUNTS  (from selected rent roll period)</t>
        </is>
      </c>
    </row>
    <row r="7" ht="15.75" customHeight="1" s="199">
      <c r="A7" s="112" t="inlineStr">
        <is>
          <t>Total units (all statuses)</t>
        </is>
      </c>
      <c r="B7" s="113">
        <f>COUNTIFS('Rent Roll Input'!$S$7:$S$606,'Rent Roll Recon'!$B$2,'Rent Roll Input'!$A$7:$A$606,"&lt;&gt;",'Rent Roll Input'!$D$7:$D$606,"IL")</f>
        <v/>
      </c>
      <c r="C7" s="113">
        <f>COUNTIFS('Rent Roll Input'!$S$7:$S$606,'Rent Roll Recon'!$B$2,'Rent Roll Input'!$A$7:$A$606,"&lt;&gt;",'Rent Roll Input'!$D$7:$D$606,"AL")</f>
        <v/>
      </c>
      <c r="D7" s="113">
        <f>COUNTIFS('Rent Roll Input'!$S$7:$S$606,'Rent Roll Recon'!$B$2,'Rent Roll Input'!$A$7:$A$606,"&lt;&gt;",'Rent Roll Input'!$D$7:$D$606,"MC")</f>
        <v/>
      </c>
      <c r="E7" s="114">
        <f>SUM(B7:D7)</f>
        <v/>
      </c>
      <c r="F7" s="200" t="n"/>
      <c r="G7" s="200" t="n"/>
      <c r="H7" s="200" t="n"/>
      <c r="I7" s="200" t="n"/>
    </row>
    <row r="8" ht="15.75" customHeight="1" s="199">
      <c r="A8" s="112" t="inlineStr">
        <is>
          <t>Occupied</t>
        </is>
      </c>
      <c r="B8" s="113">
        <f>COUNTIFS('Rent Roll Input'!$S$7:$S$606,'Rent Roll Recon'!$B$2,'Rent Roll Input'!$E$7:$E$606,"Occupied",'Rent Roll Input'!$D$7:$D$606,"IL")</f>
        <v/>
      </c>
      <c r="C8" s="113">
        <f>COUNTIFS('Rent Roll Input'!$S$7:$S$606,'Rent Roll Recon'!$B$2,'Rent Roll Input'!$E$7:$E$606,"Occupied",'Rent Roll Input'!$D$7:$D$606,"AL")</f>
        <v/>
      </c>
      <c r="D8" s="113">
        <f>COUNTIFS('Rent Roll Input'!$S$7:$S$606,'Rent Roll Recon'!$B$2,'Rent Roll Input'!$E$7:$E$606,"Occupied",'Rent Roll Input'!$D$7:$D$606,"MC")</f>
        <v/>
      </c>
      <c r="E8" s="114">
        <f>SUM(B8:D8)</f>
        <v/>
      </c>
      <c r="F8" s="200" t="n"/>
      <c r="G8" s="200" t="n"/>
      <c r="H8" s="200" t="n"/>
      <c r="I8" s="200" t="n"/>
    </row>
    <row r="9" ht="15.75" customHeight="1" s="199">
      <c r="A9" s="112" t="inlineStr">
        <is>
          <t>Vacant</t>
        </is>
      </c>
      <c r="B9" s="113">
        <f>COUNTIFS('Rent Roll Input'!$S$7:$S$606,'Rent Roll Recon'!$B$2,'Rent Roll Input'!$E$7:$E$606,"Vacant",'Rent Roll Input'!$D$7:$D$606,"IL")</f>
        <v/>
      </c>
      <c r="C9" s="113">
        <f>COUNTIFS('Rent Roll Input'!$S$7:$S$606,'Rent Roll Recon'!$B$2,'Rent Roll Input'!$E$7:$E$606,"Vacant",'Rent Roll Input'!$D$7:$D$606,"AL")</f>
        <v/>
      </c>
      <c r="D9" s="113">
        <f>COUNTIFS('Rent Roll Input'!$S$7:$S$606,'Rent Roll Recon'!$B$2,'Rent Roll Input'!$E$7:$E$606,"Vacant",'Rent Roll Input'!$D$7:$D$606,"MC")</f>
        <v/>
      </c>
      <c r="E9" s="114">
        <f>SUM(B9:D9)</f>
        <v/>
      </c>
      <c r="F9" s="200" t="n"/>
      <c r="G9" s="200" t="n"/>
      <c r="H9" s="200" t="n"/>
      <c r="I9" s="200" t="n"/>
    </row>
    <row r="10" ht="15.75" customHeight="1" s="199">
      <c r="A10" s="112" t="inlineStr">
        <is>
          <t>On notice</t>
        </is>
      </c>
      <c r="B10" s="113">
        <f>COUNTIFS('Rent Roll Input'!$S$7:$S$606,'Rent Roll Recon'!$B$2,'Rent Roll Input'!$E$7:$E$606,"Notice",'Rent Roll Input'!$D$7:$D$606,"IL")</f>
        <v/>
      </c>
      <c r="C10" s="113">
        <f>COUNTIFS('Rent Roll Input'!$S$7:$S$606,'Rent Roll Recon'!$B$2,'Rent Roll Input'!$E$7:$E$606,"Notice",'Rent Roll Input'!$D$7:$D$606,"AL")</f>
        <v/>
      </c>
      <c r="D10" s="113">
        <f>COUNTIFS('Rent Roll Input'!$S$7:$S$606,'Rent Roll Recon'!$B$2,'Rent Roll Input'!$E$7:$E$606,"Notice",'Rent Roll Input'!$D$7:$D$606,"MC")</f>
        <v/>
      </c>
      <c r="E10" s="114">
        <f>SUM(B10:D10)</f>
        <v/>
      </c>
      <c r="F10" s="200" t="n"/>
      <c r="G10" s="200" t="n"/>
      <c r="H10" s="200" t="n"/>
      <c r="I10" s="200" t="n"/>
    </row>
    <row r="11" ht="15.75" customHeight="1" s="199">
      <c r="A11" s="115" t="inlineStr">
        <is>
          <t>Eviction / non-paying</t>
        </is>
      </c>
      <c r="B11" s="116">
        <f>COUNTIFS('Rent Roll Input'!$S$7:$S$606,'Rent Roll Recon'!$B$2,'Rent Roll Input'!$E$7:$E$606,"Eviction",'Rent Roll Input'!$D$7:$D$606,"IL")</f>
        <v/>
      </c>
      <c r="C11" s="116">
        <f>COUNTIFS('Rent Roll Input'!$S$7:$S$606,'Rent Roll Recon'!$B$2,'Rent Roll Input'!$E$7:$E$606,"Eviction",'Rent Roll Input'!$D$7:$D$606,"AL")</f>
        <v/>
      </c>
      <c r="D11" s="116">
        <f>COUNTIFS('Rent Roll Input'!$S$7:$S$606,'Rent Roll Recon'!$B$2,'Rent Roll Input'!$E$7:$E$606,"Eviction",'Rent Roll Input'!$D$7:$D$606,"MC")</f>
        <v/>
      </c>
      <c r="E11" s="114">
        <f>SUM(B11:D11)</f>
        <v/>
      </c>
      <c r="F11" s="200" t="n"/>
      <c r="G11" s="200" t="n"/>
      <c r="H11" s="38" t="inlineStr">
        <is>
          <t>⚠ Economic vacancy — exclude from stabilized occupancy</t>
        </is>
      </c>
      <c r="I11" s="200" t="n"/>
    </row>
    <row r="12" ht="15.75" customHeight="1" s="199">
      <c r="A12" s="112" t="inlineStr">
        <is>
          <t>Physical occupancy %</t>
        </is>
      </c>
      <c r="B12" s="117">
        <f>IFERROR(B8/B7,"-")</f>
        <v/>
      </c>
      <c r="C12" s="117">
        <f>IFERROR(C8/C7,"-")</f>
        <v/>
      </c>
      <c r="D12" s="117">
        <f>IFERROR(D8/D7,"-")</f>
        <v/>
      </c>
      <c r="E12" s="118">
        <f>IFERROR(E8/E7,"-")</f>
        <v/>
      </c>
      <c r="F12" s="200" t="n"/>
      <c r="G12" s="200" t="n"/>
      <c r="H12" s="200" t="n"/>
      <c r="I12" s="200" t="n"/>
    </row>
    <row r="13" ht="15.75" customHeight="1" s="199">
      <c r="A13" s="112" t="inlineStr">
        <is>
          <t>Economic occupancy %  (excl. evictions)</t>
        </is>
      </c>
      <c r="B13" s="117">
        <f>IFERROR((B8-B11)/B7,"-")</f>
        <v/>
      </c>
      <c r="C13" s="117">
        <f>IFERROR((C8-C11)/C7,"-")</f>
        <v/>
      </c>
      <c r="D13" s="117">
        <f>IFERROR((D8-D11)/D7,"-")</f>
        <v/>
      </c>
      <c r="E13" s="118">
        <f>IFERROR((E8-E11)/E7,"-")</f>
        <v/>
      </c>
      <c r="F13" s="200" t="n"/>
      <c r="G13" s="200" t="n"/>
      <c r="H13" s="119" t="inlineStr">
        <is>
          <t>Gap vs. physical occ = true economic vacancy</t>
        </is>
      </c>
      <c r="I13" s="200" t="n"/>
    </row>
    <row r="14" ht="6" customHeight="1" s="199"/>
    <row r="15" ht="18" customHeight="1" s="199">
      <c r="A15" s="174" t="inlineStr">
        <is>
          <t>B  ·  REVENUE RECONCILIATION  (RR contracted vs. T12 collected)</t>
        </is>
      </c>
      <c r="I15" s="200" t="n"/>
    </row>
    <row r="16" ht="25.5" customHeight="1" s="199">
      <c r="A16" s="112" t="inlineStr">
        <is>
          <t>RR gross contracted base rent / mo</t>
        </is>
      </c>
      <c r="B16" s="120">
        <f>IFERROR(SUMIFS('Rent Roll Input'!$H$7:$H$606,'Rent Roll Input'!$S$7:$S$606,'Rent Roll Recon'!$B$2,'Rent Roll Input'!$E$7:$E$606,"&lt;&gt;Vacant",'Rent Roll Input'!$E$7:$E$606,"&lt;&gt;Eviction",'Rent Roll Input'!$D$7:$D$606,"IL"),0)</f>
        <v/>
      </c>
      <c r="C16" s="120">
        <f>IFERROR(SUMIFS('Rent Roll Input'!$H$7:$H$606,'Rent Roll Input'!$S$7:$S$606,'Rent Roll Recon'!$B$2,'Rent Roll Input'!$E$7:$E$606,"&lt;&gt;Vacant",'Rent Roll Input'!$E$7:$E$606,"&lt;&gt;Eviction",'Rent Roll Input'!$D$7:$D$606,"AL"),0)</f>
        <v/>
      </c>
      <c r="D16" s="120">
        <f>IFERROR(SUMIFS('Rent Roll Input'!$H$7:$H$606,'Rent Roll Input'!$S$7:$S$606,'Rent Roll Recon'!$B$2,'Rent Roll Input'!$E$7:$E$606,"&lt;&gt;Vacant",'Rent Roll Input'!$E$7:$E$606,"&lt;&gt;Eviction",'Rent Roll Input'!$D$7:$D$606,"MC"),0)</f>
        <v/>
      </c>
      <c r="E16" s="121">
        <f>SUM(B16:D16)</f>
        <v/>
      </c>
      <c r="F16" s="200" t="n"/>
      <c r="G16" s="200" t="n"/>
      <c r="H16" s="119" t="inlineStr">
        <is>
          <t>Gross contracted rates before concessions</t>
        </is>
      </c>
      <c r="I16" s="10" t="inlineStr">
        <is>
          <t>Implied
Monthly</t>
        </is>
      </c>
    </row>
    <row r="17">
      <c r="A17" s="112" t="inlineStr">
        <is>
          <t>RR effective net base rent / mo  (after concessions)</t>
        </is>
      </c>
      <c r="B17" s="120">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20">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21">
        <f>SUM(B17:D17)</f>
        <v/>
      </c>
      <c r="F17" s="200" t="n"/>
      <c r="G17" s="200" t="n"/>
      <c r="H17" s="122" t="inlineStr">
        <is>
          <t>⚠ Actual rate + concessions — compare to T12 collected</t>
        </is>
      </c>
      <c r="I17" s="24">
        <f>E17</f>
        <v/>
      </c>
    </row>
    <row r="18" ht="15.75" customHeight="1" s="199">
      <c r="A18" s="112" t="inlineStr">
        <is>
          <t>RR effective net rent  (annualized ×12)</t>
        </is>
      </c>
      <c r="B18" s="120">
        <f>B17*12</f>
        <v/>
      </c>
      <c r="C18" s="120">
        <f>C17*12</f>
        <v/>
      </c>
      <c r="D18" s="120">
        <f>D17*12</f>
        <v/>
      </c>
      <c r="E18" s="121">
        <f>E17*12</f>
        <v/>
      </c>
      <c r="F18" s="200" t="n"/>
      <c r="G18" s="200" t="n"/>
      <c r="H18" s="119" t="inlineStr">
        <is>
          <t>For direct comparison to T12 annual base rent</t>
        </is>
      </c>
      <c r="I18" s="24">
        <f>E18/12</f>
        <v/>
      </c>
    </row>
    <row r="19" ht="15.75" customHeight="1" s="199">
      <c r="A19" s="112" t="inlineStr">
        <is>
          <t>T12 actual base rent  (from Raw Data, annualized)</t>
        </is>
      </c>
      <c r="B19" s="120">
        <f>IFERROR(INDEX('T12 Raw Data'!R:R,MATCH("Base rent — IL",'T12 Raw Data'!B:B,0)),0)</f>
        <v/>
      </c>
      <c r="C19" s="120">
        <f>IFERROR(INDEX('T12 Raw Data'!R:R,MATCH("Base rent — AL",'T12 Raw Data'!B:B,0)),0)</f>
        <v/>
      </c>
      <c r="D19" s="120">
        <f>IFERROR(INDEX('T12 Raw Data'!R:R,MATCH("Base rent — MC",'T12 Raw Data'!B:B,0)),0)</f>
        <v/>
      </c>
      <c r="E19" s="121">
        <f>SUM(B19:D19)</f>
        <v/>
      </c>
      <c r="F19" s="200" t="n"/>
      <c r="G19" s="200" t="n"/>
      <c r="H19" s="119" t="inlineStr">
        <is>
          <t>T12 total base rent from Raw Data</t>
        </is>
      </c>
      <c r="I19" s="24">
        <f>IFERROR(E19/12,0)</f>
        <v/>
      </c>
    </row>
    <row r="20" ht="69.75" customHeight="1" s="199">
      <c r="A20" s="115" t="inlineStr">
        <is>
          <t>Gap  (RR annualized − T12 actual)</t>
        </is>
      </c>
      <c r="B20" s="123">
        <f>B18-B19</f>
        <v/>
      </c>
      <c r="C20" s="123">
        <f>C18-C19</f>
        <v/>
      </c>
      <c r="D20" s="123">
        <f>D18-D19</f>
        <v/>
      </c>
      <c r="E20" s="124">
        <f>E18-E19</f>
        <v/>
      </c>
      <c r="F20" s="200" t="n"/>
      <c r="G20" s="200" t="n"/>
      <c r="H20" s="38">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25">
        <f>IFERROR(IF(E20=0,"-",E20/12),"-")</f>
        <v/>
      </c>
    </row>
    <row r="21" ht="6" customHeight="1" s="199">
      <c r="I21" s="200" t="n"/>
    </row>
    <row r="22" ht="18" customHeight="1" s="199">
      <c r="A22" s="174" t="inlineStr">
        <is>
          <t>C  ·  RATE ANALYSIS  (RR contracted rate vs. T12 implied ADR)</t>
        </is>
      </c>
      <c r="I22" s="200" t="n"/>
    </row>
    <row r="23" ht="15.75" customHeight="1" s="199">
      <c r="A23" s="112" t="inlineStr">
        <is>
          <t>RR avg contracted rate / occ unit / month</t>
        </is>
      </c>
      <c r="B23" s="126">
        <f>IFERROR(AVERAGEIFS('Rent Roll Input'!$H$7:$H$606,'Rent Roll Input'!$S$7:$S$606,'Rent Roll Recon'!$B$2,'Rent Roll Input'!$E$7:$E$606,"&lt;&gt;Vacant",'Rent Roll Input'!$E$7:$E$606,"&lt;&gt;Eviction",'Rent Roll Input'!$D$7:$D$606,"IL"),"-")</f>
        <v/>
      </c>
      <c r="C23" s="126">
        <f>IFERROR(AVERAGEIFS('Rent Roll Input'!$H$7:$H$606,'Rent Roll Input'!$S$7:$S$606,'Rent Roll Recon'!$B$2,'Rent Roll Input'!$E$7:$E$606,"&lt;&gt;Vacant",'Rent Roll Input'!$E$7:$E$606,"&lt;&gt;Eviction",'Rent Roll Input'!$D$7:$D$606,"AL"),"-")</f>
        <v/>
      </c>
      <c r="D23" s="126">
        <f>IFERROR(AVERAGEIFS('Rent Roll Input'!$H$7:$H$606,'Rent Roll Input'!$S$7:$S$606,'Rent Roll Recon'!$B$2,'Rent Roll Input'!$E$7:$E$606,"&lt;&gt;Vacant",'Rent Roll Input'!$E$7:$E$606,"&lt;&gt;Eviction",'Rent Roll Input'!$D$7:$D$606,"MC"),"-")</f>
        <v/>
      </c>
      <c r="E23" s="127" t="inlineStr">
        <is>
          <t>-</t>
        </is>
      </c>
      <c r="F23" s="200" t="n"/>
      <c r="G23" s="200" t="n"/>
      <c r="H23" s="119" t="inlineStr">
        <is>
          <t>Avg gross rate, occupied units</t>
        </is>
      </c>
      <c r="I23" s="200" t="n"/>
    </row>
    <row r="24" ht="15.75" customHeight="1" s="199">
      <c r="A24" s="115" t="inlineStr">
        <is>
          <t>RR avg effective rate  (after concessions)</t>
        </is>
      </c>
      <c r="B24" s="128">
        <f>IFERROR(B17/B8,"-")</f>
        <v/>
      </c>
      <c r="C24" s="128">
        <f>IFERROR(C17/C8,"-")</f>
        <v/>
      </c>
      <c r="D24" s="128">
        <f>IFERROR(D17/D8,"-")</f>
        <v/>
      </c>
      <c r="E24" s="127" t="inlineStr">
        <is>
          <t>-</t>
        </is>
      </c>
      <c r="F24" s="200" t="n"/>
      <c r="G24" s="200" t="n"/>
      <c r="H24" s="122" t="inlineStr">
        <is>
          <t>⚠ Net of concessions — use for RevPOR crosscheck</t>
        </is>
      </c>
      <c r="I24" s="200" t="n"/>
    </row>
    <row r="25" ht="15.75" customHeight="1" s="199">
      <c r="A25" s="112" t="inlineStr">
        <is>
          <t>T12 implied ADR  (base rent ÷ occ. beds ÷ 12)</t>
        </is>
      </c>
      <c r="B25" s="126">
        <f>IFERROR('T12 Analytics'!B17,0)</f>
        <v/>
      </c>
      <c r="C25" s="126">
        <f>IFERROR('T12 Analytics'!C17,0)</f>
        <v/>
      </c>
      <c r="D25" s="126">
        <f>IFERROR('T12 Analytics'!D17,0)</f>
        <v/>
      </c>
      <c r="E25" s="127" t="inlineStr">
        <is>
          <t>-</t>
        </is>
      </c>
      <c r="F25" s="200" t="n"/>
      <c r="G25" s="200" t="n"/>
      <c r="H25" s="119" t="inlineStr">
        <is>
          <t>Back-calculated from T12 Analytics Section 2</t>
        </is>
      </c>
      <c r="I25" s="200" t="n"/>
    </row>
    <row r="27" ht="18" customHeight="1" s="199">
      <c r="A27" s="174" t="inlineStr">
        <is>
          <t>D  ·  OCCUPANCY CROSSCHECK  (RR snapshot vs. T12 avg occupied beds)</t>
        </is>
      </c>
    </row>
    <row r="28" ht="15.75" customHeight="1" s="199">
      <c r="A28" s="112" t="inlineStr">
        <is>
          <t>RR occupied units  (period snapshot)</t>
        </is>
      </c>
      <c r="B28" s="113">
        <f>COUNTIFS('Rent Roll Input'!$S$7:$S$606,'Rent Roll Recon'!$B$2,'Rent Roll Input'!$E$7:$E$606,"Occupied",'Rent Roll Input'!$D$7:$D$606,"IL")</f>
        <v/>
      </c>
      <c r="C28" s="113">
        <f>COUNTIFS('Rent Roll Input'!$S$7:$S$606,'Rent Roll Recon'!$B$2,'Rent Roll Input'!$E$7:$E$606,"Occupied",'Rent Roll Input'!$D$7:$D$606,"AL")</f>
        <v/>
      </c>
      <c r="D28" s="113">
        <f>COUNTIFS('Rent Roll Input'!$S$7:$S$606,'Rent Roll Recon'!$B$2,'Rent Roll Input'!$E$7:$E$606,"Occupied",'Rent Roll Input'!$D$7:$D$606,"MC")</f>
        <v/>
      </c>
      <c r="E28" s="114">
        <f>SUM(B28:D28)</f>
        <v/>
      </c>
      <c r="F28" s="200" t="n"/>
      <c r="G28" s="200" t="n"/>
      <c r="H28" s="200" t="n"/>
      <c r="I28" s="200" t="n"/>
    </row>
    <row r="29" ht="15.75" customHeight="1" s="199">
      <c r="A29" s="112" t="inlineStr">
        <is>
          <t>T12 avg occupied beds  (T12 Analytics Section 1)</t>
        </is>
      </c>
      <c r="B29" s="113">
        <f>IFERROR('T12 Analytics'!B7,0)</f>
        <v/>
      </c>
      <c r="C29" s="113">
        <f>IFERROR('T12 Analytics'!C7,0)</f>
        <v/>
      </c>
      <c r="D29" s="113">
        <f>IFERROR('T12 Analytics'!D7,0)</f>
        <v/>
      </c>
      <c r="E29" s="114">
        <f>SUM(B29:D29)</f>
        <v/>
      </c>
      <c r="F29" s="200" t="n"/>
      <c r="G29" s="200" t="n"/>
      <c r="H29" s="119" t="inlineStr">
        <is>
          <t>T12 12-month avg — compare to RR point-in-time</t>
        </is>
      </c>
      <c r="I29" s="200" t="n"/>
    </row>
    <row r="30" ht="15.75" customHeight="1" s="199">
      <c r="A30" s="115" t="inlineStr">
        <is>
          <t>Delta  (RR snapshot − T12 avg)</t>
        </is>
      </c>
      <c r="B30" s="116">
        <f>B28-B29</f>
        <v/>
      </c>
      <c r="C30" s="116">
        <f>C28-C29</f>
        <v/>
      </c>
      <c r="D30" s="116">
        <f>D28-D29</f>
        <v/>
      </c>
      <c r="E30" s="129">
        <f>E28-E29</f>
        <v/>
      </c>
      <c r="F30" s="200" t="n"/>
      <c r="G30" s="200" t="n"/>
      <c r="H30" s="122" t="inlineStr">
        <is>
          <t>⚠ Positive = occupancy improved; Negative = declined</t>
        </is>
      </c>
      <c r="I30" s="200" t="n"/>
    </row>
    <row r="31" ht="6" customHeight="1" s="199"/>
    <row r="32" ht="18" customHeight="1" s="199">
      <c r="A32" s="194" t="inlineStr">
        <is>
          <t>E  ·  AUTO-FILL TO T12 ANALYTICS  (occupied beds from selected period)</t>
        </is>
      </c>
    </row>
    <row r="33" ht="19.5" customHeight="1" s="199">
      <c r="A33" s="193" t="inlineStr">
        <is>
          <t>T12 Analytics Section 1 (avg occupied beds) reads from rows below automatically. Override T12 Analytics row 7 directly if needed.</t>
        </is>
      </c>
    </row>
    <row r="34" ht="15.75" customHeight="1" s="199">
      <c r="A34" s="112" t="inlineStr">
        <is>
          <t>Occupied beds — IL  (feeds T12 Analytics B7)</t>
        </is>
      </c>
      <c r="B34" s="113">
        <f>B28</f>
        <v/>
      </c>
      <c r="C34" s="200" t="n"/>
      <c r="D34" s="200" t="n"/>
      <c r="E34" s="200" t="n"/>
      <c r="F34" s="200" t="n"/>
      <c r="G34" s="200" t="n"/>
      <c r="H34" s="200" t="n"/>
      <c r="I34" s="200" t="n"/>
    </row>
    <row r="35" ht="15.75" customHeight="1" s="199">
      <c r="A35" s="112" t="inlineStr">
        <is>
          <t>Occupied beds — AL  (feeds T12 Analytics C7)</t>
        </is>
      </c>
      <c r="B35" s="200" t="n"/>
      <c r="C35" s="113">
        <f>C28</f>
        <v/>
      </c>
      <c r="D35" s="200" t="n"/>
      <c r="E35" s="200" t="n"/>
      <c r="F35" s="200" t="n"/>
      <c r="G35" s="200" t="n"/>
      <c r="H35" s="200" t="n"/>
      <c r="I35" s="200" t="n"/>
    </row>
    <row r="36" ht="15.75" customHeight="1" s="199">
      <c r="A36" s="112" t="inlineStr">
        <is>
          <t>Occupied beds — MC  (feeds T12 Analytics D7)</t>
        </is>
      </c>
      <c r="B36" s="200" t="n"/>
      <c r="C36" s="200" t="n"/>
      <c r="D36" s="113">
        <f>D28</f>
        <v/>
      </c>
      <c r="E36" s="200" t="n"/>
      <c r="F36" s="200" t="n"/>
      <c r="G36" s="200" t="n"/>
      <c r="H36" s="200" t="n"/>
      <c r="I36" s="200" t="n"/>
    </row>
    <row r="37" ht="6" customHeight="1" s="199"/>
    <row r="38" ht="18" customHeight="1" s="199">
      <c r="A38" s="174" t="inlineStr">
        <is>
          <t>F  ·  PAYER MIX SUMMARY  (auto-calculated from selected period)</t>
        </is>
      </c>
    </row>
    <row r="39" ht="27.75" customHeight="1" s="199">
      <c r="A39" s="111" t="inlineStr">
        <is>
          <t>Payer Type</t>
        </is>
      </c>
      <c r="B39" s="10" t="inlineStr">
        <is>
          <t>Resident
Count</t>
        </is>
      </c>
      <c r="C39" s="10" t="inlineStr">
        <is>
          <t>% of
Res.</t>
        </is>
      </c>
      <c r="D39" s="10" t="inlineStr">
        <is>
          <t>Monthly
Base Rev</t>
        </is>
      </c>
      <c r="E39" s="10" t="inlineStr">
        <is>
          <t>% Base
Rev</t>
        </is>
      </c>
      <c r="F39" s="10" t="inlineStr">
        <is>
          <t>Monthly
LOC Rev</t>
        </is>
      </c>
      <c r="G39" s="10" t="inlineStr">
        <is>
          <t>% LOC
Rev</t>
        </is>
      </c>
      <c r="H39" s="10" t="inlineStr">
        <is>
          <t>Total
Monthly Rev</t>
        </is>
      </c>
      <c r="I39" s="10" t="inlineStr">
        <is>
          <t>% of
Total</t>
        </is>
      </c>
    </row>
    <row r="40" ht="15.75" customHeight="1" s="199">
      <c r="A40" s="130" t="inlineStr">
        <is>
          <t>Private Pay</t>
        </is>
      </c>
      <c r="B40" s="131">
        <f>COUNTIFS('Rent Roll Input'!$S$7:$S$606,'Rent Roll Recon'!$B$2,'Rent Roll Input'!$E$7:$E$606,"&lt;&gt;Vacant",'Rent Roll Input'!$E$7:$E$606,"&lt;&gt;Eviction",'Rent Roll Input'!$P$7:$P$606,"Private Pay")</f>
        <v/>
      </c>
      <c r="C40" s="132">
        <f>IFERROR(B40/B47,"-")</f>
        <v/>
      </c>
      <c r="D40" s="133">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32">
        <f>IFERROR(D40/D47,"-")</f>
        <v/>
      </c>
      <c r="F40" s="133">
        <f>IFERROR(SUMIFS('Rent Roll Input'!$T$7:$T$606,'Rent Roll Input'!$S$7:$S$606,'Rent Roll Recon'!$B$2,'Rent Roll Input'!$E$7:$E$606,"&lt;&gt;Vacant",'Rent Roll Input'!$E$7:$E$606,"&lt;&gt;Eviction",'Rent Roll Input'!$P$7:$P$606,"Private Pay"),0)</f>
        <v/>
      </c>
      <c r="G40" s="132">
        <f>IFERROR(F40/F47,"-")</f>
        <v/>
      </c>
      <c r="H40" s="133">
        <f>D40+F40</f>
        <v/>
      </c>
      <c r="I40" s="132">
        <f>IFERROR(H40/H47,"-")</f>
        <v/>
      </c>
    </row>
    <row r="41" ht="15.75" customHeight="1" s="199">
      <c r="A41" s="112" t="inlineStr">
        <is>
          <t>Medicaid</t>
        </is>
      </c>
      <c r="B41" s="113">
        <f>COUNTIFS('Rent Roll Input'!$S$7:$S$606,'Rent Roll Recon'!$B$2,'Rent Roll Input'!$E$7:$E$606,"&lt;&gt;Vacant",'Rent Roll Input'!$E$7:$E$606,"&lt;&gt;Eviction",'Rent Roll Input'!$P$7:$P$606,"Medicaid")</f>
        <v/>
      </c>
      <c r="C41" s="117">
        <f>IFERROR(B41/B47,"-")</f>
        <v/>
      </c>
      <c r="D41" s="120">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7">
        <f>IFERROR(D41/D47,"-")</f>
        <v/>
      </c>
      <c r="F41" s="120">
        <f>IFERROR(SUMIFS('Rent Roll Input'!$T$7:$T$606,'Rent Roll Input'!$S$7:$S$606,'Rent Roll Recon'!$B$2,'Rent Roll Input'!$E$7:$E$606,"&lt;&gt;Vacant",'Rent Roll Input'!$E$7:$E$606,"&lt;&gt;Eviction",'Rent Roll Input'!$P$7:$P$606,"Medicaid"),0)</f>
        <v/>
      </c>
      <c r="G41" s="117">
        <f>IFERROR(F41/F47,"-")</f>
        <v/>
      </c>
      <c r="H41" s="120">
        <f>D41+F41</f>
        <v/>
      </c>
      <c r="I41" s="117">
        <f>IFERROR(H41/H47,"-")</f>
        <v/>
      </c>
    </row>
    <row r="42" ht="15.75" customHeight="1" s="199">
      <c r="A42" s="130" t="inlineStr">
        <is>
          <t>LTC Insurance</t>
        </is>
      </c>
      <c r="B42" s="131">
        <f>COUNTIFS('Rent Roll Input'!$S$7:$S$606,'Rent Roll Recon'!$B$2,'Rent Roll Input'!$E$7:$E$606,"&lt;&gt;Vacant",'Rent Roll Input'!$E$7:$E$606,"&lt;&gt;Eviction",'Rent Roll Input'!$P$7:$P$606,"LTC Insurance")</f>
        <v/>
      </c>
      <c r="C42" s="132">
        <f>IFERROR(B42/B47,"-")</f>
        <v/>
      </c>
      <c r="D42" s="133">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32">
        <f>IFERROR(D42/D47,"-")</f>
        <v/>
      </c>
      <c r="F42" s="133">
        <f>IFERROR(SUMIFS('Rent Roll Input'!$T$7:$T$606,'Rent Roll Input'!$S$7:$S$606,'Rent Roll Recon'!$B$2,'Rent Roll Input'!$E$7:$E$606,"&lt;&gt;Vacant",'Rent Roll Input'!$E$7:$E$606,"&lt;&gt;Eviction",'Rent Roll Input'!$P$7:$P$606,"LTC Insurance"),0)</f>
        <v/>
      </c>
      <c r="G42" s="132">
        <f>IFERROR(F42/F47,"-")</f>
        <v/>
      </c>
      <c r="H42" s="133">
        <f>D42+F42</f>
        <v/>
      </c>
      <c r="I42" s="132">
        <f>IFERROR(H42/H47,"-")</f>
        <v/>
      </c>
    </row>
    <row r="43" ht="15.75" customHeight="1" s="199">
      <c r="A43" s="112" t="inlineStr">
        <is>
          <t>VA</t>
        </is>
      </c>
      <c r="B43" s="113">
        <f>COUNTIFS('Rent Roll Input'!$S$7:$S$606,'Rent Roll Recon'!$B$2,'Rent Roll Input'!$E$7:$E$606,"&lt;&gt;Vacant",'Rent Roll Input'!$E$7:$E$606,"&lt;&gt;Eviction",'Rent Roll Input'!$P$7:$P$606,"VA")</f>
        <v/>
      </c>
      <c r="C43" s="117">
        <f>IFERROR(B43/B47,"-")</f>
        <v/>
      </c>
      <c r="D43" s="120">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7">
        <f>IFERROR(D43/D47,"-")</f>
        <v/>
      </c>
      <c r="F43" s="120">
        <f>IFERROR(SUMIFS('Rent Roll Input'!$T$7:$T$606,'Rent Roll Input'!$S$7:$S$606,'Rent Roll Recon'!$B$2,'Rent Roll Input'!$E$7:$E$606,"&lt;&gt;Vacant",'Rent Roll Input'!$E$7:$E$606,"&lt;&gt;Eviction",'Rent Roll Input'!$P$7:$P$606,"VA"),0)</f>
        <v/>
      </c>
      <c r="G43" s="117">
        <f>IFERROR(F43/F47,"-")</f>
        <v/>
      </c>
      <c r="H43" s="120">
        <f>D43+F43</f>
        <v/>
      </c>
      <c r="I43" s="117">
        <f>IFERROR(H43/H47,"-")</f>
        <v/>
      </c>
    </row>
    <row r="44" ht="15.75" customHeight="1" s="199">
      <c r="A44" s="130" t="inlineStr">
        <is>
          <t>Managed Care</t>
        </is>
      </c>
      <c r="B44" s="131">
        <f>COUNTIFS('Rent Roll Input'!$S$7:$S$606,'Rent Roll Recon'!$B$2,'Rent Roll Input'!$E$7:$E$606,"&lt;&gt;Vacant",'Rent Roll Input'!$E$7:$E$606,"&lt;&gt;Eviction",'Rent Roll Input'!$P$7:$P$606,"Managed Care")</f>
        <v/>
      </c>
      <c r="C44" s="132">
        <f>IFERROR(B44/B47,"-")</f>
        <v/>
      </c>
      <c r="D44" s="133">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32">
        <f>IFERROR(D44/D47,"-")</f>
        <v/>
      </c>
      <c r="F44" s="133">
        <f>IFERROR(SUMIFS('Rent Roll Input'!$T$7:$T$606,'Rent Roll Input'!$S$7:$S$606,'Rent Roll Recon'!$B$2,'Rent Roll Input'!$E$7:$E$606,"&lt;&gt;Vacant",'Rent Roll Input'!$E$7:$E$606,"&lt;&gt;Eviction",'Rent Roll Input'!$P$7:$P$606,"Managed Care"),0)</f>
        <v/>
      </c>
      <c r="G44" s="132">
        <f>IFERROR(F44/F47,"-")</f>
        <v/>
      </c>
      <c r="H44" s="133">
        <f>D44+F44</f>
        <v/>
      </c>
      <c r="I44" s="132">
        <f>IFERROR(H44/H47,"-")</f>
        <v/>
      </c>
    </row>
    <row r="45" ht="15.75" customHeight="1" s="199">
      <c r="A45" s="112" t="inlineStr">
        <is>
          <t>Self-Pay</t>
        </is>
      </c>
      <c r="B45" s="113">
        <f>COUNTIFS('Rent Roll Input'!$S$7:$S$606,'Rent Roll Recon'!$B$2,'Rent Roll Input'!$E$7:$E$606,"&lt;&gt;Vacant",'Rent Roll Input'!$E$7:$E$606,"&lt;&gt;Eviction",'Rent Roll Input'!$P$7:$P$606,"Self-Pay")</f>
        <v/>
      </c>
      <c r="C45" s="117">
        <f>IFERROR(B45/B47,"-")</f>
        <v/>
      </c>
      <c r="D45" s="120">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7">
        <f>IFERROR(D45/D47,"-")</f>
        <v/>
      </c>
      <c r="F45" s="120">
        <f>IFERROR(SUMIFS('Rent Roll Input'!$T$7:$T$606,'Rent Roll Input'!$S$7:$S$606,'Rent Roll Recon'!$B$2,'Rent Roll Input'!$E$7:$E$606,"&lt;&gt;Vacant",'Rent Roll Input'!$E$7:$E$606,"&lt;&gt;Eviction",'Rent Roll Input'!$P$7:$P$606,"Self-Pay"),0)</f>
        <v/>
      </c>
      <c r="G45" s="117">
        <f>IFERROR(F45/F47,"-")</f>
        <v/>
      </c>
      <c r="H45" s="120">
        <f>D45+F45</f>
        <v/>
      </c>
      <c r="I45" s="117">
        <f>IFERROR(H45/H47,"-")</f>
        <v/>
      </c>
    </row>
    <row r="46" ht="15.75" customHeight="1" s="199">
      <c r="A46" s="130" t="inlineStr">
        <is>
          <t>Other</t>
        </is>
      </c>
      <c r="B46" s="131">
        <f>COUNTIFS('Rent Roll Input'!$S$7:$S$606,'Rent Roll Recon'!$B$2,'Rent Roll Input'!$E$7:$E$606,"&lt;&gt;Vacant",'Rent Roll Input'!$E$7:$E$606,"&lt;&gt;Eviction",'Rent Roll Input'!$P$7:$P$606,"Other")</f>
        <v/>
      </c>
      <c r="C46" s="132">
        <f>IFERROR(B46/B47,"-")</f>
        <v/>
      </c>
      <c r="D46" s="133">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32">
        <f>IFERROR(D46/D47,"-")</f>
        <v/>
      </c>
      <c r="F46" s="133">
        <f>IFERROR(SUMIFS('Rent Roll Input'!$T$7:$T$606,'Rent Roll Input'!$S$7:$S$606,'Rent Roll Recon'!$B$2,'Rent Roll Input'!$E$7:$E$606,"&lt;&gt;Vacant",'Rent Roll Input'!$E$7:$E$606,"&lt;&gt;Eviction",'Rent Roll Input'!$P$7:$P$606,"Other"),0)</f>
        <v/>
      </c>
      <c r="G46" s="132">
        <f>IFERROR(F46/F47,"-")</f>
        <v/>
      </c>
      <c r="H46" s="133">
        <f>D46+F46</f>
        <v/>
      </c>
      <c r="I46" s="132">
        <f>IFERROR(H46/H47,"-")</f>
        <v/>
      </c>
    </row>
    <row r="47" ht="18" customHeight="1" s="199">
      <c r="A47" s="183" t="inlineStr">
        <is>
          <t>Total occupied residents</t>
        </is>
      </c>
      <c r="B47" s="134">
        <f>SUM(B40:B46)</f>
        <v/>
      </c>
      <c r="C47" s="135" t="inlineStr">
        <is>
          <t>100.0%</t>
        </is>
      </c>
      <c r="D47" s="30">
        <f>SUM(D40:D46)</f>
        <v/>
      </c>
      <c r="E47" s="135" t="inlineStr">
        <is>
          <t>100.0%</t>
        </is>
      </c>
      <c r="F47" s="30">
        <f>SUM(F40:F46)</f>
        <v/>
      </c>
      <c r="G47" s="135" t="inlineStr">
        <is>
          <t>100.0%</t>
        </is>
      </c>
      <c r="H47" s="30">
        <f>SUM(H40:H46)</f>
        <v/>
      </c>
      <c r="I47" s="135" t="inlineStr">
        <is>
          <t>100.0%</t>
        </is>
      </c>
    </row>
    <row r="48" ht="18" customHeight="1" s="199">
      <c r="A48" s="192" t="inlineStr">
        <is>
          <t>⚠ Medicaid: flag for reimbursement rate risk, lower RevPOR impact, and stabilization assumptions. Managed Care: verify per diem rates vs. private pay rates.</t>
        </is>
      </c>
    </row>
    <row r="49" ht="6" customHeight="1" s="199"/>
    <row r="50" ht="18" customHeight="1" s="199">
      <c r="A50" s="174" t="inlineStr">
        <is>
          <t>G  ·  ARPR BY CARE TYPE  (avg revenue per resident / month)</t>
        </is>
      </c>
    </row>
    <row r="51" ht="27.75" customHeight="1" s="199">
      <c r="A51" s="111" t="inlineStr">
        <is>
          <t>Care Type</t>
        </is>
      </c>
      <c r="B51" s="10" t="inlineStr">
        <is>
          <t>Occupied
Units</t>
        </is>
      </c>
      <c r="C51" s="10" t="inlineStr">
        <is>
          <t>Total Base
Rev / mo</t>
        </is>
      </c>
      <c r="D51" s="23" t="inlineStr">
        <is>
          <t>ARPR Base
($/mo)</t>
        </is>
      </c>
      <c r="E51" s="10" t="inlineStr">
        <is>
          <t>Total LOC
Rev / mo</t>
        </is>
      </c>
      <c r="F51" s="23" t="inlineStr">
        <is>
          <t>ARPR LOC
($/mo)</t>
        </is>
      </c>
      <c r="G51" s="10" t="inlineStr">
        <is>
          <t>Total Rev
/ mo</t>
        </is>
      </c>
      <c r="H51" s="23" t="inlineStr">
        <is>
          <t>ARPR Total
($/mo)</t>
        </is>
      </c>
      <c r="I51" s="10" t="inlineStr">
        <is>
          <t>LOC %
of Base</t>
        </is>
      </c>
    </row>
    <row r="52" ht="15.75" customHeight="1" s="199">
      <c r="A52" s="130" t="inlineStr">
        <is>
          <t>IL</t>
        </is>
      </c>
      <c r="B52" s="131">
        <f>COUNTIFS('Rent Roll Input'!$S$7:$S$606,'Rent Roll Recon'!$B$2,'Rent Roll Input'!$E$7:$E$606,"&lt;&gt;Vacant",'Rent Roll Input'!$E$7:$E$606,"&lt;&gt;Eviction",'Rent Roll Input'!$D$7:$D$606,"IL")</f>
        <v/>
      </c>
      <c r="C52" s="13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36">
        <f>IFERROR(C52/B52,"-")</f>
        <v/>
      </c>
      <c r="E52" s="133">
        <f>IFERROR(SUMIFS('Rent Roll Input'!$T$7:$T$606,'Rent Roll Input'!$S$7:$S$606,'Rent Roll Recon'!$B$2,'Rent Roll Input'!$E$7:$E$606,"&lt;&gt;Vacant",'Rent Roll Input'!$E$7:$E$606,"&lt;&gt;Eviction",'Rent Roll Input'!$D$7:$D$606,"IL"),0)</f>
        <v/>
      </c>
      <c r="F52" s="136">
        <f>IFERROR(E52/B52,"-")</f>
        <v/>
      </c>
      <c r="G52" s="133">
        <f>C52+E52</f>
        <v/>
      </c>
      <c r="H52" s="136">
        <f>IFERROR(G52/B52,"-")</f>
        <v/>
      </c>
      <c r="I52" s="132">
        <f>IFERROR(E52/C52,"-")</f>
        <v/>
      </c>
    </row>
    <row r="53" ht="15.75" customHeight="1" s="199">
      <c r="A53" s="112" t="inlineStr">
        <is>
          <t>AL</t>
        </is>
      </c>
      <c r="B53" s="113">
        <f>COUNTIFS('Rent Roll Input'!$S$7:$S$606,'Rent Roll Recon'!$B$2,'Rent Roll Input'!$E$7:$E$606,"&lt;&gt;Vacant",'Rent Roll Input'!$E$7:$E$606,"&lt;&gt;Eviction",'Rent Roll Input'!$D$7:$D$606,"AL")</f>
        <v/>
      </c>
      <c r="C53"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26">
        <f>IFERROR(C53/B53,"-")</f>
        <v/>
      </c>
      <c r="E53" s="120">
        <f>IFERROR(SUMIFS('Rent Roll Input'!$T$7:$T$606,'Rent Roll Input'!$S$7:$S$606,'Rent Roll Recon'!$B$2,'Rent Roll Input'!$E$7:$E$606,"&lt;&gt;Vacant",'Rent Roll Input'!$E$7:$E$606,"&lt;&gt;Eviction",'Rent Roll Input'!$D$7:$D$606,"AL"),0)</f>
        <v/>
      </c>
      <c r="F53" s="126">
        <f>IFERROR(E53/B53,"-")</f>
        <v/>
      </c>
      <c r="G53" s="120">
        <f>C53+E53</f>
        <v/>
      </c>
      <c r="H53" s="126">
        <f>IFERROR(G53/B53,"-")</f>
        <v/>
      </c>
      <c r="I53" s="117">
        <f>IFERROR(E53/C53,"-")</f>
        <v/>
      </c>
    </row>
    <row r="54" ht="15.75" customHeight="1" s="199">
      <c r="A54" s="130" t="inlineStr">
        <is>
          <t>MC</t>
        </is>
      </c>
      <c r="B54" s="131">
        <f>COUNTIFS('Rent Roll Input'!$S$7:$S$606,'Rent Roll Recon'!$B$2,'Rent Roll Input'!$E$7:$E$606,"&lt;&gt;Vacant",'Rent Roll Input'!$E$7:$E$606,"&lt;&gt;Eviction",'Rent Roll Input'!$D$7:$D$606,"MC")</f>
        <v/>
      </c>
      <c r="C54" s="13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36">
        <f>IFERROR(C54/B54,"-")</f>
        <v/>
      </c>
      <c r="E54" s="133">
        <f>IFERROR(SUMIFS('Rent Roll Input'!$T$7:$T$606,'Rent Roll Input'!$S$7:$S$606,'Rent Roll Recon'!$B$2,'Rent Roll Input'!$E$7:$E$606,"&lt;&gt;Vacant",'Rent Roll Input'!$E$7:$E$606,"&lt;&gt;Eviction",'Rent Roll Input'!$D$7:$D$606,"MC"),0)</f>
        <v/>
      </c>
      <c r="F54" s="136">
        <f>IFERROR(E54/B54,"-")</f>
        <v/>
      </c>
      <c r="G54" s="133">
        <f>C54+E54</f>
        <v/>
      </c>
      <c r="H54" s="136">
        <f>IFERROR(G54/B54,"-")</f>
        <v/>
      </c>
      <c r="I54" s="132">
        <f>IFERROR(E54/C54,"-")</f>
        <v/>
      </c>
    </row>
    <row r="55" ht="18" customHeight="1" s="199">
      <c r="A55" s="183" t="inlineStr">
        <is>
          <t>Blended  (all care types)</t>
        </is>
      </c>
      <c r="B55" s="134">
        <f>SUM(B52:B54)</f>
        <v/>
      </c>
      <c r="C55" s="30">
        <f>SUM(C52:C54)</f>
        <v/>
      </c>
      <c r="D55" s="137">
        <f>IFERROR(C55/B55,"-")</f>
        <v/>
      </c>
      <c r="E55" s="30">
        <f>SUM(E52:E54)</f>
        <v/>
      </c>
      <c r="F55" s="137">
        <f>IFERROR(E55/B55,"-")</f>
        <v/>
      </c>
      <c r="G55" s="30">
        <f>SUM(G52:G54)</f>
        <v/>
      </c>
      <c r="H55" s="137">
        <f>IFERROR(G55/B55,"-")</f>
        <v/>
      </c>
      <c r="I55" s="135">
        <f>IFERROR(E55/C55,"-")</f>
        <v/>
      </c>
    </row>
    <row r="56" ht="6" customHeight="1" s="199"/>
    <row r="57" ht="18" customHeight="1" s="199">
      <c r="A57" s="182" t="inlineStr">
        <is>
          <t>H  ·  AL CARE LEVEL DISTRIBUTION  (acuity mix)</t>
        </is>
      </c>
    </row>
    <row r="58" ht="25.5" customHeight="1" s="199">
      <c r="A58" s="111" t="inlineStr">
        <is>
          <t>AL Care Level</t>
        </is>
      </c>
      <c r="B58" s="10" t="inlineStr">
        <is>
          <t>Count</t>
        </is>
      </c>
      <c r="C58" s="10" t="inlineStr">
        <is>
          <t>% of
Occupied</t>
        </is>
      </c>
      <c r="D58" s="10" t="inlineStr">
        <is>
          <t>Total
$/mo</t>
        </is>
      </c>
      <c r="E58" s="23" t="inlineStr">
        <is>
          <t>Avg $/
resident</t>
        </is>
      </c>
      <c r="F58" s="10" t="n"/>
      <c r="G58" s="23" t="inlineStr">
        <is>
          <t>% of
Total LOC</t>
        </is>
      </c>
      <c r="H58" s="10" t="n"/>
      <c r="I58" s="10" t="n"/>
    </row>
    <row r="59" ht="15.75" customHeight="1" s="199">
      <c r="A59" s="130" t="inlineStr">
        <is>
          <t>Basic</t>
        </is>
      </c>
      <c r="B59" s="131">
        <f>COUNTIFS('Rent Roll Input'!$S$7:$S$606,'Rent Roll Recon'!$B$2,'Rent Roll Input'!$E$7:$E$606,"&lt;&gt;Vacant",'Rent Roll Input'!$E$7:$E$606,"&lt;&gt;Eviction",'Rent Roll Input'!$K$7:$K$606,"Basic")</f>
        <v/>
      </c>
      <c r="C59" s="132">
        <f>IFERROR(B59/COUNTIFS('Rent Roll Input'!$S$7:$S$606,'Rent Roll Recon'!$B$2,'Rent Roll Input'!$E$7:$E$606,"&lt;&gt;Vacant",'Rent Roll Input'!$E$7:$E$606,"&lt;&gt;Eviction"),"-")</f>
        <v/>
      </c>
      <c r="D59" s="133">
        <f>IFERROR(SUMIFS('Rent Roll Input'!$L$7:$L$606,'Rent Roll Input'!$S$7:$S$606,'Rent Roll Recon'!$B$2,'Rent Roll Input'!$E$7:$E$606,"&lt;&gt;Vacant",'Rent Roll Input'!$E$7:$E$606,"&lt;&gt;Eviction",'Rent Roll Input'!$K$7:$K$606,"Basic"),0)</f>
        <v/>
      </c>
      <c r="E59" s="136">
        <f>IFERROR(D59/B59,"-")</f>
        <v/>
      </c>
      <c r="F59" s="138" t="n"/>
      <c r="G59" s="132">
        <f>IFERROR(D59/D67,"-")</f>
        <v/>
      </c>
      <c r="H59" s="138" t="n"/>
      <c r="I59" s="138" t="n"/>
    </row>
    <row r="60" ht="15.75" customHeight="1" s="199">
      <c r="A60" s="112" t="inlineStr">
        <is>
          <t>Level 2</t>
        </is>
      </c>
      <c r="B60" s="113">
        <f>COUNTIFS('Rent Roll Input'!$S$7:$S$606,'Rent Roll Recon'!$B$2,'Rent Roll Input'!$E$7:$E$606,"&lt;&gt;Vacant",'Rent Roll Input'!$E$7:$E$606,"&lt;&gt;Eviction",'Rent Roll Input'!$K$7:$K$606,"Level 2")</f>
        <v/>
      </c>
      <c r="C60" s="117">
        <f>IFERROR(B60/COUNTIFS('Rent Roll Input'!$S$7:$S$606,'Rent Roll Recon'!$B$2,'Rent Roll Input'!$E$7:$E$606,"&lt;&gt;Vacant",'Rent Roll Input'!$E$7:$E$606,"&lt;&gt;Eviction"),"-")</f>
        <v/>
      </c>
      <c r="D60" s="120">
        <f>IFERROR(SUMIFS('Rent Roll Input'!$L$7:$L$606,'Rent Roll Input'!$S$7:$S$606,'Rent Roll Recon'!$B$2,'Rent Roll Input'!$E$7:$E$606,"&lt;&gt;Vacant",'Rent Roll Input'!$E$7:$E$606,"&lt;&gt;Eviction",'Rent Roll Input'!$K$7:$K$606,"Level 2"),0)</f>
        <v/>
      </c>
      <c r="E60" s="126">
        <f>IFERROR(D60/B60,"-")</f>
        <v/>
      </c>
      <c r="F60" s="139" t="n"/>
      <c r="G60" s="117">
        <f>IFERROR(D60/D67,"-")</f>
        <v/>
      </c>
      <c r="H60" s="139" t="n"/>
      <c r="I60" s="139" t="n"/>
    </row>
    <row r="61" ht="15.75" customHeight="1" s="199">
      <c r="A61" s="130" t="inlineStr">
        <is>
          <t>Level 3</t>
        </is>
      </c>
      <c r="B61" s="131">
        <f>COUNTIFS('Rent Roll Input'!$S$7:$S$606,'Rent Roll Recon'!$B$2,'Rent Roll Input'!$E$7:$E$606,"&lt;&gt;Vacant",'Rent Roll Input'!$E$7:$E$606,"&lt;&gt;Eviction",'Rent Roll Input'!$K$7:$K$606,"Level 3")</f>
        <v/>
      </c>
      <c r="C61" s="132">
        <f>IFERROR(B61/COUNTIFS('Rent Roll Input'!$S$7:$S$606,'Rent Roll Recon'!$B$2,'Rent Roll Input'!$E$7:$E$606,"&lt;&gt;Vacant",'Rent Roll Input'!$E$7:$E$606,"&lt;&gt;Eviction"),"-")</f>
        <v/>
      </c>
      <c r="D61" s="133">
        <f>IFERROR(SUMIFS('Rent Roll Input'!$L$7:$L$606,'Rent Roll Input'!$S$7:$S$606,'Rent Roll Recon'!$B$2,'Rent Roll Input'!$E$7:$E$606,"&lt;&gt;Vacant",'Rent Roll Input'!$E$7:$E$606,"&lt;&gt;Eviction",'Rent Roll Input'!$K$7:$K$606,"Level 3"),0)</f>
        <v/>
      </c>
      <c r="E61" s="136">
        <f>IFERROR(D61/B61,"-")</f>
        <v/>
      </c>
      <c r="F61" s="138" t="n"/>
      <c r="G61" s="132">
        <f>IFERROR(D61/D67,"-")</f>
        <v/>
      </c>
      <c r="H61" s="138" t="n"/>
      <c r="I61" s="138" t="n"/>
    </row>
    <row r="62" ht="15.75" customHeight="1" s="199">
      <c r="A62" s="112" t="inlineStr">
        <is>
          <t>Level 4</t>
        </is>
      </c>
      <c r="B62" s="113">
        <f>COUNTIFS('Rent Roll Input'!$S$7:$S$606,'Rent Roll Recon'!$B$2,'Rent Roll Input'!$E$7:$E$606,"&lt;&gt;Vacant",'Rent Roll Input'!$E$7:$E$606,"&lt;&gt;Eviction",'Rent Roll Input'!$K$7:$K$606,"Level 4")</f>
        <v/>
      </c>
      <c r="C62" s="117">
        <f>IFERROR(B62/COUNTIFS('Rent Roll Input'!$S$7:$S$606,'Rent Roll Recon'!$B$2,'Rent Roll Input'!$E$7:$E$606,"&lt;&gt;Vacant",'Rent Roll Input'!$E$7:$E$606,"&lt;&gt;Eviction"),"-")</f>
        <v/>
      </c>
      <c r="D62" s="120">
        <f>IFERROR(SUMIFS('Rent Roll Input'!$L$7:$L$606,'Rent Roll Input'!$S$7:$S$606,'Rent Roll Recon'!$B$2,'Rent Roll Input'!$E$7:$E$606,"&lt;&gt;Vacant",'Rent Roll Input'!$E$7:$E$606,"&lt;&gt;Eviction",'Rent Roll Input'!$K$7:$K$606,"Level 4"),0)</f>
        <v/>
      </c>
      <c r="E62" s="126">
        <f>IFERROR(D62/B62,"-")</f>
        <v/>
      </c>
      <c r="F62" s="139" t="n"/>
      <c r="G62" s="117">
        <f>IFERROR(D62/D67,"-")</f>
        <v/>
      </c>
      <c r="H62" s="139" t="n"/>
      <c r="I62" s="139" t="n"/>
    </row>
    <row r="63" ht="15.75" customHeight="1" s="199">
      <c r="A63" s="130" t="inlineStr">
        <is>
          <t>Level 5</t>
        </is>
      </c>
      <c r="B63" s="131">
        <f>COUNTIFS('Rent Roll Input'!$S$7:$S$606,'Rent Roll Recon'!$B$2,'Rent Roll Input'!$E$7:$E$606,"&lt;&gt;Vacant",'Rent Roll Input'!$E$7:$E$606,"&lt;&gt;Eviction",'Rent Roll Input'!$K$7:$K$606,"Level 5")</f>
        <v/>
      </c>
      <c r="C63" s="132">
        <f>IFERROR(B63/COUNTIFS('Rent Roll Input'!$S$7:$S$606,'Rent Roll Recon'!$B$2,'Rent Roll Input'!$E$7:$E$606,"&lt;&gt;Vacant",'Rent Roll Input'!$E$7:$E$606,"&lt;&gt;Eviction"),"-")</f>
        <v/>
      </c>
      <c r="D63" s="133">
        <f>IFERROR(SUMIFS('Rent Roll Input'!$L$7:$L$606,'Rent Roll Input'!$S$7:$S$606,'Rent Roll Recon'!$B$2,'Rent Roll Input'!$E$7:$E$606,"&lt;&gt;Vacant",'Rent Roll Input'!$E$7:$E$606,"&lt;&gt;Eviction",'Rent Roll Input'!$K$7:$K$606,"Level 5"),0)</f>
        <v/>
      </c>
      <c r="E63" s="136">
        <f>IFERROR(D63/B63,"-")</f>
        <v/>
      </c>
      <c r="F63" s="138" t="n"/>
      <c r="G63" s="132">
        <f>IFERROR(D63/D67,"-")</f>
        <v/>
      </c>
      <c r="H63" s="138" t="n"/>
      <c r="I63" s="138" t="n"/>
    </row>
    <row r="64" ht="15.75" customHeight="1" s="199">
      <c r="A64" s="112" t="inlineStr">
        <is>
          <t>Level 6</t>
        </is>
      </c>
      <c r="B64" s="113">
        <f>COUNTIFS('Rent Roll Input'!$S$7:$S$606,'Rent Roll Recon'!$B$2,'Rent Roll Input'!$E$7:$E$606,"&lt;&gt;Vacant",'Rent Roll Input'!$E$7:$E$606,"&lt;&gt;Eviction",'Rent Roll Input'!$K$7:$K$606,"Level 6")</f>
        <v/>
      </c>
      <c r="C64" s="117">
        <f>IFERROR(B64/COUNTIFS('Rent Roll Input'!$S$7:$S$606,'Rent Roll Recon'!$B$2,'Rent Roll Input'!$E$7:$E$606,"&lt;&gt;Vacant",'Rent Roll Input'!$E$7:$E$606,"&lt;&gt;Eviction"),"-")</f>
        <v/>
      </c>
      <c r="D64" s="120">
        <f>IFERROR(SUMIFS('Rent Roll Input'!$L$7:$L$606,'Rent Roll Input'!$S$7:$S$606,'Rent Roll Recon'!$B$2,'Rent Roll Input'!$E$7:$E$606,"&lt;&gt;Vacant",'Rent Roll Input'!$E$7:$E$606,"&lt;&gt;Eviction",'Rent Roll Input'!$K$7:$K$606,"Level 6"),0)</f>
        <v/>
      </c>
      <c r="E64" s="126">
        <f>IFERROR(D64/B64,"-")</f>
        <v/>
      </c>
      <c r="F64" s="139" t="n"/>
      <c r="G64" s="117">
        <f>IFERROR(D64/D67,"-")</f>
        <v/>
      </c>
      <c r="H64" s="139" t="n"/>
      <c r="I64" s="139" t="n"/>
    </row>
    <row r="65" ht="15.75" customHeight="1" s="199">
      <c r="A65" s="130" t="inlineStr">
        <is>
          <t>Level 7</t>
        </is>
      </c>
      <c r="B65" s="131">
        <f>COUNTIFS('Rent Roll Input'!$S$7:$S$606,'Rent Roll Recon'!$B$2,'Rent Roll Input'!$E$7:$E$606,"&lt;&gt;Vacant",'Rent Roll Input'!$E$7:$E$606,"&lt;&gt;Eviction",'Rent Roll Input'!$K$7:$K$606,"Level 7")</f>
        <v/>
      </c>
      <c r="C65" s="132">
        <f>IFERROR(B65/COUNTIFS('Rent Roll Input'!$S$7:$S$606,'Rent Roll Recon'!$B$2,'Rent Roll Input'!$E$7:$E$606,"&lt;&gt;Vacant",'Rent Roll Input'!$E$7:$E$606,"&lt;&gt;Eviction"),"-")</f>
        <v/>
      </c>
      <c r="D65" s="133">
        <f>IFERROR(SUMIFS('Rent Roll Input'!$L$7:$L$606,'Rent Roll Input'!$S$7:$S$606,'Rent Roll Recon'!$B$2,'Rent Roll Input'!$E$7:$E$606,"&lt;&gt;Vacant",'Rent Roll Input'!$E$7:$E$606,"&lt;&gt;Eviction",'Rent Roll Input'!$K$7:$K$606,"Level 7"),0)</f>
        <v/>
      </c>
      <c r="E65" s="136">
        <f>IFERROR(D65/B65,"-")</f>
        <v/>
      </c>
      <c r="F65" s="138" t="n"/>
      <c r="G65" s="132">
        <f>IFERROR(D65/D67,"-")</f>
        <v/>
      </c>
      <c r="H65" s="138" t="n"/>
      <c r="I65" s="138" t="n"/>
    </row>
    <row r="66" ht="15.75" customHeight="1" s="199">
      <c r="A66" s="112" t="inlineStr">
        <is>
          <t>Other</t>
        </is>
      </c>
      <c r="B66" s="113">
        <f>COUNTIFS('Rent Roll Input'!$S$7:$S$606,'Rent Roll Recon'!$B$2,'Rent Roll Input'!$E$7:$E$606,"&lt;&gt;Vacant",'Rent Roll Input'!$E$7:$E$606,"&lt;&gt;Eviction",'Rent Roll Input'!$K$7:$K$606,"Other")</f>
        <v/>
      </c>
      <c r="C66" s="117">
        <f>IFERROR(B66/COUNTIFS('Rent Roll Input'!$S$7:$S$606,'Rent Roll Recon'!$B$2,'Rent Roll Input'!$E$7:$E$606,"&lt;&gt;Vacant",'Rent Roll Input'!$E$7:$E$606,"&lt;&gt;Eviction"),"-")</f>
        <v/>
      </c>
      <c r="D66" s="120">
        <f>IFERROR(SUMIFS('Rent Roll Input'!$L$7:$L$606,'Rent Roll Input'!$S$7:$S$606,'Rent Roll Recon'!$B$2,'Rent Roll Input'!$E$7:$E$606,"&lt;&gt;Vacant",'Rent Roll Input'!$E$7:$E$606,"&lt;&gt;Eviction",'Rent Roll Input'!$K$7:$K$606,"Other"),0)</f>
        <v/>
      </c>
      <c r="E66" s="126">
        <f>IFERROR(D66/B66,"-")</f>
        <v/>
      </c>
      <c r="F66" s="139" t="n"/>
      <c r="G66" s="117">
        <f>IFERROR(D66/D67,"-")</f>
        <v/>
      </c>
      <c r="H66" s="139" t="n"/>
      <c r="I66" s="139" t="n"/>
    </row>
    <row r="67" ht="18" customHeight="1" s="199">
      <c r="A67" s="183" t="inlineStr">
        <is>
          <t>Total AL care charges</t>
        </is>
      </c>
      <c r="B67" s="134">
        <f>SUM(B59:B66)</f>
        <v/>
      </c>
      <c r="C67" s="135" t="inlineStr">
        <is>
          <t>100%</t>
        </is>
      </c>
      <c r="D67" s="30">
        <f>SUM(D59:D66)</f>
        <v/>
      </c>
      <c r="E67" s="137">
        <f>IFERROR(D67/B67,"-")</f>
        <v/>
      </c>
      <c r="F67" s="140" t="n"/>
      <c r="G67" s="135" t="inlineStr">
        <is>
          <t>100%</t>
        </is>
      </c>
      <c r="H67" s="140" t="n"/>
      <c r="I67" s="140" t="n"/>
    </row>
    <row r="68" ht="6" customHeight="1" s="199"/>
    <row r="69" ht="18" customHeight="1" s="199">
      <c r="A69" s="182" t="inlineStr">
        <is>
          <t>I  ·  ANCILLARY CHARGES  (Med Mgmt, Pharmacy, Other LOC)</t>
        </is>
      </c>
    </row>
    <row r="70" ht="25.5" customHeight="1" s="199">
      <c r="A70" s="111" t="inlineStr">
        <is>
          <t>Charge Type</t>
        </is>
      </c>
      <c r="B70" s="10" t="inlineStr">
        <is>
          <t>Count
Enrolled</t>
        </is>
      </c>
      <c r="C70" s="10" t="inlineStr">
        <is>
          <t>% of
Occupied</t>
        </is>
      </c>
      <c r="D70" s="10" t="inlineStr">
        <is>
          <t>Total
$/mo</t>
        </is>
      </c>
      <c r="E70" s="23" t="inlineStr">
        <is>
          <t>Avg $/
Enrolled</t>
        </is>
      </c>
      <c r="F70" s="10" t="n"/>
      <c r="G70" s="10" t="n"/>
      <c r="H70" s="10" t="n"/>
      <c r="I70" s="10" t="n"/>
    </row>
    <row r="71" ht="15.75" customHeight="1" s="199">
      <c r="A71" s="112" t="inlineStr">
        <is>
          <t>Medication Management</t>
        </is>
      </c>
      <c r="B71" s="113">
        <f>COUNTIFS('Rent Roll Input'!$S$7:$S$606,'Rent Roll Recon'!$B$2,'Rent Roll Input'!$E$7:$E$606,"&lt;&gt;Vacant",'Rent Roll Input'!$E$7:$E$606,"&lt;&gt;Eviction",'Rent Roll Input'!$M$7:$M$606,"&gt;0")</f>
        <v/>
      </c>
      <c r="C71" s="117">
        <f>IFERROR(COUNTIFS('Rent Roll Input'!$S$7:$S$606,'Rent Roll Recon'!$B$2,'Rent Roll Input'!$E$7:$E$606,"&lt;&gt;Vacant",'Rent Roll Input'!$E$7:$E$606,"&lt;&gt;Eviction",'Rent Roll Input'!$M$7:$M$606,"&gt;0")/(COUNTIFS('Rent Roll Input'!$S$7:$S$606,'Rent Roll Recon'!$B$2,'Rent Roll Input'!$E$7:$E$606,"&lt;&gt;Vacant",'Rent Roll Input'!$E$7:$E$606,"&lt;&gt;Eviction")),"-")</f>
        <v/>
      </c>
      <c r="D71" s="120">
        <f>IFERROR(SUMIFS('Rent Roll Input'!$M$7:$M$606,'Rent Roll Input'!$S$7:$S$606,'Rent Roll Recon'!$B$2,'Rent Roll Input'!$E$7:$E$606,"&lt;&gt;Vacant",'Rent Roll Input'!$E$7:$E$606,"&lt;&gt;Eviction"),0)</f>
        <v/>
      </c>
      <c r="E71" s="126">
        <f>IFERROR(D71/B71,"-")</f>
        <v/>
      </c>
      <c r="F71" s="139" t="n"/>
      <c r="G71" s="139" t="n"/>
      <c r="H71" s="85" t="inlineStr">
        <is>
          <t>$150–$350 / mo; 26 of 35 in Salem Road</t>
        </is>
      </c>
      <c r="I71" s="139" t="n"/>
    </row>
    <row r="72" ht="15.75" customHeight="1" s="199">
      <c r="A72" s="112" t="inlineStr">
        <is>
          <t>Pharmacy</t>
        </is>
      </c>
      <c r="B72" s="113">
        <f>COUNTIFS('Rent Roll Input'!$S$7:$S$606,'Rent Roll Recon'!$B$2,'Rent Roll Input'!$E$7:$E$606,"&lt;&gt;Vacant",'Rent Roll Input'!$E$7:$E$606,"&lt;&gt;Eviction",'Rent Roll Input'!$N$7:$N$606,"&gt;0")</f>
        <v/>
      </c>
      <c r="C72" s="117">
        <f>IFERROR(COUNTIFS('Rent Roll Input'!$S$7:$S$606,'Rent Roll Recon'!$B$2,'Rent Roll Input'!$E$7:$E$606,"&lt;&gt;Vacant",'Rent Roll Input'!$E$7:$E$606,"&lt;&gt;Eviction",'Rent Roll Input'!$N$7:$N$606,"&gt;0")/(COUNTIFS('Rent Roll Input'!$S$7:$S$606,'Rent Roll Recon'!$B$2,'Rent Roll Input'!$E$7:$E$606,"&lt;&gt;Vacant",'Rent Roll Input'!$E$7:$E$606,"&lt;&gt;Eviction")),"-")</f>
        <v/>
      </c>
      <c r="D72" s="120">
        <f>IFERROR(SUMIFS('Rent Roll Input'!$N$7:$N$606,'Rent Roll Input'!$S$7:$S$606,'Rent Roll Recon'!$B$2,'Rent Roll Input'!$E$7:$E$606,"&lt;&gt;Vacant",'Rent Roll Input'!$E$7:$E$606,"&lt;&gt;Eviction"),0)</f>
        <v/>
      </c>
      <c r="E72" s="126">
        <f>IFERROR(D72/B72,"-")</f>
        <v/>
      </c>
      <c r="F72" s="139" t="n"/>
      <c r="G72" s="139" t="n"/>
      <c r="H72" s="85" t="inlineStr">
        <is>
          <t>$450 / mo when enrolled</t>
        </is>
      </c>
      <c r="I72" s="139" t="n"/>
    </row>
    <row r="73" ht="15.75" customHeight="1" s="199">
      <c r="A73" s="112" t="inlineStr">
        <is>
          <t>Other LOC</t>
        </is>
      </c>
      <c r="B73" s="113">
        <f>COUNTIFS('Rent Roll Input'!$S$7:$S$606,'Rent Roll Recon'!$B$2,'Rent Roll Input'!$E$7:$E$606,"&lt;&gt;Vacant",'Rent Roll Input'!$E$7:$E$606,"&lt;&gt;Eviction",'Rent Roll Input'!$O$7:$O$606,"&gt;0")</f>
        <v/>
      </c>
      <c r="C73" s="117">
        <f>IFERROR(COUNTIFS('Rent Roll Input'!$S$7:$S$606,'Rent Roll Recon'!$B$2,'Rent Roll Input'!$E$7:$E$606,"&lt;&gt;Vacant",'Rent Roll Input'!$E$7:$E$606,"&lt;&gt;Eviction",'Rent Roll Input'!$O$7:$O$606,"&gt;0")/(COUNTIFS('Rent Roll Input'!$S$7:$S$606,'Rent Roll Recon'!$B$2,'Rent Roll Input'!$E$7:$E$606,"&lt;&gt;Vacant",'Rent Roll Input'!$E$7:$E$606,"&lt;&gt;Eviction")),"-")</f>
        <v/>
      </c>
      <c r="D73" s="120">
        <f>IFERROR(SUMIFS('Rent Roll Input'!$O$7:$O$606,'Rent Roll Input'!$S$7:$S$606,'Rent Roll Recon'!$B$2,'Rent Roll Input'!$E$7:$E$606,"&lt;&gt;Vacant",'Rent Roll Input'!$E$7:$E$606,"&lt;&gt;Eviction"),0)</f>
        <v/>
      </c>
      <c r="E73" s="126">
        <f>IFERROR(D73/B73,"-")</f>
        <v/>
      </c>
      <c r="F73" s="139" t="n"/>
      <c r="G73" s="139" t="n"/>
      <c r="H73" s="85" t="inlineStr">
        <is>
          <t>Catch-all for additional LOC charges</t>
        </is>
      </c>
      <c r="I73" s="139" t="n"/>
    </row>
    <row r="74" ht="18" customHeight="1" s="199">
      <c r="A74" s="183" t="inlineStr">
        <is>
          <t>Total ancillary charges</t>
        </is>
      </c>
      <c r="B74" s="140" t="n"/>
      <c r="C74" s="140" t="n"/>
      <c r="D74" s="30">
        <f>SUM(D71:D73)</f>
        <v/>
      </c>
      <c r="E74" s="140" t="n"/>
      <c r="F74" s="140" t="n"/>
      <c r="G74" s="140" t="n"/>
      <c r="H74" s="140" t="n"/>
      <c r="I74" s="140" t="n"/>
    </row>
    <row r="75" ht="15.75" customHeight="1" s="199">
      <c r="A75" s="112" t="inlineStr">
        <is>
          <t>Total LOC  (care level + all ancillary)</t>
        </is>
      </c>
      <c r="B75" s="200" t="n"/>
      <c r="C75" s="200" t="n"/>
      <c r="D75" s="141">
        <f>IFERROR(SUMIFS('Rent Roll Input'!$T$7:$T$606,'Rent Roll Input'!$S$7:$S$606,'Rent Roll Recon'!$B$2,'Rent Roll Input'!$E$7:$E$606,"&lt;&gt;Vacant",'Rent Roll Input'!$E$7:$E$606,"&lt;&gt;Eviction"),0)</f>
        <v/>
      </c>
      <c r="E75" s="200" t="n"/>
      <c r="F75" s="200" t="n"/>
      <c r="G75" s="200" t="n"/>
      <c r="H75" s="200" t="n"/>
      <c r="I75" s="200" t="n"/>
    </row>
    <row r="76" ht="6" customHeight="1" s="199"/>
    <row r="77" ht="18" customHeight="1" s="199">
      <c r="A77" s="182" t="inlineStr">
        <is>
          <t>J  ·  CONCESSION TRACKER  (active concessions and expiration flags)</t>
        </is>
      </c>
    </row>
    <row r="78" ht="18" customHeight="1" s="199">
      <c r="A78" s="112" t="inlineStr">
        <is>
          <t>Residents with active concessions</t>
        </is>
      </c>
      <c r="B78" s="113">
        <f>COUNTIFS('Rent Roll Input'!$S$7:$S$606,'Rent Roll Recon'!$B$2,'Rent Roll Input'!$E$7:$E$606,"&lt;&gt;Vacant",'Rent Roll Input'!$E$7:$E$606,"&lt;&gt;Eviction",'Rent Roll Input'!$I$7:$I$606,"&lt;0")</f>
        <v/>
      </c>
      <c r="C78" s="200" t="n"/>
      <c r="D78" s="200" t="n"/>
      <c r="E78" s="200" t="n"/>
      <c r="F78" s="200" t="n"/>
      <c r="G78" s="200" t="n"/>
      <c r="H78" s="200" t="n"/>
      <c r="I78" s="200" t="n"/>
    </row>
    <row r="79" ht="18" customHeight="1" s="199">
      <c r="A79" s="112" t="inlineStr">
        <is>
          <t>Total concession $/mo  (negative)</t>
        </is>
      </c>
      <c r="B79" s="120">
        <f>IFERROR(SUMIFS('Rent Roll Input'!$I$7:$I$606,'Rent Roll Input'!$S$7:$S$606,'Rent Roll Recon'!$B$2,'Rent Roll Input'!$E$7:$E$606,"&lt;&gt;Vacant",'Rent Roll Input'!$E$7:$E$606,"&lt;&gt;Eviction",'Rent Roll Input'!$I$7:$I$606,"&lt;0"),0)</f>
        <v/>
      </c>
      <c r="C79" s="200" t="n"/>
      <c r="D79" s="200" t="n"/>
      <c r="E79" s="200" t="n"/>
      <c r="F79" s="200" t="n"/>
      <c r="G79" s="200" t="n"/>
      <c r="H79" s="200" t="n"/>
      <c r="I79" s="200" t="n"/>
    </row>
    <row r="80" ht="18" customHeight="1" s="199">
      <c r="A80" s="112" t="inlineStr">
        <is>
          <t>Concession as % of gross contracted rent</t>
        </is>
      </c>
      <c r="B80" s="117">
        <f>IFERROR(B79/E16,"-")</f>
        <v/>
      </c>
      <c r="C80" s="200" t="n"/>
      <c r="D80" s="200" t="n"/>
      <c r="E80" s="200" t="n"/>
      <c r="F80" s="200" t="n"/>
      <c r="G80" s="200" t="n"/>
      <c r="H80" s="200" t="n"/>
      <c r="I80" s="200" t="n"/>
    </row>
    <row r="81" ht="18" customHeight="1" s="199">
      <c r="A81" s="115" t="inlineStr">
        <is>
          <t>Concessions expiring ≤ 90 days  (flag)</t>
        </is>
      </c>
      <c r="B81" s="116">
        <f>COUNTIFS('Rent Roll Input'!$S$7:$S$606,'Rent Roll Recon'!$B$2,'Rent Roll Input'!$E$7:$E$606,"&lt;&gt;Vacant",'Rent Roll Input'!$E$7:$E$606,"&lt;&gt;Eviction",'Rent Roll Input'!$I$7:$I$606,"&lt;0",'Rent Roll Input'!$J$7:$J$606,"&lt;="&amp;TODAY()+90,'Rent Roll Input'!$J$7:$J$606,"&gt;="&amp;TODAY())</f>
        <v/>
      </c>
      <c r="C81" s="200" t="n"/>
      <c r="D81" s="200" t="n"/>
      <c r="E81" s="200" t="n"/>
      <c r="F81" s="200" t="n"/>
      <c r="G81" s="200" t="n"/>
      <c r="H81" s="38" t="inlineStr">
        <is>
          <t>⚠ Review lease terms — concession burn-off boosts NOI</t>
        </is>
      </c>
      <c r="I81" s="200" t="n"/>
    </row>
    <row r="82" ht="18" customHeight="1" s="199">
      <c r="A82" s="112" t="inlineStr">
        <is>
          <t>Concessions expiring ≤ 180 days</t>
        </is>
      </c>
      <c r="B82" s="113">
        <f>COUNTIFS('Rent Roll Input'!$S$7:$S$606,'Rent Roll Recon'!$B$2,'Rent Roll Input'!$E$7:$E$606,"&lt;&gt;Vacant",'Rent Roll Input'!$E$7:$E$606,"&lt;&gt;Eviction",'Rent Roll Input'!$I$7:$I$606,"&lt;0",'Rent Roll Input'!$J$7:$J$606,"&lt;="&amp;TODAY()+180,'Rent Roll Input'!$J$7:$J$606,"&gt;="&amp;TODAY())</f>
        <v/>
      </c>
      <c r="C82" s="200" t="n"/>
      <c r="D82" s="200" t="n"/>
      <c r="E82" s="200" t="n"/>
      <c r="F82" s="200" t="n"/>
      <c r="G82" s="200" t="n"/>
      <c r="H82" s="15" t="inlineStr">
        <is>
          <t>Model future NOI improvement from concession burn-off</t>
        </is>
      </c>
      <c r="I82" s="200" t="n"/>
    </row>
    <row r="83" ht="6" customHeight="1" s="199"/>
    <row r="84" ht="13.5" customHeight="1" s="199">
      <c r="A84" s="190" t="inlineStr">
        <is>
          <t xml:space="preserve">  Blue=Period selector (B2)  |  Teal headers = calculated outputs  |  Yellow = key inputs  |  Amber = flags requiring review  |  ARPR = avg revenue per resident/month</t>
        </is>
      </c>
    </row>
    <row r="86">
      <c r="A86" s="216" t="inlineStr">
        <is>
          <t>K  ·  IL UNIT-TYPE MIX, SIZE &amp; RATE DISPERSION</t>
        </is>
      </c>
    </row>
    <row r="87">
      <c r="A87" s="214" t="inlineStr">
        <is>
          <t>Unit Type</t>
        </is>
      </c>
      <c r="B87" s="214" t="inlineStr">
        <is>
          <t>Count</t>
        </is>
      </c>
      <c r="C87" s="214" t="inlineStr">
        <is>
          <t>% of
IL</t>
        </is>
      </c>
      <c r="D87" s="214" t="inlineStr">
        <is>
          <t>Avg Rate</t>
        </is>
      </c>
      <c r="E87" s="214" t="inlineStr">
        <is>
          <t>Min Rate</t>
        </is>
      </c>
      <c r="F87" s="214" t="inlineStr">
        <is>
          <t>Max Rate</t>
        </is>
      </c>
      <c r="G87" s="214" t="inlineStr">
        <is>
          <t>Avg Sq Ft</t>
        </is>
      </c>
      <c r="H87" s="214" t="inlineStr">
        <is>
          <t>$/Sq Ft</t>
        </is>
      </c>
    </row>
    <row r="88">
      <c r="A88" s="217" t="inlineStr">
        <is>
          <t>Studio</t>
        </is>
      </c>
      <c r="B88">
        <f>COUNTIFS('Rent Roll Input'!$S$7:$S$606,'Rent Roll Recon'!$B$2,'Rent Roll Input'!$E$7:$E$606,"&lt;&gt;Vacant",'Rent Roll Input'!$E$7:$E$606,"&lt;&gt;Eviction",'Rent Roll Input'!$D$7:$D$606,"IL",'Rent Roll Input'!$F$7:$F$606,"Studio")</f>
        <v/>
      </c>
      <c r="C88" s="218">
        <f>IFERROR(B88/COUNTIFS('Rent Roll Input'!$S$7:$S$606,'Rent Roll Recon'!$B$2,'Rent Roll Input'!$E$7:$E$606,"&lt;&gt;Vacant",'Rent Roll Input'!$E$7:$E$606,"&lt;&gt;Eviction",'Rent Roll Input'!$D$7:$D$606,"IL"),"-")</f>
        <v/>
      </c>
      <c r="D88" s="219">
        <f>IFERROR(AVERAGEIFS('Rent Roll Input'!$H$7:$H$606,'Rent Roll Input'!$S$7:$S$606,'Rent Roll Recon'!$B$2,'Rent Roll Input'!$E$7:$E$606,"&lt;&gt;Vacant",'Rent Roll Input'!$E$7:$E$606,"&lt;&gt;Eviction",'Rent Roll Input'!$D$7:$D$606,"IL",'Rent Roll Input'!$F$7:$F$606,"Studio"),"-")</f>
        <v/>
      </c>
      <c r="E88" s="219">
        <f>IFERROR(MINIFS('Rent Roll Input'!$H$7:$H$606,'Rent Roll Input'!$S$7:$S$606,'Rent Roll Recon'!$B$2,'Rent Roll Input'!$E$7:$E$606,"&lt;&gt;Vacant",'Rent Roll Input'!$E$7:$E$606,"&lt;&gt;Eviction",'Rent Roll Input'!$D$7:$D$606,"IL",'Rent Roll Input'!$F$7:$F$606,"Studio"),"-")</f>
        <v/>
      </c>
      <c r="F88" s="219">
        <f>IFERROR(MAXIFS('Rent Roll Input'!$H$7:$H$606,'Rent Roll Input'!$S$7:$S$606,'Rent Roll Recon'!$B$2,'Rent Roll Input'!$E$7:$E$606,"&lt;&gt;Vacant",'Rent Roll Input'!$E$7:$E$606,"&lt;&gt;Eviction",'Rent Roll Input'!$D$7:$D$606,"IL",'Rent Roll Input'!$F$7:$F$606,"Studio"),"-")</f>
        <v/>
      </c>
      <c r="G88" s="220">
        <f>IFERROR(AVERAGEIFS('Rent Roll Input'!$C$7:$C$606,'Rent Roll Input'!$S$7:$S$606,'Rent Roll Recon'!$B$2,'Rent Roll Input'!$E$7:$E$606,"&lt;&gt;Vacant",'Rent Roll Input'!$E$7:$E$606,"&lt;&gt;Eviction",'Rent Roll Input'!$D$7:$D$606,"IL",'Rent Roll Input'!$F$7:$F$606,"Studio"),"-")</f>
        <v/>
      </c>
      <c r="H88" s="221">
        <f>IFERROR(D88/G88,"-")</f>
        <v/>
      </c>
    </row>
    <row r="89">
      <c r="A89" s="217" t="inlineStr">
        <is>
          <t>1 Bedroom</t>
        </is>
      </c>
      <c r="B89">
        <f>COUNTIFS('Rent Roll Input'!$S$7:$S$606,'Rent Roll Recon'!$B$2,'Rent Roll Input'!$E$7:$E$606,"&lt;&gt;Vacant",'Rent Roll Input'!$E$7:$E$606,"&lt;&gt;Eviction",'Rent Roll Input'!$D$7:$D$606,"IL",'Rent Roll Input'!$F$7:$F$606,"1 Bedroom")</f>
        <v/>
      </c>
      <c r="C89" s="218">
        <f>IFERROR(B89/COUNTIFS('Rent Roll Input'!$S$7:$S$606,'Rent Roll Recon'!$B$2,'Rent Roll Input'!$E$7:$E$606,"&lt;&gt;Vacant",'Rent Roll Input'!$E$7:$E$606,"&lt;&gt;Eviction",'Rent Roll Input'!$D$7:$D$606,"IL"),"-")</f>
        <v/>
      </c>
      <c r="D89" s="219">
        <f>IFERROR(AVERAGEIFS('Rent Roll Input'!$H$7:$H$606,'Rent Roll Input'!$S$7:$S$606,'Rent Roll Recon'!$B$2,'Rent Roll Input'!$E$7:$E$606,"&lt;&gt;Vacant",'Rent Roll Input'!$E$7:$E$606,"&lt;&gt;Eviction",'Rent Roll Input'!$D$7:$D$606,"IL",'Rent Roll Input'!$F$7:$F$606,"1 Bedroom"),"-")</f>
        <v/>
      </c>
      <c r="E89" s="219">
        <f>IFERROR(MINIFS('Rent Roll Input'!$H$7:$H$606,'Rent Roll Input'!$S$7:$S$606,'Rent Roll Recon'!$B$2,'Rent Roll Input'!$E$7:$E$606,"&lt;&gt;Vacant",'Rent Roll Input'!$E$7:$E$606,"&lt;&gt;Eviction",'Rent Roll Input'!$D$7:$D$606,"IL",'Rent Roll Input'!$F$7:$F$606,"1 Bedroom"),"-")</f>
        <v/>
      </c>
      <c r="F89" s="219">
        <f>IFERROR(MAXIFS('Rent Roll Input'!$H$7:$H$606,'Rent Roll Input'!$S$7:$S$606,'Rent Roll Recon'!$B$2,'Rent Roll Input'!$E$7:$E$606,"&lt;&gt;Vacant",'Rent Roll Input'!$E$7:$E$606,"&lt;&gt;Eviction",'Rent Roll Input'!$D$7:$D$606,"IL",'Rent Roll Input'!$F$7:$F$606,"1 Bedroom"),"-")</f>
        <v/>
      </c>
      <c r="G89" s="220">
        <f>IFERROR(AVERAGEIFS('Rent Roll Input'!$C$7:$C$606,'Rent Roll Input'!$S$7:$S$606,'Rent Roll Recon'!$B$2,'Rent Roll Input'!$E$7:$E$606,"&lt;&gt;Vacant",'Rent Roll Input'!$E$7:$E$606,"&lt;&gt;Eviction",'Rent Roll Input'!$D$7:$D$606,"IL",'Rent Roll Input'!$F$7:$F$606,"1 Bedroom"),"-")</f>
        <v/>
      </c>
      <c r="H89" s="221">
        <f>IFERROR(D89/G89,"-")</f>
        <v/>
      </c>
    </row>
    <row r="90">
      <c r="A90" s="217" t="inlineStr">
        <is>
          <t>2 Bedroom</t>
        </is>
      </c>
      <c r="B90">
        <f>COUNTIFS('Rent Roll Input'!$S$7:$S$606,'Rent Roll Recon'!$B$2,'Rent Roll Input'!$E$7:$E$606,"&lt;&gt;Vacant",'Rent Roll Input'!$E$7:$E$606,"&lt;&gt;Eviction",'Rent Roll Input'!$D$7:$D$606,"IL",'Rent Roll Input'!$F$7:$F$606,"2 Bedroom")</f>
        <v/>
      </c>
      <c r="C90" s="218">
        <f>IFERROR(B90/COUNTIFS('Rent Roll Input'!$S$7:$S$606,'Rent Roll Recon'!$B$2,'Rent Roll Input'!$E$7:$E$606,"&lt;&gt;Vacant",'Rent Roll Input'!$E$7:$E$606,"&lt;&gt;Eviction",'Rent Roll Input'!$D$7:$D$606,"IL"),"-")</f>
        <v/>
      </c>
      <c r="D90" s="219">
        <f>IFERROR(AVERAGEIFS('Rent Roll Input'!$H$7:$H$606,'Rent Roll Input'!$S$7:$S$606,'Rent Roll Recon'!$B$2,'Rent Roll Input'!$E$7:$E$606,"&lt;&gt;Vacant",'Rent Roll Input'!$E$7:$E$606,"&lt;&gt;Eviction",'Rent Roll Input'!$D$7:$D$606,"IL",'Rent Roll Input'!$F$7:$F$606,"2 Bedroom"),"-")</f>
        <v/>
      </c>
      <c r="E90" s="219">
        <f>IFERROR(MINIFS('Rent Roll Input'!$H$7:$H$606,'Rent Roll Input'!$S$7:$S$606,'Rent Roll Recon'!$B$2,'Rent Roll Input'!$E$7:$E$606,"&lt;&gt;Vacant",'Rent Roll Input'!$E$7:$E$606,"&lt;&gt;Eviction",'Rent Roll Input'!$D$7:$D$606,"IL",'Rent Roll Input'!$F$7:$F$606,"2 Bedroom"),"-")</f>
        <v/>
      </c>
      <c r="F90" s="219">
        <f>IFERROR(MAXIFS('Rent Roll Input'!$H$7:$H$606,'Rent Roll Input'!$S$7:$S$606,'Rent Roll Recon'!$B$2,'Rent Roll Input'!$E$7:$E$606,"&lt;&gt;Vacant",'Rent Roll Input'!$E$7:$E$606,"&lt;&gt;Eviction",'Rent Roll Input'!$D$7:$D$606,"IL",'Rent Roll Input'!$F$7:$F$606,"2 Bedroom"),"-")</f>
        <v/>
      </c>
      <c r="G90" s="220">
        <f>IFERROR(AVERAGEIFS('Rent Roll Input'!$C$7:$C$606,'Rent Roll Input'!$S$7:$S$606,'Rent Roll Recon'!$B$2,'Rent Roll Input'!$E$7:$E$606,"&lt;&gt;Vacant",'Rent Roll Input'!$E$7:$E$606,"&lt;&gt;Eviction",'Rent Roll Input'!$D$7:$D$606,"IL",'Rent Roll Input'!$F$7:$F$606,"2 Bedroom"),"-")</f>
        <v/>
      </c>
      <c r="H90" s="221">
        <f>IFERROR(D90/G90,"-")</f>
        <v/>
      </c>
    </row>
    <row r="91">
      <c r="A91" s="217" t="inlineStr">
        <is>
          <t>Cottage / Villa</t>
        </is>
      </c>
      <c r="B91">
        <f>COUNTIFS('Rent Roll Input'!$S$7:$S$606,'Rent Roll Recon'!$B$2,'Rent Roll Input'!$E$7:$E$606,"&lt;&gt;Vacant",'Rent Roll Input'!$E$7:$E$606,"&lt;&gt;Eviction",'Rent Roll Input'!$D$7:$D$606,"IL",'Rent Roll Input'!$F$7:$F$606,"Cottage / Villa")</f>
        <v/>
      </c>
      <c r="C91" s="218">
        <f>IFERROR(B91/COUNTIFS('Rent Roll Input'!$S$7:$S$606,'Rent Roll Recon'!$B$2,'Rent Roll Input'!$E$7:$E$606,"&lt;&gt;Vacant",'Rent Roll Input'!$E$7:$E$606,"&lt;&gt;Eviction",'Rent Roll Input'!$D$7:$D$606,"IL"),"-")</f>
        <v/>
      </c>
      <c r="D91" s="219">
        <f>IFERROR(AVERAGEIFS('Rent Roll Input'!$H$7:$H$606,'Rent Roll Input'!$S$7:$S$606,'Rent Roll Recon'!$B$2,'Rent Roll Input'!$E$7:$E$606,"&lt;&gt;Vacant",'Rent Roll Input'!$E$7:$E$606,"&lt;&gt;Eviction",'Rent Roll Input'!$D$7:$D$606,"IL",'Rent Roll Input'!$F$7:$F$606,"Cottage / Villa"),"-")</f>
        <v/>
      </c>
      <c r="E91" s="219">
        <f>IFERROR(MINIFS('Rent Roll Input'!$H$7:$H$606,'Rent Roll Input'!$S$7:$S$606,'Rent Roll Recon'!$B$2,'Rent Roll Input'!$E$7:$E$606,"&lt;&gt;Vacant",'Rent Roll Input'!$E$7:$E$606,"&lt;&gt;Eviction",'Rent Roll Input'!$D$7:$D$606,"IL",'Rent Roll Input'!$F$7:$F$606,"Cottage / Villa"),"-")</f>
        <v/>
      </c>
      <c r="F91" s="219">
        <f>IFERROR(MAXIFS('Rent Roll Input'!$H$7:$H$606,'Rent Roll Input'!$S$7:$S$606,'Rent Roll Recon'!$B$2,'Rent Roll Input'!$E$7:$E$606,"&lt;&gt;Vacant",'Rent Roll Input'!$E$7:$E$606,"&lt;&gt;Eviction",'Rent Roll Input'!$D$7:$D$606,"IL",'Rent Roll Input'!$F$7:$F$606,"Cottage / Villa"),"-")</f>
        <v/>
      </c>
      <c r="G91" s="220">
        <f>IFERROR(AVERAGEIFS('Rent Roll Input'!$C$7:$C$606,'Rent Roll Input'!$S$7:$S$606,'Rent Roll Recon'!$B$2,'Rent Roll Input'!$E$7:$E$606,"&lt;&gt;Vacant",'Rent Roll Input'!$E$7:$E$606,"&lt;&gt;Eviction",'Rent Roll Input'!$D$7:$D$606,"IL",'Rent Roll Input'!$F$7:$F$606,"Cottage / Villa"),"-")</f>
        <v/>
      </c>
      <c r="H91" s="221">
        <f>IFERROR(D91/G91,"-")</f>
        <v/>
      </c>
    </row>
    <row r="92">
      <c r="A92" s="217" t="inlineStr">
        <is>
          <t>Other</t>
        </is>
      </c>
      <c r="B92">
        <f>COUNTIFS('Rent Roll Input'!$S$7:$S$606,'Rent Roll Recon'!$B$2,'Rent Roll Input'!$E$7:$E$606,"&lt;&gt;Vacant",'Rent Roll Input'!$E$7:$E$606,"&lt;&gt;Eviction",'Rent Roll Input'!$D$7:$D$606,"IL",'Rent Roll Input'!$F$7:$F$606,"Other")</f>
        <v/>
      </c>
      <c r="C92" s="218">
        <f>IFERROR(B92/COUNTIFS('Rent Roll Input'!$S$7:$S$606,'Rent Roll Recon'!$B$2,'Rent Roll Input'!$E$7:$E$606,"&lt;&gt;Vacant",'Rent Roll Input'!$E$7:$E$606,"&lt;&gt;Eviction",'Rent Roll Input'!$D$7:$D$606,"IL"),"-")</f>
        <v/>
      </c>
      <c r="D92" s="219">
        <f>IFERROR(AVERAGEIFS('Rent Roll Input'!$H$7:$H$606,'Rent Roll Input'!$S$7:$S$606,'Rent Roll Recon'!$B$2,'Rent Roll Input'!$E$7:$E$606,"&lt;&gt;Vacant",'Rent Roll Input'!$E$7:$E$606,"&lt;&gt;Eviction",'Rent Roll Input'!$D$7:$D$606,"IL",'Rent Roll Input'!$F$7:$F$606,"Other"),"-")</f>
        <v/>
      </c>
      <c r="E92" s="219">
        <f>IFERROR(MINIFS('Rent Roll Input'!$H$7:$H$606,'Rent Roll Input'!$S$7:$S$606,'Rent Roll Recon'!$B$2,'Rent Roll Input'!$E$7:$E$606,"&lt;&gt;Vacant",'Rent Roll Input'!$E$7:$E$606,"&lt;&gt;Eviction",'Rent Roll Input'!$D$7:$D$606,"IL",'Rent Roll Input'!$F$7:$F$606,"Other"),"-")</f>
        <v/>
      </c>
      <c r="F92" s="219">
        <f>IFERROR(MAXIFS('Rent Roll Input'!$H$7:$H$606,'Rent Roll Input'!$S$7:$S$606,'Rent Roll Recon'!$B$2,'Rent Roll Input'!$E$7:$E$606,"&lt;&gt;Vacant",'Rent Roll Input'!$E$7:$E$606,"&lt;&gt;Eviction",'Rent Roll Input'!$D$7:$D$606,"IL",'Rent Roll Input'!$F$7:$F$606,"Other"),"-")</f>
        <v/>
      </c>
      <c r="G92" s="220">
        <f>IFERROR(AVERAGEIFS('Rent Roll Input'!$C$7:$C$606,'Rent Roll Input'!$S$7:$S$606,'Rent Roll Recon'!$B$2,'Rent Roll Input'!$E$7:$E$606,"&lt;&gt;Vacant",'Rent Roll Input'!$E$7:$E$606,"&lt;&gt;Eviction",'Rent Roll Input'!$D$7:$D$606,"IL",'Rent Roll Input'!$F$7:$F$606,"Other"),"-")</f>
        <v/>
      </c>
      <c r="H92" s="221">
        <f>IFERROR(D92/G92,"-")</f>
        <v/>
      </c>
    </row>
    <row r="93">
      <c r="A93" s="215" t="inlineStr">
        <is>
          <t>Total IL occupied</t>
        </is>
      </c>
      <c r="B93" s="215">
        <f>SUM(B88:B92)</f>
        <v/>
      </c>
      <c r="C93" s="222" t="inlineStr">
        <is>
          <t>100.0%</t>
        </is>
      </c>
      <c r="D93" s="223">
        <f>IFERROR(AVERAGEIFS('Rent Roll Input'!$H$7:$H$606,'Rent Roll Input'!$S$7:$S$606,'Rent Roll Recon'!$B$2,'Rent Roll Input'!$E$7:$E$606,"&lt;&gt;Vacant",'Rent Roll Input'!$E$7:$E$606,"&lt;&gt;Eviction",'Rent Roll Input'!$D$7:$D$606,"IL"),"-")</f>
        <v/>
      </c>
      <c r="E93" s="219">
        <f>IFERROR(MINIFS('Rent Roll Input'!$H$7:$H$606,'Rent Roll Input'!$S$7:$S$606,'Rent Roll Recon'!$B$2,'Rent Roll Input'!$E$7:$E$606,"&lt;&gt;Vacant",'Rent Roll Input'!$E$7:$E$606,"&lt;&gt;Eviction",'Rent Roll Input'!$D$7:$D$606,"IL"),"-")</f>
        <v/>
      </c>
      <c r="F93" s="219">
        <f>IFERROR(MAXIFS('Rent Roll Input'!$H$7:$H$606,'Rent Roll Input'!$S$7:$S$606,'Rent Roll Recon'!$B$2,'Rent Roll Input'!$E$7:$E$606,"&lt;&gt;Vacant",'Rent Roll Input'!$E$7:$E$606,"&lt;&gt;Eviction",'Rent Roll Input'!$D$7:$D$606,"IL"),"-")</f>
        <v/>
      </c>
      <c r="G93" s="220">
        <f>IFERROR(AVERAGEIFS('Rent Roll Input'!$C$7:$C$606,'Rent Roll Input'!$S$7:$S$606,'Rent Roll Recon'!$B$2,'Rent Roll Input'!$E$7:$E$606,"&lt;&gt;Vacant",'Rent Roll Input'!$E$7:$E$606,"&lt;&gt;Eviction",'Rent Roll Input'!$D$7:$D$606,"IL"),"-")</f>
        <v/>
      </c>
      <c r="H93" s="221">
        <f>IFERROR(D93/G93,"-")</f>
        <v/>
      </c>
    </row>
    <row r="95">
      <c r="A95" s="217" t="inlineStr">
        <is>
          <t>Rate spread (max − min)</t>
        </is>
      </c>
      <c r="B95" s="219">
        <f>IFERROR(F93-E93,"-")</f>
        <v/>
      </c>
    </row>
    <row r="96">
      <c r="A96" s="217" t="inlineStr">
        <is>
          <t>Rate CV (approx — range ÷ avg ÷ √12)</t>
        </is>
      </c>
      <c r="B96" s="218">
        <f>IFERROR((F93-E93)/D93/SQRT(12),"-")</f>
        <v/>
      </c>
    </row>
    <row r="97">
      <c r="A97" s="217" t="inlineStr">
        <is>
          <t>Avg sq ft (IL occupied)</t>
        </is>
      </c>
      <c r="B97" s="220">
        <f>G93</f>
        <v/>
      </c>
    </row>
    <row r="98">
      <c r="A98" s="217" t="inlineStr">
        <is>
          <t>Sq ft range</t>
        </is>
      </c>
      <c r="B98" s="220">
        <f>IFERROR(MINIFS('Rent Roll Input'!$C$7:$C$606,'Rent Roll Input'!$S$7:$S$606,'Rent Roll Recon'!$B$2,'Rent Roll Input'!$E$7:$E$606,"&lt;&gt;Vacant",'Rent Roll Input'!$E$7:$E$606,"&lt;&gt;Eviction",'Rent Roll Input'!$D$7:$D$606,"IL"),"-")</f>
        <v/>
      </c>
      <c r="C98" s="20" t="inlineStr">
        <is>
          <t>—</t>
        </is>
      </c>
      <c r="D98" s="220">
        <f>IFERROR(MAXIFS('Rent Roll Input'!$C$7:$C$606,'Rent Roll Input'!$S$7:$S$606,'Rent Roll Recon'!$B$2,'Rent Roll Input'!$E$7:$E$606,"&lt;&gt;Vacant",'Rent Roll Input'!$E$7:$E$606,"&lt;&gt;Eviction",'Rent Roll Input'!$D$7:$D$606,"IL"),"-")</f>
        <v/>
      </c>
    </row>
    <row r="99">
      <c r="A99" s="217" t="inlineStr">
        <is>
          <t>$/sq ft (IL avg rate ÷ avg sq ft)</t>
        </is>
      </c>
      <c r="B99" s="221">
        <f>H93</f>
        <v/>
      </c>
    </row>
    <row r="100">
      <c r="A100" s="204">
        <f>IF(B93=0,"No IL units in selected period",IF(B96&gt;0.25,"⚠ IL rate CV "&amp;TEXT(B96,"0.0%")&amp;" — wide rate dispersion. "&amp;"Likely legacy in-place rates well below current asking.","✓ IL rate dispersion within normal band."))</f>
        <v/>
      </c>
    </row>
    <row r="102">
      <c r="A102" s="216" t="inlineStr">
        <is>
          <t>L  ·  MC CARE STRUCTURE  (auto-detected pattern)</t>
        </is>
      </c>
    </row>
    <row r="103">
      <c r="A103" s="215" t="inlineStr">
        <is>
          <t>MC Care Pattern detected:</t>
        </is>
      </c>
      <c r="B103" s="215">
        <f>IF(SUM(B106:B109)=0,"Flat-rate (no care levels recorded)",IF(COUNTIF(B106:B109,"&gt;0")=1,"Flat-rate (single tier)",IF(COUNTIF(B106:B109,"&gt;0")&lt;=3,"Tiered acuity ("&amp;COUNTIF(B106:B109,"&gt;0")&amp;" levels)","Fee-for-service / variable")))</f>
        <v/>
      </c>
    </row>
    <row r="105">
      <c r="A105" s="214" t="inlineStr">
        <is>
          <t>Tier</t>
        </is>
      </c>
      <c r="B105" s="214" t="inlineStr">
        <is>
          <t>Count</t>
        </is>
      </c>
      <c r="C105" s="214" t="inlineStr">
        <is>
          <t>% of
MC</t>
        </is>
      </c>
      <c r="D105" s="214" t="inlineStr">
        <is>
          <t>Avg $/mo</t>
        </is>
      </c>
      <c r="E105" s="214" t="inlineStr">
        <is>
          <t>Total $/mo</t>
        </is>
      </c>
    </row>
    <row r="106">
      <c r="A106" s="217"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218">
        <f>IFERROR(B106/COUNTIFS('Rent Roll Input'!$S$7:$S$606,'Rent Roll Recon'!$B$2,'Rent Roll Input'!$E$7:$E$606,"&lt;&gt;Vacant",'Rent Roll Input'!$E$7:$E$606,"&lt;&gt;Eviction",'Rent Roll Input'!$D$7:$D$606,"MC"),"-")</f>
        <v/>
      </c>
      <c r="D106" s="219">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219">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217"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218">
        <f>IFERROR(B107/COUNTIFS('Rent Roll Input'!$S$7:$S$606,'Rent Roll Recon'!$B$2,'Rent Roll Input'!$E$7:$E$606,"&lt;&gt;Vacant",'Rent Roll Input'!$E$7:$E$606,"&lt;&gt;Eviction",'Rent Roll Input'!$D$7:$D$606,"MC"),"-")</f>
        <v/>
      </c>
      <c r="D107" s="219">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219">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217"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218">
        <f>IFERROR(B108/COUNTIFS('Rent Roll Input'!$S$7:$S$606,'Rent Roll Recon'!$B$2,'Rent Roll Input'!$E$7:$E$606,"&lt;&gt;Vacant",'Rent Roll Input'!$E$7:$E$606,"&lt;&gt;Eviction",'Rent Roll Input'!$D$7:$D$606,"MC"),"-")</f>
        <v/>
      </c>
      <c r="D108" s="219">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219">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217" t="inlineStr">
        <is>
          <t>Other / unmapped</t>
        </is>
      </c>
      <c r="B109">
        <f>MAX(0,COUNTIFS('Rent Roll Input'!$S$7:$S$606,'Rent Roll Recon'!$B$2,'Rent Roll Input'!$E$7:$E$606,"&lt;&gt;Vacant",'Rent Roll Input'!$E$7:$E$606,"&lt;&gt;Eviction",'Rent Roll Input'!$D$7:$D$606,"MC",'Rent Roll Input'!$K$7:$K$606,"?*")-SUM(B106:B108))</f>
        <v/>
      </c>
      <c r="C109" s="218">
        <f>IFERROR(B109/COUNTIFS('Rent Roll Input'!$S$7:$S$606,'Rent Roll Recon'!$B$2,'Rent Roll Input'!$E$7:$E$606,"&lt;&gt;Vacant",'Rent Roll Input'!$E$7:$E$606,"&lt;&gt;Eviction",'Rent Roll Input'!$D$7:$D$606,"MC"),"-")</f>
        <v/>
      </c>
      <c r="D109" t="inlineStr">
        <is>
          <t>"-"</t>
        </is>
      </c>
      <c r="E109" s="219">
        <f>MAX(0,SUMIFS('Rent Roll Input'!$L$7:$L$606,'Rent Roll Input'!$S$7:$S$606,'Rent Roll Recon'!$B$2,'Rent Roll Input'!$E$7:$E$606,"&lt;&gt;Vacant",'Rent Roll Input'!$E$7:$E$606,"&lt;&gt;Eviction",'Rent Roll Input'!$D$7:$D$606,"MC")-SUM(E106:E108))</f>
        <v/>
      </c>
    </row>
    <row r="110">
      <c r="A110" s="215" t="inlineStr">
        <is>
          <t>Total MC occupied</t>
        </is>
      </c>
      <c r="B110" s="215">
        <f>COUNTIFS('Rent Roll Input'!$S$7:$S$606,'Rent Roll Recon'!$B$2,'Rent Roll Input'!$E$7:$E$606,"&lt;&gt;Vacant",'Rent Roll Input'!$E$7:$E$606,"&lt;&gt;Eviction",'Rent Roll Input'!$D$7:$D$606,"MC")</f>
        <v/>
      </c>
      <c r="C110" s="222" t="inlineStr">
        <is>
          <t>100.0%</t>
        </is>
      </c>
      <c r="D110" s="223">
        <f>IFERROR(E110/B110,"-")</f>
        <v/>
      </c>
      <c r="E110" s="223">
        <f>SUMIFS('Rent Roll Input'!$L$7:$L$606,'Rent Roll Input'!$S$7:$S$606,'Rent Roll Recon'!$B$2,'Rent Roll Input'!$E$7:$E$606,"&lt;&gt;Vacant",'Rent Roll Input'!$E$7:$E$606,"&lt;&gt;Eviction",'Rent Roll Input'!$D$7:$D$606,"MC")</f>
        <v/>
      </c>
    </row>
    <row r="112">
      <c r="A112" s="217" t="inlineStr">
        <is>
          <t>MC avg base rent / resident</t>
        </is>
      </c>
      <c r="B112" s="219">
        <f>IFERROR(AVERAGEIFS('Rent Roll Input'!$H$7:$H$606,'Rent Roll Input'!$S$7:$S$606,'Rent Roll Recon'!$B$2,'Rent Roll Input'!$E$7:$E$606,"&lt;&gt;Vacant",'Rent Roll Input'!$E$7:$E$606,"&lt;&gt;Eviction",'Rent Roll Input'!$D$7:$D$606,"MC"),"-")</f>
        <v/>
      </c>
    </row>
    <row r="113">
      <c r="A113" s="217" t="inlineStr">
        <is>
          <t>MC avg care charge / resident</t>
        </is>
      </c>
      <c r="B113" s="219">
        <f>IFERROR(D110,"-")</f>
        <v/>
      </c>
    </row>
    <row r="114">
      <c r="A114" s="217" t="inlineStr">
        <is>
          <t>Care charge ÷ base rent ratio</t>
        </is>
      </c>
      <c r="B114" s="218">
        <f>IFERROR(B113/B112,"-")</f>
        <v/>
      </c>
      <c r="C114" s="204">
        <f>IF(B114&gt;0.3,"⚠ Care charge &gt; 30% of base — acuity-heavy","✓ Within range")</f>
        <v/>
      </c>
    </row>
    <row r="115">
      <c r="A115" s="215" t="inlineStr">
        <is>
          <t>Total MC monthly revenue</t>
        </is>
      </c>
      <c r="B115" s="223">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7">
      <c r="A117" s="204">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row r="119" ht="18" customHeight="1" s="199">
      <c r="A119" s="224" t="inlineStr">
        <is>
          <t>M  ·  OPERATOR FEE SCHEDULE  &amp;  ANCILLARY RECONCILIATION</t>
        </is>
      </c>
    </row>
    <row r="121" ht="18" customHeight="1" s="199">
      <c r="A121" s="225" t="inlineStr">
        <is>
          <t>M1  —  Published schedule  (paste-in: published rates from broker)</t>
        </is>
      </c>
    </row>
    <row r="122">
      <c r="A122" s="226" t="inlineStr">
        <is>
          <t>Fee Name</t>
        </is>
      </c>
      <c r="B122" s="226" t="inlineStr">
        <is>
          <t>Published $</t>
        </is>
      </c>
      <c r="C122" s="226" t="inlineStr">
        <is>
          <t>Basis</t>
        </is>
      </c>
      <c r="D122" s="226" t="inlineStr">
        <is>
          <t>T12 Label</t>
        </is>
      </c>
      <c r="E122" s="226" t="inlineStr">
        <is>
          <t>RR Input Col</t>
        </is>
      </c>
    </row>
    <row r="123">
      <c r="A123" s="227" t="inlineStr">
        <is>
          <t>Community Fee</t>
        </is>
      </c>
      <c r="B123" s="228" t="n"/>
      <c r="C123" s="227" t="inlineStr">
        <is>
          <t>per unit</t>
        </is>
      </c>
      <c r="D123" s="227" t="inlineStr">
        <is>
          <t>Community / move-in fees</t>
        </is>
      </c>
      <c r="E123" s="238" t="inlineStr"/>
    </row>
    <row r="124">
      <c r="A124" s="227" t="inlineStr">
        <is>
          <t>Elective Transfer Fee</t>
        </is>
      </c>
      <c r="B124" s="228" t="n"/>
      <c r="C124" s="227" t="inlineStr">
        <is>
          <t>per move</t>
        </is>
      </c>
      <c r="D124" s="227" t="inlineStr">
        <is>
          <t>Other community revenue</t>
        </is>
      </c>
      <c r="E124" s="238" t="inlineStr"/>
    </row>
    <row r="125">
      <c r="A125" s="227" t="inlineStr">
        <is>
          <t>Meal Delivery</t>
        </is>
      </c>
      <c r="B125" s="228" t="n"/>
      <c r="C125" s="227" t="inlineStr">
        <is>
          <t>per meal</t>
        </is>
      </c>
      <c r="D125" s="227" t="inlineStr">
        <is>
          <t>Other community revenue</t>
        </is>
      </c>
      <c r="E125" s="238" t="inlineStr">
        <is>
          <t>AC</t>
        </is>
      </c>
    </row>
    <row r="126">
      <c r="A126" s="227" t="inlineStr">
        <is>
          <t>Motorized Scooter Fee</t>
        </is>
      </c>
      <c r="B126" s="228" t="n"/>
      <c r="C126" s="227" t="inlineStr">
        <is>
          <t>per month</t>
        </is>
      </c>
      <c r="D126" s="227" t="inlineStr">
        <is>
          <t>Other community revenue</t>
        </is>
      </c>
      <c r="E126" s="238" t="inlineStr">
        <is>
          <t>AD</t>
        </is>
      </c>
    </row>
    <row r="127">
      <c r="A127" s="227" t="inlineStr">
        <is>
          <t>Second Person Fee</t>
        </is>
      </c>
      <c r="B127" s="228" t="n"/>
      <c r="C127" s="227" t="inlineStr">
        <is>
          <t>per month</t>
        </is>
      </c>
      <c r="D127" s="227" t="inlineStr">
        <is>
          <t>2nd Person Revenue</t>
        </is>
      </c>
      <c r="E127" s="238" t="inlineStr">
        <is>
          <t>V</t>
        </is>
      </c>
    </row>
    <row r="128">
      <c r="A128" s="227" t="inlineStr">
        <is>
          <t>Housekeeping</t>
        </is>
      </c>
      <c r="B128" s="228" t="n"/>
      <c r="C128" s="227" t="inlineStr">
        <is>
          <t>per visit</t>
        </is>
      </c>
      <c r="D128" s="227" t="inlineStr">
        <is>
          <t>Other community revenue</t>
        </is>
      </c>
      <c r="E128" s="238" t="inlineStr">
        <is>
          <t>AE</t>
        </is>
      </c>
    </row>
    <row r="129">
      <c r="A129" s="227" t="inlineStr">
        <is>
          <t>Laundry</t>
        </is>
      </c>
      <c r="B129" s="228" t="n"/>
      <c r="C129" s="227" t="inlineStr">
        <is>
          <t>per pickup</t>
        </is>
      </c>
      <c r="D129" s="227" t="inlineStr">
        <is>
          <t>Other community revenue</t>
        </is>
      </c>
      <c r="E129" s="238" t="inlineStr">
        <is>
          <t>AF</t>
        </is>
      </c>
    </row>
    <row r="130">
      <c r="A130" s="227" t="n"/>
      <c r="B130" s="228" t="n"/>
      <c r="C130" s="227" t="n"/>
      <c r="D130" s="227" t="n"/>
      <c r="E130" s="239" t="n"/>
    </row>
    <row r="131">
      <c r="A131" s="227" t="n"/>
      <c r="B131" s="228" t="n"/>
      <c r="C131" s="227" t="n"/>
      <c r="D131" s="227" t="n"/>
      <c r="E131" s="239" t="n"/>
    </row>
    <row r="133" ht="18" customHeight="1" s="199">
      <c r="A133" s="225" t="inlineStr">
        <is>
          <t>M2  —  RR-side capture  (auto, from Rent Roll Input)</t>
        </is>
      </c>
    </row>
    <row r="134">
      <c r="A134" s="226" t="inlineStr">
        <is>
          <t>Fee Name</t>
        </is>
      </c>
      <c r="B134" s="226" t="inlineStr">
        <is>
          <t>Eligible #</t>
        </is>
      </c>
      <c r="C134" s="226" t="inlineStr">
        <is>
          <t>Capturing #</t>
        </is>
      </c>
      <c r="D134" s="226" t="inlineStr">
        <is>
          <t>Capture %</t>
        </is>
      </c>
      <c r="E134" s="226" t="inlineStr">
        <is>
          <t>Note</t>
        </is>
      </c>
    </row>
    <row r="135">
      <c r="A135" s="229">
        <f>A123</f>
        <v/>
      </c>
      <c r="B135" s="231">
        <f>COUNTIFS('Rent Roll Input'!$E$7:$E$606,"Occupied",'Rent Roll Input'!$S$7:$S$606,$B$2)</f>
        <v/>
      </c>
      <c r="C135" s="231">
        <f>IF(TRIM(E123)="","—",COUNTIF(INDIRECT("'Rent Roll Input'!"&amp;E123&amp;"7:"&amp;E123&amp;"606"),"&gt;0"))</f>
        <v/>
      </c>
      <c r="D135" s="232">
        <f>IFERROR(C135/B135,"")</f>
        <v/>
      </c>
      <c r="E135" s="229">
        <f>IF(TRIM(E123)="","No per-fee RR column (event-based / not captured per-resident)","✓ Direct RR match (col "&amp;TRIM(E123)&amp;")")</f>
        <v/>
      </c>
    </row>
    <row r="136">
      <c r="A136" s="229">
        <f>A124</f>
        <v/>
      </c>
      <c r="B136" s="231">
        <f>COUNTIFS('Rent Roll Input'!$E$7:$E$606,"Occupied",'Rent Roll Input'!$S$7:$S$606,$B$2)</f>
        <v/>
      </c>
      <c r="C136" s="231">
        <f>IF(TRIM(E124)="","—",COUNTIF(INDIRECT("'Rent Roll Input'!"&amp;E124&amp;"7:"&amp;E124&amp;"606"),"&gt;0"))</f>
        <v/>
      </c>
      <c r="D136" s="232">
        <f>IFERROR(C136/B136,"")</f>
        <v/>
      </c>
      <c r="E136" s="229">
        <f>IF(TRIM(E124)="","No per-fee RR column (event-based / not captured per-resident)","✓ Direct RR match (col "&amp;TRIM(E124)&amp;")")</f>
        <v/>
      </c>
    </row>
    <row r="137">
      <c r="A137" s="229">
        <f>A125</f>
        <v/>
      </c>
      <c r="B137" s="231">
        <f>COUNTIFS('Rent Roll Input'!$E$7:$E$606,"Occupied",'Rent Roll Input'!$S$7:$S$606,$B$2)</f>
        <v/>
      </c>
      <c r="C137" s="231">
        <f>IF(TRIM(E125)="","—",COUNTIF(INDIRECT("'Rent Roll Input'!"&amp;E125&amp;"7:"&amp;E125&amp;"606"),"&gt;0"))</f>
        <v/>
      </c>
      <c r="D137" s="232">
        <f>IFERROR(C137/B137,"")</f>
        <v/>
      </c>
      <c r="E137" s="229">
        <f>IF(TRIM(E125)="","No per-fee RR column (event-based / not captured per-resident)","✓ Direct RR match (col "&amp;TRIM(E125)&amp;")")</f>
        <v/>
      </c>
    </row>
    <row r="138">
      <c r="A138" s="229">
        <f>A126</f>
        <v/>
      </c>
      <c r="B138" s="231">
        <f>COUNTIFS('Rent Roll Input'!$E$7:$E$606,"Occupied",'Rent Roll Input'!$S$7:$S$606,$B$2)</f>
        <v/>
      </c>
      <c r="C138" s="231">
        <f>IF(TRIM(E126)="","—",COUNTIF(INDIRECT("'Rent Roll Input'!"&amp;E126&amp;"7:"&amp;E126&amp;"606"),"&gt;0"))</f>
        <v/>
      </c>
      <c r="D138" s="232">
        <f>IFERROR(C138/B138,"")</f>
        <v/>
      </c>
      <c r="E138" s="229">
        <f>IF(TRIM(E126)="","No per-fee RR column (event-based / not captured per-resident)","✓ Direct RR match (col "&amp;TRIM(E126)&amp;")")</f>
        <v/>
      </c>
    </row>
    <row r="139">
      <c r="A139" s="229">
        <f>A127</f>
        <v/>
      </c>
      <c r="B139" s="231">
        <f>COUNTIFS('Rent Roll Input'!$E$7:$E$606,"Occupied",'Rent Roll Input'!$S$7:$S$606,$B$2)</f>
        <v/>
      </c>
      <c r="C139" s="231">
        <f>IF(TRIM(E127)="","—",COUNTIF(INDIRECT("'Rent Roll Input'!"&amp;E127&amp;"7:"&amp;E127&amp;"606"),"&gt;0"))</f>
        <v/>
      </c>
      <c r="D139" s="232">
        <f>IFERROR(C139/B139,"")</f>
        <v/>
      </c>
      <c r="E139" s="229">
        <f>IF(TRIM(E127)="","No per-fee RR column (event-based / not captured per-resident)","✓ Direct RR match (col "&amp;TRIM(E127)&amp;")")</f>
        <v/>
      </c>
    </row>
    <row r="140">
      <c r="A140" s="229">
        <f>A128</f>
        <v/>
      </c>
      <c r="B140" s="231">
        <f>COUNTIFS('Rent Roll Input'!$E$7:$E$606,"Occupied",'Rent Roll Input'!$S$7:$S$606,$B$2)</f>
        <v/>
      </c>
      <c r="C140" s="231">
        <f>IF(TRIM(E128)="","—",COUNTIF(INDIRECT("'Rent Roll Input'!"&amp;E128&amp;"7:"&amp;E128&amp;"606"),"&gt;0"))</f>
        <v/>
      </c>
      <c r="D140" s="232">
        <f>IFERROR(C140/B140,"")</f>
        <v/>
      </c>
      <c r="E140" s="229">
        <f>IF(TRIM(E128)="","No per-fee RR column (event-based / not captured per-resident)","✓ Direct RR match (col "&amp;TRIM(E128)&amp;")")</f>
        <v/>
      </c>
    </row>
    <row r="141">
      <c r="A141" s="229">
        <f>A129</f>
        <v/>
      </c>
      <c r="B141" s="231">
        <f>COUNTIFS('Rent Roll Input'!$E$7:$E$606,"Occupied",'Rent Roll Input'!$S$7:$S$606,$B$2)</f>
        <v/>
      </c>
      <c r="C141" s="231">
        <f>IF(TRIM(E129)="","—",COUNTIF(INDIRECT("'Rent Roll Input'!"&amp;E129&amp;"7:"&amp;E129&amp;"606"),"&gt;0"))</f>
        <v/>
      </c>
      <c r="D141" s="232">
        <f>IFERROR(C141/B141,"")</f>
        <v/>
      </c>
      <c r="E141" s="229">
        <f>IF(TRIM(E129)="","No per-fee RR column (event-based / not captured per-resident)","✓ Direct RR match (col "&amp;TRIM(E129)&amp;")")</f>
        <v/>
      </c>
    </row>
    <row r="142">
      <c r="A142" s="229">
        <f>A130</f>
        <v/>
      </c>
      <c r="B142" s="231">
        <f>COUNTIFS('Rent Roll Input'!$E$7:$E$606,"Occupied",'Rent Roll Input'!$S$7:$S$606,$B$2)</f>
        <v/>
      </c>
      <c r="C142" s="231">
        <f>IF(TRIM(E130)="","—",COUNTIF(INDIRECT("'Rent Roll Input'!"&amp;E130&amp;"7:"&amp;E130&amp;"606"),"&gt;0"))</f>
        <v/>
      </c>
      <c r="D142" s="232">
        <f>IFERROR(C142/B142,"")</f>
        <v/>
      </c>
      <c r="E142" s="229">
        <f>IF(TRIM(E130)="","No per-fee RR column (event-based / not captured per-resident)","✓ Direct RR match (col "&amp;TRIM(E130)&amp;")")</f>
        <v/>
      </c>
    </row>
    <row r="143">
      <c r="A143" s="229">
        <f>A131</f>
        <v/>
      </c>
      <c r="B143" s="231">
        <f>COUNTIFS('Rent Roll Input'!$E$7:$E$606,"Occupied",'Rent Roll Input'!$S$7:$S$606,$B$2)</f>
        <v/>
      </c>
      <c r="C143" s="231">
        <f>IF(TRIM(E131)="","—",COUNTIF(INDIRECT("'Rent Roll Input'!"&amp;E131&amp;"7:"&amp;E131&amp;"606"),"&gt;0"))</f>
        <v/>
      </c>
      <c r="D143" s="232">
        <f>IFERROR(C143/B143,"")</f>
        <v/>
      </c>
      <c r="E143" s="229">
        <f>IF(TRIM(E131)="","No per-fee RR column (event-based / not captured per-resident)","✓ Direct RR match (col "&amp;TRIM(E131)&amp;")")</f>
        <v/>
      </c>
    </row>
    <row r="145" ht="18" customHeight="1" s="199">
      <c r="A145" s="225" t="inlineStr">
        <is>
          <t>M3  —  T12 actuals  (12-month total + monthly avg, via VLOOKUP on M1 Label)</t>
        </is>
      </c>
    </row>
    <row r="146">
      <c r="A146" s="226" t="inlineStr">
        <is>
          <t>Fee Name</t>
        </is>
      </c>
      <c r="B146" s="226" t="inlineStr">
        <is>
          <t>T12 Annual $</t>
        </is>
      </c>
      <c r="C146" s="226" t="inlineStr">
        <is>
          <t>T12 Monthly $</t>
        </is>
      </c>
      <c r="D146" s="226" t="inlineStr">
        <is>
          <t>Mapped to Label</t>
        </is>
      </c>
      <c r="E146" s="226" t="inlineStr">
        <is>
          <t>Note</t>
        </is>
      </c>
    </row>
    <row r="147">
      <c r="A147" s="229">
        <f>A123</f>
        <v/>
      </c>
      <c r="B147" s="233">
        <f>IFERROR(VLOOKUP(D123, 'T12 Raw Data'!$B:$R, 17, 0), 0)</f>
        <v/>
      </c>
      <c r="C147" s="233">
        <f>IF(ISNUMBER(B147), B147/12, B147)</f>
        <v/>
      </c>
      <c r="D147" s="229">
        <f>D123</f>
        <v/>
      </c>
      <c r="E147" s="229">
        <f>IF(D123="","",IF(COUNTIF($D$123:$D$131, D123) &gt; 1, "⚠ Shared T12 Label — can't isolate per-fee", ""))</f>
        <v/>
      </c>
    </row>
    <row r="148">
      <c r="A148" s="229">
        <f>A124</f>
        <v/>
      </c>
      <c r="B148" s="233">
        <f>IF(COUNTIF($D$123:D123, D124) &gt; 0, "(shared — see row " &amp; MATCH(D124, $D$123:D123, 0) + 122 &amp; ")", IFERROR(VLOOKUP(D124, 'T12 Raw Data'!$B:$R, 17, 0), 0))</f>
        <v/>
      </c>
      <c r="C148" s="233">
        <f>IF(ISNUMBER(B148), B148/12, B148)</f>
        <v/>
      </c>
      <c r="D148" s="229">
        <f>D124</f>
        <v/>
      </c>
      <c r="E148" s="229">
        <f>IF(D124="","",IF(COUNTIF($D$123:$D$131, D124) &gt; 1, "⚠ Shared T12 Label — can't isolate per-fee", ""))</f>
        <v/>
      </c>
    </row>
    <row r="149">
      <c r="A149" s="229">
        <f>A125</f>
        <v/>
      </c>
      <c r="B149" s="233">
        <f>IF(COUNTIF($D$123:D124, D125) &gt; 0, "(shared — see row " &amp; MATCH(D125, $D$123:D124, 0) + 122 &amp; ")", IFERROR(VLOOKUP(D125, 'T12 Raw Data'!$B:$R, 17, 0), 0))</f>
        <v/>
      </c>
      <c r="C149" s="233">
        <f>IF(ISNUMBER(B149), B149/12, B149)</f>
        <v/>
      </c>
      <c r="D149" s="229">
        <f>D125</f>
        <v/>
      </c>
      <c r="E149" s="229">
        <f>IF(D125="","",IF(COUNTIF($D$123:$D$131, D125) &gt; 1, "⚠ Shared T12 Label — can't isolate per-fee", ""))</f>
        <v/>
      </c>
    </row>
    <row r="150">
      <c r="A150" s="229">
        <f>A126</f>
        <v/>
      </c>
      <c r="B150" s="233">
        <f>IF(COUNTIF($D$123:D125, D126) &gt; 0, "(shared — see row " &amp; MATCH(D126, $D$123:D125, 0) + 122 &amp; ")", IFERROR(VLOOKUP(D126, 'T12 Raw Data'!$B:$R, 17, 0), 0))</f>
        <v/>
      </c>
      <c r="C150" s="233">
        <f>IF(ISNUMBER(B150), B150/12, B150)</f>
        <v/>
      </c>
      <c r="D150" s="229">
        <f>D126</f>
        <v/>
      </c>
      <c r="E150" s="229">
        <f>IF(D126="","",IF(COUNTIF($D$123:$D$131, D126) &gt; 1, "⚠ Shared T12 Label — can't isolate per-fee", ""))</f>
        <v/>
      </c>
    </row>
    <row r="151">
      <c r="A151" s="229">
        <f>A127</f>
        <v/>
      </c>
      <c r="B151" s="233">
        <f>IF(COUNTIF($D$123:D126, D127) &gt; 0, "(shared — see row " &amp; MATCH(D127, $D$123:D126, 0) + 122 &amp; ")", IFERROR(VLOOKUP(D127, 'T12 Raw Data'!$B:$R, 17, 0), 0))</f>
        <v/>
      </c>
      <c r="C151" s="233">
        <f>IF(ISNUMBER(B151), B151/12, B151)</f>
        <v/>
      </c>
      <c r="D151" s="229">
        <f>D127</f>
        <v/>
      </c>
      <c r="E151" s="229">
        <f>IF(D127="","",IF(COUNTIF($D$123:$D$131, D127) &gt; 1, "⚠ Shared T12 Label — can't isolate per-fee", ""))</f>
        <v/>
      </c>
    </row>
    <row r="152">
      <c r="A152" s="229">
        <f>A128</f>
        <v/>
      </c>
      <c r="B152" s="233">
        <f>IF(COUNTIF($D$123:D127, D128) &gt; 0, "(shared — see row " &amp; MATCH(D128, $D$123:D127, 0) + 122 &amp; ")", IFERROR(VLOOKUP(D128, 'T12 Raw Data'!$B:$R, 17, 0), 0))</f>
        <v/>
      </c>
      <c r="C152" s="233">
        <f>IF(ISNUMBER(B152), B152/12, B152)</f>
        <v/>
      </c>
      <c r="D152" s="229">
        <f>D128</f>
        <v/>
      </c>
      <c r="E152" s="229">
        <f>IF(D128="","",IF(COUNTIF($D$123:$D$131, D128) &gt; 1, "⚠ Shared T12 Label — can't isolate per-fee", ""))</f>
        <v/>
      </c>
    </row>
    <row r="153">
      <c r="A153" s="229">
        <f>A129</f>
        <v/>
      </c>
      <c r="B153" s="233">
        <f>IF(COUNTIF($D$123:D128, D129) &gt; 0, "(shared — see row " &amp; MATCH(D129, $D$123:D128, 0) + 122 &amp; ")", IFERROR(VLOOKUP(D129, 'T12 Raw Data'!$B:$R, 17, 0), 0))</f>
        <v/>
      </c>
      <c r="C153" s="233">
        <f>IF(ISNUMBER(B153), B153/12, B153)</f>
        <v/>
      </c>
      <c r="D153" s="229">
        <f>D129</f>
        <v/>
      </c>
      <c r="E153" s="229">
        <f>IF(D129="","",IF(COUNTIF($D$123:$D$131, D129) &gt; 1, "⚠ Shared T12 Label — can't isolate per-fee", ""))</f>
        <v/>
      </c>
    </row>
    <row r="154">
      <c r="A154" s="229">
        <f>A130</f>
        <v/>
      </c>
      <c r="B154" s="233">
        <f>IF(COUNTIF($D$123:D129, D130) &gt; 0, "(shared — see row " &amp; MATCH(D130, $D$123:D129, 0) + 122 &amp; ")", IFERROR(VLOOKUP(D130, 'T12 Raw Data'!$B:$R, 17, 0), 0))</f>
        <v/>
      </c>
      <c r="C154" s="233">
        <f>IF(ISNUMBER(B154), B154/12, B154)</f>
        <v/>
      </c>
      <c r="D154" s="229">
        <f>D130</f>
        <v/>
      </c>
      <c r="E154" s="229">
        <f>IF(D130="","",IF(COUNTIF($D$123:$D$131, D130) &gt; 1, "⚠ Shared T12 Label — can't isolate per-fee", ""))</f>
        <v/>
      </c>
    </row>
    <row r="155">
      <c r="A155" s="229">
        <f>A131</f>
        <v/>
      </c>
      <c r="B155" s="233">
        <f>IF(COUNTIF($D$123:D130, D131) &gt; 0, "(shared — see row " &amp; MATCH(D131, $D$123:D130, 0) + 122 &amp; ")", IFERROR(VLOOKUP(D131, 'T12 Raw Data'!$B:$R, 17, 0), 0))</f>
        <v/>
      </c>
      <c r="C155" s="233">
        <f>IF(ISNUMBER(B155), B155/12, B155)</f>
        <v/>
      </c>
      <c r="D155" s="229">
        <f>D131</f>
        <v/>
      </c>
      <c r="E155" s="229">
        <f>IF(D131="","",IF(COUNTIF($D$123:$D$131, D131) &gt; 1, "⚠ Shared T12 Label — can't isolate per-fee", ""))</f>
        <v/>
      </c>
    </row>
    <row r="157" ht="18" customHeight="1" s="199">
      <c r="A157" s="225" t="inlineStr">
        <is>
          <t>M4  —  Implied per-resident rate  (T12 monthly ÷ RR # capturing  vs.  schedule)</t>
        </is>
      </c>
    </row>
    <row r="158">
      <c r="A158" s="226" t="inlineStr">
        <is>
          <t>Fee Name</t>
        </is>
      </c>
      <c r="B158" s="226" t="inlineStr">
        <is>
          <t>T12 $/mo</t>
        </is>
      </c>
      <c r="C158" s="226" t="inlineStr">
        <is>
          <t>RR # capturing</t>
        </is>
      </c>
      <c r="D158" s="226" t="inlineStr">
        <is>
          <t>Implied $/resident</t>
        </is>
      </c>
      <c r="E158" s="226" t="inlineStr">
        <is>
          <t>Schedule $</t>
        </is>
      </c>
      <c r="F158" s="226" t="inlineStr">
        <is>
          <t>Variance %</t>
        </is>
      </c>
      <c r="G158" s="226" t="inlineStr">
        <is>
          <t>Note</t>
        </is>
      </c>
    </row>
    <row r="159">
      <c r="A159" s="229">
        <f>A123</f>
        <v/>
      </c>
      <c r="B159" s="233">
        <f>C147</f>
        <v/>
      </c>
      <c r="C159" s="231">
        <f>IF(TRIM(E123)="","—",C135)</f>
        <v/>
      </c>
      <c r="D159" s="233">
        <f>IF(AND(TRIM(E123)&lt;&gt;"",ISNUMBER(B159),ISNUMBER(C159),C159&gt;0),B159/C159,"")</f>
        <v/>
      </c>
      <c r="E159" s="233">
        <f>B123</f>
        <v/>
      </c>
      <c r="F159" s="234">
        <f>IF(AND(ISNUMBER(D159),ISNUMBER(E159),E159&lt;&gt;0),(D159-E159)/E159,"")</f>
        <v/>
      </c>
      <c r="G159" s="229">
        <f>IF(TRIM(E123)="","Falls into M5 Misc. (event-based; reconcile via M3 ÷ annual turnover)",IF(NOT(ISNUMBER(F159)),"",IF(ABS(F159)&gt;0.05,"⚠ Implied rate differs from schedule by "&amp;TEXT(F159,"0.0%")&amp; " — legacy in-place residents or schedule out of date","✓ Implied rate within 5% of schedule")))</f>
        <v/>
      </c>
    </row>
    <row r="160">
      <c r="A160" s="229">
        <f>A124</f>
        <v/>
      </c>
      <c r="B160" s="233">
        <f>C148</f>
        <v/>
      </c>
      <c r="C160" s="231">
        <f>IF(TRIM(E124)="","—",C136)</f>
        <v/>
      </c>
      <c r="D160" s="233">
        <f>IF(AND(TRIM(E124)&lt;&gt;"",ISNUMBER(B160),ISNUMBER(C160),C160&gt;0),B160/C160,"")</f>
        <v/>
      </c>
      <c r="E160" s="233">
        <f>B124</f>
        <v/>
      </c>
      <c r="F160" s="234">
        <f>IF(AND(ISNUMBER(D160),ISNUMBER(E160),E160&lt;&gt;0),(D160-E160)/E160,"")</f>
        <v/>
      </c>
      <c r="G160" s="229">
        <f>IF(TRIM(E124)="","Falls into M5 Misc. (event-based; reconcile via M3 ÷ annual turnover)",IF(NOT(ISNUMBER(F160)),"",IF(ABS(F160)&gt;0.05,"⚠ Implied rate differs from schedule by "&amp;TEXT(F160,"0.0%")&amp; " — legacy in-place residents or schedule out of date","✓ Implied rate within 5% of schedule")))</f>
        <v/>
      </c>
    </row>
    <row r="161">
      <c r="A161" s="229">
        <f>A125</f>
        <v/>
      </c>
      <c r="B161" s="233">
        <f>C149</f>
        <v/>
      </c>
      <c r="C161" s="231">
        <f>IF(TRIM(E125)="","—",C137)</f>
        <v/>
      </c>
      <c r="D161" s="233">
        <f>IF(AND(TRIM(E125)&lt;&gt;"",ISNUMBER(B161),ISNUMBER(C161),C161&gt;0),B161/C161,"")</f>
        <v/>
      </c>
      <c r="E161" s="233">
        <f>B125</f>
        <v/>
      </c>
      <c r="F161" s="234">
        <f>IF(AND(ISNUMBER(D161),ISNUMBER(E161),E161&lt;&gt;0),(D161-E161)/E161,"")</f>
        <v/>
      </c>
      <c r="G161" s="229">
        <f>IF(TRIM(E125)="","Falls into M5 Misc. (event-based; reconcile via M3 ÷ annual turnover)",IF(NOT(ISNUMBER(F161)),"",IF(ABS(F161)&gt;0.05,"⚠ Implied rate differs from schedule by "&amp;TEXT(F161,"0.0%")&amp; " — legacy in-place residents or schedule out of date","✓ Implied rate within 5% of schedule")))</f>
        <v/>
      </c>
    </row>
    <row r="162">
      <c r="A162" s="229">
        <f>A126</f>
        <v/>
      </c>
      <c r="B162" s="233">
        <f>C150</f>
        <v/>
      </c>
      <c r="C162" s="231">
        <f>IF(TRIM(E126)="","—",C138)</f>
        <v/>
      </c>
      <c r="D162" s="233">
        <f>IF(AND(TRIM(E126)&lt;&gt;"",ISNUMBER(B162),ISNUMBER(C162),C162&gt;0),B162/C162,"")</f>
        <v/>
      </c>
      <c r="E162" s="233">
        <f>B126</f>
        <v/>
      </c>
      <c r="F162" s="234">
        <f>IF(AND(ISNUMBER(D162),ISNUMBER(E162),E162&lt;&gt;0),(D162-E162)/E162,"")</f>
        <v/>
      </c>
      <c r="G162" s="229">
        <f>IF(TRIM(E126)="","Falls into M5 Misc. (event-based; reconcile via M3 ÷ annual turnover)",IF(NOT(ISNUMBER(F162)),"",IF(ABS(F162)&gt;0.05,"⚠ Implied rate differs from schedule by "&amp;TEXT(F162,"0.0%")&amp; " — legacy in-place residents or schedule out of date","✓ Implied rate within 5% of schedule")))</f>
        <v/>
      </c>
    </row>
    <row r="163">
      <c r="A163" s="229">
        <f>A127</f>
        <v/>
      </c>
      <c r="B163" s="233">
        <f>C151</f>
        <v/>
      </c>
      <c r="C163" s="231">
        <f>IF(TRIM(E127)="","—",C139)</f>
        <v/>
      </c>
      <c r="D163" s="233">
        <f>IF(AND(TRIM(E127)&lt;&gt;"",ISNUMBER(B163),ISNUMBER(C163),C163&gt;0),B163/C163,"")</f>
        <v/>
      </c>
      <c r="E163" s="233">
        <f>B127</f>
        <v/>
      </c>
      <c r="F163" s="234">
        <f>IF(AND(ISNUMBER(D163),ISNUMBER(E163),E163&lt;&gt;0),(D163-E163)/E163,"")</f>
        <v/>
      </c>
      <c r="G163" s="229">
        <f>IF(TRIM(E127)="","Falls into M5 Misc. (event-based; reconcile via M3 ÷ annual turnover)",IF(NOT(ISNUMBER(F163)),"",IF(ABS(F163)&gt;0.05,"⚠ Implied rate differs from schedule by "&amp;TEXT(F163,"0.0%")&amp; " — legacy in-place residents or schedule out of date","✓ Implied rate within 5% of schedule")))</f>
        <v/>
      </c>
    </row>
    <row r="164">
      <c r="A164" s="229">
        <f>A128</f>
        <v/>
      </c>
      <c r="B164" s="233">
        <f>C152</f>
        <v/>
      </c>
      <c r="C164" s="231">
        <f>IF(TRIM(E128)="","—",C140)</f>
        <v/>
      </c>
      <c r="D164" s="233">
        <f>IF(AND(TRIM(E128)&lt;&gt;"",ISNUMBER(B164),ISNUMBER(C164),C164&gt;0),B164/C164,"")</f>
        <v/>
      </c>
      <c r="E164" s="233">
        <f>B128</f>
        <v/>
      </c>
      <c r="F164" s="234">
        <f>IF(AND(ISNUMBER(D164),ISNUMBER(E164),E164&lt;&gt;0),(D164-E164)/E164,"")</f>
        <v/>
      </c>
      <c r="G164" s="229">
        <f>IF(TRIM(E128)="","Falls into M5 Misc. (event-based; reconcile via M3 ÷ annual turnover)",IF(NOT(ISNUMBER(F164)),"",IF(ABS(F164)&gt;0.05,"⚠ Implied rate differs from schedule by "&amp;TEXT(F164,"0.0%")&amp; " — legacy in-place residents or schedule out of date","✓ Implied rate within 5% of schedule")))</f>
        <v/>
      </c>
    </row>
    <row r="165">
      <c r="A165" s="229">
        <f>A129</f>
        <v/>
      </c>
      <c r="B165" s="233">
        <f>C153</f>
        <v/>
      </c>
      <c r="C165" s="231">
        <f>IF(TRIM(E129)="","—",C141)</f>
        <v/>
      </c>
      <c r="D165" s="233">
        <f>IF(AND(TRIM(E129)&lt;&gt;"",ISNUMBER(B165),ISNUMBER(C165),C165&gt;0),B165/C165,"")</f>
        <v/>
      </c>
      <c r="E165" s="233">
        <f>B129</f>
        <v/>
      </c>
      <c r="F165" s="234">
        <f>IF(AND(ISNUMBER(D165),ISNUMBER(E165),E165&lt;&gt;0),(D165-E165)/E165,"")</f>
        <v/>
      </c>
      <c r="G165" s="229">
        <f>IF(TRIM(E129)="","Falls into M5 Misc. (event-based; reconcile via M3 ÷ annual turnover)",IF(NOT(ISNUMBER(F165)),"",IF(ABS(F165)&gt;0.05,"⚠ Implied rate differs from schedule by "&amp;TEXT(F165,"0.0%")&amp; " — legacy in-place residents or schedule out of date","✓ Implied rate within 5% of schedule")))</f>
        <v/>
      </c>
    </row>
    <row r="166">
      <c r="A166" s="229">
        <f>A130</f>
        <v/>
      </c>
      <c r="B166" s="233">
        <f>C154</f>
        <v/>
      </c>
      <c r="C166" s="231">
        <f>IF(TRIM(E130)="","—",C142)</f>
        <v/>
      </c>
      <c r="D166" s="233">
        <f>IF(AND(TRIM(E130)&lt;&gt;"",ISNUMBER(B166),ISNUMBER(C166),C166&gt;0),B166/C166,"")</f>
        <v/>
      </c>
      <c r="E166" s="233">
        <f>B130</f>
        <v/>
      </c>
      <c r="F166" s="234">
        <f>IF(AND(ISNUMBER(D166),ISNUMBER(E166),E166&lt;&gt;0),(D166-E166)/E166,"")</f>
        <v/>
      </c>
      <c r="G166" s="229">
        <f>IF(TRIM(E130)="","Falls into M5 Misc. (event-based; reconcile via M3 ÷ annual turnover)",IF(NOT(ISNUMBER(F166)),"",IF(ABS(F166)&gt;0.05,"⚠ Implied rate differs from schedule by "&amp;TEXT(F166,"0.0%")&amp; " — legacy in-place residents or schedule out of date","✓ Implied rate within 5% of schedule")))</f>
        <v/>
      </c>
    </row>
    <row r="167">
      <c r="A167" s="229">
        <f>A131</f>
        <v/>
      </c>
      <c r="B167" s="233">
        <f>C155</f>
        <v/>
      </c>
      <c r="C167" s="231">
        <f>IF(TRIM(E131)="","—",C143)</f>
        <v/>
      </c>
      <c r="D167" s="233">
        <f>IF(AND(TRIM(E131)&lt;&gt;"",ISNUMBER(B167),ISNUMBER(C167),C167&gt;0),B167/C167,"")</f>
        <v/>
      </c>
      <c r="E167" s="233">
        <f>B131</f>
        <v/>
      </c>
      <c r="F167" s="234">
        <f>IF(AND(ISNUMBER(D167),ISNUMBER(E167),E167&lt;&gt;0),(D167-E167)/E167,"")</f>
        <v/>
      </c>
      <c r="G167" s="229">
        <f>IF(TRIM(E131)="","Falls into M5 Misc. (event-based; reconcile via M3 ÷ annual turnover)",IF(NOT(ISNUMBER(F167)),"",IF(ABS(F167)&gt;0.05,"⚠ Implied rate differs from schedule by "&amp;TEXT(F167,"0.0%")&amp; " — legacy in-place residents or schedule out of date","✓ Implied rate within 5% of schedule")))</f>
        <v/>
      </c>
    </row>
    <row r="169" ht="18" customHeight="1" s="199">
      <c r="A169" s="225" t="inlineStr">
        <is>
          <t>M5  —  Misc. Income  (T12 'Other community revenue' minus per-fee attribution)</t>
        </is>
      </c>
    </row>
    <row r="170">
      <c r="A170" s="229" t="inlineStr">
        <is>
          <t>T12 'Other community revenue' — annual total</t>
        </is>
      </c>
      <c r="B170" s="235">
        <f>IFERROR(VLOOKUP("Other community revenue", 'T12 Raw Data'!$B:$R, 17, 0), 0)</f>
        <v/>
      </c>
    </row>
    <row r="171">
      <c r="A171" s="229" t="inlineStr">
        <is>
          <t>T12 'Other community revenue' — monthly avg</t>
        </is>
      </c>
      <c r="B171" s="235">
        <f>B170/12</f>
        <v/>
      </c>
    </row>
    <row r="172">
      <c r="A172" s="229" t="inlineStr">
        <is>
          <t>Less: M4 fees attributed to this bucket (annualized)</t>
        </is>
      </c>
      <c r="B172" s="235">
        <f>SUMPRODUCT(($D$123:$D$131="Other community revenue")*ISNUMBER($C$135:$C$143)*IFERROR($C$135:$C$143*$B$123:$B$131*12,0))</f>
        <v/>
      </c>
    </row>
    <row r="173">
      <c r="A173" s="229" t="inlineStr">
        <is>
          <t>Residual unattributed Misc. income (annual)</t>
        </is>
      </c>
      <c r="B173" s="235">
        <f>B170 - B172</f>
        <v/>
      </c>
    </row>
    <row r="174">
      <c r="A174" s="229" t="inlineStr">
        <is>
          <t>Residual as % of EGI (annual)</t>
        </is>
      </c>
      <c r="B174" s="236">
        <f>IFERROR(B173 / 'Monthly Trending'!$N$21, 0)</f>
        <v/>
      </c>
    </row>
    <row r="176">
      <c r="A176" s="237">
        <f>IF(B174 &gt; 0.15, "⚠ Misc. income is " &amp; TEXT(B174, "0.0%") &amp; " of EGI — ancillary mix concentrated in shared bucket. " &amp; "Expand RR Input per-fee columns (see UW-BACKLOG BL-0003) to break out.", IF(B173 = 0, "", "✓ Misc. income share within band (≤ " &amp; TEXT(0.15, "0%") &amp; " of EGI)."))</f>
        <v/>
      </c>
    </row>
  </sheetData>
  <mergeCells count="27">
    <mergeCell ref="A15:H15"/>
    <mergeCell ref="A133:I133"/>
    <mergeCell ref="A84:I84"/>
    <mergeCell ref="A27:I27"/>
    <mergeCell ref="A50:I50"/>
    <mergeCell ref="A145:I145"/>
    <mergeCell ref="A86:I86"/>
    <mergeCell ref="A57:I57"/>
    <mergeCell ref="A33:I33"/>
    <mergeCell ref="A32:I32"/>
    <mergeCell ref="A38:I38"/>
    <mergeCell ref="A121:I121"/>
    <mergeCell ref="A102:I102"/>
    <mergeCell ref="A176:I176"/>
    <mergeCell ref="A77:I77"/>
    <mergeCell ref="A48:I48"/>
    <mergeCell ref="A157:I157"/>
    <mergeCell ref="A22:H22"/>
    <mergeCell ref="A100:H100"/>
    <mergeCell ref="A169:I169"/>
    <mergeCell ref="A1:I1"/>
    <mergeCell ref="C2:I2"/>
    <mergeCell ref="A117:H117"/>
    <mergeCell ref="A69:I69"/>
    <mergeCell ref="A6:I6"/>
    <mergeCell ref="B103:H103"/>
    <mergeCell ref="A119:I119"/>
  </mergeCells>
  <dataValidations count="2">
    <dataValidation sqref="B2" showDropDown="0" showInputMessage="0" showErrorMessage="0" allowBlank="1" type="list">
      <formula1>='RR_Calc'!$A$2:$A$13</formula1>
    </dataValidation>
    <dataValidation sqref="D123:D131" showDropDown="0" showInputMessage="0" showErrorMessage="0" allowBlank="1" errorTitle="Invalid T12 Label" error="Pick a Label from the Description_Map vocabulary." promptTitle="T12 Label" prompt="Pick the T12 Label this fee maps to." type="list">
      <formula1>=DescMap_Label</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Z70"/>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8" defaultColWidth="8.7109375" defaultRowHeight="15"/>
  <cols>
    <col width="28" customWidth="1" style="199" min="1" max="1"/>
    <col width="11" customWidth="1" style="199" min="2" max="13"/>
    <col width="13" customWidth="1" style="199" min="14" max="14"/>
  </cols>
  <sheetData>
    <row r="1" ht="25.5" customHeight="1" s="199">
      <c r="A1" s="189" t="inlineStr">
        <is>
          <t>Monthly Trending  —  T12 Actuals by Month</t>
        </is>
      </c>
      <c r="AZ1" t="inlineStr">
        <is>
          <t>Per-Label monthly summary by Group</t>
        </is>
      </c>
    </row>
    <row r="2" ht="6" customHeight="1" s="199">
      <c r="AZ2" t="inlineStr">
        <is>
          <t>aggregator</t>
        </is>
      </c>
    </row>
    <row r="3" ht="21.75" customHeight="1" s="199">
      <c r="A3" s="142" t="inlineStr">
        <is>
          <t>Category</t>
        </is>
      </c>
      <c r="B3" s="143" t="inlineStr">
        <is>
          <t>M01</t>
        </is>
      </c>
      <c r="C3" s="143" t="inlineStr">
        <is>
          <t>M02</t>
        </is>
      </c>
      <c r="D3" s="143" t="inlineStr">
        <is>
          <t>M03</t>
        </is>
      </c>
      <c r="E3" s="143" t="inlineStr">
        <is>
          <t>M04</t>
        </is>
      </c>
      <c r="F3" s="143" t="inlineStr">
        <is>
          <t>M05</t>
        </is>
      </c>
      <c r="G3" s="143" t="inlineStr">
        <is>
          <t>M06</t>
        </is>
      </c>
      <c r="H3" s="143" t="inlineStr">
        <is>
          <t>M07</t>
        </is>
      </c>
      <c r="I3" s="143" t="inlineStr">
        <is>
          <t>M08</t>
        </is>
      </c>
      <c r="J3" s="143" t="inlineStr">
        <is>
          <t>M09</t>
        </is>
      </c>
      <c r="K3" s="143" t="inlineStr">
        <is>
          <t>M10</t>
        </is>
      </c>
      <c r="L3" s="143" t="inlineStr">
        <is>
          <t>M11</t>
        </is>
      </c>
      <c r="M3" s="143" t="inlineStr">
        <is>
          <t>M12</t>
        </is>
      </c>
      <c r="N3" s="143" t="inlineStr">
        <is>
          <t>T12 Total</t>
        </is>
      </c>
      <c r="AZ3" t="inlineStr">
        <is>
          <t>visible</t>
        </is>
      </c>
    </row>
    <row r="4" ht="18" customHeight="1" s="199">
      <c r="A4" s="174" t="inlineStr">
        <is>
          <t>REVENUE</t>
        </is>
      </c>
      <c r="AZ4" t="inlineStr">
        <is>
          <t>v0.1.13</t>
        </is>
      </c>
    </row>
    <row r="5" ht="15.75" customHeight="1" s="199">
      <c r="A5" s="83" t="inlineStr">
        <is>
          <t>Base rent — IL</t>
        </is>
      </c>
      <c r="B5" s="144">
        <f>IFERROR(INDEX('T12 Raw Data'!F:F,MATCH("Base rent — IL",'T12 Raw Data'!B:B,0)),0)</f>
        <v/>
      </c>
      <c r="C5" s="144">
        <f>IFERROR(INDEX('T12 Raw Data'!G:G,MATCH("Base rent — IL",'T12 Raw Data'!B:B,0)),0)</f>
        <v/>
      </c>
      <c r="D5" s="144">
        <f>IFERROR(INDEX('T12 Raw Data'!H:H,MATCH("Base rent — IL",'T12 Raw Data'!B:B,0)),0)</f>
        <v/>
      </c>
      <c r="E5" s="144">
        <f>IFERROR(INDEX('T12 Raw Data'!I:I,MATCH("Base rent — IL",'T12 Raw Data'!B:B,0)),0)</f>
        <v/>
      </c>
      <c r="F5" s="144">
        <f>IFERROR(INDEX('T12 Raw Data'!J:J,MATCH("Base rent — IL",'T12 Raw Data'!B:B,0)),0)</f>
        <v/>
      </c>
      <c r="G5" s="144">
        <f>IFERROR(INDEX('T12 Raw Data'!K:K,MATCH("Base rent — IL",'T12 Raw Data'!B:B,0)),0)</f>
        <v/>
      </c>
      <c r="H5" s="144">
        <f>IFERROR(INDEX('T12 Raw Data'!L:L,MATCH("Base rent — IL",'T12 Raw Data'!B:B,0)),0)</f>
        <v/>
      </c>
      <c r="I5" s="144">
        <f>IFERROR(INDEX('T12 Raw Data'!M:M,MATCH("Base rent — IL",'T12 Raw Data'!B:B,0)),0)</f>
        <v/>
      </c>
      <c r="J5" s="144">
        <f>IFERROR(INDEX('T12 Raw Data'!N:N,MATCH("Base rent — IL",'T12 Raw Data'!B:B,0)),0)</f>
        <v/>
      </c>
      <c r="K5" s="144">
        <f>IFERROR(INDEX('T12 Raw Data'!O:O,MATCH("Base rent — IL",'T12 Raw Data'!B:B,0)),0)</f>
        <v/>
      </c>
      <c r="L5" s="144">
        <f>IFERROR(INDEX('T12 Raw Data'!P:P,MATCH("Base rent — IL",'T12 Raw Data'!B:B,0)),0)</f>
        <v/>
      </c>
      <c r="M5" s="144">
        <f>IFERROR(INDEX('T12 Raw Data'!Q:Q,MATCH("Base rent — IL",'T12 Raw Data'!B:B,0)),0)</f>
        <v/>
      </c>
      <c r="N5" s="145">
        <f>SUM(B5:M5)</f>
        <v/>
      </c>
    </row>
    <row r="6" ht="15.75" customHeight="1" s="199">
      <c r="A6" s="83" t="inlineStr">
        <is>
          <t>Base rent — AL</t>
        </is>
      </c>
      <c r="B6" s="144">
        <f>IFERROR(INDEX('T12 Raw Data'!F:F,MATCH("Base rent — AL",'T12 Raw Data'!B:B,0)),0)</f>
        <v/>
      </c>
      <c r="C6" s="144">
        <f>IFERROR(INDEX('T12 Raw Data'!G:G,MATCH("Base rent — AL",'T12 Raw Data'!B:B,0)),0)</f>
        <v/>
      </c>
      <c r="D6" s="144">
        <f>IFERROR(INDEX('T12 Raw Data'!H:H,MATCH("Base rent — AL",'T12 Raw Data'!B:B,0)),0)</f>
        <v/>
      </c>
      <c r="E6" s="144">
        <f>IFERROR(INDEX('T12 Raw Data'!I:I,MATCH("Base rent — AL",'T12 Raw Data'!B:B,0)),0)</f>
        <v/>
      </c>
      <c r="F6" s="144">
        <f>IFERROR(INDEX('T12 Raw Data'!J:J,MATCH("Base rent — AL",'T12 Raw Data'!B:B,0)),0)</f>
        <v/>
      </c>
      <c r="G6" s="144">
        <f>IFERROR(INDEX('T12 Raw Data'!K:K,MATCH("Base rent — AL",'T12 Raw Data'!B:B,0)),0)</f>
        <v/>
      </c>
      <c r="H6" s="144">
        <f>IFERROR(INDEX('T12 Raw Data'!L:L,MATCH("Base rent — AL",'T12 Raw Data'!B:B,0)),0)</f>
        <v/>
      </c>
      <c r="I6" s="144">
        <f>IFERROR(INDEX('T12 Raw Data'!M:M,MATCH("Base rent — AL",'T12 Raw Data'!B:B,0)),0)</f>
        <v/>
      </c>
      <c r="J6" s="144">
        <f>IFERROR(INDEX('T12 Raw Data'!N:N,MATCH("Base rent — AL",'T12 Raw Data'!B:B,0)),0)</f>
        <v/>
      </c>
      <c r="K6" s="144">
        <f>IFERROR(INDEX('T12 Raw Data'!O:O,MATCH("Base rent — AL",'T12 Raw Data'!B:B,0)),0)</f>
        <v/>
      </c>
      <c r="L6" s="144">
        <f>IFERROR(INDEX('T12 Raw Data'!P:P,MATCH("Base rent — AL",'T12 Raw Data'!B:B,0)),0)</f>
        <v/>
      </c>
      <c r="M6" s="144">
        <f>IFERROR(INDEX('T12 Raw Data'!Q:Q,MATCH("Base rent — AL",'T12 Raw Data'!B:B,0)),0)</f>
        <v/>
      </c>
      <c r="N6" s="145">
        <f>SUM(B6:M6)</f>
        <v/>
      </c>
    </row>
    <row r="7" ht="15.75" customHeight="1" s="199">
      <c r="A7" s="83" t="inlineStr">
        <is>
          <t>Base rent — MC</t>
        </is>
      </c>
      <c r="B7" s="144">
        <f>IFERROR(INDEX('T12 Raw Data'!F:F,MATCH("Base rent — MC",'T12 Raw Data'!B:B,0)),0)</f>
        <v/>
      </c>
      <c r="C7" s="144">
        <f>IFERROR(INDEX('T12 Raw Data'!G:G,MATCH("Base rent — MC",'T12 Raw Data'!B:B,0)),0)</f>
        <v/>
      </c>
      <c r="D7" s="144">
        <f>IFERROR(INDEX('T12 Raw Data'!H:H,MATCH("Base rent — MC",'T12 Raw Data'!B:B,0)),0)</f>
        <v/>
      </c>
      <c r="E7" s="144">
        <f>IFERROR(INDEX('T12 Raw Data'!I:I,MATCH("Base rent — MC",'T12 Raw Data'!B:B,0)),0)</f>
        <v/>
      </c>
      <c r="F7" s="144">
        <f>IFERROR(INDEX('T12 Raw Data'!J:J,MATCH("Base rent — MC",'T12 Raw Data'!B:B,0)),0)</f>
        <v/>
      </c>
      <c r="G7" s="144">
        <f>IFERROR(INDEX('T12 Raw Data'!K:K,MATCH("Base rent — MC",'T12 Raw Data'!B:B,0)),0)</f>
        <v/>
      </c>
      <c r="H7" s="144">
        <f>IFERROR(INDEX('T12 Raw Data'!L:L,MATCH("Base rent — MC",'T12 Raw Data'!B:B,0)),0)</f>
        <v/>
      </c>
      <c r="I7" s="144">
        <f>IFERROR(INDEX('T12 Raw Data'!M:M,MATCH("Base rent — MC",'T12 Raw Data'!B:B,0)),0)</f>
        <v/>
      </c>
      <c r="J7" s="144">
        <f>IFERROR(INDEX('T12 Raw Data'!N:N,MATCH("Base rent — MC",'T12 Raw Data'!B:B,0)),0)</f>
        <v/>
      </c>
      <c r="K7" s="144">
        <f>IFERROR(INDEX('T12 Raw Data'!O:O,MATCH("Base rent — MC",'T12 Raw Data'!B:B,0)),0)</f>
        <v/>
      </c>
      <c r="L7" s="144">
        <f>IFERROR(INDEX('T12 Raw Data'!P:P,MATCH("Base rent — MC",'T12 Raw Data'!B:B,0)),0)</f>
        <v/>
      </c>
      <c r="M7" s="144">
        <f>IFERROR(INDEX('T12 Raw Data'!Q:Q,MATCH("Base rent — MC",'T12 Raw Data'!B:B,0)),0)</f>
        <v/>
      </c>
      <c r="N7" s="145">
        <f>SUM(B7:M7)</f>
        <v/>
      </c>
    </row>
    <row r="8" ht="15.75" customHeight="1" s="199">
      <c r="A8" s="146" t="inlineStr">
        <is>
          <t>Total base rent</t>
        </is>
      </c>
      <c r="B8" s="147">
        <f>B5+B6+B7</f>
        <v/>
      </c>
      <c r="C8" s="147">
        <f>C5+C6+C7</f>
        <v/>
      </c>
      <c r="D8" s="147">
        <f>D5+D6+D7</f>
        <v/>
      </c>
      <c r="E8" s="147">
        <f>E5+E6+E7</f>
        <v/>
      </c>
      <c r="F8" s="147">
        <f>F5+F6+F7</f>
        <v/>
      </c>
      <c r="G8" s="147">
        <f>G5+G6+G7</f>
        <v/>
      </c>
      <c r="H8" s="147">
        <f>H5+H6+H7</f>
        <v/>
      </c>
      <c r="I8" s="147">
        <f>I5+I6+I7</f>
        <v/>
      </c>
      <c r="J8" s="147">
        <f>J5+J6+J7</f>
        <v/>
      </c>
      <c r="K8" s="147">
        <f>K5+K6+K7</f>
        <v/>
      </c>
      <c r="L8" s="147">
        <f>L5+L6+L7</f>
        <v/>
      </c>
      <c r="M8" s="147">
        <f>M5+M6+M7</f>
        <v/>
      </c>
      <c r="N8" s="147">
        <f>N5+N6+N7</f>
        <v/>
      </c>
    </row>
    <row r="9" ht="15.75" customHeight="1" s="199">
      <c r="A9" s="148" t="inlineStr">
        <is>
          <t>Gross Potential Rent  (if reported in T12)</t>
        </is>
      </c>
      <c r="B9" s="149">
        <f>IFERROR(INDEX('T12 Raw Data'!F:F,MATCH("Gross Rent Revenue",'T12 Raw Data'!B:B,0)),0)</f>
        <v/>
      </c>
      <c r="C9" s="149">
        <f>IFERROR(INDEX('T12 Raw Data'!G:G,MATCH("Gross Rent Revenue",'T12 Raw Data'!B:B,0)),0)</f>
        <v/>
      </c>
      <c r="D9" s="149">
        <f>IFERROR(INDEX('T12 Raw Data'!H:H,MATCH("Gross Rent Revenue",'T12 Raw Data'!B:B,0)),0)</f>
        <v/>
      </c>
      <c r="E9" s="149">
        <f>IFERROR(INDEX('T12 Raw Data'!I:I,MATCH("Gross Rent Revenue",'T12 Raw Data'!B:B,0)),0)</f>
        <v/>
      </c>
      <c r="F9" s="149">
        <f>IFERROR(INDEX('T12 Raw Data'!J:J,MATCH("Gross Rent Revenue",'T12 Raw Data'!B:B,0)),0)</f>
        <v/>
      </c>
      <c r="G9" s="149">
        <f>IFERROR(INDEX('T12 Raw Data'!K:K,MATCH("Gross Rent Revenue",'T12 Raw Data'!B:B,0)),0)</f>
        <v/>
      </c>
      <c r="H9" s="149">
        <f>IFERROR(INDEX('T12 Raw Data'!L:L,MATCH("Gross Rent Revenue",'T12 Raw Data'!B:B,0)),0)</f>
        <v/>
      </c>
      <c r="I9" s="149">
        <f>IFERROR(INDEX('T12 Raw Data'!M:M,MATCH("Gross Rent Revenue",'T12 Raw Data'!B:B,0)),0)</f>
        <v/>
      </c>
      <c r="J9" s="149">
        <f>IFERROR(INDEX('T12 Raw Data'!N:N,MATCH("Gross Rent Revenue",'T12 Raw Data'!B:B,0)),0)</f>
        <v/>
      </c>
      <c r="K9" s="149">
        <f>IFERROR(INDEX('T12 Raw Data'!O:O,MATCH("Gross Rent Revenue",'T12 Raw Data'!B:B,0)),0)</f>
        <v/>
      </c>
      <c r="L9" s="149">
        <f>IFERROR(INDEX('T12 Raw Data'!P:P,MATCH("Gross Rent Revenue",'T12 Raw Data'!B:B,0)),0)</f>
        <v/>
      </c>
      <c r="M9" s="149">
        <f>IFERROR(INDEX('T12 Raw Data'!Q:Q,MATCH("Gross Rent Revenue",'T12 Raw Data'!B:B,0)),0)</f>
        <v/>
      </c>
      <c r="N9" s="150">
        <f>SUM(B9:M9)</f>
        <v/>
      </c>
    </row>
    <row r="10" ht="15.75" customHeight="1" s="199">
      <c r="A10" s="148" t="inlineStr">
        <is>
          <t>Physical vacancy  (if reported in T12)</t>
        </is>
      </c>
      <c r="B10" s="149">
        <f>IFERROR(INDEX('T12 Raw Data'!F:F,MATCH("Physical Vacancy",'T12 Raw Data'!B:B,0)),0)</f>
        <v/>
      </c>
      <c r="C10" s="149">
        <f>IFERROR(INDEX('T12 Raw Data'!G:G,MATCH("Physical Vacancy",'T12 Raw Data'!B:B,0)),0)</f>
        <v/>
      </c>
      <c r="D10" s="149">
        <f>IFERROR(INDEX('T12 Raw Data'!H:H,MATCH("Physical Vacancy",'T12 Raw Data'!B:B,0)),0)</f>
        <v/>
      </c>
      <c r="E10" s="149">
        <f>IFERROR(INDEX('T12 Raw Data'!I:I,MATCH("Physical Vacancy",'T12 Raw Data'!B:B,0)),0)</f>
        <v/>
      </c>
      <c r="F10" s="149">
        <f>IFERROR(INDEX('T12 Raw Data'!J:J,MATCH("Physical Vacancy",'T12 Raw Data'!B:B,0)),0)</f>
        <v/>
      </c>
      <c r="G10" s="149">
        <f>IFERROR(INDEX('T12 Raw Data'!K:K,MATCH("Physical Vacancy",'T12 Raw Data'!B:B,0)),0)</f>
        <v/>
      </c>
      <c r="H10" s="149">
        <f>IFERROR(INDEX('T12 Raw Data'!L:L,MATCH("Physical Vacancy",'T12 Raw Data'!B:B,0)),0)</f>
        <v/>
      </c>
      <c r="I10" s="149">
        <f>IFERROR(INDEX('T12 Raw Data'!M:M,MATCH("Physical Vacancy",'T12 Raw Data'!B:B,0)),0)</f>
        <v/>
      </c>
      <c r="J10" s="149">
        <f>IFERROR(INDEX('T12 Raw Data'!N:N,MATCH("Physical Vacancy",'T12 Raw Data'!B:B,0)),0)</f>
        <v/>
      </c>
      <c r="K10" s="149">
        <f>IFERROR(INDEX('T12 Raw Data'!O:O,MATCH("Physical Vacancy",'T12 Raw Data'!B:B,0)),0)</f>
        <v/>
      </c>
      <c r="L10" s="149">
        <f>IFERROR(INDEX('T12 Raw Data'!P:P,MATCH("Physical Vacancy",'T12 Raw Data'!B:B,0)),0)</f>
        <v/>
      </c>
      <c r="M10" s="149">
        <f>IFERROR(INDEX('T12 Raw Data'!Q:Q,MATCH("Physical Vacancy",'T12 Raw Data'!B:B,0)),0)</f>
        <v/>
      </c>
      <c r="N10" s="150">
        <f>SUM(B10:M10)</f>
        <v/>
      </c>
    </row>
    <row r="11" ht="15.75" customHeight="1" s="199">
      <c r="A11" s="148" t="inlineStr">
        <is>
          <t>Loss to lease  (if reported in T12)</t>
        </is>
      </c>
      <c r="B11" s="149">
        <f>IFERROR(INDEX('T12 Raw Data'!F:F,MATCH("Loss to Lease",'T12 Raw Data'!B:B,0)),0)</f>
        <v/>
      </c>
      <c r="C11" s="149">
        <f>IFERROR(INDEX('T12 Raw Data'!G:G,MATCH("Loss to Lease",'T12 Raw Data'!B:B,0)),0)</f>
        <v/>
      </c>
      <c r="D11" s="149">
        <f>IFERROR(INDEX('T12 Raw Data'!H:H,MATCH("Loss to Lease",'T12 Raw Data'!B:B,0)),0)</f>
        <v/>
      </c>
      <c r="E11" s="149">
        <f>IFERROR(INDEX('T12 Raw Data'!I:I,MATCH("Loss to Lease",'T12 Raw Data'!B:B,0)),0)</f>
        <v/>
      </c>
      <c r="F11" s="149">
        <f>IFERROR(INDEX('T12 Raw Data'!J:J,MATCH("Loss to Lease",'T12 Raw Data'!B:B,0)),0)</f>
        <v/>
      </c>
      <c r="G11" s="149">
        <f>IFERROR(INDEX('T12 Raw Data'!K:K,MATCH("Loss to Lease",'T12 Raw Data'!B:B,0)),0)</f>
        <v/>
      </c>
      <c r="H11" s="149">
        <f>IFERROR(INDEX('T12 Raw Data'!L:L,MATCH("Loss to Lease",'T12 Raw Data'!B:B,0)),0)</f>
        <v/>
      </c>
      <c r="I11" s="149">
        <f>IFERROR(INDEX('T12 Raw Data'!M:M,MATCH("Loss to Lease",'T12 Raw Data'!B:B,0)),0)</f>
        <v/>
      </c>
      <c r="J11" s="149">
        <f>IFERROR(INDEX('T12 Raw Data'!N:N,MATCH("Loss to Lease",'T12 Raw Data'!B:B,0)),0)</f>
        <v/>
      </c>
      <c r="K11" s="149">
        <f>IFERROR(INDEX('T12 Raw Data'!O:O,MATCH("Loss to Lease",'T12 Raw Data'!B:B,0)),0)</f>
        <v/>
      </c>
      <c r="L11" s="149">
        <f>IFERROR(INDEX('T12 Raw Data'!P:P,MATCH("Loss to Lease",'T12 Raw Data'!B:B,0)),0)</f>
        <v/>
      </c>
      <c r="M11" s="149">
        <f>IFERROR(INDEX('T12 Raw Data'!Q:Q,MATCH("Loss to Lease",'T12 Raw Data'!B:B,0)),0)</f>
        <v/>
      </c>
      <c r="N11" s="150">
        <f>SUM(B11:M11)</f>
        <v/>
      </c>
    </row>
    <row r="12" ht="15.75" customHeight="1" s="199">
      <c r="A12" s="83" t="inlineStr">
        <is>
          <t>LOC revenue — IL</t>
        </is>
      </c>
      <c r="B12" s="144">
        <f>IFERROR(INDEX('T12 Raw Data'!F:F,MATCH("LOC revenue — IL",'T12 Raw Data'!B:B,0)),0)</f>
        <v/>
      </c>
      <c r="C12" s="144">
        <f>IFERROR(INDEX('T12 Raw Data'!G:G,MATCH("LOC revenue — IL",'T12 Raw Data'!B:B,0)),0)</f>
        <v/>
      </c>
      <c r="D12" s="144">
        <f>IFERROR(INDEX('T12 Raw Data'!H:H,MATCH("LOC revenue — IL",'T12 Raw Data'!B:B,0)),0)</f>
        <v/>
      </c>
      <c r="E12" s="144">
        <f>IFERROR(INDEX('T12 Raw Data'!I:I,MATCH("LOC revenue — IL",'T12 Raw Data'!B:B,0)),0)</f>
        <v/>
      </c>
      <c r="F12" s="144">
        <f>IFERROR(INDEX('T12 Raw Data'!J:J,MATCH("LOC revenue — IL",'T12 Raw Data'!B:B,0)),0)</f>
        <v/>
      </c>
      <c r="G12" s="144">
        <f>IFERROR(INDEX('T12 Raw Data'!K:K,MATCH("LOC revenue — IL",'T12 Raw Data'!B:B,0)),0)</f>
        <v/>
      </c>
      <c r="H12" s="144">
        <f>IFERROR(INDEX('T12 Raw Data'!L:L,MATCH("LOC revenue — IL",'T12 Raw Data'!B:B,0)),0)</f>
        <v/>
      </c>
      <c r="I12" s="144">
        <f>IFERROR(INDEX('T12 Raw Data'!M:M,MATCH("LOC revenue — IL",'T12 Raw Data'!B:B,0)),0)</f>
        <v/>
      </c>
      <c r="J12" s="144">
        <f>IFERROR(INDEX('T12 Raw Data'!N:N,MATCH("LOC revenue — IL",'T12 Raw Data'!B:B,0)),0)</f>
        <v/>
      </c>
      <c r="K12" s="144">
        <f>IFERROR(INDEX('T12 Raw Data'!O:O,MATCH("LOC revenue — IL",'T12 Raw Data'!B:B,0)),0)</f>
        <v/>
      </c>
      <c r="L12" s="144">
        <f>IFERROR(INDEX('T12 Raw Data'!P:P,MATCH("LOC revenue — IL",'T12 Raw Data'!B:B,0)),0)</f>
        <v/>
      </c>
      <c r="M12" s="144">
        <f>IFERROR(INDEX('T12 Raw Data'!Q:Q,MATCH("LOC revenue — IL",'T12 Raw Data'!B:B,0)),0)</f>
        <v/>
      </c>
      <c r="N12" s="145">
        <f>SUM(B12:M12)</f>
        <v/>
      </c>
    </row>
    <row r="13" ht="15.75" customHeight="1" s="199">
      <c r="A13" s="83" t="inlineStr">
        <is>
          <t>LOC revenue — AL</t>
        </is>
      </c>
      <c r="B13" s="144">
        <f>IFERROR(INDEX('T12 Raw Data'!F:F,MATCH("LOC revenue — AL",'T12 Raw Data'!B:B,0)),0)</f>
        <v/>
      </c>
      <c r="C13" s="144">
        <f>IFERROR(INDEX('T12 Raw Data'!G:G,MATCH("LOC revenue — AL",'T12 Raw Data'!B:B,0)),0)</f>
        <v/>
      </c>
      <c r="D13" s="144">
        <f>IFERROR(INDEX('T12 Raw Data'!H:H,MATCH("LOC revenue — AL",'T12 Raw Data'!B:B,0)),0)</f>
        <v/>
      </c>
      <c r="E13" s="144">
        <f>IFERROR(INDEX('T12 Raw Data'!I:I,MATCH("LOC revenue — AL",'T12 Raw Data'!B:B,0)),0)</f>
        <v/>
      </c>
      <c r="F13" s="144">
        <f>IFERROR(INDEX('T12 Raw Data'!J:J,MATCH("LOC revenue — AL",'T12 Raw Data'!B:B,0)),0)</f>
        <v/>
      </c>
      <c r="G13" s="144">
        <f>IFERROR(INDEX('T12 Raw Data'!K:K,MATCH("LOC revenue — AL",'T12 Raw Data'!B:B,0)),0)</f>
        <v/>
      </c>
      <c r="H13" s="144">
        <f>IFERROR(INDEX('T12 Raw Data'!L:L,MATCH("LOC revenue — AL",'T12 Raw Data'!B:B,0)),0)</f>
        <v/>
      </c>
      <c r="I13" s="144">
        <f>IFERROR(INDEX('T12 Raw Data'!M:M,MATCH("LOC revenue — AL",'T12 Raw Data'!B:B,0)),0)</f>
        <v/>
      </c>
      <c r="J13" s="144">
        <f>IFERROR(INDEX('T12 Raw Data'!N:N,MATCH("LOC revenue — AL",'T12 Raw Data'!B:B,0)),0)</f>
        <v/>
      </c>
      <c r="K13" s="144">
        <f>IFERROR(INDEX('T12 Raw Data'!O:O,MATCH("LOC revenue — AL",'T12 Raw Data'!B:B,0)),0)</f>
        <v/>
      </c>
      <c r="L13" s="144">
        <f>IFERROR(INDEX('T12 Raw Data'!P:P,MATCH("LOC revenue — AL",'T12 Raw Data'!B:B,0)),0)</f>
        <v/>
      </c>
      <c r="M13" s="144">
        <f>IFERROR(INDEX('T12 Raw Data'!Q:Q,MATCH("LOC revenue — AL",'T12 Raw Data'!B:B,0)),0)</f>
        <v/>
      </c>
      <c r="N13" s="145">
        <f>SUM(B13:M13)</f>
        <v/>
      </c>
    </row>
    <row r="14" ht="15.75" customHeight="1" s="199">
      <c r="A14" s="83" t="inlineStr">
        <is>
          <t>LOC revenue — MC</t>
        </is>
      </c>
      <c r="B14" s="144">
        <f>IFERROR(INDEX('T12 Raw Data'!F:F,MATCH("LOC revenue — MC",'T12 Raw Data'!B:B,0)),0)</f>
        <v/>
      </c>
      <c r="C14" s="144">
        <f>IFERROR(INDEX('T12 Raw Data'!G:G,MATCH("LOC revenue — MC",'T12 Raw Data'!B:B,0)),0)</f>
        <v/>
      </c>
      <c r="D14" s="144">
        <f>IFERROR(INDEX('T12 Raw Data'!H:H,MATCH("LOC revenue — MC",'T12 Raw Data'!B:B,0)),0)</f>
        <v/>
      </c>
      <c r="E14" s="144">
        <f>IFERROR(INDEX('T12 Raw Data'!I:I,MATCH("LOC revenue — MC",'T12 Raw Data'!B:B,0)),0)</f>
        <v/>
      </c>
      <c r="F14" s="144">
        <f>IFERROR(INDEX('T12 Raw Data'!J:J,MATCH("LOC revenue — MC",'T12 Raw Data'!B:B,0)),0)</f>
        <v/>
      </c>
      <c r="G14" s="144">
        <f>IFERROR(INDEX('T12 Raw Data'!K:K,MATCH("LOC revenue — MC",'T12 Raw Data'!B:B,0)),0)</f>
        <v/>
      </c>
      <c r="H14" s="144">
        <f>IFERROR(INDEX('T12 Raw Data'!L:L,MATCH("LOC revenue — MC",'T12 Raw Data'!B:B,0)),0)</f>
        <v/>
      </c>
      <c r="I14" s="144">
        <f>IFERROR(INDEX('T12 Raw Data'!M:M,MATCH("LOC revenue — MC",'T12 Raw Data'!B:B,0)),0)</f>
        <v/>
      </c>
      <c r="J14" s="144">
        <f>IFERROR(INDEX('T12 Raw Data'!N:N,MATCH("LOC revenue — MC",'T12 Raw Data'!B:B,0)),0)</f>
        <v/>
      </c>
      <c r="K14" s="144">
        <f>IFERROR(INDEX('T12 Raw Data'!O:O,MATCH("LOC revenue — MC",'T12 Raw Data'!B:B,0)),0)</f>
        <v/>
      </c>
      <c r="L14" s="144">
        <f>IFERROR(INDEX('T12 Raw Data'!P:P,MATCH("LOC revenue — MC",'T12 Raw Data'!B:B,0)),0)</f>
        <v/>
      </c>
      <c r="M14" s="144">
        <f>IFERROR(INDEX('T12 Raw Data'!Q:Q,MATCH("LOC revenue — MC",'T12 Raw Data'!B:B,0)),0)</f>
        <v/>
      </c>
      <c r="N14" s="145">
        <f>SUM(B14:M14)</f>
        <v/>
      </c>
    </row>
    <row r="15" ht="15.75" customHeight="1" s="199">
      <c r="A15" s="146" t="inlineStr">
        <is>
          <t>Total LOC revenue</t>
        </is>
      </c>
      <c r="B15" s="147">
        <f>B12+B13+B14</f>
        <v/>
      </c>
      <c r="C15" s="147">
        <f>C12+C13+C14</f>
        <v/>
      </c>
      <c r="D15" s="147">
        <f>D12+D13+D14</f>
        <v/>
      </c>
      <c r="E15" s="147">
        <f>E12+E13+E14</f>
        <v/>
      </c>
      <c r="F15" s="147">
        <f>F12+F13+F14</f>
        <v/>
      </c>
      <c r="G15" s="147">
        <f>G12+G13+G14</f>
        <v/>
      </c>
      <c r="H15" s="147">
        <f>H12+H13+H14</f>
        <v/>
      </c>
      <c r="I15" s="147">
        <f>I12+I13+I14</f>
        <v/>
      </c>
      <c r="J15" s="147">
        <f>J12+J13+J14</f>
        <v/>
      </c>
      <c r="K15" s="147">
        <f>K12+K13+K14</f>
        <v/>
      </c>
      <c r="L15" s="147">
        <f>L12+L13+L14</f>
        <v/>
      </c>
      <c r="M15" s="147">
        <f>M12+M13+M14</f>
        <v/>
      </c>
      <c r="N15" s="147">
        <f>N12+N13+N14</f>
        <v/>
      </c>
    </row>
    <row r="16" ht="15.75" customHeight="1" s="199">
      <c r="A16" s="83" t="inlineStr">
        <is>
          <t>Community / move-in fees</t>
        </is>
      </c>
      <c r="B16" s="144">
        <f>IFERROR(INDEX('T12 Raw Data'!F:F,MATCH("Community / move-in fees",'T12 Raw Data'!B:B,0)),0)</f>
        <v/>
      </c>
      <c r="C16" s="144">
        <f>IFERROR(INDEX('T12 Raw Data'!G:G,MATCH("Community / move-in fees",'T12 Raw Data'!B:B,0)),0)</f>
        <v/>
      </c>
      <c r="D16" s="144">
        <f>IFERROR(INDEX('T12 Raw Data'!H:H,MATCH("Community / move-in fees",'T12 Raw Data'!B:B,0)),0)</f>
        <v/>
      </c>
      <c r="E16" s="144">
        <f>IFERROR(INDEX('T12 Raw Data'!I:I,MATCH("Community / move-in fees",'T12 Raw Data'!B:B,0)),0)</f>
        <v/>
      </c>
      <c r="F16" s="144">
        <f>IFERROR(INDEX('T12 Raw Data'!J:J,MATCH("Community / move-in fees",'T12 Raw Data'!B:B,0)),0)</f>
        <v/>
      </c>
      <c r="G16" s="144">
        <f>IFERROR(INDEX('T12 Raw Data'!K:K,MATCH("Community / move-in fees",'T12 Raw Data'!B:B,0)),0)</f>
        <v/>
      </c>
      <c r="H16" s="144">
        <f>IFERROR(INDEX('T12 Raw Data'!L:L,MATCH("Community / move-in fees",'T12 Raw Data'!B:B,0)),0)</f>
        <v/>
      </c>
      <c r="I16" s="144">
        <f>IFERROR(INDEX('T12 Raw Data'!M:M,MATCH("Community / move-in fees",'T12 Raw Data'!B:B,0)),0)</f>
        <v/>
      </c>
      <c r="J16" s="144">
        <f>IFERROR(INDEX('T12 Raw Data'!N:N,MATCH("Community / move-in fees",'T12 Raw Data'!B:B,0)),0)</f>
        <v/>
      </c>
      <c r="K16" s="144">
        <f>IFERROR(INDEX('T12 Raw Data'!O:O,MATCH("Community / move-in fees",'T12 Raw Data'!B:B,0)),0)</f>
        <v/>
      </c>
      <c r="L16" s="144">
        <f>IFERROR(INDEX('T12 Raw Data'!P:P,MATCH("Community / move-in fees",'T12 Raw Data'!B:B,0)),0)</f>
        <v/>
      </c>
      <c r="M16" s="144">
        <f>IFERROR(INDEX('T12 Raw Data'!Q:Q,MATCH("Community / move-in fees",'T12 Raw Data'!B:B,0)),0)</f>
        <v/>
      </c>
      <c r="N16" s="145">
        <f>SUM(B16:M16)</f>
        <v/>
      </c>
    </row>
    <row r="17" ht="15.75" customHeight="1" s="199">
      <c r="A17" s="83" t="inlineStr">
        <is>
          <t>Concessions &amp; specials</t>
        </is>
      </c>
      <c r="B17" s="144">
        <f>IFERROR(INDEX('T12 Raw Data'!F:F,MATCH("Concessions &amp; specials",'T12 Raw Data'!B:B,0)),0)</f>
        <v/>
      </c>
      <c r="C17" s="144">
        <f>IFERROR(INDEX('T12 Raw Data'!G:G,MATCH("Concessions &amp; specials",'T12 Raw Data'!B:B,0)),0)</f>
        <v/>
      </c>
      <c r="D17" s="144">
        <f>IFERROR(INDEX('T12 Raw Data'!H:H,MATCH("Concessions &amp; specials",'T12 Raw Data'!B:B,0)),0)</f>
        <v/>
      </c>
      <c r="E17" s="144">
        <f>IFERROR(INDEX('T12 Raw Data'!I:I,MATCH("Concessions &amp; specials",'T12 Raw Data'!B:B,0)),0)</f>
        <v/>
      </c>
      <c r="F17" s="144">
        <f>IFERROR(INDEX('T12 Raw Data'!J:J,MATCH("Concessions &amp; specials",'T12 Raw Data'!B:B,0)),0)</f>
        <v/>
      </c>
      <c r="G17" s="144">
        <f>IFERROR(INDEX('T12 Raw Data'!K:K,MATCH("Concessions &amp; specials",'T12 Raw Data'!B:B,0)),0)</f>
        <v/>
      </c>
      <c r="H17" s="144">
        <f>IFERROR(INDEX('T12 Raw Data'!L:L,MATCH("Concessions &amp; specials",'T12 Raw Data'!B:B,0)),0)</f>
        <v/>
      </c>
      <c r="I17" s="144">
        <f>IFERROR(INDEX('T12 Raw Data'!M:M,MATCH("Concessions &amp; specials",'T12 Raw Data'!B:B,0)),0)</f>
        <v/>
      </c>
      <c r="J17" s="144">
        <f>IFERROR(INDEX('T12 Raw Data'!N:N,MATCH("Concessions &amp; specials",'T12 Raw Data'!B:B,0)),0)</f>
        <v/>
      </c>
      <c r="K17" s="144">
        <f>IFERROR(INDEX('T12 Raw Data'!O:O,MATCH("Concessions &amp; specials",'T12 Raw Data'!B:B,0)),0)</f>
        <v/>
      </c>
      <c r="L17" s="144">
        <f>IFERROR(INDEX('T12 Raw Data'!P:P,MATCH("Concessions &amp; specials",'T12 Raw Data'!B:B,0)),0)</f>
        <v/>
      </c>
      <c r="M17" s="144">
        <f>IFERROR(INDEX('T12 Raw Data'!Q:Q,MATCH("Concessions &amp; specials",'T12 Raw Data'!B:B,0)),0)</f>
        <v/>
      </c>
      <c r="N17" s="145">
        <f>SUM(B17:M17)</f>
        <v/>
      </c>
    </row>
    <row r="18" ht="15.75" customHeight="1" s="199">
      <c r="A18" s="83" t="inlineStr">
        <is>
          <t>Respite care</t>
        </is>
      </c>
      <c r="B18" s="144">
        <f>IFERROR(INDEX('T12 Raw Data'!F:F,MATCH("Respite care",'T12 Raw Data'!B:B,0)),0)</f>
        <v/>
      </c>
      <c r="C18" s="144">
        <f>IFERROR(INDEX('T12 Raw Data'!G:G,MATCH("Respite care",'T12 Raw Data'!B:B,0)),0)</f>
        <v/>
      </c>
      <c r="D18" s="144">
        <f>IFERROR(INDEX('T12 Raw Data'!H:H,MATCH("Respite care",'T12 Raw Data'!B:B,0)),0)</f>
        <v/>
      </c>
      <c r="E18" s="144">
        <f>IFERROR(INDEX('T12 Raw Data'!I:I,MATCH("Respite care",'T12 Raw Data'!B:B,0)),0)</f>
        <v/>
      </c>
      <c r="F18" s="144">
        <f>IFERROR(INDEX('T12 Raw Data'!J:J,MATCH("Respite care",'T12 Raw Data'!B:B,0)),0)</f>
        <v/>
      </c>
      <c r="G18" s="144">
        <f>IFERROR(INDEX('T12 Raw Data'!K:K,MATCH("Respite care",'T12 Raw Data'!B:B,0)),0)</f>
        <v/>
      </c>
      <c r="H18" s="144">
        <f>IFERROR(INDEX('T12 Raw Data'!L:L,MATCH("Respite care",'T12 Raw Data'!B:B,0)),0)</f>
        <v/>
      </c>
      <c r="I18" s="144">
        <f>IFERROR(INDEX('T12 Raw Data'!M:M,MATCH("Respite care",'T12 Raw Data'!B:B,0)),0)</f>
        <v/>
      </c>
      <c r="J18" s="144">
        <f>IFERROR(INDEX('T12 Raw Data'!N:N,MATCH("Respite care",'T12 Raw Data'!B:B,0)),0)</f>
        <v/>
      </c>
      <c r="K18" s="144">
        <f>IFERROR(INDEX('T12 Raw Data'!O:O,MATCH("Respite care",'T12 Raw Data'!B:B,0)),0)</f>
        <v/>
      </c>
      <c r="L18" s="144">
        <f>IFERROR(INDEX('T12 Raw Data'!P:P,MATCH("Respite care",'T12 Raw Data'!B:B,0)),0)</f>
        <v/>
      </c>
      <c r="M18" s="144">
        <f>IFERROR(INDEX('T12 Raw Data'!Q:Q,MATCH("Respite care",'T12 Raw Data'!B:B,0)),0)</f>
        <v/>
      </c>
      <c r="N18" s="145">
        <f>SUM(B18:M18)</f>
        <v/>
      </c>
    </row>
    <row r="19" ht="15.75" customHeight="1" s="199">
      <c r="A19" s="83" t="inlineStr">
        <is>
          <t>2nd Person Revenue</t>
        </is>
      </c>
      <c r="B19" s="144">
        <f>IFERROR(INDEX('T12 Raw Data'!F:F,MATCH("2nd Person Revenue",'T12 Raw Data'!B:B,0)),0)</f>
        <v/>
      </c>
      <c r="C19" s="144">
        <f>IFERROR(INDEX('T12 Raw Data'!G:G,MATCH("2nd Person Revenue",'T12 Raw Data'!B:B,0)),0)</f>
        <v/>
      </c>
      <c r="D19" s="144">
        <f>IFERROR(INDEX('T12 Raw Data'!H:H,MATCH("2nd Person Revenue",'T12 Raw Data'!B:B,0)),0)</f>
        <v/>
      </c>
      <c r="E19" s="144">
        <f>IFERROR(INDEX('T12 Raw Data'!I:I,MATCH("2nd Person Revenue",'T12 Raw Data'!B:B,0)),0)</f>
        <v/>
      </c>
      <c r="F19" s="144">
        <f>IFERROR(INDEX('T12 Raw Data'!J:J,MATCH("2nd Person Revenue",'T12 Raw Data'!B:B,0)),0)</f>
        <v/>
      </c>
      <c r="G19" s="144">
        <f>IFERROR(INDEX('T12 Raw Data'!K:K,MATCH("2nd Person Revenue",'T12 Raw Data'!B:B,0)),0)</f>
        <v/>
      </c>
      <c r="H19" s="144">
        <f>IFERROR(INDEX('T12 Raw Data'!L:L,MATCH("2nd Person Revenue",'T12 Raw Data'!B:B,0)),0)</f>
        <v/>
      </c>
      <c r="I19" s="144">
        <f>IFERROR(INDEX('T12 Raw Data'!M:M,MATCH("2nd Person Revenue",'T12 Raw Data'!B:B,0)),0)</f>
        <v/>
      </c>
      <c r="J19" s="144">
        <f>IFERROR(INDEX('T12 Raw Data'!N:N,MATCH("2nd Person Revenue",'T12 Raw Data'!B:B,0)),0)</f>
        <v/>
      </c>
      <c r="K19" s="144">
        <f>IFERROR(INDEX('T12 Raw Data'!O:O,MATCH("2nd Person Revenue",'T12 Raw Data'!B:B,0)),0)</f>
        <v/>
      </c>
      <c r="L19" s="144">
        <f>IFERROR(INDEX('T12 Raw Data'!P:P,MATCH("2nd Person Revenue",'T12 Raw Data'!B:B,0)),0)</f>
        <v/>
      </c>
      <c r="M19" s="144">
        <f>IFERROR(INDEX('T12 Raw Data'!Q:Q,MATCH("2nd Person Revenue",'T12 Raw Data'!B:B,0)),0)</f>
        <v/>
      </c>
      <c r="N19" s="145">
        <f>SUM(B19:M19)</f>
        <v/>
      </c>
    </row>
    <row r="20" ht="15.75" customHeight="1" s="199">
      <c r="A20" s="83" t="inlineStr">
        <is>
          <t>Other community revenue</t>
        </is>
      </c>
      <c r="B20" s="144">
        <f>IFERROR(INDEX('T12 Raw Data'!F:F,MATCH("Other community revenue",'T12 Raw Data'!B:B,0)),0)</f>
        <v/>
      </c>
      <c r="C20" s="144">
        <f>IFERROR(INDEX('T12 Raw Data'!G:G,MATCH("Other community revenue",'T12 Raw Data'!B:B,0)),0)</f>
        <v/>
      </c>
      <c r="D20" s="144">
        <f>IFERROR(INDEX('T12 Raw Data'!H:H,MATCH("Other community revenue",'T12 Raw Data'!B:B,0)),0)</f>
        <v/>
      </c>
      <c r="E20" s="144">
        <f>IFERROR(INDEX('T12 Raw Data'!I:I,MATCH("Other community revenue",'T12 Raw Data'!B:B,0)),0)</f>
        <v/>
      </c>
      <c r="F20" s="144">
        <f>IFERROR(INDEX('T12 Raw Data'!J:J,MATCH("Other community revenue",'T12 Raw Data'!B:B,0)),0)</f>
        <v/>
      </c>
      <c r="G20" s="144">
        <f>IFERROR(INDEX('T12 Raw Data'!K:K,MATCH("Other community revenue",'T12 Raw Data'!B:B,0)),0)</f>
        <v/>
      </c>
      <c r="H20" s="144">
        <f>IFERROR(INDEX('T12 Raw Data'!L:L,MATCH("Other community revenue",'T12 Raw Data'!B:B,0)),0)</f>
        <v/>
      </c>
      <c r="I20" s="144">
        <f>IFERROR(INDEX('T12 Raw Data'!M:M,MATCH("Other community revenue",'T12 Raw Data'!B:B,0)),0)</f>
        <v/>
      </c>
      <c r="J20" s="144">
        <f>IFERROR(INDEX('T12 Raw Data'!N:N,MATCH("Other community revenue",'T12 Raw Data'!B:B,0)),0)</f>
        <v/>
      </c>
      <c r="K20" s="144">
        <f>IFERROR(INDEX('T12 Raw Data'!O:O,MATCH("Other community revenue",'T12 Raw Data'!B:B,0)),0)</f>
        <v/>
      </c>
      <c r="L20" s="144">
        <f>IFERROR(INDEX('T12 Raw Data'!P:P,MATCH("Other community revenue",'T12 Raw Data'!B:B,0)),0)</f>
        <v/>
      </c>
      <c r="M20" s="144">
        <f>IFERROR(INDEX('T12 Raw Data'!Q:Q,MATCH("Other community revenue",'T12 Raw Data'!B:B,0)),0)</f>
        <v/>
      </c>
      <c r="N20" s="145">
        <f>SUM(B20:M20)</f>
        <v/>
      </c>
    </row>
    <row r="21" ht="18" customHeight="1" s="199">
      <c r="A21" s="151" t="inlineStr">
        <is>
          <t>EFFECTIVE GROSS INCOME</t>
        </is>
      </c>
      <c r="B21" s="30">
        <f>B8+B10+B11+B15+B16+B17+B18+B19+B20</f>
        <v/>
      </c>
      <c r="C21" s="30">
        <f>C8+C10+C11+C15+C16+C17+C18+C19+C20</f>
        <v/>
      </c>
      <c r="D21" s="30">
        <f>D8+D10+D11+D15+D16+D17+D18+D19+D20</f>
        <v/>
      </c>
      <c r="E21" s="30">
        <f>E8+E10+E11+E15+E16+E17+E18+E19+E20</f>
        <v/>
      </c>
      <c r="F21" s="30">
        <f>F8+F10+F11+F15+F16+F17+F18+F19+F20</f>
        <v/>
      </c>
      <c r="G21" s="30">
        <f>G8+G10+G11+G15+G16+G17+G18+G19+G20</f>
        <v/>
      </c>
      <c r="H21" s="30">
        <f>H8+H10+H11+H15+H16+H17+H18+H19+H20</f>
        <v/>
      </c>
      <c r="I21" s="30">
        <f>I8+I10+I11+I15+I16+I17+I18+I19+I20</f>
        <v/>
      </c>
      <c r="J21" s="30">
        <f>J8+J10+J11+J15+J16+J17+J18+J19+J20</f>
        <v/>
      </c>
      <c r="K21" s="30">
        <f>K8+K10+K11+K15+K16+K17+K18+K19+K20</f>
        <v/>
      </c>
      <c r="L21" s="30">
        <f>L8+L10+L11+L15+L16+L17+L18+L19+L20</f>
        <v/>
      </c>
      <c r="M21" s="30">
        <f>M8+M10+M11+M15+M16+M17+M18+M19+M20</f>
        <v/>
      </c>
      <c r="N21" s="30">
        <f>N8+N10+N11+N15+N16+N17+N18+N19+N20</f>
        <v/>
      </c>
    </row>
    <row r="22" ht="15.75" customHeight="1" s="199">
      <c r="A22" s="174" t="inlineStr">
        <is>
          <t>LABOR</t>
        </is>
      </c>
    </row>
    <row r="23" ht="15.75" customHeight="1" s="199">
      <c r="A23" s="83" t="inlineStr">
        <is>
          <t>Care staff labor</t>
        </is>
      </c>
      <c r="B23" s="144">
        <f>IFERROR(INDEX('T12 Raw Data'!F:F,MATCH("Care staff labor",'T12 Raw Data'!B:B,0)),0)</f>
        <v/>
      </c>
      <c r="C23" s="144">
        <f>IFERROR(INDEX('T12 Raw Data'!G:G,MATCH("Care staff labor",'T12 Raw Data'!B:B,0)),0)</f>
        <v/>
      </c>
      <c r="D23" s="144">
        <f>IFERROR(INDEX('T12 Raw Data'!H:H,MATCH("Care staff labor",'T12 Raw Data'!B:B,0)),0)</f>
        <v/>
      </c>
      <c r="E23" s="144">
        <f>IFERROR(INDEX('T12 Raw Data'!I:I,MATCH("Care staff labor",'T12 Raw Data'!B:B,0)),0)</f>
        <v/>
      </c>
      <c r="F23" s="144">
        <f>IFERROR(INDEX('T12 Raw Data'!J:J,MATCH("Care staff labor",'T12 Raw Data'!B:B,0)),0)</f>
        <v/>
      </c>
      <c r="G23" s="144">
        <f>IFERROR(INDEX('T12 Raw Data'!K:K,MATCH("Care staff labor",'T12 Raw Data'!B:B,0)),0)</f>
        <v/>
      </c>
      <c r="H23" s="144">
        <f>IFERROR(INDEX('T12 Raw Data'!L:L,MATCH("Care staff labor",'T12 Raw Data'!B:B,0)),0)</f>
        <v/>
      </c>
      <c r="I23" s="144">
        <f>IFERROR(INDEX('T12 Raw Data'!M:M,MATCH("Care staff labor",'T12 Raw Data'!B:B,0)),0)</f>
        <v/>
      </c>
      <c r="J23" s="144">
        <f>IFERROR(INDEX('T12 Raw Data'!N:N,MATCH("Care staff labor",'T12 Raw Data'!B:B,0)),0)</f>
        <v/>
      </c>
      <c r="K23" s="144">
        <f>IFERROR(INDEX('T12 Raw Data'!O:O,MATCH("Care staff labor",'T12 Raw Data'!B:B,0)),0)</f>
        <v/>
      </c>
      <c r="L23" s="144">
        <f>IFERROR(INDEX('T12 Raw Data'!P:P,MATCH("Care staff labor",'T12 Raw Data'!B:B,0)),0)</f>
        <v/>
      </c>
      <c r="M23" s="144">
        <f>IFERROR(INDEX('T12 Raw Data'!Q:Q,MATCH("Care staff labor",'T12 Raw Data'!B:B,0)),0)</f>
        <v/>
      </c>
      <c r="N23" s="145">
        <f>SUM(B23:M23)</f>
        <v/>
      </c>
    </row>
    <row r="24" ht="15.75" customHeight="1" s="199">
      <c r="A24" s="83" t="inlineStr">
        <is>
          <t>Wellness / care coord.</t>
        </is>
      </c>
      <c r="B24" s="144">
        <f>IFERROR(INDEX('T12 Raw Data'!F:F,MATCH("Wellness / care coordinators",'T12 Raw Data'!B:B,0)),0)</f>
        <v/>
      </c>
      <c r="C24" s="144">
        <f>IFERROR(INDEX('T12 Raw Data'!G:G,MATCH("Wellness / care coordinators",'T12 Raw Data'!B:B,0)),0)</f>
        <v/>
      </c>
      <c r="D24" s="144">
        <f>IFERROR(INDEX('T12 Raw Data'!H:H,MATCH("Wellness / care coordinators",'T12 Raw Data'!B:B,0)),0)</f>
        <v/>
      </c>
      <c r="E24" s="144">
        <f>IFERROR(INDEX('T12 Raw Data'!I:I,MATCH("Wellness / care coordinators",'T12 Raw Data'!B:B,0)),0)</f>
        <v/>
      </c>
      <c r="F24" s="144">
        <f>IFERROR(INDEX('T12 Raw Data'!J:J,MATCH("Wellness / care coordinators",'T12 Raw Data'!B:B,0)),0)</f>
        <v/>
      </c>
      <c r="G24" s="144">
        <f>IFERROR(INDEX('T12 Raw Data'!K:K,MATCH("Wellness / care coordinators",'T12 Raw Data'!B:B,0)),0)</f>
        <v/>
      </c>
      <c r="H24" s="144">
        <f>IFERROR(INDEX('T12 Raw Data'!L:L,MATCH("Wellness / care coordinators",'T12 Raw Data'!B:B,0)),0)</f>
        <v/>
      </c>
      <c r="I24" s="144">
        <f>IFERROR(INDEX('T12 Raw Data'!M:M,MATCH("Wellness / care coordinators",'T12 Raw Data'!B:B,0)),0)</f>
        <v/>
      </c>
      <c r="J24" s="144">
        <f>IFERROR(INDEX('T12 Raw Data'!N:N,MATCH("Wellness / care coordinators",'T12 Raw Data'!B:B,0)),0)</f>
        <v/>
      </c>
      <c r="K24" s="144">
        <f>IFERROR(INDEX('T12 Raw Data'!O:O,MATCH("Wellness / care coordinators",'T12 Raw Data'!B:B,0)),0)</f>
        <v/>
      </c>
      <c r="L24" s="144">
        <f>IFERROR(INDEX('T12 Raw Data'!P:P,MATCH("Wellness / care coordinators",'T12 Raw Data'!B:B,0)),0)</f>
        <v/>
      </c>
      <c r="M24" s="144">
        <f>IFERROR(INDEX('T12 Raw Data'!Q:Q,MATCH("Wellness / care coordinators",'T12 Raw Data'!B:B,0)),0)</f>
        <v/>
      </c>
      <c r="N24" s="145">
        <f>SUM(B24:M24)</f>
        <v/>
      </c>
    </row>
    <row r="25" ht="15.75" customHeight="1" s="199">
      <c r="A25" s="83" t="inlineStr">
        <is>
          <t>Contract / agency labor</t>
        </is>
      </c>
      <c r="B25" s="144">
        <f>IFERROR(INDEX('T12 Raw Data'!F:F,MATCH("Contract / agency labor",'T12 Raw Data'!B:B,0)),0)</f>
        <v/>
      </c>
      <c r="C25" s="144">
        <f>IFERROR(INDEX('T12 Raw Data'!G:G,MATCH("Contract / agency labor",'T12 Raw Data'!B:B,0)),0)</f>
        <v/>
      </c>
      <c r="D25" s="144">
        <f>IFERROR(INDEX('T12 Raw Data'!H:H,MATCH("Contract / agency labor",'T12 Raw Data'!B:B,0)),0)</f>
        <v/>
      </c>
      <c r="E25" s="144">
        <f>IFERROR(INDEX('T12 Raw Data'!I:I,MATCH("Contract / agency labor",'T12 Raw Data'!B:B,0)),0)</f>
        <v/>
      </c>
      <c r="F25" s="144">
        <f>IFERROR(INDEX('T12 Raw Data'!J:J,MATCH("Contract / agency labor",'T12 Raw Data'!B:B,0)),0)</f>
        <v/>
      </c>
      <c r="G25" s="144">
        <f>IFERROR(INDEX('T12 Raw Data'!K:K,MATCH("Contract / agency labor",'T12 Raw Data'!B:B,0)),0)</f>
        <v/>
      </c>
      <c r="H25" s="144">
        <f>IFERROR(INDEX('T12 Raw Data'!L:L,MATCH("Contract / agency labor",'T12 Raw Data'!B:B,0)),0)</f>
        <v/>
      </c>
      <c r="I25" s="144">
        <f>IFERROR(INDEX('T12 Raw Data'!M:M,MATCH("Contract / agency labor",'T12 Raw Data'!B:B,0)),0)</f>
        <v/>
      </c>
      <c r="J25" s="144">
        <f>IFERROR(INDEX('T12 Raw Data'!N:N,MATCH("Contract / agency labor",'T12 Raw Data'!B:B,0)),0)</f>
        <v/>
      </c>
      <c r="K25" s="144">
        <f>IFERROR(INDEX('T12 Raw Data'!O:O,MATCH("Contract / agency labor",'T12 Raw Data'!B:B,0)),0)</f>
        <v/>
      </c>
      <c r="L25" s="144">
        <f>IFERROR(INDEX('T12 Raw Data'!P:P,MATCH("Contract / agency labor",'T12 Raw Data'!B:B,0)),0)</f>
        <v/>
      </c>
      <c r="M25" s="144">
        <f>IFERROR(INDEX('T12 Raw Data'!Q:Q,MATCH("Contract / agency labor",'T12 Raw Data'!B:B,0)),0)</f>
        <v/>
      </c>
      <c r="N25" s="145">
        <f>SUM(B25:M25)</f>
        <v/>
      </c>
    </row>
    <row r="26" ht="15.75" customHeight="1" s="199">
      <c r="A26" s="83" t="inlineStr">
        <is>
          <t>Activities labor</t>
        </is>
      </c>
      <c r="B26" s="144">
        <f>IFERROR(INDEX('T12 Raw Data'!F:F,MATCH("Activities labor",'T12 Raw Data'!B:B,0)),0)</f>
        <v/>
      </c>
      <c r="C26" s="144">
        <f>IFERROR(INDEX('T12 Raw Data'!G:G,MATCH("Activities labor",'T12 Raw Data'!B:B,0)),0)</f>
        <v/>
      </c>
      <c r="D26" s="144">
        <f>IFERROR(INDEX('T12 Raw Data'!H:H,MATCH("Activities labor",'T12 Raw Data'!B:B,0)),0)</f>
        <v/>
      </c>
      <c r="E26" s="144">
        <f>IFERROR(INDEX('T12 Raw Data'!I:I,MATCH("Activities labor",'T12 Raw Data'!B:B,0)),0)</f>
        <v/>
      </c>
      <c r="F26" s="144">
        <f>IFERROR(INDEX('T12 Raw Data'!J:J,MATCH("Activities labor",'T12 Raw Data'!B:B,0)),0)</f>
        <v/>
      </c>
      <c r="G26" s="144">
        <f>IFERROR(INDEX('T12 Raw Data'!K:K,MATCH("Activities labor",'T12 Raw Data'!B:B,0)),0)</f>
        <v/>
      </c>
      <c r="H26" s="144">
        <f>IFERROR(INDEX('T12 Raw Data'!L:L,MATCH("Activities labor",'T12 Raw Data'!B:B,0)),0)</f>
        <v/>
      </c>
      <c r="I26" s="144">
        <f>IFERROR(INDEX('T12 Raw Data'!M:M,MATCH("Activities labor",'T12 Raw Data'!B:B,0)),0)</f>
        <v/>
      </c>
      <c r="J26" s="144">
        <f>IFERROR(INDEX('T12 Raw Data'!N:N,MATCH("Activities labor",'T12 Raw Data'!B:B,0)),0)</f>
        <v/>
      </c>
      <c r="K26" s="144">
        <f>IFERROR(INDEX('T12 Raw Data'!O:O,MATCH("Activities labor",'T12 Raw Data'!B:B,0)),0)</f>
        <v/>
      </c>
      <c r="L26" s="144">
        <f>IFERROR(INDEX('T12 Raw Data'!P:P,MATCH("Activities labor",'T12 Raw Data'!B:B,0)),0)</f>
        <v/>
      </c>
      <c r="M26" s="144">
        <f>IFERROR(INDEX('T12 Raw Data'!Q:Q,MATCH("Activities labor",'T12 Raw Data'!B:B,0)),0)</f>
        <v/>
      </c>
      <c r="N26" s="145">
        <f>SUM(B26:M26)</f>
        <v/>
      </c>
    </row>
    <row r="27" ht="15.75" customHeight="1" s="199">
      <c r="A27" s="83" t="inlineStr">
        <is>
          <t>Dining / food svc labor</t>
        </is>
      </c>
      <c r="B27" s="144">
        <f>IFERROR(INDEX('T12 Raw Data'!F:F,MATCH("Dining / food service labor",'T12 Raw Data'!B:B,0)),0)</f>
        <v/>
      </c>
      <c r="C27" s="144">
        <f>IFERROR(INDEX('T12 Raw Data'!G:G,MATCH("Dining / food service labor",'T12 Raw Data'!B:B,0)),0)</f>
        <v/>
      </c>
      <c r="D27" s="144">
        <f>IFERROR(INDEX('T12 Raw Data'!H:H,MATCH("Dining / food service labor",'T12 Raw Data'!B:B,0)),0)</f>
        <v/>
      </c>
      <c r="E27" s="144">
        <f>IFERROR(INDEX('T12 Raw Data'!I:I,MATCH("Dining / food service labor",'T12 Raw Data'!B:B,0)),0)</f>
        <v/>
      </c>
      <c r="F27" s="144">
        <f>IFERROR(INDEX('T12 Raw Data'!J:J,MATCH("Dining / food service labor",'T12 Raw Data'!B:B,0)),0)</f>
        <v/>
      </c>
      <c r="G27" s="144">
        <f>IFERROR(INDEX('T12 Raw Data'!K:K,MATCH("Dining / food service labor",'T12 Raw Data'!B:B,0)),0)</f>
        <v/>
      </c>
      <c r="H27" s="144">
        <f>IFERROR(INDEX('T12 Raw Data'!L:L,MATCH("Dining / food service labor",'T12 Raw Data'!B:B,0)),0)</f>
        <v/>
      </c>
      <c r="I27" s="144">
        <f>IFERROR(INDEX('T12 Raw Data'!M:M,MATCH("Dining / food service labor",'T12 Raw Data'!B:B,0)),0)</f>
        <v/>
      </c>
      <c r="J27" s="144">
        <f>IFERROR(INDEX('T12 Raw Data'!N:N,MATCH("Dining / food service labor",'T12 Raw Data'!B:B,0)),0)</f>
        <v/>
      </c>
      <c r="K27" s="144">
        <f>IFERROR(INDEX('T12 Raw Data'!O:O,MATCH("Dining / food service labor",'T12 Raw Data'!B:B,0)),0)</f>
        <v/>
      </c>
      <c r="L27" s="144">
        <f>IFERROR(INDEX('T12 Raw Data'!P:P,MATCH("Dining / food service labor",'T12 Raw Data'!B:B,0)),0)</f>
        <v/>
      </c>
      <c r="M27" s="144">
        <f>IFERROR(INDEX('T12 Raw Data'!Q:Q,MATCH("Dining / food service labor",'T12 Raw Data'!B:B,0)),0)</f>
        <v/>
      </c>
      <c r="N27" s="145">
        <f>SUM(B27:M27)</f>
        <v/>
      </c>
    </row>
    <row r="28" ht="15.75" customHeight="1" s="199">
      <c r="A28" s="83" t="inlineStr">
        <is>
          <t>Maint. &amp; HK labor</t>
        </is>
      </c>
      <c r="B28" s="144">
        <f>IFERROR(INDEX('T12 Raw Data'!F:F,MATCH("Maint. &amp; housekeeping labor",'T12 Raw Data'!B:B,0)),0)</f>
        <v/>
      </c>
      <c r="C28" s="144">
        <f>IFERROR(INDEX('T12 Raw Data'!G:G,MATCH("Maint. &amp; housekeeping labor",'T12 Raw Data'!B:B,0)),0)</f>
        <v/>
      </c>
      <c r="D28" s="144">
        <f>IFERROR(INDEX('T12 Raw Data'!H:H,MATCH("Maint. &amp; housekeeping labor",'T12 Raw Data'!B:B,0)),0)</f>
        <v/>
      </c>
      <c r="E28" s="144">
        <f>IFERROR(INDEX('T12 Raw Data'!I:I,MATCH("Maint. &amp; housekeeping labor",'T12 Raw Data'!B:B,0)),0)</f>
        <v/>
      </c>
      <c r="F28" s="144">
        <f>IFERROR(INDEX('T12 Raw Data'!J:J,MATCH("Maint. &amp; housekeeping labor",'T12 Raw Data'!B:B,0)),0)</f>
        <v/>
      </c>
      <c r="G28" s="144">
        <f>IFERROR(INDEX('T12 Raw Data'!K:K,MATCH("Maint. &amp; housekeeping labor",'T12 Raw Data'!B:B,0)),0)</f>
        <v/>
      </c>
      <c r="H28" s="144">
        <f>IFERROR(INDEX('T12 Raw Data'!L:L,MATCH("Maint. &amp; housekeeping labor",'T12 Raw Data'!B:B,0)),0)</f>
        <v/>
      </c>
      <c r="I28" s="144">
        <f>IFERROR(INDEX('T12 Raw Data'!M:M,MATCH("Maint. &amp; housekeeping labor",'T12 Raw Data'!B:B,0)),0)</f>
        <v/>
      </c>
      <c r="J28" s="144">
        <f>IFERROR(INDEX('T12 Raw Data'!N:N,MATCH("Maint. &amp; housekeeping labor",'T12 Raw Data'!B:B,0)),0)</f>
        <v/>
      </c>
      <c r="K28" s="144">
        <f>IFERROR(INDEX('T12 Raw Data'!O:O,MATCH("Maint. &amp; housekeeping labor",'T12 Raw Data'!B:B,0)),0)</f>
        <v/>
      </c>
      <c r="L28" s="144">
        <f>IFERROR(INDEX('T12 Raw Data'!P:P,MATCH("Maint. &amp; housekeeping labor",'T12 Raw Data'!B:B,0)),0)</f>
        <v/>
      </c>
      <c r="M28" s="144">
        <f>IFERROR(INDEX('T12 Raw Data'!Q:Q,MATCH("Maint. &amp; housekeeping labor",'T12 Raw Data'!B:B,0)),0)</f>
        <v/>
      </c>
      <c r="N28" s="145">
        <f>SUM(B28:M28)</f>
        <v/>
      </c>
    </row>
    <row r="29" ht="15.75" customHeight="1" s="199">
      <c r="A29" s="83" t="inlineStr">
        <is>
          <t>Administrative labor</t>
        </is>
      </c>
      <c r="B29" s="144">
        <f>IFERROR(INDEX('T12 Raw Data'!F:F,MATCH("Administrative labor",'T12 Raw Data'!B:B,0)),0)</f>
        <v/>
      </c>
      <c r="C29" s="144">
        <f>IFERROR(INDEX('T12 Raw Data'!G:G,MATCH("Administrative labor",'T12 Raw Data'!B:B,0)),0)</f>
        <v/>
      </c>
      <c r="D29" s="144">
        <f>IFERROR(INDEX('T12 Raw Data'!H:H,MATCH("Administrative labor",'T12 Raw Data'!B:B,0)),0)</f>
        <v/>
      </c>
      <c r="E29" s="144">
        <f>IFERROR(INDEX('T12 Raw Data'!I:I,MATCH("Administrative labor",'T12 Raw Data'!B:B,0)),0)</f>
        <v/>
      </c>
      <c r="F29" s="144">
        <f>IFERROR(INDEX('T12 Raw Data'!J:J,MATCH("Administrative labor",'T12 Raw Data'!B:B,0)),0)</f>
        <v/>
      </c>
      <c r="G29" s="144">
        <f>IFERROR(INDEX('T12 Raw Data'!K:K,MATCH("Administrative labor",'T12 Raw Data'!B:B,0)),0)</f>
        <v/>
      </c>
      <c r="H29" s="144">
        <f>IFERROR(INDEX('T12 Raw Data'!L:L,MATCH("Administrative labor",'T12 Raw Data'!B:B,0)),0)</f>
        <v/>
      </c>
      <c r="I29" s="144">
        <f>IFERROR(INDEX('T12 Raw Data'!M:M,MATCH("Administrative labor",'T12 Raw Data'!B:B,0)),0)</f>
        <v/>
      </c>
      <c r="J29" s="144">
        <f>IFERROR(INDEX('T12 Raw Data'!N:N,MATCH("Administrative labor",'T12 Raw Data'!B:B,0)),0)</f>
        <v/>
      </c>
      <c r="K29" s="144">
        <f>IFERROR(INDEX('T12 Raw Data'!O:O,MATCH("Administrative labor",'T12 Raw Data'!B:B,0)),0)</f>
        <v/>
      </c>
      <c r="L29" s="144">
        <f>IFERROR(INDEX('T12 Raw Data'!P:P,MATCH("Administrative labor",'T12 Raw Data'!B:B,0)),0)</f>
        <v/>
      </c>
      <c r="M29" s="144">
        <f>IFERROR(INDEX('T12 Raw Data'!Q:Q,MATCH("Administrative labor",'T12 Raw Data'!B:B,0)),0)</f>
        <v/>
      </c>
      <c r="N29" s="145">
        <f>SUM(B29:M29)</f>
        <v/>
      </c>
    </row>
    <row r="30" ht="15.75" customHeight="1" s="199">
      <c r="A30" s="83" t="inlineStr">
        <is>
          <t>Bonus wages</t>
        </is>
      </c>
      <c r="B30" s="144">
        <f>IFERROR(INDEX('T12 Raw Data'!F:F,MATCH("Bonus wages",'T12 Raw Data'!B:B,0)),0)</f>
        <v/>
      </c>
      <c r="C30" s="144">
        <f>IFERROR(INDEX('T12 Raw Data'!G:G,MATCH("Bonus wages",'T12 Raw Data'!B:B,0)),0)</f>
        <v/>
      </c>
      <c r="D30" s="144">
        <f>IFERROR(INDEX('T12 Raw Data'!H:H,MATCH("Bonus wages",'T12 Raw Data'!B:B,0)),0)</f>
        <v/>
      </c>
      <c r="E30" s="144">
        <f>IFERROR(INDEX('T12 Raw Data'!I:I,MATCH("Bonus wages",'T12 Raw Data'!B:B,0)),0)</f>
        <v/>
      </c>
      <c r="F30" s="144">
        <f>IFERROR(INDEX('T12 Raw Data'!J:J,MATCH("Bonus wages",'T12 Raw Data'!B:B,0)),0)</f>
        <v/>
      </c>
      <c r="G30" s="144">
        <f>IFERROR(INDEX('T12 Raw Data'!K:K,MATCH("Bonus wages",'T12 Raw Data'!B:B,0)),0)</f>
        <v/>
      </c>
      <c r="H30" s="144">
        <f>IFERROR(INDEX('T12 Raw Data'!L:L,MATCH("Bonus wages",'T12 Raw Data'!B:B,0)),0)</f>
        <v/>
      </c>
      <c r="I30" s="144">
        <f>IFERROR(INDEX('T12 Raw Data'!M:M,MATCH("Bonus wages",'T12 Raw Data'!B:B,0)),0)</f>
        <v/>
      </c>
      <c r="J30" s="144">
        <f>IFERROR(INDEX('T12 Raw Data'!N:N,MATCH("Bonus wages",'T12 Raw Data'!B:B,0)),0)</f>
        <v/>
      </c>
      <c r="K30" s="144">
        <f>IFERROR(INDEX('T12 Raw Data'!O:O,MATCH("Bonus wages",'T12 Raw Data'!B:B,0)),0)</f>
        <v/>
      </c>
      <c r="L30" s="144">
        <f>IFERROR(INDEX('T12 Raw Data'!P:P,MATCH("Bonus wages",'T12 Raw Data'!B:B,0)),0)</f>
        <v/>
      </c>
      <c r="M30" s="144">
        <f>IFERROR(INDEX('T12 Raw Data'!Q:Q,MATCH("Bonus wages",'T12 Raw Data'!B:B,0)),0)</f>
        <v/>
      </c>
      <c r="N30" s="145">
        <f>SUM(B30:M30)</f>
        <v/>
      </c>
    </row>
    <row r="31" ht="15.75" customHeight="1" s="199">
      <c r="A31" s="146" t="inlineStr">
        <is>
          <t>Total direct labor</t>
        </is>
      </c>
      <c r="B31" s="147">
        <f>B23+B24+B25+B26+B27+B28+B29+B30</f>
        <v/>
      </c>
      <c r="C31" s="147">
        <f>C23+C24+C25+C26+C27+C28+C29+C30</f>
        <v/>
      </c>
      <c r="D31" s="147">
        <f>D23+D24+D25+D26+D27+D28+D29+D30</f>
        <v/>
      </c>
      <c r="E31" s="147">
        <f>E23+E24+E25+E26+E27+E28+E29+E30</f>
        <v/>
      </c>
      <c r="F31" s="147">
        <f>F23+F24+F25+F26+F27+F28+F29+F30</f>
        <v/>
      </c>
      <c r="G31" s="147">
        <f>G23+G24+G25+G26+G27+G28+G29+G30</f>
        <v/>
      </c>
      <c r="H31" s="147">
        <f>H23+H24+H25+H26+H27+H28+H29+H30</f>
        <v/>
      </c>
      <c r="I31" s="147">
        <f>I23+I24+I25+I26+I27+I28+I29+I30</f>
        <v/>
      </c>
      <c r="J31" s="147">
        <f>J23+J24+J25+J26+J27+J28+J29+J30</f>
        <v/>
      </c>
      <c r="K31" s="147">
        <f>K23+K24+K25+K26+K27+K28+K29+K30</f>
        <v/>
      </c>
      <c r="L31" s="147">
        <f>L23+L24+L25+L26+L27+L28+L29+L30</f>
        <v/>
      </c>
      <c r="M31" s="147">
        <f>M23+M24+M25+M26+M27+M28+M29+M30</f>
        <v/>
      </c>
      <c r="N31" s="147">
        <f>N23+N24+N25+N26+N27+N28+N29+N30</f>
        <v/>
      </c>
    </row>
    <row r="32" ht="15.75" customHeight="1" s="199">
      <c r="A32" s="83" t="inlineStr">
        <is>
          <t>Overtime wages</t>
        </is>
      </c>
      <c r="B32" s="144">
        <f>IFERROR(INDEX('T12 Raw Data'!F:F,MATCH("Overtime wages",'T12 Raw Data'!B:B,0)),0)</f>
        <v/>
      </c>
      <c r="C32" s="144">
        <f>IFERROR(INDEX('T12 Raw Data'!G:G,MATCH("Overtime wages",'T12 Raw Data'!B:B,0)),0)</f>
        <v/>
      </c>
      <c r="D32" s="144">
        <f>IFERROR(INDEX('T12 Raw Data'!H:H,MATCH("Overtime wages",'T12 Raw Data'!B:B,0)),0)</f>
        <v/>
      </c>
      <c r="E32" s="144">
        <f>IFERROR(INDEX('T12 Raw Data'!I:I,MATCH("Overtime wages",'T12 Raw Data'!B:B,0)),0)</f>
        <v/>
      </c>
      <c r="F32" s="144">
        <f>IFERROR(INDEX('T12 Raw Data'!J:J,MATCH("Overtime wages",'T12 Raw Data'!B:B,0)),0)</f>
        <v/>
      </c>
      <c r="G32" s="144">
        <f>IFERROR(INDEX('T12 Raw Data'!K:K,MATCH("Overtime wages",'T12 Raw Data'!B:B,0)),0)</f>
        <v/>
      </c>
      <c r="H32" s="144">
        <f>IFERROR(INDEX('T12 Raw Data'!L:L,MATCH("Overtime wages",'T12 Raw Data'!B:B,0)),0)</f>
        <v/>
      </c>
      <c r="I32" s="144">
        <f>IFERROR(INDEX('T12 Raw Data'!M:M,MATCH("Overtime wages",'T12 Raw Data'!B:B,0)),0)</f>
        <v/>
      </c>
      <c r="J32" s="144">
        <f>IFERROR(INDEX('T12 Raw Data'!N:N,MATCH("Overtime wages",'T12 Raw Data'!B:B,0)),0)</f>
        <v/>
      </c>
      <c r="K32" s="144">
        <f>IFERROR(INDEX('T12 Raw Data'!O:O,MATCH("Overtime wages",'T12 Raw Data'!B:B,0)),0)</f>
        <v/>
      </c>
      <c r="L32" s="144">
        <f>IFERROR(INDEX('T12 Raw Data'!P:P,MATCH("Overtime wages",'T12 Raw Data'!B:B,0)),0)</f>
        <v/>
      </c>
      <c r="M32" s="144">
        <f>IFERROR(INDEX('T12 Raw Data'!Q:Q,MATCH("Overtime wages",'T12 Raw Data'!B:B,0)),0)</f>
        <v/>
      </c>
      <c r="N32" s="145">
        <f>SUM(B32:M32)</f>
        <v/>
      </c>
    </row>
    <row r="33" ht="15.75" customHeight="1" s="199">
      <c r="A33" s="83" t="inlineStr">
        <is>
          <t>PTO wages</t>
        </is>
      </c>
      <c r="B33" s="144">
        <f>IFERROR(INDEX('T12 Raw Data'!F:F,MATCH("PTO wages",'T12 Raw Data'!B:B,0)),0)</f>
        <v/>
      </c>
      <c r="C33" s="144">
        <f>IFERROR(INDEX('T12 Raw Data'!G:G,MATCH("PTO wages",'T12 Raw Data'!B:B,0)),0)</f>
        <v/>
      </c>
      <c r="D33" s="144">
        <f>IFERROR(INDEX('T12 Raw Data'!H:H,MATCH("PTO wages",'T12 Raw Data'!B:B,0)),0)</f>
        <v/>
      </c>
      <c r="E33" s="144">
        <f>IFERROR(INDEX('T12 Raw Data'!I:I,MATCH("PTO wages",'T12 Raw Data'!B:B,0)),0)</f>
        <v/>
      </c>
      <c r="F33" s="144">
        <f>IFERROR(INDEX('T12 Raw Data'!J:J,MATCH("PTO wages",'T12 Raw Data'!B:B,0)),0)</f>
        <v/>
      </c>
      <c r="G33" s="144">
        <f>IFERROR(INDEX('T12 Raw Data'!K:K,MATCH("PTO wages",'T12 Raw Data'!B:B,0)),0)</f>
        <v/>
      </c>
      <c r="H33" s="144">
        <f>IFERROR(INDEX('T12 Raw Data'!L:L,MATCH("PTO wages",'T12 Raw Data'!B:B,0)),0)</f>
        <v/>
      </c>
      <c r="I33" s="144">
        <f>IFERROR(INDEX('T12 Raw Data'!M:M,MATCH("PTO wages",'T12 Raw Data'!B:B,0)),0)</f>
        <v/>
      </c>
      <c r="J33" s="144">
        <f>IFERROR(INDEX('T12 Raw Data'!N:N,MATCH("PTO wages",'T12 Raw Data'!B:B,0)),0)</f>
        <v/>
      </c>
      <c r="K33" s="144">
        <f>IFERROR(INDEX('T12 Raw Data'!O:O,MATCH("PTO wages",'T12 Raw Data'!B:B,0)),0)</f>
        <v/>
      </c>
      <c r="L33" s="144">
        <f>IFERROR(INDEX('T12 Raw Data'!P:P,MATCH("PTO wages",'T12 Raw Data'!B:B,0)),0)</f>
        <v/>
      </c>
      <c r="M33" s="144">
        <f>IFERROR(INDEX('T12 Raw Data'!Q:Q,MATCH("PTO wages",'T12 Raw Data'!B:B,0)),0)</f>
        <v/>
      </c>
      <c r="N33" s="145">
        <f>SUM(B33:M33)</f>
        <v/>
      </c>
    </row>
    <row r="34" ht="15.75" customHeight="1" s="199">
      <c r="A34" s="83" t="inlineStr">
        <is>
          <t>Payroll taxes</t>
        </is>
      </c>
      <c r="B34" s="144">
        <f>IFERROR(INDEX('T12 Raw Data'!F:F,MATCH("Payroll taxes",'T12 Raw Data'!B:B,0)),0)</f>
        <v/>
      </c>
      <c r="C34" s="144">
        <f>IFERROR(INDEX('T12 Raw Data'!G:G,MATCH("Payroll taxes",'T12 Raw Data'!B:B,0)),0)</f>
        <v/>
      </c>
      <c r="D34" s="144">
        <f>IFERROR(INDEX('T12 Raw Data'!H:H,MATCH("Payroll taxes",'T12 Raw Data'!B:B,0)),0)</f>
        <v/>
      </c>
      <c r="E34" s="144">
        <f>IFERROR(INDEX('T12 Raw Data'!I:I,MATCH("Payroll taxes",'T12 Raw Data'!B:B,0)),0)</f>
        <v/>
      </c>
      <c r="F34" s="144">
        <f>IFERROR(INDEX('T12 Raw Data'!J:J,MATCH("Payroll taxes",'T12 Raw Data'!B:B,0)),0)</f>
        <v/>
      </c>
      <c r="G34" s="144">
        <f>IFERROR(INDEX('T12 Raw Data'!K:K,MATCH("Payroll taxes",'T12 Raw Data'!B:B,0)),0)</f>
        <v/>
      </c>
      <c r="H34" s="144">
        <f>IFERROR(INDEX('T12 Raw Data'!L:L,MATCH("Payroll taxes",'T12 Raw Data'!B:B,0)),0)</f>
        <v/>
      </c>
      <c r="I34" s="144">
        <f>IFERROR(INDEX('T12 Raw Data'!M:M,MATCH("Payroll taxes",'T12 Raw Data'!B:B,0)),0)</f>
        <v/>
      </c>
      <c r="J34" s="144">
        <f>IFERROR(INDEX('T12 Raw Data'!N:N,MATCH("Payroll taxes",'T12 Raw Data'!B:B,0)),0)</f>
        <v/>
      </c>
      <c r="K34" s="144">
        <f>IFERROR(INDEX('T12 Raw Data'!O:O,MATCH("Payroll taxes",'T12 Raw Data'!B:B,0)),0)</f>
        <v/>
      </c>
      <c r="L34" s="144">
        <f>IFERROR(INDEX('T12 Raw Data'!P:P,MATCH("Payroll taxes",'T12 Raw Data'!B:B,0)),0)</f>
        <v/>
      </c>
      <c r="M34" s="144">
        <f>IFERROR(INDEX('T12 Raw Data'!Q:Q,MATCH("Payroll taxes",'T12 Raw Data'!B:B,0)),0)</f>
        <v/>
      </c>
      <c r="N34" s="145">
        <f>SUM(B34:M34)</f>
        <v/>
      </c>
    </row>
    <row r="35" ht="15.75" customHeight="1" s="199">
      <c r="A35" s="83" t="inlineStr">
        <is>
          <t>Employee benefits</t>
        </is>
      </c>
      <c r="B35" s="144">
        <f>IFERROR(INDEX('T12 Raw Data'!F:F,MATCH("Employee benefits",'T12 Raw Data'!B:B,0)),0)</f>
        <v/>
      </c>
      <c r="C35" s="144">
        <f>IFERROR(INDEX('T12 Raw Data'!G:G,MATCH("Employee benefits",'T12 Raw Data'!B:B,0)),0)</f>
        <v/>
      </c>
      <c r="D35" s="144">
        <f>IFERROR(INDEX('T12 Raw Data'!H:H,MATCH("Employee benefits",'T12 Raw Data'!B:B,0)),0)</f>
        <v/>
      </c>
      <c r="E35" s="144">
        <f>IFERROR(INDEX('T12 Raw Data'!I:I,MATCH("Employee benefits",'T12 Raw Data'!B:B,0)),0)</f>
        <v/>
      </c>
      <c r="F35" s="144">
        <f>IFERROR(INDEX('T12 Raw Data'!J:J,MATCH("Employee benefits",'T12 Raw Data'!B:B,0)),0)</f>
        <v/>
      </c>
      <c r="G35" s="144">
        <f>IFERROR(INDEX('T12 Raw Data'!K:K,MATCH("Employee benefits",'T12 Raw Data'!B:B,0)),0)</f>
        <v/>
      </c>
      <c r="H35" s="144">
        <f>IFERROR(INDEX('T12 Raw Data'!L:L,MATCH("Employee benefits",'T12 Raw Data'!B:B,0)),0)</f>
        <v/>
      </c>
      <c r="I35" s="144">
        <f>IFERROR(INDEX('T12 Raw Data'!M:M,MATCH("Employee benefits",'T12 Raw Data'!B:B,0)),0)</f>
        <v/>
      </c>
      <c r="J35" s="144">
        <f>IFERROR(INDEX('T12 Raw Data'!N:N,MATCH("Employee benefits",'T12 Raw Data'!B:B,0)),0)</f>
        <v/>
      </c>
      <c r="K35" s="144">
        <f>IFERROR(INDEX('T12 Raw Data'!O:O,MATCH("Employee benefits",'T12 Raw Data'!B:B,0)),0)</f>
        <v/>
      </c>
      <c r="L35" s="144">
        <f>IFERROR(INDEX('T12 Raw Data'!P:P,MATCH("Employee benefits",'T12 Raw Data'!B:B,0)),0)</f>
        <v/>
      </c>
      <c r="M35" s="144">
        <f>IFERROR(INDEX('T12 Raw Data'!Q:Q,MATCH("Employee benefits",'T12 Raw Data'!B:B,0)),0)</f>
        <v/>
      </c>
      <c r="N35" s="145">
        <f>SUM(B35:M35)</f>
        <v/>
      </c>
    </row>
    <row r="36" ht="15.75" customHeight="1" s="199">
      <c r="A36" s="83" t="inlineStr">
        <is>
          <t>Workers' comp insurance</t>
        </is>
      </c>
      <c r="B36" s="144">
        <f>IFERROR(INDEX('T12 Raw Data'!F:F,MATCH("Workers' comp insurance",'T12 Raw Data'!B:B,0)),0)</f>
        <v/>
      </c>
      <c r="C36" s="144">
        <f>IFERROR(INDEX('T12 Raw Data'!G:G,MATCH("Workers' comp insurance",'T12 Raw Data'!B:B,0)),0)</f>
        <v/>
      </c>
      <c r="D36" s="144">
        <f>IFERROR(INDEX('T12 Raw Data'!H:H,MATCH("Workers' comp insurance",'T12 Raw Data'!B:B,0)),0)</f>
        <v/>
      </c>
      <c r="E36" s="144">
        <f>IFERROR(INDEX('T12 Raw Data'!I:I,MATCH("Workers' comp insurance",'T12 Raw Data'!B:B,0)),0)</f>
        <v/>
      </c>
      <c r="F36" s="144">
        <f>IFERROR(INDEX('T12 Raw Data'!J:J,MATCH("Workers' comp insurance",'T12 Raw Data'!B:B,0)),0)</f>
        <v/>
      </c>
      <c r="G36" s="144">
        <f>IFERROR(INDEX('T12 Raw Data'!K:K,MATCH("Workers' comp insurance",'T12 Raw Data'!B:B,0)),0)</f>
        <v/>
      </c>
      <c r="H36" s="144">
        <f>IFERROR(INDEX('T12 Raw Data'!L:L,MATCH("Workers' comp insurance",'T12 Raw Data'!B:B,0)),0)</f>
        <v/>
      </c>
      <c r="I36" s="144">
        <f>IFERROR(INDEX('T12 Raw Data'!M:M,MATCH("Workers' comp insurance",'T12 Raw Data'!B:B,0)),0)</f>
        <v/>
      </c>
      <c r="J36" s="144">
        <f>IFERROR(INDEX('T12 Raw Data'!N:N,MATCH("Workers' comp insurance",'T12 Raw Data'!B:B,0)),0)</f>
        <v/>
      </c>
      <c r="K36" s="144">
        <f>IFERROR(INDEX('T12 Raw Data'!O:O,MATCH("Workers' comp insurance",'T12 Raw Data'!B:B,0)),0)</f>
        <v/>
      </c>
      <c r="L36" s="144">
        <f>IFERROR(INDEX('T12 Raw Data'!P:P,MATCH("Workers' comp insurance",'T12 Raw Data'!B:B,0)),0)</f>
        <v/>
      </c>
      <c r="M36" s="144">
        <f>IFERROR(INDEX('T12 Raw Data'!Q:Q,MATCH("Workers' comp insurance",'T12 Raw Data'!B:B,0)),0)</f>
        <v/>
      </c>
      <c r="N36" s="145">
        <f>SUM(B36:M36)</f>
        <v/>
      </c>
    </row>
    <row r="37" ht="15.75" customHeight="1" s="199">
      <c r="A37" s="83" t="inlineStr">
        <is>
          <t>Employee 401(k)</t>
        </is>
      </c>
      <c r="B37" s="144">
        <f>IFERROR(INDEX('T12 Raw Data'!F:F,MATCH("Employee 401(k)",'T12 Raw Data'!B:B,0)),0)</f>
        <v/>
      </c>
      <c r="C37" s="144">
        <f>IFERROR(INDEX('T12 Raw Data'!G:G,MATCH("Employee 401(k)",'T12 Raw Data'!B:B,0)),0)</f>
        <v/>
      </c>
      <c r="D37" s="144">
        <f>IFERROR(INDEX('T12 Raw Data'!H:H,MATCH("Employee 401(k)",'T12 Raw Data'!B:B,0)),0)</f>
        <v/>
      </c>
      <c r="E37" s="144">
        <f>IFERROR(INDEX('T12 Raw Data'!I:I,MATCH("Employee 401(k)",'T12 Raw Data'!B:B,0)),0)</f>
        <v/>
      </c>
      <c r="F37" s="144">
        <f>IFERROR(INDEX('T12 Raw Data'!J:J,MATCH("Employee 401(k)",'T12 Raw Data'!B:B,0)),0)</f>
        <v/>
      </c>
      <c r="G37" s="144">
        <f>IFERROR(INDEX('T12 Raw Data'!K:K,MATCH("Employee 401(k)",'T12 Raw Data'!B:B,0)),0)</f>
        <v/>
      </c>
      <c r="H37" s="144">
        <f>IFERROR(INDEX('T12 Raw Data'!L:L,MATCH("Employee 401(k)",'T12 Raw Data'!B:B,0)),0)</f>
        <v/>
      </c>
      <c r="I37" s="144">
        <f>IFERROR(INDEX('T12 Raw Data'!M:M,MATCH("Employee 401(k)",'T12 Raw Data'!B:B,0)),0)</f>
        <v/>
      </c>
      <c r="J37" s="144">
        <f>IFERROR(INDEX('T12 Raw Data'!N:N,MATCH("Employee 401(k)",'T12 Raw Data'!B:B,0)),0)</f>
        <v/>
      </c>
      <c r="K37" s="144">
        <f>IFERROR(INDEX('T12 Raw Data'!O:O,MATCH("Employee 401(k)",'T12 Raw Data'!B:B,0)),0)</f>
        <v/>
      </c>
      <c r="L37" s="144">
        <f>IFERROR(INDEX('T12 Raw Data'!P:P,MATCH("Employee 401(k)",'T12 Raw Data'!B:B,0)),0)</f>
        <v/>
      </c>
      <c r="M37" s="144">
        <f>IFERROR(INDEX('T12 Raw Data'!Q:Q,MATCH("Employee 401(k)",'T12 Raw Data'!B:B,0)),0)</f>
        <v/>
      </c>
      <c r="N37" s="145">
        <f>SUM(B37:M37)</f>
        <v/>
      </c>
    </row>
    <row r="38" ht="15.75" customHeight="1" s="199">
      <c r="A38" s="146" t="inlineStr">
        <is>
          <t>Total payroll burden</t>
        </is>
      </c>
      <c r="B38" s="147">
        <f>B32+B33+B34+B35+B36+B37</f>
        <v/>
      </c>
      <c r="C38" s="147">
        <f>C32+C33+C34+C35+C36+C37</f>
        <v/>
      </c>
      <c r="D38" s="147">
        <f>D32+D33+D34+D35+D36+D37</f>
        <v/>
      </c>
      <c r="E38" s="147">
        <f>E32+E33+E34+E35+E36+E37</f>
        <v/>
      </c>
      <c r="F38" s="147">
        <f>F32+F33+F34+F35+F36+F37</f>
        <v/>
      </c>
      <c r="G38" s="147">
        <f>G32+G33+G34+G35+G36+G37</f>
        <v/>
      </c>
      <c r="H38" s="147">
        <f>H32+H33+H34+H35+H36+H37</f>
        <v/>
      </c>
      <c r="I38" s="147">
        <f>I32+I33+I34+I35+I36+I37</f>
        <v/>
      </c>
      <c r="J38" s="147">
        <f>J32+J33+J34+J35+J36+J37</f>
        <v/>
      </c>
      <c r="K38" s="147">
        <f>K32+K33+K34+K35+K36+K37</f>
        <v/>
      </c>
      <c r="L38" s="147">
        <f>L32+L33+L34+L35+L36+L37</f>
        <v/>
      </c>
      <c r="M38" s="147">
        <f>M32+M33+M34+M35+M36+M37</f>
        <v/>
      </c>
      <c r="N38" s="147">
        <f>N32+N33+N34+N35+N36+N37</f>
        <v/>
      </c>
    </row>
    <row r="39" ht="18" customHeight="1" s="199">
      <c r="A39" s="151" t="inlineStr">
        <is>
          <t>TOTAL LABOR &amp; BURDEN</t>
        </is>
      </c>
      <c r="B39" s="30">
        <f>B31+B38</f>
        <v/>
      </c>
      <c r="C39" s="30">
        <f>C31+C38</f>
        <v/>
      </c>
      <c r="D39" s="30">
        <f>D31+D38</f>
        <v/>
      </c>
      <c r="E39" s="30">
        <f>E31+E38</f>
        <v/>
      </c>
      <c r="F39" s="30">
        <f>F31+F38</f>
        <v/>
      </c>
      <c r="G39" s="30">
        <f>G31+G38</f>
        <v/>
      </c>
      <c r="H39" s="30">
        <f>H31+H38</f>
        <v/>
      </c>
      <c r="I39" s="30">
        <f>I31+I38</f>
        <v/>
      </c>
      <c r="J39" s="30">
        <f>J31+J38</f>
        <v/>
      </c>
      <c r="K39" s="30">
        <f>K31+K38</f>
        <v/>
      </c>
      <c r="L39" s="30">
        <f>L31+L38</f>
        <v/>
      </c>
      <c r="M39" s="30">
        <f>M31+M38</f>
        <v/>
      </c>
      <c r="N39" s="30">
        <f>N31+N38</f>
        <v/>
      </c>
    </row>
    <row r="40" ht="15.75" customHeight="1" s="199">
      <c r="A40" s="174" t="inlineStr">
        <is>
          <t>NON-LABOR</t>
        </is>
      </c>
    </row>
    <row r="41" ht="15.75" customHeight="1" s="199">
      <c r="A41" s="83" t="inlineStr">
        <is>
          <t>Food cost</t>
        </is>
      </c>
      <c r="B41" s="144">
        <f>IFERROR(INDEX('T12 Raw Data'!F:F,MATCH("Food cost",'T12 Raw Data'!B:B,0)),0)</f>
        <v/>
      </c>
      <c r="C41" s="144">
        <f>IFERROR(INDEX('T12 Raw Data'!G:G,MATCH("Food cost",'T12 Raw Data'!B:B,0)),0)</f>
        <v/>
      </c>
      <c r="D41" s="144">
        <f>IFERROR(INDEX('T12 Raw Data'!H:H,MATCH("Food cost",'T12 Raw Data'!B:B,0)),0)</f>
        <v/>
      </c>
      <c r="E41" s="144">
        <f>IFERROR(INDEX('T12 Raw Data'!I:I,MATCH("Food cost",'T12 Raw Data'!B:B,0)),0)</f>
        <v/>
      </c>
      <c r="F41" s="144">
        <f>IFERROR(INDEX('T12 Raw Data'!J:J,MATCH("Food cost",'T12 Raw Data'!B:B,0)),0)</f>
        <v/>
      </c>
      <c r="G41" s="144">
        <f>IFERROR(INDEX('T12 Raw Data'!K:K,MATCH("Food cost",'T12 Raw Data'!B:B,0)),0)</f>
        <v/>
      </c>
      <c r="H41" s="144">
        <f>IFERROR(INDEX('T12 Raw Data'!L:L,MATCH("Food cost",'T12 Raw Data'!B:B,0)),0)</f>
        <v/>
      </c>
      <c r="I41" s="144">
        <f>IFERROR(INDEX('T12 Raw Data'!M:M,MATCH("Food cost",'T12 Raw Data'!B:B,0)),0)</f>
        <v/>
      </c>
      <c r="J41" s="144">
        <f>IFERROR(INDEX('T12 Raw Data'!N:N,MATCH("Food cost",'T12 Raw Data'!B:B,0)),0)</f>
        <v/>
      </c>
      <c r="K41" s="144">
        <f>IFERROR(INDEX('T12 Raw Data'!O:O,MATCH("Food cost",'T12 Raw Data'!B:B,0)),0)</f>
        <v/>
      </c>
      <c r="L41" s="144">
        <f>IFERROR(INDEX('T12 Raw Data'!P:P,MATCH("Food cost",'T12 Raw Data'!B:B,0)),0)</f>
        <v/>
      </c>
      <c r="M41" s="144">
        <f>IFERROR(INDEX('T12 Raw Data'!Q:Q,MATCH("Food cost",'T12 Raw Data'!B:B,0)),0)</f>
        <v/>
      </c>
      <c r="N41" s="145">
        <f>SUM(B41:M41)</f>
        <v/>
      </c>
    </row>
    <row r="42" ht="15.75" customHeight="1" s="199">
      <c r="A42" s="83" t="inlineStr">
        <is>
          <t>Dining &amp; kitchen supplies</t>
        </is>
      </c>
      <c r="B42" s="144">
        <f>IFERROR(INDEX('T12 Raw Data'!F:F,MATCH("Dining &amp; kitchen supplies",'T12 Raw Data'!B:B,0)),0)</f>
        <v/>
      </c>
      <c r="C42" s="144">
        <f>IFERROR(INDEX('T12 Raw Data'!G:G,MATCH("Dining &amp; kitchen supplies",'T12 Raw Data'!B:B,0)),0)</f>
        <v/>
      </c>
      <c r="D42" s="144">
        <f>IFERROR(INDEX('T12 Raw Data'!H:H,MATCH("Dining &amp; kitchen supplies",'T12 Raw Data'!B:B,0)),0)</f>
        <v/>
      </c>
      <c r="E42" s="144">
        <f>IFERROR(INDEX('T12 Raw Data'!I:I,MATCH("Dining &amp; kitchen supplies",'T12 Raw Data'!B:B,0)),0)</f>
        <v/>
      </c>
      <c r="F42" s="144">
        <f>IFERROR(INDEX('T12 Raw Data'!J:J,MATCH("Dining &amp; kitchen supplies",'T12 Raw Data'!B:B,0)),0)</f>
        <v/>
      </c>
      <c r="G42" s="144">
        <f>IFERROR(INDEX('T12 Raw Data'!K:K,MATCH("Dining &amp; kitchen supplies",'T12 Raw Data'!B:B,0)),0)</f>
        <v/>
      </c>
      <c r="H42" s="144">
        <f>IFERROR(INDEX('T12 Raw Data'!L:L,MATCH("Dining &amp; kitchen supplies",'T12 Raw Data'!B:B,0)),0)</f>
        <v/>
      </c>
      <c r="I42" s="144">
        <f>IFERROR(INDEX('T12 Raw Data'!M:M,MATCH("Dining &amp; kitchen supplies",'T12 Raw Data'!B:B,0)),0)</f>
        <v/>
      </c>
      <c r="J42" s="144">
        <f>IFERROR(INDEX('T12 Raw Data'!N:N,MATCH("Dining &amp; kitchen supplies",'T12 Raw Data'!B:B,0)),0)</f>
        <v/>
      </c>
      <c r="K42" s="144">
        <f>IFERROR(INDEX('T12 Raw Data'!O:O,MATCH("Dining &amp; kitchen supplies",'T12 Raw Data'!B:B,0)),0)</f>
        <v/>
      </c>
      <c r="L42" s="144">
        <f>IFERROR(INDEX('T12 Raw Data'!P:P,MATCH("Dining &amp; kitchen supplies",'T12 Raw Data'!B:B,0)),0)</f>
        <v/>
      </c>
      <c r="M42" s="144">
        <f>IFERROR(INDEX('T12 Raw Data'!Q:Q,MATCH("Dining &amp; kitchen supplies",'T12 Raw Data'!B:B,0)),0)</f>
        <v/>
      </c>
      <c r="N42" s="145">
        <f>SUM(B42:M42)</f>
        <v/>
      </c>
    </row>
    <row r="43" ht="15.75" customHeight="1" s="199">
      <c r="A43" s="83" t="inlineStr">
        <is>
          <t>Nursing &amp; care supplies</t>
        </is>
      </c>
      <c r="B43" s="144">
        <f>IFERROR(INDEX('T12 Raw Data'!F:F,MATCH("Nursing &amp; care supplies",'T12 Raw Data'!B:B,0)),0)</f>
        <v/>
      </c>
      <c r="C43" s="144">
        <f>IFERROR(INDEX('T12 Raw Data'!G:G,MATCH("Nursing &amp; care supplies",'T12 Raw Data'!B:B,0)),0)</f>
        <v/>
      </c>
      <c r="D43" s="144">
        <f>IFERROR(INDEX('T12 Raw Data'!H:H,MATCH("Nursing &amp; care supplies",'T12 Raw Data'!B:B,0)),0)</f>
        <v/>
      </c>
      <c r="E43" s="144">
        <f>IFERROR(INDEX('T12 Raw Data'!I:I,MATCH("Nursing &amp; care supplies",'T12 Raw Data'!B:B,0)),0)</f>
        <v/>
      </c>
      <c r="F43" s="144">
        <f>IFERROR(INDEX('T12 Raw Data'!J:J,MATCH("Nursing &amp; care supplies",'T12 Raw Data'!B:B,0)),0)</f>
        <v/>
      </c>
      <c r="G43" s="144">
        <f>IFERROR(INDEX('T12 Raw Data'!K:K,MATCH("Nursing &amp; care supplies",'T12 Raw Data'!B:B,0)),0)</f>
        <v/>
      </c>
      <c r="H43" s="144">
        <f>IFERROR(INDEX('T12 Raw Data'!L:L,MATCH("Nursing &amp; care supplies",'T12 Raw Data'!B:B,0)),0)</f>
        <v/>
      </c>
      <c r="I43" s="144">
        <f>IFERROR(INDEX('T12 Raw Data'!M:M,MATCH("Nursing &amp; care supplies",'T12 Raw Data'!B:B,0)),0)</f>
        <v/>
      </c>
      <c r="J43" s="144">
        <f>IFERROR(INDEX('T12 Raw Data'!N:N,MATCH("Nursing &amp; care supplies",'T12 Raw Data'!B:B,0)),0)</f>
        <v/>
      </c>
      <c r="K43" s="144">
        <f>IFERROR(INDEX('T12 Raw Data'!O:O,MATCH("Nursing &amp; care supplies",'T12 Raw Data'!B:B,0)),0)</f>
        <v/>
      </c>
      <c r="L43" s="144">
        <f>IFERROR(INDEX('T12 Raw Data'!P:P,MATCH("Nursing &amp; care supplies",'T12 Raw Data'!B:B,0)),0)</f>
        <v/>
      </c>
      <c r="M43" s="144">
        <f>IFERROR(INDEX('T12 Raw Data'!Q:Q,MATCH("Nursing &amp; care supplies",'T12 Raw Data'!B:B,0)),0)</f>
        <v/>
      </c>
      <c r="N43" s="145">
        <f>SUM(B43:M43)</f>
        <v/>
      </c>
    </row>
    <row r="44" ht="15.75" customHeight="1" s="199">
      <c r="A44" s="83" t="inlineStr">
        <is>
          <t>Recreation supplies</t>
        </is>
      </c>
      <c r="B44" s="144">
        <f>IFERROR(INDEX('T12 Raw Data'!F:F,MATCH("Recreation &amp; activity suppl.",'T12 Raw Data'!B:B,0)),0)</f>
        <v/>
      </c>
      <c r="C44" s="144">
        <f>IFERROR(INDEX('T12 Raw Data'!G:G,MATCH("Recreation &amp; activity suppl.",'T12 Raw Data'!B:B,0)),0)</f>
        <v/>
      </c>
      <c r="D44" s="144">
        <f>IFERROR(INDEX('T12 Raw Data'!H:H,MATCH("Recreation &amp; activity suppl.",'T12 Raw Data'!B:B,0)),0)</f>
        <v/>
      </c>
      <c r="E44" s="144">
        <f>IFERROR(INDEX('T12 Raw Data'!I:I,MATCH("Recreation &amp; activity suppl.",'T12 Raw Data'!B:B,0)),0)</f>
        <v/>
      </c>
      <c r="F44" s="144">
        <f>IFERROR(INDEX('T12 Raw Data'!J:J,MATCH("Recreation &amp; activity suppl.",'T12 Raw Data'!B:B,0)),0)</f>
        <v/>
      </c>
      <c r="G44" s="144">
        <f>IFERROR(INDEX('T12 Raw Data'!K:K,MATCH("Recreation &amp; activity suppl.",'T12 Raw Data'!B:B,0)),0)</f>
        <v/>
      </c>
      <c r="H44" s="144">
        <f>IFERROR(INDEX('T12 Raw Data'!L:L,MATCH("Recreation &amp; activity suppl.",'T12 Raw Data'!B:B,0)),0)</f>
        <v/>
      </c>
      <c r="I44" s="144">
        <f>IFERROR(INDEX('T12 Raw Data'!M:M,MATCH("Recreation &amp; activity suppl.",'T12 Raw Data'!B:B,0)),0)</f>
        <v/>
      </c>
      <c r="J44" s="144">
        <f>IFERROR(INDEX('T12 Raw Data'!N:N,MATCH("Recreation &amp; activity suppl.",'T12 Raw Data'!B:B,0)),0)</f>
        <v/>
      </c>
      <c r="K44" s="144">
        <f>IFERROR(INDEX('T12 Raw Data'!O:O,MATCH("Recreation &amp; activity suppl.",'T12 Raw Data'!B:B,0)),0)</f>
        <v/>
      </c>
      <c r="L44" s="144">
        <f>IFERROR(INDEX('T12 Raw Data'!P:P,MATCH("Recreation &amp; activity suppl.",'T12 Raw Data'!B:B,0)),0)</f>
        <v/>
      </c>
      <c r="M44" s="144">
        <f>IFERROR(INDEX('T12 Raw Data'!Q:Q,MATCH("Recreation &amp; activity suppl.",'T12 Raw Data'!B:B,0)),0)</f>
        <v/>
      </c>
      <c r="N44" s="145">
        <f>SUM(B44:M44)</f>
        <v/>
      </c>
    </row>
    <row r="45" ht="15.75" customHeight="1" s="199">
      <c r="A45" s="83" t="inlineStr">
        <is>
          <t>R&amp;M fixed</t>
        </is>
      </c>
      <c r="B45" s="144">
        <f>IFERROR(INDEX('T12 Raw Data'!F:F,MATCH("R&amp;M fixed",'T12 Raw Data'!B:B,0)),0)</f>
        <v/>
      </c>
      <c r="C45" s="144">
        <f>IFERROR(INDEX('T12 Raw Data'!G:G,MATCH("R&amp;M fixed",'T12 Raw Data'!B:B,0)),0)</f>
        <v/>
      </c>
      <c r="D45" s="144">
        <f>IFERROR(INDEX('T12 Raw Data'!H:H,MATCH("R&amp;M fixed",'T12 Raw Data'!B:B,0)),0)</f>
        <v/>
      </c>
      <c r="E45" s="144">
        <f>IFERROR(INDEX('T12 Raw Data'!I:I,MATCH("R&amp;M fixed",'T12 Raw Data'!B:B,0)),0)</f>
        <v/>
      </c>
      <c r="F45" s="144">
        <f>IFERROR(INDEX('T12 Raw Data'!J:J,MATCH("R&amp;M fixed",'T12 Raw Data'!B:B,0)),0)</f>
        <v/>
      </c>
      <c r="G45" s="144">
        <f>IFERROR(INDEX('T12 Raw Data'!K:K,MATCH("R&amp;M fixed",'T12 Raw Data'!B:B,0)),0)</f>
        <v/>
      </c>
      <c r="H45" s="144">
        <f>IFERROR(INDEX('T12 Raw Data'!L:L,MATCH("R&amp;M fixed",'T12 Raw Data'!B:B,0)),0)</f>
        <v/>
      </c>
      <c r="I45" s="144">
        <f>IFERROR(INDEX('T12 Raw Data'!M:M,MATCH("R&amp;M fixed",'T12 Raw Data'!B:B,0)),0)</f>
        <v/>
      </c>
      <c r="J45" s="144">
        <f>IFERROR(INDEX('T12 Raw Data'!N:N,MATCH("R&amp;M fixed",'T12 Raw Data'!B:B,0)),0)</f>
        <v/>
      </c>
      <c r="K45" s="144">
        <f>IFERROR(INDEX('T12 Raw Data'!O:O,MATCH("R&amp;M fixed",'T12 Raw Data'!B:B,0)),0)</f>
        <v/>
      </c>
      <c r="L45" s="144">
        <f>IFERROR(INDEX('T12 Raw Data'!P:P,MATCH("R&amp;M fixed",'T12 Raw Data'!B:B,0)),0)</f>
        <v/>
      </c>
      <c r="M45" s="144">
        <f>IFERROR(INDEX('T12 Raw Data'!Q:Q,MATCH("R&amp;M fixed",'T12 Raw Data'!B:B,0)),0)</f>
        <v/>
      </c>
      <c r="N45" s="145">
        <f>SUM(B45:M45)</f>
        <v/>
      </c>
    </row>
    <row r="46" ht="15.75" customHeight="1" s="199">
      <c r="A46" s="83" t="inlineStr">
        <is>
          <t>R&amp;M variable</t>
        </is>
      </c>
      <c r="B46" s="144">
        <f>IFERROR(INDEX('T12 Raw Data'!F:F,MATCH("R&amp;M variable",'T12 Raw Data'!B:B,0)),0)</f>
        <v/>
      </c>
      <c r="C46" s="144">
        <f>IFERROR(INDEX('T12 Raw Data'!G:G,MATCH("R&amp;M variable",'T12 Raw Data'!B:B,0)),0)</f>
        <v/>
      </c>
      <c r="D46" s="144">
        <f>IFERROR(INDEX('T12 Raw Data'!H:H,MATCH("R&amp;M variable",'T12 Raw Data'!B:B,0)),0)</f>
        <v/>
      </c>
      <c r="E46" s="144">
        <f>IFERROR(INDEX('T12 Raw Data'!I:I,MATCH("R&amp;M variable",'T12 Raw Data'!B:B,0)),0)</f>
        <v/>
      </c>
      <c r="F46" s="144">
        <f>IFERROR(INDEX('T12 Raw Data'!J:J,MATCH("R&amp;M variable",'T12 Raw Data'!B:B,0)),0)</f>
        <v/>
      </c>
      <c r="G46" s="144">
        <f>IFERROR(INDEX('T12 Raw Data'!K:K,MATCH("R&amp;M variable",'T12 Raw Data'!B:B,0)),0)</f>
        <v/>
      </c>
      <c r="H46" s="144">
        <f>IFERROR(INDEX('T12 Raw Data'!L:L,MATCH("R&amp;M variable",'T12 Raw Data'!B:B,0)),0)</f>
        <v/>
      </c>
      <c r="I46" s="144">
        <f>IFERROR(INDEX('T12 Raw Data'!M:M,MATCH("R&amp;M variable",'T12 Raw Data'!B:B,0)),0)</f>
        <v/>
      </c>
      <c r="J46" s="144">
        <f>IFERROR(INDEX('T12 Raw Data'!N:N,MATCH("R&amp;M variable",'T12 Raw Data'!B:B,0)),0)</f>
        <v/>
      </c>
      <c r="K46" s="144">
        <f>IFERROR(INDEX('T12 Raw Data'!O:O,MATCH("R&amp;M variable",'T12 Raw Data'!B:B,0)),0)</f>
        <v/>
      </c>
      <c r="L46" s="144">
        <f>IFERROR(INDEX('T12 Raw Data'!P:P,MATCH("R&amp;M variable",'T12 Raw Data'!B:B,0)),0)</f>
        <v/>
      </c>
      <c r="M46" s="144">
        <f>IFERROR(INDEX('T12 Raw Data'!Q:Q,MATCH("R&amp;M variable",'T12 Raw Data'!B:B,0)),0)</f>
        <v/>
      </c>
      <c r="N46" s="145">
        <f>SUM(B46:M46)</f>
        <v/>
      </c>
    </row>
    <row r="47" ht="15.75" customHeight="1" s="199">
      <c r="A47" s="83" t="inlineStr">
        <is>
          <t>HK &amp; laundry supplies</t>
        </is>
      </c>
      <c r="B47" s="144">
        <f>IFERROR(INDEX('T12 Raw Data'!F:F,MATCH("HK &amp; laundry supplies",'T12 Raw Data'!B:B,0)),0)</f>
        <v/>
      </c>
      <c r="C47" s="144">
        <f>IFERROR(INDEX('T12 Raw Data'!G:G,MATCH("HK &amp; laundry supplies",'T12 Raw Data'!B:B,0)),0)</f>
        <v/>
      </c>
      <c r="D47" s="144">
        <f>IFERROR(INDEX('T12 Raw Data'!H:H,MATCH("HK &amp; laundry supplies",'T12 Raw Data'!B:B,0)),0)</f>
        <v/>
      </c>
      <c r="E47" s="144">
        <f>IFERROR(INDEX('T12 Raw Data'!I:I,MATCH("HK &amp; laundry supplies",'T12 Raw Data'!B:B,0)),0)</f>
        <v/>
      </c>
      <c r="F47" s="144">
        <f>IFERROR(INDEX('T12 Raw Data'!J:J,MATCH("HK &amp; laundry supplies",'T12 Raw Data'!B:B,0)),0)</f>
        <v/>
      </c>
      <c r="G47" s="144">
        <f>IFERROR(INDEX('T12 Raw Data'!K:K,MATCH("HK &amp; laundry supplies",'T12 Raw Data'!B:B,0)),0)</f>
        <v/>
      </c>
      <c r="H47" s="144">
        <f>IFERROR(INDEX('T12 Raw Data'!L:L,MATCH("HK &amp; laundry supplies",'T12 Raw Data'!B:B,0)),0)</f>
        <v/>
      </c>
      <c r="I47" s="144">
        <f>IFERROR(INDEX('T12 Raw Data'!M:M,MATCH("HK &amp; laundry supplies",'T12 Raw Data'!B:B,0)),0)</f>
        <v/>
      </c>
      <c r="J47" s="144">
        <f>IFERROR(INDEX('T12 Raw Data'!N:N,MATCH("HK &amp; laundry supplies",'T12 Raw Data'!B:B,0)),0)</f>
        <v/>
      </c>
      <c r="K47" s="144">
        <f>IFERROR(INDEX('T12 Raw Data'!O:O,MATCH("HK &amp; laundry supplies",'T12 Raw Data'!B:B,0)),0)</f>
        <v/>
      </c>
      <c r="L47" s="144">
        <f>IFERROR(INDEX('T12 Raw Data'!P:P,MATCH("HK &amp; laundry supplies",'T12 Raw Data'!B:B,0)),0)</f>
        <v/>
      </c>
      <c r="M47" s="144">
        <f>IFERROR(INDEX('T12 Raw Data'!Q:Q,MATCH("HK &amp; laundry supplies",'T12 Raw Data'!B:B,0)),0)</f>
        <v/>
      </c>
      <c r="N47" s="145">
        <f>SUM(B47:M47)</f>
        <v/>
      </c>
    </row>
    <row r="48" ht="15.75" customHeight="1" s="199">
      <c r="A48" s="83" t="inlineStr">
        <is>
          <t>Sales, adv. &amp; marketing</t>
        </is>
      </c>
      <c r="B48" s="144">
        <f>IFERROR(INDEX('T12 Raw Data'!F:F,MATCH("Sales, adv. &amp; marketing",'T12 Raw Data'!B:B,0)),0)</f>
        <v/>
      </c>
      <c r="C48" s="144">
        <f>IFERROR(INDEX('T12 Raw Data'!G:G,MATCH("Sales, adv. &amp; marketing",'T12 Raw Data'!B:B,0)),0)</f>
        <v/>
      </c>
      <c r="D48" s="144">
        <f>IFERROR(INDEX('T12 Raw Data'!H:H,MATCH("Sales, adv. &amp; marketing",'T12 Raw Data'!B:B,0)),0)</f>
        <v/>
      </c>
      <c r="E48" s="144">
        <f>IFERROR(INDEX('T12 Raw Data'!I:I,MATCH("Sales, adv. &amp; marketing",'T12 Raw Data'!B:B,0)),0)</f>
        <v/>
      </c>
      <c r="F48" s="144">
        <f>IFERROR(INDEX('T12 Raw Data'!J:J,MATCH("Sales, adv. &amp; marketing",'T12 Raw Data'!B:B,0)),0)</f>
        <v/>
      </c>
      <c r="G48" s="144">
        <f>IFERROR(INDEX('T12 Raw Data'!K:K,MATCH("Sales, adv. &amp; marketing",'T12 Raw Data'!B:B,0)),0)</f>
        <v/>
      </c>
      <c r="H48" s="144">
        <f>IFERROR(INDEX('T12 Raw Data'!L:L,MATCH("Sales, adv. &amp; marketing",'T12 Raw Data'!B:B,0)),0)</f>
        <v/>
      </c>
      <c r="I48" s="144">
        <f>IFERROR(INDEX('T12 Raw Data'!M:M,MATCH("Sales, adv. &amp; marketing",'T12 Raw Data'!B:B,0)),0)</f>
        <v/>
      </c>
      <c r="J48" s="144">
        <f>IFERROR(INDEX('T12 Raw Data'!N:N,MATCH("Sales, adv. &amp; marketing",'T12 Raw Data'!B:B,0)),0)</f>
        <v/>
      </c>
      <c r="K48" s="144">
        <f>IFERROR(INDEX('T12 Raw Data'!O:O,MATCH("Sales, adv. &amp; marketing",'T12 Raw Data'!B:B,0)),0)</f>
        <v/>
      </c>
      <c r="L48" s="144">
        <f>IFERROR(INDEX('T12 Raw Data'!P:P,MATCH("Sales, adv. &amp; marketing",'T12 Raw Data'!B:B,0)),0)</f>
        <v/>
      </c>
      <c r="M48" s="144">
        <f>IFERROR(INDEX('T12 Raw Data'!Q:Q,MATCH("Sales, adv. &amp; marketing",'T12 Raw Data'!B:B,0)),0)</f>
        <v/>
      </c>
      <c r="N48" s="145">
        <f>SUM(B48:M48)</f>
        <v/>
      </c>
    </row>
    <row r="49" ht="15.75" customHeight="1" s="199">
      <c r="A49" s="83" t="inlineStr">
        <is>
          <t>Referral fees</t>
        </is>
      </c>
      <c r="B49" s="144">
        <f>IFERROR(INDEX('T12 Raw Data'!F:F,MATCH("Referral fees",'T12 Raw Data'!B:B,0)),0)</f>
        <v/>
      </c>
      <c r="C49" s="144">
        <f>IFERROR(INDEX('T12 Raw Data'!G:G,MATCH("Referral fees",'T12 Raw Data'!B:B,0)),0)</f>
        <v/>
      </c>
      <c r="D49" s="144">
        <f>IFERROR(INDEX('T12 Raw Data'!H:H,MATCH("Referral fees",'T12 Raw Data'!B:B,0)),0)</f>
        <v/>
      </c>
      <c r="E49" s="144">
        <f>IFERROR(INDEX('T12 Raw Data'!I:I,MATCH("Referral fees",'T12 Raw Data'!B:B,0)),0)</f>
        <v/>
      </c>
      <c r="F49" s="144">
        <f>IFERROR(INDEX('T12 Raw Data'!J:J,MATCH("Referral fees",'T12 Raw Data'!B:B,0)),0)</f>
        <v/>
      </c>
      <c r="G49" s="144">
        <f>IFERROR(INDEX('T12 Raw Data'!K:K,MATCH("Referral fees",'T12 Raw Data'!B:B,0)),0)</f>
        <v/>
      </c>
      <c r="H49" s="144">
        <f>IFERROR(INDEX('T12 Raw Data'!L:L,MATCH("Referral fees",'T12 Raw Data'!B:B,0)),0)</f>
        <v/>
      </c>
      <c r="I49" s="144">
        <f>IFERROR(INDEX('T12 Raw Data'!M:M,MATCH("Referral fees",'T12 Raw Data'!B:B,0)),0)</f>
        <v/>
      </c>
      <c r="J49" s="144">
        <f>IFERROR(INDEX('T12 Raw Data'!N:N,MATCH("Referral fees",'T12 Raw Data'!B:B,0)),0)</f>
        <v/>
      </c>
      <c r="K49" s="144">
        <f>IFERROR(INDEX('T12 Raw Data'!O:O,MATCH("Referral fees",'T12 Raw Data'!B:B,0)),0)</f>
        <v/>
      </c>
      <c r="L49" s="144">
        <f>IFERROR(INDEX('T12 Raw Data'!P:P,MATCH("Referral fees",'T12 Raw Data'!B:B,0)),0)</f>
        <v/>
      </c>
      <c r="M49" s="144">
        <f>IFERROR(INDEX('T12 Raw Data'!Q:Q,MATCH("Referral fees",'T12 Raw Data'!B:B,0)),0)</f>
        <v/>
      </c>
      <c r="N49" s="145">
        <f>SUM(B49:M49)</f>
        <v/>
      </c>
    </row>
    <row r="50" ht="15.75" customHeight="1" s="199">
      <c r="A50" s="83" t="inlineStr">
        <is>
          <t>Utilities</t>
        </is>
      </c>
      <c r="B50" s="144">
        <f>IFERROR(INDEX('T12 Raw Data'!F:F,MATCH("Utilities",'T12 Raw Data'!B:B,0)),0)</f>
        <v/>
      </c>
      <c r="C50" s="144">
        <f>IFERROR(INDEX('T12 Raw Data'!G:G,MATCH("Utilities",'T12 Raw Data'!B:B,0)),0)</f>
        <v/>
      </c>
      <c r="D50" s="144">
        <f>IFERROR(INDEX('T12 Raw Data'!H:H,MATCH("Utilities",'T12 Raw Data'!B:B,0)),0)</f>
        <v/>
      </c>
      <c r="E50" s="144">
        <f>IFERROR(INDEX('T12 Raw Data'!I:I,MATCH("Utilities",'T12 Raw Data'!B:B,0)),0)</f>
        <v/>
      </c>
      <c r="F50" s="144">
        <f>IFERROR(INDEX('T12 Raw Data'!J:J,MATCH("Utilities",'T12 Raw Data'!B:B,0)),0)</f>
        <v/>
      </c>
      <c r="G50" s="144">
        <f>IFERROR(INDEX('T12 Raw Data'!K:K,MATCH("Utilities",'T12 Raw Data'!B:B,0)),0)</f>
        <v/>
      </c>
      <c r="H50" s="144">
        <f>IFERROR(INDEX('T12 Raw Data'!L:L,MATCH("Utilities",'T12 Raw Data'!B:B,0)),0)</f>
        <v/>
      </c>
      <c r="I50" s="144">
        <f>IFERROR(INDEX('T12 Raw Data'!M:M,MATCH("Utilities",'T12 Raw Data'!B:B,0)),0)</f>
        <v/>
      </c>
      <c r="J50" s="144">
        <f>IFERROR(INDEX('T12 Raw Data'!N:N,MATCH("Utilities",'T12 Raw Data'!B:B,0)),0)</f>
        <v/>
      </c>
      <c r="K50" s="144">
        <f>IFERROR(INDEX('T12 Raw Data'!O:O,MATCH("Utilities",'T12 Raw Data'!B:B,0)),0)</f>
        <v/>
      </c>
      <c r="L50" s="144">
        <f>IFERROR(INDEX('T12 Raw Data'!P:P,MATCH("Utilities",'T12 Raw Data'!B:B,0)),0)</f>
        <v/>
      </c>
      <c r="M50" s="144">
        <f>IFERROR(INDEX('T12 Raw Data'!Q:Q,MATCH("Utilities",'T12 Raw Data'!B:B,0)),0)</f>
        <v/>
      </c>
      <c r="N50" s="145">
        <f>SUM(B50:M50)</f>
        <v/>
      </c>
    </row>
    <row r="51" ht="15.75" customHeight="1" s="199">
      <c r="A51" s="83" t="inlineStr">
        <is>
          <t>Telephone / IT</t>
        </is>
      </c>
      <c r="B51" s="144">
        <f>IFERROR(INDEX('T12 Raw Data'!F:F,MATCH("Telephone / IT",'T12 Raw Data'!B:B,0)),0)</f>
        <v/>
      </c>
      <c r="C51" s="144">
        <f>IFERROR(INDEX('T12 Raw Data'!G:G,MATCH("Telephone / IT",'T12 Raw Data'!B:B,0)),0)</f>
        <v/>
      </c>
      <c r="D51" s="144">
        <f>IFERROR(INDEX('T12 Raw Data'!H:H,MATCH("Telephone / IT",'T12 Raw Data'!B:B,0)),0)</f>
        <v/>
      </c>
      <c r="E51" s="144">
        <f>IFERROR(INDEX('T12 Raw Data'!I:I,MATCH("Telephone / IT",'T12 Raw Data'!B:B,0)),0)</f>
        <v/>
      </c>
      <c r="F51" s="144">
        <f>IFERROR(INDEX('T12 Raw Data'!J:J,MATCH("Telephone / IT",'T12 Raw Data'!B:B,0)),0)</f>
        <v/>
      </c>
      <c r="G51" s="144">
        <f>IFERROR(INDEX('T12 Raw Data'!K:K,MATCH("Telephone / IT",'T12 Raw Data'!B:B,0)),0)</f>
        <v/>
      </c>
      <c r="H51" s="144">
        <f>IFERROR(INDEX('T12 Raw Data'!L:L,MATCH("Telephone / IT",'T12 Raw Data'!B:B,0)),0)</f>
        <v/>
      </c>
      <c r="I51" s="144">
        <f>IFERROR(INDEX('T12 Raw Data'!M:M,MATCH("Telephone / IT",'T12 Raw Data'!B:B,0)),0)</f>
        <v/>
      </c>
      <c r="J51" s="144">
        <f>IFERROR(INDEX('T12 Raw Data'!N:N,MATCH("Telephone / IT",'T12 Raw Data'!B:B,0)),0)</f>
        <v/>
      </c>
      <c r="K51" s="144">
        <f>IFERROR(INDEX('T12 Raw Data'!O:O,MATCH("Telephone / IT",'T12 Raw Data'!B:B,0)),0)</f>
        <v/>
      </c>
      <c r="L51" s="144">
        <f>IFERROR(INDEX('T12 Raw Data'!P:P,MATCH("Telephone / IT",'T12 Raw Data'!B:B,0)),0)</f>
        <v/>
      </c>
      <c r="M51" s="144">
        <f>IFERROR(INDEX('T12 Raw Data'!Q:Q,MATCH("Telephone / IT",'T12 Raw Data'!B:B,0)),0)</f>
        <v/>
      </c>
      <c r="N51" s="145">
        <f>SUM(B51:M51)</f>
        <v/>
      </c>
    </row>
    <row r="52" ht="15.75" customHeight="1" s="199">
      <c r="A52" s="83" t="inlineStr">
        <is>
          <t>P&amp;C insurance</t>
        </is>
      </c>
      <c r="B52" s="144">
        <f>IFERROR(INDEX('T12 Raw Data'!F:F,MATCH("P&amp;C insurance (bundled)",'T12 Raw Data'!B:B,0)),0)</f>
        <v/>
      </c>
      <c r="C52" s="144">
        <f>IFERROR(INDEX('T12 Raw Data'!G:G,MATCH("P&amp;C insurance (bundled)",'T12 Raw Data'!B:B,0)),0)</f>
        <v/>
      </c>
      <c r="D52" s="144">
        <f>IFERROR(INDEX('T12 Raw Data'!H:H,MATCH("P&amp;C insurance (bundled)",'T12 Raw Data'!B:B,0)),0)</f>
        <v/>
      </c>
      <c r="E52" s="144">
        <f>IFERROR(INDEX('T12 Raw Data'!I:I,MATCH("P&amp;C insurance (bundled)",'T12 Raw Data'!B:B,0)),0)</f>
        <v/>
      </c>
      <c r="F52" s="144">
        <f>IFERROR(INDEX('T12 Raw Data'!J:J,MATCH("P&amp;C insurance (bundled)",'T12 Raw Data'!B:B,0)),0)</f>
        <v/>
      </c>
      <c r="G52" s="144">
        <f>IFERROR(INDEX('T12 Raw Data'!K:K,MATCH("P&amp;C insurance (bundled)",'T12 Raw Data'!B:B,0)),0)</f>
        <v/>
      </c>
      <c r="H52" s="144">
        <f>IFERROR(INDEX('T12 Raw Data'!L:L,MATCH("P&amp;C insurance (bundled)",'T12 Raw Data'!B:B,0)),0)</f>
        <v/>
      </c>
      <c r="I52" s="144">
        <f>IFERROR(INDEX('T12 Raw Data'!M:M,MATCH("P&amp;C insurance (bundled)",'T12 Raw Data'!B:B,0)),0)</f>
        <v/>
      </c>
      <c r="J52" s="144">
        <f>IFERROR(INDEX('T12 Raw Data'!N:N,MATCH("P&amp;C insurance (bundled)",'T12 Raw Data'!B:B,0)),0)</f>
        <v/>
      </c>
      <c r="K52" s="144">
        <f>IFERROR(INDEX('T12 Raw Data'!O:O,MATCH("P&amp;C insurance (bundled)",'T12 Raw Data'!B:B,0)),0)</f>
        <v/>
      </c>
      <c r="L52" s="144">
        <f>IFERROR(INDEX('T12 Raw Data'!P:P,MATCH("P&amp;C insurance (bundled)",'T12 Raw Data'!B:B,0)),0)</f>
        <v/>
      </c>
      <c r="M52" s="144">
        <f>IFERROR(INDEX('T12 Raw Data'!Q:Q,MATCH("P&amp;C insurance (bundled)",'T12 Raw Data'!B:B,0)),0)</f>
        <v/>
      </c>
      <c r="N52" s="145">
        <f>SUM(B52:M52)</f>
        <v/>
      </c>
    </row>
    <row r="53" ht="15.75" customHeight="1" s="199">
      <c r="A53" s="83" t="inlineStr">
        <is>
          <t>Auto insurance</t>
        </is>
      </c>
      <c r="B53" s="144">
        <f>IFERROR(INDEX('T12 Raw Data'!F:F,MATCH("Auto insurance",'T12 Raw Data'!B:B,0)),0)</f>
        <v/>
      </c>
      <c r="C53" s="144">
        <f>IFERROR(INDEX('T12 Raw Data'!G:G,MATCH("Auto insurance",'T12 Raw Data'!B:B,0)),0)</f>
        <v/>
      </c>
      <c r="D53" s="144">
        <f>IFERROR(INDEX('T12 Raw Data'!H:H,MATCH("Auto insurance",'T12 Raw Data'!B:B,0)),0)</f>
        <v/>
      </c>
      <c r="E53" s="144">
        <f>IFERROR(INDEX('T12 Raw Data'!I:I,MATCH("Auto insurance",'T12 Raw Data'!B:B,0)),0)</f>
        <v/>
      </c>
      <c r="F53" s="144">
        <f>IFERROR(INDEX('T12 Raw Data'!J:J,MATCH("Auto insurance",'T12 Raw Data'!B:B,0)),0)</f>
        <v/>
      </c>
      <c r="G53" s="144">
        <f>IFERROR(INDEX('T12 Raw Data'!K:K,MATCH("Auto insurance",'T12 Raw Data'!B:B,0)),0)</f>
        <v/>
      </c>
      <c r="H53" s="144">
        <f>IFERROR(INDEX('T12 Raw Data'!L:L,MATCH("Auto insurance",'T12 Raw Data'!B:B,0)),0)</f>
        <v/>
      </c>
      <c r="I53" s="144">
        <f>IFERROR(INDEX('T12 Raw Data'!M:M,MATCH("Auto insurance",'T12 Raw Data'!B:B,0)),0)</f>
        <v/>
      </c>
      <c r="J53" s="144">
        <f>IFERROR(INDEX('T12 Raw Data'!N:N,MATCH("Auto insurance",'T12 Raw Data'!B:B,0)),0)</f>
        <v/>
      </c>
      <c r="K53" s="144">
        <f>IFERROR(INDEX('T12 Raw Data'!O:O,MATCH("Auto insurance",'T12 Raw Data'!B:B,0)),0)</f>
        <v/>
      </c>
      <c r="L53" s="144">
        <f>IFERROR(INDEX('T12 Raw Data'!P:P,MATCH("Auto insurance",'T12 Raw Data'!B:B,0)),0)</f>
        <v/>
      </c>
      <c r="M53" s="144">
        <f>IFERROR(INDEX('T12 Raw Data'!Q:Q,MATCH("Auto insurance",'T12 Raw Data'!B:B,0)),0)</f>
        <v/>
      </c>
      <c r="N53" s="145">
        <f>SUM(B53:M53)</f>
        <v/>
      </c>
    </row>
    <row r="54" ht="15.75" customHeight="1" s="199">
      <c r="A54" s="83" t="inlineStr">
        <is>
          <t>Auto Expense</t>
        </is>
      </c>
      <c r="B54" s="144">
        <f>IFERROR(INDEX('T12 Raw Data'!F:F,MATCH("Auto Expense",'T12 Raw Data'!B:B,0)),0)</f>
        <v/>
      </c>
      <c r="C54" s="144">
        <f>IFERROR(INDEX('T12 Raw Data'!G:G,MATCH("Auto Expense",'T12 Raw Data'!B:B,0)),0)</f>
        <v/>
      </c>
      <c r="D54" s="144">
        <f>IFERROR(INDEX('T12 Raw Data'!H:H,MATCH("Auto Expense",'T12 Raw Data'!B:B,0)),0)</f>
        <v/>
      </c>
      <c r="E54" s="144">
        <f>IFERROR(INDEX('T12 Raw Data'!I:I,MATCH("Auto Expense",'T12 Raw Data'!B:B,0)),0)</f>
        <v/>
      </c>
      <c r="F54" s="144">
        <f>IFERROR(INDEX('T12 Raw Data'!J:J,MATCH("Auto Expense",'T12 Raw Data'!B:B,0)),0)</f>
        <v/>
      </c>
      <c r="G54" s="144">
        <f>IFERROR(INDEX('T12 Raw Data'!K:K,MATCH("Auto Expense",'T12 Raw Data'!B:B,0)),0)</f>
        <v/>
      </c>
      <c r="H54" s="144">
        <f>IFERROR(INDEX('T12 Raw Data'!L:L,MATCH("Auto Expense",'T12 Raw Data'!B:B,0)),0)</f>
        <v/>
      </c>
      <c r="I54" s="144">
        <f>IFERROR(INDEX('T12 Raw Data'!M:M,MATCH("Auto Expense",'T12 Raw Data'!B:B,0)),0)</f>
        <v/>
      </c>
      <c r="J54" s="144">
        <f>IFERROR(INDEX('T12 Raw Data'!N:N,MATCH("Auto Expense",'T12 Raw Data'!B:B,0)),0)</f>
        <v/>
      </c>
      <c r="K54" s="144">
        <f>IFERROR(INDEX('T12 Raw Data'!O:O,MATCH("Auto Expense",'T12 Raw Data'!B:B,0)),0)</f>
        <v/>
      </c>
      <c r="L54" s="144">
        <f>IFERROR(INDEX('T12 Raw Data'!P:P,MATCH("Auto Expense",'T12 Raw Data'!B:B,0)),0)</f>
        <v/>
      </c>
      <c r="M54" s="144">
        <f>IFERROR(INDEX('T12 Raw Data'!Q:Q,MATCH("Auto Expense",'T12 Raw Data'!B:B,0)),0)</f>
        <v/>
      </c>
      <c r="N54" s="145">
        <f>SUM(B54:M54)</f>
        <v/>
      </c>
    </row>
    <row r="55" ht="15.75" customHeight="1" s="199">
      <c r="A55" s="83" t="inlineStr">
        <is>
          <t>Fire / security monitor</t>
        </is>
      </c>
      <c r="B55" s="144">
        <f>IFERROR(INDEX('T12 Raw Data'!F:F,MATCH("Fire / security monitoring",'T12 Raw Data'!B:B,0)),0)</f>
        <v/>
      </c>
      <c r="C55" s="144">
        <f>IFERROR(INDEX('T12 Raw Data'!G:G,MATCH("Fire / security monitoring",'T12 Raw Data'!B:B,0)),0)</f>
        <v/>
      </c>
      <c r="D55" s="144">
        <f>IFERROR(INDEX('T12 Raw Data'!H:H,MATCH("Fire / security monitoring",'T12 Raw Data'!B:B,0)),0)</f>
        <v/>
      </c>
      <c r="E55" s="144">
        <f>IFERROR(INDEX('T12 Raw Data'!I:I,MATCH("Fire / security monitoring",'T12 Raw Data'!B:B,0)),0)</f>
        <v/>
      </c>
      <c r="F55" s="144">
        <f>IFERROR(INDEX('T12 Raw Data'!J:J,MATCH("Fire / security monitoring",'T12 Raw Data'!B:B,0)),0)</f>
        <v/>
      </c>
      <c r="G55" s="144">
        <f>IFERROR(INDEX('T12 Raw Data'!K:K,MATCH("Fire / security monitoring",'T12 Raw Data'!B:B,0)),0)</f>
        <v/>
      </c>
      <c r="H55" s="144">
        <f>IFERROR(INDEX('T12 Raw Data'!L:L,MATCH("Fire / security monitoring",'T12 Raw Data'!B:B,0)),0)</f>
        <v/>
      </c>
      <c r="I55" s="144">
        <f>IFERROR(INDEX('T12 Raw Data'!M:M,MATCH("Fire / security monitoring",'T12 Raw Data'!B:B,0)),0)</f>
        <v/>
      </c>
      <c r="J55" s="144">
        <f>IFERROR(INDEX('T12 Raw Data'!N:N,MATCH("Fire / security monitoring",'T12 Raw Data'!B:B,0)),0)</f>
        <v/>
      </c>
      <c r="K55" s="144">
        <f>IFERROR(INDEX('T12 Raw Data'!O:O,MATCH("Fire / security monitoring",'T12 Raw Data'!B:B,0)),0)</f>
        <v/>
      </c>
      <c r="L55" s="144">
        <f>IFERROR(INDEX('T12 Raw Data'!P:P,MATCH("Fire / security monitoring",'T12 Raw Data'!B:B,0)),0)</f>
        <v/>
      </c>
      <c r="M55" s="144">
        <f>IFERROR(INDEX('T12 Raw Data'!Q:Q,MATCH("Fire / security monitoring",'T12 Raw Data'!B:B,0)),0)</f>
        <v/>
      </c>
      <c r="N55" s="145">
        <f>SUM(B55:M55)</f>
        <v/>
      </c>
    </row>
    <row r="56" ht="15.75" customHeight="1" s="199">
      <c r="A56" s="83" t="inlineStr">
        <is>
          <t>Pest elimination</t>
        </is>
      </c>
      <c r="B56" s="144">
        <f>IFERROR(INDEX('T12 Raw Data'!F:F,MATCH("Pest elimination",'T12 Raw Data'!B:B,0)),0)</f>
        <v/>
      </c>
      <c r="C56" s="144">
        <f>IFERROR(INDEX('T12 Raw Data'!G:G,MATCH("Pest elimination",'T12 Raw Data'!B:B,0)),0)</f>
        <v/>
      </c>
      <c r="D56" s="144">
        <f>IFERROR(INDEX('T12 Raw Data'!H:H,MATCH("Pest elimination",'T12 Raw Data'!B:B,0)),0)</f>
        <v/>
      </c>
      <c r="E56" s="144">
        <f>IFERROR(INDEX('T12 Raw Data'!I:I,MATCH("Pest elimination",'T12 Raw Data'!B:B,0)),0)</f>
        <v/>
      </c>
      <c r="F56" s="144">
        <f>IFERROR(INDEX('T12 Raw Data'!J:J,MATCH("Pest elimination",'T12 Raw Data'!B:B,0)),0)</f>
        <v/>
      </c>
      <c r="G56" s="144">
        <f>IFERROR(INDEX('T12 Raw Data'!K:K,MATCH("Pest elimination",'T12 Raw Data'!B:B,0)),0)</f>
        <v/>
      </c>
      <c r="H56" s="144">
        <f>IFERROR(INDEX('T12 Raw Data'!L:L,MATCH("Pest elimination",'T12 Raw Data'!B:B,0)),0)</f>
        <v/>
      </c>
      <c r="I56" s="144">
        <f>IFERROR(INDEX('T12 Raw Data'!M:M,MATCH("Pest elimination",'T12 Raw Data'!B:B,0)),0)</f>
        <v/>
      </c>
      <c r="J56" s="144">
        <f>IFERROR(INDEX('T12 Raw Data'!N:N,MATCH("Pest elimination",'T12 Raw Data'!B:B,0)),0)</f>
        <v/>
      </c>
      <c r="K56" s="144">
        <f>IFERROR(INDEX('T12 Raw Data'!O:O,MATCH("Pest elimination",'T12 Raw Data'!B:B,0)),0)</f>
        <v/>
      </c>
      <c r="L56" s="144">
        <f>IFERROR(INDEX('T12 Raw Data'!P:P,MATCH("Pest elimination",'T12 Raw Data'!B:B,0)),0)</f>
        <v/>
      </c>
      <c r="M56" s="144">
        <f>IFERROR(INDEX('T12 Raw Data'!Q:Q,MATCH("Pest elimination",'T12 Raw Data'!B:B,0)),0)</f>
        <v/>
      </c>
      <c r="N56" s="145">
        <f>SUM(B56:M56)</f>
        <v/>
      </c>
    </row>
    <row r="57" ht="15.75" customHeight="1" s="199">
      <c r="A57" s="83" t="inlineStr">
        <is>
          <t>Real estate taxes</t>
        </is>
      </c>
      <c r="B57" s="144">
        <f>IFERROR(INDEX('T12 Raw Data'!F:F,MATCH("Real estate taxes",'T12 Raw Data'!B:B,0)),0)</f>
        <v/>
      </c>
      <c r="C57" s="144">
        <f>IFERROR(INDEX('T12 Raw Data'!G:G,MATCH("Real estate taxes",'T12 Raw Data'!B:B,0)),0)</f>
        <v/>
      </c>
      <c r="D57" s="144">
        <f>IFERROR(INDEX('T12 Raw Data'!H:H,MATCH("Real estate taxes",'T12 Raw Data'!B:B,0)),0)</f>
        <v/>
      </c>
      <c r="E57" s="144">
        <f>IFERROR(INDEX('T12 Raw Data'!I:I,MATCH("Real estate taxes",'T12 Raw Data'!B:B,0)),0)</f>
        <v/>
      </c>
      <c r="F57" s="144">
        <f>IFERROR(INDEX('T12 Raw Data'!J:J,MATCH("Real estate taxes",'T12 Raw Data'!B:B,0)),0)</f>
        <v/>
      </c>
      <c r="G57" s="144">
        <f>IFERROR(INDEX('T12 Raw Data'!K:K,MATCH("Real estate taxes",'T12 Raw Data'!B:B,0)),0)</f>
        <v/>
      </c>
      <c r="H57" s="144">
        <f>IFERROR(INDEX('T12 Raw Data'!L:L,MATCH("Real estate taxes",'T12 Raw Data'!B:B,0)),0)</f>
        <v/>
      </c>
      <c r="I57" s="144">
        <f>IFERROR(INDEX('T12 Raw Data'!M:M,MATCH("Real estate taxes",'T12 Raw Data'!B:B,0)),0)</f>
        <v/>
      </c>
      <c r="J57" s="144">
        <f>IFERROR(INDEX('T12 Raw Data'!N:N,MATCH("Real estate taxes",'T12 Raw Data'!B:B,0)),0)</f>
        <v/>
      </c>
      <c r="K57" s="144">
        <f>IFERROR(INDEX('T12 Raw Data'!O:O,MATCH("Real estate taxes",'T12 Raw Data'!B:B,0)),0)</f>
        <v/>
      </c>
      <c r="L57" s="144">
        <f>IFERROR(INDEX('T12 Raw Data'!P:P,MATCH("Real estate taxes",'T12 Raw Data'!B:B,0)),0)</f>
        <v/>
      </c>
      <c r="M57" s="144">
        <f>IFERROR(INDEX('T12 Raw Data'!Q:Q,MATCH("Real estate taxes",'T12 Raw Data'!B:B,0)),0)</f>
        <v/>
      </c>
      <c r="N57" s="145">
        <f>SUM(B57:M57)</f>
        <v/>
      </c>
    </row>
    <row r="58" ht="15.75" customHeight="1" s="199">
      <c r="A58" s="83" t="inlineStr">
        <is>
          <t>Personal property taxes</t>
        </is>
      </c>
      <c r="B58" s="144">
        <f>IFERROR(INDEX('T12 Raw Data'!F:F,MATCH("Personal property taxes",'T12 Raw Data'!B:B,0)),0)</f>
        <v/>
      </c>
      <c r="C58" s="144">
        <f>IFERROR(INDEX('T12 Raw Data'!G:G,MATCH("Personal property taxes",'T12 Raw Data'!B:B,0)),0)</f>
        <v/>
      </c>
      <c r="D58" s="144">
        <f>IFERROR(INDEX('T12 Raw Data'!H:H,MATCH("Personal property taxes",'T12 Raw Data'!B:B,0)),0)</f>
        <v/>
      </c>
      <c r="E58" s="144">
        <f>IFERROR(INDEX('T12 Raw Data'!I:I,MATCH("Personal property taxes",'T12 Raw Data'!B:B,0)),0)</f>
        <v/>
      </c>
      <c r="F58" s="144">
        <f>IFERROR(INDEX('T12 Raw Data'!J:J,MATCH("Personal property taxes",'T12 Raw Data'!B:B,0)),0)</f>
        <v/>
      </c>
      <c r="G58" s="144">
        <f>IFERROR(INDEX('T12 Raw Data'!K:K,MATCH("Personal property taxes",'T12 Raw Data'!B:B,0)),0)</f>
        <v/>
      </c>
      <c r="H58" s="144">
        <f>IFERROR(INDEX('T12 Raw Data'!L:L,MATCH("Personal property taxes",'T12 Raw Data'!B:B,0)),0)</f>
        <v/>
      </c>
      <c r="I58" s="144">
        <f>IFERROR(INDEX('T12 Raw Data'!M:M,MATCH("Personal property taxes",'T12 Raw Data'!B:B,0)),0)</f>
        <v/>
      </c>
      <c r="J58" s="144">
        <f>IFERROR(INDEX('T12 Raw Data'!N:N,MATCH("Personal property taxes",'T12 Raw Data'!B:B,0)),0)</f>
        <v/>
      </c>
      <c r="K58" s="144">
        <f>IFERROR(INDEX('T12 Raw Data'!O:O,MATCH("Personal property taxes",'T12 Raw Data'!B:B,0)),0)</f>
        <v/>
      </c>
      <c r="L58" s="144">
        <f>IFERROR(INDEX('T12 Raw Data'!P:P,MATCH("Personal property taxes",'T12 Raw Data'!B:B,0)),0)</f>
        <v/>
      </c>
      <c r="M58" s="144">
        <f>IFERROR(INDEX('T12 Raw Data'!Q:Q,MATCH("Personal property taxes",'T12 Raw Data'!B:B,0)),0)</f>
        <v/>
      </c>
      <c r="N58" s="145">
        <f>SUM(B58:M58)</f>
        <v/>
      </c>
    </row>
    <row r="59" ht="15.75" customHeight="1" s="199">
      <c r="A59" s="83" t="inlineStr">
        <is>
          <t>Legal expenses</t>
        </is>
      </c>
      <c r="B59" s="144">
        <f>IFERROR(INDEX('T12 Raw Data'!F:F,MATCH("Legal expenses",'T12 Raw Data'!B:B,0)),0)</f>
        <v/>
      </c>
      <c r="C59" s="144">
        <f>IFERROR(INDEX('T12 Raw Data'!G:G,MATCH("Legal expenses",'T12 Raw Data'!B:B,0)),0)</f>
        <v/>
      </c>
      <c r="D59" s="144">
        <f>IFERROR(INDEX('T12 Raw Data'!H:H,MATCH("Legal expenses",'T12 Raw Data'!B:B,0)),0)</f>
        <v/>
      </c>
      <c r="E59" s="144">
        <f>IFERROR(INDEX('T12 Raw Data'!I:I,MATCH("Legal expenses",'T12 Raw Data'!B:B,0)),0)</f>
        <v/>
      </c>
      <c r="F59" s="144">
        <f>IFERROR(INDEX('T12 Raw Data'!J:J,MATCH("Legal expenses",'T12 Raw Data'!B:B,0)),0)</f>
        <v/>
      </c>
      <c r="G59" s="144">
        <f>IFERROR(INDEX('T12 Raw Data'!K:K,MATCH("Legal expenses",'T12 Raw Data'!B:B,0)),0)</f>
        <v/>
      </c>
      <c r="H59" s="144">
        <f>IFERROR(INDEX('T12 Raw Data'!L:L,MATCH("Legal expenses",'T12 Raw Data'!B:B,0)),0)</f>
        <v/>
      </c>
      <c r="I59" s="144">
        <f>IFERROR(INDEX('T12 Raw Data'!M:M,MATCH("Legal expenses",'T12 Raw Data'!B:B,0)),0)</f>
        <v/>
      </c>
      <c r="J59" s="144">
        <f>IFERROR(INDEX('T12 Raw Data'!N:N,MATCH("Legal expenses",'T12 Raw Data'!B:B,0)),0)</f>
        <v/>
      </c>
      <c r="K59" s="144">
        <f>IFERROR(INDEX('T12 Raw Data'!O:O,MATCH("Legal expenses",'T12 Raw Data'!B:B,0)),0)</f>
        <v/>
      </c>
      <c r="L59" s="144">
        <f>IFERROR(INDEX('T12 Raw Data'!P:P,MATCH("Legal expenses",'T12 Raw Data'!B:B,0)),0)</f>
        <v/>
      </c>
      <c r="M59" s="144">
        <f>IFERROR(INDEX('T12 Raw Data'!Q:Q,MATCH("Legal expenses",'T12 Raw Data'!B:B,0)),0)</f>
        <v/>
      </c>
      <c r="N59" s="145">
        <f>SUM(B59:M59)</f>
        <v/>
      </c>
    </row>
    <row r="60" ht="15.75" customHeight="1" s="199">
      <c r="A60" s="83" t="inlineStr">
        <is>
          <t>Professional services</t>
        </is>
      </c>
      <c r="B60" s="144">
        <f>IFERROR(INDEX('T12 Raw Data'!F:F,MATCH("Professional services",'T12 Raw Data'!B:B,0)),0)</f>
        <v/>
      </c>
      <c r="C60" s="144">
        <f>IFERROR(INDEX('T12 Raw Data'!G:G,MATCH("Professional services",'T12 Raw Data'!B:B,0)),0)</f>
        <v/>
      </c>
      <c r="D60" s="144">
        <f>IFERROR(INDEX('T12 Raw Data'!H:H,MATCH("Professional services",'T12 Raw Data'!B:B,0)),0)</f>
        <v/>
      </c>
      <c r="E60" s="144">
        <f>IFERROR(INDEX('T12 Raw Data'!I:I,MATCH("Professional services",'T12 Raw Data'!B:B,0)),0)</f>
        <v/>
      </c>
      <c r="F60" s="144">
        <f>IFERROR(INDEX('T12 Raw Data'!J:J,MATCH("Professional services",'T12 Raw Data'!B:B,0)),0)</f>
        <v/>
      </c>
      <c r="G60" s="144">
        <f>IFERROR(INDEX('T12 Raw Data'!K:K,MATCH("Professional services",'T12 Raw Data'!B:B,0)),0)</f>
        <v/>
      </c>
      <c r="H60" s="144">
        <f>IFERROR(INDEX('T12 Raw Data'!L:L,MATCH("Professional services",'T12 Raw Data'!B:B,0)),0)</f>
        <v/>
      </c>
      <c r="I60" s="144">
        <f>IFERROR(INDEX('T12 Raw Data'!M:M,MATCH("Professional services",'T12 Raw Data'!B:B,0)),0)</f>
        <v/>
      </c>
      <c r="J60" s="144">
        <f>IFERROR(INDEX('T12 Raw Data'!N:N,MATCH("Professional services",'T12 Raw Data'!B:B,0)),0)</f>
        <v/>
      </c>
      <c r="K60" s="144">
        <f>IFERROR(INDEX('T12 Raw Data'!O:O,MATCH("Professional services",'T12 Raw Data'!B:B,0)),0)</f>
        <v/>
      </c>
      <c r="L60" s="144">
        <f>IFERROR(INDEX('T12 Raw Data'!P:P,MATCH("Professional services",'T12 Raw Data'!B:B,0)),0)</f>
        <v/>
      </c>
      <c r="M60" s="144">
        <f>IFERROR(INDEX('T12 Raw Data'!Q:Q,MATCH("Professional services",'T12 Raw Data'!B:B,0)),0)</f>
        <v/>
      </c>
      <c r="N60" s="145">
        <f>SUM(B60:M60)</f>
        <v/>
      </c>
    </row>
    <row r="61" ht="15.75" customHeight="1" s="199">
      <c r="A61" s="83" t="inlineStr">
        <is>
          <t>Bad debt expense</t>
        </is>
      </c>
      <c r="B61" s="144">
        <f>IFERROR(INDEX('T12 Raw Data'!F:F,MATCH("Bad debt expense",'T12 Raw Data'!B:B,0)),0)</f>
        <v/>
      </c>
      <c r="C61" s="144">
        <f>IFERROR(INDEX('T12 Raw Data'!G:G,MATCH("Bad debt expense",'T12 Raw Data'!B:B,0)),0)</f>
        <v/>
      </c>
      <c r="D61" s="144">
        <f>IFERROR(INDEX('T12 Raw Data'!H:H,MATCH("Bad debt expense",'T12 Raw Data'!B:B,0)),0)</f>
        <v/>
      </c>
      <c r="E61" s="144">
        <f>IFERROR(INDEX('T12 Raw Data'!I:I,MATCH("Bad debt expense",'T12 Raw Data'!B:B,0)),0)</f>
        <v/>
      </c>
      <c r="F61" s="144">
        <f>IFERROR(INDEX('T12 Raw Data'!J:J,MATCH("Bad debt expense",'T12 Raw Data'!B:B,0)),0)</f>
        <v/>
      </c>
      <c r="G61" s="144">
        <f>IFERROR(INDEX('T12 Raw Data'!K:K,MATCH("Bad debt expense",'T12 Raw Data'!B:B,0)),0)</f>
        <v/>
      </c>
      <c r="H61" s="144">
        <f>IFERROR(INDEX('T12 Raw Data'!L:L,MATCH("Bad debt expense",'T12 Raw Data'!B:B,0)),0)</f>
        <v/>
      </c>
      <c r="I61" s="144">
        <f>IFERROR(INDEX('T12 Raw Data'!M:M,MATCH("Bad debt expense",'T12 Raw Data'!B:B,0)),0)</f>
        <v/>
      </c>
      <c r="J61" s="144">
        <f>IFERROR(INDEX('T12 Raw Data'!N:N,MATCH("Bad debt expense",'T12 Raw Data'!B:B,0)),0)</f>
        <v/>
      </c>
      <c r="K61" s="144">
        <f>IFERROR(INDEX('T12 Raw Data'!O:O,MATCH("Bad debt expense",'T12 Raw Data'!B:B,0)),0)</f>
        <v/>
      </c>
      <c r="L61" s="144">
        <f>IFERROR(INDEX('T12 Raw Data'!P:P,MATCH("Bad debt expense",'T12 Raw Data'!B:B,0)),0)</f>
        <v/>
      </c>
      <c r="M61" s="144">
        <f>IFERROR(INDEX('T12 Raw Data'!Q:Q,MATCH("Bad debt expense",'T12 Raw Data'!B:B,0)),0)</f>
        <v/>
      </c>
      <c r="N61" s="145">
        <f>SUM(B61:M61)</f>
        <v/>
      </c>
    </row>
    <row r="62" ht="15.75" customHeight="1" s="199">
      <c r="A62" s="83" t="inlineStr">
        <is>
          <t>Permits, licenses &amp; dues</t>
        </is>
      </c>
      <c r="B62" s="144">
        <f>IFERROR(INDEX('T12 Raw Data'!F:F,MATCH("Permits, licenses &amp; dues",'T12 Raw Data'!B:B,0)),0)</f>
        <v/>
      </c>
      <c r="C62" s="144">
        <f>IFERROR(INDEX('T12 Raw Data'!G:G,MATCH("Permits, licenses &amp; dues",'T12 Raw Data'!B:B,0)),0)</f>
        <v/>
      </c>
      <c r="D62" s="144">
        <f>IFERROR(INDEX('T12 Raw Data'!H:H,MATCH("Permits, licenses &amp; dues",'T12 Raw Data'!B:B,0)),0)</f>
        <v/>
      </c>
      <c r="E62" s="144">
        <f>IFERROR(INDEX('T12 Raw Data'!I:I,MATCH("Permits, licenses &amp; dues",'T12 Raw Data'!B:B,0)),0)</f>
        <v/>
      </c>
      <c r="F62" s="144">
        <f>IFERROR(INDEX('T12 Raw Data'!J:J,MATCH("Permits, licenses &amp; dues",'T12 Raw Data'!B:B,0)),0)</f>
        <v/>
      </c>
      <c r="G62" s="144">
        <f>IFERROR(INDEX('T12 Raw Data'!K:K,MATCH("Permits, licenses &amp; dues",'T12 Raw Data'!B:B,0)),0)</f>
        <v/>
      </c>
      <c r="H62" s="144">
        <f>IFERROR(INDEX('T12 Raw Data'!L:L,MATCH("Permits, licenses &amp; dues",'T12 Raw Data'!B:B,0)),0)</f>
        <v/>
      </c>
      <c r="I62" s="144">
        <f>IFERROR(INDEX('T12 Raw Data'!M:M,MATCH("Permits, licenses &amp; dues",'T12 Raw Data'!B:B,0)),0)</f>
        <v/>
      </c>
      <c r="J62" s="144">
        <f>IFERROR(INDEX('T12 Raw Data'!N:N,MATCH("Permits, licenses &amp; dues",'T12 Raw Data'!B:B,0)),0)</f>
        <v/>
      </c>
      <c r="K62" s="144">
        <f>IFERROR(INDEX('T12 Raw Data'!O:O,MATCH("Permits, licenses &amp; dues",'T12 Raw Data'!B:B,0)),0)</f>
        <v/>
      </c>
      <c r="L62" s="144">
        <f>IFERROR(INDEX('T12 Raw Data'!P:P,MATCH("Permits, licenses &amp; dues",'T12 Raw Data'!B:B,0)),0)</f>
        <v/>
      </c>
      <c r="M62" s="144">
        <f>IFERROR(INDEX('T12 Raw Data'!Q:Q,MATCH("Permits, licenses &amp; dues",'T12 Raw Data'!B:B,0)),0)</f>
        <v/>
      </c>
      <c r="N62" s="145">
        <f>SUM(B62:M62)</f>
        <v/>
      </c>
    </row>
    <row r="63" ht="15.75" customHeight="1" s="199">
      <c r="A63" s="83" t="inlineStr">
        <is>
          <t>Office, admin &amp; G&amp;A</t>
        </is>
      </c>
      <c r="B63" s="144">
        <f>IFERROR(INDEX('T12 Raw Data'!F:F,MATCH("Office, admin &amp; G&amp;A",'T12 Raw Data'!B:B,0)),0)</f>
        <v/>
      </c>
      <c r="C63" s="144">
        <f>IFERROR(INDEX('T12 Raw Data'!G:G,MATCH("Office, admin &amp; G&amp;A",'T12 Raw Data'!B:B,0)),0)</f>
        <v/>
      </c>
      <c r="D63" s="144">
        <f>IFERROR(INDEX('T12 Raw Data'!H:H,MATCH("Office, admin &amp; G&amp;A",'T12 Raw Data'!B:B,0)),0)</f>
        <v/>
      </c>
      <c r="E63" s="144">
        <f>IFERROR(INDEX('T12 Raw Data'!I:I,MATCH("Office, admin &amp; G&amp;A",'T12 Raw Data'!B:B,0)),0)</f>
        <v/>
      </c>
      <c r="F63" s="144">
        <f>IFERROR(INDEX('T12 Raw Data'!J:J,MATCH("Office, admin &amp; G&amp;A",'T12 Raw Data'!B:B,0)),0)</f>
        <v/>
      </c>
      <c r="G63" s="144">
        <f>IFERROR(INDEX('T12 Raw Data'!K:K,MATCH("Office, admin &amp; G&amp;A",'T12 Raw Data'!B:B,0)),0)</f>
        <v/>
      </c>
      <c r="H63" s="144">
        <f>IFERROR(INDEX('T12 Raw Data'!L:L,MATCH("Office, admin &amp; G&amp;A",'T12 Raw Data'!B:B,0)),0)</f>
        <v/>
      </c>
      <c r="I63" s="144">
        <f>IFERROR(INDEX('T12 Raw Data'!M:M,MATCH("Office, admin &amp; G&amp;A",'T12 Raw Data'!B:B,0)),0)</f>
        <v/>
      </c>
      <c r="J63" s="144">
        <f>IFERROR(INDEX('T12 Raw Data'!N:N,MATCH("Office, admin &amp; G&amp;A",'T12 Raw Data'!B:B,0)),0)</f>
        <v/>
      </c>
      <c r="K63" s="144">
        <f>IFERROR(INDEX('T12 Raw Data'!O:O,MATCH("Office, admin &amp; G&amp;A",'T12 Raw Data'!B:B,0)),0)</f>
        <v/>
      </c>
      <c r="L63" s="144">
        <f>IFERROR(INDEX('T12 Raw Data'!P:P,MATCH("Office, admin &amp; G&amp;A",'T12 Raw Data'!B:B,0)),0)</f>
        <v/>
      </c>
      <c r="M63" s="144">
        <f>IFERROR(INDEX('T12 Raw Data'!Q:Q,MATCH("Office, admin &amp; G&amp;A",'T12 Raw Data'!B:B,0)),0)</f>
        <v/>
      </c>
      <c r="N63" s="145">
        <f>SUM(B63:M63)</f>
        <v/>
      </c>
    </row>
    <row r="64" ht="15.75" customHeight="1" s="199">
      <c r="A64" s="83" t="inlineStr">
        <is>
          <t>Other / miscellaneous</t>
        </is>
      </c>
      <c r="B64" s="144">
        <f>IFERROR(INDEX('T12 Raw Data'!F:F,MATCH("Other / miscellaneous",'T12 Raw Data'!B:B,0)),0)</f>
        <v/>
      </c>
      <c r="C64" s="144">
        <f>IFERROR(INDEX('T12 Raw Data'!G:G,MATCH("Other / miscellaneous",'T12 Raw Data'!B:B,0)),0)</f>
        <v/>
      </c>
      <c r="D64" s="144">
        <f>IFERROR(INDEX('T12 Raw Data'!H:H,MATCH("Other / miscellaneous",'T12 Raw Data'!B:B,0)),0)</f>
        <v/>
      </c>
      <c r="E64" s="144">
        <f>IFERROR(INDEX('T12 Raw Data'!I:I,MATCH("Other / miscellaneous",'T12 Raw Data'!B:B,0)),0)</f>
        <v/>
      </c>
      <c r="F64" s="144">
        <f>IFERROR(INDEX('T12 Raw Data'!J:J,MATCH("Other / miscellaneous",'T12 Raw Data'!B:B,0)),0)</f>
        <v/>
      </c>
      <c r="G64" s="144">
        <f>IFERROR(INDEX('T12 Raw Data'!K:K,MATCH("Other / miscellaneous",'T12 Raw Data'!B:B,0)),0)</f>
        <v/>
      </c>
      <c r="H64" s="144">
        <f>IFERROR(INDEX('T12 Raw Data'!L:L,MATCH("Other / miscellaneous",'T12 Raw Data'!B:B,0)),0)</f>
        <v/>
      </c>
      <c r="I64" s="144">
        <f>IFERROR(INDEX('T12 Raw Data'!M:M,MATCH("Other / miscellaneous",'T12 Raw Data'!B:B,0)),0)</f>
        <v/>
      </c>
      <c r="J64" s="144">
        <f>IFERROR(INDEX('T12 Raw Data'!N:N,MATCH("Other / miscellaneous",'T12 Raw Data'!B:B,0)),0)</f>
        <v/>
      </c>
      <c r="K64" s="144">
        <f>IFERROR(INDEX('T12 Raw Data'!O:O,MATCH("Other / miscellaneous",'T12 Raw Data'!B:B,0)),0)</f>
        <v/>
      </c>
      <c r="L64" s="144">
        <f>IFERROR(INDEX('T12 Raw Data'!P:P,MATCH("Other / miscellaneous",'T12 Raw Data'!B:B,0)),0)</f>
        <v/>
      </c>
      <c r="M64" s="144">
        <f>IFERROR(INDEX('T12 Raw Data'!Q:Q,MATCH("Other / miscellaneous",'T12 Raw Data'!B:B,0)),0)</f>
        <v/>
      </c>
      <c r="N64" s="145">
        <f>SUM(B64:M64)</f>
        <v/>
      </c>
    </row>
    <row r="65" ht="15.75" customHeight="1" s="199">
      <c r="A65" s="83" t="inlineStr">
        <is>
          <t>Lease / ground lease</t>
        </is>
      </c>
      <c r="B65" s="144">
        <f>IFERROR(INDEX('T12 Raw Data'!F:F,MATCH("Lease / ground lease",'T12 Raw Data'!B:B,0)),0)</f>
        <v/>
      </c>
      <c r="C65" s="144">
        <f>IFERROR(INDEX('T12 Raw Data'!G:G,MATCH("Lease / ground lease",'T12 Raw Data'!B:B,0)),0)</f>
        <v/>
      </c>
      <c r="D65" s="144">
        <f>IFERROR(INDEX('T12 Raw Data'!H:H,MATCH("Lease / ground lease",'T12 Raw Data'!B:B,0)),0)</f>
        <v/>
      </c>
      <c r="E65" s="144">
        <f>IFERROR(INDEX('T12 Raw Data'!I:I,MATCH("Lease / ground lease",'T12 Raw Data'!B:B,0)),0)</f>
        <v/>
      </c>
      <c r="F65" s="144">
        <f>IFERROR(INDEX('T12 Raw Data'!J:J,MATCH("Lease / ground lease",'T12 Raw Data'!B:B,0)),0)</f>
        <v/>
      </c>
      <c r="G65" s="144">
        <f>IFERROR(INDEX('T12 Raw Data'!K:K,MATCH("Lease / ground lease",'T12 Raw Data'!B:B,0)),0)</f>
        <v/>
      </c>
      <c r="H65" s="144">
        <f>IFERROR(INDEX('T12 Raw Data'!L:L,MATCH("Lease / ground lease",'T12 Raw Data'!B:B,0)),0)</f>
        <v/>
      </c>
      <c r="I65" s="144">
        <f>IFERROR(INDEX('T12 Raw Data'!M:M,MATCH("Lease / ground lease",'T12 Raw Data'!B:B,0)),0)</f>
        <v/>
      </c>
      <c r="J65" s="144">
        <f>IFERROR(INDEX('T12 Raw Data'!N:N,MATCH("Lease / ground lease",'T12 Raw Data'!B:B,0)),0)</f>
        <v/>
      </c>
      <c r="K65" s="144">
        <f>IFERROR(INDEX('T12 Raw Data'!O:O,MATCH("Lease / ground lease",'T12 Raw Data'!B:B,0)),0)</f>
        <v/>
      </c>
      <c r="L65" s="144">
        <f>IFERROR(INDEX('T12 Raw Data'!P:P,MATCH("Lease / ground lease",'T12 Raw Data'!B:B,0)),0)</f>
        <v/>
      </c>
      <c r="M65" s="144">
        <f>IFERROR(INDEX('T12 Raw Data'!Q:Q,MATCH("Lease / ground lease",'T12 Raw Data'!B:B,0)),0)</f>
        <v/>
      </c>
      <c r="N65" s="145">
        <f>SUM(B65:M65)</f>
        <v/>
      </c>
    </row>
    <row r="66" ht="15.75" customHeight="1" s="199">
      <c r="A66" s="146" t="inlineStr">
        <is>
          <t>Total non-labor opex</t>
        </is>
      </c>
      <c r="B66" s="147">
        <f>B41+B42+B43+B44+B45+B46+B47+B48+B49+B50+B51+B52+B53+B54+B55+B56+B57+B58+B59+B60+B61+B62+B63+B64+B65</f>
        <v/>
      </c>
      <c r="C66" s="147">
        <f>C41+C42+C43+C44+C45+C46+C47+C48+C49+C50+C51+C52+C53+C54+C55+C56+C57+C58+C59+C60+C61+C62+C63+C64+C65</f>
        <v/>
      </c>
      <c r="D66" s="147">
        <f>D41+D42+D43+D44+D45+D46+D47+D48+D49+D50+D51+D52+D53+D54+D55+D56+D57+D58+D59+D60+D61+D62+D63+D64+D65</f>
        <v/>
      </c>
      <c r="E66" s="147">
        <f>E41+E42+E43+E44+E45+E46+E47+E48+E49+E50+E51+E52+E53+E54+E55+E56+E57+E58+E59+E60+E61+E62+E63+E64+E65</f>
        <v/>
      </c>
      <c r="F66" s="147">
        <f>F41+F42+F43+F44+F45+F46+F47+F48+F49+F50+F51+F52+F53+F54+F55+F56+F57+F58+F59+F60+F61+F62+F63+F64+F65</f>
        <v/>
      </c>
      <c r="G66" s="147">
        <f>G41+G42+G43+G44+G45+G46+G47+G48+G49+G50+G51+G52+G53+G54+G55+G56+G57+G58+G59+G60+G61+G62+G63+G64+G65</f>
        <v/>
      </c>
      <c r="H66" s="147">
        <f>H41+H42+H43+H44+H45+H46+H47+H48+H49+H50+H51+H52+H53+H54+H55+H56+H57+H58+H59+H60+H61+H62+H63+H64+H65</f>
        <v/>
      </c>
      <c r="I66" s="147">
        <f>I41+I42+I43+I44+I45+I46+I47+I48+I49+I50+I51+I52+I53+I54+I55+I56+I57+I58+I59+I60+I61+I62+I63+I64+I65</f>
        <v/>
      </c>
      <c r="J66" s="147">
        <f>J41+J42+J43+J44+J45+J46+J47+J48+J49+J50+J51+J52+J53+J54+J55+J56+J57+J58+J59+J60+J61+J62+J63+J64+J65</f>
        <v/>
      </c>
      <c r="K66" s="147">
        <f>K41+K42+K43+K44+K45+K46+K47+K48+K49+K50+K51+K52+K53+K54+K55+K56+K57+K58+K59+K60+K61+K62+K63+K64+K65</f>
        <v/>
      </c>
      <c r="L66" s="147">
        <f>L41+L42+L43+L44+L45+L46+L47+L48+L49+L50+L51+L52+L53+L54+L55+L56+L57+L58+L59+L60+L61+L62+L63+L64+L65</f>
        <v/>
      </c>
      <c r="M66" s="147">
        <f>M41+M42+M43+M44+M45+M46+M47+M48+M49+M50+M51+M52+M53+M54+M55+M56+M57+M58+M59+M60+M61+M62+M63+M64+M65</f>
        <v/>
      </c>
      <c r="N66" s="147">
        <f>N41+N42+N43+N44+N45+N46+N47+N48+N49+N50+N51+N52+N53+N54+N55+N56+N57+N58+N59+N60+N61+N62+N63+N64+N65</f>
        <v/>
      </c>
    </row>
    <row r="67" ht="15.75" customHeight="1" s="199">
      <c r="A67" s="151" t="inlineStr">
        <is>
          <t>TOTAL OPEX  (excl. mgmt)</t>
        </is>
      </c>
      <c r="B67" s="30">
        <f>B39+B66</f>
        <v/>
      </c>
      <c r="C67" s="30">
        <f>C39+C66</f>
        <v/>
      </c>
      <c r="D67" s="30">
        <f>D39+D66</f>
        <v/>
      </c>
      <c r="E67" s="30">
        <f>E39+E66</f>
        <v/>
      </c>
      <c r="F67" s="30">
        <f>F39+F66</f>
        <v/>
      </c>
      <c r="G67" s="30">
        <f>G39+G66</f>
        <v/>
      </c>
      <c r="H67" s="30">
        <f>H39+H66</f>
        <v/>
      </c>
      <c r="I67" s="30">
        <f>I39+I66</f>
        <v/>
      </c>
      <c r="J67" s="30">
        <f>J39+J66</f>
        <v/>
      </c>
      <c r="K67" s="30">
        <f>K39+K66</f>
        <v/>
      </c>
      <c r="L67" s="30">
        <f>L39+L66</f>
        <v/>
      </c>
      <c r="M67" s="30">
        <f>M39+M66</f>
        <v/>
      </c>
      <c r="N67" s="30">
        <f>N39+N66</f>
        <v/>
      </c>
    </row>
    <row r="68" ht="15.75" customHeight="1" s="199">
      <c r="A68" s="83" t="inlineStr">
        <is>
          <t>Management fee</t>
        </is>
      </c>
      <c r="B68" s="144">
        <f>IFERROR(INDEX('T12 Raw Data'!F:F,MATCH("Management fee",'T12 Raw Data'!B:B,0)),0)</f>
        <v/>
      </c>
      <c r="C68" s="144">
        <f>IFERROR(INDEX('T12 Raw Data'!G:G,MATCH("Management fee",'T12 Raw Data'!B:B,0)),0)</f>
        <v/>
      </c>
      <c r="D68" s="144">
        <f>IFERROR(INDEX('T12 Raw Data'!H:H,MATCH("Management fee",'T12 Raw Data'!B:B,0)),0)</f>
        <v/>
      </c>
      <c r="E68" s="144">
        <f>IFERROR(INDEX('T12 Raw Data'!I:I,MATCH("Management fee",'T12 Raw Data'!B:B,0)),0)</f>
        <v/>
      </c>
      <c r="F68" s="144">
        <f>IFERROR(INDEX('T12 Raw Data'!J:J,MATCH("Management fee",'T12 Raw Data'!B:B,0)),0)</f>
        <v/>
      </c>
      <c r="G68" s="144">
        <f>IFERROR(INDEX('T12 Raw Data'!K:K,MATCH("Management fee",'T12 Raw Data'!B:B,0)),0)</f>
        <v/>
      </c>
      <c r="H68" s="144">
        <f>IFERROR(INDEX('T12 Raw Data'!L:L,MATCH("Management fee",'T12 Raw Data'!B:B,0)),0)</f>
        <v/>
      </c>
      <c r="I68" s="144">
        <f>IFERROR(INDEX('T12 Raw Data'!M:M,MATCH("Management fee",'T12 Raw Data'!B:B,0)),0)</f>
        <v/>
      </c>
      <c r="J68" s="144">
        <f>IFERROR(INDEX('T12 Raw Data'!N:N,MATCH("Management fee",'T12 Raw Data'!B:B,0)),0)</f>
        <v/>
      </c>
      <c r="K68" s="144">
        <f>IFERROR(INDEX('T12 Raw Data'!O:O,MATCH("Management fee",'T12 Raw Data'!B:B,0)),0)</f>
        <v/>
      </c>
      <c r="L68" s="144">
        <f>IFERROR(INDEX('T12 Raw Data'!P:P,MATCH("Management fee",'T12 Raw Data'!B:B,0)),0)</f>
        <v/>
      </c>
      <c r="M68" s="144">
        <f>IFERROR(INDEX('T12 Raw Data'!Q:Q,MATCH("Management fee",'T12 Raw Data'!B:B,0)),0)</f>
        <v/>
      </c>
      <c r="N68" s="145">
        <f>SUM(B68:M68)</f>
        <v/>
      </c>
    </row>
    <row r="69">
      <c r="A69" s="151" t="inlineStr">
        <is>
          <t>EBITDARM</t>
        </is>
      </c>
      <c r="B69" s="30">
        <f>B21-B67</f>
        <v/>
      </c>
      <c r="C69" s="30">
        <f>C21-C67</f>
        <v/>
      </c>
      <c r="D69" s="30">
        <f>D21-D67</f>
        <v/>
      </c>
      <c r="E69" s="30">
        <f>E21-E67</f>
        <v/>
      </c>
      <c r="F69" s="30">
        <f>F21-F67</f>
        <v/>
      </c>
      <c r="G69" s="30">
        <f>G21-G67</f>
        <v/>
      </c>
      <c r="H69" s="30">
        <f>H21-H67</f>
        <v/>
      </c>
      <c r="I69" s="30">
        <f>I21-I67</f>
        <v/>
      </c>
      <c r="J69" s="30">
        <f>J21-J67</f>
        <v/>
      </c>
      <c r="K69" s="30">
        <f>K21-K67</f>
        <v/>
      </c>
      <c r="L69" s="30">
        <f>L21-L67</f>
        <v/>
      </c>
      <c r="M69" s="30">
        <f>M21-M67</f>
        <v/>
      </c>
      <c r="N69" s="30">
        <f>N21-N67</f>
        <v/>
      </c>
    </row>
    <row r="70">
      <c r="A70" s="151" t="inlineStr">
        <is>
          <t>EBITDAR</t>
        </is>
      </c>
      <c r="B70" s="30">
        <f>B69-B68</f>
        <v/>
      </c>
      <c r="C70" s="30">
        <f>C69-C68</f>
        <v/>
      </c>
      <c r="D70" s="30">
        <f>D69-D68</f>
        <v/>
      </c>
      <c r="E70" s="30">
        <f>E69-E68</f>
        <v/>
      </c>
      <c r="F70" s="30">
        <f>F69-F68</f>
        <v/>
      </c>
      <c r="G70" s="30">
        <f>G69-G68</f>
        <v/>
      </c>
      <c r="H70" s="30">
        <f>H69-H68</f>
        <v/>
      </c>
      <c r="I70" s="30">
        <f>I69-I68</f>
        <v/>
      </c>
      <c r="J70" s="30">
        <f>J69-J68</f>
        <v/>
      </c>
      <c r="K70" s="30">
        <f>K69-K68</f>
        <v/>
      </c>
      <c r="L70" s="30">
        <f>L69-L68</f>
        <v/>
      </c>
      <c r="M70" s="30">
        <f>M69-M68</f>
        <v/>
      </c>
      <c r="N70" s="30">
        <f>N69-N68</f>
        <v/>
      </c>
    </row>
  </sheetData>
  <mergeCells count="4">
    <mergeCell ref="A40:N40"/>
    <mergeCell ref="A4:N4"/>
    <mergeCell ref="A22:N22"/>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1"/>
  <sheetViews>
    <sheetView tabSelected="1" zoomScaleNormal="100" workbookViewId="0">
      <pane ySplit="4" topLeftCell="A5" activePane="bottomLeft" state="frozen"/>
      <selection pane="bottomLeft" activeCell="F55" sqref="F55"/>
    </sheetView>
  </sheetViews>
  <sheetFormatPr baseColWidth="8" defaultColWidth="8.7109375" defaultRowHeight="15"/>
  <cols>
    <col width="38" customWidth="1" style="199" min="1" max="1"/>
    <col width="18" customWidth="1" style="199" min="2" max="5"/>
    <col width="16" customWidth="1" style="199" min="6" max="6"/>
    <col width="14" customWidth="1" style="199" min="7" max="7"/>
    <col width="28" customWidth="1" style="199" min="8" max="8"/>
  </cols>
  <sheetData>
    <row r="1" ht="27.75" customHeight="1" s="199">
      <c r="A1" s="98" t="inlineStr">
        <is>
          <t>UW Output  —  T12 Actuals &amp; Normalized  |  Copy / Paste to ALF UW Template</t>
        </is>
      </c>
      <c r="AZ1" t="inlineStr">
        <is>
          <t>Final UW-ready summary; copy to downstream sheet</t>
        </is>
      </c>
    </row>
    <row r="2" ht="21.75" customHeight="1" s="199">
      <c r="A2" s="99" t="inlineStr">
        <is>
          <t>T12 Actual = trailing 12-month actuals from T12 Analytics col E.  Normalized = your stabilized underwriting assumption from T12 Analytics col F.  Copy cols E-F and paste-values into ALF UW Template.</t>
        </is>
      </c>
      <c r="AZ2" t="inlineStr">
        <is>
          <t>output</t>
        </is>
      </c>
    </row>
    <row r="3" ht="7.5" customHeight="1" s="199">
      <c r="AZ3" t="inlineStr">
        <is>
          <t>visible</t>
        </is>
      </c>
    </row>
    <row r="4" ht="25.5" customHeight="1" s="199">
      <c r="A4" s="152" t="inlineStr">
        <is>
          <t>Category</t>
        </is>
      </c>
      <c r="B4" s="153" t="inlineStr">
        <is>
          <t>IL</t>
        </is>
      </c>
      <c r="C4" s="153" t="inlineStr">
        <is>
          <t>AL</t>
        </is>
      </c>
      <c r="D4" s="153" t="inlineStr">
        <is>
          <t>MC</t>
        </is>
      </c>
      <c r="E4" s="153" t="inlineStr">
        <is>
          <t>T12 Actual</t>
        </is>
      </c>
      <c r="F4" s="154" t="inlineStr">
        <is>
          <t>Normalized</t>
        </is>
      </c>
      <c r="G4" s="153" t="inlineStr">
        <is>
          <t>Delta</t>
        </is>
      </c>
      <c r="H4" s="153" t="inlineStr">
        <is>
          <t>Analytics Ref</t>
        </is>
      </c>
      <c r="AZ4" t="inlineStr">
        <is>
          <t>v0.1.13</t>
        </is>
      </c>
    </row>
    <row r="5" ht="18" customHeight="1" s="199">
      <c r="A5" s="201" t="inlineStr">
        <is>
          <t>REVENUE</t>
        </is>
      </c>
      <c r="H5" s="202" t="n"/>
    </row>
    <row r="6" ht="15.75" customHeight="1" s="199">
      <c r="A6" s="112" t="inlineStr">
        <is>
          <t>Base rent (normalized)</t>
        </is>
      </c>
      <c r="B6" s="24">
        <f>'T12 Analytics'!B20</f>
        <v/>
      </c>
      <c r="C6" s="24">
        <f>'T12 Analytics'!C20</f>
        <v/>
      </c>
      <c r="D6" s="24">
        <f>'T12 Analytics'!D20</f>
        <v/>
      </c>
      <c r="E6" s="24">
        <f>'T12 Analytics'!E16</f>
        <v/>
      </c>
      <c r="F6" s="24">
        <f>'T12 Analytics'!E20</f>
        <v/>
      </c>
      <c r="G6" s="24">
        <f>F6-E6</f>
        <v/>
      </c>
      <c r="H6" s="156" t="n"/>
    </row>
    <row r="7" ht="15.75" customHeight="1" s="199">
      <c r="A7" s="112" t="inlineStr">
        <is>
          <t>LOC revenue (normalized)</t>
        </is>
      </c>
      <c r="B7" s="24">
        <f>'T12 Analytics'!B27</f>
        <v/>
      </c>
      <c r="C7" s="24">
        <f>'T12 Analytics'!C27</f>
        <v/>
      </c>
      <c r="D7" s="24">
        <f>'T12 Analytics'!D27</f>
        <v/>
      </c>
      <c r="E7" s="24">
        <f>'T12 Analytics'!E23</f>
        <v/>
      </c>
      <c r="F7" s="24">
        <f>'T12 Analytics'!E27</f>
        <v/>
      </c>
      <c r="G7" s="24">
        <f>F7-E7</f>
        <v/>
      </c>
      <c r="H7" s="156" t="n"/>
    </row>
    <row r="8" ht="15.75" customHeight="1" s="199">
      <c r="A8" s="112" t="inlineStr">
        <is>
          <t>Community / move-in fees</t>
        </is>
      </c>
      <c r="B8" s="24" t="inlineStr">
        <is>
          <t>"-"</t>
        </is>
      </c>
      <c r="C8" s="24" t="inlineStr">
        <is>
          <t>"-"</t>
        </is>
      </c>
      <c r="D8" s="24" t="inlineStr">
        <is>
          <t>"-"</t>
        </is>
      </c>
      <c r="E8" s="24">
        <f>'T12 Analytics'!E47</f>
        <v/>
      </c>
      <c r="F8" s="24">
        <f>'T12 Analytics'!F47</f>
        <v/>
      </c>
      <c r="G8" s="24">
        <f>F8-E8</f>
        <v/>
      </c>
      <c r="H8" s="156" t="n"/>
    </row>
    <row r="9" ht="15.75" customHeight="1" s="199">
      <c r="A9" s="112" t="inlineStr">
        <is>
          <t>Concessions &amp; specials</t>
        </is>
      </c>
      <c r="B9" s="24" t="inlineStr">
        <is>
          <t>"-"</t>
        </is>
      </c>
      <c r="C9" s="24" t="inlineStr">
        <is>
          <t>"-"</t>
        </is>
      </c>
      <c r="D9" s="24" t="inlineStr">
        <is>
          <t>"-"</t>
        </is>
      </c>
      <c r="E9" s="24">
        <f>'T12 Analytics'!E48</f>
        <v/>
      </c>
      <c r="F9" s="24">
        <f>'T12 Analytics'!F48</f>
        <v/>
      </c>
      <c r="G9" s="24">
        <f>F9-E9</f>
        <v/>
      </c>
      <c r="H9" s="156" t="n"/>
    </row>
    <row r="10" ht="15.75" customHeight="1" s="199">
      <c r="A10" s="112" t="inlineStr">
        <is>
          <t>Respite care</t>
        </is>
      </c>
      <c r="B10" s="24" t="inlineStr">
        <is>
          <t>"-"</t>
        </is>
      </c>
      <c r="C10" s="24" t="inlineStr">
        <is>
          <t>"-"</t>
        </is>
      </c>
      <c r="D10" s="24" t="inlineStr">
        <is>
          <t>"-"</t>
        </is>
      </c>
      <c r="E10" s="24">
        <f>'T12 Analytics'!E49</f>
        <v/>
      </c>
      <c r="F10" s="24">
        <f>'T12 Analytics'!F49</f>
        <v/>
      </c>
      <c r="G10" s="24">
        <f>F10-E10</f>
        <v/>
      </c>
      <c r="H10" s="156" t="n"/>
    </row>
    <row r="11" ht="15.75" customHeight="1" s="199">
      <c r="A11" s="112" t="inlineStr">
        <is>
          <t>Other community revenue</t>
        </is>
      </c>
      <c r="B11" s="24" t="inlineStr">
        <is>
          <t>"-"</t>
        </is>
      </c>
      <c r="C11" s="24" t="inlineStr">
        <is>
          <t>"-"</t>
        </is>
      </c>
      <c r="D11" s="24" t="inlineStr">
        <is>
          <t>"-"</t>
        </is>
      </c>
      <c r="E11" s="24">
        <f>'T12 Analytics'!E50</f>
        <v/>
      </c>
      <c r="F11" s="24">
        <f>'T12 Analytics'!F50</f>
        <v/>
      </c>
      <c r="G11" s="24">
        <f>F11-E11</f>
        <v/>
      </c>
      <c r="H11" s="156" t="n"/>
    </row>
    <row r="12" ht="18" customHeight="1" s="199">
      <c r="A12" s="183" t="inlineStr">
        <is>
          <t>EGI (normalized)</t>
        </is>
      </c>
      <c r="B12" s="30" t="inlineStr">
        <is>
          <t>"-"</t>
        </is>
      </c>
      <c r="C12" s="30" t="inlineStr">
        <is>
          <t>"-"</t>
        </is>
      </c>
      <c r="D12" s="30" t="inlineStr">
        <is>
          <t>"-"</t>
        </is>
      </c>
      <c r="E12" s="30">
        <f>'T12 Analytics'!E52</f>
        <v/>
      </c>
      <c r="F12" s="30">
        <f>'T12 Analytics'!F52</f>
        <v/>
      </c>
      <c r="G12" s="30">
        <f>F12-E12</f>
        <v/>
      </c>
      <c r="H12" s="157" t="n"/>
    </row>
    <row r="13" ht="6" customHeight="1" s="199">
      <c r="A13" s="200" t="n"/>
      <c r="B13" s="196" t="n"/>
      <c r="C13" s="196" t="n"/>
      <c r="D13" s="196" t="n"/>
      <c r="E13" s="196" t="n"/>
      <c r="F13" s="196" t="n"/>
      <c r="G13" s="196" t="n"/>
      <c r="H13" s="197" t="n"/>
    </row>
    <row r="14" ht="18" customHeight="1" s="199">
      <c r="A14" s="198" t="inlineStr">
        <is>
          <t xml:space="preserve">  GPR Revenue Waterfall  —  Rent Roll vs. T12</t>
        </is>
      </c>
    </row>
    <row r="15" ht="15.75" customHeight="1" s="199">
      <c r="A15" s="183" t="inlineStr">
        <is>
          <t>Gross Potential Rent  (GPR)  —  base rent</t>
        </is>
      </c>
      <c r="B15" s="48" t="n"/>
      <c r="C15" s="48" t="n"/>
      <c r="D15" s="48" t="n"/>
      <c r="E15" s="30">
        <f>'T12 Analytics'!E37</f>
        <v/>
      </c>
      <c r="F15" s="30">
        <f>'T12 Analytics'!F37</f>
        <v/>
      </c>
      <c r="G15" s="30">
        <f>IFERROR(IF(E15="","",F15-E15),"")</f>
        <v/>
      </c>
      <c r="H15" s="48" t="n"/>
    </row>
    <row r="16" ht="15.75" customHeight="1" s="199">
      <c r="A16" s="11" t="inlineStr">
        <is>
          <t>Physical vacancy loss</t>
        </is>
      </c>
      <c r="B16" s="200" t="n"/>
      <c r="C16" s="200" t="n"/>
      <c r="D16" s="200" t="n"/>
      <c r="E16" s="144">
        <f>IFERROR(IF('T12 Analytics'!E38="","",'T12 Analytics'!E38),"")</f>
        <v/>
      </c>
      <c r="F16" s="144">
        <f>'T12 Analytics'!F38</f>
        <v/>
      </c>
      <c r="G16" s="144">
        <f>IFERROR(IF(E16="","",F16-E16),"")</f>
        <v/>
      </c>
      <c r="H16" s="200" t="n"/>
    </row>
    <row r="17" ht="15.75" customHeight="1" s="199">
      <c r="A17" s="11" t="inlineStr">
        <is>
          <t>Physical vacancy rate %</t>
        </is>
      </c>
      <c r="B17" s="200" t="n"/>
      <c r="C17" s="200" t="n"/>
      <c r="D17" s="200" t="n"/>
      <c r="E17" s="158">
        <f>'T12 Analytics'!E39</f>
        <v/>
      </c>
      <c r="F17" s="158">
        <f>'T12 Analytics'!F39</f>
        <v/>
      </c>
      <c r="G17" s="158">
        <f>IFERROR(IF(ISNUMBER(E17),F17-E17,"-"),"-")</f>
        <v/>
      </c>
      <c r="H17" s="200" t="n"/>
    </row>
    <row r="18" ht="15.75" customHeight="1" s="199">
      <c r="A18" s="159" t="inlineStr">
        <is>
          <t>Loss to lease</t>
        </is>
      </c>
      <c r="B18" s="46" t="n"/>
      <c r="C18" s="46" t="n"/>
      <c r="D18" s="46" t="n"/>
      <c r="E18" s="37">
        <f>IFERROR(IF('T12 Analytics'!E40="","",'T12 Analytics'!E40),"")</f>
        <v/>
      </c>
      <c r="F18" s="37">
        <f>'T12 Analytics'!F40</f>
        <v/>
      </c>
      <c r="G18" s="37">
        <f>IFERROR(IF(E18="","",F18-E18),"")</f>
        <v/>
      </c>
      <c r="H18" s="46" t="n"/>
    </row>
    <row r="19" ht="15.75" customHeight="1" s="199">
      <c r="A19" s="159" t="inlineStr">
        <is>
          <t>Loss to lease as % of GPR</t>
        </is>
      </c>
      <c r="B19" s="46" t="n"/>
      <c r="C19" s="46" t="n"/>
      <c r="D19" s="46" t="n"/>
      <c r="E19" s="40">
        <f>IFERROR(IF('T12 Analytics'!E41="","",'T12 Analytics'!E41),"")</f>
        <v/>
      </c>
      <c r="F19" s="40">
        <f>'T12 Analytics'!F41</f>
        <v/>
      </c>
      <c r="G19" s="40">
        <f>IFERROR(IF(E19="","",F19-E19),"")</f>
        <v/>
      </c>
      <c r="H19" s="46" t="n"/>
    </row>
    <row r="20" ht="6" customHeight="1" s="199">
      <c r="A20" s="200" t="n"/>
      <c r="B20" s="200" t="n"/>
      <c r="C20" s="200" t="n"/>
      <c r="D20" s="200" t="n"/>
      <c r="E20" s="200" t="n"/>
      <c r="F20" s="200" t="n"/>
      <c r="G20" s="200" t="n"/>
      <c r="H20" s="200" t="n"/>
    </row>
    <row r="21" ht="15.75" customHeight="1" s="199">
      <c r="A21" s="155" t="inlineStr">
        <is>
          <t>LABOR</t>
        </is>
      </c>
      <c r="H21" s="202" t="n"/>
    </row>
    <row r="22" ht="15.75" customHeight="1" s="199">
      <c r="A22" s="112" t="inlineStr">
        <is>
          <t>Care staff labor</t>
        </is>
      </c>
      <c r="B22" s="24" t="inlineStr">
        <is>
          <t>"-"</t>
        </is>
      </c>
      <c r="C22" s="24" t="inlineStr">
        <is>
          <t>"-"</t>
        </is>
      </c>
      <c r="D22" s="24" t="inlineStr">
        <is>
          <t>"-"</t>
        </is>
      </c>
      <c r="E22" s="24">
        <f>'T12 Analytics'!E57</f>
        <v/>
      </c>
      <c r="F22" s="24">
        <f>'T12 Analytics'!F57</f>
        <v/>
      </c>
      <c r="G22" s="24">
        <f>F22-E22</f>
        <v/>
      </c>
      <c r="H22" s="156" t="n"/>
    </row>
    <row r="23" ht="15.75" customHeight="1" s="199">
      <c r="A23" s="112" t="inlineStr">
        <is>
          <t>Wellness / care coordinators</t>
        </is>
      </c>
      <c r="B23" s="24" t="inlineStr">
        <is>
          <t>"-"</t>
        </is>
      </c>
      <c r="C23" s="24" t="inlineStr">
        <is>
          <t>"-"</t>
        </is>
      </c>
      <c r="D23" s="24" t="inlineStr">
        <is>
          <t>"-"</t>
        </is>
      </c>
      <c r="E23" s="24">
        <f>'T12 Analytics'!E58</f>
        <v/>
      </c>
      <c r="F23" s="24">
        <f>'T12 Analytics'!F58</f>
        <v/>
      </c>
      <c r="G23" s="24">
        <f>F23-E23</f>
        <v/>
      </c>
      <c r="H23" s="156" t="n"/>
    </row>
    <row r="24" ht="15.75" customHeight="1" s="199">
      <c r="A24" s="112" t="inlineStr">
        <is>
          <t>Contract / agency labor</t>
        </is>
      </c>
      <c r="B24" s="24" t="inlineStr">
        <is>
          <t>"-"</t>
        </is>
      </c>
      <c r="C24" s="24" t="inlineStr">
        <is>
          <t>"-"</t>
        </is>
      </c>
      <c r="D24" s="24" t="inlineStr">
        <is>
          <t>"-"</t>
        </is>
      </c>
      <c r="E24" s="24">
        <f>'T12 Analytics'!E59</f>
        <v/>
      </c>
      <c r="F24" s="24">
        <f>'T12 Analytics'!F59</f>
        <v/>
      </c>
      <c r="G24" s="24">
        <f>F24-E24</f>
        <v/>
      </c>
      <c r="H24" s="156" t="n"/>
    </row>
    <row r="25" ht="15.75" customHeight="1" s="199">
      <c r="A25" s="112" t="inlineStr">
        <is>
          <t>Activities labor</t>
        </is>
      </c>
      <c r="B25" s="24" t="inlineStr">
        <is>
          <t>"-"</t>
        </is>
      </c>
      <c r="C25" s="24" t="inlineStr">
        <is>
          <t>"-"</t>
        </is>
      </c>
      <c r="D25" s="24" t="inlineStr">
        <is>
          <t>"-"</t>
        </is>
      </c>
      <c r="E25" s="24">
        <f>'T12 Analytics'!E60</f>
        <v/>
      </c>
      <c r="F25" s="24">
        <f>'T12 Analytics'!F60</f>
        <v/>
      </c>
      <c r="G25" s="24">
        <f>F25-E25</f>
        <v/>
      </c>
      <c r="H25" s="156" t="n"/>
    </row>
    <row r="26" ht="15.75" customHeight="1" s="199">
      <c r="A26" s="112" t="inlineStr">
        <is>
          <t>Dining / food service labor</t>
        </is>
      </c>
      <c r="B26" s="24" t="inlineStr">
        <is>
          <t>"-"</t>
        </is>
      </c>
      <c r="C26" s="24" t="inlineStr">
        <is>
          <t>"-"</t>
        </is>
      </c>
      <c r="D26" s="24" t="inlineStr">
        <is>
          <t>"-"</t>
        </is>
      </c>
      <c r="E26" s="24">
        <f>'T12 Analytics'!E61</f>
        <v/>
      </c>
      <c r="F26" s="24">
        <f>'T12 Analytics'!F61</f>
        <v/>
      </c>
      <c r="G26" s="24">
        <f>F26-E26</f>
        <v/>
      </c>
      <c r="H26" s="156" t="n"/>
    </row>
    <row r="27" ht="15.75" customHeight="1" s="199">
      <c r="A27" s="112" t="inlineStr">
        <is>
          <t>Maintenance &amp; HK labor</t>
        </is>
      </c>
      <c r="B27" s="24" t="inlineStr">
        <is>
          <t>"-"</t>
        </is>
      </c>
      <c r="C27" s="24" t="inlineStr">
        <is>
          <t>"-"</t>
        </is>
      </c>
      <c r="D27" s="24" t="inlineStr">
        <is>
          <t>"-"</t>
        </is>
      </c>
      <c r="E27" s="24">
        <f>'T12 Analytics'!E62</f>
        <v/>
      </c>
      <c r="F27" s="24">
        <f>'T12 Analytics'!F62</f>
        <v/>
      </c>
      <c r="G27" s="24">
        <f>F27-E27</f>
        <v/>
      </c>
      <c r="H27" s="156" t="n"/>
    </row>
    <row r="28" ht="18" customHeight="1" s="199">
      <c r="A28" s="112" t="inlineStr">
        <is>
          <t>Administrative labor</t>
        </is>
      </c>
      <c r="B28" s="24" t="inlineStr">
        <is>
          <t>"-"</t>
        </is>
      </c>
      <c r="C28" s="24" t="inlineStr">
        <is>
          <t>"-"</t>
        </is>
      </c>
      <c r="D28" s="24" t="inlineStr">
        <is>
          <t>"-"</t>
        </is>
      </c>
      <c r="E28" s="24">
        <f>'T12 Analytics'!E63</f>
        <v/>
      </c>
      <c r="F28" s="24">
        <f>'T12 Analytics'!F63</f>
        <v/>
      </c>
      <c r="G28" s="24">
        <f>F28-E28</f>
        <v/>
      </c>
      <c r="H28" s="156" t="n"/>
    </row>
    <row r="29" ht="18" customHeight="1" s="199">
      <c r="A29" s="195" t="inlineStr">
        <is>
          <t>Bonus wages</t>
        </is>
      </c>
      <c r="B29" s="196" t="inlineStr">
        <is>
          <t>-</t>
        </is>
      </c>
      <c r="C29" s="196" t="inlineStr">
        <is>
          <t>-</t>
        </is>
      </c>
      <c r="D29" s="196" t="inlineStr">
        <is>
          <t>-</t>
        </is>
      </c>
      <c r="E29" s="196">
        <f>'T12 Analytics'!E64</f>
        <v/>
      </c>
      <c r="F29" s="197">
        <f>'T12 Analytics'!F64</f>
        <v/>
      </c>
      <c r="G29" s="24">
        <f>F29-E29</f>
        <v/>
      </c>
      <c r="H29" s="156" t="n"/>
    </row>
    <row r="30" ht="15.75" customHeight="1" s="199">
      <c r="A30" s="112" t="inlineStr">
        <is>
          <t>Overtime wages</t>
        </is>
      </c>
      <c r="B30" s="24" t="inlineStr">
        <is>
          <t>"-"</t>
        </is>
      </c>
      <c r="C30" s="24" t="inlineStr">
        <is>
          <t>"-"</t>
        </is>
      </c>
      <c r="D30" s="24" t="inlineStr">
        <is>
          <t>"-"</t>
        </is>
      </c>
      <c r="E30" s="24">
        <f>'T12 Analytics'!E68</f>
        <v/>
      </c>
      <c r="F30" s="24">
        <f>'T12 Analytics'!F68</f>
        <v/>
      </c>
      <c r="G30" s="24">
        <f>F30-E30</f>
        <v/>
      </c>
      <c r="H30" s="156" t="n"/>
    </row>
    <row r="31" ht="15.75" customHeight="1" s="199">
      <c r="A31" s="112" t="inlineStr">
        <is>
          <t>PTO wages</t>
        </is>
      </c>
      <c r="B31" s="24" t="inlineStr">
        <is>
          <t>"-"</t>
        </is>
      </c>
      <c r="C31" s="24" t="inlineStr">
        <is>
          <t>"-"</t>
        </is>
      </c>
      <c r="D31" s="24" t="inlineStr">
        <is>
          <t>"-"</t>
        </is>
      </c>
      <c r="E31" s="24">
        <f>'T12 Analytics'!E69</f>
        <v/>
      </c>
      <c r="F31" s="24">
        <f>'T12 Analytics'!F69</f>
        <v/>
      </c>
      <c r="G31" s="24">
        <f>F31-E31</f>
        <v/>
      </c>
      <c r="H31" s="156" t="n"/>
    </row>
    <row r="32" ht="15.75" customHeight="1" s="199">
      <c r="A32" s="112" t="inlineStr">
        <is>
          <t>Payroll taxes</t>
        </is>
      </c>
      <c r="B32" s="24" t="inlineStr">
        <is>
          <t>"-"</t>
        </is>
      </c>
      <c r="C32" s="24" t="inlineStr">
        <is>
          <t>"-"</t>
        </is>
      </c>
      <c r="D32" s="24" t="inlineStr">
        <is>
          <t>"-"</t>
        </is>
      </c>
      <c r="E32" s="24">
        <f>'T12 Analytics'!E70</f>
        <v/>
      </c>
      <c r="F32" s="24">
        <f>'T12 Analytics'!F70</f>
        <v/>
      </c>
      <c r="G32" s="24">
        <f>F32-E32</f>
        <v/>
      </c>
      <c r="H32" s="156" t="n"/>
    </row>
    <row r="33" ht="15.75" customHeight="1" s="199">
      <c r="A33" s="112" t="inlineStr">
        <is>
          <t>Employee benefits</t>
        </is>
      </c>
      <c r="B33" s="24" t="inlineStr">
        <is>
          <t>"-"</t>
        </is>
      </c>
      <c r="C33" s="24" t="inlineStr">
        <is>
          <t>"-"</t>
        </is>
      </c>
      <c r="D33" s="24" t="inlineStr">
        <is>
          <t>"-"</t>
        </is>
      </c>
      <c r="E33" s="24">
        <f>'T12 Analytics'!E71</f>
        <v/>
      </c>
      <c r="F33" s="24">
        <f>'T12 Analytics'!F71</f>
        <v/>
      </c>
      <c r="G33" s="24">
        <f>F33-E33</f>
        <v/>
      </c>
      <c r="H33" s="156" t="n"/>
    </row>
    <row r="34" ht="15.75" customHeight="1" s="199">
      <c r="A34" s="112" t="inlineStr">
        <is>
          <t>Workers' comp insurance</t>
        </is>
      </c>
      <c r="B34" s="24" t="inlineStr">
        <is>
          <t>"-"</t>
        </is>
      </c>
      <c r="C34" s="24" t="inlineStr">
        <is>
          <t>"-"</t>
        </is>
      </c>
      <c r="D34" s="24" t="inlineStr">
        <is>
          <t>"-"</t>
        </is>
      </c>
      <c r="E34" s="24">
        <f>'T12 Analytics'!E72</f>
        <v/>
      </c>
      <c r="F34" s="24">
        <f>'T12 Analytics'!F72</f>
        <v/>
      </c>
      <c r="G34" s="24">
        <f>F34-E34</f>
        <v/>
      </c>
      <c r="H34" s="156" t="n"/>
    </row>
    <row r="35" ht="15.75" customHeight="1" s="199">
      <c r="A35" s="112" t="inlineStr">
        <is>
          <t>Employee 401(k)</t>
        </is>
      </c>
      <c r="B35" s="24" t="inlineStr">
        <is>
          <t>"-"</t>
        </is>
      </c>
      <c r="C35" s="24" t="inlineStr">
        <is>
          <t>"-"</t>
        </is>
      </c>
      <c r="D35" s="24" t="inlineStr">
        <is>
          <t>"-"</t>
        </is>
      </c>
      <c r="E35" s="24">
        <f>'T12 Analytics'!E73</f>
        <v/>
      </c>
      <c r="F35" s="24">
        <f>'T12 Analytics'!F73</f>
        <v/>
      </c>
      <c r="G35" s="24">
        <f>F35-E35</f>
        <v/>
      </c>
      <c r="H35" s="156" t="n"/>
    </row>
    <row r="36" ht="15.75" customHeight="1" s="199">
      <c r="A36" s="183" t="inlineStr">
        <is>
          <t>Total labor &amp; burden</t>
        </is>
      </c>
      <c r="B36" s="30" t="inlineStr">
        <is>
          <t>"-"</t>
        </is>
      </c>
      <c r="C36" s="30" t="inlineStr">
        <is>
          <t>"-"</t>
        </is>
      </c>
      <c r="D36" s="30" t="inlineStr">
        <is>
          <t>"-"</t>
        </is>
      </c>
      <c r="E36" s="30">
        <f>'T12 Analytics'!E76</f>
        <v/>
      </c>
      <c r="F36" s="30">
        <f>'T12 Analytics'!F76</f>
        <v/>
      </c>
      <c r="G36" s="30">
        <f>F36-E36</f>
        <v/>
      </c>
      <c r="H36" s="157" t="n"/>
    </row>
    <row r="37" ht="15.75" customHeight="1" s="199">
      <c r="A37" s="155" t="inlineStr">
        <is>
          <t>NON-LABOR</t>
        </is>
      </c>
      <c r="F37" s="202" t="n"/>
      <c r="G37" s="155" t="n"/>
      <c r="H37" s="155" t="n"/>
    </row>
    <row r="38" ht="15.75" customHeight="1" s="199">
      <c r="A38" s="112" t="inlineStr">
        <is>
          <t>Food cost</t>
        </is>
      </c>
      <c r="B38" s="24" t="inlineStr">
        <is>
          <t>"-"</t>
        </is>
      </c>
      <c r="C38" s="24" t="inlineStr">
        <is>
          <t>"-"</t>
        </is>
      </c>
      <c r="D38" s="24" t="inlineStr">
        <is>
          <t>"-"</t>
        </is>
      </c>
      <c r="E38" s="24">
        <f>'T12 Analytics'!E79</f>
        <v/>
      </c>
      <c r="F38" s="24">
        <f>'T12 Analytics'!F79</f>
        <v/>
      </c>
      <c r="G38" s="24">
        <f>F38-E38</f>
        <v/>
      </c>
      <c r="H38" s="156" t="n"/>
    </row>
    <row r="39" ht="15.75" customHeight="1" s="199">
      <c r="A39" s="112" t="inlineStr">
        <is>
          <t>Dining &amp; kitchen supplies</t>
        </is>
      </c>
      <c r="B39" s="24" t="inlineStr">
        <is>
          <t>"-"</t>
        </is>
      </c>
      <c r="C39" s="24" t="inlineStr">
        <is>
          <t>"-"</t>
        </is>
      </c>
      <c r="D39" s="24" t="inlineStr">
        <is>
          <t>"-"</t>
        </is>
      </c>
      <c r="E39" s="24">
        <f>'T12 Analytics'!E80</f>
        <v/>
      </c>
      <c r="F39" s="24">
        <f>'T12 Analytics'!F80</f>
        <v/>
      </c>
      <c r="G39" s="24">
        <f>F39-E39</f>
        <v/>
      </c>
      <c r="H39" s="156" t="n"/>
    </row>
    <row r="40" ht="15.75" customHeight="1" s="199">
      <c r="A40" s="112" t="inlineStr">
        <is>
          <t>Nursing &amp; care supplies</t>
        </is>
      </c>
      <c r="B40" s="24" t="inlineStr">
        <is>
          <t>"-"</t>
        </is>
      </c>
      <c r="C40" s="24" t="inlineStr">
        <is>
          <t>"-"</t>
        </is>
      </c>
      <c r="D40" s="24" t="inlineStr">
        <is>
          <t>"-"</t>
        </is>
      </c>
      <c r="E40" s="24">
        <f>'T12 Analytics'!E81</f>
        <v/>
      </c>
      <c r="F40" s="24">
        <f>'T12 Analytics'!F81</f>
        <v/>
      </c>
      <c r="G40" s="24">
        <f>F40-E40</f>
        <v/>
      </c>
      <c r="H40" s="156" t="n"/>
    </row>
    <row r="41" ht="15.75" customHeight="1" s="199">
      <c r="A41" s="112" t="inlineStr">
        <is>
          <t>Recreation supplies</t>
        </is>
      </c>
      <c r="B41" s="24" t="inlineStr">
        <is>
          <t>"-"</t>
        </is>
      </c>
      <c r="C41" s="24" t="inlineStr">
        <is>
          <t>"-"</t>
        </is>
      </c>
      <c r="D41" s="24" t="inlineStr">
        <is>
          <t>"-"</t>
        </is>
      </c>
      <c r="E41" s="24">
        <f>'T12 Analytics'!E82</f>
        <v/>
      </c>
      <c r="F41" s="24">
        <f>'T12 Analytics'!F82</f>
        <v/>
      </c>
      <c r="G41" s="24">
        <f>F41-E41</f>
        <v/>
      </c>
      <c r="H41" s="156" t="n"/>
    </row>
    <row r="42" ht="15.75" customHeight="1" s="199">
      <c r="A42" s="112" t="inlineStr">
        <is>
          <t>R&amp;M fixed</t>
        </is>
      </c>
      <c r="B42" s="24" t="inlineStr">
        <is>
          <t>"-"</t>
        </is>
      </c>
      <c r="C42" s="24" t="inlineStr">
        <is>
          <t>"-"</t>
        </is>
      </c>
      <c r="D42" s="24" t="inlineStr">
        <is>
          <t>"-"</t>
        </is>
      </c>
      <c r="E42" s="24">
        <f>'T12 Analytics'!E83</f>
        <v/>
      </c>
      <c r="F42" s="24">
        <f>'T12 Analytics'!F83</f>
        <v/>
      </c>
      <c r="G42" s="24">
        <f>F42-E42</f>
        <v/>
      </c>
      <c r="H42" s="156" t="n"/>
    </row>
    <row r="43" ht="15.75" customHeight="1" s="199">
      <c r="A43" s="112" t="inlineStr">
        <is>
          <t>R&amp;M variable</t>
        </is>
      </c>
      <c r="B43" s="24" t="inlineStr">
        <is>
          <t>"-"</t>
        </is>
      </c>
      <c r="C43" s="24" t="inlineStr">
        <is>
          <t>"-"</t>
        </is>
      </c>
      <c r="D43" s="24" t="inlineStr">
        <is>
          <t>"-"</t>
        </is>
      </c>
      <c r="E43" s="24">
        <f>'T12 Analytics'!E84</f>
        <v/>
      </c>
      <c r="F43" s="24">
        <f>'T12 Analytics'!F84</f>
        <v/>
      </c>
      <c r="G43" s="24">
        <f>F43-E43</f>
        <v/>
      </c>
      <c r="H43" s="156" t="n"/>
    </row>
    <row r="44" ht="15.75" customHeight="1" s="199">
      <c r="A44" s="112" t="inlineStr">
        <is>
          <t>HK &amp; laundry supplies</t>
        </is>
      </c>
      <c r="B44" s="24" t="inlineStr">
        <is>
          <t>"-"</t>
        </is>
      </c>
      <c r="C44" s="24" t="inlineStr">
        <is>
          <t>"-"</t>
        </is>
      </c>
      <c r="D44" s="24" t="inlineStr">
        <is>
          <t>"-"</t>
        </is>
      </c>
      <c r="E44" s="24">
        <f>'T12 Analytics'!E85</f>
        <v/>
      </c>
      <c r="F44" s="24">
        <f>'T12 Analytics'!F85</f>
        <v/>
      </c>
      <c r="G44" s="24">
        <f>F44-E44</f>
        <v/>
      </c>
      <c r="H44" s="156" t="n"/>
    </row>
    <row r="45" ht="15.75" customHeight="1" s="199">
      <c r="A45" s="112" t="inlineStr">
        <is>
          <t>Sales, adv. &amp; marketing</t>
        </is>
      </c>
      <c r="B45" s="24" t="inlineStr">
        <is>
          <t>"-"</t>
        </is>
      </c>
      <c r="C45" s="24" t="inlineStr">
        <is>
          <t>"-"</t>
        </is>
      </c>
      <c r="D45" s="24" t="inlineStr">
        <is>
          <t>"-"</t>
        </is>
      </c>
      <c r="E45" s="24">
        <f>'T12 Analytics'!E86</f>
        <v/>
      </c>
      <c r="F45" s="24">
        <f>'T12 Analytics'!F86</f>
        <v/>
      </c>
      <c r="G45" s="24">
        <f>F45-E45</f>
        <v/>
      </c>
      <c r="H45" s="156" t="n"/>
    </row>
    <row r="46" ht="15.75" customHeight="1" s="199">
      <c r="A46" s="112" t="inlineStr">
        <is>
          <t>Referral fees</t>
        </is>
      </c>
      <c r="B46" s="24" t="inlineStr">
        <is>
          <t>"-"</t>
        </is>
      </c>
      <c r="C46" s="24" t="inlineStr">
        <is>
          <t>"-"</t>
        </is>
      </c>
      <c r="D46" s="24" t="inlineStr">
        <is>
          <t>"-"</t>
        </is>
      </c>
      <c r="E46" s="24">
        <f>'T12 Analytics'!E87</f>
        <v/>
      </c>
      <c r="F46" s="24">
        <f>'T12 Analytics'!F87</f>
        <v/>
      </c>
      <c r="G46" s="24">
        <f>F46-E46</f>
        <v/>
      </c>
      <c r="H46" s="156" t="n"/>
    </row>
    <row r="47" ht="15.75" customHeight="1" s="199">
      <c r="A47" s="112" t="inlineStr">
        <is>
          <t>Utilities</t>
        </is>
      </c>
      <c r="B47" s="24" t="inlineStr">
        <is>
          <t>"-"</t>
        </is>
      </c>
      <c r="C47" s="24" t="inlineStr">
        <is>
          <t>"-"</t>
        </is>
      </c>
      <c r="D47" s="24" t="inlineStr">
        <is>
          <t>"-"</t>
        </is>
      </c>
      <c r="E47" s="24">
        <f>'T12 Analytics'!E88</f>
        <v/>
      </c>
      <c r="F47" s="24">
        <f>'T12 Analytics'!F88</f>
        <v/>
      </c>
      <c r="G47" s="24">
        <f>F47-E47</f>
        <v/>
      </c>
      <c r="H47" s="156" t="n"/>
    </row>
    <row r="48" ht="15.75" customHeight="1" s="199">
      <c r="A48" s="112" t="inlineStr">
        <is>
          <t>Telephone / IT</t>
        </is>
      </c>
      <c r="B48" s="24" t="inlineStr">
        <is>
          <t>"-"</t>
        </is>
      </c>
      <c r="C48" s="24" t="inlineStr">
        <is>
          <t>"-"</t>
        </is>
      </c>
      <c r="D48" s="24" t="inlineStr">
        <is>
          <t>"-"</t>
        </is>
      </c>
      <c r="E48" s="24">
        <f>'T12 Analytics'!E89</f>
        <v/>
      </c>
      <c r="F48" s="24">
        <f>'T12 Analytics'!F89</f>
        <v/>
      </c>
      <c r="G48" s="24">
        <f>F48-E48</f>
        <v/>
      </c>
      <c r="H48" s="156" t="n"/>
    </row>
    <row r="49" ht="15.75" customHeight="1" s="199">
      <c r="A49" s="112" t="inlineStr">
        <is>
          <t>P&amp;C insurance</t>
        </is>
      </c>
      <c r="B49" s="24" t="inlineStr">
        <is>
          <t>"-"</t>
        </is>
      </c>
      <c r="C49" s="24" t="inlineStr">
        <is>
          <t>"-"</t>
        </is>
      </c>
      <c r="D49" s="24" t="inlineStr">
        <is>
          <t>"-"</t>
        </is>
      </c>
      <c r="E49" s="24">
        <f>'T12 Analytics'!E90</f>
        <v/>
      </c>
      <c r="F49" s="24">
        <f>'T12 Analytics'!F90</f>
        <v/>
      </c>
      <c r="G49" s="24">
        <f>F49-E49</f>
        <v/>
      </c>
      <c r="H49" s="156" t="n"/>
    </row>
    <row r="50" ht="15.75" customHeight="1" s="199">
      <c r="A50" s="112" t="inlineStr">
        <is>
          <t>Auto insurance</t>
        </is>
      </c>
      <c r="B50" s="24" t="inlineStr">
        <is>
          <t>"-"</t>
        </is>
      </c>
      <c r="C50" s="24" t="inlineStr">
        <is>
          <t>"-"</t>
        </is>
      </c>
      <c r="D50" s="24" t="inlineStr">
        <is>
          <t>"-"</t>
        </is>
      </c>
      <c r="E50" s="24">
        <f>'T12 Analytics'!E91</f>
        <v/>
      </c>
      <c r="F50" s="24">
        <f>'T12 Analytics'!F91</f>
        <v/>
      </c>
      <c r="G50" s="24">
        <f>F50-E50</f>
        <v/>
      </c>
      <c r="H50" s="156" t="n"/>
    </row>
    <row r="51" ht="15.75" customHeight="1" s="199">
      <c r="A51" s="112" t="inlineStr">
        <is>
          <t>Fire / security monitoring</t>
        </is>
      </c>
      <c r="B51" s="24" t="inlineStr">
        <is>
          <t>"-"</t>
        </is>
      </c>
      <c r="C51" s="24" t="inlineStr">
        <is>
          <t>"-"</t>
        </is>
      </c>
      <c r="D51" s="24" t="inlineStr">
        <is>
          <t>"-"</t>
        </is>
      </c>
      <c r="E51" s="24">
        <f>'T12 Analytics'!E92</f>
        <v/>
      </c>
      <c r="F51" s="24">
        <f>'T12 Analytics'!F92</f>
        <v/>
      </c>
      <c r="G51" s="24">
        <f>F51-E51</f>
        <v/>
      </c>
      <c r="H51" s="156" t="n"/>
    </row>
    <row r="52" ht="15.75" customHeight="1" s="199">
      <c r="A52" s="112" t="inlineStr">
        <is>
          <t>Pest elimination</t>
        </is>
      </c>
      <c r="B52" s="24" t="inlineStr">
        <is>
          <t>"-"</t>
        </is>
      </c>
      <c r="C52" s="24" t="inlineStr">
        <is>
          <t>"-"</t>
        </is>
      </c>
      <c r="D52" s="24" t="inlineStr">
        <is>
          <t>"-"</t>
        </is>
      </c>
      <c r="E52" s="24">
        <f>'T12 Analytics'!E93</f>
        <v/>
      </c>
      <c r="F52" s="24">
        <f>'T12 Analytics'!F93</f>
        <v/>
      </c>
      <c r="G52" s="24">
        <f>F52-E52</f>
        <v/>
      </c>
      <c r="H52" s="156" t="n"/>
    </row>
    <row r="53" ht="15.75" customHeight="1" s="199">
      <c r="A53" s="112" t="inlineStr">
        <is>
          <t>Real estate taxes</t>
        </is>
      </c>
      <c r="B53" s="24" t="inlineStr">
        <is>
          <t>"-"</t>
        </is>
      </c>
      <c r="C53" s="24" t="inlineStr">
        <is>
          <t>"-"</t>
        </is>
      </c>
      <c r="D53" s="24" t="inlineStr">
        <is>
          <t>"-"</t>
        </is>
      </c>
      <c r="E53" s="24">
        <f>'T12 Analytics'!E94</f>
        <v/>
      </c>
      <c r="F53" s="24">
        <f>'T12 Analytics'!F94</f>
        <v/>
      </c>
      <c r="G53" s="24">
        <f>F53-E53</f>
        <v/>
      </c>
      <c r="H53" s="156" t="n"/>
    </row>
    <row r="54" ht="18" customHeight="1" s="199">
      <c r="A54" s="112" t="inlineStr">
        <is>
          <t>Personal property taxes</t>
        </is>
      </c>
      <c r="B54" s="24" t="inlineStr">
        <is>
          <t>"-"</t>
        </is>
      </c>
      <c r="C54" s="24" t="inlineStr">
        <is>
          <t>"-"</t>
        </is>
      </c>
      <c r="D54" s="24" t="inlineStr">
        <is>
          <t>"-"</t>
        </is>
      </c>
      <c r="E54" s="24">
        <f>'T12 Analytics'!E95</f>
        <v/>
      </c>
      <c r="F54" s="24">
        <f>'T12 Analytics'!F95</f>
        <v/>
      </c>
      <c r="G54" s="24">
        <f>F54-E54</f>
        <v/>
      </c>
      <c r="H54" s="156" t="n"/>
    </row>
    <row r="55" ht="18" customHeight="1" s="199">
      <c r="A55" s="112" t="inlineStr">
        <is>
          <t>Legal expenses</t>
        </is>
      </c>
      <c r="B55" s="24" t="inlineStr">
        <is>
          <t>"-"</t>
        </is>
      </c>
      <c r="C55" s="24" t="inlineStr">
        <is>
          <t>"-"</t>
        </is>
      </c>
      <c r="D55" s="24" t="inlineStr">
        <is>
          <t>"-"</t>
        </is>
      </c>
      <c r="E55" s="24">
        <f>'T12 Analytics'!E96</f>
        <v/>
      </c>
      <c r="F55" s="24">
        <f>'T12 Analytics'!F96</f>
        <v/>
      </c>
      <c r="G55" s="24">
        <f>F55-E55</f>
        <v/>
      </c>
      <c r="H55" s="156" t="n"/>
    </row>
    <row r="56" ht="15.75" customHeight="1" s="199">
      <c r="A56" s="112" t="inlineStr">
        <is>
          <t>Professional services</t>
        </is>
      </c>
      <c r="B56" s="24" t="inlineStr">
        <is>
          <t>"-"</t>
        </is>
      </c>
      <c r="C56" s="24" t="inlineStr">
        <is>
          <t>"-"</t>
        </is>
      </c>
      <c r="D56" s="24" t="inlineStr">
        <is>
          <t>"-"</t>
        </is>
      </c>
      <c r="E56" s="24">
        <f>'T12 Analytics'!E97</f>
        <v/>
      </c>
      <c r="F56" s="24">
        <f>'T12 Analytics'!F97</f>
        <v/>
      </c>
      <c r="G56" s="24">
        <f>F56-E56</f>
        <v/>
      </c>
      <c r="H56" s="156" t="n"/>
    </row>
    <row r="57" ht="18" customHeight="1" s="199">
      <c r="A57" s="195" t="inlineStr">
        <is>
          <t>Bad debt expense</t>
        </is>
      </c>
      <c r="B57" s="196" t="inlineStr">
        <is>
          <t>-</t>
        </is>
      </c>
      <c r="C57" s="196" t="inlineStr">
        <is>
          <t>-</t>
        </is>
      </c>
      <c r="D57" s="196" t="inlineStr">
        <is>
          <t>-</t>
        </is>
      </c>
      <c r="E57" s="196">
        <f>'T12 Analytics'!E98</f>
        <v/>
      </c>
      <c r="F57" s="197">
        <f>'T12 Analytics'!F98</f>
        <v/>
      </c>
      <c r="G57" s="24">
        <f>F57-E57</f>
        <v/>
      </c>
      <c r="H57" s="156" t="n"/>
    </row>
    <row r="58" ht="18" customHeight="1" s="199">
      <c r="A58" s="112" t="inlineStr">
        <is>
          <t>Permits, licenses &amp; dues</t>
        </is>
      </c>
      <c r="B58" s="24" t="inlineStr">
        <is>
          <t>"-"</t>
        </is>
      </c>
      <c r="C58" s="24" t="inlineStr">
        <is>
          <t>"-"</t>
        </is>
      </c>
      <c r="D58" s="24" t="inlineStr">
        <is>
          <t>"-"</t>
        </is>
      </c>
      <c r="E58" s="24">
        <f>'T12 Analytics'!E99</f>
        <v/>
      </c>
      <c r="F58" s="24">
        <f>'T12 Analytics'!F99</f>
        <v/>
      </c>
      <c r="G58" s="24">
        <f>F58-E58</f>
        <v/>
      </c>
      <c r="H58" s="156" t="n"/>
    </row>
    <row r="59" ht="18" customHeight="1" s="199">
      <c r="A59" s="112" t="inlineStr">
        <is>
          <t>Office, admin &amp; G&amp;A</t>
        </is>
      </c>
      <c r="B59" s="24" t="inlineStr">
        <is>
          <t>"-"</t>
        </is>
      </c>
      <c r="C59" s="24" t="inlineStr">
        <is>
          <t>"-"</t>
        </is>
      </c>
      <c r="D59" s="24" t="inlineStr">
        <is>
          <t>"-"</t>
        </is>
      </c>
      <c r="E59" s="24">
        <f>'T12 Analytics'!E100</f>
        <v/>
      </c>
      <c r="F59" s="24">
        <f>'T12 Analytics'!F100</f>
        <v/>
      </c>
      <c r="G59" s="24">
        <f>F59-E59</f>
        <v/>
      </c>
      <c r="H59" s="156" t="n"/>
    </row>
    <row r="60" ht="18" customHeight="1" s="199">
      <c r="A60" s="112" t="inlineStr">
        <is>
          <t>Other / miscellaneous</t>
        </is>
      </c>
      <c r="B60" s="24" t="inlineStr">
        <is>
          <t>"-"</t>
        </is>
      </c>
      <c r="C60" s="24" t="inlineStr">
        <is>
          <t>"-"</t>
        </is>
      </c>
      <c r="D60" s="24" t="inlineStr">
        <is>
          <t>"-"</t>
        </is>
      </c>
      <c r="E60" s="24">
        <f>'T12 Analytics'!E101</f>
        <v/>
      </c>
      <c r="F60" s="24">
        <f>'T12 Analytics'!F101</f>
        <v/>
      </c>
      <c r="G60" s="24">
        <f>F60-E60</f>
        <v/>
      </c>
      <c r="H60" s="156" t="n"/>
    </row>
    <row r="61" ht="18" customHeight="1" s="199">
      <c r="A61" s="207" t="inlineStr">
        <is>
          <t>Lease / ground lease</t>
        </is>
      </c>
      <c r="B61" s="196" t="inlineStr">
        <is>
          <t>-</t>
        </is>
      </c>
      <c r="C61" s="196" t="inlineStr">
        <is>
          <t>-</t>
        </is>
      </c>
      <c r="D61" s="196" t="inlineStr">
        <is>
          <t>-</t>
        </is>
      </c>
      <c r="E61" s="196">
        <f>'T12 Analytics'!E102</f>
        <v/>
      </c>
      <c r="F61" s="196">
        <f>'T12 Analytics'!F102</f>
        <v/>
      </c>
      <c r="G61" s="196">
        <f>F61-E61</f>
        <v/>
      </c>
      <c r="H61" s="197" t="n"/>
    </row>
    <row r="62" ht="15.75" customHeight="1" s="199">
      <c r="A62" s="183" t="inlineStr">
        <is>
          <t>Total non-labor</t>
        </is>
      </c>
      <c r="B62" s="30" t="inlineStr">
        <is>
          <t>"-"</t>
        </is>
      </c>
      <c r="C62" s="30" t="inlineStr">
        <is>
          <t>"-"</t>
        </is>
      </c>
      <c r="D62" s="30" t="inlineStr">
        <is>
          <t>"-"</t>
        </is>
      </c>
      <c r="E62" s="30">
        <f>'T12 Analytics'!E103</f>
        <v/>
      </c>
      <c r="F62" s="30">
        <f>'T12 Analytics'!F103</f>
        <v/>
      </c>
      <c r="G62" s="30">
        <f>F62-E62</f>
        <v/>
      </c>
      <c r="H62" s="157" t="n"/>
    </row>
    <row r="63" ht="15.75" customHeight="1" s="199">
      <c r="A63" s="183" t="inlineStr">
        <is>
          <t>Total opex (excl. mgmt)</t>
        </is>
      </c>
      <c r="B63" s="30" t="inlineStr">
        <is>
          <t>"-"</t>
        </is>
      </c>
      <c r="C63" s="30" t="inlineStr">
        <is>
          <t>"-"</t>
        </is>
      </c>
      <c r="D63" s="30" t="inlineStr">
        <is>
          <t>"-"</t>
        </is>
      </c>
      <c r="E63" s="30">
        <f>'T12 Analytics'!E105</f>
        <v/>
      </c>
      <c r="F63" s="30">
        <f>'T12 Analytics'!F105</f>
        <v/>
      </c>
      <c r="G63" s="30">
        <f>F63-E63</f>
        <v/>
      </c>
      <c r="H63" s="157" t="n"/>
    </row>
    <row r="64" ht="15" customHeight="1" s="199">
      <c r="A64" s="112" t="inlineStr">
        <is>
          <t>Management fee</t>
        </is>
      </c>
      <c r="B64" s="24" t="inlineStr">
        <is>
          <t>"-"</t>
        </is>
      </c>
      <c r="C64" s="24" t="inlineStr">
        <is>
          <t>"-"</t>
        </is>
      </c>
      <c r="D64" s="24" t="inlineStr">
        <is>
          <t>"-"</t>
        </is>
      </c>
      <c r="E64" s="24">
        <f>'T12 Analytics'!E106</f>
        <v/>
      </c>
      <c r="F64" s="24">
        <f>'T12 Analytics'!F106</f>
        <v/>
      </c>
      <c r="G64" s="24">
        <f>F64-E64</f>
        <v/>
      </c>
      <c r="H64" s="156" t="n"/>
    </row>
    <row r="65" ht="15" customHeight="1" s="199">
      <c r="A65" s="155" t="inlineStr">
        <is>
          <t>NOI</t>
        </is>
      </c>
      <c r="F65" s="202" t="n"/>
      <c r="G65" s="155" t="n"/>
      <c r="H65" s="155" t="n"/>
    </row>
    <row r="66" ht="15" customHeight="1" s="199">
      <c r="A66" s="183" t="inlineStr">
        <is>
          <t>EBITDARM</t>
        </is>
      </c>
      <c r="B66" s="30" t="inlineStr">
        <is>
          <t>"-"</t>
        </is>
      </c>
      <c r="C66" s="30" t="inlineStr">
        <is>
          <t>"-"</t>
        </is>
      </c>
      <c r="D66" s="30" t="inlineStr">
        <is>
          <t>"-"</t>
        </is>
      </c>
      <c r="E66" s="161">
        <f>'T12 Analytics'!E108</f>
        <v/>
      </c>
      <c r="F66" s="161">
        <f>'T12 Analytics'!F108</f>
        <v/>
      </c>
      <c r="G66" s="161">
        <f>F66-E66</f>
        <v/>
      </c>
      <c r="H66" s="162" t="n"/>
    </row>
    <row r="67" ht="15" customHeight="1" s="199">
      <c r="A67" s="183" t="inlineStr">
        <is>
          <t>EBITDAR</t>
        </is>
      </c>
      <c r="B67" s="30" t="inlineStr">
        <is>
          <t>"-"</t>
        </is>
      </c>
      <c r="C67" s="30" t="inlineStr">
        <is>
          <t>"-"</t>
        </is>
      </c>
      <c r="D67" s="30" t="inlineStr">
        <is>
          <t>"-"</t>
        </is>
      </c>
      <c r="E67" s="161">
        <f>'T12 Analytics'!E110</f>
        <v/>
      </c>
      <c r="F67" s="161">
        <f>'T12 Analytics'!F110</f>
        <v/>
      </c>
      <c r="G67" s="161">
        <f>F67-E67</f>
        <v/>
      </c>
      <c r="H67" s="162" t="n"/>
    </row>
    <row r="68" ht="15" customHeight="1" s="199">
      <c r="A68" s="183" t="inlineStr">
        <is>
          <t>EBITDA</t>
        </is>
      </c>
      <c r="B68" s="30" t="inlineStr">
        <is>
          <t>"-"</t>
        </is>
      </c>
      <c r="C68" s="30" t="inlineStr">
        <is>
          <t>"-"</t>
        </is>
      </c>
      <c r="D68" s="30" t="inlineStr">
        <is>
          <t>"-"</t>
        </is>
      </c>
      <c r="E68" s="161">
        <f>'T12 Analytics'!E113</f>
        <v/>
      </c>
      <c r="F68" s="161">
        <f>'T12 Analytics'!F113</f>
        <v/>
      </c>
      <c r="G68" s="161">
        <f>F68-E68</f>
        <v/>
      </c>
      <c r="H68" s="162" t="n"/>
    </row>
    <row r="69" ht="15" customHeight="1" s="199">
      <c r="A69" s="155" t="inlineStr">
        <is>
          <t>CAPACITY INPUTS</t>
        </is>
      </c>
      <c r="H69" s="202" t="n"/>
    </row>
    <row r="70" ht="15" customHeight="1" s="199">
      <c r="A70" s="112" t="inlineStr">
        <is>
          <t>Licensed beds (IL / AL / MC / Total)</t>
        </is>
      </c>
      <c r="B70" s="163">
        <f>'T12 Analytics'!B6</f>
        <v/>
      </c>
      <c r="C70" s="163">
        <f>'T12 Analytics'!C6</f>
        <v/>
      </c>
      <c r="D70" s="163">
        <f>'T12 Analytics'!D6</f>
        <v/>
      </c>
      <c r="E70" s="163" t="n"/>
      <c r="F70" s="163" t="n"/>
      <c r="G70" s="24">
        <f>F70-E70</f>
        <v/>
      </c>
      <c r="H70" s="156" t="n"/>
    </row>
    <row r="71" ht="15" customHeight="1" s="199">
      <c r="A71" s="112" t="inlineStr">
        <is>
          <t>Stabilized occupied beds</t>
        </is>
      </c>
      <c r="B71" s="163">
        <f>'T12 Analytics'!B11</f>
        <v/>
      </c>
      <c r="C71" s="163">
        <f>'T12 Analytics'!C11</f>
        <v/>
      </c>
      <c r="D71" s="163">
        <f>'T12 Analytics'!D11</f>
        <v/>
      </c>
      <c r="E71" s="163" t="n"/>
      <c r="F71" s="163" t="n"/>
      <c r="G71" s="24">
        <f>F71-E71</f>
        <v/>
      </c>
      <c r="H71" s="156" t="n"/>
    </row>
  </sheetData>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8" defaultColWidth="8.7109375" defaultRowHeight="15"/>
  <cols>
    <col width="12" customWidth="1" style="199" min="1" max="1"/>
    <col width="40" customWidth="1" style="199" min="2" max="2"/>
    <col width="36" customWidth="1" style="199" min="3" max="3"/>
    <col width="14" customWidth="1" style="199" min="4" max="4"/>
    <col width="10" customWidth="1" style="199" min="5" max="5"/>
    <col width="28" customWidth="1" style="199" min="6" max="6"/>
  </cols>
  <sheetData>
    <row r="1" ht="27.75" customHeight="1" s="199">
      <c r="A1" s="189" t="inlineStr">
        <is>
          <t>Mapping Review  —  UNMATCHED rows need action</t>
        </is>
      </c>
      <c r="AZ1" t="inlineStr">
        <is>
          <t>Description_Map review for UNMATCHED descriptions</t>
        </is>
      </c>
    </row>
    <row r="2" ht="36" customHeight="1" s="199">
      <c r="A2" s="188"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199">
      <c r="AZ3" t="inlineStr">
        <is>
          <t>visible</t>
        </is>
      </c>
    </row>
    <row r="4" ht="16.5" customHeight="1" s="199">
      <c r="A4" s="186" t="inlineStr">
        <is>
          <t>How to fix an UNMATCHED row:</t>
        </is>
      </c>
      <c r="AZ4" t="inlineStr">
        <is>
          <t>v0.1.13</t>
        </is>
      </c>
    </row>
    <row r="5" ht="16.5" customHeight="1" s="199">
      <c r="A5" s="185" t="inlineStr">
        <is>
          <t>1.  Go to T12 Input tab. Find the row showing UNMATCHED in column P.</t>
        </is>
      </c>
    </row>
    <row r="6" ht="16.5" customHeight="1" s="199">
      <c r="A6" s="185" t="inlineStr">
        <is>
          <t>2.  Copy the exact text from that row's column B (the description).</t>
        </is>
      </c>
    </row>
    <row r="7" ht="16.5" customHeight="1" s="199">
      <c r="A7" s="185" t="inlineStr">
        <is>
          <t>3.  Go to Description_Map tab. Add a new row with that description.</t>
        </is>
      </c>
    </row>
    <row r="8" ht="16.5" customHeight="1" s="199">
      <c r="A8" s="185" t="inlineStr">
        <is>
          <t>4.  Set the Label column to the correct Analytics category.</t>
        </is>
      </c>
    </row>
    <row r="9" ht="16.5" customHeight="1" s="199">
      <c r="A9" s="185"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AZ414"/>
  <sheetViews>
    <sheetView topLeftCell="A197" zoomScaleNormal="100" workbookViewId="0">
      <selection activeCell="B188" sqref="B188"/>
    </sheetView>
  </sheetViews>
  <sheetFormatPr baseColWidth="8" defaultColWidth="8.7109375" defaultRowHeight="15"/>
  <cols>
    <col width="40" customWidth="1" style="199" min="1" max="1"/>
    <col width="36" customWidth="1" style="199" min="2" max="2"/>
    <col width="14" customWidth="1" style="199" min="3" max="3"/>
    <col width="10" customWidth="1" style="199" min="4" max="4"/>
    <col width="28" customWidth="1" style="199" min="5" max="5"/>
  </cols>
  <sheetData>
    <row r="1" ht="27.75" customHeight="1" s="199">
      <c r="A1" s="189" t="inlineStr">
        <is>
          <t>Description_Map  —  add new descriptions here for any operator</t>
        </is>
      </c>
      <c r="AZ1" t="inlineStr">
        <is>
          <t>Canonical Description→Label vocabulary</t>
        </is>
      </c>
    </row>
    <row r="2" ht="30" customHeight="1" s="199">
      <c r="A2" s="188" t="inlineStr">
        <is>
          <t>To add a new operator's descriptions: paste the exact text from their T12 description col B, set Label to the matching Analytics category, then paste new T12 data in T12 Input. Done.</t>
        </is>
      </c>
      <c r="AZ2" t="inlineStr">
        <is>
          <t>reference</t>
        </is>
      </c>
    </row>
    <row r="3" ht="6" customHeight="1" s="199">
      <c r="AZ3" t="inlineStr">
        <is>
          <t>visible</t>
        </is>
      </c>
    </row>
    <row r="4" ht="25.5" customHeight="1" s="199">
      <c r="A4" s="164" t="inlineStr">
        <is>
          <t>Description</t>
        </is>
      </c>
      <c r="B4" s="164" t="inlineStr">
        <is>
          <t>Label</t>
        </is>
      </c>
      <c r="C4" s="164" t="inlineStr">
        <is>
          <t>Section</t>
        </is>
      </c>
      <c r="D4" s="164" t="inlineStr">
        <is>
          <t>CareType</t>
        </is>
      </c>
      <c r="E4" s="164" t="inlineStr">
        <is>
          <t>Flag</t>
        </is>
      </c>
      <c r="AZ4" t="inlineStr">
        <is>
          <t>v0.1.13</t>
        </is>
      </c>
    </row>
    <row r="5" ht="15" customHeight="1" s="199">
      <c r="A5" s="165" t="inlineStr">
        <is>
          <t>AL Base Rate Income</t>
        </is>
      </c>
      <c r="B5" s="165" t="inlineStr">
        <is>
          <t>Base rent — AL</t>
        </is>
      </c>
      <c r="C5" s="165" t="inlineStr">
        <is>
          <t>Revenue</t>
        </is>
      </c>
      <c r="D5" s="165" t="inlineStr">
        <is>
          <t>AL</t>
        </is>
      </c>
      <c r="E5" s="165" t="n"/>
    </row>
    <row r="6" ht="15" customHeight="1" s="199">
      <c r="A6" s="165" t="inlineStr">
        <is>
          <t>AL Base Rate</t>
        </is>
      </c>
      <c r="B6" s="165" t="inlineStr">
        <is>
          <t>Base rent — AL</t>
        </is>
      </c>
      <c r="C6" s="165" t="inlineStr">
        <is>
          <t>Revenue</t>
        </is>
      </c>
      <c r="D6" s="165" t="inlineStr">
        <is>
          <t>AL</t>
        </is>
      </c>
      <c r="E6" s="165" t="n"/>
    </row>
    <row r="7" ht="15" customHeight="1" s="199">
      <c r="A7" s="165" t="inlineStr">
        <is>
          <t>Assisted Living Base Rate</t>
        </is>
      </c>
      <c r="B7" s="165" t="inlineStr">
        <is>
          <t>Base rent — AL</t>
        </is>
      </c>
      <c r="C7" s="165" t="inlineStr">
        <is>
          <t>Revenue</t>
        </is>
      </c>
      <c r="D7" s="165" t="inlineStr">
        <is>
          <t>AL</t>
        </is>
      </c>
      <c r="E7" s="165" t="n"/>
    </row>
    <row r="8" ht="15" customHeight="1" s="199">
      <c r="A8" s="165" t="inlineStr">
        <is>
          <t>Assisted Living Revenue</t>
        </is>
      </c>
      <c r="B8" s="165" t="inlineStr">
        <is>
          <t>Base rent — AL</t>
        </is>
      </c>
      <c r="C8" s="165" t="inlineStr">
        <is>
          <t>Revenue</t>
        </is>
      </c>
      <c r="D8" s="165" t="inlineStr">
        <is>
          <t>AL</t>
        </is>
      </c>
      <c r="E8" s="165" t="n"/>
    </row>
    <row r="9" ht="15" customHeight="1" s="199">
      <c r="A9" s="165" t="inlineStr">
        <is>
          <t>ALZ Base Rate Income</t>
        </is>
      </c>
      <c r="B9" s="165" t="inlineStr">
        <is>
          <t>Base rent — MC</t>
        </is>
      </c>
      <c r="C9" s="165" t="inlineStr">
        <is>
          <t>Revenue</t>
        </is>
      </c>
      <c r="D9" s="165" t="inlineStr">
        <is>
          <t>MC</t>
        </is>
      </c>
      <c r="E9" s="165" t="n"/>
    </row>
    <row r="10" ht="15" customHeight="1" s="199">
      <c r="A10" s="165" t="inlineStr">
        <is>
          <t>Memory Care Base Rate Income</t>
        </is>
      </c>
      <c r="B10" s="165" t="inlineStr">
        <is>
          <t>Base rent — MC</t>
        </is>
      </c>
      <c r="C10" s="165" t="inlineStr">
        <is>
          <t>Revenue</t>
        </is>
      </c>
      <c r="D10" s="165" t="inlineStr">
        <is>
          <t>MC</t>
        </is>
      </c>
      <c r="E10" s="165" t="n"/>
    </row>
    <row r="11" ht="15" customHeight="1" s="199">
      <c r="A11" s="165" t="inlineStr">
        <is>
          <t>MC Base Rate Income</t>
        </is>
      </c>
      <c r="B11" s="165" t="inlineStr">
        <is>
          <t>Base rent — MC</t>
        </is>
      </c>
      <c r="C11" s="165" t="inlineStr">
        <is>
          <t>Revenue</t>
        </is>
      </c>
      <c r="D11" s="165" t="inlineStr">
        <is>
          <t>MC</t>
        </is>
      </c>
      <c r="E11" s="165" t="n"/>
    </row>
    <row r="12" ht="15" customHeight="1" s="199">
      <c r="A12" s="165" t="inlineStr">
        <is>
          <t>Memory Care Revenue</t>
        </is>
      </c>
      <c r="B12" s="165" t="inlineStr">
        <is>
          <t>Base rent — MC</t>
        </is>
      </c>
      <c r="C12" s="165" t="inlineStr">
        <is>
          <t>Revenue</t>
        </is>
      </c>
      <c r="D12" s="165" t="inlineStr">
        <is>
          <t>MC</t>
        </is>
      </c>
      <c r="E12" s="165" t="n"/>
    </row>
    <row r="13" ht="15" customHeight="1" s="199">
      <c r="A13" s="165" t="inlineStr">
        <is>
          <t>IL Base Rate Income</t>
        </is>
      </c>
      <c r="B13" s="165" t="inlineStr">
        <is>
          <t>Base rent — IL</t>
        </is>
      </c>
      <c r="C13" s="165" t="inlineStr">
        <is>
          <t>Revenue</t>
        </is>
      </c>
      <c r="D13" s="165" t="inlineStr">
        <is>
          <t>IL</t>
        </is>
      </c>
      <c r="E13" s="165" t="n"/>
    </row>
    <row r="14" ht="15" customHeight="1" s="199">
      <c r="A14" s="165" t="inlineStr">
        <is>
          <t>Independent Living Base Rate</t>
        </is>
      </c>
      <c r="B14" s="165" t="inlineStr">
        <is>
          <t>Base rent — IL</t>
        </is>
      </c>
      <c r="C14" s="165" t="inlineStr">
        <is>
          <t>Revenue</t>
        </is>
      </c>
      <c r="D14" s="165" t="inlineStr">
        <is>
          <t>IL</t>
        </is>
      </c>
      <c r="E14" s="165" t="n"/>
    </row>
    <row r="15" ht="15" customHeight="1" s="199">
      <c r="A15" s="165" t="inlineStr">
        <is>
          <t>AL Care Rate Income</t>
        </is>
      </c>
      <c r="B15" s="165" t="inlineStr">
        <is>
          <t>LOC revenue — AL</t>
        </is>
      </c>
      <c r="C15" s="165" t="inlineStr">
        <is>
          <t>Revenue</t>
        </is>
      </c>
      <c r="D15" s="165" t="inlineStr">
        <is>
          <t>AL</t>
        </is>
      </c>
      <c r="E15" s="165" t="n"/>
    </row>
    <row r="16" ht="15" customHeight="1" s="199">
      <c r="A16" s="165" t="inlineStr">
        <is>
          <t>AL Level of Care Income</t>
        </is>
      </c>
      <c r="B16" s="165" t="inlineStr">
        <is>
          <t>LOC revenue — AL</t>
        </is>
      </c>
      <c r="C16" s="165" t="inlineStr">
        <is>
          <t>Revenue</t>
        </is>
      </c>
      <c r="D16" s="165" t="inlineStr">
        <is>
          <t>AL</t>
        </is>
      </c>
      <c r="E16" s="165" t="n"/>
    </row>
    <row r="17" ht="15" customHeight="1" s="199">
      <c r="A17" s="165" t="inlineStr">
        <is>
          <t>AL Care Level Income</t>
        </is>
      </c>
      <c r="B17" s="165" t="inlineStr">
        <is>
          <t>LOC revenue — AL</t>
        </is>
      </c>
      <c r="C17" s="165" t="inlineStr">
        <is>
          <t>Revenue</t>
        </is>
      </c>
      <c r="D17" s="165" t="inlineStr">
        <is>
          <t>AL</t>
        </is>
      </c>
      <c r="E17" s="165" t="n"/>
    </row>
    <row r="18" ht="15" customHeight="1" s="199">
      <c r="A18" s="165" t="inlineStr">
        <is>
          <t>ALZ Care Rate Income</t>
        </is>
      </c>
      <c r="B18" s="165" t="inlineStr">
        <is>
          <t>LOC revenue — MC</t>
        </is>
      </c>
      <c r="C18" s="165" t="inlineStr">
        <is>
          <t>Revenue</t>
        </is>
      </c>
      <c r="D18" s="165" t="inlineStr">
        <is>
          <t>MC</t>
        </is>
      </c>
      <c r="E18" s="165" t="n"/>
    </row>
    <row r="19" ht="15" customHeight="1" s="199">
      <c r="A19" s="165" t="inlineStr">
        <is>
          <t>Memory Care Level of Care</t>
        </is>
      </c>
      <c r="B19" s="165" t="inlineStr">
        <is>
          <t>LOC revenue — MC</t>
        </is>
      </c>
      <c r="C19" s="165" t="inlineStr">
        <is>
          <t>Revenue</t>
        </is>
      </c>
      <c r="D19" s="165" t="inlineStr">
        <is>
          <t>MC</t>
        </is>
      </c>
      <c r="E19" s="165" t="n"/>
    </row>
    <row r="20" ht="15" customHeight="1" s="199">
      <c r="A20" s="165" t="inlineStr">
        <is>
          <t>MC Care Rate Income</t>
        </is>
      </c>
      <c r="B20" s="165" t="inlineStr">
        <is>
          <t>LOC revenue — MC</t>
        </is>
      </c>
      <c r="C20" s="165" t="inlineStr">
        <is>
          <t>Revenue</t>
        </is>
      </c>
      <c r="D20" s="165" t="inlineStr">
        <is>
          <t>MC</t>
        </is>
      </c>
      <c r="E20" s="165" t="n"/>
    </row>
    <row r="21" ht="15" customHeight="1" s="199">
      <c r="A21" s="165" t="inlineStr">
        <is>
          <t>IL Care Rate Income</t>
        </is>
      </c>
      <c r="B21" s="165" t="inlineStr">
        <is>
          <t>LOC revenue — IL</t>
        </is>
      </c>
      <c r="C21" s="165" t="inlineStr">
        <is>
          <t>Revenue</t>
        </is>
      </c>
      <c r="D21" s="165" t="inlineStr">
        <is>
          <t>IL</t>
        </is>
      </c>
      <c r="E21" s="165" t="n"/>
    </row>
    <row r="22" ht="15" customHeight="1" s="199">
      <c r="A22" s="165" t="inlineStr">
        <is>
          <t>IL Level of Care Income</t>
        </is>
      </c>
      <c r="B22" s="165" t="inlineStr">
        <is>
          <t>LOC revenue — IL</t>
        </is>
      </c>
      <c r="C22" s="165" t="inlineStr">
        <is>
          <t>Revenue</t>
        </is>
      </c>
      <c r="D22" s="165" t="inlineStr">
        <is>
          <t>IL</t>
        </is>
      </c>
      <c r="E22" s="165" t="n"/>
    </row>
    <row r="23" ht="15" customHeight="1" s="199">
      <c r="A23" s="165" t="inlineStr">
        <is>
          <t>Respite Care Income</t>
        </is>
      </c>
      <c r="B23" s="165" t="inlineStr">
        <is>
          <t>Respite care</t>
        </is>
      </c>
      <c r="C23" s="165" t="inlineStr">
        <is>
          <t>Revenue</t>
        </is>
      </c>
      <c r="D23" s="165" t="inlineStr">
        <is>
          <t>-</t>
        </is>
      </c>
      <c r="E23" s="165" t="inlineStr">
        <is>
          <t>Volatile</t>
        </is>
      </c>
    </row>
    <row r="24" ht="15" customHeight="1" s="199">
      <c r="A24" s="165" t="inlineStr">
        <is>
          <t>Respite Care</t>
        </is>
      </c>
      <c r="B24" s="165" t="inlineStr">
        <is>
          <t>Respite care</t>
        </is>
      </c>
      <c r="C24" s="165" t="inlineStr">
        <is>
          <t>Revenue</t>
        </is>
      </c>
      <c r="D24" s="165" t="inlineStr">
        <is>
          <t>-</t>
        </is>
      </c>
      <c r="E24" s="165" t="inlineStr">
        <is>
          <t>Volatile</t>
        </is>
      </c>
    </row>
    <row r="25" ht="15" customHeight="1" s="199">
      <c r="A25" s="165" t="inlineStr">
        <is>
          <t>Community Fees</t>
        </is>
      </c>
      <c r="B25" s="165" t="inlineStr">
        <is>
          <t>Community / move-in fees</t>
        </is>
      </c>
      <c r="C25" s="165" t="inlineStr">
        <is>
          <t>Revenue</t>
        </is>
      </c>
      <c r="D25" s="165" t="inlineStr">
        <is>
          <t>-</t>
        </is>
      </c>
      <c r="E25" s="165" t="inlineStr">
        <is>
          <t>Normalize to $0</t>
        </is>
      </c>
    </row>
    <row r="26" ht="15" customHeight="1" s="199">
      <c r="A26" s="165" t="inlineStr">
        <is>
          <t>Move-In Fees</t>
        </is>
      </c>
      <c r="B26" s="165" t="inlineStr">
        <is>
          <t>Community / move-in fees</t>
        </is>
      </c>
      <c r="C26" s="165" t="inlineStr">
        <is>
          <t>Revenue</t>
        </is>
      </c>
      <c r="D26" s="165" t="inlineStr">
        <is>
          <t>-</t>
        </is>
      </c>
      <c r="E26" s="165" t="inlineStr">
        <is>
          <t>Normalize to $0</t>
        </is>
      </c>
    </row>
    <row r="27" ht="15" customHeight="1" s="199">
      <c r="A27" s="165" t="inlineStr">
        <is>
          <t>Concessions</t>
        </is>
      </c>
      <c r="B27" s="165" t="inlineStr">
        <is>
          <t>Concessions &amp; specials</t>
        </is>
      </c>
      <c r="C27" s="165" t="inlineStr">
        <is>
          <t>Revenue</t>
        </is>
      </c>
      <c r="D27" s="165" t="inlineStr">
        <is>
          <t>-</t>
        </is>
      </c>
      <c r="E27" s="165" t="inlineStr">
        <is>
          <t>Normalize to $0</t>
        </is>
      </c>
    </row>
    <row r="28" ht="15" customHeight="1" s="199">
      <c r="A28" s="165" t="inlineStr">
        <is>
          <t>Move In Specials and Discounts</t>
        </is>
      </c>
      <c r="B28" s="165" t="inlineStr">
        <is>
          <t>Concessions &amp; specials</t>
        </is>
      </c>
      <c r="C28" s="165" t="inlineStr">
        <is>
          <t>Revenue</t>
        </is>
      </c>
      <c r="D28" s="165" t="inlineStr">
        <is>
          <t>-</t>
        </is>
      </c>
      <c r="E28" s="165" t="inlineStr">
        <is>
          <t>Normalize to $0</t>
        </is>
      </c>
    </row>
    <row r="29" ht="15" customHeight="1" s="199">
      <c r="A29" s="165" t="inlineStr">
        <is>
          <t>Move-In Specials</t>
        </is>
      </c>
      <c r="B29" s="165" t="inlineStr">
        <is>
          <t>Concessions &amp; specials</t>
        </is>
      </c>
      <c r="C29" s="165" t="inlineStr">
        <is>
          <t>Revenue</t>
        </is>
      </c>
      <c r="D29" s="165" t="inlineStr">
        <is>
          <t>-</t>
        </is>
      </c>
      <c r="E29" s="165" t="inlineStr">
        <is>
          <t>Normalize to $0</t>
        </is>
      </c>
    </row>
    <row r="30" ht="15" customHeight="1" s="199">
      <c r="A30" s="165" t="inlineStr">
        <is>
          <t>Guest Meals</t>
        </is>
      </c>
      <c r="B30" s="165" t="inlineStr">
        <is>
          <t>Other community revenue</t>
        </is>
      </c>
      <c r="C30" s="165" t="inlineStr">
        <is>
          <t>Revenue</t>
        </is>
      </c>
      <c r="D30" s="165" t="inlineStr">
        <is>
          <t>-</t>
        </is>
      </c>
      <c r="E30" s="165" t="n"/>
    </row>
    <row r="31" ht="15" customHeight="1" s="199">
      <c r="A31" s="165" t="inlineStr">
        <is>
          <t>Beautician Income</t>
        </is>
      </c>
      <c r="B31" s="165" t="inlineStr">
        <is>
          <t>Other community revenue</t>
        </is>
      </c>
      <c r="C31" s="165" t="inlineStr">
        <is>
          <t>Revenue</t>
        </is>
      </c>
      <c r="D31" s="165" t="inlineStr">
        <is>
          <t>-</t>
        </is>
      </c>
      <c r="E31" s="165" t="n"/>
    </row>
    <row r="32" ht="15" customHeight="1" s="199">
      <c r="A32" s="165" t="inlineStr">
        <is>
          <t>Utility Income</t>
        </is>
      </c>
      <c r="B32" s="165" t="inlineStr">
        <is>
          <t>Other community revenue</t>
        </is>
      </c>
      <c r="C32" s="165" t="inlineStr">
        <is>
          <t>Revenue</t>
        </is>
      </c>
      <c r="D32" s="165" t="inlineStr">
        <is>
          <t>-</t>
        </is>
      </c>
      <c r="E32" s="165" t="n"/>
    </row>
    <row r="33" ht="15" customHeight="1" s="199">
      <c r="A33" s="165" t="inlineStr">
        <is>
          <t>Incontinence Supplies Income</t>
        </is>
      </c>
      <c r="B33" s="165" t="inlineStr">
        <is>
          <t>Other community revenue</t>
        </is>
      </c>
      <c r="C33" s="165" t="inlineStr">
        <is>
          <t>Revenue</t>
        </is>
      </c>
      <c r="D33" s="165" t="inlineStr">
        <is>
          <t>-</t>
        </is>
      </c>
      <c r="E33" s="165" t="n"/>
    </row>
    <row r="34" ht="15" customHeight="1" s="199">
      <c r="A34" s="165" t="inlineStr">
        <is>
          <t>Personal Purchases</t>
        </is>
      </c>
      <c r="B34" s="165" t="inlineStr">
        <is>
          <t>Other community revenue</t>
        </is>
      </c>
      <c r="C34" s="165" t="inlineStr">
        <is>
          <t>Revenue</t>
        </is>
      </c>
      <c r="D34" s="165" t="inlineStr">
        <is>
          <t>-</t>
        </is>
      </c>
      <c r="E34" s="165" t="n"/>
    </row>
    <row r="35" ht="15" customHeight="1" s="199">
      <c r="A35" s="165" t="inlineStr">
        <is>
          <t>Administrative Fees</t>
        </is>
      </c>
      <c r="B35" s="165" t="inlineStr">
        <is>
          <t>Other community revenue</t>
        </is>
      </c>
      <c r="C35" s="165" t="inlineStr">
        <is>
          <t>Revenue</t>
        </is>
      </c>
      <c r="D35" s="165" t="inlineStr">
        <is>
          <t>-</t>
        </is>
      </c>
      <c r="E35" s="165" t="n"/>
    </row>
    <row r="36" ht="15" customHeight="1" s="199">
      <c r="A36" s="165" t="inlineStr">
        <is>
          <t>Finance Charges Revenue</t>
        </is>
      </c>
      <c r="B36" s="165" t="inlineStr">
        <is>
          <t>Other community revenue</t>
        </is>
      </c>
      <c r="C36" s="165" t="inlineStr">
        <is>
          <t>Revenue</t>
        </is>
      </c>
      <c r="D36" s="165" t="inlineStr">
        <is>
          <t>-</t>
        </is>
      </c>
      <c r="E36" s="165" t="n"/>
    </row>
    <row r="37" ht="15" customHeight="1" s="199">
      <c r="A37" s="165" t="inlineStr">
        <is>
          <t>Care Staff Labor</t>
        </is>
      </c>
      <c r="B37" s="165" t="inlineStr">
        <is>
          <t>Care staff labor</t>
        </is>
      </c>
      <c r="C37" s="165" t="inlineStr">
        <is>
          <t>Labor</t>
        </is>
      </c>
      <c r="D37" s="165" t="inlineStr">
        <is>
          <t>-</t>
        </is>
      </c>
      <c r="E37" s="165" t="n"/>
    </row>
    <row r="38" ht="15" customHeight="1" s="199">
      <c r="A38" s="165" t="inlineStr">
        <is>
          <t>Direct Care Labor</t>
        </is>
      </c>
      <c r="B38" s="165" t="inlineStr">
        <is>
          <t>Care staff labor</t>
        </is>
      </c>
      <c r="C38" s="165" t="inlineStr">
        <is>
          <t>Labor</t>
        </is>
      </c>
      <c r="D38" s="165" t="inlineStr">
        <is>
          <t>-</t>
        </is>
      </c>
      <c r="E38" s="165" t="n"/>
    </row>
    <row r="39" ht="15" customHeight="1" s="199">
      <c r="A39" s="165" t="inlineStr">
        <is>
          <t>Other Labor</t>
        </is>
      </c>
      <c r="B39" s="165" t="inlineStr">
        <is>
          <t>Care staff labor</t>
        </is>
      </c>
      <c r="C39" s="165" t="inlineStr">
        <is>
          <t>Labor</t>
        </is>
      </c>
      <c r="D39" s="165" t="inlineStr">
        <is>
          <t>-</t>
        </is>
      </c>
      <c r="E39" s="165" t="n"/>
    </row>
    <row r="40" ht="15" customHeight="1" s="199">
      <c r="A40" s="165" t="inlineStr">
        <is>
          <t>Wellness/Care Coordinators Labor</t>
        </is>
      </c>
      <c r="B40" s="165" t="inlineStr">
        <is>
          <t>Wellness / care coordinators</t>
        </is>
      </c>
      <c r="C40" s="165" t="inlineStr">
        <is>
          <t>Labor</t>
        </is>
      </c>
      <c r="D40" s="165" t="inlineStr">
        <is>
          <t>-</t>
        </is>
      </c>
      <c r="E40" s="165" t="n"/>
    </row>
    <row r="41" ht="15" customHeight="1" s="199">
      <c r="A41" s="165" t="inlineStr">
        <is>
          <t>Wellness/Care Coordinator Labor</t>
        </is>
      </c>
      <c r="B41" s="165" t="inlineStr">
        <is>
          <t>Wellness / care coordinators</t>
        </is>
      </c>
      <c r="C41" s="165" t="inlineStr">
        <is>
          <t>Labor</t>
        </is>
      </c>
      <c r="D41" s="165" t="inlineStr">
        <is>
          <t>-</t>
        </is>
      </c>
      <c r="E41" s="165" t="n"/>
    </row>
    <row r="42" ht="15" customHeight="1" s="199">
      <c r="A42" s="165" t="inlineStr">
        <is>
          <t>Care Coordinator Labor</t>
        </is>
      </c>
      <c r="B42" s="165" t="inlineStr">
        <is>
          <t>Wellness / care coordinators</t>
        </is>
      </c>
      <c r="C42" s="165" t="inlineStr">
        <is>
          <t>Labor</t>
        </is>
      </c>
      <c r="D42" s="165" t="inlineStr">
        <is>
          <t>-</t>
        </is>
      </c>
      <c r="E42" s="165" t="n"/>
    </row>
    <row r="43" ht="15" customHeight="1" s="199">
      <c r="A43" s="165" t="inlineStr">
        <is>
          <t>Contract Labor - Care</t>
        </is>
      </c>
      <c r="B43" s="165" t="inlineStr">
        <is>
          <t>Contract / agency labor</t>
        </is>
      </c>
      <c r="C43" s="165" t="inlineStr">
        <is>
          <t>Labor</t>
        </is>
      </c>
      <c r="D43" s="165" t="inlineStr">
        <is>
          <t>-</t>
        </is>
      </c>
      <c r="E43" s="165" t="inlineStr">
        <is>
          <t>Normalize at stabilization</t>
        </is>
      </c>
    </row>
    <row r="44" ht="15" customHeight="1" s="199">
      <c r="A44" s="165" t="inlineStr">
        <is>
          <t>Contract Labor</t>
        </is>
      </c>
      <c r="B44" s="165" t="inlineStr">
        <is>
          <t>Contract / agency labor</t>
        </is>
      </c>
      <c r="C44" s="165" t="inlineStr">
        <is>
          <t>Labor</t>
        </is>
      </c>
      <c r="D44" s="165" t="inlineStr">
        <is>
          <t>-</t>
        </is>
      </c>
      <c r="E44" s="165" t="inlineStr">
        <is>
          <t>Normalize at stabilization</t>
        </is>
      </c>
    </row>
    <row r="45" ht="15" customHeight="1" s="199">
      <c r="A45" s="165" t="inlineStr">
        <is>
          <t>Agency Labor</t>
        </is>
      </c>
      <c r="B45" s="165" t="inlineStr">
        <is>
          <t>Contract / agency labor</t>
        </is>
      </c>
      <c r="C45" s="165" t="inlineStr">
        <is>
          <t>Labor</t>
        </is>
      </c>
      <c r="D45" s="165" t="inlineStr">
        <is>
          <t>-</t>
        </is>
      </c>
      <c r="E45" s="165" t="inlineStr">
        <is>
          <t>Normalize at stabilization</t>
        </is>
      </c>
    </row>
    <row r="46" ht="15" customHeight="1" s="199">
      <c r="A46" s="165" t="inlineStr">
        <is>
          <t>Activities Labor</t>
        </is>
      </c>
      <c r="B46" s="165" t="inlineStr">
        <is>
          <t>Activities labor</t>
        </is>
      </c>
      <c r="C46" s="165" t="inlineStr">
        <is>
          <t>Labor</t>
        </is>
      </c>
      <c r="D46" s="165" t="inlineStr">
        <is>
          <t>-</t>
        </is>
      </c>
      <c r="E46" s="165" t="n"/>
    </row>
    <row r="47" ht="15" customHeight="1" s="199">
      <c r="A47" s="165" t="inlineStr">
        <is>
          <t>Food Service Labor</t>
        </is>
      </c>
      <c r="B47" s="165" t="inlineStr">
        <is>
          <t>Dining / food service labor</t>
        </is>
      </c>
      <c r="C47" s="165" t="inlineStr">
        <is>
          <t>Labor</t>
        </is>
      </c>
      <c r="D47" s="165" t="inlineStr">
        <is>
          <t>-</t>
        </is>
      </c>
      <c r="E47" s="165" t="n"/>
    </row>
    <row r="48" ht="15" customHeight="1" s="199">
      <c r="A48" s="165" t="inlineStr">
        <is>
          <t>Dietary Labor</t>
        </is>
      </c>
      <c r="B48" s="165" t="inlineStr">
        <is>
          <t>Dining / food service labor</t>
        </is>
      </c>
      <c r="C48" s="165" t="inlineStr">
        <is>
          <t>Labor</t>
        </is>
      </c>
      <c r="D48" s="165" t="inlineStr">
        <is>
          <t>-</t>
        </is>
      </c>
      <c r="E48" s="165" t="n"/>
    </row>
    <row r="49" ht="15" customHeight="1" s="199">
      <c r="A49" s="165" t="inlineStr">
        <is>
          <t>Dining Labor</t>
        </is>
      </c>
      <c r="B49" s="165" t="inlineStr">
        <is>
          <t>Dining / food service labor</t>
        </is>
      </c>
      <c r="C49" s="165" t="inlineStr">
        <is>
          <t>Labor</t>
        </is>
      </c>
      <c r="D49" s="165" t="inlineStr">
        <is>
          <t>-</t>
        </is>
      </c>
      <c r="E49" s="165" t="n"/>
    </row>
    <row r="50" ht="15" customHeight="1" s="199">
      <c r="A50" s="165" t="inlineStr">
        <is>
          <t>Maintenance/Housekeeping Labor</t>
        </is>
      </c>
      <c r="B50" s="165" t="inlineStr">
        <is>
          <t>Maint. &amp; housekeeping labor</t>
        </is>
      </c>
      <c r="C50" s="165" t="inlineStr">
        <is>
          <t>Labor</t>
        </is>
      </c>
      <c r="D50" s="165" t="inlineStr">
        <is>
          <t>-</t>
        </is>
      </c>
      <c r="E50" s="165" t="n"/>
    </row>
    <row r="51" ht="15" customHeight="1" s="199">
      <c r="A51" s="165" t="inlineStr">
        <is>
          <t>Maintenance Labor</t>
        </is>
      </c>
      <c r="B51" s="165" t="inlineStr">
        <is>
          <t>Maint. &amp; housekeeping labor</t>
        </is>
      </c>
      <c r="C51" s="165" t="inlineStr">
        <is>
          <t>Labor</t>
        </is>
      </c>
      <c r="D51" s="165" t="inlineStr">
        <is>
          <t>-</t>
        </is>
      </c>
      <c r="E51" s="165" t="n"/>
    </row>
    <row r="52" ht="15" customHeight="1" s="199">
      <c r="A52" s="165" t="inlineStr">
        <is>
          <t>Housekeeping Labor</t>
        </is>
      </c>
      <c r="B52" s="165" t="inlineStr">
        <is>
          <t>Maint. &amp; housekeeping labor</t>
        </is>
      </c>
      <c r="C52" s="165" t="inlineStr">
        <is>
          <t>Labor</t>
        </is>
      </c>
      <c r="D52" s="165" t="inlineStr">
        <is>
          <t>-</t>
        </is>
      </c>
      <c r="E52" s="165" t="n"/>
    </row>
    <row r="53" ht="15" customHeight="1" s="199">
      <c r="A53" s="165" t="inlineStr">
        <is>
          <t>Administration Labor</t>
        </is>
      </c>
      <c r="B53" s="165" t="inlineStr">
        <is>
          <t>Administrative labor</t>
        </is>
      </c>
      <c r="C53" s="165" t="inlineStr">
        <is>
          <t>Labor</t>
        </is>
      </c>
      <c r="D53" s="165" t="inlineStr">
        <is>
          <t>-</t>
        </is>
      </c>
      <c r="E53" s="165" t="n"/>
    </row>
    <row r="54" ht="15" customHeight="1" s="199">
      <c r="A54" s="165" t="inlineStr">
        <is>
          <t>Administrative Labor</t>
        </is>
      </c>
      <c r="B54" s="165" t="inlineStr">
        <is>
          <t>Administrative labor</t>
        </is>
      </c>
      <c r="C54" s="165" t="inlineStr">
        <is>
          <t>Labor</t>
        </is>
      </c>
      <c r="D54" s="165" t="inlineStr">
        <is>
          <t>-</t>
        </is>
      </c>
      <c r="E54" s="165" t="n"/>
    </row>
    <row r="55" ht="15" customHeight="1" s="199">
      <c r="A55" s="165" t="inlineStr">
        <is>
          <t>Bonus Wages</t>
        </is>
      </c>
      <c r="B55" s="165" t="inlineStr">
        <is>
          <t>Bonus wages</t>
        </is>
      </c>
      <c r="C55" s="165" t="inlineStr">
        <is>
          <t>Labor</t>
        </is>
      </c>
      <c r="D55" s="165" t="inlineStr">
        <is>
          <t>-</t>
        </is>
      </c>
      <c r="E55" s="165" t="inlineStr">
        <is>
          <t>Stabilize annually</t>
        </is>
      </c>
    </row>
    <row r="56" ht="15" customHeight="1" s="199">
      <c r="A56" s="165" t="inlineStr">
        <is>
          <t>Overtime</t>
        </is>
      </c>
      <c r="B56" s="165" t="inlineStr">
        <is>
          <t>Overtime wages</t>
        </is>
      </c>
      <c r="C56" s="165" t="inlineStr">
        <is>
          <t>Labor</t>
        </is>
      </c>
      <c r="D56" s="165" t="inlineStr">
        <is>
          <t>-</t>
        </is>
      </c>
      <c r="E56" s="165" t="inlineStr">
        <is>
          <t>Flag if &gt;5% of wages</t>
        </is>
      </c>
    </row>
    <row r="57" ht="15" customHeight="1" s="199">
      <c r="A57" s="165" t="inlineStr">
        <is>
          <t>Overtime Wages</t>
        </is>
      </c>
      <c r="B57" s="165" t="inlineStr">
        <is>
          <t>Overtime wages</t>
        </is>
      </c>
      <c r="C57" s="165" t="inlineStr">
        <is>
          <t>Labor</t>
        </is>
      </c>
      <c r="D57" s="165" t="inlineStr">
        <is>
          <t>-</t>
        </is>
      </c>
      <c r="E57" s="165" t="inlineStr">
        <is>
          <t>Flag if &gt;5% of wages</t>
        </is>
      </c>
    </row>
    <row r="58" ht="15" customHeight="1" s="199">
      <c r="A58" s="165" t="inlineStr">
        <is>
          <t>OT Wages</t>
        </is>
      </c>
      <c r="B58" s="165" t="inlineStr">
        <is>
          <t>Overtime wages</t>
        </is>
      </c>
      <c r="C58" s="165" t="inlineStr">
        <is>
          <t>Labor</t>
        </is>
      </c>
      <c r="D58" s="165" t="inlineStr">
        <is>
          <t>-</t>
        </is>
      </c>
      <c r="E58" s="165" t="inlineStr">
        <is>
          <t>Flag if &gt;5% of wages</t>
        </is>
      </c>
    </row>
    <row r="59" ht="15" customHeight="1" s="199">
      <c r="A59" s="165" t="inlineStr">
        <is>
          <t>PTO Wages</t>
        </is>
      </c>
      <c r="B59" s="165" t="inlineStr">
        <is>
          <t>PTO wages</t>
        </is>
      </c>
      <c r="C59" s="165" t="inlineStr">
        <is>
          <t>Labor</t>
        </is>
      </c>
      <c r="D59" s="165" t="inlineStr">
        <is>
          <t>-</t>
        </is>
      </c>
      <c r="E59" s="165" t="inlineStr">
        <is>
          <t>Annualize</t>
        </is>
      </c>
    </row>
    <row r="60" ht="15" customHeight="1" s="199">
      <c r="A60" s="165" t="inlineStr">
        <is>
          <t>PTO</t>
        </is>
      </c>
      <c r="B60" s="165" t="inlineStr">
        <is>
          <t>PTO wages</t>
        </is>
      </c>
      <c r="C60" s="165" t="inlineStr">
        <is>
          <t>Labor</t>
        </is>
      </c>
      <c r="D60" s="165" t="inlineStr">
        <is>
          <t>-</t>
        </is>
      </c>
      <c r="E60" s="165" t="inlineStr">
        <is>
          <t>Annualize</t>
        </is>
      </c>
    </row>
    <row r="61" ht="15" customHeight="1" s="199">
      <c r="A61" s="165" t="inlineStr">
        <is>
          <t>Payroll Taxes</t>
        </is>
      </c>
      <c r="B61" s="165" t="inlineStr">
        <is>
          <t>Payroll taxes</t>
        </is>
      </c>
      <c r="C61" s="165" t="inlineStr">
        <is>
          <t>Labor</t>
        </is>
      </c>
      <c r="D61" s="165" t="inlineStr">
        <is>
          <t>-</t>
        </is>
      </c>
      <c r="E61" s="165" t="n"/>
    </row>
    <row r="62" ht="15" customHeight="1" s="199">
      <c r="A62" s="165" t="inlineStr">
        <is>
          <t>Employee Benefits - Insurance</t>
        </is>
      </c>
      <c r="B62" s="165" t="inlineStr">
        <is>
          <t>Employee benefits</t>
        </is>
      </c>
      <c r="C62" s="165" t="inlineStr">
        <is>
          <t>Labor</t>
        </is>
      </c>
      <c r="D62" s="165" t="inlineStr">
        <is>
          <t>-</t>
        </is>
      </c>
      <c r="E62" s="165" t="n"/>
    </row>
    <row r="63" ht="15" customHeight="1" s="199">
      <c r="A63" s="165" t="inlineStr">
        <is>
          <t>Employee Benefits</t>
        </is>
      </c>
      <c r="B63" s="165" t="inlineStr">
        <is>
          <t>Employee benefits</t>
        </is>
      </c>
      <c r="C63" s="165" t="inlineStr">
        <is>
          <t>Labor</t>
        </is>
      </c>
      <c r="D63" s="165" t="inlineStr">
        <is>
          <t>-</t>
        </is>
      </c>
      <c r="E63" s="165" t="n"/>
    </row>
    <row r="64" ht="15" customHeight="1" s="199">
      <c r="A64" s="165" t="inlineStr">
        <is>
          <t>Worker's Comp Insurance</t>
        </is>
      </c>
      <c r="B64" s="165" t="inlineStr">
        <is>
          <t>Workers' comp insurance</t>
        </is>
      </c>
      <c r="C64" s="165" t="inlineStr">
        <is>
          <t>Labor</t>
        </is>
      </c>
      <c r="D64" s="165" t="inlineStr">
        <is>
          <t>-</t>
        </is>
      </c>
      <c r="E64" s="165" t="n"/>
    </row>
    <row r="65" ht="15" customHeight="1" s="199">
      <c r="A65" s="165" t="inlineStr">
        <is>
          <t>Workers Comp Insurance</t>
        </is>
      </c>
      <c r="B65" s="165" t="inlineStr">
        <is>
          <t>Workers' comp insurance</t>
        </is>
      </c>
      <c r="C65" s="165" t="inlineStr">
        <is>
          <t>Labor</t>
        </is>
      </c>
      <c r="D65" s="165" t="inlineStr">
        <is>
          <t>-</t>
        </is>
      </c>
      <c r="E65" s="165" t="n"/>
    </row>
    <row r="66" ht="15" customHeight="1" s="199">
      <c r="A66" s="165" t="inlineStr">
        <is>
          <t>Workers' Compensation</t>
        </is>
      </c>
      <c r="B66" s="165" t="inlineStr">
        <is>
          <t>Workers' comp insurance</t>
        </is>
      </c>
      <c r="C66" s="165" t="inlineStr">
        <is>
          <t>Labor</t>
        </is>
      </c>
      <c r="D66" s="165" t="inlineStr">
        <is>
          <t>-</t>
        </is>
      </c>
      <c r="E66" s="165" t="n"/>
    </row>
    <row r="67" ht="15" customHeight="1" s="199">
      <c r="A67" s="165" t="inlineStr">
        <is>
          <t>Employee 401(K)</t>
        </is>
      </c>
      <c r="B67" s="165" t="inlineStr">
        <is>
          <t>Employee 401(k)</t>
        </is>
      </c>
      <c r="C67" s="165" t="inlineStr">
        <is>
          <t>Labor</t>
        </is>
      </c>
      <c r="D67" s="165" t="inlineStr">
        <is>
          <t>-</t>
        </is>
      </c>
      <c r="E67" s="165" t="n"/>
    </row>
    <row r="68" ht="15" customHeight="1" s="199">
      <c r="A68" s="165" t="inlineStr">
        <is>
          <t>Employee 401(k)</t>
        </is>
      </c>
      <c r="B68" s="165" t="inlineStr">
        <is>
          <t>Employee 401(k)</t>
        </is>
      </c>
      <c r="C68" s="165" t="inlineStr">
        <is>
          <t>Labor</t>
        </is>
      </c>
      <c r="D68" s="165" t="inlineStr">
        <is>
          <t>-</t>
        </is>
      </c>
      <c r="E68" s="165" t="n"/>
    </row>
    <row r="69" ht="15" customHeight="1" s="199">
      <c r="A69" s="165" t="inlineStr">
        <is>
          <t>Food Cost</t>
        </is>
      </c>
      <c r="B69" s="165" t="inlineStr">
        <is>
          <t>Food cost</t>
        </is>
      </c>
      <c r="C69" s="165" t="inlineStr">
        <is>
          <t>Non-Labor</t>
        </is>
      </c>
      <c r="D69" s="165" t="inlineStr">
        <is>
          <t>-</t>
        </is>
      </c>
      <c r="E69" s="165" t="n"/>
    </row>
    <row r="70" ht="15" customHeight="1" s="199">
      <c r="A70" s="165" t="inlineStr">
        <is>
          <t>Dietary Supplies</t>
        </is>
      </c>
      <c r="B70" s="165" t="inlineStr">
        <is>
          <t>Dining &amp; kitchen supplies</t>
        </is>
      </c>
      <c r="C70" s="165" t="inlineStr">
        <is>
          <t>Non-Labor</t>
        </is>
      </c>
      <c r="D70" s="165" t="inlineStr">
        <is>
          <t>-</t>
        </is>
      </c>
      <c r="E70" s="165" t="n"/>
    </row>
    <row r="71" ht="15" customHeight="1" s="199">
      <c r="A71" s="165" t="inlineStr">
        <is>
          <t>Nursing Supplies</t>
        </is>
      </c>
      <c r="B71" s="165" t="inlineStr">
        <is>
          <t>Nursing &amp; care supplies</t>
        </is>
      </c>
      <c r="C71" s="165" t="inlineStr">
        <is>
          <t>Non-Labor</t>
        </is>
      </c>
      <c r="D71" s="165" t="inlineStr">
        <is>
          <t>-</t>
        </is>
      </c>
      <c r="E71" s="165" t="n"/>
    </row>
    <row r="72" ht="15" customHeight="1" s="199">
      <c r="A72" s="165" t="inlineStr">
        <is>
          <t>Recreation Supplies</t>
        </is>
      </c>
      <c r="B72" s="165" t="inlineStr">
        <is>
          <t>Recreation &amp; activity suppl.</t>
        </is>
      </c>
      <c r="C72" s="165" t="inlineStr">
        <is>
          <t>Non-Labor</t>
        </is>
      </c>
      <c r="D72" s="165" t="inlineStr">
        <is>
          <t>-</t>
        </is>
      </c>
      <c r="E72" s="165" t="n"/>
    </row>
    <row r="73" ht="15" customHeight="1" s="199">
      <c r="A73" s="165" t="inlineStr">
        <is>
          <t>R &amp; M-Fixed</t>
        </is>
      </c>
      <c r="B73" s="165" t="inlineStr">
        <is>
          <t>R&amp;M fixed</t>
        </is>
      </c>
      <c r="C73" s="165" t="inlineStr">
        <is>
          <t>Non-Labor</t>
        </is>
      </c>
      <c r="D73" s="165" t="inlineStr">
        <is>
          <t>-</t>
        </is>
      </c>
      <c r="E73" s="165" t="n"/>
    </row>
    <row r="74" ht="15" customHeight="1" s="199">
      <c r="A74" s="165" t="inlineStr">
        <is>
          <t>R&amp;M-Fixed</t>
        </is>
      </c>
      <c r="B74" s="165" t="inlineStr">
        <is>
          <t>R&amp;M fixed</t>
        </is>
      </c>
      <c r="C74" s="165" t="inlineStr">
        <is>
          <t>Non-Labor</t>
        </is>
      </c>
      <c r="D74" s="165" t="inlineStr">
        <is>
          <t>-</t>
        </is>
      </c>
      <c r="E74" s="165" t="n"/>
    </row>
    <row r="75" ht="15" customHeight="1" s="199">
      <c r="A75" s="165" t="inlineStr">
        <is>
          <t>Maintenance Supplies</t>
        </is>
      </c>
      <c r="B75" s="165" t="inlineStr">
        <is>
          <t>R&amp;M fixed</t>
        </is>
      </c>
      <c r="C75" s="165" t="inlineStr">
        <is>
          <t>Non-Labor</t>
        </is>
      </c>
      <c r="D75" s="165" t="inlineStr">
        <is>
          <t>-</t>
        </is>
      </c>
      <c r="E75" s="165" t="n"/>
    </row>
    <row r="76" ht="15" customHeight="1" s="199">
      <c r="A76" s="165" t="inlineStr">
        <is>
          <t>R &amp; M-Variable</t>
        </is>
      </c>
      <c r="B76" s="165" t="inlineStr">
        <is>
          <t>R&amp;M variable</t>
        </is>
      </c>
      <c r="C76" s="165" t="inlineStr">
        <is>
          <t>Non-Labor</t>
        </is>
      </c>
      <c r="D76" s="165" t="inlineStr">
        <is>
          <t>-</t>
        </is>
      </c>
      <c r="E76" s="165" t="n"/>
    </row>
    <row r="77" ht="15" customHeight="1" s="199">
      <c r="A77" s="165" t="inlineStr">
        <is>
          <t>R&amp;M-Variable</t>
        </is>
      </c>
      <c r="B77" s="165" t="inlineStr">
        <is>
          <t>R&amp;M variable</t>
        </is>
      </c>
      <c r="C77" s="165" t="inlineStr">
        <is>
          <t>Non-Labor</t>
        </is>
      </c>
      <c r="D77" s="165" t="inlineStr">
        <is>
          <t>-</t>
        </is>
      </c>
      <c r="E77" s="165" t="n"/>
    </row>
    <row r="78" ht="15" customHeight="1" s="199">
      <c r="A78" s="165" t="inlineStr">
        <is>
          <t>Housekeeping Supplies</t>
        </is>
      </c>
      <c r="B78" s="165" t="inlineStr">
        <is>
          <t>HK &amp; laundry supplies</t>
        </is>
      </c>
      <c r="C78" s="165" t="inlineStr">
        <is>
          <t>Non-Labor</t>
        </is>
      </c>
      <c r="D78" s="165" t="inlineStr">
        <is>
          <t>-</t>
        </is>
      </c>
      <c r="E78" s="165" t="n"/>
    </row>
    <row r="79" ht="15" customHeight="1" s="199">
      <c r="A79" s="165" t="inlineStr">
        <is>
          <t>Laundry Supplies</t>
        </is>
      </c>
      <c r="B79" s="165" t="inlineStr">
        <is>
          <t>HK &amp; laundry supplies</t>
        </is>
      </c>
      <c r="C79" s="165" t="inlineStr">
        <is>
          <t>Non-Labor</t>
        </is>
      </c>
      <c r="D79" s="165" t="inlineStr">
        <is>
          <t>-</t>
        </is>
      </c>
      <c r="E79" s="165" t="n"/>
    </row>
    <row r="80" ht="15" customHeight="1" s="199">
      <c r="A80" s="165" t="inlineStr">
        <is>
          <t>Advertising and Promotion</t>
        </is>
      </c>
      <c r="B80" s="165" t="inlineStr">
        <is>
          <t>Sales, adv. &amp; marketing</t>
        </is>
      </c>
      <c r="C80" s="165" t="inlineStr">
        <is>
          <t>Non-Labor</t>
        </is>
      </c>
      <c r="D80" s="165" t="inlineStr">
        <is>
          <t>-</t>
        </is>
      </c>
      <c r="E80" s="165" t="n"/>
    </row>
    <row r="81" ht="15" customHeight="1" s="199">
      <c r="A81" s="165" t="inlineStr">
        <is>
          <t>Advertising &amp; Promotion</t>
        </is>
      </c>
      <c r="B81" s="165" t="inlineStr">
        <is>
          <t>Sales, adv. &amp; marketing</t>
        </is>
      </c>
      <c r="C81" s="165" t="inlineStr">
        <is>
          <t>Non-Labor</t>
        </is>
      </c>
      <c r="D81" s="165" t="inlineStr">
        <is>
          <t>-</t>
        </is>
      </c>
      <c r="E81" s="165" t="n"/>
    </row>
    <row r="82" ht="15" customHeight="1" s="199">
      <c r="A82" s="165" t="inlineStr">
        <is>
          <t>Referral Fees</t>
        </is>
      </c>
      <c r="B82" s="165" t="inlineStr">
        <is>
          <t>Referral fees</t>
        </is>
      </c>
      <c r="C82" s="165" t="inlineStr">
        <is>
          <t>Non-Labor</t>
        </is>
      </c>
      <c r="D82" s="165" t="inlineStr">
        <is>
          <t>-</t>
        </is>
      </c>
      <c r="E82" s="165" t="inlineStr">
        <is>
          <t>Normalize at stabilization</t>
        </is>
      </c>
    </row>
    <row r="83" ht="15" customHeight="1" s="199">
      <c r="A83" s="165" t="inlineStr">
        <is>
          <t>Utilities</t>
        </is>
      </c>
      <c r="B83" s="165" t="inlineStr">
        <is>
          <t>Utilities</t>
        </is>
      </c>
      <c r="C83" s="165" t="inlineStr">
        <is>
          <t>Non-Labor</t>
        </is>
      </c>
      <c r="D83" s="165" t="inlineStr">
        <is>
          <t>-</t>
        </is>
      </c>
      <c r="E83" s="165" t="n"/>
    </row>
    <row r="84" ht="15" customHeight="1" s="199">
      <c r="A84" s="165" t="inlineStr">
        <is>
          <t>Telephone/IT</t>
        </is>
      </c>
      <c r="B84" s="165" t="inlineStr">
        <is>
          <t>Telephone / IT</t>
        </is>
      </c>
      <c r="C84" s="165" t="inlineStr">
        <is>
          <t>Non-Labor</t>
        </is>
      </c>
      <c r="D84" s="165" t="inlineStr">
        <is>
          <t>-</t>
        </is>
      </c>
      <c r="E84" s="165" t="n"/>
    </row>
    <row r="85" ht="15" customHeight="1" s="199">
      <c r="A85" s="165" t="inlineStr">
        <is>
          <t>Telephone Reimbursement</t>
        </is>
      </c>
      <c r="B85" s="165" t="inlineStr">
        <is>
          <t>Telephone / IT</t>
        </is>
      </c>
      <c r="C85" s="165" t="inlineStr">
        <is>
          <t>Non-Labor</t>
        </is>
      </c>
      <c r="D85" s="165" t="inlineStr">
        <is>
          <t>-</t>
        </is>
      </c>
      <c r="E85" s="165" t="n"/>
    </row>
    <row r="86" ht="15" customHeight="1" s="199">
      <c r="A86" s="165" t="inlineStr">
        <is>
          <t>Bundled Insurance Poilicies</t>
        </is>
      </c>
      <c r="B86" s="165" t="inlineStr">
        <is>
          <t>P&amp;C insurance (bundled)</t>
        </is>
      </c>
      <c r="C86" s="165" t="inlineStr">
        <is>
          <t>Non-Labor</t>
        </is>
      </c>
      <c r="D86" s="165" t="inlineStr">
        <is>
          <t>-</t>
        </is>
      </c>
      <c r="E86" s="165" t="n"/>
    </row>
    <row r="87" ht="15" customHeight="1" s="199">
      <c r="A87" s="165" t="inlineStr">
        <is>
          <t>Bundled Insurance Policies</t>
        </is>
      </c>
      <c r="B87" s="165" t="inlineStr">
        <is>
          <t>P&amp;C insurance (bundled)</t>
        </is>
      </c>
      <c r="C87" s="165" t="inlineStr">
        <is>
          <t>Non-Labor</t>
        </is>
      </c>
      <c r="D87" s="165" t="inlineStr">
        <is>
          <t>-</t>
        </is>
      </c>
      <c r="E87" s="165" t="n"/>
    </row>
    <row r="88" ht="15" customHeight="1" s="199">
      <c r="A88" s="165" t="inlineStr">
        <is>
          <t>EPLI Insurance</t>
        </is>
      </c>
      <c r="B88" s="165" t="inlineStr">
        <is>
          <t>P&amp;C insurance (bundled)</t>
        </is>
      </c>
      <c r="C88" s="165" t="inlineStr">
        <is>
          <t>Non-Labor</t>
        </is>
      </c>
      <c r="D88" s="165" t="inlineStr">
        <is>
          <t>-</t>
        </is>
      </c>
      <c r="E88" s="165" t="n"/>
    </row>
    <row r="89" ht="15" customHeight="1" s="199">
      <c r="A89" s="165" t="inlineStr">
        <is>
          <t>Auto Insurance</t>
        </is>
      </c>
      <c r="B89" s="165" t="inlineStr">
        <is>
          <t>Auto insurance</t>
        </is>
      </c>
      <c r="C89" s="165" t="inlineStr">
        <is>
          <t>Non-Labor</t>
        </is>
      </c>
      <c r="D89" s="165" t="inlineStr">
        <is>
          <t>-</t>
        </is>
      </c>
      <c r="E89" s="165" t="n"/>
    </row>
    <row r="90" ht="15" customHeight="1" s="199">
      <c r="A90" s="165" t="inlineStr">
        <is>
          <t>Fire/Security Monitoring</t>
        </is>
      </c>
      <c r="B90" s="165" t="inlineStr">
        <is>
          <t>Fire / security monitoring</t>
        </is>
      </c>
      <c r="C90" s="165" t="inlineStr">
        <is>
          <t>Non-Labor</t>
        </is>
      </c>
      <c r="D90" s="165" t="inlineStr">
        <is>
          <t>-</t>
        </is>
      </c>
      <c r="E90" s="165" t="n"/>
    </row>
    <row r="91" ht="15" customHeight="1" s="199">
      <c r="A91" s="165" t="inlineStr">
        <is>
          <t>Pest Elimination</t>
        </is>
      </c>
      <c r="B91" s="165" t="inlineStr">
        <is>
          <t>Pest elimination</t>
        </is>
      </c>
      <c r="C91" s="165" t="inlineStr">
        <is>
          <t>Non-Labor</t>
        </is>
      </c>
      <c r="D91" s="165" t="inlineStr">
        <is>
          <t>-</t>
        </is>
      </c>
      <c r="E91" s="165" t="n"/>
    </row>
    <row r="92" ht="15" customHeight="1" s="199">
      <c r="A92" s="165" t="inlineStr">
        <is>
          <t>Property Tax Expense</t>
        </is>
      </c>
      <c r="B92" s="165" t="inlineStr">
        <is>
          <t>Real estate taxes</t>
        </is>
      </c>
      <c r="C92" s="165" t="inlineStr">
        <is>
          <t>Non-Labor</t>
        </is>
      </c>
      <c r="D92" s="165" t="inlineStr">
        <is>
          <t>-</t>
        </is>
      </c>
      <c r="E92" s="165" t="inlineStr">
        <is>
          <t>Verify assessed value</t>
        </is>
      </c>
    </row>
    <row r="93" ht="15" customHeight="1" s="199">
      <c r="A93" s="165" t="inlineStr">
        <is>
          <t>Real Estate Taxes</t>
        </is>
      </c>
      <c r="B93" s="165" t="inlineStr">
        <is>
          <t>Real estate taxes</t>
        </is>
      </c>
      <c r="C93" s="165" t="inlineStr">
        <is>
          <t>Non-Labor</t>
        </is>
      </c>
      <c r="D93" s="165" t="inlineStr">
        <is>
          <t>-</t>
        </is>
      </c>
      <c r="E93" s="165" t="inlineStr">
        <is>
          <t>Verify assessed value</t>
        </is>
      </c>
    </row>
    <row r="94" ht="15" customHeight="1" s="199">
      <c r="A94" s="165" t="inlineStr">
        <is>
          <t>Personal Property Tax Expense</t>
        </is>
      </c>
      <c r="B94" s="165" t="inlineStr">
        <is>
          <t>Personal property taxes</t>
        </is>
      </c>
      <c r="C94" s="165" t="inlineStr">
        <is>
          <t>Non-Labor</t>
        </is>
      </c>
      <c r="D94" s="165" t="inlineStr">
        <is>
          <t>-</t>
        </is>
      </c>
      <c r="E94" s="165" t="n"/>
    </row>
    <row r="95" ht="15" customHeight="1" s="199">
      <c r="A95" s="165" t="inlineStr">
        <is>
          <t>Personal Property Taxes</t>
        </is>
      </c>
      <c r="B95" s="165" t="inlineStr">
        <is>
          <t>Personal property taxes</t>
        </is>
      </c>
      <c r="C95" s="165" t="inlineStr">
        <is>
          <t>Non-Labor</t>
        </is>
      </c>
      <c r="D95" s="165" t="inlineStr">
        <is>
          <t>-</t>
        </is>
      </c>
      <c r="E95" s="165" t="n"/>
    </row>
    <row r="96" ht="15" customHeight="1" s="199">
      <c r="A96" s="165" t="inlineStr">
        <is>
          <t>Legal Expense</t>
        </is>
      </c>
      <c r="B96" s="165" t="inlineStr">
        <is>
          <t>Legal expenses</t>
        </is>
      </c>
      <c r="C96" s="165" t="inlineStr">
        <is>
          <t>Non-Labor</t>
        </is>
      </c>
      <c r="D96" s="165" t="inlineStr">
        <is>
          <t>-</t>
        </is>
      </c>
      <c r="E96" s="165" t="n"/>
    </row>
    <row r="97" ht="15" customHeight="1" s="199">
      <c r="A97" s="165" t="inlineStr">
        <is>
          <t>Legal Expenses</t>
        </is>
      </c>
      <c r="B97" s="165" t="inlineStr">
        <is>
          <t>Legal expenses</t>
        </is>
      </c>
      <c r="C97" s="165" t="inlineStr">
        <is>
          <t>Non-Labor</t>
        </is>
      </c>
      <c r="D97" s="165" t="inlineStr">
        <is>
          <t>-</t>
        </is>
      </c>
      <c r="E97" s="165" t="n"/>
    </row>
    <row r="98" ht="15" customHeight="1" s="199">
      <c r="A98" s="165" t="inlineStr">
        <is>
          <t>Professional Services</t>
        </is>
      </c>
      <c r="B98" s="165" t="inlineStr">
        <is>
          <t>Professional services</t>
        </is>
      </c>
      <c r="C98" s="165" t="inlineStr">
        <is>
          <t>Non-Labor</t>
        </is>
      </c>
      <c r="D98" s="165" t="inlineStr">
        <is>
          <t>-</t>
        </is>
      </c>
      <c r="E98" s="165" t="n"/>
    </row>
    <row r="99" ht="15" customHeight="1" s="199">
      <c r="A99" s="165" t="inlineStr">
        <is>
          <t>Bad Debt Expense</t>
        </is>
      </c>
      <c r="B99" s="165" t="inlineStr">
        <is>
          <t>Bad debt expense</t>
        </is>
      </c>
      <c r="C99" s="165" t="inlineStr">
        <is>
          <t>Non-Labor</t>
        </is>
      </c>
      <c r="D99" s="165" t="inlineStr">
        <is>
          <t>-</t>
        </is>
      </c>
      <c r="E99" s="165" t="inlineStr">
        <is>
          <t>Normalize to 1-2%</t>
        </is>
      </c>
    </row>
    <row r="100" ht="15" customHeight="1" s="199">
      <c r="A100" s="165" t="inlineStr">
        <is>
          <t>Permits and Licenses</t>
        </is>
      </c>
      <c r="B100" s="165" t="inlineStr">
        <is>
          <t>Permits, licenses &amp; dues</t>
        </is>
      </c>
      <c r="C100" s="165" t="inlineStr">
        <is>
          <t>Non-Labor</t>
        </is>
      </c>
      <c r="D100" s="165" t="inlineStr">
        <is>
          <t>-</t>
        </is>
      </c>
      <c r="E100" s="165" t="n"/>
    </row>
    <row r="101" ht="15" customHeight="1" s="199">
      <c r="A101" s="165" t="inlineStr">
        <is>
          <t>Dues and Subscriptions</t>
        </is>
      </c>
      <c r="B101" s="165" t="inlineStr">
        <is>
          <t>Permits, licenses &amp; dues</t>
        </is>
      </c>
      <c r="C101" s="165" t="inlineStr">
        <is>
          <t>Non-Labor</t>
        </is>
      </c>
      <c r="D101" s="165" t="inlineStr">
        <is>
          <t>-</t>
        </is>
      </c>
      <c r="E101" s="165" t="n"/>
    </row>
    <row r="102" ht="15" customHeight="1" s="199">
      <c r="A102" s="165" t="inlineStr">
        <is>
          <t>Association Dues</t>
        </is>
      </c>
      <c r="B102" s="165" t="inlineStr">
        <is>
          <t>Permits, licenses &amp; dues</t>
        </is>
      </c>
      <c r="C102" s="165" t="inlineStr">
        <is>
          <t>Non-Labor</t>
        </is>
      </c>
      <c r="D102" s="165" t="inlineStr">
        <is>
          <t>-</t>
        </is>
      </c>
      <c r="E102" s="165" t="n"/>
    </row>
    <row r="103" ht="15" customHeight="1" s="199">
      <c r="A103" s="165" t="inlineStr">
        <is>
          <t>Payroll Admin Fee</t>
        </is>
      </c>
      <c r="B103" s="165" t="inlineStr">
        <is>
          <t>Office, admin &amp; G&amp;A</t>
        </is>
      </c>
      <c r="C103" s="165" t="inlineStr">
        <is>
          <t>Non-Labor</t>
        </is>
      </c>
      <c r="D103" s="165" t="inlineStr">
        <is>
          <t>-</t>
        </is>
      </c>
      <c r="E103" s="165" t="n"/>
    </row>
    <row r="104" ht="15" customHeight="1" s="199">
      <c r="A104" s="165" t="inlineStr">
        <is>
          <t>Postage</t>
        </is>
      </c>
      <c r="B104" s="165" t="inlineStr">
        <is>
          <t>Office, admin &amp; G&amp;A</t>
        </is>
      </c>
      <c r="C104" s="165" t="inlineStr">
        <is>
          <t>Non-Labor</t>
        </is>
      </c>
      <c r="D104" s="165" t="inlineStr">
        <is>
          <t>-</t>
        </is>
      </c>
      <c r="E104" s="165" t="n"/>
    </row>
    <row r="105" ht="15" customHeight="1" s="199">
      <c r="A105" s="165" t="inlineStr">
        <is>
          <t>Beautician Expense</t>
        </is>
      </c>
      <c r="B105" s="165" t="inlineStr">
        <is>
          <t>Office, admin &amp; G&amp;A</t>
        </is>
      </c>
      <c r="C105" s="165" t="inlineStr">
        <is>
          <t>Non-Labor</t>
        </is>
      </c>
      <c r="D105" s="165" t="inlineStr">
        <is>
          <t>-</t>
        </is>
      </c>
      <c r="E105" s="165" t="n"/>
    </row>
    <row r="106" ht="15" customHeight="1" s="199">
      <c r="A106" s="165" t="inlineStr">
        <is>
          <t>Copier/Equipment Lease</t>
        </is>
      </c>
      <c r="B106" s="165" t="inlineStr">
        <is>
          <t>Office, admin &amp; G&amp;A</t>
        </is>
      </c>
      <c r="C106" s="165" t="inlineStr">
        <is>
          <t>Non-Labor</t>
        </is>
      </c>
      <c r="D106" s="165" t="inlineStr">
        <is>
          <t>-</t>
        </is>
      </c>
      <c r="E106" s="165" t="n"/>
    </row>
    <row r="107" ht="15" customHeight="1" s="199">
      <c r="A107" s="165" t="inlineStr">
        <is>
          <t>Training/Continuing Education</t>
        </is>
      </c>
      <c r="B107" s="165" t="inlineStr">
        <is>
          <t>Office, admin &amp; G&amp;A</t>
        </is>
      </c>
      <c r="C107" s="165" t="inlineStr">
        <is>
          <t>Non-Labor</t>
        </is>
      </c>
      <c r="D107" s="165" t="inlineStr">
        <is>
          <t>-</t>
        </is>
      </c>
      <c r="E107" s="165" t="n"/>
    </row>
    <row r="108" ht="15" customHeight="1" s="199">
      <c r="A108" s="165" t="inlineStr">
        <is>
          <t>Travel</t>
        </is>
      </c>
      <c r="B108" s="165" t="inlineStr">
        <is>
          <t>Office, admin &amp; G&amp;A</t>
        </is>
      </c>
      <c r="C108" s="165" t="inlineStr">
        <is>
          <t>Non-Labor</t>
        </is>
      </c>
      <c r="D108" s="165" t="inlineStr">
        <is>
          <t>-</t>
        </is>
      </c>
      <c r="E108" s="165" t="n"/>
    </row>
    <row r="109" ht="15" customHeight="1" s="199">
      <c r="A109" s="165" t="inlineStr">
        <is>
          <t>Gas/Mileage</t>
        </is>
      </c>
      <c r="B109" s="165" t="inlineStr">
        <is>
          <t>Office, admin &amp; G&amp;A</t>
        </is>
      </c>
      <c r="C109" s="165" t="inlineStr">
        <is>
          <t>Non-Labor</t>
        </is>
      </c>
      <c r="D109" s="165" t="inlineStr">
        <is>
          <t>-</t>
        </is>
      </c>
      <c r="E109" s="165" t="n"/>
    </row>
    <row r="110" ht="15" customHeight="1" s="199">
      <c r="A110" s="165" t="inlineStr">
        <is>
          <t>Conference Attendance</t>
        </is>
      </c>
      <c r="B110" s="165" t="inlineStr">
        <is>
          <t>Office, admin &amp; G&amp;A</t>
        </is>
      </c>
      <c r="C110" s="165" t="inlineStr">
        <is>
          <t>Non-Labor</t>
        </is>
      </c>
      <c r="D110" s="165" t="inlineStr">
        <is>
          <t>-</t>
        </is>
      </c>
      <c r="E110" s="165" t="n"/>
    </row>
    <row r="111" ht="15" customHeight="1" s="199">
      <c r="A111" s="165" t="inlineStr">
        <is>
          <t>Credit Card Processing Fees</t>
        </is>
      </c>
      <c r="B111" s="165" t="inlineStr">
        <is>
          <t>Office, admin &amp; G&amp;A</t>
        </is>
      </c>
      <c r="C111" s="165" t="inlineStr">
        <is>
          <t>Non-Labor</t>
        </is>
      </c>
      <c r="D111" s="165" t="inlineStr">
        <is>
          <t>-</t>
        </is>
      </c>
      <c r="E111" s="165" t="n"/>
    </row>
    <row r="112" ht="15" customHeight="1" s="199">
      <c r="A112" s="165" t="inlineStr">
        <is>
          <t>Office Supplies</t>
        </is>
      </c>
      <c r="B112" s="165" t="inlineStr">
        <is>
          <t>Office, admin &amp; G&amp;A</t>
        </is>
      </c>
      <c r="C112" s="165" t="inlineStr">
        <is>
          <t>Non-Labor</t>
        </is>
      </c>
      <c r="D112" s="165" t="inlineStr">
        <is>
          <t>-</t>
        </is>
      </c>
      <c r="E112" s="165" t="n"/>
    </row>
    <row r="113" ht="15" customHeight="1" s="199">
      <c r="A113" s="165" t="inlineStr">
        <is>
          <t>Uniforms and Linen</t>
        </is>
      </c>
      <c r="B113" s="165" t="inlineStr">
        <is>
          <t>Office, admin &amp; G&amp;A</t>
        </is>
      </c>
      <c r="C113" s="165" t="inlineStr">
        <is>
          <t>Non-Labor</t>
        </is>
      </c>
      <c r="D113" s="165" t="inlineStr">
        <is>
          <t>-</t>
        </is>
      </c>
      <c r="E113" s="165" t="n"/>
    </row>
    <row r="114" ht="15" customHeight="1" s="199">
      <c r="A114" s="165" t="inlineStr">
        <is>
          <t>Printing Expense</t>
        </is>
      </c>
      <c r="B114" s="165" t="inlineStr">
        <is>
          <t>Office, admin &amp; G&amp;A</t>
        </is>
      </c>
      <c r="C114" s="165" t="inlineStr">
        <is>
          <t>Non-Labor</t>
        </is>
      </c>
      <c r="D114" s="165" t="inlineStr">
        <is>
          <t>-</t>
        </is>
      </c>
      <c r="E114" s="165" t="n"/>
    </row>
    <row r="115" ht="15" customHeight="1" s="199">
      <c r="A115" s="165" t="inlineStr">
        <is>
          <t>Bank Charges/Penalties</t>
        </is>
      </c>
      <c r="B115" s="165" t="inlineStr">
        <is>
          <t>Office, admin &amp; G&amp;A</t>
        </is>
      </c>
      <c r="C115" s="165" t="inlineStr">
        <is>
          <t>Non-Labor</t>
        </is>
      </c>
      <c r="D115" s="165" t="inlineStr">
        <is>
          <t>-</t>
        </is>
      </c>
      <c r="E115" s="165" t="n"/>
    </row>
    <row r="116" ht="15" customHeight="1" s="199">
      <c r="A116" s="165" t="inlineStr">
        <is>
          <t>Pre-Employment Expense</t>
        </is>
      </c>
      <c r="B116" s="165" t="inlineStr">
        <is>
          <t>Office, admin &amp; G&amp;A</t>
        </is>
      </c>
      <c r="C116" s="165" t="inlineStr">
        <is>
          <t>Non-Labor</t>
        </is>
      </c>
      <c r="D116" s="165" t="inlineStr">
        <is>
          <t>-</t>
        </is>
      </c>
      <c r="E116" s="165" t="n"/>
    </row>
    <row r="117" ht="15" customHeight="1" s="199">
      <c r="A117" s="165" t="inlineStr">
        <is>
          <t>Reimbursable Supplies</t>
        </is>
      </c>
      <c r="B117" s="165" t="inlineStr">
        <is>
          <t>Other / miscellaneous</t>
        </is>
      </c>
      <c r="C117" s="165" t="inlineStr">
        <is>
          <t>Non-Labor</t>
        </is>
      </c>
      <c r="D117" s="165" t="inlineStr">
        <is>
          <t>-</t>
        </is>
      </c>
      <c r="E117" s="165" t="n"/>
    </row>
    <row r="118" ht="15" customHeight="1" s="199">
      <c r="A118" s="165" t="inlineStr">
        <is>
          <t>Building (Bird/Fish) Supplies</t>
        </is>
      </c>
      <c r="B118" s="165" t="inlineStr">
        <is>
          <t>Other / miscellaneous</t>
        </is>
      </c>
      <c r="C118" s="165" t="inlineStr">
        <is>
          <t>Non-Labor</t>
        </is>
      </c>
      <c r="D118" s="165" t="inlineStr">
        <is>
          <t>-</t>
        </is>
      </c>
      <c r="E118" s="165" t="n"/>
    </row>
    <row r="119" ht="15" customHeight="1" s="199">
      <c r="A119" s="165" t="inlineStr">
        <is>
          <t>Evacuation Expense</t>
        </is>
      </c>
      <c r="B119" s="165" t="inlineStr">
        <is>
          <t>Other / miscellaneous</t>
        </is>
      </c>
      <c r="C119" s="165" t="inlineStr">
        <is>
          <t>Non-Labor</t>
        </is>
      </c>
      <c r="D119" s="165" t="inlineStr">
        <is>
          <t>-</t>
        </is>
      </c>
      <c r="E119" s="165" t="n"/>
    </row>
    <row r="120" ht="15" customHeight="1" s="199">
      <c r="A120" s="165" t="inlineStr">
        <is>
          <t>Personal purchases for Residen</t>
        </is>
      </c>
      <c r="B120" s="165" t="inlineStr">
        <is>
          <t>Other / miscellaneous</t>
        </is>
      </c>
      <c r="C120" s="165" t="inlineStr">
        <is>
          <t>Non-Labor</t>
        </is>
      </c>
      <c r="D120" s="165" t="inlineStr">
        <is>
          <t>-</t>
        </is>
      </c>
      <c r="E120" s="165" t="n"/>
    </row>
    <row r="121" ht="15" customHeight="1" s="199">
      <c r="A121" s="165" t="inlineStr">
        <is>
          <t>Resident Gifts/Benefits</t>
        </is>
      </c>
      <c r="B121" s="165" t="inlineStr">
        <is>
          <t>Other / miscellaneous</t>
        </is>
      </c>
      <c r="C121" s="165" t="inlineStr">
        <is>
          <t>Non-Labor</t>
        </is>
      </c>
      <c r="D121" s="165" t="inlineStr">
        <is>
          <t>-</t>
        </is>
      </c>
      <c r="E121" s="165" t="n"/>
    </row>
    <row r="122" ht="15" customHeight="1" s="199">
      <c r="A122" s="165" t="inlineStr">
        <is>
          <t>Management Fees</t>
        </is>
      </c>
      <c r="B122" s="165" t="inlineStr">
        <is>
          <t>Management fee</t>
        </is>
      </c>
      <c r="C122" s="165" t="inlineStr">
        <is>
          <t>Non-Labor</t>
        </is>
      </c>
      <c r="D122" s="165" t="inlineStr">
        <is>
          <t>-</t>
        </is>
      </c>
      <c r="E122" s="165" t="n"/>
    </row>
    <row r="123" ht="15" customHeight="1" s="199">
      <c r="A123" s="165" t="inlineStr">
        <is>
          <t>Management Fee</t>
        </is>
      </c>
      <c r="B123" s="165" t="inlineStr">
        <is>
          <t>Management fee</t>
        </is>
      </c>
      <c r="C123" s="165" t="inlineStr">
        <is>
          <t>Non-Labor</t>
        </is>
      </c>
      <c r="D123" s="165" t="inlineStr">
        <is>
          <t>-</t>
        </is>
      </c>
      <c r="E123" s="165" t="n"/>
    </row>
    <row r="124" ht="15" customHeight="1" s="199">
      <c r="A124" s="165" t="inlineStr">
        <is>
          <t>Depreciation Expense</t>
        </is>
      </c>
      <c r="B124" s="165" t="inlineStr">
        <is>
          <t>Depreciation — EXCLUDED</t>
        </is>
      </c>
      <c r="C124" s="165" t="inlineStr">
        <is>
          <t>Excluded</t>
        </is>
      </c>
      <c r="D124" s="165" t="inlineStr">
        <is>
          <t>-</t>
        </is>
      </c>
      <c r="E124" s="165" t="n"/>
    </row>
    <row r="125" ht="15" customHeight="1" s="199">
      <c r="A125" t="inlineStr">
        <is>
          <t>Auto Expenses</t>
        </is>
      </c>
      <c r="B125" t="inlineStr">
        <is>
          <t>Auto Expense</t>
        </is>
      </c>
      <c r="C125" t="inlineStr">
        <is>
          <t>Non-Labor</t>
        </is>
      </c>
    </row>
    <row r="126" ht="15" customHeight="1" s="199">
      <c r="A126" s="165" t="inlineStr">
        <is>
          <t>Second Occupant Fee</t>
        </is>
      </c>
      <c r="B126" s="165" t="inlineStr">
        <is>
          <t>Base rent — IL</t>
        </is>
      </c>
      <c r="C126" s="165" t="inlineStr">
        <is>
          <t>Revenue</t>
        </is>
      </c>
      <c r="D126" s="165" t="inlineStr">
        <is>
          <t>IL</t>
        </is>
      </c>
      <c r="E126" s="165" t="n"/>
    </row>
    <row r="127" ht="15" customHeight="1" s="199">
      <c r="A127" s="165" t="inlineStr">
        <is>
          <t>Second Person Fee</t>
        </is>
      </c>
      <c r="B127" s="165" t="inlineStr">
        <is>
          <t>Base rent — IL</t>
        </is>
      </c>
      <c r="C127" s="165" t="inlineStr">
        <is>
          <t>Revenue</t>
        </is>
      </c>
      <c r="D127" s="165" t="inlineStr">
        <is>
          <t>IL</t>
        </is>
      </c>
      <c r="E127" s="165" t="n"/>
    </row>
    <row r="128" ht="15" customHeight="1" s="199">
      <c r="A128" s="165" t="inlineStr">
        <is>
          <t>Second Resident Fee</t>
        </is>
      </c>
      <c r="B128" s="165" t="inlineStr">
        <is>
          <t>Base rent — IL</t>
        </is>
      </c>
      <c r="C128" s="165" t="inlineStr">
        <is>
          <t>Revenue</t>
        </is>
      </c>
      <c r="D128" s="165" t="inlineStr">
        <is>
          <t>IL</t>
        </is>
      </c>
      <c r="E128" s="165" t="n"/>
    </row>
    <row r="129" ht="15" customHeight="1" s="199">
      <c r="A129" s="165" t="inlineStr">
        <is>
          <t>Independent Living Fees</t>
        </is>
      </c>
      <c r="B129" s="165" t="inlineStr">
        <is>
          <t>Base rent — IL</t>
        </is>
      </c>
      <c r="C129" s="165" t="inlineStr">
        <is>
          <t>Revenue</t>
        </is>
      </c>
      <c r="D129" s="165" t="inlineStr">
        <is>
          <t>IL</t>
        </is>
      </c>
      <c r="E129" s="165" t="n"/>
    </row>
    <row r="130" ht="15" customHeight="1" s="199">
      <c r="A130" s="165" t="inlineStr">
        <is>
          <t>Monthly Service Fee</t>
        </is>
      </c>
      <c r="B130" s="165" t="inlineStr">
        <is>
          <t>Base rent — IL</t>
        </is>
      </c>
      <c r="C130" s="165" t="inlineStr">
        <is>
          <t>Revenue</t>
        </is>
      </c>
      <c r="D130" s="165" t="inlineStr">
        <is>
          <t>IL</t>
        </is>
      </c>
      <c r="E130" s="165" t="n"/>
    </row>
    <row r="131" ht="15" customHeight="1" s="199">
      <c r="A131" s="165" t="inlineStr">
        <is>
          <t>Memory Care Program Fee</t>
        </is>
      </c>
      <c r="B131" s="165" t="inlineStr">
        <is>
          <t>Base rent — MC</t>
        </is>
      </c>
      <c r="C131" s="165" t="inlineStr">
        <is>
          <t>Revenue</t>
        </is>
      </c>
      <c r="D131" s="165" t="inlineStr">
        <is>
          <t>MC</t>
        </is>
      </c>
      <c r="E131" s="165" t="n"/>
    </row>
    <row r="132" ht="15" customHeight="1" s="199">
      <c r="A132" s="165" t="inlineStr">
        <is>
          <t>Secured Unit Fee</t>
        </is>
      </c>
      <c r="B132" s="165" t="inlineStr">
        <is>
          <t>Base rent — MC</t>
        </is>
      </c>
      <c r="C132" s="165" t="inlineStr">
        <is>
          <t>Revenue</t>
        </is>
      </c>
      <c r="D132" s="165" t="inlineStr">
        <is>
          <t>MC</t>
        </is>
      </c>
      <c r="E132" s="165" t="n"/>
    </row>
    <row r="133" ht="15" customHeight="1" s="199">
      <c r="A133" s="165" t="inlineStr">
        <is>
          <t>Dementia Care Fee</t>
        </is>
      </c>
      <c r="B133" s="165" t="inlineStr">
        <is>
          <t>Base rent — MC</t>
        </is>
      </c>
      <c r="C133" s="165" t="inlineStr">
        <is>
          <t>Revenue</t>
        </is>
      </c>
      <c r="D133" s="165" t="inlineStr">
        <is>
          <t>MC</t>
        </is>
      </c>
      <c r="E133" s="165" t="n"/>
    </row>
    <row r="134" ht="15" customHeight="1" s="199">
      <c r="A134" s="165" t="inlineStr">
        <is>
          <t>Memory Care Base</t>
        </is>
      </c>
      <c r="B134" s="165" t="inlineStr">
        <is>
          <t>Base rent — MC</t>
        </is>
      </c>
      <c r="C134" s="165" t="inlineStr">
        <is>
          <t>Revenue</t>
        </is>
      </c>
      <c r="D134" s="165" t="inlineStr">
        <is>
          <t>MC</t>
        </is>
      </c>
      <c r="E134" s="165" t="n"/>
    </row>
    <row r="135" ht="15" customHeight="1" s="199">
      <c r="A135" s="165" t="inlineStr">
        <is>
          <t>Therapy Revenue</t>
        </is>
      </c>
      <c r="B135" s="165" t="inlineStr">
        <is>
          <t>Other community revenue</t>
        </is>
      </c>
      <c r="C135" s="165" t="inlineStr">
        <is>
          <t>Revenue</t>
        </is>
      </c>
      <c r="D135" s="165" t="inlineStr">
        <is>
          <t>-</t>
        </is>
      </c>
      <c r="E135" s="165" t="n"/>
    </row>
    <row r="136" ht="15" customHeight="1" s="199">
      <c r="A136" s="165" t="inlineStr">
        <is>
          <t>PT/OT Revenue</t>
        </is>
      </c>
      <c r="B136" s="165" t="inlineStr">
        <is>
          <t>Other community revenue</t>
        </is>
      </c>
      <c r="C136" s="165" t="inlineStr">
        <is>
          <t>Revenue</t>
        </is>
      </c>
      <c r="D136" s="165" t="inlineStr">
        <is>
          <t>-</t>
        </is>
      </c>
      <c r="E136" s="165" t="n"/>
    </row>
    <row r="137" ht="15" customHeight="1" s="199">
      <c r="A137" s="165" t="inlineStr">
        <is>
          <t>Physical Therapy Revenue</t>
        </is>
      </c>
      <c r="B137" s="165" t="inlineStr">
        <is>
          <t>Other community revenue</t>
        </is>
      </c>
      <c r="C137" s="165" t="inlineStr">
        <is>
          <t>Revenue</t>
        </is>
      </c>
      <c r="D137" s="165" t="inlineStr">
        <is>
          <t>-</t>
        </is>
      </c>
      <c r="E137" s="165" t="n"/>
    </row>
    <row r="138" ht="15" customHeight="1" s="199">
      <c r="A138" s="165" t="inlineStr">
        <is>
          <t>Transportation Revenue</t>
        </is>
      </c>
      <c r="B138" s="165" t="inlineStr">
        <is>
          <t>Other community revenue</t>
        </is>
      </c>
      <c r="C138" s="165" t="inlineStr">
        <is>
          <t>Revenue</t>
        </is>
      </c>
      <c r="D138" s="165" t="inlineStr">
        <is>
          <t>-</t>
        </is>
      </c>
      <c r="E138" s="165" t="n"/>
    </row>
    <row r="139" ht="15" customHeight="1" s="199">
      <c r="A139" s="165" t="inlineStr">
        <is>
          <t>Transportation Income</t>
        </is>
      </c>
      <c r="B139" s="165" t="inlineStr">
        <is>
          <t>Other community revenue</t>
        </is>
      </c>
      <c r="C139" s="165" t="inlineStr">
        <is>
          <t>Revenue</t>
        </is>
      </c>
      <c r="D139" s="165" t="inlineStr">
        <is>
          <t>-</t>
        </is>
      </c>
      <c r="E139" s="165" t="n"/>
    </row>
    <row r="140" ht="15" customHeight="1" s="199">
      <c r="A140" s="165" t="inlineStr">
        <is>
          <t>Cable TV Income</t>
        </is>
      </c>
      <c r="B140" s="165" t="inlineStr">
        <is>
          <t>Other community revenue</t>
        </is>
      </c>
      <c r="C140" s="165" t="inlineStr">
        <is>
          <t>Revenue</t>
        </is>
      </c>
      <c r="D140" s="165" t="inlineStr">
        <is>
          <t>-</t>
        </is>
      </c>
      <c r="E140" s="165" t="n"/>
    </row>
    <row r="141" ht="15" customHeight="1" s="199">
      <c r="A141" s="165" t="inlineStr">
        <is>
          <t>Television Income</t>
        </is>
      </c>
      <c r="B141" s="165" t="inlineStr">
        <is>
          <t>Other community revenue</t>
        </is>
      </c>
      <c r="C141" s="165" t="inlineStr">
        <is>
          <t>Revenue</t>
        </is>
      </c>
      <c r="D141" s="165" t="inlineStr">
        <is>
          <t>-</t>
        </is>
      </c>
      <c r="E141" s="165" t="n"/>
    </row>
    <row r="142" ht="15" customHeight="1" s="199">
      <c r="A142" s="165" t="inlineStr">
        <is>
          <t>Late Fee Income</t>
        </is>
      </c>
      <c r="B142" s="165" t="inlineStr">
        <is>
          <t>Other community revenue</t>
        </is>
      </c>
      <c r="C142" s="165" t="inlineStr">
        <is>
          <t>Revenue</t>
        </is>
      </c>
      <c r="D142" s="165" t="inlineStr">
        <is>
          <t>-</t>
        </is>
      </c>
      <c r="E142" s="165" t="n"/>
    </row>
    <row r="143" ht="15" customHeight="1" s="199">
      <c r="A143" s="165" t="inlineStr">
        <is>
          <t>Late Charges</t>
        </is>
      </c>
      <c r="B143" s="165" t="inlineStr">
        <is>
          <t>Other community revenue</t>
        </is>
      </c>
      <c r="C143" s="165" t="inlineStr">
        <is>
          <t>Revenue</t>
        </is>
      </c>
      <c r="D143" s="165" t="inlineStr">
        <is>
          <t>-</t>
        </is>
      </c>
      <c r="E143" s="165" t="n"/>
    </row>
    <row r="144" ht="15" customHeight="1" s="199">
      <c r="A144" s="165" t="inlineStr">
        <is>
          <t>Beauty / Salon Revenue</t>
        </is>
      </c>
      <c r="B144" s="165" t="inlineStr">
        <is>
          <t>Other community revenue</t>
        </is>
      </c>
      <c r="C144" s="165" t="inlineStr">
        <is>
          <t>Revenue</t>
        </is>
      </c>
      <c r="D144" s="165" t="inlineStr">
        <is>
          <t>-</t>
        </is>
      </c>
      <c r="E144" s="165" t="n"/>
    </row>
    <row r="145" ht="15" customHeight="1" s="199">
      <c r="A145" s="165" t="inlineStr">
        <is>
          <t>Salon Income</t>
        </is>
      </c>
      <c r="B145" s="165" t="inlineStr">
        <is>
          <t>Other community revenue</t>
        </is>
      </c>
      <c r="C145" s="165" t="inlineStr">
        <is>
          <t>Revenue</t>
        </is>
      </c>
      <c r="D145" s="165" t="inlineStr">
        <is>
          <t>-</t>
        </is>
      </c>
      <c r="E145" s="165" t="n"/>
    </row>
    <row r="146" ht="15" customHeight="1" s="199">
      <c r="A146" s="165" t="inlineStr">
        <is>
          <t>Guest Room Revenue</t>
        </is>
      </c>
      <c r="B146" s="165" t="inlineStr">
        <is>
          <t>Other community revenue</t>
        </is>
      </c>
      <c r="C146" s="165" t="inlineStr">
        <is>
          <t>Revenue</t>
        </is>
      </c>
      <c r="D146" s="165" t="inlineStr">
        <is>
          <t>-</t>
        </is>
      </c>
      <c r="E146" s="165" t="n"/>
    </row>
    <row r="147" ht="15" customHeight="1" s="199">
      <c r="A147" s="165" t="inlineStr">
        <is>
          <t>Guest Suite Revenue</t>
        </is>
      </c>
      <c r="B147" s="165" t="inlineStr">
        <is>
          <t>Other community revenue</t>
        </is>
      </c>
      <c r="C147" s="165" t="inlineStr">
        <is>
          <t>Revenue</t>
        </is>
      </c>
      <c r="D147" s="165" t="inlineStr">
        <is>
          <t>-</t>
        </is>
      </c>
      <c r="E147" s="165" t="n"/>
    </row>
    <row r="148" ht="15" customHeight="1" s="199">
      <c r="A148" s="165" t="inlineStr">
        <is>
          <t>Unemployment Insurance</t>
        </is>
      </c>
      <c r="B148" s="165" t="inlineStr">
        <is>
          <t>Payroll taxes</t>
        </is>
      </c>
      <c r="C148" s="165" t="inlineStr">
        <is>
          <t>Labor</t>
        </is>
      </c>
      <c r="D148" s="165" t="inlineStr">
        <is>
          <t>-</t>
        </is>
      </c>
      <c r="E148" s="165" t="n"/>
    </row>
    <row r="149" ht="15" customHeight="1" s="199">
      <c r="A149" s="165" t="inlineStr">
        <is>
          <t>Unemployment Tax</t>
        </is>
      </c>
      <c r="B149" s="165" t="inlineStr">
        <is>
          <t>Payroll taxes</t>
        </is>
      </c>
      <c r="C149" s="165" t="inlineStr">
        <is>
          <t>Labor</t>
        </is>
      </c>
      <c r="D149" s="165" t="inlineStr">
        <is>
          <t>-</t>
        </is>
      </c>
      <c r="E149" s="165" t="n"/>
    </row>
    <row r="150" ht="15" customHeight="1" s="199">
      <c r="A150" s="165" t="inlineStr">
        <is>
          <t>FUTA</t>
        </is>
      </c>
      <c r="B150" s="165" t="inlineStr">
        <is>
          <t>Payroll taxes</t>
        </is>
      </c>
      <c r="C150" s="165" t="inlineStr">
        <is>
          <t>Labor</t>
        </is>
      </c>
      <c r="D150" s="165" t="inlineStr">
        <is>
          <t>-</t>
        </is>
      </c>
      <c r="E150" s="165" t="n"/>
    </row>
    <row r="151" ht="15" customHeight="1" s="199">
      <c r="A151" s="165" t="inlineStr">
        <is>
          <t>SUTA</t>
        </is>
      </c>
      <c r="B151" s="165" t="inlineStr">
        <is>
          <t>Payroll taxes</t>
        </is>
      </c>
      <c r="C151" s="165" t="inlineStr">
        <is>
          <t>Labor</t>
        </is>
      </c>
      <c r="D151" s="165" t="inlineStr">
        <is>
          <t>-</t>
        </is>
      </c>
      <c r="E151" s="165" t="n"/>
    </row>
    <row r="152" ht="15" customHeight="1" s="199">
      <c r="A152" s="165" t="inlineStr">
        <is>
          <t>Vehicle Expenses</t>
        </is>
      </c>
      <c r="B152" s="165" t="inlineStr">
        <is>
          <t>Office, admin &amp; G&amp;A</t>
        </is>
      </c>
      <c r="C152" s="165" t="inlineStr">
        <is>
          <t>Non-Labor</t>
        </is>
      </c>
      <c r="D152" s="165" t="inlineStr">
        <is>
          <t>-</t>
        </is>
      </c>
      <c r="E152" s="165" t="n"/>
    </row>
    <row r="153" ht="15" customHeight="1" s="199">
      <c r="A153" s="165" t="inlineStr">
        <is>
          <t>Staff Recognition</t>
        </is>
      </c>
      <c r="B153" s="165" t="inlineStr">
        <is>
          <t>Office, admin &amp; G&amp;A</t>
        </is>
      </c>
      <c r="C153" s="165" t="inlineStr">
        <is>
          <t>Non-Labor</t>
        </is>
      </c>
      <c r="D153" s="165" t="inlineStr">
        <is>
          <t>-</t>
        </is>
      </c>
      <c r="E153" s="165" t="n"/>
    </row>
    <row r="154" ht="15" customHeight="1" s="199">
      <c r="A154" s="165" t="inlineStr">
        <is>
          <t>Employee Appreciation</t>
        </is>
      </c>
      <c r="B154" s="165" t="inlineStr">
        <is>
          <t>Office, admin &amp; G&amp;A</t>
        </is>
      </c>
      <c r="C154" s="165" t="inlineStr">
        <is>
          <t>Non-Labor</t>
        </is>
      </c>
      <c r="D154" s="165" t="inlineStr">
        <is>
          <t>-</t>
        </is>
      </c>
      <c r="E154" s="165" t="n"/>
    </row>
    <row r="155" ht="15" customHeight="1" s="199">
      <c r="A155" s="165" t="inlineStr">
        <is>
          <t>Technology</t>
        </is>
      </c>
      <c r="B155" s="165" t="inlineStr">
        <is>
          <t>Telephone / IT</t>
        </is>
      </c>
      <c r="C155" s="165" t="inlineStr">
        <is>
          <t>Non-Labor</t>
        </is>
      </c>
      <c r="D155" s="165" t="inlineStr">
        <is>
          <t>-</t>
        </is>
      </c>
      <c r="E155" s="165" t="n"/>
    </row>
    <row r="156" ht="15" customHeight="1" s="199">
      <c r="A156" s="165" t="inlineStr">
        <is>
          <t>EHR Software</t>
        </is>
      </c>
      <c r="B156" s="165" t="inlineStr">
        <is>
          <t>Telephone / IT</t>
        </is>
      </c>
      <c r="C156" s="165" t="inlineStr">
        <is>
          <t>Non-Labor</t>
        </is>
      </c>
      <c r="D156" s="165" t="inlineStr">
        <is>
          <t>-</t>
        </is>
      </c>
      <c r="E156" s="165" t="n"/>
    </row>
    <row r="157" ht="15" customHeight="1" s="199">
      <c r="A157" s="165" t="inlineStr">
        <is>
          <t>EMR Software</t>
        </is>
      </c>
      <c r="B157" s="165" t="inlineStr">
        <is>
          <t>Telephone / IT</t>
        </is>
      </c>
      <c r="C157" s="165" t="inlineStr">
        <is>
          <t>Non-Labor</t>
        </is>
      </c>
      <c r="D157" s="165" t="inlineStr">
        <is>
          <t>-</t>
        </is>
      </c>
      <c r="E157" s="165" t="n"/>
    </row>
    <row r="158" ht="15" customHeight="1" s="199">
      <c r="A158" s="165" t="inlineStr">
        <is>
          <t>Software Subscriptions</t>
        </is>
      </c>
      <c r="B158" s="165" t="inlineStr">
        <is>
          <t>Telephone / IT</t>
        </is>
      </c>
      <c r="C158" s="165" t="inlineStr">
        <is>
          <t>Non-Labor</t>
        </is>
      </c>
      <c r="D158" s="165" t="inlineStr">
        <is>
          <t>-</t>
        </is>
      </c>
      <c r="E158" s="165" t="n"/>
    </row>
    <row r="159" ht="15" customHeight="1" s="199">
      <c r="A159" s="165" t="inlineStr">
        <is>
          <t>Internet</t>
        </is>
      </c>
      <c r="B159" s="165" t="inlineStr">
        <is>
          <t>Telephone / IT</t>
        </is>
      </c>
      <c r="C159" s="165" t="inlineStr">
        <is>
          <t>Non-Labor</t>
        </is>
      </c>
      <c r="D159" s="165" t="inlineStr">
        <is>
          <t>-</t>
        </is>
      </c>
      <c r="E159" s="165" t="n"/>
    </row>
    <row r="160" ht="15" customHeight="1" s="199">
      <c r="A160" s="165" t="inlineStr">
        <is>
          <t>WiFi</t>
        </is>
      </c>
      <c r="B160" s="165" t="inlineStr">
        <is>
          <t>Telephone / IT</t>
        </is>
      </c>
      <c r="C160" s="165" t="inlineStr">
        <is>
          <t>Non-Labor</t>
        </is>
      </c>
      <c r="D160" s="165" t="inlineStr">
        <is>
          <t>-</t>
        </is>
      </c>
      <c r="E160" s="165" t="n"/>
    </row>
    <row r="161" ht="15" customHeight="1" s="199">
      <c r="A161" s="165" t="inlineStr">
        <is>
          <t>Dietary Consultant</t>
        </is>
      </c>
      <c r="B161" s="165" t="inlineStr">
        <is>
          <t>Professional services</t>
        </is>
      </c>
      <c r="C161" s="165" t="inlineStr">
        <is>
          <t>Non-Labor</t>
        </is>
      </c>
      <c r="D161" s="165" t="inlineStr">
        <is>
          <t>-</t>
        </is>
      </c>
      <c r="E161" s="165" t="n"/>
    </row>
    <row r="162" ht="15" customHeight="1" s="199">
      <c r="A162" s="165" t="inlineStr">
        <is>
          <t>Nutrition Consultant</t>
        </is>
      </c>
      <c r="B162" s="165" t="inlineStr">
        <is>
          <t>Professional services</t>
        </is>
      </c>
      <c r="C162" s="165" t="inlineStr">
        <is>
          <t>Non-Labor</t>
        </is>
      </c>
      <c r="D162" s="165" t="inlineStr">
        <is>
          <t>-</t>
        </is>
      </c>
      <c r="E162" s="165" t="n"/>
    </row>
    <row r="163" ht="15" customHeight="1" s="199">
      <c r="A163" s="165" t="inlineStr">
        <is>
          <t>Grounds Maintenance</t>
        </is>
      </c>
      <c r="B163" s="165" t="inlineStr">
        <is>
          <t>R&amp;M variable</t>
        </is>
      </c>
      <c r="C163" s="165" t="inlineStr">
        <is>
          <t>Non-Labor</t>
        </is>
      </c>
      <c r="D163" s="165" t="inlineStr">
        <is>
          <t>-</t>
        </is>
      </c>
      <c r="E163" s="165" t="n"/>
    </row>
    <row r="164" ht="15" customHeight="1" s="199">
      <c r="A164" s="165" t="inlineStr">
        <is>
          <t>Landscaping</t>
        </is>
      </c>
      <c r="B164" s="165" t="inlineStr">
        <is>
          <t>R&amp;M variable</t>
        </is>
      </c>
      <c r="C164" s="165" t="inlineStr">
        <is>
          <t>Non-Labor</t>
        </is>
      </c>
      <c r="D164" s="165" t="inlineStr">
        <is>
          <t>-</t>
        </is>
      </c>
      <c r="E164" s="165" t="n"/>
    </row>
    <row r="165" ht="15" customHeight="1" s="199">
      <c r="A165" s="165" t="inlineStr">
        <is>
          <t>Grounds</t>
        </is>
      </c>
      <c r="B165" s="165" t="inlineStr">
        <is>
          <t>R&amp;M variable</t>
        </is>
      </c>
      <c r="C165" s="165" t="inlineStr">
        <is>
          <t>Non-Labor</t>
        </is>
      </c>
      <c r="D165" s="165" t="inlineStr">
        <is>
          <t>-</t>
        </is>
      </c>
      <c r="E165" s="165" t="n"/>
    </row>
    <row r="166" ht="15" customHeight="1" s="199">
      <c r="A166" s="165" t="inlineStr">
        <is>
          <t>Lawn Care</t>
        </is>
      </c>
      <c r="B166" s="165" t="inlineStr">
        <is>
          <t>R&amp;M variable</t>
        </is>
      </c>
      <c r="C166" s="165" t="inlineStr">
        <is>
          <t>Non-Labor</t>
        </is>
      </c>
      <c r="D166" s="165" t="inlineStr">
        <is>
          <t>-</t>
        </is>
      </c>
      <c r="E166" s="165" t="n"/>
    </row>
    <row r="167" ht="15" customHeight="1" s="199">
      <c r="A167" s="165" t="inlineStr">
        <is>
          <t>Snow Removal</t>
        </is>
      </c>
      <c r="B167" s="165" t="inlineStr">
        <is>
          <t>R&amp;M variable</t>
        </is>
      </c>
      <c r="C167" s="165" t="inlineStr">
        <is>
          <t>Non-Labor</t>
        </is>
      </c>
      <c r="D167" s="165" t="inlineStr">
        <is>
          <t>-</t>
        </is>
      </c>
      <c r="E167" s="165" t="n"/>
    </row>
    <row r="168" ht="15" customHeight="1" s="199">
      <c r="A168" s="165" t="inlineStr">
        <is>
          <t>Elevator Maintenance</t>
        </is>
      </c>
      <c r="B168" s="165" t="inlineStr">
        <is>
          <t>R&amp;M fixed</t>
        </is>
      </c>
      <c r="C168" s="165" t="inlineStr">
        <is>
          <t>Non-Labor</t>
        </is>
      </c>
      <c r="D168" s="165" t="inlineStr">
        <is>
          <t>-</t>
        </is>
      </c>
      <c r="E168" s="165" t="n"/>
    </row>
    <row r="169" ht="15" customHeight="1" s="199">
      <c r="A169" s="165" t="inlineStr">
        <is>
          <t>HVAC Maintenance</t>
        </is>
      </c>
      <c r="B169" s="165" t="inlineStr">
        <is>
          <t>R&amp;M fixed</t>
        </is>
      </c>
      <c r="C169" s="165" t="inlineStr">
        <is>
          <t>Non-Labor</t>
        </is>
      </c>
      <c r="D169" s="165" t="inlineStr">
        <is>
          <t>-</t>
        </is>
      </c>
      <c r="E169" s="165" t="n"/>
    </row>
    <row r="170" ht="15" customHeight="1" s="199">
      <c r="A170" s="165" t="inlineStr">
        <is>
          <t>HVAC Service</t>
        </is>
      </c>
      <c r="B170" s="165" t="inlineStr">
        <is>
          <t>R&amp;M fixed</t>
        </is>
      </c>
      <c r="C170" s="165" t="inlineStr">
        <is>
          <t>Non-Labor</t>
        </is>
      </c>
      <c r="D170" s="165" t="inlineStr">
        <is>
          <t>-</t>
        </is>
      </c>
      <c r="E170" s="165" t="n"/>
    </row>
    <row r="171" ht="15" customHeight="1" s="199">
      <c r="A171" s="165" t="inlineStr">
        <is>
          <t>HVAC Service Contract</t>
        </is>
      </c>
      <c r="B171" s="165" t="inlineStr">
        <is>
          <t>R&amp;M fixed</t>
        </is>
      </c>
      <c r="C171" s="165" t="inlineStr">
        <is>
          <t>Non-Labor</t>
        </is>
      </c>
      <c r="D171" s="165" t="inlineStr">
        <is>
          <t>-</t>
        </is>
      </c>
      <c r="E171" s="165" t="n"/>
    </row>
    <row r="172" ht="15" customHeight="1" s="199">
      <c r="A172" s="165" t="inlineStr">
        <is>
          <t>Generator Maintenance</t>
        </is>
      </c>
      <c r="B172" s="165" t="inlineStr">
        <is>
          <t>R&amp;M fixed</t>
        </is>
      </c>
      <c r="C172" s="165" t="inlineStr">
        <is>
          <t>Non-Labor</t>
        </is>
      </c>
      <c r="D172" s="165" t="inlineStr">
        <is>
          <t>-</t>
        </is>
      </c>
      <c r="E172" s="165" t="n"/>
    </row>
    <row r="173" ht="15" customHeight="1" s="199">
      <c r="A173" s="165" t="inlineStr">
        <is>
          <t>Emergency Generator</t>
        </is>
      </c>
      <c r="B173" s="165" t="inlineStr">
        <is>
          <t>R&amp;M fixed</t>
        </is>
      </c>
      <c r="C173" s="165" t="inlineStr">
        <is>
          <t>Non-Labor</t>
        </is>
      </c>
      <c r="D173" s="165" t="inlineStr">
        <is>
          <t>-</t>
        </is>
      </c>
      <c r="E173" s="165" t="n"/>
    </row>
    <row r="174" ht="15" customHeight="1" s="199">
      <c r="A174" s="165" t="inlineStr">
        <is>
          <t>Trash Service</t>
        </is>
      </c>
      <c r="B174" s="165" t="inlineStr">
        <is>
          <t>Utilities</t>
        </is>
      </c>
      <c r="C174" s="165" t="inlineStr">
        <is>
          <t>Non-Labor</t>
        </is>
      </c>
      <c r="D174" s="165" t="inlineStr">
        <is>
          <t>-</t>
        </is>
      </c>
      <c r="E174" s="165" t="n"/>
    </row>
    <row r="175" ht="15" customHeight="1" s="199">
      <c r="A175" s="165" t="inlineStr">
        <is>
          <t>Water and Sewer</t>
        </is>
      </c>
      <c r="B175" s="165" t="inlineStr">
        <is>
          <t>Utilities</t>
        </is>
      </c>
      <c r="C175" s="165" t="inlineStr">
        <is>
          <t>Non-Labor</t>
        </is>
      </c>
      <c r="D175" s="165" t="inlineStr">
        <is>
          <t>-</t>
        </is>
      </c>
      <c r="E175" s="165" t="n"/>
    </row>
    <row r="176" ht="15" customHeight="1" s="199">
      <c r="A176" s="165" t="inlineStr">
        <is>
          <t>Water</t>
        </is>
      </c>
      <c r="B176" s="165" t="inlineStr">
        <is>
          <t>Utilities</t>
        </is>
      </c>
      <c r="C176" s="165" t="inlineStr">
        <is>
          <t>Non-Labor</t>
        </is>
      </c>
      <c r="D176" s="165" t="inlineStr">
        <is>
          <t>-</t>
        </is>
      </c>
      <c r="E176" s="165" t="n"/>
    </row>
    <row r="177" ht="15" customHeight="1" s="199">
      <c r="A177" s="165" t="inlineStr">
        <is>
          <t>Sewer</t>
        </is>
      </c>
      <c r="B177" s="165" t="inlineStr">
        <is>
          <t>Utilities</t>
        </is>
      </c>
      <c r="C177" s="165" t="inlineStr">
        <is>
          <t>Non-Labor</t>
        </is>
      </c>
      <c r="D177" s="165" t="inlineStr">
        <is>
          <t>-</t>
        </is>
      </c>
      <c r="E177" s="165" t="n"/>
    </row>
    <row r="178" ht="15" customHeight="1" s="199">
      <c r="A178" s="165" t="inlineStr">
        <is>
          <t>Electric</t>
        </is>
      </c>
      <c r="B178" s="165" t="inlineStr">
        <is>
          <t>Utilities</t>
        </is>
      </c>
      <c r="C178" s="165" t="inlineStr">
        <is>
          <t>Non-Labor</t>
        </is>
      </c>
      <c r="D178" s="165" t="inlineStr">
        <is>
          <t>-</t>
        </is>
      </c>
      <c r="E178" s="165" t="n"/>
    </row>
    <row r="179" ht="15" customHeight="1" s="199">
      <c r="A179" s="165" t="inlineStr">
        <is>
          <t>Electricity</t>
        </is>
      </c>
      <c r="B179" s="165" t="inlineStr">
        <is>
          <t>Utilities</t>
        </is>
      </c>
      <c r="C179" s="165" t="inlineStr">
        <is>
          <t>Non-Labor</t>
        </is>
      </c>
      <c r="D179" s="165" t="inlineStr">
        <is>
          <t>-</t>
        </is>
      </c>
      <c r="E179" s="165" t="n"/>
    </row>
    <row r="180" ht="15" customHeight="1" s="199">
      <c r="A180" s="165" t="inlineStr">
        <is>
          <t>Natural Gas</t>
        </is>
      </c>
      <c r="B180" s="165" t="inlineStr">
        <is>
          <t>Utilities</t>
        </is>
      </c>
      <c r="C180" s="165" t="inlineStr">
        <is>
          <t>Non-Labor</t>
        </is>
      </c>
      <c r="D180" s="165" t="inlineStr">
        <is>
          <t>-</t>
        </is>
      </c>
      <c r="E180" s="165" t="n"/>
    </row>
    <row r="181" ht="15" customHeight="1" s="199">
      <c r="A181" s="165" t="inlineStr">
        <is>
          <t>Gas</t>
        </is>
      </c>
      <c r="B181" s="165" t="inlineStr">
        <is>
          <t>Utilities</t>
        </is>
      </c>
      <c r="C181" s="165" t="inlineStr">
        <is>
          <t>Non-Labor</t>
        </is>
      </c>
      <c r="D181" s="165" t="inlineStr">
        <is>
          <t>-</t>
        </is>
      </c>
      <c r="E181" s="165" t="n"/>
    </row>
    <row r="182" ht="15" customHeight="1" s="199">
      <c r="A182" s="165" t="inlineStr">
        <is>
          <t>Linen Service</t>
        </is>
      </c>
      <c r="B182" s="165" t="inlineStr">
        <is>
          <t>HK &amp; laundry supplies</t>
        </is>
      </c>
      <c r="C182" s="165" t="inlineStr">
        <is>
          <t>Non-Labor</t>
        </is>
      </c>
      <c r="D182" s="165" t="inlineStr">
        <is>
          <t>-</t>
        </is>
      </c>
      <c r="E182" s="165" t="n"/>
    </row>
    <row r="183" ht="15" customHeight="1" s="199">
      <c r="A183" s="165" t="inlineStr">
        <is>
          <t>Laundry Service</t>
        </is>
      </c>
      <c r="B183" s="165" t="inlineStr">
        <is>
          <t>HK &amp; laundry supplies</t>
        </is>
      </c>
      <c r="C183" s="165" t="inlineStr">
        <is>
          <t>Non-Labor</t>
        </is>
      </c>
      <c r="D183" s="165" t="inlineStr">
        <is>
          <t>-</t>
        </is>
      </c>
      <c r="E183" s="165" t="n"/>
    </row>
    <row r="184" ht="15" customHeight="1" s="199">
      <c r="A184" s="165" t="inlineStr">
        <is>
          <t>Linen Rental</t>
        </is>
      </c>
      <c r="B184" s="165" t="inlineStr">
        <is>
          <t>HK &amp; laundry supplies</t>
        </is>
      </c>
      <c r="C184" s="165" t="inlineStr">
        <is>
          <t>Non-Labor</t>
        </is>
      </c>
      <c r="D184" s="165" t="inlineStr">
        <is>
          <t>-</t>
        </is>
      </c>
      <c r="E184" s="165" t="n"/>
    </row>
    <row r="185" ht="15" customHeight="1" s="199">
      <c r="A185" s="165" t="inlineStr">
        <is>
          <t>Infection Control Supplies</t>
        </is>
      </c>
      <c r="B185" s="165" t="inlineStr">
        <is>
          <t>Nursing &amp; care supplies</t>
        </is>
      </c>
      <c r="C185" s="165" t="inlineStr">
        <is>
          <t>Non-Labor</t>
        </is>
      </c>
      <c r="D185" s="165" t="inlineStr">
        <is>
          <t>-</t>
        </is>
      </c>
      <c r="E185" s="165" t="n"/>
    </row>
    <row r="186" ht="15" customHeight="1" s="199">
      <c r="A186" s="165" t="inlineStr">
        <is>
          <t>PPE Supplies</t>
        </is>
      </c>
      <c r="B186" s="165" t="inlineStr">
        <is>
          <t>Nursing &amp; care supplies</t>
        </is>
      </c>
      <c r="C186" s="165" t="inlineStr">
        <is>
          <t>Non-Labor</t>
        </is>
      </c>
      <c r="D186" s="165" t="inlineStr">
        <is>
          <t>-</t>
        </is>
      </c>
      <c r="E186" s="165" t="n"/>
    </row>
    <row r="187" ht="15" customHeight="1" s="199">
      <c r="A187" s="165" t="inlineStr">
        <is>
          <t>Personal Protective Equipment</t>
        </is>
      </c>
      <c r="B187" s="165" t="inlineStr">
        <is>
          <t>Nursing &amp; care supplies</t>
        </is>
      </c>
      <c r="C187" s="165" t="inlineStr">
        <is>
          <t>Non-Labor</t>
        </is>
      </c>
      <c r="D187" s="165" t="inlineStr">
        <is>
          <t>-</t>
        </is>
      </c>
      <c r="E187" s="165" t="n"/>
    </row>
    <row r="188" ht="15" customHeight="1" s="199">
      <c r="A188" s="165" t="inlineStr">
        <is>
          <t>State Survey</t>
        </is>
      </c>
      <c r="B188" s="165" t="inlineStr">
        <is>
          <t>Permits, licenses &amp; dues</t>
        </is>
      </c>
      <c r="C188" s="165" t="inlineStr">
        <is>
          <t>Non-Labor</t>
        </is>
      </c>
      <c r="D188" s="165" t="inlineStr">
        <is>
          <t>-</t>
        </is>
      </c>
      <c r="E188" s="165" t="n"/>
    </row>
    <row r="189" ht="15" customHeight="1" s="199">
      <c r="A189" s="165" t="inlineStr">
        <is>
          <t>DOH Fees</t>
        </is>
      </c>
      <c r="B189" s="165" t="inlineStr">
        <is>
          <t>Permits, licenses &amp; dues</t>
        </is>
      </c>
      <c r="C189" s="165" t="inlineStr">
        <is>
          <t>Non-Labor</t>
        </is>
      </c>
      <c r="D189" s="165" t="inlineStr">
        <is>
          <t>-</t>
        </is>
      </c>
      <c r="E189" s="165" t="n"/>
    </row>
    <row r="190" ht="15" customHeight="1" s="199">
      <c r="A190" s="165" t="inlineStr">
        <is>
          <t>Inspection Fees</t>
        </is>
      </c>
      <c r="B190" s="165" t="inlineStr">
        <is>
          <t>Permits, licenses &amp; dues</t>
        </is>
      </c>
      <c r="C190" s="165" t="inlineStr">
        <is>
          <t>Non-Labor</t>
        </is>
      </c>
      <c r="D190" s="165" t="inlineStr">
        <is>
          <t>-</t>
        </is>
      </c>
      <c r="E190" s="165" t="n"/>
    </row>
    <row r="191" ht="15" customHeight="1" s="199">
      <c r="A191" s="165" t="inlineStr">
        <is>
          <t>License Renewal</t>
        </is>
      </c>
      <c r="B191" s="165" t="inlineStr">
        <is>
          <t>Permits, licenses &amp; dues</t>
        </is>
      </c>
      <c r="C191" s="165" t="inlineStr">
        <is>
          <t>Non-Labor</t>
        </is>
      </c>
      <c r="D191" s="165" t="inlineStr">
        <is>
          <t>-</t>
        </is>
      </c>
      <c r="E191" s="165" t="n"/>
    </row>
    <row r="192" ht="15" customHeight="1" s="199">
      <c r="A192" s="165" t="inlineStr">
        <is>
          <t>Lease Expense</t>
        </is>
      </c>
      <c r="B192" s="165" t="inlineStr">
        <is>
          <t>Lease / ground lease</t>
        </is>
      </c>
      <c r="C192" s="165" t="inlineStr">
        <is>
          <t>Non-Labor</t>
        </is>
      </c>
      <c r="D192" s="165" t="inlineStr">
        <is>
          <t>-</t>
        </is>
      </c>
      <c r="E192" s="165" t="n"/>
    </row>
    <row r="193" ht="15" customHeight="1" s="199">
      <c r="A193" s="165" t="inlineStr">
        <is>
          <t>Ground Lease</t>
        </is>
      </c>
      <c r="B193" s="165" t="inlineStr">
        <is>
          <t>Lease / ground lease</t>
        </is>
      </c>
      <c r="C193" s="165" t="inlineStr">
        <is>
          <t>Non-Labor</t>
        </is>
      </c>
      <c r="D193" s="165" t="inlineStr">
        <is>
          <t>-</t>
        </is>
      </c>
      <c r="E193" s="165" t="n"/>
    </row>
    <row r="194" ht="15" customHeight="1" s="199">
      <c r="A194" s="165" t="inlineStr">
        <is>
          <t>Land Lease</t>
        </is>
      </c>
      <c r="B194" s="165" t="inlineStr">
        <is>
          <t>Lease / ground lease</t>
        </is>
      </c>
      <c r="C194" s="165" t="inlineStr">
        <is>
          <t>Non-Labor</t>
        </is>
      </c>
      <c r="D194" s="165" t="inlineStr">
        <is>
          <t>-</t>
        </is>
      </c>
      <c r="E194" s="165" t="n"/>
    </row>
    <row r="195" ht="15" customHeight="1" s="199">
      <c r="A195" s="165" t="inlineStr">
        <is>
          <t>Facility Lease</t>
        </is>
      </c>
      <c r="B195" s="165" t="inlineStr">
        <is>
          <t>Lease / ground lease</t>
        </is>
      </c>
      <c r="C195" s="165" t="inlineStr">
        <is>
          <t>Non-Labor</t>
        </is>
      </c>
      <c r="D195" s="165" t="inlineStr">
        <is>
          <t>-</t>
        </is>
      </c>
      <c r="E195" s="165" t="n"/>
    </row>
    <row r="196" ht="15" customHeight="1" s="199">
      <c r="A196" s="165" t="inlineStr">
        <is>
          <t>Building Lease</t>
        </is>
      </c>
      <c r="B196" s="165" t="inlineStr">
        <is>
          <t>Lease / ground lease</t>
        </is>
      </c>
      <c r="C196" s="165" t="inlineStr">
        <is>
          <t>Non-Labor</t>
        </is>
      </c>
      <c r="D196" s="165" t="inlineStr">
        <is>
          <t>-</t>
        </is>
      </c>
      <c r="E196" s="165" t="n"/>
    </row>
    <row r="197" ht="15" customHeight="1" s="199">
      <c r="A197" s="165" t="inlineStr">
        <is>
          <t>Rent Expense</t>
        </is>
      </c>
      <c r="B197" s="165" t="inlineStr">
        <is>
          <t>Lease / ground lease</t>
        </is>
      </c>
      <c r="C197" s="165" t="inlineStr">
        <is>
          <t>Non-Labor</t>
        </is>
      </c>
      <c r="D197" s="165" t="inlineStr">
        <is>
          <t>-</t>
        </is>
      </c>
      <c r="E197" s="165" t="n"/>
    </row>
    <row r="198" ht="15" customHeight="1" s="199">
      <c r="A198" s="166" t="inlineStr">
        <is>
          <t>Gross Potential Rent</t>
        </is>
      </c>
      <c r="B198" s="166" t="inlineStr">
        <is>
          <t>Gross Rent Revenue</t>
        </is>
      </c>
      <c r="C198" s="167" t="inlineStr">
        <is>
          <t>Revenue</t>
        </is>
      </c>
      <c r="D198" s="167" t="inlineStr">
        <is>
          <t>-</t>
        </is>
      </c>
      <c r="E198" s="166" t="n"/>
    </row>
    <row r="199" ht="15" customHeight="1" s="199">
      <c r="A199" s="166" t="inlineStr">
        <is>
          <t>Gross Rent Revenue</t>
        </is>
      </c>
      <c r="B199" s="166" t="inlineStr">
        <is>
          <t>Gross Rent Revenue</t>
        </is>
      </c>
      <c r="C199" s="167" t="inlineStr">
        <is>
          <t>Revenue</t>
        </is>
      </c>
      <c r="D199" s="167" t="inlineStr">
        <is>
          <t>-</t>
        </is>
      </c>
      <c r="E199" s="166" t="n"/>
    </row>
    <row r="200" ht="15" customHeight="1" s="199">
      <c r="A200" s="166" t="inlineStr">
        <is>
          <t>Gross Rent</t>
        </is>
      </c>
      <c r="B200" s="166" t="inlineStr">
        <is>
          <t>Gross Rent Revenue</t>
        </is>
      </c>
      <c r="C200" s="167" t="inlineStr">
        <is>
          <t>Revenue</t>
        </is>
      </c>
      <c r="D200" s="167" t="inlineStr">
        <is>
          <t>-</t>
        </is>
      </c>
      <c r="E200" s="166" t="n"/>
    </row>
    <row r="201" ht="15" customHeight="1" s="199">
      <c r="A201" s="166" t="inlineStr">
        <is>
          <t>Market Rate Revenue</t>
        </is>
      </c>
      <c r="B201" s="166" t="inlineStr">
        <is>
          <t>Gross Rent Revenue</t>
        </is>
      </c>
      <c r="C201" s="167" t="inlineStr">
        <is>
          <t>Revenue</t>
        </is>
      </c>
      <c r="D201" s="167" t="inlineStr">
        <is>
          <t>-</t>
        </is>
      </c>
      <c r="E201" s="166" t="n"/>
    </row>
    <row r="202" ht="15" customHeight="1" s="199">
      <c r="A202" s="166" t="inlineStr">
        <is>
          <t>Market Rent Revenue</t>
        </is>
      </c>
      <c r="B202" s="166" t="inlineStr">
        <is>
          <t>Gross Rent Revenue</t>
        </is>
      </c>
      <c r="C202" s="167" t="inlineStr">
        <is>
          <t>Revenue</t>
        </is>
      </c>
      <c r="D202" s="167" t="inlineStr">
        <is>
          <t>-</t>
        </is>
      </c>
      <c r="E202" s="166" t="n"/>
    </row>
    <row r="203" ht="15" customHeight="1" s="199">
      <c r="A203" s="166" t="inlineStr">
        <is>
          <t>Potential Rental Income</t>
        </is>
      </c>
      <c r="B203" s="166" t="inlineStr">
        <is>
          <t>Gross Rent Revenue</t>
        </is>
      </c>
      <c r="C203" s="167" t="inlineStr">
        <is>
          <t>Revenue</t>
        </is>
      </c>
      <c r="D203" s="167" t="inlineStr">
        <is>
          <t>-</t>
        </is>
      </c>
      <c r="E203" s="166" t="n"/>
    </row>
    <row r="204" ht="15" customHeight="1" s="199">
      <c r="A204" s="166" t="inlineStr">
        <is>
          <t>Potential Rent Revenue</t>
        </is>
      </c>
      <c r="B204" s="166" t="inlineStr">
        <is>
          <t>Gross Rent Revenue</t>
        </is>
      </c>
      <c r="C204" s="167" t="inlineStr">
        <is>
          <t>Revenue</t>
        </is>
      </c>
      <c r="D204" s="167" t="inlineStr">
        <is>
          <t>-</t>
        </is>
      </c>
      <c r="E204" s="166" t="n"/>
    </row>
    <row r="205" ht="15" customHeight="1" s="199">
      <c r="A205" s="166" t="inlineStr">
        <is>
          <t>Gross Potential Revenue</t>
        </is>
      </c>
      <c r="B205" s="166" t="inlineStr">
        <is>
          <t>Gross Rent Revenue</t>
        </is>
      </c>
      <c r="C205" s="167" t="inlineStr">
        <is>
          <t>Revenue</t>
        </is>
      </c>
      <c r="D205" s="167" t="inlineStr">
        <is>
          <t>-</t>
        </is>
      </c>
      <c r="E205" s="166" t="n"/>
    </row>
    <row r="206" ht="15" customHeight="1" s="199">
      <c r="A206" s="166" t="inlineStr">
        <is>
          <t>Total Market Rent</t>
        </is>
      </c>
      <c r="B206" s="166" t="inlineStr">
        <is>
          <t>Gross Rent Revenue</t>
        </is>
      </c>
      <c r="C206" s="167" t="inlineStr">
        <is>
          <t>Revenue</t>
        </is>
      </c>
      <c r="D206" s="167" t="inlineStr">
        <is>
          <t>-</t>
        </is>
      </c>
      <c r="E206" s="166" t="n"/>
    </row>
    <row r="207" ht="15" customHeight="1" s="199">
      <c r="A207" s="166" t="inlineStr">
        <is>
          <t>Potential Rent</t>
        </is>
      </c>
      <c r="B207" s="166" t="inlineStr">
        <is>
          <t>Gross Rent Revenue</t>
        </is>
      </c>
      <c r="C207" s="167" t="inlineStr">
        <is>
          <t>Revenue</t>
        </is>
      </c>
      <c r="D207" s="167" t="inlineStr">
        <is>
          <t>-</t>
        </is>
      </c>
      <c r="E207" s="166" t="n"/>
    </row>
    <row r="208" ht="15" customHeight="1" s="199">
      <c r="A208" s="166" t="inlineStr">
        <is>
          <t>Gross Market Rent</t>
        </is>
      </c>
      <c r="B208" s="166" t="inlineStr">
        <is>
          <t>Gross Rent Revenue</t>
        </is>
      </c>
      <c r="C208" s="167" t="inlineStr">
        <is>
          <t>Revenue</t>
        </is>
      </c>
      <c r="D208" s="167" t="inlineStr">
        <is>
          <t>-</t>
        </is>
      </c>
      <c r="E208" s="166" t="n"/>
    </row>
    <row r="209" ht="15" customHeight="1" s="199">
      <c r="A209" s="166" t="inlineStr">
        <is>
          <t>GPR</t>
        </is>
      </c>
      <c r="B209" s="166" t="inlineStr">
        <is>
          <t>Gross Rent Revenue</t>
        </is>
      </c>
      <c r="C209" s="167" t="inlineStr">
        <is>
          <t>Revenue</t>
        </is>
      </c>
      <c r="D209" s="167" t="inlineStr">
        <is>
          <t>-</t>
        </is>
      </c>
      <c r="E209" s="166" t="n"/>
    </row>
    <row r="210" ht="15" customHeight="1" s="199">
      <c r="A210" s="166" t="inlineStr">
        <is>
          <t>Vacancy</t>
        </is>
      </c>
      <c r="B210" s="166" t="inlineStr">
        <is>
          <t>Physical Vacancy</t>
        </is>
      </c>
      <c r="C210" s="167" t="inlineStr">
        <is>
          <t>Revenue</t>
        </is>
      </c>
      <c r="D210" s="167" t="inlineStr">
        <is>
          <t>-</t>
        </is>
      </c>
      <c r="E210" s="166" t="n"/>
    </row>
    <row r="211" ht="15" customHeight="1" s="199">
      <c r="A211" s="166" t="inlineStr">
        <is>
          <t>Physical Vacancy</t>
        </is>
      </c>
      <c r="B211" s="166" t="inlineStr">
        <is>
          <t>Physical Vacancy</t>
        </is>
      </c>
      <c r="C211" s="167" t="inlineStr">
        <is>
          <t>Revenue</t>
        </is>
      </c>
      <c r="D211" s="167" t="inlineStr">
        <is>
          <t>-</t>
        </is>
      </c>
      <c r="E211" s="166" t="n"/>
    </row>
    <row r="212" ht="15" customHeight="1" s="199">
      <c r="A212" s="166" t="inlineStr">
        <is>
          <t>Physical Vacancy Loss</t>
        </is>
      </c>
      <c r="B212" s="166" t="inlineStr">
        <is>
          <t>Physical Vacancy</t>
        </is>
      </c>
      <c r="C212" s="167" t="inlineStr">
        <is>
          <t>Revenue</t>
        </is>
      </c>
      <c r="D212" s="167" t="inlineStr">
        <is>
          <t>-</t>
        </is>
      </c>
      <c r="E212" s="166" t="n"/>
    </row>
    <row r="213" ht="15" customHeight="1" s="199">
      <c r="A213" s="166" t="inlineStr">
        <is>
          <t>Vacancy Loss</t>
        </is>
      </c>
      <c r="B213" s="166" t="inlineStr">
        <is>
          <t>Physical Vacancy</t>
        </is>
      </c>
      <c r="C213" s="167" t="inlineStr">
        <is>
          <t>Revenue</t>
        </is>
      </c>
      <c r="D213" s="167" t="inlineStr">
        <is>
          <t>-</t>
        </is>
      </c>
      <c r="E213" s="166" t="n"/>
    </row>
    <row r="214" ht="15" customHeight="1" s="199">
      <c r="A214" s="166" t="inlineStr">
        <is>
          <t>Rent Loss - Vacancy</t>
        </is>
      </c>
      <c r="B214" s="166" t="inlineStr">
        <is>
          <t>Physical Vacancy</t>
        </is>
      </c>
      <c r="C214" s="167" t="inlineStr">
        <is>
          <t>Revenue</t>
        </is>
      </c>
      <c r="D214" s="167" t="inlineStr">
        <is>
          <t>-</t>
        </is>
      </c>
      <c r="E214" s="166" t="n"/>
    </row>
    <row r="215" ht="15" customHeight="1" s="199">
      <c r="A215" s="166" t="inlineStr">
        <is>
          <t>Rental Loss - Vacancy</t>
        </is>
      </c>
      <c r="B215" s="166" t="inlineStr">
        <is>
          <t>Physical Vacancy</t>
        </is>
      </c>
      <c r="C215" s="167" t="inlineStr">
        <is>
          <t>Revenue</t>
        </is>
      </c>
      <c r="D215" s="167" t="inlineStr">
        <is>
          <t>-</t>
        </is>
      </c>
      <c r="E215" s="166" t="n"/>
    </row>
    <row r="216" ht="15" customHeight="1" s="199">
      <c r="A216" s="166" t="inlineStr">
        <is>
          <t>Vacancy and Credit Loss</t>
        </is>
      </c>
      <c r="B216" s="166" t="inlineStr">
        <is>
          <t>Physical Vacancy</t>
        </is>
      </c>
      <c r="C216" s="167" t="inlineStr">
        <is>
          <t>Revenue</t>
        </is>
      </c>
      <c r="D216" s="167" t="inlineStr">
        <is>
          <t>-</t>
        </is>
      </c>
      <c r="E216" s="166" t="n"/>
    </row>
    <row r="217" ht="15" customHeight="1" s="199">
      <c r="A217" s="166" t="inlineStr">
        <is>
          <t>Occupancy Loss</t>
        </is>
      </c>
      <c r="B217" s="166" t="inlineStr">
        <is>
          <t>Physical Vacancy</t>
        </is>
      </c>
      <c r="C217" s="167" t="inlineStr">
        <is>
          <t>Revenue</t>
        </is>
      </c>
      <c r="D217" s="167" t="inlineStr">
        <is>
          <t>-</t>
        </is>
      </c>
      <c r="E217" s="166" t="n"/>
    </row>
    <row r="218" ht="15" customHeight="1" s="199">
      <c r="A218" s="166" t="inlineStr">
        <is>
          <t>Vacant Unit Loss</t>
        </is>
      </c>
      <c r="B218" s="166" t="inlineStr">
        <is>
          <t>Physical Vacancy</t>
        </is>
      </c>
      <c r="C218" s="167" t="inlineStr">
        <is>
          <t>Revenue</t>
        </is>
      </c>
      <c r="D218" s="167" t="inlineStr">
        <is>
          <t>-</t>
        </is>
      </c>
      <c r="E218" s="166" t="n"/>
    </row>
    <row r="219" ht="15" customHeight="1" s="199">
      <c r="A219" s="166" t="inlineStr">
        <is>
          <t>Unoccupied Units</t>
        </is>
      </c>
      <c r="B219" s="166" t="inlineStr">
        <is>
          <t>Physical Vacancy</t>
        </is>
      </c>
      <c r="C219" s="167" t="inlineStr">
        <is>
          <t>Revenue</t>
        </is>
      </c>
      <c r="D219" s="167" t="inlineStr">
        <is>
          <t>-</t>
        </is>
      </c>
      <c r="E219" s="166" t="n"/>
    </row>
    <row r="220" ht="15" customHeight="1" s="199">
      <c r="A220" s="166" t="inlineStr">
        <is>
          <t>Vacancy Reserve</t>
        </is>
      </c>
      <c r="B220" s="166" t="inlineStr">
        <is>
          <t>Physical Vacancy</t>
        </is>
      </c>
      <c r="C220" s="167" t="inlineStr">
        <is>
          <t>Revenue</t>
        </is>
      </c>
      <c r="D220" s="167" t="inlineStr">
        <is>
          <t>-</t>
        </is>
      </c>
      <c r="E220" s="166" t="n"/>
    </row>
    <row r="221" ht="15" customHeight="1" s="199">
      <c r="A221" s="166" t="inlineStr">
        <is>
          <t>Economic Vacancy</t>
        </is>
      </c>
      <c r="B221" s="166" t="inlineStr">
        <is>
          <t>Physical Vacancy</t>
        </is>
      </c>
      <c r="C221" s="167" t="inlineStr">
        <is>
          <t>Revenue</t>
        </is>
      </c>
      <c r="D221" s="167" t="inlineStr">
        <is>
          <t>-</t>
        </is>
      </c>
      <c r="E221" s="166" t="n"/>
    </row>
    <row r="222" ht="15" customHeight="1" s="199">
      <c r="A222" s="166" t="inlineStr">
        <is>
          <t>Vacancy Adjustment</t>
        </is>
      </c>
      <c r="B222" s="166" t="inlineStr">
        <is>
          <t>Physical Vacancy</t>
        </is>
      </c>
      <c r="C222" s="167" t="inlineStr">
        <is>
          <t>Revenue</t>
        </is>
      </c>
      <c r="D222" s="167" t="inlineStr">
        <is>
          <t>-</t>
        </is>
      </c>
      <c r="E222" s="166" t="n"/>
    </row>
    <row r="223" ht="15" customHeight="1" s="199">
      <c r="A223" s="166" t="inlineStr">
        <is>
          <t>Loss to Lease</t>
        </is>
      </c>
      <c r="B223" s="166" t="inlineStr">
        <is>
          <t>Loss to Lease</t>
        </is>
      </c>
      <c r="C223" s="167" t="inlineStr">
        <is>
          <t>Revenue</t>
        </is>
      </c>
      <c r="D223" s="167" t="inlineStr">
        <is>
          <t>-</t>
        </is>
      </c>
      <c r="E223" s="166" t="n"/>
    </row>
    <row r="224" ht="15" customHeight="1" s="199">
      <c r="A224" s="166" t="inlineStr">
        <is>
          <t>Market Rent Adjustments</t>
        </is>
      </c>
      <c r="B224" s="166" t="inlineStr">
        <is>
          <t>Loss to Lease</t>
        </is>
      </c>
      <c r="C224" s="167" t="inlineStr">
        <is>
          <t>Revenue</t>
        </is>
      </c>
      <c r="D224" s="167" t="inlineStr">
        <is>
          <t>-</t>
        </is>
      </c>
      <c r="E224" s="166" t="n"/>
    </row>
    <row r="225" ht="15" customHeight="1" s="199">
      <c r="A225" s="166" t="inlineStr">
        <is>
          <t>Market Rent Adjustment</t>
        </is>
      </c>
      <c r="B225" s="166" t="inlineStr">
        <is>
          <t>Loss to Lease</t>
        </is>
      </c>
      <c r="C225" s="167" t="inlineStr">
        <is>
          <t>Revenue</t>
        </is>
      </c>
      <c r="D225" s="167" t="inlineStr">
        <is>
          <t>-</t>
        </is>
      </c>
      <c r="E225" s="166" t="n"/>
    </row>
    <row r="226" ht="15" customHeight="1" s="199">
      <c r="A226" s="166" t="inlineStr">
        <is>
          <t>Market Rate Adjustments</t>
        </is>
      </c>
      <c r="B226" s="166" t="inlineStr">
        <is>
          <t>Loss to Lease</t>
        </is>
      </c>
      <c r="C226" s="167" t="inlineStr">
        <is>
          <t>Revenue</t>
        </is>
      </c>
      <c r="D226" s="167" t="inlineStr">
        <is>
          <t>-</t>
        </is>
      </c>
      <c r="E226" s="166" t="n"/>
    </row>
    <row r="227" ht="15" customHeight="1" s="199">
      <c r="A227" s="166" t="inlineStr">
        <is>
          <t>Below Market Rents</t>
        </is>
      </c>
      <c r="B227" s="166" t="inlineStr">
        <is>
          <t>Loss to Lease</t>
        </is>
      </c>
      <c r="C227" s="167" t="inlineStr">
        <is>
          <t>Revenue</t>
        </is>
      </c>
      <c r="D227" s="167" t="inlineStr">
        <is>
          <t>-</t>
        </is>
      </c>
      <c r="E227" s="166" t="n"/>
    </row>
    <row r="228" ht="15" customHeight="1" s="199">
      <c r="A228" s="166" t="inlineStr">
        <is>
          <t>Rental Rate Variance</t>
        </is>
      </c>
      <c r="B228" s="166" t="inlineStr">
        <is>
          <t>Loss to Lease</t>
        </is>
      </c>
      <c r="C228" s="167" t="inlineStr">
        <is>
          <t>Revenue</t>
        </is>
      </c>
      <c r="D228" s="167" t="inlineStr">
        <is>
          <t>-</t>
        </is>
      </c>
      <c r="E228" s="166" t="n"/>
    </row>
    <row r="229" ht="15" customHeight="1" s="199">
      <c r="A229" s="166" t="inlineStr">
        <is>
          <t>Rate Discount</t>
        </is>
      </c>
      <c r="B229" s="166" t="inlineStr">
        <is>
          <t>Loss to Lease</t>
        </is>
      </c>
      <c r="C229" s="167" t="inlineStr">
        <is>
          <t>Revenue</t>
        </is>
      </c>
      <c r="D229" s="167" t="inlineStr">
        <is>
          <t>-</t>
        </is>
      </c>
      <c r="E229" s="166" t="n"/>
    </row>
    <row r="230" ht="15" customHeight="1" s="199">
      <c r="A230" s="166" t="inlineStr">
        <is>
          <t>Concession Loss</t>
        </is>
      </c>
      <c r="B230" s="166" t="inlineStr">
        <is>
          <t>Loss to Lease</t>
        </is>
      </c>
      <c r="C230" s="167" t="inlineStr">
        <is>
          <t>Revenue</t>
        </is>
      </c>
      <c r="D230" s="167" t="inlineStr">
        <is>
          <t>-</t>
        </is>
      </c>
      <c r="E230" s="166" t="n"/>
    </row>
    <row r="231" ht="15" customHeight="1" s="199">
      <c r="A231" s="166" t="inlineStr">
        <is>
          <t>Revenue Discount</t>
        </is>
      </c>
      <c r="B231" s="166" t="inlineStr">
        <is>
          <t>Loss to Lease</t>
        </is>
      </c>
      <c r="C231" s="167" t="inlineStr">
        <is>
          <t>Revenue</t>
        </is>
      </c>
      <c r="D231" s="167" t="inlineStr">
        <is>
          <t>-</t>
        </is>
      </c>
      <c r="E231" s="166" t="n"/>
    </row>
    <row r="232" ht="15" customHeight="1" s="199">
      <c r="A232" s="166" t="inlineStr">
        <is>
          <t>Below Market Discount</t>
        </is>
      </c>
      <c r="B232" s="166" t="inlineStr">
        <is>
          <t>Loss to Lease</t>
        </is>
      </c>
      <c r="C232" s="167" t="inlineStr">
        <is>
          <t>Revenue</t>
        </is>
      </c>
      <c r="D232" s="167" t="inlineStr">
        <is>
          <t>-</t>
        </is>
      </c>
      <c r="E232" s="166" t="n"/>
    </row>
    <row r="233" ht="15" customHeight="1" s="199">
      <c r="A233" s="166" t="inlineStr">
        <is>
          <t>Rent Concession</t>
        </is>
      </c>
      <c r="B233" s="166" t="inlineStr">
        <is>
          <t>Loss to Lease</t>
        </is>
      </c>
      <c r="C233" s="167" t="inlineStr">
        <is>
          <t>Revenue</t>
        </is>
      </c>
      <c r="D233" s="167" t="inlineStr">
        <is>
          <t>-</t>
        </is>
      </c>
      <c r="E233" s="166" t="n"/>
    </row>
    <row r="234" ht="15" customHeight="1" s="199">
      <c r="A234" s="165" t="inlineStr">
        <is>
          <t>Rental Revenue - MC</t>
        </is>
      </c>
      <c r="B234" s="165" t="inlineStr">
        <is>
          <t>Base rent — MC</t>
        </is>
      </c>
      <c r="C234" s="165" t="inlineStr">
        <is>
          <t>Revenue</t>
        </is>
      </c>
      <c r="D234" s="165" t="inlineStr">
        <is>
          <t>MC</t>
        </is>
      </c>
      <c r="E234" s="165" t="n"/>
    </row>
    <row r="235">
      <c r="A235" s="165" t="inlineStr">
        <is>
          <t>Rental Revenue - Respite Care</t>
        </is>
      </c>
      <c r="B235" s="165" t="inlineStr">
        <is>
          <t>Respite care</t>
        </is>
      </c>
      <c r="C235" s="165" t="inlineStr">
        <is>
          <t>Revenue</t>
        </is>
      </c>
      <c r="D235" s="165" t="inlineStr">
        <is>
          <t>MC</t>
        </is>
      </c>
      <c r="E235" s="165" t="n"/>
    </row>
    <row r="236">
      <c r="A236" s="165" t="inlineStr">
        <is>
          <t>Concessions - Residential</t>
        </is>
      </c>
      <c r="B236" s="165" t="inlineStr">
        <is>
          <t>Concessions &amp; specials</t>
        </is>
      </c>
      <c r="C236" s="165" t="inlineStr">
        <is>
          <t>Revenue</t>
        </is>
      </c>
      <c r="D236" s="165" t="inlineStr">
        <is>
          <t>-</t>
        </is>
      </c>
      <c r="E236" s="165" t="n"/>
    </row>
    <row r="237">
      <c r="A237" s="165" t="inlineStr">
        <is>
          <t>Other Rental Adjustments</t>
        </is>
      </c>
      <c r="B237" s="165" t="inlineStr">
        <is>
          <t>Loss to Lease</t>
        </is>
      </c>
      <c r="C237" s="165" t="inlineStr">
        <is>
          <t>Revenue</t>
        </is>
      </c>
      <c r="D237" s="165" t="inlineStr">
        <is>
          <t>-</t>
        </is>
      </c>
      <c r="E237" s="165" t="n"/>
    </row>
    <row r="238">
      <c r="A238" s="165" t="inlineStr">
        <is>
          <t>Administration Fees</t>
        </is>
      </c>
      <c r="B238" s="165" t="inlineStr">
        <is>
          <t>Community / move-in fees</t>
        </is>
      </c>
      <c r="C238" s="165" t="inlineStr">
        <is>
          <t>Revenue</t>
        </is>
      </c>
      <c r="D238" s="165" t="inlineStr">
        <is>
          <t>-</t>
        </is>
      </c>
      <c r="E238" s="165" t="n"/>
    </row>
    <row r="239">
      <c r="A239" s="165" t="inlineStr">
        <is>
          <t>Resident Chargebacks</t>
        </is>
      </c>
      <c r="B239" s="165" t="inlineStr">
        <is>
          <t>Other community revenue</t>
        </is>
      </c>
      <c r="C239" s="165" t="inlineStr">
        <is>
          <t>Revenue</t>
        </is>
      </c>
      <c r="D239" s="165" t="inlineStr">
        <is>
          <t>-</t>
        </is>
      </c>
      <c r="E239" s="165" t="n"/>
    </row>
    <row r="240">
      <c r="A240" s="165" t="inlineStr">
        <is>
          <t>Revenue - Space Rental</t>
        </is>
      </c>
      <c r="B240" s="165" t="inlineStr">
        <is>
          <t>Other community revenue</t>
        </is>
      </c>
      <c r="C240" s="165" t="inlineStr">
        <is>
          <t>Revenue</t>
        </is>
      </c>
      <c r="D240" s="165" t="inlineStr">
        <is>
          <t>-</t>
        </is>
      </c>
      <c r="E240" s="165" t="n"/>
    </row>
    <row r="241">
      <c r="A241" s="165" t="inlineStr">
        <is>
          <t>Community Service Fee</t>
        </is>
      </c>
      <c r="B241" s="165" t="inlineStr">
        <is>
          <t>Other community revenue</t>
        </is>
      </c>
      <c r="C241" s="165" t="inlineStr">
        <is>
          <t>Revenue</t>
        </is>
      </c>
      <c r="D241" s="165" t="inlineStr">
        <is>
          <t>-</t>
        </is>
      </c>
      <c r="E241" s="165" t="n"/>
    </row>
    <row r="242">
      <c r="A242" s="165" t="inlineStr">
        <is>
          <t>Auto and Mileage Expense</t>
        </is>
      </c>
      <c r="B242" s="165" t="inlineStr">
        <is>
          <t>Auto Expense</t>
        </is>
      </c>
      <c r="C242" s="165" t="inlineStr">
        <is>
          <t>Non-Labor</t>
        </is>
      </c>
      <c r="D242" s="165" t="inlineStr">
        <is>
          <t>-</t>
        </is>
      </c>
      <c r="E242" s="165" t="n"/>
    </row>
    <row r="243">
      <c r="A243" s="165" t="inlineStr">
        <is>
          <t>Bank Charges</t>
        </is>
      </c>
      <c r="B243" s="165" t="inlineStr">
        <is>
          <t>Office, admin &amp; G&amp;A</t>
        </is>
      </c>
      <c r="C243" s="165" t="inlineStr">
        <is>
          <t>Non-Labor</t>
        </is>
      </c>
      <c r="D243" s="165" t="inlineStr">
        <is>
          <t>-</t>
        </is>
      </c>
      <c r="E243" s="165" t="n"/>
    </row>
    <row r="244">
      <c r="A244" s="165" t="inlineStr">
        <is>
          <t>Computer Hardware</t>
        </is>
      </c>
      <c r="B244" s="165" t="inlineStr">
        <is>
          <t>Telephone / IT</t>
        </is>
      </c>
      <c r="C244" s="165" t="inlineStr">
        <is>
          <t>Non-Labor</t>
        </is>
      </c>
      <c r="D244" s="165" t="inlineStr">
        <is>
          <t>-</t>
        </is>
      </c>
      <c r="E244" s="165" t="n"/>
    </row>
    <row r="245">
      <c r="A245" s="165" t="inlineStr">
        <is>
          <t>Computer Software</t>
        </is>
      </c>
      <c r="B245" s="165" t="inlineStr">
        <is>
          <t>Telephone / IT</t>
        </is>
      </c>
      <c r="C245" s="165" t="inlineStr">
        <is>
          <t>Non-Labor</t>
        </is>
      </c>
      <c r="D245" s="165" t="inlineStr">
        <is>
          <t>-</t>
        </is>
      </c>
      <c r="E245" s="165" t="n"/>
    </row>
    <row r="246">
      <c r="A246" s="165" t="inlineStr">
        <is>
          <t>Dues And Subscriptions</t>
        </is>
      </c>
      <c r="B246" s="165" t="inlineStr">
        <is>
          <t>Permits, licenses &amp; dues</t>
        </is>
      </c>
      <c r="C246" s="165" t="inlineStr">
        <is>
          <t>Non-Labor</t>
        </is>
      </c>
      <c r="D246" s="165" t="inlineStr">
        <is>
          <t>-</t>
        </is>
      </c>
      <c r="E246" s="165" t="n"/>
    </row>
    <row r="247">
      <c r="A247" s="165" t="inlineStr">
        <is>
          <t>License Expenses</t>
        </is>
      </c>
      <c r="B247" s="165" t="inlineStr">
        <is>
          <t>Permits, licenses &amp; dues</t>
        </is>
      </c>
      <c r="C247" s="165" t="inlineStr">
        <is>
          <t>Non-Labor</t>
        </is>
      </c>
      <c r="D247" s="165" t="inlineStr">
        <is>
          <t>-</t>
        </is>
      </c>
      <c r="E247" s="165" t="n"/>
    </row>
    <row r="248">
      <c r="A248" s="165" t="inlineStr">
        <is>
          <t>Office Equipment</t>
        </is>
      </c>
      <c r="B248" s="165" t="inlineStr">
        <is>
          <t>Office, admin &amp; G&amp;A</t>
        </is>
      </c>
      <c r="C248" s="165" t="inlineStr">
        <is>
          <t>Non-Labor</t>
        </is>
      </c>
      <c r="D248" s="165" t="inlineStr">
        <is>
          <t>-</t>
        </is>
      </c>
      <c r="E248" s="165" t="n"/>
    </row>
    <row r="249">
      <c r="A249" s="165" t="inlineStr">
        <is>
          <t>Office Supplies &amp; Expense</t>
        </is>
      </c>
      <c r="B249" s="165" t="inlineStr">
        <is>
          <t>Office, admin &amp; G&amp;A</t>
        </is>
      </c>
      <c r="C249" s="165" t="inlineStr">
        <is>
          <t>Non-Labor</t>
        </is>
      </c>
      <c r="D249" s="165" t="inlineStr">
        <is>
          <t>-</t>
        </is>
      </c>
      <c r="E249" s="165" t="n"/>
    </row>
    <row r="250">
      <c r="A250" s="165" t="inlineStr">
        <is>
          <t>Postage/Express Mailings</t>
        </is>
      </c>
      <c r="B250" s="165" t="inlineStr">
        <is>
          <t>Office, admin &amp; G&amp;A</t>
        </is>
      </c>
      <c r="C250" s="165" t="inlineStr">
        <is>
          <t>Non-Labor</t>
        </is>
      </c>
      <c r="D250" s="165" t="inlineStr">
        <is>
          <t>-</t>
        </is>
      </c>
      <c r="E250" s="165" t="n"/>
    </row>
    <row r="251">
      <c r="A251" s="165" t="inlineStr">
        <is>
          <t>Professional Fees - Legal</t>
        </is>
      </c>
      <c r="B251" s="165" t="inlineStr">
        <is>
          <t>Legal expenses</t>
        </is>
      </c>
      <c r="C251" s="165" t="inlineStr">
        <is>
          <t>Non-Labor</t>
        </is>
      </c>
      <c r="D251" s="165" t="inlineStr">
        <is>
          <t>-</t>
        </is>
      </c>
      <c r="E251" s="165" t="n"/>
    </row>
    <row r="252">
      <c r="A252" s="165" t="inlineStr">
        <is>
          <t>Professional Fees - Other</t>
        </is>
      </c>
      <c r="B252" s="165" t="inlineStr">
        <is>
          <t>Professional services</t>
        </is>
      </c>
      <c r="C252" s="165" t="inlineStr">
        <is>
          <t>Non-Labor</t>
        </is>
      </c>
      <c r="D252" s="165" t="inlineStr">
        <is>
          <t>-</t>
        </is>
      </c>
      <c r="E252" s="165" t="n"/>
    </row>
    <row r="253">
      <c r="A253" s="165" t="inlineStr">
        <is>
          <t>Recruiting</t>
        </is>
      </c>
      <c r="B253" s="165" t="inlineStr">
        <is>
          <t>Office, admin &amp; G&amp;A</t>
        </is>
      </c>
      <c r="C253" s="165" t="inlineStr">
        <is>
          <t>Non-Labor</t>
        </is>
      </c>
      <c r="D253" s="165" t="inlineStr">
        <is>
          <t>-</t>
        </is>
      </c>
      <c r="E253" s="165" t="n"/>
    </row>
    <row r="254">
      <c r="A254" s="165" t="inlineStr">
        <is>
          <t>Staff Training/Expense</t>
        </is>
      </c>
      <c r="B254" s="165" t="inlineStr">
        <is>
          <t>Office, admin &amp; G&amp;A</t>
        </is>
      </c>
      <c r="C254" s="165" t="inlineStr">
        <is>
          <t>Non-Labor</t>
        </is>
      </c>
      <c r="D254" s="165" t="inlineStr">
        <is>
          <t>-</t>
        </is>
      </c>
      <c r="E254" s="165" t="n"/>
    </row>
    <row r="255">
      <c r="A255" s="165" t="inlineStr">
        <is>
          <t>Storage Rental Expense</t>
        </is>
      </c>
      <c r="B255" s="165" t="inlineStr">
        <is>
          <t>Office, admin &amp; G&amp;A</t>
        </is>
      </c>
      <c r="C255" s="165" t="inlineStr">
        <is>
          <t>Non-Labor</t>
        </is>
      </c>
      <c r="D255" s="165" t="inlineStr">
        <is>
          <t>-</t>
        </is>
      </c>
      <c r="E255" s="165" t="n"/>
    </row>
    <row r="256">
      <c r="A256" s="165" t="inlineStr">
        <is>
          <t>Telephone</t>
        </is>
      </c>
      <c r="B256" s="165" t="inlineStr">
        <is>
          <t>Telephone / IT</t>
        </is>
      </c>
      <c r="C256" s="165" t="inlineStr">
        <is>
          <t>Non-Labor</t>
        </is>
      </c>
      <c r="D256" s="165" t="inlineStr">
        <is>
          <t>-</t>
        </is>
      </c>
      <c r="E256" s="165" t="n"/>
    </row>
    <row r="257">
      <c r="A257" s="165" t="inlineStr">
        <is>
          <t>T&amp;E - Meals</t>
        </is>
      </c>
      <c r="B257" s="165" t="inlineStr">
        <is>
          <t>Office, admin &amp; G&amp;A</t>
        </is>
      </c>
      <c r="C257" s="165" t="inlineStr">
        <is>
          <t>Non-Labor</t>
        </is>
      </c>
      <c r="D257" s="165" t="inlineStr">
        <is>
          <t>-</t>
        </is>
      </c>
      <c r="E257" s="165" t="n"/>
    </row>
    <row r="258">
      <c r="A258" s="165" t="inlineStr">
        <is>
          <t>T&amp;E - Non-Meals</t>
        </is>
      </c>
      <c r="B258" s="165" t="inlineStr">
        <is>
          <t>Office, admin &amp; G&amp;A</t>
        </is>
      </c>
      <c r="C258" s="165" t="inlineStr">
        <is>
          <t>Non-Labor</t>
        </is>
      </c>
      <c r="D258" s="165" t="inlineStr">
        <is>
          <t>-</t>
        </is>
      </c>
      <c r="E258" s="165" t="n"/>
    </row>
    <row r="259">
      <c r="A259" s="165" t="inlineStr">
        <is>
          <t>Uniforms</t>
        </is>
      </c>
      <c r="B259" s="165" t="inlineStr">
        <is>
          <t>Office, admin &amp; G&amp;A</t>
        </is>
      </c>
      <c r="C259" s="165" t="inlineStr">
        <is>
          <t>Non-Labor</t>
        </is>
      </c>
      <c r="D259" s="165" t="inlineStr">
        <is>
          <t>-</t>
        </is>
      </c>
      <c r="E259" s="165" t="n"/>
    </row>
    <row r="260">
      <c r="A260" s="165" t="inlineStr">
        <is>
          <t>Employee Relations</t>
        </is>
      </c>
      <c r="B260" s="165" t="inlineStr">
        <is>
          <t>Office, admin &amp; G&amp;A</t>
        </is>
      </c>
      <c r="C260" s="165" t="inlineStr">
        <is>
          <t>Non-Labor</t>
        </is>
      </c>
      <c r="D260" s="165" t="inlineStr">
        <is>
          <t>-</t>
        </is>
      </c>
      <c r="E260" s="165" t="n"/>
    </row>
    <row r="261">
      <c r="A261" s="165" t="inlineStr">
        <is>
          <t>Bad Debt Writeoff</t>
        </is>
      </c>
      <c r="B261" s="165" t="inlineStr">
        <is>
          <t>Bad debt expense</t>
        </is>
      </c>
      <c r="C261" s="165" t="inlineStr">
        <is>
          <t>Non-Labor</t>
        </is>
      </c>
      <c r="D261" s="165" t="inlineStr">
        <is>
          <t>-</t>
        </is>
      </c>
      <c r="E261" s="165" t="n"/>
    </row>
    <row r="262">
      <c r="A262" s="165" t="inlineStr">
        <is>
          <t>Misc Admin Expense</t>
        </is>
      </c>
      <c r="B262" s="165" t="inlineStr">
        <is>
          <t>Other / miscellaneous</t>
        </is>
      </c>
      <c r="C262" s="165" t="inlineStr">
        <is>
          <t>Non-Labor</t>
        </is>
      </c>
      <c r="D262" s="165" t="inlineStr">
        <is>
          <t>-</t>
        </is>
      </c>
      <c r="E262" s="165" t="n"/>
    </row>
    <row r="263">
      <c r="A263" s="165" t="inlineStr">
        <is>
          <t>Property Mgmt Fees</t>
        </is>
      </c>
      <c r="B263" s="165" t="inlineStr">
        <is>
          <t>Management fee</t>
        </is>
      </c>
      <c r="C263" s="165" t="inlineStr">
        <is>
          <t>Non-Labor</t>
        </is>
      </c>
      <c r="D263" s="165" t="inlineStr">
        <is>
          <t>-</t>
        </is>
      </c>
      <c r="E263" s="165" t="n"/>
    </row>
    <row r="264">
      <c r="A264" s="165" t="inlineStr">
        <is>
          <t>Advertising Electronic Media</t>
        </is>
      </c>
      <c r="B264" s="165" t="inlineStr">
        <is>
          <t>Sales, adv. &amp; marketing</t>
        </is>
      </c>
      <c r="C264" s="165" t="inlineStr">
        <is>
          <t>Non-Labor</t>
        </is>
      </c>
      <c r="D264" s="165" t="inlineStr">
        <is>
          <t>-</t>
        </is>
      </c>
      <c r="E264" s="165" t="n"/>
    </row>
    <row r="265">
      <c r="A265" s="165" t="inlineStr">
        <is>
          <t>Public Relations</t>
        </is>
      </c>
      <c r="B265" s="165" t="inlineStr">
        <is>
          <t>Sales, adv. &amp; marketing</t>
        </is>
      </c>
      <c r="C265" s="165" t="inlineStr">
        <is>
          <t>Non-Labor</t>
        </is>
      </c>
      <c r="D265" s="165" t="inlineStr">
        <is>
          <t>-</t>
        </is>
      </c>
      <c r="E265" s="165" t="n"/>
    </row>
    <row r="266">
      <c r="A266" s="165" t="inlineStr">
        <is>
          <t>Printing - Marketing Materials</t>
        </is>
      </c>
      <c r="B266" s="165" t="inlineStr">
        <is>
          <t>Sales, adv. &amp; marketing</t>
        </is>
      </c>
      <c r="C266" s="165" t="inlineStr">
        <is>
          <t>Non-Labor</t>
        </is>
      </c>
      <c r="D266" s="165" t="inlineStr">
        <is>
          <t>-</t>
        </is>
      </c>
      <c r="E266" s="165" t="n"/>
    </row>
    <row r="267">
      <c r="A267" s="165" t="inlineStr">
        <is>
          <t>Resident Functions &amp; Parties</t>
        </is>
      </c>
      <c r="B267" s="165" t="inlineStr">
        <is>
          <t>Recreation &amp; activity suppl.</t>
        </is>
      </c>
      <c r="C267" s="165" t="inlineStr">
        <is>
          <t>Non-Labor</t>
        </is>
      </c>
      <c r="D267" s="165" t="inlineStr">
        <is>
          <t>-</t>
        </is>
      </c>
      <c r="E267" s="165" t="n"/>
    </row>
    <row r="268">
      <c r="A268" s="165" t="inlineStr">
        <is>
          <t>MarketingServices</t>
        </is>
      </c>
      <c r="B268" s="165" t="inlineStr">
        <is>
          <t>Sales, adv. &amp; marketing</t>
        </is>
      </c>
      <c r="C268" s="165" t="inlineStr">
        <is>
          <t>Non-Labor</t>
        </is>
      </c>
      <c r="D268" s="165" t="inlineStr">
        <is>
          <t>-</t>
        </is>
      </c>
      <c r="E268" s="165" t="n"/>
    </row>
    <row r="269">
      <c r="A269" s="165" t="inlineStr">
        <is>
          <t>Salaries - G&amp;A</t>
        </is>
      </c>
      <c r="B269" s="165" t="inlineStr">
        <is>
          <t>Administrative labor</t>
        </is>
      </c>
      <c r="C269" s="165" t="inlineStr">
        <is>
          <t>Labor</t>
        </is>
      </c>
      <c r="D269" s="165" t="inlineStr">
        <is>
          <t>-</t>
        </is>
      </c>
      <c r="E269" s="165" t="n"/>
    </row>
    <row r="270">
      <c r="A270" s="165" t="inlineStr">
        <is>
          <t>Salaries - Food &amp; Bev</t>
        </is>
      </c>
      <c r="B270" s="165" t="inlineStr">
        <is>
          <t>Dining / food service labor</t>
        </is>
      </c>
      <c r="C270" s="165" t="inlineStr">
        <is>
          <t>Labor</t>
        </is>
      </c>
      <c r="D270" s="165" t="inlineStr">
        <is>
          <t>-</t>
        </is>
      </c>
      <c r="E270" s="165" t="n"/>
    </row>
    <row r="271">
      <c r="A271" s="165" t="inlineStr">
        <is>
          <t>Salaries - Housekeeping</t>
        </is>
      </c>
      <c r="B271" s="165" t="inlineStr">
        <is>
          <t>Maint. &amp; housekeeping labor</t>
        </is>
      </c>
      <c r="C271" s="165" t="inlineStr">
        <is>
          <t>Labor</t>
        </is>
      </c>
      <c r="D271" s="165" t="inlineStr">
        <is>
          <t>-</t>
        </is>
      </c>
      <c r="E271" s="165" t="n"/>
    </row>
    <row r="272">
      <c r="A272" s="165" t="inlineStr">
        <is>
          <t>Salaries - Maintenance</t>
        </is>
      </c>
      <c r="B272" s="165" t="inlineStr">
        <is>
          <t>Maint. &amp; housekeeping labor</t>
        </is>
      </c>
      <c r="C272" s="165" t="inlineStr">
        <is>
          <t>Labor</t>
        </is>
      </c>
      <c r="D272" s="165" t="inlineStr">
        <is>
          <t>-</t>
        </is>
      </c>
      <c r="E272" s="165" t="n"/>
    </row>
    <row r="273">
      <c r="A273" s="165" t="inlineStr">
        <is>
          <t>Salaries - Activities</t>
        </is>
      </c>
      <c r="B273" s="165" t="inlineStr">
        <is>
          <t>Activities labor</t>
        </is>
      </c>
      <c r="C273" s="165" t="inlineStr">
        <is>
          <t>Labor</t>
        </is>
      </c>
      <c r="D273" s="165" t="inlineStr">
        <is>
          <t>-</t>
        </is>
      </c>
      <c r="E273" s="165" t="n"/>
    </row>
    <row r="274">
      <c r="A274" s="165" t="inlineStr">
        <is>
          <t>Salaries - Nursing</t>
        </is>
      </c>
      <c r="B274" s="165" t="inlineStr">
        <is>
          <t>Care staff labor</t>
        </is>
      </c>
      <c r="C274" s="165" t="inlineStr">
        <is>
          <t>Labor</t>
        </is>
      </c>
      <c r="D274" s="165" t="inlineStr">
        <is>
          <t>-</t>
        </is>
      </c>
      <c r="E274" s="165" t="n"/>
    </row>
    <row r="275">
      <c r="A275" s="165" t="inlineStr">
        <is>
          <t>Salaries - Marketing</t>
        </is>
      </c>
      <c r="B275" s="165" t="inlineStr">
        <is>
          <t>Administrative labor</t>
        </is>
      </c>
      <c r="C275" s="165" t="inlineStr">
        <is>
          <t>Labor</t>
        </is>
      </c>
      <c r="D275" s="165" t="inlineStr">
        <is>
          <t>-</t>
        </is>
      </c>
      <c r="E275" s="165" t="n"/>
    </row>
    <row r="276">
      <c r="A276" s="165" t="inlineStr">
        <is>
          <t>Overtime - G&amp;A</t>
        </is>
      </c>
      <c r="B276" s="165" t="inlineStr">
        <is>
          <t>Overtime wages</t>
        </is>
      </c>
      <c r="C276" s="165" t="inlineStr">
        <is>
          <t>Labor</t>
        </is>
      </c>
      <c r="D276" s="165" t="inlineStr">
        <is>
          <t>-</t>
        </is>
      </c>
      <c r="E276" s="165" t="n"/>
    </row>
    <row r="277">
      <c r="A277" s="165" t="inlineStr">
        <is>
          <t>Overtime - Food &amp; Bev</t>
        </is>
      </c>
      <c r="B277" s="165" t="inlineStr">
        <is>
          <t>Overtime wages</t>
        </is>
      </c>
      <c r="C277" s="165" t="inlineStr">
        <is>
          <t>Labor</t>
        </is>
      </c>
      <c r="D277" s="165" t="inlineStr">
        <is>
          <t>-</t>
        </is>
      </c>
      <c r="E277" s="165" t="n"/>
    </row>
    <row r="278">
      <c r="A278" s="165" t="inlineStr">
        <is>
          <t>Overtime - Housekeeping</t>
        </is>
      </c>
      <c r="B278" s="165" t="inlineStr">
        <is>
          <t>Overtime wages</t>
        </is>
      </c>
      <c r="C278" s="165" t="inlineStr">
        <is>
          <t>Labor</t>
        </is>
      </c>
      <c r="D278" s="165" t="inlineStr">
        <is>
          <t>-</t>
        </is>
      </c>
      <c r="E278" s="165" t="n"/>
    </row>
    <row r="279">
      <c r="A279" s="165" t="inlineStr">
        <is>
          <t>Overtime - Maintenance</t>
        </is>
      </c>
      <c r="B279" s="165" t="inlineStr">
        <is>
          <t>Overtime wages</t>
        </is>
      </c>
      <c r="C279" s="165" t="inlineStr">
        <is>
          <t>Labor</t>
        </is>
      </c>
      <c r="D279" s="165" t="inlineStr">
        <is>
          <t>-</t>
        </is>
      </c>
      <c r="E279" s="165" t="n"/>
    </row>
    <row r="280">
      <c r="A280" s="165" t="inlineStr">
        <is>
          <t>Overtime - Activities</t>
        </is>
      </c>
      <c r="B280" s="165" t="inlineStr">
        <is>
          <t>Overtime wages</t>
        </is>
      </c>
      <c r="C280" s="165" t="inlineStr">
        <is>
          <t>Labor</t>
        </is>
      </c>
      <c r="D280" s="165" t="inlineStr">
        <is>
          <t>-</t>
        </is>
      </c>
      <c r="E280" s="165" t="n"/>
    </row>
    <row r="281">
      <c r="A281" s="165" t="inlineStr">
        <is>
          <t>Overtime - Nursing</t>
        </is>
      </c>
      <c r="B281" s="165" t="inlineStr">
        <is>
          <t>Overtime wages</t>
        </is>
      </c>
      <c r="C281" s="165" t="inlineStr">
        <is>
          <t>Labor</t>
        </is>
      </c>
      <c r="D281" s="165" t="inlineStr">
        <is>
          <t>-</t>
        </is>
      </c>
      <c r="E281" s="165" t="n"/>
    </row>
    <row r="282">
      <c r="A282" s="165" t="inlineStr">
        <is>
          <t>Overtime - Marketing</t>
        </is>
      </c>
      <c r="B282" s="165" t="inlineStr">
        <is>
          <t>Overtime wages</t>
        </is>
      </c>
      <c r="C282" s="165" t="inlineStr">
        <is>
          <t>Labor</t>
        </is>
      </c>
      <c r="D282" s="165" t="inlineStr">
        <is>
          <t>-</t>
        </is>
      </c>
      <c r="E282" s="165" t="n"/>
    </row>
    <row r="283">
      <c r="A283" s="165" t="inlineStr">
        <is>
          <t>Holiday - G&amp;A</t>
        </is>
      </c>
      <c r="B283" s="165" t="inlineStr">
        <is>
          <t>Overtime wages</t>
        </is>
      </c>
      <c r="C283" s="165" t="inlineStr">
        <is>
          <t>Labor</t>
        </is>
      </c>
      <c r="D283" s="165" t="inlineStr">
        <is>
          <t>-</t>
        </is>
      </c>
      <c r="E283" s="165" t="n"/>
    </row>
    <row r="284">
      <c r="A284" s="165" t="inlineStr">
        <is>
          <t>PTO - G&amp;A</t>
        </is>
      </c>
      <c r="B284" s="165" t="inlineStr">
        <is>
          <t>PTO wages</t>
        </is>
      </c>
      <c r="C284" s="165" t="inlineStr">
        <is>
          <t>Labor</t>
        </is>
      </c>
      <c r="D284" s="165" t="inlineStr">
        <is>
          <t>-</t>
        </is>
      </c>
      <c r="E284" s="165" t="n"/>
    </row>
    <row r="285">
      <c r="A285" s="165" t="inlineStr">
        <is>
          <t>Bonus - G&amp;A</t>
        </is>
      </c>
      <c r="B285" s="165" t="inlineStr">
        <is>
          <t>Bonus wages</t>
        </is>
      </c>
      <c r="C285" s="165" t="inlineStr">
        <is>
          <t>Labor</t>
        </is>
      </c>
      <c r="D285" s="165" t="inlineStr">
        <is>
          <t>-</t>
        </is>
      </c>
      <c r="E285" s="165" t="n"/>
    </row>
    <row r="286">
      <c r="A286" s="165" t="inlineStr">
        <is>
          <t>Bonus - Marketing</t>
        </is>
      </c>
      <c r="B286" s="165" t="inlineStr">
        <is>
          <t>Bonus wages</t>
        </is>
      </c>
      <c r="C286" s="165" t="inlineStr">
        <is>
          <t>Labor</t>
        </is>
      </c>
      <c r="D286" s="165" t="inlineStr">
        <is>
          <t>-</t>
        </is>
      </c>
      <c r="E286" s="165" t="n"/>
    </row>
    <row r="287">
      <c r="A287" s="165" t="inlineStr">
        <is>
          <t>Contract Labor - Food &amp; Bev</t>
        </is>
      </c>
      <c r="B287" s="165" t="inlineStr">
        <is>
          <t>Contract / agency labor</t>
        </is>
      </c>
      <c r="C287" s="165" t="inlineStr">
        <is>
          <t>Labor</t>
        </is>
      </c>
      <c r="D287" s="165" t="inlineStr">
        <is>
          <t>-</t>
        </is>
      </c>
      <c r="E287" s="165" t="n"/>
    </row>
    <row r="288">
      <c r="A288" s="165" t="inlineStr">
        <is>
          <t>Contract Labor - Nursing</t>
        </is>
      </c>
      <c r="B288" s="165" t="inlineStr">
        <is>
          <t>Contract / agency labor</t>
        </is>
      </c>
      <c r="C288" s="165" t="inlineStr">
        <is>
          <t>Labor</t>
        </is>
      </c>
      <c r="D288" s="165" t="inlineStr">
        <is>
          <t>-</t>
        </is>
      </c>
      <c r="E288" s="165" t="n"/>
    </row>
    <row r="289">
      <c r="A289" s="165" t="inlineStr">
        <is>
          <t>Health Insurance</t>
        </is>
      </c>
      <c r="B289" s="165" t="inlineStr">
        <is>
          <t>Employee benefits</t>
        </is>
      </c>
      <c r="C289" s="165" t="inlineStr">
        <is>
          <t>Labor</t>
        </is>
      </c>
      <c r="D289" s="165" t="inlineStr">
        <is>
          <t>-</t>
        </is>
      </c>
      <c r="E289" s="165" t="n"/>
    </row>
    <row r="290">
      <c r="A290" s="165" t="inlineStr">
        <is>
          <t>Life Insurance</t>
        </is>
      </c>
      <c r="B290" s="165" t="inlineStr">
        <is>
          <t>Employee benefits</t>
        </is>
      </c>
      <c r="C290" s="165" t="inlineStr">
        <is>
          <t>Labor</t>
        </is>
      </c>
      <c r="D290" s="165" t="inlineStr">
        <is>
          <t>-</t>
        </is>
      </c>
      <c r="E290" s="165" t="n"/>
    </row>
    <row r="291">
      <c r="A291" s="165" t="inlineStr">
        <is>
          <t>Other Employee Expenses</t>
        </is>
      </c>
      <c r="B291" s="165" t="inlineStr">
        <is>
          <t>Employee benefits</t>
        </is>
      </c>
      <c r="C291" s="165" t="inlineStr">
        <is>
          <t>Labor</t>
        </is>
      </c>
      <c r="D291" s="165" t="inlineStr">
        <is>
          <t>-</t>
        </is>
      </c>
      <c r="E291" s="165" t="n"/>
    </row>
    <row r="292">
      <c r="A292" s="165" t="inlineStr">
        <is>
          <t>Building Repair</t>
        </is>
      </c>
      <c r="B292" s="165" t="inlineStr">
        <is>
          <t>R&amp;M fixed</t>
        </is>
      </c>
      <c r="C292" s="165" t="inlineStr">
        <is>
          <t>Non-Labor</t>
        </is>
      </c>
      <c r="D292" s="165" t="inlineStr">
        <is>
          <t>-</t>
        </is>
      </c>
      <c r="E292" s="165" t="n"/>
    </row>
    <row r="293">
      <c r="A293" s="165" t="inlineStr">
        <is>
          <t>Service Contract</t>
        </is>
      </c>
      <c r="B293" s="165" t="inlineStr">
        <is>
          <t>R&amp;M fixed</t>
        </is>
      </c>
      <c r="C293" s="165" t="inlineStr">
        <is>
          <t>Non-Labor</t>
        </is>
      </c>
      <c r="D293" s="165" t="inlineStr">
        <is>
          <t>-</t>
        </is>
      </c>
      <c r="E293" s="165" t="n"/>
    </row>
    <row r="294">
      <c r="A294" s="165" t="inlineStr">
        <is>
          <t>Equipment Repairs</t>
        </is>
      </c>
      <c r="B294" s="165" t="inlineStr">
        <is>
          <t>R&amp;M fixed</t>
        </is>
      </c>
      <c r="C294" s="165" t="inlineStr">
        <is>
          <t>Non-Labor</t>
        </is>
      </c>
      <c r="D294" s="165" t="inlineStr">
        <is>
          <t>-</t>
        </is>
      </c>
      <c r="E294" s="165" t="n"/>
    </row>
    <row r="295">
      <c r="A295" s="165" t="inlineStr">
        <is>
          <t>Janitorial Supplies</t>
        </is>
      </c>
      <c r="B295" s="165" t="inlineStr">
        <is>
          <t>HK &amp; laundry supplies</t>
        </is>
      </c>
      <c r="C295" s="165" t="inlineStr">
        <is>
          <t>Non-Labor</t>
        </is>
      </c>
      <c r="D295" s="165" t="inlineStr">
        <is>
          <t>-</t>
        </is>
      </c>
      <c r="E295" s="165" t="n"/>
    </row>
    <row r="296">
      <c r="A296" s="165" t="inlineStr">
        <is>
          <t>Inspections</t>
        </is>
      </c>
      <c r="B296" s="165" t="inlineStr">
        <is>
          <t>Permits, licenses &amp; dues</t>
        </is>
      </c>
      <c r="C296" s="165" t="inlineStr">
        <is>
          <t>Non-Labor</t>
        </is>
      </c>
      <c r="D296" s="165" t="inlineStr">
        <is>
          <t>-</t>
        </is>
      </c>
      <c r="E296" s="165" t="n"/>
    </row>
    <row r="297">
      <c r="A297" s="165" t="inlineStr">
        <is>
          <t>Food Expense</t>
        </is>
      </c>
      <c r="B297" s="165" t="inlineStr">
        <is>
          <t>Food cost</t>
        </is>
      </c>
      <c r="C297" s="165" t="inlineStr">
        <is>
          <t>Non-Labor</t>
        </is>
      </c>
      <c r="D297" s="165" t="inlineStr">
        <is>
          <t>-</t>
        </is>
      </c>
      <c r="E297" s="165" t="n"/>
    </row>
    <row r="298">
      <c r="A298" s="165" t="inlineStr">
        <is>
          <t>Smallwares</t>
        </is>
      </c>
      <c r="B298" s="165" t="inlineStr">
        <is>
          <t>Dining &amp; kitchen supplies</t>
        </is>
      </c>
      <c r="C298" s="165" t="inlineStr">
        <is>
          <t>Non-Labor</t>
        </is>
      </c>
      <c r="D298" s="165" t="inlineStr">
        <is>
          <t>-</t>
        </is>
      </c>
      <c r="E298" s="165" t="n"/>
    </row>
    <row r="299">
      <c r="A299" s="165" t="inlineStr">
        <is>
          <t>Operating Supplies</t>
        </is>
      </c>
      <c r="B299" s="165" t="inlineStr">
        <is>
          <t>Other / miscellaneous</t>
        </is>
      </c>
      <c r="C299" s="165" t="inlineStr">
        <is>
          <t>Non-Labor</t>
        </is>
      </c>
      <c r="D299" s="165" t="inlineStr">
        <is>
          <t>-</t>
        </is>
      </c>
      <c r="E299" s="165" t="n"/>
    </row>
    <row r="300">
      <c r="A300" s="165" t="inlineStr">
        <is>
          <t>Contract Services</t>
        </is>
      </c>
      <c r="B300" s="165" t="inlineStr">
        <is>
          <t>Professional services</t>
        </is>
      </c>
      <c r="C300" s="165" t="inlineStr">
        <is>
          <t>Non-Labor</t>
        </is>
      </c>
      <c r="D300" s="165" t="inlineStr">
        <is>
          <t>-</t>
        </is>
      </c>
      <c r="E300" s="165" t="n"/>
    </row>
    <row r="301">
      <c r="A301" s="165" t="inlineStr">
        <is>
          <t>Medical Supplies</t>
        </is>
      </c>
      <c r="B301" s="165" t="inlineStr">
        <is>
          <t>Nursing &amp; care supplies</t>
        </is>
      </c>
      <c r="C301" s="165" t="inlineStr">
        <is>
          <t>Non-Labor</t>
        </is>
      </c>
      <c r="D301" s="165" t="inlineStr">
        <is>
          <t>-</t>
        </is>
      </c>
      <c r="E301" s="165" t="n"/>
    </row>
    <row r="302">
      <c r="A302" s="165" t="inlineStr">
        <is>
          <t>Resident Services</t>
        </is>
      </c>
      <c r="B302" s="165" t="inlineStr">
        <is>
          <t>Recreation &amp; activity suppl.</t>
        </is>
      </c>
      <c r="C302" s="165" t="inlineStr">
        <is>
          <t>Non-Labor</t>
        </is>
      </c>
      <c r="D302" s="165" t="inlineStr">
        <is>
          <t>-</t>
        </is>
      </c>
      <c r="E302" s="165" t="n"/>
    </row>
    <row r="303">
      <c r="A303" s="165" t="inlineStr">
        <is>
          <t>Resident Programs</t>
        </is>
      </c>
      <c r="B303" s="165" t="inlineStr">
        <is>
          <t>Recreation &amp; activity suppl.</t>
        </is>
      </c>
      <c r="C303" s="165" t="inlineStr">
        <is>
          <t>Non-Labor</t>
        </is>
      </c>
      <c r="D303" s="165" t="inlineStr">
        <is>
          <t>-</t>
        </is>
      </c>
      <c r="E303" s="165" t="n"/>
    </row>
    <row r="304">
      <c r="A304" s="165" t="inlineStr">
        <is>
          <t>Bus/Shuttle Service</t>
        </is>
      </c>
      <c r="B304" s="165" t="inlineStr">
        <is>
          <t>Auto Expense</t>
        </is>
      </c>
      <c r="C304" s="165" t="inlineStr">
        <is>
          <t>Non-Labor</t>
        </is>
      </c>
      <c r="D304" s="165" t="inlineStr">
        <is>
          <t>-</t>
        </is>
      </c>
      <c r="E304" s="165" t="n"/>
    </row>
    <row r="305">
      <c r="A305" s="165" t="inlineStr">
        <is>
          <t>Cleaning</t>
        </is>
      </c>
      <c r="B305" s="165" t="inlineStr">
        <is>
          <t>HK &amp; laundry supplies</t>
        </is>
      </c>
      <c r="C305" s="165" t="inlineStr">
        <is>
          <t>Non-Labor</t>
        </is>
      </c>
      <c r="D305" s="165" t="inlineStr">
        <is>
          <t>-</t>
        </is>
      </c>
      <c r="E305" s="165" t="n"/>
    </row>
    <row r="306">
      <c r="A306" s="165" t="inlineStr">
        <is>
          <t>Grounds and Landscaping</t>
        </is>
      </c>
      <c r="B306" s="165" t="inlineStr">
        <is>
          <t>R&amp;M variable</t>
        </is>
      </c>
      <c r="C306" s="165" t="inlineStr">
        <is>
          <t>Non-Labor</t>
        </is>
      </c>
      <c r="D306" s="165" t="inlineStr">
        <is>
          <t>-</t>
        </is>
      </c>
      <c r="E306" s="165" t="n"/>
    </row>
    <row r="307">
      <c r="A307" s="165" t="inlineStr">
        <is>
          <t>Janitorial</t>
        </is>
      </c>
      <c r="B307" s="165" t="inlineStr">
        <is>
          <t>HK &amp; laundry supplies</t>
        </is>
      </c>
      <c r="C307" s="165" t="inlineStr">
        <is>
          <t>Non-Labor</t>
        </is>
      </c>
      <c r="D307" s="165" t="inlineStr">
        <is>
          <t>-</t>
        </is>
      </c>
      <c r="E307" s="165" t="n"/>
    </row>
    <row r="308">
      <c r="A308" s="165" t="inlineStr">
        <is>
          <t>Trash Removal</t>
        </is>
      </c>
      <c r="B308" s="165" t="inlineStr">
        <is>
          <t>Utilities</t>
        </is>
      </c>
      <c r="C308" s="165" t="inlineStr">
        <is>
          <t>Non-Labor</t>
        </is>
      </c>
      <c r="D308" s="165" t="inlineStr">
        <is>
          <t>-</t>
        </is>
      </c>
      <c r="E308" s="165" t="n"/>
    </row>
    <row r="309">
      <c r="A309" s="165" t="inlineStr">
        <is>
          <t>Blinds &amp; Drapes</t>
        </is>
      </c>
      <c r="B309" s="165" t="inlineStr">
        <is>
          <t>R&amp;M variable</t>
        </is>
      </c>
      <c r="C309" s="165" t="inlineStr">
        <is>
          <t>Non-Labor</t>
        </is>
      </c>
      <c r="D309" s="165" t="inlineStr">
        <is>
          <t>-</t>
        </is>
      </c>
      <c r="E309" s="165" t="n"/>
    </row>
    <row r="310">
      <c r="A310" s="165" t="inlineStr">
        <is>
          <t>Cable TV</t>
        </is>
      </c>
      <c r="B310" s="165" t="inlineStr">
        <is>
          <t>Telephone / IT</t>
        </is>
      </c>
      <c r="C310" s="165" t="inlineStr">
        <is>
          <t>Non-Labor</t>
        </is>
      </c>
      <c r="D310" s="165" t="inlineStr">
        <is>
          <t>-</t>
        </is>
      </c>
      <c r="E310" s="165" t="n"/>
    </row>
    <row r="311">
      <c r="A311" s="165" t="inlineStr">
        <is>
          <t>Electric - Common Area</t>
        </is>
      </c>
      <c r="B311" s="165" t="inlineStr">
        <is>
          <t>Utilities</t>
        </is>
      </c>
      <c r="C311" s="165" t="inlineStr">
        <is>
          <t>Non-Labor</t>
        </is>
      </c>
      <c r="D311" s="165" t="inlineStr">
        <is>
          <t>-</t>
        </is>
      </c>
      <c r="E311" s="165" t="n"/>
    </row>
    <row r="312">
      <c r="A312" s="165" t="inlineStr">
        <is>
          <t>Internet Service</t>
        </is>
      </c>
      <c r="B312" s="165" t="inlineStr">
        <is>
          <t>Telephone / IT</t>
        </is>
      </c>
      <c r="C312" s="165" t="inlineStr">
        <is>
          <t>Non-Labor</t>
        </is>
      </c>
      <c r="D312" s="165" t="inlineStr">
        <is>
          <t>-</t>
        </is>
      </c>
      <c r="E312" s="165" t="n"/>
    </row>
    <row r="313">
      <c r="A313" s="165" t="inlineStr">
        <is>
          <t>Automobile Insurance</t>
        </is>
      </c>
      <c r="B313" s="165" t="inlineStr">
        <is>
          <t>Auto insurance</t>
        </is>
      </c>
      <c r="C313" s="165" t="inlineStr">
        <is>
          <t>Non-Labor</t>
        </is>
      </c>
      <c r="D313" s="165" t="inlineStr">
        <is>
          <t>-</t>
        </is>
      </c>
      <c r="E313" s="165" t="n"/>
    </row>
    <row r="314">
      <c r="A314" s="165" t="inlineStr">
        <is>
          <t>General Liability</t>
        </is>
      </c>
      <c r="B314" s="165" t="inlineStr">
        <is>
          <t>P&amp;C insurance (bundled)</t>
        </is>
      </c>
      <c r="C314" s="165" t="inlineStr">
        <is>
          <t>Non-Labor</t>
        </is>
      </c>
      <c r="D314" s="165" t="inlineStr">
        <is>
          <t>-</t>
        </is>
      </c>
      <c r="E314" s="165" t="n"/>
    </row>
    <row r="315">
      <c r="A315" s="165" t="inlineStr">
        <is>
          <t>Corporate Taxes</t>
        </is>
      </c>
      <c r="B315" s="165" t="inlineStr">
        <is>
          <t>Depreciation — EXCLUDED</t>
        </is>
      </c>
      <c r="C315" s="165" t="inlineStr">
        <is>
          <t>Excluded</t>
        </is>
      </c>
      <c r="D315" s="165" t="inlineStr">
        <is>
          <t>-</t>
        </is>
      </c>
      <c r="E315" s="165"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Base rent — AL</t>
        </is>
      </c>
    </row>
    <row r="401">
      <c r="A401" t="inlineStr">
        <is>
          <t>Second Persons Revenue | Independent Living</t>
        </is>
      </c>
      <c r="B401" t="inlineStr">
        <is>
          <t>Base rent — IL</t>
        </is>
      </c>
    </row>
    <row r="402">
      <c r="A402" t="inlineStr">
        <is>
          <t>Second Persons Revenue | Memory Care</t>
        </is>
      </c>
      <c r="B402" t="inlineStr">
        <is>
          <t>Base rent — MC</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8" defaultColWidth="8.7109375" defaultRowHeight="15"/>
  <cols>
    <col width="16" customWidth="1" style="199" min="1" max="1"/>
    <col width="24" customWidth="1" style="199" min="2" max="2"/>
  </cols>
  <sheetData>
    <row r="1" ht="15" customHeight="1" s="199">
      <c r="A1" s="168" t="inlineStr">
        <is>
          <t>Period Date</t>
        </is>
      </c>
      <c r="B1" s="168" t="inlineStr">
        <is>
          <t>Notes</t>
        </is>
      </c>
      <c r="AZ1" t="inlineStr">
        <is>
          <t>RR helper calculations</t>
        </is>
      </c>
    </row>
    <row r="2" ht="15.75" customHeight="1" s="199">
      <c r="A2" s="169">
        <f>IFERROR(minifs('Rent Roll Input'!$S$7:$S$606,'Rent Roll Input'!$S$7:$S$606,"&gt;"&amp;0),"")</f>
        <v/>
      </c>
      <c r="B2" s="170" t="inlineStr">
        <is>
          <t>Period 1</t>
        </is>
      </c>
      <c r="AZ2" t="inlineStr">
        <is>
          <t>reference</t>
        </is>
      </c>
    </row>
    <row r="3" ht="15.75" customHeight="1" s="199">
      <c r="A3" s="169">
        <f>IFERROR(minifs('Rent Roll Input'!$S$7:$S$606,'Rent Roll Input'!$S$7:$S$606,"&gt;"&amp;A2),"")</f>
        <v/>
      </c>
      <c r="B3" s="170" t="inlineStr">
        <is>
          <t>Period 2</t>
        </is>
      </c>
      <c r="AZ3" t="inlineStr">
        <is>
          <t>hidden</t>
        </is>
      </c>
    </row>
    <row r="4" ht="15.75" customHeight="1" s="199">
      <c r="A4" s="169">
        <f>IFERROR(minifs('Rent Roll Input'!$S$7:$S$606,'Rent Roll Input'!$S$7:$S$606,"&gt;"&amp;A3),"")</f>
        <v/>
      </c>
      <c r="B4" s="170" t="inlineStr">
        <is>
          <t>Period 3</t>
        </is>
      </c>
      <c r="AZ4" t="inlineStr">
        <is>
          <t>v0.1.13</t>
        </is>
      </c>
    </row>
    <row r="5" ht="15.75" customHeight="1" s="199">
      <c r="A5" s="169">
        <f>IFERROR(minifs('Rent Roll Input'!$S$7:$S$606,'Rent Roll Input'!$S$7:$S$606,"&gt;"&amp;A4),"")</f>
        <v/>
      </c>
      <c r="B5" s="170" t="inlineStr">
        <is>
          <t>Period 4</t>
        </is>
      </c>
    </row>
    <row r="6" ht="15.75" customHeight="1" s="199">
      <c r="A6" s="169">
        <f>IFERROR(minifs('Rent Roll Input'!$S$7:$S$606,'Rent Roll Input'!$S$7:$S$606,"&gt;"&amp;A5),"")</f>
        <v/>
      </c>
      <c r="B6" s="170" t="inlineStr">
        <is>
          <t>Period 5</t>
        </is>
      </c>
    </row>
    <row r="7" ht="15.75" customHeight="1" s="199">
      <c r="A7" s="169">
        <f>IFERROR(minifs('Rent Roll Input'!$S$7:$S$606,'Rent Roll Input'!$S$7:$S$606,"&gt;"&amp;A6),"")</f>
        <v/>
      </c>
      <c r="B7" s="170" t="inlineStr">
        <is>
          <t>Period 6</t>
        </is>
      </c>
    </row>
    <row r="8" ht="15.75" customHeight="1" s="199">
      <c r="A8" s="169">
        <f>IFERROR(minifs('Rent Roll Input'!$S$7:$S$606,'Rent Roll Input'!$S$7:$S$606,"&gt;"&amp;A7),"")</f>
        <v/>
      </c>
      <c r="B8" s="170" t="inlineStr">
        <is>
          <t>Period 7</t>
        </is>
      </c>
    </row>
    <row r="9" ht="15.75" customHeight="1" s="199">
      <c r="A9" s="169">
        <f>IFERROR(minifs('Rent Roll Input'!$S$7:$S$606,'Rent Roll Input'!$S$7:$S$606,"&gt;"&amp;A8),"")</f>
        <v/>
      </c>
      <c r="B9" s="170" t="inlineStr">
        <is>
          <t>Period 8</t>
        </is>
      </c>
    </row>
    <row r="10" ht="15.75" customHeight="1" s="199">
      <c r="A10" s="169">
        <f>IFERROR(minifs('Rent Roll Input'!$S$7:$S$606,'Rent Roll Input'!$S$7:$S$606,"&gt;"&amp;A9),"")</f>
        <v/>
      </c>
      <c r="B10" s="170" t="inlineStr">
        <is>
          <t>Period 9</t>
        </is>
      </c>
    </row>
    <row r="11" ht="15.75" customHeight="1" s="199">
      <c r="A11" s="169">
        <f>IFERROR(minifs('Rent Roll Input'!$S$7:$S$606,'Rent Roll Input'!$S$7:$S$606,"&gt;"&amp;A10),"")</f>
        <v/>
      </c>
      <c r="B11" s="170" t="inlineStr">
        <is>
          <t>Period 10</t>
        </is>
      </c>
    </row>
    <row r="12" ht="15.75" customHeight="1" s="199">
      <c r="A12" s="169">
        <f>IFERROR(minifs('Rent Roll Input'!$S$7:$S$606,'Rent Roll Input'!$S$7:$S$606,"&gt;"&amp;A11),"")</f>
        <v/>
      </c>
      <c r="B12" s="170" t="inlineStr">
        <is>
          <t>Period 11</t>
        </is>
      </c>
    </row>
    <row r="13" ht="15.75" customHeight="1" s="199">
      <c r="A13" s="169">
        <f>IFERROR(minifs('Rent Roll Input'!$S$7:$S$606,'Rent Roll Input'!$S$7:$S$606,"&gt;"&amp;A12),"")</f>
        <v/>
      </c>
      <c r="B13" s="170" t="inlineStr">
        <is>
          <t>Period 12</t>
        </is>
      </c>
    </row>
  </sheetData>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8" defaultColWidth="8.7109375" defaultRowHeight="15"/>
  <sheetData>
    <row r="1" ht="15" customHeight="1" s="199">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199">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199">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199">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v0.1.13</t>
        </is>
      </c>
    </row>
    <row r="5" ht="15" customHeight="1" s="199">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199">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199">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199">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199">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199">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199">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199">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199">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199">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199">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199">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199">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199">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199">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199">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199">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199">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199">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199">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199">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199">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199">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199">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199">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199">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199">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199">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199">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199">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199">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199">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199">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199">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199">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199">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199">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199">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199">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199">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199">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199">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199">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199">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199">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199">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199">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199">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199">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199">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199">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199">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199">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199">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199">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199">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199">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199">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199">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199">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199">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199">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199">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199">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199">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199">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199">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199">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199">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199">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199">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199">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199">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199">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199">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199">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199">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199">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199">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199">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199">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199">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199">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199">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199">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199">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199">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199">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199">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199">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199">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199">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199">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199">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199">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199">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199">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199">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199">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199">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199">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199">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199">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199">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199">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199">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199">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199">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199">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199">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199">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199">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199">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199">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199">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199">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199">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199">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199">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199">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199">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199">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199">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199">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199">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199">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199">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199">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199">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199">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199">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199">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199">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199">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199">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199">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199">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199">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199">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199">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199">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199">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199">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199">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199">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199">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199">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199">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199">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199">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199">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199">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199">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199">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199">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199">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199">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199">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199">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199">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199">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199">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199">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199">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199">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199">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199">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199">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199">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199">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199">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199">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199">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199">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199">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199">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199">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199">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199">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199">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199">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199">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199">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199">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199">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199">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199">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199">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199">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199">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199">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199">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199">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199">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199">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199">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199">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199">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199">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199">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199">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199">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199">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199">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199">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199">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199">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199">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199">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199">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199">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199">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199">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199">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199">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199">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199">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199">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199">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199">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199">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199">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199">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199">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199">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199">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199">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199">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199">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199">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199">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199">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199">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199">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199">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199">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199">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199">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199">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199">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199">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199">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199">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199">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199">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199">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199">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199">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199">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199">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199">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199">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199">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199">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199">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199">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199">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199">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199">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199">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199">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199">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199">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199">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199">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199">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199">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199">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199">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199">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199">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199">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199">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199">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199">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199">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199">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199">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199">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199">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199">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199">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199">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199">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199">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199">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199">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199">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199">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199">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199">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199">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199">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199">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199">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199">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199">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199">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199">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199">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199">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199">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199">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199">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199">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199">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199">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199">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199">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199">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199">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199">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199">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199">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199">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199">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199">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199">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199">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199">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199">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199">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199">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199">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199">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199">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199">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199">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199">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199">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199">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199">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199">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199">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199">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199">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199">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199">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199">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199">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199">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199">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199">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199">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199">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199">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199">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199">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199">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199">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199">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199">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199">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199">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199">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199">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199">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199">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199">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199">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199">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199">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199">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199">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199">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199">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199">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199">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199">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199">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199">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199">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199">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199">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199">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199">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199">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199">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199">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199">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199">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199">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199">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199">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199">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199">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199">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199">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199">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199">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199">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199">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199">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199">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199">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199">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199">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199">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199">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199">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199">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199">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199">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199">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199">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199">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199">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199">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199">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199">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199">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199">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199">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199">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199">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199">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199">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199">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199">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199">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199">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199">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199">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199">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199">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199">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199">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199">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199">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199">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199">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199">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199">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199">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199">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199">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199">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199">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199">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199">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199">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199">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199">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199">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199">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199">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199">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199">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199">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199">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199">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199">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199">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199">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199">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199">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199">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199">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199">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199">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199">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199">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199">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199">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199">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199">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199">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199">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199">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199">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199">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199">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199">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199">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199">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199">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199">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199">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199">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199">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199">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199">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199">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199">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199">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199">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199">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199">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199">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199">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199">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199">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199">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199">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199">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199">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42"/>
  <sheetViews>
    <sheetView workbookViewId="0">
      <selection activeCell="A1" sqref="A1"/>
    </sheetView>
  </sheetViews>
  <sheetFormatPr baseColWidth="8" defaultRowHeight="15"/>
  <cols>
    <col width="48" customWidth="1" style="199" min="1" max="1"/>
    <col width="32" customWidth="1" style="199" min="2" max="2"/>
    <col width="12" customWidth="1" style="199" min="3" max="3"/>
    <col width="12" customWidth="1" style="199" min="4" max="4"/>
    <col width="12" customWidth="1" style="199" min="5" max="5"/>
    <col width="24" customWidth="1" style="199" min="6" max="6"/>
  </cols>
  <sheetData>
    <row r="1">
      <c r="A1" s="208" t="inlineStr">
        <is>
          <t>Workbook Health</t>
        </is>
      </c>
      <c r="AZ1" t="inlineStr">
        <is>
          <t>Map / Validation / Diagnostics</t>
        </is>
      </c>
    </row>
    <row r="2">
      <c r="A2" s="209" t="inlineStr">
        <is>
          <t>Hidden by default. Un-hide via right-click → Unhide.</t>
        </is>
      </c>
      <c r="AZ2" t="inlineStr">
        <is>
          <t>health</t>
        </is>
      </c>
    </row>
    <row r="3">
      <c r="AZ3" t="inlineStr">
        <is>
          <t>hidden</t>
        </is>
      </c>
    </row>
    <row r="4">
      <c r="A4" s="205" t="inlineStr">
        <is>
          <t>1 · WORKBOOK MAP</t>
        </is>
      </c>
      <c r="AZ4" t="inlineStr">
        <is>
          <t>v0.1.13</t>
        </is>
      </c>
    </row>
    <row r="5">
      <c r="A5" s="210" t="inlineStr">
        <is>
          <t>Sheet</t>
        </is>
      </c>
      <c r="B5" s="210" t="inlineStr">
        <is>
          <t>Purpose</t>
        </is>
      </c>
      <c r="C5" s="210" t="inlineStr">
        <is>
          <t>Category</t>
        </is>
      </c>
      <c r="D5" s="210" t="inlineStr">
        <is>
          <t>Visibility</t>
        </is>
      </c>
      <c r="E5" s="210" t="inlineStr">
        <is>
          <t>Version</t>
        </is>
      </c>
      <c r="F5" s="210" t="inlineStr">
        <is>
          <t>Notes</t>
        </is>
      </c>
    </row>
    <row r="6">
      <c r="A6" t="inlineStr">
        <is>
          <t>Cover</t>
        </is>
      </c>
      <c r="B6">
        <f>Cover!AZ1</f>
        <v/>
      </c>
      <c r="C6">
        <f>Cover!AZ2</f>
        <v/>
      </c>
      <c r="D6">
        <f>Cover!AZ3</f>
        <v/>
      </c>
      <c r="E6">
        <f>Cover!AZ4</f>
        <v/>
      </c>
      <c r="F6">
        <f>IF(Cover!AZ5="","",Cover!AZ5)</f>
        <v/>
      </c>
    </row>
    <row r="7">
      <c r="A7" t="inlineStr">
        <is>
          <t>T12 Analytics</t>
        </is>
      </c>
      <c r="B7">
        <f>'T12 Analytics'!AZ1</f>
        <v/>
      </c>
      <c r="C7">
        <f>'T12 Analytics'!AZ2</f>
        <v/>
      </c>
      <c r="D7">
        <f>'T12 Analytics'!AZ3</f>
        <v/>
      </c>
      <c r="E7">
        <f>'T12 Analytics'!AZ4</f>
        <v/>
      </c>
      <c r="F7">
        <f>IF('T12 Analytics'!AZ5="","",'T12 Analytics'!AZ5)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21">
      <c r="A21" s="205" t="inlineStr">
        <is>
          <t>2 · VALIDATION</t>
        </is>
      </c>
    </row>
    <row r="22">
      <c r="A22" s="210" t="inlineStr">
        <is>
          <t>Check</t>
        </is>
      </c>
      <c r="B22" s="210" t="inlineStr">
        <is>
          <t>Result</t>
        </is>
      </c>
      <c r="C22" s="210"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205" t="inlineStr">
        <is>
          <t>3 · DIAGNOSTICS</t>
        </is>
      </c>
    </row>
    <row r="32">
      <c r="A32" s="210" t="inlineStr">
        <is>
          <t>Metric</t>
        </is>
      </c>
      <c r="B32" s="210"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2026-05-13T22:41:45Z</dcterms:modified>
  <cp:lastModifiedBy>Erik J</cp:lastModifiedBy>
  <cp:revision>0</cp:revision>
</cp:coreProperties>
</file>