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T12 Analytics" sheetId="2" state="visible" r:id="rId2"/>
    <sheet name="T12 Input" sheetId="3" state="visible" r:id="rId3"/>
    <sheet name="T12 Raw Data" sheetId="4" state="visible" r:id="rId4"/>
    <sheet name="Rent Roll Input" sheetId="5" state="visible" r:id="rId5"/>
    <sheet name="Rent Roll Recon" sheetId="6" state="visible" r:id="rId6"/>
    <sheet name="Monthly Trending" sheetId="7" state="visible" r:id="rId7"/>
    <sheet name="UW Output" sheetId="8" state="visible" r:id="rId8"/>
    <sheet name="Mapping Review" sheetId="9" state="visible" r:id="rId9"/>
    <sheet name="Description_Map" sheetId="10" state="visible" r:id="rId10"/>
    <sheet name="RR_Calc" sheetId="11" state="hidden" r:id="rId11"/>
    <sheet name="T12_Calc" sheetId="12" state="hidden" r:id="rId12"/>
    <sheet name="Workbook Health" sheetId="13" state="hidden" r:id="rId13"/>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16">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s>
  <fonts count="50">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
      <name val="Arial"/>
      <b val="1"/>
      <sz val="10"/>
    </font>
    <font>
      <name val="Arial"/>
      <i val="1"/>
      <color rgb="FF808080"/>
      <sz val="9"/>
    </font>
    <font>
      <name val="Arial"/>
      <sz val="10"/>
    </font>
    <font>
      <name val="Calibri"/>
      <b val="1"/>
      <color rgb="FFFFFFFF"/>
      <sz val="11"/>
    </font>
    <font>
      <name val="Calibri"/>
      <b val="1"/>
      <color rgb="FFFFFFFF"/>
      <sz val="10"/>
    </font>
    <font>
      <name val="Calibri"/>
      <b val="1"/>
      <color rgb="FF1F1F1F"/>
      <sz val="10"/>
    </font>
    <font>
      <name val="Calibri"/>
      <color rgb="FF1F1F1F"/>
      <sz val="10"/>
    </font>
    <font>
      <name val="Calibri"/>
      <i val="1"/>
      <color rgb="FF7F7F7F"/>
      <sz val="9"/>
    </font>
  </fonts>
  <fills count="22">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47">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44" fillId="0" borderId="0" applyAlignment="1" pivotButton="0" quotePrefix="0" xfId="0">
      <alignment horizontal="left" vertical="top" wrapText="1"/>
    </xf>
    <xf numFmtId="0" fontId="43" fillId="0" borderId="0" pivotButton="0" quotePrefix="0" xfId="0"/>
    <xf numFmtId="0" fontId="36" fillId="16" borderId="0" applyAlignment="1" pivotButton="0" quotePrefix="0" xfId="0">
      <alignment horizontal="center" vertical="center" wrapText="1"/>
    </xf>
    <xf numFmtId="0" fontId="42" fillId="0" borderId="0" pivotButton="0" quotePrefix="0" xfId="0"/>
    <xf numFmtId="0" fontId="36" fillId="17" borderId="0" applyAlignment="1" pivotButton="0" quotePrefix="0" xfId="0">
      <alignment horizontal="left" vertical="center" indent="1"/>
    </xf>
    <xf numFmtId="0" fontId="44"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5" fillId="16" borderId="0" applyAlignment="1" pivotButton="0" quotePrefix="0" xfId="0">
      <alignment horizontal="left" vertical="center" wrapText="1"/>
    </xf>
    <xf numFmtId="0" fontId="46" fillId="18" borderId="0" applyAlignment="1" pivotButton="0" quotePrefix="0" xfId="0">
      <alignment horizontal="left" vertical="center" wrapText="1"/>
    </xf>
    <xf numFmtId="0" fontId="47" fillId="19" borderId="8" applyAlignment="1" pivotButton="0" quotePrefix="0" xfId="0">
      <alignment horizontal="center" vertical="center" wrapText="1"/>
    </xf>
    <xf numFmtId="0" fontId="48" fillId="20" borderId="8" applyAlignment="1" pivotButton="0" quotePrefix="0" xfId="0">
      <alignment horizontal="left" vertical="center" wrapText="1"/>
    </xf>
    <xf numFmtId="176" fontId="48" fillId="20" borderId="8" applyAlignment="1" pivotButton="0" quotePrefix="0" xfId="0">
      <alignment horizontal="left" vertical="center" wrapText="1"/>
    </xf>
    <xf numFmtId="0" fontId="48" fillId="21" borderId="8" applyAlignment="1" pivotButton="0" quotePrefix="0" xfId="0">
      <alignment horizontal="left" vertical="center" wrapText="1"/>
    </xf>
    <xf numFmtId="0" fontId="48" fillId="21" borderId="8" applyAlignment="1" pivotButton="0" quotePrefix="0" xfId="0">
      <alignment horizontal="center" vertical="center" wrapText="1"/>
    </xf>
    <xf numFmtId="1" fontId="48" fillId="21" borderId="8" applyAlignment="1" pivotButton="0" quotePrefix="0" xfId="0">
      <alignment horizontal="left" vertical="center" wrapText="1"/>
    </xf>
    <xf numFmtId="174" fontId="48" fillId="21" borderId="8" applyAlignment="1" pivotButton="0" quotePrefix="0" xfId="0">
      <alignment horizontal="left" vertical="center" wrapText="1"/>
    </xf>
    <xf numFmtId="177" fontId="48" fillId="21" borderId="8" applyAlignment="1" pivotButton="0" quotePrefix="0" xfId="0">
      <alignment horizontal="left" vertical="center" wrapText="1"/>
    </xf>
    <xf numFmtId="178" fontId="48" fillId="21" borderId="8" applyAlignment="1" pivotButton="0" quotePrefix="0" xfId="0">
      <alignment horizontal="left" vertical="center" wrapText="1"/>
    </xf>
    <xf numFmtId="177" fontId="48" fillId="21" borderId="8" applyAlignment="1" pivotButton="0" quotePrefix="0" xfId="0">
      <alignment horizontal="right" vertical="center" wrapText="1"/>
    </xf>
    <xf numFmtId="174" fontId="48" fillId="21" borderId="8" applyAlignment="1" pivotButton="0" quotePrefix="0" xfId="0">
      <alignment horizontal="right" vertical="center" wrapText="1"/>
    </xf>
    <xf numFmtId="0" fontId="49" fillId="0" borderId="0" applyAlignment="1" pivotButton="0" quotePrefix="0" xfId="0">
      <alignment horizontal="left" vertical="center" wrapText="1"/>
    </xf>
    <xf numFmtId="0" fontId="48"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8" fillId="21" borderId="8" applyAlignment="1" pivotButton="0" quotePrefix="0" xfId="0">
      <alignment horizontal="right" vertical="center" wrapText="1"/>
    </xf>
    <xf numFmtId="0" fontId="49" fillId="21" borderId="8" applyAlignment="1" pivotButton="0" quotePrefix="0" xfId="0">
      <alignment horizontal="left" vertical="center" wrapText="1"/>
    </xf>
    <xf numFmtId="179" fontId="48" fillId="0" borderId="8" applyAlignment="1" pivotButton="0" quotePrefix="0" xfId="0">
      <alignment horizontal="right" vertical="center" wrapText="1"/>
    </xf>
    <xf numFmtId="0" fontId="48" fillId="0" borderId="0" applyAlignment="1" pivotButton="0" quotePrefix="0" xfId="0">
      <alignment horizontal="left" vertical="center" wrapText="1"/>
    </xf>
    <xf numFmtId="177" fontId="48" fillId="0" borderId="0" applyAlignment="1" pivotButton="0" quotePrefix="0" xfId="0">
      <alignment horizontal="right" vertical="center" wrapText="1"/>
    </xf>
    <xf numFmtId="178" fontId="48" fillId="0" borderId="0" applyAlignment="1" pivotButton="0" quotePrefix="0" xfId="0">
      <alignment horizontal="right" vertical="center" wrapText="1"/>
    </xf>
    <xf numFmtId="0" fontId="47" fillId="20" borderId="0"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V1 — Occupancy by Care Type (selected period)</a:t>
            </a:r>
          </a:p>
        </rich>
      </tx>
    </title>
    <plotArea>
      <barChart>
        <barDir val="col"/>
        <grouping val="stacked"/>
        <ser>
          <idx val="0"/>
          <order val="0"/>
          <tx>
            <v>Occupied</v>
          </tx>
          <spPr>
            <a:ln>
              <a:prstDash val="solid"/>
            </a:ln>
          </spPr>
          <cat>
            <numRef>
              <f>'T12 Analytics'!$B$5:$D$5</f>
            </numRef>
          </cat>
          <val>
            <numRef>
              <f>'Rent Roll Recon'!$B$8:$D$8</f>
            </numRef>
          </val>
        </ser>
        <ser>
          <idx val="1"/>
          <order val="1"/>
          <tx>
            <v>Vacant</v>
          </tx>
          <spPr>
            <a:ln>
              <a:prstDash val="solid"/>
            </a:ln>
          </spPr>
          <cat>
            <numRef>
              <f>'T12 Analytics'!$B$5:$D$5</f>
            </numRef>
          </cat>
          <val>
            <numRef>
              <f>'Rent Roll Recon'!$B$9:$D$9</f>
            </numRef>
          </val>
        </ser>
        <ser>
          <idx val="2"/>
          <order val="2"/>
          <tx>
            <v>Notice</v>
          </tx>
          <spPr>
            <a:ln>
              <a:prstDash val="solid"/>
            </a:ln>
          </spPr>
          <cat>
            <numRef>
              <f>'T12 Analytics'!$B$5:$D$5</f>
            </numRef>
          </cat>
          <val>
            <numRef>
              <f>'Rent Roll Recon'!$B$10:$D$10</f>
            </numRef>
          </val>
        </ser>
        <ser>
          <idx val="3"/>
          <order val="3"/>
          <tx>
            <v>Eviction</v>
          </tx>
          <spPr>
            <a:ln>
              <a:prstDash val="solid"/>
            </a:ln>
          </spPr>
          <cat>
            <numRef>
              <f>'T12 Analytics'!$B$5:$D$5</f>
            </numRef>
          </cat>
          <val>
            <numRef>
              <f>'Rent Roll Recon'!$B$11:$D$11</f>
            </numRef>
          </val>
        </ser>
        <gapWidth val="150"/>
        <overlap val="100"/>
        <axId val="10"/>
        <axId val="100"/>
      </barChart>
      <catAx>
        <axId val="10"/>
        <scaling>
          <orientation val="minMax"/>
        </scaling>
        <axPos val="b"/>
        <title>
          <tx>
            <rich>
              <a:bodyPr/>
              <a:p>
                <a:pPr>
                  <a:defRPr/>
                </a:pPr>
                <a:r>
                  <a:t>Care Type</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V2 — Rate Dispersion by Care Type (occupied units)</a:t>
            </a:r>
          </a:p>
        </rich>
      </tx>
    </title>
    <plotArea>
      <barChart>
        <barDir val="col"/>
        <grouping val="clustered"/>
        <ser>
          <idx val="0"/>
          <order val="0"/>
          <tx>
            <v>IL</v>
          </tx>
          <spPr>
            <a:ln>
              <a:prstDash val="solid"/>
            </a:ln>
          </spPr>
          <cat>
            <numRef>
              <f>'T12 Analytics'!$K$48:$K$52</f>
            </numRef>
          </cat>
          <val>
            <numRef>
              <f>'T12 Analytics'!$L$48:$L$52</f>
            </numRef>
          </val>
        </ser>
        <ser>
          <idx val="1"/>
          <order val="1"/>
          <tx>
            <v>AL</v>
          </tx>
          <spPr>
            <a:ln>
              <a:prstDash val="solid"/>
            </a:ln>
          </spPr>
          <cat>
            <numRef>
              <f>'T12 Analytics'!$K$48:$K$52</f>
            </numRef>
          </cat>
          <val>
            <numRef>
              <f>'T12 Analytics'!$M$48:$M$52</f>
            </numRef>
          </val>
        </ser>
        <ser>
          <idx val="2"/>
          <order val="2"/>
          <tx>
            <v>MC</v>
          </tx>
          <spPr>
            <a:ln>
              <a:prstDash val="solid"/>
            </a:ln>
          </spPr>
          <cat>
            <numRef>
              <f>'T12 Analytics'!$K$48:$K$52</f>
            </numRef>
          </cat>
          <val>
            <numRef>
              <f>'T12 Analytics'!$N$48:$N$52</f>
            </numRef>
          </val>
        </ser>
        <gapWidth val="150"/>
        <axId val="10"/>
        <axId val="100"/>
      </barChart>
      <catAx>
        <axId val="10"/>
        <scaling>
          <orientation val="minMax"/>
        </scaling>
        <axPos val="b"/>
        <title>
          <tx>
            <rich>
              <a:bodyPr/>
              <a:p>
                <a:pPr>
                  <a:defRPr/>
                </a:pPr>
                <a:r>
                  <a:t>Rate band</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V3 — Payer Mix (% of total monthly revenue)</a:t>
            </a:r>
          </a:p>
        </rich>
      </tx>
    </title>
    <plotArea>
      <doughnutChart>
        <varyColors val="1"/>
        <ser>
          <idx val="0"/>
          <order val="0"/>
          <tx>
            <v>Payer mix</v>
          </tx>
          <spPr>
            <a:ln>
              <a:prstDash val="solid"/>
            </a:ln>
          </spPr>
          <cat>
            <numRef>
              <f>'Rent Roll Recon'!$A$40:$A$46</f>
            </numRef>
          </cat>
          <val>
            <numRef>
              <f>'Rent Roll Recon'!$H$40:$H$46</f>
            </numRef>
          </val>
        </ser>
        <dLbls>
          <showPercent val="1"/>
        </dLbls>
        <firstSliceAng val="0"/>
        <holeSize val="10"/>
      </doughnut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V4 — T12 Revenue Trend (12 months)</a:t>
            </a:r>
          </a:p>
        </rich>
      </tx>
    </title>
    <plotArea>
      <lineChart>
        <grouping val="standard"/>
        <ser>
          <idx val="0"/>
          <order val="0"/>
          <tx>
            <v>Total revenue (monthly)</v>
          </tx>
          <spPr>
            <a:ln>
              <a:prstDash val="solid"/>
            </a:ln>
          </spPr>
          <marker>
            <symbol val="none"/>
            <spPr>
              <a:ln>
                <a:prstDash val="solid"/>
              </a:ln>
            </spPr>
          </marker>
          <cat>
            <numRef>
              <f>'T12 Input'!$C$11:$N$11</f>
            </numRef>
          </cat>
          <val>
            <numRef>
              <f>'T12 Analytics'!$K$54:$V$54</f>
            </numRef>
          </val>
        </ser>
        <axId val="10"/>
        <axId val="100"/>
      </lineChart>
      <catAx>
        <axId val="10"/>
        <scaling>
          <orientation val="minMax"/>
        </scaling>
        <axPos val="b"/>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Total operating rev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V5 — AL Acuity Mix (Basic / Level 2-7)</a:t>
            </a:r>
          </a:p>
        </rich>
      </tx>
    </title>
    <plotArea>
      <doughnutChart>
        <varyColors val="1"/>
        <ser>
          <idx val="0"/>
          <order val="0"/>
          <tx>
            <v>AL acuity mix</v>
          </tx>
          <spPr>
            <a:ln>
              <a:prstDash val="solid"/>
            </a:ln>
          </spPr>
          <cat>
            <numRef>
              <f>'Rent Roll Recon'!$A$59:$A$66</f>
            </numRef>
          </cat>
          <val>
            <numRef>
              <f>'Rent Roll Recon'!$D$59:$D$66</f>
            </numRef>
          </val>
        </ser>
        <dLbls>
          <showPercent val="1"/>
        </dLbls>
        <firstSliceAng val="0"/>
        <holeSize val="10"/>
      </doughnutChart>
    </plotArea>
    <legend>
      <legendPos val="r"/>
    </legend>
    <plotVisOnly val="1"/>
    <dispBlanksAs val="gap"/>
  </chart>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43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15</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15</col>
      <colOff>0</colOff>
      <row>0</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15</col>
      <colOff>0</colOff>
      <row>15</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10</col>
      <colOff>0</colOff>
      <row>30</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v0.1.15</t>
        </is>
      </c>
    </row>
    <row r="5">
      <c r="A5" t="inlineStr">
        <is>
          <t>Property name</t>
        </is>
      </c>
    </row>
    <row r="7">
      <c r="A7" s="205" t="inlineStr">
        <is>
          <t>Versions</t>
        </is>
      </c>
    </row>
    <row r="8">
      <c r="A8" t="inlineStr">
        <is>
          <t>Substrate template</t>
        </is>
      </c>
      <c r="B8" t="inlineStr">
        <is>
          <t>v0.1.15</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70"/>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IFERROR(IF(LEN(TRIM('Rent Roll Input'!A3))&gt;0,'Rent Roll Input'!A3,IF(LEN(TRIM('T12 Input'!A10))&gt;0,'T12 Input'!A10,Property_Name)),Property_Name)</f>
        <v/>
      </c>
      <c r="D2" s="8" t="inlineStr">
        <is>
          <t>T12 Period Ending:</t>
        </is>
      </c>
      <c r="E2" s="211">
        <f>IFERROR(LOOKUP(2,1/('T12 Input'!$C$11:$N$11&lt;&gt;""),'T12 Input'!$C$11:$N$11),"")</f>
        <v/>
      </c>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v0.1.15</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c r="K15" s="212">
        <f>IF(OR('Rent Roll Recon'!B12&lt;0.85,'Rent Roll Recon'!C12&lt;0.85,'Rent Roll Recon'!D12&lt;0.85),"⚠ One or more care types below 85% physical occupancy — investigate stabilization assumptions.","✓ All care types ≥ 85% physical occupancy.")</f>
        <v/>
      </c>
      <c r="P15" s="212">
        <f>IF('Rent Roll Recon'!E41&gt;0.3,"⚠ Medicaid revenue share "&amp;TEXT('Rent Roll Recon'!E41,"0.0%")&amp;" — reimbursement rate risk; verify stabilized assumption.",IF('Rent Roll Recon'!E44&gt;0.25,"⚠ Managed Care revenue share "&amp;TEXT('Rent Roll Recon'!E44,"0.0%")&amp;" — verify per-diem rates vs. private pay.","✓ Payer mix dominated by private pay / low reimbursement risk."))</f>
        <v/>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c r="K30" s="212">
        <f>IF(LEN('Rent Roll Recon'!B96)=0,"-",IF(IFERROR(VALUE(SUBSTITUTE('Rent Roll Recon'!B96,"%",""))/100,0)&gt;0.25,"⚠ IL rate dispersion CV "&amp;TEXT(IFERROR(VALUE(SUBSTITUTE('Rent Roll Recon'!B96,"%",""))/100,0),"0.0%")&amp;" — wide spread may indicate legacy in-place rates.","✓ IL rate dispersion within normal band."))</f>
        <v/>
      </c>
      <c r="P30" s="212">
        <f>IFERROR(IF(AVERAGE(T54:V54)&gt;AVERAGE(K54:M54)*1.05,"↑ Revenue trending up — latest 3-mo avg "&amp;TEXT(AVERAGE(T54:V54),"$#,##0")&amp;" vs prior 3-mo "&amp;TEXT(AVERAGE(K54:M54),"$#,##0"),IF(AVERAGE(T54:V54)&lt;AVERAGE(K54:M54)*0.95,"↓ Revenue trending down — latest 3-mo avg "&amp;TEXT(AVERAGE(T54:V54),"$#,##0")&amp;" vs prior 3-mo "&amp;TEXT(AVERAGE(K54:M54),"$#,##0"),"→ Revenue stable — within ±5% of prior 3-mo.")),"Insufficient T12 data for trend.")</f>
        <v/>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6" t="inlineStr">
        <is>
          <t>"-"</t>
        </is>
      </c>
      <c r="F36" s="27">
        <f>IFERROR((B6*B36+C6*C36+D6*D36)/E6,"-")</f>
        <v/>
      </c>
      <c r="G36" s="36"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Data'!$R$56)&gt;0,ABS('T12 Raw Data'!$R$56),F38),F38)</f>
        <v/>
      </c>
      <c r="F38" s="25">
        <f>SUM(B38:D38)</f>
        <v/>
      </c>
      <c r="G38" s="24">
        <f>IFERROR(IF(E38="","",E38-F38),"")</f>
        <v/>
      </c>
      <c r="H38" s="15">
        <f>IF(AND(E37&lt;&gt;"",ABS('T12 Raw Data'!$R$56)&gt;0),"T12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Data'!$R$56)&gt;0),E38/E37,IFERROR((E6-E7)/E6,"-")),IFERROR((E6-E7)/E6,"-"))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Data'!$R$57)&gt;0,ABS('T12 Raw Data'!$R$57),F37-F38-E16),F37-F38-E16)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c r="K45" s="246">
        <f>IF('Rent Roll Recon'!D67=0,"Property has no AL acuity data — flat-rate AL or unpopulated.",IF(MAX('Rent Roll Recon'!D59:D66)/'Rent Roll Recon'!D67&gt;0.5,"⚠ Acuity skewed: top tier &gt; 50% of AL care charges — verify staffing model.","✓ Acuity distribution within normal range."))</f>
        <v/>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c r="K46" s="213" t="inlineStr">
        <is>
          <t>(hidden helper — rate buckets for V2 chart)</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c r="K47" s="214" t="inlineStr">
        <is>
          <t>Bucket</t>
        </is>
      </c>
      <c r="L47" s="214" t="inlineStr">
        <is>
          <t>IL</t>
        </is>
      </c>
      <c r="M47" s="214" t="inlineStr">
        <is>
          <t>AL</t>
        </is>
      </c>
      <c r="N47" s="214" t="inlineStr">
        <is>
          <t>MC</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c r="K48" t="inlineStr">
        <is>
          <t>$0 – $1,999</t>
        </is>
      </c>
      <c r="L48">
        <f>COUNTIFS('Rent Roll Input'!$S$7:$S$606,'Rent Roll Recon'!$B$2,'Rent Roll Input'!$E$7:$E$606,"&lt;&gt;Vacant",'Rent Roll Input'!$E$7:$E$606,"&lt;&gt;Eviction",'Rent Roll Input'!$H$7:$H$606,"&gt;="&amp;0,'Rent Roll Input'!$H$7:$H$606,"&lt;="&amp;1999.99,'Rent Roll Input'!$D$7:$D$606,"IL")</f>
        <v/>
      </c>
      <c r="M48">
        <f>COUNTIFS('Rent Roll Input'!$S$7:$S$606,'Rent Roll Recon'!$B$2,'Rent Roll Input'!$E$7:$E$606,"&lt;&gt;Vacant",'Rent Roll Input'!$E$7:$E$606,"&lt;&gt;Eviction",'Rent Roll Input'!$H$7:$H$606,"&gt;="&amp;0,'Rent Roll Input'!$H$7:$H$606,"&lt;="&amp;1999.99,'Rent Roll Input'!$D$7:$D$606,"AL")</f>
        <v/>
      </c>
      <c r="N48">
        <f>COUNTIFS('Rent Roll Input'!$S$7:$S$606,'Rent Roll Recon'!$B$2,'Rent Roll Input'!$E$7:$E$606,"&lt;&gt;Vacant",'Rent Roll Input'!$E$7:$E$606,"&lt;&gt;Eviction",'Rent Roll Input'!$H$7:$H$606,"&gt;="&amp;0,'Rent Roll Input'!$H$7:$H$606,"&lt;="&amp;1999.99,'Rent Roll Input'!$D$7:$D$606,"MC")</f>
        <v/>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c r="K49" t="inlineStr">
        <is>
          <t>$2,000 – $3,999</t>
        </is>
      </c>
      <c r="L49">
        <f>COUNTIFS('Rent Roll Input'!$S$7:$S$606,'Rent Roll Recon'!$B$2,'Rent Roll Input'!$E$7:$E$606,"&lt;&gt;Vacant",'Rent Roll Input'!$E$7:$E$606,"&lt;&gt;Eviction",'Rent Roll Input'!$H$7:$H$606,"&gt;="&amp;2000,'Rent Roll Input'!$H$7:$H$606,"&lt;="&amp;3999.99,'Rent Roll Input'!$D$7:$D$606,"IL")</f>
        <v/>
      </c>
      <c r="M49">
        <f>COUNTIFS('Rent Roll Input'!$S$7:$S$606,'Rent Roll Recon'!$B$2,'Rent Roll Input'!$E$7:$E$606,"&lt;&gt;Vacant",'Rent Roll Input'!$E$7:$E$606,"&lt;&gt;Eviction",'Rent Roll Input'!$H$7:$H$606,"&gt;="&amp;2000,'Rent Roll Input'!$H$7:$H$606,"&lt;="&amp;3999.99,'Rent Roll Input'!$D$7:$D$606,"AL")</f>
        <v/>
      </c>
      <c r="N49">
        <f>COUNTIFS('Rent Roll Input'!$S$7:$S$606,'Rent Roll Recon'!$B$2,'Rent Roll Input'!$E$7:$E$606,"&lt;&gt;Vacant",'Rent Roll Input'!$E$7:$E$606,"&lt;&gt;Eviction",'Rent Roll Input'!$H$7:$H$606,"&gt;="&amp;2000,'Rent Roll Input'!$H$7:$H$606,"&lt;="&amp;3999.99,'Rent Roll Input'!$D$7:$D$606,"MC")</f>
        <v/>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c r="K50" t="inlineStr">
        <is>
          <t>$4,000 – $5,999</t>
        </is>
      </c>
      <c r="L50">
        <f>COUNTIFS('Rent Roll Input'!$S$7:$S$606,'Rent Roll Recon'!$B$2,'Rent Roll Input'!$E$7:$E$606,"&lt;&gt;Vacant",'Rent Roll Input'!$E$7:$E$606,"&lt;&gt;Eviction",'Rent Roll Input'!$H$7:$H$606,"&gt;="&amp;4000,'Rent Roll Input'!$H$7:$H$606,"&lt;="&amp;5999.99,'Rent Roll Input'!$D$7:$D$606,"IL")</f>
        <v/>
      </c>
      <c r="M50">
        <f>COUNTIFS('Rent Roll Input'!$S$7:$S$606,'Rent Roll Recon'!$B$2,'Rent Roll Input'!$E$7:$E$606,"&lt;&gt;Vacant",'Rent Roll Input'!$E$7:$E$606,"&lt;&gt;Eviction",'Rent Roll Input'!$H$7:$H$606,"&gt;="&amp;4000,'Rent Roll Input'!$H$7:$H$606,"&lt;="&amp;5999.99,'Rent Roll Input'!$D$7:$D$606,"AL")</f>
        <v/>
      </c>
      <c r="N50">
        <f>COUNTIFS('Rent Roll Input'!$S$7:$S$606,'Rent Roll Recon'!$B$2,'Rent Roll Input'!$E$7:$E$606,"&lt;&gt;Vacant",'Rent Roll Input'!$E$7:$E$606,"&lt;&gt;Eviction",'Rent Roll Input'!$H$7:$H$606,"&gt;="&amp;4000,'Rent Roll Input'!$H$7:$H$606,"&lt;="&amp;5999.99,'Rent Roll Input'!$D$7:$D$606,"MC")</f>
        <v/>
      </c>
    </row>
    <row r="51" ht="14.25" customHeight="1" s="199">
      <c r="K51" t="inlineStr">
        <is>
          <t>$6,000 – $7,999</t>
        </is>
      </c>
      <c r="L51">
        <f>COUNTIFS('Rent Roll Input'!$S$7:$S$606,'Rent Roll Recon'!$B$2,'Rent Roll Input'!$E$7:$E$606,"&lt;&gt;Vacant",'Rent Roll Input'!$E$7:$E$606,"&lt;&gt;Eviction",'Rent Roll Input'!$H$7:$H$606,"&gt;="&amp;6000,'Rent Roll Input'!$H$7:$H$606,"&lt;="&amp;7999.99,'Rent Roll Input'!$D$7:$D$606,"IL")</f>
        <v/>
      </c>
      <c r="M51">
        <f>COUNTIFS('Rent Roll Input'!$S$7:$S$606,'Rent Roll Recon'!$B$2,'Rent Roll Input'!$E$7:$E$606,"&lt;&gt;Vacant",'Rent Roll Input'!$E$7:$E$606,"&lt;&gt;Eviction",'Rent Roll Input'!$H$7:$H$606,"&gt;="&amp;6000,'Rent Roll Input'!$H$7:$H$606,"&lt;="&amp;7999.99,'Rent Roll Input'!$D$7:$D$606,"AL")</f>
        <v/>
      </c>
      <c r="N51">
        <f>COUNTIFS('Rent Roll Input'!$S$7:$S$606,'Rent Roll Recon'!$B$2,'Rent Roll Input'!$E$7:$E$606,"&lt;&gt;Vacant",'Rent Roll Input'!$E$7:$E$606,"&lt;&gt;Eviction",'Rent Roll Input'!$H$7:$H$606,"&gt;="&amp;6000,'Rent Roll Input'!$H$7:$H$606,"&lt;="&amp;7999.99,'Rent Roll Input'!$D$7:$D$606,"MC")</f>
        <v/>
      </c>
    </row>
    <row r="52" ht="14.25" customHeight="1" s="199">
      <c r="A52" s="42" t="inlineStr">
        <is>
          <t>EFFECTIVE GROSS INCOME  (EGI)</t>
        </is>
      </c>
      <c r="B52" s="196" t="n"/>
      <c r="C52" s="196" t="n"/>
      <c r="D52" s="196" t="n"/>
      <c r="E52" s="44">
        <f>E16+E23+E47+E48+E49+E50</f>
        <v/>
      </c>
      <c r="F52" s="44">
        <f>E20+E27+F47+F48+F49+F50</f>
        <v/>
      </c>
      <c r="G52" s="44">
        <f>F52-E52</f>
        <v/>
      </c>
      <c r="H52" s="45" t="inlineStr">
        <is>
          <t>100% of EGI</t>
        </is>
      </c>
      <c r="K52" t="inlineStr">
        <is>
          <t>$8,000+</t>
        </is>
      </c>
      <c r="L52">
        <f>COUNTIFS('Rent Roll Input'!$S$7:$S$606,'Rent Roll Recon'!$B$2,'Rent Roll Input'!$E$7:$E$606,"&lt;&gt;Vacant",'Rent Roll Input'!$E$7:$E$606,"&lt;&gt;Eviction",'Rent Roll Input'!$H$7:$H$606,"&gt;="&amp;8000,'Rent Roll Input'!$H$7:$H$606,"&lt;="&amp;99999999,'Rent Roll Input'!$D$7:$D$606,"IL")</f>
        <v/>
      </c>
      <c r="M52">
        <f>COUNTIFS('Rent Roll Input'!$S$7:$S$606,'Rent Roll Recon'!$B$2,'Rent Roll Input'!$E$7:$E$606,"&lt;&gt;Vacant",'Rent Roll Input'!$E$7:$E$606,"&lt;&gt;Eviction",'Rent Roll Input'!$H$7:$H$606,"&gt;="&amp;8000,'Rent Roll Input'!$H$7:$H$606,"&lt;="&amp;99999999,'Rent Roll Input'!$D$7:$D$606,"AL")</f>
        <v/>
      </c>
      <c r="N52">
        <f>COUNTIFS('Rent Roll Input'!$S$7:$S$606,'Rent Roll Recon'!$B$2,'Rent Roll Input'!$E$7:$E$606,"&lt;&gt;Vacant",'Rent Roll Input'!$E$7:$E$606,"&lt;&gt;Eviction",'Rent Roll Input'!$H$7:$H$606,"&gt;="&amp;8000,'Rent Roll Input'!$H$7:$H$606,"&lt;="&amp;99999999,'Rent Roll Input'!$D$7:$D$606,"MC")</f>
        <v/>
      </c>
    </row>
    <row r="53" ht="14.25" customHeight="1" s="199">
      <c r="K53" s="213" t="inlineStr">
        <is>
          <t>(hidden helper — T12 monthly revenue for V4)</t>
        </is>
      </c>
    </row>
    <row r="54" ht="14.25" customHeight="1" s="199">
      <c r="A54" s="182" t="inlineStr">
        <is>
          <t>SECTION 3  ·  EXPENSE ANALYSIS  —  T12 ACTUAL  →  NORMALIZED</t>
        </is>
      </c>
      <c r="K54">
        <f>SUMIFS('T12 Raw Data'!F:F,'T12 Raw Data'!$A:$A,"Revenue")</f>
        <v/>
      </c>
      <c r="L54">
        <f>SUMIFS('T12 Raw Data'!G:G,'T12 Raw Data'!$A:$A,"Revenue")</f>
        <v/>
      </c>
      <c r="M54">
        <f>SUMIFS('T12 Raw Data'!H:H,'T12 Raw Data'!$A:$A,"Revenue")</f>
        <v/>
      </c>
      <c r="N54">
        <f>SUMIFS('T12 Raw Data'!I:I,'T12 Raw Data'!$A:$A,"Revenue")</f>
        <v/>
      </c>
      <c r="O54">
        <f>SUMIFS('T12 Raw Data'!J:J,'T12 Raw Data'!$A:$A,"Revenue")</f>
        <v/>
      </c>
      <c r="P54">
        <f>SUMIFS('T12 Raw Data'!K:K,'T12 Raw Data'!$A:$A,"Revenue")</f>
        <v/>
      </c>
      <c r="Q54">
        <f>SUMIFS('T12 Raw Data'!L:L,'T12 Raw Data'!$A:$A,"Revenue")</f>
        <v/>
      </c>
      <c r="R54">
        <f>SUMIFS('T12 Raw Data'!M:M,'T12 Raw Data'!$A:$A,"Revenue")</f>
        <v/>
      </c>
      <c r="S54">
        <f>SUMIFS('T12 Raw Data'!N:N,'T12 Raw Data'!$A:$A,"Revenue")</f>
        <v/>
      </c>
      <c r="T54">
        <f>SUMIFS('T12 Raw Data'!O:O,'T12 Raw Data'!$A:$A,"Revenue")</f>
        <v/>
      </c>
      <c r="U54">
        <f>SUMIFS('T12 Raw Data'!P:P,'T12 Raw Data'!$A:$A,"Revenue")</f>
        <v/>
      </c>
      <c r="V54">
        <f>SUMIFS('T12 Raw Data'!Q:Q,'T12 Raw Data'!$A:$A,"Revenue")</f>
        <v/>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row r="168">
      <c r="A168" s="225" t="inlineStr">
        <is>
          <t>RR ↔ T12 — 2nd Person Revenue Reconciliation  (BL-0004)</t>
        </is>
      </c>
    </row>
    <row r="169">
      <c r="A169" s="226" t="inlineStr">
        <is>
          <t>Metric</t>
        </is>
      </c>
      <c r="B169" s="226" t="inlineStr">
        <is>
          <t>RR projection
(annual)</t>
        </is>
      </c>
      <c r="C169" s="226" t="inlineStr">
        <is>
          <t>T12 actual
(annual)</t>
        </is>
      </c>
      <c r="D169" s="226" t="inlineStr">
        <is>
          <t>Variance %</t>
        </is>
      </c>
      <c r="E169" s="226" t="inlineStr">
        <is>
          <t>Note</t>
        </is>
      </c>
      <c r="F169" s="196" t="n"/>
      <c r="G169" s="197" t="n"/>
    </row>
    <row r="170">
      <c r="A170" s="229" t="inlineStr">
        <is>
          <t>2P revenue
(Σ Rent Roll Input!V × 12  vs.  T12 Raw Data!R15)</t>
        </is>
      </c>
      <c r="B170" s="235">
        <f>SUM('Rent Roll Input'!$V$7:$V$606)*12</f>
        <v/>
      </c>
      <c r="C170" s="235">
        <f>IFERROR('T12 Raw Data'!$R$15,0)</f>
        <v/>
      </c>
      <c r="D170" s="240">
        <f>IFERROR((B170-C170)/C170,"")</f>
        <v/>
      </c>
      <c r="E170" s="241">
        <f>IF(NOT(ISNUMBER(D170)),"",IF(ABS(D170)&gt;0.1,"⚠ 2P revenue gap of "&amp;TEXT(D170,"0.0%")&amp;" — verify SP column matches operator's published 2P rate","✓ 2P revenue reconciles within "&amp;TEXT(0.1,"0%")&amp;" of T12"))</f>
        <v/>
      </c>
      <c r="F170" s="196" t="n"/>
      <c r="G170" s="197" t="n"/>
    </row>
  </sheetData>
  <mergeCells count="21">
    <mergeCell ref="A67:H67"/>
    <mergeCell ref="A15:H15"/>
    <mergeCell ref="A97:D97"/>
    <mergeCell ref="E170:G170"/>
    <mergeCell ref="A1:H1"/>
    <mergeCell ref="A45:H45"/>
    <mergeCell ref="A102:D102"/>
    <mergeCell ref="E169:G169"/>
    <mergeCell ref="A56:H56"/>
    <mergeCell ref="A94:D94"/>
    <mergeCell ref="A168:G168"/>
    <mergeCell ref="A104:H104"/>
    <mergeCell ref="A65:D65"/>
    <mergeCell ref="A99:D99"/>
    <mergeCell ref="A126:H126"/>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2" s="215" t="n"/>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v0.1.15</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Z64"/>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v0.1.15</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SUMIF(T12_Calc!$N$1:$N$500,"Base rent — IL",T12_Calc!$B$1:$B$500)</f>
        <v/>
      </c>
      <c r="G6" s="24">
        <f>SUMIF(T12_Calc!$N$1:$N$500,"Base rent — IL",T12_Calc!$C$1:$C$500)</f>
        <v/>
      </c>
      <c r="H6" s="24">
        <f>SUMIF(T12_Calc!$N$1:$N$500,"Base rent — IL",T12_Calc!$D$1:$D$500)</f>
        <v/>
      </c>
      <c r="I6" s="24">
        <f>SUMIF(T12_Calc!$N$1:$N$500,"Base rent — IL",T12_Calc!$E$1:$E$500)</f>
        <v/>
      </c>
      <c r="J6" s="24">
        <f>SUMIF(T12_Calc!$N$1:$N$500,"Base rent — IL",T12_Calc!$F$1:$F$500)</f>
        <v/>
      </c>
      <c r="K6" s="24">
        <f>SUMIF(T12_Calc!$N$1:$N$500,"Base rent — IL",T12_Calc!$G$1:$G$500)</f>
        <v/>
      </c>
      <c r="L6" s="24">
        <f>SUMIF(T12_Calc!$N$1:$N$500,"Base rent — IL",T12_Calc!$H$1:$H$500)</f>
        <v/>
      </c>
      <c r="M6" s="24">
        <f>SUMIF(T12_Calc!$N$1:$N$500,"Base rent — IL",T12_Calc!$I$1:$I$500)</f>
        <v/>
      </c>
      <c r="N6" s="24">
        <f>SUMIF(T12_Calc!$N$1:$N$500,"Base rent — IL",T12_Calc!$J$1:$J$500)</f>
        <v/>
      </c>
      <c r="O6" s="24">
        <f>SUMIF(T12_Calc!$N$1:$N$500,"Base rent — IL",T12_Calc!$K$1:$K$500)</f>
        <v/>
      </c>
      <c r="P6" s="24">
        <f>SUMIF(T12_Calc!$N$1:$N$500,"Base rent — IL",T12_Calc!$L$1:$L$500)</f>
        <v/>
      </c>
      <c r="Q6" s="24">
        <f>SUMIF(T12_Calc!$N$1:$N$500,"Base rent — IL",T12_Calc!$M$1:$M$500)</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SUMIF(T12_Calc!$N$1:$N$500,"Base rent — AL",T12_Calc!$B$1:$B$500)</f>
        <v/>
      </c>
      <c r="G7" s="24">
        <f>SUMIF(T12_Calc!$N$1:$N$500,"Base rent — AL",T12_Calc!$C$1:$C$500)</f>
        <v/>
      </c>
      <c r="H7" s="24">
        <f>SUMIF(T12_Calc!$N$1:$N$500,"Base rent — AL",T12_Calc!$D$1:$D$500)</f>
        <v/>
      </c>
      <c r="I7" s="24">
        <f>SUMIF(T12_Calc!$N$1:$N$500,"Base rent — AL",T12_Calc!$E$1:$E$500)</f>
        <v/>
      </c>
      <c r="J7" s="24">
        <f>SUMIF(T12_Calc!$N$1:$N$500,"Base rent — AL",T12_Calc!$F$1:$F$500)</f>
        <v/>
      </c>
      <c r="K7" s="24">
        <f>SUMIF(T12_Calc!$N$1:$N$500,"Base rent — AL",T12_Calc!$G$1:$G$500)</f>
        <v/>
      </c>
      <c r="L7" s="24">
        <f>SUMIF(T12_Calc!$N$1:$N$500,"Base rent — AL",T12_Calc!$H$1:$H$500)</f>
        <v/>
      </c>
      <c r="M7" s="24">
        <f>SUMIF(T12_Calc!$N$1:$N$500,"Base rent — AL",T12_Calc!$I$1:$I$500)</f>
        <v/>
      </c>
      <c r="N7" s="24">
        <f>SUMIF(T12_Calc!$N$1:$N$500,"Base rent — AL",T12_Calc!$J$1:$J$500)</f>
        <v/>
      </c>
      <c r="O7" s="24">
        <f>SUMIF(T12_Calc!$N$1:$N$500,"Base rent — AL",T12_Calc!$K$1:$K$500)</f>
        <v/>
      </c>
      <c r="P7" s="24">
        <f>SUMIF(T12_Calc!$N$1:$N$500,"Base rent — AL",T12_Calc!$L$1:$L$500)</f>
        <v/>
      </c>
      <c r="Q7" s="24">
        <f>SUMIF(T12_Calc!$N$1:$N$500,"Base rent — AL",T12_Calc!$M$1:$M$500)</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SUMIF(T12_Calc!$N$1:$N$500,"Base rent — MC",T12_Calc!$B$1:$B$500)</f>
        <v/>
      </c>
      <c r="G8" s="24">
        <f>SUMIF(T12_Calc!$N$1:$N$500,"Base rent — MC",T12_Calc!$C$1:$C$500)</f>
        <v/>
      </c>
      <c r="H8" s="24">
        <f>SUMIF(T12_Calc!$N$1:$N$500,"Base rent — MC",T12_Calc!$D$1:$D$500)</f>
        <v/>
      </c>
      <c r="I8" s="24">
        <f>SUMIF(T12_Calc!$N$1:$N$500,"Base rent — MC",T12_Calc!$E$1:$E$500)</f>
        <v/>
      </c>
      <c r="J8" s="24">
        <f>SUMIF(T12_Calc!$N$1:$N$500,"Base rent — MC",T12_Calc!$F$1:$F$500)</f>
        <v/>
      </c>
      <c r="K8" s="24">
        <f>SUMIF(T12_Calc!$N$1:$N$500,"Base rent — MC",T12_Calc!$G$1:$G$500)</f>
        <v/>
      </c>
      <c r="L8" s="24">
        <f>SUMIF(T12_Calc!$N$1:$N$500,"Base rent — MC",T12_Calc!$H$1:$H$500)</f>
        <v/>
      </c>
      <c r="M8" s="24">
        <f>SUMIF(T12_Calc!$N$1:$N$500,"Base rent — MC",T12_Calc!$I$1:$I$500)</f>
        <v/>
      </c>
      <c r="N8" s="24">
        <f>SUMIF(T12_Calc!$N$1:$N$500,"Base rent — MC",T12_Calc!$J$1:$J$500)</f>
        <v/>
      </c>
      <c r="O8" s="24">
        <f>SUMIF(T12_Calc!$N$1:$N$500,"Base rent — MC",T12_Calc!$K$1:$K$500)</f>
        <v/>
      </c>
      <c r="P8" s="24">
        <f>SUMIF(T12_Calc!$N$1:$N$500,"Base rent — MC",T12_Calc!$L$1:$L$500)</f>
        <v/>
      </c>
      <c r="Q8" s="24">
        <f>SUMIF(T12_Calc!$N$1:$N$500,"Base rent — MC",T12_Calc!$M$1:$M$500)</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SUMIF(T12_Calc!$N$1:$N$500,"LOC revenue — IL",T12_Calc!$B$1:$B$500)</f>
        <v/>
      </c>
      <c r="G9" s="24">
        <f>SUMIF(T12_Calc!$N$1:$N$500,"LOC revenue — IL",T12_Calc!$C$1:$C$500)</f>
        <v/>
      </c>
      <c r="H9" s="24">
        <f>SUMIF(T12_Calc!$N$1:$N$500,"LOC revenue — IL",T12_Calc!$D$1:$D$500)</f>
        <v/>
      </c>
      <c r="I9" s="24">
        <f>SUMIF(T12_Calc!$N$1:$N$500,"LOC revenue — IL",T12_Calc!$E$1:$E$500)</f>
        <v/>
      </c>
      <c r="J9" s="24">
        <f>SUMIF(T12_Calc!$N$1:$N$500,"LOC revenue — IL",T12_Calc!$F$1:$F$500)</f>
        <v/>
      </c>
      <c r="K9" s="24">
        <f>SUMIF(T12_Calc!$N$1:$N$500,"LOC revenue — IL",T12_Calc!$G$1:$G$500)</f>
        <v/>
      </c>
      <c r="L9" s="24">
        <f>SUMIF(T12_Calc!$N$1:$N$500,"LOC revenue — IL",T12_Calc!$H$1:$H$500)</f>
        <v/>
      </c>
      <c r="M9" s="24">
        <f>SUMIF(T12_Calc!$N$1:$N$500,"LOC revenue — IL",T12_Calc!$I$1:$I$500)</f>
        <v/>
      </c>
      <c r="N9" s="24">
        <f>SUMIF(T12_Calc!$N$1:$N$500,"LOC revenue — IL",T12_Calc!$J$1:$J$500)</f>
        <v/>
      </c>
      <c r="O9" s="24">
        <f>SUMIF(T12_Calc!$N$1:$N$500,"LOC revenue — IL",T12_Calc!$K$1:$K$500)</f>
        <v/>
      </c>
      <c r="P9" s="24">
        <f>SUMIF(T12_Calc!$N$1:$N$500,"LOC revenue — IL",T12_Calc!$L$1:$L$500)</f>
        <v/>
      </c>
      <c r="Q9" s="24">
        <f>SUMIF(T12_Calc!$N$1:$N$500,"LOC revenue — IL",T12_Calc!$M$1:$M$500)</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SUMIF(T12_Calc!$N$1:$N$500,"LOC revenue — AL",T12_Calc!$B$1:$B$500)</f>
        <v/>
      </c>
      <c r="G10" s="24">
        <f>SUMIF(T12_Calc!$N$1:$N$500,"LOC revenue — AL",T12_Calc!$C$1:$C$500)</f>
        <v/>
      </c>
      <c r="H10" s="24">
        <f>SUMIF(T12_Calc!$N$1:$N$500,"LOC revenue — AL",T12_Calc!$D$1:$D$500)</f>
        <v/>
      </c>
      <c r="I10" s="24">
        <f>SUMIF(T12_Calc!$N$1:$N$500,"LOC revenue — AL",T12_Calc!$E$1:$E$500)</f>
        <v/>
      </c>
      <c r="J10" s="24">
        <f>SUMIF(T12_Calc!$N$1:$N$500,"LOC revenue — AL",T12_Calc!$F$1:$F$500)</f>
        <v/>
      </c>
      <c r="K10" s="24">
        <f>SUMIF(T12_Calc!$N$1:$N$500,"LOC revenue — AL",T12_Calc!$G$1:$G$500)</f>
        <v/>
      </c>
      <c r="L10" s="24">
        <f>SUMIF(T12_Calc!$N$1:$N$500,"LOC revenue — AL",T12_Calc!$H$1:$H$500)</f>
        <v/>
      </c>
      <c r="M10" s="24">
        <f>SUMIF(T12_Calc!$N$1:$N$500,"LOC revenue — AL",T12_Calc!$I$1:$I$500)</f>
        <v/>
      </c>
      <c r="N10" s="24">
        <f>SUMIF(T12_Calc!$N$1:$N$500,"LOC revenue — AL",T12_Calc!$J$1:$J$500)</f>
        <v/>
      </c>
      <c r="O10" s="24">
        <f>SUMIF(T12_Calc!$N$1:$N$500,"LOC revenue — AL",T12_Calc!$K$1:$K$500)</f>
        <v/>
      </c>
      <c r="P10" s="24">
        <f>SUMIF(T12_Calc!$N$1:$N$500,"LOC revenue — AL",T12_Calc!$L$1:$L$500)</f>
        <v/>
      </c>
      <c r="Q10" s="24">
        <f>SUMIF(T12_Calc!$N$1:$N$500,"LOC revenue — AL",T12_Calc!$M$1:$M$500)</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SUMIF(T12_Calc!$N$1:$N$500,"LOC revenue — MC",T12_Calc!$B$1:$B$500)</f>
        <v/>
      </c>
      <c r="G11" s="24">
        <f>SUMIF(T12_Calc!$N$1:$N$500,"LOC revenue — MC",T12_Calc!$C$1:$C$500)</f>
        <v/>
      </c>
      <c r="H11" s="24">
        <f>SUMIF(T12_Calc!$N$1:$N$500,"LOC revenue — MC",T12_Calc!$D$1:$D$500)</f>
        <v/>
      </c>
      <c r="I11" s="24">
        <f>SUMIF(T12_Calc!$N$1:$N$500,"LOC revenue — MC",T12_Calc!$E$1:$E$500)</f>
        <v/>
      </c>
      <c r="J11" s="24">
        <f>SUMIF(T12_Calc!$N$1:$N$500,"LOC revenue — MC",T12_Calc!$F$1:$F$500)</f>
        <v/>
      </c>
      <c r="K11" s="24">
        <f>SUMIF(T12_Calc!$N$1:$N$500,"LOC revenue — MC",T12_Calc!$G$1:$G$500)</f>
        <v/>
      </c>
      <c r="L11" s="24">
        <f>SUMIF(T12_Calc!$N$1:$N$500,"LOC revenue — MC",T12_Calc!$H$1:$H$500)</f>
        <v/>
      </c>
      <c r="M11" s="24">
        <f>SUMIF(T12_Calc!$N$1:$N$500,"LOC revenue — MC",T12_Calc!$I$1:$I$500)</f>
        <v/>
      </c>
      <c r="N11" s="24">
        <f>SUMIF(T12_Calc!$N$1:$N$500,"LOC revenue — MC",T12_Calc!$J$1:$J$500)</f>
        <v/>
      </c>
      <c r="O11" s="24">
        <f>SUMIF(T12_Calc!$N$1:$N$500,"LOC revenue — MC",T12_Calc!$K$1:$K$500)</f>
        <v/>
      </c>
      <c r="P11" s="24">
        <f>SUMIF(T12_Calc!$N$1:$N$500,"LOC revenue — MC",T12_Calc!$L$1:$L$500)</f>
        <v/>
      </c>
      <c r="Q11" s="24">
        <f>SUMIF(T12_Calc!$N$1:$N$500,"LOC revenue — MC",T12_Calc!$M$1:$M$500)</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SUMIF(T12_Calc!$N$1:$N$500,"Community / move-in fees",T12_Calc!$B$1:$B$500)</f>
        <v/>
      </c>
      <c r="G12" s="47">
        <f>SUMIF(T12_Calc!$N$1:$N$500,"Community / move-in fees",T12_Calc!$C$1:$C$500)</f>
        <v/>
      </c>
      <c r="H12" s="47">
        <f>SUMIF(T12_Calc!$N$1:$N$500,"Community / move-in fees",T12_Calc!$D$1:$D$500)</f>
        <v/>
      </c>
      <c r="I12" s="47">
        <f>SUMIF(T12_Calc!$N$1:$N$500,"Community / move-in fees",T12_Calc!$E$1:$E$500)</f>
        <v/>
      </c>
      <c r="J12" s="47">
        <f>SUMIF(T12_Calc!$N$1:$N$500,"Community / move-in fees",T12_Calc!$F$1:$F$500)</f>
        <v/>
      </c>
      <c r="K12" s="47">
        <f>SUMIF(T12_Calc!$N$1:$N$500,"Community / move-in fees",T12_Calc!$G$1:$G$500)</f>
        <v/>
      </c>
      <c r="L12" s="47">
        <f>SUMIF(T12_Calc!$N$1:$N$500,"Community / move-in fees",T12_Calc!$H$1:$H$500)</f>
        <v/>
      </c>
      <c r="M12" s="47">
        <f>SUMIF(T12_Calc!$N$1:$N$500,"Community / move-in fees",T12_Calc!$I$1:$I$500)</f>
        <v/>
      </c>
      <c r="N12" s="47">
        <f>SUMIF(T12_Calc!$N$1:$N$500,"Community / move-in fees",T12_Calc!$J$1:$J$500)</f>
        <v/>
      </c>
      <c r="O12" s="47">
        <f>SUMIF(T12_Calc!$N$1:$N$500,"Community / move-in fees",T12_Calc!$K$1:$K$500)</f>
        <v/>
      </c>
      <c r="P12" s="47">
        <f>SUMIF(T12_Calc!$N$1:$N$500,"Community / move-in fees",T12_Calc!$L$1:$L$500)</f>
        <v/>
      </c>
      <c r="Q12" s="47">
        <f>SUMIF(T12_Calc!$N$1:$N$500,"Community / move-in fees",T12_Calc!$M$1:$M$500)</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SUMIF(T12_Calc!$N$1:$N$500,"Concessions &amp; specials",T12_Calc!$B$1:$B$500)</f>
        <v/>
      </c>
      <c r="G13" s="47">
        <f>SUMIF(T12_Calc!$N$1:$N$500,"Concessions &amp; specials",T12_Calc!$C$1:$C$500)</f>
        <v/>
      </c>
      <c r="H13" s="47">
        <f>SUMIF(T12_Calc!$N$1:$N$500,"Concessions &amp; specials",T12_Calc!$D$1:$D$500)</f>
        <v/>
      </c>
      <c r="I13" s="47">
        <f>SUMIF(T12_Calc!$N$1:$N$500,"Concessions &amp; specials",T12_Calc!$E$1:$E$500)</f>
        <v/>
      </c>
      <c r="J13" s="47">
        <f>SUMIF(T12_Calc!$N$1:$N$500,"Concessions &amp; specials",T12_Calc!$F$1:$F$500)</f>
        <v/>
      </c>
      <c r="K13" s="47">
        <f>SUMIF(T12_Calc!$N$1:$N$500,"Concessions &amp; specials",T12_Calc!$G$1:$G$500)</f>
        <v/>
      </c>
      <c r="L13" s="47">
        <f>SUMIF(T12_Calc!$N$1:$N$500,"Concessions &amp; specials",T12_Calc!$H$1:$H$500)</f>
        <v/>
      </c>
      <c r="M13" s="47">
        <f>SUMIF(T12_Calc!$N$1:$N$500,"Concessions &amp; specials",T12_Calc!$I$1:$I$500)</f>
        <v/>
      </c>
      <c r="N13" s="47">
        <f>SUMIF(T12_Calc!$N$1:$N$500,"Concessions &amp; specials",T12_Calc!$J$1:$J$500)</f>
        <v/>
      </c>
      <c r="O13" s="47">
        <f>SUMIF(T12_Calc!$N$1:$N$500,"Concessions &amp; specials",T12_Calc!$K$1:$K$500)</f>
        <v/>
      </c>
      <c r="P13" s="47">
        <f>SUMIF(T12_Calc!$N$1:$N$500,"Concessions &amp; specials",T12_Calc!$L$1:$L$500)</f>
        <v/>
      </c>
      <c r="Q13" s="47">
        <f>SUMIF(T12_Calc!$N$1:$N$500,"Concessions &amp; specials",T12_Calc!$M$1:$M$500)</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SUMIF(T12_Calc!$N$1:$N$500,"Respite care",T12_Calc!$B$1:$B$500)</f>
        <v/>
      </c>
      <c r="G14" s="47">
        <f>SUMIF(T12_Calc!$N$1:$N$500,"Respite care",T12_Calc!$C$1:$C$500)</f>
        <v/>
      </c>
      <c r="H14" s="47">
        <f>SUMIF(T12_Calc!$N$1:$N$500,"Respite care",T12_Calc!$D$1:$D$500)</f>
        <v/>
      </c>
      <c r="I14" s="47">
        <f>SUMIF(T12_Calc!$N$1:$N$500,"Respite care",T12_Calc!$E$1:$E$500)</f>
        <v/>
      </c>
      <c r="J14" s="47">
        <f>SUMIF(T12_Calc!$N$1:$N$500,"Respite care",T12_Calc!$F$1:$F$500)</f>
        <v/>
      </c>
      <c r="K14" s="47">
        <f>SUMIF(T12_Calc!$N$1:$N$500,"Respite care",T12_Calc!$G$1:$G$500)</f>
        <v/>
      </c>
      <c r="L14" s="47">
        <f>SUMIF(T12_Calc!$N$1:$N$500,"Respite care",T12_Calc!$H$1:$H$500)</f>
        <v/>
      </c>
      <c r="M14" s="47">
        <f>SUMIF(T12_Calc!$N$1:$N$500,"Respite care",T12_Calc!$I$1:$I$500)</f>
        <v/>
      </c>
      <c r="N14" s="47">
        <f>SUMIF(T12_Calc!$N$1:$N$500,"Respite care",T12_Calc!$J$1:$J$500)</f>
        <v/>
      </c>
      <c r="O14" s="47">
        <f>SUMIF(T12_Calc!$N$1:$N$500,"Respite care",T12_Calc!$K$1:$K$500)</f>
        <v/>
      </c>
      <c r="P14" s="47">
        <f>SUMIF(T12_Calc!$N$1:$N$500,"Respite care",T12_Calc!$L$1:$L$500)</f>
        <v/>
      </c>
      <c r="Q14" s="47">
        <f>SUMIF(T12_Calc!$N$1:$N$500,"Respite care",T12_Calc!$M$1:$M$500)</f>
        <v/>
      </c>
      <c r="R14" s="93">
        <f>SUM(F14:Q14)</f>
        <v/>
      </c>
    </row>
    <row r="15" ht="15.75" customHeight="1" s="199">
      <c r="A15" s="82" t="inlineStr">
        <is>
          <t>Revenue</t>
        </is>
      </c>
      <c r="B15" s="83" t="inlineStr">
        <is>
          <t>2nd Person Revenue</t>
        </is>
      </c>
      <c r="C15" s="84" t="n"/>
      <c r="D15" s="85" t="n"/>
      <c r="E15" s="86" t="n"/>
      <c r="F15" s="24">
        <f>SUMIF(T12_Calc!$N$1:$N$500,"2nd Person Revenue",T12_Calc!$B$1:$B$500)</f>
        <v/>
      </c>
      <c r="G15" s="24">
        <f>SUMIF(T12_Calc!$N$1:$N$500,"2nd Person Revenue",T12_Calc!$C$1:$C$500)</f>
        <v/>
      </c>
      <c r="H15" s="24">
        <f>SUMIF(T12_Calc!$N$1:$N$500,"2nd Person Revenue",T12_Calc!$D$1:$D$500)</f>
        <v/>
      </c>
      <c r="I15" s="24">
        <f>SUMIF(T12_Calc!$N$1:$N$500,"2nd Person Revenue",T12_Calc!$E$1:$E$500)</f>
        <v/>
      </c>
      <c r="J15" s="24">
        <f>SUMIF(T12_Calc!$N$1:$N$500,"2nd Person Revenue",T12_Calc!$F$1:$F$500)</f>
        <v/>
      </c>
      <c r="K15" s="24">
        <f>SUMIF(T12_Calc!$N$1:$N$500,"2nd Person Revenue",T12_Calc!$G$1:$G$500)</f>
        <v/>
      </c>
      <c r="L15" s="24">
        <f>SUMIF(T12_Calc!$N$1:$N$500,"2nd Person Revenue",T12_Calc!$H$1:$H$500)</f>
        <v/>
      </c>
      <c r="M15" s="24">
        <f>SUMIF(T12_Calc!$N$1:$N$500,"2nd Person Revenue",T12_Calc!$I$1:$I$500)</f>
        <v/>
      </c>
      <c r="N15" s="24">
        <f>SUMIF(T12_Calc!$N$1:$N$500,"2nd Person Revenue",T12_Calc!$J$1:$J$500)</f>
        <v/>
      </c>
      <c r="O15" s="24">
        <f>SUMIF(T12_Calc!$N$1:$N$500,"2nd Person Revenue",T12_Calc!$K$1:$K$500)</f>
        <v/>
      </c>
      <c r="P15" s="24">
        <f>SUMIF(T12_Calc!$N$1:$N$500,"2nd Person Revenue",T12_Calc!$L$1:$L$500)</f>
        <v/>
      </c>
      <c r="Q15" s="24">
        <f>SUMIF(T12_Calc!$N$1:$N$500,"2nd Person Revenue",T12_Calc!$M$1:$M$500)</f>
        <v/>
      </c>
      <c r="R15" s="87">
        <f>SUM(F15:Q15)</f>
        <v/>
      </c>
    </row>
    <row r="16" ht="15.75" customHeight="1" s="199">
      <c r="A16" s="82" t="inlineStr">
        <is>
          <t>Revenue</t>
        </is>
      </c>
      <c r="B16" s="83" t="inlineStr">
        <is>
          <t>Other community revenue</t>
        </is>
      </c>
      <c r="C16" s="84" t="inlineStr">
        <is>
          <t>-</t>
        </is>
      </c>
      <c r="D16" s="85" t="n"/>
      <c r="E16" s="86" t="inlineStr">
        <is>
          <t>Guest Meals | Beautician Income | Utility Income | Incontinence Supplies Income | Personal Purchases | Administrative Fees | Finance Charges Revenue</t>
        </is>
      </c>
      <c r="F16" s="24">
        <f>SUMIF(T12_Calc!$N$1:$N$500,"Other community revenue",T12_Calc!$B$1:$B$500)</f>
        <v/>
      </c>
      <c r="G16" s="24">
        <f>SUMIF(T12_Calc!$N$1:$N$500,"Other community revenue",T12_Calc!$C$1:$C$500)</f>
        <v/>
      </c>
      <c r="H16" s="24">
        <f>SUMIF(T12_Calc!$N$1:$N$500,"Other community revenue",T12_Calc!$D$1:$D$500)</f>
        <v/>
      </c>
      <c r="I16" s="24">
        <f>SUMIF(T12_Calc!$N$1:$N$500,"Other community revenue",T12_Calc!$E$1:$E$500)</f>
        <v/>
      </c>
      <c r="J16" s="24">
        <f>SUMIF(T12_Calc!$N$1:$N$500,"Other community revenue",T12_Calc!$F$1:$F$500)</f>
        <v/>
      </c>
      <c r="K16" s="24">
        <f>SUMIF(T12_Calc!$N$1:$N$500,"Other community revenue",T12_Calc!$G$1:$G$500)</f>
        <v/>
      </c>
      <c r="L16" s="24">
        <f>SUMIF(T12_Calc!$N$1:$N$500,"Other community revenue",T12_Calc!$H$1:$H$500)</f>
        <v/>
      </c>
      <c r="M16" s="24">
        <f>SUMIF(T12_Calc!$N$1:$N$500,"Other community revenue",T12_Calc!$I$1:$I$500)</f>
        <v/>
      </c>
      <c r="N16" s="24">
        <f>SUMIF(T12_Calc!$N$1:$N$500,"Other community revenue",T12_Calc!$J$1:$J$500)</f>
        <v/>
      </c>
      <c r="O16" s="24">
        <f>SUMIF(T12_Calc!$N$1:$N$500,"Other community revenue",T12_Calc!$K$1:$K$500)</f>
        <v/>
      </c>
      <c r="P16" s="24">
        <f>SUMIF(T12_Calc!$N$1:$N$500,"Other community revenue",T12_Calc!$L$1:$L$500)</f>
        <v/>
      </c>
      <c r="Q16" s="24">
        <f>SUMIF(T12_Calc!$N$1:$N$500,"Other community revenue",T12_Calc!$M$1:$M$500)</f>
        <v/>
      </c>
      <c r="R16" s="87">
        <f>SUM(F16:Q16)</f>
        <v/>
      </c>
    </row>
    <row r="17" ht="15.75" customHeight="1" s="199">
      <c r="A17" s="82" t="inlineStr">
        <is>
          <t>Labor</t>
        </is>
      </c>
      <c r="B17" s="83" t="inlineStr">
        <is>
          <t>Care staff labor</t>
        </is>
      </c>
      <c r="C17" s="84" t="inlineStr">
        <is>
          <t>-</t>
        </is>
      </c>
      <c r="D17" s="85" t="n"/>
      <c r="E17" s="86" t="inlineStr">
        <is>
          <t>Care Staff Labor | Direct Care Labor | Other Labor</t>
        </is>
      </c>
      <c r="F17" s="24">
        <f>SUMIF(T12_Calc!$N$1:$N$500,"Care staff labor",T12_Calc!$B$1:$B$500)</f>
        <v/>
      </c>
      <c r="G17" s="24">
        <f>SUMIF(T12_Calc!$N$1:$N$500,"Care staff labor",T12_Calc!$C$1:$C$500)</f>
        <v/>
      </c>
      <c r="H17" s="24">
        <f>SUMIF(T12_Calc!$N$1:$N$500,"Care staff labor",T12_Calc!$D$1:$D$500)</f>
        <v/>
      </c>
      <c r="I17" s="24">
        <f>SUMIF(T12_Calc!$N$1:$N$500,"Care staff labor",T12_Calc!$E$1:$E$500)</f>
        <v/>
      </c>
      <c r="J17" s="24">
        <f>SUMIF(T12_Calc!$N$1:$N$500,"Care staff labor",T12_Calc!$F$1:$F$500)</f>
        <v/>
      </c>
      <c r="K17" s="24">
        <f>SUMIF(T12_Calc!$N$1:$N$500,"Care staff labor",T12_Calc!$G$1:$G$500)</f>
        <v/>
      </c>
      <c r="L17" s="24">
        <f>SUMIF(T12_Calc!$N$1:$N$500,"Care staff labor",T12_Calc!$H$1:$H$500)</f>
        <v/>
      </c>
      <c r="M17" s="24">
        <f>SUMIF(T12_Calc!$N$1:$N$500,"Care staff labor",T12_Calc!$I$1:$I$500)</f>
        <v/>
      </c>
      <c r="N17" s="24">
        <f>SUMIF(T12_Calc!$N$1:$N$500,"Care staff labor",T12_Calc!$J$1:$J$500)</f>
        <v/>
      </c>
      <c r="O17" s="24">
        <f>SUMIF(T12_Calc!$N$1:$N$500,"Care staff labor",T12_Calc!$K$1:$K$500)</f>
        <v/>
      </c>
      <c r="P17" s="24">
        <f>SUMIF(T12_Calc!$N$1:$N$500,"Care staff labor",T12_Calc!$L$1:$L$500)</f>
        <v/>
      </c>
      <c r="Q17" s="24">
        <f>SUMIF(T12_Calc!$N$1:$N$500,"Care staff labor",T12_Calc!$M$1:$M$500)</f>
        <v/>
      </c>
      <c r="R17" s="87">
        <f>SUM(F17:Q17)</f>
        <v/>
      </c>
    </row>
    <row r="18" ht="15.75" customHeight="1" s="199">
      <c r="A18" s="82" t="inlineStr">
        <is>
          <t>Labor</t>
        </is>
      </c>
      <c r="B18" s="83" t="inlineStr">
        <is>
          <t>Wellness / care coordinators</t>
        </is>
      </c>
      <c r="C18" s="84" t="inlineStr">
        <is>
          <t>-</t>
        </is>
      </c>
      <c r="D18" s="85" t="n"/>
      <c r="E18" s="86" t="inlineStr">
        <is>
          <t>Wellness/Care Coordinators Labor | Wellness/Care Coordinator Labor | Care Coordinator Labor</t>
        </is>
      </c>
      <c r="F18" s="24">
        <f>SUMIF(T12_Calc!$N$1:$N$500,"Wellness / care coordinators",T12_Calc!$B$1:$B$500)</f>
        <v/>
      </c>
      <c r="G18" s="24">
        <f>SUMIF(T12_Calc!$N$1:$N$500,"Wellness / care coordinators",T12_Calc!$C$1:$C$500)</f>
        <v/>
      </c>
      <c r="H18" s="24">
        <f>SUMIF(T12_Calc!$N$1:$N$500,"Wellness / care coordinators",T12_Calc!$D$1:$D$500)</f>
        <v/>
      </c>
      <c r="I18" s="24">
        <f>SUMIF(T12_Calc!$N$1:$N$500,"Wellness / care coordinators",T12_Calc!$E$1:$E$500)</f>
        <v/>
      </c>
      <c r="J18" s="24">
        <f>SUMIF(T12_Calc!$N$1:$N$500,"Wellness / care coordinators",T12_Calc!$F$1:$F$500)</f>
        <v/>
      </c>
      <c r="K18" s="24">
        <f>SUMIF(T12_Calc!$N$1:$N$500,"Wellness / care coordinators",T12_Calc!$G$1:$G$500)</f>
        <v/>
      </c>
      <c r="L18" s="24">
        <f>SUMIF(T12_Calc!$N$1:$N$500,"Wellness / care coordinators",T12_Calc!$H$1:$H$500)</f>
        <v/>
      </c>
      <c r="M18" s="24">
        <f>SUMIF(T12_Calc!$N$1:$N$500,"Wellness / care coordinators",T12_Calc!$I$1:$I$500)</f>
        <v/>
      </c>
      <c r="N18" s="24">
        <f>SUMIF(T12_Calc!$N$1:$N$500,"Wellness / care coordinators",T12_Calc!$J$1:$J$500)</f>
        <v/>
      </c>
      <c r="O18" s="24">
        <f>SUMIF(T12_Calc!$N$1:$N$500,"Wellness / care coordinators",T12_Calc!$K$1:$K$500)</f>
        <v/>
      </c>
      <c r="P18" s="24">
        <f>SUMIF(T12_Calc!$N$1:$N$500,"Wellness / care coordinators",T12_Calc!$L$1:$L$500)</f>
        <v/>
      </c>
      <c r="Q18" s="24">
        <f>SUMIF(T12_Calc!$N$1:$N$500,"Wellness / care coordinators",T12_Calc!$M$1:$M$500)</f>
        <v/>
      </c>
      <c r="R18" s="87">
        <f>SUM(F18:Q18)</f>
        <v/>
      </c>
    </row>
    <row r="19" ht="15.75" customHeight="1" s="199">
      <c r="A19" s="88" t="inlineStr">
        <is>
          <t>Labor</t>
        </is>
      </c>
      <c r="B19" s="89" t="inlineStr">
        <is>
          <t>Contract / agency labor</t>
        </is>
      </c>
      <c r="C19" s="90" t="inlineStr">
        <is>
          <t>-</t>
        </is>
      </c>
      <c r="D19" s="91" t="inlineStr">
        <is>
          <t>Normalize at stabilization</t>
        </is>
      </c>
      <c r="E19" s="92" t="inlineStr">
        <is>
          <t>Contract Labor - Care | Contract Labor | Agency Labor</t>
        </is>
      </c>
      <c r="F19" s="47">
        <f>SUMIF(T12_Calc!$N$1:$N$500,"Contract / agency labor",T12_Calc!$B$1:$B$500)</f>
        <v/>
      </c>
      <c r="G19" s="47">
        <f>SUMIF(T12_Calc!$N$1:$N$500,"Contract / agency labor",T12_Calc!$C$1:$C$500)</f>
        <v/>
      </c>
      <c r="H19" s="47">
        <f>SUMIF(T12_Calc!$N$1:$N$500,"Contract / agency labor",T12_Calc!$D$1:$D$500)</f>
        <v/>
      </c>
      <c r="I19" s="47">
        <f>SUMIF(T12_Calc!$N$1:$N$500,"Contract / agency labor",T12_Calc!$E$1:$E$500)</f>
        <v/>
      </c>
      <c r="J19" s="47">
        <f>SUMIF(T12_Calc!$N$1:$N$500,"Contract / agency labor",T12_Calc!$F$1:$F$500)</f>
        <v/>
      </c>
      <c r="K19" s="47">
        <f>SUMIF(T12_Calc!$N$1:$N$500,"Contract / agency labor",T12_Calc!$G$1:$G$500)</f>
        <v/>
      </c>
      <c r="L19" s="47">
        <f>SUMIF(T12_Calc!$N$1:$N$500,"Contract / agency labor",T12_Calc!$H$1:$H$500)</f>
        <v/>
      </c>
      <c r="M19" s="47">
        <f>SUMIF(T12_Calc!$N$1:$N$500,"Contract / agency labor",T12_Calc!$I$1:$I$500)</f>
        <v/>
      </c>
      <c r="N19" s="47">
        <f>SUMIF(T12_Calc!$N$1:$N$500,"Contract / agency labor",T12_Calc!$J$1:$J$500)</f>
        <v/>
      </c>
      <c r="O19" s="47">
        <f>SUMIF(T12_Calc!$N$1:$N$500,"Contract / agency labor",T12_Calc!$K$1:$K$500)</f>
        <v/>
      </c>
      <c r="P19" s="47">
        <f>SUMIF(T12_Calc!$N$1:$N$500,"Contract / agency labor",T12_Calc!$L$1:$L$500)</f>
        <v/>
      </c>
      <c r="Q19" s="47">
        <f>SUMIF(T12_Calc!$N$1:$N$500,"Contract / agency labor",T12_Calc!$M$1:$M$500)</f>
        <v/>
      </c>
      <c r="R19" s="93">
        <f>SUM(F19:Q19)</f>
        <v/>
      </c>
    </row>
    <row r="20" ht="15.75" customHeight="1" s="199">
      <c r="A20" s="82" t="inlineStr">
        <is>
          <t>Labor</t>
        </is>
      </c>
      <c r="B20" s="83" t="inlineStr">
        <is>
          <t>Activities labor</t>
        </is>
      </c>
      <c r="C20" s="84" t="inlineStr">
        <is>
          <t>-</t>
        </is>
      </c>
      <c r="D20" s="85" t="n"/>
      <c r="E20" s="86" t="inlineStr">
        <is>
          <t>Activities Labor</t>
        </is>
      </c>
      <c r="F20" s="24">
        <f>SUMIF(T12_Calc!$N$1:$N$500,"Activities labor",T12_Calc!$B$1:$B$500)</f>
        <v/>
      </c>
      <c r="G20" s="24">
        <f>SUMIF(T12_Calc!$N$1:$N$500,"Activities labor",T12_Calc!$C$1:$C$500)</f>
        <v/>
      </c>
      <c r="H20" s="24">
        <f>SUMIF(T12_Calc!$N$1:$N$500,"Activities labor",T12_Calc!$D$1:$D$500)</f>
        <v/>
      </c>
      <c r="I20" s="24">
        <f>SUMIF(T12_Calc!$N$1:$N$500,"Activities labor",T12_Calc!$E$1:$E$500)</f>
        <v/>
      </c>
      <c r="J20" s="24">
        <f>SUMIF(T12_Calc!$N$1:$N$500,"Activities labor",T12_Calc!$F$1:$F$500)</f>
        <v/>
      </c>
      <c r="K20" s="24">
        <f>SUMIF(T12_Calc!$N$1:$N$500,"Activities labor",T12_Calc!$G$1:$G$500)</f>
        <v/>
      </c>
      <c r="L20" s="24">
        <f>SUMIF(T12_Calc!$N$1:$N$500,"Activities labor",T12_Calc!$H$1:$H$500)</f>
        <v/>
      </c>
      <c r="M20" s="24">
        <f>SUMIF(T12_Calc!$N$1:$N$500,"Activities labor",T12_Calc!$I$1:$I$500)</f>
        <v/>
      </c>
      <c r="N20" s="24">
        <f>SUMIF(T12_Calc!$N$1:$N$500,"Activities labor",T12_Calc!$J$1:$J$500)</f>
        <v/>
      </c>
      <c r="O20" s="24">
        <f>SUMIF(T12_Calc!$N$1:$N$500,"Activities labor",T12_Calc!$K$1:$K$500)</f>
        <v/>
      </c>
      <c r="P20" s="24">
        <f>SUMIF(T12_Calc!$N$1:$N$500,"Activities labor",T12_Calc!$L$1:$L$500)</f>
        <v/>
      </c>
      <c r="Q20" s="24">
        <f>SUMIF(T12_Calc!$N$1:$N$500,"Activities labor",T12_Calc!$M$1:$M$500)</f>
        <v/>
      </c>
      <c r="R20" s="87">
        <f>SUM(F20:Q20)</f>
        <v/>
      </c>
    </row>
    <row r="21" ht="15.75" customHeight="1" s="199">
      <c r="A21" s="82" t="inlineStr">
        <is>
          <t>Labor</t>
        </is>
      </c>
      <c r="B21" s="83" t="inlineStr">
        <is>
          <t>Dining / food service labor</t>
        </is>
      </c>
      <c r="C21" s="84" t="inlineStr">
        <is>
          <t>-</t>
        </is>
      </c>
      <c r="D21" s="85" t="n"/>
      <c r="E21" s="86" t="inlineStr">
        <is>
          <t>Food Service Labor | Dietary Labor | Dining Labor</t>
        </is>
      </c>
      <c r="F21" s="24">
        <f>SUMIF(T12_Calc!$N$1:$N$500,"Dining / food service labor",T12_Calc!$B$1:$B$500)</f>
        <v/>
      </c>
      <c r="G21" s="24">
        <f>SUMIF(T12_Calc!$N$1:$N$500,"Dining / food service labor",T12_Calc!$C$1:$C$500)</f>
        <v/>
      </c>
      <c r="H21" s="24">
        <f>SUMIF(T12_Calc!$N$1:$N$500,"Dining / food service labor",T12_Calc!$D$1:$D$500)</f>
        <v/>
      </c>
      <c r="I21" s="24">
        <f>SUMIF(T12_Calc!$N$1:$N$500,"Dining / food service labor",T12_Calc!$E$1:$E$500)</f>
        <v/>
      </c>
      <c r="J21" s="24">
        <f>SUMIF(T12_Calc!$N$1:$N$500,"Dining / food service labor",T12_Calc!$F$1:$F$500)</f>
        <v/>
      </c>
      <c r="K21" s="24">
        <f>SUMIF(T12_Calc!$N$1:$N$500,"Dining / food service labor",T12_Calc!$G$1:$G$500)</f>
        <v/>
      </c>
      <c r="L21" s="24">
        <f>SUMIF(T12_Calc!$N$1:$N$500,"Dining / food service labor",T12_Calc!$H$1:$H$500)</f>
        <v/>
      </c>
      <c r="M21" s="24">
        <f>SUMIF(T12_Calc!$N$1:$N$500,"Dining / food service labor",T12_Calc!$I$1:$I$500)</f>
        <v/>
      </c>
      <c r="N21" s="24">
        <f>SUMIF(T12_Calc!$N$1:$N$500,"Dining / food service labor",T12_Calc!$J$1:$J$500)</f>
        <v/>
      </c>
      <c r="O21" s="24">
        <f>SUMIF(T12_Calc!$N$1:$N$500,"Dining / food service labor",T12_Calc!$K$1:$K$500)</f>
        <v/>
      </c>
      <c r="P21" s="24">
        <f>SUMIF(T12_Calc!$N$1:$N$500,"Dining / food service labor",T12_Calc!$L$1:$L$500)</f>
        <v/>
      </c>
      <c r="Q21" s="24">
        <f>SUMIF(T12_Calc!$N$1:$N$500,"Dining / food service labor",T12_Calc!$M$1:$M$500)</f>
        <v/>
      </c>
      <c r="R21" s="87">
        <f>SUM(F21:Q21)</f>
        <v/>
      </c>
    </row>
    <row r="22" ht="15.75" customHeight="1" s="199">
      <c r="A22" s="82" t="inlineStr">
        <is>
          <t>Labor</t>
        </is>
      </c>
      <c r="B22" s="83" t="inlineStr">
        <is>
          <t>Maint. &amp; housekeeping labor</t>
        </is>
      </c>
      <c r="C22" s="84" t="inlineStr">
        <is>
          <t>-</t>
        </is>
      </c>
      <c r="D22" s="85" t="n"/>
      <c r="E22" s="86" t="inlineStr">
        <is>
          <t>Maintenance/Housekeeping Labor | Maintenance Labor | Housekeeping Labor</t>
        </is>
      </c>
      <c r="F22" s="24">
        <f>SUMIF(T12_Calc!$N$1:$N$500,"Maint. &amp; housekeeping labor",T12_Calc!$B$1:$B$500)</f>
        <v/>
      </c>
      <c r="G22" s="24">
        <f>SUMIF(T12_Calc!$N$1:$N$500,"Maint. &amp; housekeeping labor",T12_Calc!$C$1:$C$500)</f>
        <v/>
      </c>
      <c r="H22" s="24">
        <f>SUMIF(T12_Calc!$N$1:$N$500,"Maint. &amp; housekeeping labor",T12_Calc!$D$1:$D$500)</f>
        <v/>
      </c>
      <c r="I22" s="24">
        <f>SUMIF(T12_Calc!$N$1:$N$500,"Maint. &amp; housekeeping labor",T12_Calc!$E$1:$E$500)</f>
        <v/>
      </c>
      <c r="J22" s="24">
        <f>SUMIF(T12_Calc!$N$1:$N$500,"Maint. &amp; housekeeping labor",T12_Calc!$F$1:$F$500)</f>
        <v/>
      </c>
      <c r="K22" s="24">
        <f>SUMIF(T12_Calc!$N$1:$N$500,"Maint. &amp; housekeeping labor",T12_Calc!$G$1:$G$500)</f>
        <v/>
      </c>
      <c r="L22" s="24">
        <f>SUMIF(T12_Calc!$N$1:$N$500,"Maint. &amp; housekeeping labor",T12_Calc!$H$1:$H$500)</f>
        <v/>
      </c>
      <c r="M22" s="24">
        <f>SUMIF(T12_Calc!$N$1:$N$500,"Maint. &amp; housekeeping labor",T12_Calc!$I$1:$I$500)</f>
        <v/>
      </c>
      <c r="N22" s="24">
        <f>SUMIF(T12_Calc!$N$1:$N$500,"Maint. &amp; housekeeping labor",T12_Calc!$J$1:$J$500)</f>
        <v/>
      </c>
      <c r="O22" s="24">
        <f>SUMIF(T12_Calc!$N$1:$N$500,"Maint. &amp; housekeeping labor",T12_Calc!$K$1:$K$500)</f>
        <v/>
      </c>
      <c r="P22" s="24">
        <f>SUMIF(T12_Calc!$N$1:$N$500,"Maint. &amp; housekeeping labor",T12_Calc!$L$1:$L$500)</f>
        <v/>
      </c>
      <c r="Q22" s="24">
        <f>SUMIF(T12_Calc!$N$1:$N$500,"Maint. &amp; housekeeping labor",T12_Calc!$M$1:$M$500)</f>
        <v/>
      </c>
      <c r="R22" s="87">
        <f>SUM(F22:Q22)</f>
        <v/>
      </c>
    </row>
    <row r="23" ht="15.75" customHeight="1" s="199">
      <c r="A23" s="82" t="inlineStr">
        <is>
          <t>Labor</t>
        </is>
      </c>
      <c r="B23" s="83" t="inlineStr">
        <is>
          <t>Administrative labor</t>
        </is>
      </c>
      <c r="C23" s="84" t="inlineStr">
        <is>
          <t>-</t>
        </is>
      </c>
      <c r="D23" s="85" t="n"/>
      <c r="E23" s="86" t="inlineStr">
        <is>
          <t>Administration Labor | Administrative Labor</t>
        </is>
      </c>
      <c r="F23" s="24">
        <f>SUMIF(T12_Calc!$N$1:$N$500,"Administrative labor",T12_Calc!$B$1:$B$500)</f>
        <v/>
      </c>
      <c r="G23" s="24">
        <f>SUMIF(T12_Calc!$N$1:$N$500,"Administrative labor",T12_Calc!$C$1:$C$500)</f>
        <v/>
      </c>
      <c r="H23" s="24">
        <f>SUMIF(T12_Calc!$N$1:$N$500,"Administrative labor",T12_Calc!$D$1:$D$500)</f>
        <v/>
      </c>
      <c r="I23" s="24">
        <f>SUMIF(T12_Calc!$N$1:$N$500,"Administrative labor",T12_Calc!$E$1:$E$500)</f>
        <v/>
      </c>
      <c r="J23" s="24">
        <f>SUMIF(T12_Calc!$N$1:$N$500,"Administrative labor",T12_Calc!$F$1:$F$500)</f>
        <v/>
      </c>
      <c r="K23" s="24">
        <f>SUMIF(T12_Calc!$N$1:$N$500,"Administrative labor",T12_Calc!$G$1:$G$500)</f>
        <v/>
      </c>
      <c r="L23" s="24">
        <f>SUMIF(T12_Calc!$N$1:$N$500,"Administrative labor",T12_Calc!$H$1:$H$500)</f>
        <v/>
      </c>
      <c r="M23" s="24">
        <f>SUMIF(T12_Calc!$N$1:$N$500,"Administrative labor",T12_Calc!$I$1:$I$500)</f>
        <v/>
      </c>
      <c r="N23" s="24">
        <f>SUMIF(T12_Calc!$N$1:$N$500,"Administrative labor",T12_Calc!$J$1:$J$500)</f>
        <v/>
      </c>
      <c r="O23" s="24">
        <f>SUMIF(T12_Calc!$N$1:$N$500,"Administrative labor",T12_Calc!$K$1:$K$500)</f>
        <v/>
      </c>
      <c r="P23" s="24">
        <f>SUMIF(T12_Calc!$N$1:$N$500,"Administrative labor",T12_Calc!$L$1:$L$500)</f>
        <v/>
      </c>
      <c r="Q23" s="24">
        <f>SUMIF(T12_Calc!$N$1:$N$500,"Administrative labor",T12_Calc!$M$1:$M$500)</f>
        <v/>
      </c>
      <c r="R23" s="87">
        <f>SUM(F23:Q23)</f>
        <v/>
      </c>
    </row>
    <row r="24" ht="15.75" customHeight="1" s="199">
      <c r="A24" s="88" t="inlineStr">
        <is>
          <t>Labor</t>
        </is>
      </c>
      <c r="B24" s="89" t="inlineStr">
        <is>
          <t>Bonus wages</t>
        </is>
      </c>
      <c r="C24" s="90" t="inlineStr">
        <is>
          <t>-</t>
        </is>
      </c>
      <c r="D24" s="91" t="inlineStr">
        <is>
          <t>Stabilize annually</t>
        </is>
      </c>
      <c r="E24" s="92" t="inlineStr">
        <is>
          <t>Bonus Wages</t>
        </is>
      </c>
      <c r="F24" s="47">
        <f>SUMIF(T12_Calc!$N$1:$N$500,"Bonus wages",T12_Calc!$B$1:$B$500)</f>
        <v/>
      </c>
      <c r="G24" s="47">
        <f>SUMIF(T12_Calc!$N$1:$N$500,"Bonus wages",T12_Calc!$C$1:$C$500)</f>
        <v/>
      </c>
      <c r="H24" s="47">
        <f>SUMIF(T12_Calc!$N$1:$N$500,"Bonus wages",T12_Calc!$D$1:$D$500)</f>
        <v/>
      </c>
      <c r="I24" s="47">
        <f>SUMIF(T12_Calc!$N$1:$N$500,"Bonus wages",T12_Calc!$E$1:$E$500)</f>
        <v/>
      </c>
      <c r="J24" s="47">
        <f>SUMIF(T12_Calc!$N$1:$N$500,"Bonus wages",T12_Calc!$F$1:$F$500)</f>
        <v/>
      </c>
      <c r="K24" s="47">
        <f>SUMIF(T12_Calc!$N$1:$N$500,"Bonus wages",T12_Calc!$G$1:$G$500)</f>
        <v/>
      </c>
      <c r="L24" s="47">
        <f>SUMIF(T12_Calc!$N$1:$N$500,"Bonus wages",T12_Calc!$H$1:$H$500)</f>
        <v/>
      </c>
      <c r="M24" s="47">
        <f>SUMIF(T12_Calc!$N$1:$N$500,"Bonus wages",T12_Calc!$I$1:$I$500)</f>
        <v/>
      </c>
      <c r="N24" s="47">
        <f>SUMIF(T12_Calc!$N$1:$N$500,"Bonus wages",T12_Calc!$J$1:$J$500)</f>
        <v/>
      </c>
      <c r="O24" s="47">
        <f>SUMIF(T12_Calc!$N$1:$N$500,"Bonus wages",T12_Calc!$K$1:$K$500)</f>
        <v/>
      </c>
      <c r="P24" s="47">
        <f>SUMIF(T12_Calc!$N$1:$N$500,"Bonus wages",T12_Calc!$L$1:$L$500)</f>
        <v/>
      </c>
      <c r="Q24" s="47">
        <f>SUMIF(T12_Calc!$N$1:$N$500,"Bonus wages",T12_Calc!$M$1:$M$500)</f>
        <v/>
      </c>
      <c r="R24" s="93">
        <f>SUM(F24:Q24)</f>
        <v/>
      </c>
    </row>
    <row r="25" ht="15.75" customHeight="1" s="199">
      <c r="A25" s="88" t="inlineStr">
        <is>
          <t>Labor</t>
        </is>
      </c>
      <c r="B25" s="89" t="inlineStr">
        <is>
          <t>Overtime wages</t>
        </is>
      </c>
      <c r="C25" s="90" t="inlineStr">
        <is>
          <t>-</t>
        </is>
      </c>
      <c r="D25" s="91" t="inlineStr">
        <is>
          <t>Flag if &gt;5% of wages</t>
        </is>
      </c>
      <c r="E25" s="92" t="inlineStr">
        <is>
          <t>Overtime | Overtime Wages | OT Wages</t>
        </is>
      </c>
      <c r="F25" s="47">
        <f>SUMIF(T12_Calc!$N$1:$N$500,"Overtime wages",T12_Calc!$B$1:$B$500)</f>
        <v/>
      </c>
      <c r="G25" s="47">
        <f>SUMIF(T12_Calc!$N$1:$N$500,"Overtime wages",T12_Calc!$C$1:$C$500)</f>
        <v/>
      </c>
      <c r="H25" s="47">
        <f>SUMIF(T12_Calc!$N$1:$N$500,"Overtime wages",T12_Calc!$D$1:$D$500)</f>
        <v/>
      </c>
      <c r="I25" s="47">
        <f>SUMIF(T12_Calc!$N$1:$N$500,"Overtime wages",T12_Calc!$E$1:$E$500)</f>
        <v/>
      </c>
      <c r="J25" s="47">
        <f>SUMIF(T12_Calc!$N$1:$N$500,"Overtime wages",T12_Calc!$F$1:$F$500)</f>
        <v/>
      </c>
      <c r="K25" s="47">
        <f>SUMIF(T12_Calc!$N$1:$N$500,"Overtime wages",T12_Calc!$G$1:$G$500)</f>
        <v/>
      </c>
      <c r="L25" s="47">
        <f>SUMIF(T12_Calc!$N$1:$N$500,"Overtime wages",T12_Calc!$H$1:$H$500)</f>
        <v/>
      </c>
      <c r="M25" s="47">
        <f>SUMIF(T12_Calc!$N$1:$N$500,"Overtime wages",T12_Calc!$I$1:$I$500)</f>
        <v/>
      </c>
      <c r="N25" s="47">
        <f>SUMIF(T12_Calc!$N$1:$N$500,"Overtime wages",T12_Calc!$J$1:$J$500)</f>
        <v/>
      </c>
      <c r="O25" s="47">
        <f>SUMIF(T12_Calc!$N$1:$N$500,"Overtime wages",T12_Calc!$K$1:$K$500)</f>
        <v/>
      </c>
      <c r="P25" s="47">
        <f>SUMIF(T12_Calc!$N$1:$N$500,"Overtime wages",T12_Calc!$L$1:$L$500)</f>
        <v/>
      </c>
      <c r="Q25" s="47">
        <f>SUMIF(T12_Calc!$N$1:$N$500,"Overtime wages",T12_Calc!$M$1:$M$500)</f>
        <v/>
      </c>
      <c r="R25" s="93">
        <f>SUM(F25:Q25)</f>
        <v/>
      </c>
    </row>
    <row r="26" ht="15.75" customHeight="1" s="199">
      <c r="A26" s="88" t="inlineStr">
        <is>
          <t>Labor</t>
        </is>
      </c>
      <c r="B26" s="89" t="inlineStr">
        <is>
          <t>PTO wages</t>
        </is>
      </c>
      <c r="C26" s="90" t="inlineStr">
        <is>
          <t>-</t>
        </is>
      </c>
      <c r="D26" s="91" t="inlineStr">
        <is>
          <t>Annualize</t>
        </is>
      </c>
      <c r="E26" s="92" t="inlineStr">
        <is>
          <t>PTO Wages | PTO</t>
        </is>
      </c>
      <c r="F26" s="47">
        <f>SUMIF(T12_Calc!$N$1:$N$500,"PTO wages",T12_Calc!$B$1:$B$500)</f>
        <v/>
      </c>
      <c r="G26" s="47">
        <f>SUMIF(T12_Calc!$N$1:$N$500,"PTO wages",T12_Calc!$C$1:$C$500)</f>
        <v/>
      </c>
      <c r="H26" s="47">
        <f>SUMIF(T12_Calc!$N$1:$N$500,"PTO wages",T12_Calc!$D$1:$D$500)</f>
        <v/>
      </c>
      <c r="I26" s="47">
        <f>SUMIF(T12_Calc!$N$1:$N$500,"PTO wages",T12_Calc!$E$1:$E$500)</f>
        <v/>
      </c>
      <c r="J26" s="47">
        <f>SUMIF(T12_Calc!$N$1:$N$500,"PTO wages",T12_Calc!$F$1:$F$500)</f>
        <v/>
      </c>
      <c r="K26" s="47">
        <f>SUMIF(T12_Calc!$N$1:$N$500,"PTO wages",T12_Calc!$G$1:$G$500)</f>
        <v/>
      </c>
      <c r="L26" s="47">
        <f>SUMIF(T12_Calc!$N$1:$N$500,"PTO wages",T12_Calc!$H$1:$H$500)</f>
        <v/>
      </c>
      <c r="M26" s="47">
        <f>SUMIF(T12_Calc!$N$1:$N$500,"PTO wages",T12_Calc!$I$1:$I$500)</f>
        <v/>
      </c>
      <c r="N26" s="47">
        <f>SUMIF(T12_Calc!$N$1:$N$500,"PTO wages",T12_Calc!$J$1:$J$500)</f>
        <v/>
      </c>
      <c r="O26" s="47">
        <f>SUMIF(T12_Calc!$N$1:$N$500,"PTO wages",T12_Calc!$K$1:$K$500)</f>
        <v/>
      </c>
      <c r="P26" s="47">
        <f>SUMIF(T12_Calc!$N$1:$N$500,"PTO wages",T12_Calc!$L$1:$L$500)</f>
        <v/>
      </c>
      <c r="Q26" s="47">
        <f>SUMIF(T12_Calc!$N$1:$N$500,"PTO wages",T12_Calc!$M$1:$M$500)</f>
        <v/>
      </c>
      <c r="R26" s="93">
        <f>SUM(F26:Q26)</f>
        <v/>
      </c>
    </row>
    <row r="27" ht="15.75" customHeight="1" s="199">
      <c r="A27" s="82" t="inlineStr">
        <is>
          <t>Labor</t>
        </is>
      </c>
      <c r="B27" s="83" t="inlineStr">
        <is>
          <t>Payroll taxes</t>
        </is>
      </c>
      <c r="C27" s="84" t="inlineStr">
        <is>
          <t>-</t>
        </is>
      </c>
      <c r="D27" s="85" t="n"/>
      <c r="E27" s="86" t="inlineStr">
        <is>
          <t>Payroll Taxes</t>
        </is>
      </c>
      <c r="F27" s="24">
        <f>SUMIF(T12_Calc!$N$1:$N$500,"Payroll taxes",T12_Calc!$B$1:$B$500)</f>
        <v/>
      </c>
      <c r="G27" s="24">
        <f>SUMIF(T12_Calc!$N$1:$N$500,"Payroll taxes",T12_Calc!$C$1:$C$500)</f>
        <v/>
      </c>
      <c r="H27" s="24">
        <f>SUMIF(T12_Calc!$N$1:$N$500,"Payroll taxes",T12_Calc!$D$1:$D$500)</f>
        <v/>
      </c>
      <c r="I27" s="24">
        <f>SUMIF(T12_Calc!$N$1:$N$500,"Payroll taxes",T12_Calc!$E$1:$E$500)</f>
        <v/>
      </c>
      <c r="J27" s="24">
        <f>SUMIF(T12_Calc!$N$1:$N$500,"Payroll taxes",T12_Calc!$F$1:$F$500)</f>
        <v/>
      </c>
      <c r="K27" s="24">
        <f>SUMIF(T12_Calc!$N$1:$N$500,"Payroll taxes",T12_Calc!$G$1:$G$500)</f>
        <v/>
      </c>
      <c r="L27" s="24">
        <f>SUMIF(T12_Calc!$N$1:$N$500,"Payroll taxes",T12_Calc!$H$1:$H$500)</f>
        <v/>
      </c>
      <c r="M27" s="24">
        <f>SUMIF(T12_Calc!$N$1:$N$500,"Payroll taxes",T12_Calc!$I$1:$I$500)</f>
        <v/>
      </c>
      <c r="N27" s="24">
        <f>SUMIF(T12_Calc!$N$1:$N$500,"Payroll taxes",T12_Calc!$J$1:$J$500)</f>
        <v/>
      </c>
      <c r="O27" s="24">
        <f>SUMIF(T12_Calc!$N$1:$N$500,"Payroll taxes",T12_Calc!$K$1:$K$500)</f>
        <v/>
      </c>
      <c r="P27" s="24">
        <f>SUMIF(T12_Calc!$N$1:$N$500,"Payroll taxes",T12_Calc!$L$1:$L$500)</f>
        <v/>
      </c>
      <c r="Q27" s="24">
        <f>SUMIF(T12_Calc!$N$1:$N$500,"Payroll taxes",T12_Calc!$M$1:$M$500)</f>
        <v/>
      </c>
      <c r="R27" s="87">
        <f>SUM(F27:Q27)</f>
        <v/>
      </c>
    </row>
    <row r="28" ht="15.75" customHeight="1" s="199">
      <c r="A28" s="82" t="inlineStr">
        <is>
          <t>Labor</t>
        </is>
      </c>
      <c r="B28" s="83" t="inlineStr">
        <is>
          <t>Employee benefits</t>
        </is>
      </c>
      <c r="C28" s="84" t="inlineStr">
        <is>
          <t>-</t>
        </is>
      </c>
      <c r="D28" s="85" t="n"/>
      <c r="E28" s="86" t="inlineStr">
        <is>
          <t>Employee Benefits - Insurance | Employee Benefits</t>
        </is>
      </c>
      <c r="F28" s="24">
        <f>SUMIF(T12_Calc!$N$1:$N$500,"Employee benefits",T12_Calc!$B$1:$B$500)</f>
        <v/>
      </c>
      <c r="G28" s="24">
        <f>SUMIF(T12_Calc!$N$1:$N$500,"Employee benefits",T12_Calc!$C$1:$C$500)</f>
        <v/>
      </c>
      <c r="H28" s="24">
        <f>SUMIF(T12_Calc!$N$1:$N$500,"Employee benefits",T12_Calc!$D$1:$D$500)</f>
        <v/>
      </c>
      <c r="I28" s="24">
        <f>SUMIF(T12_Calc!$N$1:$N$500,"Employee benefits",T12_Calc!$E$1:$E$500)</f>
        <v/>
      </c>
      <c r="J28" s="24">
        <f>SUMIF(T12_Calc!$N$1:$N$500,"Employee benefits",T12_Calc!$F$1:$F$500)</f>
        <v/>
      </c>
      <c r="K28" s="24">
        <f>SUMIF(T12_Calc!$N$1:$N$500,"Employee benefits",T12_Calc!$G$1:$G$500)</f>
        <v/>
      </c>
      <c r="L28" s="24">
        <f>SUMIF(T12_Calc!$N$1:$N$500,"Employee benefits",T12_Calc!$H$1:$H$500)</f>
        <v/>
      </c>
      <c r="M28" s="24">
        <f>SUMIF(T12_Calc!$N$1:$N$500,"Employee benefits",T12_Calc!$I$1:$I$500)</f>
        <v/>
      </c>
      <c r="N28" s="24">
        <f>SUMIF(T12_Calc!$N$1:$N$500,"Employee benefits",T12_Calc!$J$1:$J$500)</f>
        <v/>
      </c>
      <c r="O28" s="24">
        <f>SUMIF(T12_Calc!$N$1:$N$500,"Employee benefits",T12_Calc!$K$1:$K$500)</f>
        <v/>
      </c>
      <c r="P28" s="24">
        <f>SUMIF(T12_Calc!$N$1:$N$500,"Employee benefits",T12_Calc!$L$1:$L$500)</f>
        <v/>
      </c>
      <c r="Q28" s="24">
        <f>SUMIF(T12_Calc!$N$1:$N$500,"Employee benefits",T12_Calc!$M$1:$M$500)</f>
        <v/>
      </c>
      <c r="R28" s="87">
        <f>SUM(F28:Q28)</f>
        <v/>
      </c>
    </row>
    <row r="29" ht="15.75" customHeight="1" s="199">
      <c r="A29" s="82" t="inlineStr">
        <is>
          <t>Labor</t>
        </is>
      </c>
      <c r="B29" s="83" t="inlineStr">
        <is>
          <t>Workers' comp insurance</t>
        </is>
      </c>
      <c r="C29" s="84" t="inlineStr">
        <is>
          <t>-</t>
        </is>
      </c>
      <c r="D29" s="85" t="n"/>
      <c r="E29" s="86" t="inlineStr">
        <is>
          <t>Worker's Comp Insurance | Workers Comp Insurance | Workers' Compensation</t>
        </is>
      </c>
      <c r="F29" s="24">
        <f>SUMIF(T12_Calc!$N$1:$N$500,"Workers' comp insurance",T12_Calc!$B$1:$B$500)</f>
        <v/>
      </c>
      <c r="G29" s="24">
        <f>SUMIF(T12_Calc!$N$1:$N$500,"Workers' comp insurance",T12_Calc!$C$1:$C$500)</f>
        <v/>
      </c>
      <c r="H29" s="24">
        <f>SUMIF(T12_Calc!$N$1:$N$500,"Workers' comp insurance",T12_Calc!$D$1:$D$500)</f>
        <v/>
      </c>
      <c r="I29" s="24">
        <f>SUMIF(T12_Calc!$N$1:$N$500,"Workers' comp insurance",T12_Calc!$E$1:$E$500)</f>
        <v/>
      </c>
      <c r="J29" s="24">
        <f>SUMIF(T12_Calc!$N$1:$N$500,"Workers' comp insurance",T12_Calc!$F$1:$F$500)</f>
        <v/>
      </c>
      <c r="K29" s="24">
        <f>SUMIF(T12_Calc!$N$1:$N$500,"Workers' comp insurance",T12_Calc!$G$1:$G$500)</f>
        <v/>
      </c>
      <c r="L29" s="24">
        <f>SUMIF(T12_Calc!$N$1:$N$500,"Workers' comp insurance",T12_Calc!$H$1:$H$500)</f>
        <v/>
      </c>
      <c r="M29" s="24">
        <f>SUMIF(T12_Calc!$N$1:$N$500,"Workers' comp insurance",T12_Calc!$I$1:$I$500)</f>
        <v/>
      </c>
      <c r="N29" s="24">
        <f>SUMIF(T12_Calc!$N$1:$N$500,"Workers' comp insurance",T12_Calc!$J$1:$J$500)</f>
        <v/>
      </c>
      <c r="O29" s="24">
        <f>SUMIF(T12_Calc!$N$1:$N$500,"Workers' comp insurance",T12_Calc!$K$1:$K$500)</f>
        <v/>
      </c>
      <c r="P29" s="24">
        <f>SUMIF(T12_Calc!$N$1:$N$500,"Workers' comp insurance",T12_Calc!$L$1:$L$500)</f>
        <v/>
      </c>
      <c r="Q29" s="24">
        <f>SUMIF(T12_Calc!$N$1:$N$500,"Workers' comp insurance",T12_Calc!$M$1:$M$500)</f>
        <v/>
      </c>
      <c r="R29" s="87">
        <f>SUM(F29:Q29)</f>
        <v/>
      </c>
    </row>
    <row r="30" ht="15.75" customHeight="1" s="199">
      <c r="A30" s="82" t="inlineStr">
        <is>
          <t>Labor</t>
        </is>
      </c>
      <c r="B30" s="83" t="inlineStr">
        <is>
          <t>Employee 401(k)</t>
        </is>
      </c>
      <c r="C30" s="84" t="inlineStr">
        <is>
          <t>-</t>
        </is>
      </c>
      <c r="D30" s="85" t="n"/>
      <c r="E30" s="86" t="inlineStr">
        <is>
          <t>Employee 401(K) | Employee 401(k)</t>
        </is>
      </c>
      <c r="F30" s="24">
        <f>SUMIF(T12_Calc!$N$1:$N$500,"Employee 401(k)",T12_Calc!$B$1:$B$500)</f>
        <v/>
      </c>
      <c r="G30" s="24">
        <f>SUMIF(T12_Calc!$N$1:$N$500,"Employee 401(k)",T12_Calc!$C$1:$C$500)</f>
        <v/>
      </c>
      <c r="H30" s="24">
        <f>SUMIF(T12_Calc!$N$1:$N$500,"Employee 401(k)",T12_Calc!$D$1:$D$500)</f>
        <v/>
      </c>
      <c r="I30" s="24">
        <f>SUMIF(T12_Calc!$N$1:$N$500,"Employee 401(k)",T12_Calc!$E$1:$E$500)</f>
        <v/>
      </c>
      <c r="J30" s="24">
        <f>SUMIF(T12_Calc!$N$1:$N$500,"Employee 401(k)",T12_Calc!$F$1:$F$500)</f>
        <v/>
      </c>
      <c r="K30" s="24">
        <f>SUMIF(T12_Calc!$N$1:$N$500,"Employee 401(k)",T12_Calc!$G$1:$G$500)</f>
        <v/>
      </c>
      <c r="L30" s="24">
        <f>SUMIF(T12_Calc!$N$1:$N$500,"Employee 401(k)",T12_Calc!$H$1:$H$500)</f>
        <v/>
      </c>
      <c r="M30" s="24">
        <f>SUMIF(T12_Calc!$N$1:$N$500,"Employee 401(k)",T12_Calc!$I$1:$I$500)</f>
        <v/>
      </c>
      <c r="N30" s="24">
        <f>SUMIF(T12_Calc!$N$1:$N$500,"Employee 401(k)",T12_Calc!$J$1:$J$500)</f>
        <v/>
      </c>
      <c r="O30" s="24">
        <f>SUMIF(T12_Calc!$N$1:$N$500,"Employee 401(k)",T12_Calc!$K$1:$K$500)</f>
        <v/>
      </c>
      <c r="P30" s="24">
        <f>SUMIF(T12_Calc!$N$1:$N$500,"Employee 401(k)",T12_Calc!$L$1:$L$500)</f>
        <v/>
      </c>
      <c r="Q30" s="24">
        <f>SUMIF(T12_Calc!$N$1:$N$500,"Employee 401(k)",T12_Calc!$M$1:$M$500)</f>
        <v/>
      </c>
      <c r="R30" s="87">
        <f>SUM(F30:Q30)</f>
        <v/>
      </c>
    </row>
    <row r="31" ht="15.75" customHeight="1" s="199">
      <c r="A31" s="82" t="inlineStr">
        <is>
          <t>Non-Labor</t>
        </is>
      </c>
      <c r="B31" s="83" t="inlineStr">
        <is>
          <t>Food cost</t>
        </is>
      </c>
      <c r="C31" s="84" t="inlineStr">
        <is>
          <t>-</t>
        </is>
      </c>
      <c r="D31" s="85" t="n"/>
      <c r="E31" s="86" t="inlineStr">
        <is>
          <t>Food Cost</t>
        </is>
      </c>
      <c r="F31" s="24">
        <f>SUMIF(T12_Calc!$N$1:$N$500,"Food cost",T12_Calc!$B$1:$B$500)</f>
        <v/>
      </c>
      <c r="G31" s="24">
        <f>SUMIF(T12_Calc!$N$1:$N$500,"Food cost",T12_Calc!$C$1:$C$500)</f>
        <v/>
      </c>
      <c r="H31" s="24">
        <f>SUMIF(T12_Calc!$N$1:$N$500,"Food cost",T12_Calc!$D$1:$D$500)</f>
        <v/>
      </c>
      <c r="I31" s="24">
        <f>SUMIF(T12_Calc!$N$1:$N$500,"Food cost",T12_Calc!$E$1:$E$500)</f>
        <v/>
      </c>
      <c r="J31" s="24">
        <f>SUMIF(T12_Calc!$N$1:$N$500,"Food cost",T12_Calc!$F$1:$F$500)</f>
        <v/>
      </c>
      <c r="K31" s="24">
        <f>SUMIF(T12_Calc!$N$1:$N$500,"Food cost",T12_Calc!$G$1:$G$500)</f>
        <v/>
      </c>
      <c r="L31" s="24">
        <f>SUMIF(T12_Calc!$N$1:$N$500,"Food cost",T12_Calc!$H$1:$H$500)</f>
        <v/>
      </c>
      <c r="M31" s="24">
        <f>SUMIF(T12_Calc!$N$1:$N$500,"Food cost",T12_Calc!$I$1:$I$500)</f>
        <v/>
      </c>
      <c r="N31" s="24">
        <f>SUMIF(T12_Calc!$N$1:$N$500,"Food cost",T12_Calc!$J$1:$J$500)</f>
        <v/>
      </c>
      <c r="O31" s="24">
        <f>SUMIF(T12_Calc!$N$1:$N$500,"Food cost",T12_Calc!$K$1:$K$500)</f>
        <v/>
      </c>
      <c r="P31" s="24">
        <f>SUMIF(T12_Calc!$N$1:$N$500,"Food cost",T12_Calc!$L$1:$L$500)</f>
        <v/>
      </c>
      <c r="Q31" s="24">
        <f>SUMIF(T12_Calc!$N$1:$N$500,"Food cost",T12_Calc!$M$1:$M$500)</f>
        <v/>
      </c>
      <c r="R31" s="87">
        <f>SUM(F31:Q31)</f>
        <v/>
      </c>
    </row>
    <row r="32" ht="15.75" customHeight="1" s="199">
      <c r="A32" s="82" t="inlineStr">
        <is>
          <t>Non-Labor</t>
        </is>
      </c>
      <c r="B32" s="83" t="inlineStr">
        <is>
          <t>Dining &amp; kitchen supplies</t>
        </is>
      </c>
      <c r="C32" s="84" t="inlineStr">
        <is>
          <t>-</t>
        </is>
      </c>
      <c r="D32" s="85" t="n"/>
      <c r="E32" s="86" t="inlineStr">
        <is>
          <t>Dietary Supplies</t>
        </is>
      </c>
      <c r="F32" s="24">
        <f>SUMIF(T12_Calc!$N$1:$N$500,"Dining &amp; kitchen supplies",T12_Calc!$B$1:$B$500)</f>
        <v/>
      </c>
      <c r="G32" s="24">
        <f>SUMIF(T12_Calc!$N$1:$N$500,"Dining &amp; kitchen supplies",T12_Calc!$C$1:$C$500)</f>
        <v/>
      </c>
      <c r="H32" s="24">
        <f>SUMIF(T12_Calc!$N$1:$N$500,"Dining &amp; kitchen supplies",T12_Calc!$D$1:$D$500)</f>
        <v/>
      </c>
      <c r="I32" s="24">
        <f>SUMIF(T12_Calc!$N$1:$N$500,"Dining &amp; kitchen supplies",T12_Calc!$E$1:$E$500)</f>
        <v/>
      </c>
      <c r="J32" s="24">
        <f>SUMIF(T12_Calc!$N$1:$N$500,"Dining &amp; kitchen supplies",T12_Calc!$F$1:$F$500)</f>
        <v/>
      </c>
      <c r="K32" s="24">
        <f>SUMIF(T12_Calc!$N$1:$N$500,"Dining &amp; kitchen supplies",T12_Calc!$G$1:$G$500)</f>
        <v/>
      </c>
      <c r="L32" s="24">
        <f>SUMIF(T12_Calc!$N$1:$N$500,"Dining &amp; kitchen supplies",T12_Calc!$H$1:$H$500)</f>
        <v/>
      </c>
      <c r="M32" s="24">
        <f>SUMIF(T12_Calc!$N$1:$N$500,"Dining &amp; kitchen supplies",T12_Calc!$I$1:$I$500)</f>
        <v/>
      </c>
      <c r="N32" s="24">
        <f>SUMIF(T12_Calc!$N$1:$N$500,"Dining &amp; kitchen supplies",T12_Calc!$J$1:$J$500)</f>
        <v/>
      </c>
      <c r="O32" s="24">
        <f>SUMIF(T12_Calc!$N$1:$N$500,"Dining &amp; kitchen supplies",T12_Calc!$K$1:$K$500)</f>
        <v/>
      </c>
      <c r="P32" s="24">
        <f>SUMIF(T12_Calc!$N$1:$N$500,"Dining &amp; kitchen supplies",T12_Calc!$L$1:$L$500)</f>
        <v/>
      </c>
      <c r="Q32" s="24">
        <f>SUMIF(T12_Calc!$N$1:$N$500,"Dining &amp; kitchen supplies",T12_Calc!$M$1:$M$500)</f>
        <v/>
      </c>
      <c r="R32" s="87">
        <f>SUM(F32:Q32)</f>
        <v/>
      </c>
    </row>
    <row r="33" ht="15.75" customHeight="1" s="199">
      <c r="A33" s="82" t="inlineStr">
        <is>
          <t>Non-Labor</t>
        </is>
      </c>
      <c r="B33" s="83" t="inlineStr">
        <is>
          <t>Nursing &amp; care supplies</t>
        </is>
      </c>
      <c r="C33" s="84" t="inlineStr">
        <is>
          <t>-</t>
        </is>
      </c>
      <c r="D33" s="85" t="n"/>
      <c r="E33" s="86" t="inlineStr">
        <is>
          <t>Nursing Supplies</t>
        </is>
      </c>
      <c r="F33" s="24">
        <f>SUMIF(T12_Calc!$N$1:$N$500,"Nursing &amp; care supplies",T12_Calc!$B$1:$B$500)</f>
        <v/>
      </c>
      <c r="G33" s="24">
        <f>SUMIF(T12_Calc!$N$1:$N$500,"Nursing &amp; care supplies",T12_Calc!$C$1:$C$500)</f>
        <v/>
      </c>
      <c r="H33" s="24">
        <f>SUMIF(T12_Calc!$N$1:$N$500,"Nursing &amp; care supplies",T12_Calc!$D$1:$D$500)</f>
        <v/>
      </c>
      <c r="I33" s="24">
        <f>SUMIF(T12_Calc!$N$1:$N$500,"Nursing &amp; care supplies",T12_Calc!$E$1:$E$500)</f>
        <v/>
      </c>
      <c r="J33" s="24">
        <f>SUMIF(T12_Calc!$N$1:$N$500,"Nursing &amp; care supplies",T12_Calc!$F$1:$F$500)</f>
        <v/>
      </c>
      <c r="K33" s="24">
        <f>SUMIF(T12_Calc!$N$1:$N$500,"Nursing &amp; care supplies",T12_Calc!$G$1:$G$500)</f>
        <v/>
      </c>
      <c r="L33" s="24">
        <f>SUMIF(T12_Calc!$N$1:$N$500,"Nursing &amp; care supplies",T12_Calc!$H$1:$H$500)</f>
        <v/>
      </c>
      <c r="M33" s="24">
        <f>SUMIF(T12_Calc!$N$1:$N$500,"Nursing &amp; care supplies",T12_Calc!$I$1:$I$500)</f>
        <v/>
      </c>
      <c r="N33" s="24">
        <f>SUMIF(T12_Calc!$N$1:$N$500,"Nursing &amp; care supplies",T12_Calc!$J$1:$J$500)</f>
        <v/>
      </c>
      <c r="O33" s="24">
        <f>SUMIF(T12_Calc!$N$1:$N$500,"Nursing &amp; care supplies",T12_Calc!$K$1:$K$500)</f>
        <v/>
      </c>
      <c r="P33" s="24">
        <f>SUMIF(T12_Calc!$N$1:$N$500,"Nursing &amp; care supplies",T12_Calc!$L$1:$L$500)</f>
        <v/>
      </c>
      <c r="Q33" s="24">
        <f>SUMIF(T12_Calc!$N$1:$N$500,"Nursing &amp; care supplies",T12_Calc!$M$1:$M$500)</f>
        <v/>
      </c>
      <c r="R33" s="87">
        <f>SUM(F33:Q33)</f>
        <v/>
      </c>
    </row>
    <row r="34" ht="15.75" customHeight="1" s="199">
      <c r="A34" s="82" t="inlineStr">
        <is>
          <t>Non-Labor</t>
        </is>
      </c>
      <c r="B34" s="83" t="inlineStr">
        <is>
          <t>Recreation &amp; activity suppl.</t>
        </is>
      </c>
      <c r="C34" s="84" t="inlineStr">
        <is>
          <t>-</t>
        </is>
      </c>
      <c r="D34" s="85" t="n"/>
      <c r="E34" s="86" t="inlineStr">
        <is>
          <t>Recreation Supplies</t>
        </is>
      </c>
      <c r="F34" s="24">
        <f>SUMIF(T12_Calc!$N$1:$N$500,"Recreation &amp; activity suppl.",T12_Calc!$B$1:$B$500)</f>
        <v/>
      </c>
      <c r="G34" s="24">
        <f>SUMIF(T12_Calc!$N$1:$N$500,"Recreation &amp; activity suppl.",T12_Calc!$C$1:$C$500)</f>
        <v/>
      </c>
      <c r="H34" s="24">
        <f>SUMIF(T12_Calc!$N$1:$N$500,"Recreation &amp; activity suppl.",T12_Calc!$D$1:$D$500)</f>
        <v/>
      </c>
      <c r="I34" s="24">
        <f>SUMIF(T12_Calc!$N$1:$N$500,"Recreation &amp; activity suppl.",T12_Calc!$E$1:$E$500)</f>
        <v/>
      </c>
      <c r="J34" s="24">
        <f>SUMIF(T12_Calc!$N$1:$N$500,"Recreation &amp; activity suppl.",T12_Calc!$F$1:$F$500)</f>
        <v/>
      </c>
      <c r="K34" s="24">
        <f>SUMIF(T12_Calc!$N$1:$N$500,"Recreation &amp; activity suppl.",T12_Calc!$G$1:$G$500)</f>
        <v/>
      </c>
      <c r="L34" s="24">
        <f>SUMIF(T12_Calc!$N$1:$N$500,"Recreation &amp; activity suppl.",T12_Calc!$H$1:$H$500)</f>
        <v/>
      </c>
      <c r="M34" s="24">
        <f>SUMIF(T12_Calc!$N$1:$N$500,"Recreation &amp; activity suppl.",T12_Calc!$I$1:$I$500)</f>
        <v/>
      </c>
      <c r="N34" s="24">
        <f>SUMIF(T12_Calc!$N$1:$N$500,"Recreation &amp; activity suppl.",T12_Calc!$J$1:$J$500)</f>
        <v/>
      </c>
      <c r="O34" s="24">
        <f>SUMIF(T12_Calc!$N$1:$N$500,"Recreation &amp; activity suppl.",T12_Calc!$K$1:$K$500)</f>
        <v/>
      </c>
      <c r="P34" s="24">
        <f>SUMIF(T12_Calc!$N$1:$N$500,"Recreation &amp; activity suppl.",T12_Calc!$L$1:$L$500)</f>
        <v/>
      </c>
      <c r="Q34" s="24">
        <f>SUMIF(T12_Calc!$N$1:$N$500,"Recreation &amp; activity suppl.",T12_Calc!$M$1:$M$500)</f>
        <v/>
      </c>
      <c r="R34" s="87">
        <f>SUM(F34:Q34)</f>
        <v/>
      </c>
    </row>
    <row r="35" ht="15.75" customHeight="1" s="199">
      <c r="A35" s="82" t="inlineStr">
        <is>
          <t>Non-Labor</t>
        </is>
      </c>
      <c r="B35" s="83" t="inlineStr">
        <is>
          <t>R&amp;M fixed</t>
        </is>
      </c>
      <c r="C35" s="84" t="inlineStr">
        <is>
          <t>-</t>
        </is>
      </c>
      <c r="D35" s="85" t="n"/>
      <c r="E35" s="86" t="inlineStr">
        <is>
          <t>R &amp; M-Fixed | R&amp;M-Fixed | Maintenance Supplies</t>
        </is>
      </c>
      <c r="F35" s="24">
        <f>SUMIF(T12_Calc!$N$1:$N$500,"R&amp;M fixed",T12_Calc!$B$1:$B$500)</f>
        <v/>
      </c>
      <c r="G35" s="24">
        <f>SUMIF(T12_Calc!$N$1:$N$500,"R&amp;M fixed",T12_Calc!$C$1:$C$500)</f>
        <v/>
      </c>
      <c r="H35" s="24">
        <f>SUMIF(T12_Calc!$N$1:$N$500,"R&amp;M fixed",T12_Calc!$D$1:$D$500)</f>
        <v/>
      </c>
      <c r="I35" s="24">
        <f>SUMIF(T12_Calc!$N$1:$N$500,"R&amp;M fixed",T12_Calc!$E$1:$E$500)</f>
        <v/>
      </c>
      <c r="J35" s="24">
        <f>SUMIF(T12_Calc!$N$1:$N$500,"R&amp;M fixed",T12_Calc!$F$1:$F$500)</f>
        <v/>
      </c>
      <c r="K35" s="24">
        <f>SUMIF(T12_Calc!$N$1:$N$500,"R&amp;M fixed",T12_Calc!$G$1:$G$500)</f>
        <v/>
      </c>
      <c r="L35" s="24">
        <f>SUMIF(T12_Calc!$N$1:$N$500,"R&amp;M fixed",T12_Calc!$H$1:$H$500)</f>
        <v/>
      </c>
      <c r="M35" s="24">
        <f>SUMIF(T12_Calc!$N$1:$N$500,"R&amp;M fixed",T12_Calc!$I$1:$I$500)</f>
        <v/>
      </c>
      <c r="N35" s="24">
        <f>SUMIF(T12_Calc!$N$1:$N$500,"R&amp;M fixed",T12_Calc!$J$1:$J$500)</f>
        <v/>
      </c>
      <c r="O35" s="24">
        <f>SUMIF(T12_Calc!$N$1:$N$500,"R&amp;M fixed",T12_Calc!$K$1:$K$500)</f>
        <v/>
      </c>
      <c r="P35" s="24">
        <f>SUMIF(T12_Calc!$N$1:$N$500,"R&amp;M fixed",T12_Calc!$L$1:$L$500)</f>
        <v/>
      </c>
      <c r="Q35" s="24">
        <f>SUMIF(T12_Calc!$N$1:$N$500,"R&amp;M fixed",T12_Calc!$M$1:$M$500)</f>
        <v/>
      </c>
      <c r="R35" s="87">
        <f>SUM(F35:Q35)</f>
        <v/>
      </c>
    </row>
    <row r="36" ht="15.75" customHeight="1" s="199">
      <c r="A36" s="82" t="inlineStr">
        <is>
          <t>Non-Labor</t>
        </is>
      </c>
      <c r="B36" s="83" t="inlineStr">
        <is>
          <t>R&amp;M variable</t>
        </is>
      </c>
      <c r="C36" s="84" t="inlineStr">
        <is>
          <t>-</t>
        </is>
      </c>
      <c r="D36" s="85" t="n"/>
      <c r="E36" s="86" t="inlineStr">
        <is>
          <t>R &amp; M-Variable | R&amp;M-Variable</t>
        </is>
      </c>
      <c r="F36" s="24">
        <f>SUMIF(T12_Calc!$N$1:$N$500,"R&amp;M variable",T12_Calc!$B$1:$B$500)</f>
        <v/>
      </c>
      <c r="G36" s="24">
        <f>SUMIF(T12_Calc!$N$1:$N$500,"R&amp;M variable",T12_Calc!$C$1:$C$500)</f>
        <v/>
      </c>
      <c r="H36" s="24">
        <f>SUMIF(T12_Calc!$N$1:$N$500,"R&amp;M variable",T12_Calc!$D$1:$D$500)</f>
        <v/>
      </c>
      <c r="I36" s="24">
        <f>SUMIF(T12_Calc!$N$1:$N$500,"R&amp;M variable",T12_Calc!$E$1:$E$500)</f>
        <v/>
      </c>
      <c r="J36" s="24">
        <f>SUMIF(T12_Calc!$N$1:$N$500,"R&amp;M variable",T12_Calc!$F$1:$F$500)</f>
        <v/>
      </c>
      <c r="K36" s="24">
        <f>SUMIF(T12_Calc!$N$1:$N$500,"R&amp;M variable",T12_Calc!$G$1:$G$500)</f>
        <v/>
      </c>
      <c r="L36" s="24">
        <f>SUMIF(T12_Calc!$N$1:$N$500,"R&amp;M variable",T12_Calc!$H$1:$H$500)</f>
        <v/>
      </c>
      <c r="M36" s="24">
        <f>SUMIF(T12_Calc!$N$1:$N$500,"R&amp;M variable",T12_Calc!$I$1:$I$500)</f>
        <v/>
      </c>
      <c r="N36" s="24">
        <f>SUMIF(T12_Calc!$N$1:$N$500,"R&amp;M variable",T12_Calc!$J$1:$J$500)</f>
        <v/>
      </c>
      <c r="O36" s="24">
        <f>SUMIF(T12_Calc!$N$1:$N$500,"R&amp;M variable",T12_Calc!$K$1:$K$500)</f>
        <v/>
      </c>
      <c r="P36" s="24">
        <f>SUMIF(T12_Calc!$N$1:$N$500,"R&amp;M variable",T12_Calc!$L$1:$L$500)</f>
        <v/>
      </c>
      <c r="Q36" s="24">
        <f>SUMIF(T12_Calc!$N$1:$N$500,"R&amp;M variable",T12_Calc!$M$1:$M$500)</f>
        <v/>
      </c>
      <c r="R36" s="87">
        <f>SUM(F36:Q36)</f>
        <v/>
      </c>
    </row>
    <row r="37" ht="15.75" customHeight="1" s="199">
      <c r="A37" s="82" t="inlineStr">
        <is>
          <t>Non-Labor</t>
        </is>
      </c>
      <c r="B37" s="83" t="inlineStr">
        <is>
          <t>HK &amp; laundry supplies</t>
        </is>
      </c>
      <c r="C37" s="84" t="inlineStr">
        <is>
          <t>-</t>
        </is>
      </c>
      <c r="D37" s="85" t="n"/>
      <c r="E37" s="86" t="inlineStr">
        <is>
          <t>Housekeeping Supplies | Laundry Supplies</t>
        </is>
      </c>
      <c r="F37" s="24">
        <f>SUMIF(T12_Calc!$N$1:$N$500,"HK &amp; laundry supplies",T12_Calc!$B$1:$B$500)</f>
        <v/>
      </c>
      <c r="G37" s="24">
        <f>SUMIF(T12_Calc!$N$1:$N$500,"HK &amp; laundry supplies",T12_Calc!$C$1:$C$500)</f>
        <v/>
      </c>
      <c r="H37" s="24">
        <f>SUMIF(T12_Calc!$N$1:$N$500,"HK &amp; laundry supplies",T12_Calc!$D$1:$D$500)</f>
        <v/>
      </c>
      <c r="I37" s="24">
        <f>SUMIF(T12_Calc!$N$1:$N$500,"HK &amp; laundry supplies",T12_Calc!$E$1:$E$500)</f>
        <v/>
      </c>
      <c r="J37" s="24">
        <f>SUMIF(T12_Calc!$N$1:$N$500,"HK &amp; laundry supplies",T12_Calc!$F$1:$F$500)</f>
        <v/>
      </c>
      <c r="K37" s="24">
        <f>SUMIF(T12_Calc!$N$1:$N$500,"HK &amp; laundry supplies",T12_Calc!$G$1:$G$500)</f>
        <v/>
      </c>
      <c r="L37" s="24">
        <f>SUMIF(T12_Calc!$N$1:$N$500,"HK &amp; laundry supplies",T12_Calc!$H$1:$H$500)</f>
        <v/>
      </c>
      <c r="M37" s="24">
        <f>SUMIF(T12_Calc!$N$1:$N$500,"HK &amp; laundry supplies",T12_Calc!$I$1:$I$500)</f>
        <v/>
      </c>
      <c r="N37" s="24">
        <f>SUMIF(T12_Calc!$N$1:$N$500,"HK &amp; laundry supplies",T12_Calc!$J$1:$J$500)</f>
        <v/>
      </c>
      <c r="O37" s="24">
        <f>SUMIF(T12_Calc!$N$1:$N$500,"HK &amp; laundry supplies",T12_Calc!$K$1:$K$500)</f>
        <v/>
      </c>
      <c r="P37" s="24">
        <f>SUMIF(T12_Calc!$N$1:$N$500,"HK &amp; laundry supplies",T12_Calc!$L$1:$L$500)</f>
        <v/>
      </c>
      <c r="Q37" s="24">
        <f>SUMIF(T12_Calc!$N$1:$N$500,"HK &amp; laundry supplies",T12_Calc!$M$1:$M$500)</f>
        <v/>
      </c>
      <c r="R37" s="87">
        <f>SUM(F37:Q37)</f>
        <v/>
      </c>
    </row>
    <row r="38" ht="15.75" customHeight="1" s="199">
      <c r="A38" s="82" t="inlineStr">
        <is>
          <t>Non-Labor</t>
        </is>
      </c>
      <c r="B38" s="83" t="inlineStr">
        <is>
          <t>Sales, adv. &amp; marketing</t>
        </is>
      </c>
      <c r="C38" s="84" t="inlineStr">
        <is>
          <t>-</t>
        </is>
      </c>
      <c r="D38" s="85" t="n"/>
      <c r="E38" s="86" t="inlineStr">
        <is>
          <t>Advertising and Promotion | Advertising &amp; Promotion</t>
        </is>
      </c>
      <c r="F38" s="24">
        <f>SUMIF(T12_Calc!$N$1:$N$500,"Sales, adv. &amp; marketing",T12_Calc!$B$1:$B$500)</f>
        <v/>
      </c>
      <c r="G38" s="24">
        <f>SUMIF(T12_Calc!$N$1:$N$500,"Sales, adv. &amp; marketing",T12_Calc!$C$1:$C$500)</f>
        <v/>
      </c>
      <c r="H38" s="24">
        <f>SUMIF(T12_Calc!$N$1:$N$500,"Sales, adv. &amp; marketing",T12_Calc!$D$1:$D$500)</f>
        <v/>
      </c>
      <c r="I38" s="24">
        <f>SUMIF(T12_Calc!$N$1:$N$500,"Sales, adv. &amp; marketing",T12_Calc!$E$1:$E$500)</f>
        <v/>
      </c>
      <c r="J38" s="24">
        <f>SUMIF(T12_Calc!$N$1:$N$500,"Sales, adv. &amp; marketing",T12_Calc!$F$1:$F$500)</f>
        <v/>
      </c>
      <c r="K38" s="24">
        <f>SUMIF(T12_Calc!$N$1:$N$500,"Sales, adv. &amp; marketing",T12_Calc!$G$1:$G$500)</f>
        <v/>
      </c>
      <c r="L38" s="24">
        <f>SUMIF(T12_Calc!$N$1:$N$500,"Sales, adv. &amp; marketing",T12_Calc!$H$1:$H$500)</f>
        <v/>
      </c>
      <c r="M38" s="24">
        <f>SUMIF(T12_Calc!$N$1:$N$500,"Sales, adv. &amp; marketing",T12_Calc!$I$1:$I$500)</f>
        <v/>
      </c>
      <c r="N38" s="24">
        <f>SUMIF(T12_Calc!$N$1:$N$500,"Sales, adv. &amp; marketing",T12_Calc!$J$1:$J$500)</f>
        <v/>
      </c>
      <c r="O38" s="24">
        <f>SUMIF(T12_Calc!$N$1:$N$500,"Sales, adv. &amp; marketing",T12_Calc!$K$1:$K$500)</f>
        <v/>
      </c>
      <c r="P38" s="24">
        <f>SUMIF(T12_Calc!$N$1:$N$500,"Sales, adv. &amp; marketing",T12_Calc!$L$1:$L$500)</f>
        <v/>
      </c>
      <c r="Q38" s="24">
        <f>SUMIF(T12_Calc!$N$1:$N$500,"Sales, adv. &amp; marketing",T12_Calc!$M$1:$M$500)</f>
        <v/>
      </c>
      <c r="R38" s="87">
        <f>SUM(F38:Q38)</f>
        <v/>
      </c>
    </row>
    <row r="39" ht="15.75" customHeight="1" s="199">
      <c r="A39" s="88" t="inlineStr">
        <is>
          <t>Non-Labor</t>
        </is>
      </c>
      <c r="B39" s="89" t="inlineStr">
        <is>
          <t>Referral fees</t>
        </is>
      </c>
      <c r="C39" s="90" t="inlineStr">
        <is>
          <t>-</t>
        </is>
      </c>
      <c r="D39" s="91" t="inlineStr">
        <is>
          <t>Normalize at stabilization</t>
        </is>
      </c>
      <c r="E39" s="92" t="inlineStr">
        <is>
          <t>Referral Fees</t>
        </is>
      </c>
      <c r="F39" s="47">
        <f>SUMIF(T12_Calc!$N$1:$N$500,"Referral fees",T12_Calc!$B$1:$B$500)</f>
        <v/>
      </c>
      <c r="G39" s="47">
        <f>SUMIF(T12_Calc!$N$1:$N$500,"Referral fees",T12_Calc!$C$1:$C$500)</f>
        <v/>
      </c>
      <c r="H39" s="47">
        <f>SUMIF(T12_Calc!$N$1:$N$500,"Referral fees",T12_Calc!$D$1:$D$500)</f>
        <v/>
      </c>
      <c r="I39" s="47">
        <f>SUMIF(T12_Calc!$N$1:$N$500,"Referral fees",T12_Calc!$E$1:$E$500)</f>
        <v/>
      </c>
      <c r="J39" s="47">
        <f>SUMIF(T12_Calc!$N$1:$N$500,"Referral fees",T12_Calc!$F$1:$F$500)</f>
        <v/>
      </c>
      <c r="K39" s="47">
        <f>SUMIF(T12_Calc!$N$1:$N$500,"Referral fees",T12_Calc!$G$1:$G$500)</f>
        <v/>
      </c>
      <c r="L39" s="47">
        <f>SUMIF(T12_Calc!$N$1:$N$500,"Referral fees",T12_Calc!$H$1:$H$500)</f>
        <v/>
      </c>
      <c r="M39" s="47">
        <f>SUMIF(T12_Calc!$N$1:$N$500,"Referral fees",T12_Calc!$I$1:$I$500)</f>
        <v/>
      </c>
      <c r="N39" s="47">
        <f>SUMIF(T12_Calc!$N$1:$N$500,"Referral fees",T12_Calc!$J$1:$J$500)</f>
        <v/>
      </c>
      <c r="O39" s="47">
        <f>SUMIF(T12_Calc!$N$1:$N$500,"Referral fees",T12_Calc!$K$1:$K$500)</f>
        <v/>
      </c>
      <c r="P39" s="47">
        <f>SUMIF(T12_Calc!$N$1:$N$500,"Referral fees",T12_Calc!$L$1:$L$500)</f>
        <v/>
      </c>
      <c r="Q39" s="47">
        <f>SUMIF(T12_Calc!$N$1:$N$500,"Referral fees",T12_Calc!$M$1:$M$500)</f>
        <v/>
      </c>
      <c r="R39" s="93">
        <f>SUM(F39:Q39)</f>
        <v/>
      </c>
    </row>
    <row r="40" ht="15.75" customHeight="1" s="199">
      <c r="A40" s="82" t="inlineStr">
        <is>
          <t>Non-Labor</t>
        </is>
      </c>
      <c r="B40" s="83" t="inlineStr">
        <is>
          <t>Utilities</t>
        </is>
      </c>
      <c r="C40" s="84" t="inlineStr">
        <is>
          <t>-</t>
        </is>
      </c>
      <c r="D40" s="85" t="n"/>
      <c r="E40" s="86" t="inlineStr">
        <is>
          <t>Utilities</t>
        </is>
      </c>
      <c r="F40" s="24">
        <f>SUMIF(T12_Calc!$N$1:$N$500,"Utilities",T12_Calc!$B$1:$B$500)</f>
        <v/>
      </c>
      <c r="G40" s="24">
        <f>SUMIF(T12_Calc!$N$1:$N$500,"Utilities",T12_Calc!$C$1:$C$500)</f>
        <v/>
      </c>
      <c r="H40" s="24">
        <f>SUMIF(T12_Calc!$N$1:$N$500,"Utilities",T12_Calc!$D$1:$D$500)</f>
        <v/>
      </c>
      <c r="I40" s="24">
        <f>SUMIF(T12_Calc!$N$1:$N$500,"Utilities",T12_Calc!$E$1:$E$500)</f>
        <v/>
      </c>
      <c r="J40" s="24">
        <f>SUMIF(T12_Calc!$N$1:$N$500,"Utilities",T12_Calc!$F$1:$F$500)</f>
        <v/>
      </c>
      <c r="K40" s="24">
        <f>SUMIF(T12_Calc!$N$1:$N$500,"Utilities",T12_Calc!$G$1:$G$500)</f>
        <v/>
      </c>
      <c r="L40" s="24">
        <f>SUMIF(T12_Calc!$N$1:$N$500,"Utilities",T12_Calc!$H$1:$H$500)</f>
        <v/>
      </c>
      <c r="M40" s="24">
        <f>SUMIF(T12_Calc!$N$1:$N$500,"Utilities",T12_Calc!$I$1:$I$500)</f>
        <v/>
      </c>
      <c r="N40" s="24">
        <f>SUMIF(T12_Calc!$N$1:$N$500,"Utilities",T12_Calc!$J$1:$J$500)</f>
        <v/>
      </c>
      <c r="O40" s="24">
        <f>SUMIF(T12_Calc!$N$1:$N$500,"Utilities",T12_Calc!$K$1:$K$500)</f>
        <v/>
      </c>
      <c r="P40" s="24">
        <f>SUMIF(T12_Calc!$N$1:$N$500,"Utilities",T12_Calc!$L$1:$L$500)</f>
        <v/>
      </c>
      <c r="Q40" s="24">
        <f>SUMIF(T12_Calc!$N$1:$N$500,"Utilities",T12_Calc!$M$1:$M$500)</f>
        <v/>
      </c>
      <c r="R40" s="87">
        <f>SUM(F40:Q40)</f>
        <v/>
      </c>
    </row>
    <row r="41" ht="15.75" customHeight="1" s="199">
      <c r="A41" s="82" t="inlineStr">
        <is>
          <t>Non-Labor</t>
        </is>
      </c>
      <c r="B41" s="83" t="inlineStr">
        <is>
          <t>Telephone / IT</t>
        </is>
      </c>
      <c r="C41" s="84" t="inlineStr">
        <is>
          <t>-</t>
        </is>
      </c>
      <c r="D41" s="85" t="n"/>
      <c r="E41" s="86" t="inlineStr">
        <is>
          <t>Telephone/IT | Telephone Reimbursement</t>
        </is>
      </c>
      <c r="F41" s="24">
        <f>SUMIF(T12_Calc!$N$1:$N$500,"Telephone / IT",T12_Calc!$B$1:$B$500)</f>
        <v/>
      </c>
      <c r="G41" s="24">
        <f>SUMIF(T12_Calc!$N$1:$N$500,"Telephone / IT",T12_Calc!$C$1:$C$500)</f>
        <v/>
      </c>
      <c r="H41" s="24">
        <f>SUMIF(T12_Calc!$N$1:$N$500,"Telephone / IT",T12_Calc!$D$1:$D$500)</f>
        <v/>
      </c>
      <c r="I41" s="24">
        <f>SUMIF(T12_Calc!$N$1:$N$500,"Telephone / IT",T12_Calc!$E$1:$E$500)</f>
        <v/>
      </c>
      <c r="J41" s="24">
        <f>SUMIF(T12_Calc!$N$1:$N$500,"Telephone / IT",T12_Calc!$F$1:$F$500)</f>
        <v/>
      </c>
      <c r="K41" s="24">
        <f>SUMIF(T12_Calc!$N$1:$N$500,"Telephone / IT",T12_Calc!$G$1:$G$500)</f>
        <v/>
      </c>
      <c r="L41" s="24">
        <f>SUMIF(T12_Calc!$N$1:$N$500,"Telephone / IT",T12_Calc!$H$1:$H$500)</f>
        <v/>
      </c>
      <c r="M41" s="24">
        <f>SUMIF(T12_Calc!$N$1:$N$500,"Telephone / IT",T12_Calc!$I$1:$I$500)</f>
        <v/>
      </c>
      <c r="N41" s="24">
        <f>SUMIF(T12_Calc!$N$1:$N$500,"Telephone / IT",T12_Calc!$J$1:$J$500)</f>
        <v/>
      </c>
      <c r="O41" s="24">
        <f>SUMIF(T12_Calc!$N$1:$N$500,"Telephone / IT",T12_Calc!$K$1:$K$500)</f>
        <v/>
      </c>
      <c r="P41" s="24">
        <f>SUMIF(T12_Calc!$N$1:$N$500,"Telephone / IT",T12_Calc!$L$1:$L$500)</f>
        <v/>
      </c>
      <c r="Q41" s="24">
        <f>SUMIF(T12_Calc!$N$1:$N$500,"Telephone / IT",T12_Calc!$M$1:$M$500)</f>
        <v/>
      </c>
      <c r="R41" s="87">
        <f>SUM(F41:Q41)</f>
        <v/>
      </c>
    </row>
    <row r="42" ht="15.75" customHeight="1" s="199">
      <c r="A42" s="82" t="inlineStr">
        <is>
          <t>Non-Labor</t>
        </is>
      </c>
      <c r="B42" s="83" t="inlineStr">
        <is>
          <t>P&amp;C insurance (bundled)</t>
        </is>
      </c>
      <c r="C42" s="84" t="inlineStr">
        <is>
          <t>-</t>
        </is>
      </c>
      <c r="D42" s="85" t="n"/>
      <c r="E42" s="86" t="inlineStr">
        <is>
          <t>Bundled Insurance Poilicies | Bundled Insurance Policies | EPLI Insurance</t>
        </is>
      </c>
      <c r="F42" s="24">
        <f>SUMIF(T12_Calc!$N$1:$N$500,"P&amp;C insurance (bundled)",T12_Calc!$B$1:$B$500)</f>
        <v/>
      </c>
      <c r="G42" s="24">
        <f>SUMIF(T12_Calc!$N$1:$N$500,"P&amp;C insurance (bundled)",T12_Calc!$C$1:$C$500)</f>
        <v/>
      </c>
      <c r="H42" s="24">
        <f>SUMIF(T12_Calc!$N$1:$N$500,"P&amp;C insurance (bundled)",T12_Calc!$D$1:$D$500)</f>
        <v/>
      </c>
      <c r="I42" s="24">
        <f>SUMIF(T12_Calc!$N$1:$N$500,"P&amp;C insurance (bundled)",T12_Calc!$E$1:$E$500)</f>
        <v/>
      </c>
      <c r="J42" s="24">
        <f>SUMIF(T12_Calc!$N$1:$N$500,"P&amp;C insurance (bundled)",T12_Calc!$F$1:$F$500)</f>
        <v/>
      </c>
      <c r="K42" s="24">
        <f>SUMIF(T12_Calc!$N$1:$N$500,"P&amp;C insurance (bundled)",T12_Calc!$G$1:$G$500)</f>
        <v/>
      </c>
      <c r="L42" s="24">
        <f>SUMIF(T12_Calc!$N$1:$N$500,"P&amp;C insurance (bundled)",T12_Calc!$H$1:$H$500)</f>
        <v/>
      </c>
      <c r="M42" s="24">
        <f>SUMIF(T12_Calc!$N$1:$N$500,"P&amp;C insurance (bundled)",T12_Calc!$I$1:$I$500)</f>
        <v/>
      </c>
      <c r="N42" s="24">
        <f>SUMIF(T12_Calc!$N$1:$N$500,"P&amp;C insurance (bundled)",T12_Calc!$J$1:$J$500)</f>
        <v/>
      </c>
      <c r="O42" s="24">
        <f>SUMIF(T12_Calc!$N$1:$N$500,"P&amp;C insurance (bundled)",T12_Calc!$K$1:$K$500)</f>
        <v/>
      </c>
      <c r="P42" s="24">
        <f>SUMIF(T12_Calc!$N$1:$N$500,"P&amp;C insurance (bundled)",T12_Calc!$L$1:$L$500)</f>
        <v/>
      </c>
      <c r="Q42" s="24">
        <f>SUMIF(T12_Calc!$N$1:$N$500,"P&amp;C insurance (bundled)",T12_Calc!$M$1:$M$500)</f>
        <v/>
      </c>
      <c r="R42" s="87">
        <f>SUM(F42:Q42)</f>
        <v/>
      </c>
    </row>
    <row r="43" ht="15.75" customHeight="1" s="199">
      <c r="A43" s="82" t="inlineStr">
        <is>
          <t>Non-Labor</t>
        </is>
      </c>
      <c r="B43" s="83" t="inlineStr">
        <is>
          <t>Auto insurance</t>
        </is>
      </c>
      <c r="C43" s="84" t="inlineStr">
        <is>
          <t>-</t>
        </is>
      </c>
      <c r="D43" s="85" t="n"/>
      <c r="E43" s="86" t="inlineStr">
        <is>
          <t>Auto Insurance</t>
        </is>
      </c>
      <c r="F43" s="24">
        <f>SUMIF(T12_Calc!$N$1:$N$500,"Auto insurance",T12_Calc!$B$1:$B$500)</f>
        <v/>
      </c>
      <c r="G43" s="24">
        <f>SUMIF(T12_Calc!$N$1:$N$500,"Auto insurance",T12_Calc!$C$1:$C$500)</f>
        <v/>
      </c>
      <c r="H43" s="24">
        <f>SUMIF(T12_Calc!$N$1:$N$500,"Auto insurance",T12_Calc!$D$1:$D$500)</f>
        <v/>
      </c>
      <c r="I43" s="24">
        <f>SUMIF(T12_Calc!$N$1:$N$500,"Auto insurance",T12_Calc!$E$1:$E$500)</f>
        <v/>
      </c>
      <c r="J43" s="24">
        <f>SUMIF(T12_Calc!$N$1:$N$500,"Auto insurance",T12_Calc!$F$1:$F$500)</f>
        <v/>
      </c>
      <c r="K43" s="24">
        <f>SUMIF(T12_Calc!$N$1:$N$500,"Auto insurance",T12_Calc!$G$1:$G$500)</f>
        <v/>
      </c>
      <c r="L43" s="24">
        <f>SUMIF(T12_Calc!$N$1:$N$500,"Auto insurance",T12_Calc!$H$1:$H$500)</f>
        <v/>
      </c>
      <c r="M43" s="24">
        <f>SUMIF(T12_Calc!$N$1:$N$500,"Auto insurance",T12_Calc!$I$1:$I$500)</f>
        <v/>
      </c>
      <c r="N43" s="24">
        <f>SUMIF(T12_Calc!$N$1:$N$500,"Auto insurance",T12_Calc!$J$1:$J$500)</f>
        <v/>
      </c>
      <c r="O43" s="24">
        <f>SUMIF(T12_Calc!$N$1:$N$500,"Auto insurance",T12_Calc!$K$1:$K$500)</f>
        <v/>
      </c>
      <c r="P43" s="24">
        <f>SUMIF(T12_Calc!$N$1:$N$500,"Auto insurance",T12_Calc!$L$1:$L$500)</f>
        <v/>
      </c>
      <c r="Q43" s="24">
        <f>SUMIF(T12_Calc!$N$1:$N$500,"Auto insurance",T12_Calc!$M$1:$M$500)</f>
        <v/>
      </c>
      <c r="R43" s="87">
        <f>SUM(F43:Q43)</f>
        <v/>
      </c>
    </row>
    <row r="44" ht="15.75" customHeight="1" s="199">
      <c r="A44" s="82" t="inlineStr">
        <is>
          <t>Non-Labor</t>
        </is>
      </c>
      <c r="B44" s="83" t="inlineStr">
        <is>
          <t>Fire / security monitoring</t>
        </is>
      </c>
      <c r="C44" s="84" t="inlineStr">
        <is>
          <t>-</t>
        </is>
      </c>
      <c r="D44" s="85" t="n"/>
      <c r="E44" s="86" t="inlineStr">
        <is>
          <t>Fire/Security Monitoring</t>
        </is>
      </c>
      <c r="F44" s="24">
        <f>SUMIF(T12_Calc!$N$1:$N$500,"Fire / security monitoring",T12_Calc!$B$1:$B$500)</f>
        <v/>
      </c>
      <c r="G44" s="24">
        <f>SUMIF(T12_Calc!$N$1:$N$500,"Fire / security monitoring",T12_Calc!$C$1:$C$500)</f>
        <v/>
      </c>
      <c r="H44" s="24">
        <f>SUMIF(T12_Calc!$N$1:$N$500,"Fire / security monitoring",T12_Calc!$D$1:$D$500)</f>
        <v/>
      </c>
      <c r="I44" s="24">
        <f>SUMIF(T12_Calc!$N$1:$N$500,"Fire / security monitoring",T12_Calc!$E$1:$E$500)</f>
        <v/>
      </c>
      <c r="J44" s="24">
        <f>SUMIF(T12_Calc!$N$1:$N$500,"Fire / security monitoring",T12_Calc!$F$1:$F$500)</f>
        <v/>
      </c>
      <c r="K44" s="24">
        <f>SUMIF(T12_Calc!$N$1:$N$500,"Fire / security monitoring",T12_Calc!$G$1:$G$500)</f>
        <v/>
      </c>
      <c r="L44" s="24">
        <f>SUMIF(T12_Calc!$N$1:$N$500,"Fire / security monitoring",T12_Calc!$H$1:$H$500)</f>
        <v/>
      </c>
      <c r="M44" s="24">
        <f>SUMIF(T12_Calc!$N$1:$N$500,"Fire / security monitoring",T12_Calc!$I$1:$I$500)</f>
        <v/>
      </c>
      <c r="N44" s="24">
        <f>SUMIF(T12_Calc!$N$1:$N$500,"Fire / security monitoring",T12_Calc!$J$1:$J$500)</f>
        <v/>
      </c>
      <c r="O44" s="24">
        <f>SUMIF(T12_Calc!$N$1:$N$500,"Fire / security monitoring",T12_Calc!$K$1:$K$500)</f>
        <v/>
      </c>
      <c r="P44" s="24">
        <f>SUMIF(T12_Calc!$N$1:$N$500,"Fire / security monitoring",T12_Calc!$L$1:$L$500)</f>
        <v/>
      </c>
      <c r="Q44" s="24">
        <f>SUMIF(T12_Calc!$N$1:$N$500,"Fire / security monitoring",T12_Calc!$M$1:$M$500)</f>
        <v/>
      </c>
      <c r="R44" s="87">
        <f>SUM(F44:Q44)</f>
        <v/>
      </c>
    </row>
    <row r="45" ht="15.75" customHeight="1" s="199">
      <c r="A45" s="82" t="inlineStr">
        <is>
          <t>Non-Labor</t>
        </is>
      </c>
      <c r="B45" s="83" t="inlineStr">
        <is>
          <t>Pest elimination</t>
        </is>
      </c>
      <c r="C45" s="84" t="inlineStr">
        <is>
          <t>-</t>
        </is>
      </c>
      <c r="D45" s="85" t="n"/>
      <c r="E45" s="86" t="inlineStr">
        <is>
          <t>Pest Elimination</t>
        </is>
      </c>
      <c r="F45" s="24">
        <f>SUMIF(T12_Calc!$N$1:$N$500,"Pest elimination",T12_Calc!$B$1:$B$500)</f>
        <v/>
      </c>
      <c r="G45" s="24">
        <f>SUMIF(T12_Calc!$N$1:$N$500,"Pest elimination",T12_Calc!$C$1:$C$500)</f>
        <v/>
      </c>
      <c r="H45" s="24">
        <f>SUMIF(T12_Calc!$N$1:$N$500,"Pest elimination",T12_Calc!$D$1:$D$500)</f>
        <v/>
      </c>
      <c r="I45" s="24">
        <f>SUMIF(T12_Calc!$N$1:$N$500,"Pest elimination",T12_Calc!$E$1:$E$500)</f>
        <v/>
      </c>
      <c r="J45" s="24">
        <f>SUMIF(T12_Calc!$N$1:$N$500,"Pest elimination",T12_Calc!$F$1:$F$500)</f>
        <v/>
      </c>
      <c r="K45" s="24">
        <f>SUMIF(T12_Calc!$N$1:$N$500,"Pest elimination",T12_Calc!$G$1:$G$500)</f>
        <v/>
      </c>
      <c r="L45" s="24">
        <f>SUMIF(T12_Calc!$N$1:$N$500,"Pest elimination",T12_Calc!$H$1:$H$500)</f>
        <v/>
      </c>
      <c r="M45" s="24">
        <f>SUMIF(T12_Calc!$N$1:$N$500,"Pest elimination",T12_Calc!$I$1:$I$500)</f>
        <v/>
      </c>
      <c r="N45" s="24">
        <f>SUMIF(T12_Calc!$N$1:$N$500,"Pest elimination",T12_Calc!$J$1:$J$500)</f>
        <v/>
      </c>
      <c r="O45" s="24">
        <f>SUMIF(T12_Calc!$N$1:$N$500,"Pest elimination",T12_Calc!$K$1:$K$500)</f>
        <v/>
      </c>
      <c r="P45" s="24">
        <f>SUMIF(T12_Calc!$N$1:$N$500,"Pest elimination",T12_Calc!$L$1:$L$500)</f>
        <v/>
      </c>
      <c r="Q45" s="24">
        <f>SUMIF(T12_Calc!$N$1:$N$500,"Pest elimination",T12_Calc!$M$1:$M$500)</f>
        <v/>
      </c>
      <c r="R45" s="87">
        <f>SUM(F45:Q45)</f>
        <v/>
      </c>
    </row>
    <row r="46" ht="15.75" customHeight="1" s="199">
      <c r="A46" s="88" t="inlineStr">
        <is>
          <t>Non-Labor</t>
        </is>
      </c>
      <c r="B46" s="89" t="inlineStr">
        <is>
          <t>Real estate taxes</t>
        </is>
      </c>
      <c r="C46" s="90" t="inlineStr">
        <is>
          <t>-</t>
        </is>
      </c>
      <c r="D46" s="91" t="inlineStr">
        <is>
          <t>Verify assessed value</t>
        </is>
      </c>
      <c r="E46" s="92" t="inlineStr">
        <is>
          <t>Property Tax Expense | Real Estate Taxes</t>
        </is>
      </c>
      <c r="F46" s="47">
        <f>SUMIF(T12_Calc!$N$1:$N$500,"Real estate taxes",T12_Calc!$B$1:$B$500)</f>
        <v/>
      </c>
      <c r="G46" s="47">
        <f>SUMIF(T12_Calc!$N$1:$N$500,"Real estate taxes",T12_Calc!$C$1:$C$500)</f>
        <v/>
      </c>
      <c r="H46" s="47">
        <f>SUMIF(T12_Calc!$N$1:$N$500,"Real estate taxes",T12_Calc!$D$1:$D$500)</f>
        <v/>
      </c>
      <c r="I46" s="47">
        <f>SUMIF(T12_Calc!$N$1:$N$500,"Real estate taxes",T12_Calc!$E$1:$E$500)</f>
        <v/>
      </c>
      <c r="J46" s="47">
        <f>SUMIF(T12_Calc!$N$1:$N$500,"Real estate taxes",T12_Calc!$F$1:$F$500)</f>
        <v/>
      </c>
      <c r="K46" s="47">
        <f>SUMIF(T12_Calc!$N$1:$N$500,"Real estate taxes",T12_Calc!$G$1:$G$500)</f>
        <v/>
      </c>
      <c r="L46" s="47">
        <f>SUMIF(T12_Calc!$N$1:$N$500,"Real estate taxes",T12_Calc!$H$1:$H$500)</f>
        <v/>
      </c>
      <c r="M46" s="47">
        <f>SUMIF(T12_Calc!$N$1:$N$500,"Real estate taxes",T12_Calc!$I$1:$I$500)</f>
        <v/>
      </c>
      <c r="N46" s="47">
        <f>SUMIF(T12_Calc!$N$1:$N$500,"Real estate taxes",T12_Calc!$J$1:$J$500)</f>
        <v/>
      </c>
      <c r="O46" s="47">
        <f>SUMIF(T12_Calc!$N$1:$N$500,"Real estate taxes",T12_Calc!$K$1:$K$500)</f>
        <v/>
      </c>
      <c r="P46" s="47">
        <f>SUMIF(T12_Calc!$N$1:$N$500,"Real estate taxes",T12_Calc!$L$1:$L$500)</f>
        <v/>
      </c>
      <c r="Q46" s="47">
        <f>SUMIF(T12_Calc!$N$1:$N$500,"Real estate taxes",T12_Calc!$M$1:$M$500)</f>
        <v/>
      </c>
      <c r="R46" s="93">
        <f>SUM(F46:Q46)</f>
        <v/>
      </c>
    </row>
    <row r="47" ht="15.75" customHeight="1" s="199">
      <c r="A47" s="82" t="inlineStr">
        <is>
          <t>Non-Labor</t>
        </is>
      </c>
      <c r="B47" s="83" t="inlineStr">
        <is>
          <t>Personal property taxes</t>
        </is>
      </c>
      <c r="C47" s="84" t="inlineStr">
        <is>
          <t>-</t>
        </is>
      </c>
      <c r="D47" s="85" t="n"/>
      <c r="E47" s="86" t="inlineStr">
        <is>
          <t>Personal Property Tax Expense | Personal Property Taxes</t>
        </is>
      </c>
      <c r="F47" s="24">
        <f>SUMIF(T12_Calc!$N$1:$N$500,"Personal property taxes",T12_Calc!$B$1:$B$500)</f>
        <v/>
      </c>
      <c r="G47" s="24">
        <f>SUMIF(T12_Calc!$N$1:$N$500,"Personal property taxes",T12_Calc!$C$1:$C$500)</f>
        <v/>
      </c>
      <c r="H47" s="24">
        <f>SUMIF(T12_Calc!$N$1:$N$500,"Personal property taxes",T12_Calc!$D$1:$D$500)</f>
        <v/>
      </c>
      <c r="I47" s="24">
        <f>SUMIF(T12_Calc!$N$1:$N$500,"Personal property taxes",T12_Calc!$E$1:$E$500)</f>
        <v/>
      </c>
      <c r="J47" s="24">
        <f>SUMIF(T12_Calc!$N$1:$N$500,"Personal property taxes",T12_Calc!$F$1:$F$500)</f>
        <v/>
      </c>
      <c r="K47" s="24">
        <f>SUMIF(T12_Calc!$N$1:$N$500,"Personal property taxes",T12_Calc!$G$1:$G$500)</f>
        <v/>
      </c>
      <c r="L47" s="24">
        <f>SUMIF(T12_Calc!$N$1:$N$500,"Personal property taxes",T12_Calc!$H$1:$H$500)</f>
        <v/>
      </c>
      <c r="M47" s="24">
        <f>SUMIF(T12_Calc!$N$1:$N$500,"Personal property taxes",T12_Calc!$I$1:$I$500)</f>
        <v/>
      </c>
      <c r="N47" s="24">
        <f>SUMIF(T12_Calc!$N$1:$N$500,"Personal property taxes",T12_Calc!$J$1:$J$500)</f>
        <v/>
      </c>
      <c r="O47" s="24">
        <f>SUMIF(T12_Calc!$N$1:$N$500,"Personal property taxes",T12_Calc!$K$1:$K$500)</f>
        <v/>
      </c>
      <c r="P47" s="24">
        <f>SUMIF(T12_Calc!$N$1:$N$500,"Personal property taxes",T12_Calc!$L$1:$L$500)</f>
        <v/>
      </c>
      <c r="Q47" s="24">
        <f>SUMIF(T12_Calc!$N$1:$N$500,"Personal property taxes",T12_Calc!$M$1:$M$500)</f>
        <v/>
      </c>
      <c r="R47" s="87">
        <f>SUM(F47:Q47)</f>
        <v/>
      </c>
    </row>
    <row r="48" ht="15.75" customHeight="1" s="199">
      <c r="A48" s="82" t="inlineStr">
        <is>
          <t>Non-Labor</t>
        </is>
      </c>
      <c r="B48" s="83" t="inlineStr">
        <is>
          <t>Legal expenses</t>
        </is>
      </c>
      <c r="C48" s="84" t="inlineStr">
        <is>
          <t>-</t>
        </is>
      </c>
      <c r="D48" s="85" t="n"/>
      <c r="E48" s="86" t="inlineStr">
        <is>
          <t>Legal Expense | Legal Expenses</t>
        </is>
      </c>
      <c r="F48" s="24">
        <f>SUMIF(T12_Calc!$N$1:$N$500,"Legal expenses",T12_Calc!$B$1:$B$500)</f>
        <v/>
      </c>
      <c r="G48" s="24">
        <f>SUMIF(T12_Calc!$N$1:$N$500,"Legal expenses",T12_Calc!$C$1:$C$500)</f>
        <v/>
      </c>
      <c r="H48" s="24">
        <f>SUMIF(T12_Calc!$N$1:$N$500,"Legal expenses",T12_Calc!$D$1:$D$500)</f>
        <v/>
      </c>
      <c r="I48" s="24">
        <f>SUMIF(T12_Calc!$N$1:$N$500,"Legal expenses",T12_Calc!$E$1:$E$500)</f>
        <v/>
      </c>
      <c r="J48" s="24">
        <f>SUMIF(T12_Calc!$N$1:$N$500,"Legal expenses",T12_Calc!$F$1:$F$500)</f>
        <v/>
      </c>
      <c r="K48" s="24">
        <f>SUMIF(T12_Calc!$N$1:$N$500,"Legal expenses",T12_Calc!$G$1:$G$500)</f>
        <v/>
      </c>
      <c r="L48" s="24">
        <f>SUMIF(T12_Calc!$N$1:$N$500,"Legal expenses",T12_Calc!$H$1:$H$500)</f>
        <v/>
      </c>
      <c r="M48" s="24">
        <f>SUMIF(T12_Calc!$N$1:$N$500,"Legal expenses",T12_Calc!$I$1:$I$500)</f>
        <v/>
      </c>
      <c r="N48" s="24">
        <f>SUMIF(T12_Calc!$N$1:$N$500,"Legal expenses",T12_Calc!$J$1:$J$500)</f>
        <v/>
      </c>
      <c r="O48" s="24">
        <f>SUMIF(T12_Calc!$N$1:$N$500,"Legal expenses",T12_Calc!$K$1:$K$500)</f>
        <v/>
      </c>
      <c r="P48" s="24">
        <f>SUMIF(T12_Calc!$N$1:$N$500,"Legal expenses",T12_Calc!$L$1:$L$500)</f>
        <v/>
      </c>
      <c r="Q48" s="24">
        <f>SUMIF(T12_Calc!$N$1:$N$500,"Legal expenses",T12_Calc!$M$1:$M$500)</f>
        <v/>
      </c>
      <c r="R48" s="87">
        <f>SUM(F48:Q48)</f>
        <v/>
      </c>
    </row>
    <row r="49" ht="15.75" customHeight="1" s="199">
      <c r="A49" s="82" t="inlineStr">
        <is>
          <t>Non-Labor</t>
        </is>
      </c>
      <c r="B49" s="83" t="inlineStr">
        <is>
          <t>Professional services</t>
        </is>
      </c>
      <c r="C49" s="84" t="inlineStr">
        <is>
          <t>-</t>
        </is>
      </c>
      <c r="D49" s="85" t="n"/>
      <c r="E49" s="86" t="inlineStr">
        <is>
          <t>Professional Services</t>
        </is>
      </c>
      <c r="F49" s="24">
        <f>SUMIF(T12_Calc!$N$1:$N$500,"Professional services",T12_Calc!$B$1:$B$500)</f>
        <v/>
      </c>
      <c r="G49" s="24">
        <f>SUMIF(T12_Calc!$N$1:$N$500,"Professional services",T12_Calc!$C$1:$C$500)</f>
        <v/>
      </c>
      <c r="H49" s="24">
        <f>SUMIF(T12_Calc!$N$1:$N$500,"Professional services",T12_Calc!$D$1:$D$500)</f>
        <v/>
      </c>
      <c r="I49" s="24">
        <f>SUMIF(T12_Calc!$N$1:$N$500,"Professional services",T12_Calc!$E$1:$E$500)</f>
        <v/>
      </c>
      <c r="J49" s="24">
        <f>SUMIF(T12_Calc!$N$1:$N$500,"Professional services",T12_Calc!$F$1:$F$500)</f>
        <v/>
      </c>
      <c r="K49" s="24">
        <f>SUMIF(T12_Calc!$N$1:$N$500,"Professional services",T12_Calc!$G$1:$G$500)</f>
        <v/>
      </c>
      <c r="L49" s="24">
        <f>SUMIF(T12_Calc!$N$1:$N$500,"Professional services",T12_Calc!$H$1:$H$500)</f>
        <v/>
      </c>
      <c r="M49" s="24">
        <f>SUMIF(T12_Calc!$N$1:$N$500,"Professional services",T12_Calc!$I$1:$I$500)</f>
        <v/>
      </c>
      <c r="N49" s="24">
        <f>SUMIF(T12_Calc!$N$1:$N$500,"Professional services",T12_Calc!$J$1:$J$500)</f>
        <v/>
      </c>
      <c r="O49" s="24">
        <f>SUMIF(T12_Calc!$N$1:$N$500,"Professional services",T12_Calc!$K$1:$K$500)</f>
        <v/>
      </c>
      <c r="P49" s="24">
        <f>SUMIF(T12_Calc!$N$1:$N$500,"Professional services",T12_Calc!$L$1:$L$500)</f>
        <v/>
      </c>
      <c r="Q49" s="24">
        <f>SUMIF(T12_Calc!$N$1:$N$500,"Professional services",T12_Calc!$M$1:$M$500)</f>
        <v/>
      </c>
      <c r="R49" s="87">
        <f>SUM(F49:Q49)</f>
        <v/>
      </c>
    </row>
    <row r="50" ht="15.75" customHeight="1" s="199">
      <c r="A50" s="88" t="inlineStr">
        <is>
          <t>Non-Labor</t>
        </is>
      </c>
      <c r="B50" s="89" t="inlineStr">
        <is>
          <t>Bad debt expense</t>
        </is>
      </c>
      <c r="C50" s="90" t="inlineStr">
        <is>
          <t>-</t>
        </is>
      </c>
      <c r="D50" s="91" t="inlineStr">
        <is>
          <t>Normalize to 1-2%</t>
        </is>
      </c>
      <c r="E50" s="92" t="inlineStr">
        <is>
          <t>Bad Debt Expense</t>
        </is>
      </c>
      <c r="F50" s="47">
        <f>SUMIF(T12_Calc!$N$1:$N$500,"Bad debt expense",T12_Calc!$B$1:$B$500)</f>
        <v/>
      </c>
      <c r="G50" s="47">
        <f>SUMIF(T12_Calc!$N$1:$N$500,"Bad debt expense",T12_Calc!$C$1:$C$500)</f>
        <v/>
      </c>
      <c r="H50" s="47">
        <f>SUMIF(T12_Calc!$N$1:$N$500,"Bad debt expense",T12_Calc!$D$1:$D$500)</f>
        <v/>
      </c>
      <c r="I50" s="47">
        <f>SUMIF(T12_Calc!$N$1:$N$500,"Bad debt expense",T12_Calc!$E$1:$E$500)</f>
        <v/>
      </c>
      <c r="J50" s="47">
        <f>SUMIF(T12_Calc!$N$1:$N$500,"Bad debt expense",T12_Calc!$F$1:$F$500)</f>
        <v/>
      </c>
      <c r="K50" s="47">
        <f>SUMIF(T12_Calc!$N$1:$N$500,"Bad debt expense",T12_Calc!$G$1:$G$500)</f>
        <v/>
      </c>
      <c r="L50" s="47">
        <f>SUMIF(T12_Calc!$N$1:$N$500,"Bad debt expense",T12_Calc!$H$1:$H$500)</f>
        <v/>
      </c>
      <c r="M50" s="47">
        <f>SUMIF(T12_Calc!$N$1:$N$500,"Bad debt expense",T12_Calc!$I$1:$I$500)</f>
        <v/>
      </c>
      <c r="N50" s="47">
        <f>SUMIF(T12_Calc!$N$1:$N$500,"Bad debt expense",T12_Calc!$J$1:$J$500)</f>
        <v/>
      </c>
      <c r="O50" s="47">
        <f>SUMIF(T12_Calc!$N$1:$N$500,"Bad debt expense",T12_Calc!$K$1:$K$500)</f>
        <v/>
      </c>
      <c r="P50" s="47">
        <f>SUMIF(T12_Calc!$N$1:$N$500,"Bad debt expense",T12_Calc!$L$1:$L$500)</f>
        <v/>
      </c>
      <c r="Q50" s="47">
        <f>SUMIF(T12_Calc!$N$1:$N$500,"Bad debt expense",T12_Calc!$M$1:$M$500)</f>
        <v/>
      </c>
      <c r="R50" s="93">
        <f>SUM(F50:Q50)</f>
        <v/>
      </c>
    </row>
    <row r="51" ht="15.75" customHeight="1" s="199">
      <c r="A51" s="82" t="inlineStr">
        <is>
          <t>Non-Labor</t>
        </is>
      </c>
      <c r="B51" s="83" t="inlineStr">
        <is>
          <t>Permits, licenses &amp; dues</t>
        </is>
      </c>
      <c r="C51" s="84" t="inlineStr">
        <is>
          <t>-</t>
        </is>
      </c>
      <c r="D51" s="85" t="n"/>
      <c r="E51" s="86" t="inlineStr">
        <is>
          <t>Permits and Licenses | Dues and Subscriptions | Association Dues</t>
        </is>
      </c>
      <c r="F51" s="24">
        <f>SUMIF(T12_Calc!$N$1:$N$500,"Permits, licenses &amp; dues",T12_Calc!$B$1:$B$500)</f>
        <v/>
      </c>
      <c r="G51" s="24">
        <f>SUMIF(T12_Calc!$N$1:$N$500,"Permits, licenses &amp; dues",T12_Calc!$C$1:$C$500)</f>
        <v/>
      </c>
      <c r="H51" s="24">
        <f>SUMIF(T12_Calc!$N$1:$N$500,"Permits, licenses &amp; dues",T12_Calc!$D$1:$D$500)</f>
        <v/>
      </c>
      <c r="I51" s="24">
        <f>SUMIF(T12_Calc!$N$1:$N$500,"Permits, licenses &amp; dues",T12_Calc!$E$1:$E$500)</f>
        <v/>
      </c>
      <c r="J51" s="24">
        <f>SUMIF(T12_Calc!$N$1:$N$500,"Permits, licenses &amp; dues",T12_Calc!$F$1:$F$500)</f>
        <v/>
      </c>
      <c r="K51" s="24">
        <f>SUMIF(T12_Calc!$N$1:$N$500,"Permits, licenses &amp; dues",T12_Calc!$G$1:$G$500)</f>
        <v/>
      </c>
      <c r="L51" s="24">
        <f>SUMIF(T12_Calc!$N$1:$N$500,"Permits, licenses &amp; dues",T12_Calc!$H$1:$H$500)</f>
        <v/>
      </c>
      <c r="M51" s="24">
        <f>SUMIF(T12_Calc!$N$1:$N$500,"Permits, licenses &amp; dues",T12_Calc!$I$1:$I$500)</f>
        <v/>
      </c>
      <c r="N51" s="24">
        <f>SUMIF(T12_Calc!$N$1:$N$500,"Permits, licenses &amp; dues",T12_Calc!$J$1:$J$500)</f>
        <v/>
      </c>
      <c r="O51" s="24">
        <f>SUMIF(T12_Calc!$N$1:$N$500,"Permits, licenses &amp; dues",T12_Calc!$K$1:$K$500)</f>
        <v/>
      </c>
      <c r="P51" s="24">
        <f>SUMIF(T12_Calc!$N$1:$N$500,"Permits, licenses &amp; dues",T12_Calc!$L$1:$L$500)</f>
        <v/>
      </c>
      <c r="Q51" s="24">
        <f>SUMIF(T12_Calc!$N$1:$N$500,"Permits, licenses &amp; dues",T12_Calc!$M$1:$M$500)</f>
        <v/>
      </c>
      <c r="R51" s="87">
        <f>SUM(F51:Q51)</f>
        <v/>
      </c>
    </row>
    <row r="52" ht="15.75" customHeight="1" s="199">
      <c r="A52" s="82" t="inlineStr">
        <is>
          <t>Non-Labor</t>
        </is>
      </c>
      <c r="B52" s="83" t="inlineStr">
        <is>
          <t>Office, admin &amp; G&amp;A</t>
        </is>
      </c>
      <c r="C52" s="84" t="inlineStr">
        <is>
          <t>-</t>
        </is>
      </c>
      <c r="D52" s="85" t="n"/>
      <c r="E52"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2" s="24">
        <f>SUMIF(T12_Calc!$N$1:$N$500,"Office, admin &amp; G&amp;A",T12_Calc!$B$1:$B$500)</f>
        <v/>
      </c>
      <c r="G52" s="24">
        <f>SUMIF(T12_Calc!$N$1:$N$500,"Office, admin &amp; G&amp;A",T12_Calc!$C$1:$C$500)</f>
        <v/>
      </c>
      <c r="H52" s="24">
        <f>SUMIF(T12_Calc!$N$1:$N$500,"Office, admin &amp; G&amp;A",T12_Calc!$D$1:$D$500)</f>
        <v/>
      </c>
      <c r="I52" s="24">
        <f>SUMIF(T12_Calc!$N$1:$N$500,"Office, admin &amp; G&amp;A",T12_Calc!$E$1:$E$500)</f>
        <v/>
      </c>
      <c r="J52" s="24">
        <f>SUMIF(T12_Calc!$N$1:$N$500,"Office, admin &amp; G&amp;A",T12_Calc!$F$1:$F$500)</f>
        <v/>
      </c>
      <c r="K52" s="24">
        <f>SUMIF(T12_Calc!$N$1:$N$500,"Office, admin &amp; G&amp;A",T12_Calc!$G$1:$G$500)</f>
        <v/>
      </c>
      <c r="L52" s="24">
        <f>SUMIF(T12_Calc!$N$1:$N$500,"Office, admin &amp; G&amp;A",T12_Calc!$H$1:$H$500)</f>
        <v/>
      </c>
      <c r="M52" s="24">
        <f>SUMIF(T12_Calc!$N$1:$N$500,"Office, admin &amp; G&amp;A",T12_Calc!$I$1:$I$500)</f>
        <v/>
      </c>
      <c r="N52" s="24">
        <f>SUMIF(T12_Calc!$N$1:$N$500,"Office, admin &amp; G&amp;A",T12_Calc!$J$1:$J$500)</f>
        <v/>
      </c>
      <c r="O52" s="24">
        <f>SUMIF(T12_Calc!$N$1:$N$500,"Office, admin &amp; G&amp;A",T12_Calc!$K$1:$K$500)</f>
        <v/>
      </c>
      <c r="P52" s="24">
        <f>SUMIF(T12_Calc!$N$1:$N$500,"Office, admin &amp; G&amp;A",T12_Calc!$L$1:$L$500)</f>
        <v/>
      </c>
      <c r="Q52" s="24">
        <f>SUMIF(T12_Calc!$N$1:$N$500,"Office, admin &amp; G&amp;A",T12_Calc!$M$1:$M$500)</f>
        <v/>
      </c>
      <c r="R52" s="87">
        <f>SUM(F52:Q52)</f>
        <v/>
      </c>
    </row>
    <row r="53" ht="15.75" customHeight="1" s="199">
      <c r="A53" s="82" t="inlineStr">
        <is>
          <t>Non-Labor</t>
        </is>
      </c>
      <c r="B53" s="83" t="inlineStr">
        <is>
          <t>Other / miscellaneous</t>
        </is>
      </c>
      <c r="C53" s="84" t="inlineStr">
        <is>
          <t>-</t>
        </is>
      </c>
      <c r="D53" s="85" t="n"/>
      <c r="E53" s="86" t="inlineStr">
        <is>
          <t>Reimbursable Supplies | Building (Bird/Fish) Supplies | Evacuation Expense | Personal purchases for Residen | Resident Gifts/Benefits</t>
        </is>
      </c>
      <c r="F53" s="24">
        <f>SUMIF(T12_Calc!$N$1:$N$500,"Other / miscellaneous",T12_Calc!$B$1:$B$500)</f>
        <v/>
      </c>
      <c r="G53" s="24">
        <f>SUMIF(T12_Calc!$N$1:$N$500,"Other / miscellaneous",T12_Calc!$C$1:$C$500)</f>
        <v/>
      </c>
      <c r="H53" s="24">
        <f>SUMIF(T12_Calc!$N$1:$N$500,"Other / miscellaneous",T12_Calc!$D$1:$D$500)</f>
        <v/>
      </c>
      <c r="I53" s="24">
        <f>SUMIF(T12_Calc!$N$1:$N$500,"Other / miscellaneous",T12_Calc!$E$1:$E$500)</f>
        <v/>
      </c>
      <c r="J53" s="24">
        <f>SUMIF(T12_Calc!$N$1:$N$500,"Other / miscellaneous",T12_Calc!$F$1:$F$500)</f>
        <v/>
      </c>
      <c r="K53" s="24">
        <f>SUMIF(T12_Calc!$N$1:$N$500,"Other / miscellaneous",T12_Calc!$G$1:$G$500)</f>
        <v/>
      </c>
      <c r="L53" s="24">
        <f>SUMIF(T12_Calc!$N$1:$N$500,"Other / miscellaneous",T12_Calc!$H$1:$H$500)</f>
        <v/>
      </c>
      <c r="M53" s="24">
        <f>SUMIF(T12_Calc!$N$1:$N$500,"Other / miscellaneous",T12_Calc!$I$1:$I$500)</f>
        <v/>
      </c>
      <c r="N53" s="24">
        <f>SUMIF(T12_Calc!$N$1:$N$500,"Other / miscellaneous",T12_Calc!$J$1:$J$500)</f>
        <v/>
      </c>
      <c r="O53" s="24">
        <f>SUMIF(T12_Calc!$N$1:$N$500,"Other / miscellaneous",T12_Calc!$K$1:$K$500)</f>
        <v/>
      </c>
      <c r="P53" s="24">
        <f>SUMIF(T12_Calc!$N$1:$N$500,"Other / miscellaneous",T12_Calc!$L$1:$L$500)</f>
        <v/>
      </c>
      <c r="Q53" s="24">
        <f>SUMIF(T12_Calc!$N$1:$N$500,"Other / miscellaneous",T12_Calc!$M$1:$M$500)</f>
        <v/>
      </c>
      <c r="R53" s="87">
        <f>SUM(F53:Q53)</f>
        <v/>
      </c>
    </row>
    <row r="54" ht="15.75" customHeight="1" s="199">
      <c r="A54" s="82" t="inlineStr">
        <is>
          <t>Non-Labor</t>
        </is>
      </c>
      <c r="B54" s="83" t="inlineStr">
        <is>
          <t>Management fee</t>
        </is>
      </c>
      <c r="C54" s="84" t="inlineStr">
        <is>
          <t>-</t>
        </is>
      </c>
      <c r="D54" s="91" t="inlineStr">
        <is>
          <t>Enter manually if needed</t>
        </is>
      </c>
      <c r="E54" s="86" t="inlineStr">
        <is>
          <t>Management Fees | Management Fee</t>
        </is>
      </c>
      <c r="F54" s="24">
        <f>SUMIF(T12_Calc!$N$1:$N$500,"Management fee",T12_Calc!$B$1:$B$500)</f>
        <v/>
      </c>
      <c r="G54" s="24">
        <f>SUMIF(T12_Calc!$N$1:$N$500,"Management fee",T12_Calc!$C$1:$C$500)</f>
        <v/>
      </c>
      <c r="H54" s="24">
        <f>SUMIF(T12_Calc!$N$1:$N$500,"Management fee",T12_Calc!$D$1:$D$500)</f>
        <v/>
      </c>
      <c r="I54" s="24">
        <f>SUMIF(T12_Calc!$N$1:$N$500,"Management fee",T12_Calc!$E$1:$E$500)</f>
        <v/>
      </c>
      <c r="J54" s="24">
        <f>SUMIF(T12_Calc!$N$1:$N$500,"Management fee",T12_Calc!$F$1:$F$500)</f>
        <v/>
      </c>
      <c r="K54" s="24">
        <f>SUMIF(T12_Calc!$N$1:$N$500,"Management fee",T12_Calc!$G$1:$G$500)</f>
        <v/>
      </c>
      <c r="L54" s="24">
        <f>SUMIF(T12_Calc!$N$1:$N$500,"Management fee",T12_Calc!$H$1:$H$500)</f>
        <v/>
      </c>
      <c r="M54" s="24">
        <f>SUMIF(T12_Calc!$N$1:$N$500,"Management fee",T12_Calc!$I$1:$I$500)</f>
        <v/>
      </c>
      <c r="N54" s="24">
        <f>SUMIF(T12_Calc!$N$1:$N$500,"Management fee",T12_Calc!$J$1:$J$500)</f>
        <v/>
      </c>
      <c r="O54" s="24">
        <f>SUMIF(T12_Calc!$N$1:$N$500,"Management fee",T12_Calc!$K$1:$K$500)</f>
        <v/>
      </c>
      <c r="P54" s="24">
        <f>SUMIF(T12_Calc!$N$1:$N$500,"Management fee",T12_Calc!$L$1:$L$500)</f>
        <v/>
      </c>
      <c r="Q54" s="24">
        <f>SUMIF(T12_Calc!$N$1:$N$500,"Management fee",T12_Calc!$M$1:$M$500)</f>
        <v/>
      </c>
      <c r="R54" s="87">
        <f>SUM(F54:Q54)</f>
        <v/>
      </c>
    </row>
    <row r="55" ht="15.75" customHeight="1" s="199">
      <c r="A55" s="84" t="inlineStr">
        <is>
          <t>Revenue</t>
        </is>
      </c>
      <c r="B55" s="94" t="inlineStr">
        <is>
          <t>Gross Rent Revenue</t>
        </is>
      </c>
      <c r="C55" s="84" t="inlineStr">
        <is>
          <t>-</t>
        </is>
      </c>
      <c r="F55" s="24">
        <f>SUMIF(T12_Calc!$N$1:$N$500,"Gross Rent Revenue",T12_Calc!$B$1:$B$500)</f>
        <v/>
      </c>
      <c r="G55" s="24">
        <f>SUMIF(T12_Calc!$N$1:$N$500,"Gross Rent Revenue",T12_Calc!$C$1:$C$500)</f>
        <v/>
      </c>
      <c r="H55" s="24">
        <f>SUMIF(T12_Calc!$N$1:$N$500,"Gross Rent Revenue",T12_Calc!$D$1:$D$500)</f>
        <v/>
      </c>
      <c r="I55" s="24">
        <f>SUMIF(T12_Calc!$N$1:$N$500,"Gross Rent Revenue",T12_Calc!$E$1:$E$500)</f>
        <v/>
      </c>
      <c r="J55" s="24">
        <f>SUMIF(T12_Calc!$N$1:$N$500,"Gross Rent Revenue",T12_Calc!$F$1:$F$500)</f>
        <v/>
      </c>
      <c r="K55" s="24">
        <f>SUMIF(T12_Calc!$N$1:$N$500,"Gross Rent Revenue",T12_Calc!$G$1:$G$500)</f>
        <v/>
      </c>
      <c r="L55" s="24">
        <f>SUMIF(T12_Calc!$N$1:$N$500,"Gross Rent Revenue",T12_Calc!$H$1:$H$500)</f>
        <v/>
      </c>
      <c r="M55" s="24">
        <f>SUMIF(T12_Calc!$N$1:$N$500,"Gross Rent Revenue",T12_Calc!$I$1:$I$500)</f>
        <v/>
      </c>
      <c r="N55" s="24">
        <f>SUMIF(T12_Calc!$N$1:$N$500,"Gross Rent Revenue",T12_Calc!$J$1:$J$500)</f>
        <v/>
      </c>
      <c r="O55" s="24">
        <f>SUMIF(T12_Calc!$N$1:$N$500,"Gross Rent Revenue",T12_Calc!$K$1:$K$500)</f>
        <v/>
      </c>
      <c r="P55" s="24">
        <f>SUMIF(T12_Calc!$N$1:$N$500,"Gross Rent Revenue",T12_Calc!$L$1:$L$500)</f>
        <v/>
      </c>
      <c r="Q55" s="24">
        <f>SUMIF(T12_Calc!$N$1:$N$500,"Gross Rent Revenue",T12_Calc!$M$1:$M$500)</f>
        <v/>
      </c>
      <c r="R55" s="87">
        <f>SUM(F55:Q55)</f>
        <v/>
      </c>
    </row>
    <row r="56" ht="15.75" customHeight="1" s="199">
      <c r="A56" s="84" t="inlineStr">
        <is>
          <t>Revenue</t>
        </is>
      </c>
      <c r="B56" s="95" t="inlineStr">
        <is>
          <t>Physical Vacancy</t>
        </is>
      </c>
      <c r="C56" s="84" t="inlineStr">
        <is>
          <t>-</t>
        </is>
      </c>
      <c r="F56" s="24">
        <f>SUMIF(T12_Calc!$N$1:$N$500,"Physical Vacancy",T12_Calc!$B$1:$B$500)</f>
        <v/>
      </c>
      <c r="G56" s="24">
        <f>SUMIF(T12_Calc!$N$1:$N$500,"Physical Vacancy",T12_Calc!$C$1:$C$500)</f>
        <v/>
      </c>
      <c r="H56" s="24">
        <f>SUMIF(T12_Calc!$N$1:$N$500,"Physical Vacancy",T12_Calc!$D$1:$D$500)</f>
        <v/>
      </c>
      <c r="I56" s="24">
        <f>SUMIF(T12_Calc!$N$1:$N$500,"Physical Vacancy",T12_Calc!$E$1:$E$500)</f>
        <v/>
      </c>
      <c r="J56" s="24">
        <f>SUMIF(T12_Calc!$N$1:$N$500,"Physical Vacancy",T12_Calc!$F$1:$F$500)</f>
        <v/>
      </c>
      <c r="K56" s="24">
        <f>SUMIF(T12_Calc!$N$1:$N$500,"Physical Vacancy",T12_Calc!$G$1:$G$500)</f>
        <v/>
      </c>
      <c r="L56" s="24">
        <f>SUMIF(T12_Calc!$N$1:$N$500,"Physical Vacancy",T12_Calc!$H$1:$H$500)</f>
        <v/>
      </c>
      <c r="M56" s="24">
        <f>SUMIF(T12_Calc!$N$1:$N$500,"Physical Vacancy",T12_Calc!$I$1:$I$500)</f>
        <v/>
      </c>
      <c r="N56" s="24">
        <f>SUMIF(T12_Calc!$N$1:$N$500,"Physical Vacancy",T12_Calc!$J$1:$J$500)</f>
        <v/>
      </c>
      <c r="O56" s="24">
        <f>SUMIF(T12_Calc!$N$1:$N$500,"Physical Vacancy",T12_Calc!$K$1:$K$500)</f>
        <v/>
      </c>
      <c r="P56" s="24">
        <f>SUMIF(T12_Calc!$N$1:$N$500,"Physical Vacancy",T12_Calc!$L$1:$L$500)</f>
        <v/>
      </c>
      <c r="Q56" s="24">
        <f>SUMIF(T12_Calc!$N$1:$N$500,"Physical Vacancy",T12_Calc!$M$1:$M$500)</f>
        <v/>
      </c>
      <c r="R56" s="87">
        <f>SUM(F56:Q56)</f>
        <v/>
      </c>
    </row>
    <row r="57">
      <c r="A57" s="84" t="inlineStr">
        <is>
          <t>Revenue</t>
        </is>
      </c>
      <c r="B57" s="95" t="inlineStr">
        <is>
          <t>Loss to Lease</t>
        </is>
      </c>
      <c r="C57" s="84" t="inlineStr">
        <is>
          <t>-</t>
        </is>
      </c>
      <c r="F57" s="24">
        <f>SUMIF(T12_Calc!$N$1:$N$500,"Loss to Lease",T12_Calc!$B$1:$B$500)</f>
        <v/>
      </c>
      <c r="G57" s="24">
        <f>SUMIF(T12_Calc!$N$1:$N$500,"Loss to Lease",T12_Calc!$C$1:$C$500)</f>
        <v/>
      </c>
      <c r="H57" s="24">
        <f>SUMIF(T12_Calc!$N$1:$N$500,"Loss to Lease",T12_Calc!$D$1:$D$500)</f>
        <v/>
      </c>
      <c r="I57" s="24">
        <f>SUMIF(T12_Calc!$N$1:$N$500,"Loss to Lease",T12_Calc!$E$1:$E$500)</f>
        <v/>
      </c>
      <c r="J57" s="24">
        <f>SUMIF(T12_Calc!$N$1:$N$500,"Loss to Lease",T12_Calc!$F$1:$F$500)</f>
        <v/>
      </c>
      <c r="K57" s="24">
        <f>SUMIF(T12_Calc!$N$1:$N$500,"Loss to Lease",T12_Calc!$G$1:$G$500)</f>
        <v/>
      </c>
      <c r="L57" s="24">
        <f>SUMIF(T12_Calc!$N$1:$N$500,"Loss to Lease",T12_Calc!$H$1:$H$500)</f>
        <v/>
      </c>
      <c r="M57" s="24">
        <f>SUMIF(T12_Calc!$N$1:$N$500,"Loss to Lease",T12_Calc!$I$1:$I$500)</f>
        <v/>
      </c>
      <c r="N57" s="24">
        <f>SUMIF(T12_Calc!$N$1:$N$500,"Loss to Lease",T12_Calc!$J$1:$J$500)</f>
        <v/>
      </c>
      <c r="O57" s="24">
        <f>SUMIF(T12_Calc!$N$1:$N$500,"Loss to Lease",T12_Calc!$K$1:$K$500)</f>
        <v/>
      </c>
      <c r="P57" s="24">
        <f>SUMIF(T12_Calc!$N$1:$N$500,"Loss to Lease",T12_Calc!$L$1:$L$500)</f>
        <v/>
      </c>
      <c r="Q57" s="24">
        <f>SUMIF(T12_Calc!$N$1:$N$500,"Loss to Lease",T12_Calc!$M$1:$M$500)</f>
        <v/>
      </c>
      <c r="R57" s="87">
        <f>SUM(F57:Q57)</f>
        <v/>
      </c>
    </row>
    <row r="58">
      <c r="A58" s="82" t="inlineStr">
        <is>
          <t>Non-Labor</t>
        </is>
      </c>
      <c r="B58" s="83" t="inlineStr">
        <is>
          <t>Auto Expense</t>
        </is>
      </c>
      <c r="C58" s="84" t="inlineStr">
        <is>
          <t>-</t>
        </is>
      </c>
      <c r="D58" s="85" t="n"/>
      <c r="E58" s="86" t="inlineStr">
        <is>
          <t>Auto Expenses | Auto and Mileage Expense | Bus/Shuttle Service</t>
        </is>
      </c>
      <c r="F58" s="24">
        <f>SUMIF(T12_Calc!$N$1:$N$500,"Auto Expense",T12_Calc!$B$1:$B$500)</f>
        <v/>
      </c>
      <c r="G58" s="24">
        <f>SUMIF(T12_Calc!$N$1:$N$500,"Auto Expense",T12_Calc!$C$1:$C$500)</f>
        <v/>
      </c>
      <c r="H58" s="24">
        <f>SUMIF(T12_Calc!$N$1:$N$500,"Auto Expense",T12_Calc!$D$1:$D$500)</f>
        <v/>
      </c>
      <c r="I58" s="24">
        <f>SUMIF(T12_Calc!$N$1:$N$500,"Auto Expense",T12_Calc!$E$1:$E$500)</f>
        <v/>
      </c>
      <c r="J58" s="24">
        <f>SUMIF(T12_Calc!$N$1:$N$500,"Auto Expense",T12_Calc!$F$1:$F$500)</f>
        <v/>
      </c>
      <c r="K58" s="24">
        <f>SUMIF(T12_Calc!$N$1:$N$500,"Auto Expense",T12_Calc!$G$1:$G$500)</f>
        <v/>
      </c>
      <c r="L58" s="24">
        <f>SUMIF(T12_Calc!$N$1:$N$500,"Auto Expense",T12_Calc!$H$1:$H$500)</f>
        <v/>
      </c>
      <c r="M58" s="24">
        <f>SUMIF(T12_Calc!$N$1:$N$500,"Auto Expense",T12_Calc!$I$1:$I$500)</f>
        <v/>
      </c>
      <c r="N58" s="24">
        <f>SUMIF(T12_Calc!$N$1:$N$500,"Auto Expense",T12_Calc!$J$1:$J$500)</f>
        <v/>
      </c>
      <c r="O58" s="24">
        <f>SUMIF(T12_Calc!$N$1:$N$500,"Auto Expense",T12_Calc!$K$1:$K$500)</f>
        <v/>
      </c>
      <c r="P58" s="24">
        <f>SUMIF(T12_Calc!$N$1:$N$500,"Auto Expense",T12_Calc!$L$1:$L$500)</f>
        <v/>
      </c>
      <c r="Q58" s="24">
        <f>SUMIF(T12_Calc!$N$1:$N$500,"Auto Expense",T12_Calc!$M$1:$M$500)</f>
        <v/>
      </c>
      <c r="R58" s="87">
        <f>SUM(F58:Q58)</f>
        <v/>
      </c>
    </row>
    <row r="59">
      <c r="A59" s="82" t="inlineStr">
        <is>
          <t>Non-Labor</t>
        </is>
      </c>
      <c r="B59" s="83" t="inlineStr">
        <is>
          <t>Lease / ground lease</t>
        </is>
      </c>
      <c r="C59" s="84" t="inlineStr">
        <is>
          <t>-</t>
        </is>
      </c>
      <c r="D59" s="85" t="n"/>
      <c r="E59" s="86" t="inlineStr">
        <is>
          <t>Lease Expense | Ground Lease | Land Lease | Facility Lease | Building Lease | Rent Expense</t>
        </is>
      </c>
      <c r="F59" s="24">
        <f>SUMIF(T12_Calc!$N$1:$N$500,"Lease / ground lease",T12_Calc!$B$1:$B$500)</f>
        <v/>
      </c>
      <c r="G59" s="24">
        <f>SUMIF(T12_Calc!$N$1:$N$500,"Lease / ground lease",T12_Calc!$C$1:$C$500)</f>
        <v/>
      </c>
      <c r="H59" s="24">
        <f>SUMIF(T12_Calc!$N$1:$N$500,"Lease / ground lease",T12_Calc!$D$1:$D$500)</f>
        <v/>
      </c>
      <c r="I59" s="24">
        <f>SUMIF(T12_Calc!$N$1:$N$500,"Lease / ground lease",T12_Calc!$E$1:$E$500)</f>
        <v/>
      </c>
      <c r="J59" s="24">
        <f>SUMIF(T12_Calc!$N$1:$N$500,"Lease / ground lease",T12_Calc!$F$1:$F$500)</f>
        <v/>
      </c>
      <c r="K59" s="24">
        <f>SUMIF(T12_Calc!$N$1:$N$500,"Lease / ground lease",T12_Calc!$G$1:$G$500)</f>
        <v/>
      </c>
      <c r="L59" s="24">
        <f>SUMIF(T12_Calc!$N$1:$N$500,"Lease / ground lease",T12_Calc!$H$1:$H$500)</f>
        <v/>
      </c>
      <c r="M59" s="24">
        <f>SUMIF(T12_Calc!$N$1:$N$500,"Lease / ground lease",T12_Calc!$I$1:$I$500)</f>
        <v/>
      </c>
      <c r="N59" s="24">
        <f>SUMIF(T12_Calc!$N$1:$N$500,"Lease / ground lease",T12_Calc!$J$1:$J$500)</f>
        <v/>
      </c>
      <c r="O59" s="24">
        <f>SUMIF(T12_Calc!$N$1:$N$500,"Lease / ground lease",T12_Calc!$K$1:$K$500)</f>
        <v/>
      </c>
      <c r="P59" s="24">
        <f>SUMIF(T12_Calc!$N$1:$N$500,"Lease / ground lease",T12_Calc!$L$1:$L$500)</f>
        <v/>
      </c>
      <c r="Q59" s="24">
        <f>SUMIF(T12_Calc!$N$1:$N$500,"Lease / ground lease",T12_Calc!$M$1:$M$500)</f>
        <v/>
      </c>
      <c r="R59" s="87">
        <f>SUM(F59:Q59)</f>
        <v/>
      </c>
    </row>
    <row r="61" ht="15" customHeight="1" s="199"/>
    <row r="62" ht="15" customHeight="1" s="199">
      <c r="R62" s="96" t="n"/>
    </row>
    <row r="63" ht="15" customHeight="1" s="199">
      <c r="R63" s="97" t="n"/>
    </row>
    <row r="64">
      <c r="R64"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3" s="215" t="n"/>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V4" s="214" t="inlineStr">
        <is>
          <t>2nd Person
Rent $</t>
        </is>
      </c>
      <c r="W4" s="214" t="inlineStr">
        <is>
          <t>Move-out
Date</t>
        </is>
      </c>
      <c r="X4" s="214" t="inlineStr">
        <is>
          <t>Balance</t>
        </is>
      </c>
      <c r="Y4" s="214" t="inlineStr">
        <is>
          <t>Notes</t>
        </is>
      </c>
      <c r="Z4" s="214" t="inlineStr">
        <is>
          <t>Market
PSF</t>
        </is>
      </c>
      <c r="AA4" s="214" t="inlineStr">
        <is>
          <t>Actual
PSF</t>
        </is>
      </c>
      <c r="AB4" s="214" t="inlineStr">
        <is>
          <t>ACH</t>
        </is>
      </c>
      <c r="AC4" s="214" t="inlineStr">
        <is>
          <t>Meal Plan
$</t>
        </is>
      </c>
      <c r="AD4" s="214" t="inlineStr">
        <is>
          <t>Scooter Fee
$</t>
        </is>
      </c>
      <c r="AE4" s="214" t="inlineStr">
        <is>
          <t>Housekeeping
$</t>
        </is>
      </c>
      <c r="AF4" s="214" t="inlineStr">
        <is>
          <t>Laundry
$</t>
        </is>
      </c>
      <c r="AG4" s="214" t="inlineStr">
        <is>
          <t>Pet
$</t>
        </is>
      </c>
      <c r="AZ4" t="inlineStr">
        <is>
          <t>v0.1.15</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IFERROR(L7+M7+N7+O7+IFERROR(AC7,0)+IFERROR(AD7,0)+IFERROR(AE7,0)+IFERROR(AF7,0)+IFERROR(AG7,0),0)</f>
        <v/>
      </c>
      <c r="U7" s="108">
        <f>IFERROR(H7+IFERROR(I7,0)+T7+IFERROR(V7,0),0)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IFERROR(L8+M8+N8+O8+IFERROR(AC8,0)+IFERROR(AD8,0)+IFERROR(AE8,0)+IFERROR(AF8,0)+IFERROR(AG8,0),0)</f>
        <v/>
      </c>
      <c r="U8" s="108">
        <f>IFERROR(H8+IFERROR(I8,0)+T8+IFERROR(V8,0),0)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IFERROR(L9+M9+N9+O9+IFERROR(AC9,0)+IFERROR(AD9,0)+IFERROR(AE9,0)+IFERROR(AF9,0)+IFERROR(AG9,0),0)</f>
        <v/>
      </c>
      <c r="U9" s="108">
        <f>IFERROR(H9+IFERROR(I9,0)+T9+IFERROR(V9,0),0)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IFERROR(L10+M10+N10+O10+IFERROR(AC10,0)+IFERROR(AD10,0)+IFERROR(AE10,0)+IFERROR(AF10,0)+IFERROR(AG10,0),0)</f>
        <v/>
      </c>
      <c r="U10" s="108">
        <f>IFERROR(H10+IFERROR(I10,0)+T10+IFERROR(V10,0),0)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IFERROR(L11+M11+N11+O11+IFERROR(AC11,0)+IFERROR(AD11,0)+IFERROR(AE11,0)+IFERROR(AF11,0)+IFERROR(AG11,0),0)</f>
        <v/>
      </c>
      <c r="U11" s="108">
        <f>IFERROR(H11+IFERROR(I11,0)+T11+IFERROR(V11,0),0)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IFERROR(L12+M12+N12+O12+IFERROR(AC12,0)+IFERROR(AD12,0)+IFERROR(AE12,0)+IFERROR(AF12,0)+IFERROR(AG12,0),0)</f>
        <v/>
      </c>
      <c r="U12" s="108">
        <f>IFERROR(H12+IFERROR(I12,0)+T12+IFERROR(V12,0),0)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IFERROR(L13+M13+N13+O13+IFERROR(AC13,0)+IFERROR(AD13,0)+IFERROR(AE13,0)+IFERROR(AF13,0)+IFERROR(AG13,0),0)</f>
        <v/>
      </c>
      <c r="U13" s="108">
        <f>IFERROR(H13+IFERROR(I13,0)+T13+IFERROR(V13,0),0)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IFERROR(L14+M14+N14+O14+IFERROR(AC14,0)+IFERROR(AD14,0)+IFERROR(AE14,0)+IFERROR(AF14,0)+IFERROR(AG14,0),0)</f>
        <v/>
      </c>
      <c r="U14" s="108">
        <f>IFERROR(H14+IFERROR(I14,0)+T14+IFERROR(V14,0),0)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IFERROR(L15+M15+N15+O15+IFERROR(AC15,0)+IFERROR(AD15,0)+IFERROR(AE15,0)+IFERROR(AF15,0)+IFERROR(AG15,0),0)</f>
        <v/>
      </c>
      <c r="U15" s="108">
        <f>IFERROR(H15+IFERROR(I15,0)+T15+IFERROR(V15,0),0)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IFERROR(L16+M16+N16+O16+IFERROR(AC16,0)+IFERROR(AD16,0)+IFERROR(AE16,0)+IFERROR(AF16,0)+IFERROR(AG16,0),0)</f>
        <v/>
      </c>
      <c r="U16" s="108">
        <f>IFERROR(H16+IFERROR(I16,0)+T16+IFERROR(V16,0),0)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IFERROR(L17+M17+N17+O17+IFERROR(AC17,0)+IFERROR(AD17,0)+IFERROR(AE17,0)+IFERROR(AF17,0)+IFERROR(AG17,0),0)</f>
        <v/>
      </c>
      <c r="U17" s="108">
        <f>IFERROR(H17+IFERROR(I17,0)+T17+IFERROR(V17,0),0)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IFERROR(L18+M18+N18+O18+IFERROR(AC18,0)+IFERROR(AD18,0)+IFERROR(AE18,0)+IFERROR(AF18,0)+IFERROR(AG18,0),0)</f>
        <v/>
      </c>
      <c r="U18" s="108">
        <f>IFERROR(H18+IFERROR(I18,0)+T18+IFERROR(V18,0),0)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IFERROR(L19+M19+N19+O19+IFERROR(AC19,0)+IFERROR(AD19,0)+IFERROR(AE19,0)+IFERROR(AF19,0)+IFERROR(AG19,0),0)</f>
        <v/>
      </c>
      <c r="U19" s="108">
        <f>IFERROR(H19+IFERROR(I19,0)+T19+IFERROR(V19,0),0)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IFERROR(L20+M20+N20+O20+IFERROR(AC20,0)+IFERROR(AD20,0)+IFERROR(AE20,0)+IFERROR(AF20,0)+IFERROR(AG20,0),0)</f>
        <v/>
      </c>
      <c r="U20" s="108">
        <f>IFERROR(H20+IFERROR(I20,0)+T20+IFERROR(V20,0),0)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IFERROR(L21+M21+N21+O21+IFERROR(AC21,0)+IFERROR(AD21,0)+IFERROR(AE21,0)+IFERROR(AF21,0)+IFERROR(AG21,0),0)</f>
        <v/>
      </c>
      <c r="U21" s="108">
        <f>IFERROR(H21+IFERROR(I21,0)+T21+IFERROR(V21,0),0)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IFERROR(L22+M22+N22+O22+IFERROR(AC22,0)+IFERROR(AD22,0)+IFERROR(AE22,0)+IFERROR(AF22,0)+IFERROR(AG22,0),0)</f>
        <v/>
      </c>
      <c r="U22" s="108">
        <f>IFERROR(H22+IFERROR(I22,0)+T22+IFERROR(V22,0),0)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IFERROR(L23+M23+N23+O23+IFERROR(AC23,0)+IFERROR(AD23,0)+IFERROR(AE23,0)+IFERROR(AF23,0)+IFERROR(AG23,0),0)</f>
        <v/>
      </c>
      <c r="U23" s="108">
        <f>IFERROR(H23+IFERROR(I23,0)+T23+IFERROR(V23,0),0)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IFERROR(L24+M24+N24+O24+IFERROR(AC24,0)+IFERROR(AD24,0)+IFERROR(AE24,0)+IFERROR(AF24,0)+IFERROR(AG24,0),0)</f>
        <v/>
      </c>
      <c r="U24" s="108">
        <f>IFERROR(H24+IFERROR(I24,0)+T24+IFERROR(V24,0),0)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IFERROR(L25+M25+N25+O25+IFERROR(AC25,0)+IFERROR(AD25,0)+IFERROR(AE25,0)+IFERROR(AF25,0)+IFERROR(AG25,0),0)</f>
        <v/>
      </c>
      <c r="U25" s="108">
        <f>IFERROR(H25+IFERROR(I25,0)+T25+IFERROR(V25,0),0)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IFERROR(L26+M26+N26+O26+IFERROR(AC26,0)+IFERROR(AD26,0)+IFERROR(AE26,0)+IFERROR(AF26,0)+IFERROR(AG26,0),0)</f>
        <v/>
      </c>
      <c r="U26" s="108">
        <f>IFERROR(H26+IFERROR(I26,0)+T26+IFERROR(V26,0),0)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IFERROR(L27+M27+N27+O27+IFERROR(AC27,0)+IFERROR(AD27,0)+IFERROR(AE27,0)+IFERROR(AF27,0)+IFERROR(AG27,0),0)</f>
        <v/>
      </c>
      <c r="U27" s="108">
        <f>IFERROR(H27+IFERROR(I27,0)+T27+IFERROR(V27,0),0)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IFERROR(L28+M28+N28+O28+IFERROR(AC28,0)+IFERROR(AD28,0)+IFERROR(AE28,0)+IFERROR(AF28,0)+IFERROR(AG28,0),0)</f>
        <v/>
      </c>
      <c r="U28" s="108">
        <f>IFERROR(H28+IFERROR(I28,0)+T28+IFERROR(V28,0),0)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IFERROR(L29+M29+N29+O29+IFERROR(AC29,0)+IFERROR(AD29,0)+IFERROR(AE29,0)+IFERROR(AF29,0)+IFERROR(AG29,0),0)</f>
        <v/>
      </c>
      <c r="U29" s="108">
        <f>IFERROR(H29+IFERROR(I29,0)+T29+IFERROR(V29,0),0)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IFERROR(L30+M30+N30+O30+IFERROR(AC30,0)+IFERROR(AD30,0)+IFERROR(AE30,0)+IFERROR(AF30,0)+IFERROR(AG30,0),0)</f>
        <v/>
      </c>
      <c r="U30" s="108">
        <f>IFERROR(H30+IFERROR(I30,0)+T30+IFERROR(V30,0),0)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IFERROR(L31+M31+N31+O31+IFERROR(AC31,0)+IFERROR(AD31,0)+IFERROR(AE31,0)+IFERROR(AF31,0)+IFERROR(AG31,0),0)</f>
        <v/>
      </c>
      <c r="U31" s="108">
        <f>IFERROR(H31+IFERROR(I31,0)+T31+IFERROR(V31,0),0)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IFERROR(L32+M32+N32+O32+IFERROR(AC32,0)+IFERROR(AD32,0)+IFERROR(AE32,0)+IFERROR(AF32,0)+IFERROR(AG32,0),0)</f>
        <v/>
      </c>
      <c r="U32" s="108">
        <f>IFERROR(H32+IFERROR(I32,0)+T32+IFERROR(V32,0),0)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IFERROR(L33+M33+N33+O33+IFERROR(AC33,0)+IFERROR(AD33,0)+IFERROR(AE33,0)+IFERROR(AF33,0)+IFERROR(AG33,0),0)</f>
        <v/>
      </c>
      <c r="U33" s="108">
        <f>IFERROR(H33+IFERROR(I33,0)+T33+IFERROR(V33,0),0)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IFERROR(L34+M34+N34+O34+IFERROR(AC34,0)+IFERROR(AD34,0)+IFERROR(AE34,0)+IFERROR(AF34,0)+IFERROR(AG34,0),0)</f>
        <v/>
      </c>
      <c r="U34" s="108">
        <f>IFERROR(H34+IFERROR(I34,0)+T34+IFERROR(V34,0),0)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IFERROR(L35+M35+N35+O35+IFERROR(AC35,0)+IFERROR(AD35,0)+IFERROR(AE35,0)+IFERROR(AF35,0)+IFERROR(AG35,0),0)</f>
        <v/>
      </c>
      <c r="U35" s="108">
        <f>IFERROR(H35+IFERROR(I35,0)+T35+IFERROR(V35,0),0)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IFERROR(L36+M36+N36+O36+IFERROR(AC36,0)+IFERROR(AD36,0)+IFERROR(AE36,0)+IFERROR(AF36,0)+IFERROR(AG36,0),0)</f>
        <v/>
      </c>
      <c r="U36" s="108">
        <f>IFERROR(H36+IFERROR(I36,0)+T36+IFERROR(V36,0),0)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IFERROR(L37+M37+N37+O37+IFERROR(AC37,0)+IFERROR(AD37,0)+IFERROR(AE37,0)+IFERROR(AF37,0)+IFERROR(AG37,0),0)</f>
        <v/>
      </c>
      <c r="U37" s="108">
        <f>IFERROR(H37+IFERROR(I37,0)+T37+IFERROR(V37,0),0)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IFERROR(L38+M38+N38+O38+IFERROR(AC38,0)+IFERROR(AD38,0)+IFERROR(AE38,0)+IFERROR(AF38,0)+IFERROR(AG38,0),0)</f>
        <v/>
      </c>
      <c r="U38" s="108">
        <f>IFERROR(H38+IFERROR(I38,0)+T38+IFERROR(V38,0),0)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IFERROR(L39+M39+N39+O39+IFERROR(AC39,0)+IFERROR(AD39,0)+IFERROR(AE39,0)+IFERROR(AF39,0)+IFERROR(AG39,0),0)</f>
        <v/>
      </c>
      <c r="U39" s="108">
        <f>IFERROR(H39+IFERROR(I39,0)+T39+IFERROR(V39,0),0)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IFERROR(L40+M40+N40+O40+IFERROR(AC40,0)+IFERROR(AD40,0)+IFERROR(AE40,0)+IFERROR(AF40,0)+IFERROR(AG40,0),0)</f>
        <v/>
      </c>
      <c r="U40" s="108">
        <f>IFERROR(H40+IFERROR(I40,0)+T40+IFERROR(V40,0),0)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IFERROR(L41+M41+N41+O41+IFERROR(AC41,0)+IFERROR(AD41,0)+IFERROR(AE41,0)+IFERROR(AF41,0)+IFERROR(AG41,0),0)</f>
        <v/>
      </c>
      <c r="U41" s="108">
        <f>IFERROR(H41+IFERROR(I41,0)+T41+IFERROR(V41,0),0)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IFERROR(L42+M42+N42+O42+IFERROR(AC42,0)+IFERROR(AD42,0)+IFERROR(AE42,0)+IFERROR(AF42,0)+IFERROR(AG42,0),0)</f>
        <v/>
      </c>
      <c r="U42" s="108">
        <f>IFERROR(H42+IFERROR(I42,0)+T42+IFERROR(V42,0),0)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IFERROR(L43+M43+N43+O43+IFERROR(AC43,0)+IFERROR(AD43,0)+IFERROR(AE43,0)+IFERROR(AF43,0)+IFERROR(AG43,0),0)</f>
        <v/>
      </c>
      <c r="U43" s="108">
        <f>IFERROR(H43+IFERROR(I43,0)+T43+IFERROR(V43,0),0)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IFERROR(L44+M44+N44+O44+IFERROR(AC44,0)+IFERROR(AD44,0)+IFERROR(AE44,0)+IFERROR(AF44,0)+IFERROR(AG44,0),0)</f>
        <v/>
      </c>
      <c r="U44" s="108">
        <f>IFERROR(H44+IFERROR(I44,0)+T44+IFERROR(V44,0),0)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IFERROR(L45+M45+N45+O45+IFERROR(AC45,0)+IFERROR(AD45,0)+IFERROR(AE45,0)+IFERROR(AF45,0)+IFERROR(AG45,0),0)</f>
        <v/>
      </c>
      <c r="U45" s="108">
        <f>IFERROR(H45+IFERROR(I45,0)+T45+IFERROR(V45,0),0)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IFERROR(L46+M46+N46+O46+IFERROR(AC46,0)+IFERROR(AD46,0)+IFERROR(AE46,0)+IFERROR(AF46,0)+IFERROR(AG46,0),0)</f>
        <v/>
      </c>
      <c r="U46" s="108">
        <f>IFERROR(H46+IFERROR(I46,0)+T46+IFERROR(V46,0),0)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IFERROR(L47+M47+N47+O47+IFERROR(AC47,0)+IFERROR(AD47,0)+IFERROR(AE47,0)+IFERROR(AF47,0)+IFERROR(AG47,0),0)</f>
        <v/>
      </c>
      <c r="U47" s="108">
        <f>IFERROR(H47+IFERROR(I47,0)+T47+IFERROR(V47,0),0)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IFERROR(L48+M48+N48+O48+IFERROR(AC48,0)+IFERROR(AD48,0)+IFERROR(AE48,0)+IFERROR(AF48,0)+IFERROR(AG48,0),0)</f>
        <v/>
      </c>
      <c r="U48" s="108">
        <f>IFERROR(H48+IFERROR(I48,0)+T48+IFERROR(V48,0),0)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IFERROR(L49+M49+N49+O49+IFERROR(AC49,0)+IFERROR(AD49,0)+IFERROR(AE49,0)+IFERROR(AF49,0)+IFERROR(AG49,0),0)</f>
        <v/>
      </c>
      <c r="U49" s="108">
        <f>IFERROR(H49+IFERROR(I49,0)+T49+IFERROR(V49,0),0)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IFERROR(L50+M50+N50+O50+IFERROR(AC50,0)+IFERROR(AD50,0)+IFERROR(AE50,0)+IFERROR(AF50,0)+IFERROR(AG50,0),0)</f>
        <v/>
      </c>
      <c r="U50" s="108">
        <f>IFERROR(H50+IFERROR(I50,0)+T50+IFERROR(V50,0),0)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IFERROR(L51+M51+N51+O51+IFERROR(AC51,0)+IFERROR(AD51,0)+IFERROR(AE51,0)+IFERROR(AF51,0)+IFERROR(AG51,0),0)</f>
        <v/>
      </c>
      <c r="U51" s="108">
        <f>IFERROR(H51+IFERROR(I51,0)+T51+IFERROR(V51,0),0)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IFERROR(L52+M52+N52+O52+IFERROR(AC52,0)+IFERROR(AD52,0)+IFERROR(AE52,0)+IFERROR(AF52,0)+IFERROR(AG52,0),0)</f>
        <v/>
      </c>
      <c r="U52" s="108">
        <f>IFERROR(H52+IFERROR(I52,0)+T52+IFERROR(V52,0),0)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IFERROR(L53+M53+N53+O53+IFERROR(AC53,0)+IFERROR(AD53,0)+IFERROR(AE53,0)+IFERROR(AF53,0)+IFERROR(AG53,0),0)</f>
        <v/>
      </c>
      <c r="U53" s="108">
        <f>IFERROR(H53+IFERROR(I53,0)+T53+IFERROR(V53,0),0)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IFERROR(L54+M54+N54+O54+IFERROR(AC54,0)+IFERROR(AD54,0)+IFERROR(AE54,0)+IFERROR(AF54,0)+IFERROR(AG54,0),0)</f>
        <v/>
      </c>
      <c r="U54" s="108">
        <f>IFERROR(H54+IFERROR(I54,0)+T54+IFERROR(V54,0),0)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IFERROR(L55+M55+N55+O55+IFERROR(AC55,0)+IFERROR(AD55,0)+IFERROR(AE55,0)+IFERROR(AF55,0)+IFERROR(AG55,0),0)</f>
        <v/>
      </c>
      <c r="U55" s="108">
        <f>IFERROR(H55+IFERROR(I55,0)+T55+IFERROR(V55,0),0)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IFERROR(L56+M56+N56+O56+IFERROR(AC56,0)+IFERROR(AD56,0)+IFERROR(AE56,0)+IFERROR(AF56,0)+IFERROR(AG56,0),0)</f>
        <v/>
      </c>
      <c r="U56" s="108">
        <f>IFERROR(H56+IFERROR(I56,0)+T56+IFERROR(V56,0),0)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IFERROR(L57+M57+N57+O57+IFERROR(AC57,0)+IFERROR(AD57,0)+IFERROR(AE57,0)+IFERROR(AF57,0)+IFERROR(AG57,0),0)</f>
        <v/>
      </c>
      <c r="U57" s="108">
        <f>IFERROR(H57+IFERROR(I57,0)+T57+IFERROR(V57,0),0)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IFERROR(L58+M58+N58+O58+IFERROR(AC58,0)+IFERROR(AD58,0)+IFERROR(AE58,0)+IFERROR(AF58,0)+IFERROR(AG58,0),0)</f>
        <v/>
      </c>
      <c r="U58" s="108">
        <f>IFERROR(H58+IFERROR(I58,0)+T58+IFERROR(V58,0),0)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IFERROR(L59+M59+N59+O59+IFERROR(AC59,0)+IFERROR(AD59,0)+IFERROR(AE59,0)+IFERROR(AF59,0)+IFERROR(AG59,0),0)</f>
        <v/>
      </c>
      <c r="U59" s="108">
        <f>IFERROR(H59+IFERROR(I59,0)+T59+IFERROR(V59,0),0)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IFERROR(L60+M60+N60+O60+IFERROR(AC60,0)+IFERROR(AD60,0)+IFERROR(AE60,0)+IFERROR(AF60,0)+IFERROR(AG60,0),0)</f>
        <v/>
      </c>
      <c r="U60" s="108">
        <f>IFERROR(H60+IFERROR(I60,0)+T60+IFERROR(V60,0),0)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IFERROR(L61+M61+N61+O61+IFERROR(AC61,0)+IFERROR(AD61,0)+IFERROR(AE61,0)+IFERROR(AF61,0)+IFERROR(AG61,0),0)</f>
        <v/>
      </c>
      <c r="U61" s="108">
        <f>IFERROR(H61+IFERROR(I61,0)+T61+IFERROR(V61,0),0)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IFERROR(L62+M62+N62+O62+IFERROR(AC62,0)+IFERROR(AD62,0)+IFERROR(AE62,0)+IFERROR(AF62,0)+IFERROR(AG62,0),0)</f>
        <v/>
      </c>
      <c r="U62" s="108">
        <f>IFERROR(H62+IFERROR(I62,0)+T62+IFERROR(V62,0),0)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IFERROR(L63+M63+N63+O63+IFERROR(AC63,0)+IFERROR(AD63,0)+IFERROR(AE63,0)+IFERROR(AF63,0)+IFERROR(AG63,0),0)</f>
        <v/>
      </c>
      <c r="U63" s="108">
        <f>IFERROR(H63+IFERROR(I63,0)+T63+IFERROR(V63,0),0)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IFERROR(L64+M64+N64+O64+IFERROR(AC64,0)+IFERROR(AD64,0)+IFERROR(AE64,0)+IFERROR(AF64,0)+IFERROR(AG64,0),0)</f>
        <v/>
      </c>
      <c r="U64" s="108">
        <f>IFERROR(H64+IFERROR(I64,0)+T64+IFERROR(V64,0),0)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IFERROR(L65+M65+N65+O65+IFERROR(AC65,0)+IFERROR(AD65,0)+IFERROR(AE65,0)+IFERROR(AF65,0)+IFERROR(AG65,0),0)</f>
        <v/>
      </c>
      <c r="U65" s="108">
        <f>IFERROR(H65+IFERROR(I65,0)+T65+IFERROR(V65,0),0)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IFERROR(L66+M66+N66+O66+IFERROR(AC66,0)+IFERROR(AD66,0)+IFERROR(AE66,0)+IFERROR(AF66,0)+IFERROR(AG66,0),0)</f>
        <v/>
      </c>
      <c r="U66" s="108">
        <f>IFERROR(H66+IFERROR(I66,0)+T66+IFERROR(V66,0),0)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IFERROR(L67+M67+N67+O67+IFERROR(AC67,0)+IFERROR(AD67,0)+IFERROR(AE67,0)+IFERROR(AF67,0)+IFERROR(AG67,0),0)</f>
        <v/>
      </c>
      <c r="U67" s="108">
        <f>IFERROR(H67+IFERROR(I67,0)+T67+IFERROR(V67,0),0)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IFERROR(L68+M68+N68+O68+IFERROR(AC68,0)+IFERROR(AD68,0)+IFERROR(AE68,0)+IFERROR(AF68,0)+IFERROR(AG68,0),0)</f>
        <v/>
      </c>
      <c r="U68" s="108">
        <f>IFERROR(H68+IFERROR(I68,0)+T68+IFERROR(V68,0),0)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IFERROR(L69+M69+N69+O69+IFERROR(AC69,0)+IFERROR(AD69,0)+IFERROR(AE69,0)+IFERROR(AF69,0)+IFERROR(AG69,0),0)</f>
        <v/>
      </c>
      <c r="U69" s="108">
        <f>IFERROR(H69+IFERROR(I69,0)+T69+IFERROR(V69,0),0)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IFERROR(L70+M70+N70+O70+IFERROR(AC70,0)+IFERROR(AD70,0)+IFERROR(AE70,0)+IFERROR(AF70,0)+IFERROR(AG70,0),0)</f>
        <v/>
      </c>
      <c r="U70" s="108">
        <f>IFERROR(H70+IFERROR(I70,0)+T70+IFERROR(V70,0),0)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IFERROR(L71+M71+N71+O71+IFERROR(AC71,0)+IFERROR(AD71,0)+IFERROR(AE71,0)+IFERROR(AF71,0)+IFERROR(AG71,0),0)</f>
        <v/>
      </c>
      <c r="U71" s="108">
        <f>IFERROR(H71+IFERROR(I71,0)+T71+IFERROR(V71,0),0)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IFERROR(L72+M72+N72+O72+IFERROR(AC72,0)+IFERROR(AD72,0)+IFERROR(AE72,0)+IFERROR(AF72,0)+IFERROR(AG72,0),0)</f>
        <v/>
      </c>
      <c r="U72" s="108">
        <f>IFERROR(H72+IFERROR(I72,0)+T72+IFERROR(V72,0),0)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IFERROR(L73+M73+N73+O73+IFERROR(AC73,0)+IFERROR(AD73,0)+IFERROR(AE73,0)+IFERROR(AF73,0)+IFERROR(AG73,0),0)</f>
        <v/>
      </c>
      <c r="U73" s="108">
        <f>IFERROR(H73+IFERROR(I73,0)+T73+IFERROR(V73,0),0)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IFERROR(L74+M74+N74+O74+IFERROR(AC74,0)+IFERROR(AD74,0)+IFERROR(AE74,0)+IFERROR(AF74,0)+IFERROR(AG74,0),0)</f>
        <v/>
      </c>
      <c r="U74" s="108">
        <f>IFERROR(H74+IFERROR(I74,0)+T74+IFERROR(V74,0),0)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IFERROR(L75+M75+N75+O75+IFERROR(AC75,0)+IFERROR(AD75,0)+IFERROR(AE75,0)+IFERROR(AF75,0)+IFERROR(AG75,0),0)</f>
        <v/>
      </c>
      <c r="U75" s="108">
        <f>IFERROR(H75+IFERROR(I75,0)+T75+IFERROR(V75,0),0)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IFERROR(L76+M76+N76+O76+IFERROR(AC76,0)+IFERROR(AD76,0)+IFERROR(AE76,0)+IFERROR(AF76,0)+IFERROR(AG76,0),0)</f>
        <v/>
      </c>
      <c r="U76" s="108">
        <f>IFERROR(H76+IFERROR(I76,0)+T76+IFERROR(V76,0),0)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IFERROR(L77+M77+N77+O77+IFERROR(AC77,0)+IFERROR(AD77,0)+IFERROR(AE77,0)+IFERROR(AF77,0)+IFERROR(AG77,0),0)</f>
        <v/>
      </c>
      <c r="U77" s="108">
        <f>IFERROR(H77+IFERROR(I77,0)+T77+IFERROR(V77,0),0)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IFERROR(L78+M78+N78+O78+IFERROR(AC78,0)+IFERROR(AD78,0)+IFERROR(AE78,0)+IFERROR(AF78,0)+IFERROR(AG78,0),0)</f>
        <v/>
      </c>
      <c r="U78" s="108">
        <f>IFERROR(H78+IFERROR(I78,0)+T78+IFERROR(V78,0),0)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IFERROR(L79+M79+N79+O79+IFERROR(AC79,0)+IFERROR(AD79,0)+IFERROR(AE79,0)+IFERROR(AF79,0)+IFERROR(AG79,0),0)</f>
        <v/>
      </c>
      <c r="U79" s="108">
        <f>IFERROR(H79+IFERROR(I79,0)+T79+IFERROR(V79,0),0)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IFERROR(L80+M80+N80+O80+IFERROR(AC80,0)+IFERROR(AD80,0)+IFERROR(AE80,0)+IFERROR(AF80,0)+IFERROR(AG80,0),0)</f>
        <v/>
      </c>
      <c r="U80" s="108">
        <f>IFERROR(H80+IFERROR(I80,0)+T80+IFERROR(V80,0),0)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IFERROR(L81+M81+N81+O81+IFERROR(AC81,0)+IFERROR(AD81,0)+IFERROR(AE81,0)+IFERROR(AF81,0)+IFERROR(AG81,0),0)</f>
        <v/>
      </c>
      <c r="U81" s="108">
        <f>IFERROR(H81+IFERROR(I81,0)+T81+IFERROR(V81,0),0)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IFERROR(L82+M82+N82+O82+IFERROR(AC82,0)+IFERROR(AD82,0)+IFERROR(AE82,0)+IFERROR(AF82,0)+IFERROR(AG82,0),0)</f>
        <v/>
      </c>
      <c r="U82" s="108">
        <f>IFERROR(H82+IFERROR(I82,0)+T82+IFERROR(V82,0),0)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IFERROR(L83+M83+N83+O83+IFERROR(AC83,0)+IFERROR(AD83,0)+IFERROR(AE83,0)+IFERROR(AF83,0)+IFERROR(AG83,0),0)</f>
        <v/>
      </c>
      <c r="U83" s="108">
        <f>IFERROR(H83+IFERROR(I83,0)+T83+IFERROR(V83,0),0)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IFERROR(L84+M84+N84+O84+IFERROR(AC84,0)+IFERROR(AD84,0)+IFERROR(AE84,0)+IFERROR(AF84,0)+IFERROR(AG84,0),0)</f>
        <v/>
      </c>
      <c r="U84" s="108">
        <f>IFERROR(H84+IFERROR(I84,0)+T84+IFERROR(V84,0),0)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IFERROR(L85+M85+N85+O85+IFERROR(AC85,0)+IFERROR(AD85,0)+IFERROR(AE85,0)+IFERROR(AF85,0)+IFERROR(AG85,0),0)</f>
        <v/>
      </c>
      <c r="U85" s="108">
        <f>IFERROR(H85+IFERROR(I85,0)+T85+IFERROR(V85,0),0)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IFERROR(L86+M86+N86+O86+IFERROR(AC86,0)+IFERROR(AD86,0)+IFERROR(AE86,0)+IFERROR(AF86,0)+IFERROR(AG86,0),0)</f>
        <v/>
      </c>
      <c r="U86" s="108">
        <f>IFERROR(H86+IFERROR(I86,0)+T86+IFERROR(V86,0),0)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IFERROR(L87+M87+N87+O87+IFERROR(AC87,0)+IFERROR(AD87,0)+IFERROR(AE87,0)+IFERROR(AF87,0)+IFERROR(AG87,0),0)</f>
        <v/>
      </c>
      <c r="U87" s="108">
        <f>IFERROR(H87+IFERROR(I87,0)+T87+IFERROR(V87,0),0)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IFERROR(L88+M88+N88+O88+IFERROR(AC88,0)+IFERROR(AD88,0)+IFERROR(AE88,0)+IFERROR(AF88,0)+IFERROR(AG88,0),0)</f>
        <v/>
      </c>
      <c r="U88" s="108">
        <f>IFERROR(H88+IFERROR(I88,0)+T88+IFERROR(V88,0),0)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IFERROR(L89+M89+N89+O89+IFERROR(AC89,0)+IFERROR(AD89,0)+IFERROR(AE89,0)+IFERROR(AF89,0)+IFERROR(AG89,0),0)</f>
        <v/>
      </c>
      <c r="U89" s="108">
        <f>IFERROR(H89+IFERROR(I89,0)+T89+IFERROR(V89,0),0)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IFERROR(L90+M90+N90+O90+IFERROR(AC90,0)+IFERROR(AD90,0)+IFERROR(AE90,0)+IFERROR(AF90,0)+IFERROR(AG90,0),0)</f>
        <v/>
      </c>
      <c r="U90" s="108">
        <f>IFERROR(H90+IFERROR(I90,0)+T90+IFERROR(V90,0),0)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IFERROR(L91+M91+N91+O91+IFERROR(AC91,0)+IFERROR(AD91,0)+IFERROR(AE91,0)+IFERROR(AF91,0)+IFERROR(AG91,0),0)</f>
        <v/>
      </c>
      <c r="U91" s="108">
        <f>IFERROR(H91+IFERROR(I91,0)+T91+IFERROR(V91,0),0)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IFERROR(L92+M92+N92+O92+IFERROR(AC92,0)+IFERROR(AD92,0)+IFERROR(AE92,0)+IFERROR(AF92,0)+IFERROR(AG92,0),0)</f>
        <v/>
      </c>
      <c r="U92" s="108">
        <f>IFERROR(H92+IFERROR(I92,0)+T92+IFERROR(V92,0),0)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IFERROR(L93+M93+N93+O93+IFERROR(AC93,0)+IFERROR(AD93,0)+IFERROR(AE93,0)+IFERROR(AF93,0)+IFERROR(AG93,0),0)</f>
        <v/>
      </c>
      <c r="U93" s="108">
        <f>IFERROR(H93+IFERROR(I93,0)+T93+IFERROR(V93,0),0)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IFERROR(L94+M94+N94+O94+IFERROR(AC94,0)+IFERROR(AD94,0)+IFERROR(AE94,0)+IFERROR(AF94,0)+IFERROR(AG94,0),0)</f>
        <v/>
      </c>
      <c r="U94" s="108">
        <f>IFERROR(H94+IFERROR(I94,0)+T94+IFERROR(V94,0),0)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IFERROR(L95+M95+N95+O95+IFERROR(AC95,0)+IFERROR(AD95,0)+IFERROR(AE95,0)+IFERROR(AF95,0)+IFERROR(AG95,0),0)</f>
        <v/>
      </c>
      <c r="U95" s="108">
        <f>IFERROR(H95+IFERROR(I95,0)+T95+IFERROR(V95,0),0)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IFERROR(L96+M96+N96+O96+IFERROR(AC96,0)+IFERROR(AD96,0)+IFERROR(AE96,0)+IFERROR(AF96,0)+IFERROR(AG96,0),0)</f>
        <v/>
      </c>
      <c r="U96" s="108">
        <f>IFERROR(H96+IFERROR(I96,0)+T96+IFERROR(V96,0),0)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IFERROR(L97+M97+N97+O97+IFERROR(AC97,0)+IFERROR(AD97,0)+IFERROR(AE97,0)+IFERROR(AF97,0)+IFERROR(AG97,0),0)</f>
        <v/>
      </c>
      <c r="U97" s="108">
        <f>IFERROR(H97+IFERROR(I97,0)+T97+IFERROR(V97,0),0)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IFERROR(L98+M98+N98+O98+IFERROR(AC98,0)+IFERROR(AD98,0)+IFERROR(AE98,0)+IFERROR(AF98,0)+IFERROR(AG98,0),0)</f>
        <v/>
      </c>
      <c r="U98" s="108">
        <f>IFERROR(H98+IFERROR(I98,0)+T98+IFERROR(V98,0),0)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IFERROR(L99+M99+N99+O99+IFERROR(AC99,0)+IFERROR(AD99,0)+IFERROR(AE99,0)+IFERROR(AF99,0)+IFERROR(AG99,0),0)</f>
        <v/>
      </c>
      <c r="U99" s="108">
        <f>IFERROR(H99+IFERROR(I99,0)+T99+IFERROR(V99,0),0)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IFERROR(L100+M100+N100+O100+IFERROR(AC100,0)+IFERROR(AD100,0)+IFERROR(AE100,0)+IFERROR(AF100,0)+IFERROR(AG100,0),0)</f>
        <v/>
      </c>
      <c r="U100" s="108">
        <f>IFERROR(H100+IFERROR(I100,0)+T100+IFERROR(V100,0),0)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IFERROR(L101+M101+N101+O101+IFERROR(AC101,0)+IFERROR(AD101,0)+IFERROR(AE101,0)+IFERROR(AF101,0)+IFERROR(AG101,0),0)</f>
        <v/>
      </c>
      <c r="U101" s="108">
        <f>IFERROR(H101+IFERROR(I101,0)+T101+IFERROR(V101,0),0)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IFERROR(L102+M102+N102+O102+IFERROR(AC102,0)+IFERROR(AD102,0)+IFERROR(AE102,0)+IFERROR(AF102,0)+IFERROR(AG102,0),0)</f>
        <v/>
      </c>
      <c r="U102" s="108">
        <f>IFERROR(H102+IFERROR(I102,0)+T102+IFERROR(V102,0),0)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IFERROR(L103+M103+N103+O103+IFERROR(AC103,0)+IFERROR(AD103,0)+IFERROR(AE103,0)+IFERROR(AF103,0)+IFERROR(AG103,0),0)</f>
        <v/>
      </c>
      <c r="U103" s="108">
        <f>IFERROR(H103+IFERROR(I103,0)+T103+IFERROR(V103,0),0)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IFERROR(L104+M104+N104+O104+IFERROR(AC104,0)+IFERROR(AD104,0)+IFERROR(AE104,0)+IFERROR(AF104,0)+IFERROR(AG104,0),0)</f>
        <v/>
      </c>
      <c r="U104" s="108">
        <f>IFERROR(H104+IFERROR(I104,0)+T104+IFERROR(V104,0),0)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IFERROR(L105+M105+N105+O105+IFERROR(AC105,0)+IFERROR(AD105,0)+IFERROR(AE105,0)+IFERROR(AF105,0)+IFERROR(AG105,0),0)</f>
        <v/>
      </c>
      <c r="U105" s="108">
        <f>IFERROR(H105+IFERROR(I105,0)+T105+IFERROR(V105,0),0)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IFERROR(L106+M106+N106+O106+IFERROR(AC106,0)+IFERROR(AD106,0)+IFERROR(AE106,0)+IFERROR(AF106,0)+IFERROR(AG106,0),0)</f>
        <v/>
      </c>
      <c r="U106" s="108">
        <f>IFERROR(H106+IFERROR(I106,0)+T106+IFERROR(V106,0),0)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IFERROR(L107+M107+N107+O107+IFERROR(AC107,0)+IFERROR(AD107,0)+IFERROR(AE107,0)+IFERROR(AF107,0)+IFERROR(AG107,0),0)</f>
        <v/>
      </c>
      <c r="U107" s="108">
        <f>IFERROR(H107+IFERROR(I107,0)+T107+IFERROR(V107,0),0)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IFERROR(L108+M108+N108+O108+IFERROR(AC108,0)+IFERROR(AD108,0)+IFERROR(AE108,0)+IFERROR(AF108,0)+IFERROR(AG108,0),0)</f>
        <v/>
      </c>
      <c r="U108" s="108">
        <f>IFERROR(H108+IFERROR(I108,0)+T108+IFERROR(V108,0),0)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IFERROR(L109+M109+N109+O109+IFERROR(AC109,0)+IFERROR(AD109,0)+IFERROR(AE109,0)+IFERROR(AF109,0)+IFERROR(AG109,0),0)</f>
        <v/>
      </c>
      <c r="U109" s="108">
        <f>IFERROR(H109+IFERROR(I109,0)+T109+IFERROR(V109,0),0)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IFERROR(L110+M110+N110+O110+IFERROR(AC110,0)+IFERROR(AD110,0)+IFERROR(AE110,0)+IFERROR(AF110,0)+IFERROR(AG110,0),0)</f>
        <v/>
      </c>
      <c r="U110" s="108">
        <f>IFERROR(H110+IFERROR(I110,0)+T110+IFERROR(V110,0),0)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IFERROR(L111+M111+N111+O111+IFERROR(AC111,0)+IFERROR(AD111,0)+IFERROR(AE111,0)+IFERROR(AF111,0)+IFERROR(AG111,0),0)</f>
        <v/>
      </c>
      <c r="U111" s="108">
        <f>IFERROR(H111+IFERROR(I111,0)+T111+IFERROR(V111,0),0)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IFERROR(L112+M112+N112+O112+IFERROR(AC112,0)+IFERROR(AD112,0)+IFERROR(AE112,0)+IFERROR(AF112,0)+IFERROR(AG112,0),0)</f>
        <v/>
      </c>
      <c r="U112" s="108">
        <f>IFERROR(H112+IFERROR(I112,0)+T112+IFERROR(V112,0),0)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IFERROR(L113+M113+N113+O113+IFERROR(AC113,0)+IFERROR(AD113,0)+IFERROR(AE113,0)+IFERROR(AF113,0)+IFERROR(AG113,0),0)</f>
        <v/>
      </c>
      <c r="U113" s="108">
        <f>IFERROR(H113+IFERROR(I113,0)+T113+IFERROR(V113,0),0)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IFERROR(L114+M114+N114+O114+IFERROR(AC114,0)+IFERROR(AD114,0)+IFERROR(AE114,0)+IFERROR(AF114,0)+IFERROR(AG114,0),0)</f>
        <v/>
      </c>
      <c r="U114" s="108">
        <f>IFERROR(H114+IFERROR(I114,0)+T114+IFERROR(V114,0),0)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IFERROR(L115+M115+N115+O115+IFERROR(AC115,0)+IFERROR(AD115,0)+IFERROR(AE115,0)+IFERROR(AF115,0)+IFERROR(AG115,0),0)</f>
        <v/>
      </c>
      <c r="U115" s="108">
        <f>IFERROR(H115+IFERROR(I115,0)+T115+IFERROR(V115,0),0)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IFERROR(L116+M116+N116+O116+IFERROR(AC116,0)+IFERROR(AD116,0)+IFERROR(AE116,0)+IFERROR(AF116,0)+IFERROR(AG116,0),0)</f>
        <v/>
      </c>
      <c r="U116" s="108">
        <f>IFERROR(H116+IFERROR(I116,0)+T116+IFERROR(V116,0),0)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IFERROR(L117+M117+N117+O117+IFERROR(AC117,0)+IFERROR(AD117,0)+IFERROR(AE117,0)+IFERROR(AF117,0)+IFERROR(AG117,0),0)</f>
        <v/>
      </c>
      <c r="U117" s="108">
        <f>IFERROR(H117+IFERROR(I117,0)+T117+IFERROR(V117,0),0)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IFERROR(L118+M118+N118+O118+IFERROR(AC118,0)+IFERROR(AD118,0)+IFERROR(AE118,0)+IFERROR(AF118,0)+IFERROR(AG118,0),0)</f>
        <v/>
      </c>
      <c r="U118" s="108">
        <f>IFERROR(H118+IFERROR(I118,0)+T118+IFERROR(V118,0),0)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IFERROR(L119+M119+N119+O119+IFERROR(AC119,0)+IFERROR(AD119,0)+IFERROR(AE119,0)+IFERROR(AF119,0)+IFERROR(AG119,0),0)</f>
        <v/>
      </c>
      <c r="U119" s="108">
        <f>IFERROR(H119+IFERROR(I119,0)+T119+IFERROR(V119,0),0)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IFERROR(L120+M120+N120+O120+IFERROR(AC120,0)+IFERROR(AD120,0)+IFERROR(AE120,0)+IFERROR(AF120,0)+IFERROR(AG120,0),0)</f>
        <v/>
      </c>
      <c r="U120" s="108">
        <f>IFERROR(H120+IFERROR(I120,0)+T120+IFERROR(V120,0),0)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IFERROR(L121+M121+N121+O121+IFERROR(AC121,0)+IFERROR(AD121,0)+IFERROR(AE121,0)+IFERROR(AF121,0)+IFERROR(AG121,0),0)</f>
        <v/>
      </c>
      <c r="U121" s="108">
        <f>IFERROR(H121+IFERROR(I121,0)+T121+IFERROR(V121,0),0)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IFERROR(L122+M122+N122+O122+IFERROR(AC122,0)+IFERROR(AD122,0)+IFERROR(AE122,0)+IFERROR(AF122,0)+IFERROR(AG122,0),0)</f>
        <v/>
      </c>
      <c r="U122" s="108">
        <f>IFERROR(H122+IFERROR(I122,0)+T122+IFERROR(V122,0),0)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IFERROR(L123+M123+N123+O123+IFERROR(AC123,0)+IFERROR(AD123,0)+IFERROR(AE123,0)+IFERROR(AF123,0)+IFERROR(AG123,0),0)</f>
        <v/>
      </c>
      <c r="U123" s="108">
        <f>IFERROR(H123+IFERROR(I123,0)+T123+IFERROR(V123,0),0)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IFERROR(L124+M124+N124+O124+IFERROR(AC124,0)+IFERROR(AD124,0)+IFERROR(AE124,0)+IFERROR(AF124,0)+IFERROR(AG124,0),0)</f>
        <v/>
      </c>
      <c r="U124" s="108">
        <f>IFERROR(H124+IFERROR(I124,0)+T124+IFERROR(V124,0),0)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IFERROR(L125+M125+N125+O125+IFERROR(AC125,0)+IFERROR(AD125,0)+IFERROR(AE125,0)+IFERROR(AF125,0)+IFERROR(AG125,0),0)</f>
        <v/>
      </c>
      <c r="U125" s="108">
        <f>IFERROR(H125+IFERROR(I125,0)+T125+IFERROR(V125,0),0)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IFERROR(L126+M126+N126+O126+IFERROR(AC126,0)+IFERROR(AD126,0)+IFERROR(AE126,0)+IFERROR(AF126,0)+IFERROR(AG126,0),0)</f>
        <v/>
      </c>
      <c r="U126" s="108">
        <f>IFERROR(H126+IFERROR(I126,0)+T126+IFERROR(V126,0),0)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IFERROR(L127+M127+N127+O127+IFERROR(AC127,0)+IFERROR(AD127,0)+IFERROR(AE127,0)+IFERROR(AF127,0)+IFERROR(AG127,0),0)</f>
        <v/>
      </c>
      <c r="U127" s="108">
        <f>IFERROR(H127+IFERROR(I127,0)+T127+IFERROR(V127,0),0)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IFERROR(L128+M128+N128+O128+IFERROR(AC128,0)+IFERROR(AD128,0)+IFERROR(AE128,0)+IFERROR(AF128,0)+IFERROR(AG128,0),0)</f>
        <v/>
      </c>
      <c r="U128" s="108">
        <f>IFERROR(H128+IFERROR(I128,0)+T128+IFERROR(V128,0),0)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IFERROR(L129+M129+N129+O129+IFERROR(AC129,0)+IFERROR(AD129,0)+IFERROR(AE129,0)+IFERROR(AF129,0)+IFERROR(AG129,0),0)</f>
        <v/>
      </c>
      <c r="U129" s="108">
        <f>IFERROR(H129+IFERROR(I129,0)+T129+IFERROR(V129,0),0)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IFERROR(L130+M130+N130+O130+IFERROR(AC130,0)+IFERROR(AD130,0)+IFERROR(AE130,0)+IFERROR(AF130,0)+IFERROR(AG130,0),0)</f>
        <v/>
      </c>
      <c r="U130" s="108">
        <f>IFERROR(H130+IFERROR(I130,0)+T130+IFERROR(V130,0),0)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IFERROR(L131+M131+N131+O131+IFERROR(AC131,0)+IFERROR(AD131,0)+IFERROR(AE131,0)+IFERROR(AF131,0)+IFERROR(AG131,0),0)</f>
        <v/>
      </c>
      <c r="U131" s="108">
        <f>IFERROR(H131+IFERROR(I131,0)+T131+IFERROR(V131,0),0)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IFERROR(L132+M132+N132+O132+IFERROR(AC132,0)+IFERROR(AD132,0)+IFERROR(AE132,0)+IFERROR(AF132,0)+IFERROR(AG132,0),0)</f>
        <v/>
      </c>
      <c r="U132" s="108">
        <f>IFERROR(H132+IFERROR(I132,0)+T132+IFERROR(V132,0),0)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IFERROR(L133+M133+N133+O133+IFERROR(AC133,0)+IFERROR(AD133,0)+IFERROR(AE133,0)+IFERROR(AF133,0)+IFERROR(AG133,0),0)</f>
        <v/>
      </c>
      <c r="U133" s="108">
        <f>IFERROR(H133+IFERROR(I133,0)+T133+IFERROR(V133,0),0)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IFERROR(L134+M134+N134+O134+IFERROR(AC134,0)+IFERROR(AD134,0)+IFERROR(AE134,0)+IFERROR(AF134,0)+IFERROR(AG134,0),0)</f>
        <v/>
      </c>
      <c r="U134" s="108">
        <f>IFERROR(H134+IFERROR(I134,0)+T134+IFERROR(V134,0),0)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IFERROR(L135+M135+N135+O135+IFERROR(AC135,0)+IFERROR(AD135,0)+IFERROR(AE135,0)+IFERROR(AF135,0)+IFERROR(AG135,0),0)</f>
        <v/>
      </c>
      <c r="U135" s="108">
        <f>IFERROR(H135+IFERROR(I135,0)+T135+IFERROR(V135,0),0)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IFERROR(L136+M136+N136+O136+IFERROR(AC136,0)+IFERROR(AD136,0)+IFERROR(AE136,0)+IFERROR(AF136,0)+IFERROR(AG136,0),0)</f>
        <v/>
      </c>
      <c r="U136" s="108">
        <f>IFERROR(H136+IFERROR(I136,0)+T136+IFERROR(V136,0),0)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IFERROR(L137+M137+N137+O137+IFERROR(AC137,0)+IFERROR(AD137,0)+IFERROR(AE137,0)+IFERROR(AF137,0)+IFERROR(AG137,0),0)</f>
        <v/>
      </c>
      <c r="U137" s="108">
        <f>IFERROR(H137+IFERROR(I137,0)+T137+IFERROR(V137,0),0)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IFERROR(L138+M138+N138+O138+IFERROR(AC138,0)+IFERROR(AD138,0)+IFERROR(AE138,0)+IFERROR(AF138,0)+IFERROR(AG138,0),0)</f>
        <v/>
      </c>
      <c r="U138" s="108">
        <f>IFERROR(H138+IFERROR(I138,0)+T138+IFERROR(V138,0),0)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IFERROR(L139+M139+N139+O139+IFERROR(AC139,0)+IFERROR(AD139,0)+IFERROR(AE139,0)+IFERROR(AF139,0)+IFERROR(AG139,0),0)</f>
        <v/>
      </c>
      <c r="U139" s="108">
        <f>IFERROR(H139+IFERROR(I139,0)+T139+IFERROR(V139,0),0)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IFERROR(L140+M140+N140+O140+IFERROR(AC140,0)+IFERROR(AD140,0)+IFERROR(AE140,0)+IFERROR(AF140,0)+IFERROR(AG140,0),0)</f>
        <v/>
      </c>
      <c r="U140" s="108">
        <f>IFERROR(H140+IFERROR(I140,0)+T140+IFERROR(V140,0),0)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IFERROR(L141+M141+N141+O141+IFERROR(AC141,0)+IFERROR(AD141,0)+IFERROR(AE141,0)+IFERROR(AF141,0)+IFERROR(AG141,0),0)</f>
        <v/>
      </c>
      <c r="U141" s="108">
        <f>IFERROR(H141+IFERROR(I141,0)+T141+IFERROR(V141,0),0)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IFERROR(L142+M142+N142+O142+IFERROR(AC142,0)+IFERROR(AD142,0)+IFERROR(AE142,0)+IFERROR(AF142,0)+IFERROR(AG142,0),0)</f>
        <v/>
      </c>
      <c r="U142" s="108">
        <f>IFERROR(H142+IFERROR(I142,0)+T142+IFERROR(V142,0),0)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IFERROR(L143+M143+N143+O143+IFERROR(AC143,0)+IFERROR(AD143,0)+IFERROR(AE143,0)+IFERROR(AF143,0)+IFERROR(AG143,0),0)</f>
        <v/>
      </c>
      <c r="U143" s="108">
        <f>IFERROR(H143+IFERROR(I143,0)+T143+IFERROR(V143,0),0)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IFERROR(L144+M144+N144+O144+IFERROR(AC144,0)+IFERROR(AD144,0)+IFERROR(AE144,0)+IFERROR(AF144,0)+IFERROR(AG144,0),0)</f>
        <v/>
      </c>
      <c r="U144" s="108">
        <f>IFERROR(H144+IFERROR(I144,0)+T144+IFERROR(V144,0),0)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IFERROR(L145+M145+N145+O145+IFERROR(AC145,0)+IFERROR(AD145,0)+IFERROR(AE145,0)+IFERROR(AF145,0)+IFERROR(AG145,0),0)</f>
        <v/>
      </c>
      <c r="U145" s="108">
        <f>IFERROR(H145+IFERROR(I145,0)+T145+IFERROR(V145,0),0)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IFERROR(L146+M146+N146+O146+IFERROR(AC146,0)+IFERROR(AD146,0)+IFERROR(AE146,0)+IFERROR(AF146,0)+IFERROR(AG146,0),0)</f>
        <v/>
      </c>
      <c r="U146" s="108">
        <f>IFERROR(H146+IFERROR(I146,0)+T146+IFERROR(V146,0),0)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IFERROR(L147+M147+N147+O147+IFERROR(AC147,0)+IFERROR(AD147,0)+IFERROR(AE147,0)+IFERROR(AF147,0)+IFERROR(AG147,0),0)</f>
        <v/>
      </c>
      <c r="U147" s="108">
        <f>IFERROR(H147+IFERROR(I147,0)+T147+IFERROR(V147,0),0)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IFERROR(L148+M148+N148+O148+IFERROR(AC148,0)+IFERROR(AD148,0)+IFERROR(AE148,0)+IFERROR(AF148,0)+IFERROR(AG148,0),0)</f>
        <v/>
      </c>
      <c r="U148" s="108">
        <f>IFERROR(H148+IFERROR(I148,0)+T148+IFERROR(V148,0),0)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IFERROR(L149+M149+N149+O149+IFERROR(AC149,0)+IFERROR(AD149,0)+IFERROR(AE149,0)+IFERROR(AF149,0)+IFERROR(AG149,0),0)</f>
        <v/>
      </c>
      <c r="U149" s="108">
        <f>IFERROR(H149+IFERROR(I149,0)+T149+IFERROR(V149,0),0)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IFERROR(L150+M150+N150+O150+IFERROR(AC150,0)+IFERROR(AD150,0)+IFERROR(AE150,0)+IFERROR(AF150,0)+IFERROR(AG150,0),0)</f>
        <v/>
      </c>
      <c r="U150" s="108">
        <f>IFERROR(H150+IFERROR(I150,0)+T150+IFERROR(V150,0),0)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IFERROR(L151+M151+N151+O151+IFERROR(AC151,0)+IFERROR(AD151,0)+IFERROR(AE151,0)+IFERROR(AF151,0)+IFERROR(AG151,0),0)</f>
        <v/>
      </c>
      <c r="U151" s="108">
        <f>IFERROR(H151+IFERROR(I151,0)+T151+IFERROR(V151,0),0)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IFERROR(L152+M152+N152+O152+IFERROR(AC152,0)+IFERROR(AD152,0)+IFERROR(AE152,0)+IFERROR(AF152,0)+IFERROR(AG152,0),0)</f>
        <v/>
      </c>
      <c r="U152" s="108">
        <f>IFERROR(H152+IFERROR(I152,0)+T152+IFERROR(V152,0),0)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IFERROR(L153+M153+N153+O153+IFERROR(AC153,0)+IFERROR(AD153,0)+IFERROR(AE153,0)+IFERROR(AF153,0)+IFERROR(AG153,0),0)</f>
        <v/>
      </c>
      <c r="U153" s="108">
        <f>IFERROR(H153+IFERROR(I153,0)+T153+IFERROR(V153,0),0)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IFERROR(L154+M154+N154+O154+IFERROR(AC154,0)+IFERROR(AD154,0)+IFERROR(AE154,0)+IFERROR(AF154,0)+IFERROR(AG154,0),0)</f>
        <v/>
      </c>
      <c r="U154" s="108">
        <f>IFERROR(H154+IFERROR(I154,0)+T154+IFERROR(V154,0),0)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IFERROR(L155+M155+N155+O155+IFERROR(AC155,0)+IFERROR(AD155,0)+IFERROR(AE155,0)+IFERROR(AF155,0)+IFERROR(AG155,0),0)</f>
        <v/>
      </c>
      <c r="U155" s="108">
        <f>IFERROR(H155+IFERROR(I155,0)+T155+IFERROR(V155,0),0)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IFERROR(L156+M156+N156+O156+IFERROR(AC156,0)+IFERROR(AD156,0)+IFERROR(AE156,0)+IFERROR(AF156,0)+IFERROR(AG156,0),0)</f>
        <v/>
      </c>
      <c r="U156" s="108">
        <f>IFERROR(H156+IFERROR(I156,0)+T156+IFERROR(V156,0),0)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IFERROR(L157+M157+N157+O157+IFERROR(AC157,0)+IFERROR(AD157,0)+IFERROR(AE157,0)+IFERROR(AF157,0)+IFERROR(AG157,0),0)</f>
        <v/>
      </c>
      <c r="U157" s="108">
        <f>IFERROR(H157+IFERROR(I157,0)+T157+IFERROR(V157,0),0)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IFERROR(L158+M158+N158+O158+IFERROR(AC158,0)+IFERROR(AD158,0)+IFERROR(AE158,0)+IFERROR(AF158,0)+IFERROR(AG158,0),0)</f>
        <v/>
      </c>
      <c r="U158" s="108">
        <f>IFERROR(H158+IFERROR(I158,0)+T158+IFERROR(V158,0),0)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IFERROR(L159+M159+N159+O159+IFERROR(AC159,0)+IFERROR(AD159,0)+IFERROR(AE159,0)+IFERROR(AF159,0)+IFERROR(AG159,0),0)</f>
        <v/>
      </c>
      <c r="U159" s="108">
        <f>IFERROR(H159+IFERROR(I159,0)+T159+IFERROR(V159,0),0)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IFERROR(L160+M160+N160+O160+IFERROR(AC160,0)+IFERROR(AD160,0)+IFERROR(AE160,0)+IFERROR(AF160,0)+IFERROR(AG160,0),0)</f>
        <v/>
      </c>
      <c r="U160" s="108">
        <f>IFERROR(H160+IFERROR(I160,0)+T160+IFERROR(V160,0),0)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IFERROR(L161+M161+N161+O161+IFERROR(AC161,0)+IFERROR(AD161,0)+IFERROR(AE161,0)+IFERROR(AF161,0)+IFERROR(AG161,0),0)</f>
        <v/>
      </c>
      <c r="U161" s="108">
        <f>IFERROR(H161+IFERROR(I161,0)+T161+IFERROR(V161,0),0)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IFERROR(L162+M162+N162+O162+IFERROR(AC162,0)+IFERROR(AD162,0)+IFERROR(AE162,0)+IFERROR(AF162,0)+IFERROR(AG162,0),0)</f>
        <v/>
      </c>
      <c r="U162" s="108">
        <f>IFERROR(H162+IFERROR(I162,0)+T162+IFERROR(V162,0),0)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IFERROR(L163+M163+N163+O163+IFERROR(AC163,0)+IFERROR(AD163,0)+IFERROR(AE163,0)+IFERROR(AF163,0)+IFERROR(AG163,0),0)</f>
        <v/>
      </c>
      <c r="U163" s="108">
        <f>IFERROR(H163+IFERROR(I163,0)+T163+IFERROR(V163,0),0)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IFERROR(L164+M164+N164+O164+IFERROR(AC164,0)+IFERROR(AD164,0)+IFERROR(AE164,0)+IFERROR(AF164,0)+IFERROR(AG164,0),0)</f>
        <v/>
      </c>
      <c r="U164" s="108">
        <f>IFERROR(H164+IFERROR(I164,0)+T164+IFERROR(V164,0),0)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IFERROR(L165+M165+N165+O165+IFERROR(AC165,0)+IFERROR(AD165,0)+IFERROR(AE165,0)+IFERROR(AF165,0)+IFERROR(AG165,0),0)</f>
        <v/>
      </c>
      <c r="U165" s="108">
        <f>IFERROR(H165+IFERROR(I165,0)+T165+IFERROR(V165,0),0)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IFERROR(L166+M166+N166+O166+IFERROR(AC166,0)+IFERROR(AD166,0)+IFERROR(AE166,0)+IFERROR(AF166,0)+IFERROR(AG166,0),0)</f>
        <v/>
      </c>
      <c r="U166" s="108">
        <f>IFERROR(H166+IFERROR(I166,0)+T166+IFERROR(V166,0),0)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IFERROR(L167+M167+N167+O167+IFERROR(AC167,0)+IFERROR(AD167,0)+IFERROR(AE167,0)+IFERROR(AF167,0)+IFERROR(AG167,0),0)</f>
        <v/>
      </c>
      <c r="U167" s="108">
        <f>IFERROR(H167+IFERROR(I167,0)+T167+IFERROR(V167,0),0)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IFERROR(L168+M168+N168+O168+IFERROR(AC168,0)+IFERROR(AD168,0)+IFERROR(AE168,0)+IFERROR(AF168,0)+IFERROR(AG168,0),0)</f>
        <v/>
      </c>
      <c r="U168" s="108">
        <f>IFERROR(H168+IFERROR(I168,0)+T168+IFERROR(V168,0),0)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IFERROR(L169+M169+N169+O169+IFERROR(AC169,0)+IFERROR(AD169,0)+IFERROR(AE169,0)+IFERROR(AF169,0)+IFERROR(AG169,0),0)</f>
        <v/>
      </c>
      <c r="U169" s="108">
        <f>IFERROR(H169+IFERROR(I169,0)+T169+IFERROR(V169,0),0)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IFERROR(L170+M170+N170+O170+IFERROR(AC170,0)+IFERROR(AD170,0)+IFERROR(AE170,0)+IFERROR(AF170,0)+IFERROR(AG170,0),0)</f>
        <v/>
      </c>
      <c r="U170" s="108">
        <f>IFERROR(H170+IFERROR(I170,0)+T170+IFERROR(V170,0),0)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IFERROR(L171+M171+N171+O171+IFERROR(AC171,0)+IFERROR(AD171,0)+IFERROR(AE171,0)+IFERROR(AF171,0)+IFERROR(AG171,0),0)</f>
        <v/>
      </c>
      <c r="U171" s="108">
        <f>IFERROR(H171+IFERROR(I171,0)+T171+IFERROR(V171,0),0)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IFERROR(L172+M172+N172+O172+IFERROR(AC172,0)+IFERROR(AD172,0)+IFERROR(AE172,0)+IFERROR(AF172,0)+IFERROR(AG172,0),0)</f>
        <v/>
      </c>
      <c r="U172" s="108">
        <f>IFERROR(H172+IFERROR(I172,0)+T172+IFERROR(V172,0),0)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IFERROR(L173+M173+N173+O173+IFERROR(AC173,0)+IFERROR(AD173,0)+IFERROR(AE173,0)+IFERROR(AF173,0)+IFERROR(AG173,0),0)</f>
        <v/>
      </c>
      <c r="U173" s="108">
        <f>IFERROR(H173+IFERROR(I173,0)+T173+IFERROR(V173,0),0)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IFERROR(L174+M174+N174+O174+IFERROR(AC174,0)+IFERROR(AD174,0)+IFERROR(AE174,0)+IFERROR(AF174,0)+IFERROR(AG174,0),0)</f>
        <v/>
      </c>
      <c r="U174" s="108">
        <f>IFERROR(H174+IFERROR(I174,0)+T174+IFERROR(V174,0),0)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IFERROR(L175+M175+N175+O175+IFERROR(AC175,0)+IFERROR(AD175,0)+IFERROR(AE175,0)+IFERROR(AF175,0)+IFERROR(AG175,0),0)</f>
        <v/>
      </c>
      <c r="U175" s="108">
        <f>IFERROR(H175+IFERROR(I175,0)+T175+IFERROR(V175,0),0)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IFERROR(L176+M176+N176+O176+IFERROR(AC176,0)+IFERROR(AD176,0)+IFERROR(AE176,0)+IFERROR(AF176,0)+IFERROR(AG176,0),0)</f>
        <v/>
      </c>
      <c r="U176" s="108">
        <f>IFERROR(H176+IFERROR(I176,0)+T176+IFERROR(V176,0),0)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IFERROR(L177+M177+N177+O177+IFERROR(AC177,0)+IFERROR(AD177,0)+IFERROR(AE177,0)+IFERROR(AF177,0)+IFERROR(AG177,0),0)</f>
        <v/>
      </c>
      <c r="U177" s="108">
        <f>IFERROR(H177+IFERROR(I177,0)+T177+IFERROR(V177,0),0)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IFERROR(L178+M178+N178+O178+IFERROR(AC178,0)+IFERROR(AD178,0)+IFERROR(AE178,0)+IFERROR(AF178,0)+IFERROR(AG178,0),0)</f>
        <v/>
      </c>
      <c r="U178" s="108">
        <f>IFERROR(H178+IFERROR(I178,0)+T178+IFERROR(V178,0),0)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IFERROR(L179+M179+N179+O179+IFERROR(AC179,0)+IFERROR(AD179,0)+IFERROR(AE179,0)+IFERROR(AF179,0)+IFERROR(AG179,0),0)</f>
        <v/>
      </c>
      <c r="U179" s="108">
        <f>IFERROR(H179+IFERROR(I179,0)+T179+IFERROR(V179,0),0)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IFERROR(L180+M180+N180+O180+IFERROR(AC180,0)+IFERROR(AD180,0)+IFERROR(AE180,0)+IFERROR(AF180,0)+IFERROR(AG180,0),0)</f>
        <v/>
      </c>
      <c r="U180" s="108">
        <f>IFERROR(H180+IFERROR(I180,0)+T180+IFERROR(V180,0),0)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IFERROR(L181+M181+N181+O181+IFERROR(AC181,0)+IFERROR(AD181,0)+IFERROR(AE181,0)+IFERROR(AF181,0)+IFERROR(AG181,0),0)</f>
        <v/>
      </c>
      <c r="U181" s="108">
        <f>IFERROR(H181+IFERROR(I181,0)+T181+IFERROR(V181,0),0)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IFERROR(L182+M182+N182+O182+IFERROR(AC182,0)+IFERROR(AD182,0)+IFERROR(AE182,0)+IFERROR(AF182,0)+IFERROR(AG182,0),0)</f>
        <v/>
      </c>
      <c r="U182" s="108">
        <f>IFERROR(H182+IFERROR(I182,0)+T182+IFERROR(V182,0),0)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IFERROR(L183+M183+N183+O183+IFERROR(AC183,0)+IFERROR(AD183,0)+IFERROR(AE183,0)+IFERROR(AF183,0)+IFERROR(AG183,0),0)</f>
        <v/>
      </c>
      <c r="U183" s="108">
        <f>IFERROR(H183+IFERROR(I183,0)+T183+IFERROR(V183,0),0)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IFERROR(L184+M184+N184+O184+IFERROR(AC184,0)+IFERROR(AD184,0)+IFERROR(AE184,0)+IFERROR(AF184,0)+IFERROR(AG184,0),0)</f>
        <v/>
      </c>
      <c r="U184" s="108">
        <f>IFERROR(H184+IFERROR(I184,0)+T184+IFERROR(V184,0),0)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IFERROR(L185+M185+N185+O185+IFERROR(AC185,0)+IFERROR(AD185,0)+IFERROR(AE185,0)+IFERROR(AF185,0)+IFERROR(AG185,0),0)</f>
        <v/>
      </c>
      <c r="U185" s="108">
        <f>IFERROR(H185+IFERROR(I185,0)+T185+IFERROR(V185,0),0)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IFERROR(L186+M186+N186+O186+IFERROR(AC186,0)+IFERROR(AD186,0)+IFERROR(AE186,0)+IFERROR(AF186,0)+IFERROR(AG186,0),0)</f>
        <v/>
      </c>
      <c r="U186" s="108">
        <f>IFERROR(H186+IFERROR(I186,0)+T186+IFERROR(V186,0),0)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IFERROR(L187+M187+N187+O187+IFERROR(AC187,0)+IFERROR(AD187,0)+IFERROR(AE187,0)+IFERROR(AF187,0)+IFERROR(AG187,0),0)</f>
        <v/>
      </c>
      <c r="U187" s="108">
        <f>IFERROR(H187+IFERROR(I187,0)+T187+IFERROR(V187,0),0)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IFERROR(L188+M188+N188+O188+IFERROR(AC188,0)+IFERROR(AD188,0)+IFERROR(AE188,0)+IFERROR(AF188,0)+IFERROR(AG188,0),0)</f>
        <v/>
      </c>
      <c r="U188" s="108">
        <f>IFERROR(H188+IFERROR(I188,0)+T188+IFERROR(V188,0),0)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IFERROR(L189+M189+N189+O189+IFERROR(AC189,0)+IFERROR(AD189,0)+IFERROR(AE189,0)+IFERROR(AF189,0)+IFERROR(AG189,0),0)</f>
        <v/>
      </c>
      <c r="U189" s="108">
        <f>IFERROR(H189+IFERROR(I189,0)+T189+IFERROR(V189,0),0)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IFERROR(L190+M190+N190+O190+IFERROR(AC190,0)+IFERROR(AD190,0)+IFERROR(AE190,0)+IFERROR(AF190,0)+IFERROR(AG190,0),0)</f>
        <v/>
      </c>
      <c r="U190" s="108">
        <f>IFERROR(H190+IFERROR(I190,0)+T190+IFERROR(V190,0),0)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IFERROR(L191+M191+N191+O191+IFERROR(AC191,0)+IFERROR(AD191,0)+IFERROR(AE191,0)+IFERROR(AF191,0)+IFERROR(AG191,0),0)</f>
        <v/>
      </c>
      <c r="U191" s="108">
        <f>IFERROR(H191+IFERROR(I191,0)+T191+IFERROR(V191,0),0)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IFERROR(L192+M192+N192+O192+IFERROR(AC192,0)+IFERROR(AD192,0)+IFERROR(AE192,0)+IFERROR(AF192,0)+IFERROR(AG192,0),0)</f>
        <v/>
      </c>
      <c r="U192" s="108">
        <f>IFERROR(H192+IFERROR(I192,0)+T192+IFERROR(V192,0),0)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IFERROR(L193+M193+N193+O193+IFERROR(AC193,0)+IFERROR(AD193,0)+IFERROR(AE193,0)+IFERROR(AF193,0)+IFERROR(AG193,0),0)</f>
        <v/>
      </c>
      <c r="U193" s="108">
        <f>IFERROR(H193+IFERROR(I193,0)+T193+IFERROR(V193,0),0)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IFERROR(L194+M194+N194+O194+IFERROR(AC194,0)+IFERROR(AD194,0)+IFERROR(AE194,0)+IFERROR(AF194,0)+IFERROR(AG194,0),0)</f>
        <v/>
      </c>
      <c r="U194" s="108">
        <f>IFERROR(H194+IFERROR(I194,0)+T194+IFERROR(V194,0),0)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IFERROR(L195+M195+N195+O195+IFERROR(AC195,0)+IFERROR(AD195,0)+IFERROR(AE195,0)+IFERROR(AF195,0)+IFERROR(AG195,0),0)</f>
        <v/>
      </c>
      <c r="U195" s="108">
        <f>IFERROR(H195+IFERROR(I195,0)+T195+IFERROR(V195,0),0)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IFERROR(L196+M196+N196+O196+IFERROR(AC196,0)+IFERROR(AD196,0)+IFERROR(AE196,0)+IFERROR(AF196,0)+IFERROR(AG196,0),0)</f>
        <v/>
      </c>
      <c r="U196" s="108">
        <f>IFERROR(H196+IFERROR(I196,0)+T196+IFERROR(V196,0),0)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IFERROR(L197+M197+N197+O197+IFERROR(AC197,0)+IFERROR(AD197,0)+IFERROR(AE197,0)+IFERROR(AF197,0)+IFERROR(AG197,0),0)</f>
        <v/>
      </c>
      <c r="U197" s="108">
        <f>IFERROR(H197+IFERROR(I197,0)+T197+IFERROR(V197,0),0)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IFERROR(L198+M198+N198+O198+IFERROR(AC198,0)+IFERROR(AD198,0)+IFERROR(AE198,0)+IFERROR(AF198,0)+IFERROR(AG198,0),0)</f>
        <v/>
      </c>
      <c r="U198" s="108">
        <f>IFERROR(H198+IFERROR(I198,0)+T198+IFERROR(V198,0),0)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IFERROR(L199+M199+N199+O199+IFERROR(AC199,0)+IFERROR(AD199,0)+IFERROR(AE199,0)+IFERROR(AF199,0)+IFERROR(AG199,0),0)</f>
        <v/>
      </c>
      <c r="U199" s="108">
        <f>IFERROR(H199+IFERROR(I199,0)+T199+IFERROR(V199,0),0)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IFERROR(L200+M200+N200+O200+IFERROR(AC200,0)+IFERROR(AD200,0)+IFERROR(AE200,0)+IFERROR(AF200,0)+IFERROR(AG200,0),0)</f>
        <v/>
      </c>
      <c r="U200" s="108">
        <f>IFERROR(H200+IFERROR(I200,0)+T200+IFERROR(V200,0),0)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IFERROR(L201+M201+N201+O201+IFERROR(AC201,0)+IFERROR(AD201,0)+IFERROR(AE201,0)+IFERROR(AF201,0)+IFERROR(AG201,0),0)</f>
        <v/>
      </c>
      <c r="U201" s="108">
        <f>IFERROR(H201+IFERROR(I201,0)+T201+IFERROR(V201,0),0)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IFERROR(L202+M202+N202+O202+IFERROR(AC202,0)+IFERROR(AD202,0)+IFERROR(AE202,0)+IFERROR(AF202,0)+IFERROR(AG202,0),0)</f>
        <v/>
      </c>
      <c r="U202" s="108">
        <f>IFERROR(H202+IFERROR(I202,0)+T202+IFERROR(V202,0),0)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IFERROR(L203+M203+N203+O203+IFERROR(AC203,0)+IFERROR(AD203,0)+IFERROR(AE203,0)+IFERROR(AF203,0)+IFERROR(AG203,0),0)</f>
        <v/>
      </c>
      <c r="U203" s="108">
        <f>IFERROR(H203+IFERROR(I203,0)+T203+IFERROR(V203,0),0)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IFERROR(L204+M204+N204+O204+IFERROR(AC204,0)+IFERROR(AD204,0)+IFERROR(AE204,0)+IFERROR(AF204,0)+IFERROR(AG204,0),0)</f>
        <v/>
      </c>
      <c r="U204" s="108">
        <f>IFERROR(H204+IFERROR(I204,0)+T204+IFERROR(V204,0),0)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IFERROR(L205+M205+N205+O205+IFERROR(AC205,0)+IFERROR(AD205,0)+IFERROR(AE205,0)+IFERROR(AF205,0)+IFERROR(AG205,0),0)</f>
        <v/>
      </c>
      <c r="U205" s="108">
        <f>IFERROR(H205+IFERROR(I205,0)+T205+IFERROR(V205,0),0)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IFERROR(L206+M206+N206+O206+IFERROR(AC206,0)+IFERROR(AD206,0)+IFERROR(AE206,0)+IFERROR(AF206,0)+IFERROR(AG206,0),0)</f>
        <v/>
      </c>
      <c r="U206" s="108">
        <f>IFERROR(H206+IFERROR(I206,0)+T206+IFERROR(V206,0),0)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IFERROR(L207+M207+N207+O207+IFERROR(AC207,0)+IFERROR(AD207,0)+IFERROR(AE207,0)+IFERROR(AF207,0)+IFERROR(AG207,0),0)</f>
        <v/>
      </c>
      <c r="U207" s="108">
        <f>IFERROR(H207+IFERROR(I207,0)+T207+IFERROR(V207,0),0)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IFERROR(L208+M208+N208+O208+IFERROR(AC208,0)+IFERROR(AD208,0)+IFERROR(AE208,0)+IFERROR(AF208,0)+IFERROR(AG208,0),0)</f>
        <v/>
      </c>
      <c r="U208" s="108">
        <f>IFERROR(H208+IFERROR(I208,0)+T208+IFERROR(V208,0),0)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IFERROR(L209+M209+N209+O209+IFERROR(AC209,0)+IFERROR(AD209,0)+IFERROR(AE209,0)+IFERROR(AF209,0)+IFERROR(AG209,0),0)</f>
        <v/>
      </c>
      <c r="U209" s="108">
        <f>IFERROR(H209+IFERROR(I209,0)+T209+IFERROR(V209,0),0)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IFERROR(L210+M210+N210+O210+IFERROR(AC210,0)+IFERROR(AD210,0)+IFERROR(AE210,0)+IFERROR(AF210,0)+IFERROR(AG210,0),0)</f>
        <v/>
      </c>
      <c r="U210" s="108">
        <f>IFERROR(H210+IFERROR(I210,0)+T210+IFERROR(V210,0),0)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IFERROR(L211+M211+N211+O211+IFERROR(AC211,0)+IFERROR(AD211,0)+IFERROR(AE211,0)+IFERROR(AF211,0)+IFERROR(AG211,0),0)</f>
        <v/>
      </c>
      <c r="U211" s="108">
        <f>IFERROR(H211+IFERROR(I211,0)+T211+IFERROR(V211,0),0)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IFERROR(L212+M212+N212+O212+IFERROR(AC212,0)+IFERROR(AD212,0)+IFERROR(AE212,0)+IFERROR(AF212,0)+IFERROR(AG212,0),0)</f>
        <v/>
      </c>
      <c r="U212" s="108">
        <f>IFERROR(H212+IFERROR(I212,0)+T212+IFERROR(V212,0),0)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IFERROR(L213+M213+N213+O213+IFERROR(AC213,0)+IFERROR(AD213,0)+IFERROR(AE213,0)+IFERROR(AF213,0)+IFERROR(AG213,0),0)</f>
        <v/>
      </c>
      <c r="U213" s="108">
        <f>IFERROR(H213+IFERROR(I213,0)+T213+IFERROR(V213,0),0)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IFERROR(L214+M214+N214+O214+IFERROR(AC214,0)+IFERROR(AD214,0)+IFERROR(AE214,0)+IFERROR(AF214,0)+IFERROR(AG214,0),0)</f>
        <v/>
      </c>
      <c r="U214" s="108">
        <f>IFERROR(H214+IFERROR(I214,0)+T214+IFERROR(V214,0),0)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IFERROR(L215+M215+N215+O215+IFERROR(AC215,0)+IFERROR(AD215,0)+IFERROR(AE215,0)+IFERROR(AF215,0)+IFERROR(AG215,0),0)</f>
        <v/>
      </c>
      <c r="U215" s="108">
        <f>IFERROR(H215+IFERROR(I215,0)+T215+IFERROR(V215,0),0)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IFERROR(L216+M216+N216+O216+IFERROR(AC216,0)+IFERROR(AD216,0)+IFERROR(AE216,0)+IFERROR(AF216,0)+IFERROR(AG216,0),0)</f>
        <v/>
      </c>
      <c r="U216" s="108">
        <f>IFERROR(H216+IFERROR(I216,0)+T216+IFERROR(V216,0),0)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IFERROR(L217+M217+N217+O217+IFERROR(AC217,0)+IFERROR(AD217,0)+IFERROR(AE217,0)+IFERROR(AF217,0)+IFERROR(AG217,0),0)</f>
        <v/>
      </c>
      <c r="U217" s="108">
        <f>IFERROR(H217+IFERROR(I217,0)+T217+IFERROR(V217,0),0)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IFERROR(L218+M218+N218+O218+IFERROR(AC218,0)+IFERROR(AD218,0)+IFERROR(AE218,0)+IFERROR(AF218,0)+IFERROR(AG218,0),0)</f>
        <v/>
      </c>
      <c r="U218" s="108">
        <f>IFERROR(H218+IFERROR(I218,0)+T218+IFERROR(V218,0),0)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IFERROR(L219+M219+N219+O219+IFERROR(AC219,0)+IFERROR(AD219,0)+IFERROR(AE219,0)+IFERROR(AF219,0)+IFERROR(AG219,0),0)</f>
        <v/>
      </c>
      <c r="U219" s="108">
        <f>IFERROR(H219+IFERROR(I219,0)+T219+IFERROR(V219,0),0)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IFERROR(L220+M220+N220+O220+IFERROR(AC220,0)+IFERROR(AD220,0)+IFERROR(AE220,0)+IFERROR(AF220,0)+IFERROR(AG220,0),0)</f>
        <v/>
      </c>
      <c r="U220" s="108">
        <f>IFERROR(H220+IFERROR(I220,0)+T220+IFERROR(V220,0),0)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IFERROR(L221+M221+N221+O221+IFERROR(AC221,0)+IFERROR(AD221,0)+IFERROR(AE221,0)+IFERROR(AF221,0)+IFERROR(AG221,0),0)</f>
        <v/>
      </c>
      <c r="U221" s="108">
        <f>IFERROR(H221+IFERROR(I221,0)+T221+IFERROR(V221,0),0)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IFERROR(L222+M222+N222+O222+IFERROR(AC222,0)+IFERROR(AD222,0)+IFERROR(AE222,0)+IFERROR(AF222,0)+IFERROR(AG222,0),0)</f>
        <v/>
      </c>
      <c r="U222" s="108">
        <f>IFERROR(H222+IFERROR(I222,0)+T222+IFERROR(V222,0),0)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IFERROR(L223+M223+N223+O223+IFERROR(AC223,0)+IFERROR(AD223,0)+IFERROR(AE223,0)+IFERROR(AF223,0)+IFERROR(AG223,0),0)</f>
        <v/>
      </c>
      <c r="U223" s="108">
        <f>IFERROR(H223+IFERROR(I223,0)+T223+IFERROR(V223,0),0)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IFERROR(L224+M224+N224+O224+IFERROR(AC224,0)+IFERROR(AD224,0)+IFERROR(AE224,0)+IFERROR(AF224,0)+IFERROR(AG224,0),0)</f>
        <v/>
      </c>
      <c r="U224" s="108">
        <f>IFERROR(H224+IFERROR(I224,0)+T224+IFERROR(V224,0),0)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IFERROR(L225+M225+N225+O225+IFERROR(AC225,0)+IFERROR(AD225,0)+IFERROR(AE225,0)+IFERROR(AF225,0)+IFERROR(AG225,0),0)</f>
        <v/>
      </c>
      <c r="U225" s="108">
        <f>IFERROR(H225+IFERROR(I225,0)+T225+IFERROR(V225,0),0)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IFERROR(L226+M226+N226+O226+IFERROR(AC226,0)+IFERROR(AD226,0)+IFERROR(AE226,0)+IFERROR(AF226,0)+IFERROR(AG226,0),0)</f>
        <v/>
      </c>
      <c r="U226" s="108">
        <f>IFERROR(H226+IFERROR(I226,0)+T226+IFERROR(V226,0),0)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IFERROR(L227+M227+N227+O227+IFERROR(AC227,0)+IFERROR(AD227,0)+IFERROR(AE227,0)+IFERROR(AF227,0)+IFERROR(AG227,0),0)</f>
        <v/>
      </c>
      <c r="U227" s="108">
        <f>IFERROR(H227+IFERROR(I227,0)+T227+IFERROR(V227,0),0)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IFERROR(L228+M228+N228+O228+IFERROR(AC228,0)+IFERROR(AD228,0)+IFERROR(AE228,0)+IFERROR(AF228,0)+IFERROR(AG228,0),0)</f>
        <v/>
      </c>
      <c r="U228" s="108">
        <f>IFERROR(H228+IFERROR(I228,0)+T228+IFERROR(V228,0),0)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IFERROR(L229+M229+N229+O229+IFERROR(AC229,0)+IFERROR(AD229,0)+IFERROR(AE229,0)+IFERROR(AF229,0)+IFERROR(AG229,0),0)</f>
        <v/>
      </c>
      <c r="U229" s="108">
        <f>IFERROR(H229+IFERROR(I229,0)+T229+IFERROR(V229,0),0)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IFERROR(L230+M230+N230+O230+IFERROR(AC230,0)+IFERROR(AD230,0)+IFERROR(AE230,0)+IFERROR(AF230,0)+IFERROR(AG230,0),0)</f>
        <v/>
      </c>
      <c r="U230" s="108">
        <f>IFERROR(H230+IFERROR(I230,0)+T230+IFERROR(V230,0),0)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IFERROR(L231+M231+N231+O231+IFERROR(AC231,0)+IFERROR(AD231,0)+IFERROR(AE231,0)+IFERROR(AF231,0)+IFERROR(AG231,0),0)</f>
        <v/>
      </c>
      <c r="U231" s="108">
        <f>IFERROR(H231+IFERROR(I231,0)+T231+IFERROR(V231,0),0)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IFERROR(L232+M232+N232+O232+IFERROR(AC232,0)+IFERROR(AD232,0)+IFERROR(AE232,0)+IFERROR(AF232,0)+IFERROR(AG232,0),0)</f>
        <v/>
      </c>
      <c r="U232" s="108">
        <f>IFERROR(H232+IFERROR(I232,0)+T232+IFERROR(V232,0),0)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IFERROR(L233+M233+N233+O233+IFERROR(AC233,0)+IFERROR(AD233,0)+IFERROR(AE233,0)+IFERROR(AF233,0)+IFERROR(AG233,0),0)</f>
        <v/>
      </c>
      <c r="U233" s="108">
        <f>IFERROR(H233+IFERROR(I233,0)+T233+IFERROR(V233,0),0)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IFERROR(L234+M234+N234+O234+IFERROR(AC234,0)+IFERROR(AD234,0)+IFERROR(AE234,0)+IFERROR(AF234,0)+IFERROR(AG234,0),0)</f>
        <v/>
      </c>
      <c r="U234" s="108">
        <f>IFERROR(H234+IFERROR(I234,0)+T234+IFERROR(V234,0),0)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IFERROR(L235+M235+N235+O235+IFERROR(AC235,0)+IFERROR(AD235,0)+IFERROR(AE235,0)+IFERROR(AF235,0)+IFERROR(AG235,0),0)</f>
        <v/>
      </c>
      <c r="U235" s="108">
        <f>IFERROR(H235+IFERROR(I235,0)+T235+IFERROR(V235,0),0)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IFERROR(L236+M236+N236+O236+IFERROR(AC236,0)+IFERROR(AD236,0)+IFERROR(AE236,0)+IFERROR(AF236,0)+IFERROR(AG236,0),0)</f>
        <v/>
      </c>
      <c r="U236" s="108">
        <f>IFERROR(H236+IFERROR(I236,0)+T236+IFERROR(V236,0),0)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IFERROR(L237+M237+N237+O237+IFERROR(AC237,0)+IFERROR(AD237,0)+IFERROR(AE237,0)+IFERROR(AF237,0)+IFERROR(AG237,0),0)</f>
        <v/>
      </c>
      <c r="U237" s="108">
        <f>IFERROR(H237+IFERROR(I237,0)+T237+IFERROR(V237,0),0)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IFERROR(L238+M238+N238+O238+IFERROR(AC238,0)+IFERROR(AD238,0)+IFERROR(AE238,0)+IFERROR(AF238,0)+IFERROR(AG238,0),0)</f>
        <v/>
      </c>
      <c r="U238" s="108">
        <f>IFERROR(H238+IFERROR(I238,0)+T238+IFERROR(V238,0),0)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IFERROR(L239+M239+N239+O239+IFERROR(AC239,0)+IFERROR(AD239,0)+IFERROR(AE239,0)+IFERROR(AF239,0)+IFERROR(AG239,0),0)</f>
        <v/>
      </c>
      <c r="U239" s="108">
        <f>IFERROR(H239+IFERROR(I239,0)+T239+IFERROR(V239,0),0)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IFERROR(L240+M240+N240+O240+IFERROR(AC240,0)+IFERROR(AD240,0)+IFERROR(AE240,0)+IFERROR(AF240,0)+IFERROR(AG240,0),0)</f>
        <v/>
      </c>
      <c r="U240" s="108">
        <f>IFERROR(H240+IFERROR(I240,0)+T240+IFERROR(V240,0),0)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IFERROR(L241+M241+N241+O241+IFERROR(AC241,0)+IFERROR(AD241,0)+IFERROR(AE241,0)+IFERROR(AF241,0)+IFERROR(AG241,0),0)</f>
        <v/>
      </c>
      <c r="U241" s="108">
        <f>IFERROR(H241+IFERROR(I241,0)+T241+IFERROR(V241,0),0)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IFERROR(L242+M242+N242+O242+IFERROR(AC242,0)+IFERROR(AD242,0)+IFERROR(AE242,0)+IFERROR(AF242,0)+IFERROR(AG242,0),0)</f>
        <v/>
      </c>
      <c r="U242" s="108">
        <f>IFERROR(H242+IFERROR(I242,0)+T242+IFERROR(V242,0),0)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IFERROR(L243+M243+N243+O243+IFERROR(AC243,0)+IFERROR(AD243,0)+IFERROR(AE243,0)+IFERROR(AF243,0)+IFERROR(AG243,0),0)</f>
        <v/>
      </c>
      <c r="U243" s="108">
        <f>IFERROR(H243+IFERROR(I243,0)+T243+IFERROR(V243,0),0)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IFERROR(L244+M244+N244+O244+IFERROR(AC244,0)+IFERROR(AD244,0)+IFERROR(AE244,0)+IFERROR(AF244,0)+IFERROR(AG244,0),0)</f>
        <v/>
      </c>
      <c r="U244" s="108">
        <f>IFERROR(H244+IFERROR(I244,0)+T244+IFERROR(V244,0),0)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IFERROR(L245+M245+N245+O245+IFERROR(AC245,0)+IFERROR(AD245,0)+IFERROR(AE245,0)+IFERROR(AF245,0)+IFERROR(AG245,0),0)</f>
        <v/>
      </c>
      <c r="U245" s="108">
        <f>IFERROR(H245+IFERROR(I245,0)+T245+IFERROR(V245,0),0)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IFERROR(L246+M246+N246+O246+IFERROR(AC246,0)+IFERROR(AD246,0)+IFERROR(AE246,0)+IFERROR(AF246,0)+IFERROR(AG246,0),0)</f>
        <v/>
      </c>
      <c r="U246" s="108">
        <f>IFERROR(H246+IFERROR(I246,0)+T246+IFERROR(V246,0),0)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IFERROR(L247+M247+N247+O247+IFERROR(AC247,0)+IFERROR(AD247,0)+IFERROR(AE247,0)+IFERROR(AF247,0)+IFERROR(AG247,0),0)</f>
        <v/>
      </c>
      <c r="U247" s="108">
        <f>IFERROR(H247+IFERROR(I247,0)+T247+IFERROR(V247,0),0)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IFERROR(L248+M248+N248+O248+IFERROR(AC248,0)+IFERROR(AD248,0)+IFERROR(AE248,0)+IFERROR(AF248,0)+IFERROR(AG248,0),0)</f>
        <v/>
      </c>
      <c r="U248" s="108">
        <f>IFERROR(H248+IFERROR(I248,0)+T248+IFERROR(V248,0),0)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IFERROR(L249+M249+N249+O249+IFERROR(AC249,0)+IFERROR(AD249,0)+IFERROR(AE249,0)+IFERROR(AF249,0)+IFERROR(AG249,0),0)</f>
        <v/>
      </c>
      <c r="U249" s="108">
        <f>IFERROR(H249+IFERROR(I249,0)+T249+IFERROR(V249,0),0)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IFERROR(L250+M250+N250+O250+IFERROR(AC250,0)+IFERROR(AD250,0)+IFERROR(AE250,0)+IFERROR(AF250,0)+IFERROR(AG250,0),0)</f>
        <v/>
      </c>
      <c r="U250" s="108">
        <f>IFERROR(H250+IFERROR(I250,0)+T250+IFERROR(V250,0),0)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IFERROR(L251+M251+N251+O251+IFERROR(AC251,0)+IFERROR(AD251,0)+IFERROR(AE251,0)+IFERROR(AF251,0)+IFERROR(AG251,0),0)</f>
        <v/>
      </c>
      <c r="U251" s="108">
        <f>IFERROR(H251+IFERROR(I251,0)+T251+IFERROR(V251,0),0)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IFERROR(L252+M252+N252+O252+IFERROR(AC252,0)+IFERROR(AD252,0)+IFERROR(AE252,0)+IFERROR(AF252,0)+IFERROR(AG252,0),0)</f>
        <v/>
      </c>
      <c r="U252" s="108">
        <f>IFERROR(H252+IFERROR(I252,0)+T252+IFERROR(V252,0),0)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IFERROR(L253+M253+N253+O253+IFERROR(AC253,0)+IFERROR(AD253,0)+IFERROR(AE253,0)+IFERROR(AF253,0)+IFERROR(AG253,0),0)</f>
        <v/>
      </c>
      <c r="U253" s="108">
        <f>IFERROR(H253+IFERROR(I253,0)+T253+IFERROR(V253,0),0)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IFERROR(L254+M254+N254+O254+IFERROR(AC254,0)+IFERROR(AD254,0)+IFERROR(AE254,0)+IFERROR(AF254,0)+IFERROR(AG254,0),0)</f>
        <v/>
      </c>
      <c r="U254" s="108">
        <f>IFERROR(H254+IFERROR(I254,0)+T254+IFERROR(V254,0),0)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IFERROR(L255+M255+N255+O255+IFERROR(AC255,0)+IFERROR(AD255,0)+IFERROR(AE255,0)+IFERROR(AF255,0)+IFERROR(AG255,0),0)</f>
        <v/>
      </c>
      <c r="U255" s="108">
        <f>IFERROR(H255+IFERROR(I255,0)+T255+IFERROR(V255,0),0)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IFERROR(L256+M256+N256+O256+IFERROR(AC256,0)+IFERROR(AD256,0)+IFERROR(AE256,0)+IFERROR(AF256,0)+IFERROR(AG256,0),0)</f>
        <v/>
      </c>
      <c r="U256" s="108">
        <f>IFERROR(H256+IFERROR(I256,0)+T256+IFERROR(V256,0),0)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IFERROR(L257+M257+N257+O257+IFERROR(AC257,0)+IFERROR(AD257,0)+IFERROR(AE257,0)+IFERROR(AF257,0)+IFERROR(AG257,0),0)</f>
        <v/>
      </c>
      <c r="U257" s="108">
        <f>IFERROR(H257+IFERROR(I257,0)+T257+IFERROR(V257,0),0)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IFERROR(L258+M258+N258+O258+IFERROR(AC258,0)+IFERROR(AD258,0)+IFERROR(AE258,0)+IFERROR(AF258,0)+IFERROR(AG258,0),0)</f>
        <v/>
      </c>
      <c r="U258" s="108">
        <f>IFERROR(H258+IFERROR(I258,0)+T258+IFERROR(V258,0),0)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IFERROR(L259+M259+N259+O259+IFERROR(AC259,0)+IFERROR(AD259,0)+IFERROR(AE259,0)+IFERROR(AF259,0)+IFERROR(AG259,0),0)</f>
        <v/>
      </c>
      <c r="U259" s="108">
        <f>IFERROR(H259+IFERROR(I259,0)+T259+IFERROR(V259,0),0)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IFERROR(L260+M260+N260+O260+IFERROR(AC260,0)+IFERROR(AD260,0)+IFERROR(AE260,0)+IFERROR(AF260,0)+IFERROR(AG260,0),0)</f>
        <v/>
      </c>
      <c r="U260" s="108">
        <f>IFERROR(H260+IFERROR(I260,0)+T260+IFERROR(V260,0),0)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IFERROR(L261+M261+N261+O261+IFERROR(AC261,0)+IFERROR(AD261,0)+IFERROR(AE261,0)+IFERROR(AF261,0)+IFERROR(AG261,0),0)</f>
        <v/>
      </c>
      <c r="U261" s="108">
        <f>IFERROR(H261+IFERROR(I261,0)+T261+IFERROR(V261,0),0)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IFERROR(L262+M262+N262+O262+IFERROR(AC262,0)+IFERROR(AD262,0)+IFERROR(AE262,0)+IFERROR(AF262,0)+IFERROR(AG262,0),0)</f>
        <v/>
      </c>
      <c r="U262" s="108">
        <f>IFERROR(H262+IFERROR(I262,0)+T262+IFERROR(V262,0),0)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IFERROR(L263+M263+N263+O263+IFERROR(AC263,0)+IFERROR(AD263,0)+IFERROR(AE263,0)+IFERROR(AF263,0)+IFERROR(AG263,0),0)</f>
        <v/>
      </c>
      <c r="U263" s="108">
        <f>IFERROR(H263+IFERROR(I263,0)+T263+IFERROR(V263,0),0)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IFERROR(L264+M264+N264+O264+IFERROR(AC264,0)+IFERROR(AD264,0)+IFERROR(AE264,0)+IFERROR(AF264,0)+IFERROR(AG264,0),0)</f>
        <v/>
      </c>
      <c r="U264" s="108">
        <f>IFERROR(H264+IFERROR(I264,0)+T264+IFERROR(V264,0),0)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IFERROR(L265+M265+N265+O265+IFERROR(AC265,0)+IFERROR(AD265,0)+IFERROR(AE265,0)+IFERROR(AF265,0)+IFERROR(AG265,0),0)</f>
        <v/>
      </c>
      <c r="U265" s="108">
        <f>IFERROR(H265+IFERROR(I265,0)+T265+IFERROR(V265,0),0)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IFERROR(L266+M266+N266+O266+IFERROR(AC266,0)+IFERROR(AD266,0)+IFERROR(AE266,0)+IFERROR(AF266,0)+IFERROR(AG266,0),0)</f>
        <v/>
      </c>
      <c r="U266" s="108">
        <f>IFERROR(H266+IFERROR(I266,0)+T266+IFERROR(V266,0),0)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IFERROR(L267+M267+N267+O267+IFERROR(AC267,0)+IFERROR(AD267,0)+IFERROR(AE267,0)+IFERROR(AF267,0)+IFERROR(AG267,0),0)</f>
        <v/>
      </c>
      <c r="U267" s="108">
        <f>IFERROR(H267+IFERROR(I267,0)+T267+IFERROR(V267,0),0)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IFERROR(L268+M268+N268+O268+IFERROR(AC268,0)+IFERROR(AD268,0)+IFERROR(AE268,0)+IFERROR(AF268,0)+IFERROR(AG268,0),0)</f>
        <v/>
      </c>
      <c r="U268" s="108">
        <f>IFERROR(H268+IFERROR(I268,0)+T268+IFERROR(V268,0),0)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IFERROR(L269+M269+N269+O269+IFERROR(AC269,0)+IFERROR(AD269,0)+IFERROR(AE269,0)+IFERROR(AF269,0)+IFERROR(AG269,0),0)</f>
        <v/>
      </c>
      <c r="U269" s="108">
        <f>IFERROR(H269+IFERROR(I269,0)+T269+IFERROR(V269,0),0)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IFERROR(L270+M270+N270+O270+IFERROR(AC270,0)+IFERROR(AD270,0)+IFERROR(AE270,0)+IFERROR(AF270,0)+IFERROR(AG270,0),0)</f>
        <v/>
      </c>
      <c r="U270" s="108">
        <f>IFERROR(H270+IFERROR(I270,0)+T270+IFERROR(V270,0),0)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IFERROR(L271+M271+N271+O271+IFERROR(AC271,0)+IFERROR(AD271,0)+IFERROR(AE271,0)+IFERROR(AF271,0)+IFERROR(AG271,0),0)</f>
        <v/>
      </c>
      <c r="U271" s="108">
        <f>IFERROR(H271+IFERROR(I271,0)+T271+IFERROR(V271,0),0)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IFERROR(L272+M272+N272+O272+IFERROR(AC272,0)+IFERROR(AD272,0)+IFERROR(AE272,0)+IFERROR(AF272,0)+IFERROR(AG272,0),0)</f>
        <v/>
      </c>
      <c r="U272" s="108">
        <f>IFERROR(H272+IFERROR(I272,0)+T272+IFERROR(V272,0),0)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IFERROR(L273+M273+N273+O273+IFERROR(AC273,0)+IFERROR(AD273,0)+IFERROR(AE273,0)+IFERROR(AF273,0)+IFERROR(AG273,0),0)</f>
        <v/>
      </c>
      <c r="U273" s="108">
        <f>IFERROR(H273+IFERROR(I273,0)+T273+IFERROR(V273,0),0)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IFERROR(L274+M274+N274+O274+IFERROR(AC274,0)+IFERROR(AD274,0)+IFERROR(AE274,0)+IFERROR(AF274,0)+IFERROR(AG274,0),0)</f>
        <v/>
      </c>
      <c r="U274" s="108">
        <f>IFERROR(H274+IFERROR(I274,0)+T274+IFERROR(V274,0),0)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IFERROR(L275+M275+N275+O275+IFERROR(AC275,0)+IFERROR(AD275,0)+IFERROR(AE275,0)+IFERROR(AF275,0)+IFERROR(AG275,0),0)</f>
        <v/>
      </c>
      <c r="U275" s="108">
        <f>IFERROR(H275+IFERROR(I275,0)+T275+IFERROR(V275,0),0)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IFERROR(L276+M276+N276+O276+IFERROR(AC276,0)+IFERROR(AD276,0)+IFERROR(AE276,0)+IFERROR(AF276,0)+IFERROR(AG276,0),0)</f>
        <v/>
      </c>
      <c r="U276" s="108">
        <f>IFERROR(H276+IFERROR(I276,0)+T276+IFERROR(V276,0),0)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IFERROR(L277+M277+N277+O277+IFERROR(AC277,0)+IFERROR(AD277,0)+IFERROR(AE277,0)+IFERROR(AF277,0)+IFERROR(AG277,0),0)</f>
        <v/>
      </c>
      <c r="U277" s="108">
        <f>IFERROR(H277+IFERROR(I277,0)+T277+IFERROR(V277,0),0)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IFERROR(L278+M278+N278+O278+IFERROR(AC278,0)+IFERROR(AD278,0)+IFERROR(AE278,0)+IFERROR(AF278,0)+IFERROR(AG278,0),0)</f>
        <v/>
      </c>
      <c r="U278" s="108">
        <f>IFERROR(H278+IFERROR(I278,0)+T278+IFERROR(V278,0),0)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IFERROR(L279+M279+N279+O279+IFERROR(AC279,0)+IFERROR(AD279,0)+IFERROR(AE279,0)+IFERROR(AF279,0)+IFERROR(AG279,0),0)</f>
        <v/>
      </c>
      <c r="U279" s="108">
        <f>IFERROR(H279+IFERROR(I279,0)+T279+IFERROR(V279,0),0)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IFERROR(L280+M280+N280+O280+IFERROR(AC280,0)+IFERROR(AD280,0)+IFERROR(AE280,0)+IFERROR(AF280,0)+IFERROR(AG280,0),0)</f>
        <v/>
      </c>
      <c r="U280" s="108">
        <f>IFERROR(H280+IFERROR(I280,0)+T280+IFERROR(V280,0),0)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IFERROR(L281+M281+N281+O281+IFERROR(AC281,0)+IFERROR(AD281,0)+IFERROR(AE281,0)+IFERROR(AF281,0)+IFERROR(AG281,0),0)</f>
        <v/>
      </c>
      <c r="U281" s="108">
        <f>IFERROR(H281+IFERROR(I281,0)+T281+IFERROR(V281,0),0)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IFERROR(L282+M282+N282+O282+IFERROR(AC282,0)+IFERROR(AD282,0)+IFERROR(AE282,0)+IFERROR(AF282,0)+IFERROR(AG282,0),0)</f>
        <v/>
      </c>
      <c r="U282" s="108">
        <f>IFERROR(H282+IFERROR(I282,0)+T282+IFERROR(V282,0),0)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IFERROR(L283+M283+N283+O283+IFERROR(AC283,0)+IFERROR(AD283,0)+IFERROR(AE283,0)+IFERROR(AF283,0)+IFERROR(AG283,0),0)</f>
        <v/>
      </c>
      <c r="U283" s="108">
        <f>IFERROR(H283+IFERROR(I283,0)+T283+IFERROR(V283,0),0)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IFERROR(L284+M284+N284+O284+IFERROR(AC284,0)+IFERROR(AD284,0)+IFERROR(AE284,0)+IFERROR(AF284,0)+IFERROR(AG284,0),0)</f>
        <v/>
      </c>
      <c r="U284" s="108">
        <f>IFERROR(H284+IFERROR(I284,0)+T284+IFERROR(V284,0),0)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IFERROR(L285+M285+N285+O285+IFERROR(AC285,0)+IFERROR(AD285,0)+IFERROR(AE285,0)+IFERROR(AF285,0)+IFERROR(AG285,0),0)</f>
        <v/>
      </c>
      <c r="U285" s="108">
        <f>IFERROR(H285+IFERROR(I285,0)+T285+IFERROR(V285,0),0)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IFERROR(L286+M286+N286+O286+IFERROR(AC286,0)+IFERROR(AD286,0)+IFERROR(AE286,0)+IFERROR(AF286,0)+IFERROR(AG286,0),0)</f>
        <v/>
      </c>
      <c r="U286" s="108">
        <f>IFERROR(H286+IFERROR(I286,0)+T286+IFERROR(V286,0),0)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IFERROR(L287+M287+N287+O287+IFERROR(AC287,0)+IFERROR(AD287,0)+IFERROR(AE287,0)+IFERROR(AF287,0)+IFERROR(AG287,0),0)</f>
        <v/>
      </c>
      <c r="U287" s="108">
        <f>IFERROR(H287+IFERROR(I287,0)+T287+IFERROR(V287,0),0)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IFERROR(L288+M288+N288+O288+IFERROR(AC288,0)+IFERROR(AD288,0)+IFERROR(AE288,0)+IFERROR(AF288,0)+IFERROR(AG288,0),0)</f>
        <v/>
      </c>
      <c r="U288" s="108">
        <f>IFERROR(H288+IFERROR(I288,0)+T288+IFERROR(V288,0),0)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IFERROR(L289+M289+N289+O289+IFERROR(AC289,0)+IFERROR(AD289,0)+IFERROR(AE289,0)+IFERROR(AF289,0)+IFERROR(AG289,0),0)</f>
        <v/>
      </c>
      <c r="U289" s="108">
        <f>IFERROR(H289+IFERROR(I289,0)+T289+IFERROR(V289,0),0)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IFERROR(L290+M290+N290+O290+IFERROR(AC290,0)+IFERROR(AD290,0)+IFERROR(AE290,0)+IFERROR(AF290,0)+IFERROR(AG290,0),0)</f>
        <v/>
      </c>
      <c r="U290" s="108">
        <f>IFERROR(H290+IFERROR(I290,0)+T290+IFERROR(V290,0),0)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IFERROR(L291+M291+N291+O291+IFERROR(AC291,0)+IFERROR(AD291,0)+IFERROR(AE291,0)+IFERROR(AF291,0)+IFERROR(AG291,0),0)</f>
        <v/>
      </c>
      <c r="U291" s="108">
        <f>IFERROR(H291+IFERROR(I291,0)+T291+IFERROR(V291,0),0)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IFERROR(L292+M292+N292+O292+IFERROR(AC292,0)+IFERROR(AD292,0)+IFERROR(AE292,0)+IFERROR(AF292,0)+IFERROR(AG292,0),0)</f>
        <v/>
      </c>
      <c r="U292" s="108">
        <f>IFERROR(H292+IFERROR(I292,0)+T292+IFERROR(V292,0),0)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IFERROR(L293+M293+N293+O293+IFERROR(AC293,0)+IFERROR(AD293,0)+IFERROR(AE293,0)+IFERROR(AF293,0)+IFERROR(AG293,0),0)</f>
        <v/>
      </c>
      <c r="U293" s="108">
        <f>IFERROR(H293+IFERROR(I293,0)+T293+IFERROR(V293,0),0)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IFERROR(L294+M294+N294+O294+IFERROR(AC294,0)+IFERROR(AD294,0)+IFERROR(AE294,0)+IFERROR(AF294,0)+IFERROR(AG294,0),0)</f>
        <v/>
      </c>
      <c r="U294" s="108">
        <f>IFERROR(H294+IFERROR(I294,0)+T294+IFERROR(V294,0),0)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IFERROR(L295+M295+N295+O295+IFERROR(AC295,0)+IFERROR(AD295,0)+IFERROR(AE295,0)+IFERROR(AF295,0)+IFERROR(AG295,0),0)</f>
        <v/>
      </c>
      <c r="U295" s="108">
        <f>IFERROR(H295+IFERROR(I295,0)+T295+IFERROR(V295,0),0)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IFERROR(L296+M296+N296+O296+IFERROR(AC296,0)+IFERROR(AD296,0)+IFERROR(AE296,0)+IFERROR(AF296,0)+IFERROR(AG296,0),0)</f>
        <v/>
      </c>
      <c r="U296" s="108">
        <f>IFERROR(H296+IFERROR(I296,0)+T296+IFERROR(V296,0),0)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IFERROR(L297+M297+N297+O297+IFERROR(AC297,0)+IFERROR(AD297,0)+IFERROR(AE297,0)+IFERROR(AF297,0)+IFERROR(AG297,0),0)</f>
        <v/>
      </c>
      <c r="U297" s="108">
        <f>IFERROR(H297+IFERROR(I297,0)+T297+IFERROR(V297,0),0)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IFERROR(L298+M298+N298+O298+IFERROR(AC298,0)+IFERROR(AD298,0)+IFERROR(AE298,0)+IFERROR(AF298,0)+IFERROR(AG298,0),0)</f>
        <v/>
      </c>
      <c r="U298" s="108">
        <f>IFERROR(H298+IFERROR(I298,0)+T298+IFERROR(V298,0),0)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IFERROR(L299+M299+N299+O299+IFERROR(AC299,0)+IFERROR(AD299,0)+IFERROR(AE299,0)+IFERROR(AF299,0)+IFERROR(AG299,0),0)</f>
        <v/>
      </c>
      <c r="U299" s="108">
        <f>IFERROR(H299+IFERROR(I299,0)+T299+IFERROR(V299,0),0)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IFERROR(L300+M300+N300+O300+IFERROR(AC300,0)+IFERROR(AD300,0)+IFERROR(AE300,0)+IFERROR(AF300,0)+IFERROR(AG300,0),0)</f>
        <v/>
      </c>
      <c r="U300" s="108">
        <f>IFERROR(H300+IFERROR(I300,0)+T300+IFERROR(V300,0),0)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IFERROR(L301+M301+N301+O301+IFERROR(AC301,0)+IFERROR(AD301,0)+IFERROR(AE301,0)+IFERROR(AF301,0)+IFERROR(AG301,0),0)</f>
        <v/>
      </c>
      <c r="U301" s="108">
        <f>IFERROR(H301+IFERROR(I301,0)+T301+IFERROR(V301,0),0)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IFERROR(L302+M302+N302+O302+IFERROR(AC302,0)+IFERROR(AD302,0)+IFERROR(AE302,0)+IFERROR(AF302,0)+IFERROR(AG302,0),0)</f>
        <v/>
      </c>
      <c r="U302" s="108">
        <f>IFERROR(H302+IFERROR(I302,0)+T302+IFERROR(V302,0),0)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IFERROR(L303+M303+N303+O303+IFERROR(AC303,0)+IFERROR(AD303,0)+IFERROR(AE303,0)+IFERROR(AF303,0)+IFERROR(AG303,0),0)</f>
        <v/>
      </c>
      <c r="U303" s="108">
        <f>IFERROR(H303+IFERROR(I303,0)+T303+IFERROR(V303,0),0)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IFERROR(L304+M304+N304+O304+IFERROR(AC304,0)+IFERROR(AD304,0)+IFERROR(AE304,0)+IFERROR(AF304,0)+IFERROR(AG304,0),0)</f>
        <v/>
      </c>
      <c r="U304" s="108">
        <f>IFERROR(H304+IFERROR(I304,0)+T304+IFERROR(V304,0),0)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IFERROR(L305+M305+N305+O305+IFERROR(AC305,0)+IFERROR(AD305,0)+IFERROR(AE305,0)+IFERROR(AF305,0)+IFERROR(AG305,0),0)</f>
        <v/>
      </c>
      <c r="U305" s="108">
        <f>IFERROR(H305+IFERROR(I305,0)+T305+IFERROR(V305,0),0)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IFERROR(L306+M306+N306+O306+IFERROR(AC306,0)+IFERROR(AD306,0)+IFERROR(AE306,0)+IFERROR(AF306,0)+IFERROR(AG306,0),0)</f>
        <v/>
      </c>
      <c r="U306" s="108">
        <f>IFERROR(H306+IFERROR(I306,0)+T306+IFERROR(V306,0),0)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IFERROR(L307+M307+N307+O307+IFERROR(AC307,0)+IFERROR(AD307,0)+IFERROR(AE307,0)+IFERROR(AF307,0)+IFERROR(AG307,0),0)</f>
        <v/>
      </c>
      <c r="U307" s="108">
        <f>IFERROR(H307+IFERROR(I307,0)+T307+IFERROR(V307,0),0)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IFERROR(L308+M308+N308+O308+IFERROR(AC308,0)+IFERROR(AD308,0)+IFERROR(AE308,0)+IFERROR(AF308,0)+IFERROR(AG308,0),0)</f>
        <v/>
      </c>
      <c r="U308" s="108">
        <f>IFERROR(H308+IFERROR(I308,0)+T308+IFERROR(V308,0),0)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IFERROR(L309+M309+N309+O309+IFERROR(AC309,0)+IFERROR(AD309,0)+IFERROR(AE309,0)+IFERROR(AF309,0)+IFERROR(AG309,0),0)</f>
        <v/>
      </c>
      <c r="U309" s="108">
        <f>IFERROR(H309+IFERROR(I309,0)+T309+IFERROR(V309,0),0)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IFERROR(L310+M310+N310+O310+IFERROR(AC310,0)+IFERROR(AD310,0)+IFERROR(AE310,0)+IFERROR(AF310,0)+IFERROR(AG310,0),0)</f>
        <v/>
      </c>
      <c r="U310" s="108">
        <f>IFERROR(H310+IFERROR(I310,0)+T310+IFERROR(V310,0),0)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IFERROR(L311+M311+N311+O311+IFERROR(AC311,0)+IFERROR(AD311,0)+IFERROR(AE311,0)+IFERROR(AF311,0)+IFERROR(AG311,0),0)</f>
        <v/>
      </c>
      <c r="U311" s="108">
        <f>IFERROR(H311+IFERROR(I311,0)+T311+IFERROR(V311,0),0)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IFERROR(L312+M312+N312+O312+IFERROR(AC312,0)+IFERROR(AD312,0)+IFERROR(AE312,0)+IFERROR(AF312,0)+IFERROR(AG312,0),0)</f>
        <v/>
      </c>
      <c r="U312" s="108">
        <f>IFERROR(H312+IFERROR(I312,0)+T312+IFERROR(V312,0),0)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IFERROR(L313+M313+N313+O313+IFERROR(AC313,0)+IFERROR(AD313,0)+IFERROR(AE313,0)+IFERROR(AF313,0)+IFERROR(AG313,0),0)</f>
        <v/>
      </c>
      <c r="U313" s="108">
        <f>IFERROR(H313+IFERROR(I313,0)+T313+IFERROR(V313,0),0)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IFERROR(L314+M314+N314+O314+IFERROR(AC314,0)+IFERROR(AD314,0)+IFERROR(AE314,0)+IFERROR(AF314,0)+IFERROR(AG314,0),0)</f>
        <v/>
      </c>
      <c r="U314" s="108">
        <f>IFERROR(H314+IFERROR(I314,0)+T314+IFERROR(V314,0),0)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IFERROR(L315+M315+N315+O315+IFERROR(AC315,0)+IFERROR(AD315,0)+IFERROR(AE315,0)+IFERROR(AF315,0)+IFERROR(AG315,0),0)</f>
        <v/>
      </c>
      <c r="U315" s="108">
        <f>IFERROR(H315+IFERROR(I315,0)+T315+IFERROR(V315,0),0)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IFERROR(L316+M316+N316+O316+IFERROR(AC316,0)+IFERROR(AD316,0)+IFERROR(AE316,0)+IFERROR(AF316,0)+IFERROR(AG316,0),0)</f>
        <v/>
      </c>
      <c r="U316" s="108">
        <f>IFERROR(H316+IFERROR(I316,0)+T316+IFERROR(V316,0),0)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IFERROR(L317+M317+N317+O317+IFERROR(AC317,0)+IFERROR(AD317,0)+IFERROR(AE317,0)+IFERROR(AF317,0)+IFERROR(AG317,0),0)</f>
        <v/>
      </c>
      <c r="U317" s="108">
        <f>IFERROR(H317+IFERROR(I317,0)+T317+IFERROR(V317,0),0)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IFERROR(L318+M318+N318+O318+IFERROR(AC318,0)+IFERROR(AD318,0)+IFERROR(AE318,0)+IFERROR(AF318,0)+IFERROR(AG318,0),0)</f>
        <v/>
      </c>
      <c r="U318" s="108">
        <f>IFERROR(H318+IFERROR(I318,0)+T318+IFERROR(V318,0),0)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IFERROR(L319+M319+N319+O319+IFERROR(AC319,0)+IFERROR(AD319,0)+IFERROR(AE319,0)+IFERROR(AF319,0)+IFERROR(AG319,0),0)</f>
        <v/>
      </c>
      <c r="U319" s="108">
        <f>IFERROR(H319+IFERROR(I319,0)+T319+IFERROR(V319,0),0)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IFERROR(L320+M320+N320+O320+IFERROR(AC320,0)+IFERROR(AD320,0)+IFERROR(AE320,0)+IFERROR(AF320,0)+IFERROR(AG320,0),0)</f>
        <v/>
      </c>
      <c r="U320" s="108">
        <f>IFERROR(H320+IFERROR(I320,0)+T320+IFERROR(V320,0),0)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IFERROR(L321+M321+N321+O321+IFERROR(AC321,0)+IFERROR(AD321,0)+IFERROR(AE321,0)+IFERROR(AF321,0)+IFERROR(AG321,0),0)</f>
        <v/>
      </c>
      <c r="U321" s="108">
        <f>IFERROR(H321+IFERROR(I321,0)+T321+IFERROR(V321,0),0)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IFERROR(L322+M322+N322+O322+IFERROR(AC322,0)+IFERROR(AD322,0)+IFERROR(AE322,0)+IFERROR(AF322,0)+IFERROR(AG322,0),0)</f>
        <v/>
      </c>
      <c r="U322" s="108">
        <f>IFERROR(H322+IFERROR(I322,0)+T322+IFERROR(V322,0),0)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IFERROR(L323+M323+N323+O323+IFERROR(AC323,0)+IFERROR(AD323,0)+IFERROR(AE323,0)+IFERROR(AF323,0)+IFERROR(AG323,0),0)</f>
        <v/>
      </c>
      <c r="U323" s="108">
        <f>IFERROR(H323+IFERROR(I323,0)+T323+IFERROR(V323,0),0)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IFERROR(L324+M324+N324+O324+IFERROR(AC324,0)+IFERROR(AD324,0)+IFERROR(AE324,0)+IFERROR(AF324,0)+IFERROR(AG324,0),0)</f>
        <v/>
      </c>
      <c r="U324" s="108">
        <f>IFERROR(H324+IFERROR(I324,0)+T324+IFERROR(V324,0),0)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IFERROR(L325+M325+N325+O325+IFERROR(AC325,0)+IFERROR(AD325,0)+IFERROR(AE325,0)+IFERROR(AF325,0)+IFERROR(AG325,0),0)</f>
        <v/>
      </c>
      <c r="U325" s="108">
        <f>IFERROR(H325+IFERROR(I325,0)+T325+IFERROR(V325,0),0)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IFERROR(L326+M326+N326+O326+IFERROR(AC326,0)+IFERROR(AD326,0)+IFERROR(AE326,0)+IFERROR(AF326,0)+IFERROR(AG326,0),0)</f>
        <v/>
      </c>
      <c r="U326" s="108">
        <f>IFERROR(H326+IFERROR(I326,0)+T326+IFERROR(V326,0),0)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IFERROR(L327+M327+N327+O327+IFERROR(AC327,0)+IFERROR(AD327,0)+IFERROR(AE327,0)+IFERROR(AF327,0)+IFERROR(AG327,0),0)</f>
        <v/>
      </c>
      <c r="U327" s="108">
        <f>IFERROR(H327+IFERROR(I327,0)+T327+IFERROR(V327,0),0)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IFERROR(L328+M328+N328+O328+IFERROR(AC328,0)+IFERROR(AD328,0)+IFERROR(AE328,0)+IFERROR(AF328,0)+IFERROR(AG328,0),0)</f>
        <v/>
      </c>
      <c r="U328" s="108">
        <f>IFERROR(H328+IFERROR(I328,0)+T328+IFERROR(V328,0),0)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IFERROR(L329+M329+N329+O329+IFERROR(AC329,0)+IFERROR(AD329,0)+IFERROR(AE329,0)+IFERROR(AF329,0)+IFERROR(AG329,0),0)</f>
        <v/>
      </c>
      <c r="U329" s="108">
        <f>IFERROR(H329+IFERROR(I329,0)+T329+IFERROR(V329,0),0)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IFERROR(L330+M330+N330+O330+IFERROR(AC330,0)+IFERROR(AD330,0)+IFERROR(AE330,0)+IFERROR(AF330,0)+IFERROR(AG330,0),0)</f>
        <v/>
      </c>
      <c r="U330" s="108">
        <f>IFERROR(H330+IFERROR(I330,0)+T330+IFERROR(V330,0),0)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IFERROR(L331+M331+N331+O331+IFERROR(AC331,0)+IFERROR(AD331,0)+IFERROR(AE331,0)+IFERROR(AF331,0)+IFERROR(AG331,0),0)</f>
        <v/>
      </c>
      <c r="U331" s="108">
        <f>IFERROR(H331+IFERROR(I331,0)+T331+IFERROR(V331,0),0)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IFERROR(L332+M332+N332+O332+IFERROR(AC332,0)+IFERROR(AD332,0)+IFERROR(AE332,0)+IFERROR(AF332,0)+IFERROR(AG332,0),0)</f>
        <v/>
      </c>
      <c r="U332" s="108">
        <f>IFERROR(H332+IFERROR(I332,0)+T332+IFERROR(V332,0),0)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IFERROR(L333+M333+N333+O333+IFERROR(AC333,0)+IFERROR(AD333,0)+IFERROR(AE333,0)+IFERROR(AF333,0)+IFERROR(AG333,0),0)</f>
        <v/>
      </c>
      <c r="U333" s="108">
        <f>IFERROR(H333+IFERROR(I333,0)+T333+IFERROR(V333,0),0)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IFERROR(L334+M334+N334+O334+IFERROR(AC334,0)+IFERROR(AD334,0)+IFERROR(AE334,0)+IFERROR(AF334,0)+IFERROR(AG334,0),0)</f>
        <v/>
      </c>
      <c r="U334" s="108">
        <f>IFERROR(H334+IFERROR(I334,0)+T334+IFERROR(V334,0),0)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IFERROR(L335+M335+N335+O335+IFERROR(AC335,0)+IFERROR(AD335,0)+IFERROR(AE335,0)+IFERROR(AF335,0)+IFERROR(AG335,0),0)</f>
        <v/>
      </c>
      <c r="U335" s="108">
        <f>IFERROR(H335+IFERROR(I335,0)+T335+IFERROR(V335,0),0)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IFERROR(L336+M336+N336+O336+IFERROR(AC336,0)+IFERROR(AD336,0)+IFERROR(AE336,0)+IFERROR(AF336,0)+IFERROR(AG336,0),0)</f>
        <v/>
      </c>
      <c r="U336" s="108">
        <f>IFERROR(H336+IFERROR(I336,0)+T336+IFERROR(V336,0),0)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IFERROR(L337+M337+N337+O337+IFERROR(AC337,0)+IFERROR(AD337,0)+IFERROR(AE337,0)+IFERROR(AF337,0)+IFERROR(AG337,0),0)</f>
        <v/>
      </c>
      <c r="U337" s="108">
        <f>IFERROR(H337+IFERROR(I337,0)+T337+IFERROR(V337,0),0)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IFERROR(L338+M338+N338+O338+IFERROR(AC338,0)+IFERROR(AD338,0)+IFERROR(AE338,0)+IFERROR(AF338,0)+IFERROR(AG338,0),0)</f>
        <v/>
      </c>
      <c r="U338" s="108">
        <f>IFERROR(H338+IFERROR(I338,0)+T338+IFERROR(V338,0),0)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IFERROR(L339+M339+N339+O339+IFERROR(AC339,0)+IFERROR(AD339,0)+IFERROR(AE339,0)+IFERROR(AF339,0)+IFERROR(AG339,0),0)</f>
        <v/>
      </c>
      <c r="U339" s="108">
        <f>IFERROR(H339+IFERROR(I339,0)+T339+IFERROR(V339,0),0)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IFERROR(L340+M340+N340+O340+IFERROR(AC340,0)+IFERROR(AD340,0)+IFERROR(AE340,0)+IFERROR(AF340,0)+IFERROR(AG340,0),0)</f>
        <v/>
      </c>
      <c r="U340" s="108">
        <f>IFERROR(H340+IFERROR(I340,0)+T340+IFERROR(V340,0),0)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IFERROR(L341+M341+N341+O341+IFERROR(AC341,0)+IFERROR(AD341,0)+IFERROR(AE341,0)+IFERROR(AF341,0)+IFERROR(AG341,0),0)</f>
        <v/>
      </c>
      <c r="U341" s="108">
        <f>IFERROR(H341+IFERROR(I341,0)+T341+IFERROR(V341,0),0)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IFERROR(L342+M342+N342+O342+IFERROR(AC342,0)+IFERROR(AD342,0)+IFERROR(AE342,0)+IFERROR(AF342,0)+IFERROR(AG342,0),0)</f>
        <v/>
      </c>
      <c r="U342" s="108">
        <f>IFERROR(H342+IFERROR(I342,0)+T342+IFERROR(V342,0),0)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IFERROR(L343+M343+N343+O343+IFERROR(AC343,0)+IFERROR(AD343,0)+IFERROR(AE343,0)+IFERROR(AF343,0)+IFERROR(AG343,0),0)</f>
        <v/>
      </c>
      <c r="U343" s="108">
        <f>IFERROR(H343+IFERROR(I343,0)+T343+IFERROR(V343,0),0)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IFERROR(L344+M344+N344+O344+IFERROR(AC344,0)+IFERROR(AD344,0)+IFERROR(AE344,0)+IFERROR(AF344,0)+IFERROR(AG344,0),0)</f>
        <v/>
      </c>
      <c r="U344" s="108">
        <f>IFERROR(H344+IFERROR(I344,0)+T344+IFERROR(V344,0),0)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IFERROR(L345+M345+N345+O345+IFERROR(AC345,0)+IFERROR(AD345,0)+IFERROR(AE345,0)+IFERROR(AF345,0)+IFERROR(AG345,0),0)</f>
        <v/>
      </c>
      <c r="U345" s="108">
        <f>IFERROR(H345+IFERROR(I345,0)+T345+IFERROR(V345,0),0)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IFERROR(L346+M346+N346+O346+IFERROR(AC346,0)+IFERROR(AD346,0)+IFERROR(AE346,0)+IFERROR(AF346,0)+IFERROR(AG346,0),0)</f>
        <v/>
      </c>
      <c r="U346" s="108">
        <f>IFERROR(H346+IFERROR(I346,0)+T346+IFERROR(V346,0),0)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IFERROR(L347+M347+N347+O347+IFERROR(AC347,0)+IFERROR(AD347,0)+IFERROR(AE347,0)+IFERROR(AF347,0)+IFERROR(AG347,0),0)</f>
        <v/>
      </c>
      <c r="U347" s="108">
        <f>IFERROR(H347+IFERROR(I347,0)+T347+IFERROR(V347,0),0)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IFERROR(L348+M348+N348+O348+IFERROR(AC348,0)+IFERROR(AD348,0)+IFERROR(AE348,0)+IFERROR(AF348,0)+IFERROR(AG348,0),0)</f>
        <v/>
      </c>
      <c r="U348" s="108">
        <f>IFERROR(H348+IFERROR(I348,0)+T348+IFERROR(V348,0),0)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IFERROR(L349+M349+N349+O349+IFERROR(AC349,0)+IFERROR(AD349,0)+IFERROR(AE349,0)+IFERROR(AF349,0)+IFERROR(AG349,0),0)</f>
        <v/>
      </c>
      <c r="U349" s="108">
        <f>IFERROR(H349+IFERROR(I349,0)+T349+IFERROR(V349,0),0)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IFERROR(L350+M350+N350+O350+IFERROR(AC350,0)+IFERROR(AD350,0)+IFERROR(AE350,0)+IFERROR(AF350,0)+IFERROR(AG350,0),0)</f>
        <v/>
      </c>
      <c r="U350" s="108">
        <f>IFERROR(H350+IFERROR(I350,0)+T350+IFERROR(V350,0),0)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IFERROR(L351+M351+N351+O351+IFERROR(AC351,0)+IFERROR(AD351,0)+IFERROR(AE351,0)+IFERROR(AF351,0)+IFERROR(AG351,0),0)</f>
        <v/>
      </c>
      <c r="U351" s="108">
        <f>IFERROR(H351+IFERROR(I351,0)+T351+IFERROR(V351,0),0)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IFERROR(L352+M352+N352+O352+IFERROR(AC352,0)+IFERROR(AD352,0)+IFERROR(AE352,0)+IFERROR(AF352,0)+IFERROR(AG352,0),0)</f>
        <v/>
      </c>
      <c r="U352" s="108">
        <f>IFERROR(H352+IFERROR(I352,0)+T352+IFERROR(V352,0),0)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IFERROR(L353+M353+N353+O353+IFERROR(AC353,0)+IFERROR(AD353,0)+IFERROR(AE353,0)+IFERROR(AF353,0)+IFERROR(AG353,0),0)</f>
        <v/>
      </c>
      <c r="U353" s="108">
        <f>IFERROR(H353+IFERROR(I353,0)+T353+IFERROR(V353,0),0)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IFERROR(L354+M354+N354+O354+IFERROR(AC354,0)+IFERROR(AD354,0)+IFERROR(AE354,0)+IFERROR(AF354,0)+IFERROR(AG354,0),0)</f>
        <v/>
      </c>
      <c r="U354" s="108">
        <f>IFERROR(H354+IFERROR(I354,0)+T354+IFERROR(V354,0),0)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IFERROR(L355+M355+N355+O355+IFERROR(AC355,0)+IFERROR(AD355,0)+IFERROR(AE355,0)+IFERROR(AF355,0)+IFERROR(AG355,0),0)</f>
        <v/>
      </c>
      <c r="U355" s="108">
        <f>IFERROR(H355+IFERROR(I355,0)+T355+IFERROR(V355,0),0)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IFERROR(L356+M356+N356+O356+IFERROR(AC356,0)+IFERROR(AD356,0)+IFERROR(AE356,0)+IFERROR(AF356,0)+IFERROR(AG356,0),0)</f>
        <v/>
      </c>
      <c r="U356" s="108">
        <f>IFERROR(H356+IFERROR(I356,0)+T356+IFERROR(V356,0),0)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IFERROR(L357+M357+N357+O357+IFERROR(AC357,0)+IFERROR(AD357,0)+IFERROR(AE357,0)+IFERROR(AF357,0)+IFERROR(AG357,0),0)</f>
        <v/>
      </c>
      <c r="U357" s="108">
        <f>IFERROR(H357+IFERROR(I357,0)+T357+IFERROR(V357,0),0)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IFERROR(L358+M358+N358+O358+IFERROR(AC358,0)+IFERROR(AD358,0)+IFERROR(AE358,0)+IFERROR(AF358,0)+IFERROR(AG358,0),0)</f>
        <v/>
      </c>
      <c r="U358" s="108">
        <f>IFERROR(H358+IFERROR(I358,0)+T358+IFERROR(V358,0),0)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IFERROR(L359+M359+N359+O359+IFERROR(AC359,0)+IFERROR(AD359,0)+IFERROR(AE359,0)+IFERROR(AF359,0)+IFERROR(AG359,0),0)</f>
        <v/>
      </c>
      <c r="U359" s="108">
        <f>IFERROR(H359+IFERROR(I359,0)+T359+IFERROR(V359,0),0)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IFERROR(L360+M360+N360+O360+IFERROR(AC360,0)+IFERROR(AD360,0)+IFERROR(AE360,0)+IFERROR(AF360,0)+IFERROR(AG360,0),0)</f>
        <v/>
      </c>
      <c r="U360" s="108">
        <f>IFERROR(H360+IFERROR(I360,0)+T360+IFERROR(V360,0),0)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IFERROR(L361+M361+N361+O361+IFERROR(AC361,0)+IFERROR(AD361,0)+IFERROR(AE361,0)+IFERROR(AF361,0)+IFERROR(AG361,0),0)</f>
        <v/>
      </c>
      <c r="U361" s="108">
        <f>IFERROR(H361+IFERROR(I361,0)+T361+IFERROR(V361,0),0)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IFERROR(L362+M362+N362+O362+IFERROR(AC362,0)+IFERROR(AD362,0)+IFERROR(AE362,0)+IFERROR(AF362,0)+IFERROR(AG362,0),0)</f>
        <v/>
      </c>
      <c r="U362" s="108">
        <f>IFERROR(H362+IFERROR(I362,0)+T362+IFERROR(V362,0),0)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IFERROR(L363+M363+N363+O363+IFERROR(AC363,0)+IFERROR(AD363,0)+IFERROR(AE363,0)+IFERROR(AF363,0)+IFERROR(AG363,0),0)</f>
        <v/>
      </c>
      <c r="U363" s="108">
        <f>IFERROR(H363+IFERROR(I363,0)+T363+IFERROR(V363,0),0)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IFERROR(L364+M364+N364+O364+IFERROR(AC364,0)+IFERROR(AD364,0)+IFERROR(AE364,0)+IFERROR(AF364,0)+IFERROR(AG364,0),0)</f>
        <v/>
      </c>
      <c r="U364" s="108">
        <f>IFERROR(H364+IFERROR(I364,0)+T364+IFERROR(V364,0),0)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IFERROR(L365+M365+N365+O365+IFERROR(AC365,0)+IFERROR(AD365,0)+IFERROR(AE365,0)+IFERROR(AF365,0)+IFERROR(AG365,0),0)</f>
        <v/>
      </c>
      <c r="U365" s="108">
        <f>IFERROR(H365+IFERROR(I365,0)+T365+IFERROR(V365,0),0)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IFERROR(L366+M366+N366+O366+IFERROR(AC366,0)+IFERROR(AD366,0)+IFERROR(AE366,0)+IFERROR(AF366,0)+IFERROR(AG366,0),0)</f>
        <v/>
      </c>
      <c r="U366" s="108">
        <f>IFERROR(H366+IFERROR(I366,0)+T366+IFERROR(V366,0),0)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IFERROR(L367+M367+N367+O367+IFERROR(AC367,0)+IFERROR(AD367,0)+IFERROR(AE367,0)+IFERROR(AF367,0)+IFERROR(AG367,0),0)</f>
        <v/>
      </c>
      <c r="U367" s="108">
        <f>IFERROR(H367+IFERROR(I367,0)+T367+IFERROR(V367,0),0)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IFERROR(L368+M368+N368+O368+IFERROR(AC368,0)+IFERROR(AD368,0)+IFERROR(AE368,0)+IFERROR(AF368,0)+IFERROR(AG368,0),0)</f>
        <v/>
      </c>
      <c r="U368" s="108">
        <f>IFERROR(H368+IFERROR(I368,0)+T368+IFERROR(V368,0),0)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IFERROR(L369+M369+N369+O369+IFERROR(AC369,0)+IFERROR(AD369,0)+IFERROR(AE369,0)+IFERROR(AF369,0)+IFERROR(AG369,0),0)</f>
        <v/>
      </c>
      <c r="U369" s="108">
        <f>IFERROR(H369+IFERROR(I369,0)+T369+IFERROR(V369,0),0)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IFERROR(L370+M370+N370+O370+IFERROR(AC370,0)+IFERROR(AD370,0)+IFERROR(AE370,0)+IFERROR(AF370,0)+IFERROR(AG370,0),0)</f>
        <v/>
      </c>
      <c r="U370" s="108">
        <f>IFERROR(H370+IFERROR(I370,0)+T370+IFERROR(V370,0),0)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IFERROR(L371+M371+N371+O371+IFERROR(AC371,0)+IFERROR(AD371,0)+IFERROR(AE371,0)+IFERROR(AF371,0)+IFERROR(AG371,0),0)</f>
        <v/>
      </c>
      <c r="U371" s="108">
        <f>IFERROR(H371+IFERROR(I371,0)+T371+IFERROR(V371,0),0)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IFERROR(L372+M372+N372+O372+IFERROR(AC372,0)+IFERROR(AD372,0)+IFERROR(AE372,0)+IFERROR(AF372,0)+IFERROR(AG372,0),0)</f>
        <v/>
      </c>
      <c r="U372" s="108">
        <f>IFERROR(H372+IFERROR(I372,0)+T372+IFERROR(V372,0),0)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IFERROR(L373+M373+N373+O373+IFERROR(AC373,0)+IFERROR(AD373,0)+IFERROR(AE373,0)+IFERROR(AF373,0)+IFERROR(AG373,0),0)</f>
        <v/>
      </c>
      <c r="U373" s="108">
        <f>IFERROR(H373+IFERROR(I373,0)+T373+IFERROR(V373,0),0)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IFERROR(L374+M374+N374+O374+IFERROR(AC374,0)+IFERROR(AD374,0)+IFERROR(AE374,0)+IFERROR(AF374,0)+IFERROR(AG374,0),0)</f>
        <v/>
      </c>
      <c r="U374" s="108">
        <f>IFERROR(H374+IFERROR(I374,0)+T374+IFERROR(V374,0),0)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IFERROR(L375+M375+N375+O375+IFERROR(AC375,0)+IFERROR(AD375,0)+IFERROR(AE375,0)+IFERROR(AF375,0)+IFERROR(AG375,0),0)</f>
        <v/>
      </c>
      <c r="U375" s="108">
        <f>IFERROR(H375+IFERROR(I375,0)+T375+IFERROR(V375,0),0)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IFERROR(L376+M376+N376+O376+IFERROR(AC376,0)+IFERROR(AD376,0)+IFERROR(AE376,0)+IFERROR(AF376,0)+IFERROR(AG376,0),0)</f>
        <v/>
      </c>
      <c r="U376" s="108">
        <f>IFERROR(H376+IFERROR(I376,0)+T376+IFERROR(V376,0),0)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IFERROR(L377+M377+N377+O377+IFERROR(AC377,0)+IFERROR(AD377,0)+IFERROR(AE377,0)+IFERROR(AF377,0)+IFERROR(AG377,0),0)</f>
        <v/>
      </c>
      <c r="U377" s="108">
        <f>IFERROR(H377+IFERROR(I377,0)+T377+IFERROR(V377,0),0)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IFERROR(L378+M378+N378+O378+IFERROR(AC378,0)+IFERROR(AD378,0)+IFERROR(AE378,0)+IFERROR(AF378,0)+IFERROR(AG378,0),0)</f>
        <v/>
      </c>
      <c r="U378" s="108">
        <f>IFERROR(H378+IFERROR(I378,0)+T378+IFERROR(V378,0),0)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IFERROR(L379+M379+N379+O379+IFERROR(AC379,0)+IFERROR(AD379,0)+IFERROR(AE379,0)+IFERROR(AF379,0)+IFERROR(AG379,0),0)</f>
        <v/>
      </c>
      <c r="U379" s="108">
        <f>IFERROR(H379+IFERROR(I379,0)+T379+IFERROR(V379,0),0)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IFERROR(L380+M380+N380+O380+IFERROR(AC380,0)+IFERROR(AD380,0)+IFERROR(AE380,0)+IFERROR(AF380,0)+IFERROR(AG380,0),0)</f>
        <v/>
      </c>
      <c r="U380" s="108">
        <f>IFERROR(H380+IFERROR(I380,0)+T380+IFERROR(V380,0),0)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IFERROR(L381+M381+N381+O381+IFERROR(AC381,0)+IFERROR(AD381,0)+IFERROR(AE381,0)+IFERROR(AF381,0)+IFERROR(AG381,0),0)</f>
        <v/>
      </c>
      <c r="U381" s="108">
        <f>IFERROR(H381+IFERROR(I381,0)+T381+IFERROR(V381,0),0)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IFERROR(L382+M382+N382+O382+IFERROR(AC382,0)+IFERROR(AD382,0)+IFERROR(AE382,0)+IFERROR(AF382,0)+IFERROR(AG382,0),0)</f>
        <v/>
      </c>
      <c r="U382" s="108">
        <f>IFERROR(H382+IFERROR(I382,0)+T382+IFERROR(V382,0),0)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IFERROR(L383+M383+N383+O383+IFERROR(AC383,0)+IFERROR(AD383,0)+IFERROR(AE383,0)+IFERROR(AF383,0)+IFERROR(AG383,0),0)</f>
        <v/>
      </c>
      <c r="U383" s="108">
        <f>IFERROR(H383+IFERROR(I383,0)+T383+IFERROR(V383,0),0)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IFERROR(L384+M384+N384+O384+IFERROR(AC384,0)+IFERROR(AD384,0)+IFERROR(AE384,0)+IFERROR(AF384,0)+IFERROR(AG384,0),0)</f>
        <v/>
      </c>
      <c r="U384" s="108">
        <f>IFERROR(H384+IFERROR(I384,0)+T384+IFERROR(V384,0),0)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IFERROR(L385+M385+N385+O385+IFERROR(AC385,0)+IFERROR(AD385,0)+IFERROR(AE385,0)+IFERROR(AF385,0)+IFERROR(AG385,0),0)</f>
        <v/>
      </c>
      <c r="U385" s="108">
        <f>IFERROR(H385+IFERROR(I385,0)+T385+IFERROR(V385,0),0)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IFERROR(L386+M386+N386+O386+IFERROR(AC386,0)+IFERROR(AD386,0)+IFERROR(AE386,0)+IFERROR(AF386,0)+IFERROR(AG386,0),0)</f>
        <v/>
      </c>
      <c r="U386" s="108">
        <f>IFERROR(H386+IFERROR(I386,0)+T386+IFERROR(V386,0),0)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IFERROR(L387+M387+N387+O387+IFERROR(AC387,0)+IFERROR(AD387,0)+IFERROR(AE387,0)+IFERROR(AF387,0)+IFERROR(AG387,0),0)</f>
        <v/>
      </c>
      <c r="U387" s="108">
        <f>IFERROR(H387+IFERROR(I387,0)+T387+IFERROR(V387,0),0)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IFERROR(L388+M388+N388+O388+IFERROR(AC388,0)+IFERROR(AD388,0)+IFERROR(AE388,0)+IFERROR(AF388,0)+IFERROR(AG388,0),0)</f>
        <v/>
      </c>
      <c r="U388" s="108">
        <f>IFERROR(H388+IFERROR(I388,0)+T388+IFERROR(V388,0),0)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IFERROR(L389+M389+N389+O389+IFERROR(AC389,0)+IFERROR(AD389,0)+IFERROR(AE389,0)+IFERROR(AF389,0)+IFERROR(AG389,0),0)</f>
        <v/>
      </c>
      <c r="U389" s="108">
        <f>IFERROR(H389+IFERROR(I389,0)+T389+IFERROR(V389,0),0)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IFERROR(L390+M390+N390+O390+IFERROR(AC390,0)+IFERROR(AD390,0)+IFERROR(AE390,0)+IFERROR(AF390,0)+IFERROR(AG390,0),0)</f>
        <v/>
      </c>
      <c r="U390" s="108">
        <f>IFERROR(H390+IFERROR(I390,0)+T390+IFERROR(V390,0),0)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IFERROR(L391+M391+N391+O391+IFERROR(AC391,0)+IFERROR(AD391,0)+IFERROR(AE391,0)+IFERROR(AF391,0)+IFERROR(AG391,0),0)</f>
        <v/>
      </c>
      <c r="U391" s="108">
        <f>IFERROR(H391+IFERROR(I391,0)+T391+IFERROR(V391,0),0)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IFERROR(L392+M392+N392+O392+IFERROR(AC392,0)+IFERROR(AD392,0)+IFERROR(AE392,0)+IFERROR(AF392,0)+IFERROR(AG392,0),0)</f>
        <v/>
      </c>
      <c r="U392" s="108">
        <f>IFERROR(H392+IFERROR(I392,0)+T392+IFERROR(V392,0),0)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IFERROR(L393+M393+N393+O393+IFERROR(AC393,0)+IFERROR(AD393,0)+IFERROR(AE393,0)+IFERROR(AF393,0)+IFERROR(AG393,0),0)</f>
        <v/>
      </c>
      <c r="U393" s="108">
        <f>IFERROR(H393+IFERROR(I393,0)+T393+IFERROR(V393,0),0)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IFERROR(L394+M394+N394+O394+IFERROR(AC394,0)+IFERROR(AD394,0)+IFERROR(AE394,0)+IFERROR(AF394,0)+IFERROR(AG394,0),0)</f>
        <v/>
      </c>
      <c r="U394" s="108">
        <f>IFERROR(H394+IFERROR(I394,0)+T394+IFERROR(V394,0),0)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IFERROR(L395+M395+N395+O395+IFERROR(AC395,0)+IFERROR(AD395,0)+IFERROR(AE395,0)+IFERROR(AF395,0)+IFERROR(AG395,0),0)</f>
        <v/>
      </c>
      <c r="U395" s="108">
        <f>IFERROR(H395+IFERROR(I395,0)+T395+IFERROR(V395,0),0)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IFERROR(L396+M396+N396+O396+IFERROR(AC396,0)+IFERROR(AD396,0)+IFERROR(AE396,0)+IFERROR(AF396,0)+IFERROR(AG396,0),0)</f>
        <v/>
      </c>
      <c r="U396" s="108">
        <f>IFERROR(H396+IFERROR(I396,0)+T396+IFERROR(V396,0),0)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IFERROR(L397+M397+N397+O397+IFERROR(AC397,0)+IFERROR(AD397,0)+IFERROR(AE397,0)+IFERROR(AF397,0)+IFERROR(AG397,0),0)</f>
        <v/>
      </c>
      <c r="U397" s="108">
        <f>IFERROR(H397+IFERROR(I397,0)+T397+IFERROR(V397,0),0)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IFERROR(L398+M398+N398+O398+IFERROR(AC398,0)+IFERROR(AD398,0)+IFERROR(AE398,0)+IFERROR(AF398,0)+IFERROR(AG398,0),0)</f>
        <v/>
      </c>
      <c r="U398" s="108">
        <f>IFERROR(H398+IFERROR(I398,0)+T398+IFERROR(V398,0),0)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IFERROR(L399+M399+N399+O399+IFERROR(AC399,0)+IFERROR(AD399,0)+IFERROR(AE399,0)+IFERROR(AF399,0)+IFERROR(AG399,0),0)</f>
        <v/>
      </c>
      <c r="U399" s="108">
        <f>IFERROR(H399+IFERROR(I399,0)+T399+IFERROR(V399,0),0)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IFERROR(L400+M400+N400+O400+IFERROR(AC400,0)+IFERROR(AD400,0)+IFERROR(AE400,0)+IFERROR(AF400,0)+IFERROR(AG400,0),0)</f>
        <v/>
      </c>
      <c r="U400" s="108">
        <f>IFERROR(H400+IFERROR(I400,0)+T400+IFERROR(V400,0),0)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IFERROR(L401+M401+N401+O401+IFERROR(AC401,0)+IFERROR(AD401,0)+IFERROR(AE401,0)+IFERROR(AF401,0)+IFERROR(AG401,0),0)</f>
        <v/>
      </c>
      <c r="U401" s="108">
        <f>IFERROR(H401+IFERROR(I401,0)+T401+IFERROR(V401,0),0)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IFERROR(L402+M402+N402+O402+IFERROR(AC402,0)+IFERROR(AD402,0)+IFERROR(AE402,0)+IFERROR(AF402,0)+IFERROR(AG402,0),0)</f>
        <v/>
      </c>
      <c r="U402" s="108">
        <f>IFERROR(H402+IFERROR(I402,0)+T402+IFERROR(V402,0),0)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IFERROR(L403+M403+N403+O403+IFERROR(AC403,0)+IFERROR(AD403,0)+IFERROR(AE403,0)+IFERROR(AF403,0)+IFERROR(AG403,0),0)</f>
        <v/>
      </c>
      <c r="U403" s="108">
        <f>IFERROR(H403+IFERROR(I403,0)+T403+IFERROR(V403,0),0)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IFERROR(L404+M404+N404+O404+IFERROR(AC404,0)+IFERROR(AD404,0)+IFERROR(AE404,0)+IFERROR(AF404,0)+IFERROR(AG404,0),0)</f>
        <v/>
      </c>
      <c r="U404" s="108">
        <f>IFERROR(H404+IFERROR(I404,0)+T404+IFERROR(V404,0),0)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IFERROR(L405+M405+N405+O405+IFERROR(AC405,0)+IFERROR(AD405,0)+IFERROR(AE405,0)+IFERROR(AF405,0)+IFERROR(AG405,0),0)</f>
        <v/>
      </c>
      <c r="U405" s="108">
        <f>IFERROR(H405+IFERROR(I405,0)+T405+IFERROR(V405,0),0)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IFERROR(L406+M406+N406+O406+IFERROR(AC406,0)+IFERROR(AD406,0)+IFERROR(AE406,0)+IFERROR(AF406,0)+IFERROR(AG406,0),0)</f>
        <v/>
      </c>
      <c r="U406" s="108">
        <f>IFERROR(H406+IFERROR(I406,0)+T406+IFERROR(V406,0),0)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IFERROR(L407+M407+N407+O407+IFERROR(AC407,0)+IFERROR(AD407,0)+IFERROR(AE407,0)+IFERROR(AF407,0)+IFERROR(AG407,0),0)</f>
        <v/>
      </c>
      <c r="U407" s="108">
        <f>IFERROR(H407+IFERROR(I407,0)+T407+IFERROR(V407,0),0)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IFERROR(L408+M408+N408+O408+IFERROR(AC408,0)+IFERROR(AD408,0)+IFERROR(AE408,0)+IFERROR(AF408,0)+IFERROR(AG408,0),0)</f>
        <v/>
      </c>
      <c r="U408" s="108">
        <f>IFERROR(H408+IFERROR(I408,0)+T408+IFERROR(V408,0),0)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IFERROR(L409+M409+N409+O409+IFERROR(AC409,0)+IFERROR(AD409,0)+IFERROR(AE409,0)+IFERROR(AF409,0)+IFERROR(AG409,0),0)</f>
        <v/>
      </c>
      <c r="U409" s="108">
        <f>IFERROR(H409+IFERROR(I409,0)+T409+IFERROR(V409,0),0)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IFERROR(L410+M410+N410+O410+IFERROR(AC410,0)+IFERROR(AD410,0)+IFERROR(AE410,0)+IFERROR(AF410,0)+IFERROR(AG410,0),0)</f>
        <v/>
      </c>
      <c r="U410" s="108">
        <f>IFERROR(H410+IFERROR(I410,0)+T410+IFERROR(V410,0),0)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IFERROR(L411+M411+N411+O411+IFERROR(AC411,0)+IFERROR(AD411,0)+IFERROR(AE411,0)+IFERROR(AF411,0)+IFERROR(AG411,0),0)</f>
        <v/>
      </c>
      <c r="U411" s="108">
        <f>IFERROR(H411+IFERROR(I411,0)+T411+IFERROR(V411,0),0)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IFERROR(L412+M412+N412+O412+IFERROR(AC412,0)+IFERROR(AD412,0)+IFERROR(AE412,0)+IFERROR(AF412,0)+IFERROR(AG412,0),0)</f>
        <v/>
      </c>
      <c r="U412" s="108">
        <f>IFERROR(H412+IFERROR(I412,0)+T412+IFERROR(V412,0),0)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IFERROR(L413+M413+N413+O413+IFERROR(AC413,0)+IFERROR(AD413,0)+IFERROR(AE413,0)+IFERROR(AF413,0)+IFERROR(AG413,0),0)</f>
        <v/>
      </c>
      <c r="U413" s="108">
        <f>IFERROR(H413+IFERROR(I413,0)+T413+IFERROR(V413,0),0)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IFERROR(L414+M414+N414+O414+IFERROR(AC414,0)+IFERROR(AD414,0)+IFERROR(AE414,0)+IFERROR(AF414,0)+IFERROR(AG414,0),0)</f>
        <v/>
      </c>
      <c r="U414" s="108">
        <f>IFERROR(H414+IFERROR(I414,0)+T414+IFERROR(V414,0),0)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IFERROR(L415+M415+N415+O415+IFERROR(AC415,0)+IFERROR(AD415,0)+IFERROR(AE415,0)+IFERROR(AF415,0)+IFERROR(AG415,0),0)</f>
        <v/>
      </c>
      <c r="U415" s="108">
        <f>IFERROR(H415+IFERROR(I415,0)+T415+IFERROR(V415,0),0)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IFERROR(L416+M416+N416+O416+IFERROR(AC416,0)+IFERROR(AD416,0)+IFERROR(AE416,0)+IFERROR(AF416,0)+IFERROR(AG416,0),0)</f>
        <v/>
      </c>
      <c r="U416" s="108">
        <f>IFERROR(H416+IFERROR(I416,0)+T416+IFERROR(V416,0),0)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IFERROR(L417+M417+N417+O417+IFERROR(AC417,0)+IFERROR(AD417,0)+IFERROR(AE417,0)+IFERROR(AF417,0)+IFERROR(AG417,0),0)</f>
        <v/>
      </c>
      <c r="U417" s="108">
        <f>IFERROR(H417+IFERROR(I417,0)+T417+IFERROR(V417,0),0)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IFERROR(L418+M418+N418+O418+IFERROR(AC418,0)+IFERROR(AD418,0)+IFERROR(AE418,0)+IFERROR(AF418,0)+IFERROR(AG418,0),0)</f>
        <v/>
      </c>
      <c r="U418" s="108">
        <f>IFERROR(H418+IFERROR(I418,0)+T418+IFERROR(V418,0),0)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IFERROR(L419+M419+N419+O419+IFERROR(AC419,0)+IFERROR(AD419,0)+IFERROR(AE419,0)+IFERROR(AF419,0)+IFERROR(AG419,0),0)</f>
        <v/>
      </c>
      <c r="U419" s="108">
        <f>IFERROR(H419+IFERROR(I419,0)+T419+IFERROR(V419,0),0)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IFERROR(L420+M420+N420+O420+IFERROR(AC420,0)+IFERROR(AD420,0)+IFERROR(AE420,0)+IFERROR(AF420,0)+IFERROR(AG420,0),0)</f>
        <v/>
      </c>
      <c r="U420" s="108">
        <f>IFERROR(H420+IFERROR(I420,0)+T420+IFERROR(V420,0),0)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IFERROR(L421+M421+N421+O421+IFERROR(AC421,0)+IFERROR(AD421,0)+IFERROR(AE421,0)+IFERROR(AF421,0)+IFERROR(AG421,0),0)</f>
        <v/>
      </c>
      <c r="U421" s="108">
        <f>IFERROR(H421+IFERROR(I421,0)+T421+IFERROR(V421,0),0)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IFERROR(L422+M422+N422+O422+IFERROR(AC422,0)+IFERROR(AD422,0)+IFERROR(AE422,0)+IFERROR(AF422,0)+IFERROR(AG422,0),0)</f>
        <v/>
      </c>
      <c r="U422" s="108">
        <f>IFERROR(H422+IFERROR(I422,0)+T422+IFERROR(V422,0),0)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IFERROR(L423+M423+N423+O423+IFERROR(AC423,0)+IFERROR(AD423,0)+IFERROR(AE423,0)+IFERROR(AF423,0)+IFERROR(AG423,0),0)</f>
        <v/>
      </c>
      <c r="U423" s="108">
        <f>IFERROR(H423+IFERROR(I423,0)+T423+IFERROR(V423,0),0)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IFERROR(L424+M424+N424+O424+IFERROR(AC424,0)+IFERROR(AD424,0)+IFERROR(AE424,0)+IFERROR(AF424,0)+IFERROR(AG424,0),0)</f>
        <v/>
      </c>
      <c r="U424" s="108">
        <f>IFERROR(H424+IFERROR(I424,0)+T424+IFERROR(V424,0),0)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IFERROR(L425+M425+N425+O425+IFERROR(AC425,0)+IFERROR(AD425,0)+IFERROR(AE425,0)+IFERROR(AF425,0)+IFERROR(AG425,0),0)</f>
        <v/>
      </c>
      <c r="U425" s="108">
        <f>IFERROR(H425+IFERROR(I425,0)+T425+IFERROR(V425,0),0)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IFERROR(L426+M426+N426+O426+IFERROR(AC426,0)+IFERROR(AD426,0)+IFERROR(AE426,0)+IFERROR(AF426,0)+IFERROR(AG426,0),0)</f>
        <v/>
      </c>
      <c r="U426" s="108">
        <f>IFERROR(H426+IFERROR(I426,0)+T426+IFERROR(V426,0),0)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IFERROR(L427+M427+N427+O427+IFERROR(AC427,0)+IFERROR(AD427,0)+IFERROR(AE427,0)+IFERROR(AF427,0)+IFERROR(AG427,0),0)</f>
        <v/>
      </c>
      <c r="U427" s="108">
        <f>IFERROR(H427+IFERROR(I427,0)+T427+IFERROR(V427,0),0)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IFERROR(L428+M428+N428+O428+IFERROR(AC428,0)+IFERROR(AD428,0)+IFERROR(AE428,0)+IFERROR(AF428,0)+IFERROR(AG428,0),0)</f>
        <v/>
      </c>
      <c r="U428" s="108">
        <f>IFERROR(H428+IFERROR(I428,0)+T428+IFERROR(V428,0),0)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IFERROR(L429+M429+N429+O429+IFERROR(AC429,0)+IFERROR(AD429,0)+IFERROR(AE429,0)+IFERROR(AF429,0)+IFERROR(AG429,0),0)</f>
        <v/>
      </c>
      <c r="U429" s="108">
        <f>IFERROR(H429+IFERROR(I429,0)+T429+IFERROR(V429,0),0)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IFERROR(L430+M430+N430+O430+IFERROR(AC430,0)+IFERROR(AD430,0)+IFERROR(AE430,0)+IFERROR(AF430,0)+IFERROR(AG430,0),0)</f>
        <v/>
      </c>
      <c r="U430" s="108">
        <f>IFERROR(H430+IFERROR(I430,0)+T430+IFERROR(V430,0),0)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IFERROR(L431+M431+N431+O431+IFERROR(AC431,0)+IFERROR(AD431,0)+IFERROR(AE431,0)+IFERROR(AF431,0)+IFERROR(AG431,0),0)</f>
        <v/>
      </c>
      <c r="U431" s="108">
        <f>IFERROR(H431+IFERROR(I431,0)+T431+IFERROR(V431,0),0)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IFERROR(L432+M432+N432+O432+IFERROR(AC432,0)+IFERROR(AD432,0)+IFERROR(AE432,0)+IFERROR(AF432,0)+IFERROR(AG432,0),0)</f>
        <v/>
      </c>
      <c r="U432" s="108">
        <f>IFERROR(H432+IFERROR(I432,0)+T432+IFERROR(V432,0),0)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IFERROR(L433+M433+N433+O433+IFERROR(AC433,0)+IFERROR(AD433,0)+IFERROR(AE433,0)+IFERROR(AF433,0)+IFERROR(AG433,0),0)</f>
        <v/>
      </c>
      <c r="U433" s="108">
        <f>IFERROR(H433+IFERROR(I433,0)+T433+IFERROR(V433,0),0)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IFERROR(L434+M434+N434+O434+IFERROR(AC434,0)+IFERROR(AD434,0)+IFERROR(AE434,0)+IFERROR(AF434,0)+IFERROR(AG434,0),0)</f>
        <v/>
      </c>
      <c r="U434" s="108">
        <f>IFERROR(H434+IFERROR(I434,0)+T434+IFERROR(V434,0),0)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IFERROR(L435+M435+N435+O435+IFERROR(AC435,0)+IFERROR(AD435,0)+IFERROR(AE435,0)+IFERROR(AF435,0)+IFERROR(AG435,0),0)</f>
        <v/>
      </c>
      <c r="U435" s="108">
        <f>IFERROR(H435+IFERROR(I435,0)+T435+IFERROR(V435,0),0)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IFERROR(L436+M436+N436+O436+IFERROR(AC436,0)+IFERROR(AD436,0)+IFERROR(AE436,0)+IFERROR(AF436,0)+IFERROR(AG436,0),0)</f>
        <v/>
      </c>
      <c r="U436" s="108">
        <f>IFERROR(H436+IFERROR(I436,0)+T436+IFERROR(V436,0),0)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IFERROR(L437+M437+N437+O437+IFERROR(AC437,0)+IFERROR(AD437,0)+IFERROR(AE437,0)+IFERROR(AF437,0)+IFERROR(AG437,0),0)</f>
        <v/>
      </c>
      <c r="U437" s="108">
        <f>IFERROR(H437+IFERROR(I437,0)+T437+IFERROR(V437,0),0)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IFERROR(L438+M438+N438+O438+IFERROR(AC438,0)+IFERROR(AD438,0)+IFERROR(AE438,0)+IFERROR(AF438,0)+IFERROR(AG438,0),0)</f>
        <v/>
      </c>
      <c r="U438" s="108">
        <f>IFERROR(H438+IFERROR(I438,0)+T438+IFERROR(V438,0),0)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IFERROR(L439+M439+N439+O439+IFERROR(AC439,0)+IFERROR(AD439,0)+IFERROR(AE439,0)+IFERROR(AF439,0)+IFERROR(AG439,0),0)</f>
        <v/>
      </c>
      <c r="U439" s="108">
        <f>IFERROR(H439+IFERROR(I439,0)+T439+IFERROR(V439,0),0)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IFERROR(L440+M440+N440+O440+IFERROR(AC440,0)+IFERROR(AD440,0)+IFERROR(AE440,0)+IFERROR(AF440,0)+IFERROR(AG440,0),0)</f>
        <v/>
      </c>
      <c r="U440" s="108">
        <f>IFERROR(H440+IFERROR(I440,0)+T440+IFERROR(V440,0),0)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IFERROR(L441+M441+N441+O441+IFERROR(AC441,0)+IFERROR(AD441,0)+IFERROR(AE441,0)+IFERROR(AF441,0)+IFERROR(AG441,0),0)</f>
        <v/>
      </c>
      <c r="U441" s="108">
        <f>IFERROR(H441+IFERROR(I441,0)+T441+IFERROR(V441,0),0)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IFERROR(L442+M442+N442+O442+IFERROR(AC442,0)+IFERROR(AD442,0)+IFERROR(AE442,0)+IFERROR(AF442,0)+IFERROR(AG442,0),0)</f>
        <v/>
      </c>
      <c r="U442" s="108">
        <f>IFERROR(H442+IFERROR(I442,0)+T442+IFERROR(V442,0),0)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IFERROR(L443+M443+N443+O443+IFERROR(AC443,0)+IFERROR(AD443,0)+IFERROR(AE443,0)+IFERROR(AF443,0)+IFERROR(AG443,0),0)</f>
        <v/>
      </c>
      <c r="U443" s="108">
        <f>IFERROR(H443+IFERROR(I443,0)+T443+IFERROR(V443,0),0)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IFERROR(L444+M444+N444+O444+IFERROR(AC444,0)+IFERROR(AD444,0)+IFERROR(AE444,0)+IFERROR(AF444,0)+IFERROR(AG444,0),0)</f>
        <v/>
      </c>
      <c r="U444" s="108">
        <f>IFERROR(H444+IFERROR(I444,0)+T444+IFERROR(V444,0),0)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IFERROR(L445+M445+N445+O445+IFERROR(AC445,0)+IFERROR(AD445,0)+IFERROR(AE445,0)+IFERROR(AF445,0)+IFERROR(AG445,0),0)</f>
        <v/>
      </c>
      <c r="U445" s="108">
        <f>IFERROR(H445+IFERROR(I445,0)+T445+IFERROR(V445,0),0)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IFERROR(L446+M446+N446+O446+IFERROR(AC446,0)+IFERROR(AD446,0)+IFERROR(AE446,0)+IFERROR(AF446,0)+IFERROR(AG446,0),0)</f>
        <v/>
      </c>
      <c r="U446" s="108">
        <f>IFERROR(H446+IFERROR(I446,0)+T446+IFERROR(V446,0),0)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IFERROR(L447+M447+N447+O447+IFERROR(AC447,0)+IFERROR(AD447,0)+IFERROR(AE447,0)+IFERROR(AF447,0)+IFERROR(AG447,0),0)</f>
        <v/>
      </c>
      <c r="U447" s="108">
        <f>IFERROR(H447+IFERROR(I447,0)+T447+IFERROR(V447,0),0)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IFERROR(L448+M448+N448+O448+IFERROR(AC448,0)+IFERROR(AD448,0)+IFERROR(AE448,0)+IFERROR(AF448,0)+IFERROR(AG448,0),0)</f>
        <v/>
      </c>
      <c r="U448" s="108">
        <f>IFERROR(H448+IFERROR(I448,0)+T448+IFERROR(V448,0),0)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IFERROR(L449+M449+N449+O449+IFERROR(AC449,0)+IFERROR(AD449,0)+IFERROR(AE449,0)+IFERROR(AF449,0)+IFERROR(AG449,0),0)</f>
        <v/>
      </c>
      <c r="U449" s="108">
        <f>IFERROR(H449+IFERROR(I449,0)+T449+IFERROR(V449,0),0)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IFERROR(L450+M450+N450+O450+IFERROR(AC450,0)+IFERROR(AD450,0)+IFERROR(AE450,0)+IFERROR(AF450,0)+IFERROR(AG450,0),0)</f>
        <v/>
      </c>
      <c r="U450" s="108">
        <f>IFERROR(H450+IFERROR(I450,0)+T450+IFERROR(V450,0),0)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IFERROR(L451+M451+N451+O451+IFERROR(AC451,0)+IFERROR(AD451,0)+IFERROR(AE451,0)+IFERROR(AF451,0)+IFERROR(AG451,0),0)</f>
        <v/>
      </c>
      <c r="U451" s="108">
        <f>IFERROR(H451+IFERROR(I451,0)+T451+IFERROR(V451,0),0)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IFERROR(L452+M452+N452+O452+IFERROR(AC452,0)+IFERROR(AD452,0)+IFERROR(AE452,0)+IFERROR(AF452,0)+IFERROR(AG452,0),0)</f>
        <v/>
      </c>
      <c r="U452" s="108">
        <f>IFERROR(H452+IFERROR(I452,0)+T452+IFERROR(V452,0),0)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IFERROR(L453+M453+N453+O453+IFERROR(AC453,0)+IFERROR(AD453,0)+IFERROR(AE453,0)+IFERROR(AF453,0)+IFERROR(AG453,0),0)</f>
        <v/>
      </c>
      <c r="U453" s="108">
        <f>IFERROR(H453+IFERROR(I453,0)+T453+IFERROR(V453,0),0)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IFERROR(L454+M454+N454+O454+IFERROR(AC454,0)+IFERROR(AD454,0)+IFERROR(AE454,0)+IFERROR(AF454,0)+IFERROR(AG454,0),0)</f>
        <v/>
      </c>
      <c r="U454" s="108">
        <f>IFERROR(H454+IFERROR(I454,0)+T454+IFERROR(V454,0),0)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IFERROR(L455+M455+N455+O455+IFERROR(AC455,0)+IFERROR(AD455,0)+IFERROR(AE455,0)+IFERROR(AF455,0)+IFERROR(AG455,0),0)</f>
        <v/>
      </c>
      <c r="U455" s="108">
        <f>IFERROR(H455+IFERROR(I455,0)+T455+IFERROR(V455,0),0)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IFERROR(L456+M456+N456+O456+IFERROR(AC456,0)+IFERROR(AD456,0)+IFERROR(AE456,0)+IFERROR(AF456,0)+IFERROR(AG456,0),0)</f>
        <v/>
      </c>
      <c r="U456" s="108">
        <f>IFERROR(H456+IFERROR(I456,0)+T456+IFERROR(V456,0),0)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IFERROR(L457+M457+N457+O457+IFERROR(AC457,0)+IFERROR(AD457,0)+IFERROR(AE457,0)+IFERROR(AF457,0)+IFERROR(AG457,0),0)</f>
        <v/>
      </c>
      <c r="U457" s="108">
        <f>IFERROR(H457+IFERROR(I457,0)+T457+IFERROR(V457,0),0)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IFERROR(L458+M458+N458+O458+IFERROR(AC458,0)+IFERROR(AD458,0)+IFERROR(AE458,0)+IFERROR(AF458,0)+IFERROR(AG458,0),0)</f>
        <v/>
      </c>
      <c r="U458" s="108">
        <f>IFERROR(H458+IFERROR(I458,0)+T458+IFERROR(V458,0),0)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IFERROR(L459+M459+N459+O459+IFERROR(AC459,0)+IFERROR(AD459,0)+IFERROR(AE459,0)+IFERROR(AF459,0)+IFERROR(AG459,0),0)</f>
        <v/>
      </c>
      <c r="U459" s="108">
        <f>IFERROR(H459+IFERROR(I459,0)+T459+IFERROR(V459,0),0)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IFERROR(L460+M460+N460+O460+IFERROR(AC460,0)+IFERROR(AD460,0)+IFERROR(AE460,0)+IFERROR(AF460,0)+IFERROR(AG460,0),0)</f>
        <v/>
      </c>
      <c r="U460" s="108">
        <f>IFERROR(H460+IFERROR(I460,0)+T460+IFERROR(V460,0),0)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IFERROR(L461+M461+N461+O461+IFERROR(AC461,0)+IFERROR(AD461,0)+IFERROR(AE461,0)+IFERROR(AF461,0)+IFERROR(AG461,0),0)</f>
        <v/>
      </c>
      <c r="U461" s="108">
        <f>IFERROR(H461+IFERROR(I461,0)+T461+IFERROR(V461,0),0)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IFERROR(L462+M462+N462+O462+IFERROR(AC462,0)+IFERROR(AD462,0)+IFERROR(AE462,0)+IFERROR(AF462,0)+IFERROR(AG462,0),0)</f>
        <v/>
      </c>
      <c r="U462" s="108">
        <f>IFERROR(H462+IFERROR(I462,0)+T462+IFERROR(V462,0),0)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IFERROR(L463+M463+N463+O463+IFERROR(AC463,0)+IFERROR(AD463,0)+IFERROR(AE463,0)+IFERROR(AF463,0)+IFERROR(AG463,0),0)</f>
        <v/>
      </c>
      <c r="U463" s="108">
        <f>IFERROR(H463+IFERROR(I463,0)+T463+IFERROR(V463,0),0)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IFERROR(L464+M464+N464+O464+IFERROR(AC464,0)+IFERROR(AD464,0)+IFERROR(AE464,0)+IFERROR(AF464,0)+IFERROR(AG464,0),0)</f>
        <v/>
      </c>
      <c r="U464" s="108">
        <f>IFERROR(H464+IFERROR(I464,0)+T464+IFERROR(V464,0),0)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IFERROR(L465+M465+N465+O465+IFERROR(AC465,0)+IFERROR(AD465,0)+IFERROR(AE465,0)+IFERROR(AF465,0)+IFERROR(AG465,0),0)</f>
        <v/>
      </c>
      <c r="U465" s="108">
        <f>IFERROR(H465+IFERROR(I465,0)+T465+IFERROR(V465,0),0)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IFERROR(L466+M466+N466+O466+IFERROR(AC466,0)+IFERROR(AD466,0)+IFERROR(AE466,0)+IFERROR(AF466,0)+IFERROR(AG466,0),0)</f>
        <v/>
      </c>
      <c r="U466" s="108">
        <f>IFERROR(H466+IFERROR(I466,0)+T466+IFERROR(V466,0),0)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IFERROR(L467+M467+N467+O467+IFERROR(AC467,0)+IFERROR(AD467,0)+IFERROR(AE467,0)+IFERROR(AF467,0)+IFERROR(AG467,0),0)</f>
        <v/>
      </c>
      <c r="U467" s="108">
        <f>IFERROR(H467+IFERROR(I467,0)+T467+IFERROR(V467,0),0)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IFERROR(L468+M468+N468+O468+IFERROR(AC468,0)+IFERROR(AD468,0)+IFERROR(AE468,0)+IFERROR(AF468,0)+IFERROR(AG468,0),0)</f>
        <v/>
      </c>
      <c r="U468" s="108">
        <f>IFERROR(H468+IFERROR(I468,0)+T468+IFERROR(V468,0),0)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IFERROR(L469+M469+N469+O469+IFERROR(AC469,0)+IFERROR(AD469,0)+IFERROR(AE469,0)+IFERROR(AF469,0)+IFERROR(AG469,0),0)</f>
        <v/>
      </c>
      <c r="U469" s="108">
        <f>IFERROR(H469+IFERROR(I469,0)+T469+IFERROR(V469,0),0)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IFERROR(L470+M470+N470+O470+IFERROR(AC470,0)+IFERROR(AD470,0)+IFERROR(AE470,0)+IFERROR(AF470,0)+IFERROR(AG470,0),0)</f>
        <v/>
      </c>
      <c r="U470" s="108">
        <f>IFERROR(H470+IFERROR(I470,0)+T470+IFERROR(V470,0),0)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IFERROR(L471+M471+N471+O471+IFERROR(AC471,0)+IFERROR(AD471,0)+IFERROR(AE471,0)+IFERROR(AF471,0)+IFERROR(AG471,0),0)</f>
        <v/>
      </c>
      <c r="U471" s="108">
        <f>IFERROR(H471+IFERROR(I471,0)+T471+IFERROR(V471,0),0)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IFERROR(L472+M472+N472+O472+IFERROR(AC472,0)+IFERROR(AD472,0)+IFERROR(AE472,0)+IFERROR(AF472,0)+IFERROR(AG472,0),0)</f>
        <v/>
      </c>
      <c r="U472" s="108">
        <f>IFERROR(H472+IFERROR(I472,0)+T472+IFERROR(V472,0),0)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IFERROR(L473+M473+N473+O473+IFERROR(AC473,0)+IFERROR(AD473,0)+IFERROR(AE473,0)+IFERROR(AF473,0)+IFERROR(AG473,0),0)</f>
        <v/>
      </c>
      <c r="U473" s="108">
        <f>IFERROR(H473+IFERROR(I473,0)+T473+IFERROR(V473,0),0)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IFERROR(L474+M474+N474+O474+IFERROR(AC474,0)+IFERROR(AD474,0)+IFERROR(AE474,0)+IFERROR(AF474,0)+IFERROR(AG474,0),0)</f>
        <v/>
      </c>
      <c r="U474" s="108">
        <f>IFERROR(H474+IFERROR(I474,0)+T474+IFERROR(V474,0),0)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IFERROR(L475+M475+N475+O475+IFERROR(AC475,0)+IFERROR(AD475,0)+IFERROR(AE475,0)+IFERROR(AF475,0)+IFERROR(AG475,0),0)</f>
        <v/>
      </c>
      <c r="U475" s="108">
        <f>IFERROR(H475+IFERROR(I475,0)+T475+IFERROR(V475,0),0)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IFERROR(L476+M476+N476+O476+IFERROR(AC476,0)+IFERROR(AD476,0)+IFERROR(AE476,0)+IFERROR(AF476,0)+IFERROR(AG476,0),0)</f>
        <v/>
      </c>
      <c r="U476" s="108">
        <f>IFERROR(H476+IFERROR(I476,0)+T476+IFERROR(V476,0),0)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IFERROR(L477+M477+N477+O477+IFERROR(AC477,0)+IFERROR(AD477,0)+IFERROR(AE477,0)+IFERROR(AF477,0)+IFERROR(AG477,0),0)</f>
        <v/>
      </c>
      <c r="U477" s="108">
        <f>IFERROR(H477+IFERROR(I477,0)+T477+IFERROR(V477,0),0)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IFERROR(L478+M478+N478+O478+IFERROR(AC478,0)+IFERROR(AD478,0)+IFERROR(AE478,0)+IFERROR(AF478,0)+IFERROR(AG478,0),0)</f>
        <v/>
      </c>
      <c r="U478" s="108">
        <f>IFERROR(H478+IFERROR(I478,0)+T478+IFERROR(V478,0),0)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IFERROR(L479+M479+N479+O479+IFERROR(AC479,0)+IFERROR(AD479,0)+IFERROR(AE479,0)+IFERROR(AF479,0)+IFERROR(AG479,0),0)</f>
        <v/>
      </c>
      <c r="U479" s="108">
        <f>IFERROR(H479+IFERROR(I479,0)+T479+IFERROR(V479,0),0)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IFERROR(L480+M480+N480+O480+IFERROR(AC480,0)+IFERROR(AD480,0)+IFERROR(AE480,0)+IFERROR(AF480,0)+IFERROR(AG480,0),0)</f>
        <v/>
      </c>
      <c r="U480" s="108">
        <f>IFERROR(H480+IFERROR(I480,0)+T480+IFERROR(V480,0),0)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IFERROR(L481+M481+N481+O481+IFERROR(AC481,0)+IFERROR(AD481,0)+IFERROR(AE481,0)+IFERROR(AF481,0)+IFERROR(AG481,0),0)</f>
        <v/>
      </c>
      <c r="U481" s="108">
        <f>IFERROR(H481+IFERROR(I481,0)+T481+IFERROR(V481,0),0)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IFERROR(L482+M482+N482+O482+IFERROR(AC482,0)+IFERROR(AD482,0)+IFERROR(AE482,0)+IFERROR(AF482,0)+IFERROR(AG482,0),0)</f>
        <v/>
      </c>
      <c r="U482" s="108">
        <f>IFERROR(H482+IFERROR(I482,0)+T482+IFERROR(V482,0),0)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IFERROR(L483+M483+N483+O483+IFERROR(AC483,0)+IFERROR(AD483,0)+IFERROR(AE483,0)+IFERROR(AF483,0)+IFERROR(AG483,0),0)</f>
        <v/>
      </c>
      <c r="U483" s="108">
        <f>IFERROR(H483+IFERROR(I483,0)+T483+IFERROR(V483,0),0)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IFERROR(L484+M484+N484+O484+IFERROR(AC484,0)+IFERROR(AD484,0)+IFERROR(AE484,0)+IFERROR(AF484,0)+IFERROR(AG484,0),0)</f>
        <v/>
      </c>
      <c r="U484" s="108">
        <f>IFERROR(H484+IFERROR(I484,0)+T484+IFERROR(V484,0),0)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IFERROR(L485+M485+N485+O485+IFERROR(AC485,0)+IFERROR(AD485,0)+IFERROR(AE485,0)+IFERROR(AF485,0)+IFERROR(AG485,0),0)</f>
        <v/>
      </c>
      <c r="U485" s="108">
        <f>IFERROR(H485+IFERROR(I485,0)+T485+IFERROR(V485,0),0)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IFERROR(L486+M486+N486+O486+IFERROR(AC486,0)+IFERROR(AD486,0)+IFERROR(AE486,0)+IFERROR(AF486,0)+IFERROR(AG486,0),0)</f>
        <v/>
      </c>
      <c r="U486" s="108">
        <f>IFERROR(H486+IFERROR(I486,0)+T486+IFERROR(V486,0),0)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IFERROR(L487+M487+N487+O487+IFERROR(AC487,0)+IFERROR(AD487,0)+IFERROR(AE487,0)+IFERROR(AF487,0)+IFERROR(AG487,0),0)</f>
        <v/>
      </c>
      <c r="U487" s="108">
        <f>IFERROR(H487+IFERROR(I487,0)+T487+IFERROR(V487,0),0)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IFERROR(L488+M488+N488+O488+IFERROR(AC488,0)+IFERROR(AD488,0)+IFERROR(AE488,0)+IFERROR(AF488,0)+IFERROR(AG488,0),0)</f>
        <v/>
      </c>
      <c r="U488" s="108">
        <f>IFERROR(H488+IFERROR(I488,0)+T488+IFERROR(V488,0),0)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IFERROR(L489+M489+N489+O489+IFERROR(AC489,0)+IFERROR(AD489,0)+IFERROR(AE489,0)+IFERROR(AF489,0)+IFERROR(AG489,0),0)</f>
        <v/>
      </c>
      <c r="U489" s="108">
        <f>IFERROR(H489+IFERROR(I489,0)+T489+IFERROR(V489,0),0)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IFERROR(L490+M490+N490+O490+IFERROR(AC490,0)+IFERROR(AD490,0)+IFERROR(AE490,0)+IFERROR(AF490,0)+IFERROR(AG490,0),0)</f>
        <v/>
      </c>
      <c r="U490" s="108">
        <f>IFERROR(H490+IFERROR(I490,0)+T490+IFERROR(V490,0),0)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IFERROR(L491+M491+N491+O491+IFERROR(AC491,0)+IFERROR(AD491,0)+IFERROR(AE491,0)+IFERROR(AF491,0)+IFERROR(AG491,0),0)</f>
        <v/>
      </c>
      <c r="U491" s="108">
        <f>IFERROR(H491+IFERROR(I491,0)+T491+IFERROR(V491,0),0)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IFERROR(L492+M492+N492+O492+IFERROR(AC492,0)+IFERROR(AD492,0)+IFERROR(AE492,0)+IFERROR(AF492,0)+IFERROR(AG492,0),0)</f>
        <v/>
      </c>
      <c r="U492" s="108">
        <f>IFERROR(H492+IFERROR(I492,0)+T492+IFERROR(V492,0),0)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IFERROR(L493+M493+N493+O493+IFERROR(AC493,0)+IFERROR(AD493,0)+IFERROR(AE493,0)+IFERROR(AF493,0)+IFERROR(AG493,0),0)</f>
        <v/>
      </c>
      <c r="U493" s="108">
        <f>IFERROR(H493+IFERROR(I493,0)+T493+IFERROR(V493,0),0)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IFERROR(L494+M494+N494+O494+IFERROR(AC494,0)+IFERROR(AD494,0)+IFERROR(AE494,0)+IFERROR(AF494,0)+IFERROR(AG494,0),0)</f>
        <v/>
      </c>
      <c r="U494" s="108">
        <f>IFERROR(H494+IFERROR(I494,0)+T494+IFERROR(V494,0),0)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IFERROR(L495+M495+N495+O495+IFERROR(AC495,0)+IFERROR(AD495,0)+IFERROR(AE495,0)+IFERROR(AF495,0)+IFERROR(AG495,0),0)</f>
        <v/>
      </c>
      <c r="U495" s="108">
        <f>IFERROR(H495+IFERROR(I495,0)+T495+IFERROR(V495,0),0)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IFERROR(L496+M496+N496+O496+IFERROR(AC496,0)+IFERROR(AD496,0)+IFERROR(AE496,0)+IFERROR(AF496,0)+IFERROR(AG496,0),0)</f>
        <v/>
      </c>
      <c r="U496" s="108">
        <f>IFERROR(H496+IFERROR(I496,0)+T496+IFERROR(V496,0),0)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IFERROR(L497+M497+N497+O497+IFERROR(AC497,0)+IFERROR(AD497,0)+IFERROR(AE497,0)+IFERROR(AF497,0)+IFERROR(AG497,0),0)</f>
        <v/>
      </c>
      <c r="U497" s="108">
        <f>IFERROR(H497+IFERROR(I497,0)+T497+IFERROR(V497,0),0)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IFERROR(L498+M498+N498+O498+IFERROR(AC498,0)+IFERROR(AD498,0)+IFERROR(AE498,0)+IFERROR(AF498,0)+IFERROR(AG498,0),0)</f>
        <v/>
      </c>
      <c r="U498" s="108">
        <f>IFERROR(H498+IFERROR(I498,0)+T498+IFERROR(V498,0),0)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IFERROR(L499+M499+N499+O499+IFERROR(AC499,0)+IFERROR(AD499,0)+IFERROR(AE499,0)+IFERROR(AF499,0)+IFERROR(AG499,0),0)</f>
        <v/>
      </c>
      <c r="U499" s="108">
        <f>IFERROR(H499+IFERROR(I499,0)+T499+IFERROR(V499,0),0)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IFERROR(L500+M500+N500+O500+IFERROR(AC500,0)+IFERROR(AD500,0)+IFERROR(AE500,0)+IFERROR(AF500,0)+IFERROR(AG500,0),0)</f>
        <v/>
      </c>
      <c r="U500" s="108">
        <f>IFERROR(H500+IFERROR(I500,0)+T500+IFERROR(V500,0),0)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IFERROR(L501+M501+N501+O501+IFERROR(AC501,0)+IFERROR(AD501,0)+IFERROR(AE501,0)+IFERROR(AF501,0)+IFERROR(AG501,0),0)</f>
        <v/>
      </c>
      <c r="U501" s="108">
        <f>IFERROR(H501+IFERROR(I501,0)+T501+IFERROR(V501,0),0)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IFERROR(L502+M502+N502+O502+IFERROR(AC502,0)+IFERROR(AD502,0)+IFERROR(AE502,0)+IFERROR(AF502,0)+IFERROR(AG502,0),0)</f>
        <v/>
      </c>
      <c r="U502" s="108">
        <f>IFERROR(H502+IFERROR(I502,0)+T502+IFERROR(V502,0),0)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IFERROR(L503+M503+N503+O503+IFERROR(AC503,0)+IFERROR(AD503,0)+IFERROR(AE503,0)+IFERROR(AF503,0)+IFERROR(AG503,0),0)</f>
        <v/>
      </c>
      <c r="U503" s="108">
        <f>IFERROR(H503+IFERROR(I503,0)+T503+IFERROR(V503,0),0)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IFERROR(L504+M504+N504+O504+IFERROR(AC504,0)+IFERROR(AD504,0)+IFERROR(AE504,0)+IFERROR(AF504,0)+IFERROR(AG504,0),0)</f>
        <v/>
      </c>
      <c r="U504" s="108">
        <f>IFERROR(H504+IFERROR(I504,0)+T504+IFERROR(V504,0),0)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IFERROR(L505+M505+N505+O505+IFERROR(AC505,0)+IFERROR(AD505,0)+IFERROR(AE505,0)+IFERROR(AF505,0)+IFERROR(AG505,0),0)</f>
        <v/>
      </c>
      <c r="U505" s="108">
        <f>IFERROR(H505+IFERROR(I505,0)+T505+IFERROR(V505,0),0)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IFERROR(L506+M506+N506+O506+IFERROR(AC506,0)+IFERROR(AD506,0)+IFERROR(AE506,0)+IFERROR(AF506,0)+IFERROR(AG506,0),0)</f>
        <v/>
      </c>
      <c r="U506" s="108">
        <f>IFERROR(H506+IFERROR(I506,0)+T506+IFERROR(V506,0),0)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IFERROR(L507+M507+N507+O507+IFERROR(AC507,0)+IFERROR(AD507,0)+IFERROR(AE507,0)+IFERROR(AF507,0)+IFERROR(AG507,0),0)</f>
        <v/>
      </c>
      <c r="U507" s="108">
        <f>IFERROR(H507+IFERROR(I507,0)+T507+IFERROR(V507,0),0)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IFERROR(L508+M508+N508+O508+IFERROR(AC508,0)+IFERROR(AD508,0)+IFERROR(AE508,0)+IFERROR(AF508,0)+IFERROR(AG508,0),0)</f>
        <v/>
      </c>
      <c r="U508" s="108">
        <f>IFERROR(H508+IFERROR(I508,0)+T508+IFERROR(V508,0),0)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IFERROR(L509+M509+N509+O509+IFERROR(AC509,0)+IFERROR(AD509,0)+IFERROR(AE509,0)+IFERROR(AF509,0)+IFERROR(AG509,0),0)</f>
        <v/>
      </c>
      <c r="U509" s="108">
        <f>IFERROR(H509+IFERROR(I509,0)+T509+IFERROR(V509,0),0)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IFERROR(L510+M510+N510+O510+IFERROR(AC510,0)+IFERROR(AD510,0)+IFERROR(AE510,0)+IFERROR(AF510,0)+IFERROR(AG510,0),0)</f>
        <v/>
      </c>
      <c r="U510" s="108">
        <f>IFERROR(H510+IFERROR(I510,0)+T510+IFERROR(V510,0),0)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IFERROR(L511+M511+N511+O511+IFERROR(AC511,0)+IFERROR(AD511,0)+IFERROR(AE511,0)+IFERROR(AF511,0)+IFERROR(AG511,0),0)</f>
        <v/>
      </c>
      <c r="U511" s="108">
        <f>IFERROR(H511+IFERROR(I511,0)+T511+IFERROR(V511,0),0)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IFERROR(L512+M512+N512+O512+IFERROR(AC512,0)+IFERROR(AD512,0)+IFERROR(AE512,0)+IFERROR(AF512,0)+IFERROR(AG512,0),0)</f>
        <v/>
      </c>
      <c r="U512" s="108">
        <f>IFERROR(H512+IFERROR(I512,0)+T512+IFERROR(V512,0),0)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IFERROR(L513+M513+N513+O513+IFERROR(AC513,0)+IFERROR(AD513,0)+IFERROR(AE513,0)+IFERROR(AF513,0)+IFERROR(AG513,0),0)</f>
        <v/>
      </c>
      <c r="U513" s="108">
        <f>IFERROR(H513+IFERROR(I513,0)+T513+IFERROR(V513,0),0)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IFERROR(L514+M514+N514+O514+IFERROR(AC514,0)+IFERROR(AD514,0)+IFERROR(AE514,0)+IFERROR(AF514,0)+IFERROR(AG514,0),0)</f>
        <v/>
      </c>
      <c r="U514" s="108">
        <f>IFERROR(H514+IFERROR(I514,0)+T514+IFERROR(V514,0),0)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IFERROR(L515+M515+N515+O515+IFERROR(AC515,0)+IFERROR(AD515,0)+IFERROR(AE515,0)+IFERROR(AF515,0)+IFERROR(AG515,0),0)</f>
        <v/>
      </c>
      <c r="U515" s="108">
        <f>IFERROR(H515+IFERROR(I515,0)+T515+IFERROR(V515,0),0)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IFERROR(L516+M516+N516+O516+IFERROR(AC516,0)+IFERROR(AD516,0)+IFERROR(AE516,0)+IFERROR(AF516,0)+IFERROR(AG516,0),0)</f>
        <v/>
      </c>
      <c r="U516" s="108">
        <f>IFERROR(H516+IFERROR(I516,0)+T516+IFERROR(V516,0),0)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IFERROR(L517+M517+N517+O517+IFERROR(AC517,0)+IFERROR(AD517,0)+IFERROR(AE517,0)+IFERROR(AF517,0)+IFERROR(AG517,0),0)</f>
        <v/>
      </c>
      <c r="U517" s="108">
        <f>IFERROR(H517+IFERROR(I517,0)+T517+IFERROR(V517,0),0)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IFERROR(L518+M518+N518+O518+IFERROR(AC518,0)+IFERROR(AD518,0)+IFERROR(AE518,0)+IFERROR(AF518,0)+IFERROR(AG518,0),0)</f>
        <v/>
      </c>
      <c r="U518" s="108">
        <f>IFERROR(H518+IFERROR(I518,0)+T518+IFERROR(V518,0),0)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IFERROR(L519+M519+N519+O519+IFERROR(AC519,0)+IFERROR(AD519,0)+IFERROR(AE519,0)+IFERROR(AF519,0)+IFERROR(AG519,0),0)</f>
        <v/>
      </c>
      <c r="U519" s="108">
        <f>IFERROR(H519+IFERROR(I519,0)+T519+IFERROR(V519,0),0)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IFERROR(L520+M520+N520+O520+IFERROR(AC520,0)+IFERROR(AD520,0)+IFERROR(AE520,0)+IFERROR(AF520,0)+IFERROR(AG520,0),0)</f>
        <v/>
      </c>
      <c r="U520" s="108">
        <f>IFERROR(H520+IFERROR(I520,0)+T520+IFERROR(V520,0),0)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IFERROR(L521+M521+N521+O521+IFERROR(AC521,0)+IFERROR(AD521,0)+IFERROR(AE521,0)+IFERROR(AF521,0)+IFERROR(AG521,0),0)</f>
        <v/>
      </c>
      <c r="U521" s="108">
        <f>IFERROR(H521+IFERROR(I521,0)+T521+IFERROR(V521,0),0)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IFERROR(L522+M522+N522+O522+IFERROR(AC522,0)+IFERROR(AD522,0)+IFERROR(AE522,0)+IFERROR(AF522,0)+IFERROR(AG522,0),0)</f>
        <v/>
      </c>
      <c r="U522" s="108">
        <f>IFERROR(H522+IFERROR(I522,0)+T522+IFERROR(V522,0),0)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IFERROR(L523+M523+N523+O523+IFERROR(AC523,0)+IFERROR(AD523,0)+IFERROR(AE523,0)+IFERROR(AF523,0)+IFERROR(AG523,0),0)</f>
        <v/>
      </c>
      <c r="U523" s="108">
        <f>IFERROR(H523+IFERROR(I523,0)+T523+IFERROR(V523,0),0)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IFERROR(L524+M524+N524+O524+IFERROR(AC524,0)+IFERROR(AD524,0)+IFERROR(AE524,0)+IFERROR(AF524,0)+IFERROR(AG524,0),0)</f>
        <v/>
      </c>
      <c r="U524" s="108">
        <f>IFERROR(H524+IFERROR(I524,0)+T524+IFERROR(V524,0),0)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IFERROR(L525+M525+N525+O525+IFERROR(AC525,0)+IFERROR(AD525,0)+IFERROR(AE525,0)+IFERROR(AF525,0)+IFERROR(AG525,0),0)</f>
        <v/>
      </c>
      <c r="U525" s="108">
        <f>IFERROR(H525+IFERROR(I525,0)+T525+IFERROR(V525,0),0)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IFERROR(L526+M526+N526+O526+IFERROR(AC526,0)+IFERROR(AD526,0)+IFERROR(AE526,0)+IFERROR(AF526,0)+IFERROR(AG526,0),0)</f>
        <v/>
      </c>
      <c r="U526" s="108">
        <f>IFERROR(H526+IFERROR(I526,0)+T526+IFERROR(V526,0),0)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IFERROR(L527+M527+N527+O527+IFERROR(AC527,0)+IFERROR(AD527,0)+IFERROR(AE527,0)+IFERROR(AF527,0)+IFERROR(AG527,0),0)</f>
        <v/>
      </c>
      <c r="U527" s="108">
        <f>IFERROR(H527+IFERROR(I527,0)+T527+IFERROR(V527,0),0)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IFERROR(L528+M528+N528+O528+IFERROR(AC528,0)+IFERROR(AD528,0)+IFERROR(AE528,0)+IFERROR(AF528,0)+IFERROR(AG528,0),0)</f>
        <v/>
      </c>
      <c r="U528" s="108">
        <f>IFERROR(H528+IFERROR(I528,0)+T528+IFERROR(V528,0),0)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IFERROR(L529+M529+N529+O529+IFERROR(AC529,0)+IFERROR(AD529,0)+IFERROR(AE529,0)+IFERROR(AF529,0)+IFERROR(AG529,0),0)</f>
        <v/>
      </c>
      <c r="U529" s="108">
        <f>IFERROR(H529+IFERROR(I529,0)+T529+IFERROR(V529,0),0)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IFERROR(L530+M530+N530+O530+IFERROR(AC530,0)+IFERROR(AD530,0)+IFERROR(AE530,0)+IFERROR(AF530,0)+IFERROR(AG530,0),0)</f>
        <v/>
      </c>
      <c r="U530" s="108">
        <f>IFERROR(H530+IFERROR(I530,0)+T530+IFERROR(V530,0),0)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IFERROR(L531+M531+N531+O531+IFERROR(AC531,0)+IFERROR(AD531,0)+IFERROR(AE531,0)+IFERROR(AF531,0)+IFERROR(AG531,0),0)</f>
        <v/>
      </c>
      <c r="U531" s="108">
        <f>IFERROR(H531+IFERROR(I531,0)+T531+IFERROR(V531,0),0)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IFERROR(L532+M532+N532+O532+IFERROR(AC532,0)+IFERROR(AD532,0)+IFERROR(AE532,0)+IFERROR(AF532,0)+IFERROR(AG532,0),0)</f>
        <v/>
      </c>
      <c r="U532" s="108">
        <f>IFERROR(H532+IFERROR(I532,0)+T532+IFERROR(V532,0),0)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IFERROR(L533+M533+N533+O533+IFERROR(AC533,0)+IFERROR(AD533,0)+IFERROR(AE533,0)+IFERROR(AF533,0)+IFERROR(AG533,0),0)</f>
        <v/>
      </c>
      <c r="U533" s="108">
        <f>IFERROR(H533+IFERROR(I533,0)+T533+IFERROR(V533,0),0)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IFERROR(L534+M534+N534+O534+IFERROR(AC534,0)+IFERROR(AD534,0)+IFERROR(AE534,0)+IFERROR(AF534,0)+IFERROR(AG534,0),0)</f>
        <v/>
      </c>
      <c r="U534" s="108">
        <f>IFERROR(H534+IFERROR(I534,0)+T534+IFERROR(V534,0),0)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IFERROR(L535+M535+N535+O535+IFERROR(AC535,0)+IFERROR(AD535,0)+IFERROR(AE535,0)+IFERROR(AF535,0)+IFERROR(AG535,0),0)</f>
        <v/>
      </c>
      <c r="U535" s="108">
        <f>IFERROR(H535+IFERROR(I535,0)+T535+IFERROR(V535,0),0)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IFERROR(L536+M536+N536+O536+IFERROR(AC536,0)+IFERROR(AD536,0)+IFERROR(AE536,0)+IFERROR(AF536,0)+IFERROR(AG536,0),0)</f>
        <v/>
      </c>
      <c r="U536" s="108">
        <f>IFERROR(H536+IFERROR(I536,0)+T536+IFERROR(V536,0),0)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IFERROR(L537+M537+N537+O537+IFERROR(AC537,0)+IFERROR(AD537,0)+IFERROR(AE537,0)+IFERROR(AF537,0)+IFERROR(AG537,0),0)</f>
        <v/>
      </c>
      <c r="U537" s="108">
        <f>IFERROR(H537+IFERROR(I537,0)+T537+IFERROR(V537,0),0)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IFERROR(L538+M538+N538+O538+IFERROR(AC538,0)+IFERROR(AD538,0)+IFERROR(AE538,0)+IFERROR(AF538,0)+IFERROR(AG538,0),0)</f>
        <v/>
      </c>
      <c r="U538" s="108">
        <f>IFERROR(H538+IFERROR(I538,0)+T538+IFERROR(V538,0),0)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IFERROR(L539+M539+N539+O539+IFERROR(AC539,0)+IFERROR(AD539,0)+IFERROR(AE539,0)+IFERROR(AF539,0)+IFERROR(AG539,0),0)</f>
        <v/>
      </c>
      <c r="U539" s="108">
        <f>IFERROR(H539+IFERROR(I539,0)+T539+IFERROR(V539,0),0)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IFERROR(L540+M540+N540+O540+IFERROR(AC540,0)+IFERROR(AD540,0)+IFERROR(AE540,0)+IFERROR(AF540,0)+IFERROR(AG540,0),0)</f>
        <v/>
      </c>
      <c r="U540" s="108">
        <f>IFERROR(H540+IFERROR(I540,0)+T540+IFERROR(V540,0),0)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IFERROR(L541+M541+N541+O541+IFERROR(AC541,0)+IFERROR(AD541,0)+IFERROR(AE541,0)+IFERROR(AF541,0)+IFERROR(AG541,0),0)</f>
        <v/>
      </c>
      <c r="U541" s="108">
        <f>IFERROR(H541+IFERROR(I541,0)+T541+IFERROR(V541,0),0)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IFERROR(L542+M542+N542+O542+IFERROR(AC542,0)+IFERROR(AD542,0)+IFERROR(AE542,0)+IFERROR(AF542,0)+IFERROR(AG542,0),0)</f>
        <v/>
      </c>
      <c r="U542" s="108">
        <f>IFERROR(H542+IFERROR(I542,0)+T542+IFERROR(V542,0),0)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IFERROR(L543+M543+N543+O543+IFERROR(AC543,0)+IFERROR(AD543,0)+IFERROR(AE543,0)+IFERROR(AF543,0)+IFERROR(AG543,0),0)</f>
        <v/>
      </c>
      <c r="U543" s="108">
        <f>IFERROR(H543+IFERROR(I543,0)+T543+IFERROR(V543,0),0)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IFERROR(L544+M544+N544+O544+IFERROR(AC544,0)+IFERROR(AD544,0)+IFERROR(AE544,0)+IFERROR(AF544,0)+IFERROR(AG544,0),0)</f>
        <v/>
      </c>
      <c r="U544" s="108">
        <f>IFERROR(H544+IFERROR(I544,0)+T544+IFERROR(V544,0),0)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IFERROR(L545+M545+N545+O545+IFERROR(AC545,0)+IFERROR(AD545,0)+IFERROR(AE545,0)+IFERROR(AF545,0)+IFERROR(AG545,0),0)</f>
        <v/>
      </c>
      <c r="U545" s="108">
        <f>IFERROR(H545+IFERROR(I545,0)+T545+IFERROR(V545,0),0)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IFERROR(L546+M546+N546+O546+IFERROR(AC546,0)+IFERROR(AD546,0)+IFERROR(AE546,0)+IFERROR(AF546,0)+IFERROR(AG546,0),0)</f>
        <v/>
      </c>
      <c r="U546" s="108">
        <f>IFERROR(H546+IFERROR(I546,0)+T546+IFERROR(V546,0),0)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IFERROR(L547+M547+N547+O547+IFERROR(AC547,0)+IFERROR(AD547,0)+IFERROR(AE547,0)+IFERROR(AF547,0)+IFERROR(AG547,0),0)</f>
        <v/>
      </c>
      <c r="U547" s="108">
        <f>IFERROR(H547+IFERROR(I547,0)+T547+IFERROR(V547,0),0)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IFERROR(L548+M548+N548+O548+IFERROR(AC548,0)+IFERROR(AD548,0)+IFERROR(AE548,0)+IFERROR(AF548,0)+IFERROR(AG548,0),0)</f>
        <v/>
      </c>
      <c r="U548" s="108">
        <f>IFERROR(H548+IFERROR(I548,0)+T548+IFERROR(V548,0),0)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IFERROR(L549+M549+N549+O549+IFERROR(AC549,0)+IFERROR(AD549,0)+IFERROR(AE549,0)+IFERROR(AF549,0)+IFERROR(AG549,0),0)</f>
        <v/>
      </c>
      <c r="U549" s="108">
        <f>IFERROR(H549+IFERROR(I549,0)+T549+IFERROR(V549,0),0)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IFERROR(L550+M550+N550+O550+IFERROR(AC550,0)+IFERROR(AD550,0)+IFERROR(AE550,0)+IFERROR(AF550,0)+IFERROR(AG550,0),0)</f>
        <v/>
      </c>
      <c r="U550" s="108">
        <f>IFERROR(H550+IFERROR(I550,0)+T550+IFERROR(V550,0),0)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IFERROR(L551+M551+N551+O551+IFERROR(AC551,0)+IFERROR(AD551,0)+IFERROR(AE551,0)+IFERROR(AF551,0)+IFERROR(AG551,0),0)</f>
        <v/>
      </c>
      <c r="U551" s="108">
        <f>IFERROR(H551+IFERROR(I551,0)+T551+IFERROR(V551,0),0)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IFERROR(L552+M552+N552+O552+IFERROR(AC552,0)+IFERROR(AD552,0)+IFERROR(AE552,0)+IFERROR(AF552,0)+IFERROR(AG552,0),0)</f>
        <v/>
      </c>
      <c r="U552" s="108">
        <f>IFERROR(H552+IFERROR(I552,0)+T552+IFERROR(V552,0),0)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IFERROR(L553+M553+N553+O553+IFERROR(AC553,0)+IFERROR(AD553,0)+IFERROR(AE553,0)+IFERROR(AF553,0)+IFERROR(AG553,0),0)</f>
        <v/>
      </c>
      <c r="U553" s="108">
        <f>IFERROR(H553+IFERROR(I553,0)+T553+IFERROR(V553,0),0)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IFERROR(L554+M554+N554+O554+IFERROR(AC554,0)+IFERROR(AD554,0)+IFERROR(AE554,0)+IFERROR(AF554,0)+IFERROR(AG554,0),0)</f>
        <v/>
      </c>
      <c r="U554" s="108">
        <f>IFERROR(H554+IFERROR(I554,0)+T554+IFERROR(V554,0),0)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IFERROR(L555+M555+N555+O555+IFERROR(AC555,0)+IFERROR(AD555,0)+IFERROR(AE555,0)+IFERROR(AF555,0)+IFERROR(AG555,0),0)</f>
        <v/>
      </c>
      <c r="U555" s="108">
        <f>IFERROR(H555+IFERROR(I555,0)+T555+IFERROR(V555,0),0)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IFERROR(L556+M556+N556+O556+IFERROR(AC556,0)+IFERROR(AD556,0)+IFERROR(AE556,0)+IFERROR(AF556,0)+IFERROR(AG556,0),0)</f>
        <v/>
      </c>
      <c r="U556" s="108">
        <f>IFERROR(H556+IFERROR(I556,0)+T556+IFERROR(V556,0),0)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IFERROR(L557+M557+N557+O557+IFERROR(AC557,0)+IFERROR(AD557,0)+IFERROR(AE557,0)+IFERROR(AF557,0)+IFERROR(AG557,0),0)</f>
        <v/>
      </c>
      <c r="U557" s="108">
        <f>IFERROR(H557+IFERROR(I557,0)+T557+IFERROR(V557,0),0)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IFERROR(L558+M558+N558+O558+IFERROR(AC558,0)+IFERROR(AD558,0)+IFERROR(AE558,0)+IFERROR(AF558,0)+IFERROR(AG558,0),0)</f>
        <v/>
      </c>
      <c r="U558" s="108">
        <f>IFERROR(H558+IFERROR(I558,0)+T558+IFERROR(V558,0),0)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IFERROR(L559+M559+N559+O559+IFERROR(AC559,0)+IFERROR(AD559,0)+IFERROR(AE559,0)+IFERROR(AF559,0)+IFERROR(AG559,0),0)</f>
        <v/>
      </c>
      <c r="U559" s="108">
        <f>IFERROR(H559+IFERROR(I559,0)+T559+IFERROR(V559,0),0)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IFERROR(L560+M560+N560+O560+IFERROR(AC560,0)+IFERROR(AD560,0)+IFERROR(AE560,0)+IFERROR(AF560,0)+IFERROR(AG560,0),0)</f>
        <v/>
      </c>
      <c r="U560" s="108">
        <f>IFERROR(H560+IFERROR(I560,0)+T560+IFERROR(V560,0),0)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IFERROR(L561+M561+N561+O561+IFERROR(AC561,0)+IFERROR(AD561,0)+IFERROR(AE561,0)+IFERROR(AF561,0)+IFERROR(AG561,0),0)</f>
        <v/>
      </c>
      <c r="U561" s="108">
        <f>IFERROR(H561+IFERROR(I561,0)+T561+IFERROR(V561,0),0)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IFERROR(L562+M562+N562+O562+IFERROR(AC562,0)+IFERROR(AD562,0)+IFERROR(AE562,0)+IFERROR(AF562,0)+IFERROR(AG562,0),0)</f>
        <v/>
      </c>
      <c r="U562" s="108">
        <f>IFERROR(H562+IFERROR(I562,0)+T562+IFERROR(V562,0),0)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IFERROR(L563+M563+N563+O563+IFERROR(AC563,0)+IFERROR(AD563,0)+IFERROR(AE563,0)+IFERROR(AF563,0)+IFERROR(AG563,0),0)</f>
        <v/>
      </c>
      <c r="U563" s="108">
        <f>IFERROR(H563+IFERROR(I563,0)+T563+IFERROR(V563,0),0)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IFERROR(L564+M564+N564+O564+IFERROR(AC564,0)+IFERROR(AD564,0)+IFERROR(AE564,0)+IFERROR(AF564,0)+IFERROR(AG564,0),0)</f>
        <v/>
      </c>
      <c r="U564" s="108">
        <f>IFERROR(H564+IFERROR(I564,0)+T564+IFERROR(V564,0),0)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IFERROR(L565+M565+N565+O565+IFERROR(AC565,0)+IFERROR(AD565,0)+IFERROR(AE565,0)+IFERROR(AF565,0)+IFERROR(AG565,0),0)</f>
        <v/>
      </c>
      <c r="U565" s="108">
        <f>IFERROR(H565+IFERROR(I565,0)+T565+IFERROR(V565,0),0)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IFERROR(L566+M566+N566+O566+IFERROR(AC566,0)+IFERROR(AD566,0)+IFERROR(AE566,0)+IFERROR(AF566,0)+IFERROR(AG566,0),0)</f>
        <v/>
      </c>
      <c r="U566" s="108">
        <f>IFERROR(H566+IFERROR(I566,0)+T566+IFERROR(V566,0),0)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IFERROR(L567+M567+N567+O567+IFERROR(AC567,0)+IFERROR(AD567,0)+IFERROR(AE567,0)+IFERROR(AF567,0)+IFERROR(AG567,0),0)</f>
        <v/>
      </c>
      <c r="U567" s="108">
        <f>IFERROR(H567+IFERROR(I567,0)+T567+IFERROR(V567,0),0)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IFERROR(L568+M568+N568+O568+IFERROR(AC568,0)+IFERROR(AD568,0)+IFERROR(AE568,0)+IFERROR(AF568,0)+IFERROR(AG568,0),0)</f>
        <v/>
      </c>
      <c r="U568" s="108">
        <f>IFERROR(H568+IFERROR(I568,0)+T568+IFERROR(V568,0),0)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IFERROR(L569+M569+N569+O569+IFERROR(AC569,0)+IFERROR(AD569,0)+IFERROR(AE569,0)+IFERROR(AF569,0)+IFERROR(AG569,0),0)</f>
        <v/>
      </c>
      <c r="U569" s="108">
        <f>IFERROR(H569+IFERROR(I569,0)+T569+IFERROR(V569,0),0)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IFERROR(L570+M570+N570+O570+IFERROR(AC570,0)+IFERROR(AD570,0)+IFERROR(AE570,0)+IFERROR(AF570,0)+IFERROR(AG570,0),0)</f>
        <v/>
      </c>
      <c r="U570" s="108">
        <f>IFERROR(H570+IFERROR(I570,0)+T570+IFERROR(V570,0),0)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IFERROR(L571+M571+N571+O571+IFERROR(AC571,0)+IFERROR(AD571,0)+IFERROR(AE571,0)+IFERROR(AF571,0)+IFERROR(AG571,0),0)</f>
        <v/>
      </c>
      <c r="U571" s="108">
        <f>IFERROR(H571+IFERROR(I571,0)+T571+IFERROR(V571,0),0)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IFERROR(L572+M572+N572+O572+IFERROR(AC572,0)+IFERROR(AD572,0)+IFERROR(AE572,0)+IFERROR(AF572,0)+IFERROR(AG572,0),0)</f>
        <v/>
      </c>
      <c r="U572" s="108">
        <f>IFERROR(H572+IFERROR(I572,0)+T572+IFERROR(V572,0),0)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IFERROR(L573+M573+N573+O573+IFERROR(AC573,0)+IFERROR(AD573,0)+IFERROR(AE573,0)+IFERROR(AF573,0)+IFERROR(AG573,0),0)</f>
        <v/>
      </c>
      <c r="U573" s="108">
        <f>IFERROR(H573+IFERROR(I573,0)+T573+IFERROR(V573,0),0)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IFERROR(L574+M574+N574+O574+IFERROR(AC574,0)+IFERROR(AD574,0)+IFERROR(AE574,0)+IFERROR(AF574,0)+IFERROR(AG574,0),0)</f>
        <v/>
      </c>
      <c r="U574" s="108">
        <f>IFERROR(H574+IFERROR(I574,0)+T574+IFERROR(V574,0),0)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IFERROR(L575+M575+N575+O575+IFERROR(AC575,0)+IFERROR(AD575,0)+IFERROR(AE575,0)+IFERROR(AF575,0)+IFERROR(AG575,0),0)</f>
        <v/>
      </c>
      <c r="U575" s="108">
        <f>IFERROR(H575+IFERROR(I575,0)+T575+IFERROR(V575,0),0)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IFERROR(L576+M576+N576+O576+IFERROR(AC576,0)+IFERROR(AD576,0)+IFERROR(AE576,0)+IFERROR(AF576,0)+IFERROR(AG576,0),0)</f>
        <v/>
      </c>
      <c r="U576" s="108">
        <f>IFERROR(H576+IFERROR(I576,0)+T576+IFERROR(V576,0),0)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IFERROR(L577+M577+N577+O577+IFERROR(AC577,0)+IFERROR(AD577,0)+IFERROR(AE577,0)+IFERROR(AF577,0)+IFERROR(AG577,0),0)</f>
        <v/>
      </c>
      <c r="U577" s="108">
        <f>IFERROR(H577+IFERROR(I577,0)+T577+IFERROR(V577,0),0)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IFERROR(L578+M578+N578+O578+IFERROR(AC578,0)+IFERROR(AD578,0)+IFERROR(AE578,0)+IFERROR(AF578,0)+IFERROR(AG578,0),0)</f>
        <v/>
      </c>
      <c r="U578" s="108">
        <f>IFERROR(H578+IFERROR(I578,0)+T578+IFERROR(V578,0),0)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IFERROR(L579+M579+N579+O579+IFERROR(AC579,0)+IFERROR(AD579,0)+IFERROR(AE579,0)+IFERROR(AF579,0)+IFERROR(AG579,0),0)</f>
        <v/>
      </c>
      <c r="U579" s="108">
        <f>IFERROR(H579+IFERROR(I579,0)+T579+IFERROR(V579,0),0)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IFERROR(L580+M580+N580+O580+IFERROR(AC580,0)+IFERROR(AD580,0)+IFERROR(AE580,0)+IFERROR(AF580,0)+IFERROR(AG580,0),0)</f>
        <v/>
      </c>
      <c r="U580" s="108">
        <f>IFERROR(H580+IFERROR(I580,0)+T580+IFERROR(V580,0),0)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IFERROR(L581+M581+N581+O581+IFERROR(AC581,0)+IFERROR(AD581,0)+IFERROR(AE581,0)+IFERROR(AF581,0)+IFERROR(AG581,0),0)</f>
        <v/>
      </c>
      <c r="U581" s="108">
        <f>IFERROR(H581+IFERROR(I581,0)+T581+IFERROR(V581,0),0)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IFERROR(L582+M582+N582+O582+IFERROR(AC582,0)+IFERROR(AD582,0)+IFERROR(AE582,0)+IFERROR(AF582,0)+IFERROR(AG582,0),0)</f>
        <v/>
      </c>
      <c r="U582" s="108">
        <f>IFERROR(H582+IFERROR(I582,0)+T582+IFERROR(V582,0),0)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IFERROR(L583+M583+N583+O583+IFERROR(AC583,0)+IFERROR(AD583,0)+IFERROR(AE583,0)+IFERROR(AF583,0)+IFERROR(AG583,0),0)</f>
        <v/>
      </c>
      <c r="U583" s="108">
        <f>IFERROR(H583+IFERROR(I583,0)+T583+IFERROR(V583,0),0)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IFERROR(L584+M584+N584+O584+IFERROR(AC584,0)+IFERROR(AD584,0)+IFERROR(AE584,0)+IFERROR(AF584,0)+IFERROR(AG584,0),0)</f>
        <v/>
      </c>
      <c r="U584" s="108">
        <f>IFERROR(H584+IFERROR(I584,0)+T584+IFERROR(V584,0),0)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IFERROR(L585+M585+N585+O585+IFERROR(AC585,0)+IFERROR(AD585,0)+IFERROR(AE585,0)+IFERROR(AF585,0)+IFERROR(AG585,0),0)</f>
        <v/>
      </c>
      <c r="U585" s="108">
        <f>IFERROR(H585+IFERROR(I585,0)+T585+IFERROR(V585,0),0)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IFERROR(L586+M586+N586+O586+IFERROR(AC586,0)+IFERROR(AD586,0)+IFERROR(AE586,0)+IFERROR(AF586,0)+IFERROR(AG586,0),0)</f>
        <v/>
      </c>
      <c r="U586" s="108">
        <f>IFERROR(H586+IFERROR(I586,0)+T586+IFERROR(V586,0),0)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IFERROR(L587+M587+N587+O587+IFERROR(AC587,0)+IFERROR(AD587,0)+IFERROR(AE587,0)+IFERROR(AF587,0)+IFERROR(AG587,0),0)</f>
        <v/>
      </c>
      <c r="U587" s="108">
        <f>IFERROR(H587+IFERROR(I587,0)+T587+IFERROR(V587,0),0)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IFERROR(L588+M588+N588+O588+IFERROR(AC588,0)+IFERROR(AD588,0)+IFERROR(AE588,0)+IFERROR(AF588,0)+IFERROR(AG588,0),0)</f>
        <v/>
      </c>
      <c r="U588" s="108">
        <f>IFERROR(H588+IFERROR(I588,0)+T588+IFERROR(V588,0),0)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IFERROR(L589+M589+N589+O589+IFERROR(AC589,0)+IFERROR(AD589,0)+IFERROR(AE589,0)+IFERROR(AF589,0)+IFERROR(AG589,0),0)</f>
        <v/>
      </c>
      <c r="U589" s="108">
        <f>IFERROR(H589+IFERROR(I589,0)+T589+IFERROR(V589,0),0)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IFERROR(L590+M590+N590+O590+IFERROR(AC590,0)+IFERROR(AD590,0)+IFERROR(AE590,0)+IFERROR(AF590,0)+IFERROR(AG590,0),0)</f>
        <v/>
      </c>
      <c r="U590" s="108">
        <f>IFERROR(H590+IFERROR(I590,0)+T590+IFERROR(V590,0),0)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IFERROR(L591+M591+N591+O591+IFERROR(AC591,0)+IFERROR(AD591,0)+IFERROR(AE591,0)+IFERROR(AF591,0)+IFERROR(AG591,0),0)</f>
        <v/>
      </c>
      <c r="U591" s="108">
        <f>IFERROR(H591+IFERROR(I591,0)+T591+IFERROR(V591,0),0)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IFERROR(L592+M592+N592+O592+IFERROR(AC592,0)+IFERROR(AD592,0)+IFERROR(AE592,0)+IFERROR(AF592,0)+IFERROR(AG592,0),0)</f>
        <v/>
      </c>
      <c r="U592" s="108">
        <f>IFERROR(H592+IFERROR(I592,0)+T592+IFERROR(V592,0),0)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IFERROR(L593+M593+N593+O593+IFERROR(AC593,0)+IFERROR(AD593,0)+IFERROR(AE593,0)+IFERROR(AF593,0)+IFERROR(AG593,0),0)</f>
        <v/>
      </c>
      <c r="U593" s="108">
        <f>IFERROR(H593+IFERROR(I593,0)+T593+IFERROR(V593,0),0)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IFERROR(L594+M594+N594+O594+IFERROR(AC594,0)+IFERROR(AD594,0)+IFERROR(AE594,0)+IFERROR(AF594,0)+IFERROR(AG594,0),0)</f>
        <v/>
      </c>
      <c r="U594" s="108">
        <f>IFERROR(H594+IFERROR(I594,0)+T594+IFERROR(V594,0),0)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IFERROR(L595+M595+N595+O595+IFERROR(AC595,0)+IFERROR(AD595,0)+IFERROR(AE595,0)+IFERROR(AF595,0)+IFERROR(AG595,0),0)</f>
        <v/>
      </c>
      <c r="U595" s="108">
        <f>IFERROR(H595+IFERROR(I595,0)+T595+IFERROR(V595,0),0)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IFERROR(L596+M596+N596+O596+IFERROR(AC596,0)+IFERROR(AD596,0)+IFERROR(AE596,0)+IFERROR(AF596,0)+IFERROR(AG596,0),0)</f>
        <v/>
      </c>
      <c r="U596" s="108">
        <f>IFERROR(H596+IFERROR(I596,0)+T596+IFERROR(V596,0),0)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IFERROR(L597+M597+N597+O597+IFERROR(AC597,0)+IFERROR(AD597,0)+IFERROR(AE597,0)+IFERROR(AF597,0)+IFERROR(AG597,0),0)</f>
        <v/>
      </c>
      <c r="U597" s="108">
        <f>IFERROR(H597+IFERROR(I597,0)+T597+IFERROR(V597,0),0)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IFERROR(L598+M598+N598+O598+IFERROR(AC598,0)+IFERROR(AD598,0)+IFERROR(AE598,0)+IFERROR(AF598,0)+IFERROR(AG598,0),0)</f>
        <v/>
      </c>
      <c r="U598" s="108">
        <f>IFERROR(H598+IFERROR(I598,0)+T598+IFERROR(V598,0),0)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IFERROR(L599+M599+N599+O599+IFERROR(AC599,0)+IFERROR(AD599,0)+IFERROR(AE599,0)+IFERROR(AF599,0)+IFERROR(AG599,0),0)</f>
        <v/>
      </c>
      <c r="U599" s="108">
        <f>IFERROR(H599+IFERROR(I599,0)+T599+IFERROR(V599,0),0)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IFERROR(L600+M600+N600+O600+IFERROR(AC600,0)+IFERROR(AD600,0)+IFERROR(AE600,0)+IFERROR(AF600,0)+IFERROR(AG600,0),0)</f>
        <v/>
      </c>
      <c r="U600" s="108">
        <f>IFERROR(H600+IFERROR(I600,0)+T600+IFERROR(V600,0),0)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IFERROR(L601+M601+N601+O601+IFERROR(AC601,0)+IFERROR(AD601,0)+IFERROR(AE601,0)+IFERROR(AF601,0)+IFERROR(AG601,0),0)</f>
        <v/>
      </c>
      <c r="U601" s="108">
        <f>IFERROR(H601+IFERROR(I601,0)+T601+IFERROR(V601,0),0)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IFERROR(L602+M602+N602+O602+IFERROR(AC602,0)+IFERROR(AD602,0)+IFERROR(AE602,0)+IFERROR(AF602,0)+IFERROR(AG602,0),0)</f>
        <v/>
      </c>
      <c r="U602" s="108">
        <f>IFERROR(H602+IFERROR(I602,0)+T602+IFERROR(V602,0),0)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IFERROR(L603+M603+N603+O603+IFERROR(AC603,0)+IFERROR(AD603,0)+IFERROR(AE603,0)+IFERROR(AF603,0)+IFERROR(AG603,0),0)</f>
        <v/>
      </c>
      <c r="U603" s="108">
        <f>IFERROR(H603+IFERROR(I603,0)+T603+IFERROR(V603,0),0)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IFERROR(L604+M604+N604+O604+IFERROR(AC604,0)+IFERROR(AD604,0)+IFERROR(AE604,0)+IFERROR(AF604,0)+IFERROR(AG604,0),0)</f>
        <v/>
      </c>
      <c r="U604" s="108">
        <f>IFERROR(H604+IFERROR(I604,0)+T604+IFERROR(V604,0),0)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IFERROR(L605+M605+N605+O605+IFERROR(AC605,0)+IFERROR(AD605,0)+IFERROR(AE605,0)+IFERROR(AF605,0)+IFERROR(AG605,0),0)</f>
        <v/>
      </c>
      <c r="U605" s="108">
        <f>IFERROR(H605+IFERROR(I605,0)+T605+IFERROR(V605,0),0)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IFERROR(L606+M606+N606+O606+IFERROR(AC606,0)+IFERROR(AD606,0)+IFERROR(AE606,0)+IFERROR(AF606,0)+IFERROR(AG606,0),0)</f>
        <v/>
      </c>
      <c r="U606" s="108">
        <f>IFERROR(H606+IFERROR(I606,0)+T606+IFERROR(V606,0),0)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176"/>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f>IF(MAX('Rent Roll Input'!$S$7:$S$606)&gt;0,MAX('Rent Roll Input'!$S$7:$S$606),"")</f>
        <v/>
      </c>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v0.1.15</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contracted base rent / mo</t>
        </is>
      </c>
      <c r="B16" s="120">
        <f>IFERROR(SUMIFS('Rent Roll Input'!$H$7:$H$606,'Rent Roll Input'!$S$7:$S$606,'Rent Roll Recon'!$B$2,'Rent Roll Input'!$E$7:$E$606,"&lt;&gt;Vacant",'Rent Roll Input'!$E$7:$E$606,"&lt;&gt;Eviction",'Rent Roll Input'!$D$7:$D$606,"IL"),0)</f>
        <v/>
      </c>
      <c r="C16" s="120">
        <f>IFERROR(SUMIFS('Rent Roll Input'!$H$7:$H$606,'Rent Roll Input'!$S$7:$S$606,'Rent Roll Recon'!$B$2,'Rent Roll Input'!$E$7:$E$606,"&lt;&gt;Vacant",'Rent Roll Input'!$E$7:$E$606,"&lt;&gt;Eviction",'Rent Roll Input'!$D$7:$D$606,"AL"),0)</f>
        <v/>
      </c>
      <c r="D16" s="120">
        <f>IFERROR(SUMIFS('Rent Roll Input'!$H$7:$H$606,'Rent Roll Input'!$S$7:$S$606,'Rent Roll Recon'!$B$2,'Rent Roll Input'!$E$7:$E$606,"&lt;&gt;Vacant",'Rent Roll Input'!$E$7:$E$606,"&lt;&gt;Eviction",'Rent Roll Input'!$D$7:$D$606,"MC"),0)</f>
        <v/>
      </c>
      <c r="E16" s="121">
        <f>SUM(B16:D16)</f>
        <v/>
      </c>
      <c r="F16" s="200" t="n"/>
      <c r="G16" s="200" t="n"/>
      <c r="H16" s="119" t="inlineStr">
        <is>
          <t>Gross contracted rates before concessions</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IF($B$67=0,"",IFERROR(SUMIFS('Rent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IF($B$67=0,"",IFERROR(SUMIFS('Rent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IF($B$67=0,"",IFERROR(SUMIFS('Rent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IF($B$67=0,"",IFERROR(SUMIFS('Rent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IF($B$67=0,"",IFERROR(SUMIFS('Rent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IF($B$67=0,"",IFERROR(SUMIFS('Rent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IF($B$67=0,"",IFERROR(SUMIFS('Rent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IF($B$67=0,"",IFERROR(SUMIFS('Rent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row r="86">
      <c r="A86" s="216" t="inlineStr">
        <is>
          <t>K  ·  IL UNIT-TYPE MIX, SIZE &amp; RATE DISPERSION</t>
        </is>
      </c>
    </row>
    <row r="87">
      <c r="A87" s="214" t="inlineStr">
        <is>
          <t>Unit Type</t>
        </is>
      </c>
      <c r="B87" s="214" t="inlineStr">
        <is>
          <t>Count</t>
        </is>
      </c>
      <c r="C87" s="214" t="inlineStr">
        <is>
          <t>% of
IL</t>
        </is>
      </c>
      <c r="D87" s="214" t="inlineStr">
        <is>
          <t>Avg Rate</t>
        </is>
      </c>
      <c r="E87" s="214" t="inlineStr">
        <is>
          <t>Min Rate</t>
        </is>
      </c>
      <c r="F87" s="214" t="inlineStr">
        <is>
          <t>Max Rate</t>
        </is>
      </c>
      <c r="G87" s="214" t="inlineStr">
        <is>
          <t>Avg Sq Ft</t>
        </is>
      </c>
      <c r="H87" s="214" t="inlineStr">
        <is>
          <t>$/Sq Ft</t>
        </is>
      </c>
      <c r="I87" s="226" t="inlineStr">
        <is>
          <t>Avg Actual
PSF</t>
        </is>
      </c>
    </row>
    <row r="88">
      <c r="A88" s="217" t="inlineStr">
        <is>
          <t>Studio</t>
        </is>
      </c>
      <c r="B88">
        <f>COUNTIFS('Rent Roll Input'!$S$7:$S$606,'Rent Roll Recon'!$B$2,'Rent Roll Input'!$E$7:$E$606,"&lt;&gt;Vacant",'Rent Roll Input'!$E$7:$E$606,"&lt;&gt;Eviction",'Rent Roll Input'!$D$7:$D$606,"IL",'Rent Roll Input'!$F$7:$F$606,"Studio")</f>
        <v/>
      </c>
      <c r="C88" s="218">
        <f>IFERROR(B88/COUNTIFS('Rent Roll Input'!$S$7:$S$606,'Rent Roll Recon'!$B$2,'Rent Roll Input'!$E$7:$E$606,"&lt;&gt;Vacant",'Rent Roll Input'!$E$7:$E$606,"&lt;&gt;Eviction",'Rent Roll Input'!$D$7:$D$606,"IL"),"-")</f>
        <v/>
      </c>
      <c r="D88" s="219">
        <f>IFERROR(AVERAGEIFS('Rent Roll Input'!$H$7:$H$606,'Rent Roll Input'!$S$7:$S$606,'Rent Roll Recon'!$B$2,'Rent Roll Input'!$E$7:$E$606,"&lt;&gt;Vacant",'Rent Roll Input'!$E$7:$E$606,"&lt;&gt;Eviction",'Rent Roll Input'!$D$7:$D$606,"IL",'Rent Roll Input'!$F$7:$F$606,"Studio"),"-")</f>
        <v/>
      </c>
      <c r="E88" s="219">
        <f>IFERROR(MINIFS('Rent Roll Input'!$H$7:$H$606,'Rent Roll Input'!$S$7:$S$606,'Rent Roll Recon'!$B$2,'Rent Roll Input'!$E$7:$E$606,"&lt;&gt;Vacant",'Rent Roll Input'!$E$7:$E$606,"&lt;&gt;Eviction",'Rent Roll Input'!$D$7:$D$606,"IL",'Rent Roll Input'!$F$7:$F$606,"Studio"),"-")</f>
        <v/>
      </c>
      <c r="F88" s="219">
        <f>IFERROR(MAXIFS('Rent Roll Input'!$H$7:$H$606,'Rent Roll Input'!$S$7:$S$606,'Rent Roll Recon'!$B$2,'Rent Roll Input'!$E$7:$E$606,"&lt;&gt;Vacant",'Rent Roll Input'!$E$7:$E$606,"&lt;&gt;Eviction",'Rent Roll Input'!$D$7:$D$606,"IL",'Rent Roll Input'!$F$7:$F$606,"Studio"),"-")</f>
        <v/>
      </c>
      <c r="G88" s="220">
        <f>IFERROR(AVERAGEIFS('Rent Roll Input'!$C$7:$C$606,'Rent Roll Input'!$S$7:$S$606,'Rent Roll Recon'!$B$2,'Rent Roll Input'!$E$7:$E$606,"&lt;&gt;Vacant",'Rent Roll Input'!$E$7:$E$606,"&lt;&gt;Eviction",'Rent Roll Input'!$D$7:$D$606,"IL",'Rent Roll Input'!$F$7:$F$606,"Studio"),"-")</f>
        <v/>
      </c>
      <c r="H88" s="221">
        <f>IFERROR(D88/G88,"-")</f>
        <v/>
      </c>
      <c r="I88" s="242">
        <f>IFERROR(AVERAGEIFS('Rent Roll Input'!$AA$7:$AA$606,'Rent Roll Input'!$S$7:$S$606,'Rent Roll Recon'!$B$2,'Rent Roll Input'!$E$7:$E$606,"&lt;&gt;Vacant",'Rent Roll Input'!$E$7:$E$606,"&lt;&gt;Eviction",'Rent Roll Input'!$D$7:$D$606,"IL",'Rent Roll Input'!$F$7:$F$606,"Studio"),"-")</f>
        <v/>
      </c>
    </row>
    <row r="89">
      <c r="A89" s="217" t="inlineStr">
        <is>
          <t>1 Bedroom</t>
        </is>
      </c>
      <c r="B89">
        <f>COUNTIFS('Rent Roll Input'!$S$7:$S$606,'Rent Roll Recon'!$B$2,'Rent Roll Input'!$E$7:$E$606,"&lt;&gt;Vacant",'Rent Roll Input'!$E$7:$E$606,"&lt;&gt;Eviction",'Rent Roll Input'!$D$7:$D$606,"IL",'Rent Roll Input'!$F$7:$F$606,"1 Bedroom")</f>
        <v/>
      </c>
      <c r="C89" s="218">
        <f>IFERROR(B89/COUNTIFS('Rent Roll Input'!$S$7:$S$606,'Rent Roll Recon'!$B$2,'Rent Roll Input'!$E$7:$E$606,"&lt;&gt;Vacant",'Rent Roll Input'!$E$7:$E$606,"&lt;&gt;Eviction",'Rent Roll Input'!$D$7:$D$606,"IL"),"-")</f>
        <v/>
      </c>
      <c r="D89" s="219">
        <f>IFERROR(AVERAGEIFS('Rent Roll Input'!$H$7:$H$606,'Rent Roll Input'!$S$7:$S$606,'Rent Roll Recon'!$B$2,'Rent Roll Input'!$E$7:$E$606,"&lt;&gt;Vacant",'Rent Roll Input'!$E$7:$E$606,"&lt;&gt;Eviction",'Rent Roll Input'!$D$7:$D$606,"IL",'Rent Roll Input'!$F$7:$F$606,"1 Bedroom"),"-")</f>
        <v/>
      </c>
      <c r="E89" s="219">
        <f>IFERROR(MINIFS('Rent Roll Input'!$H$7:$H$606,'Rent Roll Input'!$S$7:$S$606,'Rent Roll Recon'!$B$2,'Rent Roll Input'!$E$7:$E$606,"&lt;&gt;Vacant",'Rent Roll Input'!$E$7:$E$606,"&lt;&gt;Eviction",'Rent Roll Input'!$D$7:$D$606,"IL",'Rent Roll Input'!$F$7:$F$606,"1 Bedroom"),"-")</f>
        <v/>
      </c>
      <c r="F89" s="219">
        <f>IFERROR(MAXIFS('Rent Roll Input'!$H$7:$H$606,'Rent Roll Input'!$S$7:$S$606,'Rent Roll Recon'!$B$2,'Rent Roll Input'!$E$7:$E$606,"&lt;&gt;Vacant",'Rent Roll Input'!$E$7:$E$606,"&lt;&gt;Eviction",'Rent Roll Input'!$D$7:$D$606,"IL",'Rent Roll Input'!$F$7:$F$606,"1 Bedroom"),"-")</f>
        <v/>
      </c>
      <c r="G89" s="220">
        <f>IFERROR(AVERAGEIFS('Rent Roll Input'!$C$7:$C$606,'Rent Roll Input'!$S$7:$S$606,'Rent Roll Recon'!$B$2,'Rent Roll Input'!$E$7:$E$606,"&lt;&gt;Vacant",'Rent Roll Input'!$E$7:$E$606,"&lt;&gt;Eviction",'Rent Roll Input'!$D$7:$D$606,"IL",'Rent Roll Input'!$F$7:$F$606,"1 Bedroom"),"-")</f>
        <v/>
      </c>
      <c r="H89" s="221">
        <f>IFERROR(D89/G89,"-")</f>
        <v/>
      </c>
      <c r="I89" s="242">
        <f>IFERROR(AVERAGEIFS('Rent Roll Input'!$AA$7:$AA$606,'Rent Roll Input'!$S$7:$S$606,'Rent Roll Recon'!$B$2,'Rent Roll Input'!$E$7:$E$606,"&lt;&gt;Vacant",'Rent Roll Input'!$E$7:$E$606,"&lt;&gt;Eviction",'Rent Roll Input'!$D$7:$D$606,"IL",'Rent Roll Input'!$F$7:$F$606,"1 Bedroom"),"-")</f>
        <v/>
      </c>
    </row>
    <row r="90">
      <c r="A90" s="217" t="inlineStr">
        <is>
          <t>2 Bedroom</t>
        </is>
      </c>
      <c r="B90">
        <f>COUNTIFS('Rent Roll Input'!$S$7:$S$606,'Rent Roll Recon'!$B$2,'Rent Roll Input'!$E$7:$E$606,"&lt;&gt;Vacant",'Rent Roll Input'!$E$7:$E$606,"&lt;&gt;Eviction",'Rent Roll Input'!$D$7:$D$606,"IL",'Rent Roll Input'!$F$7:$F$606,"2 Bedroom")</f>
        <v/>
      </c>
      <c r="C90" s="218">
        <f>IFERROR(B90/COUNTIFS('Rent Roll Input'!$S$7:$S$606,'Rent Roll Recon'!$B$2,'Rent Roll Input'!$E$7:$E$606,"&lt;&gt;Vacant",'Rent Roll Input'!$E$7:$E$606,"&lt;&gt;Eviction",'Rent Roll Input'!$D$7:$D$606,"IL"),"-")</f>
        <v/>
      </c>
      <c r="D90" s="219">
        <f>IFERROR(AVERAGEIFS('Rent Roll Input'!$H$7:$H$606,'Rent Roll Input'!$S$7:$S$606,'Rent Roll Recon'!$B$2,'Rent Roll Input'!$E$7:$E$606,"&lt;&gt;Vacant",'Rent Roll Input'!$E$7:$E$606,"&lt;&gt;Eviction",'Rent Roll Input'!$D$7:$D$606,"IL",'Rent Roll Input'!$F$7:$F$606,"2 Bedroom"),"-")</f>
        <v/>
      </c>
      <c r="E90" s="219">
        <f>IFERROR(MINIFS('Rent Roll Input'!$H$7:$H$606,'Rent Roll Input'!$S$7:$S$606,'Rent Roll Recon'!$B$2,'Rent Roll Input'!$E$7:$E$606,"&lt;&gt;Vacant",'Rent Roll Input'!$E$7:$E$606,"&lt;&gt;Eviction",'Rent Roll Input'!$D$7:$D$606,"IL",'Rent Roll Input'!$F$7:$F$606,"2 Bedroom"),"-")</f>
        <v/>
      </c>
      <c r="F90" s="219">
        <f>IFERROR(MAXIFS('Rent Roll Input'!$H$7:$H$606,'Rent Roll Input'!$S$7:$S$606,'Rent Roll Recon'!$B$2,'Rent Roll Input'!$E$7:$E$606,"&lt;&gt;Vacant",'Rent Roll Input'!$E$7:$E$606,"&lt;&gt;Eviction",'Rent Roll Input'!$D$7:$D$606,"IL",'Rent Roll Input'!$F$7:$F$606,"2 Bedroom"),"-")</f>
        <v/>
      </c>
      <c r="G90" s="220">
        <f>IFERROR(AVERAGEIFS('Rent Roll Input'!$C$7:$C$606,'Rent Roll Input'!$S$7:$S$606,'Rent Roll Recon'!$B$2,'Rent Roll Input'!$E$7:$E$606,"&lt;&gt;Vacant",'Rent Roll Input'!$E$7:$E$606,"&lt;&gt;Eviction",'Rent Roll Input'!$D$7:$D$606,"IL",'Rent Roll Input'!$F$7:$F$606,"2 Bedroom"),"-")</f>
        <v/>
      </c>
      <c r="H90" s="221">
        <f>IFERROR(D90/G90,"-")</f>
        <v/>
      </c>
      <c r="I90" s="242">
        <f>IFERROR(AVERAGEIFS('Rent Roll Input'!$AA$7:$AA$606,'Rent Roll Input'!$S$7:$S$606,'Rent Roll Recon'!$B$2,'Rent Roll Input'!$E$7:$E$606,"&lt;&gt;Vacant",'Rent Roll Input'!$E$7:$E$606,"&lt;&gt;Eviction",'Rent Roll Input'!$D$7:$D$606,"IL",'Rent Roll Input'!$F$7:$F$606,"2 Bedroom"),"-")</f>
        <v/>
      </c>
    </row>
    <row r="91">
      <c r="A91" s="217" t="inlineStr">
        <is>
          <t>Cottage / Villa</t>
        </is>
      </c>
      <c r="B91">
        <f>COUNTIFS('Rent Roll Input'!$S$7:$S$606,'Rent Roll Recon'!$B$2,'Rent Roll Input'!$E$7:$E$606,"&lt;&gt;Vacant",'Rent Roll Input'!$E$7:$E$606,"&lt;&gt;Eviction",'Rent Roll Input'!$D$7:$D$606,"IL",'Rent Roll Input'!$F$7:$F$606,"Cottage / Villa")</f>
        <v/>
      </c>
      <c r="C91" s="218">
        <f>IFERROR(B91/COUNTIFS('Rent Roll Input'!$S$7:$S$606,'Rent Roll Recon'!$B$2,'Rent Roll Input'!$E$7:$E$606,"&lt;&gt;Vacant",'Rent Roll Input'!$E$7:$E$606,"&lt;&gt;Eviction",'Rent Roll Input'!$D$7:$D$606,"IL"),"-")</f>
        <v/>
      </c>
      <c r="D91" s="219">
        <f>IFERROR(AVERAGEIFS('Rent Roll Input'!$H$7:$H$606,'Rent Roll Input'!$S$7:$S$606,'Rent Roll Recon'!$B$2,'Rent Roll Input'!$E$7:$E$606,"&lt;&gt;Vacant",'Rent Roll Input'!$E$7:$E$606,"&lt;&gt;Eviction",'Rent Roll Input'!$D$7:$D$606,"IL",'Rent Roll Input'!$F$7:$F$606,"Cottage / Villa"),"-")</f>
        <v/>
      </c>
      <c r="E91" s="219">
        <f>IFERROR(MINIFS('Rent Roll Input'!$H$7:$H$606,'Rent Roll Input'!$S$7:$S$606,'Rent Roll Recon'!$B$2,'Rent Roll Input'!$E$7:$E$606,"&lt;&gt;Vacant",'Rent Roll Input'!$E$7:$E$606,"&lt;&gt;Eviction",'Rent Roll Input'!$D$7:$D$606,"IL",'Rent Roll Input'!$F$7:$F$606,"Cottage / Villa"),"-")</f>
        <v/>
      </c>
      <c r="F91" s="219">
        <f>IFERROR(MAXIFS('Rent Roll Input'!$H$7:$H$606,'Rent Roll Input'!$S$7:$S$606,'Rent Roll Recon'!$B$2,'Rent Roll Input'!$E$7:$E$606,"&lt;&gt;Vacant",'Rent Roll Input'!$E$7:$E$606,"&lt;&gt;Eviction",'Rent Roll Input'!$D$7:$D$606,"IL",'Rent Roll Input'!$F$7:$F$606,"Cottage / Villa"),"-")</f>
        <v/>
      </c>
      <c r="G91" s="220">
        <f>IFERROR(AVERAGEIFS('Rent Roll Input'!$C$7:$C$606,'Rent Roll Input'!$S$7:$S$606,'Rent Roll Recon'!$B$2,'Rent Roll Input'!$E$7:$E$606,"&lt;&gt;Vacant",'Rent Roll Input'!$E$7:$E$606,"&lt;&gt;Eviction",'Rent Roll Input'!$D$7:$D$606,"IL",'Rent Roll Input'!$F$7:$F$606,"Cottage / Villa"),"-")</f>
        <v/>
      </c>
      <c r="H91" s="221">
        <f>IFERROR(D91/G91,"-")</f>
        <v/>
      </c>
      <c r="I91" s="242">
        <f>IFERROR(AVERAGEIFS('Rent Roll Input'!$AA$7:$AA$606,'Rent Roll Input'!$S$7:$S$606,'Rent Roll Recon'!$B$2,'Rent Roll Input'!$E$7:$E$606,"&lt;&gt;Vacant",'Rent Roll Input'!$E$7:$E$606,"&lt;&gt;Eviction",'Rent Roll Input'!$D$7:$D$606,"IL",'Rent Roll Input'!$F$7:$F$606,"Cottage / Villa"),"-")</f>
        <v/>
      </c>
    </row>
    <row r="92">
      <c r="A92" s="217" t="inlineStr">
        <is>
          <t>Other</t>
        </is>
      </c>
      <c r="B92">
        <f>COUNTIFS('Rent Roll Input'!$S$7:$S$606,'Rent Roll Recon'!$B$2,'Rent Roll Input'!$E$7:$E$606,"&lt;&gt;Vacant",'Rent Roll Input'!$E$7:$E$606,"&lt;&gt;Eviction",'Rent Roll Input'!$D$7:$D$606,"IL",'Rent Roll Input'!$F$7:$F$606,"Other")</f>
        <v/>
      </c>
      <c r="C92" s="218">
        <f>IFERROR(B92/COUNTIFS('Rent Roll Input'!$S$7:$S$606,'Rent Roll Recon'!$B$2,'Rent Roll Input'!$E$7:$E$606,"&lt;&gt;Vacant",'Rent Roll Input'!$E$7:$E$606,"&lt;&gt;Eviction",'Rent Roll Input'!$D$7:$D$606,"IL"),"-")</f>
        <v/>
      </c>
      <c r="D92" s="219">
        <f>IFERROR(AVERAGEIFS('Rent Roll Input'!$H$7:$H$606,'Rent Roll Input'!$S$7:$S$606,'Rent Roll Recon'!$B$2,'Rent Roll Input'!$E$7:$E$606,"&lt;&gt;Vacant",'Rent Roll Input'!$E$7:$E$606,"&lt;&gt;Eviction",'Rent Roll Input'!$D$7:$D$606,"IL",'Rent Roll Input'!$F$7:$F$606,"Other"),"-")</f>
        <v/>
      </c>
      <c r="E92" s="219">
        <f>IFERROR(MINIFS('Rent Roll Input'!$H$7:$H$606,'Rent Roll Input'!$S$7:$S$606,'Rent Roll Recon'!$B$2,'Rent Roll Input'!$E$7:$E$606,"&lt;&gt;Vacant",'Rent Roll Input'!$E$7:$E$606,"&lt;&gt;Eviction",'Rent Roll Input'!$D$7:$D$606,"IL",'Rent Roll Input'!$F$7:$F$606,"Other"),"-")</f>
        <v/>
      </c>
      <c r="F92" s="219">
        <f>IFERROR(MAXIFS('Rent Roll Input'!$H$7:$H$606,'Rent Roll Input'!$S$7:$S$606,'Rent Roll Recon'!$B$2,'Rent Roll Input'!$E$7:$E$606,"&lt;&gt;Vacant",'Rent Roll Input'!$E$7:$E$606,"&lt;&gt;Eviction",'Rent Roll Input'!$D$7:$D$606,"IL",'Rent Roll Input'!$F$7:$F$606,"Other"),"-")</f>
        <v/>
      </c>
      <c r="G92" s="220">
        <f>IFERROR(AVERAGEIFS('Rent Roll Input'!$C$7:$C$606,'Rent Roll Input'!$S$7:$S$606,'Rent Roll Recon'!$B$2,'Rent Roll Input'!$E$7:$E$606,"&lt;&gt;Vacant",'Rent Roll Input'!$E$7:$E$606,"&lt;&gt;Eviction",'Rent Roll Input'!$D$7:$D$606,"IL",'Rent Roll Input'!$F$7:$F$606,"Other"),"-")</f>
        <v/>
      </c>
      <c r="H92" s="221">
        <f>IFERROR(D92/G92,"-")</f>
        <v/>
      </c>
      <c r="I92" s="242">
        <f>IFERROR(AVERAGEIFS('Rent Roll Input'!$AA$7:$AA$606,'Rent Roll Input'!$S$7:$S$606,'Rent Roll Recon'!$B$2,'Rent Roll Input'!$E$7:$E$606,"&lt;&gt;Vacant",'Rent Roll Input'!$E$7:$E$606,"&lt;&gt;Eviction",'Rent Roll Input'!$D$7:$D$606,"IL",'Rent Roll Input'!$F$7:$F$606,"Other"),"-")</f>
        <v/>
      </c>
    </row>
    <row r="93">
      <c r="A93" s="215" t="inlineStr">
        <is>
          <t>Total IL occupied</t>
        </is>
      </c>
      <c r="B93" s="215">
        <f>SUM(B88:B92)</f>
        <v/>
      </c>
      <c r="C93" s="222" t="inlineStr">
        <is>
          <t>100.0%</t>
        </is>
      </c>
      <c r="D93" s="223">
        <f>IFERROR(AVERAGEIFS('Rent Roll Input'!$H$7:$H$606,'Rent Roll Input'!$S$7:$S$606,'Rent Roll Recon'!$B$2,'Rent Roll Input'!$E$7:$E$606,"&lt;&gt;Vacant",'Rent Roll Input'!$E$7:$E$606,"&lt;&gt;Eviction",'Rent Roll Input'!$D$7:$D$606,"IL"),"-")</f>
        <v/>
      </c>
      <c r="E93" s="219">
        <f>IFERROR(MINIFS('Rent Roll Input'!$H$7:$H$606,'Rent Roll Input'!$S$7:$S$606,'Rent Roll Recon'!$B$2,'Rent Roll Input'!$E$7:$E$606,"&lt;&gt;Vacant",'Rent Roll Input'!$E$7:$E$606,"&lt;&gt;Eviction",'Rent Roll Input'!$D$7:$D$606,"IL"),"-")</f>
        <v/>
      </c>
      <c r="F93" s="219">
        <f>IFERROR(MAXIFS('Rent Roll Input'!$H$7:$H$606,'Rent Roll Input'!$S$7:$S$606,'Rent Roll Recon'!$B$2,'Rent Roll Input'!$E$7:$E$606,"&lt;&gt;Vacant",'Rent Roll Input'!$E$7:$E$606,"&lt;&gt;Eviction",'Rent Roll Input'!$D$7:$D$606,"IL"),"-")</f>
        <v/>
      </c>
      <c r="G93" s="220">
        <f>IFERROR(AVERAGEIFS('Rent Roll Input'!$C$7:$C$606,'Rent Roll Input'!$S$7:$S$606,'Rent Roll Recon'!$B$2,'Rent Roll Input'!$E$7:$E$606,"&lt;&gt;Vacant",'Rent Roll Input'!$E$7:$E$606,"&lt;&gt;Eviction",'Rent Roll Input'!$D$7:$D$606,"IL"),"-")</f>
        <v/>
      </c>
      <c r="H93" s="221">
        <f>IFERROR(D93/G93,"-")</f>
        <v/>
      </c>
      <c r="I93" s="242">
        <f>IFERROR(AVERAGEIFS('Rent Roll Input'!$AA$7:$AA$606,'Rent Roll Input'!$S$7:$S$606,'Rent Roll Recon'!$B$2,'Rent Roll Input'!$E$7:$E$606,"&lt;&gt;Vacant",'Rent Roll Input'!$E$7:$E$606,"&lt;&gt;Eviction",'Rent Roll Input'!$D$7:$D$606,"IL"),"-")</f>
        <v/>
      </c>
    </row>
    <row r="95">
      <c r="A95" s="217" t="inlineStr">
        <is>
          <t>Rate spread (max − min)</t>
        </is>
      </c>
      <c r="B95" s="219">
        <f>IFERROR(F93-E93,"-")</f>
        <v/>
      </c>
    </row>
    <row r="96">
      <c r="A96" s="217" t="inlineStr">
        <is>
          <t>Rate CV (approx — range ÷ avg ÷ √12)</t>
        </is>
      </c>
      <c r="B96" s="218">
        <f>IFERROR((F93-E93)/D93/SQRT(12),"-")</f>
        <v/>
      </c>
    </row>
    <row r="97">
      <c r="A97" s="217" t="inlineStr">
        <is>
          <t>Avg sq ft (IL occupied)</t>
        </is>
      </c>
      <c r="B97" s="220">
        <f>G93</f>
        <v/>
      </c>
    </row>
    <row r="98">
      <c r="A98" s="217" t="inlineStr">
        <is>
          <t>Sq ft range</t>
        </is>
      </c>
      <c r="B98" s="220">
        <f>IFERROR(MINIFS('Rent Roll Input'!$C$7:$C$606,'Rent Roll Input'!$S$7:$S$606,'Rent Roll Recon'!$B$2,'Rent Roll Input'!$E$7:$E$606,"&lt;&gt;Vacant",'Rent Roll Input'!$E$7:$E$606,"&lt;&gt;Eviction",'Rent Roll Input'!$D$7:$D$606,"IL"),"-")</f>
        <v/>
      </c>
      <c r="C98" s="20" t="inlineStr">
        <is>
          <t>—</t>
        </is>
      </c>
      <c r="D98" s="220">
        <f>IFERROR(MAXIFS('Rent Roll Input'!$C$7:$C$606,'Rent Roll Input'!$S$7:$S$606,'Rent Roll Recon'!$B$2,'Rent Roll Input'!$E$7:$E$606,"&lt;&gt;Vacant",'Rent Roll Input'!$E$7:$E$606,"&lt;&gt;Eviction",'Rent Roll Input'!$D$7:$D$606,"IL"),"-")</f>
        <v/>
      </c>
    </row>
    <row r="99">
      <c r="A99" s="217" t="inlineStr">
        <is>
          <t>$/sq ft (IL avg rate ÷ avg sq ft)</t>
        </is>
      </c>
      <c r="B99" s="221">
        <f>H93</f>
        <v/>
      </c>
    </row>
    <row r="100">
      <c r="A100" s="204">
        <f>IF(B93=0,"No IL units in selected period",IF(B96&gt;0.25,"⚠ IL rate CV "&amp;TEXT(B96,"0.0%")&amp;" — wide rate dispersion. "&amp;"Likely legacy in-place rates well below current asking.","✓ IL rate dispersion within normal band."))</f>
        <v/>
      </c>
    </row>
    <row r="102">
      <c r="A102" s="216" t="inlineStr">
        <is>
          <t>L  ·  MC CARE STRUCTURE  (auto-detected pattern)</t>
        </is>
      </c>
    </row>
    <row r="103">
      <c r="A103" s="215" t="inlineStr">
        <is>
          <t>MC Care Pattern detected:</t>
        </is>
      </c>
      <c r="B103" s="215">
        <f>IF(SUM(B106:B109)=0,"Flat-rate (no care levels recorded)",IF(COUNTIF(B106:B109,"&gt;0")=1,"Flat-rate (single tier)",IF(COUNTIF(B106:B109,"&gt;0")&lt;=3,"Tiered acuity ("&amp;COUNTIF(B106:B109,"&gt;0")&amp;" levels)","Fee-for-service / variable")))</f>
        <v/>
      </c>
    </row>
    <row r="105">
      <c r="A105" s="214" t="inlineStr">
        <is>
          <t>Tier</t>
        </is>
      </c>
      <c r="B105" s="214" t="inlineStr">
        <is>
          <t>Count</t>
        </is>
      </c>
      <c r="C105" s="214" t="inlineStr">
        <is>
          <t>% of
MC</t>
        </is>
      </c>
      <c r="D105" s="214" t="inlineStr">
        <is>
          <t>Avg $/mo</t>
        </is>
      </c>
      <c r="E105" s="214" t="inlineStr">
        <is>
          <t>Total $/mo</t>
        </is>
      </c>
    </row>
    <row r="106">
      <c r="A106" s="217"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218">
        <f>IFERROR(B106/COUNTIFS('Rent Roll Input'!$S$7:$S$606,'Rent Roll Recon'!$B$2,'Rent Roll Input'!$E$7:$E$606,"&lt;&gt;Vacant",'Rent Roll Input'!$E$7:$E$606,"&lt;&gt;Eviction",'Rent Roll Input'!$D$7:$D$606,"MC"),"-")</f>
        <v/>
      </c>
      <c r="D106" s="219">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219">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217"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218">
        <f>IFERROR(B107/COUNTIFS('Rent Roll Input'!$S$7:$S$606,'Rent Roll Recon'!$B$2,'Rent Roll Input'!$E$7:$E$606,"&lt;&gt;Vacant",'Rent Roll Input'!$E$7:$E$606,"&lt;&gt;Eviction",'Rent Roll Input'!$D$7:$D$606,"MC"),"-")</f>
        <v/>
      </c>
      <c r="D107" s="219">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219">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217"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218">
        <f>IFERROR(B108/COUNTIFS('Rent Roll Input'!$S$7:$S$606,'Rent Roll Recon'!$B$2,'Rent Roll Input'!$E$7:$E$606,"&lt;&gt;Vacant",'Rent Roll Input'!$E$7:$E$606,"&lt;&gt;Eviction",'Rent Roll Input'!$D$7:$D$606,"MC"),"-")</f>
        <v/>
      </c>
      <c r="D108" s="219">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219">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217" t="inlineStr">
        <is>
          <t>Other / unmapped</t>
        </is>
      </c>
      <c r="B109">
        <f>MAX(0,COUNTIFS('Rent Roll Input'!$S$7:$S$606,'Rent Roll Recon'!$B$2,'Rent Roll Input'!$E$7:$E$606,"&lt;&gt;Vacant",'Rent Roll Input'!$E$7:$E$606,"&lt;&gt;Eviction",'Rent Roll Input'!$D$7:$D$606,"MC",'Rent Roll Input'!$K$7:$K$606,"?*")-SUM(B106:B108))</f>
        <v/>
      </c>
      <c r="C109" s="218">
        <f>IFERROR(B109/COUNTIFS('Rent Roll Input'!$S$7:$S$606,'Rent Roll Recon'!$B$2,'Rent Roll Input'!$E$7:$E$606,"&lt;&gt;Vacant",'Rent Roll Input'!$E$7:$E$606,"&lt;&gt;Eviction",'Rent Roll Input'!$D$7:$D$606,"MC"),"-")</f>
        <v/>
      </c>
      <c r="D109" t="inlineStr">
        <is>
          <t>"-"</t>
        </is>
      </c>
      <c r="E109" s="219">
        <f>MAX(0,SUMIFS('Rent Roll Input'!$L$7:$L$606,'Rent Roll Input'!$S$7:$S$606,'Rent Roll Recon'!$B$2,'Rent Roll Input'!$E$7:$E$606,"&lt;&gt;Vacant",'Rent Roll Input'!$E$7:$E$606,"&lt;&gt;Eviction",'Rent Roll Input'!$D$7:$D$606,"MC")-SUM(E106:E108))</f>
        <v/>
      </c>
    </row>
    <row r="110">
      <c r="A110" s="215" t="inlineStr">
        <is>
          <t>Total MC occupied</t>
        </is>
      </c>
      <c r="B110" s="215">
        <f>COUNTIFS('Rent Roll Input'!$S$7:$S$606,'Rent Roll Recon'!$B$2,'Rent Roll Input'!$E$7:$E$606,"&lt;&gt;Vacant",'Rent Roll Input'!$E$7:$E$606,"&lt;&gt;Eviction",'Rent Roll Input'!$D$7:$D$606,"MC")</f>
        <v/>
      </c>
      <c r="C110" s="222" t="inlineStr">
        <is>
          <t>100.0%</t>
        </is>
      </c>
      <c r="D110" s="223">
        <f>IFERROR(E110/B110,"-")</f>
        <v/>
      </c>
      <c r="E110" s="223">
        <f>SUMIFS('Rent Roll Input'!$L$7:$L$606,'Rent Roll Input'!$S$7:$S$606,'Rent Roll Recon'!$B$2,'Rent Roll Input'!$E$7:$E$606,"&lt;&gt;Vacant",'Rent Roll Input'!$E$7:$E$606,"&lt;&gt;Eviction",'Rent Roll Input'!$D$7:$D$606,"MC")</f>
        <v/>
      </c>
    </row>
    <row r="112">
      <c r="A112" s="217" t="inlineStr">
        <is>
          <t>MC avg base rent / resident</t>
        </is>
      </c>
      <c r="B112" s="219">
        <f>IFERROR(AVERAGEIFS('Rent Roll Input'!$H$7:$H$606,'Rent Roll Input'!$S$7:$S$606,'Rent Roll Recon'!$B$2,'Rent Roll Input'!$E$7:$E$606,"&lt;&gt;Vacant",'Rent Roll Input'!$E$7:$E$606,"&lt;&gt;Eviction",'Rent Roll Input'!$D$7:$D$606,"MC"),"-")</f>
        <v/>
      </c>
    </row>
    <row r="113">
      <c r="A113" s="217" t="inlineStr">
        <is>
          <t>MC avg care charge / resident</t>
        </is>
      </c>
      <c r="B113" s="219">
        <f>IFERROR(D110,"-")</f>
        <v/>
      </c>
    </row>
    <row r="114">
      <c r="A114" s="217" t="inlineStr">
        <is>
          <t>Care charge ÷ base rent ratio</t>
        </is>
      </c>
      <c r="B114" s="218">
        <f>IFERROR(B113/B112,"-")</f>
        <v/>
      </c>
      <c r="C114" s="204">
        <f>IF(B114&gt;0.3,"⚠ Care charge &gt; 30% of base — acuity-heavy","✓ Within range")</f>
        <v/>
      </c>
    </row>
    <row r="115">
      <c r="A115" s="215" t="inlineStr">
        <is>
          <t>Total MC monthly revenue</t>
        </is>
      </c>
      <c r="B115" s="223">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204">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199">
      <c r="A119" s="224" t="inlineStr">
        <is>
          <t>M  ·  OPERATOR FEE SCHEDULE  &amp;  ANCILLARY RECONCILIATION</t>
        </is>
      </c>
    </row>
    <row r="121" ht="18" customHeight="1" s="199">
      <c r="A121" s="225" t="inlineStr">
        <is>
          <t>M1  —  Published schedule  (paste-in: published rates from broker)</t>
        </is>
      </c>
    </row>
    <row r="122">
      <c r="A122" s="226" t="inlineStr">
        <is>
          <t>Fee Name</t>
        </is>
      </c>
      <c r="B122" s="226" t="inlineStr">
        <is>
          <t>Published $</t>
        </is>
      </c>
      <c r="C122" s="226" t="inlineStr">
        <is>
          <t>Basis</t>
        </is>
      </c>
      <c r="D122" s="226" t="inlineStr">
        <is>
          <t>T12 Label</t>
        </is>
      </c>
      <c r="E122" s="226" t="inlineStr">
        <is>
          <t>RR Input Col</t>
        </is>
      </c>
    </row>
    <row r="123">
      <c r="A123" s="227" t="inlineStr">
        <is>
          <t>Community Fee</t>
        </is>
      </c>
      <c r="B123" s="228" t="n"/>
      <c r="C123" s="227" t="inlineStr">
        <is>
          <t>per unit</t>
        </is>
      </c>
      <c r="D123" s="227" t="inlineStr">
        <is>
          <t>Community / move-in fees</t>
        </is>
      </c>
      <c r="E123" s="238" t="inlineStr"/>
    </row>
    <row r="124">
      <c r="A124" s="227" t="inlineStr">
        <is>
          <t>Elective Transfer Fee</t>
        </is>
      </c>
      <c r="B124" s="228" t="n"/>
      <c r="C124" s="227" t="inlineStr">
        <is>
          <t>per move</t>
        </is>
      </c>
      <c r="D124" s="227" t="inlineStr">
        <is>
          <t>Other community revenue</t>
        </is>
      </c>
      <c r="E124" s="238" t="inlineStr"/>
    </row>
    <row r="125">
      <c r="A125" s="227" t="inlineStr">
        <is>
          <t>Meal Delivery</t>
        </is>
      </c>
      <c r="B125" s="228" t="n"/>
      <c r="C125" s="227" t="inlineStr">
        <is>
          <t>per meal</t>
        </is>
      </c>
      <c r="D125" s="227" t="inlineStr">
        <is>
          <t>Other community revenue</t>
        </is>
      </c>
      <c r="E125" s="238" t="inlineStr">
        <is>
          <t>AC</t>
        </is>
      </c>
    </row>
    <row r="126">
      <c r="A126" s="227" t="inlineStr">
        <is>
          <t>Motorized Scooter Fee</t>
        </is>
      </c>
      <c r="B126" s="228" t="n"/>
      <c r="C126" s="227" t="inlineStr">
        <is>
          <t>per month</t>
        </is>
      </c>
      <c r="D126" s="227" t="inlineStr">
        <is>
          <t>Other community revenue</t>
        </is>
      </c>
      <c r="E126" s="238" t="inlineStr">
        <is>
          <t>AD</t>
        </is>
      </c>
    </row>
    <row r="127">
      <c r="A127" s="227" t="inlineStr">
        <is>
          <t>Second Person Fee</t>
        </is>
      </c>
      <c r="B127" s="228" t="n"/>
      <c r="C127" s="227" t="inlineStr">
        <is>
          <t>per month</t>
        </is>
      </c>
      <c r="D127" s="227" t="inlineStr">
        <is>
          <t>2nd Person Revenue</t>
        </is>
      </c>
      <c r="E127" s="238" t="inlineStr">
        <is>
          <t>V</t>
        </is>
      </c>
    </row>
    <row r="128">
      <c r="A128" s="227" t="inlineStr">
        <is>
          <t>Housekeeping</t>
        </is>
      </c>
      <c r="B128" s="228" t="n"/>
      <c r="C128" s="227" t="inlineStr">
        <is>
          <t>per visit</t>
        </is>
      </c>
      <c r="D128" s="227" t="inlineStr">
        <is>
          <t>Other community revenue</t>
        </is>
      </c>
      <c r="E128" s="238" t="inlineStr">
        <is>
          <t>AE</t>
        </is>
      </c>
    </row>
    <row r="129">
      <c r="A129" s="227" t="inlineStr">
        <is>
          <t>Laundry</t>
        </is>
      </c>
      <c r="B129" s="228" t="n"/>
      <c r="C129" s="227" t="inlineStr">
        <is>
          <t>per pickup</t>
        </is>
      </c>
      <c r="D129" s="227" t="inlineStr">
        <is>
          <t>Other community revenue</t>
        </is>
      </c>
      <c r="E129" s="238" t="inlineStr">
        <is>
          <t>AF</t>
        </is>
      </c>
    </row>
    <row r="130">
      <c r="A130" s="227" t="n"/>
      <c r="B130" s="228" t="n"/>
      <c r="C130" s="227" t="n"/>
      <c r="D130" s="227" t="n"/>
      <c r="E130" s="239" t="n"/>
    </row>
    <row r="131">
      <c r="A131" s="227" t="n"/>
      <c r="B131" s="228" t="n"/>
      <c r="C131" s="227" t="n"/>
      <c r="D131" s="227" t="n"/>
      <c r="E131" s="239" t="n"/>
    </row>
    <row r="133" ht="18" customHeight="1" s="199">
      <c r="A133" s="225" t="inlineStr">
        <is>
          <t>M2  —  RR-side capture  (auto, from Rent Roll Input)</t>
        </is>
      </c>
    </row>
    <row r="134">
      <c r="A134" s="226" t="inlineStr">
        <is>
          <t>Fee Name</t>
        </is>
      </c>
      <c r="B134" s="226" t="inlineStr">
        <is>
          <t>Eligible #</t>
        </is>
      </c>
      <c r="C134" s="226" t="inlineStr">
        <is>
          <t>Capturing #</t>
        </is>
      </c>
      <c r="D134" s="226" t="inlineStr">
        <is>
          <t>Capture %</t>
        </is>
      </c>
      <c r="E134" s="226" t="inlineStr">
        <is>
          <t>Note</t>
        </is>
      </c>
    </row>
    <row r="135">
      <c r="A135" s="229">
        <f>A123</f>
        <v/>
      </c>
      <c r="B135" s="231">
        <f>COUNTIFS('Rent Roll Input'!$E$7:$E$606,"Occupied",'Rent Roll Input'!$S$7:$S$606,$B$2)</f>
        <v/>
      </c>
      <c r="C135" s="231">
        <f>IF(TRIM(E123)="","—",COUNTIF(INDIRECT("'Rent Roll Input'!"&amp;E123&amp;"7:"&amp;E123&amp;"606"),"&gt;0"))</f>
        <v/>
      </c>
      <c r="D135" s="232">
        <f>IFERROR(C135/B135,"")</f>
        <v/>
      </c>
      <c r="E135" s="229">
        <f>IF(TRIM(E123)="","No per-fee RR column (event-based / not captured per-resident)","✓ Direct RR match (col "&amp;TRIM(E123)&amp;")")</f>
        <v/>
      </c>
    </row>
    <row r="136">
      <c r="A136" s="229">
        <f>A124</f>
        <v/>
      </c>
      <c r="B136" s="231">
        <f>COUNTIFS('Rent Roll Input'!$E$7:$E$606,"Occupied",'Rent Roll Input'!$S$7:$S$606,$B$2)</f>
        <v/>
      </c>
      <c r="C136" s="231">
        <f>IF(TRIM(E124)="","—",COUNTIF(INDIRECT("'Rent Roll Input'!"&amp;E124&amp;"7:"&amp;E124&amp;"606"),"&gt;0"))</f>
        <v/>
      </c>
      <c r="D136" s="232">
        <f>IFERROR(C136/B136,"")</f>
        <v/>
      </c>
      <c r="E136" s="229">
        <f>IF(TRIM(E124)="","No per-fee RR column (event-based / not captured per-resident)","✓ Direct RR match (col "&amp;TRIM(E124)&amp;")")</f>
        <v/>
      </c>
    </row>
    <row r="137">
      <c r="A137" s="229">
        <f>A125</f>
        <v/>
      </c>
      <c r="B137" s="231">
        <f>COUNTIFS('Rent Roll Input'!$E$7:$E$606,"Occupied",'Rent Roll Input'!$S$7:$S$606,$B$2)</f>
        <v/>
      </c>
      <c r="C137" s="231">
        <f>IF(TRIM(E125)="","—",COUNTIF(INDIRECT("'Rent Roll Input'!"&amp;E125&amp;"7:"&amp;E125&amp;"606"),"&gt;0"))</f>
        <v/>
      </c>
      <c r="D137" s="232">
        <f>IFERROR(C137/B137,"")</f>
        <v/>
      </c>
      <c r="E137" s="229">
        <f>IF(TRIM(E125)="","No per-fee RR column (event-based / not captured per-resident)","✓ Direct RR match (col "&amp;TRIM(E125)&amp;")")</f>
        <v/>
      </c>
    </row>
    <row r="138">
      <c r="A138" s="229">
        <f>A126</f>
        <v/>
      </c>
      <c r="B138" s="231">
        <f>COUNTIFS('Rent Roll Input'!$E$7:$E$606,"Occupied",'Rent Roll Input'!$S$7:$S$606,$B$2)</f>
        <v/>
      </c>
      <c r="C138" s="231">
        <f>IF(TRIM(E126)="","—",COUNTIF(INDIRECT("'Rent Roll Input'!"&amp;E126&amp;"7:"&amp;E126&amp;"606"),"&gt;0"))</f>
        <v/>
      </c>
      <c r="D138" s="232">
        <f>IFERROR(C138/B138,"")</f>
        <v/>
      </c>
      <c r="E138" s="229">
        <f>IF(TRIM(E126)="","No per-fee RR column (event-based / not captured per-resident)","✓ Direct RR match (col "&amp;TRIM(E126)&amp;")")</f>
        <v/>
      </c>
    </row>
    <row r="139">
      <c r="A139" s="229">
        <f>A127</f>
        <v/>
      </c>
      <c r="B139" s="231">
        <f>COUNTIFS('Rent Roll Input'!$E$7:$E$606,"Occupied",'Rent Roll Input'!$S$7:$S$606,$B$2)</f>
        <v/>
      </c>
      <c r="C139" s="231">
        <f>IF(TRIM(E127)="","—",COUNTIF(INDIRECT("'Rent Roll Input'!"&amp;E127&amp;"7:"&amp;E127&amp;"606"),"&gt;0"))</f>
        <v/>
      </c>
      <c r="D139" s="232">
        <f>IFERROR(C139/B139,"")</f>
        <v/>
      </c>
      <c r="E139" s="229">
        <f>IF(TRIM(E127)="","No per-fee RR column (event-based / not captured per-resident)","✓ Direct RR match (col "&amp;TRIM(E127)&amp;")")</f>
        <v/>
      </c>
    </row>
    <row r="140">
      <c r="A140" s="229">
        <f>A128</f>
        <v/>
      </c>
      <c r="B140" s="231">
        <f>COUNTIFS('Rent Roll Input'!$E$7:$E$606,"Occupied",'Rent Roll Input'!$S$7:$S$606,$B$2)</f>
        <v/>
      </c>
      <c r="C140" s="231">
        <f>IF(TRIM(E128)="","—",COUNTIF(INDIRECT("'Rent Roll Input'!"&amp;E128&amp;"7:"&amp;E128&amp;"606"),"&gt;0"))</f>
        <v/>
      </c>
      <c r="D140" s="232">
        <f>IFERROR(C140/B140,"")</f>
        <v/>
      </c>
      <c r="E140" s="229">
        <f>IF(TRIM(E128)="","No per-fee RR column (event-based / not captured per-resident)","✓ Direct RR match (col "&amp;TRIM(E128)&amp;")")</f>
        <v/>
      </c>
    </row>
    <row r="141">
      <c r="A141" s="229">
        <f>A129</f>
        <v/>
      </c>
      <c r="B141" s="231">
        <f>COUNTIFS('Rent Roll Input'!$E$7:$E$606,"Occupied",'Rent Roll Input'!$S$7:$S$606,$B$2)</f>
        <v/>
      </c>
      <c r="C141" s="231">
        <f>IF(TRIM(E129)="","—",COUNTIF(INDIRECT("'Rent Roll Input'!"&amp;E129&amp;"7:"&amp;E129&amp;"606"),"&gt;0"))</f>
        <v/>
      </c>
      <c r="D141" s="232">
        <f>IFERROR(C141/B141,"")</f>
        <v/>
      </c>
      <c r="E141" s="229">
        <f>IF(TRIM(E129)="","No per-fee RR column (event-based / not captured per-resident)","✓ Direct RR match (col "&amp;TRIM(E129)&amp;")")</f>
        <v/>
      </c>
    </row>
    <row r="142">
      <c r="A142" s="229">
        <f>A130</f>
        <v/>
      </c>
      <c r="B142" s="231">
        <f>COUNTIFS('Rent Roll Input'!$E$7:$E$606,"Occupied",'Rent Roll Input'!$S$7:$S$606,$B$2)</f>
        <v/>
      </c>
      <c r="C142" s="231">
        <f>IF(TRIM(E130)="","—",COUNTIF(INDIRECT("'Rent Roll Input'!"&amp;E130&amp;"7:"&amp;E130&amp;"606"),"&gt;0"))</f>
        <v/>
      </c>
      <c r="D142" s="232">
        <f>IFERROR(C142/B142,"")</f>
        <v/>
      </c>
      <c r="E142" s="229">
        <f>IF(TRIM(E130)="","No per-fee RR column (event-based / not captured per-resident)","✓ Direct RR match (col "&amp;TRIM(E130)&amp;")")</f>
        <v/>
      </c>
    </row>
    <row r="143">
      <c r="A143" s="229">
        <f>A131</f>
        <v/>
      </c>
      <c r="B143" s="231">
        <f>COUNTIFS('Rent Roll Input'!$E$7:$E$606,"Occupied",'Rent Roll Input'!$S$7:$S$606,$B$2)</f>
        <v/>
      </c>
      <c r="C143" s="231">
        <f>IF(TRIM(E131)="","—",COUNTIF(INDIRECT("'Rent Roll Input'!"&amp;E131&amp;"7:"&amp;E131&amp;"606"),"&gt;0"))</f>
        <v/>
      </c>
      <c r="D143" s="232">
        <f>IFERROR(C143/B143,"")</f>
        <v/>
      </c>
      <c r="E143" s="229">
        <f>IF(TRIM(E131)="","No per-fee RR column (event-based / not captured per-resident)","✓ Direct RR match (col "&amp;TRIM(E131)&amp;")")</f>
        <v/>
      </c>
    </row>
    <row r="145" ht="18" customHeight="1" s="199">
      <c r="A145" s="225" t="inlineStr">
        <is>
          <t>M3  —  T12 actuals  (12-month total + monthly avg, via VLOOKUP on M1 Label)</t>
        </is>
      </c>
    </row>
    <row r="146">
      <c r="A146" s="226" t="inlineStr">
        <is>
          <t>Fee Name</t>
        </is>
      </c>
      <c r="B146" s="226" t="inlineStr">
        <is>
          <t>T12 Annual $</t>
        </is>
      </c>
      <c r="C146" s="226" t="inlineStr">
        <is>
          <t>T12 Monthly $</t>
        </is>
      </c>
      <c r="D146" s="226" t="inlineStr">
        <is>
          <t>Mapped to Label</t>
        </is>
      </c>
      <c r="E146" s="226" t="inlineStr">
        <is>
          <t>Note</t>
        </is>
      </c>
    </row>
    <row r="147">
      <c r="A147" s="229">
        <f>A123</f>
        <v/>
      </c>
      <c r="B147" s="233">
        <f>IFERROR(VLOOKUP(D123, 'T12 Raw Data'!$B:$R, 17, 0), 0)</f>
        <v/>
      </c>
      <c r="C147" s="233">
        <f>IF(ISNUMBER(B147), B147/12, B147)</f>
        <v/>
      </c>
      <c r="D147" s="229">
        <f>D123</f>
        <v/>
      </c>
      <c r="E147" s="229">
        <f>IF(D123="","",IF(COUNTIF($D$123:$D$131, D123) &gt; 1, "⚠ Shared T12 Label — can't isolate per-fee", ""))</f>
        <v/>
      </c>
    </row>
    <row r="148">
      <c r="A148" s="229">
        <f>A124</f>
        <v/>
      </c>
      <c r="B148" s="233">
        <f>IF(COUNTIF($D$123:D123, D124) &gt; 0, "(shared — see row " &amp; MATCH(D124, $D$123:D123, 0) + 122 &amp; ")", IFERROR(VLOOKUP(D124, 'T12 Raw Data'!$B:$R, 17, 0), 0))</f>
        <v/>
      </c>
      <c r="C148" s="233">
        <f>IF(ISNUMBER(B148), B148/12, B148)</f>
        <v/>
      </c>
      <c r="D148" s="229">
        <f>D124</f>
        <v/>
      </c>
      <c r="E148" s="229">
        <f>IF(D124="","",IF(COUNTIF($D$123:$D$131, D124) &gt; 1, "⚠ Shared T12 Label — can't isolate per-fee", ""))</f>
        <v/>
      </c>
    </row>
    <row r="149">
      <c r="A149" s="229">
        <f>A125</f>
        <v/>
      </c>
      <c r="B149" s="233">
        <f>IF(COUNTIF($D$123:D124, D125) &gt; 0, "(shared — see row " &amp; MATCH(D125, $D$123:D124, 0) + 122 &amp; ")", IFERROR(VLOOKUP(D125, 'T12 Raw Data'!$B:$R, 17, 0), 0))</f>
        <v/>
      </c>
      <c r="C149" s="233">
        <f>IF(ISNUMBER(B149), B149/12, B149)</f>
        <v/>
      </c>
      <c r="D149" s="229">
        <f>D125</f>
        <v/>
      </c>
      <c r="E149" s="229">
        <f>IF(D125="","",IF(COUNTIF($D$123:$D$131, D125) &gt; 1, "⚠ Shared T12 Label — can't isolate per-fee", ""))</f>
        <v/>
      </c>
    </row>
    <row r="150">
      <c r="A150" s="229">
        <f>A126</f>
        <v/>
      </c>
      <c r="B150" s="233">
        <f>IF(COUNTIF($D$123:D125, D126) &gt; 0, "(shared — see row " &amp; MATCH(D126, $D$123:D125, 0) + 122 &amp; ")", IFERROR(VLOOKUP(D126, 'T12 Raw Data'!$B:$R, 17, 0), 0))</f>
        <v/>
      </c>
      <c r="C150" s="233">
        <f>IF(ISNUMBER(B150), B150/12, B150)</f>
        <v/>
      </c>
      <c r="D150" s="229">
        <f>D126</f>
        <v/>
      </c>
      <c r="E150" s="229">
        <f>IF(D126="","",IF(COUNTIF($D$123:$D$131, D126) &gt; 1, "⚠ Shared T12 Label — can't isolate per-fee", ""))</f>
        <v/>
      </c>
    </row>
    <row r="151">
      <c r="A151" s="229">
        <f>A127</f>
        <v/>
      </c>
      <c r="B151" s="233">
        <f>IF(COUNTIF($D$123:D126, D127) &gt; 0, "(shared — see row " &amp; MATCH(D127, $D$123:D126, 0) + 122 &amp; ")", IFERROR(VLOOKUP(D127, 'T12 Raw Data'!$B:$R, 17, 0), 0))</f>
        <v/>
      </c>
      <c r="C151" s="233">
        <f>IF(ISNUMBER(B151), B151/12, B151)</f>
        <v/>
      </c>
      <c r="D151" s="229">
        <f>D127</f>
        <v/>
      </c>
      <c r="E151" s="229">
        <f>IF(D127="","",IF(COUNTIF($D$123:$D$131, D127) &gt; 1, "⚠ Shared T12 Label — can't isolate per-fee", ""))</f>
        <v/>
      </c>
    </row>
    <row r="152">
      <c r="A152" s="229">
        <f>A128</f>
        <v/>
      </c>
      <c r="B152" s="233">
        <f>IF(COUNTIF($D$123:D127, D128) &gt; 0, "(shared — see row " &amp; MATCH(D128, $D$123:D127, 0) + 122 &amp; ")", IFERROR(VLOOKUP(D128, 'T12 Raw Data'!$B:$R, 17, 0), 0))</f>
        <v/>
      </c>
      <c r="C152" s="233">
        <f>IF(ISNUMBER(B152), B152/12, B152)</f>
        <v/>
      </c>
      <c r="D152" s="229">
        <f>D128</f>
        <v/>
      </c>
      <c r="E152" s="229">
        <f>IF(D128="","",IF(COUNTIF($D$123:$D$131, D128) &gt; 1, "⚠ Shared T12 Label — can't isolate per-fee", ""))</f>
        <v/>
      </c>
    </row>
    <row r="153">
      <c r="A153" s="229">
        <f>A129</f>
        <v/>
      </c>
      <c r="B153" s="233">
        <f>IF(COUNTIF($D$123:D128, D129) &gt; 0, "(shared — see row " &amp; MATCH(D129, $D$123:D128, 0) + 122 &amp; ")", IFERROR(VLOOKUP(D129, 'T12 Raw Data'!$B:$R, 17, 0), 0))</f>
        <v/>
      </c>
      <c r="C153" s="233">
        <f>IF(ISNUMBER(B153), B153/12, B153)</f>
        <v/>
      </c>
      <c r="D153" s="229">
        <f>D129</f>
        <v/>
      </c>
      <c r="E153" s="229">
        <f>IF(D129="","",IF(COUNTIF($D$123:$D$131, D129) &gt; 1, "⚠ Shared T12 Label — can't isolate per-fee", ""))</f>
        <v/>
      </c>
    </row>
    <row r="154">
      <c r="A154" s="229">
        <f>A130</f>
        <v/>
      </c>
      <c r="B154" s="233">
        <f>IF(COUNTIF($D$123:D129, D130) &gt; 0, "(shared — see row " &amp; MATCH(D130, $D$123:D129, 0) + 122 &amp; ")", IFERROR(VLOOKUP(D130, 'T12 Raw Data'!$B:$R, 17, 0), 0))</f>
        <v/>
      </c>
      <c r="C154" s="233">
        <f>IF(ISNUMBER(B154), B154/12, B154)</f>
        <v/>
      </c>
      <c r="D154" s="229">
        <f>D130</f>
        <v/>
      </c>
      <c r="E154" s="229">
        <f>IF(D130="","",IF(COUNTIF($D$123:$D$131, D130) &gt; 1, "⚠ Shared T12 Label — can't isolate per-fee", ""))</f>
        <v/>
      </c>
    </row>
    <row r="155">
      <c r="A155" s="229">
        <f>A131</f>
        <v/>
      </c>
      <c r="B155" s="233">
        <f>IF(COUNTIF($D$123:D130, D131) &gt; 0, "(shared — see row " &amp; MATCH(D131, $D$123:D130, 0) + 122 &amp; ")", IFERROR(VLOOKUP(D131, 'T12 Raw Data'!$B:$R, 17, 0), 0))</f>
        <v/>
      </c>
      <c r="C155" s="233">
        <f>IF(ISNUMBER(B155), B155/12, B155)</f>
        <v/>
      </c>
      <c r="D155" s="229">
        <f>D131</f>
        <v/>
      </c>
      <c r="E155" s="229">
        <f>IF(D131="","",IF(COUNTIF($D$123:$D$131, D131) &gt; 1, "⚠ Shared T12 Label — can't isolate per-fee", ""))</f>
        <v/>
      </c>
    </row>
    <row r="157" ht="18" customHeight="1" s="199">
      <c r="A157" s="225" t="inlineStr">
        <is>
          <t>M4  —  Implied per-resident rate  (T12 monthly ÷ RR # capturing  vs.  schedule)</t>
        </is>
      </c>
    </row>
    <row r="158">
      <c r="A158" s="226" t="inlineStr">
        <is>
          <t>Fee Name</t>
        </is>
      </c>
      <c r="B158" s="226" t="inlineStr">
        <is>
          <t>T12 $/mo</t>
        </is>
      </c>
      <c r="C158" s="226" t="inlineStr">
        <is>
          <t>RR # capturing</t>
        </is>
      </c>
      <c r="D158" s="226" t="inlineStr">
        <is>
          <t>Implied $/resident</t>
        </is>
      </c>
      <c r="E158" s="226" t="inlineStr">
        <is>
          <t>Schedule $</t>
        </is>
      </c>
      <c r="F158" s="226" t="inlineStr">
        <is>
          <t>Variance %</t>
        </is>
      </c>
      <c r="G158" s="226" t="inlineStr">
        <is>
          <t>Note</t>
        </is>
      </c>
    </row>
    <row r="159">
      <c r="A159" s="229">
        <f>A123</f>
        <v/>
      </c>
      <c r="B159" s="233">
        <f>C147</f>
        <v/>
      </c>
      <c r="C159" s="231">
        <f>IF(TRIM(E123)="","—",C135)</f>
        <v/>
      </c>
      <c r="D159" s="233">
        <f>IF(AND(TRIM(E123)&lt;&gt;"",ISNUMBER(B159),ISNUMBER(C159),C159&gt;0),B159/C159,"")</f>
        <v/>
      </c>
      <c r="E159" s="233">
        <f>B123</f>
        <v/>
      </c>
      <c r="F159" s="234">
        <f>IF(AND(ISNUMBER(D159),ISNUMBER(E159),E159&lt;&gt;0),(D159-E159)/E159,"")</f>
        <v/>
      </c>
      <c r="G159" s="229">
        <f>IF(TRIM(E123)="","Falls into M5 Misc. (event-based; reconcile via M3 ÷ annual turnover)",IF(NOT(ISNUMBER(F159)),"",IF(ABS(F159)&gt;0.05,"⚠ Implied rate differs from schedule by "&amp;TEXT(F159,"0.0%")&amp; " — legacy in-place residents or schedule out of date","✓ Implied rate within 5% of schedule")))</f>
        <v/>
      </c>
    </row>
    <row r="160">
      <c r="A160" s="229">
        <f>A124</f>
        <v/>
      </c>
      <c r="B160" s="233">
        <f>C148</f>
        <v/>
      </c>
      <c r="C160" s="231">
        <f>IF(TRIM(E124)="","—",C136)</f>
        <v/>
      </c>
      <c r="D160" s="233">
        <f>IF(AND(TRIM(E124)&lt;&gt;"",ISNUMBER(B160),ISNUMBER(C160),C160&gt;0),B160/C160,"")</f>
        <v/>
      </c>
      <c r="E160" s="233">
        <f>B124</f>
        <v/>
      </c>
      <c r="F160" s="234">
        <f>IF(AND(ISNUMBER(D160),ISNUMBER(E160),E160&lt;&gt;0),(D160-E160)/E160,"")</f>
        <v/>
      </c>
      <c r="G160" s="229">
        <f>IF(TRIM(E124)="","Falls into M5 Misc. (event-based; reconcile via M3 ÷ annual turnover)",IF(NOT(ISNUMBER(F160)),"",IF(ABS(F160)&gt;0.05,"⚠ Implied rate differs from schedule by "&amp;TEXT(F160,"0.0%")&amp; " — legacy in-place residents or schedule out of date","✓ Implied rate within 5% of schedule")))</f>
        <v/>
      </c>
    </row>
    <row r="161">
      <c r="A161" s="229">
        <f>A125</f>
        <v/>
      </c>
      <c r="B161" s="233">
        <f>C149</f>
        <v/>
      </c>
      <c r="C161" s="231">
        <f>IF(TRIM(E125)="","—",C137)</f>
        <v/>
      </c>
      <c r="D161" s="233">
        <f>IF(AND(TRIM(E125)&lt;&gt;"",ISNUMBER(B161),ISNUMBER(C161),C161&gt;0),B161/C161,"")</f>
        <v/>
      </c>
      <c r="E161" s="233">
        <f>B125</f>
        <v/>
      </c>
      <c r="F161" s="234">
        <f>IF(AND(ISNUMBER(D161),ISNUMBER(E161),E161&lt;&gt;0),(D161-E161)/E161,"")</f>
        <v/>
      </c>
      <c r="G161" s="229">
        <f>IF(TRIM(E125)="","Falls into M5 Misc. (event-based; reconcile via M3 ÷ annual turnover)",IF(NOT(ISNUMBER(F161)),"",IF(ABS(F161)&gt;0.05,"⚠ Implied rate differs from schedule by "&amp;TEXT(F161,"0.0%")&amp; " — legacy in-place residents or schedule out of date","✓ Implied rate within 5% of schedule")))</f>
        <v/>
      </c>
    </row>
    <row r="162">
      <c r="A162" s="229">
        <f>A126</f>
        <v/>
      </c>
      <c r="B162" s="233">
        <f>C150</f>
        <v/>
      </c>
      <c r="C162" s="231">
        <f>IF(TRIM(E126)="","—",C138)</f>
        <v/>
      </c>
      <c r="D162" s="233">
        <f>IF(AND(TRIM(E126)&lt;&gt;"",ISNUMBER(B162),ISNUMBER(C162),C162&gt;0),B162/C162,"")</f>
        <v/>
      </c>
      <c r="E162" s="233">
        <f>B126</f>
        <v/>
      </c>
      <c r="F162" s="234">
        <f>IF(AND(ISNUMBER(D162),ISNUMBER(E162),E162&lt;&gt;0),(D162-E162)/E162,"")</f>
        <v/>
      </c>
      <c r="G162" s="229">
        <f>IF(TRIM(E126)="","Falls into M5 Misc. (event-based; reconcile via M3 ÷ annual turnover)",IF(NOT(ISNUMBER(F162)),"",IF(ABS(F162)&gt;0.05,"⚠ Implied rate differs from schedule by "&amp;TEXT(F162,"0.0%")&amp; " — legacy in-place residents or schedule out of date","✓ Implied rate within 5% of schedule")))</f>
        <v/>
      </c>
    </row>
    <row r="163">
      <c r="A163" s="229">
        <f>A127</f>
        <v/>
      </c>
      <c r="B163" s="233">
        <f>C151</f>
        <v/>
      </c>
      <c r="C163" s="231">
        <f>IF(TRIM(E127)="","—",C139)</f>
        <v/>
      </c>
      <c r="D163" s="233">
        <f>IF(AND(TRIM(E127)&lt;&gt;"",ISNUMBER(B163),ISNUMBER(C163),C163&gt;0),B163/C163,"")</f>
        <v/>
      </c>
      <c r="E163" s="233">
        <f>B127</f>
        <v/>
      </c>
      <c r="F163" s="234">
        <f>IF(AND(ISNUMBER(D163),ISNUMBER(E163),E163&lt;&gt;0),(D163-E163)/E163,"")</f>
        <v/>
      </c>
      <c r="G163" s="229">
        <f>IF(TRIM(E127)="","Falls into M5 Misc. (event-based; reconcile via M3 ÷ annual turnover)",IF(NOT(ISNUMBER(F163)),"",IF(ABS(F163)&gt;0.05,"⚠ Implied rate differs from schedule by "&amp;TEXT(F163,"0.0%")&amp; " — legacy in-place residents or schedule out of date","✓ Implied rate within 5% of schedule")))</f>
        <v/>
      </c>
    </row>
    <row r="164">
      <c r="A164" s="229">
        <f>A128</f>
        <v/>
      </c>
      <c r="B164" s="233">
        <f>C152</f>
        <v/>
      </c>
      <c r="C164" s="231">
        <f>IF(TRIM(E128)="","—",C140)</f>
        <v/>
      </c>
      <c r="D164" s="233">
        <f>IF(AND(TRIM(E128)&lt;&gt;"",ISNUMBER(B164),ISNUMBER(C164),C164&gt;0),B164/C164,"")</f>
        <v/>
      </c>
      <c r="E164" s="233">
        <f>B128</f>
        <v/>
      </c>
      <c r="F164" s="234">
        <f>IF(AND(ISNUMBER(D164),ISNUMBER(E164),E164&lt;&gt;0),(D164-E164)/E164,"")</f>
        <v/>
      </c>
      <c r="G164" s="229">
        <f>IF(TRIM(E128)="","Falls into M5 Misc. (event-based; reconcile via M3 ÷ annual turnover)",IF(NOT(ISNUMBER(F164)),"",IF(ABS(F164)&gt;0.05,"⚠ Implied rate differs from schedule by "&amp;TEXT(F164,"0.0%")&amp; " — legacy in-place residents or schedule out of date","✓ Implied rate within 5% of schedule")))</f>
        <v/>
      </c>
    </row>
    <row r="165">
      <c r="A165" s="229">
        <f>A129</f>
        <v/>
      </c>
      <c r="B165" s="233">
        <f>C153</f>
        <v/>
      </c>
      <c r="C165" s="231">
        <f>IF(TRIM(E129)="","—",C141)</f>
        <v/>
      </c>
      <c r="D165" s="233">
        <f>IF(AND(TRIM(E129)&lt;&gt;"",ISNUMBER(B165),ISNUMBER(C165),C165&gt;0),B165/C165,"")</f>
        <v/>
      </c>
      <c r="E165" s="233">
        <f>B129</f>
        <v/>
      </c>
      <c r="F165" s="234">
        <f>IF(AND(ISNUMBER(D165),ISNUMBER(E165),E165&lt;&gt;0),(D165-E165)/E165,"")</f>
        <v/>
      </c>
      <c r="G165" s="229">
        <f>IF(TRIM(E129)="","Falls into M5 Misc. (event-based; reconcile via M3 ÷ annual turnover)",IF(NOT(ISNUMBER(F165)),"",IF(ABS(F165)&gt;0.05,"⚠ Implied rate differs from schedule by "&amp;TEXT(F165,"0.0%")&amp; " — legacy in-place residents or schedule out of date","✓ Implied rate within 5% of schedule")))</f>
        <v/>
      </c>
    </row>
    <row r="166">
      <c r="A166" s="229">
        <f>A130</f>
        <v/>
      </c>
      <c r="B166" s="233">
        <f>C154</f>
        <v/>
      </c>
      <c r="C166" s="231">
        <f>IF(TRIM(E130)="","—",C142)</f>
        <v/>
      </c>
      <c r="D166" s="233">
        <f>IF(AND(TRIM(E130)&lt;&gt;"",ISNUMBER(B166),ISNUMBER(C166),C166&gt;0),B166/C166,"")</f>
        <v/>
      </c>
      <c r="E166" s="233">
        <f>B130</f>
        <v/>
      </c>
      <c r="F166" s="234">
        <f>IF(AND(ISNUMBER(D166),ISNUMBER(E166),E166&lt;&gt;0),(D166-E166)/E166,"")</f>
        <v/>
      </c>
      <c r="G166" s="229">
        <f>IF(TRIM(E130)="","Falls into M5 Misc. (event-based; reconcile via M3 ÷ annual turnover)",IF(NOT(ISNUMBER(F166)),"",IF(ABS(F166)&gt;0.05,"⚠ Implied rate differs from schedule by "&amp;TEXT(F166,"0.0%")&amp; " — legacy in-place residents or schedule out of date","✓ Implied rate within 5% of schedule")))</f>
        <v/>
      </c>
    </row>
    <row r="167">
      <c r="A167" s="229">
        <f>A131</f>
        <v/>
      </c>
      <c r="B167" s="233">
        <f>C155</f>
        <v/>
      </c>
      <c r="C167" s="231">
        <f>IF(TRIM(E131)="","—",C143)</f>
        <v/>
      </c>
      <c r="D167" s="233">
        <f>IF(AND(TRIM(E131)&lt;&gt;"",ISNUMBER(B167),ISNUMBER(C167),C167&gt;0),B167/C167,"")</f>
        <v/>
      </c>
      <c r="E167" s="233">
        <f>B131</f>
        <v/>
      </c>
      <c r="F167" s="234">
        <f>IF(AND(ISNUMBER(D167),ISNUMBER(E167),E167&lt;&gt;0),(D167-E167)/E167,"")</f>
        <v/>
      </c>
      <c r="G167" s="229">
        <f>IF(TRIM(E131)="","Falls into M5 Misc. (event-based; reconcile via M3 ÷ annual turnover)",IF(NOT(ISNUMBER(F167)),"",IF(ABS(F167)&gt;0.05,"⚠ Implied rate differs from schedule by "&amp;TEXT(F167,"0.0%")&amp; " — legacy in-place residents or schedule out of date","✓ Implied rate within 5% of schedule")))</f>
        <v/>
      </c>
    </row>
    <row r="169" ht="18" customHeight="1" s="199">
      <c r="A169" s="225" t="inlineStr">
        <is>
          <t>M5  —  Misc. Income  (T12 'Other community revenue' minus per-fee attribution)</t>
        </is>
      </c>
    </row>
    <row r="170">
      <c r="A170" s="229" t="inlineStr">
        <is>
          <t>T12 'Other community revenue' — annual total</t>
        </is>
      </c>
      <c r="B170" s="235">
        <f>IFERROR(VLOOKUP("Other community revenue", 'T12 Raw Data'!$B:$R, 17, 0), 0)</f>
        <v/>
      </c>
    </row>
    <row r="171">
      <c r="A171" s="229" t="inlineStr">
        <is>
          <t>T12 'Other community revenue' — monthly avg</t>
        </is>
      </c>
      <c r="B171" s="235">
        <f>B170/12</f>
        <v/>
      </c>
    </row>
    <row r="172">
      <c r="A172" s="229" t="inlineStr">
        <is>
          <t>Less: M4 fees attributed to this bucket (annualized)</t>
        </is>
      </c>
      <c r="B172" s="235">
        <f>SUMPRODUCT(($D$123:$D$131="Other community revenue")*ISNUMBER($C$135:$C$143)*IFERROR($C$135:$C$143*$B$123:$B$131*12,0))</f>
        <v/>
      </c>
    </row>
    <row r="173">
      <c r="A173" s="229" t="inlineStr">
        <is>
          <t>Residual unattributed Misc. income (annual)</t>
        </is>
      </c>
      <c r="B173" s="235">
        <f>B170 - B172</f>
        <v/>
      </c>
    </row>
    <row r="174">
      <c r="A174" s="229" t="inlineStr">
        <is>
          <t>Residual as % of EGI (annual)</t>
        </is>
      </c>
      <c r="B174" s="236">
        <f>IFERROR(B173 / 'Monthly Trending'!$N$21, 0)</f>
        <v/>
      </c>
    </row>
    <row r="176">
      <c r="A176" s="237">
        <f>IF(B174 &gt; 0.15, "⚠ Misc. income is " &amp; TEXT(B174, "0.0%") &amp; " of EGI — ancillary mix concentrated in shared bucket. " &amp; "Expand RR Input per-fee columns (see UW-BACKLOG BL-0003) to break out.", IF(B173 = 0, "", "✓ Misc. income share within band (≤ " &amp; TEXT(0.15, "0%") &amp; " of EGI)."))</f>
        <v/>
      </c>
    </row>
  </sheetData>
  <mergeCells count="27">
    <mergeCell ref="A15:H15"/>
    <mergeCell ref="A133:I133"/>
    <mergeCell ref="A84:I84"/>
    <mergeCell ref="A27:I27"/>
    <mergeCell ref="A50:I50"/>
    <mergeCell ref="A145:I145"/>
    <mergeCell ref="A86:I86"/>
    <mergeCell ref="A57:I57"/>
    <mergeCell ref="A33:I33"/>
    <mergeCell ref="A32:I32"/>
    <mergeCell ref="A38:I38"/>
    <mergeCell ref="A121:I121"/>
    <mergeCell ref="A102:I102"/>
    <mergeCell ref="A176:I176"/>
    <mergeCell ref="A77:I77"/>
    <mergeCell ref="A48:I48"/>
    <mergeCell ref="A157:I157"/>
    <mergeCell ref="A22:H22"/>
    <mergeCell ref="A100:H100"/>
    <mergeCell ref="A169:I169"/>
    <mergeCell ref="A1:I1"/>
    <mergeCell ref="C2:I2"/>
    <mergeCell ref="A117:H117"/>
    <mergeCell ref="A69:I69"/>
    <mergeCell ref="A6:I6"/>
    <mergeCell ref="B103:H103"/>
    <mergeCell ref="A119:I119"/>
  </mergeCells>
  <dataValidations count="2">
    <dataValidation sqref="B2" showDropDown="0" showInputMessage="0" showErrorMessage="0" allowBlank="1" type="list">
      <formula1>='RR_Calc'!$A$2:$A$13</formula1>
    </dataValidation>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Z70"/>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v0.1.15</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Other community revenue</t>
        </is>
      </c>
      <c r="B20" s="144">
        <f>IFERROR(INDEX('T12 Raw Data'!F:F,MATCH("Other community revenue",'T12 Raw Data'!B:B,0)),0)</f>
        <v/>
      </c>
      <c r="C20" s="144">
        <f>IFERROR(INDEX('T12 Raw Data'!G:G,MATCH("Other community revenue",'T12 Raw Data'!B:B,0)),0)</f>
        <v/>
      </c>
      <c r="D20" s="144">
        <f>IFERROR(INDEX('T12 Raw Data'!H:H,MATCH("Other community revenue",'T12 Raw Data'!B:B,0)),0)</f>
        <v/>
      </c>
      <c r="E20" s="144">
        <f>IFERROR(INDEX('T12 Raw Data'!I:I,MATCH("Other community revenue",'T12 Raw Data'!B:B,0)),0)</f>
        <v/>
      </c>
      <c r="F20" s="144">
        <f>IFERROR(INDEX('T12 Raw Data'!J:J,MATCH("Other community revenue",'T12 Raw Data'!B:B,0)),0)</f>
        <v/>
      </c>
      <c r="G20" s="144">
        <f>IFERROR(INDEX('T12 Raw Data'!K:K,MATCH("Other community revenue",'T12 Raw Data'!B:B,0)),0)</f>
        <v/>
      </c>
      <c r="H20" s="144">
        <f>IFERROR(INDEX('T12 Raw Data'!L:L,MATCH("Other community revenue",'T12 Raw Data'!B:B,0)),0)</f>
        <v/>
      </c>
      <c r="I20" s="144">
        <f>IFERROR(INDEX('T12 Raw Data'!M:M,MATCH("Other community revenue",'T12 Raw Data'!B:B,0)),0)</f>
        <v/>
      </c>
      <c r="J20" s="144">
        <f>IFERROR(INDEX('T12 Raw Data'!N:N,MATCH("Other community revenue",'T12 Raw Data'!B:B,0)),0)</f>
        <v/>
      </c>
      <c r="K20" s="144">
        <f>IFERROR(INDEX('T12 Raw Data'!O:O,MATCH("Other community revenue",'T12 Raw Data'!B:B,0)),0)</f>
        <v/>
      </c>
      <c r="L20" s="144">
        <f>IFERROR(INDEX('T12 Raw Data'!P:P,MATCH("Other community revenue",'T12 Raw Data'!B:B,0)),0)</f>
        <v/>
      </c>
      <c r="M20" s="144">
        <f>IFERROR(INDEX('T12 Raw Data'!Q:Q,MATCH("Other community revenue",'T12 Raw Data'!B:B,0)),0)</f>
        <v/>
      </c>
      <c r="N20" s="145">
        <f>SUM(B20:M20)</f>
        <v/>
      </c>
    </row>
    <row r="21" ht="18" customHeight="1" s="199">
      <c r="A21" s="151" t="inlineStr">
        <is>
          <t>EFFECTIVE GROSS INCOME</t>
        </is>
      </c>
      <c r="B21" s="30">
        <f>B8+B10+B11+B15+B16+B17+B18+B19+B20</f>
        <v/>
      </c>
      <c r="C21" s="30">
        <f>C8+C10+C11+C15+C16+C17+C18+C19+C20</f>
        <v/>
      </c>
      <c r="D21" s="30">
        <f>D8+D10+D11+D15+D16+D17+D18+D19+D20</f>
        <v/>
      </c>
      <c r="E21" s="30">
        <f>E8+E10+E11+E15+E16+E17+E18+E19+E20</f>
        <v/>
      </c>
      <c r="F21" s="30">
        <f>F8+F10+F11+F15+F16+F17+F18+F19+F20</f>
        <v/>
      </c>
      <c r="G21" s="30">
        <f>G8+G10+G11+G15+G16+G17+G18+G19+G20</f>
        <v/>
      </c>
      <c r="H21" s="30">
        <f>H8+H10+H11+H15+H16+H17+H18+H19+H20</f>
        <v/>
      </c>
      <c r="I21" s="30">
        <f>I8+I10+I11+I15+I16+I17+I18+I19+I20</f>
        <v/>
      </c>
      <c r="J21" s="30">
        <f>J8+J10+J11+J15+J16+J17+J18+J19+J20</f>
        <v/>
      </c>
      <c r="K21" s="30">
        <f>K8+K10+K11+K15+K16+K17+K18+K19+K20</f>
        <v/>
      </c>
      <c r="L21" s="30">
        <f>L8+L10+L11+L15+L16+L17+L18+L19+L20</f>
        <v/>
      </c>
      <c r="M21" s="30">
        <f>M8+M10+M11+M15+M16+M17+M18+M19+M20</f>
        <v/>
      </c>
      <c r="N21" s="30">
        <f>N8+N10+N11+N15+N16+N17+N18+N19+N20</f>
        <v/>
      </c>
    </row>
    <row r="22" ht="15.75" customHeight="1" s="199">
      <c r="A22" s="174" t="inlineStr">
        <is>
          <t>LABOR</t>
        </is>
      </c>
    </row>
    <row r="23" ht="15.75" customHeight="1" s="199">
      <c r="A23" s="83" t="inlineStr">
        <is>
          <t>Care staff labor</t>
        </is>
      </c>
      <c r="B23" s="144">
        <f>IFERROR(INDEX('T12 Raw Data'!F:F,MATCH("Care staff labor",'T12 Raw Data'!B:B,0)),0)</f>
        <v/>
      </c>
      <c r="C23" s="144">
        <f>IFERROR(INDEX('T12 Raw Data'!G:G,MATCH("Care staff labor",'T12 Raw Data'!B:B,0)),0)</f>
        <v/>
      </c>
      <c r="D23" s="144">
        <f>IFERROR(INDEX('T12 Raw Data'!H:H,MATCH("Care staff labor",'T12 Raw Data'!B:B,0)),0)</f>
        <v/>
      </c>
      <c r="E23" s="144">
        <f>IFERROR(INDEX('T12 Raw Data'!I:I,MATCH("Care staff labor",'T12 Raw Data'!B:B,0)),0)</f>
        <v/>
      </c>
      <c r="F23" s="144">
        <f>IFERROR(INDEX('T12 Raw Data'!J:J,MATCH("Care staff labor",'T12 Raw Data'!B:B,0)),0)</f>
        <v/>
      </c>
      <c r="G23" s="144">
        <f>IFERROR(INDEX('T12 Raw Data'!K:K,MATCH("Care staff labor",'T12 Raw Data'!B:B,0)),0)</f>
        <v/>
      </c>
      <c r="H23" s="144">
        <f>IFERROR(INDEX('T12 Raw Data'!L:L,MATCH("Care staff labor",'T12 Raw Data'!B:B,0)),0)</f>
        <v/>
      </c>
      <c r="I23" s="144">
        <f>IFERROR(INDEX('T12 Raw Data'!M:M,MATCH("Care staff labor",'T12 Raw Data'!B:B,0)),0)</f>
        <v/>
      </c>
      <c r="J23" s="144">
        <f>IFERROR(INDEX('T12 Raw Data'!N:N,MATCH("Care staff labor",'T12 Raw Data'!B:B,0)),0)</f>
        <v/>
      </c>
      <c r="K23" s="144">
        <f>IFERROR(INDEX('T12 Raw Data'!O:O,MATCH("Care staff labor",'T12 Raw Data'!B:B,0)),0)</f>
        <v/>
      </c>
      <c r="L23" s="144">
        <f>IFERROR(INDEX('T12 Raw Data'!P:P,MATCH("Care staff labor",'T12 Raw Data'!B:B,0)),0)</f>
        <v/>
      </c>
      <c r="M23" s="144">
        <f>IFERROR(INDEX('T12 Raw Data'!Q:Q,MATCH("Care staff labor",'T12 Raw Data'!B:B,0)),0)</f>
        <v/>
      </c>
      <c r="N23" s="145">
        <f>SUM(B23:M23)</f>
        <v/>
      </c>
    </row>
    <row r="24" ht="15.75" customHeight="1" s="199">
      <c r="A24" s="83" t="inlineStr">
        <is>
          <t>Wellness / care coord.</t>
        </is>
      </c>
      <c r="B24" s="144">
        <f>IFERROR(INDEX('T12 Raw Data'!F:F,MATCH("Wellness / care coordinators",'T12 Raw Data'!B:B,0)),0)</f>
        <v/>
      </c>
      <c r="C24" s="144">
        <f>IFERROR(INDEX('T12 Raw Data'!G:G,MATCH("Wellness / care coordinators",'T12 Raw Data'!B:B,0)),0)</f>
        <v/>
      </c>
      <c r="D24" s="144">
        <f>IFERROR(INDEX('T12 Raw Data'!H:H,MATCH("Wellness / care coordinators",'T12 Raw Data'!B:B,0)),0)</f>
        <v/>
      </c>
      <c r="E24" s="144">
        <f>IFERROR(INDEX('T12 Raw Data'!I:I,MATCH("Wellness / care coordinators",'T12 Raw Data'!B:B,0)),0)</f>
        <v/>
      </c>
      <c r="F24" s="144">
        <f>IFERROR(INDEX('T12 Raw Data'!J:J,MATCH("Wellness / care coordinators",'T12 Raw Data'!B:B,0)),0)</f>
        <v/>
      </c>
      <c r="G24" s="144">
        <f>IFERROR(INDEX('T12 Raw Data'!K:K,MATCH("Wellness / care coordinators",'T12 Raw Data'!B:B,0)),0)</f>
        <v/>
      </c>
      <c r="H24" s="144">
        <f>IFERROR(INDEX('T12 Raw Data'!L:L,MATCH("Wellness / care coordinators",'T12 Raw Data'!B:B,0)),0)</f>
        <v/>
      </c>
      <c r="I24" s="144">
        <f>IFERROR(INDEX('T12 Raw Data'!M:M,MATCH("Wellness / care coordinators",'T12 Raw Data'!B:B,0)),0)</f>
        <v/>
      </c>
      <c r="J24" s="144">
        <f>IFERROR(INDEX('T12 Raw Data'!N:N,MATCH("Wellness / care coordinators",'T12 Raw Data'!B:B,0)),0)</f>
        <v/>
      </c>
      <c r="K24" s="144">
        <f>IFERROR(INDEX('T12 Raw Data'!O:O,MATCH("Wellness / care coordinators",'T12 Raw Data'!B:B,0)),0)</f>
        <v/>
      </c>
      <c r="L24" s="144">
        <f>IFERROR(INDEX('T12 Raw Data'!P:P,MATCH("Wellness / care coordinators",'T12 Raw Data'!B:B,0)),0)</f>
        <v/>
      </c>
      <c r="M24" s="144">
        <f>IFERROR(INDEX('T12 Raw Data'!Q:Q,MATCH("Wellness / care coordinators",'T12 Raw Data'!B:B,0)),0)</f>
        <v/>
      </c>
      <c r="N24" s="145">
        <f>SUM(B24:M24)</f>
        <v/>
      </c>
    </row>
    <row r="25" ht="15.75" customHeight="1" s="199">
      <c r="A25" s="83" t="inlineStr">
        <is>
          <t>Contract / agency labor</t>
        </is>
      </c>
      <c r="B25" s="144">
        <f>IFERROR(INDEX('T12 Raw Data'!F:F,MATCH("Contract / agency labor",'T12 Raw Data'!B:B,0)),0)</f>
        <v/>
      </c>
      <c r="C25" s="144">
        <f>IFERROR(INDEX('T12 Raw Data'!G:G,MATCH("Contract / agency labor",'T12 Raw Data'!B:B,0)),0)</f>
        <v/>
      </c>
      <c r="D25" s="144">
        <f>IFERROR(INDEX('T12 Raw Data'!H:H,MATCH("Contract / agency labor",'T12 Raw Data'!B:B,0)),0)</f>
        <v/>
      </c>
      <c r="E25" s="144">
        <f>IFERROR(INDEX('T12 Raw Data'!I:I,MATCH("Contract / agency labor",'T12 Raw Data'!B:B,0)),0)</f>
        <v/>
      </c>
      <c r="F25" s="144">
        <f>IFERROR(INDEX('T12 Raw Data'!J:J,MATCH("Contract / agency labor",'T12 Raw Data'!B:B,0)),0)</f>
        <v/>
      </c>
      <c r="G25" s="144">
        <f>IFERROR(INDEX('T12 Raw Data'!K:K,MATCH("Contract / agency labor",'T12 Raw Data'!B:B,0)),0)</f>
        <v/>
      </c>
      <c r="H25" s="144">
        <f>IFERROR(INDEX('T12 Raw Data'!L:L,MATCH("Contract / agency labor",'T12 Raw Data'!B:B,0)),0)</f>
        <v/>
      </c>
      <c r="I25" s="144">
        <f>IFERROR(INDEX('T12 Raw Data'!M:M,MATCH("Contract / agency labor",'T12 Raw Data'!B:B,0)),0)</f>
        <v/>
      </c>
      <c r="J25" s="144">
        <f>IFERROR(INDEX('T12 Raw Data'!N:N,MATCH("Contract / agency labor",'T12 Raw Data'!B:B,0)),0)</f>
        <v/>
      </c>
      <c r="K25" s="144">
        <f>IFERROR(INDEX('T12 Raw Data'!O:O,MATCH("Contract / agency labor",'T12 Raw Data'!B:B,0)),0)</f>
        <v/>
      </c>
      <c r="L25" s="144">
        <f>IFERROR(INDEX('T12 Raw Data'!P:P,MATCH("Contract / agency labor",'T12 Raw Data'!B:B,0)),0)</f>
        <v/>
      </c>
      <c r="M25" s="144">
        <f>IFERROR(INDEX('T12 Raw Data'!Q:Q,MATCH("Contract / agency labor",'T12 Raw Data'!B:B,0)),0)</f>
        <v/>
      </c>
      <c r="N25" s="145">
        <f>SUM(B25:M25)</f>
        <v/>
      </c>
    </row>
    <row r="26" ht="15.75" customHeight="1" s="199">
      <c r="A26" s="83" t="inlineStr">
        <is>
          <t>Activities labor</t>
        </is>
      </c>
      <c r="B26" s="144">
        <f>IFERROR(INDEX('T12 Raw Data'!F:F,MATCH("Activities labor",'T12 Raw Data'!B:B,0)),0)</f>
        <v/>
      </c>
      <c r="C26" s="144">
        <f>IFERROR(INDEX('T12 Raw Data'!G:G,MATCH("Activities labor",'T12 Raw Data'!B:B,0)),0)</f>
        <v/>
      </c>
      <c r="D26" s="144">
        <f>IFERROR(INDEX('T12 Raw Data'!H:H,MATCH("Activities labor",'T12 Raw Data'!B:B,0)),0)</f>
        <v/>
      </c>
      <c r="E26" s="144">
        <f>IFERROR(INDEX('T12 Raw Data'!I:I,MATCH("Activities labor",'T12 Raw Data'!B:B,0)),0)</f>
        <v/>
      </c>
      <c r="F26" s="144">
        <f>IFERROR(INDEX('T12 Raw Data'!J:J,MATCH("Activities labor",'T12 Raw Data'!B:B,0)),0)</f>
        <v/>
      </c>
      <c r="G26" s="144">
        <f>IFERROR(INDEX('T12 Raw Data'!K:K,MATCH("Activities labor",'T12 Raw Data'!B:B,0)),0)</f>
        <v/>
      </c>
      <c r="H26" s="144">
        <f>IFERROR(INDEX('T12 Raw Data'!L:L,MATCH("Activities labor",'T12 Raw Data'!B:B,0)),0)</f>
        <v/>
      </c>
      <c r="I26" s="144">
        <f>IFERROR(INDEX('T12 Raw Data'!M:M,MATCH("Activities labor",'T12 Raw Data'!B:B,0)),0)</f>
        <v/>
      </c>
      <c r="J26" s="144">
        <f>IFERROR(INDEX('T12 Raw Data'!N:N,MATCH("Activities labor",'T12 Raw Data'!B:B,0)),0)</f>
        <v/>
      </c>
      <c r="K26" s="144">
        <f>IFERROR(INDEX('T12 Raw Data'!O:O,MATCH("Activities labor",'T12 Raw Data'!B:B,0)),0)</f>
        <v/>
      </c>
      <c r="L26" s="144">
        <f>IFERROR(INDEX('T12 Raw Data'!P:P,MATCH("Activities labor",'T12 Raw Data'!B:B,0)),0)</f>
        <v/>
      </c>
      <c r="M26" s="144">
        <f>IFERROR(INDEX('T12 Raw Data'!Q:Q,MATCH("Activities labor",'T12 Raw Data'!B:B,0)),0)</f>
        <v/>
      </c>
      <c r="N26" s="145">
        <f>SUM(B26:M26)</f>
        <v/>
      </c>
    </row>
    <row r="27" ht="15.75" customHeight="1" s="199">
      <c r="A27" s="83" t="inlineStr">
        <is>
          <t>Dining / food svc labor</t>
        </is>
      </c>
      <c r="B27" s="144">
        <f>IFERROR(INDEX('T12 Raw Data'!F:F,MATCH("Dining / food service labor",'T12 Raw Data'!B:B,0)),0)</f>
        <v/>
      </c>
      <c r="C27" s="144">
        <f>IFERROR(INDEX('T12 Raw Data'!G:G,MATCH("Dining / food service labor",'T12 Raw Data'!B:B,0)),0)</f>
        <v/>
      </c>
      <c r="D27" s="144">
        <f>IFERROR(INDEX('T12 Raw Data'!H:H,MATCH("Dining / food service labor",'T12 Raw Data'!B:B,0)),0)</f>
        <v/>
      </c>
      <c r="E27" s="144">
        <f>IFERROR(INDEX('T12 Raw Data'!I:I,MATCH("Dining / food service labor",'T12 Raw Data'!B:B,0)),0)</f>
        <v/>
      </c>
      <c r="F27" s="144">
        <f>IFERROR(INDEX('T12 Raw Data'!J:J,MATCH("Dining / food service labor",'T12 Raw Data'!B:B,0)),0)</f>
        <v/>
      </c>
      <c r="G27" s="144">
        <f>IFERROR(INDEX('T12 Raw Data'!K:K,MATCH("Dining / food service labor",'T12 Raw Data'!B:B,0)),0)</f>
        <v/>
      </c>
      <c r="H27" s="144">
        <f>IFERROR(INDEX('T12 Raw Data'!L:L,MATCH("Dining / food service labor",'T12 Raw Data'!B:B,0)),0)</f>
        <v/>
      </c>
      <c r="I27" s="144">
        <f>IFERROR(INDEX('T12 Raw Data'!M:M,MATCH("Dining / food service labor",'T12 Raw Data'!B:B,0)),0)</f>
        <v/>
      </c>
      <c r="J27" s="144">
        <f>IFERROR(INDEX('T12 Raw Data'!N:N,MATCH("Dining / food service labor",'T12 Raw Data'!B:B,0)),0)</f>
        <v/>
      </c>
      <c r="K27" s="144">
        <f>IFERROR(INDEX('T12 Raw Data'!O:O,MATCH("Dining / food service labor",'T12 Raw Data'!B:B,0)),0)</f>
        <v/>
      </c>
      <c r="L27" s="144">
        <f>IFERROR(INDEX('T12 Raw Data'!P:P,MATCH("Dining / food service labor",'T12 Raw Data'!B:B,0)),0)</f>
        <v/>
      </c>
      <c r="M27" s="144">
        <f>IFERROR(INDEX('T12 Raw Data'!Q:Q,MATCH("Dining / food service labor",'T12 Raw Data'!B:B,0)),0)</f>
        <v/>
      </c>
      <c r="N27" s="145">
        <f>SUM(B27:M27)</f>
        <v/>
      </c>
    </row>
    <row r="28" ht="15.75" customHeight="1" s="199">
      <c r="A28" s="83" t="inlineStr">
        <is>
          <t>Maint. &amp; HK labor</t>
        </is>
      </c>
      <c r="B28" s="144">
        <f>IFERROR(INDEX('T12 Raw Data'!F:F,MATCH("Maint. &amp; housekeeping labor",'T12 Raw Data'!B:B,0)),0)</f>
        <v/>
      </c>
      <c r="C28" s="144">
        <f>IFERROR(INDEX('T12 Raw Data'!G:G,MATCH("Maint. &amp; housekeeping labor",'T12 Raw Data'!B:B,0)),0)</f>
        <v/>
      </c>
      <c r="D28" s="144">
        <f>IFERROR(INDEX('T12 Raw Data'!H:H,MATCH("Maint. &amp; housekeeping labor",'T12 Raw Data'!B:B,0)),0)</f>
        <v/>
      </c>
      <c r="E28" s="144">
        <f>IFERROR(INDEX('T12 Raw Data'!I:I,MATCH("Maint. &amp; housekeeping labor",'T12 Raw Data'!B:B,0)),0)</f>
        <v/>
      </c>
      <c r="F28" s="144">
        <f>IFERROR(INDEX('T12 Raw Data'!J:J,MATCH("Maint. &amp; housekeeping labor",'T12 Raw Data'!B:B,0)),0)</f>
        <v/>
      </c>
      <c r="G28" s="144">
        <f>IFERROR(INDEX('T12 Raw Data'!K:K,MATCH("Maint. &amp; housekeeping labor",'T12 Raw Data'!B:B,0)),0)</f>
        <v/>
      </c>
      <c r="H28" s="144">
        <f>IFERROR(INDEX('T12 Raw Data'!L:L,MATCH("Maint. &amp; housekeeping labor",'T12 Raw Data'!B:B,0)),0)</f>
        <v/>
      </c>
      <c r="I28" s="144">
        <f>IFERROR(INDEX('T12 Raw Data'!M:M,MATCH("Maint. &amp; housekeeping labor",'T12 Raw Data'!B:B,0)),0)</f>
        <v/>
      </c>
      <c r="J28" s="144">
        <f>IFERROR(INDEX('T12 Raw Data'!N:N,MATCH("Maint. &amp; housekeeping labor",'T12 Raw Data'!B:B,0)),0)</f>
        <v/>
      </c>
      <c r="K28" s="144">
        <f>IFERROR(INDEX('T12 Raw Data'!O:O,MATCH("Maint. &amp; housekeeping labor",'T12 Raw Data'!B:B,0)),0)</f>
        <v/>
      </c>
      <c r="L28" s="144">
        <f>IFERROR(INDEX('T12 Raw Data'!P:P,MATCH("Maint. &amp; housekeeping labor",'T12 Raw Data'!B:B,0)),0)</f>
        <v/>
      </c>
      <c r="M28" s="144">
        <f>IFERROR(INDEX('T12 Raw Data'!Q:Q,MATCH("Maint. &amp; housekeeping labor",'T12 Raw Data'!B:B,0)),0)</f>
        <v/>
      </c>
      <c r="N28" s="145">
        <f>SUM(B28:M28)</f>
        <v/>
      </c>
    </row>
    <row r="29" ht="15.75" customHeight="1" s="199">
      <c r="A29" s="83" t="inlineStr">
        <is>
          <t>Administrative labor</t>
        </is>
      </c>
      <c r="B29" s="144">
        <f>IFERROR(INDEX('T12 Raw Data'!F:F,MATCH("Administrative labor",'T12 Raw Data'!B:B,0)),0)</f>
        <v/>
      </c>
      <c r="C29" s="144">
        <f>IFERROR(INDEX('T12 Raw Data'!G:G,MATCH("Administrative labor",'T12 Raw Data'!B:B,0)),0)</f>
        <v/>
      </c>
      <c r="D29" s="144">
        <f>IFERROR(INDEX('T12 Raw Data'!H:H,MATCH("Administrative labor",'T12 Raw Data'!B:B,0)),0)</f>
        <v/>
      </c>
      <c r="E29" s="144">
        <f>IFERROR(INDEX('T12 Raw Data'!I:I,MATCH("Administrative labor",'T12 Raw Data'!B:B,0)),0)</f>
        <v/>
      </c>
      <c r="F29" s="144">
        <f>IFERROR(INDEX('T12 Raw Data'!J:J,MATCH("Administrative labor",'T12 Raw Data'!B:B,0)),0)</f>
        <v/>
      </c>
      <c r="G29" s="144">
        <f>IFERROR(INDEX('T12 Raw Data'!K:K,MATCH("Administrative labor",'T12 Raw Data'!B:B,0)),0)</f>
        <v/>
      </c>
      <c r="H29" s="144">
        <f>IFERROR(INDEX('T12 Raw Data'!L:L,MATCH("Administrative labor",'T12 Raw Data'!B:B,0)),0)</f>
        <v/>
      </c>
      <c r="I29" s="144">
        <f>IFERROR(INDEX('T12 Raw Data'!M:M,MATCH("Administrative labor",'T12 Raw Data'!B:B,0)),0)</f>
        <v/>
      </c>
      <c r="J29" s="144">
        <f>IFERROR(INDEX('T12 Raw Data'!N:N,MATCH("Administrative labor",'T12 Raw Data'!B:B,0)),0)</f>
        <v/>
      </c>
      <c r="K29" s="144">
        <f>IFERROR(INDEX('T12 Raw Data'!O:O,MATCH("Administrative labor",'T12 Raw Data'!B:B,0)),0)</f>
        <v/>
      </c>
      <c r="L29" s="144">
        <f>IFERROR(INDEX('T12 Raw Data'!P:P,MATCH("Administrative labor",'T12 Raw Data'!B:B,0)),0)</f>
        <v/>
      </c>
      <c r="M29" s="144">
        <f>IFERROR(INDEX('T12 Raw Data'!Q:Q,MATCH("Administrative labor",'T12 Raw Data'!B:B,0)),0)</f>
        <v/>
      </c>
      <c r="N29" s="145">
        <f>SUM(B29:M29)</f>
        <v/>
      </c>
    </row>
    <row r="30" ht="15.75" customHeight="1" s="199">
      <c r="A30" s="83" t="inlineStr">
        <is>
          <t>Bonus wages</t>
        </is>
      </c>
      <c r="B30" s="144">
        <f>IFERROR(INDEX('T12 Raw Data'!F:F,MATCH("Bonus wages",'T12 Raw Data'!B:B,0)),0)</f>
        <v/>
      </c>
      <c r="C30" s="144">
        <f>IFERROR(INDEX('T12 Raw Data'!G:G,MATCH("Bonus wages",'T12 Raw Data'!B:B,0)),0)</f>
        <v/>
      </c>
      <c r="D30" s="144">
        <f>IFERROR(INDEX('T12 Raw Data'!H:H,MATCH("Bonus wages",'T12 Raw Data'!B:B,0)),0)</f>
        <v/>
      </c>
      <c r="E30" s="144">
        <f>IFERROR(INDEX('T12 Raw Data'!I:I,MATCH("Bonus wages",'T12 Raw Data'!B:B,0)),0)</f>
        <v/>
      </c>
      <c r="F30" s="144">
        <f>IFERROR(INDEX('T12 Raw Data'!J:J,MATCH("Bonus wages",'T12 Raw Data'!B:B,0)),0)</f>
        <v/>
      </c>
      <c r="G30" s="144">
        <f>IFERROR(INDEX('T12 Raw Data'!K:K,MATCH("Bonus wages",'T12 Raw Data'!B:B,0)),0)</f>
        <v/>
      </c>
      <c r="H30" s="144">
        <f>IFERROR(INDEX('T12 Raw Data'!L:L,MATCH("Bonus wages",'T12 Raw Data'!B:B,0)),0)</f>
        <v/>
      </c>
      <c r="I30" s="144">
        <f>IFERROR(INDEX('T12 Raw Data'!M:M,MATCH("Bonus wages",'T12 Raw Data'!B:B,0)),0)</f>
        <v/>
      </c>
      <c r="J30" s="144">
        <f>IFERROR(INDEX('T12 Raw Data'!N:N,MATCH("Bonus wages",'T12 Raw Data'!B:B,0)),0)</f>
        <v/>
      </c>
      <c r="K30" s="144">
        <f>IFERROR(INDEX('T12 Raw Data'!O:O,MATCH("Bonus wages",'T12 Raw Data'!B:B,0)),0)</f>
        <v/>
      </c>
      <c r="L30" s="144">
        <f>IFERROR(INDEX('T12 Raw Data'!P:P,MATCH("Bonus wages",'T12 Raw Data'!B:B,0)),0)</f>
        <v/>
      </c>
      <c r="M30" s="144">
        <f>IFERROR(INDEX('T12 Raw Data'!Q:Q,MATCH("Bonus wages",'T12 Raw Data'!B:B,0)),0)</f>
        <v/>
      </c>
      <c r="N30" s="145">
        <f>SUM(B30:M30)</f>
        <v/>
      </c>
    </row>
    <row r="31" ht="15.75" customHeight="1" s="199">
      <c r="A31" s="146" t="inlineStr">
        <is>
          <t>Total direct labor</t>
        </is>
      </c>
      <c r="B31" s="147">
        <f>B23+B24+B25+B26+B27+B28+B29+B30</f>
        <v/>
      </c>
      <c r="C31" s="147">
        <f>C23+C24+C25+C26+C27+C28+C29+C30</f>
        <v/>
      </c>
      <c r="D31" s="147">
        <f>D23+D24+D25+D26+D27+D28+D29+D30</f>
        <v/>
      </c>
      <c r="E31" s="147">
        <f>E23+E24+E25+E26+E27+E28+E29+E30</f>
        <v/>
      </c>
      <c r="F31" s="147">
        <f>F23+F24+F25+F26+F27+F28+F29+F30</f>
        <v/>
      </c>
      <c r="G31" s="147">
        <f>G23+G24+G25+G26+G27+G28+G29+G30</f>
        <v/>
      </c>
      <c r="H31" s="147">
        <f>H23+H24+H25+H26+H27+H28+H29+H30</f>
        <v/>
      </c>
      <c r="I31" s="147">
        <f>I23+I24+I25+I26+I27+I28+I29+I30</f>
        <v/>
      </c>
      <c r="J31" s="147">
        <f>J23+J24+J25+J26+J27+J28+J29+J30</f>
        <v/>
      </c>
      <c r="K31" s="147">
        <f>K23+K24+K25+K26+K27+K28+K29+K30</f>
        <v/>
      </c>
      <c r="L31" s="147">
        <f>L23+L24+L25+L26+L27+L28+L29+L30</f>
        <v/>
      </c>
      <c r="M31" s="147">
        <f>M23+M24+M25+M26+M27+M28+M29+M30</f>
        <v/>
      </c>
      <c r="N31" s="147">
        <f>N23+N24+N25+N26+N27+N28+N29+N30</f>
        <v/>
      </c>
    </row>
    <row r="32" ht="15.75" customHeight="1" s="199">
      <c r="A32" s="83" t="inlineStr">
        <is>
          <t>Overtime wages</t>
        </is>
      </c>
      <c r="B32" s="144">
        <f>IFERROR(INDEX('T12 Raw Data'!F:F,MATCH("Overtime wages",'T12 Raw Data'!B:B,0)),0)</f>
        <v/>
      </c>
      <c r="C32" s="144">
        <f>IFERROR(INDEX('T12 Raw Data'!G:G,MATCH("Overtime wages",'T12 Raw Data'!B:B,0)),0)</f>
        <v/>
      </c>
      <c r="D32" s="144">
        <f>IFERROR(INDEX('T12 Raw Data'!H:H,MATCH("Overtime wages",'T12 Raw Data'!B:B,0)),0)</f>
        <v/>
      </c>
      <c r="E32" s="144">
        <f>IFERROR(INDEX('T12 Raw Data'!I:I,MATCH("Overtime wages",'T12 Raw Data'!B:B,0)),0)</f>
        <v/>
      </c>
      <c r="F32" s="144">
        <f>IFERROR(INDEX('T12 Raw Data'!J:J,MATCH("Overtime wages",'T12 Raw Data'!B:B,0)),0)</f>
        <v/>
      </c>
      <c r="G32" s="144">
        <f>IFERROR(INDEX('T12 Raw Data'!K:K,MATCH("Overtime wages",'T12 Raw Data'!B:B,0)),0)</f>
        <v/>
      </c>
      <c r="H32" s="144">
        <f>IFERROR(INDEX('T12 Raw Data'!L:L,MATCH("Overtime wages",'T12 Raw Data'!B:B,0)),0)</f>
        <v/>
      </c>
      <c r="I32" s="144">
        <f>IFERROR(INDEX('T12 Raw Data'!M:M,MATCH("Overtime wages",'T12 Raw Data'!B:B,0)),0)</f>
        <v/>
      </c>
      <c r="J32" s="144">
        <f>IFERROR(INDEX('T12 Raw Data'!N:N,MATCH("Overtime wages",'T12 Raw Data'!B:B,0)),0)</f>
        <v/>
      </c>
      <c r="K32" s="144">
        <f>IFERROR(INDEX('T12 Raw Data'!O:O,MATCH("Overtime wages",'T12 Raw Data'!B:B,0)),0)</f>
        <v/>
      </c>
      <c r="L32" s="144">
        <f>IFERROR(INDEX('T12 Raw Data'!P:P,MATCH("Overtime wages",'T12 Raw Data'!B:B,0)),0)</f>
        <v/>
      </c>
      <c r="M32" s="144">
        <f>IFERROR(INDEX('T12 Raw Data'!Q:Q,MATCH("Overtime wages",'T12 Raw Data'!B:B,0)),0)</f>
        <v/>
      </c>
      <c r="N32" s="145">
        <f>SUM(B32:M32)</f>
        <v/>
      </c>
    </row>
    <row r="33" ht="15.75" customHeight="1" s="199">
      <c r="A33" s="83" t="inlineStr">
        <is>
          <t>PTO wages</t>
        </is>
      </c>
      <c r="B33" s="144">
        <f>IFERROR(INDEX('T12 Raw Data'!F:F,MATCH("PTO wages",'T12 Raw Data'!B:B,0)),0)</f>
        <v/>
      </c>
      <c r="C33" s="144">
        <f>IFERROR(INDEX('T12 Raw Data'!G:G,MATCH("PTO wages",'T12 Raw Data'!B:B,0)),0)</f>
        <v/>
      </c>
      <c r="D33" s="144">
        <f>IFERROR(INDEX('T12 Raw Data'!H:H,MATCH("PTO wages",'T12 Raw Data'!B:B,0)),0)</f>
        <v/>
      </c>
      <c r="E33" s="144">
        <f>IFERROR(INDEX('T12 Raw Data'!I:I,MATCH("PTO wages",'T12 Raw Data'!B:B,0)),0)</f>
        <v/>
      </c>
      <c r="F33" s="144">
        <f>IFERROR(INDEX('T12 Raw Data'!J:J,MATCH("PTO wages",'T12 Raw Data'!B:B,0)),0)</f>
        <v/>
      </c>
      <c r="G33" s="144">
        <f>IFERROR(INDEX('T12 Raw Data'!K:K,MATCH("PTO wages",'T12 Raw Data'!B:B,0)),0)</f>
        <v/>
      </c>
      <c r="H33" s="144">
        <f>IFERROR(INDEX('T12 Raw Data'!L:L,MATCH("PTO wages",'T12 Raw Data'!B:B,0)),0)</f>
        <v/>
      </c>
      <c r="I33" s="144">
        <f>IFERROR(INDEX('T12 Raw Data'!M:M,MATCH("PTO wages",'T12 Raw Data'!B:B,0)),0)</f>
        <v/>
      </c>
      <c r="J33" s="144">
        <f>IFERROR(INDEX('T12 Raw Data'!N:N,MATCH("PTO wages",'T12 Raw Data'!B:B,0)),0)</f>
        <v/>
      </c>
      <c r="K33" s="144">
        <f>IFERROR(INDEX('T12 Raw Data'!O:O,MATCH("PTO wages",'T12 Raw Data'!B:B,0)),0)</f>
        <v/>
      </c>
      <c r="L33" s="144">
        <f>IFERROR(INDEX('T12 Raw Data'!P:P,MATCH("PTO wages",'T12 Raw Data'!B:B,0)),0)</f>
        <v/>
      </c>
      <c r="M33" s="144">
        <f>IFERROR(INDEX('T12 Raw Data'!Q:Q,MATCH("PTO wages",'T12 Raw Data'!B:B,0)),0)</f>
        <v/>
      </c>
      <c r="N33" s="145">
        <f>SUM(B33:M33)</f>
        <v/>
      </c>
    </row>
    <row r="34" ht="15.75" customHeight="1" s="199">
      <c r="A34" s="83" t="inlineStr">
        <is>
          <t>Payroll taxes</t>
        </is>
      </c>
      <c r="B34" s="144">
        <f>IFERROR(INDEX('T12 Raw Data'!F:F,MATCH("Payroll taxes",'T12 Raw Data'!B:B,0)),0)</f>
        <v/>
      </c>
      <c r="C34" s="144">
        <f>IFERROR(INDEX('T12 Raw Data'!G:G,MATCH("Payroll taxes",'T12 Raw Data'!B:B,0)),0)</f>
        <v/>
      </c>
      <c r="D34" s="144">
        <f>IFERROR(INDEX('T12 Raw Data'!H:H,MATCH("Payroll taxes",'T12 Raw Data'!B:B,0)),0)</f>
        <v/>
      </c>
      <c r="E34" s="144">
        <f>IFERROR(INDEX('T12 Raw Data'!I:I,MATCH("Payroll taxes",'T12 Raw Data'!B:B,0)),0)</f>
        <v/>
      </c>
      <c r="F34" s="144">
        <f>IFERROR(INDEX('T12 Raw Data'!J:J,MATCH("Payroll taxes",'T12 Raw Data'!B:B,0)),0)</f>
        <v/>
      </c>
      <c r="G34" s="144">
        <f>IFERROR(INDEX('T12 Raw Data'!K:K,MATCH("Payroll taxes",'T12 Raw Data'!B:B,0)),0)</f>
        <v/>
      </c>
      <c r="H34" s="144">
        <f>IFERROR(INDEX('T12 Raw Data'!L:L,MATCH("Payroll taxes",'T12 Raw Data'!B:B,0)),0)</f>
        <v/>
      </c>
      <c r="I34" s="144">
        <f>IFERROR(INDEX('T12 Raw Data'!M:M,MATCH("Payroll taxes",'T12 Raw Data'!B:B,0)),0)</f>
        <v/>
      </c>
      <c r="J34" s="144">
        <f>IFERROR(INDEX('T12 Raw Data'!N:N,MATCH("Payroll taxes",'T12 Raw Data'!B:B,0)),0)</f>
        <v/>
      </c>
      <c r="K34" s="144">
        <f>IFERROR(INDEX('T12 Raw Data'!O:O,MATCH("Payroll taxes",'T12 Raw Data'!B:B,0)),0)</f>
        <v/>
      </c>
      <c r="L34" s="144">
        <f>IFERROR(INDEX('T12 Raw Data'!P:P,MATCH("Payroll taxes",'T12 Raw Data'!B:B,0)),0)</f>
        <v/>
      </c>
      <c r="M34" s="144">
        <f>IFERROR(INDEX('T12 Raw Data'!Q:Q,MATCH("Payroll taxes",'T12 Raw Data'!B:B,0)),0)</f>
        <v/>
      </c>
      <c r="N34" s="145">
        <f>SUM(B34:M34)</f>
        <v/>
      </c>
    </row>
    <row r="35" ht="15.75" customHeight="1" s="199">
      <c r="A35" s="83" t="inlineStr">
        <is>
          <t>Employee benefits</t>
        </is>
      </c>
      <c r="B35" s="144">
        <f>IFERROR(INDEX('T12 Raw Data'!F:F,MATCH("Employee benefits",'T12 Raw Data'!B:B,0)),0)</f>
        <v/>
      </c>
      <c r="C35" s="144">
        <f>IFERROR(INDEX('T12 Raw Data'!G:G,MATCH("Employee benefits",'T12 Raw Data'!B:B,0)),0)</f>
        <v/>
      </c>
      <c r="D35" s="144">
        <f>IFERROR(INDEX('T12 Raw Data'!H:H,MATCH("Employee benefits",'T12 Raw Data'!B:B,0)),0)</f>
        <v/>
      </c>
      <c r="E35" s="144">
        <f>IFERROR(INDEX('T12 Raw Data'!I:I,MATCH("Employee benefits",'T12 Raw Data'!B:B,0)),0)</f>
        <v/>
      </c>
      <c r="F35" s="144">
        <f>IFERROR(INDEX('T12 Raw Data'!J:J,MATCH("Employee benefits",'T12 Raw Data'!B:B,0)),0)</f>
        <v/>
      </c>
      <c r="G35" s="144">
        <f>IFERROR(INDEX('T12 Raw Data'!K:K,MATCH("Employee benefits",'T12 Raw Data'!B:B,0)),0)</f>
        <v/>
      </c>
      <c r="H35" s="144">
        <f>IFERROR(INDEX('T12 Raw Data'!L:L,MATCH("Employee benefits",'T12 Raw Data'!B:B,0)),0)</f>
        <v/>
      </c>
      <c r="I35" s="144">
        <f>IFERROR(INDEX('T12 Raw Data'!M:M,MATCH("Employee benefits",'T12 Raw Data'!B:B,0)),0)</f>
        <v/>
      </c>
      <c r="J35" s="144">
        <f>IFERROR(INDEX('T12 Raw Data'!N:N,MATCH("Employee benefits",'T12 Raw Data'!B:B,0)),0)</f>
        <v/>
      </c>
      <c r="K35" s="144">
        <f>IFERROR(INDEX('T12 Raw Data'!O:O,MATCH("Employee benefits",'T12 Raw Data'!B:B,0)),0)</f>
        <v/>
      </c>
      <c r="L35" s="144">
        <f>IFERROR(INDEX('T12 Raw Data'!P:P,MATCH("Employee benefits",'T12 Raw Data'!B:B,0)),0)</f>
        <v/>
      </c>
      <c r="M35" s="144">
        <f>IFERROR(INDEX('T12 Raw Data'!Q:Q,MATCH("Employee benefits",'T12 Raw Data'!B:B,0)),0)</f>
        <v/>
      </c>
      <c r="N35" s="145">
        <f>SUM(B35:M35)</f>
        <v/>
      </c>
    </row>
    <row r="36" ht="15.75" customHeight="1" s="199">
      <c r="A36" s="83" t="inlineStr">
        <is>
          <t>Workers' comp insurance</t>
        </is>
      </c>
      <c r="B36" s="144">
        <f>IFERROR(INDEX('T12 Raw Data'!F:F,MATCH("Workers' comp insurance",'T12 Raw Data'!B:B,0)),0)</f>
        <v/>
      </c>
      <c r="C36" s="144">
        <f>IFERROR(INDEX('T12 Raw Data'!G:G,MATCH("Workers' comp insurance",'T12 Raw Data'!B:B,0)),0)</f>
        <v/>
      </c>
      <c r="D36" s="144">
        <f>IFERROR(INDEX('T12 Raw Data'!H:H,MATCH("Workers' comp insurance",'T12 Raw Data'!B:B,0)),0)</f>
        <v/>
      </c>
      <c r="E36" s="144">
        <f>IFERROR(INDEX('T12 Raw Data'!I:I,MATCH("Workers' comp insurance",'T12 Raw Data'!B:B,0)),0)</f>
        <v/>
      </c>
      <c r="F36" s="144">
        <f>IFERROR(INDEX('T12 Raw Data'!J:J,MATCH("Workers' comp insurance",'T12 Raw Data'!B:B,0)),0)</f>
        <v/>
      </c>
      <c r="G36" s="144">
        <f>IFERROR(INDEX('T12 Raw Data'!K:K,MATCH("Workers' comp insurance",'T12 Raw Data'!B:B,0)),0)</f>
        <v/>
      </c>
      <c r="H36" s="144">
        <f>IFERROR(INDEX('T12 Raw Data'!L:L,MATCH("Workers' comp insurance",'T12 Raw Data'!B:B,0)),0)</f>
        <v/>
      </c>
      <c r="I36" s="144">
        <f>IFERROR(INDEX('T12 Raw Data'!M:M,MATCH("Workers' comp insurance",'T12 Raw Data'!B:B,0)),0)</f>
        <v/>
      </c>
      <c r="J36" s="144">
        <f>IFERROR(INDEX('T12 Raw Data'!N:N,MATCH("Workers' comp insurance",'T12 Raw Data'!B:B,0)),0)</f>
        <v/>
      </c>
      <c r="K36" s="144">
        <f>IFERROR(INDEX('T12 Raw Data'!O:O,MATCH("Workers' comp insurance",'T12 Raw Data'!B:B,0)),0)</f>
        <v/>
      </c>
      <c r="L36" s="144">
        <f>IFERROR(INDEX('T12 Raw Data'!P:P,MATCH("Workers' comp insurance",'T12 Raw Data'!B:B,0)),0)</f>
        <v/>
      </c>
      <c r="M36" s="144">
        <f>IFERROR(INDEX('T12 Raw Data'!Q:Q,MATCH("Workers' comp insurance",'T12 Raw Data'!B:B,0)),0)</f>
        <v/>
      </c>
      <c r="N36" s="145">
        <f>SUM(B36:M36)</f>
        <v/>
      </c>
    </row>
    <row r="37" ht="15.75" customHeight="1" s="199">
      <c r="A37" s="83" t="inlineStr">
        <is>
          <t>Employee 401(k)</t>
        </is>
      </c>
      <c r="B37" s="144">
        <f>IFERROR(INDEX('T12 Raw Data'!F:F,MATCH("Employee 401(k)",'T12 Raw Data'!B:B,0)),0)</f>
        <v/>
      </c>
      <c r="C37" s="144">
        <f>IFERROR(INDEX('T12 Raw Data'!G:G,MATCH("Employee 401(k)",'T12 Raw Data'!B:B,0)),0)</f>
        <v/>
      </c>
      <c r="D37" s="144">
        <f>IFERROR(INDEX('T12 Raw Data'!H:H,MATCH("Employee 401(k)",'T12 Raw Data'!B:B,0)),0)</f>
        <v/>
      </c>
      <c r="E37" s="144">
        <f>IFERROR(INDEX('T12 Raw Data'!I:I,MATCH("Employee 401(k)",'T12 Raw Data'!B:B,0)),0)</f>
        <v/>
      </c>
      <c r="F37" s="144">
        <f>IFERROR(INDEX('T12 Raw Data'!J:J,MATCH("Employee 401(k)",'T12 Raw Data'!B:B,0)),0)</f>
        <v/>
      </c>
      <c r="G37" s="144">
        <f>IFERROR(INDEX('T12 Raw Data'!K:K,MATCH("Employee 401(k)",'T12 Raw Data'!B:B,0)),0)</f>
        <v/>
      </c>
      <c r="H37" s="144">
        <f>IFERROR(INDEX('T12 Raw Data'!L:L,MATCH("Employee 401(k)",'T12 Raw Data'!B:B,0)),0)</f>
        <v/>
      </c>
      <c r="I37" s="144">
        <f>IFERROR(INDEX('T12 Raw Data'!M:M,MATCH("Employee 401(k)",'T12 Raw Data'!B:B,0)),0)</f>
        <v/>
      </c>
      <c r="J37" s="144">
        <f>IFERROR(INDEX('T12 Raw Data'!N:N,MATCH("Employee 401(k)",'T12 Raw Data'!B:B,0)),0)</f>
        <v/>
      </c>
      <c r="K37" s="144">
        <f>IFERROR(INDEX('T12 Raw Data'!O:O,MATCH("Employee 401(k)",'T12 Raw Data'!B:B,0)),0)</f>
        <v/>
      </c>
      <c r="L37" s="144">
        <f>IFERROR(INDEX('T12 Raw Data'!P:P,MATCH("Employee 401(k)",'T12 Raw Data'!B:B,0)),0)</f>
        <v/>
      </c>
      <c r="M37" s="144">
        <f>IFERROR(INDEX('T12 Raw Data'!Q:Q,MATCH("Employee 401(k)",'T12 Raw Data'!B:B,0)),0)</f>
        <v/>
      </c>
      <c r="N37" s="145">
        <f>SUM(B37:M37)</f>
        <v/>
      </c>
    </row>
    <row r="38" ht="15.75" customHeight="1" s="199">
      <c r="A38" s="146" t="inlineStr">
        <is>
          <t>Total payroll burden</t>
        </is>
      </c>
      <c r="B38" s="147">
        <f>B32+B33+B34+B35+B36+B37</f>
        <v/>
      </c>
      <c r="C38" s="147">
        <f>C32+C33+C34+C35+C36+C37</f>
        <v/>
      </c>
      <c r="D38" s="147">
        <f>D32+D33+D34+D35+D36+D37</f>
        <v/>
      </c>
      <c r="E38" s="147">
        <f>E32+E33+E34+E35+E36+E37</f>
        <v/>
      </c>
      <c r="F38" s="147">
        <f>F32+F33+F34+F35+F36+F37</f>
        <v/>
      </c>
      <c r="G38" s="147">
        <f>G32+G33+G34+G35+G36+G37</f>
        <v/>
      </c>
      <c r="H38" s="147">
        <f>H32+H33+H34+H35+H36+H37</f>
        <v/>
      </c>
      <c r="I38" s="147">
        <f>I32+I33+I34+I35+I36+I37</f>
        <v/>
      </c>
      <c r="J38" s="147">
        <f>J32+J33+J34+J35+J36+J37</f>
        <v/>
      </c>
      <c r="K38" s="147">
        <f>K32+K33+K34+K35+K36+K37</f>
        <v/>
      </c>
      <c r="L38" s="147">
        <f>L32+L33+L34+L35+L36+L37</f>
        <v/>
      </c>
      <c r="M38" s="147">
        <f>M32+M33+M34+M35+M36+M37</f>
        <v/>
      </c>
      <c r="N38" s="147">
        <f>N32+N33+N34+N35+N36+N37</f>
        <v/>
      </c>
    </row>
    <row r="39" ht="18" customHeight="1" s="199">
      <c r="A39" s="151" t="inlineStr">
        <is>
          <t>TOTAL LABOR &amp; BURDEN</t>
        </is>
      </c>
      <c r="B39" s="30">
        <f>B31+B38</f>
        <v/>
      </c>
      <c r="C39" s="30">
        <f>C31+C38</f>
        <v/>
      </c>
      <c r="D39" s="30">
        <f>D31+D38</f>
        <v/>
      </c>
      <c r="E39" s="30">
        <f>E31+E38</f>
        <v/>
      </c>
      <c r="F39" s="30">
        <f>F31+F38</f>
        <v/>
      </c>
      <c r="G39" s="30">
        <f>G31+G38</f>
        <v/>
      </c>
      <c r="H39" s="30">
        <f>H31+H38</f>
        <v/>
      </c>
      <c r="I39" s="30">
        <f>I31+I38</f>
        <v/>
      </c>
      <c r="J39" s="30">
        <f>J31+J38</f>
        <v/>
      </c>
      <c r="K39" s="30">
        <f>K31+K38</f>
        <v/>
      </c>
      <c r="L39" s="30">
        <f>L31+L38</f>
        <v/>
      </c>
      <c r="M39" s="30">
        <f>M31+M38</f>
        <v/>
      </c>
      <c r="N39" s="30">
        <f>N31+N38</f>
        <v/>
      </c>
    </row>
    <row r="40" ht="15.75" customHeight="1" s="199">
      <c r="A40" s="174" t="inlineStr">
        <is>
          <t>NON-LABOR</t>
        </is>
      </c>
    </row>
    <row r="41" ht="15.75" customHeight="1" s="199">
      <c r="A41" s="83" t="inlineStr">
        <is>
          <t>Food cost</t>
        </is>
      </c>
      <c r="B41" s="144">
        <f>IFERROR(INDEX('T12 Raw Data'!F:F,MATCH("Food cost",'T12 Raw Data'!B:B,0)),0)</f>
        <v/>
      </c>
      <c r="C41" s="144">
        <f>IFERROR(INDEX('T12 Raw Data'!G:G,MATCH("Food cost",'T12 Raw Data'!B:B,0)),0)</f>
        <v/>
      </c>
      <c r="D41" s="144">
        <f>IFERROR(INDEX('T12 Raw Data'!H:H,MATCH("Food cost",'T12 Raw Data'!B:B,0)),0)</f>
        <v/>
      </c>
      <c r="E41" s="144">
        <f>IFERROR(INDEX('T12 Raw Data'!I:I,MATCH("Food cost",'T12 Raw Data'!B:B,0)),0)</f>
        <v/>
      </c>
      <c r="F41" s="144">
        <f>IFERROR(INDEX('T12 Raw Data'!J:J,MATCH("Food cost",'T12 Raw Data'!B:B,0)),0)</f>
        <v/>
      </c>
      <c r="G41" s="144">
        <f>IFERROR(INDEX('T12 Raw Data'!K:K,MATCH("Food cost",'T12 Raw Data'!B:B,0)),0)</f>
        <v/>
      </c>
      <c r="H41" s="144">
        <f>IFERROR(INDEX('T12 Raw Data'!L:L,MATCH("Food cost",'T12 Raw Data'!B:B,0)),0)</f>
        <v/>
      </c>
      <c r="I41" s="144">
        <f>IFERROR(INDEX('T12 Raw Data'!M:M,MATCH("Food cost",'T12 Raw Data'!B:B,0)),0)</f>
        <v/>
      </c>
      <c r="J41" s="144">
        <f>IFERROR(INDEX('T12 Raw Data'!N:N,MATCH("Food cost",'T12 Raw Data'!B:B,0)),0)</f>
        <v/>
      </c>
      <c r="K41" s="144">
        <f>IFERROR(INDEX('T12 Raw Data'!O:O,MATCH("Food cost",'T12 Raw Data'!B:B,0)),0)</f>
        <v/>
      </c>
      <c r="L41" s="144">
        <f>IFERROR(INDEX('T12 Raw Data'!P:P,MATCH("Food cost",'T12 Raw Data'!B:B,0)),0)</f>
        <v/>
      </c>
      <c r="M41" s="144">
        <f>IFERROR(INDEX('T12 Raw Data'!Q:Q,MATCH("Food cost",'T12 Raw Data'!B:B,0)),0)</f>
        <v/>
      </c>
      <c r="N41" s="145">
        <f>SUM(B41:M41)</f>
        <v/>
      </c>
    </row>
    <row r="42" ht="15.75" customHeight="1" s="199">
      <c r="A42" s="83" t="inlineStr">
        <is>
          <t>Dining &amp; kitchen supplies</t>
        </is>
      </c>
      <c r="B42" s="144">
        <f>IFERROR(INDEX('T12 Raw Data'!F:F,MATCH("Dining &amp; kitchen supplies",'T12 Raw Data'!B:B,0)),0)</f>
        <v/>
      </c>
      <c r="C42" s="144">
        <f>IFERROR(INDEX('T12 Raw Data'!G:G,MATCH("Dining &amp; kitchen supplies",'T12 Raw Data'!B:B,0)),0)</f>
        <v/>
      </c>
      <c r="D42" s="144">
        <f>IFERROR(INDEX('T12 Raw Data'!H:H,MATCH("Dining &amp; kitchen supplies",'T12 Raw Data'!B:B,0)),0)</f>
        <v/>
      </c>
      <c r="E42" s="144">
        <f>IFERROR(INDEX('T12 Raw Data'!I:I,MATCH("Dining &amp; kitchen supplies",'T12 Raw Data'!B:B,0)),0)</f>
        <v/>
      </c>
      <c r="F42" s="144">
        <f>IFERROR(INDEX('T12 Raw Data'!J:J,MATCH("Dining &amp; kitchen supplies",'T12 Raw Data'!B:B,0)),0)</f>
        <v/>
      </c>
      <c r="G42" s="144">
        <f>IFERROR(INDEX('T12 Raw Data'!K:K,MATCH("Dining &amp; kitchen supplies",'T12 Raw Data'!B:B,0)),0)</f>
        <v/>
      </c>
      <c r="H42" s="144">
        <f>IFERROR(INDEX('T12 Raw Data'!L:L,MATCH("Dining &amp; kitchen supplies",'T12 Raw Data'!B:B,0)),0)</f>
        <v/>
      </c>
      <c r="I42" s="144">
        <f>IFERROR(INDEX('T12 Raw Data'!M:M,MATCH("Dining &amp; kitchen supplies",'T12 Raw Data'!B:B,0)),0)</f>
        <v/>
      </c>
      <c r="J42" s="144">
        <f>IFERROR(INDEX('T12 Raw Data'!N:N,MATCH("Dining &amp; kitchen supplies",'T12 Raw Data'!B:B,0)),0)</f>
        <v/>
      </c>
      <c r="K42" s="144">
        <f>IFERROR(INDEX('T12 Raw Data'!O:O,MATCH("Dining &amp; kitchen supplies",'T12 Raw Data'!B:B,0)),0)</f>
        <v/>
      </c>
      <c r="L42" s="144">
        <f>IFERROR(INDEX('T12 Raw Data'!P:P,MATCH("Dining &amp; kitchen supplies",'T12 Raw Data'!B:B,0)),0)</f>
        <v/>
      </c>
      <c r="M42" s="144">
        <f>IFERROR(INDEX('T12 Raw Data'!Q:Q,MATCH("Dining &amp; kitchen supplies",'T12 Raw Data'!B:B,0)),0)</f>
        <v/>
      </c>
      <c r="N42" s="145">
        <f>SUM(B42:M42)</f>
        <v/>
      </c>
    </row>
    <row r="43" ht="15.75" customHeight="1" s="199">
      <c r="A43" s="83" t="inlineStr">
        <is>
          <t>Nursing &amp; care supplies</t>
        </is>
      </c>
      <c r="B43" s="144">
        <f>IFERROR(INDEX('T12 Raw Data'!F:F,MATCH("Nursing &amp; care supplies",'T12 Raw Data'!B:B,0)),0)</f>
        <v/>
      </c>
      <c r="C43" s="144">
        <f>IFERROR(INDEX('T12 Raw Data'!G:G,MATCH("Nursing &amp; care supplies",'T12 Raw Data'!B:B,0)),0)</f>
        <v/>
      </c>
      <c r="D43" s="144">
        <f>IFERROR(INDEX('T12 Raw Data'!H:H,MATCH("Nursing &amp; care supplies",'T12 Raw Data'!B:B,0)),0)</f>
        <v/>
      </c>
      <c r="E43" s="144">
        <f>IFERROR(INDEX('T12 Raw Data'!I:I,MATCH("Nursing &amp; care supplies",'T12 Raw Data'!B:B,0)),0)</f>
        <v/>
      </c>
      <c r="F43" s="144">
        <f>IFERROR(INDEX('T12 Raw Data'!J:J,MATCH("Nursing &amp; care supplies",'T12 Raw Data'!B:B,0)),0)</f>
        <v/>
      </c>
      <c r="G43" s="144">
        <f>IFERROR(INDEX('T12 Raw Data'!K:K,MATCH("Nursing &amp; care supplies",'T12 Raw Data'!B:B,0)),0)</f>
        <v/>
      </c>
      <c r="H43" s="144">
        <f>IFERROR(INDEX('T12 Raw Data'!L:L,MATCH("Nursing &amp; care supplies",'T12 Raw Data'!B:B,0)),0)</f>
        <v/>
      </c>
      <c r="I43" s="144">
        <f>IFERROR(INDEX('T12 Raw Data'!M:M,MATCH("Nursing &amp; care supplies",'T12 Raw Data'!B:B,0)),0)</f>
        <v/>
      </c>
      <c r="J43" s="144">
        <f>IFERROR(INDEX('T12 Raw Data'!N:N,MATCH("Nursing &amp; care supplies",'T12 Raw Data'!B:B,0)),0)</f>
        <v/>
      </c>
      <c r="K43" s="144">
        <f>IFERROR(INDEX('T12 Raw Data'!O:O,MATCH("Nursing &amp; care supplies",'T12 Raw Data'!B:B,0)),0)</f>
        <v/>
      </c>
      <c r="L43" s="144">
        <f>IFERROR(INDEX('T12 Raw Data'!P:P,MATCH("Nursing &amp; care supplies",'T12 Raw Data'!B:B,0)),0)</f>
        <v/>
      </c>
      <c r="M43" s="144">
        <f>IFERROR(INDEX('T12 Raw Data'!Q:Q,MATCH("Nursing &amp; care supplies",'T12 Raw Data'!B:B,0)),0)</f>
        <v/>
      </c>
      <c r="N43" s="145">
        <f>SUM(B43:M43)</f>
        <v/>
      </c>
    </row>
    <row r="44" ht="15.75" customHeight="1" s="199">
      <c r="A44" s="83" t="inlineStr">
        <is>
          <t>Recreation supplies</t>
        </is>
      </c>
      <c r="B44" s="144">
        <f>IFERROR(INDEX('T12 Raw Data'!F:F,MATCH("Recreation &amp; activity suppl.",'T12 Raw Data'!B:B,0)),0)</f>
        <v/>
      </c>
      <c r="C44" s="144">
        <f>IFERROR(INDEX('T12 Raw Data'!G:G,MATCH("Recreation &amp; activity suppl.",'T12 Raw Data'!B:B,0)),0)</f>
        <v/>
      </c>
      <c r="D44" s="144">
        <f>IFERROR(INDEX('T12 Raw Data'!H:H,MATCH("Recreation &amp; activity suppl.",'T12 Raw Data'!B:B,0)),0)</f>
        <v/>
      </c>
      <c r="E44" s="144">
        <f>IFERROR(INDEX('T12 Raw Data'!I:I,MATCH("Recreation &amp; activity suppl.",'T12 Raw Data'!B:B,0)),0)</f>
        <v/>
      </c>
      <c r="F44" s="144">
        <f>IFERROR(INDEX('T12 Raw Data'!J:J,MATCH("Recreation &amp; activity suppl.",'T12 Raw Data'!B:B,0)),0)</f>
        <v/>
      </c>
      <c r="G44" s="144">
        <f>IFERROR(INDEX('T12 Raw Data'!K:K,MATCH("Recreation &amp; activity suppl.",'T12 Raw Data'!B:B,0)),0)</f>
        <v/>
      </c>
      <c r="H44" s="144">
        <f>IFERROR(INDEX('T12 Raw Data'!L:L,MATCH("Recreation &amp; activity suppl.",'T12 Raw Data'!B:B,0)),0)</f>
        <v/>
      </c>
      <c r="I44" s="144">
        <f>IFERROR(INDEX('T12 Raw Data'!M:M,MATCH("Recreation &amp; activity suppl.",'T12 Raw Data'!B:B,0)),0)</f>
        <v/>
      </c>
      <c r="J44" s="144">
        <f>IFERROR(INDEX('T12 Raw Data'!N:N,MATCH("Recreation &amp; activity suppl.",'T12 Raw Data'!B:B,0)),0)</f>
        <v/>
      </c>
      <c r="K44" s="144">
        <f>IFERROR(INDEX('T12 Raw Data'!O:O,MATCH("Recreation &amp; activity suppl.",'T12 Raw Data'!B:B,0)),0)</f>
        <v/>
      </c>
      <c r="L44" s="144">
        <f>IFERROR(INDEX('T12 Raw Data'!P:P,MATCH("Recreation &amp; activity suppl.",'T12 Raw Data'!B:B,0)),0)</f>
        <v/>
      </c>
      <c r="M44" s="144">
        <f>IFERROR(INDEX('T12 Raw Data'!Q:Q,MATCH("Recreation &amp; activity suppl.",'T12 Raw Data'!B:B,0)),0)</f>
        <v/>
      </c>
      <c r="N44" s="145">
        <f>SUM(B44:M44)</f>
        <v/>
      </c>
    </row>
    <row r="45" ht="15.75" customHeight="1" s="199">
      <c r="A45" s="83" t="inlineStr">
        <is>
          <t>R&amp;M fixed</t>
        </is>
      </c>
      <c r="B45" s="144">
        <f>IFERROR(INDEX('T12 Raw Data'!F:F,MATCH("R&amp;M fixed",'T12 Raw Data'!B:B,0)),0)</f>
        <v/>
      </c>
      <c r="C45" s="144">
        <f>IFERROR(INDEX('T12 Raw Data'!G:G,MATCH("R&amp;M fixed",'T12 Raw Data'!B:B,0)),0)</f>
        <v/>
      </c>
      <c r="D45" s="144">
        <f>IFERROR(INDEX('T12 Raw Data'!H:H,MATCH("R&amp;M fixed",'T12 Raw Data'!B:B,0)),0)</f>
        <v/>
      </c>
      <c r="E45" s="144">
        <f>IFERROR(INDEX('T12 Raw Data'!I:I,MATCH("R&amp;M fixed",'T12 Raw Data'!B:B,0)),0)</f>
        <v/>
      </c>
      <c r="F45" s="144">
        <f>IFERROR(INDEX('T12 Raw Data'!J:J,MATCH("R&amp;M fixed",'T12 Raw Data'!B:B,0)),0)</f>
        <v/>
      </c>
      <c r="G45" s="144">
        <f>IFERROR(INDEX('T12 Raw Data'!K:K,MATCH("R&amp;M fixed",'T12 Raw Data'!B:B,0)),0)</f>
        <v/>
      </c>
      <c r="H45" s="144">
        <f>IFERROR(INDEX('T12 Raw Data'!L:L,MATCH("R&amp;M fixed",'T12 Raw Data'!B:B,0)),0)</f>
        <v/>
      </c>
      <c r="I45" s="144">
        <f>IFERROR(INDEX('T12 Raw Data'!M:M,MATCH("R&amp;M fixed",'T12 Raw Data'!B:B,0)),0)</f>
        <v/>
      </c>
      <c r="J45" s="144">
        <f>IFERROR(INDEX('T12 Raw Data'!N:N,MATCH("R&amp;M fixed",'T12 Raw Data'!B:B,0)),0)</f>
        <v/>
      </c>
      <c r="K45" s="144">
        <f>IFERROR(INDEX('T12 Raw Data'!O:O,MATCH("R&amp;M fixed",'T12 Raw Data'!B:B,0)),0)</f>
        <v/>
      </c>
      <c r="L45" s="144">
        <f>IFERROR(INDEX('T12 Raw Data'!P:P,MATCH("R&amp;M fixed",'T12 Raw Data'!B:B,0)),0)</f>
        <v/>
      </c>
      <c r="M45" s="144">
        <f>IFERROR(INDEX('T12 Raw Data'!Q:Q,MATCH("R&amp;M fixed",'T12 Raw Data'!B:B,0)),0)</f>
        <v/>
      </c>
      <c r="N45" s="145">
        <f>SUM(B45:M45)</f>
        <v/>
      </c>
    </row>
    <row r="46" ht="15.75" customHeight="1" s="199">
      <c r="A46" s="83" t="inlineStr">
        <is>
          <t>R&amp;M variable</t>
        </is>
      </c>
      <c r="B46" s="144">
        <f>IFERROR(INDEX('T12 Raw Data'!F:F,MATCH("R&amp;M variable",'T12 Raw Data'!B:B,0)),0)</f>
        <v/>
      </c>
      <c r="C46" s="144">
        <f>IFERROR(INDEX('T12 Raw Data'!G:G,MATCH("R&amp;M variable",'T12 Raw Data'!B:B,0)),0)</f>
        <v/>
      </c>
      <c r="D46" s="144">
        <f>IFERROR(INDEX('T12 Raw Data'!H:H,MATCH("R&amp;M variable",'T12 Raw Data'!B:B,0)),0)</f>
        <v/>
      </c>
      <c r="E46" s="144">
        <f>IFERROR(INDEX('T12 Raw Data'!I:I,MATCH("R&amp;M variable",'T12 Raw Data'!B:B,0)),0)</f>
        <v/>
      </c>
      <c r="F46" s="144">
        <f>IFERROR(INDEX('T12 Raw Data'!J:J,MATCH("R&amp;M variable",'T12 Raw Data'!B:B,0)),0)</f>
        <v/>
      </c>
      <c r="G46" s="144">
        <f>IFERROR(INDEX('T12 Raw Data'!K:K,MATCH("R&amp;M variable",'T12 Raw Data'!B:B,0)),0)</f>
        <v/>
      </c>
      <c r="H46" s="144">
        <f>IFERROR(INDEX('T12 Raw Data'!L:L,MATCH("R&amp;M variable",'T12 Raw Data'!B:B,0)),0)</f>
        <v/>
      </c>
      <c r="I46" s="144">
        <f>IFERROR(INDEX('T12 Raw Data'!M:M,MATCH("R&amp;M variable",'T12 Raw Data'!B:B,0)),0)</f>
        <v/>
      </c>
      <c r="J46" s="144">
        <f>IFERROR(INDEX('T12 Raw Data'!N:N,MATCH("R&amp;M variable",'T12 Raw Data'!B:B,0)),0)</f>
        <v/>
      </c>
      <c r="K46" s="144">
        <f>IFERROR(INDEX('T12 Raw Data'!O:O,MATCH("R&amp;M variable",'T12 Raw Data'!B:B,0)),0)</f>
        <v/>
      </c>
      <c r="L46" s="144">
        <f>IFERROR(INDEX('T12 Raw Data'!P:P,MATCH("R&amp;M variable",'T12 Raw Data'!B:B,0)),0)</f>
        <v/>
      </c>
      <c r="M46" s="144">
        <f>IFERROR(INDEX('T12 Raw Data'!Q:Q,MATCH("R&amp;M variable",'T12 Raw Data'!B:B,0)),0)</f>
        <v/>
      </c>
      <c r="N46" s="145">
        <f>SUM(B46:M46)</f>
        <v/>
      </c>
    </row>
    <row r="47" ht="15.75" customHeight="1" s="199">
      <c r="A47" s="83" t="inlineStr">
        <is>
          <t>HK &amp; laundry supplies</t>
        </is>
      </c>
      <c r="B47" s="144">
        <f>IFERROR(INDEX('T12 Raw Data'!F:F,MATCH("HK &amp; laundry supplies",'T12 Raw Data'!B:B,0)),0)</f>
        <v/>
      </c>
      <c r="C47" s="144">
        <f>IFERROR(INDEX('T12 Raw Data'!G:G,MATCH("HK &amp; laundry supplies",'T12 Raw Data'!B:B,0)),0)</f>
        <v/>
      </c>
      <c r="D47" s="144">
        <f>IFERROR(INDEX('T12 Raw Data'!H:H,MATCH("HK &amp; laundry supplies",'T12 Raw Data'!B:B,0)),0)</f>
        <v/>
      </c>
      <c r="E47" s="144">
        <f>IFERROR(INDEX('T12 Raw Data'!I:I,MATCH("HK &amp; laundry supplies",'T12 Raw Data'!B:B,0)),0)</f>
        <v/>
      </c>
      <c r="F47" s="144">
        <f>IFERROR(INDEX('T12 Raw Data'!J:J,MATCH("HK &amp; laundry supplies",'T12 Raw Data'!B:B,0)),0)</f>
        <v/>
      </c>
      <c r="G47" s="144">
        <f>IFERROR(INDEX('T12 Raw Data'!K:K,MATCH("HK &amp; laundry supplies",'T12 Raw Data'!B:B,0)),0)</f>
        <v/>
      </c>
      <c r="H47" s="144">
        <f>IFERROR(INDEX('T12 Raw Data'!L:L,MATCH("HK &amp; laundry supplies",'T12 Raw Data'!B:B,0)),0)</f>
        <v/>
      </c>
      <c r="I47" s="144">
        <f>IFERROR(INDEX('T12 Raw Data'!M:M,MATCH("HK &amp; laundry supplies",'T12 Raw Data'!B:B,0)),0)</f>
        <v/>
      </c>
      <c r="J47" s="144">
        <f>IFERROR(INDEX('T12 Raw Data'!N:N,MATCH("HK &amp; laundry supplies",'T12 Raw Data'!B:B,0)),0)</f>
        <v/>
      </c>
      <c r="K47" s="144">
        <f>IFERROR(INDEX('T12 Raw Data'!O:O,MATCH("HK &amp; laundry supplies",'T12 Raw Data'!B:B,0)),0)</f>
        <v/>
      </c>
      <c r="L47" s="144">
        <f>IFERROR(INDEX('T12 Raw Data'!P:P,MATCH("HK &amp; laundry supplies",'T12 Raw Data'!B:B,0)),0)</f>
        <v/>
      </c>
      <c r="M47" s="144">
        <f>IFERROR(INDEX('T12 Raw Data'!Q:Q,MATCH("HK &amp; laundry supplies",'T12 Raw Data'!B:B,0)),0)</f>
        <v/>
      </c>
      <c r="N47" s="145">
        <f>SUM(B47:M47)</f>
        <v/>
      </c>
    </row>
    <row r="48" ht="15.75" customHeight="1" s="199">
      <c r="A48" s="83" t="inlineStr">
        <is>
          <t>Sales, adv. &amp; marketing</t>
        </is>
      </c>
      <c r="B48" s="144">
        <f>IFERROR(INDEX('T12 Raw Data'!F:F,MATCH("Sales, adv. &amp; marketing",'T12 Raw Data'!B:B,0)),0)</f>
        <v/>
      </c>
      <c r="C48" s="144">
        <f>IFERROR(INDEX('T12 Raw Data'!G:G,MATCH("Sales, adv. &amp; marketing",'T12 Raw Data'!B:B,0)),0)</f>
        <v/>
      </c>
      <c r="D48" s="144">
        <f>IFERROR(INDEX('T12 Raw Data'!H:H,MATCH("Sales, adv. &amp; marketing",'T12 Raw Data'!B:B,0)),0)</f>
        <v/>
      </c>
      <c r="E48" s="144">
        <f>IFERROR(INDEX('T12 Raw Data'!I:I,MATCH("Sales, adv. &amp; marketing",'T12 Raw Data'!B:B,0)),0)</f>
        <v/>
      </c>
      <c r="F48" s="144">
        <f>IFERROR(INDEX('T12 Raw Data'!J:J,MATCH("Sales, adv. &amp; marketing",'T12 Raw Data'!B:B,0)),0)</f>
        <v/>
      </c>
      <c r="G48" s="144">
        <f>IFERROR(INDEX('T12 Raw Data'!K:K,MATCH("Sales, adv. &amp; marketing",'T12 Raw Data'!B:B,0)),0)</f>
        <v/>
      </c>
      <c r="H48" s="144">
        <f>IFERROR(INDEX('T12 Raw Data'!L:L,MATCH("Sales, adv. &amp; marketing",'T12 Raw Data'!B:B,0)),0)</f>
        <v/>
      </c>
      <c r="I48" s="144">
        <f>IFERROR(INDEX('T12 Raw Data'!M:M,MATCH("Sales, adv. &amp; marketing",'T12 Raw Data'!B:B,0)),0)</f>
        <v/>
      </c>
      <c r="J48" s="144">
        <f>IFERROR(INDEX('T12 Raw Data'!N:N,MATCH("Sales, adv. &amp; marketing",'T12 Raw Data'!B:B,0)),0)</f>
        <v/>
      </c>
      <c r="K48" s="144">
        <f>IFERROR(INDEX('T12 Raw Data'!O:O,MATCH("Sales, adv. &amp; marketing",'T12 Raw Data'!B:B,0)),0)</f>
        <v/>
      </c>
      <c r="L48" s="144">
        <f>IFERROR(INDEX('T12 Raw Data'!P:P,MATCH("Sales, adv. &amp; marketing",'T12 Raw Data'!B:B,0)),0)</f>
        <v/>
      </c>
      <c r="M48" s="144">
        <f>IFERROR(INDEX('T12 Raw Data'!Q:Q,MATCH("Sales, adv. &amp; marketing",'T12 Raw Data'!B:B,0)),0)</f>
        <v/>
      </c>
      <c r="N48" s="145">
        <f>SUM(B48:M48)</f>
        <v/>
      </c>
    </row>
    <row r="49" ht="15.75" customHeight="1" s="199">
      <c r="A49" s="83" t="inlineStr">
        <is>
          <t>Referral fees</t>
        </is>
      </c>
      <c r="B49" s="144">
        <f>IFERROR(INDEX('T12 Raw Data'!F:F,MATCH("Referral fees",'T12 Raw Data'!B:B,0)),0)</f>
        <v/>
      </c>
      <c r="C49" s="144">
        <f>IFERROR(INDEX('T12 Raw Data'!G:G,MATCH("Referral fees",'T12 Raw Data'!B:B,0)),0)</f>
        <v/>
      </c>
      <c r="D49" s="144">
        <f>IFERROR(INDEX('T12 Raw Data'!H:H,MATCH("Referral fees",'T12 Raw Data'!B:B,0)),0)</f>
        <v/>
      </c>
      <c r="E49" s="144">
        <f>IFERROR(INDEX('T12 Raw Data'!I:I,MATCH("Referral fees",'T12 Raw Data'!B:B,0)),0)</f>
        <v/>
      </c>
      <c r="F49" s="144">
        <f>IFERROR(INDEX('T12 Raw Data'!J:J,MATCH("Referral fees",'T12 Raw Data'!B:B,0)),0)</f>
        <v/>
      </c>
      <c r="G49" s="144">
        <f>IFERROR(INDEX('T12 Raw Data'!K:K,MATCH("Referral fees",'T12 Raw Data'!B:B,0)),0)</f>
        <v/>
      </c>
      <c r="H49" s="144">
        <f>IFERROR(INDEX('T12 Raw Data'!L:L,MATCH("Referral fees",'T12 Raw Data'!B:B,0)),0)</f>
        <v/>
      </c>
      <c r="I49" s="144">
        <f>IFERROR(INDEX('T12 Raw Data'!M:M,MATCH("Referral fees",'T12 Raw Data'!B:B,0)),0)</f>
        <v/>
      </c>
      <c r="J49" s="144">
        <f>IFERROR(INDEX('T12 Raw Data'!N:N,MATCH("Referral fees",'T12 Raw Data'!B:B,0)),0)</f>
        <v/>
      </c>
      <c r="K49" s="144">
        <f>IFERROR(INDEX('T12 Raw Data'!O:O,MATCH("Referral fees",'T12 Raw Data'!B:B,0)),0)</f>
        <v/>
      </c>
      <c r="L49" s="144">
        <f>IFERROR(INDEX('T12 Raw Data'!P:P,MATCH("Referral fees",'T12 Raw Data'!B:B,0)),0)</f>
        <v/>
      </c>
      <c r="M49" s="144">
        <f>IFERROR(INDEX('T12 Raw Data'!Q:Q,MATCH("Referral fees",'T12 Raw Data'!B:B,0)),0)</f>
        <v/>
      </c>
      <c r="N49" s="145">
        <f>SUM(B49:M49)</f>
        <v/>
      </c>
    </row>
    <row r="50" ht="15.75" customHeight="1" s="199">
      <c r="A50" s="83" t="inlineStr">
        <is>
          <t>Utilities</t>
        </is>
      </c>
      <c r="B50" s="144">
        <f>IFERROR(INDEX('T12 Raw Data'!F:F,MATCH("Utilities",'T12 Raw Data'!B:B,0)),0)</f>
        <v/>
      </c>
      <c r="C50" s="144">
        <f>IFERROR(INDEX('T12 Raw Data'!G:G,MATCH("Utilities",'T12 Raw Data'!B:B,0)),0)</f>
        <v/>
      </c>
      <c r="D50" s="144">
        <f>IFERROR(INDEX('T12 Raw Data'!H:H,MATCH("Utilities",'T12 Raw Data'!B:B,0)),0)</f>
        <v/>
      </c>
      <c r="E50" s="144">
        <f>IFERROR(INDEX('T12 Raw Data'!I:I,MATCH("Utilities",'T12 Raw Data'!B:B,0)),0)</f>
        <v/>
      </c>
      <c r="F50" s="144">
        <f>IFERROR(INDEX('T12 Raw Data'!J:J,MATCH("Utilities",'T12 Raw Data'!B:B,0)),0)</f>
        <v/>
      </c>
      <c r="G50" s="144">
        <f>IFERROR(INDEX('T12 Raw Data'!K:K,MATCH("Utilities",'T12 Raw Data'!B:B,0)),0)</f>
        <v/>
      </c>
      <c r="H50" s="144">
        <f>IFERROR(INDEX('T12 Raw Data'!L:L,MATCH("Utilities",'T12 Raw Data'!B:B,0)),0)</f>
        <v/>
      </c>
      <c r="I50" s="144">
        <f>IFERROR(INDEX('T12 Raw Data'!M:M,MATCH("Utilities",'T12 Raw Data'!B:B,0)),0)</f>
        <v/>
      </c>
      <c r="J50" s="144">
        <f>IFERROR(INDEX('T12 Raw Data'!N:N,MATCH("Utilities",'T12 Raw Data'!B:B,0)),0)</f>
        <v/>
      </c>
      <c r="K50" s="144">
        <f>IFERROR(INDEX('T12 Raw Data'!O:O,MATCH("Utilities",'T12 Raw Data'!B:B,0)),0)</f>
        <v/>
      </c>
      <c r="L50" s="144">
        <f>IFERROR(INDEX('T12 Raw Data'!P:P,MATCH("Utilities",'T12 Raw Data'!B:B,0)),0)</f>
        <v/>
      </c>
      <c r="M50" s="144">
        <f>IFERROR(INDEX('T12 Raw Data'!Q:Q,MATCH("Utilities",'T12 Raw Data'!B:B,0)),0)</f>
        <v/>
      </c>
      <c r="N50" s="145">
        <f>SUM(B50:M50)</f>
        <v/>
      </c>
    </row>
    <row r="51" ht="15.75" customHeight="1" s="199">
      <c r="A51" s="83" t="inlineStr">
        <is>
          <t>Telephone / IT</t>
        </is>
      </c>
      <c r="B51" s="144">
        <f>IFERROR(INDEX('T12 Raw Data'!F:F,MATCH("Telephone / IT",'T12 Raw Data'!B:B,0)),0)</f>
        <v/>
      </c>
      <c r="C51" s="144">
        <f>IFERROR(INDEX('T12 Raw Data'!G:G,MATCH("Telephone / IT",'T12 Raw Data'!B:B,0)),0)</f>
        <v/>
      </c>
      <c r="D51" s="144">
        <f>IFERROR(INDEX('T12 Raw Data'!H:H,MATCH("Telephone / IT",'T12 Raw Data'!B:B,0)),0)</f>
        <v/>
      </c>
      <c r="E51" s="144">
        <f>IFERROR(INDEX('T12 Raw Data'!I:I,MATCH("Telephone / IT",'T12 Raw Data'!B:B,0)),0)</f>
        <v/>
      </c>
      <c r="F51" s="144">
        <f>IFERROR(INDEX('T12 Raw Data'!J:J,MATCH("Telephone / IT",'T12 Raw Data'!B:B,0)),0)</f>
        <v/>
      </c>
      <c r="G51" s="144">
        <f>IFERROR(INDEX('T12 Raw Data'!K:K,MATCH("Telephone / IT",'T12 Raw Data'!B:B,0)),0)</f>
        <v/>
      </c>
      <c r="H51" s="144">
        <f>IFERROR(INDEX('T12 Raw Data'!L:L,MATCH("Telephone / IT",'T12 Raw Data'!B:B,0)),0)</f>
        <v/>
      </c>
      <c r="I51" s="144">
        <f>IFERROR(INDEX('T12 Raw Data'!M:M,MATCH("Telephone / IT",'T12 Raw Data'!B:B,0)),0)</f>
        <v/>
      </c>
      <c r="J51" s="144">
        <f>IFERROR(INDEX('T12 Raw Data'!N:N,MATCH("Telephone / IT",'T12 Raw Data'!B:B,0)),0)</f>
        <v/>
      </c>
      <c r="K51" s="144">
        <f>IFERROR(INDEX('T12 Raw Data'!O:O,MATCH("Telephone / IT",'T12 Raw Data'!B:B,0)),0)</f>
        <v/>
      </c>
      <c r="L51" s="144">
        <f>IFERROR(INDEX('T12 Raw Data'!P:P,MATCH("Telephone / IT",'T12 Raw Data'!B:B,0)),0)</f>
        <v/>
      </c>
      <c r="M51" s="144">
        <f>IFERROR(INDEX('T12 Raw Data'!Q:Q,MATCH("Telephone / IT",'T12 Raw Data'!B:B,0)),0)</f>
        <v/>
      </c>
      <c r="N51" s="145">
        <f>SUM(B51:M51)</f>
        <v/>
      </c>
    </row>
    <row r="52" ht="15.75" customHeight="1" s="199">
      <c r="A52" s="83" t="inlineStr">
        <is>
          <t>P&amp;C insurance</t>
        </is>
      </c>
      <c r="B52" s="144">
        <f>IFERROR(INDEX('T12 Raw Data'!F:F,MATCH("P&amp;C insurance (bundled)",'T12 Raw Data'!B:B,0)),0)</f>
        <v/>
      </c>
      <c r="C52" s="144">
        <f>IFERROR(INDEX('T12 Raw Data'!G:G,MATCH("P&amp;C insurance (bundled)",'T12 Raw Data'!B:B,0)),0)</f>
        <v/>
      </c>
      <c r="D52" s="144">
        <f>IFERROR(INDEX('T12 Raw Data'!H:H,MATCH("P&amp;C insurance (bundled)",'T12 Raw Data'!B:B,0)),0)</f>
        <v/>
      </c>
      <c r="E52" s="144">
        <f>IFERROR(INDEX('T12 Raw Data'!I:I,MATCH("P&amp;C insurance (bundled)",'T12 Raw Data'!B:B,0)),0)</f>
        <v/>
      </c>
      <c r="F52" s="144">
        <f>IFERROR(INDEX('T12 Raw Data'!J:J,MATCH("P&amp;C insurance (bundled)",'T12 Raw Data'!B:B,0)),0)</f>
        <v/>
      </c>
      <c r="G52" s="144">
        <f>IFERROR(INDEX('T12 Raw Data'!K:K,MATCH("P&amp;C insurance (bundled)",'T12 Raw Data'!B:B,0)),0)</f>
        <v/>
      </c>
      <c r="H52" s="144">
        <f>IFERROR(INDEX('T12 Raw Data'!L:L,MATCH("P&amp;C insurance (bundled)",'T12 Raw Data'!B:B,0)),0)</f>
        <v/>
      </c>
      <c r="I52" s="144">
        <f>IFERROR(INDEX('T12 Raw Data'!M:M,MATCH("P&amp;C insurance (bundled)",'T12 Raw Data'!B:B,0)),0)</f>
        <v/>
      </c>
      <c r="J52" s="144">
        <f>IFERROR(INDEX('T12 Raw Data'!N:N,MATCH("P&amp;C insurance (bundled)",'T12 Raw Data'!B:B,0)),0)</f>
        <v/>
      </c>
      <c r="K52" s="144">
        <f>IFERROR(INDEX('T12 Raw Data'!O:O,MATCH("P&amp;C insurance (bundled)",'T12 Raw Data'!B:B,0)),0)</f>
        <v/>
      </c>
      <c r="L52" s="144">
        <f>IFERROR(INDEX('T12 Raw Data'!P:P,MATCH("P&amp;C insurance (bundled)",'T12 Raw Data'!B:B,0)),0)</f>
        <v/>
      </c>
      <c r="M52" s="144">
        <f>IFERROR(INDEX('T12 Raw Data'!Q:Q,MATCH("P&amp;C insurance (bundled)",'T12 Raw Data'!B:B,0)),0)</f>
        <v/>
      </c>
      <c r="N52" s="145">
        <f>SUM(B52:M52)</f>
        <v/>
      </c>
    </row>
    <row r="53" ht="15.75" customHeight="1" s="199">
      <c r="A53" s="83" t="inlineStr">
        <is>
          <t>Auto insurance</t>
        </is>
      </c>
      <c r="B53" s="144">
        <f>IFERROR(INDEX('T12 Raw Data'!F:F,MATCH("Auto insurance",'T12 Raw Data'!B:B,0)),0)</f>
        <v/>
      </c>
      <c r="C53" s="144">
        <f>IFERROR(INDEX('T12 Raw Data'!G:G,MATCH("Auto insurance",'T12 Raw Data'!B:B,0)),0)</f>
        <v/>
      </c>
      <c r="D53" s="144">
        <f>IFERROR(INDEX('T12 Raw Data'!H:H,MATCH("Auto insurance",'T12 Raw Data'!B:B,0)),0)</f>
        <v/>
      </c>
      <c r="E53" s="144">
        <f>IFERROR(INDEX('T12 Raw Data'!I:I,MATCH("Auto insurance",'T12 Raw Data'!B:B,0)),0)</f>
        <v/>
      </c>
      <c r="F53" s="144">
        <f>IFERROR(INDEX('T12 Raw Data'!J:J,MATCH("Auto insurance",'T12 Raw Data'!B:B,0)),0)</f>
        <v/>
      </c>
      <c r="G53" s="144">
        <f>IFERROR(INDEX('T12 Raw Data'!K:K,MATCH("Auto insurance",'T12 Raw Data'!B:B,0)),0)</f>
        <v/>
      </c>
      <c r="H53" s="144">
        <f>IFERROR(INDEX('T12 Raw Data'!L:L,MATCH("Auto insurance",'T12 Raw Data'!B:B,0)),0)</f>
        <v/>
      </c>
      <c r="I53" s="144">
        <f>IFERROR(INDEX('T12 Raw Data'!M:M,MATCH("Auto insurance",'T12 Raw Data'!B:B,0)),0)</f>
        <v/>
      </c>
      <c r="J53" s="144">
        <f>IFERROR(INDEX('T12 Raw Data'!N:N,MATCH("Auto insurance",'T12 Raw Data'!B:B,0)),0)</f>
        <v/>
      </c>
      <c r="K53" s="144">
        <f>IFERROR(INDEX('T12 Raw Data'!O:O,MATCH("Auto insurance",'T12 Raw Data'!B:B,0)),0)</f>
        <v/>
      </c>
      <c r="L53" s="144">
        <f>IFERROR(INDEX('T12 Raw Data'!P:P,MATCH("Auto insurance",'T12 Raw Data'!B:B,0)),0)</f>
        <v/>
      </c>
      <c r="M53" s="144">
        <f>IFERROR(INDEX('T12 Raw Data'!Q:Q,MATCH("Auto insurance",'T12 Raw Data'!B:B,0)),0)</f>
        <v/>
      </c>
      <c r="N53" s="145">
        <f>SUM(B53:M53)</f>
        <v/>
      </c>
    </row>
    <row r="54" ht="15.75" customHeight="1" s="199">
      <c r="A54" s="83" t="inlineStr">
        <is>
          <t>Auto Expense</t>
        </is>
      </c>
      <c r="B54" s="144">
        <f>IFERROR(INDEX('T12 Raw Data'!F:F,MATCH("Auto Expense",'T12 Raw Data'!B:B,0)),0)</f>
        <v/>
      </c>
      <c r="C54" s="144">
        <f>IFERROR(INDEX('T12 Raw Data'!G:G,MATCH("Auto Expense",'T12 Raw Data'!B:B,0)),0)</f>
        <v/>
      </c>
      <c r="D54" s="144">
        <f>IFERROR(INDEX('T12 Raw Data'!H:H,MATCH("Auto Expense",'T12 Raw Data'!B:B,0)),0)</f>
        <v/>
      </c>
      <c r="E54" s="144">
        <f>IFERROR(INDEX('T12 Raw Data'!I:I,MATCH("Auto Expense",'T12 Raw Data'!B:B,0)),0)</f>
        <v/>
      </c>
      <c r="F54" s="144">
        <f>IFERROR(INDEX('T12 Raw Data'!J:J,MATCH("Auto Expense",'T12 Raw Data'!B:B,0)),0)</f>
        <v/>
      </c>
      <c r="G54" s="144">
        <f>IFERROR(INDEX('T12 Raw Data'!K:K,MATCH("Auto Expense",'T12 Raw Data'!B:B,0)),0)</f>
        <v/>
      </c>
      <c r="H54" s="144">
        <f>IFERROR(INDEX('T12 Raw Data'!L:L,MATCH("Auto Expense",'T12 Raw Data'!B:B,0)),0)</f>
        <v/>
      </c>
      <c r="I54" s="144">
        <f>IFERROR(INDEX('T12 Raw Data'!M:M,MATCH("Auto Expense",'T12 Raw Data'!B:B,0)),0)</f>
        <v/>
      </c>
      <c r="J54" s="144">
        <f>IFERROR(INDEX('T12 Raw Data'!N:N,MATCH("Auto Expense",'T12 Raw Data'!B:B,0)),0)</f>
        <v/>
      </c>
      <c r="K54" s="144">
        <f>IFERROR(INDEX('T12 Raw Data'!O:O,MATCH("Auto Expense",'T12 Raw Data'!B:B,0)),0)</f>
        <v/>
      </c>
      <c r="L54" s="144">
        <f>IFERROR(INDEX('T12 Raw Data'!P:P,MATCH("Auto Expense",'T12 Raw Data'!B:B,0)),0)</f>
        <v/>
      </c>
      <c r="M54" s="144">
        <f>IFERROR(INDEX('T12 Raw Data'!Q:Q,MATCH("Auto Expense",'T12 Raw Data'!B:B,0)),0)</f>
        <v/>
      </c>
      <c r="N54" s="145">
        <f>SUM(B54:M54)</f>
        <v/>
      </c>
    </row>
    <row r="55" ht="15.75" customHeight="1" s="199">
      <c r="A55" s="83" t="inlineStr">
        <is>
          <t>Fire / security monitor</t>
        </is>
      </c>
      <c r="B55" s="144">
        <f>IFERROR(INDEX('T12 Raw Data'!F:F,MATCH("Fire / security monitoring",'T12 Raw Data'!B:B,0)),0)</f>
        <v/>
      </c>
      <c r="C55" s="144">
        <f>IFERROR(INDEX('T12 Raw Data'!G:G,MATCH("Fire / security monitoring",'T12 Raw Data'!B:B,0)),0)</f>
        <v/>
      </c>
      <c r="D55" s="144">
        <f>IFERROR(INDEX('T12 Raw Data'!H:H,MATCH("Fire / security monitoring",'T12 Raw Data'!B:B,0)),0)</f>
        <v/>
      </c>
      <c r="E55" s="144">
        <f>IFERROR(INDEX('T12 Raw Data'!I:I,MATCH("Fire / security monitoring",'T12 Raw Data'!B:B,0)),0)</f>
        <v/>
      </c>
      <c r="F55" s="144">
        <f>IFERROR(INDEX('T12 Raw Data'!J:J,MATCH("Fire / security monitoring",'T12 Raw Data'!B:B,0)),0)</f>
        <v/>
      </c>
      <c r="G55" s="144">
        <f>IFERROR(INDEX('T12 Raw Data'!K:K,MATCH("Fire / security monitoring",'T12 Raw Data'!B:B,0)),0)</f>
        <v/>
      </c>
      <c r="H55" s="144">
        <f>IFERROR(INDEX('T12 Raw Data'!L:L,MATCH("Fire / security monitoring",'T12 Raw Data'!B:B,0)),0)</f>
        <v/>
      </c>
      <c r="I55" s="144">
        <f>IFERROR(INDEX('T12 Raw Data'!M:M,MATCH("Fire / security monitoring",'T12 Raw Data'!B:B,0)),0)</f>
        <v/>
      </c>
      <c r="J55" s="144">
        <f>IFERROR(INDEX('T12 Raw Data'!N:N,MATCH("Fire / security monitoring",'T12 Raw Data'!B:B,0)),0)</f>
        <v/>
      </c>
      <c r="K55" s="144">
        <f>IFERROR(INDEX('T12 Raw Data'!O:O,MATCH("Fire / security monitoring",'T12 Raw Data'!B:B,0)),0)</f>
        <v/>
      </c>
      <c r="L55" s="144">
        <f>IFERROR(INDEX('T12 Raw Data'!P:P,MATCH("Fire / security monitoring",'T12 Raw Data'!B:B,0)),0)</f>
        <v/>
      </c>
      <c r="M55" s="144">
        <f>IFERROR(INDEX('T12 Raw Data'!Q:Q,MATCH("Fire / security monitoring",'T12 Raw Data'!B:B,0)),0)</f>
        <v/>
      </c>
      <c r="N55" s="145">
        <f>SUM(B55:M55)</f>
        <v/>
      </c>
    </row>
    <row r="56" ht="15.75" customHeight="1" s="199">
      <c r="A56" s="83" t="inlineStr">
        <is>
          <t>Pest elimination</t>
        </is>
      </c>
      <c r="B56" s="144">
        <f>IFERROR(INDEX('T12 Raw Data'!F:F,MATCH("Pest elimination",'T12 Raw Data'!B:B,0)),0)</f>
        <v/>
      </c>
      <c r="C56" s="144">
        <f>IFERROR(INDEX('T12 Raw Data'!G:G,MATCH("Pest elimination",'T12 Raw Data'!B:B,0)),0)</f>
        <v/>
      </c>
      <c r="D56" s="144">
        <f>IFERROR(INDEX('T12 Raw Data'!H:H,MATCH("Pest elimination",'T12 Raw Data'!B:B,0)),0)</f>
        <v/>
      </c>
      <c r="E56" s="144">
        <f>IFERROR(INDEX('T12 Raw Data'!I:I,MATCH("Pest elimination",'T12 Raw Data'!B:B,0)),0)</f>
        <v/>
      </c>
      <c r="F56" s="144">
        <f>IFERROR(INDEX('T12 Raw Data'!J:J,MATCH("Pest elimination",'T12 Raw Data'!B:B,0)),0)</f>
        <v/>
      </c>
      <c r="G56" s="144">
        <f>IFERROR(INDEX('T12 Raw Data'!K:K,MATCH("Pest elimination",'T12 Raw Data'!B:B,0)),0)</f>
        <v/>
      </c>
      <c r="H56" s="144">
        <f>IFERROR(INDEX('T12 Raw Data'!L:L,MATCH("Pest elimination",'T12 Raw Data'!B:B,0)),0)</f>
        <v/>
      </c>
      <c r="I56" s="144">
        <f>IFERROR(INDEX('T12 Raw Data'!M:M,MATCH("Pest elimination",'T12 Raw Data'!B:B,0)),0)</f>
        <v/>
      </c>
      <c r="J56" s="144">
        <f>IFERROR(INDEX('T12 Raw Data'!N:N,MATCH("Pest elimination",'T12 Raw Data'!B:B,0)),0)</f>
        <v/>
      </c>
      <c r="K56" s="144">
        <f>IFERROR(INDEX('T12 Raw Data'!O:O,MATCH("Pest elimination",'T12 Raw Data'!B:B,0)),0)</f>
        <v/>
      </c>
      <c r="L56" s="144">
        <f>IFERROR(INDEX('T12 Raw Data'!P:P,MATCH("Pest elimination",'T12 Raw Data'!B:B,0)),0)</f>
        <v/>
      </c>
      <c r="M56" s="144">
        <f>IFERROR(INDEX('T12 Raw Data'!Q:Q,MATCH("Pest elimination",'T12 Raw Data'!B:B,0)),0)</f>
        <v/>
      </c>
      <c r="N56" s="145">
        <f>SUM(B56:M56)</f>
        <v/>
      </c>
    </row>
    <row r="57" ht="15.75" customHeight="1" s="199">
      <c r="A57" s="83" t="inlineStr">
        <is>
          <t>Real estate taxes</t>
        </is>
      </c>
      <c r="B57" s="144">
        <f>IFERROR(INDEX('T12 Raw Data'!F:F,MATCH("Real estate taxes",'T12 Raw Data'!B:B,0)),0)</f>
        <v/>
      </c>
      <c r="C57" s="144">
        <f>IFERROR(INDEX('T12 Raw Data'!G:G,MATCH("Real estate taxes",'T12 Raw Data'!B:B,0)),0)</f>
        <v/>
      </c>
      <c r="D57" s="144">
        <f>IFERROR(INDEX('T12 Raw Data'!H:H,MATCH("Real estate taxes",'T12 Raw Data'!B:B,0)),0)</f>
        <v/>
      </c>
      <c r="E57" s="144">
        <f>IFERROR(INDEX('T12 Raw Data'!I:I,MATCH("Real estate taxes",'T12 Raw Data'!B:B,0)),0)</f>
        <v/>
      </c>
      <c r="F57" s="144">
        <f>IFERROR(INDEX('T12 Raw Data'!J:J,MATCH("Real estate taxes",'T12 Raw Data'!B:B,0)),0)</f>
        <v/>
      </c>
      <c r="G57" s="144">
        <f>IFERROR(INDEX('T12 Raw Data'!K:K,MATCH("Real estate taxes",'T12 Raw Data'!B:B,0)),0)</f>
        <v/>
      </c>
      <c r="H57" s="144">
        <f>IFERROR(INDEX('T12 Raw Data'!L:L,MATCH("Real estate taxes",'T12 Raw Data'!B:B,0)),0)</f>
        <v/>
      </c>
      <c r="I57" s="144">
        <f>IFERROR(INDEX('T12 Raw Data'!M:M,MATCH("Real estate taxes",'T12 Raw Data'!B:B,0)),0)</f>
        <v/>
      </c>
      <c r="J57" s="144">
        <f>IFERROR(INDEX('T12 Raw Data'!N:N,MATCH("Real estate taxes",'T12 Raw Data'!B:B,0)),0)</f>
        <v/>
      </c>
      <c r="K57" s="144">
        <f>IFERROR(INDEX('T12 Raw Data'!O:O,MATCH("Real estate taxes",'T12 Raw Data'!B:B,0)),0)</f>
        <v/>
      </c>
      <c r="L57" s="144">
        <f>IFERROR(INDEX('T12 Raw Data'!P:P,MATCH("Real estate taxes",'T12 Raw Data'!B:B,0)),0)</f>
        <v/>
      </c>
      <c r="M57" s="144">
        <f>IFERROR(INDEX('T12 Raw Data'!Q:Q,MATCH("Real estate taxes",'T12 Raw Data'!B:B,0)),0)</f>
        <v/>
      </c>
      <c r="N57" s="145">
        <f>SUM(B57:M57)</f>
        <v/>
      </c>
    </row>
    <row r="58" ht="15.75" customHeight="1" s="199">
      <c r="A58" s="83" t="inlineStr">
        <is>
          <t>Personal property taxes</t>
        </is>
      </c>
      <c r="B58" s="144">
        <f>IFERROR(INDEX('T12 Raw Data'!F:F,MATCH("Personal property taxes",'T12 Raw Data'!B:B,0)),0)</f>
        <v/>
      </c>
      <c r="C58" s="144">
        <f>IFERROR(INDEX('T12 Raw Data'!G:G,MATCH("Personal property taxes",'T12 Raw Data'!B:B,0)),0)</f>
        <v/>
      </c>
      <c r="D58" s="144">
        <f>IFERROR(INDEX('T12 Raw Data'!H:H,MATCH("Personal property taxes",'T12 Raw Data'!B:B,0)),0)</f>
        <v/>
      </c>
      <c r="E58" s="144">
        <f>IFERROR(INDEX('T12 Raw Data'!I:I,MATCH("Personal property taxes",'T12 Raw Data'!B:B,0)),0)</f>
        <v/>
      </c>
      <c r="F58" s="144">
        <f>IFERROR(INDEX('T12 Raw Data'!J:J,MATCH("Personal property taxes",'T12 Raw Data'!B:B,0)),0)</f>
        <v/>
      </c>
      <c r="G58" s="144">
        <f>IFERROR(INDEX('T12 Raw Data'!K:K,MATCH("Personal property taxes",'T12 Raw Data'!B:B,0)),0)</f>
        <v/>
      </c>
      <c r="H58" s="144">
        <f>IFERROR(INDEX('T12 Raw Data'!L:L,MATCH("Personal property taxes",'T12 Raw Data'!B:B,0)),0)</f>
        <v/>
      </c>
      <c r="I58" s="144">
        <f>IFERROR(INDEX('T12 Raw Data'!M:M,MATCH("Personal property taxes",'T12 Raw Data'!B:B,0)),0)</f>
        <v/>
      </c>
      <c r="J58" s="144">
        <f>IFERROR(INDEX('T12 Raw Data'!N:N,MATCH("Personal property taxes",'T12 Raw Data'!B:B,0)),0)</f>
        <v/>
      </c>
      <c r="K58" s="144">
        <f>IFERROR(INDEX('T12 Raw Data'!O:O,MATCH("Personal property taxes",'T12 Raw Data'!B:B,0)),0)</f>
        <v/>
      </c>
      <c r="L58" s="144">
        <f>IFERROR(INDEX('T12 Raw Data'!P:P,MATCH("Personal property taxes",'T12 Raw Data'!B:B,0)),0)</f>
        <v/>
      </c>
      <c r="M58" s="144">
        <f>IFERROR(INDEX('T12 Raw Data'!Q:Q,MATCH("Personal property taxes",'T12 Raw Data'!B:B,0)),0)</f>
        <v/>
      </c>
      <c r="N58" s="145">
        <f>SUM(B58:M58)</f>
        <v/>
      </c>
    </row>
    <row r="59" ht="15.75" customHeight="1" s="199">
      <c r="A59" s="83" t="inlineStr">
        <is>
          <t>Legal expenses</t>
        </is>
      </c>
      <c r="B59" s="144">
        <f>IFERROR(INDEX('T12 Raw Data'!F:F,MATCH("Legal expenses",'T12 Raw Data'!B:B,0)),0)</f>
        <v/>
      </c>
      <c r="C59" s="144">
        <f>IFERROR(INDEX('T12 Raw Data'!G:G,MATCH("Legal expenses",'T12 Raw Data'!B:B,0)),0)</f>
        <v/>
      </c>
      <c r="D59" s="144">
        <f>IFERROR(INDEX('T12 Raw Data'!H:H,MATCH("Legal expenses",'T12 Raw Data'!B:B,0)),0)</f>
        <v/>
      </c>
      <c r="E59" s="144">
        <f>IFERROR(INDEX('T12 Raw Data'!I:I,MATCH("Legal expenses",'T12 Raw Data'!B:B,0)),0)</f>
        <v/>
      </c>
      <c r="F59" s="144">
        <f>IFERROR(INDEX('T12 Raw Data'!J:J,MATCH("Legal expenses",'T12 Raw Data'!B:B,0)),0)</f>
        <v/>
      </c>
      <c r="G59" s="144">
        <f>IFERROR(INDEX('T12 Raw Data'!K:K,MATCH("Legal expenses",'T12 Raw Data'!B:B,0)),0)</f>
        <v/>
      </c>
      <c r="H59" s="144">
        <f>IFERROR(INDEX('T12 Raw Data'!L:L,MATCH("Legal expenses",'T12 Raw Data'!B:B,0)),0)</f>
        <v/>
      </c>
      <c r="I59" s="144">
        <f>IFERROR(INDEX('T12 Raw Data'!M:M,MATCH("Legal expenses",'T12 Raw Data'!B:B,0)),0)</f>
        <v/>
      </c>
      <c r="J59" s="144">
        <f>IFERROR(INDEX('T12 Raw Data'!N:N,MATCH("Legal expenses",'T12 Raw Data'!B:B,0)),0)</f>
        <v/>
      </c>
      <c r="K59" s="144">
        <f>IFERROR(INDEX('T12 Raw Data'!O:O,MATCH("Legal expenses",'T12 Raw Data'!B:B,0)),0)</f>
        <v/>
      </c>
      <c r="L59" s="144">
        <f>IFERROR(INDEX('T12 Raw Data'!P:P,MATCH("Legal expenses",'T12 Raw Data'!B:B,0)),0)</f>
        <v/>
      </c>
      <c r="M59" s="144">
        <f>IFERROR(INDEX('T12 Raw Data'!Q:Q,MATCH("Legal expenses",'T12 Raw Data'!B:B,0)),0)</f>
        <v/>
      </c>
      <c r="N59" s="145">
        <f>SUM(B59:M59)</f>
        <v/>
      </c>
    </row>
    <row r="60" ht="15.75" customHeight="1" s="199">
      <c r="A60" s="83" t="inlineStr">
        <is>
          <t>Professional services</t>
        </is>
      </c>
      <c r="B60" s="144">
        <f>IFERROR(INDEX('T12 Raw Data'!F:F,MATCH("Professional services",'T12 Raw Data'!B:B,0)),0)</f>
        <v/>
      </c>
      <c r="C60" s="144">
        <f>IFERROR(INDEX('T12 Raw Data'!G:G,MATCH("Professional services",'T12 Raw Data'!B:B,0)),0)</f>
        <v/>
      </c>
      <c r="D60" s="144">
        <f>IFERROR(INDEX('T12 Raw Data'!H:H,MATCH("Professional services",'T12 Raw Data'!B:B,0)),0)</f>
        <v/>
      </c>
      <c r="E60" s="144">
        <f>IFERROR(INDEX('T12 Raw Data'!I:I,MATCH("Professional services",'T12 Raw Data'!B:B,0)),0)</f>
        <v/>
      </c>
      <c r="F60" s="144">
        <f>IFERROR(INDEX('T12 Raw Data'!J:J,MATCH("Professional services",'T12 Raw Data'!B:B,0)),0)</f>
        <v/>
      </c>
      <c r="G60" s="144">
        <f>IFERROR(INDEX('T12 Raw Data'!K:K,MATCH("Professional services",'T12 Raw Data'!B:B,0)),0)</f>
        <v/>
      </c>
      <c r="H60" s="144">
        <f>IFERROR(INDEX('T12 Raw Data'!L:L,MATCH("Professional services",'T12 Raw Data'!B:B,0)),0)</f>
        <v/>
      </c>
      <c r="I60" s="144">
        <f>IFERROR(INDEX('T12 Raw Data'!M:M,MATCH("Professional services",'T12 Raw Data'!B:B,0)),0)</f>
        <v/>
      </c>
      <c r="J60" s="144">
        <f>IFERROR(INDEX('T12 Raw Data'!N:N,MATCH("Professional services",'T12 Raw Data'!B:B,0)),0)</f>
        <v/>
      </c>
      <c r="K60" s="144">
        <f>IFERROR(INDEX('T12 Raw Data'!O:O,MATCH("Professional services",'T12 Raw Data'!B:B,0)),0)</f>
        <v/>
      </c>
      <c r="L60" s="144">
        <f>IFERROR(INDEX('T12 Raw Data'!P:P,MATCH("Professional services",'T12 Raw Data'!B:B,0)),0)</f>
        <v/>
      </c>
      <c r="M60" s="144">
        <f>IFERROR(INDEX('T12 Raw Data'!Q:Q,MATCH("Professional services",'T12 Raw Data'!B:B,0)),0)</f>
        <v/>
      </c>
      <c r="N60" s="145">
        <f>SUM(B60:M60)</f>
        <v/>
      </c>
    </row>
    <row r="61" ht="15.75" customHeight="1" s="199">
      <c r="A61" s="83" t="inlineStr">
        <is>
          <t>Bad debt expense</t>
        </is>
      </c>
      <c r="B61" s="144">
        <f>IFERROR(INDEX('T12 Raw Data'!F:F,MATCH("Bad debt expense",'T12 Raw Data'!B:B,0)),0)</f>
        <v/>
      </c>
      <c r="C61" s="144">
        <f>IFERROR(INDEX('T12 Raw Data'!G:G,MATCH("Bad debt expense",'T12 Raw Data'!B:B,0)),0)</f>
        <v/>
      </c>
      <c r="D61" s="144">
        <f>IFERROR(INDEX('T12 Raw Data'!H:H,MATCH("Bad debt expense",'T12 Raw Data'!B:B,0)),0)</f>
        <v/>
      </c>
      <c r="E61" s="144">
        <f>IFERROR(INDEX('T12 Raw Data'!I:I,MATCH("Bad debt expense",'T12 Raw Data'!B:B,0)),0)</f>
        <v/>
      </c>
      <c r="F61" s="144">
        <f>IFERROR(INDEX('T12 Raw Data'!J:J,MATCH("Bad debt expense",'T12 Raw Data'!B:B,0)),0)</f>
        <v/>
      </c>
      <c r="G61" s="144">
        <f>IFERROR(INDEX('T12 Raw Data'!K:K,MATCH("Bad debt expense",'T12 Raw Data'!B:B,0)),0)</f>
        <v/>
      </c>
      <c r="H61" s="144">
        <f>IFERROR(INDEX('T12 Raw Data'!L:L,MATCH("Bad debt expense",'T12 Raw Data'!B:B,0)),0)</f>
        <v/>
      </c>
      <c r="I61" s="144">
        <f>IFERROR(INDEX('T12 Raw Data'!M:M,MATCH("Bad debt expense",'T12 Raw Data'!B:B,0)),0)</f>
        <v/>
      </c>
      <c r="J61" s="144">
        <f>IFERROR(INDEX('T12 Raw Data'!N:N,MATCH("Bad debt expense",'T12 Raw Data'!B:B,0)),0)</f>
        <v/>
      </c>
      <c r="K61" s="144">
        <f>IFERROR(INDEX('T12 Raw Data'!O:O,MATCH("Bad debt expense",'T12 Raw Data'!B:B,0)),0)</f>
        <v/>
      </c>
      <c r="L61" s="144">
        <f>IFERROR(INDEX('T12 Raw Data'!P:P,MATCH("Bad debt expense",'T12 Raw Data'!B:B,0)),0)</f>
        <v/>
      </c>
      <c r="M61" s="144">
        <f>IFERROR(INDEX('T12 Raw Data'!Q:Q,MATCH("Bad debt expense",'T12 Raw Data'!B:B,0)),0)</f>
        <v/>
      </c>
      <c r="N61" s="145">
        <f>SUM(B61:M61)</f>
        <v/>
      </c>
    </row>
    <row r="62" ht="15.75" customHeight="1" s="199">
      <c r="A62" s="83" t="inlineStr">
        <is>
          <t>Permits, licenses &amp; dues</t>
        </is>
      </c>
      <c r="B62" s="144">
        <f>IFERROR(INDEX('T12 Raw Data'!F:F,MATCH("Permits, licenses &amp; dues",'T12 Raw Data'!B:B,0)),0)</f>
        <v/>
      </c>
      <c r="C62" s="144">
        <f>IFERROR(INDEX('T12 Raw Data'!G:G,MATCH("Permits, licenses &amp; dues",'T12 Raw Data'!B:B,0)),0)</f>
        <v/>
      </c>
      <c r="D62" s="144">
        <f>IFERROR(INDEX('T12 Raw Data'!H:H,MATCH("Permits, licenses &amp; dues",'T12 Raw Data'!B:B,0)),0)</f>
        <v/>
      </c>
      <c r="E62" s="144">
        <f>IFERROR(INDEX('T12 Raw Data'!I:I,MATCH("Permits, licenses &amp; dues",'T12 Raw Data'!B:B,0)),0)</f>
        <v/>
      </c>
      <c r="F62" s="144">
        <f>IFERROR(INDEX('T12 Raw Data'!J:J,MATCH("Permits, licenses &amp; dues",'T12 Raw Data'!B:B,0)),0)</f>
        <v/>
      </c>
      <c r="G62" s="144">
        <f>IFERROR(INDEX('T12 Raw Data'!K:K,MATCH("Permits, licenses &amp; dues",'T12 Raw Data'!B:B,0)),0)</f>
        <v/>
      </c>
      <c r="H62" s="144">
        <f>IFERROR(INDEX('T12 Raw Data'!L:L,MATCH("Permits, licenses &amp; dues",'T12 Raw Data'!B:B,0)),0)</f>
        <v/>
      </c>
      <c r="I62" s="144">
        <f>IFERROR(INDEX('T12 Raw Data'!M:M,MATCH("Permits, licenses &amp; dues",'T12 Raw Data'!B:B,0)),0)</f>
        <v/>
      </c>
      <c r="J62" s="144">
        <f>IFERROR(INDEX('T12 Raw Data'!N:N,MATCH("Permits, licenses &amp; dues",'T12 Raw Data'!B:B,0)),0)</f>
        <v/>
      </c>
      <c r="K62" s="144">
        <f>IFERROR(INDEX('T12 Raw Data'!O:O,MATCH("Permits, licenses &amp; dues",'T12 Raw Data'!B:B,0)),0)</f>
        <v/>
      </c>
      <c r="L62" s="144">
        <f>IFERROR(INDEX('T12 Raw Data'!P:P,MATCH("Permits, licenses &amp; dues",'T12 Raw Data'!B:B,0)),0)</f>
        <v/>
      </c>
      <c r="M62" s="144">
        <f>IFERROR(INDEX('T12 Raw Data'!Q:Q,MATCH("Permits, licenses &amp; dues",'T12 Raw Data'!B:B,0)),0)</f>
        <v/>
      </c>
      <c r="N62" s="145">
        <f>SUM(B62:M62)</f>
        <v/>
      </c>
    </row>
    <row r="63" ht="15.75" customHeight="1" s="199">
      <c r="A63" s="83" t="inlineStr">
        <is>
          <t>Office, admin &amp; G&amp;A</t>
        </is>
      </c>
      <c r="B63" s="144">
        <f>IFERROR(INDEX('T12 Raw Data'!F:F,MATCH("Office, admin &amp; G&amp;A",'T12 Raw Data'!B:B,0)),0)</f>
        <v/>
      </c>
      <c r="C63" s="144">
        <f>IFERROR(INDEX('T12 Raw Data'!G:G,MATCH("Office, admin &amp; G&amp;A",'T12 Raw Data'!B:B,0)),0)</f>
        <v/>
      </c>
      <c r="D63" s="144">
        <f>IFERROR(INDEX('T12 Raw Data'!H:H,MATCH("Office, admin &amp; G&amp;A",'T12 Raw Data'!B:B,0)),0)</f>
        <v/>
      </c>
      <c r="E63" s="144">
        <f>IFERROR(INDEX('T12 Raw Data'!I:I,MATCH("Office, admin &amp; G&amp;A",'T12 Raw Data'!B:B,0)),0)</f>
        <v/>
      </c>
      <c r="F63" s="144">
        <f>IFERROR(INDEX('T12 Raw Data'!J:J,MATCH("Office, admin &amp; G&amp;A",'T12 Raw Data'!B:B,0)),0)</f>
        <v/>
      </c>
      <c r="G63" s="144">
        <f>IFERROR(INDEX('T12 Raw Data'!K:K,MATCH("Office, admin &amp; G&amp;A",'T12 Raw Data'!B:B,0)),0)</f>
        <v/>
      </c>
      <c r="H63" s="144">
        <f>IFERROR(INDEX('T12 Raw Data'!L:L,MATCH("Office, admin &amp; G&amp;A",'T12 Raw Data'!B:B,0)),0)</f>
        <v/>
      </c>
      <c r="I63" s="144">
        <f>IFERROR(INDEX('T12 Raw Data'!M:M,MATCH("Office, admin &amp; G&amp;A",'T12 Raw Data'!B:B,0)),0)</f>
        <v/>
      </c>
      <c r="J63" s="144">
        <f>IFERROR(INDEX('T12 Raw Data'!N:N,MATCH("Office, admin &amp; G&amp;A",'T12 Raw Data'!B:B,0)),0)</f>
        <v/>
      </c>
      <c r="K63" s="144">
        <f>IFERROR(INDEX('T12 Raw Data'!O:O,MATCH("Office, admin &amp; G&amp;A",'T12 Raw Data'!B:B,0)),0)</f>
        <v/>
      </c>
      <c r="L63" s="144">
        <f>IFERROR(INDEX('T12 Raw Data'!P:P,MATCH("Office, admin &amp; G&amp;A",'T12 Raw Data'!B:B,0)),0)</f>
        <v/>
      </c>
      <c r="M63" s="144">
        <f>IFERROR(INDEX('T12 Raw Data'!Q:Q,MATCH("Office, admin &amp; G&amp;A",'T12 Raw Data'!B:B,0)),0)</f>
        <v/>
      </c>
      <c r="N63" s="145">
        <f>SUM(B63:M63)</f>
        <v/>
      </c>
    </row>
    <row r="64" ht="15.75" customHeight="1" s="199">
      <c r="A64" s="83" t="inlineStr">
        <is>
          <t>Other / miscellaneous</t>
        </is>
      </c>
      <c r="B64" s="144">
        <f>IFERROR(INDEX('T12 Raw Data'!F:F,MATCH("Other / miscellaneous",'T12 Raw Data'!B:B,0)),0)</f>
        <v/>
      </c>
      <c r="C64" s="144">
        <f>IFERROR(INDEX('T12 Raw Data'!G:G,MATCH("Other / miscellaneous",'T12 Raw Data'!B:B,0)),0)</f>
        <v/>
      </c>
      <c r="D64" s="144">
        <f>IFERROR(INDEX('T12 Raw Data'!H:H,MATCH("Other / miscellaneous",'T12 Raw Data'!B:B,0)),0)</f>
        <v/>
      </c>
      <c r="E64" s="144">
        <f>IFERROR(INDEX('T12 Raw Data'!I:I,MATCH("Other / miscellaneous",'T12 Raw Data'!B:B,0)),0)</f>
        <v/>
      </c>
      <c r="F64" s="144">
        <f>IFERROR(INDEX('T12 Raw Data'!J:J,MATCH("Other / miscellaneous",'T12 Raw Data'!B:B,0)),0)</f>
        <v/>
      </c>
      <c r="G64" s="144">
        <f>IFERROR(INDEX('T12 Raw Data'!K:K,MATCH("Other / miscellaneous",'T12 Raw Data'!B:B,0)),0)</f>
        <v/>
      </c>
      <c r="H64" s="144">
        <f>IFERROR(INDEX('T12 Raw Data'!L:L,MATCH("Other / miscellaneous",'T12 Raw Data'!B:B,0)),0)</f>
        <v/>
      </c>
      <c r="I64" s="144">
        <f>IFERROR(INDEX('T12 Raw Data'!M:M,MATCH("Other / miscellaneous",'T12 Raw Data'!B:B,0)),0)</f>
        <v/>
      </c>
      <c r="J64" s="144">
        <f>IFERROR(INDEX('T12 Raw Data'!N:N,MATCH("Other / miscellaneous",'T12 Raw Data'!B:B,0)),0)</f>
        <v/>
      </c>
      <c r="K64" s="144">
        <f>IFERROR(INDEX('T12 Raw Data'!O:O,MATCH("Other / miscellaneous",'T12 Raw Data'!B:B,0)),0)</f>
        <v/>
      </c>
      <c r="L64" s="144">
        <f>IFERROR(INDEX('T12 Raw Data'!P:P,MATCH("Other / miscellaneous",'T12 Raw Data'!B:B,0)),0)</f>
        <v/>
      </c>
      <c r="M64" s="144">
        <f>IFERROR(INDEX('T12 Raw Data'!Q:Q,MATCH("Other / miscellaneous",'T12 Raw Data'!B:B,0)),0)</f>
        <v/>
      </c>
      <c r="N64" s="145">
        <f>SUM(B64:M64)</f>
        <v/>
      </c>
    </row>
    <row r="65" ht="15.75" customHeight="1" s="199">
      <c r="A65" s="83" t="inlineStr">
        <is>
          <t>Lease / ground lease</t>
        </is>
      </c>
      <c r="B65" s="144">
        <f>IFERROR(INDEX('T12 Raw Data'!F:F,MATCH("Lease / ground lease",'T12 Raw Data'!B:B,0)),0)</f>
        <v/>
      </c>
      <c r="C65" s="144">
        <f>IFERROR(INDEX('T12 Raw Data'!G:G,MATCH("Lease / ground lease",'T12 Raw Data'!B:B,0)),0)</f>
        <v/>
      </c>
      <c r="D65" s="144">
        <f>IFERROR(INDEX('T12 Raw Data'!H:H,MATCH("Lease / ground lease",'T12 Raw Data'!B:B,0)),0)</f>
        <v/>
      </c>
      <c r="E65" s="144">
        <f>IFERROR(INDEX('T12 Raw Data'!I:I,MATCH("Lease / ground lease",'T12 Raw Data'!B:B,0)),0)</f>
        <v/>
      </c>
      <c r="F65" s="144">
        <f>IFERROR(INDEX('T12 Raw Data'!J:J,MATCH("Lease / ground lease",'T12 Raw Data'!B:B,0)),0)</f>
        <v/>
      </c>
      <c r="G65" s="144">
        <f>IFERROR(INDEX('T12 Raw Data'!K:K,MATCH("Lease / ground lease",'T12 Raw Data'!B:B,0)),0)</f>
        <v/>
      </c>
      <c r="H65" s="144">
        <f>IFERROR(INDEX('T12 Raw Data'!L:L,MATCH("Lease / ground lease",'T12 Raw Data'!B:B,0)),0)</f>
        <v/>
      </c>
      <c r="I65" s="144">
        <f>IFERROR(INDEX('T12 Raw Data'!M:M,MATCH("Lease / ground lease",'T12 Raw Data'!B:B,0)),0)</f>
        <v/>
      </c>
      <c r="J65" s="144">
        <f>IFERROR(INDEX('T12 Raw Data'!N:N,MATCH("Lease / ground lease",'T12 Raw Data'!B:B,0)),0)</f>
        <v/>
      </c>
      <c r="K65" s="144">
        <f>IFERROR(INDEX('T12 Raw Data'!O:O,MATCH("Lease / ground lease",'T12 Raw Data'!B:B,0)),0)</f>
        <v/>
      </c>
      <c r="L65" s="144">
        <f>IFERROR(INDEX('T12 Raw Data'!P:P,MATCH("Lease / ground lease",'T12 Raw Data'!B:B,0)),0)</f>
        <v/>
      </c>
      <c r="M65" s="144">
        <f>IFERROR(INDEX('T12 Raw Data'!Q:Q,MATCH("Lease / ground lease",'T12 Raw Data'!B:B,0)),0)</f>
        <v/>
      </c>
      <c r="N65" s="145">
        <f>SUM(B65:M65)</f>
        <v/>
      </c>
    </row>
    <row r="66" ht="15.75" customHeight="1" s="199">
      <c r="A66" s="146" t="inlineStr">
        <is>
          <t>Total non-labor opex</t>
        </is>
      </c>
      <c r="B66" s="147">
        <f>B41+B42+B43+B44+B45+B46+B47+B48+B49+B50+B51+B52+B53+B54+B55+B56+B57+B58+B59+B60+B61+B62+B63+B64+B65</f>
        <v/>
      </c>
      <c r="C66" s="147">
        <f>C41+C42+C43+C44+C45+C46+C47+C48+C49+C50+C51+C52+C53+C54+C55+C56+C57+C58+C59+C60+C61+C62+C63+C64+C65</f>
        <v/>
      </c>
      <c r="D66" s="147">
        <f>D41+D42+D43+D44+D45+D46+D47+D48+D49+D50+D51+D52+D53+D54+D55+D56+D57+D58+D59+D60+D61+D62+D63+D64+D65</f>
        <v/>
      </c>
      <c r="E66" s="147">
        <f>E41+E42+E43+E44+E45+E46+E47+E48+E49+E50+E51+E52+E53+E54+E55+E56+E57+E58+E59+E60+E61+E62+E63+E64+E65</f>
        <v/>
      </c>
      <c r="F66" s="147">
        <f>F41+F42+F43+F44+F45+F46+F47+F48+F49+F50+F51+F52+F53+F54+F55+F56+F57+F58+F59+F60+F61+F62+F63+F64+F65</f>
        <v/>
      </c>
      <c r="G66" s="147">
        <f>G41+G42+G43+G44+G45+G46+G47+G48+G49+G50+G51+G52+G53+G54+G55+G56+G57+G58+G59+G60+G61+G62+G63+G64+G65</f>
        <v/>
      </c>
      <c r="H66" s="147">
        <f>H41+H42+H43+H44+H45+H46+H47+H48+H49+H50+H51+H52+H53+H54+H55+H56+H57+H58+H59+H60+H61+H62+H63+H64+H65</f>
        <v/>
      </c>
      <c r="I66" s="147">
        <f>I41+I42+I43+I44+I45+I46+I47+I48+I49+I50+I51+I52+I53+I54+I55+I56+I57+I58+I59+I60+I61+I62+I63+I64+I65</f>
        <v/>
      </c>
      <c r="J66" s="147">
        <f>J41+J42+J43+J44+J45+J46+J47+J48+J49+J50+J51+J52+J53+J54+J55+J56+J57+J58+J59+J60+J61+J62+J63+J64+J65</f>
        <v/>
      </c>
      <c r="K66" s="147">
        <f>K41+K42+K43+K44+K45+K46+K47+K48+K49+K50+K51+K52+K53+K54+K55+K56+K57+K58+K59+K60+K61+K62+K63+K64+K65</f>
        <v/>
      </c>
      <c r="L66" s="147">
        <f>L41+L42+L43+L44+L45+L46+L47+L48+L49+L50+L51+L52+L53+L54+L55+L56+L57+L58+L59+L60+L61+L62+L63+L64+L65</f>
        <v/>
      </c>
      <c r="M66" s="147">
        <f>M41+M42+M43+M44+M45+M46+M47+M48+M49+M50+M51+M52+M53+M54+M55+M56+M57+M58+M59+M60+M61+M62+M63+M64+M65</f>
        <v/>
      </c>
      <c r="N66" s="147">
        <f>N41+N42+N43+N44+N45+N46+N47+N48+N49+N50+N51+N52+N53+N54+N55+N56+N57+N58+N59+N60+N61+N62+N63+N64+N65</f>
        <v/>
      </c>
    </row>
    <row r="67" ht="15.75" customHeight="1" s="199">
      <c r="A67" s="151" t="inlineStr">
        <is>
          <t>TOTAL OPEX  (excl. mgmt)</t>
        </is>
      </c>
      <c r="B67" s="30">
        <f>B39+B66</f>
        <v/>
      </c>
      <c r="C67" s="30">
        <f>C39+C66</f>
        <v/>
      </c>
      <c r="D67" s="30">
        <f>D39+D66</f>
        <v/>
      </c>
      <c r="E67" s="30">
        <f>E39+E66</f>
        <v/>
      </c>
      <c r="F67" s="30">
        <f>F39+F66</f>
        <v/>
      </c>
      <c r="G67" s="30">
        <f>G39+G66</f>
        <v/>
      </c>
      <c r="H67" s="30">
        <f>H39+H66</f>
        <v/>
      </c>
      <c r="I67" s="30">
        <f>I39+I66</f>
        <v/>
      </c>
      <c r="J67" s="30">
        <f>J39+J66</f>
        <v/>
      </c>
      <c r="K67" s="30">
        <f>K39+K66</f>
        <v/>
      </c>
      <c r="L67" s="30">
        <f>L39+L66</f>
        <v/>
      </c>
      <c r="M67" s="30">
        <f>M39+M66</f>
        <v/>
      </c>
      <c r="N67" s="30">
        <f>N39+N66</f>
        <v/>
      </c>
    </row>
    <row r="68" ht="15.75" customHeight="1" s="199">
      <c r="A68" s="83" t="inlineStr">
        <is>
          <t>Management fee</t>
        </is>
      </c>
      <c r="B68" s="144">
        <f>IFERROR(INDEX('T12 Raw Data'!F:F,MATCH("Management fee",'T12 Raw Data'!B:B,0)),0)</f>
        <v/>
      </c>
      <c r="C68" s="144">
        <f>IFERROR(INDEX('T12 Raw Data'!G:G,MATCH("Management fee",'T12 Raw Data'!B:B,0)),0)</f>
        <v/>
      </c>
      <c r="D68" s="144">
        <f>IFERROR(INDEX('T12 Raw Data'!H:H,MATCH("Management fee",'T12 Raw Data'!B:B,0)),0)</f>
        <v/>
      </c>
      <c r="E68" s="144">
        <f>IFERROR(INDEX('T12 Raw Data'!I:I,MATCH("Management fee",'T12 Raw Data'!B:B,0)),0)</f>
        <v/>
      </c>
      <c r="F68" s="144">
        <f>IFERROR(INDEX('T12 Raw Data'!J:J,MATCH("Management fee",'T12 Raw Data'!B:B,0)),0)</f>
        <v/>
      </c>
      <c r="G68" s="144">
        <f>IFERROR(INDEX('T12 Raw Data'!K:K,MATCH("Management fee",'T12 Raw Data'!B:B,0)),0)</f>
        <v/>
      </c>
      <c r="H68" s="144">
        <f>IFERROR(INDEX('T12 Raw Data'!L:L,MATCH("Management fee",'T12 Raw Data'!B:B,0)),0)</f>
        <v/>
      </c>
      <c r="I68" s="144">
        <f>IFERROR(INDEX('T12 Raw Data'!M:M,MATCH("Management fee",'T12 Raw Data'!B:B,0)),0)</f>
        <v/>
      </c>
      <c r="J68" s="144">
        <f>IFERROR(INDEX('T12 Raw Data'!N:N,MATCH("Management fee",'T12 Raw Data'!B:B,0)),0)</f>
        <v/>
      </c>
      <c r="K68" s="144">
        <f>IFERROR(INDEX('T12 Raw Data'!O:O,MATCH("Management fee",'T12 Raw Data'!B:B,0)),0)</f>
        <v/>
      </c>
      <c r="L68" s="144">
        <f>IFERROR(INDEX('T12 Raw Data'!P:P,MATCH("Management fee",'T12 Raw Data'!B:B,0)),0)</f>
        <v/>
      </c>
      <c r="M68" s="144">
        <f>IFERROR(INDEX('T12 Raw Data'!Q:Q,MATCH("Management fee",'T12 Raw Data'!B:B,0)),0)</f>
        <v/>
      </c>
      <c r="N68" s="145">
        <f>SUM(B68:M68)</f>
        <v/>
      </c>
    </row>
    <row r="69">
      <c r="A69" s="151" t="inlineStr">
        <is>
          <t>EBITDARM</t>
        </is>
      </c>
      <c r="B69" s="30">
        <f>B21-B67</f>
        <v/>
      </c>
      <c r="C69" s="30">
        <f>C21-C67</f>
        <v/>
      </c>
      <c r="D69" s="30">
        <f>D21-D67</f>
        <v/>
      </c>
      <c r="E69" s="30">
        <f>E21-E67</f>
        <v/>
      </c>
      <c r="F69" s="30">
        <f>F21-F67</f>
        <v/>
      </c>
      <c r="G69" s="30">
        <f>G21-G67</f>
        <v/>
      </c>
      <c r="H69" s="30">
        <f>H21-H67</f>
        <v/>
      </c>
      <c r="I69" s="30">
        <f>I21-I67</f>
        <v/>
      </c>
      <c r="J69" s="30">
        <f>J21-J67</f>
        <v/>
      </c>
      <c r="K69" s="30">
        <f>K21-K67</f>
        <v/>
      </c>
      <c r="L69" s="30">
        <f>L21-L67</f>
        <v/>
      </c>
      <c r="M69" s="30">
        <f>M21-M67</f>
        <v/>
      </c>
      <c r="N69" s="30">
        <f>N21-N67</f>
        <v/>
      </c>
    </row>
    <row r="70">
      <c r="A70" s="151" t="inlineStr">
        <is>
          <t>EBITDAR</t>
        </is>
      </c>
      <c r="B70" s="30">
        <f>B69-B68</f>
        <v/>
      </c>
      <c r="C70" s="30">
        <f>C69-C68</f>
        <v/>
      </c>
      <c r="D70" s="30">
        <f>D69-D68</f>
        <v/>
      </c>
      <c r="E70" s="30">
        <f>E69-E68</f>
        <v/>
      </c>
      <c r="F70" s="30">
        <f>F69-F68</f>
        <v/>
      </c>
      <c r="G70" s="30">
        <f>G69-G68</f>
        <v/>
      </c>
      <c r="H70" s="30">
        <f>H69-H68</f>
        <v/>
      </c>
      <c r="I70" s="30">
        <f>I69-I68</f>
        <v/>
      </c>
      <c r="J70" s="30">
        <f>J69-J68</f>
        <v/>
      </c>
      <c r="K70" s="30">
        <f>K69-K68</f>
        <v/>
      </c>
      <c r="L70" s="30">
        <f>L69-L68</f>
        <v/>
      </c>
      <c r="M70" s="30">
        <f>M69-M68</f>
        <v/>
      </c>
      <c r="N70" s="30">
        <f>N69-N68</f>
        <v/>
      </c>
    </row>
  </sheetData>
  <mergeCells count="4">
    <mergeCell ref="A40:N40"/>
    <mergeCell ref="A4:N4"/>
    <mergeCell ref="A22:N22"/>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v0.1.15</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24" t="inlineStr">
        <is>
          <t>"-"</t>
        </is>
      </c>
      <c r="C8" s="24" t="inlineStr">
        <is>
          <t>"-"</t>
        </is>
      </c>
      <c r="D8" s="24" t="inlineStr">
        <is>
          <t>"-"</t>
        </is>
      </c>
      <c r="E8" s="24">
        <f>'T12 Analytics'!E47</f>
        <v/>
      </c>
      <c r="F8" s="24">
        <f>'T12 Analytics'!F47</f>
        <v/>
      </c>
      <c r="G8" s="24">
        <f>F8-E8</f>
        <v/>
      </c>
      <c r="H8" s="156" t="n"/>
    </row>
    <row r="9" ht="15.75" customHeight="1" s="199">
      <c r="A9" s="112" t="inlineStr">
        <is>
          <t>Concessions &amp; specials</t>
        </is>
      </c>
      <c r="B9" s="24" t="inlineStr">
        <is>
          <t>"-"</t>
        </is>
      </c>
      <c r="C9" s="24" t="inlineStr">
        <is>
          <t>"-"</t>
        </is>
      </c>
      <c r="D9" s="24" t="inlineStr">
        <is>
          <t>"-"</t>
        </is>
      </c>
      <c r="E9" s="24">
        <f>'T12 Analytics'!E48</f>
        <v/>
      </c>
      <c r="F9" s="24">
        <f>'T12 Analytics'!F48</f>
        <v/>
      </c>
      <c r="G9" s="24">
        <f>F9-E9</f>
        <v/>
      </c>
      <c r="H9" s="156" t="n"/>
    </row>
    <row r="10" ht="15.75" customHeight="1" s="199">
      <c r="A10" s="112" t="inlineStr">
        <is>
          <t>Respite care</t>
        </is>
      </c>
      <c r="B10" s="24" t="inlineStr">
        <is>
          <t>"-"</t>
        </is>
      </c>
      <c r="C10" s="24" t="inlineStr">
        <is>
          <t>"-"</t>
        </is>
      </c>
      <c r="D10" s="24" t="inlineStr">
        <is>
          <t>"-"</t>
        </is>
      </c>
      <c r="E10" s="24">
        <f>'T12 Analytics'!E49</f>
        <v/>
      </c>
      <c r="F10" s="24">
        <f>'T12 Analytics'!F49</f>
        <v/>
      </c>
      <c r="G10" s="24">
        <f>F10-E10</f>
        <v/>
      </c>
      <c r="H10" s="156" t="n"/>
    </row>
    <row r="11" ht="15.75" customHeight="1" s="199">
      <c r="A11" s="112" t="inlineStr">
        <is>
          <t>Other community revenue</t>
        </is>
      </c>
      <c r="B11" s="24" t="inlineStr">
        <is>
          <t>"-"</t>
        </is>
      </c>
      <c r="C11" s="24" t="inlineStr">
        <is>
          <t>"-"</t>
        </is>
      </c>
      <c r="D11" s="24" t="inlineStr">
        <is>
          <t>"-"</t>
        </is>
      </c>
      <c r="E11" s="24">
        <f>'T12 Analytics'!E50</f>
        <v/>
      </c>
      <c r="F11" s="24">
        <f>'T12 Analytics'!F50</f>
        <v/>
      </c>
      <c r="G11" s="24">
        <f>F11-E11</f>
        <v/>
      </c>
      <c r="H11" s="156" t="n"/>
    </row>
    <row r="12" ht="18" customHeight="1" s="199">
      <c r="A12" s="183" t="inlineStr">
        <is>
          <t>EGI (normalized)</t>
        </is>
      </c>
      <c r="B12" s="30" t="inlineStr">
        <is>
          <t>"-"</t>
        </is>
      </c>
      <c r="C12" s="30" t="inlineStr">
        <is>
          <t>"-"</t>
        </is>
      </c>
      <c r="D12" s="30"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24" t="inlineStr">
        <is>
          <t>"-"</t>
        </is>
      </c>
      <c r="C22" s="24" t="inlineStr">
        <is>
          <t>"-"</t>
        </is>
      </c>
      <c r="D22" s="24" t="inlineStr">
        <is>
          <t>"-"</t>
        </is>
      </c>
      <c r="E22" s="24">
        <f>'T12 Analytics'!E57</f>
        <v/>
      </c>
      <c r="F22" s="24">
        <f>'T12 Analytics'!F57</f>
        <v/>
      </c>
      <c r="G22" s="24">
        <f>F22-E22</f>
        <v/>
      </c>
      <c r="H22" s="156" t="n"/>
    </row>
    <row r="23" ht="15.75" customHeight="1" s="199">
      <c r="A23" s="112" t="inlineStr">
        <is>
          <t>Wellness / care coordinators</t>
        </is>
      </c>
      <c r="B23" s="24" t="inlineStr">
        <is>
          <t>"-"</t>
        </is>
      </c>
      <c r="C23" s="24" t="inlineStr">
        <is>
          <t>"-"</t>
        </is>
      </c>
      <c r="D23" s="24" t="inlineStr">
        <is>
          <t>"-"</t>
        </is>
      </c>
      <c r="E23" s="24">
        <f>'T12 Analytics'!E58</f>
        <v/>
      </c>
      <c r="F23" s="24">
        <f>'T12 Analytics'!F58</f>
        <v/>
      </c>
      <c r="G23" s="24">
        <f>F23-E23</f>
        <v/>
      </c>
      <c r="H23" s="156" t="n"/>
    </row>
    <row r="24" ht="15.75" customHeight="1" s="199">
      <c r="A24" s="112" t="inlineStr">
        <is>
          <t>Contract / agency labor</t>
        </is>
      </c>
      <c r="B24" s="24" t="inlineStr">
        <is>
          <t>"-"</t>
        </is>
      </c>
      <c r="C24" s="24" t="inlineStr">
        <is>
          <t>"-"</t>
        </is>
      </c>
      <c r="D24" s="24" t="inlineStr">
        <is>
          <t>"-"</t>
        </is>
      </c>
      <c r="E24" s="24">
        <f>'T12 Analytics'!E59</f>
        <v/>
      </c>
      <c r="F24" s="24">
        <f>'T12 Analytics'!F59</f>
        <v/>
      </c>
      <c r="G24" s="24">
        <f>F24-E24</f>
        <v/>
      </c>
      <c r="H24" s="156" t="n"/>
    </row>
    <row r="25" ht="15.75" customHeight="1" s="199">
      <c r="A25" s="112" t="inlineStr">
        <is>
          <t>Activities labor</t>
        </is>
      </c>
      <c r="B25" s="24" t="inlineStr">
        <is>
          <t>"-"</t>
        </is>
      </c>
      <c r="C25" s="24" t="inlineStr">
        <is>
          <t>"-"</t>
        </is>
      </c>
      <c r="D25" s="24" t="inlineStr">
        <is>
          <t>"-"</t>
        </is>
      </c>
      <c r="E25" s="24">
        <f>'T12 Analytics'!E60</f>
        <v/>
      </c>
      <c r="F25" s="24">
        <f>'T12 Analytics'!F60</f>
        <v/>
      </c>
      <c r="G25" s="24">
        <f>F25-E25</f>
        <v/>
      </c>
      <c r="H25" s="156" t="n"/>
    </row>
    <row r="26" ht="15.75" customHeight="1" s="199">
      <c r="A26" s="112" t="inlineStr">
        <is>
          <t>Dining / food service labor</t>
        </is>
      </c>
      <c r="B26" s="24" t="inlineStr">
        <is>
          <t>"-"</t>
        </is>
      </c>
      <c r="C26" s="24" t="inlineStr">
        <is>
          <t>"-"</t>
        </is>
      </c>
      <c r="D26" s="24" t="inlineStr">
        <is>
          <t>"-"</t>
        </is>
      </c>
      <c r="E26" s="24">
        <f>'T12 Analytics'!E61</f>
        <v/>
      </c>
      <c r="F26" s="24">
        <f>'T12 Analytics'!F61</f>
        <v/>
      </c>
      <c r="G26" s="24">
        <f>F26-E26</f>
        <v/>
      </c>
      <c r="H26" s="156" t="n"/>
    </row>
    <row r="27" ht="15.75" customHeight="1" s="199">
      <c r="A27" s="112" t="inlineStr">
        <is>
          <t>Maintenance &amp; HK labor</t>
        </is>
      </c>
      <c r="B27" s="24" t="inlineStr">
        <is>
          <t>"-"</t>
        </is>
      </c>
      <c r="C27" s="24" t="inlineStr">
        <is>
          <t>"-"</t>
        </is>
      </c>
      <c r="D27" s="24" t="inlineStr">
        <is>
          <t>"-"</t>
        </is>
      </c>
      <c r="E27" s="24">
        <f>'T12 Analytics'!E62</f>
        <v/>
      </c>
      <c r="F27" s="24">
        <f>'T12 Analytics'!F62</f>
        <v/>
      </c>
      <c r="G27" s="24">
        <f>F27-E27</f>
        <v/>
      </c>
      <c r="H27" s="156" t="n"/>
    </row>
    <row r="28" ht="18" customHeight="1" s="199">
      <c r="A28" s="112" t="inlineStr">
        <is>
          <t>Administrative labor</t>
        </is>
      </c>
      <c r="B28" s="24" t="inlineStr">
        <is>
          <t>"-"</t>
        </is>
      </c>
      <c r="C28" s="24" t="inlineStr">
        <is>
          <t>"-"</t>
        </is>
      </c>
      <c r="D28" s="24"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24" t="inlineStr">
        <is>
          <t>"-"</t>
        </is>
      </c>
      <c r="C30" s="24" t="inlineStr">
        <is>
          <t>"-"</t>
        </is>
      </c>
      <c r="D30" s="24" t="inlineStr">
        <is>
          <t>"-"</t>
        </is>
      </c>
      <c r="E30" s="24">
        <f>'T12 Analytics'!E68</f>
        <v/>
      </c>
      <c r="F30" s="24">
        <f>'T12 Analytics'!F68</f>
        <v/>
      </c>
      <c r="G30" s="24">
        <f>F30-E30</f>
        <v/>
      </c>
      <c r="H30" s="156" t="n"/>
    </row>
    <row r="31" ht="15.75" customHeight="1" s="199">
      <c r="A31" s="112" t="inlineStr">
        <is>
          <t>PTO wages</t>
        </is>
      </c>
      <c r="B31" s="24" t="inlineStr">
        <is>
          <t>"-"</t>
        </is>
      </c>
      <c r="C31" s="24" t="inlineStr">
        <is>
          <t>"-"</t>
        </is>
      </c>
      <c r="D31" s="24" t="inlineStr">
        <is>
          <t>"-"</t>
        </is>
      </c>
      <c r="E31" s="24">
        <f>'T12 Analytics'!E69</f>
        <v/>
      </c>
      <c r="F31" s="24">
        <f>'T12 Analytics'!F69</f>
        <v/>
      </c>
      <c r="G31" s="24">
        <f>F31-E31</f>
        <v/>
      </c>
      <c r="H31" s="156" t="n"/>
    </row>
    <row r="32" ht="15.75" customHeight="1" s="199">
      <c r="A32" s="112" t="inlineStr">
        <is>
          <t>Payroll taxes</t>
        </is>
      </c>
      <c r="B32" s="24" t="inlineStr">
        <is>
          <t>"-"</t>
        </is>
      </c>
      <c r="C32" s="24" t="inlineStr">
        <is>
          <t>"-"</t>
        </is>
      </c>
      <c r="D32" s="24" t="inlineStr">
        <is>
          <t>"-"</t>
        </is>
      </c>
      <c r="E32" s="24">
        <f>'T12 Analytics'!E70</f>
        <v/>
      </c>
      <c r="F32" s="24">
        <f>'T12 Analytics'!F70</f>
        <v/>
      </c>
      <c r="G32" s="24">
        <f>F32-E32</f>
        <v/>
      </c>
      <c r="H32" s="156" t="n"/>
    </row>
    <row r="33" ht="15.75" customHeight="1" s="199">
      <c r="A33" s="112" t="inlineStr">
        <is>
          <t>Employee benefits</t>
        </is>
      </c>
      <c r="B33" s="24" t="inlineStr">
        <is>
          <t>"-"</t>
        </is>
      </c>
      <c r="C33" s="24" t="inlineStr">
        <is>
          <t>"-"</t>
        </is>
      </c>
      <c r="D33" s="24" t="inlineStr">
        <is>
          <t>"-"</t>
        </is>
      </c>
      <c r="E33" s="24">
        <f>'T12 Analytics'!E71</f>
        <v/>
      </c>
      <c r="F33" s="24">
        <f>'T12 Analytics'!F71</f>
        <v/>
      </c>
      <c r="G33" s="24">
        <f>F33-E33</f>
        <v/>
      </c>
      <c r="H33" s="156" t="n"/>
    </row>
    <row r="34" ht="15.75" customHeight="1" s="199">
      <c r="A34" s="112" t="inlineStr">
        <is>
          <t>Workers' comp insurance</t>
        </is>
      </c>
      <c r="B34" s="24" t="inlineStr">
        <is>
          <t>"-"</t>
        </is>
      </c>
      <c r="C34" s="24" t="inlineStr">
        <is>
          <t>"-"</t>
        </is>
      </c>
      <c r="D34" s="24" t="inlineStr">
        <is>
          <t>"-"</t>
        </is>
      </c>
      <c r="E34" s="24">
        <f>'T12 Analytics'!E72</f>
        <v/>
      </c>
      <c r="F34" s="24">
        <f>'T12 Analytics'!F72</f>
        <v/>
      </c>
      <c r="G34" s="24">
        <f>F34-E34</f>
        <v/>
      </c>
      <c r="H34" s="156" t="n"/>
    </row>
    <row r="35" ht="15.75" customHeight="1" s="199">
      <c r="A35" s="112" t="inlineStr">
        <is>
          <t>Employee 401(k)</t>
        </is>
      </c>
      <c r="B35" s="24" t="inlineStr">
        <is>
          <t>"-"</t>
        </is>
      </c>
      <c r="C35" s="24" t="inlineStr">
        <is>
          <t>"-"</t>
        </is>
      </c>
      <c r="D35" s="24" t="inlineStr">
        <is>
          <t>"-"</t>
        </is>
      </c>
      <c r="E35" s="24">
        <f>'T12 Analytics'!E73</f>
        <v/>
      </c>
      <c r="F35" s="24">
        <f>'T12 Analytics'!F73</f>
        <v/>
      </c>
      <c r="G35" s="24">
        <f>F35-E35</f>
        <v/>
      </c>
      <c r="H35" s="156" t="n"/>
    </row>
    <row r="36" ht="15.75" customHeight="1" s="199">
      <c r="A36" s="183" t="inlineStr">
        <is>
          <t>Total labor &amp; burden</t>
        </is>
      </c>
      <c r="B36" s="30" t="inlineStr">
        <is>
          <t>"-"</t>
        </is>
      </c>
      <c r="C36" s="30" t="inlineStr">
        <is>
          <t>"-"</t>
        </is>
      </c>
      <c r="D36" s="30"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24" t="inlineStr">
        <is>
          <t>"-"</t>
        </is>
      </c>
      <c r="C38" s="24" t="inlineStr">
        <is>
          <t>"-"</t>
        </is>
      </c>
      <c r="D38" s="24" t="inlineStr">
        <is>
          <t>"-"</t>
        </is>
      </c>
      <c r="E38" s="24">
        <f>'T12 Analytics'!E79</f>
        <v/>
      </c>
      <c r="F38" s="24">
        <f>'T12 Analytics'!F79</f>
        <v/>
      </c>
      <c r="G38" s="24">
        <f>F38-E38</f>
        <v/>
      </c>
      <c r="H38" s="156" t="n"/>
    </row>
    <row r="39" ht="15.75" customHeight="1" s="199">
      <c r="A39" s="112" t="inlineStr">
        <is>
          <t>Dining &amp; kitchen supplies</t>
        </is>
      </c>
      <c r="B39" s="24" t="inlineStr">
        <is>
          <t>"-"</t>
        </is>
      </c>
      <c r="C39" s="24" t="inlineStr">
        <is>
          <t>"-"</t>
        </is>
      </c>
      <c r="D39" s="24" t="inlineStr">
        <is>
          <t>"-"</t>
        </is>
      </c>
      <c r="E39" s="24">
        <f>'T12 Analytics'!E80</f>
        <v/>
      </c>
      <c r="F39" s="24">
        <f>'T12 Analytics'!F80</f>
        <v/>
      </c>
      <c r="G39" s="24">
        <f>F39-E39</f>
        <v/>
      </c>
      <c r="H39" s="156" t="n"/>
    </row>
    <row r="40" ht="15.75" customHeight="1" s="199">
      <c r="A40" s="112" t="inlineStr">
        <is>
          <t>Nursing &amp; care supplies</t>
        </is>
      </c>
      <c r="B40" s="24" t="inlineStr">
        <is>
          <t>"-"</t>
        </is>
      </c>
      <c r="C40" s="24" t="inlineStr">
        <is>
          <t>"-"</t>
        </is>
      </c>
      <c r="D40" s="24" t="inlineStr">
        <is>
          <t>"-"</t>
        </is>
      </c>
      <c r="E40" s="24">
        <f>'T12 Analytics'!E81</f>
        <v/>
      </c>
      <c r="F40" s="24">
        <f>'T12 Analytics'!F81</f>
        <v/>
      </c>
      <c r="G40" s="24">
        <f>F40-E40</f>
        <v/>
      </c>
      <c r="H40" s="156" t="n"/>
    </row>
    <row r="41" ht="15.75" customHeight="1" s="199">
      <c r="A41" s="112" t="inlineStr">
        <is>
          <t>Recreation supplies</t>
        </is>
      </c>
      <c r="B41" s="24" t="inlineStr">
        <is>
          <t>"-"</t>
        </is>
      </c>
      <c r="C41" s="24" t="inlineStr">
        <is>
          <t>"-"</t>
        </is>
      </c>
      <c r="D41" s="24" t="inlineStr">
        <is>
          <t>"-"</t>
        </is>
      </c>
      <c r="E41" s="24">
        <f>'T12 Analytics'!E82</f>
        <v/>
      </c>
      <c r="F41" s="24">
        <f>'T12 Analytics'!F82</f>
        <v/>
      </c>
      <c r="G41" s="24">
        <f>F41-E41</f>
        <v/>
      </c>
      <c r="H41" s="156" t="n"/>
    </row>
    <row r="42" ht="15.75" customHeight="1" s="199">
      <c r="A42" s="112" t="inlineStr">
        <is>
          <t>R&amp;M fixed</t>
        </is>
      </c>
      <c r="B42" s="24" t="inlineStr">
        <is>
          <t>"-"</t>
        </is>
      </c>
      <c r="C42" s="24" t="inlineStr">
        <is>
          <t>"-"</t>
        </is>
      </c>
      <c r="D42" s="24" t="inlineStr">
        <is>
          <t>"-"</t>
        </is>
      </c>
      <c r="E42" s="24">
        <f>'T12 Analytics'!E83</f>
        <v/>
      </c>
      <c r="F42" s="24">
        <f>'T12 Analytics'!F83</f>
        <v/>
      </c>
      <c r="G42" s="24">
        <f>F42-E42</f>
        <v/>
      </c>
      <c r="H42" s="156" t="n"/>
    </row>
    <row r="43" ht="15.75" customHeight="1" s="199">
      <c r="A43" s="112" t="inlineStr">
        <is>
          <t>R&amp;M variable</t>
        </is>
      </c>
      <c r="B43" s="24" t="inlineStr">
        <is>
          <t>"-"</t>
        </is>
      </c>
      <c r="C43" s="24" t="inlineStr">
        <is>
          <t>"-"</t>
        </is>
      </c>
      <c r="D43" s="24" t="inlineStr">
        <is>
          <t>"-"</t>
        </is>
      </c>
      <c r="E43" s="24">
        <f>'T12 Analytics'!E84</f>
        <v/>
      </c>
      <c r="F43" s="24">
        <f>'T12 Analytics'!F84</f>
        <v/>
      </c>
      <c r="G43" s="24">
        <f>F43-E43</f>
        <v/>
      </c>
      <c r="H43" s="156" t="n"/>
    </row>
    <row r="44" ht="15.75" customHeight="1" s="199">
      <c r="A44" s="112" t="inlineStr">
        <is>
          <t>HK &amp; laundry supplies</t>
        </is>
      </c>
      <c r="B44" s="24" t="inlineStr">
        <is>
          <t>"-"</t>
        </is>
      </c>
      <c r="C44" s="24" t="inlineStr">
        <is>
          <t>"-"</t>
        </is>
      </c>
      <c r="D44" s="24" t="inlineStr">
        <is>
          <t>"-"</t>
        </is>
      </c>
      <c r="E44" s="24">
        <f>'T12 Analytics'!E85</f>
        <v/>
      </c>
      <c r="F44" s="24">
        <f>'T12 Analytics'!F85</f>
        <v/>
      </c>
      <c r="G44" s="24">
        <f>F44-E44</f>
        <v/>
      </c>
      <c r="H44" s="156" t="n"/>
    </row>
    <row r="45" ht="15.75" customHeight="1" s="199">
      <c r="A45" s="112" t="inlineStr">
        <is>
          <t>Sales, adv. &amp; marketing</t>
        </is>
      </c>
      <c r="B45" s="24" t="inlineStr">
        <is>
          <t>"-"</t>
        </is>
      </c>
      <c r="C45" s="24" t="inlineStr">
        <is>
          <t>"-"</t>
        </is>
      </c>
      <c r="D45" s="24" t="inlineStr">
        <is>
          <t>"-"</t>
        </is>
      </c>
      <c r="E45" s="24">
        <f>'T12 Analytics'!E86</f>
        <v/>
      </c>
      <c r="F45" s="24">
        <f>'T12 Analytics'!F86</f>
        <v/>
      </c>
      <c r="G45" s="24">
        <f>F45-E45</f>
        <v/>
      </c>
      <c r="H45" s="156" t="n"/>
    </row>
    <row r="46" ht="15.75" customHeight="1" s="199">
      <c r="A46" s="112" t="inlineStr">
        <is>
          <t>Referral fees</t>
        </is>
      </c>
      <c r="B46" s="24" t="inlineStr">
        <is>
          <t>"-"</t>
        </is>
      </c>
      <c r="C46" s="24" t="inlineStr">
        <is>
          <t>"-"</t>
        </is>
      </c>
      <c r="D46" s="24" t="inlineStr">
        <is>
          <t>"-"</t>
        </is>
      </c>
      <c r="E46" s="24">
        <f>'T12 Analytics'!E87</f>
        <v/>
      </c>
      <c r="F46" s="24">
        <f>'T12 Analytics'!F87</f>
        <v/>
      </c>
      <c r="G46" s="24">
        <f>F46-E46</f>
        <v/>
      </c>
      <c r="H46" s="156" t="n"/>
    </row>
    <row r="47" ht="15.75" customHeight="1" s="199">
      <c r="A47" s="112" t="inlineStr">
        <is>
          <t>Utilities</t>
        </is>
      </c>
      <c r="B47" s="24" t="inlineStr">
        <is>
          <t>"-"</t>
        </is>
      </c>
      <c r="C47" s="24" t="inlineStr">
        <is>
          <t>"-"</t>
        </is>
      </c>
      <c r="D47" s="24" t="inlineStr">
        <is>
          <t>"-"</t>
        </is>
      </c>
      <c r="E47" s="24">
        <f>'T12 Analytics'!E88</f>
        <v/>
      </c>
      <c r="F47" s="24">
        <f>'T12 Analytics'!F88</f>
        <v/>
      </c>
      <c r="G47" s="24">
        <f>F47-E47</f>
        <v/>
      </c>
      <c r="H47" s="156" t="n"/>
    </row>
    <row r="48" ht="15.75" customHeight="1" s="199">
      <c r="A48" s="112" t="inlineStr">
        <is>
          <t>Telephone / IT</t>
        </is>
      </c>
      <c r="B48" s="24" t="inlineStr">
        <is>
          <t>"-"</t>
        </is>
      </c>
      <c r="C48" s="24" t="inlineStr">
        <is>
          <t>"-"</t>
        </is>
      </c>
      <c r="D48" s="24" t="inlineStr">
        <is>
          <t>"-"</t>
        </is>
      </c>
      <c r="E48" s="24">
        <f>'T12 Analytics'!E89</f>
        <v/>
      </c>
      <c r="F48" s="24">
        <f>'T12 Analytics'!F89</f>
        <v/>
      </c>
      <c r="G48" s="24">
        <f>F48-E48</f>
        <v/>
      </c>
      <c r="H48" s="156" t="n"/>
    </row>
    <row r="49" ht="15.75" customHeight="1" s="199">
      <c r="A49" s="112" t="inlineStr">
        <is>
          <t>P&amp;C insurance</t>
        </is>
      </c>
      <c r="B49" s="24" t="inlineStr">
        <is>
          <t>"-"</t>
        </is>
      </c>
      <c r="C49" s="24" t="inlineStr">
        <is>
          <t>"-"</t>
        </is>
      </c>
      <c r="D49" s="24" t="inlineStr">
        <is>
          <t>"-"</t>
        </is>
      </c>
      <c r="E49" s="24">
        <f>'T12 Analytics'!E90</f>
        <v/>
      </c>
      <c r="F49" s="24">
        <f>'T12 Analytics'!F90</f>
        <v/>
      </c>
      <c r="G49" s="24">
        <f>F49-E49</f>
        <v/>
      </c>
      <c r="H49" s="156" t="n"/>
    </row>
    <row r="50" ht="15.75" customHeight="1" s="199">
      <c r="A50" s="112" t="inlineStr">
        <is>
          <t>Auto insurance</t>
        </is>
      </c>
      <c r="B50" s="24" t="inlineStr">
        <is>
          <t>"-"</t>
        </is>
      </c>
      <c r="C50" s="24" t="inlineStr">
        <is>
          <t>"-"</t>
        </is>
      </c>
      <c r="D50" s="24" t="inlineStr">
        <is>
          <t>"-"</t>
        </is>
      </c>
      <c r="E50" s="24">
        <f>'T12 Analytics'!E91</f>
        <v/>
      </c>
      <c r="F50" s="24">
        <f>'T12 Analytics'!F91</f>
        <v/>
      </c>
      <c r="G50" s="24">
        <f>F50-E50</f>
        <v/>
      </c>
      <c r="H50" s="156" t="n"/>
    </row>
    <row r="51" ht="15.75" customHeight="1" s="199">
      <c r="A51" s="112" t="inlineStr">
        <is>
          <t>Fire / security monitoring</t>
        </is>
      </c>
      <c r="B51" s="24" t="inlineStr">
        <is>
          <t>"-"</t>
        </is>
      </c>
      <c r="C51" s="24" t="inlineStr">
        <is>
          <t>"-"</t>
        </is>
      </c>
      <c r="D51" s="24" t="inlineStr">
        <is>
          <t>"-"</t>
        </is>
      </c>
      <c r="E51" s="24">
        <f>'T12 Analytics'!E92</f>
        <v/>
      </c>
      <c r="F51" s="24">
        <f>'T12 Analytics'!F92</f>
        <v/>
      </c>
      <c r="G51" s="24">
        <f>F51-E51</f>
        <v/>
      </c>
      <c r="H51" s="156" t="n"/>
    </row>
    <row r="52" ht="15.75" customHeight="1" s="199">
      <c r="A52" s="112" t="inlineStr">
        <is>
          <t>Pest elimination</t>
        </is>
      </c>
      <c r="B52" s="24" t="inlineStr">
        <is>
          <t>"-"</t>
        </is>
      </c>
      <c r="C52" s="24" t="inlineStr">
        <is>
          <t>"-"</t>
        </is>
      </c>
      <c r="D52" s="24" t="inlineStr">
        <is>
          <t>"-"</t>
        </is>
      </c>
      <c r="E52" s="24">
        <f>'T12 Analytics'!E93</f>
        <v/>
      </c>
      <c r="F52" s="24">
        <f>'T12 Analytics'!F93</f>
        <v/>
      </c>
      <c r="G52" s="24">
        <f>F52-E52</f>
        <v/>
      </c>
      <c r="H52" s="156" t="n"/>
    </row>
    <row r="53" ht="15.75" customHeight="1" s="199">
      <c r="A53" s="112" t="inlineStr">
        <is>
          <t>Real estate taxes</t>
        </is>
      </c>
      <c r="B53" s="24" t="inlineStr">
        <is>
          <t>"-"</t>
        </is>
      </c>
      <c r="C53" s="24" t="inlineStr">
        <is>
          <t>"-"</t>
        </is>
      </c>
      <c r="D53" s="24" t="inlineStr">
        <is>
          <t>"-"</t>
        </is>
      </c>
      <c r="E53" s="24">
        <f>'T12 Analytics'!E94</f>
        <v/>
      </c>
      <c r="F53" s="24">
        <f>'T12 Analytics'!F94</f>
        <v/>
      </c>
      <c r="G53" s="24">
        <f>F53-E53</f>
        <v/>
      </c>
      <c r="H53" s="156" t="n"/>
    </row>
    <row r="54" ht="18" customHeight="1" s="199">
      <c r="A54" s="112" t="inlineStr">
        <is>
          <t>Personal property taxes</t>
        </is>
      </c>
      <c r="B54" s="24" t="inlineStr">
        <is>
          <t>"-"</t>
        </is>
      </c>
      <c r="C54" s="24" t="inlineStr">
        <is>
          <t>"-"</t>
        </is>
      </c>
      <c r="D54" s="24" t="inlineStr">
        <is>
          <t>"-"</t>
        </is>
      </c>
      <c r="E54" s="24">
        <f>'T12 Analytics'!E95</f>
        <v/>
      </c>
      <c r="F54" s="24">
        <f>'T12 Analytics'!F95</f>
        <v/>
      </c>
      <c r="G54" s="24">
        <f>F54-E54</f>
        <v/>
      </c>
      <c r="H54" s="156" t="n"/>
    </row>
    <row r="55" ht="18" customHeight="1" s="199">
      <c r="A55" s="112" t="inlineStr">
        <is>
          <t>Legal expenses</t>
        </is>
      </c>
      <c r="B55" s="24" t="inlineStr">
        <is>
          <t>"-"</t>
        </is>
      </c>
      <c r="C55" s="24" t="inlineStr">
        <is>
          <t>"-"</t>
        </is>
      </c>
      <c r="D55" s="24" t="inlineStr">
        <is>
          <t>"-"</t>
        </is>
      </c>
      <c r="E55" s="24">
        <f>'T12 Analytics'!E96</f>
        <v/>
      </c>
      <c r="F55" s="24">
        <f>'T12 Analytics'!F96</f>
        <v/>
      </c>
      <c r="G55" s="24">
        <f>F55-E55</f>
        <v/>
      </c>
      <c r="H55" s="156" t="n"/>
    </row>
    <row r="56" ht="15.75" customHeight="1" s="199">
      <c r="A56" s="112" t="inlineStr">
        <is>
          <t>Professional services</t>
        </is>
      </c>
      <c r="B56" s="24" t="inlineStr">
        <is>
          <t>"-"</t>
        </is>
      </c>
      <c r="C56" s="24" t="inlineStr">
        <is>
          <t>"-"</t>
        </is>
      </c>
      <c r="D56" s="24"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24" t="inlineStr">
        <is>
          <t>"-"</t>
        </is>
      </c>
      <c r="C58" s="24" t="inlineStr">
        <is>
          <t>"-"</t>
        </is>
      </c>
      <c r="D58" s="24" t="inlineStr">
        <is>
          <t>"-"</t>
        </is>
      </c>
      <c r="E58" s="24">
        <f>'T12 Analytics'!E99</f>
        <v/>
      </c>
      <c r="F58" s="24">
        <f>'T12 Analytics'!F99</f>
        <v/>
      </c>
      <c r="G58" s="24">
        <f>F58-E58</f>
        <v/>
      </c>
      <c r="H58" s="156" t="n"/>
    </row>
    <row r="59" ht="18" customHeight="1" s="199">
      <c r="A59" s="112" t="inlineStr">
        <is>
          <t>Office, admin &amp; G&amp;A</t>
        </is>
      </c>
      <c r="B59" s="24" t="inlineStr">
        <is>
          <t>"-"</t>
        </is>
      </c>
      <c r="C59" s="24" t="inlineStr">
        <is>
          <t>"-"</t>
        </is>
      </c>
      <c r="D59" s="24" t="inlineStr">
        <is>
          <t>"-"</t>
        </is>
      </c>
      <c r="E59" s="24">
        <f>'T12 Analytics'!E100</f>
        <v/>
      </c>
      <c r="F59" s="24">
        <f>'T12 Analytics'!F100</f>
        <v/>
      </c>
      <c r="G59" s="24">
        <f>F59-E59</f>
        <v/>
      </c>
      <c r="H59" s="156" t="n"/>
    </row>
    <row r="60" ht="18" customHeight="1" s="199">
      <c r="A60" s="112" t="inlineStr">
        <is>
          <t>Other / miscellaneous</t>
        </is>
      </c>
      <c r="B60" s="24" t="inlineStr">
        <is>
          <t>"-"</t>
        </is>
      </c>
      <c r="C60" s="24" t="inlineStr">
        <is>
          <t>"-"</t>
        </is>
      </c>
      <c r="D60" s="24"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0" t="inlineStr">
        <is>
          <t>"-"</t>
        </is>
      </c>
      <c r="C62" s="30" t="inlineStr">
        <is>
          <t>"-"</t>
        </is>
      </c>
      <c r="D62" s="30" t="inlineStr">
        <is>
          <t>"-"</t>
        </is>
      </c>
      <c r="E62" s="30">
        <f>'T12 Analytics'!E103</f>
        <v/>
      </c>
      <c r="F62" s="30">
        <f>'T12 Analytics'!F103</f>
        <v/>
      </c>
      <c r="G62" s="30">
        <f>F62-E62</f>
        <v/>
      </c>
      <c r="H62" s="157" t="n"/>
    </row>
    <row r="63" ht="15.75" customHeight="1" s="199">
      <c r="A63" s="183" t="inlineStr">
        <is>
          <t>Total opex (excl. mgmt)</t>
        </is>
      </c>
      <c r="B63" s="30" t="inlineStr">
        <is>
          <t>"-"</t>
        </is>
      </c>
      <c r="C63" s="30" t="inlineStr">
        <is>
          <t>"-"</t>
        </is>
      </c>
      <c r="D63" s="30" t="inlineStr">
        <is>
          <t>"-"</t>
        </is>
      </c>
      <c r="E63" s="30">
        <f>'T12 Analytics'!E105</f>
        <v/>
      </c>
      <c r="F63" s="30">
        <f>'T12 Analytics'!F105</f>
        <v/>
      </c>
      <c r="G63" s="30">
        <f>F63-E63</f>
        <v/>
      </c>
      <c r="H63" s="157" t="n"/>
    </row>
    <row r="64" ht="15" customHeight="1" s="199">
      <c r="A64" s="112" t="inlineStr">
        <is>
          <t>Management fee</t>
        </is>
      </c>
      <c r="B64" s="24" t="inlineStr">
        <is>
          <t>"-"</t>
        </is>
      </c>
      <c r="C64" s="24" t="inlineStr">
        <is>
          <t>"-"</t>
        </is>
      </c>
      <c r="D64" s="24"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0" t="inlineStr">
        <is>
          <t>"-"</t>
        </is>
      </c>
      <c r="C66" s="30" t="inlineStr">
        <is>
          <t>"-"</t>
        </is>
      </c>
      <c r="D66" s="30" t="inlineStr">
        <is>
          <t>"-"</t>
        </is>
      </c>
      <c r="E66" s="161">
        <f>'T12 Analytics'!E108</f>
        <v/>
      </c>
      <c r="F66" s="161">
        <f>'T12 Analytics'!F108</f>
        <v/>
      </c>
      <c r="G66" s="161">
        <f>F66-E66</f>
        <v/>
      </c>
      <c r="H66" s="162" t="n"/>
    </row>
    <row r="67" ht="15" customHeight="1" s="199">
      <c r="A67" s="183" t="inlineStr">
        <is>
          <t>EBITDAR</t>
        </is>
      </c>
      <c r="B67" s="30" t="inlineStr">
        <is>
          <t>"-"</t>
        </is>
      </c>
      <c r="C67" s="30" t="inlineStr">
        <is>
          <t>"-"</t>
        </is>
      </c>
      <c r="D67" s="30" t="inlineStr">
        <is>
          <t>"-"</t>
        </is>
      </c>
      <c r="E67" s="161">
        <f>'T12 Analytics'!E110</f>
        <v/>
      </c>
      <c r="F67" s="161">
        <f>'T12 Analytics'!F110</f>
        <v/>
      </c>
      <c r="G67" s="161">
        <f>F67-E67</f>
        <v/>
      </c>
      <c r="H67" s="162" t="n"/>
    </row>
    <row r="68" ht="15" customHeight="1" s="199">
      <c r="A68" s="183" t="inlineStr">
        <is>
          <t>EBITDA</t>
        </is>
      </c>
      <c r="B68" s="30" t="inlineStr">
        <is>
          <t>"-"</t>
        </is>
      </c>
      <c r="C68" s="30" t="inlineStr">
        <is>
          <t>"-"</t>
        </is>
      </c>
      <c r="D68" s="30"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v0.1.15</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AZ414"/>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v0.1.15</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IFERROR(minifs('Rent Roll Input'!$S$7:$S$606,'Rent Roll Input'!$S$7:$S$606,"&gt;"&amp;0),"")</f>
        <v/>
      </c>
      <c r="B2" s="170" t="inlineStr">
        <is>
          <t>Period 1</t>
        </is>
      </c>
      <c r="AZ2" t="inlineStr">
        <is>
          <t>reference</t>
        </is>
      </c>
    </row>
    <row r="3" ht="15.75" customHeight="1" s="199">
      <c r="A3" s="169">
        <f>IFERROR(minifs('Rent Roll Input'!$S$7:$S$606,'Rent Roll Input'!$S$7:$S$606,"&gt;"&amp;A2),"")</f>
        <v/>
      </c>
      <c r="B3" s="170" t="inlineStr">
        <is>
          <t>Period 2</t>
        </is>
      </c>
      <c r="AZ3" t="inlineStr">
        <is>
          <t>hidden</t>
        </is>
      </c>
    </row>
    <row r="4" ht="15.75" customHeight="1" s="199">
      <c r="A4" s="169">
        <f>IFERROR(minifs('Rent Roll Input'!$S$7:$S$606,'Rent Roll Input'!$S$7:$S$606,"&gt;"&amp;A3),"")</f>
        <v/>
      </c>
      <c r="B4" s="170" t="inlineStr">
        <is>
          <t>Period 3</t>
        </is>
      </c>
      <c r="AZ4" t="inlineStr">
        <is>
          <t>v0.1.15</t>
        </is>
      </c>
    </row>
    <row r="5" ht="15.75" customHeight="1" s="199">
      <c r="A5" s="169">
        <f>IFERROR(minifs('Rent Roll Input'!$S$7:$S$606,'Rent Roll Input'!$S$7:$S$606,"&gt;"&amp;A4),"")</f>
        <v/>
      </c>
      <c r="B5" s="170" t="inlineStr">
        <is>
          <t>Period 4</t>
        </is>
      </c>
    </row>
    <row r="6" ht="15.75" customHeight="1" s="199">
      <c r="A6" s="169">
        <f>IFERROR(minifs('Rent Roll Input'!$S$7:$S$606,'Rent Roll Input'!$S$7:$S$606,"&gt;"&amp;A5),"")</f>
        <v/>
      </c>
      <c r="B6" s="170" t="inlineStr">
        <is>
          <t>Period 5</t>
        </is>
      </c>
    </row>
    <row r="7" ht="15.75" customHeight="1" s="199">
      <c r="A7" s="169">
        <f>IFERROR(minifs('Rent Roll Input'!$S$7:$S$606,'Rent Roll Input'!$S$7:$S$606,"&gt;"&amp;A6),"")</f>
        <v/>
      </c>
      <c r="B7" s="170" t="inlineStr">
        <is>
          <t>Period 6</t>
        </is>
      </c>
    </row>
    <row r="8" ht="15.75" customHeight="1" s="199">
      <c r="A8" s="169">
        <f>IFERROR(minifs('Rent Roll Input'!$S$7:$S$606,'Rent Roll Input'!$S$7:$S$606,"&gt;"&amp;A7),"")</f>
        <v/>
      </c>
      <c r="B8" s="170" t="inlineStr">
        <is>
          <t>Period 7</t>
        </is>
      </c>
    </row>
    <row r="9" ht="15.75" customHeight="1" s="199">
      <c r="A9" s="169">
        <f>IFERROR(minifs('Rent Roll Input'!$S$7:$S$606,'Rent Roll Input'!$S$7:$S$606,"&gt;"&amp;A8),"")</f>
        <v/>
      </c>
      <c r="B9" s="170" t="inlineStr">
        <is>
          <t>Period 8</t>
        </is>
      </c>
    </row>
    <row r="10" ht="15.75" customHeight="1" s="199">
      <c r="A10" s="169">
        <f>IFERROR(minifs('Rent Roll Input'!$S$7:$S$606,'Rent Roll Input'!$S$7:$S$606,"&gt;"&amp;A9),"")</f>
        <v/>
      </c>
      <c r="B10" s="170" t="inlineStr">
        <is>
          <t>Period 9</t>
        </is>
      </c>
    </row>
    <row r="11" ht="15.75" customHeight="1" s="199">
      <c r="A11" s="169">
        <f>IFERROR(minifs('Rent Roll Input'!$S$7:$S$606,'Rent Roll Input'!$S$7:$S$606,"&gt;"&amp;A10),"")</f>
        <v/>
      </c>
      <c r="B11" s="170" t="inlineStr">
        <is>
          <t>Period 10</t>
        </is>
      </c>
    </row>
    <row r="12" ht="15.75" customHeight="1" s="199">
      <c r="A12" s="169">
        <f>IFERROR(minifs('Rent Roll Input'!$S$7:$S$606,'Rent Roll Input'!$S$7:$S$606,"&gt;"&amp;A11),"")</f>
        <v/>
      </c>
      <c r="B12" s="170" t="inlineStr">
        <is>
          <t>Period 11</t>
        </is>
      </c>
    </row>
    <row r="13" ht="15.75" customHeight="1" s="199">
      <c r="A13" s="169">
        <f>IFERROR(minifs('Rent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v0.1.15</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5"/>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v0.1.15</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row r="43">
      <c r="A43" s="243" t="inlineStr">
        <is>
          <t>G9 · Total outstanding AR  (Σ Rent Roll Input!X)</t>
        </is>
      </c>
      <c r="B43" s="244">
        <f>SUM('Rent Roll Input'!$X$7:$X$606)</f>
        <v/>
      </c>
    </row>
    <row r="44">
      <c r="A44" s="243" t="inlineStr">
        <is>
          <t>G10 · AR ÷ monthly EGI  (collection-velocity indicator)</t>
        </is>
      </c>
      <c r="B44" s="245">
        <f>IFERROR(B43/('Monthly Trending'!$N$21/12),0)</f>
        <v/>
      </c>
    </row>
    <row r="45">
      <c r="A45" s="237">
        <f>IF(B43=0,"",IF(B44&gt;0.05,"⚠ AR is "&amp;TEXT(B44,"0.0%")&amp;" of monthly EGI — collection risk; review aging","✓ AR within "&amp;TEXT(0.05,"0%")&amp;" of monthly EGI"))</f>
        <v/>
      </c>
    </row>
  </sheetData>
  <mergeCells count="1">
    <mergeCell ref="A45:D4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2026-05-14T14:27:51Z</dcterms:modified>
  <cp:lastModifiedBy>Erik J</cp:lastModifiedBy>
  <cp:revision>0</cp:revision>
</cp:coreProperties>
</file>